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itigation Inputs" sheetId="2" state="visible" r:id="rId2"/>
  </sheets>
  <definedNames>
    <definedName name="_xlnm._FilterDatabase" localSheetId="1" hidden="1">'Mitigation Inputs'!$A$5:$AX$85</definedName>
  </definedNames>
  <calcPr calcId="124519" calcMode="manual" fullCalcOnLoad="1" forceFullCalc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0AE49"/>
      </patternFill>
    </fill>
    <fill>
      <patternFill patternType="solid">
        <fgColor rgb="00FFF2CC"/>
      </patternFill>
    </fill>
    <fill>
      <patternFill patternType="solid">
        <fgColor rgb="0092D050"/>
      </patternFill>
    </fill>
    <fill>
      <patternFill patternType="solid">
        <fgColor rgb="00EBF1DE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1" pivotButton="0" quotePrefix="0" xfId="0"/>
    <xf numFmtId="0" fontId="5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5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10" customWidth="1" min="3" max="3"/>
    <col width="24" customWidth="1" min="4" max="4"/>
    <col width="28" customWidth="1" min="5" max="5"/>
  </cols>
  <sheetData>
    <row r="2" ht="24" customHeight="1">
      <c r="A2" s="1" t="inlineStr">
        <is>
          <t>CPAT-AI Air Pollution Standalone</t>
        </is>
      </c>
    </row>
    <row r="4" ht="32" customHeight="1">
      <c r="B4" t="inlineStr">
        <is>
          <t>Status</t>
        </is>
      </c>
      <c r="C4" s="2" t="inlineStr">
        <is>
          <t>Input scaffold only; Air Pollution calculations are not implemented yet.</t>
        </is>
      </c>
    </row>
    <row r="6">
      <c r="A6" s="3" t="inlineStr">
        <is>
          <t>Purpose and boundary</t>
        </is>
      </c>
    </row>
    <row r="7" ht="20" customHeight="1">
      <c r="B7" s="4" t="inlineStr">
        <is>
          <t>Purpose</t>
        </is>
      </c>
      <c r="C7" s="5" t="inlineStr">
        <is>
          <t>Standalone rebuild of the Air Pollution module in CPAT 1.0pre_459.</t>
        </is>
      </c>
    </row>
    <row r="8" ht="20" customHeight="1">
      <c r="B8" s="4" t="inlineStr">
        <is>
          <t>Mitigation handoff</t>
        </is>
      </c>
      <c r="C8" s="5" t="inlineStr">
        <is>
          <t>Baseline and policy emissions keyed by the existing aps.&lt;pollutant&gt;.&lt;sector&gt; codes.</t>
        </is>
      </c>
    </row>
    <row r="9" ht="30" customHeight="1">
      <c r="B9" s="4" t="inlineStr">
        <is>
          <t>Scope</t>
        </is>
      </c>
      <c r="C9" s="5" t="inlineStr">
        <is>
          <t>Emissions-to-concentration methods, exposure, health outcomes, economic outputs, and report-only fuel externalities.</t>
        </is>
      </c>
    </row>
    <row r="10" ht="30" customHeight="1">
      <c r="B10" s="4" t="inlineStr">
        <is>
          <t>Country</t>
        </is>
      </c>
      <c r="C10" s="5" t="inlineStr">
        <is>
          <t>EGY is prefilled for the first regression case. Rows can be copied for other supported countries.</t>
        </is>
      </c>
    </row>
    <row r="11" ht="30" customHeight="1">
      <c r="B11" s="4" t="inlineStr">
        <is>
          <t>Horizon</t>
        </is>
      </c>
      <c r="C11" s="5" t="inlineStr">
        <is>
          <t>2022-2041 input columns; confirm the exact 1.0pre_459 calculation horizon before formulas are built.</t>
        </is>
      </c>
    </row>
    <row r="12" ht="20" customHeight="1">
      <c r="B12" s="4" t="inlineStr">
        <is>
          <t>Data</t>
        </is>
      </c>
      <c r="C12" s="5" t="inlineStr">
        <is>
          <t>No health, concentration, or emissions reference data are embedded in this scaffold.</t>
        </is>
      </c>
    </row>
    <row r="13" ht="20" customHeight="1">
      <c r="B13" s="4" t="inlineStr">
        <is>
          <t>External links</t>
        </is>
      </c>
      <c r="C13" s="5" t="inlineStr">
        <is>
          <t>None. The workbook accepts pasted values and does not link to another workbook.</t>
        </is>
      </c>
    </row>
    <row r="16">
      <c r="A16" s="3" t="inlineStr">
        <is>
          <t>Build status</t>
        </is>
      </c>
    </row>
    <row r="17">
      <c r="B17" s="4" t="inlineStr">
        <is>
          <t>Implemented</t>
        </is>
      </c>
      <c r="C17" s="5" t="inlineStr">
        <is>
          <t>Cover and paste-ready Mitigation input scaffold.</t>
        </is>
      </c>
    </row>
    <row r="18">
      <c r="B18" s="4" t="inlineStr">
        <is>
          <t>Not implemented</t>
        </is>
      </c>
      <c r="C18" s="5" t="inlineStr">
        <is>
          <t>Calculations, reference data tables, results, legacy regression, and coded-module reconciliation.</t>
        </is>
      </c>
    </row>
    <row r="19">
      <c r="B19" s="4" t="inlineStr">
        <is>
          <t>Method source</t>
        </is>
      </c>
      <c r="C19" s="5" t="inlineStr">
        <is>
          <t>cpat_coded/cpat_documentation/user/06_Air_pollution.html</t>
        </is>
      </c>
    </row>
    <row r="20">
      <c r="B20" s="4" t="inlineStr">
        <is>
          <t>Equation inventory</t>
        </is>
      </c>
      <c r="C20" s="5" t="inlineStr">
        <is>
          <t>cpat_excel/air_pollution/Equations_v1_0.md (working; reconcile before formulas).</t>
        </is>
      </c>
    </row>
    <row r="21">
      <c r="B21" s="4" t="inlineStr">
        <is>
          <t>Legacy target</t>
        </is>
      </c>
      <c r="C21" s="5" t="inlineStr">
        <is>
          <t>cpat_excel/cpat_excel_original/CPAT 1.0pre_459_NoPropData.xlsb (read-only ground truth).</t>
        </is>
      </c>
    </row>
    <row r="24">
      <c r="A24" s="3" t="inlineStr">
        <is>
          <t>Version log</t>
        </is>
      </c>
    </row>
    <row r="25">
      <c r="B25" s="6" t="inlineStr">
        <is>
          <t>Version</t>
        </is>
      </c>
      <c r="C25" s="6" t="inlineStr">
        <is>
          <t>Date</t>
        </is>
      </c>
      <c r="D25" s="6" t="inlineStr">
        <is>
          <t>Description</t>
        </is>
      </c>
      <c r="E25" s="6" t="inlineStr">
        <is>
          <t>Legacy regression</t>
        </is>
      </c>
    </row>
    <row r="26">
      <c r="B26" s="7" t="inlineStr">
        <is>
          <t>0.1</t>
        </is>
      </c>
      <c r="C26" s="7" t="inlineStr">
        <is>
          <t>2026-10-26</t>
        </is>
      </c>
      <c r="D26" s="7" t="inlineStr">
        <is>
          <t>Input scaffold</t>
        </is>
      </c>
      <c r="E26" s="7" t="inlineStr">
        <is>
          <t>Not run</t>
        </is>
      </c>
    </row>
  </sheetData>
  <mergeCells count="4">
    <mergeCell ref="A16:C16"/>
    <mergeCell ref="A24:C24"/>
    <mergeCell ref="A2:C2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X85"/>
  <sheetViews>
    <sheetView showGridLines="0" workbookViewId="0">
      <pane xSplit="10" ySplit="5" topLeftCell="K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5" customWidth="1" min="4" max="4"/>
    <col width="25" customWidth="1" min="5" max="5"/>
    <col width="64" customWidth="1" min="6" max="6"/>
    <col width="15" customWidth="1" min="7" max="7"/>
    <col width="15" customWidth="1" min="8" max="8"/>
    <col width="27" customWidth="1" min="9" max="9"/>
    <col width="3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2" ht="24" customHeight="1">
      <c r="A2" s="1" t="inlineStr">
        <is>
          <t>Mitigation Inputs: air-pollutant emissions</t>
        </is>
      </c>
    </row>
    <row r="3" ht="32" customHeight="1">
      <c r="A3" s="8" t="inlineStr">
        <is>
          <t>Paste baseline and policy values by aps code and year. Mitigation v7.1 defines aps values in kt; 1.0pre_459 reads country.mit.em.&lt;pollutant&gt;.&lt;sector&gt;.&lt;scenario&gt; in Ton/year. The legacy code columns are a traceability crosswalk only; no conversion is applied in this scaffold.</t>
        </is>
      </c>
    </row>
    <row r="4">
      <c r="K4" s="9" t="inlineStr">
        <is>
          <t>Baseline (scenario 1)</t>
        </is>
      </c>
      <c r="AE4" s="9" t="inlineStr">
        <is>
          <t>Policy (scenario 2)</t>
        </is>
      </c>
    </row>
    <row r="5" ht="30" customHeight="1">
      <c r="A5" s="10" t="inlineStr">
        <is>
          <t>Country</t>
        </is>
      </c>
      <c r="B5" s="10" t="inlineStr">
        <is>
          <t>Mitigation Output Code</t>
        </is>
      </c>
      <c r="C5" s="10" t="inlineStr">
        <is>
          <t>Legacy Baseline Code</t>
        </is>
      </c>
      <c r="D5" s="10" t="inlineStr">
        <is>
          <t>Legacy Policy Code</t>
        </is>
      </c>
      <c r="E5" s="10" t="inlineStr">
        <is>
          <t>Pollutant</t>
        </is>
      </c>
      <c r="F5" s="10" t="inlineStr">
        <is>
          <t>AP Sector</t>
        </is>
      </c>
      <c r="G5" s="10" t="inlineStr">
        <is>
          <t>Mitigation Unit</t>
        </is>
      </c>
      <c r="H5" s="10" t="inlineStr">
        <is>
          <t>Legacy Unit</t>
        </is>
      </c>
      <c r="I5" s="10" t="inlineStr">
        <is>
          <t>Input Source</t>
        </is>
      </c>
      <c r="J5" s="10" t="inlineStr">
        <is>
          <t>Source Version</t>
        </is>
      </c>
      <c r="K5" s="11" t="n">
        <v>2022</v>
      </c>
      <c r="L5" s="11" t="n">
        <v>2023</v>
      </c>
      <c r="M5" s="11" t="n">
        <v>2024</v>
      </c>
      <c r="N5" s="11" t="n">
        <v>2025</v>
      </c>
      <c r="O5" s="11" t="n">
        <v>2026</v>
      </c>
      <c r="P5" s="11" t="n">
        <v>2027</v>
      </c>
      <c r="Q5" s="11" t="n">
        <v>2028</v>
      </c>
      <c r="R5" s="11" t="n">
        <v>2029</v>
      </c>
      <c r="S5" s="11" t="n">
        <v>2030</v>
      </c>
      <c r="T5" s="11" t="n">
        <v>2031</v>
      </c>
      <c r="U5" s="11" t="n">
        <v>2032</v>
      </c>
      <c r="V5" s="11" t="n">
        <v>2033</v>
      </c>
      <c r="W5" s="11" t="n">
        <v>2034</v>
      </c>
      <c r="X5" s="11" t="n">
        <v>2035</v>
      </c>
      <c r="Y5" s="11" t="n">
        <v>2036</v>
      </c>
      <c r="Z5" s="11" t="n">
        <v>2037</v>
      </c>
      <c r="AA5" s="11" t="n">
        <v>2038</v>
      </c>
      <c r="AB5" s="11" t="n">
        <v>2039</v>
      </c>
      <c r="AC5" s="11" t="n">
        <v>2040</v>
      </c>
      <c r="AD5" s="11" t="n">
        <v>2041</v>
      </c>
      <c r="AE5" s="11" t="n">
        <v>2022</v>
      </c>
      <c r="AF5" s="11" t="n">
        <v>2023</v>
      </c>
      <c r="AG5" s="11" t="n">
        <v>2024</v>
      </c>
      <c r="AH5" s="11" t="n">
        <v>2025</v>
      </c>
      <c r="AI5" s="11" t="n">
        <v>2026</v>
      </c>
      <c r="AJ5" s="11" t="n">
        <v>2027</v>
      </c>
      <c r="AK5" s="11" t="n">
        <v>2028</v>
      </c>
      <c r="AL5" s="11" t="n">
        <v>2029</v>
      </c>
      <c r="AM5" s="11" t="n">
        <v>2030</v>
      </c>
      <c r="AN5" s="11" t="n">
        <v>2031</v>
      </c>
      <c r="AO5" s="11" t="n">
        <v>2032</v>
      </c>
      <c r="AP5" s="11" t="n">
        <v>2033</v>
      </c>
      <c r="AQ5" s="11" t="n">
        <v>2034</v>
      </c>
      <c r="AR5" s="11" t="n">
        <v>2035</v>
      </c>
      <c r="AS5" s="11" t="n">
        <v>2036</v>
      </c>
      <c r="AT5" s="11" t="n">
        <v>2037</v>
      </c>
      <c r="AU5" s="11" t="n">
        <v>2038</v>
      </c>
      <c r="AV5" s="11" t="n">
        <v>2039</v>
      </c>
      <c r="AW5" s="11" t="n">
        <v>2040</v>
      </c>
      <c r="AX5" s="11" t="n">
        <v>2041</v>
      </c>
    </row>
    <row r="6">
      <c r="A6" s="12" t="inlineStr">
        <is>
          <t>EGY</t>
        </is>
      </c>
      <c r="B6" s="13" t="inlineStr">
        <is>
          <t>aps.nox.cpp</t>
        </is>
      </c>
      <c r="C6" s="13">
        <f>LOWER(A6)&amp;".mit.em.nox."&amp;"cpp.1"</f>
        <v/>
      </c>
      <c r="D6" s="13">
        <f>LOWER(A6)&amp;".mit.em.nox."&amp;"cpp.2"</f>
        <v/>
      </c>
      <c r="E6" s="14" t="inlineStr">
        <is>
          <t>NOx</t>
        </is>
      </c>
      <c r="F6" s="14" t="inlineStr">
        <is>
          <t>Coal power plants</t>
        </is>
      </c>
      <c r="G6" s="12" t="inlineStr">
        <is>
          <t>kt</t>
        </is>
      </c>
      <c r="H6" s="12" t="inlineStr">
        <is>
          <t>Ton/year</t>
        </is>
      </c>
      <c r="I6" s="12" t="inlineStr">
        <is>
          <t>Mitigation output code</t>
        </is>
      </c>
      <c r="J6" s="12" t="inlineStr">
        <is>
          <t>CPAT-AI-Mitigation-MVP-v7.1</t>
        </is>
      </c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</row>
    <row r="7">
      <c r="A7" s="12" t="inlineStr">
        <is>
          <t>EGY</t>
        </is>
      </c>
      <c r="B7" s="13" t="inlineStr">
        <is>
          <t>aps.nox.gpp</t>
        </is>
      </c>
      <c r="C7" s="13">
        <f>LOWER(A7)&amp;".mit.em.nox."&amp;"gpp.1"</f>
        <v/>
      </c>
      <c r="D7" s="13">
        <f>LOWER(A7)&amp;".mit.em.nox."&amp;"gpp.2"</f>
        <v/>
      </c>
      <c r="E7" s="14" t="inlineStr">
        <is>
          <t>NOx</t>
        </is>
      </c>
      <c r="F7" s="14" t="inlineStr">
        <is>
          <t>Gas power plants</t>
        </is>
      </c>
      <c r="G7" s="12" t="inlineStr">
        <is>
          <t>kt</t>
        </is>
      </c>
      <c r="H7" s="12" t="inlineStr">
        <is>
          <t>Ton/year</t>
        </is>
      </c>
      <c r="I7" s="12" t="inlineStr">
        <is>
          <t>Mitigation output code</t>
        </is>
      </c>
      <c r="J7" s="12" t="inlineStr">
        <is>
          <t>CPAT-AI-Mitigation-MVP-v7.1</t>
        </is>
      </c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</row>
    <row r="8">
      <c r="A8" s="12" t="inlineStr">
        <is>
          <t>EGY</t>
        </is>
      </c>
      <c r="B8" s="13" t="inlineStr">
        <is>
          <t>aps.nox.opp</t>
        </is>
      </c>
      <c r="C8" s="13">
        <f>LOWER(A8)&amp;".mit.em.nox."&amp;"opp.1"</f>
        <v/>
      </c>
      <c r="D8" s="13">
        <f>LOWER(A8)&amp;".mit.em.nox."&amp;"opp.2"</f>
        <v/>
      </c>
      <c r="E8" s="14" t="inlineStr">
        <is>
          <t>NOx</t>
        </is>
      </c>
      <c r="F8" s="14" t="inlineStr">
        <is>
          <t>Other power plants (oil, biomass)</t>
        </is>
      </c>
      <c r="G8" s="12" t="inlineStr">
        <is>
          <t>kt</t>
        </is>
      </c>
      <c r="H8" s="12" t="inlineStr">
        <is>
          <t>Ton/year</t>
        </is>
      </c>
      <c r="I8" s="12" t="inlineStr">
        <is>
          <t>Mitigation output code</t>
        </is>
      </c>
      <c r="J8" s="12" t="inlineStr">
        <is>
          <t>CPAT-AI-Mitigation-MVP-v7.1</t>
        </is>
      </c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</row>
    <row r="9">
      <c r="A9" s="12" t="inlineStr">
        <is>
          <t>EGY</t>
        </is>
      </c>
      <c r="B9" s="13" t="inlineStr">
        <is>
          <t>aps.nox.rod</t>
        </is>
      </c>
      <c r="C9" s="13">
        <f>LOWER(A9)&amp;".mit.em.nox."&amp;"rod.1"</f>
        <v/>
      </c>
      <c r="D9" s="13">
        <f>LOWER(A9)&amp;".mit.em.nox."&amp;"rod.2"</f>
        <v/>
      </c>
      <c r="E9" s="14" t="inlineStr">
        <is>
          <t>NOx</t>
        </is>
      </c>
      <c r="F9" s="14" t="inlineStr">
        <is>
          <t>Ground level road</t>
        </is>
      </c>
      <c r="G9" s="12" t="inlineStr">
        <is>
          <t>kt</t>
        </is>
      </c>
      <c r="H9" s="12" t="inlineStr">
        <is>
          <t>Ton/year</t>
        </is>
      </c>
      <c r="I9" s="12" t="inlineStr">
        <is>
          <t>Mitigation output code</t>
        </is>
      </c>
      <c r="J9" s="12" t="inlineStr">
        <is>
          <t>CPAT-AI-Mitigation-MVP-v7.1</t>
        </is>
      </c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</row>
    <row r="10">
      <c r="A10" s="12" t="inlineStr">
        <is>
          <t>EGY</t>
        </is>
      </c>
      <c r="B10" s="13" t="inlineStr">
        <is>
          <t>aps.nox.gro</t>
        </is>
      </c>
      <c r="C10" s="13">
        <f>LOWER(A10)&amp;".mit.em.nox."&amp;"gro.1"</f>
        <v/>
      </c>
      <c r="D10" s="13">
        <f>LOWER(A10)&amp;".mit.em.nox."&amp;"gro.2"</f>
        <v/>
      </c>
      <c r="E10" s="14" t="inlineStr">
        <is>
          <t>NOx</t>
        </is>
      </c>
      <c r="F10" s="14" t="inlineStr">
        <is>
          <t>Ground level other (residential, services, construction)</t>
        </is>
      </c>
      <c r="G10" s="12" t="inlineStr">
        <is>
          <t>kt</t>
        </is>
      </c>
      <c r="H10" s="12" t="inlineStr">
        <is>
          <t>Ton/year</t>
        </is>
      </c>
      <c r="I10" s="12" t="inlineStr">
        <is>
          <t>Mitigation output code</t>
        </is>
      </c>
      <c r="J10" s="12" t="inlineStr">
        <is>
          <t>CPAT-AI-Mitigation-MVP-v7.1</t>
        </is>
      </c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</row>
    <row r="11">
      <c r="A11" s="12" t="inlineStr">
        <is>
          <t>EGY</t>
        </is>
      </c>
      <c r="B11" s="13" t="inlineStr">
        <is>
          <t>aps.nox.oth</t>
        </is>
      </c>
      <c r="C11" s="13">
        <f>LOWER(A11)&amp;".mit.em.nox."&amp;"oth.1"</f>
        <v/>
      </c>
      <c r="D11" s="13">
        <f>LOWER(A11)&amp;".mit.em.nox."&amp;"oth.2"</f>
        <v/>
      </c>
      <c r="E11" s="14" t="inlineStr">
        <is>
          <t>NOx</t>
        </is>
      </c>
      <c r="F11" s="14" t="inlineStr">
        <is>
          <t>Other (rail, aviation, navigation, industry, other energy use)</t>
        </is>
      </c>
      <c r="G11" s="12" t="inlineStr">
        <is>
          <t>kt</t>
        </is>
      </c>
      <c r="H11" s="12" t="inlineStr">
        <is>
          <t>Ton/year</t>
        </is>
      </c>
      <c r="I11" s="12" t="inlineStr">
        <is>
          <t>Mitigation output code</t>
        </is>
      </c>
      <c r="J11" s="12" t="inlineStr">
        <is>
          <t>CPAT-AI-Mitigation-MVP-v7.1</t>
        </is>
      </c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</row>
    <row r="12">
      <c r="A12" s="12" t="inlineStr">
        <is>
          <t>EGY</t>
        </is>
      </c>
      <c r="B12" s="13" t="inlineStr">
        <is>
          <t>aps.nox.foo</t>
        </is>
      </c>
      <c r="C12" s="13">
        <f>LOWER(A12)&amp;".mit.em.nox."&amp;"foo.1"</f>
        <v/>
      </c>
      <c r="D12" s="13">
        <f>LOWER(A12)&amp;".mit.em.nox."&amp;"foo.2"</f>
        <v/>
      </c>
      <c r="E12" s="14" t="inlineStr">
        <is>
          <t>NOx</t>
        </is>
      </c>
      <c r="F12" s="14" t="inlineStr">
        <is>
          <t>Food &amp; forestry</t>
        </is>
      </c>
      <c r="G12" s="12" t="inlineStr">
        <is>
          <t>kt</t>
        </is>
      </c>
      <c r="H12" s="12" t="inlineStr">
        <is>
          <t>Ton/year</t>
        </is>
      </c>
      <c r="I12" s="12" t="inlineStr">
        <is>
          <t>Mitigation output code</t>
        </is>
      </c>
      <c r="J12" s="12" t="inlineStr">
        <is>
          <t>CPAT-AI-Mitigation-MVP-v7.1</t>
        </is>
      </c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</row>
    <row r="13">
      <c r="A13" s="12" t="inlineStr">
        <is>
          <t>EGY</t>
        </is>
      </c>
      <c r="B13" s="13" t="inlineStr">
        <is>
          <t>aps.nox.all</t>
        </is>
      </c>
      <c r="C13" s="13">
        <f>LOWER(A13)&amp;".mit.em.nox."&amp;"all.1"</f>
        <v/>
      </c>
      <c r="D13" s="13">
        <f>LOWER(A13)&amp;".mit.em.nox."&amp;"all.2"</f>
        <v/>
      </c>
      <c r="E13" s="14" t="inlineStr">
        <is>
          <t>NOx</t>
        </is>
      </c>
      <c r="F13" s="14" t="inlineStr">
        <is>
          <t>All sectors</t>
        </is>
      </c>
      <c r="G13" s="12" t="inlineStr">
        <is>
          <t>kt</t>
        </is>
      </c>
      <c r="H13" s="12" t="inlineStr">
        <is>
          <t>Ton/year</t>
        </is>
      </c>
      <c r="I13" s="12" t="inlineStr">
        <is>
          <t>Mitigation output code</t>
        </is>
      </c>
      <c r="J13" s="12" t="inlineStr">
        <is>
          <t>CPAT-AI-Mitigation-MVP-v7.1</t>
        </is>
      </c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</row>
    <row r="14">
      <c r="A14" s="12" t="inlineStr">
        <is>
          <t>EGY</t>
        </is>
      </c>
      <c r="B14" s="13" t="inlineStr">
        <is>
          <t>aps.so2.cpp</t>
        </is>
      </c>
      <c r="C14" s="13">
        <f>LOWER(A14)&amp;".mit.em.so2."&amp;"cpp.1"</f>
        <v/>
      </c>
      <c r="D14" s="13">
        <f>LOWER(A14)&amp;".mit.em.so2."&amp;"cpp.2"</f>
        <v/>
      </c>
      <c r="E14" s="14" t="inlineStr">
        <is>
          <t>SO2</t>
        </is>
      </c>
      <c r="F14" s="14" t="inlineStr">
        <is>
          <t>Coal power plants</t>
        </is>
      </c>
      <c r="G14" s="12" t="inlineStr">
        <is>
          <t>kt</t>
        </is>
      </c>
      <c r="H14" s="12" t="inlineStr">
        <is>
          <t>Ton/year</t>
        </is>
      </c>
      <c r="I14" s="12" t="inlineStr">
        <is>
          <t>Mitigation output code</t>
        </is>
      </c>
      <c r="J14" s="12" t="inlineStr">
        <is>
          <t>CPAT-AI-Mitigation-MVP-v7.1</t>
        </is>
      </c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</row>
    <row r="15">
      <c r="A15" s="12" t="inlineStr">
        <is>
          <t>EGY</t>
        </is>
      </c>
      <c r="B15" s="13" t="inlineStr">
        <is>
          <t>aps.so2.gpp</t>
        </is>
      </c>
      <c r="C15" s="13">
        <f>LOWER(A15)&amp;".mit.em.so2."&amp;"gpp.1"</f>
        <v/>
      </c>
      <c r="D15" s="13">
        <f>LOWER(A15)&amp;".mit.em.so2."&amp;"gpp.2"</f>
        <v/>
      </c>
      <c r="E15" s="14" t="inlineStr">
        <is>
          <t>SO2</t>
        </is>
      </c>
      <c r="F15" s="14" t="inlineStr">
        <is>
          <t>Gas power plants</t>
        </is>
      </c>
      <c r="G15" s="12" t="inlineStr">
        <is>
          <t>kt</t>
        </is>
      </c>
      <c r="H15" s="12" t="inlineStr">
        <is>
          <t>Ton/year</t>
        </is>
      </c>
      <c r="I15" s="12" t="inlineStr">
        <is>
          <t>Mitigation output code</t>
        </is>
      </c>
      <c r="J15" s="12" t="inlineStr">
        <is>
          <t>CPAT-AI-Mitigation-MVP-v7.1</t>
        </is>
      </c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</row>
    <row r="16">
      <c r="A16" s="12" t="inlineStr">
        <is>
          <t>EGY</t>
        </is>
      </c>
      <c r="B16" s="13" t="inlineStr">
        <is>
          <t>aps.so2.opp</t>
        </is>
      </c>
      <c r="C16" s="13">
        <f>LOWER(A16)&amp;".mit.em.so2."&amp;"opp.1"</f>
        <v/>
      </c>
      <c r="D16" s="13">
        <f>LOWER(A16)&amp;".mit.em.so2."&amp;"opp.2"</f>
        <v/>
      </c>
      <c r="E16" s="14" t="inlineStr">
        <is>
          <t>SO2</t>
        </is>
      </c>
      <c r="F16" s="14" t="inlineStr">
        <is>
          <t>Other power plants (oil, biomass)</t>
        </is>
      </c>
      <c r="G16" s="12" t="inlineStr">
        <is>
          <t>kt</t>
        </is>
      </c>
      <c r="H16" s="12" t="inlineStr">
        <is>
          <t>Ton/year</t>
        </is>
      </c>
      <c r="I16" s="12" t="inlineStr">
        <is>
          <t>Mitigation output code</t>
        </is>
      </c>
      <c r="J16" s="12" t="inlineStr">
        <is>
          <t>CPAT-AI-Mitigation-MVP-v7.1</t>
        </is>
      </c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</row>
    <row r="17">
      <c r="A17" s="12" t="inlineStr">
        <is>
          <t>EGY</t>
        </is>
      </c>
      <c r="B17" s="13" t="inlineStr">
        <is>
          <t>aps.so2.rod</t>
        </is>
      </c>
      <c r="C17" s="13">
        <f>LOWER(A17)&amp;".mit.em.so2."&amp;"rod.1"</f>
        <v/>
      </c>
      <c r="D17" s="13">
        <f>LOWER(A17)&amp;".mit.em.so2."&amp;"rod.2"</f>
        <v/>
      </c>
      <c r="E17" s="14" t="inlineStr">
        <is>
          <t>SO2</t>
        </is>
      </c>
      <c r="F17" s="14" t="inlineStr">
        <is>
          <t>Ground level road</t>
        </is>
      </c>
      <c r="G17" s="12" t="inlineStr">
        <is>
          <t>kt</t>
        </is>
      </c>
      <c r="H17" s="12" t="inlineStr">
        <is>
          <t>Ton/year</t>
        </is>
      </c>
      <c r="I17" s="12" t="inlineStr">
        <is>
          <t>Mitigation output code</t>
        </is>
      </c>
      <c r="J17" s="12" t="inlineStr">
        <is>
          <t>CPAT-AI-Mitigation-MVP-v7.1</t>
        </is>
      </c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</row>
    <row r="18">
      <c r="A18" s="12" t="inlineStr">
        <is>
          <t>EGY</t>
        </is>
      </c>
      <c r="B18" s="13" t="inlineStr">
        <is>
          <t>aps.so2.gro</t>
        </is>
      </c>
      <c r="C18" s="13">
        <f>LOWER(A18)&amp;".mit.em.so2."&amp;"gro.1"</f>
        <v/>
      </c>
      <c r="D18" s="13">
        <f>LOWER(A18)&amp;".mit.em.so2."&amp;"gro.2"</f>
        <v/>
      </c>
      <c r="E18" s="14" t="inlineStr">
        <is>
          <t>SO2</t>
        </is>
      </c>
      <c r="F18" s="14" t="inlineStr">
        <is>
          <t>Ground level other (residential, services, construction)</t>
        </is>
      </c>
      <c r="G18" s="12" t="inlineStr">
        <is>
          <t>kt</t>
        </is>
      </c>
      <c r="H18" s="12" t="inlineStr">
        <is>
          <t>Ton/year</t>
        </is>
      </c>
      <c r="I18" s="12" t="inlineStr">
        <is>
          <t>Mitigation output code</t>
        </is>
      </c>
      <c r="J18" s="12" t="inlineStr">
        <is>
          <t>CPAT-AI-Mitigation-MVP-v7.1</t>
        </is>
      </c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</row>
    <row r="19">
      <c r="A19" s="12" t="inlineStr">
        <is>
          <t>EGY</t>
        </is>
      </c>
      <c r="B19" s="13" t="inlineStr">
        <is>
          <t>aps.so2.oth</t>
        </is>
      </c>
      <c r="C19" s="13">
        <f>LOWER(A19)&amp;".mit.em.so2."&amp;"oth.1"</f>
        <v/>
      </c>
      <c r="D19" s="13">
        <f>LOWER(A19)&amp;".mit.em.so2."&amp;"oth.2"</f>
        <v/>
      </c>
      <c r="E19" s="14" t="inlineStr">
        <is>
          <t>SO2</t>
        </is>
      </c>
      <c r="F19" s="14" t="inlineStr">
        <is>
          <t>Other (rail, aviation, navigation, industry, other energy use)</t>
        </is>
      </c>
      <c r="G19" s="12" t="inlineStr">
        <is>
          <t>kt</t>
        </is>
      </c>
      <c r="H19" s="12" t="inlineStr">
        <is>
          <t>Ton/year</t>
        </is>
      </c>
      <c r="I19" s="12" t="inlineStr">
        <is>
          <t>Mitigation output code</t>
        </is>
      </c>
      <c r="J19" s="12" t="inlineStr">
        <is>
          <t>CPAT-AI-Mitigation-MVP-v7.1</t>
        </is>
      </c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</row>
    <row r="20">
      <c r="A20" s="12" t="inlineStr">
        <is>
          <t>EGY</t>
        </is>
      </c>
      <c r="B20" s="13" t="inlineStr">
        <is>
          <t>aps.so2.foo</t>
        </is>
      </c>
      <c r="C20" s="13">
        <f>LOWER(A20)&amp;".mit.em.so2."&amp;"foo.1"</f>
        <v/>
      </c>
      <c r="D20" s="13">
        <f>LOWER(A20)&amp;".mit.em.so2."&amp;"foo.2"</f>
        <v/>
      </c>
      <c r="E20" s="14" t="inlineStr">
        <is>
          <t>SO2</t>
        </is>
      </c>
      <c r="F20" s="14" t="inlineStr">
        <is>
          <t>Food &amp; forestry</t>
        </is>
      </c>
      <c r="G20" s="12" t="inlineStr">
        <is>
          <t>kt</t>
        </is>
      </c>
      <c r="H20" s="12" t="inlineStr">
        <is>
          <t>Ton/year</t>
        </is>
      </c>
      <c r="I20" s="12" t="inlineStr">
        <is>
          <t>Mitigation output code</t>
        </is>
      </c>
      <c r="J20" s="12" t="inlineStr">
        <is>
          <t>CPAT-AI-Mitigation-MVP-v7.1</t>
        </is>
      </c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</row>
    <row r="21">
      <c r="A21" s="12" t="inlineStr">
        <is>
          <t>EGY</t>
        </is>
      </c>
      <c r="B21" s="13" t="inlineStr">
        <is>
          <t>aps.so2.all</t>
        </is>
      </c>
      <c r="C21" s="13">
        <f>LOWER(A21)&amp;".mit.em.so2."&amp;"all.1"</f>
        <v/>
      </c>
      <c r="D21" s="13">
        <f>LOWER(A21)&amp;".mit.em.so2."&amp;"all.2"</f>
        <v/>
      </c>
      <c r="E21" s="14" t="inlineStr">
        <is>
          <t>SO2</t>
        </is>
      </c>
      <c r="F21" s="14" t="inlineStr">
        <is>
          <t>All sectors</t>
        </is>
      </c>
      <c r="G21" s="12" t="inlineStr">
        <is>
          <t>kt</t>
        </is>
      </c>
      <c r="H21" s="12" t="inlineStr">
        <is>
          <t>Ton/year</t>
        </is>
      </c>
      <c r="I21" s="12" t="inlineStr">
        <is>
          <t>Mitigation output code</t>
        </is>
      </c>
      <c r="J21" s="12" t="inlineStr">
        <is>
          <t>CPAT-AI-Mitigation-MVP-v7.1</t>
        </is>
      </c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</row>
    <row r="22">
      <c r="A22" s="12" t="inlineStr">
        <is>
          <t>EGY</t>
        </is>
      </c>
      <c r="B22" s="13" t="inlineStr">
        <is>
          <t>aps.bc.cpp</t>
        </is>
      </c>
      <c r="C22" s="13">
        <f>LOWER(A22)&amp;".mit.em.bc."&amp;"cpp.1"</f>
        <v/>
      </c>
      <c r="D22" s="13">
        <f>LOWER(A22)&amp;".mit.em.bc."&amp;"cpp.2"</f>
        <v/>
      </c>
      <c r="E22" s="14" t="inlineStr">
        <is>
          <t>Black carbon</t>
        </is>
      </c>
      <c r="F22" s="14" t="inlineStr">
        <is>
          <t>Coal power plants</t>
        </is>
      </c>
      <c r="G22" s="12" t="inlineStr">
        <is>
          <t>kt</t>
        </is>
      </c>
      <c r="H22" s="12" t="inlineStr">
        <is>
          <t>Ton/year</t>
        </is>
      </c>
      <c r="I22" s="12" t="inlineStr">
        <is>
          <t>Mitigation output code</t>
        </is>
      </c>
      <c r="J22" s="12" t="inlineStr">
        <is>
          <t>CPAT-AI-Mitigation-MVP-v7.1</t>
        </is>
      </c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</row>
    <row r="23">
      <c r="A23" s="12" t="inlineStr">
        <is>
          <t>EGY</t>
        </is>
      </c>
      <c r="B23" s="13" t="inlineStr">
        <is>
          <t>aps.bc.gpp</t>
        </is>
      </c>
      <c r="C23" s="13">
        <f>LOWER(A23)&amp;".mit.em.bc."&amp;"gpp.1"</f>
        <v/>
      </c>
      <c r="D23" s="13">
        <f>LOWER(A23)&amp;".mit.em.bc."&amp;"gpp.2"</f>
        <v/>
      </c>
      <c r="E23" s="14" t="inlineStr">
        <is>
          <t>Black carbon</t>
        </is>
      </c>
      <c r="F23" s="14" t="inlineStr">
        <is>
          <t>Gas power plants</t>
        </is>
      </c>
      <c r="G23" s="12" t="inlineStr">
        <is>
          <t>kt</t>
        </is>
      </c>
      <c r="H23" s="12" t="inlineStr">
        <is>
          <t>Ton/year</t>
        </is>
      </c>
      <c r="I23" s="12" t="inlineStr">
        <is>
          <t>Mitigation output code</t>
        </is>
      </c>
      <c r="J23" s="12" t="inlineStr">
        <is>
          <t>CPAT-AI-Mitigation-MVP-v7.1</t>
        </is>
      </c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</row>
    <row r="24">
      <c r="A24" s="12" t="inlineStr">
        <is>
          <t>EGY</t>
        </is>
      </c>
      <c r="B24" s="13" t="inlineStr">
        <is>
          <t>aps.bc.opp</t>
        </is>
      </c>
      <c r="C24" s="13">
        <f>LOWER(A24)&amp;".mit.em.bc."&amp;"opp.1"</f>
        <v/>
      </c>
      <c r="D24" s="13">
        <f>LOWER(A24)&amp;".mit.em.bc."&amp;"opp.2"</f>
        <v/>
      </c>
      <c r="E24" s="14" t="inlineStr">
        <is>
          <t>Black carbon</t>
        </is>
      </c>
      <c r="F24" s="14" t="inlineStr">
        <is>
          <t>Other power plants (oil, biomass)</t>
        </is>
      </c>
      <c r="G24" s="12" t="inlineStr">
        <is>
          <t>kt</t>
        </is>
      </c>
      <c r="H24" s="12" t="inlineStr">
        <is>
          <t>Ton/year</t>
        </is>
      </c>
      <c r="I24" s="12" t="inlineStr">
        <is>
          <t>Mitigation output code</t>
        </is>
      </c>
      <c r="J24" s="12" t="inlineStr">
        <is>
          <t>CPAT-AI-Mitigation-MVP-v7.1</t>
        </is>
      </c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</row>
    <row r="25">
      <c r="A25" s="12" t="inlineStr">
        <is>
          <t>EGY</t>
        </is>
      </c>
      <c r="B25" s="13" t="inlineStr">
        <is>
          <t>aps.bc.rod</t>
        </is>
      </c>
      <c r="C25" s="13">
        <f>LOWER(A25)&amp;".mit.em.bc."&amp;"rod.1"</f>
        <v/>
      </c>
      <c r="D25" s="13">
        <f>LOWER(A25)&amp;".mit.em.bc."&amp;"rod.2"</f>
        <v/>
      </c>
      <c r="E25" s="14" t="inlineStr">
        <is>
          <t>Black carbon</t>
        </is>
      </c>
      <c r="F25" s="14" t="inlineStr">
        <is>
          <t>Ground level road</t>
        </is>
      </c>
      <c r="G25" s="12" t="inlineStr">
        <is>
          <t>kt</t>
        </is>
      </c>
      <c r="H25" s="12" t="inlineStr">
        <is>
          <t>Ton/year</t>
        </is>
      </c>
      <c r="I25" s="12" t="inlineStr">
        <is>
          <t>Mitigation output code</t>
        </is>
      </c>
      <c r="J25" s="12" t="inlineStr">
        <is>
          <t>CPAT-AI-Mitigation-MVP-v7.1</t>
        </is>
      </c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</row>
    <row r="26">
      <c r="A26" s="12" t="inlineStr">
        <is>
          <t>EGY</t>
        </is>
      </c>
      <c r="B26" s="13" t="inlineStr">
        <is>
          <t>aps.bc.gro</t>
        </is>
      </c>
      <c r="C26" s="13">
        <f>LOWER(A26)&amp;".mit.em.bc."&amp;"gro.1"</f>
        <v/>
      </c>
      <c r="D26" s="13">
        <f>LOWER(A26)&amp;".mit.em.bc."&amp;"gro.2"</f>
        <v/>
      </c>
      <c r="E26" s="14" t="inlineStr">
        <is>
          <t>Black carbon</t>
        </is>
      </c>
      <c r="F26" s="14" t="inlineStr">
        <is>
          <t>Ground level other (residential, services, construction)</t>
        </is>
      </c>
      <c r="G26" s="12" t="inlineStr">
        <is>
          <t>kt</t>
        </is>
      </c>
      <c r="H26" s="12" t="inlineStr">
        <is>
          <t>Ton/year</t>
        </is>
      </c>
      <c r="I26" s="12" t="inlineStr">
        <is>
          <t>Mitigation output code</t>
        </is>
      </c>
      <c r="J26" s="12" t="inlineStr">
        <is>
          <t>CPAT-AI-Mitigation-MVP-v7.1</t>
        </is>
      </c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</row>
    <row r="27">
      <c r="A27" s="12" t="inlineStr">
        <is>
          <t>EGY</t>
        </is>
      </c>
      <c r="B27" s="13" t="inlineStr">
        <is>
          <t>aps.bc.oth</t>
        </is>
      </c>
      <c r="C27" s="13">
        <f>LOWER(A27)&amp;".mit.em.bc."&amp;"oth.1"</f>
        <v/>
      </c>
      <c r="D27" s="13">
        <f>LOWER(A27)&amp;".mit.em.bc."&amp;"oth.2"</f>
        <v/>
      </c>
      <c r="E27" s="14" t="inlineStr">
        <is>
          <t>Black carbon</t>
        </is>
      </c>
      <c r="F27" s="14" t="inlineStr">
        <is>
          <t>Other (rail, aviation, navigation, industry, other energy use)</t>
        </is>
      </c>
      <c r="G27" s="12" t="inlineStr">
        <is>
          <t>kt</t>
        </is>
      </c>
      <c r="H27" s="12" t="inlineStr">
        <is>
          <t>Ton/year</t>
        </is>
      </c>
      <c r="I27" s="12" t="inlineStr">
        <is>
          <t>Mitigation output code</t>
        </is>
      </c>
      <c r="J27" s="12" t="inlineStr">
        <is>
          <t>CPAT-AI-Mitigation-MVP-v7.1</t>
        </is>
      </c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</row>
    <row r="28">
      <c r="A28" s="12" t="inlineStr">
        <is>
          <t>EGY</t>
        </is>
      </c>
      <c r="B28" s="13" t="inlineStr">
        <is>
          <t>aps.bc.foo</t>
        </is>
      </c>
      <c r="C28" s="13">
        <f>LOWER(A28)&amp;".mit.em.bc."&amp;"foo.1"</f>
        <v/>
      </c>
      <c r="D28" s="13">
        <f>LOWER(A28)&amp;".mit.em.bc."&amp;"foo.2"</f>
        <v/>
      </c>
      <c r="E28" s="14" t="inlineStr">
        <is>
          <t>Black carbon</t>
        </is>
      </c>
      <c r="F28" s="14" t="inlineStr">
        <is>
          <t>Food &amp; forestry</t>
        </is>
      </c>
      <c r="G28" s="12" t="inlineStr">
        <is>
          <t>kt</t>
        </is>
      </c>
      <c r="H28" s="12" t="inlineStr">
        <is>
          <t>Ton/year</t>
        </is>
      </c>
      <c r="I28" s="12" t="inlineStr">
        <is>
          <t>Mitigation output code</t>
        </is>
      </c>
      <c r="J28" s="12" t="inlineStr">
        <is>
          <t>CPAT-AI-Mitigation-MVP-v7.1</t>
        </is>
      </c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</row>
    <row r="29">
      <c r="A29" s="12" t="inlineStr">
        <is>
          <t>EGY</t>
        </is>
      </c>
      <c r="B29" s="13" t="inlineStr">
        <is>
          <t>aps.bc.all</t>
        </is>
      </c>
      <c r="C29" s="13">
        <f>LOWER(A29)&amp;".mit.em.bc."&amp;"all.1"</f>
        <v/>
      </c>
      <c r="D29" s="13">
        <f>LOWER(A29)&amp;".mit.em.bc."&amp;"all.2"</f>
        <v/>
      </c>
      <c r="E29" s="14" t="inlineStr">
        <is>
          <t>Black carbon</t>
        </is>
      </c>
      <c r="F29" s="14" t="inlineStr">
        <is>
          <t>All sectors</t>
        </is>
      </c>
      <c r="G29" s="12" t="inlineStr">
        <is>
          <t>kt</t>
        </is>
      </c>
      <c r="H29" s="12" t="inlineStr">
        <is>
          <t>Ton/year</t>
        </is>
      </c>
      <c r="I29" s="12" t="inlineStr">
        <is>
          <t>Mitigation output code</t>
        </is>
      </c>
      <c r="J29" s="12" t="inlineStr">
        <is>
          <t>CPAT-AI-Mitigation-MVP-v7.1</t>
        </is>
      </c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</row>
    <row r="30">
      <c r="A30" s="12" t="inlineStr">
        <is>
          <t>EGY</t>
        </is>
      </c>
      <c r="B30" s="13" t="inlineStr">
        <is>
          <t>aps.pom.cpp</t>
        </is>
      </c>
      <c r="C30" s="13">
        <f>LOWER(A30)&amp;".mit.em.pom."&amp;"cpp.1"</f>
        <v/>
      </c>
      <c r="D30" s="13">
        <f>LOWER(A30)&amp;".mit.em.pom."&amp;"cpp.2"</f>
        <v/>
      </c>
      <c r="E30" s="14" t="inlineStr">
        <is>
          <t>Primary organic matter</t>
        </is>
      </c>
      <c r="F30" s="14" t="inlineStr">
        <is>
          <t>Coal power plants</t>
        </is>
      </c>
      <c r="G30" s="12" t="inlineStr">
        <is>
          <t>kt</t>
        </is>
      </c>
      <c r="H30" s="12" t="inlineStr">
        <is>
          <t>Ton/year</t>
        </is>
      </c>
      <c r="I30" s="12" t="inlineStr">
        <is>
          <t>Mitigation output code</t>
        </is>
      </c>
      <c r="J30" s="12" t="inlineStr">
        <is>
          <t>CPAT-AI-Mitigation-MVP-v7.1</t>
        </is>
      </c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</row>
    <row r="31">
      <c r="A31" s="12" t="inlineStr">
        <is>
          <t>EGY</t>
        </is>
      </c>
      <c r="B31" s="13" t="inlineStr">
        <is>
          <t>aps.pom.gpp</t>
        </is>
      </c>
      <c r="C31" s="13">
        <f>LOWER(A31)&amp;".mit.em.pom."&amp;"gpp.1"</f>
        <v/>
      </c>
      <c r="D31" s="13">
        <f>LOWER(A31)&amp;".mit.em.pom."&amp;"gpp.2"</f>
        <v/>
      </c>
      <c r="E31" s="14" t="inlineStr">
        <is>
          <t>Primary organic matter</t>
        </is>
      </c>
      <c r="F31" s="14" t="inlineStr">
        <is>
          <t>Gas power plants</t>
        </is>
      </c>
      <c r="G31" s="12" t="inlineStr">
        <is>
          <t>kt</t>
        </is>
      </c>
      <c r="H31" s="12" t="inlineStr">
        <is>
          <t>Ton/year</t>
        </is>
      </c>
      <c r="I31" s="12" t="inlineStr">
        <is>
          <t>Mitigation output code</t>
        </is>
      </c>
      <c r="J31" s="12" t="inlineStr">
        <is>
          <t>CPAT-AI-Mitigation-MVP-v7.1</t>
        </is>
      </c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</row>
    <row r="32">
      <c r="A32" s="12" t="inlineStr">
        <is>
          <t>EGY</t>
        </is>
      </c>
      <c r="B32" s="13" t="inlineStr">
        <is>
          <t>aps.pom.opp</t>
        </is>
      </c>
      <c r="C32" s="13">
        <f>LOWER(A32)&amp;".mit.em.pom."&amp;"opp.1"</f>
        <v/>
      </c>
      <c r="D32" s="13">
        <f>LOWER(A32)&amp;".mit.em.pom."&amp;"opp.2"</f>
        <v/>
      </c>
      <c r="E32" s="14" t="inlineStr">
        <is>
          <t>Primary organic matter</t>
        </is>
      </c>
      <c r="F32" s="14" t="inlineStr">
        <is>
          <t>Other power plants (oil, biomass)</t>
        </is>
      </c>
      <c r="G32" s="12" t="inlineStr">
        <is>
          <t>kt</t>
        </is>
      </c>
      <c r="H32" s="12" t="inlineStr">
        <is>
          <t>Ton/year</t>
        </is>
      </c>
      <c r="I32" s="12" t="inlineStr">
        <is>
          <t>Mitigation output code</t>
        </is>
      </c>
      <c r="J32" s="12" t="inlineStr">
        <is>
          <t>CPAT-AI-Mitigation-MVP-v7.1</t>
        </is>
      </c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</row>
    <row r="33">
      <c r="A33" s="12" t="inlineStr">
        <is>
          <t>EGY</t>
        </is>
      </c>
      <c r="B33" s="13" t="inlineStr">
        <is>
          <t>aps.pom.rod</t>
        </is>
      </c>
      <c r="C33" s="13">
        <f>LOWER(A33)&amp;".mit.em.pom."&amp;"rod.1"</f>
        <v/>
      </c>
      <c r="D33" s="13">
        <f>LOWER(A33)&amp;".mit.em.pom."&amp;"rod.2"</f>
        <v/>
      </c>
      <c r="E33" s="14" t="inlineStr">
        <is>
          <t>Primary organic matter</t>
        </is>
      </c>
      <c r="F33" s="14" t="inlineStr">
        <is>
          <t>Ground level road</t>
        </is>
      </c>
      <c r="G33" s="12" t="inlineStr">
        <is>
          <t>kt</t>
        </is>
      </c>
      <c r="H33" s="12" t="inlineStr">
        <is>
          <t>Ton/year</t>
        </is>
      </c>
      <c r="I33" s="12" t="inlineStr">
        <is>
          <t>Mitigation output code</t>
        </is>
      </c>
      <c r="J33" s="12" t="inlineStr">
        <is>
          <t>CPAT-AI-Mitigation-MVP-v7.1</t>
        </is>
      </c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</row>
    <row r="34">
      <c r="A34" s="12" t="inlineStr">
        <is>
          <t>EGY</t>
        </is>
      </c>
      <c r="B34" s="13" t="inlineStr">
        <is>
          <t>aps.pom.gro</t>
        </is>
      </c>
      <c r="C34" s="13">
        <f>LOWER(A34)&amp;".mit.em.pom."&amp;"gro.1"</f>
        <v/>
      </c>
      <c r="D34" s="13">
        <f>LOWER(A34)&amp;".mit.em.pom."&amp;"gro.2"</f>
        <v/>
      </c>
      <c r="E34" s="14" t="inlineStr">
        <is>
          <t>Primary organic matter</t>
        </is>
      </c>
      <c r="F34" s="14" t="inlineStr">
        <is>
          <t>Ground level other (residential, services, construction)</t>
        </is>
      </c>
      <c r="G34" s="12" t="inlineStr">
        <is>
          <t>kt</t>
        </is>
      </c>
      <c r="H34" s="12" t="inlineStr">
        <is>
          <t>Ton/year</t>
        </is>
      </c>
      <c r="I34" s="12" t="inlineStr">
        <is>
          <t>Mitigation output code</t>
        </is>
      </c>
      <c r="J34" s="12" t="inlineStr">
        <is>
          <t>CPAT-AI-Mitigation-MVP-v7.1</t>
        </is>
      </c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</row>
    <row r="35">
      <c r="A35" s="12" t="inlineStr">
        <is>
          <t>EGY</t>
        </is>
      </c>
      <c r="B35" s="13" t="inlineStr">
        <is>
          <t>aps.pom.oth</t>
        </is>
      </c>
      <c r="C35" s="13">
        <f>LOWER(A35)&amp;".mit.em.pom."&amp;"oth.1"</f>
        <v/>
      </c>
      <c r="D35" s="13">
        <f>LOWER(A35)&amp;".mit.em.pom."&amp;"oth.2"</f>
        <v/>
      </c>
      <c r="E35" s="14" t="inlineStr">
        <is>
          <t>Primary organic matter</t>
        </is>
      </c>
      <c r="F35" s="14" t="inlineStr">
        <is>
          <t>Other (rail, aviation, navigation, industry, other energy use)</t>
        </is>
      </c>
      <c r="G35" s="12" t="inlineStr">
        <is>
          <t>kt</t>
        </is>
      </c>
      <c r="H35" s="12" t="inlineStr">
        <is>
          <t>Ton/year</t>
        </is>
      </c>
      <c r="I35" s="12" t="inlineStr">
        <is>
          <t>Mitigation output code</t>
        </is>
      </c>
      <c r="J35" s="12" t="inlineStr">
        <is>
          <t>CPAT-AI-Mitigation-MVP-v7.1</t>
        </is>
      </c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</row>
    <row r="36">
      <c r="A36" s="12" t="inlineStr">
        <is>
          <t>EGY</t>
        </is>
      </c>
      <c r="B36" s="13" t="inlineStr">
        <is>
          <t>aps.pom.foo</t>
        </is>
      </c>
      <c r="C36" s="13">
        <f>LOWER(A36)&amp;".mit.em.pom."&amp;"foo.1"</f>
        <v/>
      </c>
      <c r="D36" s="13">
        <f>LOWER(A36)&amp;".mit.em.pom."&amp;"foo.2"</f>
        <v/>
      </c>
      <c r="E36" s="14" t="inlineStr">
        <is>
          <t>Primary organic matter</t>
        </is>
      </c>
      <c r="F36" s="14" t="inlineStr">
        <is>
          <t>Food &amp; forestry</t>
        </is>
      </c>
      <c r="G36" s="12" t="inlineStr">
        <is>
          <t>kt</t>
        </is>
      </c>
      <c r="H36" s="12" t="inlineStr">
        <is>
          <t>Ton/year</t>
        </is>
      </c>
      <c r="I36" s="12" t="inlineStr">
        <is>
          <t>Mitigation output code</t>
        </is>
      </c>
      <c r="J36" s="12" t="inlineStr">
        <is>
          <t>CPAT-AI-Mitigation-MVP-v7.1</t>
        </is>
      </c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</row>
    <row r="37">
      <c r="A37" s="12" t="inlineStr">
        <is>
          <t>EGY</t>
        </is>
      </c>
      <c r="B37" s="13" t="inlineStr">
        <is>
          <t>aps.pom.all</t>
        </is>
      </c>
      <c r="C37" s="13">
        <f>LOWER(A37)&amp;".mit.em.pom."&amp;"all.1"</f>
        <v/>
      </c>
      <c r="D37" s="13">
        <f>LOWER(A37)&amp;".mit.em.pom."&amp;"all.2"</f>
        <v/>
      </c>
      <c r="E37" s="14" t="inlineStr">
        <is>
          <t>Primary organic matter</t>
        </is>
      </c>
      <c r="F37" s="14" t="inlineStr">
        <is>
          <t>All sectors</t>
        </is>
      </c>
      <c r="G37" s="12" t="inlineStr">
        <is>
          <t>kt</t>
        </is>
      </c>
      <c r="H37" s="12" t="inlineStr">
        <is>
          <t>Ton/year</t>
        </is>
      </c>
      <c r="I37" s="12" t="inlineStr">
        <is>
          <t>Mitigation output code</t>
        </is>
      </c>
      <c r="J37" s="12" t="inlineStr">
        <is>
          <t>CPAT-AI-Mitigation-MVP-v7.1</t>
        </is>
      </c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</row>
    <row r="38">
      <c r="A38" s="12" t="inlineStr">
        <is>
          <t>EGY</t>
        </is>
      </c>
      <c r="B38" s="13" t="inlineStr">
        <is>
          <t>aps.opm.cpp</t>
        </is>
      </c>
      <c r="C38" s="13">
        <f>LOWER(A38)&amp;".mit.em.opm."&amp;"cpp.1"</f>
        <v/>
      </c>
      <c r="D38" s="13">
        <f>LOWER(A38)&amp;".mit.em.opm."&amp;"cpp.2"</f>
        <v/>
      </c>
      <c r="E38" s="14" t="inlineStr">
        <is>
          <t>Other PM2.5</t>
        </is>
      </c>
      <c r="F38" s="14" t="inlineStr">
        <is>
          <t>Coal power plants</t>
        </is>
      </c>
      <c r="G38" s="12" t="inlineStr">
        <is>
          <t>kt</t>
        </is>
      </c>
      <c r="H38" s="12" t="inlineStr">
        <is>
          <t>Ton/year</t>
        </is>
      </c>
      <c r="I38" s="12" t="inlineStr">
        <is>
          <t>Mitigation output code</t>
        </is>
      </c>
      <c r="J38" s="12" t="inlineStr">
        <is>
          <t>CPAT-AI-Mitigation-MVP-v7.1</t>
        </is>
      </c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</row>
    <row r="39">
      <c r="A39" s="12" t="inlineStr">
        <is>
          <t>EGY</t>
        </is>
      </c>
      <c r="B39" s="13" t="inlineStr">
        <is>
          <t>aps.opm.gpp</t>
        </is>
      </c>
      <c r="C39" s="13">
        <f>LOWER(A39)&amp;".mit.em.opm."&amp;"gpp.1"</f>
        <v/>
      </c>
      <c r="D39" s="13">
        <f>LOWER(A39)&amp;".mit.em.opm."&amp;"gpp.2"</f>
        <v/>
      </c>
      <c r="E39" s="14" t="inlineStr">
        <is>
          <t>Other PM2.5</t>
        </is>
      </c>
      <c r="F39" s="14" t="inlineStr">
        <is>
          <t>Gas power plants</t>
        </is>
      </c>
      <c r="G39" s="12" t="inlineStr">
        <is>
          <t>kt</t>
        </is>
      </c>
      <c r="H39" s="12" t="inlineStr">
        <is>
          <t>Ton/year</t>
        </is>
      </c>
      <c r="I39" s="12" t="inlineStr">
        <is>
          <t>Mitigation output code</t>
        </is>
      </c>
      <c r="J39" s="12" t="inlineStr">
        <is>
          <t>CPAT-AI-Mitigation-MVP-v7.1</t>
        </is>
      </c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</row>
    <row r="40">
      <c r="A40" s="12" t="inlineStr">
        <is>
          <t>EGY</t>
        </is>
      </c>
      <c r="B40" s="13" t="inlineStr">
        <is>
          <t>aps.opm.opp</t>
        </is>
      </c>
      <c r="C40" s="13">
        <f>LOWER(A40)&amp;".mit.em.opm."&amp;"opp.1"</f>
        <v/>
      </c>
      <c r="D40" s="13">
        <f>LOWER(A40)&amp;".mit.em.opm."&amp;"opp.2"</f>
        <v/>
      </c>
      <c r="E40" s="14" t="inlineStr">
        <is>
          <t>Other PM2.5</t>
        </is>
      </c>
      <c r="F40" s="14" t="inlineStr">
        <is>
          <t>Other power plants (oil, biomass)</t>
        </is>
      </c>
      <c r="G40" s="12" t="inlineStr">
        <is>
          <t>kt</t>
        </is>
      </c>
      <c r="H40" s="12" t="inlineStr">
        <is>
          <t>Ton/year</t>
        </is>
      </c>
      <c r="I40" s="12" t="inlineStr">
        <is>
          <t>Mitigation output code</t>
        </is>
      </c>
      <c r="J40" s="12" t="inlineStr">
        <is>
          <t>CPAT-AI-Mitigation-MVP-v7.1</t>
        </is>
      </c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</row>
    <row r="41">
      <c r="A41" s="12" t="inlineStr">
        <is>
          <t>EGY</t>
        </is>
      </c>
      <c r="B41" s="13" t="inlineStr">
        <is>
          <t>aps.opm.rod</t>
        </is>
      </c>
      <c r="C41" s="13">
        <f>LOWER(A41)&amp;".mit.em.opm."&amp;"rod.1"</f>
        <v/>
      </c>
      <c r="D41" s="13">
        <f>LOWER(A41)&amp;".mit.em.opm."&amp;"rod.2"</f>
        <v/>
      </c>
      <c r="E41" s="14" t="inlineStr">
        <is>
          <t>Other PM2.5</t>
        </is>
      </c>
      <c r="F41" s="14" t="inlineStr">
        <is>
          <t>Ground level road</t>
        </is>
      </c>
      <c r="G41" s="12" t="inlineStr">
        <is>
          <t>kt</t>
        </is>
      </c>
      <c r="H41" s="12" t="inlineStr">
        <is>
          <t>Ton/year</t>
        </is>
      </c>
      <c r="I41" s="12" t="inlineStr">
        <is>
          <t>Mitigation output code</t>
        </is>
      </c>
      <c r="J41" s="12" t="inlineStr">
        <is>
          <t>CPAT-AI-Mitigation-MVP-v7.1</t>
        </is>
      </c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</row>
    <row r="42">
      <c r="A42" s="12" t="inlineStr">
        <is>
          <t>EGY</t>
        </is>
      </c>
      <c r="B42" s="13" t="inlineStr">
        <is>
          <t>aps.opm.gro</t>
        </is>
      </c>
      <c r="C42" s="13">
        <f>LOWER(A42)&amp;".mit.em.opm."&amp;"gro.1"</f>
        <v/>
      </c>
      <c r="D42" s="13">
        <f>LOWER(A42)&amp;".mit.em.opm."&amp;"gro.2"</f>
        <v/>
      </c>
      <c r="E42" s="14" t="inlineStr">
        <is>
          <t>Other PM2.5</t>
        </is>
      </c>
      <c r="F42" s="14" t="inlineStr">
        <is>
          <t>Ground level other (residential, services, construction)</t>
        </is>
      </c>
      <c r="G42" s="12" t="inlineStr">
        <is>
          <t>kt</t>
        </is>
      </c>
      <c r="H42" s="12" t="inlineStr">
        <is>
          <t>Ton/year</t>
        </is>
      </c>
      <c r="I42" s="12" t="inlineStr">
        <is>
          <t>Mitigation output code</t>
        </is>
      </c>
      <c r="J42" s="12" t="inlineStr">
        <is>
          <t>CPAT-AI-Mitigation-MVP-v7.1</t>
        </is>
      </c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</row>
    <row r="43">
      <c r="A43" s="12" t="inlineStr">
        <is>
          <t>EGY</t>
        </is>
      </c>
      <c r="B43" s="13" t="inlineStr">
        <is>
          <t>aps.opm.oth</t>
        </is>
      </c>
      <c r="C43" s="13">
        <f>LOWER(A43)&amp;".mit.em.opm."&amp;"oth.1"</f>
        <v/>
      </c>
      <c r="D43" s="13">
        <f>LOWER(A43)&amp;".mit.em.opm."&amp;"oth.2"</f>
        <v/>
      </c>
      <c r="E43" s="14" t="inlineStr">
        <is>
          <t>Other PM2.5</t>
        </is>
      </c>
      <c r="F43" s="14" t="inlineStr">
        <is>
          <t>Other (rail, aviation, navigation, industry, other energy use)</t>
        </is>
      </c>
      <c r="G43" s="12" t="inlineStr">
        <is>
          <t>kt</t>
        </is>
      </c>
      <c r="H43" s="12" t="inlineStr">
        <is>
          <t>Ton/year</t>
        </is>
      </c>
      <c r="I43" s="12" t="inlineStr">
        <is>
          <t>Mitigation output code</t>
        </is>
      </c>
      <c r="J43" s="12" t="inlineStr">
        <is>
          <t>CPAT-AI-Mitigation-MVP-v7.1</t>
        </is>
      </c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</row>
    <row r="44">
      <c r="A44" s="12" t="inlineStr">
        <is>
          <t>EGY</t>
        </is>
      </c>
      <c r="B44" s="13" t="inlineStr">
        <is>
          <t>aps.opm.foo</t>
        </is>
      </c>
      <c r="C44" s="13">
        <f>LOWER(A44)&amp;".mit.em.opm."&amp;"foo.1"</f>
        <v/>
      </c>
      <c r="D44" s="13">
        <f>LOWER(A44)&amp;".mit.em.opm."&amp;"foo.2"</f>
        <v/>
      </c>
      <c r="E44" s="14" t="inlineStr">
        <is>
          <t>Other PM2.5</t>
        </is>
      </c>
      <c r="F44" s="14" t="inlineStr">
        <is>
          <t>Food &amp; forestry</t>
        </is>
      </c>
      <c r="G44" s="12" t="inlineStr">
        <is>
          <t>kt</t>
        </is>
      </c>
      <c r="H44" s="12" t="inlineStr">
        <is>
          <t>Ton/year</t>
        </is>
      </c>
      <c r="I44" s="12" t="inlineStr">
        <is>
          <t>Mitigation output code</t>
        </is>
      </c>
      <c r="J44" s="12" t="inlineStr">
        <is>
          <t>CPAT-AI-Mitigation-MVP-v7.1</t>
        </is>
      </c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</row>
    <row r="45">
      <c r="A45" s="12" t="inlineStr">
        <is>
          <t>EGY</t>
        </is>
      </c>
      <c r="B45" s="13" t="inlineStr">
        <is>
          <t>aps.opm.all</t>
        </is>
      </c>
      <c r="C45" s="13">
        <f>LOWER(A45)&amp;".mit.em.opm."&amp;"all.1"</f>
        <v/>
      </c>
      <c r="D45" s="13">
        <f>LOWER(A45)&amp;".mit.em.opm."&amp;"all.2"</f>
        <v/>
      </c>
      <c r="E45" s="14" t="inlineStr">
        <is>
          <t>Other PM2.5</t>
        </is>
      </c>
      <c r="F45" s="14" t="inlineStr">
        <is>
          <t>All sectors</t>
        </is>
      </c>
      <c r="G45" s="12" t="inlineStr">
        <is>
          <t>kt</t>
        </is>
      </c>
      <c r="H45" s="12" t="inlineStr">
        <is>
          <t>Ton/year</t>
        </is>
      </c>
      <c r="I45" s="12" t="inlineStr">
        <is>
          <t>Mitigation output code</t>
        </is>
      </c>
      <c r="J45" s="12" t="inlineStr">
        <is>
          <t>CPAT-AI-Mitigation-MVP-v7.1</t>
        </is>
      </c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</row>
    <row r="46">
      <c r="A46" s="12" t="inlineStr">
        <is>
          <t>EGY</t>
        </is>
      </c>
      <c r="B46" s="13" t="inlineStr">
        <is>
          <t>aps.voc.cpp</t>
        </is>
      </c>
      <c r="C46" s="13">
        <f>LOWER(A46)&amp;".mit.em.voc."&amp;"cpp.1"</f>
        <v/>
      </c>
      <c r="D46" s="13">
        <f>LOWER(A46)&amp;".mit.em.voc."&amp;"cpp.2"</f>
        <v/>
      </c>
      <c r="E46" s="14" t="inlineStr">
        <is>
          <t>VOC</t>
        </is>
      </c>
      <c r="F46" s="14" t="inlineStr">
        <is>
          <t>Coal power plants</t>
        </is>
      </c>
      <c r="G46" s="12" t="inlineStr">
        <is>
          <t>kt</t>
        </is>
      </c>
      <c r="H46" s="12" t="inlineStr">
        <is>
          <t>Ton/year</t>
        </is>
      </c>
      <c r="I46" s="12" t="inlineStr">
        <is>
          <t>Mitigation output code</t>
        </is>
      </c>
      <c r="J46" s="12" t="inlineStr">
        <is>
          <t>CPAT-AI-Mitigation-MVP-v7.1</t>
        </is>
      </c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</row>
    <row r="47">
      <c r="A47" s="12" t="inlineStr">
        <is>
          <t>EGY</t>
        </is>
      </c>
      <c r="B47" s="13" t="inlineStr">
        <is>
          <t>aps.voc.gpp</t>
        </is>
      </c>
      <c r="C47" s="13">
        <f>LOWER(A47)&amp;".mit.em.voc."&amp;"gpp.1"</f>
        <v/>
      </c>
      <c r="D47" s="13">
        <f>LOWER(A47)&amp;".mit.em.voc."&amp;"gpp.2"</f>
        <v/>
      </c>
      <c r="E47" s="14" t="inlineStr">
        <is>
          <t>VOC</t>
        </is>
      </c>
      <c r="F47" s="14" t="inlineStr">
        <is>
          <t>Gas power plants</t>
        </is>
      </c>
      <c r="G47" s="12" t="inlineStr">
        <is>
          <t>kt</t>
        </is>
      </c>
      <c r="H47" s="12" t="inlineStr">
        <is>
          <t>Ton/year</t>
        </is>
      </c>
      <c r="I47" s="12" t="inlineStr">
        <is>
          <t>Mitigation output code</t>
        </is>
      </c>
      <c r="J47" s="12" t="inlineStr">
        <is>
          <t>CPAT-AI-Mitigation-MVP-v7.1</t>
        </is>
      </c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</row>
    <row r="48">
      <c r="A48" s="12" t="inlineStr">
        <is>
          <t>EGY</t>
        </is>
      </c>
      <c r="B48" s="13" t="inlineStr">
        <is>
          <t>aps.voc.opp</t>
        </is>
      </c>
      <c r="C48" s="13">
        <f>LOWER(A48)&amp;".mit.em.voc."&amp;"opp.1"</f>
        <v/>
      </c>
      <c r="D48" s="13">
        <f>LOWER(A48)&amp;".mit.em.voc."&amp;"opp.2"</f>
        <v/>
      </c>
      <c r="E48" s="14" t="inlineStr">
        <is>
          <t>VOC</t>
        </is>
      </c>
      <c r="F48" s="14" t="inlineStr">
        <is>
          <t>Other power plants (oil, biomass)</t>
        </is>
      </c>
      <c r="G48" s="12" t="inlineStr">
        <is>
          <t>kt</t>
        </is>
      </c>
      <c r="H48" s="12" t="inlineStr">
        <is>
          <t>Ton/year</t>
        </is>
      </c>
      <c r="I48" s="12" t="inlineStr">
        <is>
          <t>Mitigation output code</t>
        </is>
      </c>
      <c r="J48" s="12" t="inlineStr">
        <is>
          <t>CPAT-AI-Mitigation-MVP-v7.1</t>
        </is>
      </c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</row>
    <row r="49">
      <c r="A49" s="12" t="inlineStr">
        <is>
          <t>EGY</t>
        </is>
      </c>
      <c r="B49" s="13" t="inlineStr">
        <is>
          <t>aps.voc.rod</t>
        </is>
      </c>
      <c r="C49" s="13">
        <f>LOWER(A49)&amp;".mit.em.voc."&amp;"rod.1"</f>
        <v/>
      </c>
      <c r="D49" s="13">
        <f>LOWER(A49)&amp;".mit.em.voc."&amp;"rod.2"</f>
        <v/>
      </c>
      <c r="E49" s="14" t="inlineStr">
        <is>
          <t>VOC</t>
        </is>
      </c>
      <c r="F49" s="14" t="inlineStr">
        <is>
          <t>Ground level road</t>
        </is>
      </c>
      <c r="G49" s="12" t="inlineStr">
        <is>
          <t>kt</t>
        </is>
      </c>
      <c r="H49" s="12" t="inlineStr">
        <is>
          <t>Ton/year</t>
        </is>
      </c>
      <c r="I49" s="12" t="inlineStr">
        <is>
          <t>Mitigation output code</t>
        </is>
      </c>
      <c r="J49" s="12" t="inlineStr">
        <is>
          <t>CPAT-AI-Mitigation-MVP-v7.1</t>
        </is>
      </c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</row>
    <row r="50">
      <c r="A50" s="12" t="inlineStr">
        <is>
          <t>EGY</t>
        </is>
      </c>
      <c r="B50" s="13" t="inlineStr">
        <is>
          <t>aps.voc.gro</t>
        </is>
      </c>
      <c r="C50" s="13">
        <f>LOWER(A50)&amp;".mit.em.voc."&amp;"gro.1"</f>
        <v/>
      </c>
      <c r="D50" s="13">
        <f>LOWER(A50)&amp;".mit.em.voc."&amp;"gro.2"</f>
        <v/>
      </c>
      <c r="E50" s="14" t="inlineStr">
        <is>
          <t>VOC</t>
        </is>
      </c>
      <c r="F50" s="14" t="inlineStr">
        <is>
          <t>Ground level other (residential, services, construction)</t>
        </is>
      </c>
      <c r="G50" s="12" t="inlineStr">
        <is>
          <t>kt</t>
        </is>
      </c>
      <c r="H50" s="12" t="inlineStr">
        <is>
          <t>Ton/year</t>
        </is>
      </c>
      <c r="I50" s="12" t="inlineStr">
        <is>
          <t>Mitigation output code</t>
        </is>
      </c>
      <c r="J50" s="12" t="inlineStr">
        <is>
          <t>CPAT-AI-Mitigation-MVP-v7.1</t>
        </is>
      </c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</row>
    <row r="51">
      <c r="A51" s="12" t="inlineStr">
        <is>
          <t>EGY</t>
        </is>
      </c>
      <c r="B51" s="13" t="inlineStr">
        <is>
          <t>aps.voc.oth</t>
        </is>
      </c>
      <c r="C51" s="13">
        <f>LOWER(A51)&amp;".mit.em.voc."&amp;"oth.1"</f>
        <v/>
      </c>
      <c r="D51" s="13">
        <f>LOWER(A51)&amp;".mit.em.voc."&amp;"oth.2"</f>
        <v/>
      </c>
      <c r="E51" s="14" t="inlineStr">
        <is>
          <t>VOC</t>
        </is>
      </c>
      <c r="F51" s="14" t="inlineStr">
        <is>
          <t>Other (rail, aviation, navigation, industry, other energy use)</t>
        </is>
      </c>
      <c r="G51" s="12" t="inlineStr">
        <is>
          <t>kt</t>
        </is>
      </c>
      <c r="H51" s="12" t="inlineStr">
        <is>
          <t>Ton/year</t>
        </is>
      </c>
      <c r="I51" s="12" t="inlineStr">
        <is>
          <t>Mitigation output code</t>
        </is>
      </c>
      <c r="J51" s="12" t="inlineStr">
        <is>
          <t>CPAT-AI-Mitigation-MVP-v7.1</t>
        </is>
      </c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</row>
    <row r="52">
      <c r="A52" s="12" t="inlineStr">
        <is>
          <t>EGY</t>
        </is>
      </c>
      <c r="B52" s="13" t="inlineStr">
        <is>
          <t>aps.voc.foo</t>
        </is>
      </c>
      <c r="C52" s="13">
        <f>LOWER(A52)&amp;".mit.em.voc."&amp;"foo.1"</f>
        <v/>
      </c>
      <c r="D52" s="13">
        <f>LOWER(A52)&amp;".mit.em.voc."&amp;"foo.2"</f>
        <v/>
      </c>
      <c r="E52" s="14" t="inlineStr">
        <is>
          <t>VOC</t>
        </is>
      </c>
      <c r="F52" s="14" t="inlineStr">
        <is>
          <t>Food &amp; forestry</t>
        </is>
      </c>
      <c r="G52" s="12" t="inlineStr">
        <is>
          <t>kt</t>
        </is>
      </c>
      <c r="H52" s="12" t="inlineStr">
        <is>
          <t>Ton/year</t>
        </is>
      </c>
      <c r="I52" s="12" t="inlineStr">
        <is>
          <t>Mitigation output code</t>
        </is>
      </c>
      <c r="J52" s="12" t="inlineStr">
        <is>
          <t>CPAT-AI-Mitigation-MVP-v7.1</t>
        </is>
      </c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</row>
    <row r="53">
      <c r="A53" s="12" t="inlineStr">
        <is>
          <t>EGY</t>
        </is>
      </c>
      <c r="B53" s="13" t="inlineStr">
        <is>
          <t>aps.voc.all</t>
        </is>
      </c>
      <c r="C53" s="13">
        <f>LOWER(A53)&amp;".mit.em.voc."&amp;"all.1"</f>
        <v/>
      </c>
      <c r="D53" s="13">
        <f>LOWER(A53)&amp;".mit.em.voc."&amp;"all.2"</f>
        <v/>
      </c>
      <c r="E53" s="14" t="inlineStr">
        <is>
          <t>VOC</t>
        </is>
      </c>
      <c r="F53" s="14" t="inlineStr">
        <is>
          <t>All sectors</t>
        </is>
      </c>
      <c r="G53" s="12" t="inlineStr">
        <is>
          <t>kt</t>
        </is>
      </c>
      <c r="H53" s="12" t="inlineStr">
        <is>
          <t>Ton/year</t>
        </is>
      </c>
      <c r="I53" s="12" t="inlineStr">
        <is>
          <t>Mitigation output code</t>
        </is>
      </c>
      <c r="J53" s="12" t="inlineStr">
        <is>
          <t>CPAT-AI-Mitigation-MVP-v7.1</t>
        </is>
      </c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</row>
    <row r="54">
      <c r="A54" s="12" t="inlineStr">
        <is>
          <t>EGY</t>
        </is>
      </c>
      <c r="B54" s="13" t="inlineStr">
        <is>
          <t>aps.ch4.cpp</t>
        </is>
      </c>
      <c r="C54" s="13">
        <f>LOWER(A54)&amp;".mit.em.ch4."&amp;"cpp.1"</f>
        <v/>
      </c>
      <c r="D54" s="13">
        <f>LOWER(A54)&amp;".mit.em.ch4."&amp;"cpp.2"</f>
        <v/>
      </c>
      <c r="E54" s="14" t="inlineStr">
        <is>
          <t>CH4</t>
        </is>
      </c>
      <c r="F54" s="14" t="inlineStr">
        <is>
          <t>Coal power plants</t>
        </is>
      </c>
      <c r="G54" s="12" t="inlineStr">
        <is>
          <t>kt</t>
        </is>
      </c>
      <c r="H54" s="12" t="inlineStr">
        <is>
          <t>Ton/year</t>
        </is>
      </c>
      <c r="I54" s="12" t="inlineStr">
        <is>
          <t>Mitigation output code</t>
        </is>
      </c>
      <c r="J54" s="12" t="inlineStr">
        <is>
          <t>CPAT-AI-Mitigation-MVP-v7.1</t>
        </is>
      </c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</row>
    <row r="55">
      <c r="A55" s="12" t="inlineStr">
        <is>
          <t>EGY</t>
        </is>
      </c>
      <c r="B55" s="13" t="inlineStr">
        <is>
          <t>aps.ch4.gpp</t>
        </is>
      </c>
      <c r="C55" s="13">
        <f>LOWER(A55)&amp;".mit.em.ch4."&amp;"gpp.1"</f>
        <v/>
      </c>
      <c r="D55" s="13">
        <f>LOWER(A55)&amp;".mit.em.ch4."&amp;"gpp.2"</f>
        <v/>
      </c>
      <c r="E55" s="14" t="inlineStr">
        <is>
          <t>CH4</t>
        </is>
      </c>
      <c r="F55" s="14" t="inlineStr">
        <is>
          <t>Gas power plants</t>
        </is>
      </c>
      <c r="G55" s="12" t="inlineStr">
        <is>
          <t>kt</t>
        </is>
      </c>
      <c r="H55" s="12" t="inlineStr">
        <is>
          <t>Ton/year</t>
        </is>
      </c>
      <c r="I55" s="12" t="inlineStr">
        <is>
          <t>Mitigation output code</t>
        </is>
      </c>
      <c r="J55" s="12" t="inlineStr">
        <is>
          <t>CPAT-AI-Mitigation-MVP-v7.1</t>
        </is>
      </c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  <c r="AS55" s="15" t="n"/>
      <c r="AT55" s="15" t="n"/>
      <c r="AU55" s="15" t="n"/>
      <c r="AV55" s="15" t="n"/>
      <c r="AW55" s="15" t="n"/>
      <c r="AX55" s="15" t="n"/>
    </row>
    <row r="56">
      <c r="A56" s="12" t="inlineStr">
        <is>
          <t>EGY</t>
        </is>
      </c>
      <c r="B56" s="13" t="inlineStr">
        <is>
          <t>aps.ch4.opp</t>
        </is>
      </c>
      <c r="C56" s="13">
        <f>LOWER(A56)&amp;".mit.em.ch4."&amp;"opp.1"</f>
        <v/>
      </c>
      <c r="D56" s="13">
        <f>LOWER(A56)&amp;".mit.em.ch4."&amp;"opp.2"</f>
        <v/>
      </c>
      <c r="E56" s="14" t="inlineStr">
        <is>
          <t>CH4</t>
        </is>
      </c>
      <c r="F56" s="14" t="inlineStr">
        <is>
          <t>Other power plants (oil, biomass)</t>
        </is>
      </c>
      <c r="G56" s="12" t="inlineStr">
        <is>
          <t>kt</t>
        </is>
      </c>
      <c r="H56" s="12" t="inlineStr">
        <is>
          <t>Ton/year</t>
        </is>
      </c>
      <c r="I56" s="12" t="inlineStr">
        <is>
          <t>Mitigation output code</t>
        </is>
      </c>
      <c r="J56" s="12" t="inlineStr">
        <is>
          <t>CPAT-AI-Mitigation-MVP-v7.1</t>
        </is>
      </c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  <c r="AT56" s="15" t="n"/>
      <c r="AU56" s="15" t="n"/>
      <c r="AV56" s="15" t="n"/>
      <c r="AW56" s="15" t="n"/>
      <c r="AX56" s="15" t="n"/>
    </row>
    <row r="57">
      <c r="A57" s="12" t="inlineStr">
        <is>
          <t>EGY</t>
        </is>
      </c>
      <c r="B57" s="13" t="inlineStr">
        <is>
          <t>aps.ch4.rod</t>
        </is>
      </c>
      <c r="C57" s="13">
        <f>LOWER(A57)&amp;".mit.em.ch4."&amp;"rod.1"</f>
        <v/>
      </c>
      <c r="D57" s="13">
        <f>LOWER(A57)&amp;".mit.em.ch4."&amp;"rod.2"</f>
        <v/>
      </c>
      <c r="E57" s="14" t="inlineStr">
        <is>
          <t>CH4</t>
        </is>
      </c>
      <c r="F57" s="14" t="inlineStr">
        <is>
          <t>Ground level road</t>
        </is>
      </c>
      <c r="G57" s="12" t="inlineStr">
        <is>
          <t>kt</t>
        </is>
      </c>
      <c r="H57" s="12" t="inlineStr">
        <is>
          <t>Ton/year</t>
        </is>
      </c>
      <c r="I57" s="12" t="inlineStr">
        <is>
          <t>Mitigation output code</t>
        </is>
      </c>
      <c r="J57" s="12" t="inlineStr">
        <is>
          <t>CPAT-AI-Mitigation-MVP-v7.1</t>
        </is>
      </c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  <c r="AS57" s="15" t="n"/>
      <c r="AT57" s="15" t="n"/>
      <c r="AU57" s="15" t="n"/>
      <c r="AV57" s="15" t="n"/>
      <c r="AW57" s="15" t="n"/>
      <c r="AX57" s="15" t="n"/>
    </row>
    <row r="58">
      <c r="A58" s="12" t="inlineStr">
        <is>
          <t>EGY</t>
        </is>
      </c>
      <c r="B58" s="13" t="inlineStr">
        <is>
          <t>aps.ch4.gro</t>
        </is>
      </c>
      <c r="C58" s="13">
        <f>LOWER(A58)&amp;".mit.em.ch4."&amp;"gro.1"</f>
        <v/>
      </c>
      <c r="D58" s="13">
        <f>LOWER(A58)&amp;".mit.em.ch4."&amp;"gro.2"</f>
        <v/>
      </c>
      <c r="E58" s="14" t="inlineStr">
        <is>
          <t>CH4</t>
        </is>
      </c>
      <c r="F58" s="14" t="inlineStr">
        <is>
          <t>Ground level other (residential, services, construction)</t>
        </is>
      </c>
      <c r="G58" s="12" t="inlineStr">
        <is>
          <t>kt</t>
        </is>
      </c>
      <c r="H58" s="12" t="inlineStr">
        <is>
          <t>Ton/year</t>
        </is>
      </c>
      <c r="I58" s="12" t="inlineStr">
        <is>
          <t>Mitigation output code</t>
        </is>
      </c>
      <c r="J58" s="12" t="inlineStr">
        <is>
          <t>CPAT-AI-Mitigation-MVP-v7.1</t>
        </is>
      </c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  <c r="AS58" s="15" t="n"/>
      <c r="AT58" s="15" t="n"/>
      <c r="AU58" s="15" t="n"/>
      <c r="AV58" s="15" t="n"/>
      <c r="AW58" s="15" t="n"/>
      <c r="AX58" s="15" t="n"/>
    </row>
    <row r="59">
      <c r="A59" s="12" t="inlineStr">
        <is>
          <t>EGY</t>
        </is>
      </c>
      <c r="B59" s="13" t="inlineStr">
        <is>
          <t>aps.ch4.oth</t>
        </is>
      </c>
      <c r="C59" s="13">
        <f>LOWER(A59)&amp;".mit.em.ch4."&amp;"oth.1"</f>
        <v/>
      </c>
      <c r="D59" s="13">
        <f>LOWER(A59)&amp;".mit.em.ch4."&amp;"oth.2"</f>
        <v/>
      </c>
      <c r="E59" s="14" t="inlineStr">
        <is>
          <t>CH4</t>
        </is>
      </c>
      <c r="F59" s="14" t="inlineStr">
        <is>
          <t>Other (rail, aviation, navigation, industry, other energy use)</t>
        </is>
      </c>
      <c r="G59" s="12" t="inlineStr">
        <is>
          <t>kt</t>
        </is>
      </c>
      <c r="H59" s="12" t="inlineStr">
        <is>
          <t>Ton/year</t>
        </is>
      </c>
      <c r="I59" s="12" t="inlineStr">
        <is>
          <t>Mitigation output code</t>
        </is>
      </c>
      <c r="J59" s="12" t="inlineStr">
        <is>
          <t>CPAT-AI-Mitigation-MVP-v7.1</t>
        </is>
      </c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  <c r="AS59" s="15" t="n"/>
      <c r="AT59" s="15" t="n"/>
      <c r="AU59" s="15" t="n"/>
      <c r="AV59" s="15" t="n"/>
      <c r="AW59" s="15" t="n"/>
      <c r="AX59" s="15" t="n"/>
    </row>
    <row r="60">
      <c r="A60" s="12" t="inlineStr">
        <is>
          <t>EGY</t>
        </is>
      </c>
      <c r="B60" s="13" t="inlineStr">
        <is>
          <t>aps.ch4.foo</t>
        </is>
      </c>
      <c r="C60" s="13">
        <f>LOWER(A60)&amp;".mit.em.ch4."&amp;"foo.1"</f>
        <v/>
      </c>
      <c r="D60" s="13">
        <f>LOWER(A60)&amp;".mit.em.ch4."&amp;"foo.2"</f>
        <v/>
      </c>
      <c r="E60" s="14" t="inlineStr">
        <is>
          <t>CH4</t>
        </is>
      </c>
      <c r="F60" s="14" t="inlineStr">
        <is>
          <t>Food &amp; forestry</t>
        </is>
      </c>
      <c r="G60" s="12" t="inlineStr">
        <is>
          <t>kt</t>
        </is>
      </c>
      <c r="H60" s="12" t="inlineStr">
        <is>
          <t>Ton/year</t>
        </is>
      </c>
      <c r="I60" s="12" t="inlineStr">
        <is>
          <t>Mitigation output code</t>
        </is>
      </c>
      <c r="J60" s="12" t="inlineStr">
        <is>
          <t>CPAT-AI-Mitigation-MVP-v7.1</t>
        </is>
      </c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  <c r="AS60" s="15" t="n"/>
      <c r="AT60" s="15" t="n"/>
      <c r="AU60" s="15" t="n"/>
      <c r="AV60" s="15" t="n"/>
      <c r="AW60" s="15" t="n"/>
      <c r="AX60" s="15" t="n"/>
    </row>
    <row r="61">
      <c r="A61" s="12" t="inlineStr">
        <is>
          <t>EGY</t>
        </is>
      </c>
      <c r="B61" s="13" t="inlineStr">
        <is>
          <t>aps.ch4.all</t>
        </is>
      </c>
      <c r="C61" s="13">
        <f>LOWER(A61)&amp;".mit.em.ch4."&amp;"all.1"</f>
        <v/>
      </c>
      <c r="D61" s="13">
        <f>LOWER(A61)&amp;".mit.em.ch4."&amp;"all.2"</f>
        <v/>
      </c>
      <c r="E61" s="14" t="inlineStr">
        <is>
          <t>CH4</t>
        </is>
      </c>
      <c r="F61" s="14" t="inlineStr">
        <is>
          <t>All sectors</t>
        </is>
      </c>
      <c r="G61" s="12" t="inlineStr">
        <is>
          <t>kt</t>
        </is>
      </c>
      <c r="H61" s="12" t="inlineStr">
        <is>
          <t>Ton/year</t>
        </is>
      </c>
      <c r="I61" s="12" t="inlineStr">
        <is>
          <t>Mitigation output code</t>
        </is>
      </c>
      <c r="J61" s="12" t="inlineStr">
        <is>
          <t>CPAT-AI-Mitigation-MVP-v7.1</t>
        </is>
      </c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  <c r="AS61" s="15" t="n"/>
      <c r="AT61" s="15" t="n"/>
      <c r="AU61" s="15" t="n"/>
      <c r="AV61" s="15" t="n"/>
      <c r="AW61" s="15" t="n"/>
      <c r="AX61" s="15" t="n"/>
    </row>
    <row r="62">
      <c r="A62" s="12" t="inlineStr">
        <is>
          <t>EGY</t>
        </is>
      </c>
      <c r="B62" s="13" t="inlineStr">
        <is>
          <t>aps.co.cpp</t>
        </is>
      </c>
      <c r="C62" s="13">
        <f>LOWER(A62)&amp;".mit.em.co."&amp;"cpp.1"</f>
        <v/>
      </c>
      <c r="D62" s="13">
        <f>LOWER(A62)&amp;".mit.em.co."&amp;"cpp.2"</f>
        <v/>
      </c>
      <c r="E62" s="14" t="inlineStr">
        <is>
          <t>CO</t>
        </is>
      </c>
      <c r="F62" s="14" t="inlineStr">
        <is>
          <t>Coal power plants</t>
        </is>
      </c>
      <c r="G62" s="12" t="inlineStr">
        <is>
          <t>kt</t>
        </is>
      </c>
      <c r="H62" s="12" t="inlineStr">
        <is>
          <t>Ton/year</t>
        </is>
      </c>
      <c r="I62" s="12" t="inlineStr">
        <is>
          <t>Mitigation output code</t>
        </is>
      </c>
      <c r="J62" s="12" t="inlineStr">
        <is>
          <t>CPAT-AI-Mitigation-MVP-v7.1</t>
        </is>
      </c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  <c r="AS62" s="15" t="n"/>
      <c r="AT62" s="15" t="n"/>
      <c r="AU62" s="15" t="n"/>
      <c r="AV62" s="15" t="n"/>
      <c r="AW62" s="15" t="n"/>
      <c r="AX62" s="15" t="n"/>
    </row>
    <row r="63">
      <c r="A63" s="12" t="inlineStr">
        <is>
          <t>EGY</t>
        </is>
      </c>
      <c r="B63" s="13" t="inlineStr">
        <is>
          <t>aps.co.gpp</t>
        </is>
      </c>
      <c r="C63" s="13">
        <f>LOWER(A63)&amp;".mit.em.co."&amp;"gpp.1"</f>
        <v/>
      </c>
      <c r="D63" s="13">
        <f>LOWER(A63)&amp;".mit.em.co."&amp;"gpp.2"</f>
        <v/>
      </c>
      <c r="E63" s="14" t="inlineStr">
        <is>
          <t>CO</t>
        </is>
      </c>
      <c r="F63" s="14" t="inlineStr">
        <is>
          <t>Gas power plants</t>
        </is>
      </c>
      <c r="G63" s="12" t="inlineStr">
        <is>
          <t>kt</t>
        </is>
      </c>
      <c r="H63" s="12" t="inlineStr">
        <is>
          <t>Ton/year</t>
        </is>
      </c>
      <c r="I63" s="12" t="inlineStr">
        <is>
          <t>Mitigation output code</t>
        </is>
      </c>
      <c r="J63" s="12" t="inlineStr">
        <is>
          <t>CPAT-AI-Mitigation-MVP-v7.1</t>
        </is>
      </c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  <c r="AS63" s="15" t="n"/>
      <c r="AT63" s="15" t="n"/>
      <c r="AU63" s="15" t="n"/>
      <c r="AV63" s="15" t="n"/>
      <c r="AW63" s="15" t="n"/>
      <c r="AX63" s="15" t="n"/>
    </row>
    <row r="64">
      <c r="A64" s="12" t="inlineStr">
        <is>
          <t>EGY</t>
        </is>
      </c>
      <c r="B64" s="13" t="inlineStr">
        <is>
          <t>aps.co.opp</t>
        </is>
      </c>
      <c r="C64" s="13">
        <f>LOWER(A64)&amp;".mit.em.co."&amp;"opp.1"</f>
        <v/>
      </c>
      <c r="D64" s="13">
        <f>LOWER(A64)&amp;".mit.em.co."&amp;"opp.2"</f>
        <v/>
      </c>
      <c r="E64" s="14" t="inlineStr">
        <is>
          <t>CO</t>
        </is>
      </c>
      <c r="F64" s="14" t="inlineStr">
        <is>
          <t>Other power plants (oil, biomass)</t>
        </is>
      </c>
      <c r="G64" s="12" t="inlineStr">
        <is>
          <t>kt</t>
        </is>
      </c>
      <c r="H64" s="12" t="inlineStr">
        <is>
          <t>Ton/year</t>
        </is>
      </c>
      <c r="I64" s="12" t="inlineStr">
        <is>
          <t>Mitigation output code</t>
        </is>
      </c>
      <c r="J64" s="12" t="inlineStr">
        <is>
          <t>CPAT-AI-Mitigation-MVP-v7.1</t>
        </is>
      </c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  <c r="AS64" s="15" t="n"/>
      <c r="AT64" s="15" t="n"/>
      <c r="AU64" s="15" t="n"/>
      <c r="AV64" s="15" t="n"/>
      <c r="AW64" s="15" t="n"/>
      <c r="AX64" s="15" t="n"/>
    </row>
    <row r="65">
      <c r="A65" s="12" t="inlineStr">
        <is>
          <t>EGY</t>
        </is>
      </c>
      <c r="B65" s="13" t="inlineStr">
        <is>
          <t>aps.co.rod</t>
        </is>
      </c>
      <c r="C65" s="13">
        <f>LOWER(A65)&amp;".mit.em.co."&amp;"rod.1"</f>
        <v/>
      </c>
      <c r="D65" s="13">
        <f>LOWER(A65)&amp;".mit.em.co."&amp;"rod.2"</f>
        <v/>
      </c>
      <c r="E65" s="14" t="inlineStr">
        <is>
          <t>CO</t>
        </is>
      </c>
      <c r="F65" s="14" t="inlineStr">
        <is>
          <t>Ground level road</t>
        </is>
      </c>
      <c r="G65" s="12" t="inlineStr">
        <is>
          <t>kt</t>
        </is>
      </c>
      <c r="H65" s="12" t="inlineStr">
        <is>
          <t>Ton/year</t>
        </is>
      </c>
      <c r="I65" s="12" t="inlineStr">
        <is>
          <t>Mitigation output code</t>
        </is>
      </c>
      <c r="J65" s="12" t="inlineStr">
        <is>
          <t>CPAT-AI-Mitigation-MVP-v7.1</t>
        </is>
      </c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  <c r="AS65" s="15" t="n"/>
      <c r="AT65" s="15" t="n"/>
      <c r="AU65" s="15" t="n"/>
      <c r="AV65" s="15" t="n"/>
      <c r="AW65" s="15" t="n"/>
      <c r="AX65" s="15" t="n"/>
    </row>
    <row r="66">
      <c r="A66" s="12" t="inlineStr">
        <is>
          <t>EGY</t>
        </is>
      </c>
      <c r="B66" s="13" t="inlineStr">
        <is>
          <t>aps.co.gro</t>
        </is>
      </c>
      <c r="C66" s="13">
        <f>LOWER(A66)&amp;".mit.em.co."&amp;"gro.1"</f>
        <v/>
      </c>
      <c r="D66" s="13">
        <f>LOWER(A66)&amp;".mit.em.co."&amp;"gro.2"</f>
        <v/>
      </c>
      <c r="E66" s="14" t="inlineStr">
        <is>
          <t>CO</t>
        </is>
      </c>
      <c r="F66" s="14" t="inlineStr">
        <is>
          <t>Ground level other (residential, services, construction)</t>
        </is>
      </c>
      <c r="G66" s="12" t="inlineStr">
        <is>
          <t>kt</t>
        </is>
      </c>
      <c r="H66" s="12" t="inlineStr">
        <is>
          <t>Ton/year</t>
        </is>
      </c>
      <c r="I66" s="12" t="inlineStr">
        <is>
          <t>Mitigation output code</t>
        </is>
      </c>
      <c r="J66" s="12" t="inlineStr">
        <is>
          <t>CPAT-AI-Mitigation-MVP-v7.1</t>
        </is>
      </c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  <c r="AS66" s="15" t="n"/>
      <c r="AT66" s="15" t="n"/>
      <c r="AU66" s="15" t="n"/>
      <c r="AV66" s="15" t="n"/>
      <c r="AW66" s="15" t="n"/>
      <c r="AX66" s="15" t="n"/>
    </row>
    <row r="67">
      <c r="A67" s="12" t="inlineStr">
        <is>
          <t>EGY</t>
        </is>
      </c>
      <c r="B67" s="13" t="inlineStr">
        <is>
          <t>aps.co.oth</t>
        </is>
      </c>
      <c r="C67" s="13">
        <f>LOWER(A67)&amp;".mit.em.co."&amp;"oth.1"</f>
        <v/>
      </c>
      <c r="D67" s="13">
        <f>LOWER(A67)&amp;".mit.em.co."&amp;"oth.2"</f>
        <v/>
      </c>
      <c r="E67" s="14" t="inlineStr">
        <is>
          <t>CO</t>
        </is>
      </c>
      <c r="F67" s="14" t="inlineStr">
        <is>
          <t>Other (rail, aviation, navigation, industry, other energy use)</t>
        </is>
      </c>
      <c r="G67" s="12" t="inlineStr">
        <is>
          <t>kt</t>
        </is>
      </c>
      <c r="H67" s="12" t="inlineStr">
        <is>
          <t>Ton/year</t>
        </is>
      </c>
      <c r="I67" s="12" t="inlineStr">
        <is>
          <t>Mitigation output code</t>
        </is>
      </c>
      <c r="J67" s="12" t="inlineStr">
        <is>
          <t>CPAT-AI-Mitigation-MVP-v7.1</t>
        </is>
      </c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  <c r="AS67" s="15" t="n"/>
      <c r="AT67" s="15" t="n"/>
      <c r="AU67" s="15" t="n"/>
      <c r="AV67" s="15" t="n"/>
      <c r="AW67" s="15" t="n"/>
      <c r="AX67" s="15" t="n"/>
    </row>
    <row r="68">
      <c r="A68" s="12" t="inlineStr">
        <is>
          <t>EGY</t>
        </is>
      </c>
      <c r="B68" s="13" t="inlineStr">
        <is>
          <t>aps.co.foo</t>
        </is>
      </c>
      <c r="C68" s="13">
        <f>LOWER(A68)&amp;".mit.em.co."&amp;"foo.1"</f>
        <v/>
      </c>
      <c r="D68" s="13">
        <f>LOWER(A68)&amp;".mit.em.co."&amp;"foo.2"</f>
        <v/>
      </c>
      <c r="E68" s="14" t="inlineStr">
        <is>
          <t>CO</t>
        </is>
      </c>
      <c r="F68" s="14" t="inlineStr">
        <is>
          <t>Food &amp; forestry</t>
        </is>
      </c>
      <c r="G68" s="12" t="inlineStr">
        <is>
          <t>kt</t>
        </is>
      </c>
      <c r="H68" s="12" t="inlineStr">
        <is>
          <t>Ton/year</t>
        </is>
      </c>
      <c r="I68" s="12" t="inlineStr">
        <is>
          <t>Mitigation output code</t>
        </is>
      </c>
      <c r="J68" s="12" t="inlineStr">
        <is>
          <t>CPAT-AI-Mitigation-MVP-v7.1</t>
        </is>
      </c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  <c r="AS68" s="15" t="n"/>
      <c r="AT68" s="15" t="n"/>
      <c r="AU68" s="15" t="n"/>
      <c r="AV68" s="15" t="n"/>
      <c r="AW68" s="15" t="n"/>
      <c r="AX68" s="15" t="n"/>
    </row>
    <row r="69">
      <c r="A69" s="12" t="inlineStr">
        <is>
          <t>EGY</t>
        </is>
      </c>
      <c r="B69" s="13" t="inlineStr">
        <is>
          <t>aps.co.all</t>
        </is>
      </c>
      <c r="C69" s="13">
        <f>LOWER(A69)&amp;".mit.em.co."&amp;"all.1"</f>
        <v/>
      </c>
      <c r="D69" s="13">
        <f>LOWER(A69)&amp;".mit.em.co."&amp;"all.2"</f>
        <v/>
      </c>
      <c r="E69" s="14" t="inlineStr">
        <is>
          <t>CO</t>
        </is>
      </c>
      <c r="F69" s="14" t="inlineStr">
        <is>
          <t>All sectors</t>
        </is>
      </c>
      <c r="G69" s="12" t="inlineStr">
        <is>
          <t>kt</t>
        </is>
      </c>
      <c r="H69" s="12" t="inlineStr">
        <is>
          <t>Ton/year</t>
        </is>
      </c>
      <c r="I69" s="12" t="inlineStr">
        <is>
          <t>Mitigation output code</t>
        </is>
      </c>
      <c r="J69" s="12" t="inlineStr">
        <is>
          <t>CPAT-AI-Mitigation-MVP-v7.1</t>
        </is>
      </c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  <c r="AS69" s="15" t="n"/>
      <c r="AT69" s="15" t="n"/>
      <c r="AU69" s="15" t="n"/>
      <c r="AV69" s="15" t="n"/>
      <c r="AW69" s="15" t="n"/>
      <c r="AX69" s="15" t="n"/>
    </row>
    <row r="70">
      <c r="A70" s="12" t="inlineStr">
        <is>
          <t>EGY</t>
        </is>
      </c>
      <c r="B70" s="13" t="inlineStr">
        <is>
          <t>aps.pm2.cpp</t>
        </is>
      </c>
      <c r="C70" s="13">
        <f>LOWER(A70)&amp;".mit.em.pm2."&amp;"cpp.1"</f>
        <v/>
      </c>
      <c r="D70" s="13">
        <f>LOWER(A70)&amp;".mit.em.pm2."&amp;"cpp.2"</f>
        <v/>
      </c>
      <c r="E70" s="14" t="inlineStr">
        <is>
          <t>PM2.5</t>
        </is>
      </c>
      <c r="F70" s="14" t="inlineStr">
        <is>
          <t>Coal power plants</t>
        </is>
      </c>
      <c r="G70" s="12" t="inlineStr">
        <is>
          <t>kt</t>
        </is>
      </c>
      <c r="H70" s="12" t="inlineStr">
        <is>
          <t>Ton/year</t>
        </is>
      </c>
      <c r="I70" s="12" t="inlineStr">
        <is>
          <t>Mitigation output code</t>
        </is>
      </c>
      <c r="J70" s="12" t="inlineStr">
        <is>
          <t>CPAT-AI-Mitigation-MVP-v7.1</t>
        </is>
      </c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  <c r="AS70" s="15" t="n"/>
      <c r="AT70" s="15" t="n"/>
      <c r="AU70" s="15" t="n"/>
      <c r="AV70" s="15" t="n"/>
      <c r="AW70" s="15" t="n"/>
      <c r="AX70" s="15" t="n"/>
    </row>
    <row r="71">
      <c r="A71" s="12" t="inlineStr">
        <is>
          <t>EGY</t>
        </is>
      </c>
      <c r="B71" s="13" t="inlineStr">
        <is>
          <t>aps.pm2.gpp</t>
        </is>
      </c>
      <c r="C71" s="13">
        <f>LOWER(A71)&amp;".mit.em.pm2."&amp;"gpp.1"</f>
        <v/>
      </c>
      <c r="D71" s="13">
        <f>LOWER(A71)&amp;".mit.em.pm2."&amp;"gpp.2"</f>
        <v/>
      </c>
      <c r="E71" s="14" t="inlineStr">
        <is>
          <t>PM2.5</t>
        </is>
      </c>
      <c r="F71" s="14" t="inlineStr">
        <is>
          <t>Gas power plants</t>
        </is>
      </c>
      <c r="G71" s="12" t="inlineStr">
        <is>
          <t>kt</t>
        </is>
      </c>
      <c r="H71" s="12" t="inlineStr">
        <is>
          <t>Ton/year</t>
        </is>
      </c>
      <c r="I71" s="12" t="inlineStr">
        <is>
          <t>Mitigation output code</t>
        </is>
      </c>
      <c r="J71" s="12" t="inlineStr">
        <is>
          <t>CPAT-AI-Mitigation-MVP-v7.1</t>
        </is>
      </c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  <c r="AS71" s="15" t="n"/>
      <c r="AT71" s="15" t="n"/>
      <c r="AU71" s="15" t="n"/>
      <c r="AV71" s="15" t="n"/>
      <c r="AW71" s="15" t="n"/>
      <c r="AX71" s="15" t="n"/>
    </row>
    <row r="72">
      <c r="A72" s="12" t="inlineStr">
        <is>
          <t>EGY</t>
        </is>
      </c>
      <c r="B72" s="13" t="inlineStr">
        <is>
          <t>aps.pm2.opp</t>
        </is>
      </c>
      <c r="C72" s="13">
        <f>LOWER(A72)&amp;".mit.em.pm2."&amp;"opp.1"</f>
        <v/>
      </c>
      <c r="D72" s="13">
        <f>LOWER(A72)&amp;".mit.em.pm2."&amp;"opp.2"</f>
        <v/>
      </c>
      <c r="E72" s="14" t="inlineStr">
        <is>
          <t>PM2.5</t>
        </is>
      </c>
      <c r="F72" s="14" t="inlineStr">
        <is>
          <t>Other power plants (oil, biomass)</t>
        </is>
      </c>
      <c r="G72" s="12" t="inlineStr">
        <is>
          <t>kt</t>
        </is>
      </c>
      <c r="H72" s="12" t="inlineStr">
        <is>
          <t>Ton/year</t>
        </is>
      </c>
      <c r="I72" s="12" t="inlineStr">
        <is>
          <t>Mitigation output code</t>
        </is>
      </c>
      <c r="J72" s="12" t="inlineStr">
        <is>
          <t>CPAT-AI-Mitigation-MVP-v7.1</t>
        </is>
      </c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</row>
    <row r="73">
      <c r="A73" s="12" t="inlineStr">
        <is>
          <t>EGY</t>
        </is>
      </c>
      <c r="B73" s="13" t="inlineStr">
        <is>
          <t>aps.pm2.rod</t>
        </is>
      </c>
      <c r="C73" s="13">
        <f>LOWER(A73)&amp;".mit.em.pm2."&amp;"rod.1"</f>
        <v/>
      </c>
      <c r="D73" s="13">
        <f>LOWER(A73)&amp;".mit.em.pm2."&amp;"rod.2"</f>
        <v/>
      </c>
      <c r="E73" s="14" t="inlineStr">
        <is>
          <t>PM2.5</t>
        </is>
      </c>
      <c r="F73" s="14" t="inlineStr">
        <is>
          <t>Ground level road</t>
        </is>
      </c>
      <c r="G73" s="12" t="inlineStr">
        <is>
          <t>kt</t>
        </is>
      </c>
      <c r="H73" s="12" t="inlineStr">
        <is>
          <t>Ton/year</t>
        </is>
      </c>
      <c r="I73" s="12" t="inlineStr">
        <is>
          <t>Mitigation output code</t>
        </is>
      </c>
      <c r="J73" s="12" t="inlineStr">
        <is>
          <t>CPAT-AI-Mitigation-MVP-v7.1</t>
        </is>
      </c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  <c r="AS73" s="15" t="n"/>
      <c r="AT73" s="15" t="n"/>
      <c r="AU73" s="15" t="n"/>
      <c r="AV73" s="15" t="n"/>
      <c r="AW73" s="15" t="n"/>
      <c r="AX73" s="15" t="n"/>
    </row>
    <row r="74">
      <c r="A74" s="12" t="inlineStr">
        <is>
          <t>EGY</t>
        </is>
      </c>
      <c r="B74" s="13" t="inlineStr">
        <is>
          <t>aps.pm2.gro</t>
        </is>
      </c>
      <c r="C74" s="13">
        <f>LOWER(A74)&amp;".mit.em.pm2."&amp;"gro.1"</f>
        <v/>
      </c>
      <c r="D74" s="13">
        <f>LOWER(A74)&amp;".mit.em.pm2."&amp;"gro.2"</f>
        <v/>
      </c>
      <c r="E74" s="14" t="inlineStr">
        <is>
          <t>PM2.5</t>
        </is>
      </c>
      <c r="F74" s="14" t="inlineStr">
        <is>
          <t>Ground level other (residential, services, construction)</t>
        </is>
      </c>
      <c r="G74" s="12" t="inlineStr">
        <is>
          <t>kt</t>
        </is>
      </c>
      <c r="H74" s="12" t="inlineStr">
        <is>
          <t>Ton/year</t>
        </is>
      </c>
      <c r="I74" s="12" t="inlineStr">
        <is>
          <t>Mitigation output code</t>
        </is>
      </c>
      <c r="J74" s="12" t="inlineStr">
        <is>
          <t>CPAT-AI-Mitigation-MVP-v7.1</t>
        </is>
      </c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  <c r="AU74" s="15" t="n"/>
      <c r="AV74" s="15" t="n"/>
      <c r="AW74" s="15" t="n"/>
      <c r="AX74" s="15" t="n"/>
    </row>
    <row r="75">
      <c r="A75" s="12" t="inlineStr">
        <is>
          <t>EGY</t>
        </is>
      </c>
      <c r="B75" s="13" t="inlineStr">
        <is>
          <t>aps.pm2.oth</t>
        </is>
      </c>
      <c r="C75" s="13">
        <f>LOWER(A75)&amp;".mit.em.pm2."&amp;"oth.1"</f>
        <v/>
      </c>
      <c r="D75" s="13">
        <f>LOWER(A75)&amp;".mit.em.pm2."&amp;"oth.2"</f>
        <v/>
      </c>
      <c r="E75" s="14" t="inlineStr">
        <is>
          <t>PM2.5</t>
        </is>
      </c>
      <c r="F75" s="14" t="inlineStr">
        <is>
          <t>Other (rail, aviation, navigation, industry, other energy use)</t>
        </is>
      </c>
      <c r="G75" s="12" t="inlineStr">
        <is>
          <t>kt</t>
        </is>
      </c>
      <c r="H75" s="12" t="inlineStr">
        <is>
          <t>Ton/year</t>
        </is>
      </c>
      <c r="I75" s="12" t="inlineStr">
        <is>
          <t>Mitigation output code</t>
        </is>
      </c>
      <c r="J75" s="12" t="inlineStr">
        <is>
          <t>CPAT-AI-Mitigation-MVP-v7.1</t>
        </is>
      </c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  <c r="AS75" s="15" t="n"/>
      <c r="AT75" s="15" t="n"/>
      <c r="AU75" s="15" t="n"/>
      <c r="AV75" s="15" t="n"/>
      <c r="AW75" s="15" t="n"/>
      <c r="AX75" s="15" t="n"/>
    </row>
    <row r="76">
      <c r="A76" s="12" t="inlineStr">
        <is>
          <t>EGY</t>
        </is>
      </c>
      <c r="B76" s="13" t="inlineStr">
        <is>
          <t>aps.pm2.foo</t>
        </is>
      </c>
      <c r="C76" s="13">
        <f>LOWER(A76)&amp;".mit.em.pm2."&amp;"foo.1"</f>
        <v/>
      </c>
      <c r="D76" s="13">
        <f>LOWER(A76)&amp;".mit.em.pm2."&amp;"foo.2"</f>
        <v/>
      </c>
      <c r="E76" s="14" t="inlineStr">
        <is>
          <t>PM2.5</t>
        </is>
      </c>
      <c r="F76" s="14" t="inlineStr">
        <is>
          <t>Food &amp; forestry</t>
        </is>
      </c>
      <c r="G76" s="12" t="inlineStr">
        <is>
          <t>kt</t>
        </is>
      </c>
      <c r="H76" s="12" t="inlineStr">
        <is>
          <t>Ton/year</t>
        </is>
      </c>
      <c r="I76" s="12" t="inlineStr">
        <is>
          <t>Mitigation output code</t>
        </is>
      </c>
      <c r="J76" s="12" t="inlineStr">
        <is>
          <t>CPAT-AI-Mitigation-MVP-v7.1</t>
        </is>
      </c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  <c r="AS76" s="15" t="n"/>
      <c r="AT76" s="15" t="n"/>
      <c r="AU76" s="15" t="n"/>
      <c r="AV76" s="15" t="n"/>
      <c r="AW76" s="15" t="n"/>
      <c r="AX76" s="15" t="n"/>
    </row>
    <row r="77">
      <c r="A77" s="12" t="inlineStr">
        <is>
          <t>EGY</t>
        </is>
      </c>
      <c r="B77" s="13" t="inlineStr">
        <is>
          <t>aps.pm2.all</t>
        </is>
      </c>
      <c r="C77" s="13">
        <f>LOWER(A77)&amp;".mit.em.pm2."&amp;"all.1"</f>
        <v/>
      </c>
      <c r="D77" s="13">
        <f>LOWER(A77)&amp;".mit.em.pm2."&amp;"all.2"</f>
        <v/>
      </c>
      <c r="E77" s="14" t="inlineStr">
        <is>
          <t>PM2.5</t>
        </is>
      </c>
      <c r="F77" s="14" t="inlineStr">
        <is>
          <t>All sectors</t>
        </is>
      </c>
      <c r="G77" s="12" t="inlineStr">
        <is>
          <t>kt</t>
        </is>
      </c>
      <c r="H77" s="12" t="inlineStr">
        <is>
          <t>Ton/year</t>
        </is>
      </c>
      <c r="I77" s="12" t="inlineStr">
        <is>
          <t>Mitigation output code</t>
        </is>
      </c>
      <c r="J77" s="12" t="inlineStr">
        <is>
          <t>CPAT-AI-Mitigation-MVP-v7.1</t>
        </is>
      </c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  <c r="AS77" s="15" t="n"/>
      <c r="AT77" s="15" t="n"/>
      <c r="AU77" s="15" t="n"/>
      <c r="AV77" s="15" t="n"/>
      <c r="AW77" s="15" t="n"/>
      <c r="AX77" s="15" t="n"/>
    </row>
    <row r="78">
      <c r="A78" s="12" t="inlineStr">
        <is>
          <t>EGY</t>
        </is>
      </c>
      <c r="B78" s="13" t="inlineStr">
        <is>
          <t>aps.oc.cpp</t>
        </is>
      </c>
      <c r="C78" s="13">
        <f>LOWER(A78)&amp;".mit.em.oc."&amp;"cpp.1"</f>
        <v/>
      </c>
      <c r="D78" s="13">
        <f>LOWER(A78)&amp;".mit.em.oc."&amp;"cpp.2"</f>
        <v/>
      </c>
      <c r="E78" s="14" t="inlineStr">
        <is>
          <t>Organic carbon</t>
        </is>
      </c>
      <c r="F78" s="14" t="inlineStr">
        <is>
          <t>Coal power plants</t>
        </is>
      </c>
      <c r="G78" s="12" t="inlineStr">
        <is>
          <t>kt</t>
        </is>
      </c>
      <c r="H78" s="12" t="inlineStr">
        <is>
          <t>Ton/year</t>
        </is>
      </c>
      <c r="I78" s="12" t="inlineStr">
        <is>
          <t>Mitigation output code</t>
        </is>
      </c>
      <c r="J78" s="12" t="inlineStr">
        <is>
          <t>CPAT-AI-Mitigation-MVP-v7.1</t>
        </is>
      </c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  <c r="AS78" s="15" t="n"/>
      <c r="AT78" s="15" t="n"/>
      <c r="AU78" s="15" t="n"/>
      <c r="AV78" s="15" t="n"/>
      <c r="AW78" s="15" t="n"/>
      <c r="AX78" s="15" t="n"/>
    </row>
    <row r="79">
      <c r="A79" s="12" t="inlineStr">
        <is>
          <t>EGY</t>
        </is>
      </c>
      <c r="B79" s="13" t="inlineStr">
        <is>
          <t>aps.oc.gpp</t>
        </is>
      </c>
      <c r="C79" s="13">
        <f>LOWER(A79)&amp;".mit.em.oc."&amp;"gpp.1"</f>
        <v/>
      </c>
      <c r="D79" s="13">
        <f>LOWER(A79)&amp;".mit.em.oc."&amp;"gpp.2"</f>
        <v/>
      </c>
      <c r="E79" s="14" t="inlineStr">
        <is>
          <t>Organic carbon</t>
        </is>
      </c>
      <c r="F79" s="14" t="inlineStr">
        <is>
          <t>Gas power plants</t>
        </is>
      </c>
      <c r="G79" s="12" t="inlineStr">
        <is>
          <t>kt</t>
        </is>
      </c>
      <c r="H79" s="12" t="inlineStr">
        <is>
          <t>Ton/year</t>
        </is>
      </c>
      <c r="I79" s="12" t="inlineStr">
        <is>
          <t>Mitigation output code</t>
        </is>
      </c>
      <c r="J79" s="12" t="inlineStr">
        <is>
          <t>CPAT-AI-Mitigation-MVP-v7.1</t>
        </is>
      </c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  <c r="AS79" s="15" t="n"/>
      <c r="AT79" s="15" t="n"/>
      <c r="AU79" s="15" t="n"/>
      <c r="AV79" s="15" t="n"/>
      <c r="AW79" s="15" t="n"/>
      <c r="AX79" s="15" t="n"/>
    </row>
    <row r="80">
      <c r="A80" s="12" t="inlineStr">
        <is>
          <t>EGY</t>
        </is>
      </c>
      <c r="B80" s="13" t="inlineStr">
        <is>
          <t>aps.oc.opp</t>
        </is>
      </c>
      <c r="C80" s="13">
        <f>LOWER(A80)&amp;".mit.em.oc."&amp;"opp.1"</f>
        <v/>
      </c>
      <c r="D80" s="13">
        <f>LOWER(A80)&amp;".mit.em.oc."&amp;"opp.2"</f>
        <v/>
      </c>
      <c r="E80" s="14" t="inlineStr">
        <is>
          <t>Organic carbon</t>
        </is>
      </c>
      <c r="F80" s="14" t="inlineStr">
        <is>
          <t>Other power plants (oil, biomass)</t>
        </is>
      </c>
      <c r="G80" s="12" t="inlineStr">
        <is>
          <t>kt</t>
        </is>
      </c>
      <c r="H80" s="12" t="inlineStr">
        <is>
          <t>Ton/year</t>
        </is>
      </c>
      <c r="I80" s="12" t="inlineStr">
        <is>
          <t>Mitigation output code</t>
        </is>
      </c>
      <c r="J80" s="12" t="inlineStr">
        <is>
          <t>CPAT-AI-Mitigation-MVP-v7.1</t>
        </is>
      </c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  <c r="AS80" s="15" t="n"/>
      <c r="AT80" s="15" t="n"/>
      <c r="AU80" s="15" t="n"/>
      <c r="AV80" s="15" t="n"/>
      <c r="AW80" s="15" t="n"/>
      <c r="AX80" s="15" t="n"/>
    </row>
    <row r="81">
      <c r="A81" s="12" t="inlineStr">
        <is>
          <t>EGY</t>
        </is>
      </c>
      <c r="B81" s="13" t="inlineStr">
        <is>
          <t>aps.oc.rod</t>
        </is>
      </c>
      <c r="C81" s="13">
        <f>LOWER(A81)&amp;".mit.em.oc."&amp;"rod.1"</f>
        <v/>
      </c>
      <c r="D81" s="13">
        <f>LOWER(A81)&amp;".mit.em.oc."&amp;"rod.2"</f>
        <v/>
      </c>
      <c r="E81" s="14" t="inlineStr">
        <is>
          <t>Organic carbon</t>
        </is>
      </c>
      <c r="F81" s="14" t="inlineStr">
        <is>
          <t>Ground level road</t>
        </is>
      </c>
      <c r="G81" s="12" t="inlineStr">
        <is>
          <t>kt</t>
        </is>
      </c>
      <c r="H81" s="12" t="inlineStr">
        <is>
          <t>Ton/year</t>
        </is>
      </c>
      <c r="I81" s="12" t="inlineStr">
        <is>
          <t>Mitigation output code</t>
        </is>
      </c>
      <c r="J81" s="12" t="inlineStr">
        <is>
          <t>CPAT-AI-Mitigation-MVP-v7.1</t>
        </is>
      </c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  <c r="AS81" s="15" t="n"/>
      <c r="AT81" s="15" t="n"/>
      <c r="AU81" s="15" t="n"/>
      <c r="AV81" s="15" t="n"/>
      <c r="AW81" s="15" t="n"/>
      <c r="AX81" s="15" t="n"/>
    </row>
    <row r="82">
      <c r="A82" s="12" t="inlineStr">
        <is>
          <t>EGY</t>
        </is>
      </c>
      <c r="B82" s="13" t="inlineStr">
        <is>
          <t>aps.oc.gro</t>
        </is>
      </c>
      <c r="C82" s="13">
        <f>LOWER(A82)&amp;".mit.em.oc."&amp;"gro.1"</f>
        <v/>
      </c>
      <c r="D82" s="13">
        <f>LOWER(A82)&amp;".mit.em.oc."&amp;"gro.2"</f>
        <v/>
      </c>
      <c r="E82" s="14" t="inlineStr">
        <is>
          <t>Organic carbon</t>
        </is>
      </c>
      <c r="F82" s="14" t="inlineStr">
        <is>
          <t>Ground level other (residential, services, construction)</t>
        </is>
      </c>
      <c r="G82" s="12" t="inlineStr">
        <is>
          <t>kt</t>
        </is>
      </c>
      <c r="H82" s="12" t="inlineStr">
        <is>
          <t>Ton/year</t>
        </is>
      </c>
      <c r="I82" s="12" t="inlineStr">
        <is>
          <t>Mitigation output code</t>
        </is>
      </c>
      <c r="J82" s="12" t="inlineStr">
        <is>
          <t>CPAT-AI-Mitigation-MVP-v7.1</t>
        </is>
      </c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  <c r="AS82" s="15" t="n"/>
      <c r="AT82" s="15" t="n"/>
      <c r="AU82" s="15" t="n"/>
      <c r="AV82" s="15" t="n"/>
      <c r="AW82" s="15" t="n"/>
      <c r="AX82" s="15" t="n"/>
    </row>
    <row r="83">
      <c r="A83" s="12" t="inlineStr">
        <is>
          <t>EGY</t>
        </is>
      </c>
      <c r="B83" s="13" t="inlineStr">
        <is>
          <t>aps.oc.oth</t>
        </is>
      </c>
      <c r="C83" s="13">
        <f>LOWER(A83)&amp;".mit.em.oc."&amp;"oth.1"</f>
        <v/>
      </c>
      <c r="D83" s="13">
        <f>LOWER(A83)&amp;".mit.em.oc."&amp;"oth.2"</f>
        <v/>
      </c>
      <c r="E83" s="14" t="inlineStr">
        <is>
          <t>Organic carbon</t>
        </is>
      </c>
      <c r="F83" s="14" t="inlineStr">
        <is>
          <t>Other (rail, aviation, navigation, industry, other energy use)</t>
        </is>
      </c>
      <c r="G83" s="12" t="inlineStr">
        <is>
          <t>kt</t>
        </is>
      </c>
      <c r="H83" s="12" t="inlineStr">
        <is>
          <t>Ton/year</t>
        </is>
      </c>
      <c r="I83" s="12" t="inlineStr">
        <is>
          <t>Mitigation output code</t>
        </is>
      </c>
      <c r="J83" s="12" t="inlineStr">
        <is>
          <t>CPAT-AI-Mitigation-MVP-v7.1</t>
        </is>
      </c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  <c r="AS83" s="15" t="n"/>
      <c r="AT83" s="15" t="n"/>
      <c r="AU83" s="15" t="n"/>
      <c r="AV83" s="15" t="n"/>
      <c r="AW83" s="15" t="n"/>
      <c r="AX83" s="15" t="n"/>
    </row>
    <row r="84">
      <c r="A84" s="12" t="inlineStr">
        <is>
          <t>EGY</t>
        </is>
      </c>
      <c r="B84" s="13" t="inlineStr">
        <is>
          <t>aps.oc.foo</t>
        </is>
      </c>
      <c r="C84" s="13">
        <f>LOWER(A84)&amp;".mit.em.oc."&amp;"foo.1"</f>
        <v/>
      </c>
      <c r="D84" s="13">
        <f>LOWER(A84)&amp;".mit.em.oc."&amp;"foo.2"</f>
        <v/>
      </c>
      <c r="E84" s="14" t="inlineStr">
        <is>
          <t>Organic carbon</t>
        </is>
      </c>
      <c r="F84" s="14" t="inlineStr">
        <is>
          <t>Food &amp; forestry</t>
        </is>
      </c>
      <c r="G84" s="12" t="inlineStr">
        <is>
          <t>kt</t>
        </is>
      </c>
      <c r="H84" s="12" t="inlineStr">
        <is>
          <t>Ton/year</t>
        </is>
      </c>
      <c r="I84" s="12" t="inlineStr">
        <is>
          <t>Mitigation output code</t>
        </is>
      </c>
      <c r="J84" s="12" t="inlineStr">
        <is>
          <t>CPAT-AI-Mitigation-MVP-v7.1</t>
        </is>
      </c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  <c r="AS84" s="15" t="n"/>
      <c r="AT84" s="15" t="n"/>
      <c r="AU84" s="15" t="n"/>
      <c r="AV84" s="15" t="n"/>
      <c r="AW84" s="15" t="n"/>
      <c r="AX84" s="15" t="n"/>
    </row>
    <row r="85">
      <c r="A85" s="12" t="inlineStr">
        <is>
          <t>EGY</t>
        </is>
      </c>
      <c r="B85" s="13" t="inlineStr">
        <is>
          <t>aps.oc.all</t>
        </is>
      </c>
      <c r="C85" s="13">
        <f>LOWER(A85)&amp;".mit.em.oc."&amp;"all.1"</f>
        <v/>
      </c>
      <c r="D85" s="13">
        <f>LOWER(A85)&amp;".mit.em.oc."&amp;"all.2"</f>
        <v/>
      </c>
      <c r="E85" s="14" t="inlineStr">
        <is>
          <t>Organic carbon</t>
        </is>
      </c>
      <c r="F85" s="14" t="inlineStr">
        <is>
          <t>All sectors</t>
        </is>
      </c>
      <c r="G85" s="12" t="inlineStr">
        <is>
          <t>kt</t>
        </is>
      </c>
      <c r="H85" s="12" t="inlineStr">
        <is>
          <t>Ton/year</t>
        </is>
      </c>
      <c r="I85" s="12" t="inlineStr">
        <is>
          <t>Mitigation output code</t>
        </is>
      </c>
      <c r="J85" s="12" t="inlineStr">
        <is>
          <t>CPAT-AI-Mitigation-MVP-v7.1</t>
        </is>
      </c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  <c r="AS85" s="15" t="n"/>
      <c r="AT85" s="15" t="n"/>
      <c r="AU85" s="15" t="n"/>
      <c r="AV85" s="15" t="n"/>
      <c r="AW85" s="15" t="n"/>
      <c r="AX85" s="15" t="n"/>
    </row>
  </sheetData>
  <autoFilter ref="A5:AX85"/>
  <mergeCells count="4">
    <mergeCell ref="A2:AX2"/>
    <mergeCell ref="K4:AD4"/>
    <mergeCell ref="AE4:AX4"/>
    <mergeCell ref="A3:AX3"/>
  </mergeCells>
  <dataValidations count="1">
    <dataValidation sqref="A6:A85" showDropDown="0" showInputMessage="0" showErrorMessage="0" allowBlank="0" errorTitle="Check country code" error="Enter a three-character ISO country code." promptTitle="Country" prompt="Three-character ISO code; EGY is the first regression case." type="textLength" operator="equal">
      <formula1>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2026-10-26T18:52:57Z</dcterms:created>
  <dcterms:modified xmlns:dcterms="http://purl.org/dc/terms/" xmlns:xsi="http://www.w3.org/2001/XMLSchema-instance" xsi:type="dcterms:W3CDTF">2026-10-26T18:52:57Z</dcterms:modified>
</cp:coreProperties>
</file>