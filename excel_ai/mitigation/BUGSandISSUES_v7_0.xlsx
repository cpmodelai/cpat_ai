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GSandISSUES" sheetId="2" state="visible" r:id="rId2"/>
  </sheets>
  <definedNames>
    <definedName name="_xlnm._FilterDatabase" localSheetId="1" hidden="1">'BUGSandISSUES'!$A$3:$K$279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sz val="10"/>
    </font>
    <font>
      <name val="Arial"/>
      <b val="1"/>
      <sz val="11"/>
      <u val="single"/>
    </font>
    <font>
      <name val="Arial"/>
      <b val="1"/>
      <sz val="10"/>
    </font>
  </fonts>
  <fills count="6">
    <fill>
      <patternFill/>
    </fill>
    <fill>
      <patternFill patternType="gray125"/>
    </fill>
    <fill>
      <patternFill patternType="solid">
        <fgColor rgb="0000B050"/>
      </patternFill>
    </fill>
    <fill>
      <patternFill patternType="solid">
        <fgColor rgb="00EBF1DE"/>
      </patternFill>
    </fill>
    <fill>
      <patternFill patternType="solid">
        <fgColor rgb="00FFF2CC"/>
      </patternFill>
    </fill>
    <fill>
      <patternFill patternType="solid">
        <fgColor rgb="00F2F2F2"/>
      </patternFill>
    </fill>
  </fills>
  <borders count="3">
    <border>
      <left/>
      <right/>
      <top/>
      <bottom/>
      <diagonal/>
    </border>
    <border>
      <bottom style="thin">
        <color rgb="00BFBFBF"/>
      </bottom>
    </border>
    <border>
      <bottom style="hair">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0" borderId="0" pivotButton="0" quotePrefix="0" xfId="0"/>
    <xf numFmtId="0" fontId="4" fillId="0" borderId="1" pivotButton="0" quotePrefix="0" xfId="0"/>
    <xf numFmtId="0" fontId="2" fillId="0" borderId="0" pivotButton="0" quotePrefix="0" xfId="0"/>
    <xf numFmtId="0" fontId="4" fillId="0" borderId="0" pivotButton="0" quotePrefix="0" xfId="0"/>
    <xf numFmtId="0" fontId="4" fillId="3" borderId="1" applyAlignment="1" pivotButton="0" quotePrefix="0" xfId="0">
      <alignment vertical="top" wrapText="1"/>
    </xf>
    <xf numFmtId="0" fontId="2" fillId="0" borderId="2" applyAlignment="1" pivotButton="0" quotePrefix="0" xfId="0">
      <alignment vertical="top" wrapText="1"/>
    </xf>
    <xf numFmtId="0" fontId="4" fillId="4" borderId="2" applyAlignment="1" pivotButton="0" quotePrefix="0" xfId="0">
      <alignment vertical="top" wrapText="1"/>
    </xf>
    <xf numFmtId="0" fontId="4" fillId="3" borderId="2" applyAlignment="1" pivotButton="0" quotePrefix="0" xfId="0">
      <alignment vertical="top" wrapText="1"/>
    </xf>
    <xf numFmtId="0" fontId="4"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20" customWidth="1" min="6" max="6"/>
  </cols>
  <sheetData>
    <row r="1">
      <c r="A1" s="1" t="inlineStr">
        <is>
          <t>BUGSandISSUES: CPAT-AI-Mitigation-MVP v7.0 against legacy CPAT</t>
        </is>
      </c>
      <c r="B1" s="2" t="n"/>
      <c r="C1" s="2" t="n"/>
      <c r="D1" s="2" t="n"/>
      <c r="E1" s="2" t="n"/>
      <c r="F1" s="2" t="n"/>
    </row>
    <row r="3" ht="48" customHeight="1">
      <c r="A3" s="3" t="inlineStr">
        <is>
          <t>Rule (user, 2026-10-15): bugs are never replicated (the prototype fixes them or leaves the feature out); issues are replicated (the prototype does what legacy does, and tracks the issue). A departure from legacy that is not a bug fix stays only by user decision; otherwise it is queued to be replicated.</t>
        </is>
      </c>
    </row>
    <row r="4" ht="48" customHeight="1">
      <c r="A4" s="3" t="inlineStr">
        <is>
          <t>Bug = legacy does not do what it means to (wrong row, double application, dead reference). Issue = legacy does what it means to, but the choice is open to question.</t>
        </is>
      </c>
    </row>
    <row r="5" ht="48" customHeight="1">
      <c r="A5" s="3" t="inlineStr">
        <is>
          <t>One row per item in sheet BUGSandISSUES. Column "Replicated in the prototype?": Yes = the prototype matches legacy; No = it departs (fixed, left out, or a decided/queued departure); n/a = the item is about the prototype itself. Filter on Kind and on that column.</t>
        </is>
      </c>
    </row>
    <row r="6" ht="48" customHeight="1">
      <c r="A6" s="3" t="inlineStr">
        <is>
          <t>Source: NOTREPLICATED-MostlyBugs.md and REPLICATED-MostlyIssues.md (generated from issues_register_v7_0.py). Not included: potential upgrades (U), and bugs found and fixed in the prototype during development (M); both are in the Word register CPAT-AI-Mitigation-MVP_BugsAndIssues_v7.0.docx. Details and effects of the legacy bugs: LegacyBugFixes_v7_0.md.</t>
        </is>
      </c>
    </row>
    <row r="8">
      <c r="A8" s="4" t="inlineStr">
        <is>
          <t>Summary</t>
        </is>
      </c>
    </row>
    <row r="9">
      <c r="A9" s="5" t="inlineStr">
        <is>
          <t>Kind</t>
        </is>
      </c>
      <c r="B9" s="5" t="inlineStr">
        <is>
          <t>Replicated (Yes)</t>
        </is>
      </c>
      <c r="C9" s="5" t="inlineStr">
        <is>
          <t>Not replicated (No)</t>
        </is>
      </c>
      <c r="D9" s="5" t="inlineStr">
        <is>
          <t>n/a</t>
        </is>
      </c>
      <c r="E9" s="5" t="inlineStr">
        <is>
          <t>Total</t>
        </is>
      </c>
    </row>
    <row r="10">
      <c r="A10" s="6" t="inlineStr">
        <is>
          <t>Legacy bug</t>
        </is>
      </c>
      <c r="B10" s="6" t="n">
        <v>0</v>
      </c>
      <c r="C10" s="6" t="n">
        <v>128</v>
      </c>
      <c r="D10" s="6" t="n">
        <v>0</v>
      </c>
      <c r="E10" s="6" t="n">
        <v>128</v>
      </c>
    </row>
    <row r="11">
      <c r="A11" s="6" t="inlineStr">
        <is>
          <t>Issue (departure from legacy)</t>
        </is>
      </c>
      <c r="B11" s="6" t="n">
        <v>0</v>
      </c>
      <c r="C11" s="6" t="n">
        <v>12</v>
      </c>
      <c r="D11" s="6" t="n">
        <v>0</v>
      </c>
      <c r="E11" s="6" t="n">
        <v>12</v>
      </c>
    </row>
    <row r="12">
      <c r="A12" s="6" t="inlineStr">
        <is>
          <t>Issue (replicated)</t>
        </is>
      </c>
      <c r="B12" s="6" t="n">
        <v>40</v>
      </c>
      <c r="C12" s="6" t="n">
        <v>0</v>
      </c>
      <c r="D12" s="6" t="n">
        <v>0</v>
      </c>
      <c r="E12" s="6" t="n">
        <v>40</v>
      </c>
    </row>
    <row r="13">
      <c r="A13" s="6" t="inlineStr">
        <is>
          <t>LegacyDiff departure</t>
        </is>
      </c>
      <c r="B13" s="6" t="n">
        <v>0</v>
      </c>
      <c r="C13" s="6" t="n">
        <v>24</v>
      </c>
      <c r="D13" s="6" t="n">
        <v>0</v>
      </c>
      <c r="E13" s="6" t="n">
        <v>24</v>
      </c>
    </row>
    <row r="14">
      <c r="A14" s="6" t="inlineStr">
        <is>
          <t>LegacyDiff, kept as legacy</t>
        </is>
      </c>
      <c r="B14" s="6" t="n">
        <v>1</v>
      </c>
      <c r="C14" s="6" t="n">
        <v>0</v>
      </c>
      <c r="D14" s="6" t="n">
        <v>0</v>
      </c>
      <c r="E14" s="6" t="n">
        <v>1</v>
      </c>
    </row>
    <row r="15">
      <c r="A15" s="6" t="inlineStr">
        <is>
          <t>Issue of the prototype</t>
        </is>
      </c>
      <c r="B15" s="6" t="n">
        <v>0</v>
      </c>
      <c r="C15" s="6" t="n">
        <v>0</v>
      </c>
      <c r="D15" s="6" t="n">
        <v>16</v>
      </c>
      <c r="E15" s="6" t="n">
        <v>16</v>
      </c>
    </row>
    <row r="16">
      <c r="A16" s="6" t="inlineStr">
        <is>
          <t>Legacy bug (distribution)</t>
        </is>
      </c>
      <c r="B16" s="6" t="n">
        <v>0</v>
      </c>
      <c r="C16" s="6" t="n">
        <v>31</v>
      </c>
      <c r="D16" s="6" t="n">
        <v>0</v>
      </c>
      <c r="E16" s="6" t="n">
        <v>31</v>
      </c>
    </row>
    <row r="17">
      <c r="A17" s="6" t="inlineStr">
        <is>
          <t>Issue (distribution)</t>
        </is>
      </c>
      <c r="B17" s="6" t="n">
        <v>10</v>
      </c>
      <c r="C17" s="6" t="n">
        <v>0</v>
      </c>
      <c r="D17" s="6" t="n">
        <v>0</v>
      </c>
      <c r="E17" s="6" t="n">
        <v>10</v>
      </c>
    </row>
    <row r="18">
      <c r="A18" s="6" t="inlineStr">
        <is>
          <t>Prototype bug</t>
        </is>
      </c>
      <c r="B18" s="6" t="n">
        <v>0</v>
      </c>
      <c r="C18" s="6" t="n">
        <v>0</v>
      </c>
      <c r="D18" s="6" t="n">
        <v>14</v>
      </c>
      <c r="E18" s="6" t="n">
        <v>14</v>
      </c>
    </row>
    <row r="19">
      <c r="A19" s="7" t="inlineStr">
        <is>
          <t>All</t>
        </is>
      </c>
      <c r="B19" s="7">
        <f>SUM(B10:B18)</f>
        <v/>
      </c>
      <c r="C19" s="7">
        <f>SUM(C10:C18)</f>
        <v/>
      </c>
      <c r="D19" s="7">
        <f>SUM(D10:D18)</f>
        <v/>
      </c>
      <c r="E19" s="7">
        <f>SUM(E10:E18)</f>
        <v/>
      </c>
    </row>
  </sheetData>
  <mergeCells count="4">
    <mergeCell ref="A3:F3"/>
    <mergeCell ref="A6:F6"/>
    <mergeCell ref="A5:F5"/>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9"/>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46" customWidth="1" min="4" max="4"/>
    <col width="20" customWidth="1" min="5" max="5"/>
    <col width="28" customWidth="1" min="6" max="6"/>
    <col width="60" customWidth="1" min="7" max="7"/>
    <col width="44" customWidth="1" min="8" max="8"/>
    <col width="52" customWidth="1" min="9" max="9"/>
    <col width="38" customWidth="1" min="10" max="10"/>
    <col width="12" customWidth="1" min="11" max="11"/>
  </cols>
  <sheetData>
    <row r="1">
      <c r="A1" s="1" t="inlineStr">
        <is>
          <t>Bugs and issues of legacy CPAT and whether CPAT-AI-Mitigation-MVP v7.0 replicates them</t>
        </is>
      </c>
      <c r="B1" s="2" t="n"/>
      <c r="C1" s="2" t="n"/>
      <c r="D1" s="2" t="n"/>
      <c r="E1" s="2" t="n"/>
      <c r="F1" s="2" t="n"/>
      <c r="G1" s="2" t="n"/>
      <c r="H1" s="2" t="n"/>
      <c r="I1" s="2" t="n"/>
      <c r="J1" s="2" t="n"/>
      <c r="K1" s="2" t="n"/>
    </row>
    <row r="3">
      <c r="A3" s="8" t="inlineStr">
        <is>
          <t>Ref</t>
        </is>
      </c>
      <c r="B3" s="8" t="inlineStr">
        <is>
          <t>Kind</t>
        </is>
      </c>
      <c r="C3" s="8" t="inlineStr">
        <is>
          <t>Priority / severity</t>
        </is>
      </c>
      <c r="D3" s="8" t="inlineStr">
        <is>
          <t>Title</t>
        </is>
      </c>
      <c r="E3" s="8" t="inlineStr">
        <is>
          <t>Replicated in the prototype?</t>
        </is>
      </c>
      <c r="F3" s="8" t="inlineStr">
        <is>
          <t>How in the prototype</t>
        </is>
      </c>
      <c r="G3" s="8" t="inlineStr">
        <is>
          <t>What legacy does</t>
        </is>
      </c>
      <c r="H3" s="8" t="inlineStr">
        <is>
          <t>Effect</t>
        </is>
      </c>
      <c r="I3" s="8" t="inlineStr">
        <is>
          <t>Fix / next step</t>
        </is>
      </c>
      <c r="J3" s="8" t="inlineStr">
        <is>
          <t>Where in legacy / documented</t>
        </is>
      </c>
      <c r="K3" s="8" t="inlineStr">
        <is>
          <t>Status</t>
        </is>
      </c>
    </row>
    <row r="4">
      <c r="A4" s="9" t="inlineStr">
        <is>
          <t>L1</t>
        </is>
      </c>
      <c r="B4" s="9" t="inlineStr">
        <is>
          <t>Legacy bug</t>
        </is>
      </c>
      <c r="C4" s="9" t="inlineStr">
        <is>
          <t>High</t>
        </is>
      </c>
      <c r="D4" s="9" t="inlineStr">
        <is>
          <t>Services electricity demand grows with the industrial multiple after 2023</t>
        </is>
      </c>
      <c r="E4" s="10" t="inlineStr">
        <is>
          <t>No</t>
        </is>
      </c>
      <c r="F4" s="9" t="inlineStr">
        <is>
          <t>Fixed</t>
        </is>
      </c>
      <c r="G4" s="9" t="inlineStr">
        <is>
          <t>The 2023 formula multiplies services demand by the services multiple (row 3713); from 2024 the copied formula points six rows up, to the industrial multiple (row 3707). Services have a higher GDP elasticity (1.1 against 0.8) and a different price elasticity.</t>
        </is>
      </c>
      <c r="H4" s="9" t="inlineStr">
        <is>
          <t>Services are about a quarter of Egypt's electricity demand, so this is the largest single effect.</t>
        </is>
      </c>
      <c r="I4" s="9" t="inlineStr">
        <is>
          <t>Use the services multiple in every year, as in 2023 and as the label of row 3713 says.</t>
        </is>
      </c>
      <c r="J4" s="9" t="inlineStr">
        <is>
          <t>Mitigation H3, row 3731</t>
        </is>
      </c>
      <c r="K4" s="9" t="inlineStr">
        <is>
          <t>Closed</t>
        </is>
      </c>
    </row>
    <row r="5">
      <c r="A5" s="9" t="inlineStr">
        <is>
          <t>L2</t>
        </is>
      </c>
      <c r="B5" s="9" t="inlineStr">
        <is>
          <t>Legacy bug</t>
        </is>
      </c>
      <c r="C5" s="9" t="inlineStr">
        <is>
          <t>Medium</t>
        </is>
      </c>
      <c r="D5" s="9" t="inlineStr">
        <is>
          <t>Autonomous efficiency gains use the efficiency elasticity instead of the usage elasticity</t>
        </is>
      </c>
      <c r="E5" s="10" t="inlineStr">
        <is>
          <t>No</t>
        </is>
      </c>
      <c r="F5" s="9" t="inlineStr">
        <is>
          <t>Fixed</t>
        </is>
      </c>
      <c r="G5" s="9" t="inlineStr">
        <is>
          <t>Efficiency multiple = 1 / (1 + alpha)^(1 + eps_F), with eps_F the "Price Elasticity" row 3677.</t>
        </is>
      </c>
      <c r="H5" s="9" t="inlineStr">
        <is>
          <t>Efficiency gains reduce demand slightly too much every year.</t>
        </is>
      </c>
      <c r="I5" s="9" t="inlineStr">
        <is>
          <t>Documentation equation (3.4.2.3) and the fuel equation use (1 + eps_U): 1 / (1 + alpha)^(1 + eps_U), with eps_U the usage ("Demand Elasticity") row 3676.</t>
        </is>
      </c>
      <c r="J5" s="9" t="inlineStr">
        <is>
          <t>Mitigation H1, rows 3691, 3697, 3703, 3709</t>
        </is>
      </c>
      <c r="K5" s="9" t="inlineStr">
        <is>
          <t>Closed</t>
        </is>
      </c>
    </row>
    <row r="6">
      <c r="A6" s="9" t="inlineStr">
        <is>
          <t>L3</t>
        </is>
      </c>
      <c r="B6" s="9" t="inlineStr">
        <is>
          <t>Legacy bug</t>
        </is>
      </c>
      <c r="C6" s="9" t="inlineStr">
        <is>
          <t>High</t>
        </is>
      </c>
      <c r="D6" s="9" t="inlineStr">
        <is>
          <t>Income factor on the GDP elasticity applied twice and anchored to 2023</t>
        </is>
      </c>
      <c r="E6" s="10" t="inlineStr">
        <is>
          <t>No</t>
        </is>
      </c>
      <c r="F6" s="9" t="inlineStr">
        <is>
          <t>Fixed</t>
        </is>
      </c>
      <c r="G6" s="9" t="inlineStr">
        <is>
          <t>GDP term = (1 + g)^((eps_Y / $M3686) x M3686 x M2433). Row 3686 already holds the average elasticity x the income factor (row 2433), and $M fixes the denominator to 2023, so the effective elasticity is eps_Y x inc(t)^2 / inc(2023).</t>
        </is>
      </c>
      <c r="H6" s="9" t="inlineStr">
        <is>
          <t>The income factor falls from 1.03 to 0.95 by 2040, so the error grows over time.</t>
        </is>
      </c>
      <c r="I6" s="9" t="inlineStr">
        <is>
          <t>eps_Y x inc(t): the income factor once, in the year of the calculation.</t>
        </is>
      </c>
      <c r="J6" s="9" t="inlineStr">
        <is>
          <t>Mitigation H1, rows 3692-3710</t>
        </is>
      </c>
      <c r="K6" s="9" t="inlineStr">
        <is>
          <t>Closed</t>
        </is>
      </c>
    </row>
    <row r="7">
      <c r="A7" s="9" t="inlineStr">
        <is>
          <t>L4</t>
        </is>
      </c>
      <c r="B7" s="9" t="inlineStr">
        <is>
          <t>Legacy bug</t>
        </is>
      </c>
      <c r="C7" s="9" t="inlineStr">
        <is>
          <t>Low</t>
        </is>
      </c>
      <c r="D7" s="9" t="inlineStr">
        <is>
          <t>Long-term storage cost allocation (33%) applied twice</t>
        </is>
      </c>
      <c r="E7" s="10" t="inlineStr">
        <is>
          <t>No</t>
        </is>
      </c>
      <c r="F7" s="9" t="inlineStr">
        <is>
          <t>Fixed</t>
        </is>
      </c>
      <c r="G7" s="9" t="inlineStr">
        <is>
          <t>Row 3911 multiplies the long-term storage cost by the allocation share; row 3912 multiplies it again.</t>
        </is>
      </c>
      <c r="H7" s="9" t="inlineStr">
        <is>
          <t>No effect for Egypt (variable renewables stay below the 75% threshold); it matters for high-renewable scenarios.</t>
        </is>
      </c>
      <c r="I7" s="9" t="inlineStr">
        <is>
          <t>Apply the 33% allocation once.</t>
        </is>
      </c>
      <c r="J7" s="9" t="inlineStr">
        <is>
          <t>Mitigation J1, rows 3911 and 3912</t>
        </is>
      </c>
      <c r="K7" s="9" t="inlineStr">
        <is>
          <t>Closed</t>
        </is>
      </c>
    </row>
    <row r="8">
      <c r="A8" s="9" t="inlineStr">
        <is>
          <t>L5</t>
        </is>
      </c>
      <c r="B8" s="9" t="inlineStr">
        <is>
          <t>Legacy bug</t>
        </is>
      </c>
      <c r="C8" s="9" t="inlineStr">
        <is>
          <t>Medium</t>
        </is>
      </c>
      <c r="D8" s="9" t="inlineStr">
        <is>
          <t>Investment spending uses the capital cost at time factor 1</t>
        </is>
      </c>
      <c r="E8" s="10" t="inlineStr">
        <is>
          <t>No</t>
        </is>
      </c>
      <c r="F8" s="9" t="inlineStr">
        <is>
          <t>Fixed</t>
        </is>
      </c>
      <c r="G8" s="9" t="inlineStr">
        <is>
          <t>New investment (USD m) = nameplate MW x the capital cost column O of table A2, which is the cost before the capital-cost time factor.</t>
        </is>
      </c>
      <c r="H8" s="9" t="inlineStr">
        <is>
          <t>Investment spending on solar is overstated by up to 80% (2040, time factor 0.55), wind by up to 9%; it is reporting only (the investment decision uses the right cost).</t>
        </is>
      </c>
      <c r="I8" s="9" t="inlineStr">
        <is>
          <t>Use the capital cost of the year (table A13), as the levelised and amortised costs do.</t>
        </is>
      </c>
      <c r="J8" s="9" t="inlineStr">
        <is>
          <t>Mitigation L20, rows 4276-4284</t>
        </is>
      </c>
      <c r="K8" s="9" t="inlineStr">
        <is>
          <t>Closed</t>
        </is>
      </c>
    </row>
    <row r="9">
      <c r="A9" s="9" t="inlineStr">
        <is>
          <t>L6</t>
        </is>
      </c>
      <c r="B9" s="9" t="inlineStr">
        <is>
          <t>Legacy bug</t>
        </is>
      </c>
      <c r="C9" s="9" t="inlineStr">
        <is>
          <t>Medium</t>
        </is>
      </c>
      <c r="D9" s="9" t="inlineStr">
        <is>
          <t>Investment logit normalised by the cheapest type, including types that may not be built</t>
        </is>
      </c>
      <c r="E9" s="10" t="inlineStr">
        <is>
          <t>No</t>
        </is>
      </c>
      <c r="F9" s="9" t="inlineStr">
        <is>
          <t>Fixed</t>
        </is>
      </c>
      <c r="G9" s="9" t="inlineStr">
        <is>
          <t>The logit weight is EXP(-K x cost / cheapest cost), and the cheapest cost is taken over all nine types, including types whose new investment is not permitted (coal, nuclear, other renewables, biomass for Egypt).</t>
        </is>
      </c>
      <c r="H9" s="9" t="inlineStr">
        <is>
          <t>No effect in the Egypt baseline; in the carbon-tax run nuclear (not permitted) is the cheapest type from 2024, which makes the investment logit steeper.</t>
        </is>
      </c>
      <c r="I9" s="9" t="inlineStr">
        <is>
          <t>Normalise by the cheapest permitted type, so that a type that cannot be built does not change the shares of those that can.</t>
        </is>
      </c>
      <c r="J9" s="9" t="inlineStr">
        <is>
          <t>Mitigation L1/L4, rows 4046, 4073-4081</t>
        </is>
      </c>
      <c r="K9" s="9" t="inlineStr">
        <is>
          <t>Closed</t>
        </is>
      </c>
    </row>
    <row r="10">
      <c r="A10" s="9" t="inlineStr">
        <is>
          <t>L7</t>
        </is>
      </c>
      <c r="B10" s="9" t="inlineStr">
        <is>
          <t>Legacy bug</t>
        </is>
      </c>
      <c r="C10" s="9" t="inlineStr">
        <is>
          <t>Low</t>
        </is>
      </c>
      <c r="D10" s="9" t="inlineStr">
        <is>
          <t>Early coal retirement mixes nameplate and effective capacity</t>
        </is>
      </c>
      <c r="E10" s="10" t="inlineStr">
        <is>
          <t>No</t>
        </is>
      </c>
      <c r="F10" s="9" t="inlineStr">
        <is>
          <t>Fixed</t>
        </is>
      </c>
      <c r="G10" s="9" t="inlineStr">
        <is>
          <t>The room for early coal retirement subtracts last year's non-coal retirements in nameplate MW from additions and demand growth in effective MW.</t>
        </is>
      </c>
      <c r="H10" s="9" t="inlineStr">
        <is>
          <t>Latent for Egypt (no coal). Too little early coal retirement where solar (low capacity factor) retires.</t>
        </is>
      </c>
      <c r="I10" s="9" t="inlineStr">
        <is>
          <t>Subtract effective retirements.</t>
        </is>
      </c>
      <c r="J10" s="9" t="inlineStr">
        <is>
          <t>Mitigation K4, row 3973</t>
        </is>
      </c>
      <c r="K10" s="9" t="inlineStr">
        <is>
          <t>Closed</t>
        </is>
      </c>
    </row>
    <row r="11">
      <c r="A11" s="9" t="inlineStr">
        <is>
          <t>L8</t>
        </is>
      </c>
      <c r="B11" s="9" t="inlineStr">
        <is>
          <t>Legacy bug</t>
        </is>
      </c>
      <c r="C11" s="9" t="inlineStr">
        <is>
          <t>Low</t>
        </is>
      </c>
      <c r="D11" s="9" t="inlineStr">
        <is>
          <t>Effective coal retirement is not capped like the nameplate retirement</t>
        </is>
      </c>
      <c r="E11" s="10" t="inlineStr">
        <is>
          <t>No</t>
        </is>
      </c>
      <c r="F11" s="9" t="inlineStr">
        <is>
          <t>Fixed</t>
        </is>
      </c>
      <c r="G11" s="9" t="inlineStr">
        <is>
          <t>Nameplate coal retirement is MIN(planned + early, capacity); the effective retirement uses planned + early without the cap.</t>
        </is>
      </c>
      <c r="H11" s="9" t="inlineStr">
        <is>
          <t>Latent for Egypt. Where early retirement is large, capacity needed is overstated.</t>
        </is>
      </c>
      <c r="I11" s="9" t="inlineStr">
        <is>
          <t>Effective retirement = nameplate retirement x capacity factor.</t>
        </is>
      </c>
      <c r="J11" s="9" t="inlineStr">
        <is>
          <t>Mitigation K5/K6, rows 3994, 4009-4011</t>
        </is>
      </c>
      <c r="K11" s="9" t="inlineStr">
        <is>
          <t>Closed</t>
        </is>
      </c>
    </row>
    <row r="12">
      <c r="A12" s="9" t="inlineStr">
        <is>
          <t>L9</t>
        </is>
      </c>
      <c r="B12" s="9" t="inlineStr">
        <is>
          <t>Legacy bug</t>
        </is>
      </c>
      <c r="C12" s="9" t="inlineStr">
        <is>
          <t>Low</t>
        </is>
      </c>
      <c r="D12" s="9" t="inlineStr">
        <is>
          <t>Feebate rebate per kWh consumed is added to the cost per kWh generated</t>
        </is>
      </c>
      <c r="E12" s="10" t="inlineStr">
        <is>
          <t>No</t>
        </is>
      </c>
      <c r="F12" s="9" t="inlineStr">
        <is>
          <t>Fixed</t>
        </is>
      </c>
      <c r="G12" s="9" t="inlineStr">
        <is>
          <t>The rebate is the average feebate per kWh generated divided by consumption/generation (x 1.22), and is then added to the cost per kWh generated of every type.</t>
        </is>
      </c>
      <c r="H12" s="9" t="inlineStr">
        <is>
          <t>Latent for Egypt (no power feebate in the runs). Over-rebates by 22% when a power feebate is set.</t>
        </is>
      </c>
      <c r="I12" s="9" t="inlineStr">
        <is>
          <t>Rebate per kWh generated, so the feebate is revenue-neutral at base-year shares.</t>
        </is>
      </c>
      <c r="J12" s="9" t="inlineStr">
        <is>
          <t>Mitigation D6, rows 3407-3409</t>
        </is>
      </c>
      <c r="K12" s="9" t="inlineStr">
        <is>
          <t>Closed</t>
        </is>
      </c>
    </row>
    <row r="13">
      <c r="A13" s="9" t="inlineStr">
        <is>
          <t>L10</t>
        </is>
      </c>
      <c r="B13" s="9" t="inlineStr">
        <is>
          <t>Legacy bug</t>
        </is>
      </c>
      <c r="C13" s="9" t="inlineStr">
        <is>
          <t>Low</t>
        </is>
      </c>
      <c r="D13" s="9" t="inlineStr">
        <is>
          <t>Capacity needed is computed from last year's plan, not from actual capacity</t>
        </is>
      </c>
      <c r="E13" s="10" t="inlineStr">
        <is>
          <t>No</t>
        </is>
      </c>
      <c r="F13" s="9" t="inlineStr">
        <is>
          <t>Fixed</t>
        </is>
      </c>
      <c r="G13" s="9" t="inlineStr">
        <is>
          <t>Effective capacity before retirements = last year's planned capacity (capacity after retirements + investment needed), whether or not the investment could be placed.</t>
        </is>
      </c>
      <c r="H13" s="9" t="inlineStr">
        <is>
          <t>Latent: it only matters when scale-up limits leave a deficit; then the model under-invests next year too.</t>
        </is>
      </c>
      <c r="I13" s="9" t="inlineStr">
        <is>
          <t>Use the actual effective capacity of the year (capacity x capacity factor).</t>
        </is>
      </c>
      <c r="J13" s="9" t="inlineStr">
        <is>
          <t>Mitigation K7, row 4024</t>
        </is>
      </c>
      <c r="K13" s="9" t="inlineStr">
        <is>
          <t>Closed</t>
        </is>
      </c>
    </row>
    <row r="14">
      <c r="A14" s="9" t="inlineStr">
        <is>
          <t>L11</t>
        </is>
      </c>
      <c r="B14" s="9" t="inlineStr">
        <is>
          <t>Legacy bug</t>
        </is>
      </c>
      <c r="C14" s="9" t="inlineStr">
        <is>
          <t>Low</t>
        </is>
      </c>
      <c r="D14" s="9" t="inlineStr">
        <is>
          <t>Stray reference in dispatch</t>
        </is>
      </c>
      <c r="E14" s="10" t="inlineStr">
        <is>
          <t>No</t>
        </is>
      </c>
      <c r="F14" s="9" t="inlineStr">
        <is>
          <t>Not built</t>
        </is>
      </c>
      <c r="G14" s="9" t="inlineStr">
        <is>
          <t>Required generation from coal and gas is MAX(required - other generation, $G4291 x total); G4291 is an unrelated, empty cell of table L21.</t>
        </is>
      </c>
      <c r="H14" s="9" t="inlineStr">
        <is>
          <t>None while G4291 stays empty; wrong dispatch if anything is typed there. MVP: Harmless while the cell is empty; not built in the MVP.</t>
        </is>
      </c>
      <c r="I14" s="9" t="inlineStr">
        <is>
          <t>Remove the $G4291 x total term (or point it to the intended cell).</t>
        </is>
      </c>
      <c r="J14" s="9" t="inlineStr">
        <is>
          <t>Mitigation rows 3773, 3779 (I1)</t>
        </is>
      </c>
      <c r="K14" s="9" t="inlineStr">
        <is>
          <t>Closed</t>
        </is>
      </c>
    </row>
    <row r="15">
      <c r="A15" s="9" t="inlineStr">
        <is>
          <t>L12</t>
        </is>
      </c>
      <c r="B15" s="9" t="inlineStr">
        <is>
          <t>Legacy bug</t>
        </is>
      </c>
      <c r="C15" s="9" t="inlineStr">
        <is>
          <t>Low</t>
        </is>
      </c>
      <c r="D15" s="9" t="inlineStr">
        <is>
          <t>Total nameplate investment row is zero</t>
        </is>
      </c>
      <c r="E15" s="10" t="inlineStr">
        <is>
          <t>No</t>
        </is>
      </c>
      <c r="F15" s="9" t="inlineStr">
        <is>
          <t>Fixed</t>
        </is>
      </c>
      <c r="G15" s="9" t="inlineStr">
        <is>
          <t>The total multiplies by $X3008, an empty cell, instead of summing the types.</t>
        </is>
      </c>
      <c r="H15" s="9" t="inlineStr">
        <is>
          <t>Reported total investment is 0. MVP: Reporting only; the MVP sums.</t>
        </is>
      </c>
      <c r="I15" s="9" t="inlineStr">
        <is>
          <t>Sum the nine generation types instead of multiplying by $X3008.</t>
        </is>
      </c>
      <c r="J15" s="9" t="inlineStr">
        <is>
          <t>Mitigation row 4273 (L19)</t>
        </is>
      </c>
      <c r="K15" s="9" t="inlineStr">
        <is>
          <t>Closed</t>
        </is>
      </c>
    </row>
    <row r="16">
      <c r="A16" s="9" t="inlineStr">
        <is>
          <t>L13</t>
        </is>
      </c>
      <c r="B16" s="9" t="inlineStr">
        <is>
          <t>Legacy bug</t>
        </is>
      </c>
      <c r="C16" s="9" t="inlineStr">
        <is>
          <t>High</t>
        </is>
      </c>
      <c r="D16" s="9" t="inlineStr">
        <is>
          <t>Other oil products: hardcoded pass-through 1 and margin 0</t>
        </is>
      </c>
      <c r="E16" s="10" t="inlineStr">
        <is>
          <t>No</t>
        </is>
      </c>
      <c r="F16" s="9" t="inlineStr">
        <is>
          <t>Fixed</t>
        </is>
      </c>
      <c r="G16" s="9" t="inlineStr">
        <is>
          <t>With the hardcodes the retail price of other oil products falls with the oil price to the 0.01 floor and their fuel use rises tenfold by 2030 (Egypt).</t>
        </is>
      </c>
      <c r="H16" s="9" t="inlineStr">
        <is>
          <t>Retail price falls to the 0.01 floor with the oil price; fuel use rises tenfold by 2030 (Egypt). MVP: Changed in the MVP (v0.10, user decision): pass-through and margin from the IMF dataset like the other oil products (LegacyDiff).</t>
        </is>
      </c>
      <c r="I16" s="9" t="inlineStr">
        <is>
          <t>Take pass-through and margin of other oil products from the IMF price dataset, like the other oil products.</t>
        </is>
      </c>
      <c r="J16" s="9" t="inlineStr">
        <is>
          <t>Mitigation price block (other oil products)</t>
        </is>
      </c>
      <c r="K16" s="9" t="inlineStr">
        <is>
          <t>Closed</t>
        </is>
      </c>
    </row>
    <row r="17">
      <c r="A17" s="9" t="inlineStr">
        <is>
          <t>L14</t>
        </is>
      </c>
      <c r="B17" s="9" t="inlineStr">
        <is>
          <t>Legacy bug</t>
        </is>
      </c>
      <c r="C17" s="9" t="inlineStr">
        <is>
          <t>Medium</t>
        </is>
      </c>
      <c r="D17" s="9" t="inlineStr">
        <is>
          <t>Pass-through applied twice in the first projected year</t>
        </is>
      </c>
      <c r="E17" s="10" t="inlineStr">
        <is>
          <t>No</t>
        </is>
      </c>
      <c r="F17" s="9" t="inlineStr">
        <is>
          <t>Fixed</t>
        </is>
      </c>
      <c r="G17" s="9" t="inlineStr">
        <is>
          <t>With pass-through 0.5 or 0.8 the floating tax multiplies its last value by (1 - pass-through) a second time, so taxes jump in the first projected year.</t>
        </is>
      </c>
      <c r="H17" s="9" t="inlineStr">
        <is>
          <t>Taxes jump in the first projected year when pass-through is between 0 and 1 (none for Egypt: 0 or 1). MVP: Fixed in v4.10 (user rule: bugs are never replicated): the floating part is (1 - pass-through) x (last tax + fall in supply cost), applied once (txf; PriceProjection_Method_v7_0.md A10); no effect for Egypt (pass-through 0 or 1).</t>
        </is>
      </c>
      <c r="I17" s="9" t="inlineStr">
        <is>
          <t>Apply (1 - pass-through) once in the first projected year.</t>
        </is>
      </c>
      <c r="J17" s="9" t="inlineStr">
        <is>
          <t>Mitigation txo rows (cs)</t>
        </is>
      </c>
      <c r="K17" s="9" t="inlineStr">
        <is>
          <t>Closed</t>
        </is>
      </c>
    </row>
    <row r="18">
      <c r="A18" s="9" t="inlineStr">
        <is>
          <t>L15</t>
        </is>
      </c>
      <c r="B18" s="9" t="inlineStr">
        <is>
          <t>Legacy bug</t>
        </is>
      </c>
      <c r="C18" s="9" t="inlineStr">
        <is>
          <t>Medium</t>
        </is>
      </c>
      <c r="D18" s="9" t="inlineStr">
        <is>
          <t>ETS: hardcoded relative price 1.1</t>
        </is>
      </c>
      <c r="E18" s="10" t="inlineStr">
        <is>
          <t>No</t>
        </is>
      </c>
      <c r="F18" s="9" t="inlineStr">
        <is>
          <t>Fixed</t>
        </is>
      </c>
      <c r="G18" s="9" t="inlineStr">
        <is>
          <t>The ETS price effectiveness uses a fixed 1.1 instead of the volatility inputs of the ETS+LTS table.</t>
        </is>
      </c>
      <c r="H18" s="9" t="inlineStr">
        <is>
          <t>The ETS price effectiveness ignores the volatility inputs. MVP: Replaced in the MVP by the volatility adjustment (v1.02); suggested to the legacy team (TODO).</t>
        </is>
      </c>
      <c r="I18" s="9" t="inlineStr">
        <is>
          <t>Use the volatility inputs of the ETS+LTS table instead of the fixed 1.1.</t>
        </is>
      </c>
      <c r="J18" s="9" t="inlineStr">
        <is>
          <t>Mitigation row 1843</t>
        </is>
      </c>
      <c r="K18" s="9" t="inlineStr">
        <is>
          <t>Closed</t>
        </is>
      </c>
    </row>
    <row r="19">
      <c r="A19" s="9" t="inlineStr">
        <is>
          <t>L16</t>
        </is>
      </c>
      <c r="B19" s="9" t="inlineStr">
        <is>
          <t>Legacy bug</t>
        </is>
      </c>
      <c r="C19" s="9" t="inlineStr">
        <is>
          <t>Medium</t>
        </is>
      </c>
      <c r="D19" s="9" t="inlineStr">
        <is>
          <t>ETS quick estimate linear in the semi-elasticity</t>
        </is>
      </c>
      <c r="E19" s="10" t="inlineStr">
        <is>
          <t>No</t>
        </is>
      </c>
      <c r="F19" s="9" t="inlineStr">
        <is>
          <t>Fixed</t>
        </is>
      </c>
      <c r="G19" s="9" t="inlineStr">
        <is>
          <t>The fast estimate divides the reduction by the semi-elasticity (linear); the legacy note says "arguably exp/ln".</t>
        </is>
      </c>
      <c r="H19" s="9" t="inlineStr">
        <is>
          <t>The fast ETS price estimate is off for large cuts, so the goal seek starts far from the answer. MVP: MVP uses the log form LN(cap / baseline) / (semi-elasticity x effectiveness x volatility adjustment) (v1.02).</t>
        </is>
      </c>
      <c r="I19" s="9" t="inlineStr">
        <is>
          <t>Use the log form: price = LN(cap / baseline) / (semi-elasticity x effectiveness).</t>
        </is>
      </c>
      <c r="J19" s="9" t="inlineStr">
        <is>
          <t>Mitigation row 1868</t>
        </is>
      </c>
      <c r="K19" s="9" t="inlineStr">
        <is>
          <t>Closed</t>
        </is>
      </c>
    </row>
    <row r="20">
      <c r="A20" s="9" t="inlineStr">
        <is>
          <t>L18</t>
        </is>
      </c>
      <c r="B20" s="9" t="inlineStr">
        <is>
          <t>Legacy bug</t>
        </is>
      </c>
      <c r="C20" s="9" t="inlineStr">
        <is>
          <t>High</t>
        </is>
      </c>
      <c r="D20" s="9" t="inlineStr">
        <is>
          <t>Non-energy methane never changes</t>
        </is>
      </c>
      <c r="E20" s="10" t="inlineStr">
        <is>
          <t>No</t>
        </is>
      </c>
      <c r="F20" s="9" t="inlineStr">
        <is>
          <t>Fixed</t>
        </is>
      </c>
      <c r="G20" s="9" t="inlineStr">
        <is>
          <t>Livestock, rice and waste CH4 are the inventory values divided by the GWP, constant over time; the abatement shares of the methane fee are computed (rows 6182, 6194, 6206) but not applied, so a methane fee on agriculture and waste has no effect.</t>
        </is>
      </c>
      <c r="H20" s="9" t="inlineStr">
        <is>
          <t>Non-energy methane is flat and a methane fee on agriculture and waste has no effect. MVP: Fixed in v2.8: the sources grow with income and population and the fee abates them along their curves (GHG_Method_v7_0.md).</t>
        </is>
      </c>
      <c r="I20" s="9" t="inlineStr">
        <is>
          <t>Grow livestock, rice and waste methane with their drivers (income, population) and apply the abatement shares already computed in rows 6182, 6194, 6206.</t>
        </is>
      </c>
      <c r="J20" s="9" t="inlineStr">
        <is>
          <t>Mitigation rows 6172-6227 (livestock, rice, waste)</t>
        </is>
      </c>
      <c r="K20" s="9" t="inlineStr">
        <is>
          <t>Closed</t>
        </is>
      </c>
    </row>
    <row r="21">
      <c r="A21" s="9" t="inlineStr">
        <is>
          <t>L19</t>
        </is>
      </c>
      <c r="B21" s="9" t="inlineStr">
        <is>
          <t>Legacy bug</t>
        </is>
      </c>
      <c r="C21" s="9" t="inlineStr">
        <is>
          <t>High</t>
        </is>
      </c>
      <c r="D21" s="9" t="inlineStr">
        <is>
          <t>Flaring CO2 counted as methane</t>
        </is>
      </c>
      <c r="E21" s="10" t="inlineStr">
        <is>
          <t>No</t>
        </is>
      </c>
      <c r="F21" s="9" t="inlineStr">
        <is>
          <t>Fixed</t>
        </is>
      </c>
      <c r="G21" s="9" t="inlineStr">
        <is>
          <t>The CO2 from flaring the abated oil and gas methane is divided by the CH4 GWP and added to the CH4 row.</t>
        </is>
      </c>
      <c r="H21" s="9" t="inlineStr">
        <is>
          <t>Methane overstated and CO2 understated when the fee abates oil and gas methane. MVP: Fixed in v2.8: reported as CO2 in energy (row ghg.flr).</t>
        </is>
      </c>
      <c r="I21" s="9" t="inlineStr">
        <is>
          <t>Report the CO2 from flaring as CO2 in energy, not divided by the CH4 GWP in the CH4 row.</t>
        </is>
      </c>
      <c r="J21" s="9" t="inlineStr">
        <is>
          <t>Mitigation rows 6155-6156</t>
        </is>
      </c>
      <c r="K21" s="9" t="inlineStr">
        <is>
          <t>Closed</t>
        </is>
      </c>
    </row>
    <row r="22">
      <c r="A22" s="9" t="inlineStr">
        <is>
          <t>L20</t>
        </is>
      </c>
      <c r="B22" s="9" t="inlineStr">
        <is>
          <t>Legacy bug</t>
        </is>
      </c>
      <c r="C22" s="9" t="inlineStr">
        <is>
          <t>High</t>
        </is>
      </c>
      <c r="D22" s="9" t="inlineStr">
        <is>
          <t>Population growth path</t>
        </is>
      </c>
      <c r="E22" s="10" t="inlineStr">
        <is>
          <t>No</t>
        </is>
      </c>
      <c r="F22" s="9" t="inlineStr">
        <is>
          <t>Fixed</t>
        </is>
      </c>
      <c r="G22" s="9" t="inlineStr">
        <is>
          <t>Population growth is 2% a year from 2027 and 3-4% from 2031, so Egypt reaches 185 million in 2041 against 147 million in the legacy sheet UNPop; it drives the agriculture, waste and other GHGs.</t>
        </is>
      </c>
      <c r="H22" s="9" t="inlineStr">
        <is>
          <t>Egypt reaches 185 million in 2041 instead of 147 million; agriculture, waste and other GHGs too high after 2030. MVP: Fixed in v2.8: population from UNPop (UN WPP).</t>
        </is>
      </c>
      <c r="I22" s="9" t="inlineStr">
        <is>
          <t>Use the UN WPP population of sheet UNPop (or fix the growth path).</t>
        </is>
      </c>
      <c r="J22" s="9" t="inlineStr">
        <is>
          <t>Mitigation rows 481, 2428 (macro drivers)</t>
        </is>
      </c>
      <c r="K22" s="9" t="inlineStr">
        <is>
          <t>Closed</t>
        </is>
      </c>
    </row>
    <row r="23">
      <c r="A23" s="9" t="inlineStr">
        <is>
          <t>L21</t>
        </is>
      </c>
      <c r="B23" s="9" t="inlineStr">
        <is>
          <t>Legacy bug</t>
        </is>
      </c>
      <c r="C23" s="9" t="inlineStr">
        <is>
          <t>Medium</t>
        </is>
      </c>
      <c r="D23" s="9" t="inlineStr">
        <is>
          <t>Waste abated with the livestock curve</t>
        </is>
      </c>
      <c r="E23" s="10" t="inlineStr">
        <is>
          <t>No</t>
        </is>
      </c>
      <c r="F23" s="9" t="inlineStr">
        <is>
          <t>Fixed</t>
        </is>
      </c>
      <c r="G23" s="9" t="inlineStr">
        <is>
          <t>The abatement share of waste equals that of livestock (=M6182) instead of the waste curve of CH4Inputs.</t>
        </is>
      </c>
      <c r="H23" s="9" t="inlineStr">
        <is>
          <t>Waste methane is abated as if it were livestock. MVP: Fixed in v2.8: every source uses its own curve.</t>
        </is>
      </c>
      <c r="I23" s="9" t="inlineStr">
        <is>
          <t>Use the waste curve of CH4Inputs for waste (row 6206 now = M6182, the livestock share).</t>
        </is>
      </c>
      <c r="J23" s="9" t="inlineStr">
        <is>
          <t>Mitigation row 6206</t>
        </is>
      </c>
      <c r="K23" s="9" t="inlineStr">
        <is>
          <t>Closed</t>
        </is>
      </c>
    </row>
    <row r="24">
      <c r="A24" s="9" t="inlineStr">
        <is>
          <t>L22</t>
        </is>
      </c>
      <c r="B24" s="9" t="inlineStr">
        <is>
          <t>Legacy bug</t>
        </is>
      </c>
      <c r="C24" s="9" t="inlineStr">
        <is>
          <t>Medium</t>
        </is>
      </c>
      <c r="D24" s="9" t="inlineStr">
        <is>
          <t>Navigation missing from the local pollutant totals</t>
        </is>
      </c>
      <c r="E24" s="10" t="inlineStr">
        <is>
          <t>No</t>
        </is>
      </c>
      <c r="F24" s="9" t="inlineStr">
        <is>
          <t>Fixed</t>
        </is>
      </c>
      <c r="G24" s="9" t="inlineStr">
        <is>
          <t>The transport and total pollutant rows sum road, rail and aviation but leave out domestic navigation.</t>
        </is>
      </c>
      <c r="H24" s="9" t="inlineStr">
        <is>
          <t>Pollutant totals miss navigation. MVP: Fixed in v2.9: navigation included (section 15).</t>
        </is>
      </c>
      <c r="I24" s="9" t="inlineStr">
        <is>
          <t>Add domestic navigation to the transport and total pollutant rows.</t>
        </is>
      </c>
      <c r="J24" s="9" t="inlineStr">
        <is>
          <t>Mitigation local pollutant totals (sections 13-14)</t>
        </is>
      </c>
      <c r="K24" s="9" t="inlineStr">
        <is>
          <t>Closed</t>
        </is>
      </c>
    </row>
    <row r="25">
      <c r="A25" s="9" t="inlineStr">
        <is>
          <t>L23</t>
        </is>
      </c>
      <c r="B25" s="9" t="inlineStr">
        <is>
          <t>Legacy bug</t>
        </is>
      </c>
      <c r="C25" s="9" t="inlineStr">
        <is>
          <t>Low</t>
        </is>
      </c>
      <c r="D25" s="9" t="inlineStr">
        <is>
          <t>Services and food &amp; forestry missing from the pollutant totals</t>
        </is>
      </c>
      <c r="E25" s="10" t="inlineStr">
        <is>
          <t>No</t>
        </is>
      </c>
      <c r="F25" s="9" t="inlineStr">
        <is>
          <t>Fixed</t>
        </is>
      </c>
      <c r="G25" s="9" t="inlineStr">
        <is>
          <t>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H25" s="9" t="inlineStr">
        <is>
          <t>None for Egypt (they emit zero there); totals too low wherever they emit. MVP: Fixed in v3.0: totals = all subsectors + power.</t>
        </is>
      </c>
      <c r="I25" s="9" t="inlineStr">
        <is>
          <t>Add services and food &amp; forestry to the total of each pollutant.</t>
        </is>
      </c>
      <c r="J25" s="9" t="inlineStr">
        <is>
          <t>Mitigation rows 6704, 6806, ... (total emissions of each pollutant)</t>
        </is>
      </c>
      <c r="K25" s="9" t="inlineStr">
        <is>
          <t>Closed</t>
        </is>
      </c>
    </row>
    <row r="26">
      <c r="A26" s="9" t="inlineStr">
        <is>
          <t>L24</t>
        </is>
      </c>
      <c r="B26" s="9" t="inlineStr">
        <is>
          <t>Legacy bug</t>
        </is>
      </c>
      <c r="C26" s="9" t="inlineStr">
        <is>
          <t>High</t>
        </is>
      </c>
      <c r="D26" s="9" t="inlineStr">
        <is>
          <t>GDP effect added to GDP growth every year</t>
        </is>
      </c>
      <c r="E26" s="10" t="inlineStr">
        <is>
          <t>No</t>
        </is>
      </c>
      <c r="F26" s="9" t="inlineStr">
        <is>
          <t>Fixed</t>
        </is>
      </c>
      <c r="G26" s="9" t="inlineStr">
        <is>
          <t>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H26" s="9" t="inlineStr">
        <is>
          <t>A steady effect of 0.5% compounds to about +10% of GDP after 20 years, in every run with endogenous GDP effects (the NoPropData file strips these rows). MVP: Fixed in v3.1: the GDP level is raised by the effect (growth from the ratio of level factors).</t>
        </is>
      </c>
      <c r="I26" s="9" t="inlineStr">
        <is>
          <t>Raise the GDP level by the effect: growth = (1 + g) x (1 + e(t-1)) / (1 + e(t-2)) - 1, not g + e.</t>
        </is>
      </c>
      <c r="J26" s="9" t="inlineStr">
        <is>
          <t>Mitigation rows 2443-2446, 8288</t>
        </is>
      </c>
      <c r="K26" s="9" t="inlineStr">
        <is>
          <t>Closed</t>
        </is>
      </c>
    </row>
    <row r="27">
      <c r="A27" s="9" t="inlineStr">
        <is>
          <t>L25</t>
        </is>
      </c>
      <c r="B27" s="9" t="inlineStr">
        <is>
          <t>Legacy bug</t>
        </is>
      </c>
      <c r="C27" s="9" t="inlineStr">
        <is>
          <t>Low</t>
        </is>
      </c>
      <c r="D27" s="9" t="inlineStr">
        <is>
          <t>Road: distance tax and 2-3 wheeler EV subsidy apply in the baseline</t>
        </is>
      </c>
      <c r="E27" s="10" t="inlineStr">
        <is>
          <t>No</t>
        </is>
      </c>
      <c r="F27" s="9" t="inlineStr">
        <is>
          <t>Fixed (engineer road model)</t>
        </is>
      </c>
      <c r="G27" s="9" t="inlineStr">
        <is>
          <t>Passenger distance tax and 2-3 wheeler EV subsidy test ($C2227&gt;1), text "res" &gt; 1 is TRUE, so they also apply in the baseline.</t>
        </is>
      </c>
      <c r="H27" s="9" t="inlineStr">
        <is>
          <t>None in the Egypt engineer run (the policy or fuel is zero there). MVP: Fixed in the MVP engineer road model (v3.5; Transport_vs_Legacy_v7_0.md); latent in the legacy Egypt run (elasticity road model).</t>
        </is>
      </c>
      <c r="I27" s="9" t="inlineStr">
        <is>
          <t>Scenario number &gt; 1.</t>
        </is>
      </c>
      <c r="J27" s="9" t="inlineStr">
        <is>
          <t>Mitigation rows 4451, 4720 (engineer road model, survey B1)</t>
        </is>
      </c>
      <c r="K27" s="9" t="inlineStr">
        <is>
          <t>Closed</t>
        </is>
      </c>
    </row>
    <row r="28">
      <c r="A28" s="9" t="inlineStr">
        <is>
          <t>L26</t>
        </is>
      </c>
      <c r="B28" s="9" t="inlineStr">
        <is>
          <t>Legacy bug</t>
        </is>
      </c>
      <c r="C28" s="9" t="inlineStr">
        <is>
          <t>Low</t>
        </is>
      </c>
      <c r="D28" s="9" t="inlineStr">
        <is>
          <t>Road: freight and 2-3 wheeler income growth read coal subsidies from 2038</t>
        </is>
      </c>
      <c r="E28" s="10" t="inlineStr">
        <is>
          <t>No</t>
        </is>
      </c>
      <c r="F28" s="9" t="inlineStr">
        <is>
          <t>Fixed (engineer road model)</t>
        </is>
      </c>
      <c r="G28" s="9" t="inlineStr">
        <is>
          <t>Freight and 2-3 wheeler income growth read row 2455 (coal producer subsidies) from 2038.</t>
        </is>
      </c>
      <c r="H28" s="9" t="inlineStr">
        <is>
          <t>None in the Egypt engineer run (the policy or fuel is zero there). MVP: Fixed in the MVP engineer road model (v3.5; Transport_vs_Legacy_v7_0.md); latent in the legacy Egypt run (elasticity road model).</t>
        </is>
      </c>
      <c r="I28" s="9" t="inlineStr">
        <is>
          <t>Lagged GDP growth (row 2446) in all years.</t>
        </is>
      </c>
      <c r="J28" s="9" t="inlineStr">
        <is>
          <t>Mitigation rows 4487 AB:AE (also 4501) (engineer road model, survey B2)</t>
        </is>
      </c>
      <c r="K28" s="9" t="inlineStr">
        <is>
          <t>Closed</t>
        </is>
      </c>
    </row>
    <row r="29">
      <c r="A29" s="9" t="inlineStr">
        <is>
          <t>L27</t>
        </is>
      </c>
      <c r="B29" s="9" t="inlineStr">
        <is>
          <t>Legacy bug</t>
        </is>
      </c>
      <c r="C29" s="9" t="inlineStr">
        <is>
          <t>Medium</t>
        </is>
      </c>
      <c r="D29" s="9" t="inlineStr">
        <is>
          <t>Road: vehicle ownership calibration only scales up (and uses 2024)</t>
        </is>
      </c>
      <c r="E29" s="10" t="inlineStr">
        <is>
          <t>No</t>
        </is>
      </c>
      <c r="F29" s="9" t="inlineStr">
        <is>
          <t>Fixed (engineer road model)</t>
        </is>
      </c>
      <c r="G29" s="9" t="inlineStr">
        <is>
          <t>Ownership calibration MAX(1, actual/expected) at 2024 (column N).</t>
        </is>
      </c>
      <c r="H29" s="9" t="inlineStr">
        <is>
          <t>Egypt engineer baseline 2035: gasoline -33.9%, diesel -37.9%, road electricity -52.4%, passenger EV sales share -2.6 points. MVP: Fixed in the MVP engineer road model (v3.5; Transport_vs_Legacy_v7_0.md); latent in the legacy Egypt run (elasticity road model).</t>
        </is>
      </c>
      <c r="I29" s="9" t="inlineStr">
        <is>
          <t>Actual/expected in both directions at the last data year found in the data.</t>
        </is>
      </c>
      <c r="J29" s="9" t="inlineStr">
        <is>
          <t>Mitigation rows H4787:J4787, H4903:J4903 (engineer road model, survey B3)</t>
        </is>
      </c>
      <c r="K29" s="9" t="inlineStr">
        <is>
          <t>Closed</t>
        </is>
      </c>
    </row>
    <row r="30">
      <c r="A30" s="9" t="inlineStr">
        <is>
          <t>L28</t>
        </is>
      </c>
      <c r="B30" s="9" t="inlineStr">
        <is>
          <t>Legacy bug</t>
        </is>
      </c>
      <c r="C30" s="9" t="inlineStr">
        <is>
          <t>Medium</t>
        </is>
      </c>
      <c r="D30" s="9" t="inlineStr">
        <is>
          <t>Road: freight-share cap and 2-3 wheeler peak use 2024</t>
        </is>
      </c>
      <c r="E30" s="10" t="inlineStr">
        <is>
          <t>No</t>
        </is>
      </c>
      <c r="F30" s="9" t="inlineStr">
        <is>
          <t>Fixed (engineer road model)</t>
        </is>
      </c>
      <c r="G30" s="9" t="inlineStr">
        <is>
          <t>Freight-share cap and 2-3 wheeler peak read 2024 (column N).</t>
        </is>
      </c>
      <c r="H30" s="9" t="inlineStr">
        <is>
          <t>Egypt engineer baseline 2035: gasoline +0.0%, diesel +0.0%, road electricity -0.6%, passenger EV sales share -0.1 points. MVP: Fixed in the MVP engineer road model (v3.5; Transport_vs_Legacy_v7_0.md); latent in the legacy Egypt run (elasticity road model).</t>
        </is>
      </c>
      <c r="I30" s="9" t="inlineStr">
        <is>
          <t>Last data year.</t>
        </is>
      </c>
      <c r="J30" s="9" t="inlineStr">
        <is>
          <t>Mitigation rows $N2168, J2169 (engineer road model, survey B3b)</t>
        </is>
      </c>
      <c r="K30" s="9" t="inlineStr">
        <is>
          <t>Closed</t>
        </is>
      </c>
    </row>
    <row r="31">
      <c r="A31" s="9" t="inlineStr">
        <is>
          <t>L29</t>
        </is>
      </c>
      <c r="B31" s="9" t="inlineStr">
        <is>
          <t>Legacy bug</t>
        </is>
      </c>
      <c r="C31" s="9" t="inlineStr">
        <is>
          <t>Low</t>
        </is>
      </c>
      <c r="D31" s="9" t="inlineStr">
        <is>
          <t>Road: ownership of cars and trucks cannot fall</t>
        </is>
      </c>
      <c r="E31" s="10" t="inlineStr">
        <is>
          <t>No</t>
        </is>
      </c>
      <c r="F31" s="9" t="inlineStr">
        <is>
          <t>Fixed (engineer road model)</t>
        </is>
      </c>
      <c r="G31" s="9" t="inlineStr">
        <is>
          <t>Ownership cannot fall (max annual decrease 0 for passenger and freight).</t>
        </is>
      </c>
      <c r="H31" s="9" t="inlineStr">
        <is>
          <t>None in the Egypt engineer run (the policy or fuel is zero there). MVP: Fixed in the MVP engineer road model (v3.5; Transport_vs_Legacy_v7_0.md); latent in the legacy Egypt run (elasticity road model).</t>
        </is>
      </c>
      <c r="I31" s="9" t="inlineStr">
        <is>
          <t>Allow a decrease of up to own_decline_fix a year (legacy 2-3 wheeler value, 10%).</t>
        </is>
      </c>
      <c r="J31" s="9" t="inlineStr">
        <is>
          <t>Mitigation rows T4328, U4328 (engineer road model, survey B4)</t>
        </is>
      </c>
      <c r="K31" s="9" t="inlineStr">
        <is>
          <t>Closed</t>
        </is>
      </c>
    </row>
    <row r="32">
      <c r="A32" s="9" t="inlineStr">
        <is>
          <t>L30</t>
        </is>
      </c>
      <c r="B32" s="9" t="inlineStr">
        <is>
          <t>Legacy bug</t>
        </is>
      </c>
      <c r="C32" s="9" t="inlineStr">
        <is>
          <t>Medium</t>
        </is>
      </c>
      <c r="D32" s="9" t="inlineStr">
        <is>
          <t>Road: bus fuel scaled by the wrong rows</t>
        </is>
      </c>
      <c r="E32" s="10" t="inlineStr">
        <is>
          <t>No</t>
        </is>
      </c>
      <c r="F32" s="9" t="inlineStr">
        <is>
          <t>Fixed (engineer road model)</t>
        </is>
      </c>
      <c r="G32" s="9" t="inlineStr">
        <is>
          <t>Bus fuel scaled by the wrong rows (LPG, gas and PHEV distance, BEV vehicles) and bus electricity from a sum of liters and kWh.</t>
        </is>
      </c>
      <c r="H32" s="9" t="inlineStr">
        <is>
          <t>Egypt engineer baseline 2035: gasoline +0.0%, diesel -0.3%, road electricity -16.8%, passenger EV sales share +0.0 points. MVP: Fixed in the MVP engineer road model (v3.5; Transport_vs_Legacy_v7_0.md); latent in the legacy Egypt run (elasticity road model).</t>
        </is>
      </c>
      <c r="I32" s="9" t="inlineStr">
        <is>
          <t>Passenger fuel use by fuel in ktoe (5195-5198) and passenger electricity (5223), base bus energy in ktoe.</t>
        </is>
      </c>
      <c r="J32" s="9" t="inlineStr">
        <is>
          <t>Mitigation rows 5310-5314, 5318 (engineer road model, survey B6)</t>
        </is>
      </c>
      <c r="K32" s="9" t="inlineStr">
        <is>
          <t>Closed</t>
        </is>
      </c>
    </row>
    <row r="33">
      <c r="A33" s="9" t="inlineStr">
        <is>
          <t>L31</t>
        </is>
      </c>
      <c r="B33" s="9" t="inlineStr">
        <is>
          <t>Legacy bug</t>
        </is>
      </c>
      <c r="C33" s="9" t="inlineStr">
        <is>
          <t>Medium</t>
        </is>
      </c>
      <c r="D33" s="9" t="inlineStr">
        <is>
          <t>Road: bus share grossed up as x(1+share)</t>
        </is>
      </c>
      <c r="E33" s="10" t="inlineStr">
        <is>
          <t>No</t>
        </is>
      </c>
      <c r="F33" s="9" t="inlineStr">
        <is>
          <t>Fixed (engineer road model)</t>
        </is>
      </c>
      <c r="G33" s="9" t="inlineStr">
        <is>
          <t>Bus share added to the bottom-up fuel use as x(1+bus share).</t>
        </is>
      </c>
      <c r="H33" s="9" t="inlineStr">
        <is>
          <t>Egypt engineer baseline 2035: gasoline -0.0%, diesel +0.0%, road electricity -0.3%, passenger EV sales share +0.0 points. MVP: Fixed in the MVP engineer road model (v3.5; Transport_vs_Legacy_v7_0.md); latent in the legacy Egypt run (elasticity road model).</t>
        </is>
      </c>
      <c r="I33" s="9" t="inlineStr">
        <is>
          <t>/(1-bus share).</t>
        </is>
      </c>
      <c r="J33" s="9" t="inlineStr">
        <is>
          <t>Mitigation rows O5171:O5173 (engineer road model, survey B6b)</t>
        </is>
      </c>
      <c r="K33" s="9" t="inlineStr">
        <is>
          <t>Closed</t>
        </is>
      </c>
    </row>
    <row r="34">
      <c r="A34" s="9" t="inlineStr">
        <is>
          <t>L32</t>
        </is>
      </c>
      <c r="B34" s="9" t="inlineStr">
        <is>
          <t>Legacy bug</t>
        </is>
      </c>
      <c r="C34" s="9" t="inlineStr">
        <is>
          <t>Low</t>
        </is>
      </c>
      <c r="D34" s="9" t="inlineStr">
        <is>
          <t>Road: industry emission factors for road diesel and LPG</t>
        </is>
      </c>
      <c r="E34" s="10" t="inlineStr">
        <is>
          <t>No</t>
        </is>
      </c>
      <c r="F34" s="9" t="inlineStr">
        <is>
          <t>Fixed (engineer road model)</t>
        </is>
      </c>
      <c r="G34" s="9" t="inlineStr">
        <is>
          <t>Stale emission-factor names: diesel and LPG use industry EFs, CNG/LNG the residential gas EF.</t>
        </is>
      </c>
      <c r="H34" s="9" t="inlineStr">
        <is>
          <t>None in the Egypt engineer run (the policy or fuel is zero there). MVP: Fixed in the MVP engineer road model (v3.5; Transport_vs_Legacy_v7_0.md); latent in the legacy Egypt run (elasticity road model).</t>
        </is>
      </c>
      <c r="I34" s="9" t="inlineStr">
        <is>
          <t>Road EFs.</t>
        </is>
      </c>
      <c r="J34" s="9" t="inlineStr">
        <is>
          <t>Mitigation rows G4376-G4378, G4419-G4421 (engineer road model, survey B7)</t>
        </is>
      </c>
      <c r="K34" s="9" t="inlineStr">
        <is>
          <t>Closed</t>
        </is>
      </c>
    </row>
    <row r="35">
      <c r="A35" s="9" t="inlineStr">
        <is>
          <t>L33</t>
        </is>
      </c>
      <c r="B35" s="9" t="inlineStr">
        <is>
          <t>Legacy bug</t>
        </is>
      </c>
      <c r="C35" s="9" t="inlineStr">
        <is>
          <t>Medium</t>
        </is>
      </c>
      <c r="D35" s="9" t="inlineStr">
        <is>
          <t>Road: wrong elasticities and rows in freight and 2-3 wheeler distance</t>
        </is>
      </c>
      <c r="E35" s="10" t="inlineStr">
        <is>
          <t>No</t>
        </is>
      </c>
      <c r="F35" s="9" t="inlineStr">
        <is>
          <t>Fixed (engineer road model)</t>
        </is>
      </c>
      <c r="G35" s="9" t="inlineStr">
        <is>
          <t>BEV freight distance uses the 2-3 wheeler income elasticity; BEV 2-3 wheeler distance uses the cost ratio twice and no income term; LPG freight base row; freight ICE depreciation switches to the passenger discount rate from 2023.</t>
        </is>
      </c>
      <c r="H35" s="9" t="inlineStr">
        <is>
          <t>Egypt engineer baseline 2035: gasoline -0.0%, diesel -0.2%, road electricity +4.0%, passenger EV sales share +0.0 points. MVP: Fixed in the MVP engineer road model (v3.5; Transport_vs_Legacy_v7_0.md); latent in the legacy Egypt run (elasticity road model).</t>
        </is>
      </c>
      <c r="I35" s="9" t="inlineStr">
        <is>
          <t>As the sibling rows.</t>
        </is>
      </c>
      <c r="J35" s="9" t="inlineStr">
        <is>
          <t>Mitigation rows M5261, M5295, M5232, M4646 (engineer road model, survey B8)</t>
        </is>
      </c>
      <c r="K35" s="9" t="inlineStr">
        <is>
          <t>Closed</t>
        </is>
      </c>
    </row>
    <row r="36">
      <c r="A36" s="9" t="inlineStr">
        <is>
          <t>L34</t>
        </is>
      </c>
      <c r="B36" s="9" t="inlineStr">
        <is>
          <t>Legacy bug</t>
        </is>
      </c>
      <c r="C36" s="9" t="inlineStr">
        <is>
          <t>Medium</t>
        </is>
      </c>
      <c r="D36" s="9" t="inlineStr">
        <is>
          <t>Road: freight discounted at the power-sector WACC</t>
        </is>
      </c>
      <c r="E36" s="10" t="inlineStr">
        <is>
          <t>No</t>
        </is>
      </c>
      <c r="F36" s="9" t="inlineStr">
        <is>
          <t>Fixed (engineer road model)</t>
        </is>
      </c>
      <c r="G36" s="9" t="inlineStr">
        <is>
          <t>Freight discounted at the average power-sector WACC.</t>
        </is>
      </c>
      <c r="H36" s="9" t="inlineStr">
        <is>
          <t>Egypt engineer baseline 2035: gasoline +0.0%, diesel +0.2%, road electricity -1.0%, passenger EV sales share -0.0 points. MVP: Fixed in the MVP engineer road model (v3.5; Transport_vs_Legacy_v7_0.md); latent in the legacy Egypt run (elasticity road model).</t>
        </is>
      </c>
      <c r="I36" s="9" t="inlineStr">
        <is>
          <t>The consumer discount rate (row 4531).</t>
        </is>
      </c>
      <c r="J36" s="9" t="inlineStr">
        <is>
          <t>Mitigation rows K4329 (engineer road model, survey B8w)</t>
        </is>
      </c>
      <c r="K36" s="9" t="inlineStr">
        <is>
          <t>Closed</t>
        </is>
      </c>
    </row>
    <row r="37">
      <c r="A37" s="9" t="inlineStr">
        <is>
          <t>L35</t>
        </is>
      </c>
      <c r="B37" s="9" t="inlineStr">
        <is>
          <t>Legacy bug</t>
        </is>
      </c>
      <c r="C37" s="9" t="inlineStr">
        <is>
          <t>Medium</t>
        </is>
      </c>
      <c r="D37" s="9" t="inlineStr">
        <is>
          <t>Road: negative PHEV sales share</t>
        </is>
      </c>
      <c r="E37" s="10" t="inlineStr">
        <is>
          <t>No</t>
        </is>
      </c>
      <c r="F37" s="9" t="inlineStr">
        <is>
          <t>Fixed (engineer road model)</t>
        </is>
      </c>
      <c r="G37" s="9" t="inlineStr">
        <is>
          <t>PHEV sales share = passenger EV share - blended passenger/light BEV share (negative).</t>
        </is>
      </c>
      <c r="H37" s="9" t="inlineStr">
        <is>
          <t>Egypt engineer baseline 2035: gasoline -0.0%, diesel +0.1%, road electricity +0.2%, passenger EV sales share +0.0 points. MVP: Fixed in the MVP engineer road model (v3.5; Transport_vs_Legacy_v7_0.md); latent in the legacy Egypt run (elasticity road model).</t>
        </is>
      </c>
      <c r="I37" s="9" t="inlineStr">
        <is>
          <t>(EV - BEV passenger share) x passenger share, ICE shares scaled to the rest.</t>
        </is>
      </c>
      <c r="J37" s="9" t="inlineStr">
        <is>
          <t>Mitigation rows 4850 L:O (engineer road model, survey B9)</t>
        </is>
      </c>
      <c r="K37" s="9" t="inlineStr">
        <is>
          <t>Closed</t>
        </is>
      </c>
    </row>
    <row r="38">
      <c r="A38" s="9" t="inlineStr">
        <is>
          <t>L36</t>
        </is>
      </c>
      <c r="B38" s="9" t="inlineStr">
        <is>
          <t>Legacy bug</t>
        </is>
      </c>
      <c r="C38" s="9" t="inlineStr">
        <is>
          <t>Low</t>
        </is>
      </c>
      <c r="D38" s="9" t="inlineStr">
        <is>
          <t>Road: charging-station subsidy ramp</t>
        </is>
      </c>
      <c r="E38" s="10" t="inlineStr">
        <is>
          <t>No</t>
        </is>
      </c>
      <c r="F38" s="9" t="inlineStr">
        <is>
          <t>Fixed (engineer road model)</t>
        </is>
      </c>
      <c r="G38" s="9" t="inlineStr">
        <is>
          <t>Charging-station subsidy ramp accumulates before the start year and is not capped at the target year.</t>
        </is>
      </c>
      <c r="H38" s="9" t="inlineStr">
        <is>
          <t>None in the Egypt engineer run (the policy or fuel is zero there). MVP: Fixed in the MVP engineer road model (v3.5; Transport_vs_Legacy_v7_0.md); latent in the legacy Egypt run (elasticity road model).</t>
        </is>
      </c>
      <c r="I38" s="9" t="inlineStr">
        <is>
          <t>0 before the start year, linear to the target level, then constant.</t>
        </is>
      </c>
      <c r="J38" s="9" t="inlineStr">
        <is>
          <t>Mitigation rows 4343 (engineer road model, survey B10)</t>
        </is>
      </c>
      <c r="K38" s="9" t="inlineStr">
        <is>
          <t>Closed</t>
        </is>
      </c>
    </row>
    <row r="39">
      <c r="A39" s="9" t="inlineStr">
        <is>
          <t>L37</t>
        </is>
      </c>
      <c r="B39" s="9" t="inlineStr">
        <is>
          <t>Legacy bug</t>
        </is>
      </c>
      <c r="C39" s="9" t="inlineStr">
        <is>
          <t>Medium</t>
        </is>
      </c>
      <c r="D39" s="9" t="inlineStr">
        <is>
          <t>Road: new BEV maintenance at the ICEV rate</t>
        </is>
      </c>
      <c r="E39" s="10" t="inlineStr">
        <is>
          <t>No</t>
        </is>
      </c>
      <c r="F39" s="9" t="inlineStr">
        <is>
          <t>Fixed (engineer road model)</t>
        </is>
      </c>
      <c r="G39" s="9" t="inlineStr">
        <is>
          <t>New BEV maintenance uses the ICEV maintenance cost (J4327).</t>
        </is>
      </c>
      <c r="H39" s="9" t="inlineStr">
        <is>
          <t>Egypt engineer baseline 2035: gasoline -0.1%, diesel -0.0%, road electricity +1.2%, passenger EV sales share +0.5 points. MVP: Fixed in the MVP engineer road model (v3.5; Transport_vs_Legacy_v7_0.md); latent in the legacy Egypt run (elasticity road model).</t>
        </is>
      </c>
      <c r="I39" s="9" t="inlineStr">
        <is>
          <t>EV maintenance (J4328).</t>
        </is>
      </c>
      <c r="J39" s="9" t="inlineStr">
        <is>
          <t>Mitigation rows 4573 (engineer road model, survey B19)</t>
        </is>
      </c>
      <c r="K39" s="9" t="inlineStr">
        <is>
          <t>Closed</t>
        </is>
      </c>
    </row>
    <row r="40">
      <c r="A40" s="9" t="inlineStr">
        <is>
          <t>L38</t>
        </is>
      </c>
      <c r="B40" s="9" t="inlineStr">
        <is>
          <t>Legacy bug</t>
        </is>
      </c>
      <c r="C40" s="9" t="inlineStr">
        <is>
          <t>Medium</t>
        </is>
      </c>
      <c r="D40" s="9" t="inlineStr">
        <is>
          <t>Road: used ICEV and BEV depreciation over different periods</t>
        </is>
      </c>
      <c r="E40" s="10" t="inlineStr">
        <is>
          <t>No</t>
        </is>
      </c>
      <c r="F40" s="9" t="inlineStr">
        <is>
          <t>Fixed (engineer road model)</t>
        </is>
      </c>
      <c r="G40" s="9" t="inlineStr">
        <is>
          <t>Used ICEV depreciation annuity over own_years-1 (6) years, used BEV over 12.</t>
        </is>
      </c>
      <c r="H40" s="9" t="inlineStr">
        <is>
          <t>Egypt engineer baseline 2035: gasoline +5.1%, diesel +3.1%, road electricity -50.7%, passenger EV sales share -10.0 points. MVP: Fixed in the MVP engineer road model (v3.5; Transport_vs_Legacy_v7_0.md); latent in the legacy Egypt run (elasticity road model).</t>
        </is>
      </c>
      <c r="I40" s="9" t="inlineStr">
        <is>
          <t>Used ownership period - 1 (J4323-1) for both.</t>
        </is>
      </c>
      <c r="J40" s="9" t="inlineStr">
        <is>
          <t>Mitigation rows 4598 (engineer road model, survey B20)</t>
        </is>
      </c>
      <c r="K40" s="9" t="inlineStr">
        <is>
          <t>Closed</t>
        </is>
      </c>
    </row>
    <row r="41">
      <c r="A41" s="9" t="inlineStr">
        <is>
          <t>L39</t>
        </is>
      </c>
      <c r="B41" s="9" t="inlineStr">
        <is>
          <t>Legacy bug</t>
        </is>
      </c>
      <c r="C41" s="9" t="inlineStr">
        <is>
          <t>Low</t>
        </is>
      </c>
      <c r="D41" s="9" t="inlineStr">
        <is>
          <t>Road: freight distance output omits LPG and LNG trucks</t>
        </is>
      </c>
      <c r="E41" s="10" t="inlineStr">
        <is>
          <t>No</t>
        </is>
      </c>
      <c r="F41" s="9" t="inlineStr">
        <is>
          <t>Fixed (engineer road model)</t>
        </is>
      </c>
      <c r="G41" s="9" t="inlineStr">
        <is>
          <t>Freight distance output omits LPG and LNG trucks.</t>
        </is>
      </c>
      <c r="H41" s="9" t="inlineStr">
        <is>
          <t>None in the Egypt engineer run (the policy or fuel is zero there). MVP: Fixed in the MVP engineer road model (v3.5; Transport_vs_Legacy_v7_0.md); latent in the legacy Egypt run (elasticity road model).</t>
        </is>
      </c>
      <c r="I41" s="9" t="inlineStr">
        <is>
          <t>All fuels.</t>
        </is>
      </c>
      <c r="J41" s="9" t="inlineStr">
        <is>
          <t>Mitigation rows 5267 (engineer road model, survey B21)</t>
        </is>
      </c>
      <c r="K41" s="9" t="inlineStr">
        <is>
          <t>Closed</t>
        </is>
      </c>
    </row>
    <row r="42">
      <c r="A42" s="9" t="inlineStr">
        <is>
          <t>L40</t>
        </is>
      </c>
      <c r="B42" s="9" t="inlineStr">
        <is>
          <t>Legacy bug</t>
        </is>
      </c>
      <c r="C42" s="9" t="inlineStr">
        <is>
          <t>Low</t>
        </is>
      </c>
      <c r="D42" s="9" t="inlineStr">
        <is>
          <t>Road: wrong rows in average gas and EV fuel economy</t>
        </is>
      </c>
      <c r="E42" s="10" t="inlineStr">
        <is>
          <t>No</t>
        </is>
      </c>
      <c r="F42" s="9" t="inlineStr">
        <is>
          <t>Fixed (engineer road model)</t>
        </is>
      </c>
      <c r="G42" s="9" t="inlineStr">
        <is>
          <t>Average gas fuel economy weights freight by LPG freight fuel (5244) instead of LNG (5245); the EV fuel-economy fallback tests diesel (5326) instead of electricity.</t>
        </is>
      </c>
      <c r="H42" s="9" t="inlineStr">
        <is>
          <t>None in the Egypt engineer run (the policy or fuel is zero there). MVP: Fixed in the MVP engineer road model (v3.5; Transport_vs_Legacy_v7_0.md); latent in the legacy Egypt run (elasticity road model).</t>
        </is>
      </c>
      <c r="I42" s="9" t="inlineStr">
        <is>
          <t>Right rows.</t>
        </is>
      </c>
      <c r="J42" s="9" t="inlineStr">
        <is>
          <t>Mitigation rows 5368, 5373 (engineer road model, survey B22)</t>
        </is>
      </c>
      <c r="K42" s="9" t="inlineStr">
        <is>
          <t>Closed</t>
        </is>
      </c>
    </row>
    <row r="43">
      <c r="A43" s="9" t="inlineStr">
        <is>
          <t>L41</t>
        </is>
      </c>
      <c r="B43" s="9" t="inlineStr">
        <is>
          <t>Legacy bug</t>
        </is>
      </c>
      <c r="C43" s="9" t="inlineStr">
        <is>
          <t>Low</t>
        </is>
      </c>
      <c r="D43" s="9" t="inlineStr">
        <is>
          <t>Road: PHEVs carry the full BEV range anxiety</t>
        </is>
      </c>
      <c r="E43" s="10" t="inlineStr">
        <is>
          <t>No</t>
        </is>
      </c>
      <c r="F43" s="9" t="inlineStr">
        <is>
          <t>Fixed (engineer road model)</t>
        </is>
      </c>
      <c r="G43" s="9" t="inlineStr">
        <is>
          <t>PHEV TCO includes the full BEV range anxiety (about 100,000 $/vehicle), so PHEV sales vanish.</t>
        </is>
      </c>
      <c r="H43" s="9" t="inlineStr">
        <is>
          <t>None in the Egypt engineer run (the policy or fuel is zero there). MVP: Fixed in the MVP engineer road model (v3.5; Transport_vs_Legacy_v7_0.md); latent in the legacy Egypt run (elasticity road model).</t>
        </is>
      </c>
      <c r="I43" s="9" t="inlineStr">
        <is>
          <t>No range anxiety for PHEVs (they refuel with gasoline).</t>
        </is>
      </c>
      <c r="J43" s="9" t="inlineStr">
        <is>
          <t>Mitigation rows 4555 (engineer road model, survey B23)</t>
        </is>
      </c>
      <c r="K43" s="9" t="inlineStr">
        <is>
          <t>Closed</t>
        </is>
      </c>
    </row>
    <row r="44">
      <c r="A44" s="9" t="inlineStr">
        <is>
          <t>L42</t>
        </is>
      </c>
      <c r="B44" s="9" t="inlineStr">
        <is>
          <t>Legacy bug</t>
        </is>
      </c>
      <c r="C44" s="9" t="inlineStr">
        <is>
          <t>Medium</t>
        </is>
      </c>
      <c r="D44" s="9" t="inlineStr">
        <is>
          <t>Domestic aviation: GDP growth and shock swapped</t>
        </is>
      </c>
      <c r="E44" s="10" t="inlineStr">
        <is>
          <t>No</t>
        </is>
      </c>
      <c r="F44" s="9" t="inlineStr">
        <is>
          <t>Fixed</t>
        </is>
      </c>
      <c r="G44" s="9" t="inlineStr">
        <is>
          <t>GDP growth enters with elasticity 1 while the shock carries eps_Y x income factor; coal and gas get the shock twice; jet fuel takes the diesel income elasticity.</t>
        </is>
      </c>
      <c r="H44" s="9" t="inlineStr">
        <is>
          <t>Jet fuel x0.87 (2023) to x1.07 (2040) against the standard form. MVP: Fixed in v3.11: jet fuel in the MVP with the standard form (shock once) and the transport oil income elasticity.</t>
        </is>
      </c>
      <c r="I44" s="9" t="inlineStr">
        <is>
          <t>Use the standard form: (1 + g)^(eps_Y x income factor) x (1 + shock), the shock once, jet fuel with its own (oil) income elasticity.</t>
        </is>
      </c>
      <c r="J44" s="9" t="inlineStr">
        <is>
          <t>Mitigation rows 5483-5492</t>
        </is>
      </c>
      <c r="K44" s="9" t="inlineStr">
        <is>
          <t>Closed</t>
        </is>
      </c>
    </row>
    <row r="45">
      <c r="A45" s="9" t="inlineStr">
        <is>
          <t>L43</t>
        </is>
      </c>
      <c r="B45" s="9" t="inlineStr">
        <is>
          <t>Legacy bug</t>
        </is>
      </c>
      <c r="C45" s="9" t="inlineStr">
        <is>
          <t>Medium</t>
        </is>
      </c>
      <c r="D45" s="9" t="inlineStr">
        <is>
          <t>Other energy use: no GDP growth</t>
        </is>
      </c>
      <c r="E45" s="10" t="inlineStr">
        <is>
          <t>No</t>
        </is>
      </c>
      <c r="F45" s="9" t="inlineStr">
        <is>
          <t>Fixed</t>
        </is>
      </c>
      <c r="G45" s="9" t="inlineStr">
        <is>
          <t>The income factor points to the blank row 2440, so other energy use never grows with GDP; rows 6077-6084 have no additional-efficiency term.</t>
        </is>
      </c>
      <c r="H45" s="9" t="inlineStr">
        <is>
          <t>Other energy use flat with GDP: about -46 ktoe (2030) and -124 ktoe (2040) for Egypt. MVP: Fixed in the MVP: other energy use grows with GDP (oil, industry elasticities).</t>
        </is>
      </c>
      <c r="I45" s="9" t="inlineStr">
        <is>
          <t>Point the income factor to row 2433 and add the additional-efficiency term.</t>
        </is>
      </c>
      <c r="J45" s="9" t="inlineStr">
        <is>
          <t>Mitigation rows 6077-6085</t>
        </is>
      </c>
      <c r="K45" s="9" t="inlineStr">
        <is>
          <t>Closed</t>
        </is>
      </c>
    </row>
    <row r="46">
      <c r="A46" s="9" t="inlineStr">
        <is>
          <t>L44</t>
        </is>
      </c>
      <c r="B46" s="9" t="inlineStr">
        <is>
          <t>Legacy bug</t>
        </is>
      </c>
      <c r="C46" s="9" t="inlineStr">
        <is>
          <t>Low</t>
        </is>
      </c>
      <c r="D46" s="9" t="inlineStr">
        <is>
          <t>Residential other oil products priced at the biomass price</t>
        </is>
      </c>
      <c r="E46" s="10" t="inlineStr">
        <is>
          <t>No</t>
        </is>
      </c>
      <c r="F46" s="9" t="inlineStr">
        <is>
          <t>Fixed</t>
        </is>
      </c>
      <c r="G46" s="9" t="inlineStr">
        <is>
          <t>The price term reads row 5549 (biomass) instead of 5548.</t>
        </is>
      </c>
      <c r="H46" s="9" t="inlineStr">
        <is>
          <t>None for Egypt today. MVP: Fixed in the MVP: own price.</t>
        </is>
      </c>
      <c r="I46" s="9" t="inlineStr">
        <is>
          <t>Read the other-oil-products price (row 5548).</t>
        </is>
      </c>
      <c r="J46" s="9" t="inlineStr">
        <is>
          <t>Mitigation row 5559</t>
        </is>
      </c>
      <c r="K46" s="9" t="inlineStr">
        <is>
          <t>Closed</t>
        </is>
      </c>
    </row>
    <row r="47">
      <c r="A47" s="9" t="inlineStr">
        <is>
          <t>L45</t>
        </is>
      </c>
      <c r="B47" s="9" t="inlineStr">
        <is>
          <t>Legacy bug</t>
        </is>
      </c>
      <c r="C47" s="9" t="inlineStr">
        <is>
          <t>Low</t>
        </is>
      </c>
      <c r="D47" s="9" t="inlineStr">
        <is>
          <t>Residential leakage to biomass inconsistent</t>
        </is>
      </c>
      <c r="E47" s="10" t="inlineStr">
        <is>
          <t>No</t>
        </is>
      </c>
      <c r="F47" s="9" t="inlineStr">
        <is>
          <t>Fixed</t>
        </is>
      </c>
      <c r="G47" s="9" t="inlineStr">
        <is>
          <t>Sign and cumulation differ between rows 5564 and 5554; kerosene uses the LPG price and share rows (5587, 5588); duplicate kerosene change rows.</t>
        </is>
      </c>
      <c r="H47" s="9" t="inlineStr">
        <is>
          <t>None while BiomassLeakage = No. MVP: Fixed in v5.1 (feature built, section 6b): one row set per fuel with its own price and share; fuel use = elasticity model + cumulative change computed on last year's actual use; one switch (BiomassLeakage, Settings C59).</t>
        </is>
      </c>
      <c r="I47" s="9" t="inlineStr">
        <is>
          <t>Subtract the fossil change once, use the kerosene rows for kerosene, conserve the substituted energy.</t>
        </is>
      </c>
      <c r="J47" s="9" t="inlineStr">
        <is>
          <t>Mitigation rows 5574-5593</t>
        </is>
      </c>
      <c r="K47" s="9" t="inlineStr">
        <is>
          <t>Closed</t>
        </is>
      </c>
    </row>
    <row r="48">
      <c r="A48" s="9" t="inlineStr">
        <is>
          <t>L46</t>
        </is>
      </c>
      <c r="B48" s="9" t="inlineStr">
        <is>
          <t>Legacy bug</t>
        </is>
      </c>
      <c r="C48" s="9" t="inlineStr">
        <is>
          <t>Low</t>
        </is>
      </c>
      <c r="D48" s="9" t="inlineStr">
        <is>
          <t>Road other biofuels: wrong price and terms</t>
        </is>
      </c>
      <c r="E48" s="10" t="inlineStr">
        <is>
          <t>No</t>
        </is>
      </c>
      <c r="F48" s="9" t="inlineStr">
        <is>
          <t>Not built</t>
        </is>
      </c>
      <c r="G48" s="9" t="inlineStr">
        <is>
          <t>Uses the bioethanol price, applies the shadow price through eps_U, has an efficiency term equal to 1 and uses M2259 (coal exemption phase-out) as additional efficiency.</t>
        </is>
      </c>
      <c r="H48" s="9" t="inlineStr">
        <is>
          <t>None for Egypt (no road biofuels). MVP: Not built in the MVP (road biofuels follow gasoline and diesel; none in Egypt).</t>
        </is>
      </c>
      <c r="I48" s="9" t="inlineStr">
        <is>
          <t>Use the biofuel price, the shadow price through eps_F, the efficiency term and the road efficiency row.</t>
        </is>
      </c>
      <c r="J48" s="9" t="inlineStr">
        <is>
          <t>Mitigation row 5406</t>
        </is>
      </c>
      <c r="K48" s="9" t="inlineStr">
        <is>
          <t>Closed</t>
        </is>
      </c>
    </row>
    <row r="49">
      <c r="A49" s="9" t="inlineStr">
        <is>
          <t>L47</t>
        </is>
      </c>
      <c r="B49" s="9" t="inlineStr">
        <is>
          <t>Legacy bug</t>
        </is>
      </c>
      <c r="C49" s="9" t="inlineStr">
        <is>
          <t>Low</t>
        </is>
      </c>
      <c r="D49" s="9" t="inlineStr">
        <is>
          <t>Self-generated renewables in aviation and navigation take the shock from wrong rows</t>
        </is>
      </c>
      <c r="E49" s="10" t="inlineStr">
        <is>
          <t>No</t>
        </is>
      </c>
      <c r="F49" s="9" t="inlineStr">
        <is>
          <t>Not built</t>
        </is>
      </c>
      <c r="G49" s="9" t="inlineStr">
        <is>
          <t>The "shock" is row 2512 (coal industry new excise) or row 2473 (blank).</t>
        </is>
      </c>
      <c r="H49" s="9" t="inlineStr">
        <is>
          <t>None for Egypt (no self-generated renewables). MVP: Not built in the MVP (no self-generated renewables outside power).</t>
        </is>
      </c>
      <c r="I49" s="9" t="inlineStr">
        <is>
          <t>Use the shock row 2439.</t>
        </is>
      </c>
      <c r="J49" s="9" t="inlineStr">
        <is>
          <t>Mitigation rows 5491, 5516</t>
        </is>
      </c>
      <c r="K49" s="9" t="inlineStr">
        <is>
          <t>Closed</t>
        </is>
      </c>
    </row>
    <row r="50">
      <c r="A50" s="9" t="inlineStr">
        <is>
          <t>L48</t>
        </is>
      </c>
      <c r="B50" s="9" t="inlineStr">
        <is>
          <t>Legacy bug</t>
        </is>
      </c>
      <c r="C50" s="9" t="inlineStr">
        <is>
          <t>Low</t>
        </is>
      </c>
      <c r="D50" s="9" t="inlineStr">
        <is>
          <t>Residential initially-exempt rows: no income factor; starred "Yes*" exemption test</t>
        </is>
      </c>
      <c r="E50" s="10" t="inlineStr">
        <is>
          <t>No</t>
        </is>
      </c>
      <c r="F50" s="9" t="inlineStr">
        <is>
          <t>Not built</t>
        </is>
      </c>
      <c r="G50" s="9" t="inlineStr">
        <is>
          <t>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H50" s="9" t="inlineStr">
        <is>
          <t>None (the initial exempt share is 0). MVP: Not built (the D8 initially-exempt split stays dead; LegacyDiff 67). The starred AlwaysExemptResLPGKer test is fixed in v5.1 (LEFT(x,3)="Yes", rows exf).</t>
        </is>
      </c>
      <c r="I50" s="9" t="inlineStr">
        <is>
          <t>Apply the income factor, start from the exempt share, and match the starred defaults.</t>
        </is>
      </c>
      <c r="J50" s="9" t="inlineStr">
        <is>
          <t>Mitigation rows 5546-5547, 5568-5570</t>
        </is>
      </c>
      <c r="K50" s="9" t="inlineStr">
        <is>
          <t>Closed</t>
        </is>
      </c>
    </row>
    <row r="51">
      <c r="A51" s="9" t="inlineStr">
        <is>
          <t>L49</t>
        </is>
      </c>
      <c r="B51" s="9" t="inlineStr">
        <is>
          <t>Legacy bug</t>
        </is>
      </c>
      <c r="C51" s="9" t="inlineStr">
        <is>
          <t>Medium</t>
        </is>
      </c>
      <c r="D51" s="9" t="inlineStr">
        <is>
          <t>Balance of payments: oil without the share traded</t>
        </is>
      </c>
      <c r="E51" s="10" t="inlineStr">
        <is>
          <t>No</t>
        </is>
      </c>
      <c r="F51" s="9" t="inlineStr">
        <is>
          <t>Fixed</t>
        </is>
      </c>
      <c r="G51" s="9" t="inlineStr">
        <is>
          <t>The value of the change in net imports of oil is the change in use x the price, while gas (and coal) apply the share traded of rows 741-743 (oil products 0.47), so the oil effect is about twice too large (Egypt 2030: 3.2 bn USD).</t>
        </is>
      </c>
      <c r="H51" s="9" t="inlineStr">
        <is>
          <t>Reported balance of payments only: the oil effect is about twice too large (Egypt 2030: 3.2 bn USD). MVP: Fixed in v3.16: every fuel group applies its share (section 16b).</t>
        </is>
      </c>
      <c r="I51" s="9" t="inlineStr">
        <is>
          <t>Multiply the oil change in use by the share traded of row 742, as for gas and coal.</t>
        </is>
      </c>
      <c r="J51" s="9" t="inlineStr">
        <is>
          <t>Mitigation rows 18177-18181, 742</t>
        </is>
      </c>
      <c r="K51" s="9" t="inlineStr">
        <is>
          <t>Closed</t>
        </is>
      </c>
    </row>
    <row r="52">
      <c r="A52" s="9" t="inlineStr">
        <is>
          <t>L50</t>
        </is>
      </c>
      <c r="B52" s="9" t="inlineStr">
        <is>
          <t>Legacy bug</t>
        </is>
      </c>
      <c r="C52" s="9" t="inlineStr">
        <is>
          <t>Low</t>
        </is>
      </c>
      <c r="D52" s="9" t="inlineStr">
        <is>
          <t>Balance of payments: current account #NAME?, column lag, sign</t>
        </is>
      </c>
      <c r="E52" s="10" t="inlineStr">
        <is>
          <t>No</t>
        </is>
      </c>
      <c r="F52" s="9" t="inlineStr">
        <is>
          <t>Fixed</t>
        </is>
      </c>
      <c r="G52" s="9" t="inlineStr">
        <is>
          <t>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H52" s="9" t="inlineStr">
        <is>
          <t>Reported balance of payments only (the % of GDP panel shows errors). MVP: Not replicated (v3.16): the energy trade balance (data) and its change in the scenario year, no current-account level until WEO data are added.</t>
        </is>
      </c>
      <c r="I52" s="9" t="inlineStr">
        <is>
          <t>Read the WEO current account (BCA), drop the one-column lag and check the sign of policy net imports.</t>
        </is>
      </c>
      <c r="J52" s="9" t="inlineStr">
        <is>
          <t>Mitigation rows 18195-18213</t>
        </is>
      </c>
      <c r="K52" s="9" t="inlineStr">
        <is>
          <t>Closed</t>
        </is>
      </c>
    </row>
    <row r="53">
      <c r="A53" s="9" t="inlineStr">
        <is>
          <t>L51</t>
        </is>
      </c>
      <c r="B53" s="9" t="inlineStr">
        <is>
          <t>Legacy bug</t>
        </is>
      </c>
      <c r="C53" s="9" t="inlineStr">
        <is>
          <t>Low</t>
        </is>
      </c>
      <c r="D53" s="9" t="inlineStr">
        <is>
          <t>Energy trade balance of coal valued at the oil price</t>
        </is>
      </c>
      <c r="E53" s="10" t="inlineStr">
        <is>
          <t>No</t>
        </is>
      </c>
      <c r="F53" s="9" t="inlineStr">
        <is>
          <t>Fixed</t>
        </is>
      </c>
      <c r="G53" s="9" t="inlineStr">
        <is>
          <t>The coal trade balance multiplies coal net imports by the crude oil price per GJ (row 731) instead of the coal price (row 732); Egypt 2022: -1.4 bn USD instead of about -0.5.</t>
        </is>
      </c>
      <c r="H53" s="9" t="inlineStr">
        <is>
          <t>Reported energy trade balance only (Egypt: about 0.6 bn USD a year). MVP: Fixed in v4.6: coal at the coal price (data step Inputs_macro, from Balances and the international prices).</t>
        </is>
      </c>
      <c r="I53" s="9" t="inlineStr">
        <is>
          <t>Value the coal trade balance at the coal price (row 732), not the oil price (row 731).</t>
        </is>
      </c>
      <c r="J53" s="9" t="inlineStr">
        <is>
          <t>Mitigation row 743</t>
        </is>
      </c>
      <c r="K53" s="9" t="inlineStr">
        <is>
          <t>Closed</t>
        </is>
      </c>
    </row>
    <row r="54">
      <c r="A54" s="9" t="inlineStr">
        <is>
          <t>L52</t>
        </is>
      </c>
      <c r="B54" s="9" t="inlineStr">
        <is>
          <t>Legacy bug</t>
        </is>
      </c>
      <c r="C54" s="9" t="inlineStr">
        <is>
          <t>Medium</t>
        </is>
      </c>
      <c r="D54" s="9" t="inlineStr">
        <is>
          <t>Renewables take the world power parameters, never the country ones</t>
        </is>
      </c>
      <c r="E54" s="10" t="inlineStr">
        <is>
          <t>No</t>
        </is>
      </c>
      <c r="F54" s="9" t="inlineStr">
        <is>
          <t>Fixed</t>
        </is>
      </c>
      <c r="G54" s="9" t="inlineStr">
        <is>
          <t>The fallback IF(ISERROR(country), country, IF(ISERROR(world), ...)) is inverted, so wind, solar, hydro, other renewables and biomass always take the world efficiency, fixed and variable O&amp;M, WACC and lifetime (Egypt: solar fixed O&amp;M 15 instead of the country 11.831 $/kW/y).</t>
        </is>
      </c>
      <c r="H54" s="9" t="inlineStr">
        <is>
          <t>Power: solar fixed O&amp;M of Egypt 11.831 instead of 15 $/kW/y (other renewables: no country data). MVP: Fixed in v4.10: every type takes the country value where it exists, else the world value (Egypt: solar fixed O&amp;M 11.831 $/kW/y).</t>
        </is>
      </c>
      <c r="I54" s="9" t="inlineStr">
        <is>
          <t>Swap the branches of the ISERROR test (take the country value where it exists).</t>
        </is>
      </c>
      <c r="J54" s="9" t="inlineStr">
        <is>
          <t>Mitigation rows 2981-2985 P:T</t>
        </is>
      </c>
      <c r="K54" s="9" t="inlineStr">
        <is>
          <t>Closed</t>
        </is>
      </c>
    </row>
    <row r="55">
      <c r="A55" s="9" t="inlineStr">
        <is>
          <t>L53</t>
        </is>
      </c>
      <c r="B55" s="9" t="inlineStr">
        <is>
          <t>Legacy bug</t>
        </is>
      </c>
      <c r="C55" s="9" t="inlineStr">
        <is>
          <t>High</t>
        </is>
      </c>
      <c r="D55" s="9" t="inlineStr">
        <is>
          <t>Actual capacity factors are never used</t>
        </is>
      </c>
      <c r="E55" s="10" t="inlineStr">
        <is>
          <t>No</t>
        </is>
      </c>
      <c r="F55" s="9" t="inlineStr">
        <is>
          <t>Fixed</t>
        </is>
      </c>
      <c r="G55" s="9" t="inlineStr">
        <is>
          <t>The installed-capacity lookup searches the years 2000-2019 (Power F:Y) for 2022 (column AB), so it is #N/A, the actual capacity factor is 0 and the studies value is always used; the CFOverride bounds never act.</t>
        </is>
      </c>
      <c r="H55" s="9" t="inlineStr">
        <is>
          <t>Power: actual capacity factors where data exist (Egypt: all types with capacity), base capacities change. MVP: 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I55" s="9" t="inlineStr">
        <is>
          <t>Search the installed capacity by FirstYearCalculations over all year columns (Power F:AC).</t>
        </is>
      </c>
      <c r="J55" s="9" t="inlineStr">
        <is>
          <t>Mitigation rows 2999-3007 N, Q, W</t>
        </is>
      </c>
      <c r="K55" s="9" t="inlineStr">
        <is>
          <t>Closed</t>
        </is>
      </c>
    </row>
    <row r="56">
      <c r="A56" s="9" t="inlineStr">
        <is>
          <t>L54</t>
        </is>
      </c>
      <c r="B56" s="9" t="inlineStr">
        <is>
          <t>Legacy bug</t>
        </is>
      </c>
      <c r="C56" s="9" t="inlineStr">
        <is>
          <t>Medium</t>
        </is>
      </c>
      <c r="D56" s="9" t="inlineStr">
        <is>
          <t>Hydro investment always starts in the first year</t>
        </is>
      </c>
      <c r="E56" s="10" t="inlineStr">
        <is>
          <t>No</t>
        </is>
      </c>
      <c r="F56" s="9" t="inlineStr">
        <is>
          <t>Fixed</t>
        </is>
      </c>
      <c r="G56" s="9" t="inlineStr">
        <is>
          <t>IF($L$3827&gt;50%, FirstYearCalculations, NewInvHydYear) tests a year header (2022 &gt; 0.5) instead of a share, so hydro can invest from 2022 instead of 2030.</t>
        </is>
      </c>
      <c r="H56" s="9" t="inlineStr">
        <is>
          <t>Power: hydro investment from NewInvHydYear (2030) unless hydro is above 50%. MVP: Fixed in v4.10: the base year only when the hydro generation share is above HydInvShare (50%), else NewInvHydYear (Egypt: 2030).</t>
        </is>
      </c>
      <c r="I56" s="9" t="inlineStr">
        <is>
          <t>Test the hydro generation share (row 3846), not the year header.</t>
        </is>
      </c>
      <c r="J56" s="9" t="inlineStr">
        <is>
          <t>Mitigation row 4067 H</t>
        </is>
      </c>
      <c r="K56" s="9" t="inlineStr">
        <is>
          <t>Closed</t>
        </is>
      </c>
    </row>
    <row r="57">
      <c r="A57" s="9" t="inlineStr">
        <is>
          <t>L55</t>
        </is>
      </c>
      <c r="B57" s="9" t="inlineStr">
        <is>
          <t>Legacy bug</t>
        </is>
      </c>
      <c r="C57" s="9" t="inlineStr">
        <is>
          <t>Low</t>
        </is>
      </c>
      <c r="D57" s="9" t="inlineStr">
        <is>
          <t>China, Japan and Korea take regional power data</t>
        </is>
      </c>
      <c r="E57" s="10" t="inlineStr">
        <is>
          <t>No</t>
        </is>
      </c>
      <c r="F57" s="9" t="inlineStr">
        <is>
          <t>Fixed</t>
        </is>
      </c>
      <c r="G57" s="9" t="inlineStr">
        <is>
          <t>The country lookup searches the regional block (rows 42-109) first, whose codes chn.mpp.*, jpn.mpp.*, kor.mpp.* equal the country codes, so the regional rows replace the country rows.</t>
        </is>
      </c>
      <c r="H57" s="9" t="inlineStr">
        <is>
          <t>None for Egypt. MVP: Fixed in v4.10: the country rows are looked up in the country block (Power rows 112-294) first; no effect for Egypt.</t>
        </is>
      </c>
      <c r="I57" s="9" t="inlineStr">
        <is>
          <t>Search the country block (Power rows 110-294) before the regional block.</t>
        </is>
      </c>
      <c r="J57" s="9" t="inlineStr">
        <is>
          <t>Mitigation rows 2977-2985 K (Power A25:A356)</t>
        </is>
      </c>
      <c r="K57" s="9" t="inlineStr">
        <is>
          <t>Closed</t>
        </is>
      </c>
    </row>
    <row r="58">
      <c r="A58" s="9" t="inlineStr">
        <is>
          <t>L56</t>
        </is>
      </c>
      <c r="B58" s="9" t="inlineStr">
        <is>
          <t>Legacy bug</t>
        </is>
      </c>
      <c r="C58" s="9" t="inlineStr">
        <is>
          <t>Low</t>
        </is>
      </c>
      <c r="D58" s="9" t="inlineStr">
        <is>
          <t>Countries without CoC risk data get Sri Lanka's WACC parameters</t>
        </is>
      </c>
      <c r="E58" s="10" t="inlineStr">
        <is>
          <t>No</t>
        </is>
      </c>
      <c r="F58" s="9" t="inlineStr">
        <is>
          <t>Fixed</t>
        </is>
      </c>
      <c r="G58" s="9" t="inlineStr">
        <is>
          <t>The WACC calculator falls back to row 172 (Sri Lanka) for countries without fixed data, silently.</t>
        </is>
      </c>
      <c r="H58" s="9" t="inlineStr">
        <is>
          <t>None for Egypt. MVP: Fixed in v4.10: such countries take the default WACC (as countries missing from CoC), flagged on Inputs (PsCoCData); no effect for Egypt.</t>
        </is>
      </c>
      <c r="I58" s="9" t="inlineStr">
        <is>
          <t>Flag countries without CoC fixed data instead of using Sri Lanka.</t>
        </is>
      </c>
      <c r="J58" s="9" t="inlineStr">
        <is>
          <t>CoC rows 202-390 D:V</t>
        </is>
      </c>
      <c r="K58" s="9" t="inlineStr">
        <is>
          <t>Closed</t>
        </is>
      </c>
    </row>
    <row r="59">
      <c r="A59" s="9" t="inlineStr">
        <is>
          <t>L57</t>
        </is>
      </c>
      <c r="B59" s="9" t="inlineStr">
        <is>
          <t>Legacy bug</t>
        </is>
      </c>
      <c r="C59" s="9" t="inlineStr">
        <is>
          <t>Medium</t>
        </is>
      </c>
      <c r="D59" s="9" t="inlineStr">
        <is>
          <t>New ETS: the quick price estimate is linear in the semi-elasticity</t>
        </is>
      </c>
      <c r="E59" s="10" t="inlineStr">
        <is>
          <t>No</t>
        </is>
      </c>
      <c r="F59" s="9" t="inlineStr">
        <is>
          <t>Fixed</t>
        </is>
      </c>
      <c r="G59" s="9" t="inlineStr">
        <is>
          <t>The cap is a relative change of covered emissions, which respond log-linearly to the price; the linear quick estimate misses the cap (legacy note: "arguably exp/ln") and leaves it to the VBA goal seek.</t>
        </is>
      </c>
      <c r="H59" s="9" t="inlineStr">
        <is>
          <t>New ETS scenarios: the quick estimate meets the cap (legacy relies on the VBA goal seek). MVP: Fixed (v1.02; bug by user decision 2026-10-18, was LegacyDiff row 6): the fast estimate in log form, LN(cap / baseline) / (semi-elasticity x effectiveness x volatility adjustment); the build stores it (no goal seek).</t>
        </is>
      </c>
      <c r="I59" s="9" t="inlineStr">
        <is>
          <t>Estimate the ETS price in log form, LN(cap / baseline) / (semi-elasticity x effectiveness).</t>
        </is>
      </c>
      <c r="J59" s="9" t="inlineStr">
        <is>
          <t>Mitigation ETS block (quick estimate, override row)</t>
        </is>
      </c>
      <c r="K59" s="9" t="inlineStr">
        <is>
          <t>Closed</t>
        </is>
      </c>
    </row>
    <row r="60">
      <c r="A60" s="9" t="inlineStr">
        <is>
          <t>L58</t>
        </is>
      </c>
      <c r="B60" s="9" t="inlineStr">
        <is>
          <t>Legacy bug</t>
        </is>
      </c>
      <c r="C60" s="9" t="inlineStr">
        <is>
          <t>Medium</t>
        </is>
      </c>
      <c r="D60" s="9" t="inlineStr">
        <is>
          <t>Local pollutants: subsectors without a GAINS match get zero factors</t>
        </is>
      </c>
      <c r="E60" s="10" t="inlineStr">
        <is>
          <t>No</t>
        </is>
      </c>
      <c r="F60" s="9" t="inlineStr">
        <is>
          <t>Fixed</t>
        </is>
      </c>
      <c r="G60" s="9" t="inlineStr">
        <is>
          <t>The GAINS factors are looked up by subsector; services, rail, industry and other energy use have no GAINS match and silently get 0, although they burn fuel.</t>
        </is>
      </c>
      <c r="H60" s="9" t="inlineStr">
        <is>
          <t>Local pollutants of services, rail and industry no longer zero. MVP: Fixed (v2.9; bug by user decision 2026-10-18, was issue I27 and LegacyDiff row 49): each subsector takes the GAINS subsector of its CH4 factor (services as residential, rail as road, industry as manufacturing).</t>
        </is>
      </c>
      <c r="I60" s="9" t="inlineStr">
        <is>
          <t>Map subsectors without a GAINS match to the nearest GAINS subsector (services as residential, rail as road, industry as manufacturing).</t>
        </is>
      </c>
      <c r="J60" s="9" t="inlineStr">
        <is>
          <t>Mitigation rows 15900-16700 (GAINS factor lookups)</t>
        </is>
      </c>
      <c r="K60" s="9" t="inlineStr">
        <is>
          <t>Closed</t>
        </is>
      </c>
    </row>
    <row r="61">
      <c r="A61" s="9" t="inlineStr">
        <is>
          <t>L59</t>
        </is>
      </c>
      <c r="B61" s="9" t="inlineStr">
        <is>
          <t>Legacy bug</t>
        </is>
      </c>
      <c r="C61" s="9" t="inlineStr">
        <is>
          <t>Medium</t>
        </is>
      </c>
      <c r="D61" s="9" t="inlineStr">
        <is>
          <t>Local pollutants and combustion CH4: fuels without a GAINS factor emit nothing</t>
        </is>
      </c>
      <c r="E61" s="10" t="inlineStr">
        <is>
          <t>No</t>
        </is>
      </c>
      <c r="F61" s="9" t="inlineStr">
        <is>
          <t>Fixed</t>
        </is>
      </c>
      <c r="G61" s="9" t="inlineStr">
        <is>
          <t>A fuel that its GAINS subsector has no factor for gets 0, although it burns: Egypt 2022 residential LPG (3,182 ktoe), other mining diesel (3,819), food &amp; forestry diesel (927), fuel transformation LPG (2,466); food &amp; forestry shows about 1 t of NOx (legacy row 15939).</t>
        </is>
      </c>
      <c r="H61" s="9" t="inlineStr">
        <is>
          <t>Egypt 2022: NOx +11%, PM2.5 +5%, combustion CH4 +20%. MVP: 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I61" s="9" t="inlineStr">
        <is>
          <t>Give a fuel without a GAINS factor the nearest GAINS match (LPG: natural gas of the same subsector; food &amp; forestry: construction; else manufacturing).</t>
        </is>
      </c>
      <c r="J61" s="9" t="inlineStr">
        <is>
          <t>Mitigation rows 15900-16700 (GAINS factor lookups; sheet EF_PM)</t>
        </is>
      </c>
      <c r="K61" s="9" t="inlineStr">
        <is>
          <t>Closed</t>
        </is>
      </c>
    </row>
    <row r="62">
      <c r="A62" s="9" t="inlineStr">
        <is>
          <t>L60</t>
        </is>
      </c>
      <c r="B62" s="9" t="inlineStr">
        <is>
          <t>Legacy bug</t>
        </is>
      </c>
      <c r="C62" s="9" t="inlineStr">
        <is>
          <t>Low</t>
        </is>
      </c>
      <c r="D62" s="9" t="inlineStr">
        <is>
          <t>VAT payment on oil products divided by the full VAT rate</t>
        </is>
      </c>
      <c r="E62" s="10" t="inlineStr">
        <is>
          <t>No</t>
        </is>
      </c>
      <c r="F62" s="9" t="inlineStr">
        <is>
          <t>Fixed</t>
        </is>
      </c>
      <c r="G62" s="9" t="inlineStr">
        <is>
          <t>The retail price of gasoline, diesel, LPG and kerosene carries VAT x household share (rows 797-816), but the VAT payment is retail price / (1 + VAT rate) x VAT rate x share, so VAT is understated where the share is below 1 and the excise residual absorbs the gap.</t>
        </is>
      </c>
      <c r="H62" s="9" t="inlineStr">
        <is>
          <t>None for Egypt (VAT 0 on oil). MVP: Fixed (v4.12): VAT = (supply cost + taxes) x rate x share, consistent with the retail price.</t>
        </is>
      </c>
      <c r="I62" s="9" t="inlineStr">
        <is>
          <t>VAT payment = (supply cost + taxes) x VAT rate x household share.</t>
        </is>
      </c>
      <c r="J62" s="9" t="inlineStr">
        <is>
          <t>Mitigation rows 2595, 2618, 2641, 2664 (VAT payment)</t>
        </is>
      </c>
      <c r="K62" s="9" t="inlineStr">
        <is>
          <t>Closed</t>
        </is>
      </c>
    </row>
    <row r="63">
      <c r="A63" s="9" t="inlineStr">
        <is>
          <t>L61</t>
        </is>
      </c>
      <c r="B63" s="9" t="inlineStr">
        <is>
          <t>Legacy bug</t>
        </is>
      </c>
      <c r="C63" s="9" t="inlineStr">
        <is>
          <t>Low</t>
        </is>
      </c>
      <c r="D63" s="9" t="inlineStr">
        <is>
          <t>EU ETS price grows with the carbon-tax growth</t>
        </is>
      </c>
      <c r="E63" s="10" t="inlineStr">
        <is>
          <t>No</t>
        </is>
      </c>
      <c r="F63" s="9" t="inlineStr">
        <is>
          <t>Fixed</t>
        </is>
      </c>
      <c r="G63" s="9" t="inlineStr">
        <is>
          <t>After the last data year the EU ETS price grows with ExistingCTGrowth (MTInputs 214) instead of ExistingETSGrowth (209).</t>
        </is>
      </c>
      <c r="H63" s="9" t="inlineStr">
        <is>
          <t>None for Egypt. MVP: Fixed (v4.12): ETS prices grow with ExistingETSGrowth, carbon tax rates with ExistingCTGrowth.</t>
        </is>
      </c>
      <c r="I63" s="9" t="inlineStr">
        <is>
          <t>Grow the EU ETS price with ExistingETSGrowth.</t>
        </is>
      </c>
      <c r="J63" s="9" t="inlineStr">
        <is>
          <t>Mitigation row 1695 (from the column after the last data year)</t>
        </is>
      </c>
      <c r="K63" s="9" t="inlineStr">
        <is>
          <t>Closed</t>
        </is>
      </c>
    </row>
    <row r="64">
      <c r="A64" s="9" t="inlineStr">
        <is>
          <t>L62</t>
        </is>
      </c>
      <c r="B64" s="9" t="inlineStr">
        <is>
          <t>Legacy bug</t>
        </is>
      </c>
      <c r="C64" s="9" t="inlineStr">
        <is>
          <t>Low</t>
        </is>
      </c>
      <c r="D64" s="9" t="inlineStr">
        <is>
          <t>Existing carbon tax on transport diesel, LPG and kerosene uses the rate row as coverage</t>
        </is>
      </c>
      <c r="E64" s="10" t="inlineStr">
        <is>
          <t>No</t>
        </is>
      </c>
      <c r="F64" s="9" t="inlineStr">
        <is>
          <t>Fixed</t>
        </is>
      </c>
      <c r="G64" s="9" t="inlineStr">
        <is>
          <t>The fuel coverage is looked up with INDEX over rows 1732-1749 by fuel code, which finds the fuel rate row (1732-1734) before the coverage row (1745-1747): the tax becomes rate x rate x sector coverage; the single-price flag is ignored.</t>
        </is>
      </c>
      <c r="H64" s="9" t="inlineStr">
        <is>
          <t>None for Egypt. MVP: Fixed (v4.12): every fuel takes rate x sector coverage x fuel coverage, the fuel rate only where the country has one and no single price.</t>
        </is>
      </c>
      <c r="I64" s="9" t="inlineStr">
        <is>
          <t>Take the fuel coverage row, and the single-price flag, for transport diesel, LPG and kerosene.</t>
        </is>
      </c>
      <c r="J64" s="9" t="inlineStr">
        <is>
          <t>Mitigation rows 1760-1762</t>
        </is>
      </c>
      <c r="K64" s="9" t="inlineStr">
        <is>
          <t>Closed</t>
        </is>
      </c>
    </row>
    <row r="65">
      <c r="A65" s="9" t="inlineStr">
        <is>
          <t>L63</t>
        </is>
      </c>
      <c r="B65" s="9" t="inlineStr">
        <is>
          <t>Legacy bug</t>
        </is>
      </c>
      <c r="C65" s="9" t="inlineStr">
        <is>
          <t>Low</t>
        </is>
      </c>
      <c r="D65" s="9" t="inlineStr">
        <is>
          <t>Existing carbon tax fuel coverage: lookup range cut short</t>
        </is>
      </c>
      <c r="E65" s="10" t="inlineStr">
        <is>
          <t>No</t>
        </is>
      </c>
      <c r="F65" s="9" t="inlineStr">
        <is>
          <t>Fixed</t>
        </is>
      </c>
      <c r="G65" s="9" t="inlineStr">
        <is>
          <t>The fuel coverage block of sheet ECP runs to row 425, the lookup stops at 403: part of Ukraine, Uruguay and the United Kingdom get no fuel coverage, so no existing carbon tax.</t>
        </is>
      </c>
      <c r="H65" s="9" t="inlineStr">
        <is>
          <t>None for Egypt. MVP: Fixed (v4.12): each scheme is looked up in its whole block (Inputs_ecp columns K:L).</t>
        </is>
      </c>
      <c r="I65" s="9" t="inlineStr">
        <is>
          <t>Look the fuel coverage up in the whole ECP block (to row 425).</t>
        </is>
      </c>
      <c r="J65" s="9" t="inlineStr">
        <is>
          <t>Mitigation J1741-J1749 (ECP!E133:E403)</t>
        </is>
      </c>
      <c r="K65" s="9" t="inlineStr">
        <is>
          <t>Closed</t>
        </is>
      </c>
    </row>
    <row r="66">
      <c r="A66" s="9" t="inlineStr">
        <is>
          <t>L64</t>
        </is>
      </c>
      <c r="B66" s="9" t="inlineStr">
        <is>
          <t>Legacy bug</t>
        </is>
      </c>
      <c r="C66" s="9" t="inlineStr">
        <is>
          <t>Low</t>
        </is>
      </c>
      <c r="D66" s="9" t="inlineStr">
        <is>
          <t>No existing ETS on other oil products outside power</t>
        </is>
      </c>
      <c r="E66" s="10" t="inlineStr">
        <is>
          <t>No</t>
        </is>
      </c>
      <c r="F66" s="9" t="inlineStr">
        <is>
          <t>Fixed</t>
        </is>
      </c>
      <c r="G66" s="9" t="inlineStr">
        <is>
          <t>The ETS block has other oil products for power only (row 1717); the all-sector price of other oil products gets no existing ETS, while the carbon tax block applies industry coverage to it (row 1758).</t>
        </is>
      </c>
      <c r="H66" s="9" t="inlineStr">
        <is>
          <t>None for Egypt. MVP: Fixed (v4.12): other oil products take the industry coverage of both schemes.</t>
        </is>
      </c>
      <c r="I66" s="9" t="inlineStr">
        <is>
          <t>Apply the industry ETS coverage to other oil products outside power.</t>
        </is>
      </c>
      <c r="J66" s="9" t="inlineStr">
        <is>
          <t>Mitigation rows 1711-1723</t>
        </is>
      </c>
      <c r="K66" s="9" t="inlineStr">
        <is>
          <t>Closed</t>
        </is>
      </c>
    </row>
    <row r="67">
      <c r="A67" s="9" t="inlineStr">
        <is>
          <t>L65</t>
        </is>
      </c>
      <c r="B67" s="9" t="inlineStr">
        <is>
          <t>Legacy bug</t>
        </is>
      </c>
      <c r="C67" s="9" t="inlineStr">
        <is>
          <t>Low</t>
        </is>
      </c>
      <c r="D67" s="9" t="inlineStr">
        <is>
          <t>Carbon tax complementary to an existing ETS: last year's ETS coverage</t>
        </is>
      </c>
      <c r="E67" s="10" t="inlineStr">
        <is>
          <t>No</t>
        </is>
      </c>
      <c r="F67" s="9" t="inlineStr">
        <is>
          <t>Fixed</t>
        </is>
      </c>
      <c r="G67" s="9" t="inlineStr">
        <is>
          <t>With CTaxComplimentaryToETS = Yes the new tax covers 1 - the national ETS sector coverage of the previous year (column one to the left).</t>
        </is>
      </c>
      <c r="H67" s="9" t="inlineStr">
        <is>
          <t>None for Egypt. MVP: Fixed (v4.12): the coverage of the year (the same from 2026, coverage being held after the last data year).</t>
        </is>
      </c>
      <c r="I67" s="9" t="inlineStr">
        <is>
          <t>Use the ETS coverage of the year for the complementary carbon tax.</t>
        </is>
      </c>
      <c r="J67" s="9" t="inlineStr">
        <is>
          <t>Mitigation rows 2270-2288</t>
        </is>
      </c>
      <c r="K67" s="9" t="inlineStr">
        <is>
          <t>Closed</t>
        </is>
      </c>
    </row>
    <row r="68">
      <c r="A68" s="9" t="inlineStr">
        <is>
          <t>L66</t>
        </is>
      </c>
      <c r="B68" s="9" t="inlineStr">
        <is>
          <t>Legacy bug</t>
        </is>
      </c>
      <c r="C68" s="9" t="inlineStr">
        <is>
          <t>Low</t>
        </is>
      </c>
      <c r="D68" s="9" t="inlineStr">
        <is>
          <t>Other energy use: no additional policy efficiency gains on fossil fuels</t>
        </is>
      </c>
      <c r="E68" s="10" t="inlineStr">
        <is>
          <t>No</t>
        </is>
      </c>
      <c r="F68" s="9" t="inlineStr">
        <is>
          <t>Fixed</t>
        </is>
      </c>
      <c r="G68" s="9" t="inlineStr">
        <is>
          <t>The additional policy-induced efficiency gain of industry (MTInputs 245, row 2201) enters every industrial subsector and the renewables row of other energy use, but not its fossil rows.</t>
        </is>
      </c>
      <c r="H68" s="9" t="inlineStr">
        <is>
          <t>None while the input is 0. MVP: Fixed (v4.13): other energy use takes the industrial gain on every fuel.</t>
        </is>
      </c>
      <c r="I68" s="9" t="inlineStr">
        <is>
          <t>Add the industrial additional efficiency to the fossil rows of other energy use.</t>
        </is>
      </c>
      <c r="J68" s="9" t="inlineStr">
        <is>
          <t>Mitigation rows of other energy use (fossil fuels; renewables use $M2201)</t>
        </is>
      </c>
      <c r="K68" s="9" t="inlineStr">
        <is>
          <t>Closed</t>
        </is>
      </c>
    </row>
    <row r="69">
      <c r="A69" s="9" t="inlineStr">
        <is>
          <t>L67</t>
        </is>
      </c>
      <c r="B69" s="9" t="inlineStr">
        <is>
          <t>Legacy bug</t>
        </is>
      </c>
      <c r="C69" s="9" t="inlineStr">
        <is>
          <t>Medium</t>
        </is>
      </c>
      <c r="D69" s="9" t="inlineStr">
        <is>
          <t>Power: capacity bought for this year's demand, although it comes online next year</t>
        </is>
      </c>
      <c r="E69" s="10" t="inlineStr">
        <is>
          <t>No</t>
        </is>
      </c>
      <c r="F69" s="9" t="inlineStr">
        <is>
          <t>Fixed</t>
        </is>
      </c>
      <c r="G69" s="9" t="inlineStr">
        <is>
          <t>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H69" s="9" t="inlineStr">
        <is>
          <t>Egypt (legacy inputs, v6.2 estimate): capacity 77.9 GW in 2030 and 109.6 GW in 2040 against legacy 75.2 and 107.3 (next year read directly: 77.3, 109.5); the need follows the 2023-2024 demand shock (4.3 GW in 2024, 0 in 2025). MVP: Fixed (v4.14; bug by user decision 2026-10-18, was issue I8). v6.2 (user 2026-10-20): next year's required generation is estimated as this year's x (1 + growth from last year to this year), so neither legacy nor the MVP reads a later year and the GDP feedback (last year's effect) cannot loop; legacy kept as a switch in power_model_ref only.</t>
        </is>
      </c>
      <c r="I69" s="9" t="inlineStr">
        <is>
          <t>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J69" s="9" t="inlineStr">
        <is>
          <t>Mitigation rows 4022-4031 (K7)</t>
        </is>
      </c>
      <c r="K69" s="9" t="inlineStr">
        <is>
          <t>Closed</t>
        </is>
      </c>
    </row>
    <row r="70">
      <c r="A70" s="9" t="inlineStr">
        <is>
          <t>L68</t>
        </is>
      </c>
      <c r="B70" s="9" t="inlineStr">
        <is>
          <t>Legacy bug</t>
        </is>
      </c>
      <c r="C70" s="9" t="inlineStr">
        <is>
          <t>Medium</t>
        </is>
      </c>
      <c r="D70" s="9" t="inlineStr">
        <is>
          <t>GDP effects: the multiplier of lag 1 acts in the impulse year</t>
        </is>
      </c>
      <c r="E70" s="10" t="inlineStr">
        <is>
          <t>No</t>
        </is>
      </c>
      <c r="F70" s="9" t="inlineStr">
        <is>
          <t>Fixed</t>
        </is>
      </c>
      <c r="G70" s="9" t="inlineStr">
        <is>
          <t>The effect in year t sums impulse(s) x multiplier(t - s + 1): an impulse already gets the lag-1 multiplier in its own year, although the multiplier notes (Manual inputs D269, Multipliers) define lag 1 as one year after implementation. The GDP effect runs one year early.</t>
        </is>
      </c>
      <c r="H70" s="9" t="inlineStr">
        <is>
          <t>The GDP effect of every impulse comes one year early. MVP: Fixed (v4.15): lag 0 in the impulse year (multiplier 0), lag 1 the year after.</t>
        </is>
      </c>
      <c r="I70" s="9" t="inlineStr">
        <is>
          <t>Apply multiplier(t - s) to the impulse of year s (lag 0 in the impulse year), as the multiplier notes define the lags.</t>
        </is>
      </c>
      <c r="J70" s="9" t="inlineStr">
        <is>
          <t>Mitigation rows 8267-8288 (policy 14584-14605)</t>
        </is>
      </c>
      <c r="K70" s="9" t="inlineStr">
        <is>
          <t>Closed</t>
        </is>
      </c>
    </row>
    <row r="71">
      <c r="A71" s="9" t="inlineStr">
        <is>
          <t>L69</t>
        </is>
      </c>
      <c r="B71" s="9" t="inlineStr">
        <is>
          <t>Legacy bug</t>
        </is>
      </c>
      <c r="C71" s="9" t="inlineStr">
        <is>
          <t>Low</t>
        </is>
      </c>
      <c r="D71" s="9" t="inlineStr">
        <is>
          <t>GDP effects: the first cohort's excise drag is lost</t>
        </is>
      </c>
      <c r="E71" s="10" t="inlineStr">
        <is>
          <t>No</t>
        </is>
      </c>
      <c r="F71" s="9" t="inlineStr">
        <is>
          <t>Fixed</t>
        </is>
      </c>
      <c r="G71" s="9" t="inlineStr">
        <is>
          <t>The excise (revenue) use of the first cohort looks up L$8127, a baseline-block cell (0), instead of the cohort's own row (L14387); the contractionary effect of the first year's revenue is dropped (Egypt about 3e-5 of GDP).</t>
        </is>
      </c>
      <c r="H71" s="9" t="inlineStr">
        <is>
          <t>The first year's revenue has no contractionary effect (Egypt about 3e-5 of GDP). MVP: Fixed: every cohort counts its revenue use (share -1).</t>
        </is>
      </c>
      <c r="I71" s="9" t="inlineStr">
        <is>
          <t>Match the first cohort's excise use on its own row (L14387, baseline L8070), not L$8127.</t>
        </is>
      </c>
      <c r="J71" s="9" t="inlineStr">
        <is>
          <t>Mitigation row 8071 (policy 14388)</t>
        </is>
      </c>
      <c r="K71" s="9" t="inlineStr">
        <is>
          <t>Closed</t>
        </is>
      </c>
    </row>
    <row r="72">
      <c r="A72" s="9" t="inlineStr">
        <is>
          <t>L70</t>
        </is>
      </c>
      <c r="B72" s="9" t="inlineStr">
        <is>
          <t>Legacy bug</t>
        </is>
      </c>
      <c r="C72" s="9" t="inlineStr">
        <is>
          <t>Low</t>
        </is>
      </c>
      <c r="D72" s="9" t="inlineStr">
        <is>
          <t>Revenue: industry gas excise uses the coal rate and coal use</t>
        </is>
      </c>
      <c r="E72" s="10" t="inlineStr">
        <is>
          <t>No</t>
        </is>
      </c>
      <c r="F72" s="9" t="inlineStr">
        <is>
          <t>Fixed</t>
        </is>
      </c>
      <c r="G72" s="9" t="inlineStr">
        <is>
          <t>The additional excise of gas in industry is the coal industry tax (R2512) x coal industry use (R6436).</t>
        </is>
      </c>
      <c r="H72" s="9" t="inlineStr">
        <is>
          <t>Gas industry excise revenue is wrong wherever coal and gas excises differ (none for Egypt). MVP: Fixed: each subsector and fuel takes its own excise and use (rex, v4.15).</t>
        </is>
      </c>
      <c r="I72" s="9" t="inlineStr">
        <is>
          <t>Use the gas industry excise rate (row 2581) and gas industry use in row 7761.</t>
        </is>
      </c>
      <c r="J72" s="9" t="inlineStr">
        <is>
          <t>Mitigation row 7761 (policy 14078)</t>
        </is>
      </c>
      <c r="K72" s="9" t="inlineStr">
        <is>
          <t>Closed</t>
        </is>
      </c>
    </row>
    <row r="73">
      <c r="A73" s="9" t="inlineStr">
        <is>
          <t>L71</t>
        </is>
      </c>
      <c r="B73" s="9" t="inlineStr">
        <is>
          <t>Legacy bug</t>
        </is>
      </c>
      <c r="C73" s="9" t="inlineStr">
        <is>
          <t>Low</t>
        </is>
      </c>
      <c r="D73" s="9" t="inlineStr">
        <is>
          <t>Revenue: biomass taxes, subsidies and VAT divided by the unit conversion</t>
        </is>
      </c>
      <c r="E73" s="10" t="inlineStr">
        <is>
          <t>No</t>
        </is>
      </c>
      <c r="F73" s="9" t="inlineStr">
        <is>
          <t>Fixed</t>
        </is>
      </c>
      <c r="G73" s="9" t="inlineStr">
        <is>
          <t>Biomass existing taxes, subsidies and VAT divide by _conv_ktoe_to_gj instead of multiplying, so they are about 0 (2.7e-11).</t>
        </is>
      </c>
      <c r="H73" s="9" t="inlineStr">
        <is>
          <t>Biomass taxes, subsidies and VAT are 0. MVP: Fixed: fuel use x PJ/ktoe x rate for every fuel.</t>
        </is>
      </c>
      <c r="I73" s="9" t="inlineStr">
        <is>
          <t>Multiply by _conv_ktoe_to_gj in rows 7805, 7819, 7873.</t>
        </is>
      </c>
      <c r="J73" s="9" t="inlineStr">
        <is>
          <t>Mitigation rows 7805, 7819, 7873</t>
        </is>
      </c>
      <c r="K73" s="9" t="inlineStr">
        <is>
          <t>Closed</t>
        </is>
      </c>
    </row>
    <row r="74">
      <c r="A74" s="9" t="inlineStr">
        <is>
          <t>L72</t>
        </is>
      </c>
      <c r="B74" s="9" t="inlineStr">
        <is>
          <t>Legacy bug</t>
        </is>
      </c>
      <c r="C74" s="9" t="inlineStr">
        <is>
          <t>Low</t>
        </is>
      </c>
      <c r="D74" s="9" t="inlineStr">
        <is>
          <t>Revenue: next-year references</t>
        </is>
      </c>
      <c r="E74" s="10" t="inlineStr">
        <is>
          <t>No</t>
        </is>
      </c>
      <c r="F74" s="9" t="inlineStr">
        <is>
          <t>Fixed</t>
        </is>
      </c>
      <c r="G74" s="9" t="inlineStr">
        <is>
          <t>The LPG price-control row reads S$738 (next year) and the coal power excise S2466 (next year) instead of column R.</t>
        </is>
      </c>
      <c r="H74" s="9" t="inlineStr">
        <is>
          <t>Revenue of the year uses next year's rate. MVP: Fixed: the year's own column.</t>
        </is>
      </c>
      <c r="I74" s="9" t="inlineStr">
        <is>
          <t>Read column R (the year) in rows 7671 and 7756.</t>
        </is>
      </c>
      <c r="J74" s="9" t="inlineStr">
        <is>
          <t>Mitigation rows 7671, 7756</t>
        </is>
      </c>
      <c r="K74" s="9" t="inlineStr">
        <is>
          <t>Closed</t>
        </is>
      </c>
    </row>
    <row r="75">
      <c r="A75" s="9" t="inlineStr">
        <is>
          <t>L73</t>
        </is>
      </c>
      <c r="B75" s="9" t="inlineStr">
        <is>
          <t>Legacy bug</t>
        </is>
      </c>
      <c r="C75" s="9" t="inlineStr">
        <is>
          <t>Low</t>
        </is>
      </c>
      <c r="D75" s="9" t="inlineStr">
        <is>
          <t>Revenue: wrong coverage shares</t>
        </is>
      </c>
      <c r="E75" s="10" t="inlineStr">
        <is>
          <t>No</t>
        </is>
      </c>
      <c r="F75" s="9" t="inlineStr">
        <is>
          <t>Fixed</t>
        </is>
      </c>
      <c r="G75" s="9" t="inlineStr">
        <is>
          <t>Gas industry coverage divides by R6041 instead of the industry gas total (6442); kerosene power coverage multiplies power by domestic shipping (R2270 x R2273).</t>
        </is>
      </c>
      <c r="H75" s="9" t="inlineStr">
        <is>
          <t>Coverage shares of gas industry and kerosene power are wrong (info rows). MVP: Fixed: coverage by subsector and fuel (ctxnew, covct).</t>
        </is>
      </c>
      <c r="I75" s="9" t="inlineStr">
        <is>
          <t>Divide by the industry gas total (6442) in row 7691; use power x kerosene coverage (R2265 x R2270) in row 7718.</t>
        </is>
      </c>
      <c r="J75" s="9" t="inlineStr">
        <is>
          <t>Mitigation rows 7691 (policy 14008), 7718</t>
        </is>
      </c>
      <c r="K75" s="9" t="inlineStr">
        <is>
          <t>Closed</t>
        </is>
      </c>
    </row>
    <row r="76">
      <c r="A76" s="9" t="inlineStr">
        <is>
          <t>L75</t>
        </is>
      </c>
      <c r="B76" s="9" t="inlineStr">
        <is>
          <t>Legacy bug</t>
        </is>
      </c>
      <c r="C76" s="9" t="inlineStr">
        <is>
          <t>Low</t>
        </is>
      </c>
      <c r="D76" s="9" t="inlineStr">
        <is>
          <t>Revenue reports: hard-coded row and mixed totals</t>
        </is>
      </c>
      <c r="E76" s="10" t="inlineStr">
        <is>
          <t>No</t>
        </is>
      </c>
      <c r="F76" s="9" t="inlineStr">
        <is>
          <t>Fixed</t>
        </is>
      </c>
      <c r="G76" s="9" t="inlineStr">
        <is>
          <t>The "additional revenues from excises" report indexes a hard-coded 759 (all zeros); "revenue by fuel source" takes electricity from the total (rev.tot) while the fuel rows are carbon tax revenue (rev.new).</t>
        </is>
      </c>
      <c r="H76" s="9" t="inlineStr">
        <is>
          <t>The excise report is all zeros; revenue by fuel mixes totals. MVP: Fixed: 12d and 12e read the revenue rows (v3.13, v4.15).</t>
        </is>
      </c>
      <c r="I76" s="9" t="inlineStr">
        <is>
          <t>Index the excise report by the matched row instead of 759; take electricity from rev.new in the revenue by fuel report.</t>
        </is>
      </c>
      <c r="J76" s="9" t="inlineStr">
        <is>
          <t>Mitigation rows 17160-17164, 17190, 17201</t>
        </is>
      </c>
      <c r="K76" s="9" t="inlineStr">
        <is>
          <t>Closed</t>
        </is>
      </c>
    </row>
    <row r="77">
      <c r="A77" s="9" t="inlineStr">
        <is>
          <t>L76</t>
        </is>
      </c>
      <c r="B77" s="9" t="inlineStr">
        <is>
          <t>Legacy bug</t>
        </is>
      </c>
      <c r="C77" s="9" t="inlineStr">
        <is>
          <t>Low</t>
        </is>
      </c>
      <c r="D77" s="9" t="inlineStr">
        <is>
          <t>Multipliers: empty CIT table, WAGE on the GNFS table, approximate country match, default to Estimated</t>
        </is>
      </c>
      <c r="E77" s="10" t="inlineStr">
        <is>
          <t>No</t>
        </is>
      </c>
      <c r="F77" s="9" t="inlineStr">
        <is>
          <t>Fixed</t>
        </is>
      </c>
      <c r="G77" s="9" t="inlineStr">
        <is>
          <t>With MultipliersSource = Estimated, CIT lags 1+ read the empty rows 1624-1822 (so 0), WAGE reads the public consumption (GNFS) table, the country row is found by approximate MATCH (a code missing from the sorted list takes its neighbour), and any unknown source text means Estimated.</t>
        </is>
      </c>
      <c r="H77" s="9" t="inlineStr">
        <is>
          <t>Estimated multipliers: CIT 0, WAGE = GNFS, a missing country takes its neighbour's. MVP: Fixed (v4.15): CIT and WAGE take the income group, exact match with the income group as fallback, unknown text the income group.</t>
        </is>
      </c>
      <c r="I77" s="9" t="inlineStr">
        <is>
          <t>Point CIT to the labour-tax or an own table (or the income group), WAGE to its own table, MATCH the country exactly (0), default unknown text to the income group.</t>
        </is>
      </c>
      <c r="J77" s="9" t="inlineStr">
        <is>
          <t>Multipliers rows 19-22, 38-45, 1624-1822</t>
        </is>
      </c>
      <c r="K77" s="9" t="inlineStr">
        <is>
          <t>Closed</t>
        </is>
      </c>
    </row>
    <row r="78">
      <c r="A78" s="9" t="inlineStr">
        <is>
          <t>L77</t>
        </is>
      </c>
      <c r="B78" s="9" t="inlineStr">
        <is>
          <t>Legacy bug</t>
        </is>
      </c>
      <c r="C78" s="9" t="inlineStr">
        <is>
          <t>Medium</t>
        </is>
      </c>
      <c r="D78" s="9" t="inlineStr">
        <is>
          <t>Average prices: index rows point at the wrong rows, gas test on the policy total</t>
        </is>
      </c>
      <c r="E78" s="10" t="inlineStr">
        <is>
          <t>No</t>
        </is>
      </c>
      <c r="F78" s="9" t="inlineStr">
        <is>
          <t>Fixed</t>
        </is>
      </c>
      <c r="G78" s="9" t="inlineStr">
        <is>
          <t>The "indexed vs 2022" rows read rows 16331-16338 (electricity industry, electricity residential, coal industry, ...) under the labels electricity, coal, gas, oil, ...; E16317 tests the policy gas total instead of the baseline one; labels say 2022 = 100 where baseline = 100.</t>
        </is>
      </c>
      <c r="H78" s="9" t="inlineStr">
        <is>
          <t>The reported price indices are of the wrong fuels. MVP: Fixed (v4.15): pav.leg and pav.lidx per fuel against scenario 1.</t>
        </is>
      </c>
      <c r="I78" s="9" t="inlineStr">
        <is>
          <t>Point rows 16398-16405 to the average-price rows of each fuel; test the baseline gas total in E16317; relabel "baseline = 100".</t>
        </is>
      </c>
      <c r="J78" s="9" t="inlineStr">
        <is>
          <t>Mitigation rows 16317, 16389-16405</t>
        </is>
      </c>
      <c r="K78" s="9" t="inlineStr">
        <is>
          <t>Closed</t>
        </is>
      </c>
    </row>
    <row r="79">
      <c r="A79" s="9" t="inlineStr">
        <is>
          <t>L78</t>
        </is>
      </c>
      <c r="B79" s="9" t="inlineStr">
        <is>
          <t>Legacy bug</t>
        </is>
      </c>
      <c r="C79" s="9" t="inlineStr">
        <is>
          <t>Low</t>
        </is>
      </c>
      <c r="D79" s="9" t="inlineStr">
        <is>
          <t>ETS: auctioned share drops to 0 after the target year unless "Constant"</t>
        </is>
      </c>
      <c r="E79" s="10" t="inlineStr">
        <is>
          <t>No</t>
        </is>
      </c>
      <c r="F79" s="9" t="inlineStr">
        <is>
          <t>Fixed</t>
        </is>
      </c>
      <c r="G79" s="9" t="inlineStr">
        <is>
          <t>With D_ETSAuctCont other than Constant the auctioned share becomes 0 after the target year (all permits free), whatever the target share.</t>
        </is>
      </c>
      <c r="H79" s="9" t="inlineStr">
        <is>
          <t>An auctioned share drops to 0 (all free) after the target year. MVP: Fixed (v4.15): the target share is held after the target year.</t>
        </is>
      </c>
      <c r="I79" s="9" t="inlineStr">
        <is>
          <t>Hold the target auctioned share after the target year whatever the continuation (or offer a defined alternative).</t>
        </is>
      </c>
      <c r="J79" s="9" t="inlineStr">
        <is>
          <t>Mitigation row 1863 (MTInputs row 92)</t>
        </is>
      </c>
      <c r="K79" s="9" t="inlineStr">
        <is>
          <t>Closed</t>
        </is>
      </c>
    </row>
    <row r="80">
      <c r="A80" s="9" t="inlineStr">
        <is>
          <t>L79</t>
        </is>
      </c>
      <c r="B80" s="9" t="inlineStr">
        <is>
          <t>Legacy bug</t>
        </is>
      </c>
      <c r="C80" s="9" t="inlineStr">
        <is>
          <t>Medium</t>
        </is>
      </c>
      <c r="D80" s="9" t="inlineStr">
        <is>
          <t>ETS: industry and transport priced as a whole when one subsector is covered</t>
        </is>
      </c>
      <c r="E80" s="10" t="inlineStr">
        <is>
          <t>No</t>
        </is>
      </c>
      <c r="F80" s="9" t="inlineStr">
        <is>
          <t>Fixed</t>
        </is>
      </c>
      <c r="G80" s="9" t="inlineStr">
        <is>
          <t>The auctioned price of industry and transport takes MAX over the subsector coverage flags, and the revenue is charged on the whole sector's CO2: uncovered subsectors pay, while the price estimate counts covered subsectors only.</t>
        </is>
      </c>
      <c r="H80" s="9" t="inlineStr">
        <is>
          <t>Uncovered industry and transport subsectors pay the permit price; revenue on the whole sector's CO2. MVP: Fixed: coverage, price and revenue by subsector (etsc, v1.07).</t>
        </is>
      </c>
      <c r="I80" s="9" t="inlineStr">
        <is>
          <t>Price and charge the ETS by subsector coverage, not MAX over the sector.</t>
        </is>
      </c>
      <c r="J80" s="9" t="inlineStr">
        <is>
          <t>Mitigation rows 2322-2325 (policy 8653-8656), 7789-7792</t>
        </is>
      </c>
      <c r="K80" s="9" t="inlineStr">
        <is>
          <t>Closed</t>
        </is>
      </c>
    </row>
    <row r="81">
      <c r="A81" s="9" t="inlineStr">
        <is>
          <t>L80</t>
        </is>
      </c>
      <c r="B81" s="9" t="inlineStr">
        <is>
          <t>Legacy bug</t>
        </is>
      </c>
      <c r="C81" s="9" t="inlineStr">
        <is>
          <t>Low</t>
        </is>
      </c>
      <c r="D81" s="9" t="inlineStr">
        <is>
          <t>ETS: the carbon-tax trajectory rescaled when the ETS is on</t>
        </is>
      </c>
      <c r="E81" s="10" t="inlineStr">
        <is>
          <t>No</t>
        </is>
      </c>
      <c r="F81" s="9" t="inlineStr">
        <is>
          <t>Fixed</t>
        </is>
      </c>
      <c r="G81" s="9" t="inlineStr">
        <is>
          <t>E2191 = 1 / the volatility ratio multiplies the carbon-tax trajectory (row 2251) when the new ETS is applied.</t>
        </is>
      </c>
      <c r="H81" s="9" t="inlineStr">
        <is>
          <t>The carbon tax outside the ETS is cut by the volatility ratio. MVP: Fixed: the carbon tax path is the MTInputs path; the volatility adjustment acts on the ETS price only.</t>
        </is>
      </c>
      <c r="I81" s="9" t="inlineStr">
        <is>
          <t>Leave the carbon-tax trajectory unscaled when the ETS applies (drop E2191 from row 2251).</t>
        </is>
      </c>
      <c r="J81" s="9" t="inlineStr">
        <is>
          <t>Mitigation rows 2191, 2251</t>
        </is>
      </c>
      <c r="K81" s="9" t="inlineStr">
        <is>
          <t>Closed</t>
        </is>
      </c>
    </row>
    <row r="82">
      <c r="A82" s="9" t="inlineStr">
        <is>
          <t>L81</t>
        </is>
      </c>
      <c r="B82" s="9" t="inlineStr">
        <is>
          <t>Legacy bug</t>
        </is>
      </c>
      <c r="C82" s="9" t="inlineStr">
        <is>
          <t>Low</t>
        </is>
      </c>
      <c r="D82" s="9" t="inlineStr">
        <is>
          <t>Consumer subsidy phase-out: the fixed subsidy takes last year's factor</t>
        </is>
      </c>
      <c r="E82" s="10" t="inlineStr">
        <is>
          <t>No</t>
        </is>
      </c>
      <c r="F82" s="9" t="inlineStr">
        <is>
          <t>Fixed</t>
        </is>
      </c>
      <c r="G82" s="9" t="inlineStr">
        <is>
          <t>The projected fixed subsidy is the base value x the consumer factor of the previous column (P2214 for Q), while the floating and producer rows use the year's own factor: the consumer phase-out lags a year.</t>
        </is>
      </c>
      <c r="H82" s="9" t="inlineStr">
        <is>
          <t>A consumer subsidy phase-out starts and ends a year late. MVP: Fixed (v4.16): every wedge takes the factor of its year.</t>
        </is>
      </c>
      <c r="I82" s="9" t="inlineStr">
        <is>
          <t>Use the factor of the same column in the fixed-subsidy rows (Q2214 for Q).</t>
        </is>
      </c>
      <c r="J82" s="9" t="inlineStr">
        <is>
          <t>Mitigation rows 2460, 2483, 2506, ... 2598, ... 2713 (fixed portion of subsidy, each price block)</t>
        </is>
      </c>
      <c r="K82" s="9" t="inlineStr">
        <is>
          <t>Closed</t>
        </is>
      </c>
    </row>
    <row r="83">
      <c r="A83" s="9" t="inlineStr">
        <is>
          <t>L82</t>
        </is>
      </c>
      <c r="B83" s="9" t="inlineStr">
        <is>
          <t>Legacy bug</t>
        </is>
      </c>
      <c r="C83" s="9" t="inlineStr">
        <is>
          <t>Low</t>
        </is>
      </c>
      <c r="D83" s="9" t="inlineStr">
        <is>
          <t>Residential gas producer subsidy reads the oil row</t>
        </is>
      </c>
      <c r="E83" s="10" t="inlineStr">
        <is>
          <t>No</t>
        </is>
      </c>
      <c r="F83" s="9" t="inlineStr">
        <is>
          <t>Fixed</t>
        </is>
      </c>
      <c r="G83" s="9" t="inlineStr">
        <is>
          <t>The producer subsidy of the residential gas block reads row 827 (oil, $/liter) instead of 826 (gas, $/GJ).</t>
        </is>
      </c>
      <c r="H83" s="9" t="inlineStr">
        <is>
          <t>Residential gas takes the oil producer subsidy. MVP: Fixed (v4.16): producer subsidies by fuel (pros, psf); no price effect in the MVP (issue I49).</t>
        </is>
      </c>
      <c r="I83" s="9" t="inlineStr">
        <is>
          <t>Point row 2547 to row 826 (gas producer subsidy).</t>
        </is>
      </c>
      <c r="J83" s="9" t="inlineStr">
        <is>
          <t>Mitigation row 2547</t>
        </is>
      </c>
      <c r="K83" s="9" t="inlineStr">
        <is>
          <t>Closed</t>
        </is>
      </c>
    </row>
    <row r="84">
      <c r="A84" s="9" t="inlineStr">
        <is>
          <t>L83</t>
        </is>
      </c>
      <c r="B84" s="9" t="inlineStr">
        <is>
          <t>Legacy bug</t>
        </is>
      </c>
      <c r="C84" s="9" t="inlineStr">
        <is>
          <t>Medium</t>
        </is>
      </c>
      <c r="D84" s="9" t="inlineStr">
        <is>
          <t>Electricity producer subsidy compounds the factor and lags a year</t>
        </is>
      </c>
      <c r="E84" s="10" t="inlineStr">
        <is>
          <t>No</t>
        </is>
      </c>
      <c r="F84" s="9" t="inlineStr">
        <is>
          <t>Fixed</t>
        </is>
      </c>
      <c r="G84" s="9" t="inlineStr">
        <is>
          <t>The projection is the previous value x the previous factor (N3601 x N2213), so the factors multiply year on year and lag.</t>
        </is>
      </c>
      <c r="H84" s="9" t="inlineStr">
        <is>
          <t>Electricity producer subsidies fall too fast (compounding) and a year late. MVP: Fixed (v4.16): base value x the factor of the year (fiscal line rpsu; the electricity price effect waits for the power features).</t>
        </is>
      </c>
      <c r="I84" s="9" t="inlineStr">
        <is>
          <t>Project as base value x the factor of the year (J x O2213).</t>
        </is>
      </c>
      <c r="J84" s="9" t="inlineStr">
        <is>
          <t>Mitigation rows 3592, 3601, 3630</t>
        </is>
      </c>
      <c r="K84" s="9" t="inlineStr">
        <is>
          <t>Closed</t>
        </is>
      </c>
    </row>
    <row r="85">
      <c r="A85" s="9" t="inlineStr">
        <is>
          <t>L84</t>
        </is>
      </c>
      <c r="B85" s="9" t="inlineStr">
        <is>
          <t>Legacy bug</t>
        </is>
      </c>
      <c r="C85" s="9" t="inlineStr">
        <is>
          <t>Low</t>
        </is>
      </c>
      <c r="D85" s="9" t="inlineStr">
        <is>
          <t>Electricity consumer subsidy phased with the price-control factor; option text mismatch</t>
        </is>
      </c>
      <c r="E85" s="10" t="inlineStr">
        <is>
          <t>No</t>
        </is>
      </c>
      <c r="F85" s="9" t="inlineStr">
        <is>
          <t>Not built</t>
        </is>
      </c>
      <c r="G85" s="9" t="inlineStr">
        <is>
          <t>The electricity consumer subsidy (PowerSubsidyExemptInclude = Include) is phased with the price-control factor (row 2216), not the consumer factor (2214); the unit says Exempt/Include* while the value is DoNotPhaseOut*.</t>
        </is>
      </c>
      <c r="H85" s="9" t="inlineStr">
        <is>
          <t>An electricity subsidy reform follows the price-control timing. MVP: Not built (power parked); to fix with the power features: the consumer factor, one option text.</t>
        </is>
      </c>
      <c r="I85" s="9" t="inlineStr">
        <is>
          <t>Phase the electricity consumer subsidy with the consumer factor (row 2214); one option text.</t>
        </is>
      </c>
      <c r="J85" s="9" t="inlineStr">
        <is>
          <t>Mitigation rows 3606, 3635; MTInputs row 138</t>
        </is>
      </c>
      <c r="K85" s="9" t="inlineStr">
        <is>
          <t>Closed</t>
        </is>
      </c>
    </row>
    <row r="86">
      <c r="A86" s="9" t="inlineStr">
        <is>
          <t>L85</t>
        </is>
      </c>
      <c r="B86" s="9" t="inlineStr">
        <is>
          <t>Legacy bug</t>
        </is>
      </c>
      <c r="C86" s="9" t="inlineStr">
        <is>
          <t>Low</t>
        </is>
      </c>
      <c r="D86" s="9" t="inlineStr">
        <is>
          <t>Electricity consumer subsidy info row subtracts industry</t>
        </is>
      </c>
      <c r="E86" s="10" t="inlineStr">
        <is>
          <t>No</t>
        </is>
      </c>
      <c r="F86" s="9" t="inlineStr">
        <is>
          <t>Fixed</t>
        </is>
      </c>
      <c r="G86" s="9" t="inlineStr">
        <is>
          <t>The info row is -(MIN(0, res) - MIN(0, ind)) instead of -(MIN(0, res) + MIN(0, ind)).</t>
        </is>
      </c>
      <c r="H86" s="9" t="inlineStr">
        <is>
          <t>Reported electricity consumer subsidies wrong. MVP: Not applicable (info row; the MVP subsidy gap rgap sums both groups).</t>
        </is>
      </c>
      <c r="I86" s="9" t="inlineStr">
        <is>
          <t>Add the industry part: -(MIN(0, res) + MIN(0, ind)).</t>
        </is>
      </c>
      <c r="J86" s="9" t="inlineStr">
        <is>
          <t>Mitigation row 7820</t>
        </is>
      </c>
      <c r="K86" s="9" t="inlineStr">
        <is>
          <t>Closed</t>
        </is>
      </c>
    </row>
    <row r="87">
      <c r="A87" s="9" t="inlineStr">
        <is>
          <t>L86</t>
        </is>
      </c>
      <c r="B87" s="9" t="inlineStr">
        <is>
          <t>Legacy bug</t>
        </is>
      </c>
      <c r="C87" s="9" t="inlineStr">
        <is>
          <t>Low</t>
        </is>
      </c>
      <c r="D87" s="9" t="inlineStr">
        <is>
          <t>No manual override for the electricity producer subsidy</t>
        </is>
      </c>
      <c r="E87" s="10" t="inlineStr">
        <is>
          <t>No</t>
        </is>
      </c>
      <c r="F87" s="9" t="inlineStr">
        <is>
          <t>Not built</t>
        </is>
      </c>
      <c r="G87" s="9" t="inlineStr">
        <is>
          <t>The manual-input row of the electricity producer subsidy is #N/A, so a manual value is ignored.</t>
        </is>
      </c>
      <c r="H87" s="9" t="inlineStr">
        <is>
          <t>Manual values ignored. MVP: Not built (Manual inputs to come).</t>
        </is>
      </c>
      <c r="I87" s="9" t="inlineStr">
        <is>
          <t>Give the electricity producer subsidy a manual-input row.</t>
        </is>
      </c>
      <c r="J87" s="9" t="inlineStr">
        <is>
          <t>Mitigation I828</t>
        </is>
      </c>
      <c r="K87" s="9" t="inlineStr">
        <is>
          <t>Closed</t>
        </is>
      </c>
    </row>
    <row r="88">
      <c r="A88" s="9" t="inlineStr">
        <is>
          <t>L87</t>
        </is>
      </c>
      <c r="B88" s="9" t="inlineStr">
        <is>
          <t>Legacy bug</t>
        </is>
      </c>
      <c r="C88" s="9" t="inlineStr">
        <is>
          <t>High</t>
        </is>
      </c>
      <c r="D88" s="9" t="inlineStr">
        <is>
          <t>Regulations never act: share 0 and the adjustments unused</t>
        </is>
      </c>
      <c r="E88" s="10" t="inlineStr">
        <is>
          <t>No</t>
        </is>
      </c>
      <c r="F88" s="9" t="inlineStr">
        <is>
          <t>Fixed</t>
        </is>
      </c>
      <c r="G88" s="9" t="inlineStr">
        <is>
          <t>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H88" s="9" t="inlineStr">
        <is>
          <t>Regulation scenarios have no effect at all. MVP: Fixed (v4.16): regulation shadow price = shadow carbon price x the scenario's adjustment x sector coverage.</t>
        </is>
      </c>
      <c r="I88" s="9" t="inlineStr">
        <is>
          <t>Set the regulation share (C2371) to the scenario's adjustment of MTInputs rows 247-250 (F86:F89) and use row 251 for feebates.</t>
        </is>
      </c>
      <c r="J88" s="9" t="inlineStr">
        <is>
          <t>Mitigation C2371, F86:F90 (MTInputs rows 247-251)</t>
        </is>
      </c>
      <c r="K88" s="9" t="inlineStr">
        <is>
          <t>Closed</t>
        </is>
      </c>
    </row>
    <row r="89">
      <c r="A89" s="9" t="inlineStr">
        <is>
          <t>L88</t>
        </is>
      </c>
      <c r="B89" s="9" t="inlineStr">
        <is>
          <t>Legacy bug</t>
        </is>
      </c>
      <c r="C89" s="9" t="inlineStr">
        <is>
          <t>Medium</t>
        </is>
      </c>
      <c r="D89" s="9" t="inlineStr">
        <is>
          <t>Regulations never reach power</t>
        </is>
      </c>
      <c r="E89" s="10" t="inlineStr">
        <is>
          <t>No</t>
        </is>
      </c>
      <c r="F89" s="9" t="inlineStr">
        <is>
          <t>Fixed</t>
        </is>
      </c>
      <c r="G89" s="9" t="inlineStr">
        <is>
          <t>The power shadow price reads the feebate and ETS rows (2354) only, though the energy efficiency regulation scenario covers power.</t>
        </is>
      </c>
      <c r="H89" s="9" t="inlineStr">
        <is>
          <t>Economy-wide regulations skip power. MVP: Fixed (v4.16): shpx.pow includes reg.pow.</t>
        </is>
      </c>
      <c r="I89" s="9" t="inlineStr">
        <is>
          <t>Add the regulation shadow price to the power shadow price (rows 3398 ff.).</t>
        </is>
      </c>
      <c r="J89" s="9" t="inlineStr">
        <is>
          <t>Mitigation rows 3398 ff.</t>
        </is>
      </c>
      <c r="K89" s="9" t="inlineStr">
        <is>
          <t>Closed</t>
        </is>
      </c>
    </row>
    <row r="90">
      <c r="A90" s="9" t="inlineStr">
        <is>
          <t>L89</t>
        </is>
      </c>
      <c r="B90" s="9" t="inlineStr">
        <is>
          <t>Legacy bug</t>
        </is>
      </c>
      <c r="C90" s="9" t="inlineStr">
        <is>
          <t>Low</t>
        </is>
      </c>
      <c r="D90" s="9" t="inlineStr">
        <is>
          <t>Coal in road, residential and services reads the residential coal shadow price</t>
        </is>
      </c>
      <c r="E90" s="10" t="inlineStr">
        <is>
          <t>No</t>
        </is>
      </c>
      <c r="F90" s="9" t="inlineStr">
        <is>
          <t>Fixed</t>
        </is>
      </c>
      <c r="G90" s="9" t="inlineStr">
        <is>
          <t>The coal rows of road, residential and services read row 2378 (coal, residential) whatever the sector.</t>
        </is>
      </c>
      <c r="H90" s="9" t="inlineStr">
        <is>
          <t>Coal in road and services takes the residential shadow price (minor). MVP: Fixed: shadow prices by coverage sector x EF (shp).</t>
        </is>
      </c>
      <c r="I90" s="9" t="inlineStr">
        <is>
          <t>Read the shadow price of the row's own sector for coal.</t>
        </is>
      </c>
      <c r="J90" s="9" t="inlineStr">
        <is>
          <t>Mitigation rows 5396, 5553, 5634</t>
        </is>
      </c>
      <c r="K90" s="9" t="inlineStr">
        <is>
          <t>Closed</t>
        </is>
      </c>
    </row>
    <row r="91">
      <c r="A91" s="9" t="inlineStr">
        <is>
          <t>L90</t>
        </is>
      </c>
      <c r="B91" s="9" t="inlineStr">
        <is>
          <t>Legacy bug</t>
        </is>
      </c>
      <c r="C91" s="9" t="inlineStr">
        <is>
          <t>Low</t>
        </is>
      </c>
      <c r="D91" s="9" t="inlineStr">
        <is>
          <t>Residential leakage breaks the useful-energy balance</t>
        </is>
      </c>
      <c r="E91" s="10" t="inlineStr">
        <is>
          <t>No</t>
        </is>
      </c>
      <c r="F91" s="9" t="inlineStr">
        <is>
          <t>Fixed</t>
        </is>
      </c>
      <c r="G91" s="9" t="inlineStr">
        <is>
          <t>The biomass gain is -dF x e_m (the equivalent biomass is multiplied by BioEff again); conserving cooking energy needs -dF x e_m / e_b, so the gain is 5 times too small.</t>
        </is>
      </c>
      <c r="H91" s="9" t="inlineStr">
        <is>
          <t>Biomass gain 5 times too small when leakage is on. MVP: Fixed in v5.1 (lkb = -lkd x e_m / e_b).</t>
        </is>
      </c>
      <c r="I91" s="9" t="inlineStr">
        <is>
          <t>Drop $C5593* in row 5593 (biomass gain = -sum of the equivalents).</t>
        </is>
      </c>
      <c r="J91" s="9" t="inlineStr">
        <is>
          <t>Mitigation row 5593</t>
        </is>
      </c>
      <c r="K91" s="9" t="inlineStr">
        <is>
          <t>Closed</t>
        </is>
      </c>
    </row>
    <row r="92">
      <c r="A92" s="9" t="inlineStr">
        <is>
          <t>L91</t>
        </is>
      </c>
      <c r="B92" s="9" t="inlineStr">
        <is>
          <t>Legacy bug</t>
        </is>
      </c>
      <c r="C92" s="9" t="inlineStr">
        <is>
          <t>Low</t>
        </is>
      </c>
      <c r="D92" s="9" t="inlineStr">
        <is>
          <t>Exempt residential fuel still leaks to biomass</t>
        </is>
      </c>
      <c r="E92" s="10" t="inlineStr">
        <is>
          <t>No</t>
        </is>
      </c>
      <c r="F92" s="9" t="inlineStr">
        <is>
          <t>Fixed</t>
        </is>
      </c>
      <c r="G92" s="9" t="inlineStr">
        <is>
          <t>The leakage price change is taken from M2652 / M2675 even when AlwaysExemptResLPGKer removes the new policy from the residential price.</t>
        </is>
      </c>
      <c r="H92" s="9" t="inlineStr">
        <is>
          <t>An exempt LPG still leaks to biomass. MVP: Fixed in v5.1 (lkt reads the row's own new policy nce).</t>
        </is>
      </c>
      <c r="I92" s="9" t="inlineStr">
        <is>
          <t>Compute the leakage price change from the residential after-tax price (the row's own new policy).</t>
        </is>
      </c>
      <c r="J92" s="9" t="inlineStr">
        <is>
          <t>Mitigation rows 5580, 5586 (against 5546-5547)</t>
        </is>
      </c>
      <c r="K92" s="9" t="inlineStr">
        <is>
          <t>Closed</t>
        </is>
      </c>
    </row>
    <row r="93">
      <c r="A93" s="9" t="inlineStr">
        <is>
          <t>L92</t>
        </is>
      </c>
      <c r="B93" s="9" t="inlineStr">
        <is>
          <t>Legacy bug</t>
        </is>
      </c>
      <c r="C93" s="9" t="inlineStr">
        <is>
          <t>Low</t>
        </is>
      </c>
      <c r="D93" s="9" t="inlineStr">
        <is>
          <t>ExemptMostCook never reaches Mitigation</t>
        </is>
      </c>
      <c r="E93" s="10" t="inlineStr">
        <is>
          <t>No</t>
        </is>
      </c>
      <c r="F93" s="9" t="inlineStr">
        <is>
          <t>Not built</t>
        </is>
      </c>
      <c r="G93" s="9" t="inlineStr">
        <is>
          <t>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H93" s="9" t="inlineStr">
        <is>
          <t>ExemptMostCook has no effect on fuel use or revenue. MVP: Not built (D8; LegacyDiff 67).</t>
        </is>
      </c>
      <c r="I93" s="9" t="inlineStr">
        <is>
          <t>I1784 = IF(LEFT(H1784,3)="Yes",1,0); start rows 5568-5570 from L(total) x K1795.</t>
        </is>
      </c>
      <c r="J93" s="9" t="inlineStr">
        <is>
          <t>Mitigation I1784, K1795, rows 5568-5570</t>
        </is>
      </c>
      <c r="K93" s="9" t="inlineStr">
        <is>
          <t>Closed</t>
        </is>
      </c>
    </row>
    <row r="94">
      <c r="A94" s="9" t="inlineStr">
        <is>
          <t>L93</t>
        </is>
      </c>
      <c r="B94" s="9" t="inlineStr">
        <is>
          <t>Legacy bug</t>
        </is>
      </c>
      <c r="C94" s="9" t="inlineStr">
        <is>
          <t>Low</t>
        </is>
      </c>
      <c r="D94" s="9" t="inlineStr">
        <is>
          <t>Fuel coverage rows test text labels and contain #REF!</t>
        </is>
      </c>
      <c r="E94" s="10" t="inlineStr">
        <is>
          <t>No</t>
        </is>
      </c>
      <c r="F94" s="9" t="inlineStr">
        <is>
          <t>Not built</t>
        </is>
      </c>
      <c r="G94" s="9" t="inlineStr">
        <is>
          <t>The rows test D2312-D2320 / D2367 (text labels) and #REF!; the branch is never taken.</t>
        </is>
      </c>
      <c r="H94" s="9" t="inlineStr">
        <is>
          <t>None (dead branch). MVP: Not built (coverage by switch).</t>
        </is>
      </c>
      <c r="I94" s="9" t="inlineStr">
        <is>
          <t>Use the sector rule IF(D2369=1,IF(OR(C2173=4,C2173=9),"Yes","No"),...) in rows 2259-2268.</t>
        </is>
      </c>
      <c r="J94" s="9" t="inlineStr">
        <is>
          <t>Mitigation rows 2259-2268 (column E)</t>
        </is>
      </c>
      <c r="K94" s="9" t="inlineStr">
        <is>
          <t>Closed</t>
        </is>
      </c>
    </row>
    <row r="95">
      <c r="A95" s="9" t="inlineStr">
        <is>
          <t>L94</t>
        </is>
      </c>
      <c r="B95" s="9" t="inlineStr">
        <is>
          <t>Legacy bug</t>
        </is>
      </c>
      <c r="C95" s="9" t="inlineStr">
        <is>
          <t>Low</t>
        </is>
      </c>
      <c r="D95" s="9" t="inlineStr">
        <is>
          <t>Exemption phase-in rules differ between rows</t>
        </is>
      </c>
      <c r="E95" s="10" t="inlineStr">
        <is>
          <t>No</t>
        </is>
      </c>
      <c r="F95" s="9" t="inlineStr">
        <is>
          <t>Not built</t>
        </is>
      </c>
      <c r="G95" s="9" t="inlineStr">
        <is>
          <t>The first group uses YearPha with the ExemptPhaseout switch; the second counts from CPIntro (row 2258) and ignores the switch.</t>
        </is>
      </c>
      <c r="H95" s="9" t="inlineStr">
        <is>
          <t>Biomass, renewables and jet fuel phase in differently from the other fuels. MVP: Not built (LegacyDiff 67).</t>
        </is>
      </c>
      <c r="I95" s="9" t="inlineStr">
        <is>
          <t>One rule: MAX(MIN((t+1-YearPha)/ExemptPhaseoutPeriod,1),0) x ExemptPhaseout.</t>
        </is>
      </c>
      <c r="J95" s="9" t="inlineStr">
        <is>
          <t>Mitigation rows 2259-2265, 2270-2288 against 2266-2268, 5568-5570</t>
        </is>
      </c>
      <c r="K95" s="9" t="inlineStr">
        <is>
          <t>Closed</t>
        </is>
      </c>
    </row>
    <row r="96">
      <c r="A96" s="9" t="inlineStr">
        <is>
          <t>L95</t>
        </is>
      </c>
      <c r="B96" s="9" t="inlineStr">
        <is>
          <t>Legacy bug</t>
        </is>
      </c>
      <c r="C96" s="9" t="inlineStr">
        <is>
          <t>Low</t>
        </is>
      </c>
      <c r="D96" s="9" t="inlineStr">
        <is>
          <t>Power demand: efficiency increment sits on the net-exports row</t>
        </is>
      </c>
      <c r="E96" s="10" t="inlineStr">
        <is>
          <t>No</t>
        </is>
      </c>
      <c r="F96" s="9" t="inlineStr">
        <is>
          <t>Fixed</t>
        </is>
      </c>
      <c r="G96" s="9" t="inlineStr">
        <is>
          <t>One row carries two things: net-exports data (columns D-J) and the power-demand efficiency increment (L:M). The demand formulas read $M3719 as the efficiency term, so the row label misleads.</t>
        </is>
      </c>
      <c r="H96" s="9" t="inlineStr">
        <is>
          <t>None on values (increment 0 by default); a reader of the row label takes the efficiency term for a trade term. MVP: Fixed in the MVP (v5.1 register; the power-demand efficiency term has its own labelled row, AdditionalEfficiencyPower).</t>
        </is>
      </c>
      <c r="I96" s="9" t="inlineStr">
        <is>
          <t>Put the efficiency increment on its own labelled row (or read M2198 directly); leave row 3719 to net exports.</t>
        </is>
      </c>
      <c r="J96" s="9" t="inlineStr">
        <is>
          <t>Mitigation row 3719 (D3719 = D3742 'Net Exports (Imports negative)', F:J net-export data egy.mit.nxp.ecy; L3719 'Additional Efficiency Improvements - Power demand', M3719 = M2198 = MTInputs F242); read as $M3719 in rows 3691, 3697, 3703, 3709</t>
        </is>
      </c>
      <c r="K96" s="9" t="inlineStr">
        <is>
          <t>Closed</t>
        </is>
      </c>
    </row>
    <row r="97">
      <c r="A97" s="9" t="inlineStr">
        <is>
          <t>L96</t>
        </is>
      </c>
      <c r="B97" s="9" t="inlineStr">
        <is>
          <t>Legacy bug</t>
        </is>
      </c>
      <c r="C97" s="9" t="inlineStr">
        <is>
          <t>Low</t>
        </is>
      </c>
      <c r="D97" s="9" t="inlineStr">
        <is>
          <t>Fuel-use block: mislabelled parameter and fuel rows</t>
        </is>
      </c>
      <c r="E97" s="10" t="inlineStr">
        <is>
          <t>No</t>
        </is>
      </c>
      <c r="F97" s="9" t="inlineStr">
        <is>
          <t>Fixed</t>
        </is>
      </c>
      <c r="G97" s="9" t="inlineStr">
        <is>
          <t>Column C of rows 2199-2201 labels the carbon-tax settings of column E, while every fuel row reads K:M of the same rows as the additional-efficiency term; the sector labels of the LPG and kerosene shadow prices do not match their all-sector codes; a typo in four rows.</t>
        </is>
      </c>
      <c r="H97" s="9" t="inlineStr">
        <is>
          <t>None on values; formula audits misread the additional-efficiency term as a carbon-price setting. MVP: Fixed in the MVP (v5.1 register; own labels: additional efficiency, shadow prices by coverage sector, fuel names).</t>
        </is>
      </c>
      <c r="I97" s="9" t="inlineStr">
        <is>
          <t>Give the additional-efficiency increments their own labelled rows; label the LPG and kerosene shadow-price rows 'All'; correct the typo.</t>
        </is>
      </c>
      <c r="J97" s="9" t="inlineStr">
        <is>
          <t>Mitigation C2199:C2201 ('Tax in nominal or real terms?', 'Exponential option or linear' twice) beside K2199:M2201 (road, residential, industrial additional efficiency, MTInputs F243-F245); E2385 (LPG 'Road'), E2386 (kerosene 'Industry') on all-sector rows (codes shp.lpg.all, shp.ker.all); D5615, D5722, D6072, D6083 'Other oil pinducts'</t>
        </is>
      </c>
      <c r="K97" s="9" t="inlineStr">
        <is>
          <t>Closed</t>
        </is>
      </c>
    </row>
    <row r="98">
      <c r="A98" s="9" t="inlineStr">
        <is>
          <t>L97</t>
        </is>
      </c>
      <c r="B98" s="9" t="inlineStr">
        <is>
          <t>Legacy bug</t>
        </is>
      </c>
      <c r="C98" s="9" t="inlineStr">
        <is>
          <t>Low</t>
        </is>
      </c>
      <c r="D98" s="9" t="inlineStr">
        <is>
          <t>Iron &amp; steel memo rows unused; one reads next year's growth</t>
        </is>
      </c>
      <c r="E98" s="10" t="inlineStr">
        <is>
          <t>No</t>
        </is>
      </c>
      <c r="F98" s="9" t="inlineStr">
        <is>
          <t>Not built</t>
        </is>
      </c>
      <c r="G98" s="9" t="inlineStr">
        <is>
          <t>An EF-weighted average price (5714), an elasticity table (5668-5676) and 'Fuel'/'Average' demand and efficiency multiples (5727-5728) are computed but referenced nowhere; M5667 takes next year's GDP growth (N2446).</t>
        </is>
      </c>
      <c r="H98" s="9" t="inlineStr">
        <is>
          <t>None (dead calculation); would be wrong if anything used it. MVP: Not built in the MVP (dead memo rows).</t>
        </is>
      </c>
      <c r="I98" s="9" t="inlineStr">
        <is>
          <t>Delete the memo rows (or move them to a diagnostics area with the year's own growth M2446).</t>
        </is>
      </c>
      <c r="J98" s="9" t="inlineStr">
        <is>
          <t>Mitigation rows 5667-5676, 5714, 5727-5728 (iron &amp; steel block; M5667 = N2446)</t>
        </is>
      </c>
      <c r="K98" s="9" t="inlineStr">
        <is>
          <t>Closed</t>
        </is>
      </c>
    </row>
    <row r="99">
      <c r="A99" s="9" t="inlineStr">
        <is>
          <t>L98</t>
        </is>
      </c>
      <c r="B99" s="9" t="inlineStr">
        <is>
          <t>Legacy bug</t>
        </is>
      </c>
      <c r="C99" s="9" t="inlineStr">
        <is>
          <t>Medium</t>
        </is>
      </c>
      <c r="D99" s="9" t="inlineStr">
        <is>
          <t>Feebate inclusion of industry reads the ETS industry flag</t>
        </is>
      </c>
      <c r="E99" s="10" t="inlineStr">
        <is>
          <t>No</t>
        </is>
      </c>
      <c r="F99" s="9" t="inlineStr">
        <is>
          <t>Fixed</t>
        </is>
      </c>
      <c r="G99" s="9" t="inlineStr">
        <is>
          <t>P54:X54 = AND(Dashboard!$R$30, P53): the ETS industry flag, not the feebate flag K44.</t>
        </is>
      </c>
      <c r="H99" s="9" t="inlineStr">
        <is>
          <t>Industry feebate coverage follows the ETS switch on the Dashboard. MVP: Not applicable in the MVP (feebate coverage typed per scenario, MTInputs rows 66-82).</t>
        </is>
      </c>
      <c r="I99" s="9" t="inlineStr">
        <is>
          <t>Use =AND(Dashboard!$K$44,P53) in P54:X54.</t>
        </is>
      </c>
      <c r="J99" s="9" t="inlineStr">
        <is>
          <t>Manual inputs P54:X54 (name FeebateInclusion -&gt; MTInputs E66:E82)</t>
        </is>
      </c>
      <c r="K99" s="9" t="inlineStr">
        <is>
          <t>Closed</t>
        </is>
      </c>
    </row>
    <row r="100">
      <c r="A100" s="9" t="inlineStr">
        <is>
          <t>L99</t>
        </is>
      </c>
      <c r="B100" s="9" t="inlineStr">
        <is>
          <t>Legacy bug</t>
        </is>
      </c>
      <c r="C100" s="9" t="inlineStr">
        <is>
          <t>Medium</t>
        </is>
      </c>
      <c r="D100" s="9" t="inlineStr">
        <is>
          <t>ETS inclusion of machinery and other manufacturing uses the buildings flag</t>
        </is>
      </c>
      <c r="E100" s="10" t="inlineStr">
        <is>
          <t>No</t>
        </is>
      </c>
      <c r="F100" s="9" t="inlineStr">
        <is>
          <t>Fixed</t>
        </is>
      </c>
      <c r="G100" s="9" t="inlineStr">
        <is>
          <t>S11 and U11 read Dashboard Q30 (buildings) while mch, irn, nfm, cem read R30 (industry).</t>
        </is>
      </c>
      <c r="H100" s="9" t="inlineStr">
        <is>
          <t>Machinery and other manufacturing join the ETS with buildings, not industry. MVP: Not applicable in the MVP (ETS coverage typed per scenario, MTInputs rows 99-115).</t>
        </is>
      </c>
      <c r="I100" s="9" t="inlineStr">
        <is>
          <t>Read Dashboard R30 in S11 and U11.</t>
        </is>
      </c>
      <c r="J100" s="9" t="inlineStr">
        <is>
          <t>Manual inputs S11, U11 (name ETSInclusion)</t>
        </is>
      </c>
      <c r="K100" s="9" t="inlineStr">
        <is>
          <t>Closed</t>
        </is>
      </c>
    </row>
    <row r="101">
      <c r="A101" s="9" t="inlineStr">
        <is>
          <t>L100</t>
        </is>
      </c>
      <c r="B101" s="9" t="inlineStr">
        <is>
          <t>Legacy bug</t>
        </is>
      </c>
      <c r="C101" s="9" t="inlineStr">
        <is>
          <t>Low</t>
        </is>
      </c>
      <c r="D101" s="9" t="inlineStr">
        <is>
          <t>Manual domestic prices: the electricity rows are never read</t>
        </is>
      </c>
      <c r="E101" s="10" t="inlineStr">
        <is>
          <t>No</t>
        </is>
      </c>
      <c r="F101" s="9" t="inlineStr">
        <is>
          <t>Fixed</t>
        </is>
      </c>
      <c r="G101" s="9" t="inlineStr">
        <is>
          <t>_manual_prices (G59:N133) and _manual_codes (G59:G133) stop at row 133, so the electricity prices and producer subsidy (rows 136-146) are never read (the cause of L86).</t>
        </is>
      </c>
      <c r="H101" s="9" t="inlineStr">
        <is>
          <t>Manual electricity prices ignored. MVP: Not applicable in the MVP (manual domestic prices not built; block placed, not read).</t>
        </is>
      </c>
      <c r="I101" s="9" t="inlineStr">
        <is>
          <t>Extend both names to row 146.</t>
        </is>
      </c>
      <c r="J101" s="9" t="inlineStr">
        <is>
          <t>Manual inputs G59:N146 (names _manual_prices, _manual_codes)</t>
        </is>
      </c>
      <c r="K101" s="9" t="inlineStr">
        <is>
          <t>Closed</t>
        </is>
      </c>
    </row>
    <row r="102">
      <c r="A102" s="9" t="inlineStr">
        <is>
          <t>L101</t>
        </is>
      </c>
      <c r="B102" s="9" t="inlineStr">
        <is>
          <t>Legacy bug</t>
        </is>
      </c>
      <c r="C102" s="9" t="inlineStr">
        <is>
          <t>Low</t>
        </is>
      </c>
      <c r="D102" s="9" t="inlineStr">
        <is>
          <t>Manual services income elasticities read the industries column</t>
        </is>
      </c>
      <c r="E102" s="10" t="inlineStr">
        <is>
          <t>No</t>
        </is>
      </c>
      <c r="F102" s="9" t="inlineStr">
        <is>
          <t>Fixed</t>
        </is>
      </c>
      <c r="G102" s="9" t="inlineStr">
        <is>
          <t>F51:F58 (services) read Manual inputs column M (industries) instead of N; the price and efficiency rows are right.</t>
        </is>
      </c>
      <c r="H102" s="9" t="inlineStr">
        <is>
          <t>Manual services income elasticities equal the industry ones. MVP: Not applicable in the MVP (manual elasticities not built; block placed, not read).</t>
        </is>
      </c>
      <c r="I102" s="9" t="inlineStr">
        <is>
          <t>Read N279:N286 in F51:F58.</t>
        </is>
      </c>
      <c r="J102" s="9" t="inlineStr">
        <is>
          <t>Elasticities F51:F58 (Manual inputs rows 279-286)</t>
        </is>
      </c>
      <c r="K102" s="9" t="inlineStr">
        <is>
          <t>Closed</t>
        </is>
      </c>
    </row>
    <row r="103">
      <c r="A103" s="9" t="inlineStr">
        <is>
          <t>L102</t>
        </is>
      </c>
      <c r="B103" s="9" t="inlineStr">
        <is>
          <t>Legacy bug</t>
        </is>
      </c>
      <c r="C103" s="9" t="inlineStr">
        <is>
          <t>Low</t>
        </is>
      </c>
      <c r="D103" s="9" t="inlineStr">
        <is>
          <t>Manual non-energy elasticities can never take effect</t>
        </is>
      </c>
      <c r="E103" s="10" t="inlineStr">
        <is>
          <t>No</t>
        </is>
      </c>
      <c r="F103" s="9" t="inlineStr">
        <is>
          <t>Fixed</t>
        </is>
      </c>
      <c r="G103" s="9" t="inlineStr">
        <is>
          <t>K326:K327 are IF($E$293="Manual",#REF!,...) and Mitigation K366:M367 test E288 (MTInputs ElastIncAdjustment), which never equals "Manual".</t>
        </is>
      </c>
      <c r="H103" s="9" t="inlineStr">
        <is>
          <t>Manual non-energy elasticities ignored. MVP: Fixed in v5.2 (typed inputs on Manual inputs K325:M327, read directly; same values; LegacyDiff 72).</t>
        </is>
      </c>
      <c r="I103" s="9" t="inlineStr">
        <is>
          <t>Type the inputs and read them directly.</t>
        </is>
      </c>
      <c r="J103" s="9" t="inlineStr">
        <is>
          <t>Manual inputs K326:K327; Mitigation K366:M367</t>
        </is>
      </c>
      <c r="K103" s="9" t="inlineStr">
        <is>
          <t>Closed</t>
        </is>
      </c>
    </row>
    <row r="104">
      <c r="A104" s="9" t="inlineStr">
        <is>
          <t>L103</t>
        </is>
      </c>
      <c r="B104" s="9" t="inlineStr">
        <is>
          <t>Legacy bug</t>
        </is>
      </c>
      <c r="C104" s="9" t="inlineStr">
        <is>
          <t>Low</t>
        </is>
      </c>
      <c r="D104" s="9" t="inlineStr">
        <is>
          <t>Manual SCC reads a path typed on Mitigation, not the Manual inputs block</t>
        </is>
      </c>
      <c r="E104" s="10" t="inlineStr">
        <is>
          <t>No</t>
        </is>
      </c>
      <c r="F104" s="9" t="inlineStr">
        <is>
          <t>Fixed</t>
        </is>
      </c>
      <c r="G104" s="9" t="inlineStr">
        <is>
          <t>The SCC block of Manual inputs is read by nothing; the Manual option of NSCCSource / GSCCSource takes the path typed on Mitigation row 17683.</t>
        </is>
      </c>
      <c r="H104" s="9" t="inlineStr">
        <is>
          <t>Manual SCC entered on Manual inputs is ignored. MVP: Fixed in v5.2 (scc.man reads Manual inputs row 237 by year; names SCCManVal, SCCManYear). No effect on the shipped scenarios (SCC source Target).</t>
        </is>
      </c>
      <c r="I104" s="9" t="inlineStr">
        <is>
          <t>Mitigation row 17683 = 'Manual inputs'!J237 (NSCC) / J240 (GSCC).</t>
        </is>
      </c>
      <c r="J104" s="9" t="inlineStr">
        <is>
          <t>Manual inputs rows 234-240; Mitigation row 17683</t>
        </is>
      </c>
      <c r="K104" s="9" t="inlineStr">
        <is>
          <t>Closed</t>
        </is>
      </c>
    </row>
    <row r="105">
      <c r="A105" s="9" t="inlineStr">
        <is>
          <t>L104</t>
        </is>
      </c>
      <c r="B105" s="9" t="inlineStr">
        <is>
          <t>Legacy bug</t>
        </is>
      </c>
      <c r="C105" s="9" t="inlineStr">
        <is>
          <t>Low</t>
        </is>
      </c>
      <c r="D105" s="9" t="inlineStr">
        <is>
          <t>Name CH4Feebate points to an empty cell</t>
        </is>
      </c>
      <c r="E105" s="10" t="inlineStr">
        <is>
          <t>No</t>
        </is>
      </c>
      <c r="F105" s="9" t="inlineStr">
        <is>
          <t>Fixed</t>
        </is>
      </c>
      <c r="G105" s="9" t="inlineStr">
        <is>
          <t>The defined name CH4Feebate points to J217, which is empty (the methane block ends at row 200).</t>
        </is>
      </c>
      <c r="H105" s="9" t="inlineStr">
        <is>
          <t>None (unused name). MVP: Not applicable in the MVP (name not used).</t>
        </is>
      </c>
      <c r="I105" s="9" t="inlineStr">
        <is>
          <t>Delete the name or point it at the methane fee input.</t>
        </is>
      </c>
      <c r="J105" s="9" t="inlineStr">
        <is>
          <t>Manual inputs J217 (name CH4Feebate)</t>
        </is>
      </c>
      <c r="K105" s="9" t="inlineStr">
        <is>
          <t>Closed</t>
        </is>
      </c>
    </row>
    <row r="106">
      <c r="A106" s="9" t="inlineStr">
        <is>
          <t>L105</t>
        </is>
      </c>
      <c r="B106" s="9" t="inlineStr">
        <is>
          <t>Legacy bug</t>
        </is>
      </c>
      <c r="C106" s="9" t="inlineStr">
        <is>
          <t>Medium</t>
        </is>
      </c>
      <c r="D106" s="9" t="inlineStr">
        <is>
          <t>Dashboard industry feebate rates are lost</t>
        </is>
      </c>
      <c r="E106" s="10" t="inlineStr">
        <is>
          <t>No</t>
        </is>
      </c>
      <c r="F106" s="9" t="inlineStr">
        <is>
          <t>Fixed</t>
        </is>
      </c>
      <c r="G106" s="9" t="inlineStr">
        <is>
          <t>E56:E58 and E61:E63 transpose Dashboard H46:J46 and H47:J47; E59 and E64 (industry) are empty, so the Dashboard industry feebate rates K46 / K47 never reach MTInputs.</t>
        </is>
      </c>
      <c r="H106" s="9" t="inlineStr">
        <is>
          <t>Industry feebate rates set on the Dashboard have no effect. MVP: Not applicable in the MVP (feebate rates typed per scenario on MTInputs).</t>
        </is>
      </c>
      <c r="I106" s="9" t="inlineStr">
        <is>
          <t>Transpose H46:K46 and H47:K47.</t>
        </is>
      </c>
      <c r="J106" s="9" t="inlineStr">
        <is>
          <t>MTInputs E56:E64 (Dashboard H46:K47)</t>
        </is>
      </c>
      <c r="K106" s="9" t="inlineStr">
        <is>
          <t>Closed</t>
        </is>
      </c>
    </row>
    <row r="107">
      <c r="A107" s="9" t="inlineStr">
        <is>
          <t>L106</t>
        </is>
      </c>
      <c r="B107" s="9" t="inlineStr">
        <is>
          <t>Legacy bug</t>
        </is>
      </c>
      <c r="C107" s="9" t="inlineStr">
        <is>
          <t>Low</t>
        </is>
      </c>
      <c r="D107" s="9" t="inlineStr">
        <is>
          <t>Manual inputs memo swaps the renewables and electricity price elasticities</t>
        </is>
      </c>
      <c r="E107" s="10" t="inlineStr">
        <is>
          <t>No</t>
        </is>
      </c>
      <c r="F107" s="9" t="inlineStr">
        <is>
          <t>Fixed</t>
        </is>
      </c>
      <c r="G107" s="9" t="inlineStr">
        <is>
          <t>The memo totals of renewables and electricity use the price elasticity rows 298 and 297 the wrong way round.</t>
        </is>
      </c>
      <c r="H107" s="9" t="inlineStr">
        <is>
          <t>None (memo only). MVP: Fixed in the placed memo (display only).</t>
        </is>
      </c>
      <c r="I107" s="9" t="inlineStr">
        <is>
          <t>Use rows 297 and 298 respectively.</t>
        </is>
      </c>
      <c r="J107" s="9" t="inlineStr">
        <is>
          <t>Manual inputs K315:N316</t>
        </is>
      </c>
      <c r="K107" s="9" t="inlineStr">
        <is>
          <t>Closed</t>
        </is>
      </c>
    </row>
    <row r="108">
      <c r="A108" s="9" t="inlineStr">
        <is>
          <t>L107</t>
        </is>
      </c>
      <c r="B108" s="9" t="inlineStr">
        <is>
          <t>Legacy bug</t>
        </is>
      </c>
      <c r="C108" s="9" t="inlineStr">
        <is>
          <t>Low</t>
        </is>
      </c>
      <c r="D108" s="9" t="inlineStr">
        <is>
          <t>Renewable subsidy: start year of the additional subsidy reuses the consumer-subsidy phase-out year</t>
        </is>
      </c>
      <c r="E108" s="10" t="inlineStr">
        <is>
          <t>No</t>
        </is>
      </c>
      <c r="F108" s="9" t="inlineStr">
        <is>
          <t>Fixed</t>
        </is>
      </c>
      <c r="G108" s="9" t="inlineStr">
        <is>
          <t>The additional renewable subsidy (MTInputs 355) starts in the year the consumer fuel subsidies start to be phased out; it has no start-year input of its own.</t>
        </is>
      </c>
      <c r="H108" s="9" t="inlineStr">
        <is>
          <t>The two policies cannot be timed apart. MVP: Fixed (v5.4): own input RenSubsidyAddStartYear (MTInputs row 482, default 2027 = the default of row 132); rows rnsp, rns.</t>
        </is>
      </c>
      <c r="I108" s="9" t="inlineStr">
        <is>
          <t>Add an MTInputs row (and Dashboard cell) for the start year of the additional RE subsidy and point E2736 at it.</t>
        </is>
      </c>
      <c r="J108" s="9" t="inlineStr">
        <is>
          <t>Mitigation E2736 (policy E9067) = row 270 = MTInputs F132 (YearConsSubPha)</t>
        </is>
      </c>
      <c r="K108" s="9" t="inlineStr">
        <is>
          <t>Closed</t>
        </is>
      </c>
    </row>
    <row r="109">
      <c r="A109" s="9" t="inlineStr">
        <is>
          <t>L108</t>
        </is>
      </c>
      <c r="B109" s="9" t="inlineStr">
        <is>
          <t>Legacy bug</t>
        </is>
      </c>
      <c r="C109" s="9" t="inlineStr">
        <is>
          <t>Medium</t>
        </is>
      </c>
      <c r="D109" s="9" t="inlineStr">
        <is>
          <t>Cost of renewable subsidies counts the base subsidy twice, ignores the hydro switch and omits biomass</t>
        </is>
      </c>
      <c r="E109" s="10" t="inlineStr">
        <is>
          <t>No</t>
        </is>
      </c>
      <c r="F109" s="9" t="inlineStr">
        <is>
          <t>Fixed</t>
        </is>
      </c>
      <c r="G109" s="9" t="inlineStr">
        <is>
          <t>Rows 7897-7900 = (row 2743 + row 2745) x generation, but row 2745 already equals row 2743 minus the additional subsidy, so the base subsidy enters twice; hydro (7899) ignores RenewableSubsidyHydro; biomass has no row; 7903 enters total revenue (row 8023).</t>
        </is>
      </c>
      <c r="H109" s="9" t="inlineStr">
        <is>
          <t>Wrong total revenue whenever a renewable subsidy is set. MVP: Fixed (v5.4): revenue = subsidy x generation by type (row prrns), hydro by its switch, biomass included; in rsub.pow and rpol.ren.</t>
        </is>
      </c>
      <c r="I109" s="9" t="inlineStr">
        <is>
          <t>Rows 7897-7901 = the subsidy by type (rows 3148-3152) x generation.</t>
        </is>
      </c>
      <c r="J109" s="9" t="inlineStr">
        <is>
          <t>Mitigation rows 7897-7903 (policy +6317)</t>
        </is>
      </c>
      <c r="K109" s="9" t="inlineStr">
        <is>
          <t>Closed</t>
        </is>
      </c>
    </row>
    <row r="110">
      <c r="A110" s="9" t="inlineStr">
        <is>
          <t>L109</t>
        </is>
      </c>
      <c r="B110" s="9" t="inlineStr">
        <is>
          <t>Legacy bug</t>
        </is>
      </c>
      <c r="C110" s="9" t="inlineStr">
        <is>
          <t>Low</t>
        </is>
      </c>
      <c r="D110" s="9" t="inlineStr">
        <is>
          <t>Capex decline options Low and Vhigh have no wind and solar series</t>
        </is>
      </c>
      <c r="E110" s="10" t="inlineStr">
        <is>
          <t>No</t>
        </is>
      </c>
      <c r="F110" s="9" t="inlineStr">
        <is>
          <t>Fixed</t>
        </is>
      </c>
      <c r="G110" s="9" t="inlineStr">
        <is>
          <t>RenewableCostDeclineRate Low gives codes wld.ctf.low.wnd/sol and Vhigh wld.ctf.vhg.wnd/sol/ore, which the Power tab does not hold (only oldlow, oldvhg); the MATCH fails and the INDEX errors.</t>
        </is>
      </c>
      <c r="H110" s="9" t="inlineStr">
        <is>
          <t>Low and Vhigh options give errors. MVP: Fixed (v5.4): the older series of the same option (wind, solar) or Medium (other renewables, Vhigh), Inputs_ppath tcf|&lt;type&gt;|&lt;option&gt;. User to confirm the fallback.</t>
        </is>
      </c>
      <c r="I110" s="9" t="inlineStr">
        <is>
          <t>Add the Low and Vhigh series to the Power tab, or map the options to the old series.</t>
        </is>
      </c>
      <c r="J110" s="9" t="inlineStr">
        <is>
          <t>Mitigation rows 3038-3046; Power rows 303-330</t>
        </is>
      </c>
      <c r="K110" s="9" t="inlineStr">
        <is>
          <t>Closed</t>
        </is>
      </c>
    </row>
    <row r="111">
      <c r="A111" s="9" t="inlineStr">
        <is>
          <t>L110</t>
        </is>
      </c>
      <c r="B111" s="9" t="inlineStr">
        <is>
          <t>Legacy bug</t>
        </is>
      </c>
      <c r="C111" s="9" t="inlineStr">
        <is>
          <t>Low</t>
        </is>
      </c>
      <c r="D111" s="9" t="inlineStr">
        <is>
          <t>Power revenue rebate counts VAT that was never collected</t>
        </is>
      </c>
      <c r="E111" s="10" t="inlineStr">
        <is>
          <t>No</t>
        </is>
      </c>
      <c r="F111" s="9" t="inlineStr">
        <is>
          <t>Fixed</t>
        </is>
      </c>
      <c r="G111" s="9" t="inlineStr">
        <is>
          <t>The rebate includes VAT (carbon cost x pass-through x (1 + VAT)) and enters total revenue through row 7749, while the VAT on the carbon cost is never counted as revenue.</t>
        </is>
      </c>
      <c r="H111" s="9" t="inlineStr">
        <is>
          <t>Revenue split inconsistent (total unchanged). MVP: Fixed (v5.4): the rebate returns the carbon cost passed through (row rreb, without VAT) and the VAT on it is not collected (rnvat); the total change equals legacy's.</t>
        </is>
      </c>
      <c r="I111" s="9" t="inlineStr">
        <is>
          <t>Use the carbon cost before VAT in the rebate, or count the VAT on the policy term in the VAT revenue.</t>
        </is>
      </c>
      <c r="J111" s="9" t="inlineStr">
        <is>
          <t>Mitigation rows 3615, 3644, 3663, 7888, 7749 (policy +6331 / +6317)</t>
        </is>
      </c>
      <c r="K111" s="9" t="inlineStr">
        <is>
          <t>Closed</t>
        </is>
      </c>
    </row>
    <row r="112">
      <c r="A112" s="9" t="inlineStr">
        <is>
          <t>L111</t>
        </is>
      </c>
      <c r="B112" s="9" t="inlineStr">
        <is>
          <t>Legacy bug</t>
        </is>
      </c>
      <c r="C112" s="9" t="inlineStr">
        <is>
          <t>Low</t>
        </is>
      </c>
      <c r="D112" s="9" t="inlineStr">
        <is>
          <t>Manual electricity excise revenue counts the whole excise, also where the price does not include it</t>
        </is>
      </c>
      <c r="E112" s="10" t="inlineStr">
        <is>
          <t>No</t>
        </is>
      </c>
      <c r="F112" s="9" t="inlineStr">
        <is>
          <t>Fixed</t>
        </is>
      </c>
      <c r="G112" s="9" t="inlineStr">
        <is>
          <t>The revenue memo 3660 (and 7762) = manual excise x consumption in every year, while the price includes only the change since the last historical year x pass-through.</t>
        </is>
      </c>
      <c r="H112" s="9" t="inlineStr">
        <is>
          <t>Excise revenue overstated when AdditionalExcise is on. MVP: Fixed (v5.4): excise revenue = the excise in the price x consumption (rows pex, rpex, rexm).</t>
        </is>
      </c>
      <c r="I112" s="9" t="inlineStr">
        <is>
          <t>Compute row 3660 from the excise in the price.</t>
        </is>
      </c>
      <c r="J112" s="9" t="inlineStr">
        <is>
          <t>Mitigation rows 3602, 3631, 3660, 7885, 7762</t>
        </is>
      </c>
      <c r="K112" s="9" t="inlineStr">
        <is>
          <t>Closed</t>
        </is>
      </c>
    </row>
    <row r="113">
      <c r="A113" s="9" t="inlineStr">
        <is>
          <t>L112</t>
        </is>
      </c>
      <c r="B113" s="9" t="inlineStr">
        <is>
          <t>Legacy bug</t>
        </is>
      </c>
      <c r="C113" s="9" t="inlineStr">
        <is>
          <t>Medium</t>
        </is>
      </c>
      <c r="D113" s="9" t="inlineStr">
        <is>
          <t>Policy copies of the shadow-price rows read the baseline carbon price in the regulation term</t>
        </is>
      </c>
      <c r="E113" s="10" t="inlineStr">
        <is>
          <t>No</t>
        </is>
      </c>
      <c r="F113" s="9" t="inlineStr">
        <is>
          <t>Fixed</t>
        </is>
      </c>
      <c r="G113" s="9" t="inlineStr">
        <is>
          <t>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H113" s="9" t="inlineStr">
        <is>
          <t>Regulations have no effect in the policy run even after the L87 fix. MVP: Not replicated: the MVP's regulation shadow price is per scenario group (reg rows, v4.16).</t>
        </is>
      </c>
      <c r="I113" s="9" t="inlineStr">
        <is>
          <t>In rows 8708-8719 refer to the policy block ($D$8700, L$8706) instead of $D$2369 and L$2375.</t>
        </is>
      </c>
      <c r="J113" s="9" t="inlineStr">
        <is>
          <t>Mitigation rows 8708-8719 (policy copies of 2377-2388)</t>
        </is>
      </c>
      <c r="K113" s="9" t="inlineStr">
        <is>
          <t>Closed</t>
        </is>
      </c>
    </row>
    <row r="114">
      <c r="A114" s="9" t="inlineStr">
        <is>
          <t>L113</t>
        </is>
      </c>
      <c r="B114" s="9" t="inlineStr">
        <is>
          <t>Legacy bug</t>
        </is>
      </c>
      <c r="C114" s="9" t="inlineStr">
        <is>
          <t>Low</t>
        </is>
      </c>
      <c r="D114" s="9" t="inlineStr">
        <is>
          <t>Power switches tested for the exact "Yes" (was issue I58)</t>
        </is>
      </c>
      <c r="E114" s="10" t="inlineStr">
        <is>
          <t>No</t>
        </is>
      </c>
      <c r="F114" s="9" t="inlineStr">
        <is>
          <t>Fixed</t>
        </is>
      </c>
      <c r="G114" s="9" t="inlineStr">
        <is>
          <t>The switches test ="Yes", so the starred default "Yes*" of the MTInputs dropdowns counts as No: choosing the default option switches the feature off. Reclassified as a bug by the user (2026-10-19), as the PPA switch.</t>
        </is>
      </c>
      <c r="H114" s="9" t="inlineStr">
        <is>
          <t>Choosing the default option ("Yes*") of PowerRebates, RenewableSubsidyHydro or AdditionalExcise switches the feature off. MVP: Fixed (v5.4): the MVP accepts Yes or Yes* (LEFT 3).</t>
        </is>
      </c>
      <c r="I114" s="9" t="inlineStr">
        <is>
          <t>Test LEFT(switch,3)="Yes" in G261, row 3150 and F201, so Yes and Yes* both count as Yes.</t>
        </is>
      </c>
      <c r="J114" s="9" t="inlineStr">
        <is>
          <t>Mitigation G261 (PowerRebates), row 3150 (RenewableSubsidyHydro), F201 (AdditionalExcise)</t>
        </is>
      </c>
      <c r="K114" s="9" t="inlineStr">
        <is>
          <t>Closed</t>
        </is>
      </c>
    </row>
    <row r="115">
      <c r="A115" s="9" t="inlineStr">
        <is>
          <t>L114</t>
        </is>
      </c>
      <c r="B115" s="9" t="inlineStr">
        <is>
          <t>Legacy bug</t>
        </is>
      </c>
      <c r="C115" s="9" t="inlineStr">
        <is>
          <t>Low</t>
        </is>
      </c>
      <c r="D115" s="9" t="inlineStr">
        <is>
          <t>Renewable subsidies: nominal inputs used as real (was issue I55)</t>
        </is>
      </c>
      <c r="E115" s="10" t="inlineStr">
        <is>
          <t>No</t>
        </is>
      </c>
      <c r="F115" s="9" t="inlineStr">
        <is>
          <t>Fixed</t>
        </is>
      </c>
      <c r="G115" s="9" t="inlineStr">
        <is>
          <t>MTInputs 354-355 are labelled $/kWh nominal but enter the real cost and revenue without deflation (row 2743 = -E2734). A formula that contradicts its label: reclassified as a bug by the user (2026-10-19).</t>
        </is>
      </c>
      <c r="H115" s="9" t="inlineStr">
        <is>
          <t>Renewable subsidies too large in real terms in later years (nominal value read as real). MVP: Fixed (v5.6): the inputs are converted to real with the CPI factor of the year (row rnsp).</t>
        </is>
      </c>
      <c r="I115" s="9" t="inlineStr">
        <is>
          <t>Deflate the nominal inputs (rows 2734-2735) by the CPI index before they enter row 2743, or relabel MTInputs 354-355 as real.</t>
        </is>
      </c>
      <c r="J115" s="9" t="inlineStr">
        <is>
          <t>Mitigation rows 2734-2735, 2743, 2745 (MTInputs 354-355)</t>
        </is>
      </c>
      <c r="K115" s="9" t="inlineStr">
        <is>
          <t>Closed</t>
        </is>
      </c>
    </row>
    <row r="116">
      <c r="A116" s="9" t="inlineStr">
        <is>
          <t>L115</t>
        </is>
      </c>
      <c r="B116" s="9" t="inlineStr">
        <is>
          <t>Legacy bug</t>
        </is>
      </c>
      <c r="C116" s="9" t="inlineStr">
        <is>
          <t>Medium</t>
        </is>
      </c>
      <c r="D116" s="9" t="inlineStr">
        <is>
          <t>Residential gas: current ETS price reads the LPG transport row</t>
        </is>
      </c>
      <c r="E116" s="10" t="inlineStr">
        <is>
          <t>No</t>
        </is>
      </c>
      <c r="F116" s="9" t="inlineStr">
        <is>
          <t>Fixed</t>
        </is>
      </c>
      <c r="G116" s="9" t="inlineStr">
        <is>
          <t>Row 2555 (nga res, current ETS permit price) = K$1720 (LPG, transport/industry) instead of K$1715 (natural gas, residential); the other blocks read their own row. Found 2026-10-19 while planning L64/L65.</t>
        </is>
      </c>
      <c r="H116" s="9" t="inlineStr">
        <is>
          <t>Residential gas price carries the LPG permit price wherever an existing ETS covers either fuel. MVP: Fixed by design: the MVP reads the existing ETS price by fuel and sector (section 2).</t>
        </is>
      </c>
      <c r="I116" s="9" t="inlineStr">
        <is>
          <t>Point row 2555 (and policy 8886) at the residential gas ETS row 1715.</t>
        </is>
      </c>
      <c r="J116" s="9" t="inlineStr">
        <is>
          <t>Mitigation row 2555 (policy 8886)</t>
        </is>
      </c>
      <c r="K116" s="9" t="inlineStr">
        <is>
          <t>Closed</t>
        </is>
      </c>
    </row>
    <row r="117">
      <c r="A117" s="9" t="inlineStr">
        <is>
          <t>L116</t>
        </is>
      </c>
      <c r="B117" s="9" t="inlineStr">
        <is>
          <t>Legacy bug</t>
        </is>
      </c>
      <c r="C117" s="9" t="inlineStr">
        <is>
          <t>Low</t>
        </is>
      </c>
      <c r="D117" s="9" t="inlineStr">
        <is>
          <t>Services gasoline and diesel income elasticities: step-change column reads the wrong rows</t>
        </is>
      </c>
      <c r="E117" s="10" t="inlineStr">
        <is>
          <t>No</t>
        </is>
      </c>
      <c r="F117" s="9" t="inlineStr">
        <is>
          <t>Not built</t>
        </is>
      </c>
      <c r="G117" s="9" t="inlineStr">
        <is>
          <t>H53 = H173 (renewables, services) and H54 = H174 (electricity, services) instead of H169 and H170 (gasoline, diesel, services); every other row reads its own. No effect today (all 0.13).</t>
        </is>
      </c>
      <c r="H117" s="9" t="inlineStr">
        <is>
          <t>None today (equal values); wrong step-change elasticity for services gasoline and diesel when regional values differ. MVP: Not built: the MVP reads the income elasticities by code from the data step.</t>
        </is>
      </c>
      <c r="I117" s="9" t="inlineStr">
        <is>
          <t>Point H53 and H54 at rows 169 and 170.</t>
        </is>
      </c>
      <c r="J117" s="9" t="inlineStr">
        <is>
          <t>Elasticities H53, H54</t>
        </is>
      </c>
      <c r="K117" s="9" t="inlineStr">
        <is>
          <t>Closed</t>
        </is>
      </c>
    </row>
    <row r="118">
      <c r="A118" s="9" t="inlineStr">
        <is>
          <t>L117</t>
        </is>
      </c>
      <c r="B118" s="9" t="inlineStr">
        <is>
          <t>Legacy bug</t>
        </is>
      </c>
      <c r="C118" s="9" t="inlineStr">
        <is>
          <t>Low</t>
        </is>
      </c>
      <c r="D118" s="9" t="inlineStr">
        <is>
          <t>Transfers multiplier (TRNS): estimated lag-0 table read two rows off</t>
        </is>
      </c>
      <c r="E118" s="10" t="inlineStr">
        <is>
          <t>No</t>
        </is>
      </c>
      <c r="F118" s="9" t="inlineStr">
        <is>
          <t>Fixed</t>
        </is>
      </c>
      <c r="G118" s="9" t="inlineStr">
        <is>
          <t>D44 reads INDEX(D$1218:D$1418, ...) while E44:O44 read $1220:$1418 (rows 1218-1219 are titles). No effect today (lag 0 is 0 for every country).</t>
        </is>
      </c>
      <c r="H118" s="9" t="inlineStr">
        <is>
          <t>None today (lag 0 is 0); the lag-0 transfers multiplier would come from the wrong country. MVP: Not replicated: the MVP reads the multiplier table by country code.</t>
        </is>
      </c>
      <c r="I118" s="9" t="inlineStr">
        <is>
          <t>Read D$1220:D$1418 in D44, as E44:O44.</t>
        </is>
      </c>
      <c r="J118" s="9" t="inlineStr">
        <is>
          <t>Multipliers D44</t>
        </is>
      </c>
      <c r="K118" s="9" t="inlineStr">
        <is>
          <t>Closed</t>
        </is>
      </c>
    </row>
    <row r="119">
      <c r="A119" s="9" t="inlineStr">
        <is>
          <t>L118</t>
        </is>
      </c>
      <c r="B119" s="9" t="inlineStr">
        <is>
          <t>Legacy bug</t>
        </is>
      </c>
      <c r="C119" s="9" t="inlineStr">
        <is>
          <t>Medium</t>
        </is>
      </c>
      <c r="D119" s="9" t="inlineStr">
        <is>
          <t>Manual power investment: the need net of manual investment is never used</t>
        </is>
      </c>
      <c r="E119" s="10" t="inlineStr">
        <is>
          <t>No</t>
        </is>
      </c>
      <c r="F119" s="9" t="inlineStr">
        <is>
          <t>Fixed</t>
        </is>
      </c>
      <c r="G119" s="9" t="inlineStr">
        <is>
          <t>Row 4108 (needed effective investment after manual investment) is computed but the logit investment (rows 4110-4118) reads row 4028, so logit investment comes on top of the manual one (over-investment). Found by the power plan survey (item 8).</t>
        </is>
      </c>
      <c r="H119" s="9" t="inlineStr">
        <is>
          <t>Over-investment whenever a type is set to Manual: logit investment comes on top of the manual capacity path. MVP: Fixed (v5.6, P3): rows needm, first and deficit use the need net of manual investment.</t>
        </is>
      </c>
      <c r="I119" s="9" t="inlineStr">
        <is>
          <t>Size the logit investment on row 4108 (need after manual investment), not row 4028.</t>
        </is>
      </c>
      <c r="J119" s="9" t="inlineStr">
        <is>
          <t>Mitigation row 4108</t>
        </is>
      </c>
      <c r="K119" s="9" t="inlineStr">
        <is>
          <t>Closed</t>
        </is>
      </c>
    </row>
    <row r="120">
      <c r="A120" s="9" t="inlineStr">
        <is>
          <t>L119</t>
        </is>
      </c>
      <c r="B120" s="9" t="inlineStr">
        <is>
          <t>Legacy bug</t>
        </is>
      </c>
      <c r="C120" s="9" t="inlineStr">
        <is>
          <t>Medium</t>
        </is>
      </c>
      <c r="D120" s="9" t="inlineStr">
        <is>
          <t>NDC year adjustment applied twice for BAU targets and never for Fixed or Historical</t>
        </is>
      </c>
      <c r="E120" s="10" t="inlineStr">
        <is>
          <t>No</t>
        </is>
      </c>
      <c r="F120" s="9" t="inlineStr">
        <is>
          <t>Fixed</t>
        </is>
      </c>
      <c r="G120" s="9" t="inlineStr">
        <is>
          <t>F18414 = IF(target year &lt; 2030, (2030 - base)/(target year - base), 1) is at least 1, so the "&lt;1" branches of the Fixed and Historical blocks (rows 18441-18443, 18458-18460) never run, while the BAU block multiplies both the reduction (18422) and the level (18425: BAU x (1 - reduction x adj) x adj) by it: a 2025 BAU target is scaled up twice and the other types not at all. Found by the item 8 plan (v5.7).</t>
        </is>
      </c>
      <c r="H120" s="9" t="inlineStr">
        <is>
          <t>BAU targets before 2030 scaled twice; Fixed and Historical never adjusted. MVP: Fixed (v5.7, NDC comparison 14c): the MVP compares every NDC in its own target year (each year is modelled), so no adjustment is needed.</t>
        </is>
      </c>
      <c r="I120" s="9" t="inlineStr">
        <is>
          <t>Drop the adjustment, or apply it once and to all types (compare in the target year).</t>
        </is>
      </c>
      <c r="J120" s="9" t="inlineStr">
        <is>
          <t>Mitigation rows 18414, 18422-18427, 18441-18443, 18458-18460</t>
        </is>
      </c>
      <c r="K120" s="9" t="inlineStr">
        <is>
          <t>Closed</t>
        </is>
      </c>
    </row>
    <row r="121">
      <c r="A121" s="9" t="inlineStr">
        <is>
          <t>L120</t>
        </is>
      </c>
      <c r="B121" s="9" t="inlineStr">
        <is>
          <t>Legacy bug</t>
        </is>
      </c>
      <c r="C121" s="9" t="inlineStr">
        <is>
          <t>Low</t>
        </is>
      </c>
      <c r="D121" s="9" t="inlineStr">
        <is>
          <t>NDC index rows: unconditional and conditional ratios inverted against the average</t>
        </is>
      </c>
      <c r="E121" s="10" t="inlineStr">
        <is>
          <t>No</t>
        </is>
      </c>
      <c r="F121" s="9" t="inlineStr">
        <is>
          <t>Fixed</t>
        </is>
      </c>
      <c r="G121" s="9" t="inlineStr">
        <is>
          <t>Rows 18497-18498 divide the start-year emissions by the target (G18446/F18494) while row 18499 divides the target by the start-year emissions; the chart rows 18509-18510 read 18499 for the unconditional line and 18498 (inverted) for the conditional one. Found by the item 8 plan (v5.7).</t>
        </is>
      </c>
      <c r="H121" s="9" t="inlineStr">
        <is>
          <t>Conditional NDC line plotted as the inverse ratio. MVP: Fixed (v5.7, NDC comparison 14c): ndc.idx = target / base-year GHGs incl. LULUCF for both.</t>
        </is>
      </c>
      <c r="I121" s="9" t="inlineStr">
        <is>
          <t>Use target / start-year emissions in rows 18497-18498, as 18499.</t>
        </is>
      </c>
      <c r="J121" s="9" t="inlineStr">
        <is>
          <t>Mitigation rows 18497-18499</t>
        </is>
      </c>
      <c r="K121" s="9" t="inlineStr">
        <is>
          <t>Closed</t>
        </is>
      </c>
    </row>
    <row r="122">
      <c r="A122" s="9" t="inlineStr">
        <is>
          <t>L121</t>
        </is>
      </c>
      <c r="B122" s="9" t="inlineStr">
        <is>
          <t>Legacy bug</t>
        </is>
      </c>
      <c r="C122" s="9" t="inlineStr">
        <is>
          <t>Low</t>
        </is>
      </c>
      <c r="D122" s="9" t="inlineStr">
        <is>
          <t>Historical NDC: the target "level" is the emissions cut</t>
        </is>
      </c>
      <c r="E122" s="10" t="inlineStr">
        <is>
          <t>No</t>
        </is>
      </c>
      <c r="F122" s="9" t="inlineStr">
        <is>
          <t>Fixed</t>
        </is>
      </c>
      <c r="G122" s="9" t="inlineStr">
        <is>
          <t>Rows 18458-18460 return the cut (F18455 x adj) when adj &lt; 1 and the level otherwise; harmless today only because adj &lt; 1 never happens (L119). Found by the item 8 plan (v5.7).</t>
        </is>
      </c>
      <c r="H122" s="9" t="inlineStr">
        <is>
          <t>None today (branch never runs); a cut would be read as a level. MVP: Fixed (v5.7, NDC comparison 14c): level = reference-year emissions x (1 - reduction).</t>
        </is>
      </c>
      <c r="I122" s="9" t="inlineStr">
        <is>
          <t>Return F18452 - F18455 x adj (the level), as the Fixed block.</t>
        </is>
      </c>
      <c r="J122" s="9" t="inlineStr">
        <is>
          <t>Mitigation rows 18458-18460</t>
        </is>
      </c>
      <c r="K122" s="9" t="inlineStr">
        <is>
          <t>Closed</t>
        </is>
      </c>
    </row>
    <row r="123">
      <c r="A123" s="9" t="inlineStr">
        <is>
          <t>L122</t>
        </is>
      </c>
      <c r="B123" s="9" t="inlineStr">
        <is>
          <t>Legacy bug</t>
        </is>
      </c>
      <c r="C123" s="9" t="inlineStr">
        <is>
          <t>Medium</t>
        </is>
      </c>
      <c r="D123" s="9" t="inlineStr">
        <is>
          <t>Intensity NDC incl. LULUCF adds a blank cell instead of LULUCF emissions</t>
        </is>
      </c>
      <c r="E123" s="10" t="inlineStr">
        <is>
          <t>No</t>
        </is>
      </c>
      <c r="F123" s="9" t="inlineStr">
        <is>
          <t>Fixed</t>
        </is>
      </c>
      <c r="G123" s="9" t="inlineStr">
        <is>
          <t>The excludes-LULUCF branch adds $J$18465 where the LULUCF emissions are in column I (I18465 = G - F). J18465 is not blank: it holds the non-CO2 emissions (F - H, 254.9 Mt for Egypt), so non-CO2 is counted twice and LULUCF is missed (cell plan 2026-10-20 corrected the register). Found by the item 8 plan (v5.7).</t>
        </is>
      </c>
      <c r="H123" s="9" t="inlineStr">
        <is>
          <t>Intensity targets incl. LULUCF count non-CO2 twice and miss LULUCF. MVP: Fixed (v5.7, NDC comparison 14c): the reduction is computed on the NDC basis and applied to the BAU incl. LULUCF, as for the other types.</t>
        </is>
      </c>
      <c r="I123" s="9" t="inlineStr">
        <is>
          <t>Add I18465 (LULUCF) instead of J18465 (non-CO2).</t>
        </is>
      </c>
      <c r="J123" s="9" t="inlineStr">
        <is>
          <t>Mitigation rows 18476-18477</t>
        </is>
      </c>
      <c r="K123" s="9" t="inlineStr">
        <is>
          <t>Closed</t>
        </is>
      </c>
    </row>
    <row r="124">
      <c r="A124" s="9" t="inlineStr">
        <is>
          <t>L123</t>
        </is>
      </c>
      <c r="B124" s="9" t="inlineStr">
        <is>
          <t>Legacy bug</t>
        </is>
      </c>
      <c r="C124" s="9" t="inlineStr">
        <is>
          <t>Medium</t>
        </is>
      </c>
      <c r="D124" s="9" t="inlineStr">
        <is>
          <t>Intensity NDC: reference-year GDP read from a fixed cell</t>
        </is>
      </c>
      <c r="E124" s="10" t="inlineStr">
        <is>
          <t>No</t>
        </is>
      </c>
      <c r="F124" s="9" t="inlineStr">
        <is>
          <t>Fixed</t>
        </is>
      </c>
      <c r="G124" s="9" t="inlineStr">
        <is>
          <t>Not reproduced in the .xlsb (cell plan 2026-10-20): G469 = _NDC_Year, so G470 is the WEO real GDP of the reference year and F18466 = G470 is right; the fixed-cell reading came from the LibreOffice conversion. Only gap: reference years before 2000 find no GDP (#VALUE! or N/A; the MVP also gives N/A). Kept for the record. Found by the item 8 plan (v5.7).</t>
        </is>
      </c>
      <c r="H124" s="9" t="inlineStr">
        <is>
          <t>None. MVP: Fixed (v5.7, NDC comparison 14c): ndc.gdp.ref looks the reference year up (WEO real GDP; N/A when the year is not in the data).</t>
        </is>
      </c>
      <c r="I124" s="9" t="inlineStr">
        <is>
          <t>None: not reproduced in the .xlsb (G470 already reads the reference year).</t>
        </is>
      </c>
      <c r="J124" s="9" t="inlineStr">
        <is>
          <t>Mitigation row 18466</t>
        </is>
      </c>
      <c r="K124" s="9" t="inlineStr">
        <is>
          <t>Closed</t>
        </is>
      </c>
    </row>
    <row r="125">
      <c r="A125" s="9" t="inlineStr">
        <is>
          <t>L124</t>
        </is>
      </c>
      <c r="B125" s="9" t="inlineStr">
        <is>
          <t>Legacy bug</t>
        </is>
      </c>
      <c r="C125" s="9" t="inlineStr">
        <is>
          <t>Low</t>
        </is>
      </c>
      <c r="D125" s="9" t="inlineStr">
        <is>
          <t>Producer subsidy: the residential gas block reads the oil subsidy</t>
        </is>
      </c>
      <c r="E125" s="10" t="inlineStr">
        <is>
          <t>No</t>
        </is>
      </c>
      <c r="F125" s="9" t="inlineStr">
        <is>
          <t>Fixed</t>
        </is>
      </c>
      <c r="G125" s="9" t="inlineStr">
        <is>
          <t>The "in which: producer-side subsidies" row of the gas | residential block reads N$827 (oil, $/liter) where the other gas blocks read N$826 (gas, $/GJ). Found by I49 (v6.1). The same cells as L82 (fix plan L82 covers it).</t>
        </is>
      </c>
      <c r="H125" s="9" t="inlineStr">
        <is>
          <t>A gas producer subsidy misses residential gas, which takes the oil value instead. MVP: Fixed (v6.1, I49): every block reads the per-unit subsidy of its own fuel by its international price position (psp).</t>
        </is>
      </c>
      <c r="I125" s="9" t="inlineStr">
        <is>
          <t>Read N$826 (gas) in row 2547, as the other gas blocks (same cells as the L82 plan).</t>
        </is>
      </c>
      <c r="J125" s="9" t="inlineStr">
        <is>
          <t>Mitigation row 2547 (N2547)</t>
        </is>
      </c>
      <c r="K125" s="9" t="inlineStr">
        <is>
          <t>Closed</t>
        </is>
      </c>
    </row>
    <row r="126">
      <c r="A126" s="9" t="inlineStr">
        <is>
          <t>L125</t>
        </is>
      </c>
      <c r="B126" s="9" t="inlineStr">
        <is>
          <t>Legacy bug</t>
        </is>
      </c>
      <c r="C126" s="9" t="inlineStr">
        <is>
          <t>Low</t>
        </is>
      </c>
      <c r="D126" s="9" t="inlineStr">
        <is>
          <t>Producer subsidy: other oil products add a per-liter value to a per-barrel price</t>
        </is>
      </c>
      <c r="E126" s="10" t="inlineStr">
        <is>
          <t>No</t>
        </is>
      </c>
      <c r="F126" s="9" t="inlineStr">
        <is>
          <t>Fixed</t>
        </is>
      </c>
      <c r="G126" s="9" t="inlineStr">
        <is>
          <t>The other-oil-products block ($/bbl) adds the oil subsidy per liter (row 827) unconverted, about 159 times too small. Found by I49 (v6.1).</t>
        </is>
      </c>
      <c r="H126" s="9" t="inlineStr">
        <is>
          <t>The oil producer subsidy is about 159 times too small for other oil products. MVP: Fixed (v6.1, I49): x liters per barrel (LitersPerBbl) for a barrel-priced block.</t>
        </is>
      </c>
      <c r="I126" s="9" t="inlineStr">
        <is>
          <t>Multiply by liters per barrel in row 2685.</t>
        </is>
      </c>
      <c r="J126" s="9" t="inlineStr">
        <is>
          <t>Mitigation row 2685 (N2685)</t>
        </is>
      </c>
      <c r="K126" s="9" t="inlineStr">
        <is>
          <t>Closed</t>
        </is>
      </c>
    </row>
    <row r="127">
      <c r="A127" s="9" t="inlineStr">
        <is>
          <t>L126</t>
        </is>
      </c>
      <c r="B127" s="9" t="inlineStr">
        <is>
          <t>Legacy bug</t>
        </is>
      </c>
      <c r="C127" s="9" t="inlineStr">
        <is>
          <t>Medium</t>
        </is>
      </c>
      <c r="D127" s="9" t="inlineStr">
        <is>
          <t>Power: fuel price for power averages later years</t>
        </is>
      </c>
      <c r="E127" s="10" t="inlineStr">
        <is>
          <t>No</t>
        </is>
      </c>
      <c r="F127" s="9" t="inlineStr">
        <is>
          <t>Fixed</t>
        </is>
      </c>
      <c r="G127" s="9" t="inlineStr">
        <is>
          <t>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H127" s="9" t="inlineStr">
        <is>
          <t>Power costs read the next two years' prices: a circular reference as soon as a price depends on quantities. MVP: Fixed (v6.2): trailing average t-4 .. t (fpp over the row fpn; AVERAGEIFS on the year row keeps the scenario's own years). Price changes reach power costs about two years later than in legacy.</t>
        </is>
      </c>
      <c r="I127" s="9" t="inlineStr">
        <is>
          <t>Average the fuel prices over t-4 .. t (rows 3155-3163): L3155 =IF(...,L3072,AVERAGE($L3072:L3072)) for L:O, P3155 =IF(...,P3072,AVERAGE(L3072:P3072)) for P:AE.</t>
        </is>
      </c>
      <c r="J127" s="9" t="inlineStr">
        <is>
          <t>Mitigation rows 3155-3163 (A18)</t>
        </is>
      </c>
      <c r="K127" s="9" t="inlineStr">
        <is>
          <t>Closed</t>
        </is>
      </c>
    </row>
    <row r="128">
      <c r="A128" s="9" t="inlineStr">
        <is>
          <t>L127</t>
        </is>
      </c>
      <c r="B128" s="9" t="inlineStr">
        <is>
          <t>Legacy bug</t>
        </is>
      </c>
      <c r="C128" s="9" t="inlineStr">
        <is>
          <t>Low</t>
        </is>
      </c>
      <c r="D128" s="9" t="inlineStr">
        <is>
          <t>Power: levelised variable cost reads the variable cost to 2041</t>
        </is>
      </c>
      <c r="E128" s="10" t="inlineStr">
        <is>
          <t>No</t>
        </is>
      </c>
      <c r="F128" s="9" t="inlineStr">
        <is>
          <t>Fixed</t>
        </is>
      </c>
      <c r="G128" s="9" t="inlineStr">
        <is>
          <t>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H128" s="9" t="inlineStr">
        <is>
          <t>Latent: investment would read future quantities through the cost path. MVP: 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I128" s="9" t="inlineStr">
        <is>
          <t>Keep the levelised variable cost (rows 3439-3447) on input-driven costs only; if an ETS price becomes endogenous, levelise the announced price path instead of the solved one.</t>
        </is>
      </c>
      <c r="J128" s="9" t="inlineStr">
        <is>
          <t>Mitigation rows 3439-3447 (D9)</t>
        </is>
      </c>
      <c r="K128" s="9" t="inlineStr">
        <is>
          <t>Closed</t>
        </is>
      </c>
    </row>
    <row r="129">
      <c r="A129" s="9" t="inlineStr">
        <is>
          <t>L128</t>
        </is>
      </c>
      <c r="B129" s="9" t="inlineStr">
        <is>
          <t>Legacy bug</t>
        </is>
      </c>
      <c r="C129" s="9" t="inlineStr">
        <is>
          <t>Low</t>
        </is>
      </c>
      <c r="D129" s="9" t="inlineStr">
        <is>
          <t>Net revenue report rows read the next year</t>
        </is>
      </c>
      <c r="E129" s="10" t="inlineStr">
        <is>
          <t>No</t>
        </is>
      </c>
      <c r="F129" s="9" t="inlineStr">
        <is>
          <t>Fixed</t>
        </is>
      </c>
      <c r="G129" s="9" t="inlineStr">
        <is>
          <t>The net revenue rows (USD and % of GDP) read the next column of rows 8038 and 8043 (K6252 = L8038 ... AD6252 = AE8038), so each year shows the next year's net revenue. Report only (rows 6253, 6258 read them). Found by the read-of-later-years scan of legacy (v6.2, user 2026-10-20).</t>
        </is>
      </c>
      <c r="H129" s="9" t="inlineStr">
        <is>
          <t>Each year reports the next year's net revenue (USD and % of GDP). MVP: Not in the MVP (its revenue rows read the same year; reporting rebuilt). Legacy fix: K6252 =K8038 and K6257 =K8043, filled K:AD.</t>
        </is>
      </c>
      <c r="I129" s="9" t="inlineStr">
        <is>
          <t>K6252 =K8038 and K6257 =K8043, filled K:AD; policy rows 12569, 12574 the same (+6,317).</t>
        </is>
      </c>
      <c r="J129" s="9" t="inlineStr">
        <is>
          <t>Mitigation rows 6252, 6257 (policy 12569, 12574)</t>
        </is>
      </c>
      <c r="K129" s="9" t="inlineStr">
        <is>
          <t>Closed</t>
        </is>
      </c>
    </row>
    <row r="130">
      <c r="A130" s="9" t="inlineStr">
        <is>
          <t>L129</t>
        </is>
      </c>
      <c r="B130" s="9" t="inlineStr">
        <is>
          <t>Legacy bug</t>
        </is>
      </c>
      <c r="C130" s="9" t="inlineStr">
        <is>
          <t>Medium</t>
        </is>
      </c>
      <c r="D130" s="9" t="inlineStr">
        <is>
          <t>Baseline renewable subsidy counted twice</t>
        </is>
      </c>
      <c r="E130" s="10" t="inlineStr">
        <is>
          <t>No</t>
        </is>
      </c>
      <c r="F130" s="9" t="inlineStr">
        <is>
          <t>Fixed</t>
        </is>
      </c>
      <c r="G130" s="9" t="inlineStr">
        <is>
          <t>The rows add L2743 + L2745, but L2745 already includes L2743, so the baseline renewable subsidy is counted twice. Only when MTInputs row 354 (RenewableSubsidyBL) is not zero; 0 for Egypt. Found by the cell plans (user 2026-10-20: a bug).</t>
        </is>
      </c>
      <c r="H130" s="9" t="inlineStr">
        <is>
          <t>With a baseline renewable subsidy (MTInputs 354) the subsidy cost is counted twice. MVP: Fixed (MVP: one renewable subsidy row rnsp = baseline + additional, counted once).</t>
        </is>
      </c>
      <c r="I130" s="9" t="inlineStr">
        <is>
          <t>In rows 2785-2788, 2947-2951 and 7897-7900 drop the + L2743 term (L2745 already includes it); policy rows the same (+6,331).</t>
        </is>
      </c>
      <c r="J130" s="9" t="inlineStr">
        <is>
          <t>Mitigation rows 2785-2788, 2947-2951, 7897-7900 (against 2743, 2745)</t>
        </is>
      </c>
      <c r="K130" s="9" t="inlineStr">
        <is>
          <t>Closed</t>
        </is>
      </c>
    </row>
    <row r="131">
      <c r="A131" s="9" t="inlineStr">
        <is>
          <t>L130</t>
        </is>
      </c>
      <c r="B131" s="9" t="inlineStr">
        <is>
          <t>Legacy bug</t>
        </is>
      </c>
      <c r="C131" s="9" t="inlineStr">
        <is>
          <t>Low</t>
        </is>
      </c>
      <c r="D131" s="9" t="inlineStr">
        <is>
          <t>Intensity NDC: conditional and unconditional rows use different base years</t>
        </is>
      </c>
      <c r="E131" s="10" t="inlineStr">
        <is>
          <t>No</t>
        </is>
      </c>
      <c r="F131" s="9" t="inlineStr">
        <is>
          <t>Fixed</t>
        </is>
      </c>
      <c r="G131" s="9" t="inlineStr">
        <is>
          <t>F18471 (conditional) applies the cut to the target-year BAU intensity (F18469); F18470 (unconditional) applies it to the reference-year intensity (F18468). Found by the cell plans (user 2026-10-20: a bug).</t>
        </is>
      </c>
      <c r="H131" s="9" t="inlineStr">
        <is>
          <t>Conditional and unconditional intensity targets are not comparable. MVP: Fixed (MVP 14c: ndc.hi applies the cut to the reference-year intensity x target-year GDP, for both).</t>
        </is>
      </c>
      <c r="I131" s="9" t="inlineStr">
        <is>
          <t>F18471: apply the cut to the reference-year intensity F18468, as F18470 does.</t>
        </is>
      </c>
      <c r="J131" s="9" t="inlineStr">
        <is>
          <t>Mitigation rows 18470-18471</t>
        </is>
      </c>
      <c r="K131" s="9" t="inlineStr">
        <is>
          <t>Closed</t>
        </is>
      </c>
    </row>
    <row r="132">
      <c r="A132" s="9" t="inlineStr">
        <is>
          <t>I6</t>
        </is>
      </c>
      <c r="B132" s="9" t="inlineStr">
        <is>
          <t>Issue (departure from legacy)</t>
        </is>
      </c>
      <c r="C132" s="9" t="inlineStr">
        <is>
          <t>Minor</t>
        </is>
      </c>
      <c r="D132" s="9" t="inlineStr">
        <is>
          <t>Electricity subsidy gap is signed</t>
        </is>
      </c>
      <c r="E132" s="10" t="inlineStr">
        <is>
          <t>No</t>
        </is>
      </c>
      <c r="F132" s="9" t="inlineStr">
        <is>
          <t>Departs from legacy by decision</t>
        </is>
      </c>
      <c r="G132" s="9" t="inlineStr">
        <is>
          <t>Subsidies are negative (v2.4): the gap is negative when the tariff is below the modelled supply cost and positive when it is above; fuel subsidies count the negative part of the existing taxes only.</t>
        </is>
      </c>
      <c r="H132" s="9" t="inlineStr"/>
      <c r="I132" s="9" t="inlineStr">
        <is>
          <t>Exception by decision (v2.4): sign convention only, values as legacy.</t>
        </is>
      </c>
      <c r="J132" s="9" t="inlineStr">
        <is>
          <t>PowerPrices_Method_v7_0.md 3.9</t>
        </is>
      </c>
      <c r="K132" s="9" t="inlineStr">
        <is>
          <t>Accepted</t>
        </is>
      </c>
    </row>
    <row r="133">
      <c r="A133" s="9" t="inlineStr">
        <is>
          <t>I14</t>
        </is>
      </c>
      <c r="B133" s="9" t="inlineStr">
        <is>
          <t>Issue (departure from legacy)</t>
        </is>
      </c>
      <c r="C133" s="9" t="inlineStr">
        <is>
          <t>Major</t>
        </is>
      </c>
      <c r="D133" s="9" t="inlineStr">
        <is>
          <t>Distance to the legacy cached baseline</t>
        </is>
      </c>
      <c r="E133" s="10" t="inlineStr">
        <is>
          <t>No</t>
        </is>
      </c>
      <c r="F133" s="9" t="inlineStr">
        <is>
          <t>Departs from legacy by decision</t>
        </is>
      </c>
      <c r="G133" s="9" t="inlineStr">
        <is>
          <t>The MVP baseline differs from the cached legacy run, mainly through the fuel-use shock (I22), jet fuel (I19), the electricity price data (I20) and the fixed legacy bugs.</t>
        </is>
      </c>
      <c r="H133" s="9" t="inlineStr"/>
      <c r="I133" s="9" t="inlineStr">
        <is>
          <t>v5.7: I25 closed (v5.6); the remaining distance is the documented data and bug-fix differences (legacy_comparison, LegacyDiff).</t>
        </is>
      </c>
      <c r="J133" s="9" t="inlineStr">
        <is>
          <t>legacy_comparison_v6_4.md</t>
        </is>
      </c>
      <c r="K133" s="9" t="inlineStr">
        <is>
          <t>Accepted</t>
        </is>
      </c>
    </row>
    <row r="134">
      <c r="A134" s="9" t="inlineStr">
        <is>
          <t>I20</t>
        </is>
      </c>
      <c r="B134" s="9" t="inlineStr">
        <is>
          <t>Issue (departure from legacy)</t>
        </is>
      </c>
      <c r="C134" s="9" t="inlineStr">
        <is>
          <t>Major</t>
        </is>
      </c>
      <c r="D134" s="9" t="inlineStr">
        <is>
          <t>Electricity price data differ from legacy</t>
        </is>
      </c>
      <c r="E134" s="10" t="inlineStr">
        <is>
          <t>No</t>
        </is>
      </c>
      <c r="F134" s="9" t="inlineStr">
        <is>
          <t>Departs from legacy by decision</t>
        </is>
      </c>
      <c r="G134" s="9" t="inlineStr">
        <is>
          <t>The corrected Egypt block supplied by the user (2026-10-09) gives residential 0.054, 0.048, 0.043 $/kWh nominal for 2022-2024; the legacy vintage has 0.097 in 2022. Electricity prices, power demand and the subsidy gap differ from legacy.</t>
        </is>
      </c>
      <c r="H134" s="9" t="inlineStr"/>
      <c r="I134" s="9" t="inlineStr">
        <is>
          <t>Exception by user decision (corrected data, 2026-10-09).</t>
        </is>
      </c>
      <c r="J134" s="9" t="inlineStr">
        <is>
          <t>PowerPrices_Method_v7_0.md; LegacyDiff</t>
        </is>
      </c>
      <c r="K134" s="9" t="inlineStr">
        <is>
          <t>Accepted</t>
        </is>
      </c>
    </row>
    <row r="135">
      <c r="A135" s="9" t="inlineStr">
        <is>
          <t>I47</t>
        </is>
      </c>
      <c r="B135" s="9" t="inlineStr">
        <is>
          <t>Issue (departure from legacy)</t>
        </is>
      </c>
      <c r="C135" s="9" t="inlineStr">
        <is>
          <t>Minor</t>
        </is>
      </c>
      <c r="D135" s="9" t="inlineStr">
        <is>
          <t>GDP effects: methane fee in the fiscal space on stored scenario-1 gas and biomass activity</t>
        </is>
      </c>
      <c r="E135" s="10" t="inlineStr">
        <is>
          <t>No</t>
        </is>
      </c>
      <c r="F135" s="9" t="inlineStr">
        <is>
          <t>Departs from legacy by decision</t>
        </is>
      </c>
      <c r="G135" s="9" t="inlineStr">
        <is>
          <t>Legacy counts the methane fee in total revenue (row 8024) and so in the fiscal space, on the scenario's own activity. The MVP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H135" s="9" t="inlineStr"/>
      <c r="I135" s="9" t="inlineStr">
        <is>
          <t>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J135" s="9" t="inlineStr">
        <is>
          <t>GDP_Method_v7_0.md; LegacyDiff 55</t>
        </is>
      </c>
      <c r="K135" s="9" t="inlineStr">
        <is>
          <t>Accepted</t>
        </is>
      </c>
    </row>
    <row r="136">
      <c r="A136" s="9" t="inlineStr">
        <is>
          <t>I52</t>
        </is>
      </c>
      <c r="B136" s="9" t="inlineStr">
        <is>
          <t>Issue (departure from legacy)</t>
        </is>
      </c>
      <c r="C136" s="9" t="inlineStr">
        <is>
          <t>Minor</t>
        </is>
      </c>
      <c r="D136" s="9" t="inlineStr">
        <is>
          <t>ETS inclusion: construction, fuel transformation and other energy use follow the buildings flag</t>
        </is>
      </c>
      <c r="E136" s="10" t="inlineStr">
        <is>
          <t>No</t>
        </is>
      </c>
      <c r="F136" s="9" t="inlineStr">
        <is>
          <t>Departs from legacy by decision</t>
        </is>
      </c>
      <c r="G136" s="9" t="inlineStr">
        <is>
          <t>Manual inputs V11:X11 read Dashboard Q30 (buildings) for construction, fuel transformation and other energy use: a grouping choice. The MVP types ETS coverage per scenario (MTInputs rows 99-115).</t>
        </is>
      </c>
      <c r="H136" s="9" t="inlineStr"/>
      <c r="I136" s="9" t="inlineStr">
        <is>
          <t>Conditional: nothing to replicate now (the MVP types ETS coverage per sector). Decided (user 2026-10-19): replicate the legacy grouping when ETS coverage by Dashboard groups is built.</t>
        </is>
      </c>
      <c r="J136" s="9" t="inlineStr">
        <is>
          <t>Manual inputs survey (v5.2)</t>
        </is>
      </c>
      <c r="K136" s="9" t="inlineStr">
        <is>
          <t>Accepted</t>
        </is>
      </c>
    </row>
    <row r="137">
      <c r="A137" s="9" t="inlineStr">
        <is>
          <t>I53</t>
        </is>
      </c>
      <c r="B137" s="9" t="inlineStr">
        <is>
          <t>Issue (departure from legacy)</t>
        </is>
      </c>
      <c r="C137" s="9" t="inlineStr">
        <is>
          <t>Minor</t>
        </is>
      </c>
      <c r="D137" s="9" t="inlineStr">
        <is>
          <t>Manual domestic prices switch on only with a 2021 value</t>
        </is>
      </c>
      <c r="E137" s="10" t="inlineStr">
        <is>
          <t>No</t>
        </is>
      </c>
      <c r="F137" s="9" t="inlineStr">
        <is>
          <t>Departs from legacy by decision</t>
        </is>
      </c>
      <c r="G137" s="9" t="inlineStr">
        <is>
          <t>A manual price row is "Manual" only if its 2021 value is filled (Mitigation F765:F829 test K$764); years without a value fall back to the data year by year. Could be a bug (intent unclear). The MVP does not build manual domestic prices (block placed, not read).</t>
        </is>
      </c>
      <c r="H137" s="9" t="inlineStr"/>
      <c r="I137" s="9" t="inlineStr">
        <is>
          <t>Conditional: nothing to replicate now (the MVP does not build manual domestic prices). Decided (user 2026-10-19): an issue; replicate legacy when manual domestic prices are built; ask the CPAT team about the intent.</t>
        </is>
      </c>
      <c r="J137" s="9" t="inlineStr">
        <is>
          <t>Manual inputs survey (v5.2)</t>
        </is>
      </c>
      <c r="K137" s="9" t="inlineStr">
        <is>
          <t>Accepted</t>
        </is>
      </c>
    </row>
    <row r="138">
      <c r="A138" s="9" t="inlineStr">
        <is>
          <t>I58</t>
        </is>
      </c>
      <c r="B138" s="9" t="inlineStr">
        <is>
          <t>Issue (departure from legacy)</t>
        </is>
      </c>
      <c r="C138" s="9" t="inlineStr">
        <is>
          <t>Minor</t>
        </is>
      </c>
      <c r="D138" s="9" t="inlineStr">
        <is>
          <t>Power switches tested for the exact "Yes"</t>
        </is>
      </c>
      <c r="E138" s="10" t="inlineStr">
        <is>
          <t>No</t>
        </is>
      </c>
      <c r="F138" s="9" t="inlineStr">
        <is>
          <t>Departs from legacy; queued to replicate</t>
        </is>
      </c>
      <c r="G138" s="9" t="inlineStr">
        <is>
          <t>PowerRebates (G261), RenewableSubsidyHydro (row 3150) and AdditionalExcise (F201) count a starred "Yes*" as No. The MVP accepts Yes or Yes* (LEFT 3), as I54 and the other MVP switches.</t>
        </is>
      </c>
      <c r="H138" s="9" t="inlineStr"/>
      <c r="I138" s="9" t="inlineStr">
        <is>
          <t>Reclassified as legacy bug L113 (user 2026-10-19).</t>
        </is>
      </c>
      <c r="J138" s="9" t="inlineStr">
        <is>
          <t>PowerPrices_Method_v7_0.md; LegacyDiff 77</t>
        </is>
      </c>
      <c r="K138" s="9" t="inlineStr">
        <is>
          <t>Resolved</t>
        </is>
      </c>
    </row>
    <row r="139">
      <c r="A139" s="9" t="inlineStr">
        <is>
          <t>I64</t>
        </is>
      </c>
      <c r="B139" s="9" t="inlineStr">
        <is>
          <t>Issue (departure from legacy)</t>
        </is>
      </c>
      <c r="C139" s="9" t="inlineStr">
        <is>
          <t>Major</t>
        </is>
      </c>
      <c r="D139" s="9" t="inlineStr">
        <is>
          <t>Combustion emission factor paths missing (GAINS, proprietary)</t>
        </is>
      </c>
      <c r="E139" s="10" t="inlineStr">
        <is>
          <t>No</t>
        </is>
      </c>
      <c r="F139" s="9" t="inlineStr">
        <is>
          <t>Departs from legacy; queued to replicate</t>
        </is>
      </c>
      <c r="G139" s="9" t="inlineStr">
        <is>
          <t>Legacy reads GAINS combustion factor paths by year; in the NoPropData file they are zero (proprietary). The MVP uses the GAINS base and final factors (EF_PM), linear to EFEndYear (2039), flat after (LegacyDiff LD47). Combustion CH4 is scaled to the inventory by the calibration. Data issue: no legacy formula is wrong.</t>
        </is>
      </c>
      <c r="H139" s="9" t="inlineStr"/>
      <c r="I139" s="9" t="inlineStr">
        <is>
          <t>MVP fill kept (user 2026-10-19). Data request: a legacy file with the GAINS combustion factor paths (high priority, user 2026-10-19).</t>
        </is>
      </c>
      <c r="J139" s="9" t="inlineStr">
        <is>
          <t>GHG_Method_v7_0.md; LegacyDiff</t>
        </is>
      </c>
      <c r="K139" s="9" t="inlineStr">
        <is>
          <t>Open</t>
        </is>
      </c>
    </row>
    <row r="140">
      <c r="A140" s="9" t="inlineStr">
        <is>
          <t>I65</t>
        </is>
      </c>
      <c r="B140" s="9" t="inlineStr">
        <is>
          <t>Issue (departure from legacy)</t>
        </is>
      </c>
      <c r="C140" s="9" t="inlineStr">
        <is>
          <t>Major</t>
        </is>
      </c>
      <c r="D140" s="9" t="inlineStr">
        <is>
          <t>Blank VAT cells in the IMF price dataset</t>
        </is>
      </c>
      <c r="E140" s="10" t="inlineStr">
        <is>
          <t>No</t>
        </is>
      </c>
      <c r="F140" s="9" t="inlineStr">
        <is>
          <t>Departs from legacy; queued to replicate</t>
        </is>
      </c>
      <c r="G140" s="9" t="inlineStr">
        <is>
          <t>Some VAT cells of the IMF price dataset are blank; legacy then uses 0. The MVP fills blank cells with the general VAT rate (VAT_WEO) for residential coal and gas and all-sector oil products, 0 for power, industry and biomass (LegacyDiff LD3). None for Egypt since v0.14 (corrected data fill every VAT cell). Data issue.</t>
        </is>
      </c>
      <c r="H140" s="9" t="inlineStr"/>
      <c r="I140" s="9" t="inlineStr">
        <is>
          <t>MVP fill kept (user 2026-10-19). Data request: raise the blank VAT cells with the data team (high priority, user 2026-10-19); the MVP fill stays until then.</t>
        </is>
      </c>
      <c r="J140" s="9" t="inlineStr">
        <is>
          <t>PriceProjection_Method_v7_0.md; LegacyDiff</t>
        </is>
      </c>
      <c r="K140" s="9" t="inlineStr">
        <is>
          <t>Open</t>
        </is>
      </c>
    </row>
    <row r="141">
      <c r="A141" s="9" t="inlineStr">
        <is>
          <t>I67</t>
        </is>
      </c>
      <c r="B141" s="9" t="inlineStr">
        <is>
          <t>Issue (departure from legacy)</t>
        </is>
      </c>
      <c r="C141" s="9" t="inlineStr">
        <is>
          <t>Minor</t>
        </is>
      </c>
      <c r="D141" s="9" t="inlineStr">
        <is>
          <t>Intensity NDC: China CO2 hard-coded</t>
        </is>
      </c>
      <c r="E141" s="10" t="inlineStr">
        <is>
          <t>No</t>
        </is>
      </c>
      <c r="F141" s="9" t="inlineStr">
        <is>
          <t>Departs from legacy by decision</t>
        </is>
      </c>
      <c r="G141" s="9" t="inlineStr">
        <is>
          <t>Legacy row 18464 H uses 5665 (Mt CO2) for China instead of the data (row 889). The MVP reads sheet GHGHist (or the model where the reference year is modelled); China's latest NDC is a Historical target (ref 2024, modelled), so the value is not used.</t>
        </is>
      </c>
      <c r="H141" s="9" t="inlineStr"/>
      <c r="I141" s="9" t="inlineStr">
        <is>
          <t>v5.7: no hard-coded value; data or model (departure by design, user rule: data not typed).</t>
        </is>
      </c>
      <c r="J141" s="9" t="inlineStr">
        <is>
          <t>GHG_Method_v7_0.md</t>
        </is>
      </c>
      <c r="K141" s="9" t="inlineStr">
        <is>
          <t>Accepted</t>
        </is>
      </c>
    </row>
    <row r="142">
      <c r="A142" s="9" t="inlineStr">
        <is>
          <t>I69</t>
        </is>
      </c>
      <c r="B142" s="9" t="inlineStr">
        <is>
          <t>Issue (departure from legacy)</t>
        </is>
      </c>
      <c r="C142" s="9" t="inlineStr">
        <is>
          <t>Major</t>
        </is>
      </c>
      <c r="D142" s="9" t="inlineStr">
        <is>
          <t>Air-pollution co-benefits (health, mortality) not built</t>
        </is>
      </c>
      <c r="E142" s="10" t="inlineStr">
        <is>
          <t>No</t>
        </is>
      </c>
      <c r="F142" s="9" t="inlineStr">
        <is>
          <t>Departs from legacy: dropped by the user (v6.1)</t>
        </is>
      </c>
      <c r="G142" s="9" t="inlineStr">
        <is>
          <t>Legacy computes air-pollution mortality and its valuation from fuel use (sheets AP and the Mitigation co-benefit rows). The MVP keeps local pollutant emissions (section 15) only. Dropped by the user (2026-10-20); the plan stays for reference.</t>
        </is>
      </c>
      <c r="H142" s="9" t="inlineStr"/>
      <c r="I142" s="9" t="inlineStr">
        <is>
          <t>Module dropped by the user (2026-10-20); plan kept for reference.</t>
        </is>
      </c>
      <c r="J142" s="9" t="inlineStr">
        <is>
          <t>Plans_v7_0.md (section Plan_AirPollution)</t>
        </is>
      </c>
      <c r="K142" s="9" t="inlineStr">
        <is>
          <t>Dropped</t>
        </is>
      </c>
    </row>
    <row r="143">
      <c r="A143" s="9" t="inlineStr">
        <is>
          <t>I70</t>
        </is>
      </c>
      <c r="B143" s="9" t="inlineStr">
        <is>
          <t>Issue (departure from legacy)</t>
        </is>
      </c>
      <c r="C143" s="9" t="inlineStr">
        <is>
          <t>Major</t>
        </is>
      </c>
      <c r="D143" s="9" t="inlineStr">
        <is>
          <t>Transport externalities (congestion, accidents, road damage) not built</t>
        </is>
      </c>
      <c r="E143" s="10" t="inlineStr">
        <is>
          <t>No</t>
        </is>
      </c>
      <c r="F143" s="9" t="inlineStr">
        <is>
          <t>Departs from legacy: dropped by the user (v6.1)</t>
        </is>
      </c>
      <c r="G143" s="9" t="inlineStr">
        <is>
          <t>Legacy values the transport externalities of road fuel use and vehicle-km. Not in the MVP. Dropped by the user (2026-10-20); the plan stays for reference.</t>
        </is>
      </c>
      <c r="H143" s="9" t="inlineStr"/>
      <c r="I143" s="9" t="inlineStr">
        <is>
          <t>Module dropped by the user (2026-10-20); plan kept for reference.</t>
        </is>
      </c>
      <c r="J143" s="9" t="inlineStr">
        <is>
          <t>Plans_v7_0.md (section Plan_TransportExternalities)</t>
        </is>
      </c>
      <c r="K143" s="9" t="inlineStr">
        <is>
          <t>Dropped</t>
        </is>
      </c>
    </row>
    <row r="144">
      <c r="A144" s="9" t="inlineStr">
        <is>
          <t>I4</t>
        </is>
      </c>
      <c r="B144" s="9" t="inlineStr">
        <is>
          <t>Issue (replicated)</t>
        </is>
      </c>
      <c r="C144" s="9" t="inlineStr">
        <is>
          <t>Major</t>
        </is>
      </c>
      <c r="D144" s="9" t="inlineStr">
        <is>
          <t>Price vintage: data prices end in 2022, as legacy</t>
        </is>
      </c>
      <c r="E144" s="11" t="inlineStr">
        <is>
          <t>Yes</t>
        </is>
      </c>
      <c r="F144" s="9" t="inlineStr">
        <is>
          <t>Kept as legacy, tracked</t>
        </is>
      </c>
      <c r="G144" s="9" t="inlineStr">
        <is>
          <t>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H144" s="9" t="inlineStr"/>
      <c r="I144" s="9" t="inlineStr">
        <is>
          <t>Decided 2026-10-15: 2022 as legacy.</t>
        </is>
      </c>
      <c r="J144" s="9" t="inlineStr">
        <is>
          <t>legacy_comparison_v6_4.md; PriceProjection_Method_v7_0.md A7</t>
        </is>
      </c>
      <c r="K144" s="9" t="inlineStr">
        <is>
          <t>Accepted</t>
        </is>
      </c>
    </row>
    <row r="145">
      <c r="A145" s="9" t="inlineStr">
        <is>
          <t>I17</t>
        </is>
      </c>
      <c r="B145" s="9" t="inlineStr">
        <is>
          <t>Issue (replicated)</t>
        </is>
      </c>
      <c r="C145" s="9" t="inlineStr">
        <is>
          <t>Major</t>
        </is>
      </c>
      <c r="D145" s="9" t="inlineStr">
        <is>
          <t>Egypt GHG inventory: energy CH4 breaks after 2021</t>
        </is>
      </c>
      <c r="E145" s="11" t="inlineStr">
        <is>
          <t>Yes</t>
        </is>
      </c>
      <c r="F145" s="9" t="inlineStr">
        <is>
          <t>Kept as legacy, tracked</t>
        </is>
      </c>
      <c r="G145" s="9" t="inlineStr">
        <is>
          <t>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H145" s="9" t="inlineStr"/>
      <c r="I145" s="9" t="inlineStr">
        <is>
          <t>Decided 2026-10-15: calibrate to 2024 as legacy.</t>
        </is>
      </c>
      <c r="J145" s="9" t="inlineStr">
        <is>
          <t>GHG_Method_v7_0.md (Data); CAVEATS v2.8</t>
        </is>
      </c>
      <c r="K145" s="9" t="inlineStr">
        <is>
          <t>Accepted</t>
        </is>
      </c>
    </row>
    <row r="146">
      <c r="A146" s="9" t="inlineStr">
        <is>
          <t>I18</t>
        </is>
      </c>
      <c r="B146" s="9" t="inlineStr">
        <is>
          <t>Issue (replicated)</t>
        </is>
      </c>
      <c r="C146" s="9" t="inlineStr">
        <is>
          <t>Minor</t>
        </is>
      </c>
      <c r="D146" s="9" t="inlineStr">
        <is>
          <t>GHG totals use energy CO2 without inventory adjustment (resolved v3.2)</t>
        </is>
      </c>
      <c r="E146" s="11" t="inlineStr">
        <is>
          <t>Yes</t>
        </is>
      </c>
      <c r="F146" s="9" t="inlineStr">
        <is>
          <t>Kept as legacy, tracked</t>
        </is>
      </c>
      <c r="G146" s="9" t="inlineStr">
        <is>
          <t>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(I17).</t>
        </is>
      </c>
      <c r="H146" s="9" t="inlineStr"/>
      <c r="I146" s="9" t="inlineStr">
        <is>
          <t>v3.2 (switch, off by default as legacy since v3.4).</t>
        </is>
      </c>
      <c r="J146" s="9" t="inlineStr">
        <is>
          <t>CO2Calibration_Method_v7_0.md; CAVEATS v3.2</t>
        </is>
      </c>
      <c r="K146" s="9" t="inlineStr">
        <is>
          <t>Resolved</t>
        </is>
      </c>
    </row>
    <row r="147">
      <c r="A147" s="9" t="inlineStr">
        <is>
          <t>I19</t>
        </is>
      </c>
      <c r="B147" s="9" t="inlineStr">
        <is>
          <t>Issue (replicated)</t>
        </is>
      </c>
      <c r="C147" s="9" t="inlineStr">
        <is>
          <t>Major</t>
        </is>
      </c>
      <c r="D147" s="9" t="inlineStr">
        <is>
          <t>Jet fuel (replicated v3.11)</t>
        </is>
      </c>
      <c r="E147" s="11" t="inlineStr">
        <is>
          <t>Yes</t>
        </is>
      </c>
      <c r="F147" s="9" t="inlineStr">
        <is>
          <t>Kept as legacy, tracked</t>
        </is>
      </c>
      <c r="G147" s="9" t="inlineStr">
        <is>
          <t>Legacy domestic aviation burns jet fuel (707 ktoe in 2022). Since v3.11 the MVP has the fuel jfu (aviation only, kerosene price build-up, legacy EF row 1011, kerosene carbon-tax coverage switch); the legacy comparison includes it.</t>
        </is>
      </c>
      <c r="H147" s="9" t="inlineStr"/>
      <c r="I147" s="9" t="inlineStr">
        <is>
          <t>v3.11.</t>
        </is>
      </c>
      <c r="J147" s="9" t="inlineStr">
        <is>
          <t>Reviews_and_Surveys_v7_0.md (section Sector_Equations_Survey) D1; CAVEATS v3.11</t>
        </is>
      </c>
      <c r="K147" s="9" t="inlineStr">
        <is>
          <t>Resolved</t>
        </is>
      </c>
    </row>
    <row r="148">
      <c r="A148" s="9" t="inlineStr">
        <is>
          <t>I21</t>
        </is>
      </c>
      <c r="B148" s="9" t="inlineStr">
        <is>
          <t>Issue (replicated)</t>
        </is>
      </c>
      <c r="C148" s="9" t="inlineStr">
        <is>
          <t>Major</t>
        </is>
      </c>
      <c r="D148" s="9" t="inlineStr">
        <is>
          <t>ETS: one auctioned share for every sector (replicated v4.15)</t>
        </is>
      </c>
      <c r="E148" s="11" t="inlineStr">
        <is>
          <t>Yes</t>
        </is>
      </c>
      <c r="F148" s="9" t="inlineStr">
        <is>
          <t>Kept as legacy, tracked</t>
        </is>
      </c>
      <c r="G148" s="9" t="inlineStr">
        <is>
          <t>Legacy allocates by one auctioned share path (MTInputs rows 90-92, default 0: everything allocated free), the same for every sector. The MVP had benchmarks by sector group typed on Constants (v1.02), so an MTInputs auctioned share had no effect; since v4.15 the benchmarks are 1 - the MTInputs share of the scenario (user 2026-10-18), as legacy. Benchmarks by sector (output-based) come later.</t>
        </is>
      </c>
      <c r="H148" s="9" t="inlineStr"/>
      <c r="I148" s="9" t="inlineStr">
        <is>
          <t>v4.15 (user 2026-10-18): benchmarks = 1 - the MTInputs auctioned share (rows 90-91, one share for all sectors, as legacy); benchmarks by sector later.</t>
        </is>
      </c>
      <c r="J148" s="9" t="inlineStr">
        <is>
          <t>ETS_Method_v7_0.md; ETS_Legacy_Algorithm_v7_0.md; LegacyDiff</t>
        </is>
      </c>
      <c r="K148" s="9" t="inlineStr">
        <is>
          <t>Accepted</t>
        </is>
      </c>
    </row>
    <row r="149">
      <c r="A149" s="9" t="inlineStr">
        <is>
          <t>I22</t>
        </is>
      </c>
      <c r="B149" s="9" t="inlineStr">
        <is>
          <t>Issue (replicated)</t>
        </is>
      </c>
      <c r="C149" s="9" t="inlineStr">
        <is>
          <t>Major</t>
        </is>
      </c>
      <c r="D149" s="9" t="inlineStr">
        <is>
          <t>Fuel-use shock of 2023-2024 (replicated v3.11)</t>
        </is>
      </c>
      <c r="E149" s="11" t="inlineStr">
        <is>
          <t>Yes</t>
        </is>
      </c>
      <c r="F149" s="9" t="inlineStr">
        <is>
          <t>Kept as legacy, tracked</t>
        </is>
      </c>
      <c r="G149" s="9" t="inlineStr">
        <is>
          <t>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H149" s="9" t="inlineStr"/>
      <c r="I149" s="9" t="inlineStr">
        <is>
          <t>Replicated v3.11; source of the values to trace.</t>
        </is>
      </c>
      <c r="J149" s="9" t="inlineStr">
        <is>
          <t>Reviews_and_Surveys_v7_0.md (section Sector_Equations_Survey) D2; LegacyDiff</t>
        </is>
      </c>
      <c r="K149" s="9" t="inlineStr">
        <is>
          <t>Accepted</t>
        </is>
      </c>
    </row>
    <row r="150">
      <c r="A150" s="9" t="inlineStr">
        <is>
          <t>I25</t>
        </is>
      </c>
      <c r="B150" s="9" t="inlineStr">
        <is>
          <t>Issue (replicated)</t>
        </is>
      </c>
      <c r="C150" s="9" t="inlineStr">
        <is>
          <t>Major</t>
        </is>
      </c>
      <c r="D150" s="9" t="inlineStr">
        <is>
          <t>Industrial process emissions below legacy, not explained</t>
        </is>
      </c>
      <c r="E150" s="11" t="inlineStr">
        <is>
          <t>Yes</t>
        </is>
      </c>
      <c r="F150" s="9" t="inlineStr">
        <is>
          <t>Kept as legacy, tracked</t>
        </is>
      </c>
      <c r="G150" s="9" t="inlineStr">
        <is>
          <t>Both follow increases in industrial energy CO2, yet the MVP is 57.2 against 66.5 Mt CO2e in 2024 and 94.9 against 119.2 in 2040.</t>
        </is>
      </c>
      <c r="H150" s="9" t="inlineStr"/>
      <c r="I150" s="9" t="inlineStr">
        <is>
          <t>Traced (v5.6): legacy process emissions = 2023 inventory x the year-on-year growth of industrial energy CO2 (row 6590; 2024: +16.8%, the rebound after the 2023 demand shock, so 56.9 -&gt; 66.5). The MVP floored that growth at 0 (a departure: removed in v5.6, as legacy). The remaining gap is the industrial energy CO2 path, part of the fuel-use gap (I14).</t>
        </is>
      </c>
      <c r="J150" s="9" t="inlineStr">
        <is>
          <t>legacy_comparison_v6_4.md; CAVEATS v2.8</t>
        </is>
      </c>
      <c r="K150" s="9" t="inlineStr">
        <is>
          <t>Resolved</t>
        </is>
      </c>
    </row>
    <row r="151">
      <c r="A151" s="9" t="inlineStr">
        <is>
          <t>I26</t>
        </is>
      </c>
      <c r="B151" s="9" t="inlineStr">
        <is>
          <t>Issue (replicated)</t>
        </is>
      </c>
      <c r="C151" s="9" t="inlineStr">
        <is>
          <t>Minor</t>
        </is>
      </c>
      <c r="D151" s="9" t="inlineStr">
        <is>
          <t>GHG defaults not yet checked against legacy</t>
        </is>
      </c>
      <c r="E151" s="11" t="inlineStr">
        <is>
          <t>Yes</t>
        </is>
      </c>
      <c r="F151" s="9" t="inlineStr">
        <is>
          <t>Kept as legacy, tracked</t>
        </is>
      </c>
      <c r="G151" s="9" t="inlineStr">
        <is>
          <t>Oil, gas and coal production held at the base year (fuel supply methane) and energy N2O moving with energy CO2 were applied as defaults in v2.8; their legacy counterparts are not yet checked.</t>
        </is>
      </c>
      <c r="H151" s="9" t="inlineStr"/>
      <c r="I151" s="9" t="inlineStr">
        <is>
          <t>Checked (v5.6): energy N2O moves with energy CO2 as legacy (row 7563 = previous x CO2 ratio). Production for fuel-supply methane differs: now issue I66.</t>
        </is>
      </c>
      <c r="J151" s="9" t="inlineStr">
        <is>
          <t>GHG_Method_v7_0.md; CAVEATS v2.8</t>
        </is>
      </c>
      <c r="K151" s="9" t="inlineStr">
        <is>
          <t>Resolved</t>
        </is>
      </c>
    </row>
    <row r="152">
      <c r="A152" s="9" t="inlineStr">
        <is>
          <t>I28</t>
        </is>
      </c>
      <c r="B152" s="9" t="inlineStr">
        <is>
          <t>Issue (replicated)</t>
        </is>
      </c>
      <c r="C152" s="9" t="inlineStr">
        <is>
          <t>Minor</t>
        </is>
      </c>
      <c r="D152" s="9" t="inlineStr">
        <is>
          <t>Engineer road model: calibration open</t>
        </is>
      </c>
      <c r="E152" s="11" t="inlineStr">
        <is>
          <t>Yes</t>
        </is>
      </c>
      <c r="F152" s="9" t="inlineStr">
        <is>
          <t>Kept as legacy, tracked</t>
        </is>
      </c>
      <c r="G152" s="9" t="inlineStr">
        <is>
          <t>Off by default (TrModel = Elasticity, as the legacy Egypt run). Range anxiety is legacy's stored values (Egypt 2025 passenger EV share 0.09% against 0.15% actual); the ownership decline limit (10% a year) is a placeholder.</t>
        </is>
      </c>
      <c r="H152" s="9" t="inlineStr"/>
      <c r="I152" s="9" t="inlineStr">
        <is>
          <t>Parked, then dropped by the user (2026-10-20).</t>
        </is>
      </c>
      <c r="J152" s="9" t="inlineStr">
        <is>
          <t>Transport_vs_Legacy_v7_0.md</t>
        </is>
      </c>
      <c r="K152" s="9" t="inlineStr">
        <is>
          <t>Dropped</t>
        </is>
      </c>
    </row>
    <row r="153">
      <c r="A153" s="9" t="inlineStr">
        <is>
          <t>I31</t>
        </is>
      </c>
      <c r="B153" s="9" t="inlineStr">
        <is>
          <t>Issue (replicated)</t>
        </is>
      </c>
      <c r="C153" s="9" t="inlineStr">
        <is>
          <t>Major</t>
        </is>
      </c>
      <c r="D153" s="9" t="inlineStr">
        <is>
          <t>Average prices mix price and composition changes</t>
        </is>
      </c>
      <c r="E153" s="11" t="inlineStr">
        <is>
          <t>Yes</t>
        </is>
      </c>
      <c r="F153" s="9" t="inlineStr">
        <is>
          <t>Kept as legacy, tracked</t>
        </is>
      </c>
      <c r="G153" s="9" t="inlineStr">
        <is>
          <t>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MVP's Laspeyres index over all final uses as the option.</t>
        </is>
      </c>
      <c r="H153" s="9" t="inlineStr"/>
      <c r="I153" s="9" t="inlineStr">
        <is>
          <t>v4.15 (user 2026-10-18): legacy averages are the default (pav.leg, pav.lidx, pav.idx; Settings C54 Legacy*), the Laspeyres index kept as an option.</t>
        </is>
      </c>
      <c r="J153" s="9" t="inlineStr">
        <is>
          <t>Reviews_and_Surveys_v7_0.md (section Downstream_Survey) F5; PriceProjection_Method</t>
        </is>
      </c>
      <c r="K153" s="9" t="inlineStr">
        <is>
          <t>Accepted</t>
        </is>
      </c>
    </row>
    <row r="154">
      <c r="A154" s="9" t="inlineStr">
        <is>
          <t>I32</t>
        </is>
      </c>
      <c r="B154" s="9" t="inlineStr">
        <is>
          <t>Issue (replicated)</t>
        </is>
      </c>
      <c r="C154" s="9" t="inlineStr">
        <is>
          <t>Major</t>
        </is>
      </c>
      <c r="D154" s="9" t="inlineStr">
        <is>
          <t>Energy CO2 calibration to the inventory: as legacy since v4.11</t>
        </is>
      </c>
      <c r="E154" s="11" t="inlineStr">
        <is>
          <t>Yes</t>
        </is>
      </c>
      <c r="F154" s="9" t="inlineStr">
        <is>
          <t>Kept as legacy, tracked</t>
        </is>
      </c>
      <c r="G154" s="9" t="inlineStr">
        <is>
          <t>Legacy row 7534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MVP calibrated in 2024 and kept the switch off (user decisions v3.2, v3.4).</t>
        </is>
      </c>
      <c r="H154" s="9" t="inlineStr"/>
      <c r="I154" s="9" t="inlineStr">
        <is>
          <t>Replicated in v4.11 (user 2026-10-18: go with legacy); the inventory break (I17) stays in the factor, as legacy.</t>
        </is>
      </c>
      <c r="J154" s="9" t="inlineStr">
        <is>
          <t>ResultsSections_Method_v7_0.md; CO2Calibration_Method_v7_0.md; CAVEATS v4.11</t>
        </is>
      </c>
      <c r="K154" s="9" t="inlineStr">
        <is>
          <t>Accepted</t>
        </is>
      </c>
    </row>
    <row r="155">
      <c r="A155" s="9" t="inlineStr">
        <is>
          <t>I34</t>
        </is>
      </c>
      <c r="B155" s="9" t="inlineStr">
        <is>
          <t>Issue (replicated)</t>
        </is>
      </c>
      <c r="C155" s="9" t="inlineStr">
        <is>
          <t>Minor</t>
        </is>
      </c>
      <c r="D155" s="9" t="inlineStr">
        <is>
          <t>CH4 of the air-pollution input table: methane sources by convention</t>
        </is>
      </c>
      <c r="E155" s="11" t="inlineStr">
        <is>
          <t>Yes</t>
        </is>
      </c>
      <c r="F155" s="9" t="inlineStr">
        <is>
          <t>Kept as legacy, tracked</t>
        </is>
      </c>
      <c r="G155" s="9" t="inlineStr">
        <is>
          <t>Legacy rows 7297-7321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H155" s="9" t="inlineStr"/>
      <c r="I155" s="9" t="inlineStr">
        <is>
          <t>As legacy (v3.12); to confirm: combustion CH4 added, all fuel supply methane under other.</t>
        </is>
      </c>
      <c r="J155" s="9" t="inlineStr">
        <is>
          <t>AirPollutants_Method_v7_0.md; CAVEATS v3.12</t>
        </is>
      </c>
      <c r="K155" s="9" t="inlineStr">
        <is>
          <t>Accepted</t>
        </is>
      </c>
    </row>
    <row r="156">
      <c r="A156" s="9" t="inlineStr">
        <is>
          <t>I36</t>
        </is>
      </c>
      <c r="B156" s="9" t="inlineStr">
        <is>
          <t>Issue (replicated)</t>
        </is>
      </c>
      <c r="C156" s="9" t="inlineStr">
        <is>
          <t>Minor</t>
        </is>
      </c>
      <c r="D156" s="9" t="inlineStr">
        <is>
          <t>Effective carbon rate counts VAT and subsidies</t>
        </is>
      </c>
      <c r="E156" s="11" t="inlineStr">
        <is>
          <t>Yes</t>
        </is>
      </c>
      <c r="F156" s="9" t="inlineStr">
        <is>
          <t>Kept as legacy, tracked</t>
        </is>
      </c>
      <c r="G156" s="9" t="inlineStr">
        <is>
          <t>Legacy's effective carbon rate (row 16662) and total carbon price (F5d) divide revenue net of subsidies, VAT included, by CO2; the OECD effective carbon rate counts carbon taxes, fuel excises and permit prices only. The MVP replicates the legacy definition (section 17, v3.15) and says so in the note; Egypt has negative rates (subsidies exceed taxes).</t>
        </is>
      </c>
      <c r="H156" s="9" t="inlineStr"/>
      <c r="I156" s="9" t="inlineStr">
        <is>
          <t>As legacy (v3.15); an OECD-style rate (carbon taxes, excises, permits) could be added as a memo.</t>
        </is>
      </c>
      <c r="J156" s="9" t="inlineStr">
        <is>
          <t>ResultsSections_Method_v7_0.md; CAVEATS v3.15</t>
        </is>
      </c>
      <c r="K156" s="9" t="inlineStr">
        <is>
          <t>Accepted</t>
        </is>
      </c>
    </row>
    <row r="157">
      <c r="A157" s="9" t="inlineStr">
        <is>
          <t>I37</t>
        </is>
      </c>
      <c r="B157" s="9" t="inlineStr">
        <is>
          <t>Issue (replicated)</t>
        </is>
      </c>
      <c r="C157" s="9" t="inlineStr">
        <is>
          <t>Minor</t>
        </is>
      </c>
      <c r="D157" s="9" t="inlineStr">
        <is>
          <t>Primary energy of renewables: efficiencies not exactly 1</t>
        </is>
      </c>
      <c r="E157" s="11" t="inlineStr">
        <is>
          <t>Yes</t>
        </is>
      </c>
      <c r="F157" s="9" t="inlineStr">
        <is>
          <t>Kept as legacy, tracked</t>
        </is>
      </c>
      <c r="G157" s="9" t="inlineStr">
        <is>
          <t>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H157" s="9" t="inlineStr"/>
      <c r="I157" s="9" t="inlineStr">
        <is>
          <t>As legacy (v3.18); set the renewable efficiencies to 1 if the data are confirmed.</t>
        </is>
      </c>
      <c r="J157" s="9" t="inlineStr">
        <is>
          <t>ResultsSections_Method_v7_0.md</t>
        </is>
      </c>
      <c r="K157" s="9" t="inlineStr">
        <is>
          <t>Accepted</t>
        </is>
      </c>
    </row>
    <row r="158">
      <c r="A158" s="9" t="inlineStr">
        <is>
          <t>I38</t>
        </is>
      </c>
      <c r="B158" s="9" t="inlineStr">
        <is>
          <t>Issue (replicated)</t>
        </is>
      </c>
      <c r="C158" s="9" t="inlineStr">
        <is>
          <t>Minor</t>
        </is>
      </c>
      <c r="D158" s="9" t="inlineStr">
        <is>
          <t>Legacy's stored run: wind and solar capex time factors 2039-2041 differ from its Power tab</t>
        </is>
      </c>
      <c r="E158" s="11" t="inlineStr">
        <is>
          <t>Yes</t>
        </is>
      </c>
      <c r="F158" s="9" t="inlineStr">
        <is>
          <t>Kept as legacy, tracked</t>
        </is>
      </c>
      <c r="G158" s="9" t="inlineStr">
        <is>
          <t>Legacy Mitigation reads the capital cost time factors of wind and solar from the Power tab; its cached values for 2039-2041 (wind 0.920, 0.915, 0.909) disagree with the cached Power cells they reference (0.923, 0.920, 0.918), apparently a stale cache in the distributed file. Since v4.7 the MVP computes the factors from the Power tab by formula, so its power results (new capacity and investment of solar, wind and gas, then power fuel use and emissions) depart from legacy's stored run from 2039; nothing changes before 2039.</t>
        </is>
      </c>
      <c r="H158" s="9" t="inlineStr"/>
      <c r="I158" s="9" t="inlineStr">
        <is>
          <t>v4.7: the formula follows the Power tab; recheck against a fresh legacy run.</t>
        </is>
      </c>
      <c r="J158" s="9" t="inlineStr">
        <is>
          <t>DataTabs_v7_0.md; CAVEATS v4.7</t>
        </is>
      </c>
      <c r="K158" s="9" t="inlineStr">
        <is>
          <t>Accepted</t>
        </is>
      </c>
    </row>
    <row r="159">
      <c r="A159" s="9" t="inlineStr">
        <is>
          <t>I39</t>
        </is>
      </c>
      <c r="B159" s="9" t="inlineStr">
        <is>
          <t>Issue (replicated)</t>
        </is>
      </c>
      <c r="C159" s="9" t="inlineStr">
        <is>
          <t>Minor</t>
        </is>
      </c>
      <c r="D159" s="9" t="inlineStr">
        <is>
          <t>VAT on oil products charged on the household share only (replicated v4.12)</t>
        </is>
      </c>
      <c r="E159" s="11" t="inlineStr">
        <is>
          <t>Yes</t>
        </is>
      </c>
      <c r="F159" s="9" t="inlineStr">
        <is>
          <t>Kept as legacy, tracked</t>
        </is>
      </c>
      <c r="G159" s="9" t="inlineStr">
        <is>
          <t>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H159" s="9" t="inlineStr"/>
      <c r="I159" s="9" t="inlineStr">
        <is>
          <t>Replicated v4.12 (user 2026-10-18); a share by sector would need data by sector.</t>
        </is>
      </c>
      <c r="J159" s="9" t="inlineStr">
        <is>
          <t>PriceProjection_Method_v7_0.md 5; LegacyDiff</t>
        </is>
      </c>
      <c r="K159" s="9" t="inlineStr">
        <is>
          <t>Accepted</t>
        </is>
      </c>
    </row>
    <row r="160">
      <c r="A160" s="9" t="inlineStr">
        <is>
          <t>I40</t>
        </is>
      </c>
      <c r="B160" s="9" t="inlineStr">
        <is>
          <t>Issue (replicated)</t>
        </is>
      </c>
      <c r="C160" s="9" t="inlineStr">
        <is>
          <t>Minor</t>
        </is>
      </c>
      <c r="D160" s="9" t="inlineStr">
        <is>
          <t>Road biofuels: feebate CO2 per liter scaled by the fossil share (replicated v4.12)</t>
        </is>
      </c>
      <c r="E160" s="11" t="inlineStr">
        <is>
          <t>Yes</t>
        </is>
      </c>
      <c r="F160" s="9" t="inlineStr">
        <is>
          <t>Kept as legacy, tracked</t>
        </is>
      </c>
      <c r="G160" s="9" t="inlineStr">
        <is>
          <t>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H160" s="9" t="inlineStr"/>
      <c r="I160" s="9" t="inlineStr">
        <is>
          <t>Replicated v4.12 (user 2026-10-18); revisit if road fuels are modelled as blends.</t>
        </is>
      </c>
      <c r="J160" s="9" t="inlineStr">
        <is>
          <t>Transport_Method_v7_0.md; LegacyDiff</t>
        </is>
      </c>
      <c r="K160" s="9" t="inlineStr">
        <is>
          <t>Accepted</t>
        </is>
      </c>
    </row>
    <row r="161">
      <c r="A161" s="9" t="inlineStr">
        <is>
          <t>I41</t>
        </is>
      </c>
      <c r="B161" s="9" t="inlineStr">
        <is>
          <t>Issue (replicated)</t>
        </is>
      </c>
      <c r="C161" s="9" t="inlineStr">
        <is>
          <t>Major</t>
        </is>
      </c>
      <c r="D161" s="9" t="inlineStr">
        <is>
          <t>GDP effects: the impulse is the change in revenue over this year's GDP (replicated v4.15)</t>
        </is>
      </c>
      <c r="E161" s="11" t="inlineStr">
        <is>
          <t>Yes</t>
        </is>
      </c>
      <c r="F161" s="9" t="inlineStr">
        <is>
          <t>Kept as legacy, tracked</t>
        </is>
      </c>
      <c r="G161" s="9" t="inlineStr">
        <is>
          <t>Legacy row 14356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H161" s="9" t="inlineStr"/>
      <c r="I161" s="9" t="inlineStr">
        <is>
          <t>Replicated v4.15 (user 2026-10-18); the MVP form (change of the GDP share) is one line.</t>
        </is>
      </c>
      <c r="J161" s="9" t="inlineStr">
        <is>
          <t>GDP_Method_v7_0.md; LegacyDiff</t>
        </is>
      </c>
      <c r="K161" s="9" t="inlineStr">
        <is>
          <t>Accepted</t>
        </is>
      </c>
    </row>
    <row r="162">
      <c r="A162" s="9" t="inlineStr">
        <is>
          <t>I42</t>
        </is>
      </c>
      <c r="B162" s="9" t="inlineStr">
        <is>
          <t>Issue (replicated)</t>
        </is>
      </c>
      <c r="C162" s="9" t="inlineStr">
        <is>
          <t>Minor</t>
        </is>
      </c>
      <c r="D162" s="9" t="inlineStr">
        <is>
          <t>GDP effects: impulses only from GDPStartYear (replicated v4.15)</t>
        </is>
      </c>
      <c r="E162" s="11" t="inlineStr">
        <is>
          <t>Yes</t>
        </is>
      </c>
      <c r="F162" s="9" t="inlineStr">
        <is>
          <t>Kept as legacy, tracked</t>
        </is>
      </c>
      <c r="G162" s="9" t="inlineStr">
        <is>
          <t>Legacy cohorts start in GDPStartYear (MTInputs row 236, Egypt 2025): revenue gained before it never acts on GDP, and the first cohort holds only the change of that year. Replicated in v4.15 (impulse 0 before GDPStartYear).</t>
        </is>
      </c>
      <c r="H162" s="9" t="inlineStr"/>
      <c r="I162" s="9" t="inlineStr">
        <is>
          <t>Replicated v4.15.</t>
        </is>
      </c>
      <c r="J162" s="9" t="inlineStr">
        <is>
          <t>GDP_Method_v7_0.md</t>
        </is>
      </c>
      <c r="K162" s="9" t="inlineStr">
        <is>
          <t>Accepted</t>
        </is>
      </c>
    </row>
    <row r="163">
      <c r="A163" s="9" t="inlineStr">
        <is>
          <t>I43</t>
        </is>
      </c>
      <c r="B163" s="9" t="inlineStr">
        <is>
          <t>Issue (replicated)</t>
        </is>
      </c>
      <c r="C163" s="9" t="inlineStr">
        <is>
          <t>Minor</t>
        </is>
      </c>
      <c r="D163" s="9" t="inlineStr">
        <is>
          <t>GDP effects: revenue uses 0 before the carbon price starts (not replicated)</t>
        </is>
      </c>
      <c r="E163" s="11" t="inlineStr">
        <is>
          <t>Yes</t>
        </is>
      </c>
      <c r="F163" s="9" t="inlineStr">
        <is>
          <t>Kept as legacy, tracked</t>
        </is>
      </c>
      <c r="G163" s="9" t="inlineStr">
        <is>
          <t>Legacy rows 96-100 set the revenue-use shares to 0 before CPIntro, so an impulse of those years counts only as an excise drag. The MVP applies the shares in every year (per-cohort shares would need one share row per cohort). Tiny for Egypt (the revenue gain before CPIntro is nearly 0).</t>
        </is>
      </c>
      <c r="H163" s="9" t="inlineStr"/>
      <c r="I163" s="9" t="inlineStr">
        <is>
          <t>Replicated v5.7: rows fis.impp and fis.lagp (impulse 0 before CPIntro) feed every revenue use but the excise drag, as legacy rows 96-100.</t>
        </is>
      </c>
      <c r="J163" s="9" t="inlineStr">
        <is>
          <t>GDP_Method_v7_0.md</t>
        </is>
      </c>
      <c r="K163" s="9" t="inlineStr">
        <is>
          <t>Resolved</t>
        </is>
      </c>
    </row>
    <row r="164">
      <c r="A164" s="9" t="inlineStr">
        <is>
          <t>I44</t>
        </is>
      </c>
      <c r="B164" s="9" t="inlineStr">
        <is>
          <t>Issue (replicated)</t>
        </is>
      </c>
      <c r="C164" s="9" t="inlineStr">
        <is>
          <t>Minor</t>
        </is>
      </c>
      <c r="D164" s="9" t="inlineStr">
        <is>
          <t>Multipliers: the income-group spread added to manual and country multipliers (replicated v4.15)</t>
        </is>
      </c>
      <c r="E164" s="11" t="inlineStr">
        <is>
          <t>Yes</t>
        </is>
      </c>
      <c r="F164" s="9" t="inlineStr">
        <is>
          <t>Kept as legacy, tracked</t>
        </is>
      </c>
      <c r="G164" s="9" t="inlineStr">
        <is>
          <t>Legacy Low / High (FmAdj) adds -/+ the standard deviation of the income group to every source, also to manual and country-estimated multipliers. Replicated in v4.15 (Inputs_mult est and man columns).</t>
        </is>
      </c>
      <c r="H164" s="9" t="inlineStr"/>
      <c r="I164" s="9" t="inlineStr">
        <is>
          <t>Replicated v4.15.</t>
        </is>
      </c>
      <c r="J164" s="9" t="inlineStr">
        <is>
          <t>GDP_Method_v7_0.md</t>
        </is>
      </c>
      <c r="K164" s="9" t="inlineStr">
        <is>
          <t>Accepted</t>
        </is>
      </c>
    </row>
    <row r="165">
      <c r="A165" s="9" t="inlineStr">
        <is>
          <t>I45</t>
        </is>
      </c>
      <c r="B165" s="9" t="inlineStr">
        <is>
          <t>Issue (replicated)</t>
        </is>
      </c>
      <c r="C165" s="9" t="inlineStr">
        <is>
          <t>Minor</t>
        </is>
      </c>
      <c r="D165" s="9" t="inlineStr">
        <is>
          <t>Multipliers: excise estimates from the "Excise tax" table (replicated v4.15)</t>
        </is>
      </c>
      <c r="E165" s="11" t="inlineStr">
        <is>
          <t>Yes</t>
        </is>
      </c>
      <c r="F165" s="9" t="inlineStr">
        <is>
          <t>Kept as legacy, tracked</t>
        </is>
      </c>
      <c r="G165" s="9" t="inlineStr">
        <is>
          <t>Legacy maps the energy excise instrument (EXC) to the "Excise tax" country table (rows 614-812); the "Fuel tax" table (rows 210-408) is never used. Replicated in v4.15.</t>
        </is>
      </c>
      <c r="H165" s="9" t="inlineStr"/>
      <c r="I165" s="9" t="inlineStr">
        <is>
          <t>Replicated v4.15.</t>
        </is>
      </c>
      <c r="J165" s="9" t="inlineStr">
        <is>
          <t>GDP_Method_v7_0.md</t>
        </is>
      </c>
      <c r="K165" s="9" t="inlineStr">
        <is>
          <t>Accepted</t>
        </is>
      </c>
    </row>
    <row r="166">
      <c r="A166" s="9" t="inlineStr">
        <is>
          <t>I46</t>
        </is>
      </c>
      <c r="B166" s="9" t="inlineStr">
        <is>
          <t>Issue (replicated)</t>
        </is>
      </c>
      <c r="C166" s="9" t="inlineStr">
        <is>
          <t>Major</t>
        </is>
      </c>
      <c r="D166" s="9" t="inlineStr">
        <is>
          <t>Revenue by policy: transport and renewable subsidies not modelled</t>
        </is>
      </c>
      <c r="E166" s="11" t="inlineStr">
        <is>
          <t>Yes</t>
        </is>
      </c>
      <c r="F166" s="9" t="inlineStr">
        <is>
          <t>Kept as legacy, tracked</t>
        </is>
      </c>
      <c r="G166" s="9" t="inlineStr">
        <is>
          <t>Legacy total revenue (row 8026) includes the transport revenues of the engineer road model (customs and VAT on vehicles, feebates, vehicle and charging subsidies, distance tax; rows 7913-7999) and the renewable subsidy cost (from the elasticity power model even where the engineer model is used, rows 7896-7904). The MVP 12e block has both rows at 0 (road engineer revenues parked; no renewable subsidy policy). Egypt: transport +0.04 bn in 2030 against baseline.</t>
        </is>
      </c>
      <c r="H166" s="9" t="inlineStr"/>
      <c r="I166" s="9" t="inlineStr">
        <is>
          <t>Renewable subsidies: in the power model since v5.4 (prrns), counted in rsub, rtot and block 12e row rpol.ren, as legacy rows 7896-7904. Transport revenues: dropped with the engineer road model (I61, user 2026-10-20); row rpol.trs stays 0.</t>
        </is>
      </c>
      <c r="J166" s="9" t="inlineStr">
        <is>
          <t>LegacyDiff 37</t>
        </is>
      </c>
      <c r="K166" s="9" t="inlineStr">
        <is>
          <t>Resolved</t>
        </is>
      </c>
    </row>
    <row r="167">
      <c r="A167" s="9" t="inlineStr">
        <is>
          <t>I48</t>
        </is>
      </c>
      <c r="B167" s="9" t="inlineStr">
        <is>
          <t>Issue (replicated)</t>
        </is>
      </c>
      <c r="C167" s="9" t="inlineStr">
        <is>
          <t>Minor</t>
        </is>
      </c>
      <c r="D167" s="9" t="inlineStr">
        <is>
          <t>Price-control phase-out uses the consumer subsidy share (replicated v4.16)</t>
        </is>
      </c>
      <c r="E167" s="11" t="inlineStr">
        <is>
          <t>Yes</t>
        </is>
      </c>
      <c r="F167" s="9" t="inlineStr">
        <is>
          <t>Kept as legacy, tracked</t>
        </is>
      </c>
      <c r="G167" s="9" t="inlineStr">
        <is>
          <t>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H167" s="9" t="inlineStr"/>
      <c r="I167" s="9" t="inlineStr">
        <is>
          <t>Replicated v4.16; a price-control share would need an MTInputs row.</t>
        </is>
      </c>
      <c r="J167" s="9" t="inlineStr">
        <is>
          <t>PriceProjection_Method_v7_0.md 6</t>
        </is>
      </c>
      <c r="K167" s="9" t="inlineStr">
        <is>
          <t>Accepted</t>
        </is>
      </c>
    </row>
    <row r="168">
      <c r="A168" s="9" t="inlineStr">
        <is>
          <t>I49</t>
        </is>
      </c>
      <c r="B168" s="9" t="inlineStr">
        <is>
          <t>Issue (replicated)</t>
        </is>
      </c>
      <c r="C168" s="9" t="inlineStr">
        <is>
          <t>Minor</t>
        </is>
      </c>
      <c r="D168" s="9" t="inlineStr">
        <is>
          <t>Producer subsidies: fiscal line only, no price effect (not replicated)</t>
        </is>
      </c>
      <c r="E168" s="11" t="inlineStr">
        <is>
          <t>Yes</t>
        </is>
      </c>
      <c r="F168" s="9" t="inlineStr">
        <is>
          <t>Kept as legacy, tracked</t>
        </is>
      </c>
      <c r="G168" s="9" t="inlineStr">
        <is>
          <t>Legacy spreads a producer subsidy over world demand (oil) or half world, half domestic demand (coal, gas), and over domestic use (biomass): the per-unit subsidy is then near zero for oil, coal and gas, and enters the supply cost (the pass-through share reaches retail). The MVP has the fiscal line (pros x factor, rpsu) and no price effect; electricity producer subsidies enter the power price in legacy (power parked). None for Egypt (data 0).</t>
        </is>
      </c>
      <c r="H168" s="9" t="inlineStr"/>
      <c r="I168" s="9" t="inlineStr">
        <is>
          <t>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J168" s="9" t="inlineStr">
        <is>
          <t>PriceProjection_Method_v7_0.md 6</t>
        </is>
      </c>
      <c r="K168" s="9" t="inlineStr">
        <is>
          <t>Resolved</t>
        </is>
      </c>
    </row>
    <row r="169">
      <c r="A169" s="9" t="inlineStr">
        <is>
          <t>I50</t>
        </is>
      </c>
      <c r="B169" s="9" t="inlineStr">
        <is>
          <t>Issue (replicated)</t>
        </is>
      </c>
      <c r="C169" s="9" t="inlineStr">
        <is>
          <t>Minor</t>
        </is>
      </c>
      <c r="D169" s="9" t="inlineStr">
        <is>
          <t>Residential LPG and kerosene always exempted: all new policy removed (replicated v5.1)</t>
        </is>
      </c>
      <c r="E169" s="11" t="inlineStr">
        <is>
          <t>Yes</t>
        </is>
      </c>
      <c r="F169" s="9" t="inlineStr">
        <is>
          <t>Kept as legacy, tracked</t>
        </is>
      </c>
      <c r="G169" s="9" t="inlineStr">
        <is>
          <t>AlwaysExemptResLPGKer (MTInputs 268, per scenario) removes the carbon tax, the ETS and the new excise with their VAT from the residential LPG and kerosene price (legacy rows 5546-5547); the shadow price is kept, and ETS-covered emissions still count the fuels.</t>
        </is>
      </c>
      <c r="H169" s="9" t="inlineStr"/>
      <c r="I169" s="9" t="inlineStr">
        <is>
          <t>None (as legacy).</t>
        </is>
      </c>
      <c r="J169" s="9" t="inlineStr">
        <is>
          <t>PriceProjection_Method_v7_0.md 5; LegacyDiff 66</t>
        </is>
      </c>
      <c r="K169" s="9" t="inlineStr">
        <is>
          <t>Accepted</t>
        </is>
      </c>
    </row>
    <row r="170">
      <c r="A170" s="9" t="inlineStr">
        <is>
          <t>I51</t>
        </is>
      </c>
      <c r="B170" s="9" t="inlineStr">
        <is>
          <t>Issue (replicated)</t>
        </is>
      </c>
      <c r="C170" s="9" t="inlineStr">
        <is>
          <t>Minor</t>
        </is>
      </c>
      <c r="D170" s="9" t="inlineStr">
        <is>
          <t>Residential leakage: the fossil change is efficiency-weighted (replicated v5.1)</t>
        </is>
      </c>
      <c r="E170" s="11" t="inlineStr">
        <is>
          <t>Yes</t>
        </is>
      </c>
      <c r="F170" s="9" t="inlineStr">
        <is>
          <t>Kept as legacy, tracked</t>
        </is>
      </c>
      <c r="G170" s="9" t="inlineStr">
        <is>
          <t>dF = -F x e_m x p, as legacy (p read as a share of useful energy). The alternative dF = -F x p is equally defensible (Egypt, $20 scenario, 2027: about -45 ktoe LPG and +127 ktoe biomass instead of -25 and +71).</t>
        </is>
      </c>
      <c r="H170" s="9" t="inlineStr"/>
      <c r="I170" s="9" t="inlineStr">
        <is>
          <t>Decided (user 2026-10-19): keep the efficiency weighting, as legacy.</t>
        </is>
      </c>
      <c r="J170" s="9" t="inlineStr">
        <is>
          <t>Equations_v7_0.md 4a; LegacyDiff 65</t>
        </is>
      </c>
      <c r="K170" s="9" t="inlineStr">
        <is>
          <t>Accepted</t>
        </is>
      </c>
    </row>
    <row r="171">
      <c r="A171" s="9" t="inlineStr">
        <is>
          <t>I54</t>
        </is>
      </c>
      <c r="B171" s="9" t="inlineStr">
        <is>
          <t>Issue (replicated)</t>
        </is>
      </c>
      <c r="C171" s="9" t="inlineStr">
        <is>
          <t>Minor</t>
        </is>
      </c>
      <c r="D171" s="9" t="inlineStr">
        <is>
          <t>PPAs: phase-out switch only on the exact text "Yes*"; share to phase out typed 1</t>
        </is>
      </c>
      <c r="E171" s="11" t="inlineStr">
        <is>
          <t>Yes</t>
        </is>
      </c>
      <c r="F171" s="9" t="inlineStr">
        <is>
          <t>Kept as legacy, tracked</t>
        </is>
      </c>
      <c r="G171" s="9" t="inlineStr">
        <is>
          <t>Q2190 = IF(Q2189 = "Yes*", 1, 0): a plain "Yes" means no phase-out; the share of PPAs to phase out is typed 1 (Mitigation Q2190, Q2193, row 2218). Replicated with Yes or Yes* (LEFT 3), share 1.</t>
        </is>
      </c>
      <c r="H171" s="9" t="inlineStr"/>
      <c r="I171" s="9" t="inlineStr">
        <is>
          <t>None (user decision 2026-10-18).</t>
        </is>
      </c>
      <c r="J171" s="9" t="inlineStr">
        <is>
          <t>PowerModel_Method_v7_0.md; LegacyDiff 75</t>
        </is>
      </c>
      <c r="K171" s="9" t="inlineStr">
        <is>
          <t>Accepted</t>
        </is>
      </c>
    </row>
    <row r="172">
      <c r="A172" s="9" t="inlineStr">
        <is>
          <t>I55</t>
        </is>
      </c>
      <c r="B172" s="9" t="inlineStr">
        <is>
          <t>Issue (replicated)</t>
        </is>
      </c>
      <c r="C172" s="9" t="inlineStr">
        <is>
          <t>Minor</t>
        </is>
      </c>
      <c r="D172" s="9" t="inlineStr">
        <is>
          <t>Renewable subsidies: nominal inputs used as real</t>
        </is>
      </c>
      <c r="E172" s="11" t="inlineStr">
        <is>
          <t>Yes</t>
        </is>
      </c>
      <c r="F172" s="9" t="inlineStr">
        <is>
          <t>Kept as legacy, tracked</t>
        </is>
      </c>
      <c r="G172" s="9" t="inlineStr">
        <is>
          <t>MTInputs 354-355 are labelled $/kWh nominal and enter the real cost and revenue without deflation (Mitigation row 2743). Replicated (rows rnsp, rns).</t>
        </is>
      </c>
      <c r="H172" s="9" t="inlineStr"/>
      <c r="I172" s="9" t="inlineStr">
        <is>
          <t>Reclassified as legacy bug L114 (user 2026-10-19).</t>
        </is>
      </c>
      <c r="J172" s="9" t="inlineStr">
        <is>
          <t>PowerPrices_Method_v7_0.md; LegacyDiff 76</t>
        </is>
      </c>
      <c r="K172" s="9" t="inlineStr">
        <is>
          <t>Resolved</t>
        </is>
      </c>
    </row>
    <row r="173">
      <c r="A173" s="9" t="inlineStr">
        <is>
          <t>I56</t>
        </is>
      </c>
      <c r="B173" s="9" t="inlineStr">
        <is>
          <t>Issue (replicated)</t>
        </is>
      </c>
      <c r="C173" s="9" t="inlineStr">
        <is>
          <t>Minor</t>
        </is>
      </c>
      <c r="D173" s="9" t="inlineStr">
        <is>
          <t>Electricity excise: base-year grid intensity of the energy balance</t>
        </is>
      </c>
      <c r="E173" s="11" t="inlineStr">
        <is>
          <t>Yes</t>
        </is>
      </c>
      <c r="F173" s="9" t="inlineStr">
        <is>
          <t>Kept as legacy, tracked</t>
        </is>
      </c>
      <c r="G173" s="9" t="inlineStr">
        <is>
          <t>The excise per kWh = CO2 of the fuel input to power / power output of the base-year balance x carbon price, the same intensity in every year and scenario (Mitigation C2253, row 2253). Replicated (row exs, PwGInt) with the MVP's calibrated power EFs.</t>
        </is>
      </c>
      <c r="H173" s="9" t="inlineStr"/>
      <c r="I173" s="9" t="inlineStr">
        <is>
          <t>Decided (user 2026-10-19): legacy kept (base-year intensity); the yearly intensity would be an upgrade.</t>
        </is>
      </c>
      <c r="J173" s="9" t="inlineStr">
        <is>
          <t>PowerPrices_Method_v7_0.md; LegacyDiff 77</t>
        </is>
      </c>
      <c r="K173" s="9" t="inlineStr">
        <is>
          <t>Accepted</t>
        </is>
      </c>
    </row>
    <row r="174">
      <c r="A174" s="9" t="inlineStr">
        <is>
          <t>I57</t>
        </is>
      </c>
      <c r="B174" s="9" t="inlineStr">
        <is>
          <t>Issue (replicated)</t>
        </is>
      </c>
      <c r="C174" s="9" t="inlineStr">
        <is>
          <t>Minor</t>
        </is>
      </c>
      <c r="D174" s="9" t="inlineStr">
        <is>
          <t>Final deficit to gas: a typed switch outside MTInputs</t>
        </is>
      </c>
      <c r="E174" s="11" t="inlineStr">
        <is>
          <t>Yes</t>
        </is>
      </c>
      <c r="F174" s="9" t="inlineStr">
        <is>
          <t>Kept as legacy, tracked</t>
        </is>
      </c>
      <c r="G174" s="9" t="inlineStr">
        <is>
          <t>The switch is a typed cell (Mitigation E4248, No), global. Replicated as a global switch on Settings C45 (PwDeficitGas, default No).</t>
        </is>
      </c>
      <c r="H174" s="9" t="inlineStr"/>
      <c r="I174" s="9" t="inlineStr">
        <is>
          <t>None (user decision: Settings, as legacy).</t>
        </is>
      </c>
      <c r="J174" s="9" t="inlineStr">
        <is>
          <t>PowerModel_Method_v7_0.md; LegacyDiff 78</t>
        </is>
      </c>
      <c r="K174" s="9" t="inlineStr">
        <is>
          <t>Accepted</t>
        </is>
      </c>
    </row>
    <row r="175">
      <c r="A175" s="9" t="inlineStr">
        <is>
          <t>I59</t>
        </is>
      </c>
      <c r="B175" s="9" t="inlineStr">
        <is>
          <t>Issue (replicated)</t>
        </is>
      </c>
      <c r="C175" s="9" t="inlineStr">
        <is>
          <t>Minor</t>
        </is>
      </c>
      <c r="D175" s="9" t="inlineStr">
        <is>
          <t>Electricity fuel price reform not applied to electricity prices (not replicated yet)</t>
        </is>
      </c>
      <c r="E175" s="11" t="inlineStr">
        <is>
          <t>Yes</t>
        </is>
      </c>
      <c r="F175" s="9" t="inlineStr">
        <is>
          <t>Kept as legacy, tracked</t>
        </is>
      </c>
      <c r="G175" s="9" t="inlineStr">
        <is>
          <t>Legacy adds the electricity fuel price reform (MTInputs 148/162) to the excise (row 216); the MVP computes fpr.ecy but does not apply it to the electricity price.</t>
        </is>
      </c>
      <c r="H175" s="9" t="inlineStr"/>
      <c r="I175" s="9" t="inlineStr">
        <is>
          <t>Replicated in v5.6: the electricity fuel price reform path enters the excise of policy scenarios (row entx).</t>
        </is>
      </c>
      <c r="J175" s="9" t="inlineStr">
        <is>
          <t>PowerPrices_Method_v7_0.md</t>
        </is>
      </c>
      <c r="K175" s="9" t="inlineStr">
        <is>
          <t>Resolved</t>
        </is>
      </c>
    </row>
    <row r="176">
      <c r="A176" s="9" t="inlineStr">
        <is>
          <t>I60</t>
        </is>
      </c>
      <c r="B176" s="9" t="inlineStr">
        <is>
          <t>Issue (replicated)</t>
        </is>
      </c>
      <c r="C176" s="9" t="inlineStr">
        <is>
          <t>Minor</t>
        </is>
      </c>
      <c r="D176" s="9" t="inlineStr">
        <is>
          <t>End-user electricity price not floored at MinPostSubsidyPowerPrice (not replicated yet)</t>
        </is>
      </c>
      <c r="E176" s="11" t="inlineStr">
        <is>
          <t>Yes</t>
        </is>
      </c>
      <c r="F176" s="9" t="inlineStr">
        <is>
          <t>Kept as legacy, tracked</t>
        </is>
      </c>
      <c r="G176" s="9" t="inlineStr">
        <is>
          <t>Legacy floors the end-user electricity price at MinPostSubsidyPowerPrice (rows 3617, 3646); the MVP has no floor (MinPostSubsidyPowerPrice is read per scenario since v5.4 but used only where legacy uses it in the cost side).</t>
        </is>
      </c>
      <c r="H176" s="9" t="inlineStr"/>
      <c r="I176" s="9" t="inlineStr">
        <is>
          <t>Replicated in v5.6: end-user electricity prices floored at MinPostSubsidyPowerPrice (row rp).</t>
        </is>
      </c>
      <c r="J176" s="9" t="inlineStr">
        <is>
          <t>PowerPrices_Method_v7_0.md</t>
        </is>
      </c>
      <c r="K176" s="9" t="inlineStr">
        <is>
          <t>Resolved</t>
        </is>
      </c>
    </row>
    <row r="177">
      <c r="A177" s="9" t="inlineStr">
        <is>
          <t>I61</t>
        </is>
      </c>
      <c r="B177" s="9" t="inlineStr">
        <is>
          <t>Issue (replicated)</t>
        </is>
      </c>
      <c r="C177" s="9" t="inlineStr">
        <is>
          <t>Major</t>
        </is>
      </c>
      <c r="D177" s="9" t="inlineStr">
        <is>
          <t>Engineer road model: follow-ups parked</t>
        </is>
      </c>
      <c r="E177" s="11" t="inlineStr">
        <is>
          <t>Yes</t>
        </is>
      </c>
      <c r="F177" s="9" t="inlineStr">
        <is>
          <t>Kept as legacy, tracked</t>
        </is>
      </c>
      <c r="G177" s="9" t="inlineStr">
        <is>
          <t>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H177" s="9" t="inlineStr"/>
      <c r="I177" s="9" t="inlineStr">
        <is>
          <t>Parked, then dropped by the user (2026-10-20).</t>
        </is>
      </c>
      <c r="J177" s="9" t="inlineStr">
        <is>
          <t>Transport_Method_v7_0.md; TODO</t>
        </is>
      </c>
      <c r="K177" s="9" t="inlineStr">
        <is>
          <t>Dropped</t>
        </is>
      </c>
    </row>
    <row r="178">
      <c r="A178" s="9" t="inlineStr">
        <is>
          <t>I62</t>
        </is>
      </c>
      <c r="B178" s="9" t="inlineStr">
        <is>
          <t>Issue (replicated)</t>
        </is>
      </c>
      <c r="C178" s="9" t="inlineStr">
        <is>
          <t>Major</t>
        </is>
      </c>
      <c r="D178" s="9" t="inlineStr">
        <is>
          <t>Fuel use: no partial-adjustment model</t>
        </is>
      </c>
      <c r="E178" s="11" t="inlineStr">
        <is>
          <t>Yes</t>
        </is>
      </c>
      <c r="F178" s="9" t="inlineStr">
        <is>
          <t>Kept as legacy, tracked</t>
        </is>
      </c>
      <c r="G178" s="9" t="inlineStr">
        <is>
          <t>Fuel use responds to prices and income with constant long-run elasticities, as legacy, with no partial (lagged) adjustment, so the full response comes in the year of the price change. Parked by the user (2026-10-09); was upgrade U12.</t>
        </is>
      </c>
      <c r="H178" s="9" t="inlineStr"/>
      <c r="I178" s="9" t="inlineStr">
        <is>
          <t>Legacy issue, not a bug: high priority for the CPAT team, not for the MVP (user 2026-10-20); replicated as legacy. Recommendation: add a partial-adjustment option: fuel use moves a share of the way to its long-run level each year (short-run and long-run elasticities), as an upgrade over legacy, switch off = legacy.</t>
        </is>
      </c>
      <c r="J178" s="9" t="inlineStr">
        <is>
          <t>PriceProjection_Method_v7_0.md; TODO</t>
        </is>
      </c>
      <c r="K178" s="9" t="inlineStr">
        <is>
          <t>Accepted</t>
        </is>
      </c>
    </row>
    <row r="179">
      <c r="A179" s="9" t="inlineStr">
        <is>
          <t>I63</t>
        </is>
      </c>
      <c r="B179" s="9" t="inlineStr">
        <is>
          <t>Issue (replicated)</t>
        </is>
      </c>
      <c r="C179" s="9" t="inlineStr">
        <is>
          <t>Major</t>
        </is>
      </c>
      <c r="D179" s="9" t="inlineStr">
        <is>
          <t>Demand responds to real USD prices, not real local-currency prices</t>
        </is>
      </c>
      <c r="E179" s="11" t="inlineStr">
        <is>
          <t>Yes</t>
        </is>
      </c>
      <c r="F179" s="9" t="inlineStr">
        <is>
          <t>Kept as legacy, tracked</t>
        </is>
      </c>
      <c r="G179" s="9" t="inlineStr">
        <is>
          <t>As legacy, fuel and electricity demand respond to prices in real USD. Under a devaluation the two diverge (Egypt gasoline 2022-2024: about -15% in real EGP against -42% in real USD), so demand responds to a price fall households do not see. Parked by the user (2026-10-09); related to I4 and U3.</t>
        </is>
      </c>
      <c r="H179" s="9" t="inlineStr"/>
      <c r="I179" s="9" t="inlineStr">
        <is>
          <t>Parked, then dropped by the user (2026-10-20).</t>
        </is>
      </c>
      <c r="J179" s="9" t="inlineStr">
        <is>
          <t>PriceProjection_Method_v7_0.md; TODO</t>
        </is>
      </c>
      <c r="K179" s="9" t="inlineStr">
        <is>
          <t>Dropped</t>
        </is>
      </c>
    </row>
    <row r="180">
      <c r="A180" s="9" t="inlineStr">
        <is>
          <t>I66</t>
        </is>
      </c>
      <c r="B180" s="9" t="inlineStr">
        <is>
          <t>Issue (replicated)</t>
        </is>
      </c>
      <c r="C180" s="9" t="inlineStr">
        <is>
          <t>Major</t>
        </is>
      </c>
      <c r="D180" s="9" t="inlineStr">
        <is>
          <t>Fuel production for supply methane held at the base year (not replicated)</t>
        </is>
      </c>
      <c r="E180" s="11" t="inlineStr">
        <is>
          <t>Yes</t>
        </is>
      </c>
      <c r="F180" s="9" t="inlineStr">
        <is>
          <t>Kept as legacy, tracked</t>
        </is>
      </c>
      <c r="G180" s="9" t="inlineStr">
        <is>
          <t>Legacy grows crude oil, natural gas and coal production (rows 6146-6149) from 2024 with the producer-price response to the methane fee (rows 6137-6144: price increase x pass-through, Manual inputs J190:J194 elasticities) and the growth of world demand of the global demand scenario (Prices_int rows 323-333, lagged one year). The MVP holds production at the base year (rows ch4.act og, cm). Found 2026-10-19 checking I26.</t>
        </is>
      </c>
      <c r="H180" s="9" t="inlineStr"/>
      <c r="I180" s="9" t="inlineStr">
        <is>
          <t>Replicated in v5.6: rows ch4.wd, ch4.fk, ch4.pi, ch4.prd (inventory-year activity = base production, to avoid a loop; legacy holds 2022-2023 at the base anyway). Note: legacy CHOOSE reads the Net Zero row for the third and fourth demand scenarios.</t>
        </is>
      </c>
      <c r="J180" s="9" t="inlineStr">
        <is>
          <t>GHG_Method_v7_0.md</t>
        </is>
      </c>
      <c r="K180" s="9" t="inlineStr">
        <is>
          <t>Resolved</t>
        </is>
      </c>
    </row>
    <row r="181">
      <c r="A181" s="9" t="inlineStr">
        <is>
          <t>I68</t>
        </is>
      </c>
      <c r="B181" s="9" t="inlineStr">
        <is>
          <t>Issue (replicated)</t>
        </is>
      </c>
      <c r="C181" s="9" t="inlineStr">
        <is>
          <t>Minor</t>
        </is>
      </c>
      <c r="D181" s="9" t="inlineStr">
        <is>
          <t>NDC reference years outside the data</t>
        </is>
      </c>
      <c r="E181" s="11" t="inlineStr">
        <is>
          <t>Yes</t>
        </is>
      </c>
      <c r="F181" s="9" t="inlineStr">
        <is>
          <t>Kept as legacy, tracked</t>
        </is>
      </c>
      <c r="G181" s="9" t="inlineStr">
        <is>
          <t>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H181" s="9" t="inlineStr"/>
      <c r="I181" s="9" t="inlineStr">
        <is>
          <t>v5.7: GDP solved (WEO NGDP_R, 2000-2040). v6.1: reference years 2021-2024 read the GHGs inventory (rows ndc.hc, ndc.hv), 2022 onwards the model. Still open: historical GHGs 2018-2020 (GHGHist ends 2017, CO2 2020): data request.</t>
        </is>
      </c>
      <c r="J181" s="9" t="inlineStr">
        <is>
          <t>GHG_Method_v7_0.md</t>
        </is>
      </c>
      <c r="K181" s="9" t="inlineStr">
        <is>
          <t>Open</t>
        </is>
      </c>
    </row>
    <row r="182">
      <c r="A182" s="9" t="inlineStr">
        <is>
          <t>I71</t>
        </is>
      </c>
      <c r="B182" s="9" t="inlineStr">
        <is>
          <t>Issue (replicated)</t>
        </is>
      </c>
      <c r="C182" s="9" t="inlineStr">
        <is>
          <t>Major</t>
        </is>
      </c>
      <c r="D182" s="9" t="inlineStr">
        <is>
          <t>Fuel use grows with total GDP: population gets the income elasticity</t>
        </is>
      </c>
      <c r="E182" s="11" t="inlineStr">
        <is>
          <t>Yes</t>
        </is>
      </c>
      <c r="F182" s="9" t="inlineStr">
        <is>
          <t>Kept as legacy, tracked</t>
        </is>
      </c>
      <c r="G182" s="9" t="inlineStr">
        <is>
          <t>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H182" s="9" t="inlineStr"/>
      <c r="I182" s="9" t="inlineStr">
        <is>
          <t>Legacy issue, not a bug: high priority for the CPAT team, not for the MVP (user 2026-10-20); replicated as legacy. Recommendation: split the driver: fuel use x (1 + population growth)^1 x (1 + per-capita income growth)^income elasticity, keeping the price and efficiency terms separate; switch off = legacy.</t>
        </is>
      </c>
      <c r="J182" s="9" t="inlineStr">
        <is>
          <t>Equations_v7_0.md E53-E56; PriceProjection_Method_v7_0.md</t>
        </is>
      </c>
      <c r="K182" s="9" t="inlineStr">
        <is>
          <t>Accepted</t>
        </is>
      </c>
    </row>
    <row r="183">
      <c r="A183" s="9" t="inlineStr">
        <is>
          <t>I72</t>
        </is>
      </c>
      <c r="B183" s="9" t="inlineStr">
        <is>
          <t>Issue (replicated)</t>
        </is>
      </c>
      <c r="C183" s="9" t="inlineStr">
        <is>
          <t>Major</t>
        </is>
      </c>
      <c r="D183" s="9" t="inlineStr">
        <is>
          <t>GDP feedback timing: same-year effects must never reach same-year demand</t>
        </is>
      </c>
      <c r="E183" s="11" t="inlineStr">
        <is>
          <t>Yes</t>
        </is>
      </c>
      <c r="F183" s="9" t="inlineStr">
        <is>
          <t>Kept as legacy, tracked</t>
        </is>
      </c>
      <c r="G183" s="9" t="inlineStr">
        <is>
          <t>Legacy and the MVP let revenue of year t move GDP only from year t+1 (legacy row 8776 reads the previous column; MVP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H183" s="9" t="inlineStr"/>
      <c r="I183" s="9" t="inlineStr">
        <is>
          <t>Stated as a rule (user 2026-10-20): GDP_Method_v7_0.md section Timing rule and NORMS (circular references): revenue of year t moves GDP only from year t+1, the fiscal space reads revenue of year t only, and no same-year GDP effect reaches same-year demand. Recommendation to the CPAT team: state it in the legacy method too.</t>
        </is>
      </c>
      <c r="J183" s="9" t="inlineStr">
        <is>
          <t>GDP_Method_v7_0.md; NORMS (circular references)</t>
        </is>
      </c>
      <c r="K183" s="9" t="inlineStr">
        <is>
          <t>Resolved</t>
        </is>
      </c>
    </row>
    <row r="184">
      <c r="A184" s="9" t="inlineStr">
        <is>
          <t>LD1</t>
        </is>
      </c>
      <c r="B184" s="9" t="inlineStr">
        <is>
          <t>LegacyDiff departure</t>
        </is>
      </c>
      <c r="C184" s="9" t="inlineStr">
        <is>
          <t>Decision</t>
        </is>
      </c>
      <c r="D184" s="9" t="inlineStr">
        <is>
          <t>Elasticities: food &amp; forestry</t>
        </is>
      </c>
      <c r="E184" s="10" t="inlineStr">
        <is>
          <t>No</t>
        </is>
      </c>
      <c r="F184" s="9" t="inlineStr">
        <is>
          <t>Departs from legacy: Services (buildings) elasticities</t>
        </is>
      </c>
      <c r="G184" s="9" t="inlineStr">
        <is>
          <t>Legacy: Industry elasticities (cpat_coded EC_SECTORS)</t>
        </is>
      </c>
      <c r="H184" s="9" t="inlineStr">
        <is>
          <t>Food &amp; forestry fuel response</t>
        </is>
      </c>
      <c r="I184" s="9" t="inlineStr"/>
      <c r="J184" s="9" t="inlineStr">
        <is>
          <t>Sheet LegacyDiff</t>
        </is>
      </c>
      <c r="K184" s="9" t="inlineStr"/>
    </row>
    <row r="185">
      <c r="A185" s="9" t="inlineStr">
        <is>
          <t>LD2</t>
        </is>
      </c>
      <c r="B185" s="9" t="inlineStr">
        <is>
          <t>LegacyDiff departure</t>
        </is>
      </c>
      <c r="C185" s="9" t="inlineStr">
        <is>
          <t>Decision</t>
        </is>
      </c>
      <c r="D185" s="9" t="inlineStr">
        <is>
          <t>Other oil products: pass-through and margin</t>
        </is>
      </c>
      <c r="E185" s="10" t="inlineStr">
        <is>
          <t>No</t>
        </is>
      </c>
      <c r="F185" s="9" t="inlineStr">
        <is>
          <t>Departs from legacy: From the IMF dataset like the other oil products (Egypt 0 and 7.95 $/bbl)</t>
        </is>
      </c>
      <c r="G185" s="9" t="inlineStr">
        <is>
          <t>Legacy: Hardcoded 1 and 0</t>
        </is>
      </c>
      <c r="H185" s="9" t="inlineStr">
        <is>
          <t>Large: other oil products, total fuel use</t>
        </is>
      </c>
      <c r="I185" s="9" t="inlineStr"/>
      <c r="J185" s="9" t="inlineStr">
        <is>
          <t>Sheet LegacyDiff</t>
        </is>
      </c>
      <c r="K185" s="9" t="inlineStr"/>
    </row>
    <row r="186">
      <c r="A186" s="9" t="inlineStr">
        <is>
          <t>LD3</t>
        </is>
      </c>
      <c r="B186" s="9" t="inlineStr">
        <is>
          <t>LegacyDiff departure</t>
        </is>
      </c>
      <c r="C186" s="9" t="inlineStr">
        <is>
          <t>Data</t>
        </is>
      </c>
      <c r="D186" s="9" t="inlineStr">
        <is>
          <t>VAT rate where the dataset is blank</t>
        </is>
      </c>
      <c r="E186" s="10" t="inlineStr">
        <is>
          <t>No</t>
        </is>
      </c>
      <c r="F186" s="9" t="inlineStr">
        <is>
          <t>Departs from legacy: General VAT rate VAT_WEO for residential coal and gas and all-sector oil products; 0 for power, industry, biomass. Only for blank cells (v0.14)</t>
        </is>
      </c>
      <c r="G186" s="9" t="inlineStr">
        <is>
          <t>Legacy: 0</t>
        </is>
      </c>
      <c r="H186" s="9" t="inlineStr">
        <is>
          <t>None for Egypt since v0.14 (corrected data fill every VAT cell)</t>
        </is>
      </c>
      <c r="I186" s="9" t="inlineStr"/>
      <c r="J186" s="9" t="inlineStr">
        <is>
          <t>Sheet LegacyDiff</t>
        </is>
      </c>
      <c r="K186" s="9" t="inlineStr"/>
    </row>
    <row r="187">
      <c r="A187" s="9" t="inlineStr">
        <is>
          <t>LD4</t>
        </is>
      </c>
      <c r="B187" s="9" t="inlineStr">
        <is>
          <t>LegacyDiff departure</t>
        </is>
      </c>
      <c r="C187" s="9" t="inlineStr">
        <is>
          <t>Data</t>
        </is>
      </c>
      <c r="D187" s="9" t="inlineStr">
        <is>
          <t>Egypt price data</t>
        </is>
      </c>
      <c r="E187" s="10" t="inlineStr">
        <is>
          <t>No</t>
        </is>
      </c>
      <c r="F187" s="9" t="inlineStr">
        <is>
          <t>Departs from legacy: Corrected Egypt block supplied by the user (2026-10-09; 291 cells, years 2019-2020 added); changed cells bright yellow in Prices_dom</t>
        </is>
      </c>
      <c r="G187" s="9" t="inlineStr">
        <is>
          <t>Legacy: Price block in the legacy release</t>
        </is>
      </c>
      <c r="H187" s="9" t="inlineStr">
        <is>
          <t>Taxes and subsidies of gas and oil products; small supply-cost changes</t>
        </is>
      </c>
      <c r="I187" s="9" t="inlineStr"/>
      <c r="J187" s="9" t="inlineStr">
        <is>
          <t>Sheet LegacyDiff</t>
        </is>
      </c>
      <c r="K187" s="9" t="inlineStr"/>
    </row>
    <row r="188">
      <c r="A188" s="9" t="inlineStr">
        <is>
          <t>LD10</t>
        </is>
      </c>
      <c r="B188" s="9" t="inlineStr">
        <is>
          <t>LegacyDiff departure</t>
        </is>
      </c>
      <c r="C188" s="9" t="inlineStr">
        <is>
          <t>Decision</t>
        </is>
      </c>
      <c r="D188" s="9" t="inlineStr">
        <is>
          <t>Policy paths after the target year</t>
        </is>
      </c>
      <c r="E188" s="10" t="inlineStr">
        <is>
          <t>No</t>
        </is>
      </c>
      <c r="F188" s="9" t="inlineStr">
        <is>
          <t>Departs from legacy: Linear continuation for fuel price reform and feebates; carbon price keeps the switch; ETS benchmarks constant; ETS cap per MTInputs switch</t>
        </is>
      </c>
      <c r="G188" s="9" t="inlineStr">
        <is>
          <t>Legacy: Per instrument (carbon price: MTInputs switch)</t>
        </is>
      </c>
      <c r="H188" s="9" t="inlineStr">
        <is>
          <t>Post-target years</t>
        </is>
      </c>
      <c r="I188" s="9" t="inlineStr"/>
      <c r="J188" s="9" t="inlineStr">
        <is>
          <t>Sheet LegacyDiff</t>
        </is>
      </c>
      <c r="K188" s="9" t="inlineStr"/>
    </row>
    <row r="189">
      <c r="A189" s="9" t="inlineStr">
        <is>
          <t>LD13</t>
        </is>
      </c>
      <c r="B189" s="9" t="inlineStr">
        <is>
          <t>LegacyDiff departure</t>
        </is>
      </c>
      <c r="C189" s="9" t="inlineStr">
        <is>
          <t>Decision</t>
        </is>
      </c>
      <c r="D189" s="9" t="inlineStr">
        <is>
          <t>Biomass carbon-tax coverage</t>
        </is>
      </c>
      <c r="E189" s="10" t="inlineStr">
        <is>
          <t>No</t>
        </is>
      </c>
      <c r="F189" s="9" t="inlineStr">
        <is>
          <t>Departs from legacy: TRUE (EF 0)</t>
        </is>
      </c>
      <c r="G189" s="9" t="inlineStr">
        <is>
          <t>Legacy: No switch</t>
        </is>
      </c>
      <c r="H189" s="9" t="inlineStr">
        <is>
          <t>None</t>
        </is>
      </c>
      <c r="I189" s="9" t="inlineStr"/>
      <c r="J189" s="9" t="inlineStr">
        <is>
          <t>Sheet LegacyDiff</t>
        </is>
      </c>
      <c r="K189" s="9" t="inlineStr"/>
    </row>
    <row r="190">
      <c r="A190" s="9" t="inlineStr">
        <is>
          <t>LD14</t>
        </is>
      </c>
      <c r="B190" s="9" t="inlineStr">
        <is>
          <t>LegacyDiff departure</t>
        </is>
      </c>
      <c r="C190" s="9" t="inlineStr">
        <is>
          <t>Decision</t>
        </is>
      </c>
      <c r="D190" s="9" t="inlineStr">
        <is>
          <t>Sign of subsidies</t>
        </is>
      </c>
      <c r="E190" s="10" t="inlineStr">
        <is>
          <t>No</t>
        </is>
      </c>
      <c r="F190" s="9" t="inlineStr">
        <is>
          <t>Departs from legacy: Subsidies negative: esub, esubpu, rsub, prsub, sgap, rgap; net existing revenue rnet = rtx + rsub</t>
        </is>
      </c>
      <c r="G190" s="9" t="inlineStr">
        <is>
          <t>Legacy: Subsidy cost reported as a positive number</t>
        </is>
      </c>
      <c r="H190" s="9" t="inlineStr">
        <is>
          <t>Sign of the subsidy rows only</t>
        </is>
      </c>
      <c r="I190" s="9" t="inlineStr"/>
      <c r="J190" s="9" t="inlineStr">
        <is>
          <t>Sheet LegacyDiff</t>
        </is>
      </c>
      <c r="K190" s="9" t="inlineStr"/>
    </row>
    <row r="191">
      <c r="A191" s="9" t="inlineStr">
        <is>
          <t>LD15</t>
        </is>
      </c>
      <c r="B191" s="9" t="inlineStr">
        <is>
          <t>LegacyDiff departure</t>
        </is>
      </c>
      <c r="C191" s="9" t="inlineStr">
        <is>
          <t>Decision</t>
        </is>
      </c>
      <c r="D191" s="9" t="inlineStr">
        <is>
          <t>Constants and row pointers</t>
        </is>
      </c>
      <c r="E191" s="10" t="inlineStr">
        <is>
          <t>No</t>
        </is>
      </c>
      <c r="F191" s="9" t="inlineStr">
        <is>
          <t>Departs from legacy: Looked up: named constants and policy assumptions on sheet Constants, MTInputs rows on Mapping (by NameOfParameter or label), baseline CO2 on sheet BaselineCO2</t>
        </is>
      </c>
      <c r="G191" s="9" t="inlineStr">
        <is>
          <t>Legacy: Typed in cells and formulas (e.g. 8760, 8.76, 1000, 0.01, MTInputs row numbers, baseline values)</t>
        </is>
      </c>
      <c r="H191" s="9" t="inlineStr">
        <is>
          <t>None</t>
        </is>
      </c>
      <c r="I191" s="9" t="inlineStr"/>
      <c r="J191" s="9" t="inlineStr">
        <is>
          <t>Sheet LegacyDiff</t>
        </is>
      </c>
      <c r="K191" s="9" t="inlineStr"/>
    </row>
    <row r="192">
      <c r="A192" s="9" t="inlineStr">
        <is>
          <t>LD16</t>
        </is>
      </c>
      <c r="B192" s="9" t="inlineStr">
        <is>
          <t>LegacyDiff departure</t>
        </is>
      </c>
      <c r="C192" s="9" t="inlineStr">
        <is>
          <t>To check (bucket 5)</t>
        </is>
      </c>
      <c r="D192" s="9" t="inlineStr">
        <is>
          <t>Margins and production costs</t>
        </is>
      </c>
      <c r="E192" s="10" t="inlineStr">
        <is>
          <t>No</t>
        </is>
      </c>
      <c r="F192" s="9" t="inlineStr">
        <is>
          <t>Departs from legacy: x CPI index of the base year</t>
        </is>
      </c>
      <c r="G192" s="9" t="inlineStr">
        <is>
          <t>Legacy: cpat_coded applies no inflation conversion</t>
        </is>
      </c>
      <c r="H192" s="9" t="inlineStr">
        <is>
          <t>Coal and gas supply cost level</t>
        </is>
      </c>
      <c r="I192" s="9" t="inlineStr"/>
      <c r="J192" s="9" t="inlineStr">
        <is>
          <t>Sheet LegacyDiff</t>
        </is>
      </c>
      <c r="K192" s="9" t="inlineStr"/>
    </row>
    <row r="193">
      <c r="A193" s="9" t="inlineStr">
        <is>
          <t>LD19</t>
        </is>
      </c>
      <c r="B193" s="9" t="inlineStr">
        <is>
          <t>LegacyDiff departure</t>
        </is>
      </c>
      <c r="C193" s="9" t="inlineStr">
        <is>
          <t>Simplification</t>
        </is>
      </c>
      <c r="D193" s="9" t="inlineStr">
        <is>
          <t>Producer subsidies</t>
        </is>
      </c>
      <c r="E193" s="10" t="inlineStr">
        <is>
          <t>No</t>
        </is>
      </c>
      <c r="F193" s="9" t="inlineStr">
        <is>
          <t>Departs from legacy: Fiscal line by fuel (v4.16, LD19): producer subsidies (Prices_dom mit.pros, USD m real) x phase-out factor, in total revenue (rpsu), 12e and the fiscal space; no price effect</t>
        </is>
      </c>
      <c r="G193" s="9" t="inlineStr">
        <is>
          <t>Legacy: In the supply cost</t>
        </is>
      </c>
      <c r="H193" s="9" t="inlineStr">
        <is>
          <t>None for Egypt (no producer subsidy data)</t>
        </is>
      </c>
      <c r="I193" s="9" t="inlineStr"/>
      <c r="J193" s="9" t="inlineStr">
        <is>
          <t>Sheet LegacyDiff</t>
        </is>
      </c>
      <c r="K193" s="9" t="inlineStr"/>
    </row>
    <row r="194">
      <c r="A194" s="9" t="inlineStr">
        <is>
          <t>LD28</t>
        </is>
      </c>
      <c r="B194" s="9" t="inlineStr">
        <is>
          <t>LegacyDiff departure</t>
        </is>
      </c>
      <c r="C194" s="9" t="inlineStr">
        <is>
          <t>Simplification</t>
        </is>
      </c>
      <c r="D194" s="9" t="inlineStr">
        <is>
          <t>Power: features not built</t>
        </is>
      </c>
      <c r="E194" s="10" t="inlineStr">
        <is>
          <t>No</t>
        </is>
      </c>
      <c r="F194" s="9" t="inlineStr">
        <is>
          <t>Departs from legacy: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G194" s="9" t="inlineStr">
        <is>
          <t>Legacy: Power demand from the elasticity model, carbon price on power use (feebate on demand)</t>
        </is>
      </c>
      <c r="H194" s="9" t="inlineStr">
        <is>
          <t>None for Egypt</t>
        </is>
      </c>
      <c r="I194" s="9" t="inlineStr"/>
      <c r="J194" s="9" t="inlineStr">
        <is>
          <t>Sheet LegacyDiff</t>
        </is>
      </c>
      <c r="K194" s="9" t="inlineStr"/>
    </row>
    <row r="195">
      <c r="A195" s="9" t="inlineStr">
        <is>
          <t>LD33</t>
        </is>
      </c>
      <c r="B195" s="9" t="inlineStr">
        <is>
          <t>LegacyDiff departure</t>
        </is>
      </c>
      <c r="C195" s="9" t="inlineStr">
        <is>
          <t>Data</t>
        </is>
      </c>
      <c r="D195" s="9" t="inlineStr">
        <is>
          <t>Power: historical electricity prices and VAT</t>
        </is>
      </c>
      <c r="E195" s="10" t="inlineStr">
        <is>
          <t>No</t>
        </is>
      </c>
      <c r="F195" s="9" t="inlineStr">
        <is>
          <t>Departs from legacy: Corrected Egypt block (residential 0.054, 0.048, 0.043 $/kWh nominal 2022-2024; VAT 0)</t>
        </is>
      </c>
      <c r="G195" s="9" t="inlineStr">
        <is>
          <t>Legacy: Legacy vintage (residential 0.112 $/kWh incl. 15.6% VAT in 2022)</t>
        </is>
      </c>
      <c r="H195" s="9" t="inlineStr">
        <is>
          <t>Electricity price levels</t>
        </is>
      </c>
      <c r="I195" s="9" t="inlineStr"/>
      <c r="J195" s="9" t="inlineStr">
        <is>
          <t>Sheet LegacyDiff</t>
        </is>
      </c>
      <c r="K195" s="9" t="inlineStr"/>
    </row>
    <row r="196">
      <c r="A196" s="9" t="inlineStr">
        <is>
          <t>LD40</t>
        </is>
      </c>
      <c r="B196" s="9" t="inlineStr">
        <is>
          <t>LegacyDiff departure</t>
        </is>
      </c>
      <c r="C196" s="9" t="inlineStr">
        <is>
          <t>Decision</t>
        </is>
      </c>
      <c r="D196" s="9" t="inlineStr">
        <is>
          <t>Horizon and indices</t>
        </is>
      </c>
      <c r="E196" s="10" t="inlineStr">
        <is>
          <t>No</t>
        </is>
      </c>
      <c r="F196" s="9" t="inlineStr">
        <is>
          <t>Departs from legacy: To 2041 (v2.3; the last year is the LAMBDA year); same indices; values after 2030 not a legacy target</t>
        </is>
      </c>
      <c r="G196" s="9" t="inlineStr">
        <is>
          <t>Legacy: To 2050 (power block to 2041); CPI held flat after 2031</t>
        </is>
      </c>
      <c r="H196" s="9" t="inlineStr">
        <is>
          <t>Post-2030</t>
        </is>
      </c>
      <c r="I196" s="9" t="inlineStr"/>
      <c r="J196" s="9" t="inlineStr">
        <is>
          <t>Sheet LegacyDiff</t>
        </is>
      </c>
      <c r="K196" s="9" t="inlineStr"/>
    </row>
    <row r="197">
      <c r="A197" s="9" t="inlineStr">
        <is>
          <t>LD41</t>
        </is>
      </c>
      <c r="B197" s="9" t="inlineStr">
        <is>
          <t>LegacyDiff departure</t>
        </is>
      </c>
      <c r="C197" s="9" t="inlineStr">
        <is>
          <t>Data</t>
        </is>
      </c>
      <c r="D197" s="9" t="inlineStr">
        <is>
          <t>Data vintage</t>
        </is>
      </c>
      <c r="E197" s="10" t="inlineStr">
        <is>
          <t>No</t>
        </is>
      </c>
      <c r="F197" s="9" t="inlineStr">
        <is>
          <t>Departs from legacy: NoPropData extracts; energy use via kernel v1.6; IIASA EFs without inventory adjustment</t>
        </is>
      </c>
      <c r="G197" s="9" t="inlineStr">
        <is>
          <t>Legacy: Proprietary price forecasts; IEA balances</t>
        </is>
      </c>
      <c r="H197" s="9" t="inlineStr">
        <is>
          <t>Levels; legacy price forecasts #N/A</t>
        </is>
      </c>
      <c r="I197" s="9" t="inlineStr"/>
      <c r="J197" s="9" t="inlineStr">
        <is>
          <t>Sheet LegacyDiff</t>
        </is>
      </c>
      <c r="K197" s="9" t="inlineStr"/>
    </row>
    <row r="198">
      <c r="A198" s="9" t="inlineStr">
        <is>
          <t>LD47</t>
        </is>
      </c>
      <c r="B198" s="9" t="inlineStr">
        <is>
          <t>LegacyDiff departure</t>
        </is>
      </c>
      <c r="C198" s="9" t="inlineStr">
        <is>
          <t>Data</t>
        </is>
      </c>
      <c r="D198" s="9" t="inlineStr">
        <is>
          <t>GHGs: combustion emission factors (v2.8)</t>
        </is>
      </c>
      <c r="E198" s="10" t="inlineStr">
        <is>
          <t>No</t>
        </is>
      </c>
      <c r="F198" s="9" t="inlineStr">
        <is>
          <t>Departs from legacy: GAINS base and final factor (EF_PM FE in, FE fin), linear to EFEndYear (2039), flat after</t>
        </is>
      </c>
      <c r="G198" s="9" t="inlineStr">
        <is>
          <t>Legacy: GAINS factor paths by year (proprietary; zero in the NoPropData file)</t>
        </is>
      </c>
      <c r="H198" s="9" t="inlineStr">
        <is>
          <t>Combustion CH4 (scaled by the calibration to the inventory)</t>
        </is>
      </c>
      <c r="I198" s="9" t="inlineStr"/>
      <c r="J198" s="9" t="inlineStr">
        <is>
          <t>Sheet LegacyDiff</t>
        </is>
      </c>
      <c r="K198" s="9" t="inlineStr"/>
    </row>
    <row r="199">
      <c r="A199" s="9" t="inlineStr">
        <is>
          <t>LD58</t>
        </is>
      </c>
      <c r="B199" s="9" t="inlineStr">
        <is>
          <t>LegacyDiff departure</t>
        </is>
      </c>
      <c r="C199" s="9" t="inlineStr">
        <is>
          <t>Data</t>
        </is>
      </c>
      <c r="D199" s="9" t="inlineStr">
        <is>
          <t>GDP effects: legacy values (v3.1)</t>
        </is>
      </c>
      <c r="E199" s="10" t="inlineStr">
        <is>
          <t>No</t>
        </is>
      </c>
      <c r="F199" s="9" t="inlineStr">
        <is>
          <t>Departs from legacy: Computed</t>
        </is>
      </c>
      <c r="G199" s="9" t="inlineStr">
        <is>
          <t>Legacy: Baseline GDP effect rows 8280-8287 are 0 (live formulas, IFNA(INDEX(...),0); the baseline has no policy); the policy rows 14584-14607 hold cached values of its carbon-tax run (GDP effect 2030 -0.07%, 2035 +0.34%, 2040 +1.22%; legacy carbon price Linear* to about 175 $/t in 2041)</t>
        </is>
      </c>
      <c r="H199" s="9" t="inlineStr">
        <is>
          <t>A benchmark for the GDP block once a scenario with the legacy carbon price path is run</t>
        </is>
      </c>
      <c r="I199" s="9" t="inlineStr"/>
      <c r="J199" s="9" t="inlineStr">
        <is>
          <t>Sheet LegacyDiff</t>
        </is>
      </c>
      <c r="K199" s="9" t="inlineStr"/>
    </row>
    <row r="200">
      <c r="A200" s="9" t="inlineStr">
        <is>
          <t>LD59</t>
        </is>
      </c>
      <c r="B200" s="9" t="inlineStr">
        <is>
          <t>LegacyDiff departure</t>
        </is>
      </c>
      <c r="C200" s="9" t="inlineStr">
        <is>
          <t>Decision</t>
        </is>
      </c>
      <c r="D200" s="9" t="inlineStr">
        <is>
          <t>Road transport: engineer model (v3.5)</t>
        </is>
      </c>
      <c r="E200" s="10" t="inlineStr">
        <is>
          <t>No</t>
        </is>
      </c>
      <c r="F200" s="9" t="inlineStr">
        <is>
          <t>Departs from legacy: Section 5b of every scenario group, every row live (Transport_Workbook_Notes_v7_0.md); TrModel default Elasticity, Engineer by switch; the 17 legacy bugs of Transport_vs_Legacy_v7_0.md section 3 fixed (B1-B23)</t>
        </is>
      </c>
      <c r="G200" s="9" t="inlineStr">
        <is>
          <t>Legacy: Key inputs 15 and section 5 (rows 2017-5378), switch TrModel (MTInputs F340; template default Engineer, Egypt run Elasticity)</t>
        </is>
      </c>
      <c r="H200" s="9" t="inlineStr">
        <is>
          <t>None by default; with Engineer: road fuel use and EV shares as in Transport_vs_Legacy_v7_0.md section 4</t>
        </is>
      </c>
      <c r="I200" s="9" t="inlineStr"/>
      <c r="J200" s="9" t="inlineStr">
        <is>
          <t>Sheet LegacyDiff</t>
        </is>
      </c>
      <c r="K200" s="9" t="inlineStr"/>
    </row>
    <row r="201">
      <c r="A201" s="9" t="inlineStr">
        <is>
          <t>LD60</t>
        </is>
      </c>
      <c r="B201" s="9" t="inlineStr">
        <is>
          <t>LegacyDiff departure</t>
        </is>
      </c>
      <c r="C201" s="9" t="inlineStr">
        <is>
          <t>Decision</t>
        </is>
      </c>
      <c r="D201" s="9" t="inlineStr">
        <is>
          <t>Road transport: policy inputs (v3.5)</t>
        </is>
      </c>
      <c r="E201" s="10" t="inlineStr">
        <is>
          <t>No</t>
        </is>
      </c>
      <c r="F201" s="9" t="inlineStr">
        <is>
          <t>Departs from legacy: Policies: MTInputs rows 418-479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G201" s="9" t="inlineStr">
        <is>
          <t>Legacy: Dashboard rows 61-98 and 540-559 (outside MTInputs)</t>
        </is>
      </c>
      <c r="H201" s="9" t="inlineStr">
        <is>
          <t>None</t>
        </is>
      </c>
      <c r="I201" s="9" t="inlineStr"/>
      <c r="J201" s="9" t="inlineStr">
        <is>
          <t>Sheet LegacyDiff</t>
        </is>
      </c>
      <c r="K201" s="9" t="inlineStr"/>
    </row>
    <row r="202">
      <c r="A202" s="9" t="inlineStr">
        <is>
          <t>LD61</t>
        </is>
      </c>
      <c r="B202" s="9" t="inlineStr">
        <is>
          <t>LegacyDiff departure</t>
        </is>
      </c>
      <c r="C202" s="9" t="inlineStr">
        <is>
          <t>Assumption</t>
        </is>
      </c>
      <c r="D202" s="9" t="inlineStr">
        <is>
          <t>Road transport: inputs from the rest of the model (v3.5)</t>
        </is>
      </c>
      <c r="E202" s="10" t="inlineStr">
        <is>
          <t>No</t>
        </is>
      </c>
      <c r="F202" s="9" t="inlineStr">
        <is>
          <t>Departs from legacy: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G202" s="9" t="inlineStr">
        <is>
          <t>Legacy: Legacy rows of the price, power and macro blocks</t>
        </is>
      </c>
      <c r="H202" s="9" t="inlineStr">
        <is>
          <t>Small: 2-3 wheeler fuel use under carbon pricing; vehicle prices after VAT</t>
        </is>
      </c>
      <c r="I202" s="9" t="inlineStr"/>
      <c r="J202" s="9" t="inlineStr">
        <is>
          <t>Sheet LegacyDiff</t>
        </is>
      </c>
      <c r="K202" s="9" t="inlineStr"/>
    </row>
    <row r="203">
      <c r="A203" s="9" t="inlineStr">
        <is>
          <t>LD62</t>
        </is>
      </c>
      <c r="B203" s="9" t="inlineStr">
        <is>
          <t>LegacyDiff departure</t>
        </is>
      </c>
      <c r="C203" s="9" t="inlineStr">
        <is>
          <t>Not yet</t>
        </is>
      </c>
      <c r="D203" s="9" t="inlineStr">
        <is>
          <t>Road transport: biofuels (v3.5)</t>
        </is>
      </c>
      <c r="E203" s="10" t="inlineStr">
        <is>
          <t>No</t>
        </is>
      </c>
      <c r="F203" s="9" t="inlineStr">
        <is>
          <t>Departs from legacy: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G203" s="9" t="inlineStr">
        <is>
          <t>Legacy: Biofuel shares within road gasoline and diesel (rows 5436-5438, EF adjustment E2146:E2147)</t>
        </is>
      </c>
      <c r="H203" s="9" t="inlineStr">
        <is>
          <t>None for Egypt (no road biofuels)</t>
        </is>
      </c>
      <c r="I203" s="9" t="inlineStr"/>
      <c r="J203" s="9" t="inlineStr">
        <is>
          <t>Sheet LegacyDiff</t>
        </is>
      </c>
      <c r="K203" s="9" t="inlineStr"/>
    </row>
    <row r="204">
      <c r="A204" s="9" t="inlineStr">
        <is>
          <t>LD63</t>
        </is>
      </c>
      <c r="B204" s="9" t="inlineStr">
        <is>
          <t>LegacyDiff departure</t>
        </is>
      </c>
      <c r="C204" s="9" t="inlineStr">
        <is>
          <t>Not yet</t>
        </is>
      </c>
      <c r="D204" s="9" t="inlineStr">
        <is>
          <t>Road transport: range anxiety (v3.5)</t>
        </is>
      </c>
      <c r="E204" s="10" t="inlineStr">
        <is>
          <t>No</t>
        </is>
      </c>
      <c r="F204" s="9" t="inlineStr">
        <is>
          <t>Departs from legacy: Same stored values; fit (calculated - actual EV sales share, data years) reported in rows trraf</t>
        </is>
      </c>
      <c r="G204" s="9" t="inlineStr">
        <is>
          <t>Legacy: Transport3: per-country solver results for the legacy model</t>
        </is>
      </c>
      <c r="H204" s="9" t="inlineStr">
        <is>
          <t>Egypt passenger EV sales share 2025: model 0.09%, actual 0.15%</t>
        </is>
      </c>
      <c r="I204" s="9" t="inlineStr"/>
      <c r="J204" s="9" t="inlineStr">
        <is>
          <t>Sheet LegacyDiff</t>
        </is>
      </c>
      <c r="K204" s="9" t="inlineStr"/>
    </row>
    <row r="205">
      <c r="A205" s="9" t="inlineStr">
        <is>
          <t>LD67</t>
        </is>
      </c>
      <c r="B205" s="9" t="inlineStr">
        <is>
          <t>LegacyDiff departure</t>
        </is>
      </c>
      <c r="C205" s="9" t="inlineStr">
        <is>
          <t>Not yet</t>
        </is>
      </c>
      <c r="D205" s="9" t="inlineStr">
        <is>
          <t>Exemption phase-out of uncovered fuels and sectors</t>
        </is>
      </c>
      <c r="E205" s="10" t="inlineStr">
        <is>
          <t>No</t>
        </is>
      </c>
      <c r="F205" s="9" t="inlineStr">
        <is>
          <t>Departs from legacy: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G205" s="9" t="inlineStr">
        <is>
          <t>Legacy: Rows 2259-2288: ExemptPhaseout, YearPha, ExemptPhaseoutPeriod (MTInputs rows 49-51) phase the tax in for fuels and sectors not covered; the initially exempt residential demand split (ExemptMostCook, rows 1784-1795, 5568-5570; L48, L92) is dead code in legacy</t>
        </is>
      </c>
      <c r="H205" s="9" t="inlineStr">
        <is>
          <t>None for Egypt (ExemptPhaseout = FALSE, ExemptMostCook = No)</t>
        </is>
      </c>
      <c r="I205" s="9" t="inlineStr"/>
      <c r="J205" s="9" t="inlineStr">
        <is>
          <t>Sheet LegacyDiff</t>
        </is>
      </c>
      <c r="K205" s="9" t="inlineStr"/>
    </row>
    <row r="206">
      <c r="A206" s="9" t="inlineStr">
        <is>
          <t>LD69</t>
        </is>
      </c>
      <c r="B206" s="9" t="inlineStr">
        <is>
          <t>LegacyDiff departure</t>
        </is>
      </c>
      <c r="C206" s="9" t="inlineStr">
        <is>
          <t>Decision</t>
        </is>
      </c>
      <c r="D206" s="9" t="inlineStr">
        <is>
          <t>ETS goal-seek settings (v5.2)</t>
        </is>
      </c>
      <c r="E206" s="10" t="inlineStr">
        <is>
          <t>No</t>
        </is>
      </c>
      <c r="F206" s="9" t="inlineStr">
        <is>
          <t>Departs from legacy: The same cells and names, read by the macro SolveETS and ets_goalseek_v7_0.py (before v5.2: constants in the code); values 20, Continue, 0.005, the MVP error being the worst yearly /covered / cap - 1/; StartFresh starts from the fast estimate ets.est, Continue from the override row if it holds prices</t>
        </is>
      </c>
      <c r="G206" s="9" t="inlineStr">
        <is>
          <t>Legacy: Manual inputs E10:E12 (names ETSMaxIterations 30, ETSStartFreshContinue 'Continue', ETSErrorTolerance 0.001), read by the VBA goal seek (SolveFast)</t>
        </is>
      </c>
      <c r="H206" s="9" t="inlineStr">
        <is>
          <t>None (values unchanged)</t>
        </is>
      </c>
      <c r="I206" s="9" t="inlineStr"/>
      <c r="J206" s="9" t="inlineStr">
        <is>
          <t>Sheet LegacyDiff</t>
        </is>
      </c>
      <c r="K206" s="9" t="inlineStr"/>
    </row>
    <row r="207">
      <c r="A207" s="9" t="inlineStr">
        <is>
          <t>LD74</t>
        </is>
      </c>
      <c r="B207" s="9" t="inlineStr">
        <is>
          <t>LegacyDiff departure</t>
        </is>
      </c>
      <c r="C207" s="9" t="inlineStr">
        <is>
          <t>Decision</t>
        </is>
      </c>
      <c r="D207" s="9" t="inlineStr">
        <is>
          <t>Power: inputs by scenario (v5.4, P2)</t>
        </is>
      </c>
      <c r="E207" s="10" t="inlineStr">
        <is>
          <t>No</t>
        </is>
      </c>
      <c r="F207" s="9" t="inlineStr">
        <is>
          <t>Departs from legacy: Every MTInputs power input (rows 242, 262, 342-415, 482) read in the scenario's own column (section-1 rows; section 3 sub-table A0 applies them to the power data); scenario 1 is the baseline of every scenario, so a technical input changed in a policy scenario changes that scenario only</t>
        </is>
      </c>
      <c r="G207" s="9" t="inlineStr">
        <is>
          <t>Legacy: Each MTInputs column runs with its own baseline and policy run, so every power input can differ by scenario</t>
        </is>
      </c>
      <c r="H207" s="9" t="inlineStr">
        <is>
          <t>None for the shipped scenarios (defaults)</t>
        </is>
      </c>
      <c r="I207" s="9" t="inlineStr"/>
      <c r="J207" s="9" t="inlineStr">
        <is>
          <t>Sheet LegacyDiff</t>
        </is>
      </c>
      <c r="K207" s="9" t="inlineStr"/>
    </row>
    <row r="208">
      <c r="A208" s="9" t="inlineStr">
        <is>
          <t>LD64</t>
        </is>
      </c>
      <c r="B208" s="9" t="inlineStr">
        <is>
          <t>LegacyDiff, kept as legacy</t>
        </is>
      </c>
      <c r="C208" s="9" t="inlineStr">
        <is>
          <t>To check (bucket 5)</t>
        </is>
      </c>
      <c r="D208" s="9" t="inlineStr">
        <is>
          <t>Road transport: kept as legacy (v3.5)</t>
        </is>
      </c>
      <c r="E208" s="11" t="inlineStr">
        <is>
          <t>Yes</t>
        </is>
      </c>
      <c r="F208" s="9" t="inlineStr">
        <is>
          <t>Kept as legacy: Kept (freight distance, data years: parameters) or not built (externalities)</t>
        </is>
      </c>
      <c r="G208" s="9" t="inlineStr">
        <is>
          <t>Legacy: Freight distance (survey B14), data years of customs, VAT and import shares, the externality sheet Transport</t>
        </is>
      </c>
      <c r="H208" s="9" t="inlineStr">
        <is>
          <t>None by default</t>
        </is>
      </c>
      <c r="I208" s="9" t="inlineStr"/>
      <c r="J208" s="9" t="inlineStr">
        <is>
          <t>Sheet LegacyDiff</t>
        </is>
      </c>
      <c r="K208" s="9" t="inlineStr"/>
    </row>
    <row r="209">
      <c r="A209" s="9" t="inlineStr">
        <is>
          <t>I1</t>
        </is>
      </c>
      <c r="B209" s="9" t="inlineStr">
        <is>
          <t>Issue of the prototype</t>
        </is>
      </c>
      <c r="C209" s="9" t="inlineStr">
        <is>
          <t>Major</t>
        </is>
      </c>
      <c r="D209" s="9" t="inlineStr">
        <is>
          <t>Not yet run in Excel</t>
        </is>
      </c>
      <c r="E209" s="12" t="inlineStr">
        <is>
          <t>n/a (no legacy counterpart)</t>
        </is>
      </c>
      <c r="F209" s="9" t="inlineStr">
        <is>
          <t>Limitation of the workbook and its tooling</t>
        </is>
      </c>
      <c r="G209" s="9" t="inlineStr">
        <is>
          <t>The workbook and its VBA project were generated and tested without Excel (LibreOffice). Open it, enable macros and run CheckBatchRun once; if Excel rejects the VBA project, import CPATScenarios_v7_0.bas.</t>
        </is>
      </c>
      <c r="H209" s="9" t="inlineStr"/>
      <c r="I209" s="9" t="inlineStr">
        <is>
          <t>Review in Excel 365 (TODO).</t>
        </is>
      </c>
      <c r="J209" s="9" t="inlineStr">
        <is>
          <t>TODO; Scenarios_Method_v7_0.md</t>
        </is>
      </c>
      <c r="K209" s="9" t="inlineStr">
        <is>
          <t>Open</t>
        </is>
      </c>
    </row>
    <row r="210">
      <c r="A210" s="9" t="inlineStr">
        <is>
          <t>I2</t>
        </is>
      </c>
      <c r="B210" s="9" t="inlineStr">
        <is>
          <t>Issue of the prototype</t>
        </is>
      </c>
      <c r="C210" s="9" t="inlineStr">
        <is>
          <t>Minor</t>
        </is>
      </c>
      <c r="D210" s="9" t="inlineStr">
        <is>
          <t>Excel versions</t>
        </is>
      </c>
      <c r="E210" s="12" t="inlineStr">
        <is>
          <t>n/a (no legacy counterpart)</t>
        </is>
      </c>
      <c r="F210" s="9" t="inlineStr">
        <is>
          <t>Limitation of the workbook and its tooling</t>
        </is>
      </c>
      <c r="G210" s="9" t="inlineStr">
        <is>
          <t>2022-2040 need Excel 2019 or later (MINIFS, AGGREGATE); the last year 2041 is the LAMBDA year and needs Excel 365.</t>
        </is>
      </c>
      <c r="H210" s="9" t="inlineStr"/>
      <c r="I210" s="9" t="inlineStr"/>
      <c r="J210" s="9" t="inlineStr">
        <is>
          <t>README; NORMS (LAMBDA year)</t>
        </is>
      </c>
      <c r="K210" s="9" t="inlineStr">
        <is>
          <t>Accepted</t>
        </is>
      </c>
    </row>
    <row r="211">
      <c r="A211" s="9" t="inlineStr">
        <is>
          <t>I3</t>
        </is>
      </c>
      <c r="B211" s="9" t="inlineStr">
        <is>
          <t>Issue of the prototype</t>
        </is>
      </c>
      <c r="C211" s="9" t="inlineStr">
        <is>
          <t>Minor</t>
        </is>
      </c>
      <c r="D211" s="9" t="inlineStr">
        <is>
          <t>New sector / fuel pairs need a label</t>
        </is>
      </c>
      <c r="E211" s="12" t="inlineStr">
        <is>
          <t>n/a (no legacy counterpart)</t>
        </is>
      </c>
      <c r="F211" s="9" t="inlineStr">
        <is>
          <t>Limitation of the workbook and its tooling</t>
        </is>
      </c>
      <c r="G211" s="9" t="inlineStr">
        <is>
          <t>A new pair on Mitigation needs a row in the member-label table on Mapping, or its description shows #N/A (20 spare rows in the defined name).</t>
        </is>
      </c>
      <c r="H211" s="9" t="inlineStr"/>
      <c r="I211" s="9" t="inlineStr"/>
      <c r="J211" s="9" t="inlineStr">
        <is>
          <t>CAVEATS v1.08</t>
        </is>
      </c>
      <c r="K211" s="9" t="inlineStr">
        <is>
          <t>Accepted</t>
        </is>
      </c>
    </row>
    <row r="212">
      <c r="A212" s="9" t="inlineStr">
        <is>
          <t>I5</t>
        </is>
      </c>
      <c r="B212" s="9" t="inlineStr">
        <is>
          <t>Issue of the prototype</t>
        </is>
      </c>
      <c r="C212" s="9" t="inlineStr">
        <is>
          <t>Minor</t>
        </is>
      </c>
      <c r="D212" s="9" t="inlineStr">
        <is>
          <t>Totals include power since v1.09</t>
        </is>
      </c>
      <c r="E212" s="12" t="inlineStr">
        <is>
          <t>n/a (no legacy counterpart)</t>
        </is>
      </c>
      <c r="F212" s="9" t="inlineStr">
        <is>
          <t>Limitation of the workbook and its tooling</t>
        </is>
      </c>
      <c r="G212" s="9" t="inlineStr">
        <is>
          <t>Fuel use and revenue totals of v1.09 and later include power and are not comparable with v1.08 and earlier outputs.</t>
        </is>
      </c>
      <c r="H212" s="9" t="inlineStr"/>
      <c r="I212" s="9" t="inlineStr"/>
      <c r="J212" s="9" t="inlineStr">
        <is>
          <t>CAVEATS v1.09</t>
        </is>
      </c>
      <c r="K212" s="9" t="inlineStr">
        <is>
          <t>Accepted</t>
        </is>
      </c>
    </row>
    <row r="213">
      <c r="A213" s="9" t="inlineStr">
        <is>
          <t>I9</t>
        </is>
      </c>
      <c r="B213" s="9" t="inlineStr">
        <is>
          <t>Issue of the prototype</t>
        </is>
      </c>
      <c r="C213" s="9" t="inlineStr">
        <is>
          <t>Minor</t>
        </is>
      </c>
      <c r="D213" s="9" t="inlineStr">
        <is>
          <t>The LAMBDA year 2041 needs LAMBDA support</t>
        </is>
      </c>
      <c r="E213" s="12" t="inlineStr">
        <is>
          <t>n/a (no legacy counterpart)</t>
        </is>
      </c>
      <c r="F213" s="9" t="inlineStr">
        <is>
          <t>Limitation of the workbook and its tooling</t>
        </is>
      </c>
      <c r="G213" s="9" t="inlineStr">
        <is>
          <t>Every calculated cell of 2041 calls its named LAMBDA. Without LAMBDA support (Excel before 365, LibreOffice) 2041 shows errors, and so does its column in MTOutputs.</t>
        </is>
      </c>
      <c r="H213" s="9" t="inlineStr"/>
      <c r="I213" s="9" t="inlineStr"/>
      <c r="J213" s="9" t="inlineStr">
        <is>
          <t>ReadMe (LAMBDAs, year 2041); NORMS</t>
        </is>
      </c>
      <c r="K213" s="9" t="inlineStr">
        <is>
          <t>Accepted</t>
        </is>
      </c>
    </row>
    <row r="214">
      <c r="A214" s="9" t="inlineStr">
        <is>
          <t>I10</t>
        </is>
      </c>
      <c r="B214" s="9" t="inlineStr">
        <is>
          <t>Issue of the prototype</t>
        </is>
      </c>
      <c r="C214" s="9" t="inlineStr">
        <is>
          <t>Minor</t>
        </is>
      </c>
      <c r="D214" s="9" t="inlineStr">
        <is>
          <t>Without LAMBDA support the power model looks ahead without 2041</t>
        </is>
      </c>
      <c r="E214" s="12" t="inlineStr">
        <is>
          <t>n/a (no legacy counterpart)</t>
        </is>
      </c>
      <c r="F214" s="9" t="inlineStr">
        <is>
          <t>Limitation of the workbook and its tooling</t>
        </is>
      </c>
      <c r="G214" s="9" t="inlineStr">
        <is>
          <t>The levelised variable cost (D9) uses last year's cost for 2041 (tvcx), and the moving average of fuel prices for power leaves 2041 out of 2039-2040. Power results 2022-2040 then differ slightly from Excel 365 (the check reports the size); stored results are the Excel 365 values.</t>
        </is>
      </c>
      <c r="H214" s="9" t="inlineStr"/>
      <c r="I214" s="9" t="inlineStr"/>
      <c r="J214" s="9" t="inlineStr">
        <is>
          <t>check report section 1; PowerModel_Method_v7_0.md</t>
        </is>
      </c>
      <c r="K214" s="9" t="inlineStr">
        <is>
          <t>Accepted</t>
        </is>
      </c>
    </row>
    <row r="215">
      <c r="A215" s="9" t="inlineStr">
        <is>
          <t>I11</t>
        </is>
      </c>
      <c r="B215" s="9" t="inlineStr">
        <is>
          <t>Issue of the prototype</t>
        </is>
      </c>
      <c r="C215" s="9" t="inlineStr">
        <is>
          <t>Minor</t>
        </is>
      </c>
      <c r="D215" s="9" t="inlineStr">
        <is>
          <t>Changing the last historical price year</t>
        </is>
      </c>
      <c r="E215" s="12" t="inlineStr">
        <is>
          <t>n/a (no legacy counterpart)</t>
        </is>
      </c>
      <c r="F215" s="9" t="inlineStr">
        <is>
          <t>Limitation of the workbook and its tooling</t>
        </is>
      </c>
      <c r="G215" s="9" t="inlineStr">
        <is>
          <t>Prices have separate history and projection blocks; changing Settings C10 needs the blocks re-dragged (or the LAMBDA of the row, sheet Lambdas, copied left over the row).</t>
        </is>
      </c>
      <c r="H215" s="9" t="inlineStr"/>
      <c r="I215" s="9" t="inlineStr"/>
      <c r="J215" s="9" t="inlineStr">
        <is>
          <t>README</t>
        </is>
      </c>
      <c r="K215" s="9" t="inlineStr">
        <is>
          <t>Accepted</t>
        </is>
      </c>
    </row>
    <row r="216">
      <c r="A216" s="9" t="inlineStr">
        <is>
          <t>I12</t>
        </is>
      </c>
      <c r="B216" s="9" t="inlineStr">
        <is>
          <t>Issue of the prototype</t>
        </is>
      </c>
      <c r="C216" s="9" t="inlineStr">
        <is>
          <t>Minor</t>
        </is>
      </c>
      <c r="D216" s="9" t="inlineStr">
        <is>
          <t>Values after 2030</t>
        </is>
      </c>
      <c r="E216" s="12" t="inlineStr">
        <is>
          <t>n/a (no legacy counterpart)</t>
        </is>
      </c>
      <c r="F216" s="9" t="inlineStr">
        <is>
          <t>Limitation of the workbook and its tooling</t>
        </is>
      </c>
      <c r="G216" s="9" t="inlineStr">
        <is>
          <t>Not a legacy target; the legacy CPI is held flat after 2031.</t>
        </is>
      </c>
      <c r="H216" s="9" t="inlineStr"/>
      <c r="I216" s="9" t="inlineStr"/>
      <c r="J216" s="9" t="inlineStr">
        <is>
          <t>LegacyDiff</t>
        </is>
      </c>
      <c r="K216" s="9" t="inlineStr">
        <is>
          <t>Accepted</t>
        </is>
      </c>
    </row>
    <row r="217">
      <c r="A217" s="9" t="inlineStr">
        <is>
          <t>I13</t>
        </is>
      </c>
      <c r="B217" s="9" t="inlineStr">
        <is>
          <t>Issue of the prototype</t>
        </is>
      </c>
      <c r="C217" s="9" t="inlineStr">
        <is>
          <t>Major</t>
        </is>
      </c>
      <c r="D217" s="9" t="inlineStr">
        <is>
          <t>Data for other countries: proprietary tables are Egypt only</t>
        </is>
      </c>
      <c r="E217" s="12" t="inlineStr">
        <is>
          <t>n/a (no legacy counterpart)</t>
        </is>
      </c>
      <c r="F217" s="9" t="inlineStr">
        <is>
          <t>Limitation of the workbook and its tooling</t>
        </is>
      </c>
      <c r="G217" s="9" t="inlineStr">
        <is>
          <t>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H217" s="9" t="inlineStr"/>
      <c r="I217" s="9" t="inlineStr">
        <is>
          <t>Data for other countries (TODO).</t>
        </is>
      </c>
      <c r="J217" s="9" t="inlineStr">
        <is>
          <t>README</t>
        </is>
      </c>
      <c r="K217" s="9" t="inlineStr">
        <is>
          <t>Open</t>
        </is>
      </c>
    </row>
    <row r="218">
      <c r="A218" s="9" t="inlineStr">
        <is>
          <t>I15</t>
        </is>
      </c>
      <c r="B218" s="9" t="inlineStr">
        <is>
          <t>Issue of the prototype</t>
        </is>
      </c>
      <c r="C218" s="9" t="inlineStr">
        <is>
          <t>Minor</t>
        </is>
      </c>
      <c r="D218" s="9" t="inlineStr">
        <is>
          <t>Subsidy rows changed sign in v2.4</t>
        </is>
      </c>
      <c r="E218" s="12" t="inlineStr">
        <is>
          <t>n/a (no legacy counterpart)</t>
        </is>
      </c>
      <c r="F218" s="9" t="inlineStr">
        <is>
          <t>Limitation of the workbook and its tooling</t>
        </is>
      </c>
      <c r="G218" s="9" t="inlineStr">
        <is>
          <t>esub, esubpu, rsub, prsub, sgap and rgap are negative from v2.4 (net existing revenue rnet = rtx + rsub, unchanged in value). Outputs stored with v2.3 or earlier have the opposite sign in these rows.</t>
        </is>
      </c>
      <c r="H218" s="9" t="inlineStr"/>
      <c r="I218" s="9" t="inlineStr"/>
      <c r="J218" s="9" t="inlineStr">
        <is>
          <t>CAVEATS v2.4; NORMS</t>
        </is>
      </c>
      <c r="K218" s="9" t="inlineStr">
        <is>
          <t>Accepted</t>
        </is>
      </c>
    </row>
    <row r="219">
      <c r="A219" s="9" t="inlineStr">
        <is>
          <t>I16</t>
        </is>
      </c>
      <c r="B219" s="9" t="inlineStr">
        <is>
          <t>Issue of the prototype</t>
        </is>
      </c>
      <c r="C219" s="9" t="inlineStr">
        <is>
          <t>Minor</t>
        </is>
      </c>
      <c r="D219" s="9" t="inlineStr">
        <is>
          <t>A new block needs its label row</t>
        </is>
      </c>
      <c r="E219" s="12" t="inlineStr">
        <is>
          <t>n/a (no legacy counterpart)</t>
        </is>
      </c>
      <c r="F219" s="9" t="inlineStr">
        <is>
          <t>Limitation of the workbook and its tooling</t>
        </is>
      </c>
      <c r="G219" s="9" t="inlineStr">
        <is>
          <t>Every block of rows on Mitigation has a label row above it (D:G parameter names from Variables G:J). Copy the label row with the block; a new variable needs its labels in Variables G:J.</t>
        </is>
      </c>
      <c r="H219" s="9" t="inlineStr"/>
      <c r="I219" s="9" t="inlineStr"/>
      <c r="J219" s="9" t="inlineStr">
        <is>
          <t>ReadMe (Layout and roll-up)</t>
        </is>
      </c>
      <c r="K219" s="9" t="inlineStr">
        <is>
          <t>Accepted</t>
        </is>
      </c>
    </row>
    <row r="220">
      <c r="A220" s="9" t="inlineStr">
        <is>
          <t>I29</t>
        </is>
      </c>
      <c r="B220" s="9" t="inlineStr">
        <is>
          <t>Issue of the prototype</t>
        </is>
      </c>
      <c r="C220" s="9" t="inlineStr">
        <is>
          <t>Minor</t>
        </is>
      </c>
      <c r="D220" s="9" t="inlineStr">
        <is>
          <t>Excel repair prompt (resolved v3.7)</t>
        </is>
      </c>
      <c r="E220" s="12" t="inlineStr">
        <is>
          <t>n/a (no legacy counterpart)</t>
        </is>
      </c>
      <c r="F220" s="9" t="inlineStr">
        <is>
          <t>Limitation of the workbook and its tooling</t>
        </is>
      </c>
      <c r="G220" s="9" t="inlineStr">
        <is>
          <t>Excel 365 removed the cell formulas calling the LAMBDAs SCALE and SHARE (found by bisection with the repair log); renamed SCALEBY and SHAREOF in v3.7. The quick check opens the file in Excel where Excel is installed.</t>
        </is>
      </c>
      <c r="H220" s="9" t="inlineStr"/>
      <c r="I220" s="9" t="inlineStr">
        <is>
          <t>v3.7: LAMBDAs renamed; confirm in Excel (quick check on Windows).</t>
        </is>
      </c>
      <c r="J220" s="9" t="inlineStr">
        <is>
          <t>CAVEATS v3.6 (variants entry); check_quick_v7_0.py</t>
        </is>
      </c>
      <c r="K220" s="9" t="inlineStr">
        <is>
          <t>Resolved</t>
        </is>
      </c>
    </row>
    <row r="221">
      <c r="A221" s="9" t="inlineStr">
        <is>
          <t>I30</t>
        </is>
      </c>
      <c r="B221" s="9" t="inlineStr">
        <is>
          <t>Issue of the prototype</t>
        </is>
      </c>
      <c r="C221" s="9" t="inlineStr">
        <is>
          <t>Minor</t>
        </is>
      </c>
      <c r="D221" s="9" t="inlineStr">
        <is>
          <t>ETS goal seek short of the cap in definition 5</t>
        </is>
      </c>
      <c r="E221" s="12" t="inlineStr">
        <is>
          <t>n/a (no legacy counterpart)</t>
        </is>
      </c>
      <c r="F221" s="9" t="inlineStr">
        <is>
          <t>Limitation of the workbook and its tooling</t>
        </is>
      </c>
      <c r="G221" s="9" t="inlineStr">
        <is>
          <t>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H221" s="9" t="inlineStr"/>
      <c r="I221" s="9" t="inlineStr">
        <is>
          <t>Tested separately by the user (2026-10-19); no goal-seek runs in builds or checks (NORMS 5). Last full check (v5.3): worst gap 0.0265 after 20 iterations.</t>
        </is>
      </c>
      <c r="J221" s="9" t="inlineStr">
        <is>
          <t>ets_goalseek_v7_0.py; CAVEATS v3.7</t>
        </is>
      </c>
      <c r="K221" s="9" t="inlineStr">
        <is>
          <t>Open</t>
        </is>
      </c>
    </row>
    <row r="222">
      <c r="A222" s="9" t="inlineStr">
        <is>
          <t>I33</t>
        </is>
      </c>
      <c r="B222" s="9" t="inlineStr">
        <is>
          <t>Issue of the prototype</t>
        </is>
      </c>
      <c r="C222" s="9" t="inlineStr">
        <is>
          <t>Minor</t>
        </is>
      </c>
      <c r="D222" s="9" t="inlineStr">
        <is>
          <t>Data step overwrites the corrected Egypt prices</t>
        </is>
      </c>
      <c r="E222" s="12" t="inlineStr">
        <is>
          <t>n/a (no legacy counterpart)</t>
        </is>
      </c>
      <c r="F222" s="9" t="inlineStr">
        <is>
          <t>Limitation of the workbook and its tooling</t>
        </is>
      </c>
      <c r="G222" s="9" t="inlineStr">
        <is>
          <t>extract_data rewrites every data file from its sources; prices_dom.csv then loses the corrected Egypt block (update_prices_egypt must run after it), and the files come out with CRLF line ends. v3.11 kept only the jet-fuel rows of its run.</t>
        </is>
      </c>
      <c r="H222" s="9" t="inlineStr"/>
      <c r="I222" s="9" t="inlineStr">
        <is>
          <t>v5.7: extract_data writes LF line ends and runs update_prices_egypt after the price extraction, so the corrected Egypt block is kept.</t>
        </is>
      </c>
      <c r="J222" s="9" t="inlineStr">
        <is>
          <t>CAVEATS v3.11</t>
        </is>
      </c>
      <c r="K222" s="9" t="inlineStr">
        <is>
          <t>Resolved</t>
        </is>
      </c>
    </row>
    <row r="223">
      <c r="A223" s="9" t="inlineStr">
        <is>
          <t>I73</t>
        </is>
      </c>
      <c r="B223" s="9" t="inlineStr">
        <is>
          <t>Issue of the prototype</t>
        </is>
      </c>
      <c r="C223" s="9" t="inlineStr">
        <is>
          <t>Major</t>
        </is>
      </c>
      <c r="D223" s="9" t="inlineStr">
        <is>
          <t>Scenario-1 lookups must end at the current column</t>
        </is>
      </c>
      <c r="E223" s="12" t="inlineStr">
        <is>
          <t>n/a (no legacy counterpart)</t>
        </is>
      </c>
      <c r="F223" s="9" t="inlineStr">
        <is>
          <t>Limitation of the workbook and its tooling</t>
        </is>
      </c>
      <c r="G223" s="9" t="inlineStr">
        <is>
          <t>Lookups of the scenario-1 value of the same year (INDEX over a row, MATCH on the year) must not range over later columns: in a recalculation that evaluates the range, a lookup over the whole row reads its own scenario's later years and closes a circular reference (the MVP had one such row, ener.ref, fixed in v6.2; all others end at the current column). Recommendation to the CPAT team: check the legacy lookups the same way.</t>
        </is>
      </c>
      <c r="H223" s="9" t="inlineStr"/>
      <c r="I223" s="9" t="inlineStr">
        <is>
          <t>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MVP: every lookup ends at the current column (ener.ref fixed in v6.2); the quick check tests reads of later years.</t>
        </is>
      </c>
      <c r="J223" s="9" t="inlineStr">
        <is>
          <t>NORMS (circular references)</t>
        </is>
      </c>
      <c r="K223" s="9" t="inlineStr">
        <is>
          <t>Resolved</t>
        </is>
      </c>
    </row>
    <row r="224">
      <c r="A224" s="9" t="inlineStr">
        <is>
          <t>I74</t>
        </is>
      </c>
      <c r="B224" s="9" t="inlineStr">
        <is>
          <t>Issue of the prototype</t>
        </is>
      </c>
      <c r="C224" s="9" t="inlineStr">
        <is>
          <t>Major</t>
        </is>
      </c>
      <c r="D224" s="9" t="inlineStr">
        <is>
          <t>Methane calibration bases must be data or base-year values</t>
        </is>
      </c>
      <c r="E224" s="12" t="inlineStr">
        <is>
          <t>n/a (no legacy counterpart)</t>
        </is>
      </c>
      <c r="F224" s="9" t="inlineStr">
        <is>
          <t>Limitation of the workbook and its tooling</t>
        </is>
      </c>
      <c r="G224" s="9" t="inlineStr">
        <is>
          <t>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MVP uses data activity since v6.0 and, for the fiscal space, the stored scenario-1 gas and biomass activity (I47). Recommendation to the CPAT team.</t>
        </is>
      </c>
      <c r="H224" s="9" t="inlineStr"/>
      <c r="I224" s="9" t="inlineStr">
        <is>
          <t>Legacy checked: no bug. The source allocation uses energy-balance data (row 894) and the energy CH4 calibration (row 7562) uses the first two years and applies the factor from the third (it reads only earlier years). The MVP calibrated on GHGYear (2024) in every year (its own design) and now reads stored scenario-1 values; the fiscal space uses the stored scenario-1 activity (I47).</t>
        </is>
      </c>
      <c r="J224" s="9" t="inlineStr">
        <is>
          <t>GHG_Method_v7_0.md</t>
        </is>
      </c>
      <c r="K224" s="9" t="inlineStr">
        <is>
          <t>Resolved</t>
        </is>
      </c>
    </row>
    <row r="225">
      <c r="A225" s="9" t="inlineStr">
        <is>
          <t>D1</t>
        </is>
      </c>
      <c r="B225" s="9" t="inlineStr">
        <is>
          <t>Legacy bug (distribution)</t>
        </is>
      </c>
      <c r="C225" s="9" t="inlineStr">
        <is>
          <t>Low</t>
        </is>
      </c>
      <c r="D225" s="9" t="inlineStr">
        <is>
          <t>Targeted transfer capped at 10 points, not the decile's population share</t>
        </is>
      </c>
      <c r="E225" s="10" t="inlineStr">
        <is>
          <t>No</t>
        </is>
      </c>
      <c r="F225" s="9" t="inlineStr">
        <is>
          <t>Fixed</t>
        </is>
      </c>
      <c r="G225" s="9" t="inlineStr">
        <is>
          <t>The targeted share of a decile is capped at 10 percentage points instead of its population share: 105.6% of decile 2 receives the transfer.</t>
        </is>
      </c>
      <c r="H225" s="9" t="inlineStr"/>
      <c r="I225" s="9" t="inlineStr">
        <is>
          <t>Fixed (v4.4): capped at the decile's population share.</t>
        </is>
      </c>
      <c r="J225" s="9" t="inlineStr">
        <is>
          <t>Distribution R2562:Z2562</t>
        </is>
      </c>
      <c r="K225" s="9" t="inlineStr">
        <is>
          <t>Closed</t>
        </is>
      </c>
    </row>
    <row r="226">
      <c r="A226" s="9" t="inlineStr">
        <is>
          <t>D2</t>
        </is>
      </c>
      <c r="B226" s="9" t="inlineStr">
        <is>
          <t>Legacy bug (distribution)</t>
        </is>
      </c>
      <c r="C226" s="9" t="inlineStr">
        <is>
          <t>Low</t>
        </is>
      </c>
      <c r="D226" s="9" t="inlineStr">
        <is>
          <t>Basket uses decile 1's elasticity adjustment and exemption test</t>
        </is>
      </c>
      <c r="E226" s="10" t="inlineStr">
        <is>
          <t>No</t>
        </is>
      </c>
      <c r="F226" s="9" t="inlineStr">
        <is>
          <t>Fixed</t>
        </is>
      </c>
      <c r="G226" s="9" t="inlineStr">
        <is>
          <t>The all-household basket takes the elasticity adjustment and the exemption test of decile 1.</t>
        </is>
      </c>
      <c r="H226" s="9" t="inlineStr"/>
      <c r="I226" s="9" t="inlineStr">
        <is>
          <t>Fixed (v4.4): the basket elasticity, never exempt.</t>
        </is>
      </c>
      <c r="J226" s="9" t="inlineStr">
        <is>
          <t>Distribution C.V, C.VI (e.g. Q1607)</t>
        </is>
      </c>
      <c r="K226" s="9" t="inlineStr">
        <is>
          <t>Closed</t>
        </is>
      </c>
    </row>
    <row r="227">
      <c r="A227" s="9" t="inlineStr">
        <is>
          <t>D3</t>
        </is>
      </c>
      <c r="B227" s="9" t="inlineStr">
        <is>
          <t>Legacy bug (distribution)</t>
        </is>
      </c>
      <c r="C227" s="9" t="inlineStr">
        <is>
          <t>Low</t>
        </is>
      </c>
      <c r="D227" s="9" t="inlineStr">
        <is>
          <t>Current spending tests the ASPIRE flag of the targeted transfer</t>
        </is>
      </c>
      <c r="E227" s="10" t="inlineStr">
        <is>
          <t>No</t>
        </is>
      </c>
      <c r="F227" s="9" t="inlineStr">
        <is>
          <t>Fixed</t>
        </is>
      </c>
      <c r="G227" s="9" t="inlineStr">
        <is>
          <t>Current spending reads the ASPIRE flag of the targeted transfer (I213) instead of its own (I214).</t>
        </is>
      </c>
      <c r="H227" s="9" t="inlineStr"/>
      <c r="I227" s="9" t="inlineStr">
        <is>
          <t>Fixed (v4.4): no flag; the ASPIRE programme of the chosen type, 0 if absent.</t>
        </is>
      </c>
      <c r="J227" s="9" t="inlineStr">
        <is>
          <t>Distribution Q2633</t>
        </is>
      </c>
      <c r="K227" s="9" t="inlineStr">
        <is>
          <t>Closed</t>
        </is>
      </c>
    </row>
    <row r="228">
      <c r="A228" s="9" t="inlineStr">
        <is>
          <t>D4</t>
        </is>
      </c>
      <c r="B228" s="9" t="inlineStr">
        <is>
          <t>Legacy bug (distribution)</t>
        </is>
      </c>
      <c r="C228" s="9" t="inlineStr">
        <is>
          <t>Low</t>
        </is>
      </c>
      <c r="D228" s="9" t="inlineStr">
        <is>
          <t>Public investment and current spending vanish with the transfer settings</t>
        </is>
      </c>
      <c r="E228" s="10" t="inlineStr">
        <is>
          <t>No</t>
        </is>
      </c>
      <c r="F228" s="9" t="inlineStr">
        <is>
          <t>Fixed</t>
        </is>
      </c>
      <c r="G228" s="9" t="inlineStr">
        <is>
          <t>Public investment and current spending are 0 when the transfer coverage or percentile is 0.</t>
        </is>
      </c>
      <c r="H228" s="9" t="inlineStr"/>
      <c r="I228" s="9" t="inlineStr">
        <is>
          <t>Fixed (v4.4): independent of the transfer settings.</t>
        </is>
      </c>
      <c r="J228" s="9" t="inlineStr">
        <is>
          <t>Distribution rows 2701-2707</t>
        </is>
      </c>
      <c r="K228" s="9" t="inlineStr">
        <is>
          <t>Closed</t>
        </is>
      </c>
    </row>
    <row r="229">
      <c r="A229" s="9" t="inlineStr">
        <is>
          <t>D5</t>
        </is>
      </c>
      <c r="B229" s="9" t="inlineStr">
        <is>
          <t>Legacy bug (distribution)</t>
        </is>
      </c>
      <c r="C229" s="9" t="inlineStr">
        <is>
          <t>Low</t>
        </is>
      </c>
      <c r="D229" s="9" t="inlineStr">
        <is>
          <t>Targeted exemption capped by all revenue; urban and rural not per capita</t>
        </is>
      </c>
      <c r="E229" s="10" t="inlineStr">
        <is>
          <t>No</t>
        </is>
      </c>
      <c r="F229" s="9" t="inlineStr">
        <is>
          <t>Fixed</t>
        </is>
      </c>
      <c r="G229" s="9" t="inlineStr">
        <is>
          <t>The targeted exemption is capped by all carbon-pricing revenue (I154) instead of the PIT share (I163); urban and rural values are not per capita.</t>
        </is>
      </c>
      <c r="H229" s="9" t="inlineStr"/>
      <c r="I229" s="9" t="inlineStr">
        <is>
          <t>Fixed (v4.4): capped by the PIT revenue; per capita in every sample.</t>
        </is>
      </c>
      <c r="J229" s="9" t="inlineStr">
        <is>
          <t>Distribution Q2749</t>
        </is>
      </c>
      <c r="K229" s="9" t="inlineStr">
        <is>
          <t>Closed</t>
        </is>
      </c>
    </row>
    <row r="230">
      <c r="A230" s="9" t="inlineStr">
        <is>
          <t>D6</t>
        </is>
      </c>
      <c r="B230" s="9" t="inlineStr">
        <is>
          <t>Legacy bug (distribution)</t>
        </is>
      </c>
      <c r="C230" s="9" t="inlineStr">
        <is>
          <t>Low</t>
        </is>
      </c>
      <c r="D230" s="9" t="inlineStr">
        <is>
          <t>Urban and rural compensation shares on overall weights</t>
        </is>
      </c>
      <c r="E230" s="10" t="inlineStr">
        <is>
          <t>No</t>
        </is>
      </c>
      <c r="F230" s="9" t="inlineStr">
        <is>
          <t>Fixed</t>
        </is>
      </c>
      <c r="G230" s="9" t="inlineStr">
        <is>
          <t>The urban and rural compensation shares divide by overall consumption weights (they sum to 52 and 47).</t>
        </is>
      </c>
      <c r="H230" s="9" t="inlineStr"/>
      <c r="I230" s="9" t="inlineStr">
        <is>
          <t>Fixed (v4.4): each sample's own weights, each summing to 100.</t>
        </is>
      </c>
      <c r="J230" s="9" t="inlineStr">
        <is>
          <t>Distribution Q3259, Q3263</t>
        </is>
      </c>
      <c r="K230" s="9" t="inlineStr">
        <is>
          <t>Closed</t>
        </is>
      </c>
    </row>
    <row r="231">
      <c r="A231" s="9" t="inlineStr">
        <is>
          <t>D7</t>
        </is>
      </c>
      <c r="B231" s="9" t="inlineStr">
        <is>
          <t>Legacy bug (distribution)</t>
        </is>
      </c>
      <c r="C231" s="9" t="inlineStr">
        <is>
          <t>Low</t>
        </is>
      </c>
      <c r="D231" s="9" t="inlineStr">
        <is>
          <t>Deadweight loss in mixed units</t>
        </is>
      </c>
      <c r="E231" s="10" t="inlineStr">
        <is>
          <t>No</t>
        </is>
      </c>
      <c r="F231" s="9" t="inlineStr">
        <is>
          <t>Fixed</t>
        </is>
      </c>
      <c r="G231" s="9" t="inlineStr">
        <is>
          <t>The deadweight loss is a price fraction subtracted from a % of consumption.</t>
        </is>
      </c>
      <c r="H231" s="9" t="inlineStr"/>
      <c r="I231" s="9" t="inlineStr">
        <is>
          <t>Fixed (v4.4): DWLTri x (1 - factor) x the effect, in the same units.</t>
        </is>
      </c>
      <c r="J231" s="9" t="inlineStr">
        <is>
          <t>Distribution rows 859-883</t>
        </is>
      </c>
      <c r="K231" s="9" t="inlineStr">
        <is>
          <t>Closed</t>
        </is>
      </c>
    </row>
    <row r="232">
      <c r="A232" s="9" t="inlineStr">
        <is>
          <t>D8</t>
        </is>
      </c>
      <c r="B232" s="9" t="inlineStr">
        <is>
          <t>Legacy bug (distribution)</t>
        </is>
      </c>
      <c r="C232" s="9" t="inlineStr">
        <is>
          <t>Low</t>
        </is>
      </c>
      <c r="D232" s="9" t="inlineStr">
        <is>
          <t>Analysis year and statistic read MTInputs column D</t>
        </is>
      </c>
      <c r="E232" s="10" t="inlineStr">
        <is>
          <t>No</t>
        </is>
      </c>
      <c r="F232" s="9" t="inlineStr">
        <is>
          <t>Fixed</t>
        </is>
      </c>
      <c r="G232" s="9" t="inlineStr">
        <is>
          <t>dist.year and dist.stat read MTInputs column D, which is 0 in dashboard mode.</t>
        </is>
      </c>
      <c r="H232" s="9" t="inlineStr"/>
      <c r="I232" s="9" t="inlineStr">
        <is>
          <t>Fixed (v4.4): the analysis year and statistic of the scenario group.</t>
        </is>
      </c>
      <c r="J232" s="9" t="inlineStr">
        <is>
          <t>MTOutputs rows 1001-1002</t>
        </is>
      </c>
      <c r="K232" s="9" t="inlineStr">
        <is>
          <t>Closed</t>
        </is>
      </c>
    </row>
    <row r="233">
      <c r="A233" s="9" t="inlineStr">
        <is>
          <t>D9</t>
        </is>
      </c>
      <c r="B233" s="9" t="inlineStr">
        <is>
          <t>Legacy bug (distribution)</t>
        </is>
      </c>
      <c r="C233" s="9" t="inlineStr">
        <is>
          <t>Low</t>
        </is>
      </c>
      <c r="D233" s="9" t="inlineStr">
        <is>
          <t>Rural rows labelled Urban; fuel code oil vs oop</t>
        </is>
      </c>
      <c r="E233" s="10" t="inlineStr">
        <is>
          <t>No</t>
        </is>
      </c>
      <c r="F233" s="9" t="inlineStr">
        <is>
          <t>Fixed</t>
        </is>
      </c>
      <c r="G233" s="9" t="inlineStr">
        <is>
          <t>Post-CP consumption rows of the rural sample carry the urban label; the elasticity and price rows of other oil products use different codes and are paired by row position only.</t>
        </is>
      </c>
      <c r="H233" s="9" t="inlineStr"/>
      <c r="I233" s="9" t="inlineStr">
        <is>
          <t>Fixed in the MVP (v5.1 register; own labels, rural and urban rows by key; one code oop paired by code).</t>
        </is>
      </c>
      <c r="J233" s="9" t="inlineStr">
        <is>
          <t>Distribution H2417, H2422 (456 numbering; DeepDive cites 2416, 2421): '... - Urban Sample' on rows computed from the rural rows 2402, 2407, 2412; C.II row 746 code 'oil' against price rows 774 and 804 'oop'</t>
        </is>
      </c>
      <c r="K233" s="9" t="inlineStr">
        <is>
          <t>Closed</t>
        </is>
      </c>
    </row>
    <row r="234">
      <c r="A234" s="9" t="inlineStr">
        <is>
          <t>D10</t>
        </is>
      </c>
      <c r="B234" s="9" t="inlineStr">
        <is>
          <t>Legacy bug (distribution)</t>
        </is>
      </c>
      <c r="C234" s="9" t="inlineStr">
        <is>
          <t>Low</t>
        </is>
      </c>
      <c r="D234" s="9" t="inlineStr">
        <is>
          <t>ASPIRE transfer pays out more than the revenue</t>
        </is>
      </c>
      <c r="E234" s="10" t="inlineStr">
        <is>
          <t>No</t>
        </is>
      </c>
      <c r="F234" s="9" t="inlineStr">
        <is>
          <t>Fixed</t>
        </is>
      </c>
      <c r="G234" s="9" t="inlineStr">
        <is>
          <t>Per capita = scale x benefit x [decile targeted], with the scale computed over actual receivers: partly targeted deciles get the full benefit, leakage deciles none; 125-129% of the funds are paid out for Egypt.</t>
        </is>
      </c>
      <c r="H234" s="9" t="inlineStr"/>
      <c r="I234" s="9" t="inlineStr">
        <is>
          <t>Fixed (v6.0): transfer = revenue x benefit x share receiving / sum over deciles (payout = revenue).</t>
        </is>
      </c>
      <c r="J234" s="9" t="inlineStr">
        <is>
          <t>Distribution row 2629 (-&gt; 2697-2699)</t>
        </is>
      </c>
      <c r="K234" s="9" t="inlineStr">
        <is>
          <t>Closed</t>
        </is>
      </c>
    </row>
    <row r="235">
      <c r="A235" s="9" t="inlineStr">
        <is>
          <t>D11</t>
        </is>
      </c>
      <c r="B235" s="9" t="inlineStr">
        <is>
          <t>Legacy bug (distribution)</t>
        </is>
      </c>
      <c r="C235" s="9" t="inlineStr">
        <is>
          <t>Low</t>
        </is>
      </c>
      <c r="D235" s="9" t="inlineStr">
        <is>
          <t>ASPIRE program without country data: the transfer vanishes</t>
        </is>
      </c>
      <c r="E235" s="10" t="inlineStr">
        <is>
          <t>No</t>
        </is>
      </c>
      <c r="F235" s="9" t="inlineStr">
        <is>
          <t>Fixed</t>
        </is>
      </c>
      <c r="G235" s="9" t="inlineStr">
        <is>
          <t>A program with no data gives a zero scale, so the transfer share of revenue silently disappears (no IFERROR).</t>
        </is>
      </c>
      <c r="H235" s="9" t="inlineStr"/>
      <c r="I235" s="9" t="inlineStr">
        <is>
          <t>Fixed (v6.0): cash used and the settings check says so.</t>
        </is>
      </c>
      <c r="J235" s="9" t="inlineStr">
        <is>
          <t>Distribution row 2617, I213</t>
        </is>
      </c>
      <c r="K235" s="9" t="inlineStr">
        <is>
          <t>Closed</t>
        </is>
      </c>
    </row>
    <row r="236">
      <c r="A236" s="9" t="inlineStr">
        <is>
          <t>D12</t>
        </is>
      </c>
      <c r="B236" s="9" t="inlineStr">
        <is>
          <t>Legacy bug (distribution)</t>
        </is>
      </c>
      <c r="C236" s="9" t="inlineStr">
        <is>
          <t>Low</t>
        </is>
      </c>
      <c r="D236" s="9" t="inlineStr">
        <is>
          <t>ASPIRE branch skips the median flag and the zero-coverage test</t>
        </is>
      </c>
      <c r="E236" s="10" t="inlineStr">
        <is>
          <t>No</t>
        </is>
      </c>
      <c r="F236" s="9" t="inlineStr">
        <is>
          <t>Fixed</t>
        </is>
      </c>
      <c r="G236" s="9" t="inlineStr">
        <is>
          <t>Parenthesisation: the ASPIRE branch is outside the flag and the coverage/percentile test.</t>
        </is>
      </c>
      <c r="H236" s="9" t="inlineStr"/>
      <c r="I236" s="9" t="inlineStr">
        <is>
          <t>Fixed (v6.0): one formula for every targeting mode.</t>
        </is>
      </c>
      <c r="J236" s="9" t="inlineStr">
        <is>
          <t>Distribution row 2697</t>
        </is>
      </c>
      <c r="K236" s="9" t="inlineStr">
        <is>
          <t>Closed</t>
        </is>
      </c>
    </row>
    <row r="237">
      <c r="A237" s="9" t="inlineStr">
        <is>
          <t>D13</t>
        </is>
      </c>
      <c r="B237" s="9" t="inlineStr">
        <is>
          <t>Legacy bug (distribution)</t>
        </is>
      </c>
      <c r="C237" s="9" t="inlineStr">
        <is>
          <t>Low</t>
        </is>
      </c>
      <c r="D237" s="9" t="inlineStr">
        <is>
          <t>Public investment and current spending use the targeted-transfer median flag</t>
        </is>
      </c>
      <c r="E237" s="10" t="inlineStr">
        <is>
          <t>No</t>
        </is>
      </c>
      <c r="F237" s="9" t="inlineStr">
        <is>
          <t>Fixed</t>
        </is>
      </c>
      <c r="G237" s="9" t="inlineStr">
        <is>
          <t>Under the median statistic, public investment for deciles 5-10 is zeroed by the transfer flag.</t>
        </is>
      </c>
      <c r="H237" s="9" t="inlineStr"/>
      <c r="I237" s="9" t="inlineStr">
        <is>
          <t>Fixed (v6.0): the flag applies to the targeted transfer only.</t>
        </is>
      </c>
      <c r="J237" s="9" t="inlineStr">
        <is>
          <t>Distribution rows 2701-2707</t>
        </is>
      </c>
      <c r="K237" s="9" t="inlineStr">
        <is>
          <t>Closed</t>
        </is>
      </c>
    </row>
    <row r="238">
      <c r="A238" s="9" t="inlineStr">
        <is>
          <t>D14</t>
        </is>
      </c>
      <c r="B238" s="9" t="inlineStr">
        <is>
          <t>Legacy bug (distribution)</t>
        </is>
      </c>
      <c r="C238" s="9" t="inlineStr">
        <is>
          <t>Low</t>
        </is>
      </c>
      <c r="D238" s="9" t="inlineStr">
        <is>
          <t>Poverty targeting: share receiving ignores targeting, coverage and leakage</t>
        </is>
      </c>
      <c r="E238" s="10" t="inlineStr">
        <is>
          <t>No</t>
        </is>
      </c>
      <c r="F238" s="9" t="inlineStr">
        <is>
          <t>Fixed</t>
        </is>
      </c>
      <c r="G238" s="9" t="inlineStr">
        <is>
          <t>The share receiving is the share below the line, while the amounts use receivers x poor.</t>
        </is>
      </c>
      <c r="H238" s="9" t="inlineStr"/>
      <c r="I238" s="9" t="inlineStr">
        <is>
          <t>Fixed (v6.0): share receiving = receiving x below the line.</t>
        </is>
      </c>
      <c r="J238" s="9" t="inlineStr">
        <is>
          <t>Distribution row 2679</t>
        </is>
      </c>
      <c r="K238" s="9" t="inlineStr">
        <is>
          <t>Closed</t>
        </is>
      </c>
    </row>
    <row r="239">
      <c r="A239" s="9" t="inlineStr">
        <is>
          <t>D15</t>
        </is>
      </c>
      <c r="B239" s="9" t="inlineStr">
        <is>
          <t>Legacy bug (distribution)</t>
        </is>
      </c>
      <c r="C239" s="9" t="inlineStr">
        <is>
          <t>Low</t>
        </is>
      </c>
      <c r="D239" s="9" t="inlineStr">
        <is>
          <t>Poverty targeting: urban and rural pay out about half of the funds</t>
        </is>
      </c>
      <c r="E239" s="10" t="inlineStr">
        <is>
          <t>No</t>
        </is>
      </c>
      <c r="F239" s="9" t="inlineStr">
        <is>
          <t>Fixed</t>
        </is>
      </c>
      <c r="G239" s="9" t="inlineStr">
        <is>
          <t>Sample poverty shares x the overall receiving share x the overall amount: urban plus rural recipients are about 52% of the overall ones.</t>
        </is>
      </c>
      <c r="H239" s="9" t="inlineStr"/>
      <c r="I239" s="9" t="inlineStr">
        <is>
          <t>Fixed (v6.0): urban and rural per capita = the overall per capita (issue DI4).</t>
        </is>
      </c>
      <c r="J239" s="9" t="inlineStr">
        <is>
          <t>Distribution rows 2650-2674</t>
        </is>
      </c>
      <c r="K239" s="9" t="inlineStr">
        <is>
          <t>Closed</t>
        </is>
      </c>
    </row>
    <row r="240">
      <c r="A240" s="9" t="inlineStr">
        <is>
          <t>D16</t>
        </is>
      </c>
      <c r="B240" s="9" t="inlineStr">
        <is>
          <t>Legacy bug (distribution)</t>
        </is>
      </c>
      <c r="C240" s="9" t="inlineStr">
        <is>
          <t>Low</t>
        </is>
      </c>
      <c r="D240" s="9" t="inlineStr">
        <is>
          <t>Poverty share x 10 assumes deciles of 10%</t>
        </is>
      </c>
      <c r="E240" s="10" t="inlineStr">
        <is>
          <t>No</t>
        </is>
      </c>
      <c r="F240" s="9" t="inlineStr">
        <is>
          <t>Fixed</t>
        </is>
      </c>
      <c r="G240" s="9" t="inlineStr">
        <is>
          <t>Decile 2 gives 111% (capped at 100 by MIN).</t>
        </is>
      </c>
      <c r="H240" s="9" t="inlineStr"/>
      <c r="I240" s="9" t="inlineStr">
        <is>
          <t>Kept with the cap (data limitation; noted).</t>
        </is>
      </c>
      <c r="J240" s="9" t="inlineStr">
        <is>
          <t>Distribution row 2649</t>
        </is>
      </c>
      <c r="K240" s="9" t="inlineStr">
        <is>
          <t>Closed</t>
        </is>
      </c>
    </row>
    <row r="241">
      <c r="A241" s="9" t="inlineStr">
        <is>
          <t>D17</t>
        </is>
      </c>
      <c r="B241" s="9" t="inlineStr">
        <is>
          <t>Legacy bug (distribution)</t>
        </is>
      </c>
      <c r="C241" s="9" t="inlineStr">
        <is>
          <t>Low</t>
        </is>
      </c>
      <c r="D241" s="9" t="inlineStr">
        <is>
          <t>ASPIRE values converted without a PPP factor</t>
        </is>
      </c>
      <c r="E241" s="10" t="inlineStr">
        <is>
          <t>No</t>
        </is>
      </c>
      <c r="F241" s="9" t="inlineStr">
        <is>
          <t>Fixed</t>
        </is>
      </c>
      <c r="G241" s="9" t="inlineStr">
        <is>
          <t>PPP $ per day become "real LCU" by a deflator ratio only; the data year is unused. Displays only (the scale cancels).</t>
        </is>
      </c>
      <c r="H241" s="9" t="inlineStr"/>
      <c r="I241" s="9" t="inlineStr">
        <is>
          <t>Fixed (v6.0): rows labelled PPP $ per day; no conversion.</t>
        </is>
      </c>
      <c r="J241" s="9" t="inlineStr">
        <is>
          <t>Distribution row 2618, I220-I223</t>
        </is>
      </c>
      <c r="K241" s="9" t="inlineStr">
        <is>
          <t>Closed</t>
        </is>
      </c>
    </row>
    <row r="242">
      <c r="A242" s="9" t="inlineStr">
        <is>
          <t>D18</t>
        </is>
      </c>
      <c r="B242" s="9" t="inlineStr">
        <is>
          <t>Legacy bug (distribution)</t>
        </is>
      </c>
      <c r="C242" s="9" t="inlineStr">
        <is>
          <t>Low</t>
        </is>
      </c>
      <c r="D242" s="9" t="inlineStr">
        <is>
          <t>Horizontal p25/p75 effects inflated</t>
        </is>
      </c>
      <c r="E242" s="10" t="inlineStr">
        <is>
          <t>No</t>
        </is>
      </c>
      <c r="F242" s="9" t="inlineStr">
        <is>
          <t>Fixed</t>
        </is>
      </c>
      <c r="G242" s="9" t="inlineStr">
        <is>
          <t>Effect x (1 + effect / other effect): Egypt decile 1 p75 -3.09 becomes -6.77.</t>
        </is>
      </c>
      <c r="H242" s="9" t="inlineStr"/>
      <c r="I242" s="9" t="inlineStr">
        <is>
          <t>Fixed (v6.0): effect = price factors x the budget shares of the percentile x loss scale.</t>
        </is>
      </c>
      <c r="J242" s="9" t="inlineStr">
        <is>
          <t>Distribution rows 3188-3206</t>
        </is>
      </c>
      <c r="K242" s="9" t="inlineStr">
        <is>
          <t>Closed</t>
        </is>
      </c>
    </row>
    <row r="243">
      <c r="A243" s="9" t="inlineStr">
        <is>
          <t>D19</t>
        </is>
      </c>
      <c r="B243" s="9" t="inlineStr">
        <is>
          <t>Legacy bug (distribution)</t>
        </is>
      </c>
      <c r="C243" s="9" t="inlineStr">
        <is>
          <t>Low</t>
        </is>
      </c>
      <c r="D243" s="9" t="inlineStr">
        <is>
          <t>Horizontal "chosen statistic" recycling divides by median consumption</t>
        </is>
      </c>
      <c r="E243" s="10" t="inlineStr">
        <is>
          <t>No</t>
        </is>
      </c>
      <c r="F243" s="9" t="inlineStr">
        <is>
          <t>Fixed</t>
        </is>
      </c>
      <c r="G243" s="9" t="inlineStr">
        <is>
          <t>Hard-coded .median.</t>
        </is>
      </c>
      <c r="H243" s="9" t="inlineStr"/>
      <c r="I243" s="9" t="inlineStr">
        <is>
          <t>Fixed (v6.0): the recycling row of the chosen statistic.</t>
        </is>
      </c>
      <c r="J243" s="9" t="inlineStr">
        <is>
          <t>Distribution rows 3193, 3201, 3209</t>
        </is>
      </c>
      <c r="K243" s="9" t="inlineStr">
        <is>
          <t>Closed</t>
        </is>
      </c>
    </row>
    <row r="244">
      <c r="A244" s="9" t="inlineStr">
        <is>
          <t>D20</t>
        </is>
      </c>
      <c r="B244" s="9" t="inlineStr">
        <is>
          <t>Legacy bug (distribution)</t>
        </is>
      </c>
      <c r="C244" s="9" t="inlineStr">
        <is>
          <t>Low</t>
        </is>
      </c>
      <c r="D244" s="9" t="inlineStr">
        <is>
          <t>Decile brackets always divided by 1000</t>
        </is>
      </c>
      <c r="E244" s="10" t="inlineStr">
        <is>
          <t>No</t>
        </is>
      </c>
      <c r="F244" s="9" t="inlineStr">
        <is>
          <t>Fixed</t>
        </is>
      </c>
      <c r="G244" s="9" t="inlineStr">
        <is>
          <t>Relative reference instead of $G$2771.</t>
        </is>
      </c>
      <c r="H244" s="9" t="inlineStr"/>
      <c r="I244" s="9" t="inlineStr">
        <is>
          <t>Fixed (v6.0): no scaling; brackets in local currency.</t>
        </is>
      </c>
      <c r="J244" s="9" t="inlineStr">
        <is>
          <t>Distribution row 2774</t>
        </is>
      </c>
      <c r="K244" s="9" t="inlineStr">
        <is>
          <t>Closed</t>
        </is>
      </c>
    </row>
    <row r="245">
      <c r="A245" s="9" t="inlineStr">
        <is>
          <t>D21</t>
        </is>
      </c>
      <c r="B245" s="9" t="inlineStr">
        <is>
          <t>Legacy bug (distribution)</t>
        </is>
      </c>
      <c r="C245" s="9" t="inlineStr">
        <is>
          <t>Low</t>
        </is>
      </c>
      <c r="D245" s="9" t="inlineStr">
        <is>
          <t>Decile bracket labels unusable</t>
        </is>
      </c>
      <c r="E245" s="10" t="inlineStr">
        <is>
          <t>No</t>
        </is>
      </c>
      <c r="F245" s="9" t="inlineStr">
        <is>
          <t>Fixed</t>
        </is>
      </c>
      <c r="G245" s="9" t="inlineStr">
        <is>
          <t>Appends "0" when not in thousands; one significant digit gives "10k-10k"; survey-year values.</t>
        </is>
      </c>
      <c r="H245" s="9" t="inlineStr"/>
      <c r="I245" s="9" t="inlineStr">
        <is>
          <t>Fixed (v6.0): real local currency of the analysis year (survey value x consumption adjustment), full numbers.</t>
        </is>
      </c>
      <c r="J245" s="9" t="inlineStr">
        <is>
          <t>Distribution rows 2775-2784</t>
        </is>
      </c>
      <c r="K245" s="9" t="inlineStr">
        <is>
          <t>Closed</t>
        </is>
      </c>
    </row>
    <row r="246">
      <c r="A246" s="9" t="inlineStr">
        <is>
          <t>D22</t>
        </is>
      </c>
      <c r="B246" s="9" t="inlineStr">
        <is>
          <t>Legacy bug (distribution)</t>
        </is>
      </c>
      <c r="C246" s="9" t="inlineStr">
        <is>
          <t>Low</t>
        </is>
      </c>
      <c r="D246" s="9" t="inlineStr">
        <is>
          <t>Sector table "ordered by demand" sorts each column independently</t>
        </is>
      </c>
      <c r="E246" s="10" t="inlineStr">
        <is>
          <t>No</t>
        </is>
      </c>
      <c r="F246" s="9" t="inlineStr">
        <is>
          <t>Fixed</t>
        </is>
      </c>
      <c r="G246" s="9" t="inlineStr">
        <is>
          <t>LARGE per column: output and exports do not belong to the sector named.</t>
        </is>
      </c>
      <c r="H246" s="9" t="inlineStr"/>
      <c r="I246" s="9" t="inlineStr">
        <is>
          <t>Fixed (v6.0): one rank per sector; values read by rank.</t>
        </is>
      </c>
      <c r="J246" s="9" t="inlineStr">
        <is>
          <t>Distribution rows 3300-3310</t>
        </is>
      </c>
      <c r="K246" s="9" t="inlineStr">
        <is>
          <t>Closed</t>
        </is>
      </c>
    </row>
    <row r="247">
      <c r="A247" s="9" t="inlineStr">
        <is>
          <t>D23</t>
        </is>
      </c>
      <c r="B247" s="9" t="inlineStr">
        <is>
          <t>Legacy bug (distribution)</t>
        </is>
      </c>
      <c r="C247" s="9" t="inlineStr">
        <is>
          <t>Low</t>
        </is>
      </c>
      <c r="D247" s="9" t="inlineStr">
        <is>
          <t>Ordered sector tables show 11 of 12 sectors</t>
        </is>
      </c>
      <c r="E247" s="10" t="inlineStr">
        <is>
          <t>No</t>
        </is>
      </c>
      <c r="F247" s="9" t="inlineStr">
        <is>
          <t>Fixed</t>
        </is>
      </c>
      <c r="G247" s="9" t="inlineStr">
        <is>
          <t>11 rows for 12 sectors.</t>
        </is>
      </c>
      <c r="H247" s="9" t="inlineStr"/>
      <c r="I247" s="9" t="inlineStr">
        <is>
          <t>Fixed (v6.0): every sector listed.</t>
        </is>
      </c>
      <c r="J247" s="9" t="inlineStr">
        <is>
          <t>Distribution rows 3300-3323</t>
        </is>
      </c>
      <c r="K247" s="9" t="inlineStr">
        <is>
          <t>Closed</t>
        </is>
      </c>
    </row>
    <row r="248">
      <c r="A248" s="9" t="inlineStr">
        <is>
          <t>D24</t>
        </is>
      </c>
      <c r="B248" s="9" t="inlineStr">
        <is>
          <t>Legacy bug (distribution)</t>
        </is>
      </c>
      <c r="C248" s="9" t="inlineStr">
        <is>
          <t>Low</t>
        </is>
      </c>
      <c r="D248" s="9" t="inlineStr">
        <is>
          <t>Chemicals and power missing from the CPAT-sector table</t>
        </is>
      </c>
      <c r="E248" s="10" t="inlineStr">
        <is>
          <t>No</t>
        </is>
      </c>
      <c r="F248" s="9" t="inlineStr">
        <is>
          <t>Fixed</t>
        </is>
      </c>
      <c r="G248" s="9" t="inlineStr">
        <is>
          <t>The most affected sector (chemicals) drops out of the CPAT-sector charts and shares.</t>
        </is>
      </c>
      <c r="H248" s="9" t="inlineStr"/>
      <c r="I248" s="9" t="inlineStr">
        <is>
          <t>Fixed (v6.0): 14 sectors, chemicals and power included.</t>
        </is>
      </c>
      <c r="J248" s="9" t="inlineStr">
        <is>
          <t>Distribution rows 3285-3296</t>
        </is>
      </c>
      <c r="K248" s="9" t="inlineStr">
        <is>
          <t>Closed</t>
        </is>
      </c>
    </row>
    <row r="249">
      <c r="A249" s="9" t="inlineStr">
        <is>
          <t>D25</t>
        </is>
      </c>
      <c r="B249" s="9" t="inlineStr">
        <is>
          <t>Legacy bug (distribution)</t>
        </is>
      </c>
      <c r="C249" s="9" t="inlineStr">
        <is>
          <t>Low</t>
        </is>
      </c>
      <c r="D249" s="9" t="inlineStr">
        <is>
          <t>Chart 19 labels ranked separately from their values; ties</t>
        </is>
      </c>
      <c r="E249" s="10" t="inlineStr">
        <is>
          <t>No</t>
        </is>
      </c>
      <c r="F249" s="9" t="inlineStr">
        <is>
          <t>Fixed</t>
        </is>
      </c>
      <c r="G249" s="9" t="inlineStr">
        <is>
          <t>Labels ranked by one column, values by another; MATCH on equal values returns the first sector twice.</t>
        </is>
      </c>
      <c r="H249" s="9" t="inlineStr"/>
      <c r="I249" s="9" t="inlineStr">
        <is>
          <t>Fixed (v6.0): one ranking; ties broken by order.</t>
        </is>
      </c>
      <c r="J249" s="9" t="inlineStr">
        <is>
          <t>Distribution row 3313</t>
        </is>
      </c>
      <c r="K249" s="9" t="inlineStr">
        <is>
          <t>Closed</t>
        </is>
      </c>
    </row>
    <row r="250">
      <c r="A250" s="9" t="inlineStr">
        <is>
          <t>D26</t>
        </is>
      </c>
      <c r="B250" s="9" t="inlineStr">
        <is>
          <t>Legacy bug (distribution)</t>
        </is>
      </c>
      <c r="C250" s="9" t="inlineStr">
        <is>
          <t>Low</t>
        </is>
      </c>
      <c r="D250" s="9" t="inlineStr">
        <is>
          <t>Pass-through coefficients one row off</t>
        </is>
      </c>
      <c r="E250" s="10" t="inlineStr">
        <is>
          <t>No</t>
        </is>
      </c>
      <c r="F250" s="9" t="inlineStr">
        <is>
          <t>Fixed</t>
        </is>
      </c>
      <c r="G250" s="9" t="inlineStr">
        <is>
          <t>Every sector gets the coefficient of the next row; power has none.</t>
        </is>
      </c>
      <c r="H250" s="9" t="inlineStr"/>
      <c r="I250" s="9" t="inlineStr">
        <is>
          <t>Fixed (v6.0): coefficient of the sector's own row; power 1.</t>
        </is>
      </c>
      <c r="J250" s="9" t="inlineStr">
        <is>
          <t>Distribution G659:BR659</t>
        </is>
      </c>
      <c r="K250" s="9" t="inlineStr">
        <is>
          <t>Closed</t>
        </is>
      </c>
    </row>
    <row r="251">
      <c r="A251" s="9" t="inlineStr">
        <is>
          <t>D27</t>
        </is>
      </c>
      <c r="B251" s="9" t="inlineStr">
        <is>
          <t>Legacy bug (distribution)</t>
        </is>
      </c>
      <c r="C251" s="9" t="inlineStr">
        <is>
          <t>Low</t>
        </is>
      </c>
      <c r="D251" s="9" t="inlineStr">
        <is>
          <t>MTOutputs outpriin labels do not match their values</t>
        </is>
      </c>
      <c r="E251" s="10" t="inlineStr">
        <is>
          <t>No</t>
        </is>
      </c>
      <c r="F251" s="9" t="inlineStr">
        <is>
          <t>Fixed</t>
        </is>
      </c>
      <c r="G251" s="9" t="inlineStr">
        <is>
          <t>Fixed labels read the sorted rows (outpriin.avi = iron and steel's value).</t>
        </is>
      </c>
      <c r="H251" s="9" t="inlineStr"/>
      <c r="I251" s="9" t="inlineStr">
        <is>
          <t>Fixed (v6.0): outpriin by sector code.</t>
        </is>
      </c>
      <c r="J251" s="9" t="inlineStr">
        <is>
          <t>MTOutputs K1048:L1058</t>
        </is>
      </c>
      <c r="K251" s="9" t="inlineStr">
        <is>
          <t>Closed</t>
        </is>
      </c>
    </row>
    <row r="252">
      <c r="A252" s="9" t="inlineStr">
        <is>
          <t>D28</t>
        </is>
      </c>
      <c r="B252" s="9" t="inlineStr">
        <is>
          <t>Legacy bug (distribution)</t>
        </is>
      </c>
      <c r="C252" s="9" t="inlineStr">
        <is>
          <t>Low</t>
        </is>
      </c>
      <c r="D252" s="9" t="inlineStr">
        <is>
          <t>MTOutputs codes without a dot</t>
        </is>
      </c>
      <c r="E252" s="10" t="inlineStr">
        <is>
          <t>No</t>
        </is>
      </c>
      <c r="F252" s="9" t="inlineStr">
        <is>
          <t>Fixed</t>
        </is>
      </c>
      <c r="G252" s="9" t="inlineStr">
        <is>
          <t>egydistn.cts..., egydistn.rec...</t>
        </is>
      </c>
      <c r="H252" s="9" t="inlineStr"/>
      <c r="I252" s="9" t="inlineStr">
        <is>
          <t>Not replicated: the MVP writes the right codes.</t>
        </is>
      </c>
      <c r="J252" s="9" t="inlineStr">
        <is>
          <t>MTOutputs E1006, E1013</t>
        </is>
      </c>
      <c r="K252" s="9" t="inlineStr">
        <is>
          <t>Closed</t>
        </is>
      </c>
    </row>
    <row r="253">
      <c r="A253" s="9" t="inlineStr">
        <is>
          <t>D29</t>
        </is>
      </c>
      <c r="B253" s="9" t="inlineStr">
        <is>
          <t>Legacy bug (distribution)</t>
        </is>
      </c>
      <c r="C253" s="9" t="inlineStr">
        <is>
          <t>Low</t>
        </is>
      </c>
      <c r="D253" s="9" t="inlineStr">
        <is>
          <t>MTOutputs ppic.fuel empty</t>
        </is>
      </c>
      <c r="E253" s="10" t="inlineStr">
        <is>
          <t>No</t>
        </is>
      </c>
      <c r="F253" s="9" t="inlineStr">
        <is>
          <t>Fixed</t>
        </is>
      </c>
      <c r="G253" s="9" t="inlineStr">
        <is>
          <t>Blank cell.</t>
        </is>
      </c>
      <c r="H253" s="9" t="inlineStr"/>
      <c r="I253" s="9" t="inlineStr">
        <is>
          <t>Fixed (v6.0): the fuel transformation sector is read (0).</t>
        </is>
      </c>
      <c r="J253" s="9" t="inlineStr">
        <is>
          <t>MTOutputs K1046</t>
        </is>
      </c>
      <c r="K253" s="9" t="inlineStr">
        <is>
          <t>Closed</t>
        </is>
      </c>
    </row>
    <row r="254">
      <c r="A254" s="9" t="inlineStr">
        <is>
          <t>D30</t>
        </is>
      </c>
      <c r="B254" s="9" t="inlineStr">
        <is>
          <t>Legacy bug (distribution)</t>
        </is>
      </c>
      <c r="C254" s="9" t="inlineStr">
        <is>
          <t>Low</t>
        </is>
      </c>
      <c r="D254" s="9" t="inlineStr">
        <is>
          <t>Lorenz equality line in 10% steps</t>
        </is>
      </c>
      <c r="E254" s="10" t="inlineStr">
        <is>
          <t>No</t>
        </is>
      </c>
      <c r="F254" s="9" t="inlineStr">
        <is>
          <t>Fixed</t>
        </is>
      </c>
      <c r="G254" s="9" t="inlineStr">
        <is>
          <t>The x-axis is the actual cumulative population share.</t>
        </is>
      </c>
      <c r="H254" s="9" t="inlineStr"/>
      <c r="I254" s="9" t="inlineStr">
        <is>
          <t>Fixed (v6.0): equality line = cumulative population share.</t>
        </is>
      </c>
      <c r="J254" s="9" t="inlineStr">
        <is>
          <t>Distribution rows 2455-2457, 3109</t>
        </is>
      </c>
      <c r="K254" s="9" t="inlineStr">
        <is>
          <t>Closed</t>
        </is>
      </c>
    </row>
    <row r="255">
      <c r="A255" s="9" t="inlineStr">
        <is>
          <t>D31</t>
        </is>
      </c>
      <c r="B255" s="9" t="inlineStr">
        <is>
          <t>Legacy bug (distribution)</t>
        </is>
      </c>
      <c r="C255" s="9" t="inlineStr">
        <is>
          <t>Low</t>
        </is>
      </c>
      <c r="D255" s="9" t="inlineStr">
        <is>
          <t>Absolute overall rows carry wrong codes</t>
        </is>
      </c>
      <c r="E255" s="10" t="inlineStr">
        <is>
          <t>No</t>
        </is>
      </c>
      <c r="F255" s="9" t="inlineStr">
        <is>
          <t>Fixed</t>
        </is>
      </c>
      <c r="G255" s="9" t="inlineStr">
        <is>
          <t>Codes bsh.ely.dec.rur... on overall rows (labels only).</t>
        </is>
      </c>
      <c r="H255" s="9" t="inlineStr"/>
      <c r="I255" s="9" t="inlineStr">
        <is>
          <t>Not replicated: the MVP builds codes from the row ids.</t>
        </is>
      </c>
      <c r="J255" s="9" t="inlineStr">
        <is>
          <t>Distribution L3036:L3043</t>
        </is>
      </c>
      <c r="K255" s="9" t="inlineStr">
        <is>
          <t>Closed</t>
        </is>
      </c>
    </row>
    <row r="256">
      <c r="A256" s="9" t="inlineStr">
        <is>
          <t>DI1</t>
        </is>
      </c>
      <c r="B256" s="9" t="inlineStr">
        <is>
          <t>Issue (distribution)</t>
        </is>
      </c>
      <c r="C256" s="9" t="inlineStr"/>
      <c r="D256" s="9" t="inlineStr">
        <is>
          <t>Spending in the base year</t>
        </is>
      </c>
      <c r="E256" s="11" t="inlineStr">
        <is>
          <t>Yes</t>
        </is>
      </c>
      <c r="F256" s="9" t="inlineStr">
        <is>
          <t>Replicated</t>
        </is>
      </c>
      <c r="G256" s="9" t="inlineStr">
        <is>
          <t>Fuel spending is taken in the base year (legacy: the first calculation year), with the price changes of the analysis year.</t>
        </is>
      </c>
      <c r="H256" s="9" t="inlineStr"/>
      <c r="I256" s="9" t="inlineStr"/>
      <c r="J256" s="9" t="inlineStr">
        <is>
          <t>Distribution_Method_v7_0.md</t>
        </is>
      </c>
      <c r="K256" s="9" t="inlineStr">
        <is>
          <t>Open</t>
        </is>
      </c>
    </row>
    <row r="257">
      <c r="A257" s="9" t="inlineStr">
        <is>
          <t>DI2</t>
        </is>
      </c>
      <c r="B257" s="9" t="inlineStr">
        <is>
          <t>Issue (distribution)</t>
        </is>
      </c>
      <c r="C257" s="9" t="inlineStr"/>
      <c r="D257" s="9" t="inlineStr">
        <is>
          <t>GTAP values converted with the local GDP deflator</t>
        </is>
      </c>
      <c r="E257" s="11" t="inlineStr">
        <is>
          <t>Yes</t>
        </is>
      </c>
      <c r="F257" s="9" t="inlineStr">
        <is>
          <t>Replicated</t>
        </is>
      </c>
      <c r="G257" s="9" t="inlineStr">
        <is>
          <t>The GTAP input-output values are converted with the local GDP deflator (legacy I244).</t>
        </is>
      </c>
      <c r="H257" s="9" t="inlineStr"/>
      <c r="I257" s="9" t="inlineStr"/>
      <c r="J257" s="9" t="inlineStr">
        <is>
          <t>Distribution_Method_v7_0.md</t>
        </is>
      </c>
      <c r="K257" s="9" t="inlineStr">
        <is>
          <t>Open</t>
        </is>
      </c>
    </row>
    <row r="258">
      <c r="A258" s="9" t="inlineStr">
        <is>
          <t>DI3</t>
        </is>
      </c>
      <c r="B258" s="9" t="inlineStr">
        <is>
          <t>Issue (distribution)</t>
        </is>
      </c>
      <c r="C258" s="9" t="inlineStr"/>
      <c r="D258" s="9" t="inlineStr">
        <is>
          <t>Elasticities always overall, mean</t>
        </is>
      </c>
      <c r="E258" s="11" t="inlineStr">
        <is>
          <t>Yes</t>
        </is>
      </c>
      <c r="F258" s="9" t="inlineStr">
        <is>
          <t>Replicated</t>
        </is>
      </c>
      <c r="G258" s="9" t="inlineStr">
        <is>
          <t>The data have no other statistics or samples.</t>
        </is>
      </c>
      <c r="H258" s="9" t="inlineStr"/>
      <c r="I258" s="9" t="inlineStr"/>
      <c r="J258" s="9" t="inlineStr">
        <is>
          <t>Distribution_Method_v7_0.md</t>
        </is>
      </c>
      <c r="K258" s="9" t="inlineStr">
        <is>
          <t>Open</t>
        </is>
      </c>
    </row>
    <row r="259">
      <c r="A259" s="9" t="inlineStr">
        <is>
          <t>DI4</t>
        </is>
      </c>
      <c r="B259" s="9" t="inlineStr">
        <is>
          <t>Issue (distribution)</t>
        </is>
      </c>
      <c r="C259" s="9" t="inlineStr"/>
      <c r="D259" s="9" t="inlineStr">
        <is>
          <t>Recycled amounts per capita from the overall sample</t>
        </is>
      </c>
      <c r="E259" s="11" t="inlineStr">
        <is>
          <t>Yes</t>
        </is>
      </c>
      <c r="F259" s="9" t="inlineStr">
        <is>
          <t>Replicated</t>
        </is>
      </c>
      <c r="G259" s="9" t="inlineStr">
        <is>
          <t>Applied to urban and rural consumption alike.</t>
        </is>
      </c>
      <c r="H259" s="9" t="inlineStr"/>
      <c r="I259" s="9" t="inlineStr"/>
      <c r="J259" s="9" t="inlineStr">
        <is>
          <t>Distribution_Method_v7_0.md</t>
        </is>
      </c>
      <c r="K259" s="9" t="inlineStr">
        <is>
          <t>Open</t>
        </is>
      </c>
    </row>
    <row r="260">
      <c r="A260" s="9" t="inlineStr">
        <is>
          <t>DI5</t>
        </is>
      </c>
      <c r="B260" s="9" t="inlineStr">
        <is>
          <t>Issue (distribution)</t>
        </is>
      </c>
      <c r="C260" s="9" t="inlineStr"/>
      <c r="D260" s="9" t="inlineStr">
        <is>
          <t>Gini from a fitted Lorenz curve</t>
        </is>
      </c>
      <c r="E260" s="11" t="inlineStr">
        <is>
          <t>Yes</t>
        </is>
      </c>
      <c r="F260" s="9" t="inlineStr">
        <is>
          <t>Replicated</t>
        </is>
      </c>
      <c r="G260" s="9" t="inlineStr">
        <is>
          <t>The Gini comes from the fitted curve, not the trapezoid rule.</t>
        </is>
      </c>
      <c r="H260" s="9" t="inlineStr"/>
      <c r="I260" s="9" t="inlineStr"/>
      <c r="J260" s="9" t="inlineStr">
        <is>
          <t>Distribution_Method_v7_0.md</t>
        </is>
      </c>
      <c r="K260" s="9" t="inlineStr">
        <is>
          <t>Open</t>
        </is>
      </c>
    </row>
    <row r="261">
      <c r="A261" s="9" t="inlineStr">
        <is>
          <t>DI6</t>
        </is>
      </c>
      <c r="B261" s="9" t="inlineStr">
        <is>
          <t>Issue (distribution)</t>
        </is>
      </c>
      <c r="C261" s="9" t="inlineStr"/>
      <c r="D261" s="9" t="inlineStr">
        <is>
          <t>Carbon-pricing revenue stands for the revenue to recycle</t>
        </is>
      </c>
      <c r="E261" s="11" t="inlineStr">
        <is>
          <t>Yes</t>
        </is>
      </c>
      <c r="F261" s="9" t="inlineStr">
        <is>
          <t>Replicated</t>
        </is>
      </c>
      <c r="G261" s="9" t="inlineStr">
        <is>
          <t>Revenue from new policies (rnew: carbon tax, VAT on it, auctioned ETS) is the revenue recycled, as legacy's carbon-pricing revenue.</t>
        </is>
      </c>
      <c r="H261" s="9" t="inlineStr"/>
      <c r="I261" s="9" t="inlineStr"/>
      <c r="J261" s="9" t="inlineStr">
        <is>
          <t>Distribution_Method_v7_0.md</t>
        </is>
      </c>
      <c r="K261" s="9" t="inlineStr">
        <is>
          <t>Open</t>
        </is>
      </c>
    </row>
    <row r="262">
      <c r="A262" s="9" t="inlineStr">
        <is>
          <t>DI7</t>
        </is>
      </c>
      <c r="B262" s="9" t="inlineStr">
        <is>
          <t>Issue (distribution)</t>
        </is>
      </c>
      <c r="C262" s="9" t="inlineStr"/>
      <c r="D262" s="9" t="inlineStr">
        <is>
          <t>ASPIRE-targeted transfers (TransferType other than Cash)</t>
        </is>
      </c>
      <c r="E262" s="11" t="inlineStr">
        <is>
          <t>Yes</t>
        </is>
      </c>
      <c r="F262" s="9" t="inlineStr">
        <is>
          <t>Replicated (v6.0)</t>
        </is>
      </c>
      <c r="G262" s="9" t="inlineStr">
        <is>
          <t>Modelled v6.0: the transfer follows the program's incidence by quintile (legacy rows 2617-2629; bugs D10-D12 fixed).</t>
        </is>
      </c>
      <c r="H262" s="9" t="inlineStr"/>
      <c r="I262" s="9" t="inlineStr"/>
      <c r="J262" s="9" t="inlineStr">
        <is>
          <t>Distribution_Method_v7_0.md</t>
        </is>
      </c>
      <c r="K262" s="9" t="inlineStr">
        <is>
          <t>Open</t>
        </is>
      </c>
    </row>
    <row r="263">
      <c r="A263" s="9" t="inlineStr">
        <is>
          <t>DI8</t>
        </is>
      </c>
      <c r="B263" s="9" t="inlineStr">
        <is>
          <t>Issue (distribution)</t>
        </is>
      </c>
      <c r="C263" s="9" t="inlineStr"/>
      <c r="D263" s="9" t="inlineStr">
        <is>
          <t>Poverty-line targeting (TargetBelow, with Cash only)</t>
        </is>
      </c>
      <c r="E263" s="11" t="inlineStr">
        <is>
          <t>Yes</t>
        </is>
      </c>
      <c r="F263" s="9" t="inlineStr">
        <is>
          <t>Replicated (v6.0)</t>
        </is>
      </c>
      <c r="G263" s="9" t="inlineStr">
        <is>
          <t>Modelled v6.0: the transfer weights each decile by its share below the line (HHSurvey pct_belowpl_*, mean as legacy; bugs D14-D16).</t>
        </is>
      </c>
      <c r="H263" s="9" t="inlineStr"/>
      <c r="I263" s="9" t="inlineStr"/>
      <c r="J263" s="9" t="inlineStr">
        <is>
          <t>Distribution_Method_v7_0.md</t>
        </is>
      </c>
      <c r="K263" s="9" t="inlineStr">
        <is>
          <t>Open</t>
        </is>
      </c>
    </row>
    <row r="264">
      <c r="A264" s="9" t="inlineStr">
        <is>
          <t>DI9</t>
        </is>
      </c>
      <c r="B264" s="9" t="inlineStr">
        <is>
          <t>Issue (distribution)</t>
        </is>
      </c>
      <c r="C264" s="9" t="inlineStr"/>
      <c r="D264" s="9" t="inlineStr">
        <is>
          <t>Pass-through switch wired into the production-sector prices only</t>
        </is>
      </c>
      <c r="E264" s="11" t="inlineStr">
        <is>
          <t>Yes</t>
        </is>
      </c>
      <c r="F264" s="9" t="inlineStr">
        <is>
          <t>Replicated (v6.0)</t>
        </is>
      </c>
      <c r="G264" s="9" t="inlineStr">
        <is>
          <t>PassthroughDist scales the sector price changes (legacy D.VI, bug D26 fixed), not the household effects, as legacy.</t>
        </is>
      </c>
      <c r="H264" s="9" t="inlineStr"/>
      <c r="I264" s="9" t="inlineStr"/>
      <c r="J264" s="9" t="inlineStr">
        <is>
          <t>Distribution_Method_v7_0.md</t>
        </is>
      </c>
      <c r="K264" s="9" t="inlineStr">
        <is>
          <t>Open</t>
        </is>
      </c>
    </row>
    <row r="265">
      <c r="A265" s="9" t="inlineStr">
        <is>
          <t>DI10</t>
        </is>
      </c>
      <c r="B265" s="9" t="inlineStr">
        <is>
          <t>Issue (distribution)</t>
        </is>
      </c>
      <c r="C265" s="9" t="inlineStr"/>
      <c r="D265" s="9" t="inlineStr">
        <is>
          <t>Median statistic: the targeted transfer only reaches deciles where more than half receive</t>
        </is>
      </c>
      <c r="E265" s="11" t="inlineStr">
        <is>
          <t>Yes</t>
        </is>
      </c>
      <c r="F265" s="9" t="inlineStr">
        <is>
          <t>Replicated (v6.0)</t>
        </is>
      </c>
      <c r="G265" s="9" t="inlineStr">
        <is>
          <t>Modelled v6.0 (legacy row 2685): the money not paid is not redistributed, as legacy.</t>
        </is>
      </c>
      <c r="H265" s="9" t="inlineStr"/>
      <c r="I265" s="9" t="inlineStr"/>
      <c r="J265" s="9" t="inlineStr">
        <is>
          <t>Distribution_Method_v7_0.md</t>
        </is>
      </c>
      <c r="K265" s="9" t="inlineStr">
        <is>
          <t>Open</t>
        </is>
      </c>
    </row>
    <row r="266">
      <c r="A266" s="9" t="inlineStr">
        <is>
          <t>M1</t>
        </is>
      </c>
      <c r="B266" s="9" t="inlineStr">
        <is>
          <t>Prototype bug</t>
        </is>
      </c>
      <c r="C266" s="9" t="inlineStr"/>
      <c r="D266" s="9" t="inlineStr">
        <is>
          <t>Version-log rows rewritten with the current version</t>
        </is>
      </c>
      <c r="E266" s="12" t="inlineStr">
        <is>
          <t>n/a</t>
        </is>
      </c>
      <c r="F266" s="9" t="inlineStr">
        <is>
          <t>Fixed</t>
        </is>
      </c>
      <c r="G266" s="9" t="inlineStr">
        <is>
          <t>The builders wrote earlier version-log rows with the current version number.</t>
        </is>
      </c>
      <c r="H266" s="9" t="inlineStr"/>
      <c r="I266" s="9" t="inlineStr">
        <is>
          <t>Each row has its own version; old workbooks left as shipped.</t>
        </is>
      </c>
      <c r="J266" s="9" t="inlineStr">
        <is>
          <t>prototype v0.3-v0.4 / v0.5</t>
        </is>
      </c>
      <c r="K266" s="9" t="inlineStr">
        <is>
          <t>Closed</t>
        </is>
      </c>
    </row>
    <row r="267">
      <c r="A267" s="9" t="inlineStr">
        <is>
          <t>M2</t>
        </is>
      </c>
      <c r="B267" s="9" t="inlineStr">
        <is>
          <t>Prototype bug</t>
        </is>
      </c>
      <c r="C267" s="9" t="inlineStr"/>
      <c r="D267" s="9" t="inlineStr">
        <is>
          <t>Power: VAT left out on the policy term</t>
        </is>
      </c>
      <c r="E267" s="12" t="inlineStr">
        <is>
          <t>n/a</t>
        </is>
      </c>
      <c r="F267" s="9" t="inlineStr">
        <is>
          <t>Fixed</t>
        </is>
      </c>
      <c r="G267" s="9" t="inlineStr">
        <is>
          <t>The end-user price added the policy cost without VAT; legacy row 3614 charges VAT.</t>
        </is>
      </c>
      <c r="H267" s="9" t="inlineStr"/>
      <c r="I267" s="9" t="inlineStr">
        <is>
          <t>VAT on the policy term as legacy (no effect for Egypt, VAT 0).</t>
        </is>
      </c>
      <c r="J267" s="9" t="inlineStr">
        <is>
          <t>prototype v1.05 / v1.06</t>
        </is>
      </c>
      <c r="K267" s="9" t="inlineStr">
        <is>
          <t>Closed</t>
        </is>
      </c>
    </row>
    <row r="268">
      <c r="A268" s="9" t="inlineStr">
        <is>
          <t>M3</t>
        </is>
      </c>
      <c r="B268" s="9" t="inlineStr">
        <is>
          <t>Prototype bug</t>
        </is>
      </c>
      <c r="C268" s="9" t="inlineStr"/>
      <c r="D268" s="9" t="inlineStr">
        <is>
          <t>Power: long-term storage allocation left out</t>
        </is>
      </c>
      <c r="E268" s="12" t="inlineStr">
        <is>
          <t>n/a</t>
        </is>
      </c>
      <c r="F268" s="9" t="inlineStr">
        <is>
          <t>Fixed</t>
        </is>
      </c>
      <c r="G268" s="9" t="inlineStr">
        <is>
          <t>The legacy note "incomplete" was read as "not applied".</t>
        </is>
      </c>
      <c r="H268" s="9" t="inlineStr"/>
      <c r="I268" s="9" t="inlineStr">
        <is>
          <t>The 33% allocation is applied once.</t>
        </is>
      </c>
      <c r="J268" s="9" t="inlineStr">
        <is>
          <t>prototype v1.05 / v1.06</t>
        </is>
      </c>
      <c r="K268" s="9" t="inlineStr">
        <is>
          <t>Closed</t>
        </is>
      </c>
    </row>
    <row r="269">
      <c r="A269" s="9" t="inlineStr">
        <is>
          <t>M4</t>
        </is>
      </c>
      <c r="B269" s="9" t="inlineStr">
        <is>
          <t>Prototype bug</t>
        </is>
      </c>
      <c r="C269" s="9" t="inlineStr"/>
      <c r="D269" s="9" t="inlineStr">
        <is>
          <t>Power: VRE share without other renewables</t>
        </is>
      </c>
      <c r="E269" s="12" t="inlineStr">
        <is>
          <t>n/a</t>
        </is>
      </c>
      <c r="F269" s="9" t="inlineStr">
        <is>
          <t>Fixed</t>
        </is>
      </c>
      <c r="G269" s="9" t="inlineStr">
        <is>
          <t>Legacy row 3851 also counts other renewables.</t>
        </is>
      </c>
      <c r="H269" s="9" t="inlineStr"/>
      <c r="I269" s="9" t="inlineStr">
        <is>
          <t>Follows legacy (other renewables 0 for Egypt).</t>
        </is>
      </c>
      <c r="J269" s="9" t="inlineStr">
        <is>
          <t>prototype v1.05 / v1.06</t>
        </is>
      </c>
      <c r="K269" s="9" t="inlineStr">
        <is>
          <t>Closed</t>
        </is>
      </c>
    </row>
    <row r="270">
      <c r="A270" s="9" t="inlineStr">
        <is>
          <t>M5</t>
        </is>
      </c>
      <c r="B270" s="9" t="inlineStr">
        <is>
          <t>Prototype bug</t>
        </is>
      </c>
      <c r="C270" s="9" t="inlineStr"/>
      <c r="D270" s="9" t="inlineStr">
        <is>
          <t>Defined name clashed with a LAMBDA name</t>
        </is>
      </c>
      <c r="E270" s="12" t="inlineStr">
        <is>
          <t>n/a</t>
        </is>
      </c>
      <c r="F270" s="9" t="inlineStr">
        <is>
          <t>Fixed</t>
        </is>
      </c>
      <c r="G270" s="9" t="inlineStr">
        <is>
          <t>The defined name ETSSemi equals the LAMBDA ETSSEMI ignoring case and gave #NAME?; the ETS goal seek stopped converging.</t>
        </is>
      </c>
      <c r="H270" s="9" t="inlineStr"/>
      <c r="I270" s="9" t="inlineStr">
        <is>
          <t>Renamed SemiEl; the builder asserts that no defined name equals a LAMBDA name.</t>
        </is>
      </c>
      <c r="J270" s="9" t="inlineStr">
        <is>
          <t>prototype v1.07 build / v1.07</t>
        </is>
      </c>
      <c r="K270" s="9" t="inlineStr">
        <is>
          <t>Closed</t>
        </is>
      </c>
    </row>
    <row r="271">
      <c r="A271" s="9" t="inlineStr">
        <is>
          <t>M6</t>
        </is>
      </c>
      <c r="B271" s="9" t="inlineStr">
        <is>
          <t>Prototype bug</t>
        </is>
      </c>
      <c r="C271" s="9" t="inlineStr"/>
      <c r="D271" s="9" t="inlineStr">
        <is>
          <t>Power ETS revenue valued at the tax-equivalent price</t>
        </is>
      </c>
      <c r="E271" s="12" t="inlineStr">
        <is>
          <t>n/a</t>
        </is>
      </c>
      <c r="F271" s="9" t="inlineStr">
        <is>
          <t>Fixed</t>
        </is>
      </c>
      <c r="G271" s="9" t="inlineStr">
        <is>
          <t>Power new-policy revenue (ccpav x consumption) valued the ETS at the tax-equivalent price, about 10% high at Medium volatility.</t>
        </is>
      </c>
      <c r="H271" s="9" t="inlineStr"/>
      <c r="I271" s="9" t="inlineStr">
        <is>
          <t>Revenue by generation type (prnew) with the ETS at the permit price; rcarb kept as a memo.</t>
        </is>
      </c>
      <c r="J271" s="9" t="inlineStr">
        <is>
          <t>prototype v1.05 / v1.09</t>
        </is>
      </c>
      <c r="K271" s="9" t="inlineStr">
        <is>
          <t>Closed</t>
        </is>
      </c>
    </row>
    <row r="272">
      <c r="A272" s="9" t="inlineStr">
        <is>
          <t>M7</t>
        </is>
      </c>
      <c r="B272" s="9" t="inlineStr">
        <is>
          <t>Prototype bug</t>
        </is>
      </c>
      <c r="C272" s="9" t="inlineStr"/>
      <c r="D272" s="9" t="inlineStr">
        <is>
          <t>Stale texts in the workbook and notes</t>
        </is>
      </c>
      <c r="E272" s="12" t="inlineStr">
        <is>
          <t>n/a</t>
        </is>
      </c>
      <c r="F272" s="9" t="inlineStr">
        <is>
          <t>Fixed</t>
        </is>
      </c>
      <c r="G272" s="9" t="inlineStr">
        <is>
          <t>Section 12 and 13 notes said power was not included; PowerPaths said interim data; data sheets named old extractors; method notes described earlier versions.</t>
        </is>
      </c>
      <c r="H272" s="9" t="inlineStr"/>
      <c r="I272" s="9" t="inlineStr">
        <is>
          <t>Texts updated; the check now scans the workbook texts for stale statements and missing file references.</t>
        </is>
      </c>
      <c r="J272" s="9" t="inlineStr">
        <is>
          <t>prototype v1.08 / v1.09</t>
        </is>
      </c>
      <c r="K272" s="9" t="inlineStr">
        <is>
          <t>Closed</t>
        </is>
      </c>
    </row>
    <row r="273">
      <c r="A273" s="9" t="inlineStr">
        <is>
          <t>M8</t>
        </is>
      </c>
      <c r="B273" s="9" t="inlineStr">
        <is>
          <t>Prototype bug</t>
        </is>
      </c>
      <c r="C273" s="9" t="inlineStr"/>
      <c r="D273" s="9" t="inlineStr">
        <is>
          <t>LegacyDiff rows out of date</t>
        </is>
      </c>
      <c r="E273" s="12" t="inlineStr">
        <is>
          <t>n/a</t>
        </is>
      </c>
      <c r="F273" s="9" t="inlineStr">
        <is>
          <t>Fixed</t>
        </is>
      </c>
      <c r="G273" s="9" t="inlineStr">
        <is>
          <t>Existing carbon pricing was still listed as "Not modelled"; the formula-structure row described the LAMBDA right column of v1.07.</t>
        </is>
      </c>
      <c r="H273" s="9" t="inlineStr"/>
      <c r="I273" s="9" t="inlineStr">
        <is>
          <t>Rows updated; the check scans for these phrases.</t>
        </is>
      </c>
      <c r="J273" s="9" t="inlineStr">
        <is>
          <t>prototype v1.09 / v2.2</t>
        </is>
      </c>
      <c r="K273" s="9" t="inlineStr">
        <is>
          <t>Closed</t>
        </is>
      </c>
    </row>
    <row r="274">
      <c r="A274" s="9" t="inlineStr">
        <is>
          <t>M9</t>
        </is>
      </c>
      <c r="B274" s="9" t="inlineStr">
        <is>
          <t>Prototype bug</t>
        </is>
      </c>
      <c r="C274" s="9" t="inlineStr"/>
      <c r="D274" s="9" t="inlineStr">
        <is>
          <t>Legacy comparison note from v1.01</t>
        </is>
      </c>
      <c r="E274" s="12" t="inlineStr">
        <is>
          <t>n/a</t>
        </is>
      </c>
      <c r="F274" s="9" t="inlineStr">
        <is>
          <t>Fixed</t>
        </is>
      </c>
      <c r="G274" s="9" t="inlineStr">
        <is>
          <t>legacy_comparison described the v1.01 baseline and its script wrote a different file name.</t>
        </is>
      </c>
      <c r="H274" s="9" t="inlineStr"/>
      <c r="I274" s="9" t="inlineStr">
        <is>
          <t>Re-run on v2.2 (legacy_comparison_v6_4.md).</t>
        </is>
      </c>
      <c r="J274" s="9" t="inlineStr">
        <is>
          <t>prototype v1.02-v1.09 / v2.2</t>
        </is>
      </c>
      <c r="K274" s="9" t="inlineStr">
        <is>
          <t>Closed</t>
        </is>
      </c>
    </row>
    <row r="275">
      <c r="A275" s="9" t="inlineStr">
        <is>
          <t>M10</t>
        </is>
      </c>
      <c r="B275" s="9" t="inlineStr">
        <is>
          <t>Prototype bug</t>
        </is>
      </c>
      <c r="C275" s="9" t="inlineStr"/>
      <c r="D275" s="9" t="inlineStr">
        <is>
          <t>Total rows labelled "All subsectors"</t>
        </is>
      </c>
      <c r="E275" s="12" t="inlineStr">
        <is>
          <t>n/a</t>
        </is>
      </c>
      <c r="F275" s="9" t="inlineStr">
        <is>
          <t>Fixed</t>
        </is>
      </c>
      <c r="G275" s="9" t="inlineStr">
        <is>
          <t>Since v1.09 the totals (fuel use, CO2, revenues) include power, but the label of the sector code all still said "All subsectors".</t>
        </is>
      </c>
      <c r="H275" s="9" t="inlineStr"/>
      <c r="I275" s="9" t="inlineStr">
        <is>
          <t>Label "All sectors".</t>
        </is>
      </c>
      <c r="J275" s="9" t="inlineStr">
        <is>
          <t>prototype v1.09 / v2.3</t>
        </is>
      </c>
      <c r="K275" s="9" t="inlineStr">
        <is>
          <t>Closed</t>
        </is>
      </c>
    </row>
    <row r="276">
      <c r="A276" s="9" t="inlineStr">
        <is>
          <t>M11</t>
        </is>
      </c>
      <c r="B276" s="9" t="inlineStr">
        <is>
          <t>Prototype bug</t>
        </is>
      </c>
      <c r="C276" s="9" t="inlineStr"/>
      <c r="D276" s="9" t="inlineStr">
        <is>
          <t>Macros read 19 year columns</t>
        </is>
      </c>
      <c r="E276" s="12" t="inlineStr">
        <is>
          <t>n/a</t>
        </is>
      </c>
      <c r="F276" s="9" t="inlineStr">
        <is>
          <t>Fixed</t>
        </is>
      </c>
      <c r="G276" s="9" t="inlineStr">
        <is>
          <t>The VBA module had the number of years (NYEARS = 19, 2022-2040) as a constant; with the horizon to 2041 the batch run and CheckBatchRun would have stored and compared one year too few (found by the check).</t>
        </is>
      </c>
      <c r="H276" s="9" t="inlineStr"/>
      <c r="I276" s="9" t="inlineStr">
        <is>
          <t>NYEARS = 20; the builder now asserts that it equals the number of model years.</t>
        </is>
      </c>
      <c r="J276" s="9" t="inlineStr">
        <is>
          <t>prototype v2.3 build / v2.3</t>
        </is>
      </c>
      <c r="K276" s="9" t="inlineStr">
        <is>
          <t>Closed</t>
        </is>
      </c>
    </row>
    <row r="277">
      <c r="A277" s="9" t="inlineStr">
        <is>
          <t>M12</t>
        </is>
      </c>
      <c r="B277" s="9" t="inlineStr">
        <is>
          <t>Prototype bug</t>
        </is>
      </c>
      <c r="C277" s="9" t="inlineStr"/>
      <c r="D277" s="9" t="inlineStr">
        <is>
          <t>Sheet Lambdas: formula texts named merged sheets</t>
        </is>
      </c>
      <c r="E277" s="12" t="inlineStr">
        <is>
          <t>n/a</t>
        </is>
      </c>
      <c r="F277" s="9" t="inlineStr">
        <is>
          <t>Fixed</t>
        </is>
      </c>
      <c r="G277" s="9" t="inlineStr">
        <is>
          <t>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H277" s="9" t="inlineStr"/>
      <c r="I277" s="9" t="inlineStr">
        <is>
          <t>merge_tabs re-points the texts too; the full check copies them over every row (variant B).</t>
        </is>
      </c>
      <c r="J277" s="9" t="inlineStr">
        <is>
          <t>prototype v3.6 / v3.13</t>
        </is>
      </c>
      <c r="K277" s="9" t="inlineStr">
        <is>
          <t>Closed</t>
        </is>
      </c>
    </row>
    <row r="278">
      <c r="A278" s="9" t="inlineStr">
        <is>
          <t>M13</t>
        </is>
      </c>
      <c r="B278" s="9" t="inlineStr">
        <is>
          <t>Prototype bug</t>
        </is>
      </c>
      <c r="C278" s="9" t="inlineStr"/>
      <c r="D278" s="9" t="inlineStr">
        <is>
          <t>Road vehicle feebate counted the carbon price twice</t>
        </is>
      </c>
      <c r="E278" s="12" t="inlineStr">
        <is>
          <t>n/a</t>
        </is>
      </c>
      <c r="F278" s="9" t="inlineStr">
        <is>
          <t>Fixed</t>
        </is>
      </c>
      <c r="G278" s="9" t="inlineStr">
        <is>
          <t>The vehicle feebate rate of the engineer road model added the carbon price x road feebate share in every policy scenario, although the carbon tax is in the fuel price already (legacy adds the shadow carbon price, 0 under explicit pricing).</t>
        </is>
      </c>
      <c r="H278" s="9" t="inlineStr"/>
      <c r="I278" s="9" t="inlineStr">
        <is>
          <t>The road regulation shadow price (reg.rod) replaces it; 0 under explicit pricing.</t>
        </is>
      </c>
      <c r="J278" s="9" t="inlineStr">
        <is>
          <t>prototype v3.5 / v4.16</t>
        </is>
      </c>
      <c r="K278" s="9" t="inlineStr">
        <is>
          <t>Closed</t>
        </is>
      </c>
    </row>
    <row r="279">
      <c r="A279" s="9" t="inlineStr">
        <is>
          <t>M14</t>
        </is>
      </c>
      <c r="B279" s="9" t="inlineStr">
        <is>
          <t>Prototype bug</t>
        </is>
      </c>
      <c r="C279" s="9" t="inlineStr"/>
      <c r="D279" s="9" t="inlineStr">
        <is>
          <t>LAMBDA library texts named a merged-away sheet</t>
        </is>
      </c>
      <c r="E279" s="12" t="inlineStr">
        <is>
          <t>n/a</t>
        </is>
      </c>
      <c r="F279" s="9" t="inlineStr">
        <is>
          <t>Fixed</t>
        </is>
      </c>
      <c r="G279" s="9" t="inlineStr">
        <is>
          <t>The 21 LAMBDA-library texts of the power pollutant rows (sheet Lambdas, column C) still named the sheet Inputs_power: the v3.13 fix (M12) re-pointed the texts only on sheets that stay in place, and Lambdas is an appended block since v4.2; pasted, they gave #NAME?.</t>
        </is>
      </c>
      <c r="H279" s="9" t="inlineStr"/>
      <c r="I279" s="9" t="inlineStr">
        <is>
          <t>merge_tabs re-points the Lambdas texts of an appended block too (host Mitigation); the full check lists any text naming a merged-away sheet.</t>
        </is>
      </c>
      <c r="J279" s="9" t="inlineStr">
        <is>
          <t>prototype v4.2 / v5.3</t>
        </is>
      </c>
      <c r="K279" s="9" t="inlineStr">
        <is>
          <t>Closed</t>
        </is>
      </c>
    </row>
  </sheetData>
  <autoFilter ref="A3:K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2026-10-21T10:59:36Z</dcterms:created>
  <dcterms:modified xmlns:dcterms="http://purl.org/dc/terms/" xmlns:xsi="http://www.w3.org/2001/XMLSchema-instance" xsi:type="dcterms:W3CDTF">2026-10-21T10:59:36Z</dcterms:modified>
</cp:coreProperties>
</file>