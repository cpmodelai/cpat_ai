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worldbankgroup-my.sharepoint.com/personal/dheine_worldbank_org/Documents/CPAT/CPAT versions/CPAT 1.0 beta versions/Test, issues data and processes/"/>
    </mc:Choice>
  </mc:AlternateContent>
  <xr:revisionPtr revIDLastSave="497" documentId="8_{CAE4A327-FE9F-4DF7-956C-EBCC060576C5}" xr6:coauthVersionLast="47" xr6:coauthVersionMax="47" xr10:uidLastSave="{3F66CB8E-5F25-45D7-B3C9-B5E9D44B55EC}"/>
  <bookViews>
    <workbookView xWindow="-120" yWindow="-120" windowWidth="29040" windowHeight="15840" firstSheet="25" activeTab="26" xr2:uid="{4E8C79A4-1342-430B-8C30-1335CABEC27E}"/>
  </bookViews>
  <sheets>
    <sheet name="Cover" sheetId="58" r:id="rId1"/>
    <sheet name="Processes&gt;&gt;&gt;" sheetId="20" r:id="rId2"/>
    <sheet name="MitigationProcesses" sheetId="42" r:id="rId3"/>
    <sheet name="Repos" sheetId="59" r:id="rId4"/>
    <sheet name="DataTables" sheetId="41" r:id="rId5"/>
    <sheet name="DataSources" sheetId="35" r:id="rId6"/>
    <sheet name="PowerDataSources" sheetId="25" r:id="rId7"/>
    <sheet name="MacroData" sheetId="33" r:id="rId8"/>
    <sheet name="Scripts" sheetId="40" r:id="rId9"/>
    <sheet name="Defaults&gt;&gt;" sheetId="48" r:id="rId10"/>
    <sheet name="GenSettings" sheetId="29" r:id="rId11"/>
    <sheet name="EmSettings" sheetId="30" r:id="rId12"/>
    <sheet name="PowerSettings" sheetId="34" r:id="rId13"/>
    <sheet name="MainDefaults" sheetId="36" r:id="rId14"/>
    <sheet name="CompFuels" sheetId="21" r:id="rId15"/>
    <sheet name="EmissionFactorsCountry" sheetId="50" r:id="rId16"/>
    <sheet name="Elasticity" sheetId="22" r:id="rId17"/>
    <sheet name="WACC" sheetId="26" r:id="rId18"/>
    <sheet name="LCOE" sheetId="24" r:id="rId19"/>
    <sheet name="Construc" sheetId="31" r:id="rId20"/>
    <sheet name="LR" sheetId="32" r:id="rId21"/>
    <sheet name="Variables_01" sheetId="39" r:id="rId22"/>
    <sheet name="JSON-eg1" sheetId="46" r:id="rId23"/>
    <sheet name="CodesAndLookups&gt;&gt;" sheetId="1" r:id="rId24"/>
    <sheet name="CountryCode" sheetId="5" r:id="rId25"/>
    <sheet name="Tab" sheetId="16" r:id="rId26"/>
    <sheet name="Variables" sheetId="19" r:id="rId27"/>
    <sheet name="FuelType" sheetId="2" r:id="rId28"/>
    <sheet name="UNFCCSector" sheetId="28" r:id="rId29"/>
    <sheet name="Sector" sheetId="4" r:id="rId30"/>
    <sheet name="Submodel" sheetId="17" r:id="rId31"/>
    <sheet name="Pollutant" sheetId="10" r:id="rId32"/>
    <sheet name="Unit" sheetId="13" r:id="rId33"/>
    <sheet name="Policy" sheetId="8" r:id="rId34"/>
    <sheet name="Year" sheetId="6" r:id="rId35"/>
    <sheet name="EFCompleting" sheetId="51" r:id="rId36"/>
    <sheet name="FlowSectorGroupMapEC" sheetId="56" r:id="rId37"/>
    <sheet name="FlowSectorMapFilterEB" sheetId="57" r:id="rId38"/>
  </sheets>
  <definedNames>
    <definedName name="_xlnm._FilterDatabase" localSheetId="24" hidden="1">CountryCode!$A$1:$F$223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46" l="1"/>
  <c r="J14" i="46" s="1"/>
  <c r="J15" i="46" s="1"/>
  <c r="J16" i="46" s="1"/>
  <c r="J17" i="46" s="1"/>
  <c r="J18" i="46" s="1"/>
  <c r="J19" i="46" s="1"/>
  <c r="J20" i="46" s="1"/>
  <c r="J21" i="46" s="1"/>
  <c r="J22" i="46" s="1"/>
  <c r="J23" i="46" s="1"/>
  <c r="J24" i="46" s="1"/>
  <c r="I13" i="46"/>
  <c r="I14" i="46" s="1"/>
  <c r="I15" i="46" s="1"/>
  <c r="I16" i="46" s="1"/>
  <c r="I17" i="46" s="1"/>
  <c r="I18" i="46" s="1"/>
  <c r="I19" i="46" s="1"/>
  <c r="I20" i="46" s="1"/>
  <c r="I21" i="46" s="1"/>
  <c r="I22" i="46" s="1"/>
  <c r="I23" i="46" s="1"/>
  <c r="I24" i="46" s="1"/>
  <c r="H13" i="46"/>
  <c r="H14" i="46" s="1"/>
  <c r="H15" i="46" s="1"/>
  <c r="H16" i="46" s="1"/>
  <c r="H17" i="46" s="1"/>
  <c r="H18" i="46" s="1"/>
  <c r="H19" i="46" s="1"/>
  <c r="H20" i="46" s="1"/>
  <c r="H21" i="46" s="1"/>
  <c r="H22" i="46" s="1"/>
  <c r="H23" i="46" s="1"/>
  <c r="H24" i="46" s="1"/>
  <c r="G13" i="46"/>
  <c r="G14" i="46" s="1"/>
  <c r="G15" i="46" s="1"/>
  <c r="G16" i="46" s="1"/>
  <c r="G17" i="46" s="1"/>
  <c r="G18" i="46" s="1"/>
  <c r="G19" i="46" s="1"/>
  <c r="G20" i="46" s="1"/>
  <c r="G21" i="46" s="1"/>
  <c r="G22" i="46" s="1"/>
  <c r="G23" i="46" s="1"/>
  <c r="G24" i="46" s="1"/>
  <c r="E12" i="46"/>
  <c r="J9" i="46"/>
  <c r="I9" i="46"/>
  <c r="H9" i="46"/>
  <c r="G9" i="46"/>
  <c r="I163" i="39"/>
  <c r="I159" i="39"/>
  <c r="I156" i="39"/>
  <c r="I151" i="39"/>
  <c r="I144" i="39"/>
  <c r="I143" i="39"/>
  <c r="I142" i="39"/>
  <c r="I141" i="39"/>
  <c r="I140" i="39"/>
  <c r="I139" i="39"/>
  <c r="I32" i="39"/>
  <c r="I31" i="39"/>
  <c r="I29" i="39"/>
  <c r="I28" i="39"/>
  <c r="I27" i="39"/>
  <c r="L12" i="4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 John Stretton</author>
  </authors>
  <commentList>
    <comment ref="A1" authorId="0" shapeId="0" xr:uid="{D2D82E04-90E3-40C4-A08D-E4BC5B32E830}">
      <text>
        <r>
          <rPr>
            <b/>
            <sz val="9"/>
            <color indexed="81"/>
            <rFont val="Tahoma"/>
            <family val="2"/>
          </rPr>
          <t>See CPAT itself for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Esteban Bastidas Cordova</author>
  </authors>
  <commentList>
    <comment ref="A1" authorId="0" shapeId="0" xr:uid="{9137CCBA-BBA2-465B-901C-109CC5265755}">
      <text>
        <r>
          <rPr>
            <b/>
            <sz val="9"/>
            <color indexed="81"/>
            <rFont val="Tahoma"/>
            <family val="2"/>
          </rPr>
          <t>Daniel Esteban Bastidas Cordova:</t>
        </r>
        <r>
          <rPr>
            <sz val="9"/>
            <color indexed="81"/>
            <rFont val="Tahoma"/>
            <family val="2"/>
          </rPr>
          <t xml:space="preserve">
Comment on table use and purpose</t>
        </r>
      </text>
    </comment>
  </commentList>
</comments>
</file>

<file path=xl/sharedStrings.xml><?xml version="1.0" encoding="utf-8"?>
<sst xmlns="http://schemas.openxmlformats.org/spreadsheetml/2006/main" count="21353" uniqueCount="3038">
  <si>
    <t>Codes in CPAT</t>
  </si>
  <si>
    <t xml:space="preserve">This document summarises the codes used in CPAT  </t>
  </si>
  <si>
    <t>The Codes in CPAT have the following format ('other' varies by context - can mean pollutant in ap module or submodel in mitigation module)</t>
  </si>
  <si>
    <t>Country.Tab.Variable.Sector.FuelType.Other.SubScenNo</t>
  </si>
  <si>
    <t>Link within this xls</t>
  </si>
  <si>
    <t>CodeName</t>
  </si>
  <si>
    <t>Type</t>
  </si>
  <si>
    <t>In CPAT Code? (if needed). Position.</t>
  </si>
  <si>
    <t>Format of variable</t>
  </si>
  <si>
    <t>Example</t>
  </si>
  <si>
    <t>CountryCode</t>
  </si>
  <si>
    <t>Categorization</t>
  </si>
  <si>
    <t>Yes, Position 1</t>
  </si>
  <si>
    <t>ISO 3 letter code (lower case),</t>
  </si>
  <si>
    <t>e.g “usa”</t>
  </si>
  <si>
    <t>CPAT Module</t>
  </si>
  <si>
    <t>Tab</t>
  </si>
  <si>
    <t>Module</t>
  </si>
  <si>
    <t>Yes, Position 2</t>
  </si>
  <si>
    <t>CPAT 3 letter code (lower)</t>
  </si>
  <si>
    <t>e.g. “mit” = mitigation</t>
  </si>
  <si>
    <t>Variable</t>
  </si>
  <si>
    <t>Yes, Position 3</t>
  </si>
  <si>
    <t>CPAT code (lower)</t>
  </si>
  <si>
    <t>e.g. “rp” = retail price</t>
  </si>
  <si>
    <t>Unit</t>
  </si>
  <si>
    <t>MetaData</t>
  </si>
  <si>
    <t>Usually implicit as the variable comes with a unique type. Otherwise add to variable name</t>
  </si>
  <si>
    <t>Elec_toe</t>
  </si>
  <si>
    <t>Sector</t>
  </si>
  <si>
    <t>SectorGrouping</t>
  </si>
  <si>
    <t>Yes, Position 4 (Position 4 might be sector or sector grouping)</t>
  </si>
  <si>
    <t>e.g “ind”, “tra”, “res”. res and oen sector groupings. “ind” sector grouping is split into many sectors.  are also sectors</t>
  </si>
  <si>
    <t>e.g “foo”, “roa”, “res”.</t>
  </si>
  <si>
    <t>Fuel type</t>
  </si>
  <si>
    <t>FuelType</t>
  </si>
  <si>
    <t>Yes, Position 5</t>
  </si>
  <si>
    <t>e.g “coa”</t>
  </si>
  <si>
    <t>Submodel</t>
  </si>
  <si>
    <t>Yes, Position 6* *Note position 6 is ‘other’ and can have many uses</t>
  </si>
  <si>
    <t>CPAT 1 letter code (lower)</t>
  </si>
  <si>
    <t>e.g. t=techoeconic (engineer), e=elasticity</t>
  </si>
  <si>
    <t>Subscenario</t>
  </si>
  <si>
    <t>Yes, last position</t>
  </si>
  <si>
    <t>Integer</t>
  </si>
  <si>
    <t>1= Baseline; 2=Carbon tax; 8 = Power feebate. Defined at top of mitigation module.</t>
  </si>
  <si>
    <t>See MT Advanced Scenarios</t>
  </si>
  <si>
    <t>MTScenario</t>
  </si>
  <si>
    <t>Used in MT codes, not CPAT codes per se. There it’s in position 8 after an _</t>
  </si>
  <si>
    <t>Letter followed by two numbers</t>
  </si>
  <si>
    <t>See Advanced Scenarios of Multiscenatio Tool.</t>
  </si>
  <si>
    <t>Pollutant</t>
  </si>
  <si>
    <t>Yes, flexible/tbc</t>
  </si>
  <si>
    <t>TBC</t>
  </si>
  <si>
    <t>co2, pm2, nox, so2, bc, ch4, co, oc, voc</t>
  </si>
  <si>
    <t>Diseases</t>
  </si>
  <si>
    <t>In Air Pollution Module</t>
  </si>
  <si>
    <t>Air pollution risks</t>
  </si>
  <si>
    <t>Age ranges</t>
  </si>
  <si>
    <t>Year</t>
  </si>
  <si>
    <t>Not in CPAT code</t>
  </si>
  <si>
    <t>Year before base year to 17 years later eg. 2016 to 2033</t>
  </si>
  <si>
    <t>Code</t>
  </si>
  <si>
    <t>Variable name</t>
  </si>
  <si>
    <t>Current Output Code</t>
  </si>
  <si>
    <t>Section</t>
  </si>
  <si>
    <t>No.</t>
  </si>
  <si>
    <t>Scenario (Dark Green)</t>
  </si>
  <si>
    <t>Module (Light Green)</t>
  </si>
  <si>
    <t>SectionName</t>
  </si>
  <si>
    <t>air.ef</t>
  </si>
  <si>
    <t>Emission factors</t>
  </si>
  <si>
    <t>countrycode.air.ef.pow.coa.pm2</t>
  </si>
  <si>
    <t>B</t>
  </si>
  <si>
    <t>Key Assumptions and inputs</t>
  </si>
  <si>
    <t>Emission factors for local pollutants and methane (ton/ktoe)</t>
  </si>
  <si>
    <t>Emissions</t>
  </si>
  <si>
    <t>airpol</t>
  </si>
  <si>
    <t>Air pollution costs</t>
  </si>
  <si>
    <t>countrycode.mit.airpol.cost.coa.ind.1</t>
  </si>
  <si>
    <t>F</t>
  </si>
  <si>
    <t>Results for charts</t>
  </si>
  <si>
    <t>Monetized social costs and benefits</t>
  </si>
  <si>
    <t>Outputs</t>
  </si>
  <si>
    <t>atp</t>
  </si>
  <si>
    <t>After-tax price (Total Post-tax Fuel Price)</t>
  </si>
  <si>
    <t>countrycode.mit.atp.pow.coa.t.1</t>
  </si>
  <si>
    <t>C/D</t>
  </si>
  <si>
    <t>Baseline</t>
  </si>
  <si>
    <t>Technoeconomic ('engineer') power model- Baseline</t>
  </si>
  <si>
    <t>Power model</t>
  </si>
  <si>
    <t>After-tax price (Post Tax Price (taking account of any exemptions)</t>
  </si>
  <si>
    <t>countrycode.mit.atp.rod.coa.e.1</t>
  </si>
  <si>
    <t>Transport sector - Baseline/Carbon Tax</t>
  </si>
  <si>
    <t>Energy use equations</t>
  </si>
  <si>
    <t>After Tax Price (taking account of any exemptions)</t>
  </si>
  <si>
    <t>countrycode.mit.atp.res.coa.e.1</t>
  </si>
  <si>
    <t>Buildings sector - Baseline/CarbonTax</t>
  </si>
  <si>
    <t>After-tax price (Total Post Tax Price (taking account of any exemptions)</t>
  </si>
  <si>
    <t>countrycode.mit.atp.mch.coa.e.1</t>
  </si>
  <si>
    <t>Industrial sector- Baseline/ Carbon Tax</t>
  </si>
  <si>
    <t>countrycode.mit.atp.oen.coa.e.1</t>
  </si>
  <si>
    <t>Other energy use - Baseline</t>
  </si>
  <si>
    <t>After-tax price (Changes in fuel prices (baseline vs secnario)</t>
  </si>
  <si>
    <t>countrycode.mit.atp.res.coa.pct.2</t>
  </si>
  <si>
    <t>E</t>
  </si>
  <si>
    <t>Results for other modules</t>
  </si>
  <si>
    <t>For Distributional module</t>
  </si>
  <si>
    <t>Results</t>
  </si>
  <si>
    <t>bc</t>
  </si>
  <si>
    <t>Total GHGs by black carbon(BC) (energy and non-energy related)</t>
  </si>
  <si>
    <t>countrycode.mit.bc.tot.1</t>
  </si>
  <si>
    <t>Baseline/Carbon Tax</t>
  </si>
  <si>
    <t>Results - Greenhouse gases (GHGs) - Baseline/Carbon Tax</t>
  </si>
  <si>
    <t>bca</t>
  </si>
  <si>
    <t>Balance of payments</t>
  </si>
  <si>
    <t>countrycode.bca_bp6</t>
  </si>
  <si>
    <t>Balance  of payments</t>
  </si>
  <si>
    <t>Energy balances</t>
  </si>
  <si>
    <t>bca_gdp_bp6</t>
  </si>
  <si>
    <t>Balance of payments - % GDP</t>
  </si>
  <si>
    <t>countrycode.bca_gdp_bp6</t>
  </si>
  <si>
    <t>cap</t>
  </si>
  <si>
    <t xml:space="preserve">Nameplate Capacity (MW) </t>
  </si>
  <si>
    <t>countrycode.mit.cap.pow.coa.t.1</t>
  </si>
  <si>
    <t>Technoeconomic ('engineer') power model- Baseline/Carbon Tax</t>
  </si>
  <si>
    <t>cc</t>
  </si>
  <si>
    <t>Global warming costs</t>
  </si>
  <si>
    <t>countrycode.mit.cc.code.coa.1</t>
  </si>
  <si>
    <t>ch4</t>
  </si>
  <si>
    <t xml:space="preserve">Total GHGs by Methane (CH4)(energy and non-energy related) </t>
  </si>
  <si>
    <t>countrycode.mit.ch4.tot.1</t>
  </si>
  <si>
    <t>co</t>
  </si>
  <si>
    <t xml:space="preserve">Total GHGs by Carbon monoxide (CO)(energy and non-energy related) </t>
  </si>
  <si>
    <t>countrycode.mit.co.tot.1</t>
  </si>
  <si>
    <t>co2</t>
  </si>
  <si>
    <t>Total energy-related CO2 emissions by sector and fuel</t>
  </si>
  <si>
    <t>countrycode.mit.co2.coa.pow.1</t>
  </si>
  <si>
    <t>Results - Energy-related CO2 emissions - Baseline/Carbon Tax</t>
  </si>
  <si>
    <t xml:space="preserve">Total GHGs by Carbon dioxide (CO2) (energy and non-energy related) </t>
  </si>
  <si>
    <t>countrycode.mit.co2.tot.1</t>
  </si>
  <si>
    <t>co2cov</t>
  </si>
  <si>
    <t>Total CO2 emissions covered by tax</t>
  </si>
  <si>
    <t>countrycode.mit.co2cov.1</t>
  </si>
  <si>
    <t>Results - Fiscal revenues - Baseline/CarbonTax</t>
  </si>
  <si>
    <t>cor_acc</t>
  </si>
  <si>
    <t>Externalities from Fossil Fuel Subsidies- Transportation externalities (lagged by 1 year)</t>
  </si>
  <si>
    <t>cor_acc_gso_all</t>
  </si>
  <si>
    <t>Advanced options</t>
  </si>
  <si>
    <t>Dashboard</t>
  </si>
  <si>
    <t>cor_lap</t>
  </si>
  <si>
    <t>Externalities from Fossil Fuel Subsidies-Air pollution externalities</t>
  </si>
  <si>
    <t>cor_lap_coa_ind</t>
  </si>
  <si>
    <t>cptraj</t>
  </si>
  <si>
    <t>Carbon price trajectory</t>
  </si>
  <si>
    <t>countrycode.mit.cptraj.1</t>
  </si>
  <si>
    <t>Policies - Baeline/Carbon Tax</t>
  </si>
  <si>
    <t>cs</t>
  </si>
  <si>
    <t>Consumer-side subsidy</t>
  </si>
  <si>
    <t>countrycode.mit.cs.coa.pow</t>
  </si>
  <si>
    <t>Prices</t>
  </si>
  <si>
    <t>Excise and other taxes:  in which consumer-side subsidy</t>
  </si>
  <si>
    <t>countrycode.mit.cs.pow.coa.a.1</t>
  </si>
  <si>
    <t>ctx</t>
  </si>
  <si>
    <t>Effective carbon tax</t>
  </si>
  <si>
    <t>countrycode.mit.ctx.coa.pow</t>
  </si>
  <si>
    <t>Excise and other taxes:  in which current carbon tax</t>
  </si>
  <si>
    <t>countrycode.mit.ctx.pow.coa.a.1</t>
  </si>
  <si>
    <t>ctxnew</t>
  </si>
  <si>
    <t>Implied carbon price by fuel</t>
  </si>
  <si>
    <t>countrycode.mit.ctxnew.coa.pow.1</t>
  </si>
  <si>
    <t>Excise and other taxes:  in which - New Carbon Tax</t>
  </si>
  <si>
    <t>countrycode.mit.ctxnew.pow.coa.a.1</t>
  </si>
  <si>
    <t>cur</t>
  </si>
  <si>
    <t xml:space="preserve"> Current Total Costs (Levelised Fixed Costs + Current Variable Costs)</t>
  </si>
  <si>
    <t>countrycode.mit.cur.pow.coa.t.1</t>
  </si>
  <si>
    <t>Engineer model</t>
  </si>
  <si>
    <t>dem</t>
  </si>
  <si>
    <t>Total power demand</t>
  </si>
  <si>
    <t>countrycode.mit.dem.ele.1</t>
  </si>
  <si>
    <t>ec</t>
  </si>
  <si>
    <t>Energy Consumption Projected Matrix      </t>
  </si>
  <si>
    <t>pol.mit.ec.ele.2019.1</t>
  </si>
  <si>
    <t>G</t>
  </si>
  <si>
    <t>Results - for other purposes</t>
  </si>
  <si>
    <t>Projected Matrix</t>
  </si>
  <si>
    <t>ecf</t>
  </si>
  <si>
    <t>Existing carbon tax: fuel coverage</t>
  </si>
  <si>
    <t>countrycode.mit.ecf.coa</t>
  </si>
  <si>
    <t>Existing carbon pricing mechanisms (ETSs and carbon taxes)</t>
  </si>
  <si>
    <t>ecr</t>
  </si>
  <si>
    <t>Existing carbon tax: forecasts</t>
  </si>
  <si>
    <t>countrycode.mit.ecr.all</t>
  </si>
  <si>
    <t>ecs</t>
  </si>
  <si>
    <t>Existing carbon tax: sectoral coverage</t>
  </si>
  <si>
    <t>countrycode.mit.ecs.pow</t>
  </si>
  <si>
    <t>eef</t>
  </si>
  <si>
    <t>Existing ETS: fuel coverage</t>
  </si>
  <si>
    <t>countrycode.mit.eef.coa</t>
  </si>
  <si>
    <t>eer</t>
  </si>
  <si>
    <t>Existing ETS: forecasts</t>
  </si>
  <si>
    <t>countrycode.mit.eer.all</t>
  </si>
  <si>
    <t>ees</t>
  </si>
  <si>
    <t>Existing ETS: sectoral coverage</t>
  </si>
  <si>
    <t>countrycode.mit.ees.pow</t>
  </si>
  <si>
    <t>Price-based policies coverage by sector</t>
  </si>
  <si>
    <t>ef</t>
  </si>
  <si>
    <t>Emissions factors for CO2</t>
  </si>
  <si>
    <t>countrycode.mit.ef.coa.pow</t>
  </si>
  <si>
    <t>Emissions factors (EFs) - CO2</t>
  </si>
  <si>
    <t>eff_imp</t>
  </si>
  <si>
    <t xml:space="preserve">Autonomous efficiency improvments in energy-consuming capital </t>
  </si>
  <si>
    <t>eff_imp_coa</t>
  </si>
  <si>
    <t>Elasticities and rates of improvement</t>
  </si>
  <si>
    <t>eff_imp_gen</t>
  </si>
  <si>
    <t>Annual generation productivity improvements</t>
  </si>
  <si>
    <t>eff_imp_gen_coa</t>
  </si>
  <si>
    <t>effcap</t>
  </si>
  <si>
    <t>Effective Capacity (MW)</t>
  </si>
  <si>
    <t>countrycode.mit.effcap.pow.coa.t.1</t>
  </si>
  <si>
    <t>el_cro</t>
  </si>
  <si>
    <t>Substitution elasticities</t>
  </si>
  <si>
    <t>el_cro_bio_lpg_res</t>
  </si>
  <si>
    <t>N'existe pas</t>
  </si>
  <si>
    <t>el_dem</t>
  </si>
  <si>
    <t>Own-price elasticities of demand - intensive margin (usage of energy-using capital)</t>
  </si>
  <si>
    <t>el_dem_coa</t>
  </si>
  <si>
    <t>el_eff</t>
  </si>
  <si>
    <t>Own-price elasticities of demand - extensive margin (efficiency of energy-using capital)</t>
  </si>
  <si>
    <t>el_eff_coa</t>
  </si>
  <si>
    <t>el_inc</t>
  </si>
  <si>
    <t>Excise and other taxes: - in which: current ETS permit price+D66:M66</t>
  </si>
  <si>
    <t>el_inc_gso</t>
  </si>
  <si>
    <t>elec_gwh</t>
  </si>
  <si>
    <t>Power Demand By Sector (approximate)</t>
  </si>
  <si>
    <t>countrycode.mit.elec_gwh.tra.ecy.e.1</t>
  </si>
  <si>
    <t>Elasticity-based power model - Baseline/ Carbon Tax</t>
  </si>
  <si>
    <t>Sectoral Summary of Power Demand (GWh)</t>
  </si>
  <si>
    <t>countrycode.mit.elec_gwh.tra.tot.t.1</t>
  </si>
  <si>
    <t>Total electricity generation in gwh</t>
  </si>
  <si>
    <t>countrycode.mit.elec_gwh.tot.coa.s.1</t>
  </si>
  <si>
    <t>Results - Energy consumption - Baseline/ Carbon Tax</t>
  </si>
  <si>
    <t>Sectoral Electricity Use (excludes decentralised renewables)</t>
  </si>
  <si>
    <t>countrycode.mit.elec_gwh.tra.ecy.s.1</t>
  </si>
  <si>
    <t>elec_ktoe</t>
  </si>
  <si>
    <t>Electricity production</t>
  </si>
  <si>
    <t>countrycode.mit.elec_ktoe.coa.ecy.e.1</t>
  </si>
  <si>
    <t>elo</t>
  </si>
  <si>
    <t>Conditional elasticities (conditional on keeping electricity demand fixed)</t>
  </si>
  <si>
    <t>elo.coa.pow</t>
  </si>
  <si>
    <t>em</t>
  </si>
  <si>
    <t xml:space="preserve">Emissions </t>
  </si>
  <si>
    <t>countrycode.mit.em.pm2.coa.pow.1</t>
  </si>
  <si>
    <t>Results - Emissions of energy-related, non-CO2 GHGs and local pollutants - Baseline/Carbon Tax</t>
  </si>
  <si>
    <t>countrycode.mit.em.nox.cpp.1</t>
  </si>
  <si>
    <t>For Air Polution module</t>
  </si>
  <si>
    <t>emi</t>
  </si>
  <si>
    <t>Global warming potential for energy-related non-CO2 GHGs</t>
  </si>
  <si>
    <t>emi.pow.ch4.1</t>
  </si>
  <si>
    <t>Results - Global warming potential non-CO2 GHGs and local pollutants - Baseline/Carbon Tax</t>
  </si>
  <si>
    <t>enda</t>
  </si>
  <si>
    <t>Exchange rate</t>
  </si>
  <si>
    <t>countrycode.enda</t>
  </si>
  <si>
    <t>Country-specific characteristics (GDP, population, etc.) and manual adjustments</t>
  </si>
  <si>
    <t>Macro data</t>
  </si>
  <si>
    <t>ener</t>
  </si>
  <si>
    <t>Total power supply</t>
  </si>
  <si>
    <t>countrycode.mit.ener.pow.coa.e.1</t>
  </si>
  <si>
    <t>Power Demand</t>
  </si>
  <si>
    <t>countrycode.mit.ener.rod.ecy.t.1</t>
  </si>
  <si>
    <t>Primary Energy Used (ktoe)</t>
  </si>
  <si>
    <t>countrycode.mit.ener.pow.coa.t.1</t>
  </si>
  <si>
    <t>Energy Use</t>
  </si>
  <si>
    <t>countrycode.mit.ener.rod.coa.e.1</t>
  </si>
  <si>
    <t>countrycode.mit.ener.foo.coa.e.1</t>
  </si>
  <si>
    <t>countrycode.mit.ener.mch.coa.e.1</t>
  </si>
  <si>
    <t>countrycode.mit.ener.oen.coa.e.1</t>
  </si>
  <si>
    <t>Other energy use - Baseline/ Carbon Tax</t>
  </si>
  <si>
    <t>countrycode.mit.ener.pow.tot.e.1</t>
  </si>
  <si>
    <t xml:space="preserve">Changes in energy consumption      </t>
  </si>
  <si>
    <t>countrycode.mit.ener.pow.coa.e.2</t>
  </si>
  <si>
    <t>eou</t>
  </si>
  <si>
    <t>Energy Industry Own Use</t>
  </si>
  <si>
    <t>countrycode.mit.eou.ecy.1</t>
  </si>
  <si>
    <t>ep</t>
  </si>
  <si>
    <t>Emissions perturbation</t>
  </si>
  <si>
    <t>countrycode.mit.ep.pow.tc.1</t>
  </si>
  <si>
    <t>ets</t>
  </si>
  <si>
    <t>Effective permit price</t>
  </si>
  <si>
    <t>countrycode.mit.ets.oop.pow</t>
  </si>
  <si>
    <t>Excise and other taxes: - in which: current ETS permit price</t>
  </si>
  <si>
    <t>countrycode.mit.ets.pow.coa.a.1</t>
  </si>
  <si>
    <t>Retail energy prices - Baseline/ Carbon Tax</t>
  </si>
  <si>
    <t>exp</t>
  </si>
  <si>
    <t>Total fuel expenditures</t>
  </si>
  <si>
    <t>countrycode.mit.exp.coa.usd.1</t>
  </si>
  <si>
    <t>Total fiscal revenues by fuel source - baseline</t>
  </si>
  <si>
    <t>fadtx</t>
  </si>
  <si>
    <t>VAT- in which: fixed/ad val part/other</t>
  </si>
  <si>
    <t>countrycode.mit.fadtx.pow.coa.a.1</t>
  </si>
  <si>
    <t>fce</t>
  </si>
  <si>
    <t>Post-tax Fuel Costs per kwh electricity produced</t>
  </si>
  <si>
    <t>countrycode.mit.fce.pow.coa.t.1</t>
  </si>
  <si>
    <t>fga</t>
  </si>
  <si>
    <t>Total GHGs by F-gases (PFCs, HFCs, SF6, NF3)(energy and non-energy related)</t>
  </si>
  <si>
    <t>countrycode.mit.fga.tot.1</t>
  </si>
  <si>
    <t>fis.mul</t>
  </si>
  <si>
    <t>Fiscal multipliers</t>
  </si>
  <si>
    <t>countrycode.mit.fis.mul.exc</t>
  </si>
  <si>
    <t>fix</t>
  </si>
  <si>
    <t>Total Levelised Fixed Costs (NOT including any reduction for renewables subsidies)</t>
  </si>
  <si>
    <t>rou.mit.fix.pow.coa.t.1</t>
  </si>
  <si>
    <t>gdgg</t>
  </si>
  <si>
    <t>GDP growth - real (constant prices)</t>
  </si>
  <si>
    <t>countrycode.gdgg.base.pct</t>
  </si>
  <si>
    <t>gdp</t>
  </si>
  <si>
    <t>Total effect of the reform, by year</t>
  </si>
  <si>
    <t>countrycode.mit.gdp.yr1.pct.1</t>
  </si>
  <si>
    <t>Results - GDP effects - Baseline/Carbon Tax</t>
  </si>
  <si>
    <t>Effects on GDP</t>
  </si>
  <si>
    <t>countrycode.mit.gdp.pre.pct.1</t>
  </si>
  <si>
    <t>gdp.pre.lvl</t>
  </si>
  <si>
    <t>GDP pre-policy</t>
  </si>
  <si>
    <t>countrycode.mit.gdp.pre.lvl.1</t>
  </si>
  <si>
    <t>gdp.pst.lvl</t>
  </si>
  <si>
    <t xml:space="preserve">GDP post-policy </t>
  </si>
  <si>
    <t>countrycode.mit.gdp.pst.lvl.1</t>
  </si>
  <si>
    <t>gdpl</t>
  </si>
  <si>
    <r>
      <t>Baseline GDP</t>
    </r>
    <r>
      <rPr>
        <sz val="11"/>
        <color rgb="FF000000"/>
        <rFont val="Calibri"/>
        <family val="2"/>
        <scheme val="minor"/>
      </rPr>
      <t xml:space="preserve">  - real (constant prices) - LCU</t>
    </r>
  </si>
  <si>
    <t>countrycode.gdpl.base.lcu</t>
  </si>
  <si>
    <t>gen_gwh</t>
  </si>
  <si>
    <t>Generation (GWh)</t>
  </si>
  <si>
    <t>countrycode.mit.gen_gwh.pow.coa.t.1</t>
  </si>
  <si>
    <t>gen_ktoe</t>
  </si>
  <si>
    <t>Generation (ktoe)</t>
  </si>
  <si>
    <t>countrycode.mit.gen_ktoe.pow.coa.t.1</t>
  </si>
  <si>
    <t>gen_mwy</t>
  </si>
  <si>
    <t>Generation (MWy)</t>
  </si>
  <si>
    <t>countrycode.mit.gen_mwy.pow.coa.t.1</t>
  </si>
  <si>
    <t>ghg</t>
  </si>
  <si>
    <t>Greenhouse gases</t>
  </si>
  <si>
    <t>countrycode.mit.ghg.enr.co2.1</t>
  </si>
  <si>
    <t>gnc</t>
  </si>
  <si>
    <t>Current Total Costs (Levelised Fixed Costs + Current Variable Costs) before Carbon Tax</t>
  </si>
  <si>
    <t>countrycode.mit.gnc.pow.coa.t.1</t>
  </si>
  <si>
    <t>gwp</t>
  </si>
  <si>
    <t xml:space="preserve">Total Global Warming Potential at 100 years </t>
  </si>
  <si>
    <t>countrycode.mit.gwp.pow.1</t>
  </si>
  <si>
    <t>Results - Global warming potential non-CO2 GHGs and local pollutants  - Baseline/Carbon Tax</t>
  </si>
  <si>
    <t>gwp100</t>
  </si>
  <si>
    <t>Radiative forcing from non-CO2 GHGs and particulate matter (Global Warming Potential for 100 years, GWP100)</t>
  </si>
  <si>
    <t>aso.mit.gwp100.bc</t>
  </si>
  <si>
    <t>inc.ela.adj</t>
  </si>
  <si>
    <t>Adjustments to income elasticities for per capita development levels</t>
  </si>
  <si>
    <t>countrycode.mit.inc.ela.adj.1</t>
  </si>
  <si>
    <t>le</t>
  </si>
  <si>
    <t>Employment</t>
  </si>
  <si>
    <t>countrycode.le</t>
  </si>
  <si>
    <t>lp</t>
  </si>
  <si>
    <t>Population</t>
  </si>
  <si>
    <t>countrycode.lp</t>
  </si>
  <si>
    <t>mancap</t>
  </si>
  <si>
    <t xml:space="preserve">Manual Capacity (MW) </t>
  </si>
  <si>
    <t>countrycode.mit.mancap.pow.coa.t.1</t>
  </si>
  <si>
    <t>msc</t>
  </si>
  <si>
    <t xml:space="preserve">Weighted Average Storage cost of vintages </t>
  </si>
  <si>
    <t>countrycode.mit.msc.pow.coa.t.1</t>
  </si>
  <si>
    <t>Marginal Storage Cost</t>
  </si>
  <si>
    <t xml:space="preserve"> Marginal Contribution to System Costs for Investment Decision</t>
  </si>
  <si>
    <t>mu1</t>
  </si>
  <si>
    <t>Markup1 (global price to Retail price)</t>
  </si>
  <si>
    <t>countrycode.mit.mu1.coa.pow.1</t>
  </si>
  <si>
    <t>For creating intermediate prices</t>
  </si>
  <si>
    <t>mu2</t>
  </si>
  <si>
    <t>Markup2 (pretax to Retail Price)</t>
  </si>
  <si>
    <t>countrycode.mit.mu2.coa.pow.1</t>
  </si>
  <si>
    <t>nce</t>
  </si>
  <si>
    <t>Total new carbon tax/ETS (bef. sect. exempts.)</t>
  </si>
  <si>
    <t>countrycode.mit.nce.pow.coa.a.1</t>
  </si>
  <si>
    <t>Total new carbon tax/ETS (bef. sect. exempts.) Comercial and Industrially located Renewables (Uses Solar PV cost)</t>
  </si>
  <si>
    <t>countrycode.mit.nce.ren.ind.1</t>
  </si>
  <si>
    <t>ndc</t>
  </si>
  <si>
    <t>Implied additional carbon price to achieve NDC</t>
  </si>
  <si>
    <t>countrycode.mit.ndc.ecr.2</t>
  </si>
  <si>
    <t>Energy Prices</t>
  </si>
  <si>
    <t>nei</t>
  </si>
  <si>
    <t>New Effective Investment  (MWavg)</t>
  </si>
  <si>
    <t>countrycode.mit.nei.pow.coa.t.1</t>
  </si>
  <si>
    <t>nfc</t>
  </si>
  <si>
    <t>Generation costs: Non-fuel unit cost of generation</t>
  </si>
  <si>
    <t>nfc.coa.pow</t>
  </si>
  <si>
    <t>ngdp</t>
  </si>
  <si>
    <t>GDP - nominal (current prices)</t>
  </si>
  <si>
    <t>countrycode.ngdp</t>
  </si>
  <si>
    <t>ngdp_d</t>
  </si>
  <si>
    <t>GDP Deflator</t>
  </si>
  <si>
    <t>countrycode.ngdp_d</t>
  </si>
  <si>
    <t>ngdp_r</t>
  </si>
  <si>
    <t>GDP - real (constant prices)</t>
  </si>
  <si>
    <t>countrycode.ngdp_r</t>
  </si>
  <si>
    <t>ngdp_r_ppp_pc</t>
  </si>
  <si>
    <t>GDP per capita - real (constant prices)</t>
  </si>
  <si>
    <t>countrycode.ngdp_r_ppp_pc</t>
  </si>
  <si>
    <t>ngdp_rpch</t>
  </si>
  <si>
    <t>countrycode.ngdp_rpch</t>
  </si>
  <si>
    <t>ngdprpc</t>
  </si>
  <si>
    <t>countrycode.ngdprpc</t>
  </si>
  <si>
    <t>nid</t>
  </si>
  <si>
    <t>New Investment (USDm)</t>
  </si>
  <si>
    <t>countrycode.mit.nid.pow.coa.t.1</t>
  </si>
  <si>
    <t>nim</t>
  </si>
  <si>
    <t>New Nameplate Investment (MW)</t>
  </si>
  <si>
    <t>countrycode.mit.nim.pow.coa.t.1</t>
  </si>
  <si>
    <t>nox</t>
  </si>
  <si>
    <t>Total GHGs by pollutant (energy and non-energy related)Nitrous oxide (N2O)</t>
  </si>
  <si>
    <t>countrycode.mit.nox.tot.1</t>
  </si>
  <si>
    <t>ntx</t>
  </si>
  <si>
    <t>Excise and other taxes: - in which: new excise tax (if applicable)</t>
  </si>
  <si>
    <t>countrycode.mit.ntx.pow.coa.a.1</t>
  </si>
  <si>
    <t>nxp</t>
  </si>
  <si>
    <t>Net Exports (Imports negative)</t>
  </si>
  <si>
    <t>countrycode.mit.nxp.ecy.1</t>
  </si>
  <si>
    <t>oc</t>
  </si>
  <si>
    <t>Total GHGs by Nitrogen oxides (NOx, exc. N2O) (energy and non-energy related)</t>
  </si>
  <si>
    <t>countrycode.mit.oc.tot.</t>
  </si>
  <si>
    <t>Total GHGs by Organic Carbon (OC)(energy and non-energy related)</t>
  </si>
  <si>
    <t>countrycode.mit.oc.tot.1</t>
  </si>
  <si>
    <t>pbc</t>
  </si>
  <si>
    <t>Price before any new policies (carbon tax/ETS)</t>
  </si>
  <si>
    <t>countrycode.mit.pbc.pow.coa.a.1</t>
  </si>
  <si>
    <t>Price before any new carbon tax/ETS (Residential Renewables (Uses Solar PV cost))</t>
  </si>
  <si>
    <t>countrycode.mit.pbc.ren.res.1</t>
  </si>
  <si>
    <t>pcb</t>
  </si>
  <si>
    <t>Power Generation Current Total Cost Breakdown</t>
  </si>
  <si>
    <t>countrycode.mit.pcb.pow.coa.t.1</t>
  </si>
  <si>
    <t>pcpi</t>
  </si>
  <si>
    <t>Inflation index</t>
  </si>
  <si>
    <t>usa.pcpi</t>
  </si>
  <si>
    <t>pcpi_pch</t>
  </si>
  <si>
    <t>CPI Change</t>
  </si>
  <si>
    <t>usa.pcpi_pch</t>
  </si>
  <si>
    <t>pex</t>
  </si>
  <si>
    <t>Electricity: Power Rebate (-)</t>
  </si>
  <si>
    <t>countrycode.mit.pex.res.ecy.e.1</t>
  </si>
  <si>
    <t>pni</t>
  </si>
  <si>
    <t>Proportions of New Investment</t>
  </si>
  <si>
    <t>countrycode.mit.pni.pow.coa.t.1</t>
  </si>
  <si>
    <t>pric.ele</t>
  </si>
  <si>
    <t>Energy prices</t>
  </si>
  <si>
    <t>countrycode.mit.pric.ele.2</t>
  </si>
  <si>
    <t>ps</t>
  </si>
  <si>
    <t>Pre-tax  prices - in which: producer-side subsidies</t>
  </si>
  <si>
    <t>countrycode.mit.ps.coa.pow</t>
  </si>
  <si>
    <t>Domestic energy prices and price controls</t>
  </si>
  <si>
    <t>countrycode.mit.ps.pow.coa.a.1</t>
  </si>
  <si>
    <t>re.vat</t>
  </si>
  <si>
    <t>Revenues from VAT</t>
  </si>
  <si>
    <t>countrycode.mit.rev.vat.coa.usd.1</t>
  </si>
  <si>
    <t>reb</t>
  </si>
  <si>
    <t>Electricity  (Excise(+))</t>
  </si>
  <si>
    <t>countrycode.mit.reb.res.ecy.e.1</t>
  </si>
  <si>
    <t>rec</t>
  </si>
  <si>
    <t>Retirements of Effective Capacity (MW)</t>
  </si>
  <si>
    <t>countrycode.mit.rec.pow.coa.t.1</t>
  </si>
  <si>
    <t>ret</t>
  </si>
  <si>
    <t>Retirements of Nameplate Capacity (MW)</t>
  </si>
  <si>
    <t>countrycode.mit.ret.mwe.eng.coa.pow.1</t>
  </si>
  <si>
    <t>rev</t>
  </si>
  <si>
    <t>Additional fiscal revenues from fossil fuel excises (against the baseline)</t>
  </si>
  <si>
    <t>countrycode.mit.rev.blt.pct.1</t>
  </si>
  <si>
    <t>Revenues</t>
  </si>
  <si>
    <t>rev.alo</t>
  </si>
  <si>
    <t>Revenue allocation</t>
  </si>
  <si>
    <t>countrycode.mit.rev.alo.pit.1</t>
  </si>
  <si>
    <t>rev.ctr</t>
  </si>
  <si>
    <t>Revenues/losses from price controls</t>
  </si>
  <si>
    <t>countrycode.mit.rev.ctr.coa.usd.1</t>
  </si>
  <si>
    <t>rev.exi</t>
  </si>
  <si>
    <t>Revenues from existing excises and other taxes, including consumer-side subsidies</t>
  </si>
  <si>
    <t>countrycode.mit.rev.exi.coa.usd.1</t>
  </si>
  <si>
    <t>Existing energy tax revenues Total revenues from existing energy taxes</t>
  </si>
  <si>
    <t>countrycode.mit.rev.exi.usd.1</t>
  </si>
  <si>
    <t>rev.new</t>
  </si>
  <si>
    <t>Baseline/Carbon Tax Revenues raised by fuel</t>
  </si>
  <si>
    <t>countrycode.mit.rev.new.coa.usd.1</t>
  </si>
  <si>
    <t>Total revenues by fuel source net of subsidies</t>
  </si>
  <si>
    <t>rev.tot</t>
  </si>
  <si>
    <t>Total revenues raised by fuel</t>
  </si>
  <si>
    <t>countrycode.mit.rev.tot.coa.usd.1</t>
  </si>
  <si>
    <t>Additional fiscal revenues net of subsidies by source</t>
  </si>
  <si>
    <t>rns</t>
  </si>
  <si>
    <t>Renewables Subsidies (New renewable energy subsidy (-ve))</t>
  </si>
  <si>
    <t>countrycode.mit.rns.pow.coa.t.1</t>
  </si>
  <si>
    <t>rp</t>
  </si>
  <si>
    <t>Retail price - Historical Prices</t>
  </si>
  <si>
    <t>countrycode.mit.rp.coa.pow</t>
  </si>
  <si>
    <t>Energy price controls - portion of global energy price changes passed-through into domestic prices (1-fully liberalized markets, 0 - fixed prices)</t>
  </si>
  <si>
    <t>countrycode.mit.rp.coa.pow.ctrl.1</t>
  </si>
  <si>
    <t>Retail price</t>
  </si>
  <si>
    <t>countrycode.mit.rp.pow.coa.a.1</t>
  </si>
  <si>
    <t>countrycode.mit.rp.res.coa.a.1</t>
  </si>
  <si>
    <t>scp</t>
  </si>
  <si>
    <t xml:space="preserve">Switching Carbon Prices </t>
  </si>
  <si>
    <t>countrycode.mit.scp.dpt.t.c2ginv.pow.1</t>
  </si>
  <si>
    <t>shp</t>
  </si>
  <si>
    <t>Additional shadow price impacting efficiency</t>
  </si>
  <si>
    <t>countrycode.mit.shp.coa.pow.1</t>
  </si>
  <si>
    <t>so2</t>
  </si>
  <si>
    <t xml:space="preserve">Total GHGs by Sulfur dioxide (SO2)(energy and non-energy related) </t>
  </si>
  <si>
    <t>countrycode.mit.so2.tot.1</t>
  </si>
  <si>
    <t>sp</t>
  </si>
  <si>
    <t xml:space="preserve">Pre-tax prices </t>
  </si>
  <si>
    <t>countrycode.mit.sp.coa.pow</t>
  </si>
  <si>
    <t>countrycode.mit.sp.pow.coa.a.1</t>
  </si>
  <si>
    <t>Forecasted Pretax Price</t>
  </si>
  <si>
    <t>countrycode.mit.sp.coa.pow.1</t>
  </si>
  <si>
    <t>sp.urb.grow</t>
  </si>
  <si>
    <t xml:space="preserve">Urban population growth </t>
  </si>
  <si>
    <t>countrycode.sp.urb.grow</t>
  </si>
  <si>
    <t>ssc</t>
  </si>
  <si>
    <t>% of shadow price impacting efficiency by sector</t>
  </si>
  <si>
    <t>countrycode.mit.ssc.pow.1</t>
  </si>
  <si>
    <t>sub</t>
  </si>
  <si>
    <t>Revenues - Baseline</t>
  </si>
  <si>
    <t>countrycode.mit.sub.new.usd.1</t>
  </si>
  <si>
    <t>sub.ren</t>
  </si>
  <si>
    <t>Cost of power sector subsidies</t>
  </si>
  <si>
    <t>countrycode.mit.sub.ren.usd.1</t>
  </si>
  <si>
    <t>tcf</t>
  </si>
  <si>
    <t xml:space="preserve">Price-based policies coverage by fuel </t>
  </si>
  <si>
    <t>countrycode.mit.tcf.coa.1</t>
  </si>
  <si>
    <t>C/D: Baseline/Policy Scenario</t>
  </si>
  <si>
    <t>tic</t>
  </si>
  <si>
    <t xml:space="preserve"> Levelised Total Investment Costs (Levelised Fixed Costs + Levelised Variable Costs)</t>
  </si>
  <si>
    <t>countrycode.mit.tic.pow.coa.t.1</t>
  </si>
  <si>
    <t>tran</t>
  </si>
  <si>
    <t>Transportation externalities</t>
  </si>
  <si>
    <t>countrycode.tran.acc.cost.die.1</t>
  </si>
  <si>
    <t>trans_elec</t>
  </si>
  <si>
    <t>Generation costs: Unit transmission costs for electricity</t>
  </si>
  <si>
    <t>tsc</t>
  </si>
  <si>
    <t>Generation Cost ($ per kWhe)</t>
  </si>
  <si>
    <t>countrycode.mit.tsc.pow.coa.eng.1</t>
  </si>
  <si>
    <t>tsd</t>
  </si>
  <si>
    <t>Transmission &amp; Stat Differences</t>
  </si>
  <si>
    <t>countrycode.mit.tsd.ecy.1</t>
  </si>
  <si>
    <t>tvc</t>
  </si>
  <si>
    <t>Total Variable Costs</t>
  </si>
  <si>
    <t>countrycode.mit.tvc.pow.coa.t.1</t>
  </si>
  <si>
    <t>txo</t>
  </si>
  <si>
    <t>Excise and other taxes</t>
  </si>
  <si>
    <t>countrycode.mit.txo.coa.pow</t>
  </si>
  <si>
    <t>countrycode.mit.txo.pow.coa.a.1</t>
  </si>
  <si>
    <t>vat</t>
  </si>
  <si>
    <t>VAT payment (Historical prices)</t>
  </si>
  <si>
    <t>countrycode.mit.vat.coa.pow</t>
  </si>
  <si>
    <t>VAT payment</t>
  </si>
  <si>
    <t>countrycode.mit.vat.pow.coa.a.1</t>
  </si>
  <si>
    <t>vbc</t>
  </si>
  <si>
    <t>Total Variable Costs before Carbon Tax</t>
  </si>
  <si>
    <t>countrycode.mit.vbc.pow.coa.t.1</t>
  </si>
  <si>
    <t>voc</t>
  </si>
  <si>
    <t xml:space="preserve">Total GHGs by Volatile organic compounds (VOCs)(energy and non-energy related) </t>
  </si>
  <si>
    <t>countrycode.mit.voc.tot.1</t>
  </si>
  <si>
    <t>vro</t>
  </si>
  <si>
    <t>Variable O&amp;M cost</t>
  </si>
  <si>
    <t>countrycode.mit.vro.pow.coa.t.1</t>
  </si>
  <si>
    <t>wel</t>
  </si>
  <si>
    <t>Total global welfare benefits</t>
  </si>
  <si>
    <t>countrycode.mit.wel.cli.usd</t>
  </si>
  <si>
    <t>xac</t>
  </si>
  <si>
    <t>Carbon tax cost</t>
  </si>
  <si>
    <t>countrycode.mit.xac.pow.coa.t.1</t>
  </si>
  <si>
    <t>IncomeGroupSymbol</t>
  </si>
  <si>
    <t>CountryName</t>
  </si>
  <si>
    <t>Region</t>
  </si>
  <si>
    <t>Coverage</t>
  </si>
  <si>
    <t>Distribution</t>
  </si>
  <si>
    <t>EnerdataMACCName</t>
  </si>
  <si>
    <t>TwoLetterCountryCode</t>
  </si>
  <si>
    <t>AFG</t>
  </si>
  <si>
    <t>LIC</t>
  </si>
  <si>
    <t>Afghanistan</t>
  </si>
  <si>
    <t>South Asia</t>
  </si>
  <si>
    <t>Y</t>
  </si>
  <si>
    <t/>
  </si>
  <si>
    <t>AF</t>
  </si>
  <si>
    <t>ALB</t>
  </si>
  <si>
    <t>UMIC</t>
  </si>
  <si>
    <t>Albania</t>
  </si>
  <si>
    <t>Europe &amp; Central Asia</t>
  </si>
  <si>
    <t>AL</t>
  </si>
  <si>
    <t>DZA</t>
  </si>
  <si>
    <t>Algeria</t>
  </si>
  <si>
    <t>Middle East &amp; North Africa</t>
  </si>
  <si>
    <t>DZ</t>
  </si>
  <si>
    <t>ASM</t>
  </si>
  <si>
    <t>American Samoa</t>
  </si>
  <si>
    <t>East Asia &amp; Pacific</t>
  </si>
  <si>
    <t>AS</t>
  </si>
  <si>
    <t>AND</t>
  </si>
  <si>
    <t>HIC</t>
  </si>
  <si>
    <t>Andorra</t>
  </si>
  <si>
    <t>Macro data not available (employment; emissions data)</t>
  </si>
  <si>
    <t>AD</t>
  </si>
  <si>
    <t>AGO</t>
  </si>
  <si>
    <t>LMIC</t>
  </si>
  <si>
    <t>Angola</t>
  </si>
  <si>
    <t>Sub-Saharan Africa</t>
  </si>
  <si>
    <t>AO</t>
  </si>
  <si>
    <t>AIA</t>
  </si>
  <si>
    <t>Anguilla</t>
  </si>
  <si>
    <t>Latin America &amp; Caribbean</t>
  </si>
  <si>
    <t>Spurious results’ lack of energy consumption data</t>
  </si>
  <si>
    <t>ATG</t>
  </si>
  <si>
    <t>Antigua and Barbuda</t>
  </si>
  <si>
    <t>AG</t>
  </si>
  <si>
    <t>ARG</t>
  </si>
  <si>
    <t>Argentina</t>
  </si>
  <si>
    <t>AR</t>
  </si>
  <si>
    <t>ARM</t>
  </si>
  <si>
    <t>Armenia</t>
  </si>
  <si>
    <t>AM</t>
  </si>
  <si>
    <t>ABW</t>
  </si>
  <si>
    <t>Aruba</t>
  </si>
  <si>
    <t>AW</t>
  </si>
  <si>
    <t>AUS</t>
  </si>
  <si>
    <t>Australia</t>
  </si>
  <si>
    <t>AU</t>
  </si>
  <si>
    <t>AUT</t>
  </si>
  <si>
    <t>Austria</t>
  </si>
  <si>
    <t>AT</t>
  </si>
  <si>
    <t>AZE</t>
  </si>
  <si>
    <t>Azerbaijan</t>
  </si>
  <si>
    <t>AZ</t>
  </si>
  <si>
    <t>BHS</t>
  </si>
  <si>
    <t>Bahamas, The</t>
  </si>
  <si>
    <t>BS</t>
  </si>
  <si>
    <t>BHR</t>
  </si>
  <si>
    <t>Bahrain</t>
  </si>
  <si>
    <t>BH</t>
  </si>
  <si>
    <t>BGD</t>
  </si>
  <si>
    <t>Bangladesh</t>
  </si>
  <si>
    <t>BD</t>
  </si>
  <si>
    <t>BRB</t>
  </si>
  <si>
    <t>Barbados</t>
  </si>
  <si>
    <t>BB</t>
  </si>
  <si>
    <t>BLR</t>
  </si>
  <si>
    <t>Belarus</t>
  </si>
  <si>
    <t>BY</t>
  </si>
  <si>
    <t>BEL</t>
  </si>
  <si>
    <t>Belgium</t>
  </si>
  <si>
    <t>BE</t>
  </si>
  <si>
    <t>BLZ</t>
  </si>
  <si>
    <t>Belize</t>
  </si>
  <si>
    <t>BZ</t>
  </si>
  <si>
    <t>BEN</t>
  </si>
  <si>
    <t>Benin</t>
  </si>
  <si>
    <t>BJ</t>
  </si>
  <si>
    <t>BMU</t>
  </si>
  <si>
    <t>Bermuda</t>
  </si>
  <si>
    <t>North America</t>
  </si>
  <si>
    <t>Macro data not available (GDP per capita - real (constant prices);employment)</t>
  </si>
  <si>
    <t>BM</t>
  </si>
  <si>
    <t>BTN</t>
  </si>
  <si>
    <t>Bhutan</t>
  </si>
  <si>
    <t>BT</t>
  </si>
  <si>
    <t>BOL</t>
  </si>
  <si>
    <t>Bolivia</t>
  </si>
  <si>
    <t>BO</t>
  </si>
  <si>
    <t>BIH</t>
  </si>
  <si>
    <t>Bosnia and Herzegovina</t>
  </si>
  <si>
    <t>BA</t>
  </si>
  <si>
    <t>BWA</t>
  </si>
  <si>
    <t>Botswana</t>
  </si>
  <si>
    <t>BW</t>
  </si>
  <si>
    <t>BRA</t>
  </si>
  <si>
    <t>Brazil</t>
  </si>
  <si>
    <t>`</t>
  </si>
  <si>
    <t>BR</t>
  </si>
  <si>
    <t>VGB</t>
  </si>
  <si>
    <t>British Virgin Islands</t>
  </si>
  <si>
    <t>Macro data not available ( GDP indicators, employment and population, exchange rate)</t>
  </si>
  <si>
    <t>VG</t>
  </si>
  <si>
    <t>BRN</t>
  </si>
  <si>
    <t>Brunei Darussalam</t>
  </si>
  <si>
    <t>BN</t>
  </si>
  <si>
    <t>BGR</t>
  </si>
  <si>
    <t>Bulgaria</t>
  </si>
  <si>
    <t>BG</t>
  </si>
  <si>
    <t>BFA</t>
  </si>
  <si>
    <t>Burkina Faso</t>
  </si>
  <si>
    <t>BF</t>
  </si>
  <si>
    <t>BDI</t>
  </si>
  <si>
    <t>Burundi</t>
  </si>
  <si>
    <t>BI</t>
  </si>
  <si>
    <t>CPV</t>
  </si>
  <si>
    <t>Cabo Verde</t>
  </si>
  <si>
    <t>CV</t>
  </si>
  <si>
    <t>KHM</t>
  </si>
  <si>
    <t>Cambodia</t>
  </si>
  <si>
    <t>KH</t>
  </si>
  <si>
    <t>CMR</t>
  </si>
  <si>
    <t>Cameroon</t>
  </si>
  <si>
    <t>CM</t>
  </si>
  <si>
    <t>CAN</t>
  </si>
  <si>
    <t>Canada</t>
  </si>
  <si>
    <t>CA</t>
  </si>
  <si>
    <t>CYM</t>
  </si>
  <si>
    <t>Cayman Islands</t>
  </si>
  <si>
    <t>KY</t>
  </si>
  <si>
    <t>CAF</t>
  </si>
  <si>
    <t>Central African Republic</t>
  </si>
  <si>
    <t>CF</t>
  </si>
  <si>
    <t>TCD</t>
  </si>
  <si>
    <t>Chad</t>
  </si>
  <si>
    <t>TD</t>
  </si>
  <si>
    <t>CHI</t>
  </si>
  <si>
    <t>Channel Islands</t>
  </si>
  <si>
    <t>Macro data not available (GDP indicators, employment, population, emissions); problem with externalities.</t>
  </si>
  <si>
    <t>CHL</t>
  </si>
  <si>
    <t>Chile</t>
  </si>
  <si>
    <t>CL</t>
  </si>
  <si>
    <t>CHN</t>
  </si>
  <si>
    <t>China</t>
  </si>
  <si>
    <t>CN</t>
  </si>
  <si>
    <t>COL</t>
  </si>
  <si>
    <t>Colombia</t>
  </si>
  <si>
    <t>CO</t>
  </si>
  <si>
    <t>COM</t>
  </si>
  <si>
    <t>Comoros</t>
  </si>
  <si>
    <t>KM</t>
  </si>
  <si>
    <t>COD</t>
  </si>
  <si>
    <t>Congo, Democratic Republic of the</t>
  </si>
  <si>
    <t>CD</t>
  </si>
  <si>
    <t>COG</t>
  </si>
  <si>
    <t>Congo, Republic of</t>
  </si>
  <si>
    <t>CG</t>
  </si>
  <si>
    <t>CRI</t>
  </si>
  <si>
    <t>Costa Rica</t>
  </si>
  <si>
    <t>CR</t>
  </si>
  <si>
    <t>CIV</t>
  </si>
  <si>
    <t>Côte d'Ivoire</t>
  </si>
  <si>
    <t>CI</t>
  </si>
  <si>
    <t>HRV</t>
  </si>
  <si>
    <t>Croatia</t>
  </si>
  <si>
    <t>HR</t>
  </si>
  <si>
    <t>CUB</t>
  </si>
  <si>
    <t>Cuba</t>
  </si>
  <si>
    <t>CU</t>
  </si>
  <si>
    <t>CUW</t>
  </si>
  <si>
    <t>Curaçao</t>
  </si>
  <si>
    <t>Macro data not available (employment, GDP per capita - real (constant prices), problem with externalities; spurious results’ balances issues.</t>
  </si>
  <si>
    <t>CW</t>
  </si>
  <si>
    <t>CYP</t>
  </si>
  <si>
    <t>Cyprus</t>
  </si>
  <si>
    <t>CY</t>
  </si>
  <si>
    <t>CZE</t>
  </si>
  <si>
    <t>Czech Republic</t>
  </si>
  <si>
    <t>Czech Rep.</t>
  </si>
  <si>
    <t>CZ</t>
  </si>
  <si>
    <t>DNK</t>
  </si>
  <si>
    <t>Denmark</t>
  </si>
  <si>
    <t>DK</t>
  </si>
  <si>
    <t>DJI</t>
  </si>
  <si>
    <t>Djibouti</t>
  </si>
  <si>
    <t>DJ</t>
  </si>
  <si>
    <t>DMA</t>
  </si>
  <si>
    <t>Dominica</t>
  </si>
  <si>
    <t>DM</t>
  </si>
  <si>
    <t>DOM</t>
  </si>
  <si>
    <t>Dominican Republic</t>
  </si>
  <si>
    <t>DO</t>
  </si>
  <si>
    <t>ECU</t>
  </si>
  <si>
    <t>Ecuador</t>
  </si>
  <si>
    <t>EC</t>
  </si>
  <si>
    <t>EGY</t>
  </si>
  <si>
    <t>Egypt</t>
  </si>
  <si>
    <t>EG</t>
  </si>
  <si>
    <t>SLV</t>
  </si>
  <si>
    <t>El Salvador</t>
  </si>
  <si>
    <t>SV</t>
  </si>
  <si>
    <t>GNQ</t>
  </si>
  <si>
    <t>Equatorial Guinea</t>
  </si>
  <si>
    <t>GQ</t>
  </si>
  <si>
    <t>ERI</t>
  </si>
  <si>
    <t>Eritrea</t>
  </si>
  <si>
    <t>ER</t>
  </si>
  <si>
    <t>EST</t>
  </si>
  <si>
    <t>Estonia</t>
  </si>
  <si>
    <t>EE</t>
  </si>
  <si>
    <t>SWZ</t>
  </si>
  <si>
    <t>Eswatini</t>
  </si>
  <si>
    <t>Macro data not available (employment, GDP per capita - real (constant prices); problem with externalities.</t>
  </si>
  <si>
    <t>SZ</t>
  </si>
  <si>
    <t>ETH</t>
  </si>
  <si>
    <t>Ethiopia</t>
  </si>
  <si>
    <t>ET</t>
  </si>
  <si>
    <t>FRO</t>
  </si>
  <si>
    <t>Faroe Islands</t>
  </si>
  <si>
    <t>Macro data not available (GDP indicators, employment); missing externalities; spurious results’ balances issues.</t>
  </si>
  <si>
    <t>FO</t>
  </si>
  <si>
    <t>FJI</t>
  </si>
  <si>
    <t>Fiji</t>
  </si>
  <si>
    <t>FJ</t>
  </si>
  <si>
    <t>FIN</t>
  </si>
  <si>
    <t>Finland</t>
  </si>
  <si>
    <t>FI</t>
  </si>
  <si>
    <t>FRA</t>
  </si>
  <si>
    <t>France</t>
  </si>
  <si>
    <t>FR</t>
  </si>
  <si>
    <t>PYF</t>
  </si>
  <si>
    <t>French Polynesia</t>
  </si>
  <si>
    <t>PF</t>
  </si>
  <si>
    <t>GAB</t>
  </si>
  <si>
    <t>Gabon</t>
  </si>
  <si>
    <t>GA</t>
  </si>
  <si>
    <t>GMB</t>
  </si>
  <si>
    <t>Gambia, The</t>
  </si>
  <si>
    <t>GM</t>
  </si>
  <si>
    <t>GEO</t>
  </si>
  <si>
    <t>Georgia</t>
  </si>
  <si>
    <t>GE</t>
  </si>
  <si>
    <t>DEU</t>
  </si>
  <si>
    <t>Germany</t>
  </si>
  <si>
    <t>DE</t>
  </si>
  <si>
    <t>GHA</t>
  </si>
  <si>
    <t>Ghana</t>
  </si>
  <si>
    <t>GH</t>
  </si>
  <si>
    <t>GIB</t>
  </si>
  <si>
    <t>Gibraltar</t>
  </si>
  <si>
    <t>Macro data not available (GDP indicators, employment, population); problem with externalities.</t>
  </si>
  <si>
    <t>GI</t>
  </si>
  <si>
    <t>GRC</t>
  </si>
  <si>
    <t>Greece</t>
  </si>
  <si>
    <t>GR</t>
  </si>
  <si>
    <t>GRL</t>
  </si>
  <si>
    <t>Greenland</t>
  </si>
  <si>
    <t>GL</t>
  </si>
  <si>
    <t>GRD</t>
  </si>
  <si>
    <t>Grenada</t>
  </si>
  <si>
    <t>GD</t>
  </si>
  <si>
    <t>GUM</t>
  </si>
  <si>
    <t>Guam</t>
  </si>
  <si>
    <t>GU</t>
  </si>
  <si>
    <t>GTM</t>
  </si>
  <si>
    <t>Guatemala</t>
  </si>
  <si>
    <t>GT</t>
  </si>
  <si>
    <t>GIN</t>
  </si>
  <si>
    <t>Guinea</t>
  </si>
  <si>
    <t>GN</t>
  </si>
  <si>
    <t>GNB</t>
  </si>
  <si>
    <t>Guinea-Bissau</t>
  </si>
  <si>
    <t>GW</t>
  </si>
  <si>
    <t>GUY</t>
  </si>
  <si>
    <t>Guyana</t>
  </si>
  <si>
    <t>GY</t>
  </si>
  <si>
    <t>HTI</t>
  </si>
  <si>
    <t>Haiti</t>
  </si>
  <si>
    <t>HT</t>
  </si>
  <si>
    <t>HND</t>
  </si>
  <si>
    <t>Honduras</t>
  </si>
  <si>
    <t>HN</t>
  </si>
  <si>
    <t>HKG</t>
  </si>
  <si>
    <t>Hong Kong SAR</t>
  </si>
  <si>
    <t>HK</t>
  </si>
  <si>
    <t>HUN</t>
  </si>
  <si>
    <t>Hungary</t>
  </si>
  <si>
    <t>HU</t>
  </si>
  <si>
    <t>ISL</t>
  </si>
  <si>
    <t>Iceland</t>
  </si>
  <si>
    <t>IS</t>
  </si>
  <si>
    <t>IND</t>
  </si>
  <si>
    <t>India</t>
  </si>
  <si>
    <t>IN</t>
  </si>
  <si>
    <t>IDN</t>
  </si>
  <si>
    <t>Indonesia</t>
  </si>
  <si>
    <t>ID</t>
  </si>
  <si>
    <t>IRN</t>
  </si>
  <si>
    <t>Iran</t>
  </si>
  <si>
    <t>IR</t>
  </si>
  <si>
    <t>IRQ</t>
  </si>
  <si>
    <t>Iraq</t>
  </si>
  <si>
    <t>IQ</t>
  </si>
  <si>
    <t>IRL</t>
  </si>
  <si>
    <t>Ireland</t>
  </si>
  <si>
    <t>IE</t>
  </si>
  <si>
    <t>IMN</t>
  </si>
  <si>
    <t>Isle of Man</t>
  </si>
  <si>
    <t>Macro data not available (employment, GDP per capita - real (constant prices), emissions; problem with externalities.</t>
  </si>
  <si>
    <t>IM</t>
  </si>
  <si>
    <t>ISR</t>
  </si>
  <si>
    <t>Israel</t>
  </si>
  <si>
    <t>IL</t>
  </si>
  <si>
    <t>ITA</t>
  </si>
  <si>
    <t>Italy</t>
  </si>
  <si>
    <t>IT</t>
  </si>
  <si>
    <t>JAM</t>
  </si>
  <si>
    <t>Jamaica</t>
  </si>
  <si>
    <t>JM</t>
  </si>
  <si>
    <t>JPN</t>
  </si>
  <si>
    <t>Japan</t>
  </si>
  <si>
    <t>JP</t>
  </si>
  <si>
    <t>JOR</t>
  </si>
  <si>
    <t>Jordan</t>
  </si>
  <si>
    <t>JO</t>
  </si>
  <si>
    <t>KAZ</t>
  </si>
  <si>
    <t>Kazakhstan</t>
  </si>
  <si>
    <t>KZ</t>
  </si>
  <si>
    <t>KEN</t>
  </si>
  <si>
    <t>Kenya</t>
  </si>
  <si>
    <t>KE</t>
  </si>
  <si>
    <t>KIR</t>
  </si>
  <si>
    <t>Kiribati</t>
  </si>
  <si>
    <t>KI</t>
  </si>
  <si>
    <t>KOR</t>
  </si>
  <si>
    <t>Korea</t>
  </si>
  <si>
    <t>South Korea</t>
  </si>
  <si>
    <t>KP</t>
  </si>
  <si>
    <t>PRK</t>
  </si>
  <si>
    <t>Korea, Dem. People's Rep.</t>
  </si>
  <si>
    <t>Macro data not available (GDP indicators, employment); missing externalities.</t>
  </si>
  <si>
    <t>KR</t>
  </si>
  <si>
    <t>XKX</t>
  </si>
  <si>
    <t>Kosovo</t>
  </si>
  <si>
    <t>Data not available (Historical CO2 &amp; other GHGs emissions).</t>
  </si>
  <si>
    <t>XK</t>
  </si>
  <si>
    <t>KWT</t>
  </si>
  <si>
    <t>Kuwait</t>
  </si>
  <si>
    <t>KW</t>
  </si>
  <si>
    <t>KGZ</t>
  </si>
  <si>
    <t>Kyrgyz Republic</t>
  </si>
  <si>
    <t>KG</t>
  </si>
  <si>
    <t>LAO</t>
  </si>
  <si>
    <t>Lao P.D.R.</t>
  </si>
  <si>
    <t>LA</t>
  </si>
  <si>
    <t>LVA</t>
  </si>
  <si>
    <t>Latvia</t>
  </si>
  <si>
    <t>LV</t>
  </si>
  <si>
    <t>LBN</t>
  </si>
  <si>
    <t>Lebanon</t>
  </si>
  <si>
    <t>LB</t>
  </si>
  <si>
    <t>LSO</t>
  </si>
  <si>
    <t>Lesotho</t>
  </si>
  <si>
    <t>LS</t>
  </si>
  <si>
    <t>LBR</t>
  </si>
  <si>
    <t>Liberia</t>
  </si>
  <si>
    <t>LR</t>
  </si>
  <si>
    <t>LBY</t>
  </si>
  <si>
    <t>Libya</t>
  </si>
  <si>
    <t>LY</t>
  </si>
  <si>
    <t>LIE</t>
  </si>
  <si>
    <t>Liechtenstein</t>
  </si>
  <si>
    <t>LI</t>
  </si>
  <si>
    <t>LTU</t>
  </si>
  <si>
    <t>Lithuania</t>
  </si>
  <si>
    <t>LT</t>
  </si>
  <si>
    <t>LUX</t>
  </si>
  <si>
    <t>Luxembourg</t>
  </si>
  <si>
    <t>LU</t>
  </si>
  <si>
    <t>MAC</t>
  </si>
  <si>
    <t>Macao SAR</t>
  </si>
  <si>
    <t>MO</t>
  </si>
  <si>
    <t>MKD</t>
  </si>
  <si>
    <t>Macedonia, FYR</t>
  </si>
  <si>
    <t>MK</t>
  </si>
  <si>
    <t>MDG</t>
  </si>
  <si>
    <t>Madagascar</t>
  </si>
  <si>
    <t>MG</t>
  </si>
  <si>
    <t>MWI</t>
  </si>
  <si>
    <t>Malawi</t>
  </si>
  <si>
    <t>MW</t>
  </si>
  <si>
    <t>MYS</t>
  </si>
  <si>
    <t>Malaysia</t>
  </si>
  <si>
    <t>MY</t>
  </si>
  <si>
    <t>MDV</t>
  </si>
  <si>
    <t>Maldives</t>
  </si>
  <si>
    <t>MV</t>
  </si>
  <si>
    <t>MLI</t>
  </si>
  <si>
    <t>Mali</t>
  </si>
  <si>
    <t>ML</t>
  </si>
  <si>
    <t>MLT</t>
  </si>
  <si>
    <t>Malta</t>
  </si>
  <si>
    <t>MT</t>
  </si>
  <si>
    <t>MHL</t>
  </si>
  <si>
    <t>Marshall Islands</t>
  </si>
  <si>
    <t>MH</t>
  </si>
  <si>
    <t>MRT</t>
  </si>
  <si>
    <t>Mauritania</t>
  </si>
  <si>
    <t>MR</t>
  </si>
  <si>
    <t>MUS</t>
  </si>
  <si>
    <t>Mauritius</t>
  </si>
  <si>
    <t>MU</t>
  </si>
  <si>
    <t>MEX</t>
  </si>
  <si>
    <t>Mexico</t>
  </si>
  <si>
    <t>MX</t>
  </si>
  <si>
    <t>FSM</t>
  </si>
  <si>
    <t>Micronesia</t>
  </si>
  <si>
    <t>FM</t>
  </si>
  <si>
    <t>MDA</t>
  </si>
  <si>
    <t>Moldova</t>
  </si>
  <si>
    <t>MD</t>
  </si>
  <si>
    <t>MCO</t>
  </si>
  <si>
    <t>Monaco</t>
  </si>
  <si>
    <t>Macro data not available (employment, GDP per capita - real (constant prices); problem with air pollution externalities.</t>
  </si>
  <si>
    <t>MC</t>
  </si>
  <si>
    <t>MNG</t>
  </si>
  <si>
    <t>Mongolia</t>
  </si>
  <si>
    <t>MN</t>
  </si>
  <si>
    <t>MNE</t>
  </si>
  <si>
    <t>Montenegro, Rep. of</t>
  </si>
  <si>
    <t>ME</t>
  </si>
  <si>
    <t>MSR</t>
  </si>
  <si>
    <t>Montserrat</t>
  </si>
  <si>
    <t>MAR</t>
  </si>
  <si>
    <t>Morocco</t>
  </si>
  <si>
    <t>MA</t>
  </si>
  <si>
    <t>MOZ</t>
  </si>
  <si>
    <t>Mozambique</t>
  </si>
  <si>
    <t>MZ</t>
  </si>
  <si>
    <t>MMR</t>
  </si>
  <si>
    <t>Myanmar</t>
  </si>
  <si>
    <t>MM</t>
  </si>
  <si>
    <t>NAM</t>
  </si>
  <si>
    <t>Namibia</t>
  </si>
  <si>
    <t>NA</t>
  </si>
  <si>
    <t>NRU</t>
  </si>
  <si>
    <t>Nauru</t>
  </si>
  <si>
    <t>NR</t>
  </si>
  <si>
    <t>NPL</t>
  </si>
  <si>
    <t>Nepal</t>
  </si>
  <si>
    <t>NP</t>
  </si>
  <si>
    <t>NLD</t>
  </si>
  <si>
    <t>Netherlands</t>
  </si>
  <si>
    <t>NL</t>
  </si>
  <si>
    <t>NCL</t>
  </si>
  <si>
    <t>New Caledonia</t>
  </si>
  <si>
    <t>Macro data not available (GDP indicators, employment); problem with externalities.</t>
  </si>
  <si>
    <t>NC</t>
  </si>
  <si>
    <t>NZL</t>
  </si>
  <si>
    <t>New Zealand</t>
  </si>
  <si>
    <t>NZ</t>
  </si>
  <si>
    <t>NIC</t>
  </si>
  <si>
    <t>Nicaragua</t>
  </si>
  <si>
    <t>NI</t>
  </si>
  <si>
    <t>NER</t>
  </si>
  <si>
    <t>Niger</t>
  </si>
  <si>
    <t>NE</t>
  </si>
  <si>
    <t>NGA</t>
  </si>
  <si>
    <t>Nigeria</t>
  </si>
  <si>
    <t>NG</t>
  </si>
  <si>
    <t>MNP</t>
  </si>
  <si>
    <t>Northern Mariana Islands</t>
  </si>
  <si>
    <t>Macro data not available (employment, GDP per capita - real (constant prices); problem with externalities; balances issues.</t>
  </si>
  <si>
    <t>MP</t>
  </si>
  <si>
    <t>NOR</t>
  </si>
  <si>
    <t>Norway</t>
  </si>
  <si>
    <t>NO</t>
  </si>
  <si>
    <t>OMN</t>
  </si>
  <si>
    <t>Oman</t>
  </si>
  <si>
    <t>OM</t>
  </si>
  <si>
    <t>PAK</t>
  </si>
  <si>
    <t>Pakistan</t>
  </si>
  <si>
    <t>PK</t>
  </si>
  <si>
    <t>PLW</t>
  </si>
  <si>
    <t>Palau</t>
  </si>
  <si>
    <t>PW</t>
  </si>
  <si>
    <t>PAN</t>
  </si>
  <si>
    <t>Panama</t>
  </si>
  <si>
    <t>PA</t>
  </si>
  <si>
    <t>PNG</t>
  </si>
  <si>
    <t>Papua New Guinea</t>
  </si>
  <si>
    <t>PG</t>
  </si>
  <si>
    <t>PRY</t>
  </si>
  <si>
    <t>Paraguay</t>
  </si>
  <si>
    <t>PY</t>
  </si>
  <si>
    <t>PER</t>
  </si>
  <si>
    <t>Peru</t>
  </si>
  <si>
    <t>PE</t>
  </si>
  <si>
    <t>PHL</t>
  </si>
  <si>
    <t>Philippines</t>
  </si>
  <si>
    <t>PH</t>
  </si>
  <si>
    <t>POL</t>
  </si>
  <si>
    <t>Poland</t>
  </si>
  <si>
    <t>PL</t>
  </si>
  <si>
    <t>PRT</t>
  </si>
  <si>
    <t>Portugal</t>
  </si>
  <si>
    <t>PT</t>
  </si>
  <si>
    <t>PRI</t>
  </si>
  <si>
    <t>Puerto Rico</t>
  </si>
  <si>
    <t>PR</t>
  </si>
  <si>
    <t>QAT</t>
  </si>
  <si>
    <t>Qatar</t>
  </si>
  <si>
    <t>QA</t>
  </si>
  <si>
    <t>ROU</t>
  </si>
  <si>
    <t>Romania</t>
  </si>
  <si>
    <t>RO</t>
  </si>
  <si>
    <t>RUS</t>
  </si>
  <si>
    <t>Russia</t>
  </si>
  <si>
    <t>RU</t>
  </si>
  <si>
    <t>RWA</t>
  </si>
  <si>
    <t>Rwanda</t>
  </si>
  <si>
    <t>RW</t>
  </si>
  <si>
    <t>WSM</t>
  </si>
  <si>
    <t>Samoa</t>
  </si>
  <si>
    <t>WS</t>
  </si>
  <si>
    <t>SMR</t>
  </si>
  <si>
    <t>San Marino</t>
  </si>
  <si>
    <t>Data not available (Historical CO2 &amp; other GHGs emissions);Spurious results’ balances issues.</t>
  </si>
  <si>
    <t>SM</t>
  </si>
  <si>
    <t>STP</t>
  </si>
  <si>
    <t>São Tomé and Príncipe</t>
  </si>
  <si>
    <t>ST</t>
  </si>
  <si>
    <t>SAU</t>
  </si>
  <si>
    <t>Saudi Arabia</t>
  </si>
  <si>
    <t>SA</t>
  </si>
  <si>
    <t>SEN</t>
  </si>
  <si>
    <t>Senegal</t>
  </si>
  <si>
    <t>SN</t>
  </si>
  <si>
    <t>SRB</t>
  </si>
  <si>
    <t>Serbia</t>
  </si>
  <si>
    <t>RS</t>
  </si>
  <si>
    <t>SYC</t>
  </si>
  <si>
    <t>Seychelles</t>
  </si>
  <si>
    <t>SC</t>
  </si>
  <si>
    <t>SLE</t>
  </si>
  <si>
    <t>Sierra Leone</t>
  </si>
  <si>
    <t>SL</t>
  </si>
  <si>
    <t>SGP</t>
  </si>
  <si>
    <t>Singapore</t>
  </si>
  <si>
    <t>SG</t>
  </si>
  <si>
    <t>SXM</t>
  </si>
  <si>
    <t>Sint Maarten (Dutch part)</t>
  </si>
  <si>
    <t>Macro data not available (employment, GDP per capita - real (constant prices); historical CO2 &amp; other GHGs emissions,problem with balances.</t>
  </si>
  <si>
    <t>SX</t>
  </si>
  <si>
    <t>SVK</t>
  </si>
  <si>
    <t>Slovak Republic</t>
  </si>
  <si>
    <t>Slovakia</t>
  </si>
  <si>
    <t>SK</t>
  </si>
  <si>
    <t>SVN</t>
  </si>
  <si>
    <t>Slovenia</t>
  </si>
  <si>
    <t>SI</t>
  </si>
  <si>
    <t>SLB</t>
  </si>
  <si>
    <t>Solomon Islands</t>
  </si>
  <si>
    <t>SB</t>
  </si>
  <si>
    <t>SOM</t>
  </si>
  <si>
    <t>Somalia</t>
  </si>
  <si>
    <t>SO</t>
  </si>
  <si>
    <t>ZAF</t>
  </si>
  <si>
    <t>South Africa</t>
  </si>
  <si>
    <t>ZA</t>
  </si>
  <si>
    <t>SSD</t>
  </si>
  <si>
    <t>South Sudan</t>
  </si>
  <si>
    <t>SS</t>
  </si>
  <si>
    <t>ESP</t>
  </si>
  <si>
    <t>Spain</t>
  </si>
  <si>
    <t>ES</t>
  </si>
  <si>
    <t>LKA</t>
  </si>
  <si>
    <t>Sri Lanka</t>
  </si>
  <si>
    <t>LK</t>
  </si>
  <si>
    <t>KNA</t>
  </si>
  <si>
    <t>St. Kitts and Nevis</t>
  </si>
  <si>
    <t>KN</t>
  </si>
  <si>
    <t>LCA</t>
  </si>
  <si>
    <t>St. Lucia</t>
  </si>
  <si>
    <t>LC</t>
  </si>
  <si>
    <t>MAF</t>
  </si>
  <si>
    <t>St. Martin (French part)</t>
  </si>
  <si>
    <t>Macro data not available (GDP indicators, employment); historical CO2 &amp; other GHGs emissions;problem with externalities.</t>
  </si>
  <si>
    <t>MF</t>
  </si>
  <si>
    <t>VCT</t>
  </si>
  <si>
    <t>St. Vincent and the Grenadines</t>
  </si>
  <si>
    <t>VC</t>
  </si>
  <si>
    <t>SDN</t>
  </si>
  <si>
    <t>Sudan</t>
  </si>
  <si>
    <t>SD</t>
  </si>
  <si>
    <t>SUR</t>
  </si>
  <si>
    <t>Suriname</t>
  </si>
  <si>
    <t>SR</t>
  </si>
  <si>
    <t>SWE</t>
  </si>
  <si>
    <t>Sweden</t>
  </si>
  <si>
    <t>SE</t>
  </si>
  <si>
    <t>CHE</t>
  </si>
  <si>
    <t>Switzerland</t>
  </si>
  <si>
    <t>CH</t>
  </si>
  <si>
    <t>SYR</t>
  </si>
  <si>
    <t>Syria</t>
  </si>
  <si>
    <t>Macro data not available (GDP indicators, employment);problem with externalities.</t>
  </si>
  <si>
    <t>SY</t>
  </si>
  <si>
    <t>TWN</t>
  </si>
  <si>
    <t>Taiwan Province of China</t>
  </si>
  <si>
    <t>TW</t>
  </si>
  <si>
    <t>TJK</t>
  </si>
  <si>
    <t>Tajikistan</t>
  </si>
  <si>
    <t>TJ</t>
  </si>
  <si>
    <t>TZA</t>
  </si>
  <si>
    <t>Tanzania</t>
  </si>
  <si>
    <t>TZ</t>
  </si>
  <si>
    <t>THA</t>
  </si>
  <si>
    <t>Thailand</t>
  </si>
  <si>
    <t>TH</t>
  </si>
  <si>
    <t>TLS</t>
  </si>
  <si>
    <t>Timor-Leste</t>
  </si>
  <si>
    <t>TL</t>
  </si>
  <si>
    <t>TGO</t>
  </si>
  <si>
    <t>Togo</t>
  </si>
  <si>
    <t>TG</t>
  </si>
  <si>
    <t>TON</t>
  </si>
  <si>
    <t>Tonga</t>
  </si>
  <si>
    <t>TO</t>
  </si>
  <si>
    <t>TTO</t>
  </si>
  <si>
    <t>Trinidad and Tobago</t>
  </si>
  <si>
    <t>TT</t>
  </si>
  <si>
    <t>TUN</t>
  </si>
  <si>
    <t>Tunisia</t>
  </si>
  <si>
    <t>TN</t>
  </si>
  <si>
    <t>TUR</t>
  </si>
  <si>
    <t>Turkey</t>
  </si>
  <si>
    <t>TR</t>
  </si>
  <si>
    <t>TKM</t>
  </si>
  <si>
    <t>Turkmenistan</t>
  </si>
  <si>
    <t>TM</t>
  </si>
  <si>
    <t>TCA</t>
  </si>
  <si>
    <t>Turks and Caicos Islands</t>
  </si>
  <si>
    <t>TC</t>
  </si>
  <si>
    <t>TUV</t>
  </si>
  <si>
    <t>Tuvalu</t>
  </si>
  <si>
    <t>Spurious results’ balances issues, missing historical CO2 &amp; other GHGs emissions data.</t>
  </si>
  <si>
    <t>TV</t>
  </si>
  <si>
    <t>UGA</t>
  </si>
  <si>
    <t>Uganda</t>
  </si>
  <si>
    <t>UG</t>
  </si>
  <si>
    <t>UKR</t>
  </si>
  <si>
    <t>Ukraine</t>
  </si>
  <si>
    <t>UA</t>
  </si>
  <si>
    <t>ARE</t>
  </si>
  <si>
    <t>United Arab Emirates</t>
  </si>
  <si>
    <t>AE</t>
  </si>
  <si>
    <t>GBR</t>
  </si>
  <si>
    <t>United Kingdom</t>
  </si>
  <si>
    <t>GB</t>
  </si>
  <si>
    <t>USA</t>
  </si>
  <si>
    <t>United States</t>
  </si>
  <si>
    <t>US</t>
  </si>
  <si>
    <t>URY</t>
  </si>
  <si>
    <t>Uruguay</t>
  </si>
  <si>
    <t>UY</t>
  </si>
  <si>
    <t>UZB</t>
  </si>
  <si>
    <t>Uzbekistan</t>
  </si>
  <si>
    <t>UZ</t>
  </si>
  <si>
    <t>VUT</t>
  </si>
  <si>
    <t>Vanuatu</t>
  </si>
  <si>
    <t>VU</t>
  </si>
  <si>
    <t>VEN</t>
  </si>
  <si>
    <t>Venezuela</t>
  </si>
  <si>
    <t>Macro data not available (GDP indicators)</t>
  </si>
  <si>
    <t>VE</t>
  </si>
  <si>
    <t>VNM</t>
  </si>
  <si>
    <t>Vietnam</t>
  </si>
  <si>
    <t>VN</t>
  </si>
  <si>
    <t>VIR</t>
  </si>
  <si>
    <t>Virgin Islands (U.S.)</t>
  </si>
  <si>
    <t>Macro data not available (employment, GDP per capita - real (constant prices); problem with externalities, balances issues.</t>
  </si>
  <si>
    <t>VI</t>
  </si>
  <si>
    <t>PSE</t>
  </si>
  <si>
    <t>West Bank and Gaza</t>
  </si>
  <si>
    <t>Macro data not available (employment, GDP per capita - real (constant prices); missing historical CO2 &amp; other GHGs emissions data.</t>
  </si>
  <si>
    <t>PS</t>
  </si>
  <si>
    <t>YEM</t>
  </si>
  <si>
    <t>Yemen</t>
  </si>
  <si>
    <t>YE</t>
  </si>
  <si>
    <t>ZMB</t>
  </si>
  <si>
    <t>Zambia</t>
  </si>
  <si>
    <t>ZM</t>
  </si>
  <si>
    <t>ZWE</t>
  </si>
  <si>
    <t>Zimbabwe</t>
  </si>
  <si>
    <t>ZW</t>
  </si>
  <si>
    <t>WORLDAV</t>
  </si>
  <si>
    <t>..</t>
  </si>
  <si>
    <t>World aviation bunkers</t>
  </si>
  <si>
    <t>WORLDMAR</t>
  </si>
  <si>
    <t>World marine bunkers</t>
  </si>
  <si>
    <t>TabCode</t>
  </si>
  <si>
    <t>mit</t>
  </si>
  <si>
    <t>Mitigation</t>
  </si>
  <si>
    <t>ap</t>
  </si>
  <si>
    <t>Air Pollution</t>
  </si>
  <si>
    <t>dist</t>
  </si>
  <si>
    <t>tra</t>
  </si>
  <si>
    <t>Transport</t>
  </si>
  <si>
    <t>Biomass</t>
  </si>
  <si>
    <t>bio</t>
  </si>
  <si>
    <t>in which: biodiesel</t>
  </si>
  <si>
    <t>bgs</t>
  </si>
  <si>
    <t>in which: biogasoline</t>
  </si>
  <si>
    <t>bdi</t>
  </si>
  <si>
    <t>in which: other liquid biofuels</t>
  </si>
  <si>
    <t>obf</t>
  </si>
  <si>
    <t>Coal</t>
  </si>
  <si>
    <t>coa</t>
  </si>
  <si>
    <t>Diesel</t>
  </si>
  <si>
    <t>die</t>
  </si>
  <si>
    <t>Electricity</t>
  </si>
  <si>
    <t>ecy</t>
  </si>
  <si>
    <t>Gasoline</t>
  </si>
  <si>
    <t>gso</t>
  </si>
  <si>
    <t>Hydro</t>
  </si>
  <si>
    <t>hyd</t>
  </si>
  <si>
    <t>Jet fuel</t>
  </si>
  <si>
    <t>jfu</t>
  </si>
  <si>
    <t>Kerosene</t>
  </si>
  <si>
    <t>ker</t>
  </si>
  <si>
    <t>LPG</t>
  </si>
  <si>
    <t>lpg</t>
  </si>
  <si>
    <t>Natural gas</t>
  </si>
  <si>
    <t>nga</t>
  </si>
  <si>
    <t>Nuclear</t>
  </si>
  <si>
    <t>nuc</t>
  </si>
  <si>
    <t>Other oil products</t>
  </si>
  <si>
    <t>oop</t>
  </si>
  <si>
    <t>Other renewables / Total self generated renewables</t>
  </si>
  <si>
    <t>ore</t>
  </si>
  <si>
    <t>Renewables</t>
  </si>
  <si>
    <t>ren</t>
  </si>
  <si>
    <t>Solar</t>
  </si>
  <si>
    <t>sol</t>
  </si>
  <si>
    <t>Wind</t>
  </si>
  <si>
    <t>wnd</t>
  </si>
  <si>
    <t>SectorGroup</t>
  </si>
  <si>
    <t>SectorGroupCode</t>
  </si>
  <si>
    <t>SubSector</t>
  </si>
  <si>
    <t>SubSectorCode</t>
  </si>
  <si>
    <t>industry</t>
  </si>
  <si>
    <t>ind</t>
  </si>
  <si>
    <t>cement</t>
  </si>
  <si>
    <t>cem</t>
  </si>
  <si>
    <t>construc</t>
  </si>
  <si>
    <t>cst</t>
  </si>
  <si>
    <t>food_forest</t>
  </si>
  <si>
    <t>foo</t>
  </si>
  <si>
    <t>nonpowertrans</t>
  </si>
  <si>
    <t>ftr</t>
  </si>
  <si>
    <t>ironstl</t>
  </si>
  <si>
    <t>irn</t>
  </si>
  <si>
    <t>machinery</t>
  </si>
  <si>
    <t>mac</t>
  </si>
  <si>
    <t>mining_chemicals</t>
  </si>
  <si>
    <t>mch</t>
  </si>
  <si>
    <t>nonenuse</t>
  </si>
  <si>
    <t>neu</t>
  </si>
  <si>
    <t>nonferrmet</t>
  </si>
  <si>
    <t>nfm</t>
  </si>
  <si>
    <t>other</t>
  </si>
  <si>
    <t>oen</t>
  </si>
  <si>
    <t>other_manufact</t>
  </si>
  <si>
    <t>omn</t>
  </si>
  <si>
    <t>services</t>
  </si>
  <si>
    <t>srv</t>
  </si>
  <si>
    <t>worldav</t>
  </si>
  <si>
    <t>wav</t>
  </si>
  <si>
    <t>power</t>
  </si>
  <si>
    <t>pow</t>
  </si>
  <si>
    <t>buildings</t>
  </si>
  <si>
    <t>bld</t>
  </si>
  <si>
    <t>residential</t>
  </si>
  <si>
    <t>res</t>
  </si>
  <si>
    <t>transport</t>
  </si>
  <si>
    <t>domesair</t>
  </si>
  <si>
    <t>avi</t>
  </si>
  <si>
    <t>domesnav</t>
  </si>
  <si>
    <t>nav</t>
  </si>
  <si>
    <t>road</t>
  </si>
  <si>
    <t>rod</t>
  </si>
  <si>
    <t>oth</t>
  </si>
  <si>
    <t>all</t>
  </si>
  <si>
    <t>eloutput</t>
  </si>
  <si>
    <t>ele</t>
  </si>
  <si>
    <t>Policy coverage</t>
  </si>
  <si>
    <t>Scenario</t>
  </si>
  <si>
    <t>Number</t>
  </si>
  <si>
    <t>General policies</t>
  </si>
  <si>
    <t>Carbon tax</t>
  </si>
  <si>
    <t>ETS</t>
  </si>
  <si>
    <t>Fuel or sector-specific policies</t>
  </si>
  <si>
    <t>Feebates</t>
  </si>
  <si>
    <t>Energy efficiency regulations</t>
  </si>
  <si>
    <t>Coal excise</t>
  </si>
  <si>
    <t>Road fuel tax</t>
  </si>
  <si>
    <t>Electricity emissions tax</t>
  </si>
  <si>
    <t>Power feebate</t>
  </si>
  <si>
    <t>Electricity excise</t>
  </si>
  <si>
    <t>Vehicle fuel economy</t>
  </si>
  <si>
    <t>Residential efficiency regulations</t>
  </si>
  <si>
    <t>Industrial efficiency regulations</t>
  </si>
  <si>
    <t>ModelCode</t>
  </si>
  <si>
    <t>Model</t>
  </si>
  <si>
    <t>t</t>
  </si>
  <si>
    <t>Techoeconomic Model</t>
  </si>
  <si>
    <t>e</t>
  </si>
  <si>
    <t>Elasticity Model</t>
  </si>
  <si>
    <t>b</t>
  </si>
  <si>
    <t>Both models</t>
  </si>
  <si>
    <t>a</t>
  </si>
  <si>
    <t>All</t>
  </si>
  <si>
    <t>Note</t>
  </si>
  <si>
    <t>Black carbon</t>
  </si>
  <si>
    <t>Organic carbon</t>
  </si>
  <si>
    <t>Total carbon</t>
  </si>
  <si>
    <t>tc</t>
  </si>
  <si>
    <t>bc+oc</t>
  </si>
  <si>
    <t>Nitrous oxides</t>
  </si>
  <si>
    <t>Sulphur dioxide</t>
  </si>
  <si>
    <t>Volatile organic compounds (VOC)</t>
  </si>
  <si>
    <t>Carbon monoxide</t>
  </si>
  <si>
    <t>Methane</t>
  </si>
  <si>
    <t>Ammonia</t>
  </si>
  <si>
    <t>nh3</t>
  </si>
  <si>
    <t>UnitCode</t>
  </si>
  <si>
    <t>Unit Name</t>
  </si>
  <si>
    <t>twh</t>
  </si>
  <si>
    <t>Terawatthour</t>
  </si>
  <si>
    <t>gwh</t>
  </si>
  <si>
    <t>GigawattHour</t>
  </si>
  <si>
    <t>ktoe</t>
  </si>
  <si>
    <t>Thousand (kilo) Tons of Oil Equivalent</t>
  </si>
  <si>
    <t>CPAT currently covers the period 2019-2036, but should soon cover 2019-2050 and even 2000-2050 with the hindcasting version of CPAT.</t>
  </si>
  <si>
    <t>Year are used as a wider table in R.</t>
  </si>
  <si>
    <t>Particular data set</t>
  </si>
  <si>
    <t>CPAT data tabs</t>
  </si>
  <si>
    <t>Openness category</t>
  </si>
  <si>
    <t>Data source:</t>
  </si>
  <si>
    <t>Link to data or Terms and Conditions (as applicable)</t>
  </si>
  <si>
    <t>Greenhouse Gas Emissions</t>
  </si>
  <si>
    <t>GHGs</t>
  </si>
  <si>
    <t>Open</t>
  </si>
  <si>
    <t>UNFCCC &amp; WRI CAIT</t>
  </si>
  <si>
    <r>
      <rPr>
        <b/>
        <sz val="9"/>
        <color theme="1"/>
        <rFont val="Segoe UI"/>
        <family val="2"/>
      </rPr>
      <t xml:space="preserve">WRI CAIT: </t>
    </r>
    <r>
      <rPr>
        <sz val="9"/>
        <color theme="1"/>
        <rFont val="Segoe UI"/>
        <family val="2"/>
      </rPr>
      <t xml:space="preserve">https://www.wri.org/our-work/project/cait-climate-data-explorer
</t>
    </r>
    <r>
      <rPr>
        <b/>
        <sz val="9"/>
        <color theme="1"/>
        <rFont val="Segoe UI"/>
        <family val="2"/>
      </rPr>
      <t>UNFCC</t>
    </r>
    <r>
      <rPr>
        <sz val="9"/>
        <color theme="1"/>
        <rFont val="Segoe UI"/>
        <family val="2"/>
      </rPr>
      <t>: https://unfccc.int/process-and-meetings/transparency-and-reporting/greenhouse-gas-data/ghg-data-unfccc/ghg-data-from-unfccc</t>
    </r>
  </si>
  <si>
    <t>Nationally Determined Commitments</t>
  </si>
  <si>
    <t>NDCs</t>
  </si>
  <si>
    <t>Climate Watch</t>
  </si>
  <si>
    <t>https://www.climatewatchdata.org/ndcs-explore</t>
  </si>
  <si>
    <t>Domestic Fuel Prices</t>
  </si>
  <si>
    <t>dom_prices</t>
  </si>
  <si>
    <t>Open. CPAT (IMF side) derivatives from proprietary data</t>
  </si>
  <si>
    <t>Various: IEA, Enerdata country offices, OECD. Openly available BNEF climatescope data. Refined.</t>
  </si>
  <si>
    <r>
      <rPr>
        <b/>
        <sz val="9"/>
        <color theme="1"/>
        <rFont val="Segoe UI"/>
        <family val="2"/>
      </rPr>
      <t xml:space="preserve">IEA: </t>
    </r>
    <r>
      <rPr>
        <sz val="9"/>
        <color theme="1"/>
        <rFont val="Segoe UI"/>
        <family val="2"/>
      </rPr>
      <t>https://iea.blob.core.windows.net/assets/3bf6ce57-3df6-4639-bf60-d73ee8f017c0/IEA-Terms-April-2020.pdf</t>
    </r>
    <r>
      <rPr>
        <b/>
        <sz val="9"/>
        <color theme="1"/>
        <rFont val="Segoe UI"/>
        <family val="2"/>
      </rPr>
      <t xml:space="preserve">
Enerdata: </t>
    </r>
    <r>
      <rPr>
        <sz val="9"/>
        <color theme="1"/>
        <rFont val="Segoe UI"/>
        <family val="2"/>
      </rPr>
      <t>https://www.enerdata.net/terms-conditions.html</t>
    </r>
    <r>
      <rPr>
        <b/>
        <sz val="9"/>
        <color theme="1"/>
        <rFont val="Segoe UI"/>
        <family val="2"/>
      </rPr>
      <t xml:space="preserve">
OECD</t>
    </r>
    <r>
      <rPr>
        <sz val="9"/>
        <color theme="1"/>
        <rFont val="Segoe UI"/>
        <family val="2"/>
      </rPr>
      <t xml:space="preserve">: https://www.oecd.org/termsandconditions/?_ga=2.92732957.129827420.1622686486-574055691.1595441182
</t>
    </r>
  </si>
  <si>
    <t>Elasticities &amp; Annual Efficiency Improvements</t>
  </si>
  <si>
    <t>Elasticities</t>
  </si>
  <si>
    <t>Various (literature review)</t>
  </si>
  <si>
    <t>N/A</t>
  </si>
  <si>
    <t>Existing Carbon Prices</t>
  </si>
  <si>
    <t>ECPPC</t>
  </si>
  <si>
    <t>WB Carbon Pricing Dashboard</t>
  </si>
  <si>
    <t>https://carbonpricingdashboard.worldbank.org/</t>
  </si>
  <si>
    <t>Power Sector Data</t>
  </si>
  <si>
    <t>Power</t>
  </si>
  <si>
    <t>Derivatives from open data</t>
  </si>
  <si>
    <t>CPAT calculations from EIA data (Electrical Capacity); Energy GP calculation from IRENA (VRE scale-up); General Power Data is an average of openly available sources including: IEA, EIA, IRENA, Bogdanov et al and JRC (EU)</t>
  </si>
  <si>
    <t>Social Cost of Carbon</t>
  </si>
  <si>
    <t>SCC</t>
  </si>
  <si>
    <t>Ricke, K., L. Drouet, K. Caldeira and M. Tavoni. "Country-level social cost of carbon" (2018)</t>
  </si>
  <si>
    <t>https://www.nature.com/articles/s41558-018-0282-y</t>
  </si>
  <si>
    <t>Energy Consumption</t>
  </si>
  <si>
    <t>CPAT calculations and projections from multiple data sources</t>
  </si>
  <si>
    <t>World Development Indicators</t>
  </si>
  <si>
    <t>WDI</t>
  </si>
  <si>
    <t>https://databank.worldbank.org/source/world-development-indicators</t>
  </si>
  <si>
    <t>Macro data and projections from World Economic Outlook</t>
  </si>
  <si>
    <t>WEO2020</t>
  </si>
  <si>
    <t>IMF WEO</t>
  </si>
  <si>
    <t>https://www.imf.org/en/Publications/SPROLLs/world-economic-outlook-databases#sort=%40imfdate%20descending</t>
  </si>
  <si>
    <t>Macro Balance of Payments from World Economic Outlook</t>
  </si>
  <si>
    <t>WEOBOP</t>
  </si>
  <si>
    <t xml:space="preserve">Emissions Factors </t>
  </si>
  <si>
    <t>EF_GHG</t>
  </si>
  <si>
    <t>Used with Permission</t>
  </si>
  <si>
    <t>IIASA's GAINS model</t>
  </si>
  <si>
    <t>https://iiasa.ac.at/web/home/research/researchPrograms/air/GAINS.html</t>
  </si>
  <si>
    <t>CalVal</t>
  </si>
  <si>
    <t>International Energy Price Forecasts</t>
  </si>
  <si>
    <t>int_prices</t>
  </si>
  <si>
    <t>World Bank Commodity Price Forecasts, IMF World Economic Outlook, IEA World Energy Outlook</t>
  </si>
  <si>
    <r>
      <rPr>
        <b/>
        <sz val="9"/>
        <color theme="1"/>
        <rFont val="Segoe UI"/>
        <family val="2"/>
      </rPr>
      <t>WB</t>
    </r>
    <r>
      <rPr>
        <sz val="9"/>
        <color theme="1"/>
        <rFont val="Segoe UI"/>
        <family val="2"/>
      </rPr>
      <t xml:space="preserve">: https://www.worldbank.org/en/research/commodity-markets; 
</t>
    </r>
    <r>
      <rPr>
        <b/>
        <sz val="9"/>
        <color theme="1"/>
        <rFont val="Segoe UI"/>
        <family val="2"/>
      </rPr>
      <t>IMF</t>
    </r>
    <r>
      <rPr>
        <sz val="9"/>
        <color theme="1"/>
        <rFont val="Segoe UI"/>
        <family val="2"/>
      </rPr>
      <t xml:space="preserve">: https://www.imf.org/en/Publications/WEO
</t>
    </r>
    <r>
      <rPr>
        <b/>
        <sz val="9"/>
        <color theme="1"/>
        <rFont val="Segoe UI"/>
        <family val="2"/>
      </rPr>
      <t>IEA</t>
    </r>
    <r>
      <rPr>
        <sz val="9"/>
        <color theme="1"/>
        <rFont val="Segoe UI"/>
        <family val="2"/>
      </rPr>
      <t xml:space="preserve">: https://www.iea.org/topics/world-energy-outlook
</t>
    </r>
    <r>
      <rPr>
        <b/>
        <sz val="9"/>
        <color theme="1"/>
        <rFont val="Segoe UI"/>
        <family val="2"/>
      </rPr>
      <t>EIA</t>
    </r>
    <r>
      <rPr>
        <sz val="9"/>
        <color theme="1"/>
        <rFont val="Segoe UI"/>
        <family val="2"/>
      </rPr>
      <t>: https://www.eia.gov/outlooks/aeo/tables_ref.php</t>
    </r>
  </si>
  <si>
    <t>Popn</t>
  </si>
  <si>
    <t>Global Burden of Disease (2020); Vollset et al (2020)</t>
  </si>
  <si>
    <t>https://www.thelancet.com/article/S0140-6736(20)30677-2/fulltext</t>
  </si>
  <si>
    <t>Multipliers</t>
  </si>
  <si>
    <t>CPAT team</t>
  </si>
  <si>
    <t>Explanation</t>
  </si>
  <si>
    <t>Code Name</t>
  </si>
  <si>
    <t>Default</t>
  </si>
  <si>
    <t>Carbon pricing: main inputs</t>
  </si>
  <si>
    <t>Carbon pricing start year</t>
  </si>
  <si>
    <t>CPIntro</t>
  </si>
  <si>
    <t>(Set in dashboard)</t>
  </si>
  <si>
    <t>Starting carbon price</t>
  </si>
  <si>
    <t>CPLevelStart</t>
  </si>
  <si>
    <t>Target level of carbon price</t>
  </si>
  <si>
    <t>CPLevelTarget</t>
  </si>
  <si>
    <t>Year to reach target level</t>
  </si>
  <si>
    <t>CPOutro</t>
  </si>
  <si>
    <t>Carbon pricing: fuel coverage</t>
  </si>
  <si>
    <t>Apply tax to coal?</t>
  </si>
  <si>
    <t>MCovCoa</t>
  </si>
  <si>
    <t>Apply tax to natural gas?</t>
  </si>
  <si>
    <t>MCovNga</t>
  </si>
  <si>
    <t>Apply tax to gasoline?</t>
  </si>
  <si>
    <t>MCovGso</t>
  </si>
  <si>
    <t>Apply tax to diesel?</t>
  </si>
  <si>
    <t>MCovDie</t>
  </si>
  <si>
    <t>Apply tax to LPG?</t>
  </si>
  <si>
    <t>MCovLpg</t>
  </si>
  <si>
    <t>Apply tax to kerosene?</t>
  </si>
  <si>
    <t>MCovKer</t>
  </si>
  <si>
    <t>Apply tax to non-road oil products?</t>
  </si>
  <si>
    <t>MCovOop</t>
  </si>
  <si>
    <t>Carbon pricing: sector coverage</t>
  </si>
  <si>
    <t>Apply tax to power sector?</t>
  </si>
  <si>
    <t>MCovPow</t>
  </si>
  <si>
    <t>Apply tax to road transportation?</t>
  </si>
  <si>
    <t>MCovRod</t>
  </si>
  <si>
    <t>Apply tax to rail transportation?</t>
  </si>
  <si>
    <t>MCovRal</t>
  </si>
  <si>
    <t>Apply tax to domestic aviation?</t>
  </si>
  <si>
    <t>MCovAvi</t>
  </si>
  <si>
    <t>Apply tax to domestic shipping?</t>
  </si>
  <si>
    <t>MCovNav</t>
  </si>
  <si>
    <t>Apply tax to residential sector?</t>
  </si>
  <si>
    <t>MCovRes</t>
  </si>
  <si>
    <t>Apply tax to food &amp; forestry?</t>
  </si>
  <si>
    <t>MCovFoo</t>
  </si>
  <si>
    <t>Apply tax to services (private / public)?</t>
  </si>
  <si>
    <t>MCovSrv</t>
  </si>
  <si>
    <t>Apply tax to mining &amp; chemicals?</t>
  </si>
  <si>
    <t>MCovMch</t>
  </si>
  <si>
    <t>Apply tax to iron and steel?</t>
  </si>
  <si>
    <t>MCovIrn</t>
  </si>
  <si>
    <t>Apply tax to non-ferrous metals?</t>
  </si>
  <si>
    <t>MCovNfm</t>
  </si>
  <si>
    <t>Apply tax to machinery?</t>
  </si>
  <si>
    <t>MCovMac</t>
  </si>
  <si>
    <t>Apply tax to cement?</t>
  </si>
  <si>
    <t>MCovCem</t>
  </si>
  <si>
    <t>Apply tax to other manucfacturing?</t>
  </si>
  <si>
    <t>MCovOmn</t>
  </si>
  <si>
    <t>Apply tax to construction?</t>
  </si>
  <si>
    <t>MCovCst</t>
  </si>
  <si>
    <t>Apply tax to fuel transformation?</t>
  </si>
  <si>
    <t>MCovFtr</t>
  </si>
  <si>
    <t>Apply tax to other energy use?</t>
  </si>
  <si>
    <t>MCovOen</t>
  </si>
  <si>
    <t>Exemptions phaseout</t>
  </si>
  <si>
    <t>Apply exemption phaseout?</t>
  </si>
  <si>
    <t>ExemptPhaseout</t>
  </si>
  <si>
    <t>Year to start exemption phaseout (if applicable)</t>
  </si>
  <si>
    <t>YearPha</t>
  </si>
  <si>
    <t>Period to reach full exemption phaseout (if applicable)</t>
  </si>
  <si>
    <t>ExemptPhaseoutPeriod</t>
  </si>
  <si>
    <t>Fossil fuel subsidies (producer-side)</t>
  </si>
  <si>
    <t>Apply producer subsidies phaseout in the policy scenario?</t>
  </si>
  <si>
    <t>ProdSubPh</t>
  </si>
  <si>
    <t>Year to start producer subsidies phaseout (if applicable)</t>
  </si>
  <si>
    <t>YearProdSubPha</t>
  </si>
  <si>
    <t>Period to reach full producer subsidies phaseout (if applicable)</t>
  </si>
  <si>
    <t>FFSProdPhaseoutPeriod</t>
  </si>
  <si>
    <t>Share of producer subsidies to phase-out</t>
  </si>
  <si>
    <t>ShareofProdSubPha</t>
  </si>
  <si>
    <t>Apply producer subsidies phaseout in the baseline?</t>
  </si>
  <si>
    <t>ProdSubPhaBaseline</t>
  </si>
  <si>
    <t>Yes</t>
  </si>
  <si>
    <t>Period to reach full producer subsidies phaseout (baseline)</t>
  </si>
  <si>
    <t>FFSProdPhaseoutPeriodBA</t>
  </si>
  <si>
    <t>Share of producer subsidies to phase-out in the baseline</t>
  </si>
  <si>
    <t>ShareOfProdSubPhaBA</t>
  </si>
  <si>
    <t>Fossil fuel subsidies (consumer-side)</t>
  </si>
  <si>
    <t>Apply consumer subsidies phaseout?</t>
  </si>
  <si>
    <t>ConsSubPha</t>
  </si>
  <si>
    <t>Year to start consumer subsidies phaseout (if applicable)</t>
  </si>
  <si>
    <t>YearConsSubPha</t>
  </si>
  <si>
    <t>Period to reach full consumer subsidies phaseout (if applicable)</t>
  </si>
  <si>
    <t>FFPhaseOut</t>
  </si>
  <si>
    <t>Share of consumer subsidies to phase-out</t>
  </si>
  <si>
    <t>ShareOfConsSubPha</t>
  </si>
  <si>
    <t>Apply consumer subsidies phaseout in the baseline?</t>
  </si>
  <si>
    <t>ConsSubPhaBaseline</t>
  </si>
  <si>
    <t>Period to reach full consumer subsidies phaseout (baseline)</t>
  </si>
  <si>
    <t>FFSConsPhaseoutPeriodBA</t>
  </si>
  <si>
    <t>Share of consumer subsidies to phase-out in the baseline</t>
  </si>
  <si>
    <t>ShareofConsSubPhaBA</t>
  </si>
  <si>
    <t>Include power subsidies in any phase out?</t>
  </si>
  <si>
    <t>PowerSubsidyExemptInclude</t>
  </si>
  <si>
    <t>Include*</t>
  </si>
  <si>
    <t>Price liberalization</t>
  </si>
  <si>
    <t>Apply price controls phaseout?</t>
  </si>
  <si>
    <t>PrcContPha</t>
  </si>
  <si>
    <t>Year to start price controls phaseout (if applicable)</t>
  </si>
  <si>
    <t>YearPrcContPha</t>
  </si>
  <si>
    <t>Period to reach full price controls phaseout (if applicable)</t>
  </si>
  <si>
    <t>PrcControlPhaseout</t>
  </si>
  <si>
    <t>Government energy price controls</t>
  </si>
  <si>
    <t>GovPriceControls</t>
  </si>
  <si>
    <t>None*</t>
  </si>
  <si>
    <t>Apply price controls phaseout in the baseline scenario?</t>
  </si>
  <si>
    <t>PrcContPhaBaseline</t>
  </si>
  <si>
    <t>Revenues use</t>
  </si>
  <si>
    <t>Labor tax reductions</t>
  </si>
  <si>
    <t>EXPLabortax</t>
  </si>
  <si>
    <t>Corporate taxes</t>
  </si>
  <si>
    <t>EXPCIT</t>
  </si>
  <si>
    <t>Public investment</t>
  </si>
  <si>
    <t>EXPCapex</t>
  </si>
  <si>
    <t>Current spending</t>
  </si>
  <si>
    <t>EXPGoodsandserv</t>
  </si>
  <si>
    <t>Targeted transfers</t>
  </si>
  <si>
    <t>EXPTransfers</t>
  </si>
  <si>
    <t>of which:</t>
  </si>
  <si>
    <t>targeted percentile</t>
  </si>
  <si>
    <t>TargettedPercentile</t>
  </si>
  <si>
    <t>coverage rate</t>
  </si>
  <si>
    <t>CoverageRate</t>
  </si>
  <si>
    <t>leakage rate</t>
  </si>
  <si>
    <t>LeakageRate</t>
  </si>
  <si>
    <t>Policy options</t>
  </si>
  <si>
    <t>Additional mitigation policies in non-energy sectors?</t>
  </si>
  <si>
    <t>AdditionMitigationPoliciesNonEnergy</t>
  </si>
  <si>
    <t>Yes*</t>
  </si>
  <si>
    <t>Apply existing ETS (if exists)?</t>
  </si>
  <si>
    <t>ExistingETSApply</t>
  </si>
  <si>
    <t>Existing ETS permit price growth per annum (real terms)</t>
  </si>
  <si>
    <t>ExistingETSGrowth</t>
  </si>
  <si>
    <t>New carbon tax complementary to existing ETS coverage</t>
  </si>
  <si>
    <t>CTaxComplimentaryToETS</t>
  </si>
  <si>
    <t>No*</t>
  </si>
  <si>
    <t>ETS behavioral responses and revenues adjustment</t>
  </si>
  <si>
    <t>ETSBehavioralAdjustment</t>
  </si>
  <si>
    <t>Years to phase in non-climate Pigouvian tax?</t>
  </si>
  <si>
    <t>AddEfficientTaxesPhaseInYears</t>
  </si>
  <si>
    <t>Apply existing carbon tax (if exists)?</t>
  </si>
  <si>
    <t>ExistingCTApply</t>
  </si>
  <si>
    <t>Assumed existing carbon tax growth per annum (real terms)</t>
  </si>
  <si>
    <t>ExistingCTGrowth</t>
  </si>
  <si>
    <t>Add additional excise tax (see 'Manual inputs' tab)?</t>
  </si>
  <si>
    <t>AdditionalExcise</t>
  </si>
  <si>
    <t>Add non-climate Pigouvian tax on top?</t>
  </si>
  <si>
    <t>AddEfficientTaxes</t>
  </si>
  <si>
    <t>Externalities are part of VAT base for optimal taxes?</t>
  </si>
  <si>
    <t>ExternalityAddVAT</t>
  </si>
  <si>
    <t>Sources for key inputs</t>
  </si>
  <si>
    <t>International energy price forecasts</t>
  </si>
  <si>
    <t>IntEnerPricForeSource</t>
  </si>
  <si>
    <t>IMF-WB*</t>
  </si>
  <si>
    <t>Global energy demand scenario</t>
  </si>
  <si>
    <t>GlobalEnergyDemand</t>
  </si>
  <si>
    <t>Stated Policies*</t>
  </si>
  <si>
    <t>GDP growth forecasts</t>
  </si>
  <si>
    <t>GDPScenario</t>
  </si>
  <si>
    <t>WEO*</t>
  </si>
  <si>
    <t>Primary source for price elasticities of demand</t>
  </si>
  <si>
    <t>ElPrcMainSrc</t>
  </si>
  <si>
    <t>Simple*</t>
  </si>
  <si>
    <t>Primary source for income elasticities of demand</t>
  </si>
  <si>
    <t>ElIncMainSrc</t>
  </si>
  <si>
    <t>CO2 emissions factors</t>
  </si>
  <si>
    <t>EmissionsFactCO2</t>
  </si>
  <si>
    <t>IIASA*</t>
  </si>
  <si>
    <t>MultipliersSource</t>
  </si>
  <si>
    <t>Income-grp*</t>
  </si>
  <si>
    <t>Power sector model (elasticity or engineering)?</t>
  </si>
  <si>
    <t>PowModelSelected</t>
  </si>
  <si>
    <t>Average*</t>
  </si>
  <si>
    <t>NDC submission</t>
  </si>
  <si>
    <t>Latest*</t>
  </si>
  <si>
    <t>General assumptions</t>
  </si>
  <si>
    <t>First year of model calculations?</t>
  </si>
  <si>
    <t>FirstYearCalculations</t>
  </si>
  <si>
    <t>Nominal results in real terms of which year?</t>
  </si>
  <si>
    <t>ResultsYear</t>
  </si>
  <si>
    <t>Use energy balances or (CPAT) energy consumption data</t>
  </si>
  <si>
    <t>BalancesOrConsumption</t>
  </si>
  <si>
    <t>Consumption</t>
  </si>
  <si>
    <t>Generate Matrix of Energy Consumption Projections for Year</t>
  </si>
  <si>
    <t>EnergyConsumptionsMatrixProjectionsYear</t>
  </si>
  <si>
    <t>Adjust Annex I country energy-related CO2 EFs to match UNFCCC GHG inventories?</t>
  </si>
  <si>
    <t>EFsAdjustmentAnnexI</t>
  </si>
  <si>
    <t>Adjust non-Annex I country energy-related CO2 EFs to match CAIT GHG inventories?</t>
  </si>
  <si>
    <t>EFsAdjustmentNonAnnexI</t>
  </si>
  <si>
    <t>Industrial process emissions scale with industrial CO2 energy emissions?</t>
  </si>
  <si>
    <t>IndustrialProcessEmissionsScaleEner</t>
  </si>
  <si>
    <t>LULUCF emissions decline at % pa (in absolute value of start year)?</t>
  </si>
  <si>
    <t>LULUCFAnnualEmissionsDecline</t>
  </si>
  <si>
    <t>Additional policy-induced efficiency gains pa by sector:</t>
  </si>
  <si>
    <t>AdditionalEfficiencyPower</t>
  </si>
  <si>
    <t>Road vehicles</t>
  </si>
  <si>
    <t>AdditionalEfficiencyRoadVehicle</t>
  </si>
  <si>
    <t>Residential</t>
  </si>
  <si>
    <t>AdditionalEfficiencyResidential</t>
  </si>
  <si>
    <t>Industrial</t>
  </si>
  <si>
    <t>AdditionalEfficiencyIndustrial</t>
  </si>
  <si>
    <t>Adjustment to efficiency margins for shadow pricing policies:</t>
  </si>
  <si>
    <t>SPPEffAdjEnergyEfficiencyRegulations</t>
  </si>
  <si>
    <t>SPPEffAdjVehicleFuelEconomy</t>
  </si>
  <si>
    <t>SPPEffAdjRes</t>
  </si>
  <si>
    <t>SPPEffAdjInd</t>
  </si>
  <si>
    <t>SPPEffAdjFeebates</t>
  </si>
  <si>
    <t>Residential Substitution Implicit Efficiencies</t>
  </si>
  <si>
    <t>ResSubstLPGEff</t>
  </si>
  <si>
    <t>ResSubstKerEff</t>
  </si>
  <si>
    <t>ResSubstBioEff</t>
  </si>
  <si>
    <t>NatGas</t>
  </si>
  <si>
    <t>ResSubstNatGasEff</t>
  </si>
  <si>
    <t>Uncertainty adjustments</t>
  </si>
  <si>
    <t>International energy prices adjustment</t>
  </si>
  <si>
    <t>IntEnerPricForecastAdjustment</t>
  </si>
  <si>
    <t>Base*</t>
  </si>
  <si>
    <t>GDP growth adjustment</t>
  </si>
  <si>
    <t>GdpAdj</t>
  </si>
  <si>
    <t>Price elasticities adjustment</t>
  </si>
  <si>
    <t>ElastPriceAdjustment</t>
  </si>
  <si>
    <t>Income elasticities adjustment</t>
  </si>
  <si>
    <t>ElastIncAdjustment</t>
  </si>
  <si>
    <t>Adjust income elasticities for GDP levels?</t>
  </si>
  <si>
    <t>IncElAdj</t>
  </si>
  <si>
    <t>Fiscal multipliers adjustment</t>
  </si>
  <si>
    <t>FmAdj</t>
  </si>
  <si>
    <t>Miscellaneous</t>
  </si>
  <si>
    <t>Price pathway continues to rise after target year?</t>
  </si>
  <si>
    <t>ExtendCarbonPriceBeyondOutro</t>
  </si>
  <si>
    <t>Linear*</t>
  </si>
  <si>
    <t>Tax pathway is in nominal or real terms?</t>
  </si>
  <si>
    <t>NomorReal</t>
  </si>
  <si>
    <t>Real*</t>
  </si>
  <si>
    <t>Include endogenous GDP effects?</t>
  </si>
  <si>
    <t>GDPEndogenous</t>
  </si>
  <si>
    <t>Residential LPG/kerosene always exempted</t>
  </si>
  <si>
    <t>AlwaysExemptResLPGKer</t>
  </si>
  <si>
    <t>National social cost of carbon (NSCC) source</t>
  </si>
  <si>
    <t>NSCCSource</t>
  </si>
  <si>
    <t>Target*</t>
  </si>
  <si>
    <t>Congestion &amp; road damage attributable to fuels</t>
  </si>
  <si>
    <t>TransExternAttribPortion</t>
  </si>
  <si>
    <t>Override dashboard and impose a linear or exponential carbon price trajectory?</t>
  </si>
  <si>
    <t>CTaxTrajectoryType</t>
  </si>
  <si>
    <t>If overridden and exponential, what is the real escalation rate per year?</t>
  </si>
  <si>
    <t>CtaxExponentialEscalationRate</t>
  </si>
  <si>
    <t xml:space="preserve">Social cost of carbon </t>
  </si>
  <si>
    <t>NSCC discount rate (ρ)</t>
  </si>
  <si>
    <t>NSCCDiscountRate</t>
  </si>
  <si>
    <t>2%*</t>
  </si>
  <si>
    <t>NSCC elasticity of marginal utility (μ)</t>
  </si>
  <si>
    <t>NSCCMargUtilofCons</t>
  </si>
  <si>
    <t>1.5%*</t>
  </si>
  <si>
    <t>Global social cost of carbon (GSCC) source</t>
  </si>
  <si>
    <t>GSCCSource</t>
  </si>
  <si>
    <t xml:space="preserve">Manual - assumed starting in year 2021 </t>
  </si>
  <si>
    <t>SCC (both NSCC and GSCC)</t>
  </si>
  <si>
    <t>SCCRise</t>
  </si>
  <si>
    <t>Target-consistent carbon price by 2030 (for 'Target' option)</t>
  </si>
  <si>
    <t>SCCTargetConsistentCP</t>
  </si>
  <si>
    <t>Energy pricing assumptions</t>
  </si>
  <si>
    <t>Use manual domestic prices?</t>
  </si>
  <si>
    <t>DomPrTax</t>
  </si>
  <si>
    <t>No</t>
  </si>
  <si>
    <t>Use uniform global assumption for fuel prices (normally 'No')</t>
  </si>
  <si>
    <t>UseGlobalPrices</t>
  </si>
  <si>
    <t>Year of interest for energy externalities &amp; prices</t>
  </si>
  <si>
    <t>YearFuelPrices</t>
  </si>
  <si>
    <t>VAT reform</t>
  </si>
  <si>
    <t>Apply general VAT rate on residential and transport consumption?</t>
  </si>
  <si>
    <t>VatRef</t>
  </si>
  <si>
    <t>Existing non-carbon taxes</t>
  </si>
  <si>
    <t>Apply existing non-carbon taxes on coal?</t>
  </si>
  <si>
    <t>ApplyExistingNonCarbonTaxCoa</t>
  </si>
  <si>
    <t>Apply existing non-carbon taxes on natural gas?</t>
  </si>
  <si>
    <t>ApplyExistingNonCarbonTaxNga</t>
  </si>
  <si>
    <t>Apply existing non-carbon taxes on gasoline?</t>
  </si>
  <si>
    <t>ApplyExistingNonCarbonTaxGso</t>
  </si>
  <si>
    <t>Apply existing non-carbon taxes on diesel?</t>
  </si>
  <si>
    <t>ApplyExistingNonCarbonTaxDie</t>
  </si>
  <si>
    <t>Apply existing non-carbon taxes on other oil products?</t>
  </si>
  <si>
    <t>ApplyExistingNonCarbonTaxOop</t>
  </si>
  <si>
    <t>Apply existing non-carbon taxes on LPG?</t>
  </si>
  <si>
    <t>ApplyExistingNonCarbonTaxLpg</t>
  </si>
  <si>
    <t>Apply existing non-carbon taxes on kerosene?</t>
  </si>
  <si>
    <t>ApplyExistingNonCarbonTaxKer</t>
  </si>
  <si>
    <t>Apply existing non-carbon taxes on biomass?</t>
  </si>
  <si>
    <t>ApplyExistingNonCarbonTaxBio</t>
  </si>
  <si>
    <t>Apply existing non-carbon taxes on electricity?</t>
  </si>
  <si>
    <t>ApplyExistingNonCarbonTaxEcy</t>
  </si>
  <si>
    <t>Other assumptions: mitigation module</t>
  </si>
  <si>
    <t>Use 'world' (USA) or country-specific discount factors?</t>
  </si>
  <si>
    <t>DfSelection</t>
  </si>
  <si>
    <t>World</t>
  </si>
  <si>
    <t>Sum all oil products in industrial transformation sector</t>
  </si>
  <si>
    <t>NonEnergyTransformationMethod</t>
  </si>
  <si>
    <t>Converted</t>
  </si>
  <si>
    <t>LPG in residential implicit (cookstove) efficiency</t>
  </si>
  <si>
    <t>LPGEff</t>
  </si>
  <si>
    <t>Kerosene in residential implicit (cookstove) efficiency</t>
  </si>
  <si>
    <t>KerEff</t>
  </si>
  <si>
    <t>Biomass in residential implicit (cookstove) efficiency</t>
  </si>
  <si>
    <t>BioEff</t>
  </si>
  <si>
    <t>Natural gas in residential implicit (cookstove) efficiency</t>
  </si>
  <si>
    <t>NatGasEff</t>
  </si>
  <si>
    <t>Distributional module assumptions</t>
  </si>
  <si>
    <t>Analysis year for distributional module</t>
  </si>
  <si>
    <t>YearDistn</t>
  </si>
  <si>
    <t>Targeted transfer type</t>
  </si>
  <si>
    <t>TransferType</t>
  </si>
  <si>
    <t>Cash</t>
  </si>
  <si>
    <t>Target households below poverty line (2011 PPP$/day)</t>
  </si>
  <si>
    <t>TargetBelow</t>
  </si>
  <si>
    <t>Public/infrastructure investment type</t>
  </si>
  <si>
    <t>PublicInfrastructureInvType</t>
  </si>
  <si>
    <t>All Infr.</t>
  </si>
  <si>
    <t>Current spending type</t>
  </si>
  <si>
    <t>CurrentSpendingType</t>
  </si>
  <si>
    <t>All Social Protection and Labor</t>
  </si>
  <si>
    <t>Personal Income Tax (PIT) reduction type</t>
  </si>
  <si>
    <t>PITReductionType</t>
  </si>
  <si>
    <t>Personal Allowance</t>
  </si>
  <si>
    <t>"Targeted Exemption" for bottom XX deciles</t>
  </si>
  <si>
    <t>DistExcCfDec</t>
  </si>
  <si>
    <t>Replace missing labor tax data, grouping by country</t>
  </si>
  <si>
    <t>MissingDataReplacement</t>
  </si>
  <si>
    <t>region</t>
  </si>
  <si>
    <t>Exempt most-used cooking fossil fuel?</t>
  </si>
  <si>
    <t>ExemptMostCook</t>
  </si>
  <si>
    <t>Exempt cooking fossil fuel for bottom XX deciles:</t>
  </si>
  <si>
    <t>ExemptCookDeciles</t>
  </si>
  <si>
    <t>Adjust for behavioral &amp; structural change?</t>
  </si>
  <si>
    <t>InferredDist</t>
  </si>
  <si>
    <t>Include decile-specific price elasticities?</t>
  </si>
  <si>
    <t>PEDs</t>
  </si>
  <si>
    <t>Adjust GTAP-implied CP revenues to CPAT?</t>
  </si>
  <si>
    <t>ScaleGTAP</t>
  </si>
  <si>
    <t>Adjust for deadweight losses?</t>
  </si>
  <si>
    <t>DWLs</t>
  </si>
  <si>
    <t>Imperfect pass-through?</t>
  </si>
  <si>
    <t>PassthroughDist</t>
  </si>
  <si>
    <t>Impacts for average, median, p25, or p75?</t>
  </si>
  <si>
    <t>QuantilesStatistic</t>
  </si>
  <si>
    <t>mean</t>
  </si>
  <si>
    <t>Quantiles in LCU?</t>
  </si>
  <si>
    <t>QuantilesLCU</t>
  </si>
  <si>
    <t>Air pollution module assumptions</t>
  </si>
  <si>
    <t>Emissions to concentrations, PM2.5</t>
  </si>
  <si>
    <t>SourceAppSel</t>
  </si>
  <si>
    <t>Avg. iF and LS FASST*</t>
  </si>
  <si>
    <t>Emissions to concentrations, Ozone</t>
  </si>
  <si>
    <t>SourceAppO3</t>
  </si>
  <si>
    <t>TM5-FASST</t>
  </si>
  <si>
    <t>EFSel</t>
  </si>
  <si>
    <t>Average</t>
  </si>
  <si>
    <t>Include leakage to biomass in residential sector</t>
  </si>
  <si>
    <t>BiomassLeakage</t>
  </si>
  <si>
    <t>Biomass is a normal good</t>
  </si>
  <si>
    <t>BiomassNormal</t>
  </si>
  <si>
    <t>VSL source</t>
  </si>
  <si>
    <t>VSLMethod</t>
  </si>
  <si>
    <t>Transfer from OECD</t>
  </si>
  <si>
    <t>VSL (where manual source)</t>
  </si>
  <si>
    <t>VSLManual</t>
  </si>
  <si>
    <t>VSL elasticity source</t>
  </si>
  <si>
    <t>VslElSource</t>
  </si>
  <si>
    <t>Income group</t>
  </si>
  <si>
    <t>VSL elasticity (where manual source)</t>
  </si>
  <si>
    <t>VslEl</t>
  </si>
  <si>
    <t>Discount rate selection</t>
  </si>
  <si>
    <t>DiscSel</t>
  </si>
  <si>
    <t>3% (Robinson 2019)</t>
  </si>
  <si>
    <t>Discount rate (where manual source)</t>
  </si>
  <si>
    <t>DiscRate</t>
  </si>
  <si>
    <t>Other assumptions: air pollution module</t>
  </si>
  <si>
    <t>Number of working days per month</t>
  </si>
  <si>
    <t>WorkDays</t>
  </si>
  <si>
    <t>Labor share of GDP, default value</t>
  </si>
  <si>
    <t>ApLabSh</t>
  </si>
  <si>
    <t>Max % of households using solid fuels</t>
  </si>
  <si>
    <t>ApMaxSs</t>
  </si>
  <si>
    <t>Leakage converted into % HH using solid fuels</t>
  </si>
  <si>
    <t>ApLeakHh</t>
  </si>
  <si>
    <t>Apply cessation lag when discounting averted deaths</t>
  </si>
  <si>
    <t>ApCessLag</t>
  </si>
  <si>
    <t>Power Sector</t>
  </si>
  <si>
    <t>Power Rebate</t>
  </si>
  <si>
    <t>PowerRebates</t>
  </si>
  <si>
    <t>Power price: portion of cost change passed-on:</t>
  </si>
  <si>
    <t>PowerSectorPriceChangePassOn</t>
  </si>
  <si>
    <t>Year of interest for power sector costs</t>
  </si>
  <si>
    <t>CostBreakdownYear</t>
  </si>
  <si>
    <t>Estimate economy-wide or sectoral power demand?</t>
  </si>
  <si>
    <t xml:space="preserve">ElasticityModel </t>
  </si>
  <si>
    <t>Economy-wide</t>
  </si>
  <si>
    <t>k Parameter dispatch</t>
  </si>
  <si>
    <t>kDispatch</t>
  </si>
  <si>
    <t>k Parameter investment</t>
  </si>
  <si>
    <t>kInvestment</t>
  </si>
  <si>
    <t>Minimum WACC</t>
  </si>
  <si>
    <t>MinimumWACC</t>
  </si>
  <si>
    <t>Use old or new generation costs in elasticity model?</t>
  </si>
  <si>
    <t>PowGenCostsOldNew</t>
  </si>
  <si>
    <t>New*</t>
  </si>
  <si>
    <t>Hydro retirement rate set to zero</t>
  </si>
  <si>
    <t>HydroDoesntRetire</t>
  </si>
  <si>
    <t>Minimum (post subsidy) generation cost $/kwh real</t>
  </si>
  <si>
    <t>MinPostSubsidyPowerPrice</t>
  </si>
  <si>
    <t>RE Subsidies</t>
  </si>
  <si>
    <t>Baseline renewable energy subsidy, $/kwh nom</t>
  </si>
  <si>
    <t>RenewableSubsidyBL</t>
  </si>
  <si>
    <t>New renewable energy subsidy, $/kwh nom</t>
  </si>
  <si>
    <t>RenSubsidyAddUSDkwh</t>
  </si>
  <si>
    <t>New renewable energy subsidy, phaseout</t>
  </si>
  <si>
    <t>RenSubsidyAddPhaseoutYrs</t>
  </si>
  <si>
    <t>Apply additional RE subsidy to hydroelectric power?</t>
  </si>
  <si>
    <t>RenewableSubsidyHydro</t>
  </si>
  <si>
    <t>RE Scale-up limits</t>
  </si>
  <si>
    <t>Max new investment in coal/gas as a percentage of total generation</t>
  </si>
  <si>
    <t>MaxNonVREAsPCOfTotalGen</t>
  </si>
  <si>
    <t>Max new investment oil/hyd/nucl/ore/bio as a percentage of total generation</t>
  </si>
  <si>
    <t>MaxNonHydNucOreBioAsPCOfTotalGen</t>
  </si>
  <si>
    <t>User-Defined Setting for VRE Max-Scale up (if used)</t>
  </si>
  <si>
    <t>MaxWindSolarScaleup</t>
  </si>
  <si>
    <t>Max renewable scaleup rate setting</t>
  </si>
  <si>
    <t>MaxScaleUpRateCategory</t>
  </si>
  <si>
    <t>CtryDefault*</t>
  </si>
  <si>
    <t>More Power Generation Settings</t>
  </si>
  <si>
    <t>Use Elasticity Model Power Demand In Engineer Model</t>
  </si>
  <si>
    <t>UseElasticityModelPowerDemandInEngineerModel</t>
  </si>
  <si>
    <t>Cost of capital: User-defined, Inc-dep,  or Tech-dep?</t>
  </si>
  <si>
    <t>WACCSource</t>
  </si>
  <si>
    <t>Income*</t>
  </si>
  <si>
    <t>If Global, what Value?</t>
  </si>
  <si>
    <t>WACCUserGlobal</t>
  </si>
  <si>
    <t>Renewable Cost Declines</t>
  </si>
  <si>
    <t>RenewableCostDeclineRate</t>
  </si>
  <si>
    <t>Medium*</t>
  </si>
  <si>
    <t>Use Spot Fuel Prices in Engineer Power Model</t>
  </si>
  <si>
    <t>UseSpotFuelPricesInEngineerModel</t>
  </si>
  <si>
    <t>Use Additional Coal Intangible Cost</t>
  </si>
  <si>
    <t>AdditionalCoalIntangibleCost</t>
  </si>
  <si>
    <t>Manual Coal Intangible Cost (short term)</t>
  </si>
  <si>
    <t>ManualCoalIntangibleCostST</t>
  </si>
  <si>
    <t>Manual Coal Intangible Cost (long term)</t>
  </si>
  <si>
    <t>ManualCoal ntangibleCost LT</t>
  </si>
  <si>
    <t>Maximum Coal Capacity Factor</t>
  </si>
  <si>
    <t>MaximumCoalCF</t>
  </si>
  <si>
    <t>Maximum Gas Capacity Factor</t>
  </si>
  <si>
    <t>MaximumGasCF</t>
  </si>
  <si>
    <t>Proportion of (2020-21) Covid adjustment passed on to engineer model power demand</t>
  </si>
  <si>
    <t>EngineerModelProportionOfCovidFactor</t>
  </si>
  <si>
    <t>Override Capacity Factor if below (Wind and Solar)</t>
  </si>
  <si>
    <t>CFOverrideIfBelowWndSol</t>
  </si>
  <si>
    <t>Override Capacity Factor if below (Others)</t>
  </si>
  <si>
    <t>CFOverrideIfBelowFosOth</t>
  </si>
  <si>
    <t>Override Capacity Factor if below (All)</t>
  </si>
  <si>
    <t>CFOverrideIfAbove</t>
  </si>
  <si>
    <t>Proportion of coal capacity that can be retired</t>
  </si>
  <si>
    <t>MaxCostBasedEarlyRetirement</t>
  </si>
  <si>
    <t>Minimum Thermal Efficiency</t>
  </si>
  <si>
    <t>MinimumThermalEfficiency</t>
  </si>
  <si>
    <t>Coal and Gas Power Purchase Agreements</t>
  </si>
  <si>
    <t>Proportion of PPAs in Coal and Gas Generation</t>
  </si>
  <si>
    <t>PPAProportionCoalGas</t>
  </si>
  <si>
    <t>Phase out any coal and gas PPAs?</t>
  </si>
  <si>
    <t>PhaseOutCoalAndGasPPAs</t>
  </si>
  <si>
    <t>Phase begins when?</t>
  </si>
  <si>
    <t>YearPPACoalGas</t>
  </si>
  <si>
    <t>Phase out coal and gas PPAs over n years?</t>
  </si>
  <si>
    <t>YearsToPhaseOutPPAs</t>
  </si>
  <si>
    <t>Short Term Storage Parameters</t>
  </si>
  <si>
    <t>Percent allocation of ST storage costs to VRE</t>
  </si>
  <si>
    <t>AllocateSTStorageToVRE</t>
  </si>
  <si>
    <t>Total hours short term strorage for 100% VRE</t>
  </si>
  <si>
    <t>TotalHoursStorageFor100pcVRE</t>
  </si>
  <si>
    <t>kwh storage to kw interface ratio (hours)</t>
  </si>
  <si>
    <t>StorageToInterfaceRatioSTStorage</t>
  </si>
  <si>
    <t>Long Term Storage Parameters</t>
  </si>
  <si>
    <t>Percent allocation of LT storage costs to VRE</t>
  </si>
  <si>
    <t>AllocateLTStorageToVRE</t>
  </si>
  <si>
    <t>Starting point of long term storage requirement (%VRE)</t>
  </si>
  <si>
    <t>StartingPointWhenLTStorageIsNeeded</t>
  </si>
  <si>
    <t>GW electrolyzer per Gwy/y for 100% VRE (%)</t>
  </si>
  <si>
    <t>LongTermStorageFor100pcVRE</t>
  </si>
  <si>
    <t>Storage hours for LT storage</t>
  </si>
  <si>
    <t>StorageHoursForLTStorage</t>
  </si>
  <si>
    <t>Adjust Baseline Cost of Capital</t>
  </si>
  <si>
    <t>Coal - adjust baseline cost of capital?</t>
  </si>
  <si>
    <t>CostCapCoa</t>
  </si>
  <si>
    <t>Natural gas - adjust baseline cost of capital?</t>
  </si>
  <si>
    <t>CostCapNga</t>
  </si>
  <si>
    <t>Oil - adjust baseline cost of capital?</t>
  </si>
  <si>
    <t>CostCapOil</t>
  </si>
  <si>
    <t>Nuclear - adjust baseline cost of capital?</t>
  </si>
  <si>
    <t>CostCapNuc</t>
  </si>
  <si>
    <t>Wind - adjust baseline cost of capital?</t>
  </si>
  <si>
    <t>CostCapWind</t>
  </si>
  <si>
    <t>Solar - adjust baseline cost of capital?</t>
  </si>
  <si>
    <t>CostCapSol</t>
  </si>
  <si>
    <t>Hydro - adjust baseline cost of capital?</t>
  </si>
  <si>
    <t>CostCapHydro</t>
  </si>
  <si>
    <t>Other renewables - adjust baseline cost of capital?</t>
  </si>
  <si>
    <t>CostCapOren</t>
  </si>
  <si>
    <t>Biomass - adjust baseline cost of capital?</t>
  </si>
  <si>
    <t>CostCapBio</t>
  </si>
  <si>
    <t>Override Baseline Cost of Capital if selected</t>
  </si>
  <si>
    <t>Coal - baseline cost of capital</t>
  </si>
  <si>
    <t>CostCapBloverCoa</t>
  </si>
  <si>
    <t>Natural gas - baseline cost of capital</t>
  </si>
  <si>
    <t>CostCapBloverNga</t>
  </si>
  <si>
    <t>Oil - baseline cost of capital</t>
  </si>
  <si>
    <t>CostCapBloverOil</t>
  </si>
  <si>
    <t>Nuclear - baseline cost of capital</t>
  </si>
  <si>
    <t>CostCapBloverNuc</t>
  </si>
  <si>
    <t>Wind - baseline cost of capital</t>
  </si>
  <si>
    <t>CostCapBloverWind</t>
  </si>
  <si>
    <t>Solar - baseline cost of capital</t>
  </si>
  <si>
    <t>CostCapBloverSol</t>
  </si>
  <si>
    <t>Hydro - baseline cost of capital</t>
  </si>
  <si>
    <t>CostCapBloverHydro</t>
  </si>
  <si>
    <t>Other renewables - baseline cost of capital</t>
  </si>
  <si>
    <t>CostCapBloverOren</t>
  </si>
  <si>
    <t>Biomass - baseline cost of capital</t>
  </si>
  <si>
    <t>CostCapBloverBio</t>
  </si>
  <si>
    <t>Additional Cost of Capital Increment Policy Scenario</t>
  </si>
  <si>
    <t>Coal - add cost of capital increment  in policy?</t>
  </si>
  <si>
    <t>CostCapAddCoa</t>
  </si>
  <si>
    <t>Natural gas - add cost of capital increment  in policy?</t>
  </si>
  <si>
    <t>CostCapAddNga</t>
  </si>
  <si>
    <t>Oil - add cost of capital increment  in policy?</t>
  </si>
  <si>
    <t>CostCapAddOil</t>
  </si>
  <si>
    <t>Nuclear - add cost of capital increment  in policy?</t>
  </si>
  <si>
    <t>CostCapAddNuc</t>
  </si>
  <si>
    <t>Wind - add cost of capital increment  in policy?</t>
  </si>
  <si>
    <t>CostCapAddWind</t>
  </si>
  <si>
    <t>Solar - add cost of capital increment  in policy?</t>
  </si>
  <si>
    <t>CostCapAddSol</t>
  </si>
  <si>
    <t>Hydro - add cost of capital increment  in policy?</t>
  </si>
  <si>
    <t>CostCapAddHydro</t>
  </si>
  <si>
    <t>Other renewables - add cost of capital increment  in policy?</t>
  </si>
  <si>
    <t>CostCapAddOren</t>
  </si>
  <si>
    <t>Biomass - add cost of capital increment  in policy?</t>
  </si>
  <si>
    <t>CostCapAddBio</t>
  </si>
  <si>
    <t>Policy Scenario Cost of Capital Delta if selected</t>
  </si>
  <si>
    <t>Coal - Cost of Capital Delta</t>
  </si>
  <si>
    <t>CostCapDeltaCoa</t>
  </si>
  <si>
    <t>Natural gas - Cost of Capital Delta</t>
  </si>
  <si>
    <t>CostCapDeltaNga</t>
  </si>
  <si>
    <t>Oil - Cost of Capital Delta</t>
  </si>
  <si>
    <t>CostCapDeltaOil</t>
  </si>
  <si>
    <t>Nuclear - Cost of Capital Delta</t>
  </si>
  <si>
    <t>CostCapDeltaNuc</t>
  </si>
  <si>
    <t>Wind - Cost of Capital Delta</t>
  </si>
  <si>
    <t>CostCapDeltaWind</t>
  </si>
  <si>
    <t>Solar - Cost of Capital Delta</t>
  </si>
  <si>
    <t>CostCapDeltaSol</t>
  </si>
  <si>
    <t>Hydro - Cost of Capital Delta</t>
  </si>
  <si>
    <t>CostCapDeltaHydro</t>
  </si>
  <si>
    <t>Other renewables - Cost of Capital Delta</t>
  </si>
  <si>
    <t>CostCapDeltaOren</t>
  </si>
  <si>
    <t>Biomass - Cost of Capital Delta</t>
  </si>
  <si>
    <t>CostCapDeltaBio</t>
  </si>
  <si>
    <t>Policy Scenario Cost of Capital Override if selected</t>
  </si>
  <si>
    <t>Coal - Cost of Capital Override</t>
  </si>
  <si>
    <t>CostCapOverCoa</t>
  </si>
  <si>
    <t>Natural gas - Cost of Capital Override</t>
  </si>
  <si>
    <t>CostCapOverNga</t>
  </si>
  <si>
    <t>Oil - Cost of Capital Override</t>
  </si>
  <si>
    <t>CostCapOverOil</t>
  </si>
  <si>
    <t>Nuclear - Cost of Capital Override</t>
  </si>
  <si>
    <t>CostCapOverNuc</t>
  </si>
  <si>
    <t>Wind - Cost of Capital Override</t>
  </si>
  <si>
    <t>CostCapOverWind</t>
  </si>
  <si>
    <t>Solar - Cost of Capital Override</t>
  </si>
  <si>
    <t>CostCapOverSol</t>
  </si>
  <si>
    <t>Hydro - Cost of Capital Override</t>
  </si>
  <si>
    <t>CostCapOverHydro</t>
  </si>
  <si>
    <t>Other renewables - Cost of Capital Override</t>
  </si>
  <si>
    <t>CostCapOverOren</t>
  </si>
  <si>
    <t>Biomass - Cost of Capital Override</t>
  </si>
  <si>
    <t>CostCapOverBio</t>
  </si>
  <si>
    <t>Allowed New Investments Override if selected</t>
  </si>
  <si>
    <t>Coal - New Investment Override</t>
  </si>
  <si>
    <t>NewInvCoa</t>
  </si>
  <si>
    <t>If Present*</t>
  </si>
  <si>
    <t>Natural gas - New Investment Override</t>
  </si>
  <si>
    <t>NewInvNga</t>
  </si>
  <si>
    <t>Oil - New Investment Override</t>
  </si>
  <si>
    <t>NewInvOil</t>
  </si>
  <si>
    <t>Nuclear - New Investment Override</t>
  </si>
  <si>
    <t>NewInvNuc</t>
  </si>
  <si>
    <t>Wind - New Investment Override</t>
  </si>
  <si>
    <t>NewInvWnd</t>
  </si>
  <si>
    <t>Solar - New Investment Override</t>
  </si>
  <si>
    <t>NewInvSol</t>
  </si>
  <si>
    <t>Hydro - New Investment Override</t>
  </si>
  <si>
    <t>NewInvHyd</t>
  </si>
  <si>
    <t>Other renewables - New Investment Override</t>
  </si>
  <si>
    <t>NewInvOre</t>
  </si>
  <si>
    <t>Biomass - New Investment Override</t>
  </si>
  <si>
    <t>NewInvBio</t>
  </si>
  <si>
    <t>Allowed New Investments (Date of Coming Online)</t>
  </si>
  <si>
    <t>NewInvCoaYear</t>
  </si>
  <si>
    <t>NewInvNgaYear</t>
  </si>
  <si>
    <t>Oil</t>
  </si>
  <si>
    <t>NewInvOilYear</t>
  </si>
  <si>
    <t>NewInvNucYear</t>
  </si>
  <si>
    <t>NewInvWndYear</t>
  </si>
  <si>
    <t>NewInvSolYear</t>
  </si>
  <si>
    <t>NewInvHydYear</t>
  </si>
  <si>
    <t>Other renewables</t>
  </si>
  <si>
    <t>NewInvOreYear</t>
  </si>
  <si>
    <t>NewInvBioYear</t>
  </si>
  <si>
    <t>CPAT energy products</t>
  </si>
  <si>
    <t>Corresponding IEA energy products codes</t>
  </si>
  <si>
    <t>Corresponding IEA energy products</t>
  </si>
  <si>
    <t>HARDCOAL</t>
  </si>
  <si>
    <t>Hard coal</t>
  </si>
  <si>
    <t>BROWN, BKB</t>
  </si>
  <si>
    <t>Brown coal, Brown coal briquettes</t>
  </si>
  <si>
    <t>ANTCOAL</t>
  </si>
  <si>
    <t>Anthracite</t>
  </si>
  <si>
    <t>COKCOAL, OVENCOKE, GASCOKE, COKEOVGS</t>
  </si>
  <si>
    <t>Coking coal, Coke oven coke, Gas coke, Coke oven gas</t>
  </si>
  <si>
    <t>BITCOAL, SUBCOAL</t>
  </si>
  <si>
    <t>Other bituminous coal, Sub-bituminous coal</t>
  </si>
  <si>
    <t>LIGNITE</t>
  </si>
  <si>
    <t>Lignite</t>
  </si>
  <si>
    <t xml:space="preserve">PEAT, PEATPROD </t>
  </si>
  <si>
    <t>Peat, Peat products</t>
  </si>
  <si>
    <t>BLFURGS, GASWKSGS, OGASES</t>
  </si>
  <si>
    <t>Blast furnace gas, Gas works gas, Other recovered gases</t>
  </si>
  <si>
    <t>COALTAR, PATFUEL</t>
  </si>
  <si>
    <t>Coal tar, Patent fuel</t>
  </si>
  <si>
    <t xml:space="preserve">NATGAS </t>
  </si>
  <si>
    <t>NGL</t>
  </si>
  <si>
    <t>Natural gas liquids</t>
  </si>
  <si>
    <t>NONBIOGASO</t>
  </si>
  <si>
    <t>Motor gasoline excl. biofuels</t>
  </si>
  <si>
    <t>NONBIODIES</t>
  </si>
  <si>
    <t>Gas/diesel oil excl. biofuels</t>
  </si>
  <si>
    <t>Liquefied petroleum gases</t>
  </si>
  <si>
    <t>OTHKERO</t>
  </si>
  <si>
    <t>Other kerosene (other than kerosene used for aircraft transport)</t>
  </si>
  <si>
    <t>NONBIOJETK</t>
  </si>
  <si>
    <t>Kerosene type jet fuel excl. biofuels</t>
  </si>
  <si>
    <t xml:space="preserve">AVGAS </t>
  </si>
  <si>
    <t>Aviation gasoline</t>
  </si>
  <si>
    <t>JETGAS</t>
  </si>
  <si>
    <t>Gasoline type jet fuel</t>
  </si>
  <si>
    <t>CRUDEOIL; CRNGFEED</t>
  </si>
  <si>
    <t>Crude oil; Crude/NGL/feedstocks (if not details)</t>
  </si>
  <si>
    <t>RESFUEL</t>
  </si>
  <si>
    <t>Fuel oil</t>
  </si>
  <si>
    <t>OILSHALE, BITUMEN, PETCOKE</t>
  </si>
  <si>
    <t>Oil shale and oil sands, Bitumen, Petroleum coke</t>
  </si>
  <si>
    <t>ETHANE</t>
  </si>
  <si>
    <t>Ethane</t>
  </si>
  <si>
    <t>LUBRIC, NAPHTHA, PARWAX, WHITESP, ADDITIVE</t>
  </si>
  <si>
    <t>Lubricants, Naphtha, Paraffin waxes, White spirit &amp; industrial spirit (SBP), Additives/blending components</t>
  </si>
  <si>
    <t>REFFEEDS, REFINGAS</t>
  </si>
  <si>
    <t>Refinery feedstocks, Refinery gas</t>
  </si>
  <si>
    <t>NONCRUDE, ONONSPEC</t>
  </si>
  <si>
    <t>Other hydrocarbons, Other oil products</t>
  </si>
  <si>
    <t xml:space="preserve">PRIMSBIO </t>
  </si>
  <si>
    <t>Primary solid biofuels</t>
  </si>
  <si>
    <t>CHARCOAL</t>
  </si>
  <si>
    <t>Charcoal</t>
  </si>
  <si>
    <t>BIOGASOL</t>
  </si>
  <si>
    <t>Biogasoline</t>
  </si>
  <si>
    <t>BIODIESEL</t>
  </si>
  <si>
    <t>Biodiesels</t>
  </si>
  <si>
    <t>OBIOLIQ</t>
  </si>
  <si>
    <t>Other liquid biofuels</t>
  </si>
  <si>
    <t>WIND</t>
  </si>
  <si>
    <t>Wind energy</t>
  </si>
  <si>
    <t>SOLARPV</t>
  </si>
  <si>
    <t>Solar photovoltaics</t>
  </si>
  <si>
    <t>SOLARTH</t>
  </si>
  <si>
    <t>Solar thermal</t>
  </si>
  <si>
    <t>HYDRO</t>
  </si>
  <si>
    <t>Hydro energy</t>
  </si>
  <si>
    <t xml:space="preserve">BIOJETKERO; BIOGASES  </t>
  </si>
  <si>
    <t>Bio jet kerosene; Biogases</t>
  </si>
  <si>
    <t>GEOTHERM</t>
  </si>
  <si>
    <t>Geothermal</t>
  </si>
  <si>
    <t xml:space="preserve">INDWASTE; MUNWASTEN; MUNWASTER  </t>
  </si>
  <si>
    <t>Industrial waste; Municipal waste (non-renewable); Municipal waste (renewable)</t>
  </si>
  <si>
    <t>TIDE</t>
  </si>
  <si>
    <t>Tide, wave and ocean</t>
  </si>
  <si>
    <t xml:space="preserve">RENEWNS  </t>
  </si>
  <si>
    <t>Non-specified primary biofuels and waste</t>
  </si>
  <si>
    <t>NUCLEAR</t>
  </si>
  <si>
    <t>Nuclear energy</t>
  </si>
  <si>
    <t>ELECTR</t>
  </si>
  <si>
    <t xml:space="preserve">Electricity </t>
  </si>
  <si>
    <t>Energy type</t>
  </si>
  <si>
    <t>Efficiency</t>
  </si>
  <si>
    <t>Data section</t>
  </si>
  <si>
    <t>Methodology</t>
  </si>
  <si>
    <t>Data level</t>
  </si>
  <si>
    <t>Data source</t>
  </si>
  <si>
    <t>Main parameters</t>
  </si>
  <si>
    <t>Simple averages of available data points are computed. In the first stage, in order not to overweight one data source over another, the averages are calculated by data source, as a data source may provide different data at a given time and for the same technology because data are project-based. In a second step, the calculation of averages is deployed in the following order of priority: by country, by CPAT region,  and globally.</t>
  </si>
  <si>
    <t>CapEx, variable and fixed OpEx are in USD/kW
Capacity Factor, WACC ad efficiency are in percentage
Total lifetime is in years</t>
  </si>
  <si>
    <t>Global
Regional
Country</t>
  </si>
  <si>
    <t>IRENA; IEA&amp;NEA; EIA; Enerdata; JRC; Bogdanov et al. (2019); NREL</t>
  </si>
  <si>
    <t>Evolution of CapEx</t>
  </si>
  <si>
    <t>Following the work of JRC (see Ioannis Tsiropoulos, Dalius Tarvydas, and Andreas Zucker 2018), the learning curve method to forecast CAPEX for renewable energies from 2023 to 2040  is applied to each CPAT region, China, Japan, Korea  and worldwide. The other technologies, i.e. coal, oil, natural gas, and nuclear, are not subject to a learning rate nor to different scenarios and are assumed to be constant over time.</t>
  </si>
  <si>
    <t>Index (base year: 2019)</t>
  </si>
  <si>
    <t>Global
Regional
Country: China, Japan, Korea</t>
  </si>
  <si>
    <t>Enerdate, IRENA, Breyer, JRC and NREL</t>
  </si>
  <si>
    <t>Decommissioning &amp; Transmission costs</t>
  </si>
  <si>
    <t>Decommissioning and transmission costs are based on estimates provided by several data sources. The average is computed and then transformed to be expressed as percentage of CapEx. NB: Transmission costs in % of CapEx are not currently used in CPAT. Transmission costs rely on the IEA.</t>
  </si>
  <si>
    <t>Pourcentage of CapEx; $/kwhe</t>
  </si>
  <si>
    <t>Global</t>
  </si>
  <si>
    <t>Decomissioning costs (Raimi, 2017; OECD&amp;NEA, 2016; Duke Energy Corporation) &amp; Transmission costs (Andrade &amp; Baldick, 2017; IEA)</t>
  </si>
  <si>
    <t>Installed capacity</t>
  </si>
  <si>
    <t>A CPAT algorithm is used to calculate the shares of installed capacity for coal oil and gas.</t>
  </si>
  <si>
    <t>Installed capacity in MW</t>
  </si>
  <si>
    <t>Country</t>
  </si>
  <si>
    <t xml:space="preserve">IEA </t>
  </si>
  <si>
    <t>Planned retirement</t>
  </si>
  <si>
    <r>
      <t xml:space="preserve">Based on the power plant data level, the retirement year of each power plant is determined and the capacity associated is determined from 2000 to 2050.
</t>
    </r>
    <r>
      <rPr>
        <i/>
        <sz val="9"/>
        <color theme="1"/>
        <rFont val="Segoe UI"/>
        <family val="2"/>
      </rPr>
      <t>Note: Power plants are removed if status = cancelled, shelved, mothballed.</t>
    </r>
  </si>
  <si>
    <t>Capacity in MW</t>
  </si>
  <si>
    <t>Coal Power Plant tracker</t>
  </si>
  <si>
    <t>Battery Storage</t>
  </si>
  <si>
    <t>Data are directly retrieved from the LUT model and interpolated when missing.</t>
  </si>
  <si>
    <t>Battery: CapEx, variable and fixed OpEx are in USD/kWh
Battery interface: CapEx and fixed OpEx are in USD/kW and variable OPEX in USD/kWh
WaterElectrolysis: CapEx and fixed OpEx are in USD/kW and variable OPEX in USD/kWh
Lifetime in years</t>
  </si>
  <si>
    <t>LUT model (Bogdanov et al., 2019)</t>
  </si>
  <si>
    <t>Energy recosts</t>
  </si>
  <si>
    <t>The estimation of energy recosts (Non-fuel Levelised Generation Cost) are based on the main parameters. The estimates are only computed for solar and wind.</t>
  </si>
  <si>
    <t>USD2017/kWh</t>
  </si>
  <si>
    <t>Global
Country</t>
  </si>
  <si>
    <t>Maximum and average MW capacity increase</t>
  </si>
  <si>
    <t xml:space="preserve">The methodology is derived from Energy GP. The data reflect the year 2020. </t>
  </si>
  <si>
    <t>Max and Average Capacity and Total Capacity are in MW
Average and Max growth rate are in percentage</t>
  </si>
  <si>
    <t>IRENA</t>
  </si>
  <si>
    <t>Income Level</t>
  </si>
  <si>
    <t>WACC Assumed</t>
  </si>
  <si>
    <r>
      <t>Myopic LCOE (Used as component of the power price)</t>
    </r>
    <r>
      <rPr>
        <sz val="9"/>
        <rFont val="Calibri"/>
        <family val="2"/>
      </rPr>
      <t> </t>
    </r>
  </si>
  <si>
    <r>
      <t>Perfect Foresight LCOE</t>
    </r>
    <r>
      <rPr>
        <vertAlign val="superscript"/>
        <sz val="7"/>
        <rFont val="Calibri"/>
        <family val="2"/>
      </rPr>
      <t>7</t>
    </r>
    <r>
      <rPr>
        <b/>
        <sz val="9"/>
        <rFont val="Calibri"/>
        <family val="2"/>
      </rPr>
      <t xml:space="preserve"> (Used for the investment decision)</t>
    </r>
    <r>
      <rPr>
        <sz val="9"/>
        <rFont val="Calibri"/>
        <family val="2"/>
      </rPr>
      <t> </t>
    </r>
  </si>
  <si>
    <r>
      <t>The escalation in time for a given vintage</t>
    </r>
    <r>
      <rPr>
        <sz val="9"/>
        <rFont val="Calibri"/>
        <family val="2"/>
      </rPr>
      <t> </t>
    </r>
  </si>
  <si>
    <r>
      <t>The escalation in time for new investment </t>
    </r>
    <r>
      <rPr>
        <sz val="9"/>
        <rFont val="Calibri"/>
        <family val="2"/>
      </rPr>
      <t> </t>
    </r>
  </si>
  <si>
    <t>Capital Cost </t>
  </si>
  <si>
    <t>  </t>
  </si>
  <si>
    <t>NA </t>
  </si>
  <si>
    <t>As per global assumptions: declinging for renewables </t>
  </si>
  <si>
    <t>Variable Opex </t>
  </si>
  <si>
    <t>Current Variable Opex </t>
  </si>
  <si>
    <t>0% pa </t>
  </si>
  <si>
    <r>
      <t>(Myopic and perfect foresight are equivalent due to 0% real escalation assumption)</t>
    </r>
    <r>
      <rPr>
        <sz val="9"/>
        <rFont val="Calibri"/>
        <family val="2"/>
      </rPr>
      <t> </t>
    </r>
  </si>
  <si>
    <t>Fixed Opex </t>
  </si>
  <si>
    <t>(Current Fixed Opex) / (CF*365*24) </t>
  </si>
  <si>
    <t xml:space="preserve"> </t>
  </si>
  <si>
    <t>Fuel Costs before Carbon Tax </t>
  </si>
  <si>
    <t>Current Fuel Price </t>
  </si>
  <si>
    <t>0% pa for myopic; as per global assumptions for perfect foresight </t>
  </si>
  <si>
    <t>As per the global schedule </t>
  </si>
  <si>
    <t>Carbon Tax </t>
  </si>
  <si>
    <t>Current Carbon Tax </t>
  </si>
  <si>
    <t>0% for myopic; as per global assumptions for perfect foresight </t>
  </si>
  <si>
    <t>Category</t>
  </si>
  <si>
    <t>Energy</t>
  </si>
  <si>
    <t>enr</t>
  </si>
  <si>
    <t>Industrial Processes and Product Use</t>
  </si>
  <si>
    <t>ipr</t>
  </si>
  <si>
    <t xml:space="preserve">Agriculture </t>
  </si>
  <si>
    <t>agr</t>
  </si>
  <si>
    <t>Land Use, Land-Use Change and Forestry</t>
  </si>
  <si>
    <t>lucf</t>
  </si>
  <si>
    <t>Waste</t>
  </si>
  <si>
    <t>wst</t>
  </si>
  <si>
    <t>Other</t>
  </si>
  <si>
    <t>Total including LUCF</t>
  </si>
  <si>
    <t>tot.inc</t>
  </si>
  <si>
    <t>Total excluding LUCF</t>
  </si>
  <si>
    <t>tot.exc</t>
  </si>
  <si>
    <t>Memo: energy distribution</t>
  </si>
  <si>
    <t>fug</t>
  </si>
  <si>
    <t>Settings</t>
  </si>
  <si>
    <t>Defaults (*) and additional options</t>
  </si>
  <si>
    <t>Description</t>
  </si>
  <si>
    <t>Key policy option</t>
  </si>
  <si>
    <t>Additional mitigation effort in non-energy sectors?</t>
  </si>
  <si>
    <t>Yes*/No/Manual</t>
  </si>
  <si>
    <t>Whether complementary policies are implemented alongside the main policy to target GHGs in non-energy sectors (industrial processes, agriculture, LULUCF, waste, and fugitive emissions). No macro/welfare effects are estimated.</t>
  </si>
  <si>
    <t>Linear*/No/Percentage</t>
  </si>
  <si>
    <t>No = policy remains flat after target year
Linear = price continues to rise in a linear manner after target year
Percentage = price continues to rise at the same % growth rate in the target year of the linear pathway</t>
  </si>
  <si>
    <t>Policy pathway is in nominal or real terms?</t>
  </si>
  <si>
    <t>Real*/Nominal</t>
  </si>
  <si>
    <t>If nominal, tax rate reduces with inflation.</t>
  </si>
  <si>
    <t>1*/0.75/0.5/0.25/0</t>
  </si>
  <si>
    <t>The portion of the increase in generation costs from the policy that are passed on in consumer prices. &lt;1.0 for e.g. countries with state-owned utilities where the utility is not allowed to pass-on input cost increases to retail electricity prices.</t>
  </si>
  <si>
    <t>Power feebate: power revenues rebated per kwh</t>
  </si>
  <si>
    <t>No*/Yes</t>
  </si>
  <si>
    <t>If selected, this means revenues raised from additional taxes/ETSs in power sector are kept within the sector through an output-based rebate to generators.</t>
  </si>
  <si>
    <t>Phase out existing electricity taxes/subsidies?</t>
  </si>
  <si>
    <t>If there are existing electricity taxes or subsidies, phases them out over the same time period as fossil fuel subsidies (defined above). For mitigation purposes it is preferable to tax the fuels going into electricity generation rather than the electricity itself, which could be sourced from renewables as well as fossil fuels.</t>
  </si>
  <si>
    <t>Harmonize VAT rates in residential and transport?</t>
  </si>
  <si>
    <t>Applies general economy's VAT rate on residential and transport prices</t>
  </si>
  <si>
    <t>AVG*/WB/IMF/EIA/IEA/IMF-IEA</t>
  </si>
  <si>
    <t>WB/IMF/EIA/IEA = use institutions'  forecasts for international prices for oil, gas, and coal
AVG = average of above four sources
IMF-IEA = average of IEA and IMF
Manual = defined in 'Manual inputs' tab</t>
  </si>
  <si>
    <t>WEO*/Manual</t>
  </si>
  <si>
    <t>WEO = growth forecasts from IMF's World Economic Outlook 
Manual = see 'Manual Inputs' tab</t>
  </si>
  <si>
    <t>Price elasticities of demand source</t>
  </si>
  <si>
    <t>Simple*/Manual</t>
  </si>
  <si>
    <t>Simple = elasticities drawn from literature review
Manual = defined in 'Manual inputs' tab</t>
  </si>
  <si>
    <t>Income elasticities of demand source</t>
  </si>
  <si>
    <t>IIASA*/IEA</t>
  </si>
  <si>
    <t>Use CO2 emissions factors (CO2e per ton of pollutant) from IIASA or IEA.</t>
  </si>
  <si>
    <t>Income-grp*/Estimated/Manual</t>
  </si>
  <si>
    <t>Income-grp/global = multipliers extracted from macrostructural model and averaged for countries in same income group/global
Estimated = fiscal multipliers estimated econometrically and averaged for regions
Manual = user-defined (in 'Manual inputs' tab)</t>
  </si>
  <si>
    <t>Power sector model (elasticity or engineer)?</t>
  </si>
  <si>
    <t>Average*/Elasticity/Engineering</t>
  </si>
  <si>
    <t>Engineering = use engineering-type power sector supply model
Elasticity = use elasticity-based power sector supply model</t>
  </si>
  <si>
    <t>Base*/High/Low</t>
  </si>
  <si>
    <t>Base = no adjustment
High = increase forecast prices by 50%
Low = reduce forecast prices by 50%</t>
  </si>
  <si>
    <t>Base = no adjustment
High = increase forecast GDP growth by 50%
Low = reduce forecast GDP growth by 50%</t>
  </si>
  <si>
    <t>Base*/Vhigh/High/Low/Vlow</t>
  </si>
  <si>
    <t>VLow = reduce by 2 standard deviations
Low = reduce by 1 standard deviations
Base = no adjustment
High = increase by 1 standard deviation
VHigh = increase by 2 standard deviations</t>
  </si>
  <si>
    <t>Yes*/No</t>
  </si>
  <si>
    <t>Adjusts income elasticities for electricity, gasoline and diesel with GDP levels (elasticities decrease as countries increase their per capita GDP). The intuition is that, for example, in middle-income countries households purchase fridges, but do not purchase additionals fridges as their income increaes further.</t>
  </si>
  <si>
    <t>Base = no adjustment
High = increase all fiscal multipliers by 1 standard deviation
Low = decrease all fiscal multipliers by 1 standard deviation</t>
  </si>
  <si>
    <t>Max power sector renewable scaleup rate</t>
  </si>
  <si>
    <t>Medium*/Vhigh/High/Low</t>
  </si>
  <si>
    <t>Maximum investment rate for solar and wind per year. Please see the power sector section for the meaning of the options.</t>
  </si>
  <si>
    <t>Renewable cost decline rate</t>
  </si>
  <si>
    <t>A learning rate methodology is applied, indicating the price reduction of the considered technology arising from every doubling of cumulative installed capacity (experience rate). 
Low = 0.5% increase of the installed capacity
Medium = 1% increase of the installed capacity
High = 2.5% increase of the installed capacity
Vhigh = 4% increase of the installed capacity</t>
  </si>
  <si>
    <t>Use fiscal multipliers to model effects on GDP, which increases projected energy demand ('rebound effect')</t>
  </si>
  <si>
    <t>Exempts LPG/kerosene used in residential sector in all scenarios</t>
  </si>
  <si>
    <t>National social cost of carbon (SCC) source</t>
  </si>
  <si>
    <t>Target*/Ricke2018/GlobalUS-EPA</t>
  </si>
  <si>
    <t>Shows national social cost of carbon source, which are the estimated cost of climate damages for the country, excluding costs to other countries (real US$2018 per ton of CO2)
 Target = global average Paris-consistent carbon price (set to $75 by 2030)
 Ricke2018 = uses Ricke et al. 2018 global estimates (further parametization in 'Advanced options' in mitigation module)
 Global - US EPA - use global SCC estimate from the US EPA ($62 in 2018)
 Manual = see 'Manual inputs' tab</t>
  </si>
  <si>
    <t>The portion of baseline congestion and road damage externalities attributable to motor fuels</t>
  </si>
  <si>
    <t>No*/Yes/FFS</t>
  </si>
  <si>
    <t>Adds additional Pigouvian tax for non-climate externalities (based on costs in baseline years)</t>
  </si>
  <si>
    <t>Years to phase-in non-climate Pigouvian tax?</t>
  </si>
  <si>
    <t>Number of years to gradually add non-climate Pigouvian tax on top of main policy</t>
  </si>
  <si>
    <t>Adds manual excise tax, as specified in 'Manual inputs' tab</t>
  </si>
  <si>
    <t>Balances*/Consumption</t>
  </si>
  <si>
    <t>Latest*/First round</t>
  </si>
  <si>
    <t>World*/Country</t>
  </si>
  <si>
    <t>Converted*/Raw</t>
  </si>
  <si>
    <t>2.5%</t>
  </si>
  <si>
    <t>Stated Policies*/Announced Pledges/Sustainable Development/Net Zero</t>
  </si>
  <si>
    <t>Social cost of carbon (SCC) assumptions</t>
  </si>
  <si>
    <t>$75</t>
  </si>
  <si>
    <t>2%*/1%</t>
  </si>
  <si>
    <t>1.5%*/0.7%</t>
  </si>
  <si>
    <t>SCC (both NSCC and GSCC) - annual rise in real terms from 2018</t>
  </si>
  <si>
    <t>Apply existing non-carbon taxes?</t>
  </si>
  <si>
    <t>This setting can be broken down per fuel</t>
  </si>
  <si>
    <t>Existing carbon tax</t>
  </si>
  <si>
    <t>Existing ETS</t>
  </si>
  <si>
    <t>Use manual domestic energy prices?</t>
  </si>
  <si>
    <t>Phase out Subsidies</t>
  </si>
  <si>
    <t>Share of subsidies to phase-out in the policy scenario</t>
  </si>
  <si>
    <t>100%</t>
  </si>
  <si>
    <t>Apply phaseout in the baseline scenario?</t>
  </si>
  <si>
    <t>Period to reach full phaseout (baseline scenario)</t>
  </si>
  <si>
    <t>5 years</t>
  </si>
  <si>
    <t>Share of subsidies to phase-out in the baseline scenario</t>
  </si>
  <si>
    <t>50%</t>
  </si>
  <si>
    <t>Share of subsidies to phase-out</t>
  </si>
  <si>
    <t>Share of subsidies to phase-out in baseline</t>
  </si>
  <si>
    <t>None*/Bucketed/Manual</t>
  </si>
  <si>
    <t>Phase-out price controls in the baseline?</t>
  </si>
  <si>
    <t>Elasticity Model Parameters</t>
  </si>
  <si>
    <t>Elasticity model uses economy-wide or sectoral power demand?</t>
  </si>
  <si>
    <t>Economy-wide*/Sectoral</t>
  </si>
  <si>
    <t>New*/Old</t>
  </si>
  <si>
    <t>Old: use Elasticity model original prices.
New: use Engineer Model (without coal adjusment)</t>
  </si>
  <si>
    <t>Engineer Model Parameters</t>
  </si>
  <si>
    <t>Speed of transitioning between generation types with a different cost</t>
  </si>
  <si>
    <t>$0</t>
  </si>
  <si>
    <t>$0.01</t>
  </si>
  <si>
    <t>90%</t>
  </si>
  <si>
    <t>Use additional coal intangible cost</t>
  </si>
  <si>
    <t xml:space="preserve">Default Yes*: Account for intangible cost of coal.
No: Do not account for implicit prices of coal.
Manual: User can manually add data. </t>
  </si>
  <si>
    <t>Manual Value for coal intangible cost (base year)</t>
  </si>
  <si>
    <t>Manual Value for coal intangible cost (2030)</t>
  </si>
  <si>
    <t>Maximum cost based early coal retirement proportion</t>
  </si>
  <si>
    <t>80%</t>
  </si>
  <si>
    <t>More Engineer Model Parameters</t>
  </si>
  <si>
    <t>WACC: User-, Income- or Tech-dependent?</t>
  </si>
  <si>
    <t>Income*/Tech/Use</t>
  </si>
  <si>
    <t>If User-selected global WACC, what value?</t>
  </si>
  <si>
    <t>7.5%</t>
  </si>
  <si>
    <t>The WACC can also be technology-dependent, i.e. it can be specified for each technology. The WACC can be defined globally by the user.</t>
  </si>
  <si>
    <t>1%</t>
  </si>
  <si>
    <t>9 hours</t>
  </si>
  <si>
    <t>2 hours</t>
  </si>
  <si>
    <t>33%</t>
  </si>
  <si>
    <t>75%</t>
  </si>
  <si>
    <t>kWh of LT storage per kW electrolysis</t>
  </si>
  <si>
    <t>1000kWh</t>
  </si>
  <si>
    <t>It uses 5 year centred moving average, where we have data (3y for first year, 4y for second)</t>
  </si>
  <si>
    <t>Use Engineer Covid Adjustment (1=Yes 0=No)</t>
  </si>
  <si>
    <t>Max coal/gas invsmnt as a percentage of total gen</t>
  </si>
  <si>
    <t>5%</t>
  </si>
  <si>
    <t>Max hyd/ore/nuc/bio invsmnt as a percentage of total gen</t>
  </si>
  <si>
    <t>2%</t>
  </si>
  <si>
    <t>Max fossil/nuclear growth rate</t>
  </si>
  <si>
    <t>Engineer: Investment, Overrides and Financing</t>
  </si>
  <si>
    <t>Plan or enable new investment</t>
  </si>
  <si>
    <t>If present*/Yes/No/Manual</t>
  </si>
  <si>
    <t>If present* = If Nameplate Capacity &gt; 0, then an investment is accounted for in the model, otherwise no.
Yes = Planned investments are enabled.
No = Disable new investments.
Manual = Allows the user to enter data. These data will overwrite the data determined by the model and new capacity will be accounted for as: New Nameplate Investments (MW) = Capacity data entered by the user + planned retirement.</t>
  </si>
  <si>
    <t>Override Capacity Factor</t>
  </si>
  <si>
    <t>The minimum of capacity factor for solar and wind, as well as for other technologies, and the maximum capacity factor can be modified.</t>
  </si>
  <si>
    <t>WACC override (baseline and policy scenario)</t>
  </si>
  <si>
    <t xml:space="preserve">The WACC can be specified for the baseline and the policy scenario. </t>
  </si>
  <si>
    <t>Solar/Wind Max Investment</t>
  </si>
  <si>
    <t>Medium*/Low/High/Vhigh</t>
  </si>
  <si>
    <t>Percentage of total generation and of existing capacity of generation type</t>
  </si>
  <si>
    <t>Technology</t>
  </si>
  <si>
    <t>Average time (year) for construction</t>
  </si>
  <si>
    <t>Solar (Utility-scale PV)</t>
  </si>
  <si>
    <t>Geothermal power</t>
  </si>
  <si>
    <t>Hydropower</t>
  </si>
  <si>
    <t>On-shore wind</t>
  </si>
  <si>
    <t>Scenarios</t>
  </si>
  <si>
    <t>Geothermal Power</t>
  </si>
  <si>
    <t>Low</t>
  </si>
  <si>
    <t>Medium</t>
  </si>
  <si>
    <t>High</t>
  </si>
  <si>
    <t>Very high</t>
  </si>
  <si>
    <r>
      <t>Indicator</t>
    </r>
    <r>
      <rPr>
        <sz val="11"/>
        <color rgb="FF000000"/>
        <rFont val="Calibri"/>
        <family val="2"/>
      </rPr>
      <t> </t>
    </r>
  </si>
  <si>
    <r>
      <t>Variable</t>
    </r>
    <r>
      <rPr>
        <sz val="11"/>
        <color rgb="FF000000"/>
        <rFont val="Calibri"/>
        <family val="2"/>
      </rPr>
      <t> </t>
    </r>
  </si>
  <si>
    <r>
      <t>Unit</t>
    </r>
    <r>
      <rPr>
        <sz val="11"/>
        <color rgb="FF000000"/>
        <rFont val="Calibri"/>
        <family val="2"/>
      </rPr>
      <t> </t>
    </r>
  </si>
  <si>
    <r>
      <t>Source</t>
    </r>
    <r>
      <rPr>
        <sz val="11"/>
        <color rgb="FF000000"/>
        <rFont val="Calibri"/>
        <family val="2"/>
      </rPr>
      <t> </t>
    </r>
  </si>
  <si>
    <t>NGDP_D </t>
  </si>
  <si>
    <t>GDP Deflator </t>
  </si>
  <si>
    <t>Index </t>
  </si>
  <si>
    <t>WEO </t>
  </si>
  <si>
    <t>  </t>
  </si>
  <si>
    <t>Discount index - 2021 </t>
  </si>
  <si>
    <t>GDP growth - nominal (current prices, LCU) </t>
  </si>
  <si>
    <t>% change </t>
  </si>
  <si>
    <t>NGDP_RPCH </t>
  </si>
  <si>
    <t>GDP growth - real (constant prices) </t>
  </si>
  <si>
    <t>NGDP_R </t>
  </si>
  <si>
    <t>GDP - real (constant prices) </t>
  </si>
  <si>
    <t>LCU bn </t>
  </si>
  <si>
    <t>GDP - real (current prices) </t>
  </si>
  <si>
    <t>USD bn </t>
  </si>
  <si>
    <t>GDP - real (constant prices) - 2021 USD </t>
  </si>
  <si>
    <t>NGDP </t>
  </si>
  <si>
    <t>GDP - nominal (current prices) </t>
  </si>
  <si>
    <t>NGDPRPC </t>
  </si>
  <si>
    <t>GDP per capita - real (constant prices) </t>
  </si>
  <si>
    <t>LCU </t>
  </si>
  <si>
    <t>NGDP_R_PPP_PC </t>
  </si>
  <si>
    <t>PPP; 2011 international dollar </t>
  </si>
  <si>
    <t>LP </t>
  </si>
  <si>
    <t>Population </t>
  </si>
  <si>
    <t>mm </t>
  </si>
  <si>
    <t>GBD, WEO, WDI </t>
  </si>
  <si>
    <t>LE </t>
  </si>
  <si>
    <t>Employment </t>
  </si>
  <si>
    <t>ENDA </t>
  </si>
  <si>
    <t>Exchange rate </t>
  </si>
  <si>
    <t>LCU/USD </t>
  </si>
  <si>
    <t>Euro exchange rate </t>
  </si>
  <si>
    <t>EUR per US$ </t>
  </si>
  <si>
    <t>SP.URB.GROW </t>
  </si>
  <si>
    <t>Urban population growth - latest available </t>
  </si>
  <si>
    <t>WDI </t>
  </si>
  <si>
    <t>Urban population growth (annual %)  </t>
  </si>
  <si>
    <t>GDP Deflator (2012=100) </t>
  </si>
  <si>
    <t>index </t>
  </si>
  <si>
    <t>PCPI_PCH </t>
  </si>
  <si>
    <t>CPI Change </t>
  </si>
  <si>
    <t>% </t>
  </si>
  <si>
    <t>pcpi </t>
  </si>
  <si>
    <t>Inflation index </t>
  </si>
  <si>
    <t>gdgg.base.pct </t>
  </si>
  <si>
    <t>IMF WEO </t>
  </si>
  <si>
    <t>gdpl.base.lcu </t>
  </si>
  <si>
    <t>Baseline GDP  - real (constant prices) - LCU </t>
  </si>
  <si>
    <t>gdpl.base.usd </t>
  </si>
  <si>
    <t>Baseline GDP  - real (constant prices) - USD bn </t>
  </si>
  <si>
    <t>Baseline ln(GDP per capita) </t>
  </si>
  <si>
    <t>Deflator- 2021 - used hereafter - World </t>
  </si>
  <si>
    <t>Letter</t>
  </si>
  <si>
    <t>Dark Green</t>
  </si>
  <si>
    <t>Light Green</t>
  </si>
  <si>
    <t>Subsection</t>
  </si>
  <si>
    <t>Subsectors</t>
  </si>
  <si>
    <t>Fuel codes</t>
  </si>
  <si>
    <t>Pollutants</t>
  </si>
  <si>
    <t>$/liter</t>
  </si>
  <si>
    <t>gso, die</t>
  </si>
  <si>
    <t>$/GJ, $/liter</t>
  </si>
  <si>
    <t>pow, ind, res, all</t>
  </si>
  <si>
    <t>coa, nga, gso, die, lpg, ker</t>
  </si>
  <si>
    <t>coa, nga, oil, bio, ren, ecy</t>
  </si>
  <si>
    <t>coa, nga, oil, nuc, wnd, sol, hyd, ore, bio</t>
  </si>
  <si>
    <t>lpg, ker, die</t>
  </si>
  <si>
    <t>coa, nga, gso, die, oil, bio, ren, ecy</t>
  </si>
  <si>
    <t>coa,nga, oil, nuc, wnd, sol, ore, hyd, bio</t>
  </si>
  <si>
    <t>%, $/kwh</t>
  </si>
  <si>
    <t>coa,nga,oil, nuc,wnd,sol, ore,hyd,bio</t>
  </si>
  <si>
    <t>%</t>
  </si>
  <si>
    <t>LCU/USD</t>
  </si>
  <si>
    <t>% change</t>
  </si>
  <si>
    <r>
      <t>Baseline GDP</t>
    </r>
    <r>
      <rPr>
        <sz val="12"/>
        <color rgb="FF000000"/>
        <rFont val="Calibri"/>
        <family val="2"/>
        <scheme val="minor"/>
      </rPr>
      <t xml:space="preserve">  - real (constant prices) - LCU</t>
    </r>
  </si>
  <si>
    <t>LCU bn</t>
  </si>
  <si>
    <t>mm</t>
  </si>
  <si>
    <t>Index</t>
  </si>
  <si>
    <t>PPP, 2011</t>
  </si>
  <si>
    <t xml:space="preserve">LCU </t>
  </si>
  <si>
    <t>pow, res, ind, all</t>
  </si>
  <si>
    <t>coa, nga, ele, oop, die, lpg, gso, ker, oop, bio</t>
  </si>
  <si>
    <t>$/GJ, $/bbl,$/liter</t>
  </si>
  <si>
    <t>tCO2/GJ,tCO2/liter, tCO2/bbl</t>
  </si>
  <si>
    <t>coa,nga,oop,bio, gso, die, lpg, ker, jfu</t>
  </si>
  <si>
    <t>bc,oc,nox,so2,voc,co,ch4</t>
  </si>
  <si>
    <t>ton/ktoe</t>
  </si>
  <si>
    <t>pow,rod,ral,avi,res,cst,srv mnf,omn, foo, oen</t>
  </si>
  <si>
    <t xml:space="preserve">pm2, nox, so2, oc, ch4,bc,voc,co </t>
  </si>
  <si>
    <t>coa,nga, oop, gso, die, ker, lpg, bio, jfu</t>
  </si>
  <si>
    <t>coa,nga,oop,gso,die,ker,lpg,jfu,bio</t>
  </si>
  <si>
    <t>$/CO2t</t>
  </si>
  <si>
    <t>pow, res, ind, trs</t>
  </si>
  <si>
    <t>pow,res,ind, trs, rod, ral, nav, avi, foo, srv, mch, irn, nfm, mac, cem, omn, cst, ftr, oen</t>
  </si>
  <si>
    <t>$/GJ, $/bbl,$/liter,</t>
  </si>
  <si>
    <t>coa,nga, oop,gso, die, lpg, ker, bio, jfu</t>
  </si>
  <si>
    <t>exc, pit, cit, vat, capt, gnfs, tms, wage</t>
  </si>
  <si>
    <t>$/ton CO2 real</t>
  </si>
  <si>
    <t>1/2</t>
  </si>
  <si>
    <t>$/GJ*, $/liter, $/bbu</t>
  </si>
  <si>
    <t>pow, res, ind, rod, all</t>
  </si>
  <si>
    <t>coa, nga, gso, die, lpg, ker, oop, bio</t>
  </si>
  <si>
    <t>% of the new price</t>
  </si>
  <si>
    <t>pow, res, rod,ral, nav, avi, foo, srv, mch, irn, nfm, mac, cem, omn, cst, ftr</t>
  </si>
  <si>
    <t>$mn</t>
  </si>
  <si>
    <t>lvl,pct</t>
  </si>
  <si>
    <t>lvl.pct</t>
  </si>
  <si>
    <t>pit, cit, inv, cur, tra</t>
  </si>
  <si>
    <t>dummy (1/0)</t>
  </si>
  <si>
    <t>ctrl</t>
  </si>
  <si>
    <t>$/GJ*, $/liter, $/bbl</t>
  </si>
  <si>
    <t>pow, tra, rod, ral, avi, nav, res, foo, srv, mch, irn, nfm, mac, cem, omn, cst, ftr, oen</t>
  </si>
  <si>
    <t>coa, nga, oop, gso, die, lpg, ker, bio, ren, jfu</t>
  </si>
  <si>
    <t>tra, res, ind, oen, ftr, tot</t>
  </si>
  <si>
    <t>coa, nga, oop, nuc, wnd, sol, hyd, ore, bio, ecy</t>
  </si>
  <si>
    <t>coa, nga,oop, nuc, wnd, sol, hyd, ore, bio, gso, lpg, ker, die, ren</t>
  </si>
  <si>
    <t>$/kWhe</t>
  </si>
  <si>
    <t>res, ind</t>
  </si>
  <si>
    <t>$/kwh</t>
  </si>
  <si>
    <t>$/GJ, $/liter, $/bbl, $/kwh</t>
  </si>
  <si>
    <t>coa,nga,oop,bio, gso, die, lpg, ker</t>
  </si>
  <si>
    <t>MWe</t>
  </si>
  <si>
    <t>coa, nga, oop, nuc, wnd, sol, hyd, ore, bio</t>
  </si>
  <si>
    <t>E3</t>
  </si>
  <si>
    <t>$ per kWhe</t>
  </si>
  <si>
    <t>coa, nga, oop, nuc, wnd, sol, hyd, ore, bio, tot</t>
  </si>
  <si>
    <t>J2</t>
  </si>
  <si>
    <t>H4</t>
  </si>
  <si>
    <t>tra,res,ind,oen,ftr,tot</t>
  </si>
  <si>
    <t>H3</t>
  </si>
  <si>
    <t>rod,ral,avi,nav,res,foo,srv,mch,irn,nfm,mac,cem,omn,cst,oen</t>
  </si>
  <si>
    <t>I7</t>
  </si>
  <si>
    <t>H2</t>
  </si>
  <si>
    <t>F3</t>
  </si>
  <si>
    <t>B8</t>
  </si>
  <si>
    <t>I3</t>
  </si>
  <si>
    <t>I4</t>
  </si>
  <si>
    <t>J6</t>
  </si>
  <si>
    <t>Mwy</t>
  </si>
  <si>
    <t>E2</t>
  </si>
  <si>
    <t>J1</t>
  </si>
  <si>
    <t>B6</t>
  </si>
  <si>
    <t>C6</t>
  </si>
  <si>
    <t>G3</t>
  </si>
  <si>
    <t>K8</t>
  </si>
  <si>
    <t>K10</t>
  </si>
  <si>
    <t>K9</t>
  </si>
  <si>
    <t>E4</t>
  </si>
  <si>
    <t>K4</t>
  </si>
  <si>
    <t>J5</t>
  </si>
  <si>
    <t>J3</t>
  </si>
  <si>
    <t>A17</t>
  </si>
  <si>
    <t>F7</t>
  </si>
  <si>
    <t>$ per ton CO2</t>
  </si>
  <si>
    <t>E1</t>
  </si>
  <si>
    <t>K1</t>
  </si>
  <si>
    <t>eng</t>
  </si>
  <si>
    <t>D6</t>
  </si>
  <si>
    <t>D4</t>
  </si>
  <si>
    <t>D1</t>
  </si>
  <si>
    <t>D5</t>
  </si>
  <si>
    <t>rod, ral, avi, nav, tra</t>
  </si>
  <si>
    <t>coa,nga,gso,die, lpg, ker, oop,bio,ren</t>
  </si>
  <si>
    <t>coa,nga,oop,bio, gso, die, lpg, ker, bgs, bdi, obf, ren, jfu</t>
  </si>
  <si>
    <t>F2</t>
  </si>
  <si>
    <t>res, foo, svr</t>
  </si>
  <si>
    <t>coa, nga, gso, die, lpg, ker, oop, bio, ren</t>
  </si>
  <si>
    <t>mch, irn, nfm, mac, cem, omn, cst,ftr</t>
  </si>
  <si>
    <t>tot</t>
  </si>
  <si>
    <t>coa, nga, oop, nuc, wnd, sol, hyd, ore, bio, ren, tot</t>
  </si>
  <si>
    <t>s</t>
  </si>
  <si>
    <t>tra, bld, ind, oen, ftr, tot</t>
  </si>
  <si>
    <t>pow, rod, res, erv, foo, cst, omn, oen, tot</t>
  </si>
  <si>
    <t>mt.CO2</t>
  </si>
  <si>
    <t>coa, nga, gso, die, lpg, ker, oop</t>
  </si>
  <si>
    <t>ton/year</t>
  </si>
  <si>
    <t>pow, cpp, gpp, opp, rod, gro, oth, foo, inx, all</t>
  </si>
  <si>
    <t>nox, so2, bc, oc, voc,nh3</t>
  </si>
  <si>
    <t>mt.CO2e</t>
  </si>
  <si>
    <t>pow, tra, res, ind, oth</t>
  </si>
  <si>
    <t>ch4, bc, co, voc, nox, oc, so2</t>
  </si>
  <si>
    <t>enr, ipr, agr,lucf, wst, oth, nen, tot</t>
  </si>
  <si>
    <t>co2, ch4, n2o, fga, tot</t>
  </si>
  <si>
    <t>ppt contribution</t>
  </si>
  <si>
    <t>cont</t>
  </si>
  <si>
    <t>pow, tra, res, ind, oen, tot</t>
  </si>
  <si>
    <t>coa, nga, oil, gso, die, lpg, ker, bio, ecy, tot</t>
  </si>
  <si>
    <t>usd</t>
  </si>
  <si>
    <t>coa, nga, oil, gso, die, lpg, ker, bio, ele</t>
  </si>
  <si>
    <t>usd,pct</t>
  </si>
  <si>
    <t>coa, nga, oil, gso, die, lpk, bio, elec, new</t>
  </si>
  <si>
    <t>bn US$2021 real, %GDP</t>
  </si>
  <si>
    <t>new</t>
  </si>
  <si>
    <t>yr1, yr2, yr3, y4,..</t>
  </si>
  <si>
    <t>pct</t>
  </si>
  <si>
    <t>pre, exc, pit, cit, inv, cur, tra</t>
  </si>
  <si>
    <t>pow,rod,ral,nav,avi,res, foo, srv, mch, irn, nfm, mac, cem, omn, cst, ftr, oen, res,ind</t>
  </si>
  <si>
    <t>coa,nga,gso,die, lpg, ker, oop,bio,ren, ecy</t>
  </si>
  <si>
    <t>2</t>
  </si>
  <si>
    <t>coa, nga, oil,gso,die,lpg,ker,ecy</t>
  </si>
  <si>
    <t>pow, cpp, gpp, opp, rod, gro, oth, foo,fod, inx, all</t>
  </si>
  <si>
    <t>pm2, nox, so2, bc, pom, opm, co, ch4, tc, oc, voc,nh4, T_s</t>
  </si>
  <si>
    <t>1</t>
  </si>
  <si>
    <t>pow, rod, ser, inx, foo, otr</t>
  </si>
  <si>
    <t>tc, nox, so2, voc</t>
  </si>
  <si>
    <t>US$ per ton CO2</t>
  </si>
  <si>
    <t>blt, ct, rta, sn, new</t>
  </si>
  <si>
    <t>bn US$2017 real, %GDP</t>
  </si>
  <si>
    <t>real 2021 US$bn</t>
  </si>
  <si>
    <t>ind, res, pow</t>
  </si>
  <si>
    <t>cost</t>
  </si>
  <si>
    <t>damage/GJ</t>
  </si>
  <si>
    <t>acc, con, rdm</t>
  </si>
  <si>
    <t>cli, air, rod, eco, tot</t>
  </si>
  <si>
    <t>ele, coa, nga, oop, gso, die, ker, lpg, jfu, wnd, sol, hyd, ore, nuc, bio, bgs, bdi, obf, heat</t>
  </si>
  <si>
    <t>c</t>
  </si>
  <si>
    <t>Location</t>
  </si>
  <si>
    <t>FileName</t>
  </si>
  <si>
    <t>Description / purpose</t>
  </si>
  <si>
    <t>Comments</t>
  </si>
  <si>
    <t>EBtoEC</t>
  </si>
  <si>
    <t>Mitigation module / Data / 2 Scripts</t>
  </si>
  <si>
    <t>1_IEAtoCPATEnergyBalances.R</t>
  </si>
  <si>
    <t>Imports EB data from IEA. Transforms EB data to CPAT aggregation of flows and sectors.</t>
  </si>
  <si>
    <t>To be applied sequentally: 1.</t>
  </si>
  <si>
    <t>2_EnergyBalancesToEnergyConsumption.R</t>
  </si>
  <si>
    <t>Transforms EB data in CPAT format to the EC framework.</t>
  </si>
  <si>
    <t>To be applied sequentally: 2.</t>
  </si>
  <si>
    <t>3_EnergyConsumptionForCPAT.R</t>
  </si>
  <si>
    <t>Takes IEA EC transformed data and CPAT EC projections as inputs to produce a final (averaged) version to be used in CPAT.</t>
  </si>
  <si>
    <t>To be applied sequentally: 3. Needs output from MT and CPAT: Energy Consumption projections</t>
  </si>
  <si>
    <t>4_IEAtoECMultipleYears.R</t>
  </si>
  <si>
    <t>Loop to run previous functions for multiple years and create two historical files (EB and EC). It runs only on IEA data.</t>
  </si>
  <si>
    <t>To be applied sequentially when needed: 4.</t>
  </si>
  <si>
    <t>CoreMitigation</t>
  </si>
  <si>
    <t>Mitigation module / Data / 0_CoreMitigation / 2_Scripts</t>
  </si>
  <si>
    <t>1_MitigationMain.R</t>
  </si>
  <si>
    <t>User level. Takes data prepared in the relevant script and runs the mitigation equation to construct EC data as a result from the baseline and policy scenarios.</t>
  </si>
  <si>
    <t>2_MitigationConfig.R</t>
  </si>
  <si>
    <t>Initializes global variables and packages. Loads all relevant scripts for the process.</t>
  </si>
  <si>
    <t>3_DataPreparation.R</t>
  </si>
  <si>
    <t>Contains all functions to extract and transform data required for the mitigation (EC, EF, PreTaxPrices, CarbonTax, Elasticities), harmonizes and stores them in a single data object to be passed on to the main script.</t>
  </si>
  <si>
    <t>Subject</t>
  </si>
  <si>
    <t>Source</t>
  </si>
  <si>
    <t>Energy Balances</t>
  </si>
  <si>
    <t>IEA_raw_2019.xlsx</t>
  </si>
  <si>
    <t>Raw IEA Energy Balances data as downloaded from the "Extended Energy Balances" dataset from the OECD iLibrary.</t>
  </si>
  <si>
    <t>IEA</t>
  </si>
  <si>
    <t>See short guide on updating EB data for information on the procedure and flows to select.</t>
  </si>
  <si>
    <t>Mitigation module / Data / 1 Database / balances</t>
  </si>
  <si>
    <t>Export_to_CPAT_(v1)_2019.xlsx</t>
  </si>
  <si>
    <t>Energy Balances from IEA transformed into CPAT format. Table as would be inputted to the IEABalances tab in CPAT. It is used as input to transform EB into EC.</t>
  </si>
  <si>
    <t>IEA + scripts</t>
  </si>
  <si>
    <t>Output from "1_IEAtoCPATEnergyBalances.R" (converted to xlsx)</t>
  </si>
  <si>
    <t>EnergyBalances_1970_to_2019.csv</t>
  </si>
  <si>
    <t>Historical data of energy balances from IEA transformed into CPAT format.</t>
  </si>
  <si>
    <t>Output from "4_IEAtoECMultipleYears.R"</t>
  </si>
  <si>
    <t>EnergyConsumption_1970_to_2019.csv</t>
  </si>
  <si>
    <t>Historical EC data, built from IEA's EB transformed into CPAT format.</t>
  </si>
  <si>
    <t>Mitigation module / Data / 1 Database / energyconsumption</t>
  </si>
  <si>
    <t>FinalEnergyConsumptionsCurrentYear.csv</t>
  </si>
  <si>
    <t>EC data built using IEA's EB data already transformed into CPAT format. Last year.</t>
  </si>
  <si>
    <t>Output from "2_EnergyBalancesToEnergyConsumption.R"</t>
  </si>
  <si>
    <t>MTProjected2019EnergyConsumptionDataNEW.csv</t>
  </si>
  <si>
    <t>EC data projected using base year -1 information on Energy Balances.</t>
  </si>
  <si>
    <t>CPAT (IEA+Enerdata(2018) for 2019 data) + MT</t>
  </si>
  <si>
    <t>EC_OutputForCPAT_2019.xlsx</t>
  </si>
  <si>
    <t>EC data to be inputted into CPAT. Average of IEA data transformed to EC framework and EC projections from CPAT.</t>
  </si>
  <si>
    <t>IEA + CPAT own projections</t>
  </si>
  <si>
    <t>Output from "3_EnergyConsumptionForCPAT.R"</t>
  </si>
  <si>
    <t>Lookups</t>
  </si>
  <si>
    <t>CountryLookup.xlsx</t>
  </si>
  <si>
    <t>Mapping of country names to 3-digit codes, income group and region.</t>
  </si>
  <si>
    <t>CPAT</t>
  </si>
  <si>
    <t>Mitigation module / Data / 1 Database / lookups</t>
  </si>
  <si>
    <t>Elasticities.xlsx</t>
  </si>
  <si>
    <t>Elasticities by country, fuel type and sector.</t>
  </si>
  <si>
    <t>EmissionFactors.xlsx</t>
  </si>
  <si>
    <t>Emissions factor by sector and fuel type.</t>
  </si>
  <si>
    <t>An older file with similar name but including a tab on conversion factors can be found on "other"</t>
  </si>
  <si>
    <t>FuelCodes.xlsx</t>
  </si>
  <si>
    <t>List of all needed fuel codes</t>
  </si>
  <si>
    <t>FuelTypes.xlsx</t>
  </si>
  <si>
    <t>Mapping between fuel types and detailed fuel codes.</t>
  </si>
  <si>
    <t>ProjectionsFuelTypes.xlsx</t>
  </si>
  <si>
    <t>Fuel type, including CPAT indicator and fuel code.</t>
  </si>
  <si>
    <t>Note: FuelTypes in here appear as dis-aggregated as the FuelCodes in previous lookup. Harmonize names.</t>
  </si>
  <si>
    <t>SectorFullLookup.xlsx</t>
  </si>
  <si>
    <t>Mapping of flows (from the Energy Balance table) into CPAT sectors. Includes filtering columns and conversions used during transformation to EC.</t>
  </si>
  <si>
    <t>TBC: Adapt names (SectorGrouping, Sector) both in this table and in the relevant scripts.</t>
  </si>
  <si>
    <t>SectorsAndSubsectorsNarrowLookup.xlsx</t>
  </si>
  <si>
    <t>Mapping of all Sectors to SectorGroupings. Includes dis-aggregation of 'all' to expand matrices for the mitigation equation.</t>
  </si>
  <si>
    <t>Macro</t>
  </si>
  <si>
    <t>CovidAdjustment.xlsx</t>
  </si>
  <si>
    <t>Covid adjustments in wide format (country x years)</t>
  </si>
  <si>
    <t>Mitigation module / Data / 1 Database / macro</t>
  </si>
  <si>
    <t>GDPRelativeToBase.xlsx</t>
  </si>
  <si>
    <t>GDP factor with respect to base year, by country.</t>
  </si>
  <si>
    <t>NOTE: Current base year is set to 2018</t>
  </si>
  <si>
    <t>MacroData.xlsx</t>
  </si>
  <si>
    <t>WEO extraction: GDP (LCU-current), GDP deflator, exchange rates and CPI for all WEO countries from 1980.</t>
  </si>
  <si>
    <t>WEO - IMF</t>
  </si>
  <si>
    <t>USInflation.xlsx</t>
  </si>
  <si>
    <t>Time series for US inflation (2017-2040)</t>
  </si>
  <si>
    <t>WEOGrowthRates.xlsx</t>
  </si>
  <si>
    <t>GDP growth rate projections (2017-2040)</t>
  </si>
  <si>
    <t>EnergyForecasts.xlsx</t>
  </si>
  <si>
    <t>International energy price forecasts (2017-2040) for each fuel type.</t>
  </si>
  <si>
    <t>IMF - IEA</t>
  </si>
  <si>
    <t>Mitigation module / Data / 1 Database / prices / Other</t>
  </si>
  <si>
    <t>PricesInCPAT.xlsx</t>
  </si>
  <si>
    <t>Domestic fuel price projections for all fuel types by country from 2019 to 2035</t>
  </si>
  <si>
    <t>Mitigation module / Data / 1 Database / prices</t>
  </si>
  <si>
    <t>Quantity</t>
  </si>
  <si>
    <t>Sources</t>
  </si>
  <si>
    <t>Questions</t>
  </si>
  <si>
    <t>Resp_old</t>
  </si>
  <si>
    <t>Resp_new</t>
  </si>
  <si>
    <t>Inputs</t>
  </si>
  <si>
    <t>Country-specific characteristics (GDP, population, etc.)</t>
  </si>
  <si>
    <t>GDP (and related indicators), population, exchange rates</t>
  </si>
  <si>
    <t>WEO, WDI</t>
  </si>
  <si>
    <t>Two years of WEO data used. How often is this updated?</t>
  </si>
  <si>
    <t>DB</t>
  </si>
  <si>
    <t>Manual COVID adjustment</t>
  </si>
  <si>
    <t>ad hoc</t>
  </si>
  <si>
    <t>Elasticities, rates of improvement</t>
  </si>
  <si>
    <t>GDP and population growth rate</t>
  </si>
  <si>
    <t>WEO</t>
  </si>
  <si>
    <t>WEO update EcXL for WB? Or only for IMF?</t>
  </si>
  <si>
    <t>Income elasticities</t>
  </si>
  <si>
    <t>Check: Global study by Karly, and Ian's paper</t>
  </si>
  <si>
    <t>Based on literature review. Development level dependent, adjusted by time-invariant factors.</t>
  </si>
  <si>
    <t>Will these be updated with the results from the hindcasting exercises. Dirk mentioned a reasearcher will soon join the WB precisely to work on elasticity estimations that could serve for CPAT. Are those also income elasticities?</t>
  </si>
  <si>
    <t>Elasticities, rates of improvement and macro drivers</t>
  </si>
  <si>
    <t>Efficiency in energy-using capital</t>
  </si>
  <si>
    <t>Check</t>
  </si>
  <si>
    <t>Fixed values.</t>
  </si>
  <si>
    <t>Power-sector inputs</t>
  </si>
  <si>
    <t>Power-sector inputs: Demand and efficiency elasticities wrt energy costs; generation costs; productivity improvements</t>
  </si>
  <si>
    <t>Income elasticities set to be min = 0.05. Efficiency improvements  and generation costs are constant.</t>
  </si>
  <si>
    <t>Should the constants in the formulas be replaced by a reference to a constant cell?</t>
  </si>
  <si>
    <t>Historical prices database and international prices</t>
  </si>
  <si>
    <t>WEO, CMO (WB), WEO (IEA), EIA, Argus, Eurostat, country-specific</t>
  </si>
  <si>
    <t>Processes included:
- Cleaning data bases (all sources)
- Convert to correct currency and energy units
- Convert to annual data
- Prioritize data sources. Pick data from prioritized and complement missing information with average of the other sources.
- Computing supply costs (methodology in working paper)</t>
  </si>
  <si>
    <t>Requires access to Enerdata. Results already published in external IMF website. Do we duplicate the process for historical prices or focus on understanding but rely on IMF provision of data?</t>
  </si>
  <si>
    <t>NV</t>
  </si>
  <si>
    <t>NV (DB?)</t>
  </si>
  <si>
    <t>CPAT process</t>
  </si>
  <si>
    <t>Forecasting prices based on historical data and macro inputs.
Constructing missing values (supply cost or retail price).</t>
  </si>
  <si>
    <t>Double check formula consistency with documentation uploaded by Karly. Comment and adjust documentation accordingly. Reduce as much as possiblethe amount of conditionalities in price formulas created to adapt for particular requests.</t>
  </si>
  <si>
    <t>KZ &amp; DB?</t>
  </si>
  <si>
    <t>Energy consumption</t>
  </si>
  <si>
    <t>Energy Balances: Energy supply, transformation and consumption</t>
  </si>
  <si>
    <t>IEA, Enerdata</t>
  </si>
  <si>
    <t>Required process:
- Data download (IEA), Enerdata**
- Clustering and re-arranging by CPAT sectors
- Creating single database using both data sources.
New/pending processes:
- Creating forecast and using it as baseline year.</t>
  </si>
  <si>
    <t>We do use imports and exports in other formulas (power sector). Do we still need to extract only the consumption part of the energy balances, or if we only use projections we are OK with EB.</t>
  </si>
  <si>
    <t>CPAT process: Retail prices, supply cost, VAT payment, Excise and other taxes</t>
  </si>
  <si>
    <t>User-inputted (manual) or CPAT prices are adjusted by inflation.</t>
  </si>
  <si>
    <t>All fuel types are adjusted by same inflation rate?</t>
  </si>
  <si>
    <t>Historical emissions - CO2 &amp; other GHGs</t>
  </si>
  <si>
    <t>GHG emissions by country and type of gas</t>
  </si>
  <si>
    <t>CAIT, UNFCCC</t>
  </si>
  <si>
    <t>WB Carbon Dashboard, IASA, GAINS model</t>
  </si>
  <si>
    <t>Paulina</t>
  </si>
  <si>
    <t>SB?</t>
  </si>
  <si>
    <t>CS?</t>
  </si>
  <si>
    <t>DimensionName</t>
  </si>
  <si>
    <t>VariableType</t>
  </si>
  <si>
    <t>Options</t>
  </si>
  <si>
    <t>Example2</t>
  </si>
  <si>
    <t>Example3</t>
  </si>
  <si>
    <t>Example4</t>
  </si>
  <si>
    <t>Example5</t>
  </si>
  <si>
    <t>Character</t>
  </si>
  <si>
    <t>=INT(2000)</t>
  </si>
  <si>
    <t>…</t>
  </si>
  <si>
    <t>=INT(2050)</t>
  </si>
  <si>
    <t>SubScenario</t>
  </si>
  <si>
    <t>SupScenario</t>
  </si>
  <si>
    <t>U1</t>
  </si>
  <si>
    <t>U2</t>
  </si>
  <si>
    <t>P1</t>
  </si>
  <si>
    <t>P2</t>
  </si>
  <si>
    <t>RefCarbTax</t>
  </si>
  <si>
    <t>Numeric</t>
  </si>
  <si>
    <t>=INT(100)</t>
  </si>
  <si>
    <t>enc</t>
  </si>
  <si>
    <t>gj</t>
  </si>
  <si>
    <t>lcu current</t>
  </si>
  <si>
    <t>usd current/kwh</t>
  </si>
  <si>
    <t>usd constant 2018</t>
  </si>
  <si>
    <t>Vectors</t>
  </si>
  <si>
    <t>Matrix (no row names)</t>
  </si>
  <si>
    <t>Excluding rownames and colnames</t>
  </si>
  <si>
    <t>JSON Columns</t>
  </si>
  <si>
    <t>Input Vector</t>
  </si>
  <si>
    <t>JSON Conversion</t>
  </si>
  <si>
    <t>A</t>
  </si>
  <si>
    <t>C</t>
  </si>
  <si>
    <t>D</t>
  </si>
  <si>
    <t>params</t>
  </si>
  <si>
    <t>init_data</t>
  </si>
  <si>
    <t>start_year</t>
  </si>
  <si>
    <t>end_year</t>
  </si>
  <si>
    <t>path: mitigation</t>
  </si>
  <si>
    <t>"{\"params\":{\"start_year\":2019,\"end_year\":2025,\"sectors\":\"srv\",\"fuel_types\":\"nga\",\"countries\":\"KAZ\"},\"init_data\":null}"</t>
  </si>
  <si>
    <r>
      <rPr>
        <sz val="11"/>
        <color rgb="FF000000"/>
        <rFont val="Calibri"/>
        <family val="2"/>
      </rPr>
      <t xml:space="preserve">This file provides </t>
    </r>
    <r>
      <rPr>
        <b/>
        <sz val="11"/>
        <color rgb="FF000000"/>
        <rFont val="Calibri"/>
        <family val="2"/>
      </rPr>
      <t>LookUp tables</t>
    </r>
    <r>
      <rPr>
        <sz val="11"/>
        <color rgb="FF000000"/>
        <rFont val="Calibri"/>
        <family val="2"/>
      </rPr>
      <t xml:space="preserve"> (to convert between different data sources eg IEA versus CPAT) for the following dimensions:</t>
    </r>
  </si>
  <si>
    <t>Emission Factors</t>
  </si>
  <si>
    <t>Per country</t>
  </si>
  <si>
    <t>Aggregated</t>
  </si>
  <si>
    <t>Sector group for EC</t>
  </si>
  <si>
    <t>Sector group for EB</t>
  </si>
  <si>
    <t>CountryIncluded</t>
  </si>
  <si>
    <t>ARB</t>
  </si>
  <si>
    <t>CSS</t>
  </si>
  <si>
    <t>CEB</t>
  </si>
  <si>
    <t>EAR</t>
  </si>
  <si>
    <t>EAS</t>
  </si>
  <si>
    <t>EAP</t>
  </si>
  <si>
    <t>TEA</t>
  </si>
  <si>
    <t>EMU</t>
  </si>
  <si>
    <t>ECS</t>
  </si>
  <si>
    <t>ECA</t>
  </si>
  <si>
    <t>TEC</t>
  </si>
  <si>
    <t>EUU</t>
  </si>
  <si>
    <t>FCS</t>
  </si>
  <si>
    <t>HPC</t>
  </si>
  <si>
    <t>IBD</t>
  </si>
  <si>
    <t>IBT</t>
  </si>
  <si>
    <t>IDB</t>
  </si>
  <si>
    <t>IDX</t>
  </si>
  <si>
    <t>IDA</t>
  </si>
  <si>
    <t>LTE</t>
  </si>
  <si>
    <t>LCN</t>
  </si>
  <si>
    <t>LAC</t>
  </si>
  <si>
    <t>TLA</t>
  </si>
  <si>
    <t>LDC</t>
  </si>
  <si>
    <t>LMY</t>
  </si>
  <si>
    <t>LMC</t>
  </si>
  <si>
    <t>MEA</t>
  </si>
  <si>
    <t>MNA</t>
  </si>
  <si>
    <t>TMN</t>
  </si>
  <si>
    <t>MIC</t>
  </si>
  <si>
    <t>NAC</t>
  </si>
  <si>
    <t>OED</t>
  </si>
  <si>
    <t>OSS</t>
  </si>
  <si>
    <t>PSS</t>
  </si>
  <si>
    <t>PST</t>
  </si>
  <si>
    <t>PRE</t>
  </si>
  <si>
    <t>SST</t>
  </si>
  <si>
    <t>SAS</t>
  </si>
  <si>
    <t>TSA</t>
  </si>
  <si>
    <t>SSF</t>
  </si>
  <si>
    <t>SSA</t>
  </si>
  <si>
    <t>TSS</t>
  </si>
  <si>
    <t>UMC</t>
  </si>
  <si>
    <t>WLD</t>
  </si>
  <si>
    <t>ANTA</t>
  </si>
  <si>
    <t>Territory</t>
  </si>
  <si>
    <t>COOK</t>
  </si>
  <si>
    <t>FALK</t>
  </si>
  <si>
    <t>FCZE</t>
  </si>
  <si>
    <t>FSRM</t>
  </si>
  <si>
    <t>FUSR</t>
  </si>
  <si>
    <t>FYUG</t>
  </si>
  <si>
    <t>FRGU</t>
  </si>
  <si>
    <t>EDEU</t>
  </si>
  <si>
    <t>WDEU</t>
  </si>
  <si>
    <t>GUAD</t>
  </si>
  <si>
    <t>HAWA</t>
  </si>
  <si>
    <t>HKNG</t>
  </si>
  <si>
    <t>MART</t>
  </si>
  <si>
    <t>MONT</t>
  </si>
  <si>
    <t>NETH</t>
  </si>
  <si>
    <t>NIUE</t>
  </si>
  <si>
    <t>REUN</t>
  </si>
  <si>
    <t>STHE</t>
  </si>
  <si>
    <t>STPM</t>
  </si>
  <si>
    <t>BAHA</t>
  </si>
  <si>
    <t>USPA</t>
  </si>
  <si>
    <t>WAKE</t>
  </si>
  <si>
    <t>WSAH</t>
  </si>
  <si>
    <t>Notes</t>
  </si>
  <si>
    <t>SectorCode</t>
  </si>
  <si>
    <t>ef CO2</t>
  </si>
  <si>
    <t>WORLD</t>
  </si>
  <si>
    <t>Fuel</t>
  </si>
  <si>
    <t>CompleteFrom</t>
  </si>
  <si>
    <t>SourceSectorGroupFuel</t>
  </si>
  <si>
    <t>coa.pow</t>
  </si>
  <si>
    <t>nga.pow</t>
  </si>
  <si>
    <t>gso.pow</t>
  </si>
  <si>
    <t>die.pow</t>
  </si>
  <si>
    <t>ind.lpg</t>
  </si>
  <si>
    <t>res.ker</t>
  </si>
  <si>
    <t>oop.pow</t>
  </si>
  <si>
    <t>pow.coa</t>
  </si>
  <si>
    <t>nga.rod</t>
  </si>
  <si>
    <t>gso.rod</t>
  </si>
  <si>
    <t>die.rod</t>
  </si>
  <si>
    <t>res.lpg</t>
  </si>
  <si>
    <t>rod.die</t>
  </si>
  <si>
    <t>coa.res</t>
  </si>
  <si>
    <t>nga.res</t>
  </si>
  <si>
    <t>gso.res</t>
  </si>
  <si>
    <t>die.res</t>
  </si>
  <si>
    <t>lpg.res</t>
  </si>
  <si>
    <t>ker.res</t>
  </si>
  <si>
    <t>oop.res</t>
  </si>
  <si>
    <t>coa.ind</t>
  </si>
  <si>
    <t>nga.ind</t>
  </si>
  <si>
    <t>gso.ind</t>
  </si>
  <si>
    <t>die.ind</t>
  </si>
  <si>
    <t>lpg.ind</t>
  </si>
  <si>
    <t>ker.ind</t>
  </si>
  <si>
    <t>oop.ind</t>
  </si>
  <si>
    <t>oop.all</t>
  </si>
  <si>
    <t>bio.all</t>
  </si>
  <si>
    <t>jfu.avi</t>
  </si>
  <si>
    <t>jfu.all</t>
  </si>
  <si>
    <t>heat</t>
  </si>
  <si>
    <t>Heat</t>
  </si>
  <si>
    <t>FlowCode</t>
  </si>
  <si>
    <t>rail</t>
  </si>
  <si>
    <t>ral</t>
  </si>
  <si>
    <t>resident</t>
  </si>
  <si>
    <t>FlowIncluded</t>
  </si>
  <si>
    <t>TransformationSign</t>
  </si>
  <si>
    <t>FlowRow</t>
  </si>
  <si>
    <t>imports</t>
  </si>
  <si>
    <t>production</t>
  </si>
  <si>
    <t>exports</t>
  </si>
  <si>
    <t>stockcha</t>
  </si>
  <si>
    <t>tpes</t>
  </si>
  <si>
    <t>statdiff</t>
  </si>
  <si>
    <t>transfer</t>
  </si>
  <si>
    <t>ownuse</t>
  </si>
  <si>
    <t>distloss</t>
  </si>
  <si>
    <t>tottranf</t>
  </si>
  <si>
    <t>tfc</t>
  </si>
  <si>
    <t>ononspec</t>
  </si>
  <si>
    <t>pipeline</t>
  </si>
  <si>
    <t>Welcome!</t>
  </si>
  <si>
    <t>Scripts: Lists the scripts translated into R-code</t>
  </si>
  <si>
    <t>Mitigation processes: Describes the data used and their sources, as well as who is responsible for the data updates</t>
  </si>
  <si>
    <t>JSON-eg1: Example 1 of type of string (JSON format) passed to the API (computations are done online and then return processed data)</t>
  </si>
  <si>
    <t>Emission Factors per country aggregated</t>
  </si>
  <si>
    <t>y</t>
  </si>
  <si>
    <t>MainFuelType</t>
  </si>
  <si>
    <t>PowerGenerationType</t>
  </si>
  <si>
    <t>ExceptionOrAggregation</t>
  </si>
  <si>
    <t>UNFCCC Code</t>
  </si>
  <si>
    <t>Data Sources: List CPAT's main data source</t>
  </si>
  <si>
    <t>CPAT Defaults</t>
  </si>
  <si>
    <t>Summarizes the codes used in CPAT</t>
  </si>
  <si>
    <t>Presents countries coverage in CPAT (CountryCode)</t>
  </si>
  <si>
    <t>This tab gives the example JSON code types found in the CPAT-web link</t>
  </si>
  <si>
    <t>Contains main CPAT defaults and explanatory tables used in CPAT documentation.</t>
  </si>
  <si>
    <t>This Master Tables Documentation file contains:</t>
  </si>
  <si>
    <t>Desciription</t>
  </si>
  <si>
    <t>Version Control</t>
  </si>
  <si>
    <t>Author</t>
  </si>
  <si>
    <t>DB, SJS, FG</t>
  </si>
  <si>
    <t>Date</t>
  </si>
  <si>
    <t>12th Feb 2023</t>
  </si>
  <si>
    <t>Version</t>
  </si>
  <si>
    <t>1.0</t>
  </si>
  <si>
    <t>Finalised Version, Master Moved to CPAT Folder</t>
  </si>
  <si>
    <t>Master Version and Any Copies</t>
  </si>
  <si>
    <t>Master version stored:</t>
  </si>
  <si>
    <r>
      <t xml:space="preserve">Processes: </t>
    </r>
    <r>
      <rPr>
        <sz val="10"/>
        <color theme="1"/>
        <rFont val="Calibri"/>
        <family val="2"/>
        <scheme val="minor"/>
      </rPr>
      <t>List the data sources, scripts, tables and processes used in the mitigation module;</t>
    </r>
  </si>
  <si>
    <r>
      <t xml:space="preserve">Codes and Lookups: </t>
    </r>
    <r>
      <rPr>
        <sz val="10"/>
        <color theme="1"/>
        <rFont val="Calibri"/>
        <family val="2"/>
        <scheme val="minor"/>
      </rPr>
      <t xml:space="preserve">Summarises the different dimensions used in CPAT </t>
    </r>
  </si>
  <si>
    <t>CPAT\CPAT versions\CPAT 1.0 beta versions</t>
  </si>
  <si>
    <t>Copies:</t>
  </si>
  <si>
    <t>(None at present)</t>
  </si>
  <si>
    <t>NB Not clear if this is complete and up to date. Please consult Daniel Bastidas to confirm</t>
  </si>
  <si>
    <t>Git URLs</t>
  </si>
  <si>
    <t>https://github.com/wb-mrio/cpat_main.git</t>
  </si>
  <si>
    <t>https://github.com/wb-mrio/cpatr.git</t>
  </si>
  <si>
    <t>cpat_main</t>
  </si>
  <si>
    <t>cpatr</t>
  </si>
  <si>
    <t>Contains the final R package</t>
  </si>
  <si>
    <t>URL</t>
  </si>
  <si>
    <t>Documentation, Work in progress, Papers, Preprocessing</t>
  </si>
  <si>
    <t>Contents</t>
  </si>
  <si>
    <t>Responsibilities:</t>
  </si>
  <si>
    <t>Content</t>
  </si>
  <si>
    <t>Responsibility</t>
  </si>
  <si>
    <t>Update the Power Capacity</t>
  </si>
  <si>
    <t>Project and Anonymize Energy Consumption</t>
  </si>
  <si>
    <t>Location of Script</t>
  </si>
  <si>
    <t>CPAT_main repo</t>
  </si>
  <si>
    <t>To be expanded</t>
  </si>
  <si>
    <t>Key Process for Base Year Change</t>
  </si>
  <si>
    <t>To be confirmed</t>
  </si>
  <si>
    <t>SJS</t>
  </si>
  <si>
    <t>Where are these scripts?</t>
  </si>
  <si>
    <t>Review/ownership</t>
  </si>
  <si>
    <t>Not known</t>
  </si>
  <si>
    <t>Needed For base year</t>
  </si>
  <si>
    <t>?</t>
  </si>
  <si>
    <t>AC</t>
  </si>
  <si>
    <t>(add here)</t>
  </si>
  <si>
    <t>Person</t>
  </si>
  <si>
    <t>Topic</t>
  </si>
  <si>
    <t>Date Last Reviewed/Updated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</si>
</sst>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44" formatCode="_(&quot;$&quot;* #,##0.00_);_(&quot;$&quot;* \(#,##0.00\);_(&quot;$&quot;* &quot;-&quot;??_);_(@_)"/>
    <numFmt numFmtId="43" formatCode="_(* #,##0.00_);_(* \(#,##0.00\);_(* &quot;-&quot;??_);_(@_)"/>
    <numFmt numFmtId="164" formatCode="_(* #,##0.0_);_(* \(#,##0.0\);_(* &quot;-&quot;??_);_(@_)"/>
    <numFmt numFmtId="165" formatCode="0.00000"/>
    <numFmt numFmtId="166" formatCode="0.0%"/>
    <numFmt numFmtId="167" formatCode="_(&quot;$&quot;* #,##0.000_);_(&quot;$&quot;* \(#,##0.000\);_(&quot;$&quot;* &quot;-&quot;??_);_(@_)"/>
    <numFmt numFmtId="168" formatCode="0.000000"/>
    <numFmt numFmtId="169" formatCode="_(* #,##0_);_(* \(#,##0\);_(* &quot;-&quot;??_);_(@_)"/>
    <numFmt numFmtId="170" formatCode="0.0000"/>
  </numFmts>
  <fonts count="58">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8"/>
      <color rgb="FF242424"/>
      <name val="Segoe UI"/>
      <family val="2"/>
    </font>
    <font>
      <sz val="12"/>
      <color theme="1"/>
      <name val="Calibri"/>
      <family val="2"/>
      <scheme val="minor"/>
    </font>
    <font>
      <sz val="11"/>
      <name val="Calibri"/>
      <family val="2"/>
    </font>
    <font>
      <u/>
      <sz val="11"/>
      <color theme="1"/>
      <name val="Calibri"/>
      <family val="2"/>
      <scheme val="minor"/>
    </font>
    <font>
      <sz val="11"/>
      <color theme="1"/>
      <name val="Calibri"/>
      <family val="2"/>
      <scheme val="minor"/>
    </font>
    <font>
      <sz val="12"/>
      <color rgb="FF000000"/>
      <name val="Calibri"/>
      <family val="2"/>
      <scheme val="minor"/>
    </font>
    <font>
      <b/>
      <sz val="12"/>
      <color theme="1"/>
      <name val="Calibri"/>
      <family val="2"/>
      <scheme val="minor"/>
    </font>
    <font>
      <b/>
      <sz val="12"/>
      <color rgb="FF000000"/>
      <name val="Calibri"/>
      <family val="2"/>
      <scheme val="minor"/>
    </font>
    <font>
      <b/>
      <sz val="12"/>
      <color rgb="FFFFFFFF"/>
      <name val="Calibri"/>
      <family val="2"/>
      <scheme val="minor"/>
    </font>
    <font>
      <b/>
      <sz val="10"/>
      <color rgb="FFFFFFFF"/>
      <name val="Calibri"/>
      <family val="2"/>
      <scheme val="minor"/>
    </font>
    <font>
      <b/>
      <sz val="10"/>
      <color rgb="FF000000"/>
      <name val="Calibri"/>
      <family val="2"/>
      <scheme val="minor"/>
    </font>
    <font>
      <sz val="10"/>
      <color rgb="FF000000"/>
      <name val="Calibri"/>
      <family val="2"/>
      <scheme val="minor"/>
    </font>
    <font>
      <b/>
      <sz val="10"/>
      <color theme="1"/>
      <name val="Calibri"/>
      <family val="2"/>
      <scheme val="minor"/>
    </font>
    <font>
      <sz val="10"/>
      <color theme="1"/>
      <name val="Calibri"/>
      <family val="2"/>
      <scheme val="minor"/>
    </font>
    <font>
      <sz val="9"/>
      <name val="Calibri"/>
      <family val="2"/>
    </font>
    <font>
      <b/>
      <sz val="9"/>
      <name val="Calibri"/>
      <family val="2"/>
    </font>
    <font>
      <vertAlign val="superscript"/>
      <sz val="7"/>
      <name val="Calibri"/>
      <family val="2"/>
    </font>
    <font>
      <sz val="9"/>
      <color rgb="FF000000"/>
      <name val="Calibri"/>
      <family val="2"/>
    </font>
    <font>
      <i/>
      <sz val="9"/>
      <name val="Calibri"/>
      <family val="2"/>
    </font>
    <font>
      <sz val="9"/>
      <color theme="1"/>
      <name val="Calibri"/>
      <family val="2"/>
      <scheme val="minor"/>
    </font>
    <font>
      <sz val="7"/>
      <color rgb="FF000000"/>
      <name val="MathJax_Math-italic"/>
    </font>
    <font>
      <b/>
      <sz val="11"/>
      <color rgb="FF000000"/>
      <name val="Calibri"/>
      <family val="2"/>
      <scheme val="minor"/>
    </font>
    <font>
      <sz val="11"/>
      <color rgb="FF000000"/>
      <name val="Calibri"/>
      <family val="2"/>
      <scheme val="minor"/>
    </font>
    <font>
      <sz val="11"/>
      <name val="Calibri"/>
      <family val="2"/>
      <scheme val="minor"/>
    </font>
    <font>
      <u/>
      <sz val="11"/>
      <color theme="10"/>
      <name val="Calibri"/>
      <family val="2"/>
      <scheme val="minor"/>
    </font>
    <font>
      <sz val="9"/>
      <color theme="1"/>
      <name val="Segoe UI"/>
      <family val="2"/>
    </font>
    <font>
      <i/>
      <sz val="9"/>
      <color theme="1"/>
      <name val="Segoe UI"/>
      <family val="2"/>
    </font>
    <font>
      <b/>
      <sz val="9"/>
      <color theme="1"/>
      <name val="Segoe UI"/>
      <family val="2"/>
    </font>
    <font>
      <b/>
      <sz val="10"/>
      <color theme="1"/>
      <name val="Segoe UI"/>
      <family val="2"/>
    </font>
    <font>
      <b/>
      <sz val="11"/>
      <color rgb="FF000000"/>
      <name val="Calibri"/>
      <family val="2"/>
    </font>
    <font>
      <sz val="11"/>
      <color rgb="FF000000"/>
      <name val="Calibri"/>
      <family val="2"/>
    </font>
    <font>
      <sz val="10"/>
      <color rgb="FF000000"/>
      <name val="Calibri"/>
      <family val="2"/>
    </font>
    <font>
      <sz val="10"/>
      <name val="Courier"/>
      <family val="3"/>
    </font>
    <font>
      <sz val="8.5"/>
      <name val="Arial"/>
      <family val="2"/>
    </font>
    <font>
      <sz val="9"/>
      <name val="Segoe UI"/>
      <family val="2"/>
    </font>
    <font>
      <i/>
      <sz val="10"/>
      <color rgb="FF000000"/>
      <name val="Calibri"/>
      <family val="2"/>
      <scheme val="minor"/>
    </font>
    <font>
      <sz val="10"/>
      <name val="Calibri"/>
      <family val="2"/>
      <scheme val="minor"/>
    </font>
    <font>
      <sz val="11"/>
      <color rgb="FF444444"/>
      <name val="Calibri"/>
      <family val="2"/>
      <charset val="1"/>
    </font>
    <font>
      <b/>
      <sz val="9"/>
      <name val="Segeo UI"/>
    </font>
    <font>
      <sz val="9"/>
      <name val="Segeo UI"/>
    </font>
    <font>
      <sz val="9"/>
      <color theme="1"/>
      <name val="Segeo UI"/>
    </font>
    <font>
      <sz val="12"/>
      <name val="Calibri"/>
      <family val="2"/>
      <scheme val="minor"/>
    </font>
    <font>
      <b/>
      <sz val="11"/>
      <color theme="0"/>
      <name val="Calibri"/>
      <family val="2"/>
      <scheme val="minor"/>
    </font>
    <font>
      <sz val="8"/>
      <color theme="1"/>
      <name val="Calibri"/>
      <family val="2"/>
      <scheme val="minor"/>
    </font>
    <font>
      <sz val="8"/>
      <color rgb="FFA6A6A6"/>
      <name val="Calibri"/>
      <family val="2"/>
      <scheme val="minor"/>
    </font>
    <font>
      <sz val="12"/>
      <color rgb="FF000000"/>
      <name val="Calibri"/>
      <family val="2"/>
    </font>
    <font>
      <sz val="11"/>
      <color theme="1"/>
      <name val="Calibri"/>
      <family val="2"/>
      <charset val="1"/>
    </font>
    <font>
      <sz val="11"/>
      <color rgb="FF000000"/>
      <name val="Calibri"/>
      <family val="2"/>
    </font>
    <font>
      <b/>
      <sz val="14"/>
      <name val="Segeo UI"/>
    </font>
    <font>
      <sz val="14"/>
      <name val="Segeo UI"/>
    </font>
    <font>
      <sz val="14"/>
      <color theme="1"/>
      <name val="Calibri"/>
      <family val="2"/>
      <scheme val="minor"/>
    </font>
    <font>
      <b/>
      <sz val="10"/>
      <color theme="0"/>
      <name val="Calibri"/>
      <family val="2"/>
      <scheme val="minor"/>
    </font>
    <font>
      <i/>
      <sz val="10"/>
      <color theme="1"/>
      <name val="Calibri"/>
      <family val="2"/>
      <scheme val="minor"/>
    </font>
    <font>
      <i/>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D9E2F3"/>
        <bgColor indexed="64"/>
      </patternFill>
    </fill>
    <fill>
      <patternFill patternType="solid">
        <fgColor rgb="FF4472C4"/>
        <bgColor indexed="64"/>
      </patternFill>
    </fill>
    <fill>
      <patternFill patternType="solid">
        <fgColor theme="8" tint="0.79998168889431442"/>
        <bgColor indexed="64"/>
      </patternFill>
    </fill>
    <fill>
      <patternFill patternType="solid">
        <fgColor rgb="FFFFFF99"/>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4.9989318521683403E-2"/>
        <bgColor rgb="FF000000"/>
      </patternFill>
    </fill>
    <fill>
      <patternFill patternType="solid">
        <fgColor rgb="FFFFFFFF"/>
        <bgColor indexed="64"/>
      </patternFill>
    </fill>
    <fill>
      <patternFill patternType="solid">
        <fgColor theme="9"/>
        <bgColor indexed="64"/>
      </patternFill>
    </fill>
    <fill>
      <patternFill patternType="solid">
        <fgColor rgb="FFD9E1F2"/>
        <bgColor indexed="64"/>
      </patternFill>
    </fill>
    <fill>
      <patternFill patternType="solid">
        <fgColor rgb="FFE2EFDA"/>
        <bgColor indexed="64"/>
      </patternFill>
    </fill>
    <fill>
      <patternFill patternType="solid">
        <fgColor rgb="FFFCE4D6"/>
        <bgColor indexed="64"/>
      </patternFill>
    </fill>
    <fill>
      <patternFill patternType="solid">
        <fgColor theme="9" tint="0.79998168889431442"/>
        <bgColor indexed="64"/>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style="thin">
        <color auto="1"/>
      </right>
      <top style="thin">
        <color auto="1"/>
      </top>
      <bottom style="medium">
        <color indexed="64"/>
      </bottom>
      <diagonal/>
    </border>
    <border>
      <left/>
      <right style="medium">
        <color rgb="FF8EAADB"/>
      </right>
      <top/>
      <bottom style="medium">
        <color rgb="FF8EAADB"/>
      </bottom>
      <diagonal/>
    </border>
    <border>
      <left/>
      <right/>
      <top/>
      <bottom style="medium">
        <color rgb="FF8EAADB"/>
      </bottom>
      <diagonal/>
    </border>
    <border>
      <left style="medium">
        <color rgb="FF8EAADB"/>
      </left>
      <right/>
      <top/>
      <bottom style="medium">
        <color rgb="FF8EAADB"/>
      </bottom>
      <diagonal/>
    </border>
    <border>
      <left style="medium">
        <color rgb="FF8EAADB"/>
      </left>
      <right/>
      <top/>
      <bottom/>
      <diagonal/>
    </border>
    <border>
      <left style="medium">
        <color rgb="FF8EAADB"/>
      </left>
      <right/>
      <top style="medium">
        <color rgb="FF8EAADB"/>
      </top>
      <bottom/>
      <diagonal/>
    </border>
    <border>
      <left style="medium">
        <color rgb="FF8EAADB"/>
      </left>
      <right/>
      <top style="medium">
        <color rgb="FF4472C4"/>
      </top>
      <bottom/>
      <diagonal/>
    </border>
    <border>
      <left/>
      <right style="medium">
        <color rgb="FF4472C4"/>
      </right>
      <top style="medium">
        <color rgb="FF4472C4"/>
      </top>
      <bottom style="medium">
        <color rgb="FF4472C4"/>
      </bottom>
      <diagonal/>
    </border>
    <border>
      <left/>
      <right/>
      <top style="medium">
        <color rgb="FF4472C4"/>
      </top>
      <bottom style="medium">
        <color rgb="FF4472C4"/>
      </bottom>
      <diagonal/>
    </border>
    <border>
      <left style="medium">
        <color rgb="FF4472C4"/>
      </left>
      <right/>
      <top style="medium">
        <color rgb="FF4472C4"/>
      </top>
      <bottom style="medium">
        <color rgb="FF4472C4"/>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s>
  <cellStyleXfs count="8">
    <xf numFmtId="0" fontId="0" fillId="0" borderId="0"/>
    <xf numFmtId="0" fontId="5" fillId="0" borderId="0"/>
    <xf numFmtId="0" fontId="6" fillId="0" borderId="0"/>
    <xf numFmtId="43" fontId="8" fillId="0" borderId="0" applyFont="0" applyFill="0" applyBorder="0" applyAlignment="0" applyProtection="0"/>
    <xf numFmtId="0" fontId="28" fillId="0" borderId="0" applyNumberFormat="0" applyFill="0" applyBorder="0" applyAlignment="0" applyProtection="0"/>
    <xf numFmtId="0" fontId="36" fillId="0" borderId="0"/>
    <xf numFmtId="9" fontId="8" fillId="0" borderId="0" applyFont="0" applyFill="0" applyBorder="0" applyAlignment="0" applyProtection="0"/>
    <xf numFmtId="44" fontId="8" fillId="0" borderId="0" applyFont="0" applyFill="0" applyBorder="0" applyAlignment="0" applyProtection="0"/>
  </cellStyleXfs>
  <cellXfs count="298">
    <xf numFmtId="0" fontId="0" fillId="0" borderId="0" xfId="0"/>
    <xf numFmtId="0" fontId="1" fillId="0" borderId="0" xfId="0" applyFont="1"/>
    <xf numFmtId="0" fontId="0" fillId="0" borderId="0" xfId="0" applyAlignment="1">
      <alignment horizontal="left" indent="2"/>
    </xf>
    <xf numFmtId="0" fontId="4" fillId="0" borderId="0" xfId="0" applyFont="1"/>
    <xf numFmtId="0" fontId="0" fillId="0" borderId="10" xfId="0" applyBorder="1"/>
    <xf numFmtId="0" fontId="0" fillId="0" borderId="5" xfId="0" applyBorder="1"/>
    <xf numFmtId="0" fontId="0" fillId="0" borderId="4" xfId="0" applyBorder="1"/>
    <xf numFmtId="0" fontId="0" fillId="0" borderId="0" xfId="0" applyAlignment="1">
      <alignment wrapText="1"/>
    </xf>
    <xf numFmtId="0" fontId="7" fillId="0" borderId="4" xfId="0" applyFont="1" applyBorder="1" applyAlignment="1">
      <alignment wrapText="1"/>
    </xf>
    <xf numFmtId="0" fontId="0" fillId="0" borderId="5" xfId="0" applyBorder="1" applyAlignment="1">
      <alignment wrapText="1"/>
    </xf>
    <xf numFmtId="0" fontId="1" fillId="0" borderId="1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5" fillId="0" borderId="0" xfId="0" applyFont="1"/>
    <xf numFmtId="0" fontId="9" fillId="0" borderId="0" xfId="0" applyFont="1"/>
    <xf numFmtId="0" fontId="5" fillId="2" borderId="0" xfId="0" applyFont="1" applyFill="1"/>
    <xf numFmtId="0" fontId="9" fillId="2" borderId="0" xfId="0" applyFont="1" applyFill="1"/>
    <xf numFmtId="165" fontId="5" fillId="0" borderId="0" xfId="0" applyNumberFormat="1" applyFont="1"/>
    <xf numFmtId="0" fontId="9" fillId="3" borderId="16" xfId="0" applyFont="1" applyFill="1" applyBorder="1" applyAlignment="1">
      <alignment horizontal="justify" vertical="center" wrapText="1"/>
    </xf>
    <xf numFmtId="0" fontId="9" fillId="3" borderId="17" xfId="0" applyFont="1" applyFill="1" applyBorder="1" applyAlignment="1">
      <alignment horizontal="justify" vertical="center" wrapText="1"/>
    </xf>
    <xf numFmtId="0" fontId="5" fillId="0" borderId="16" xfId="0" applyFont="1" applyBorder="1" applyAlignment="1">
      <alignment horizontal="justify" vertical="center" wrapText="1"/>
    </xf>
    <xf numFmtId="0" fontId="5" fillId="0" borderId="17" xfId="0" applyFont="1" applyBorder="1" applyAlignment="1">
      <alignment horizontal="justify" vertical="center" wrapText="1"/>
    </xf>
    <xf numFmtId="0" fontId="12" fillId="4" borderId="22" xfId="0" applyFont="1" applyFill="1" applyBorder="1" applyAlignment="1">
      <alignment horizontal="justify" vertical="center" wrapText="1"/>
    </xf>
    <xf numFmtId="0" fontId="12" fillId="4" borderId="23" xfId="0" applyFont="1" applyFill="1" applyBorder="1" applyAlignment="1">
      <alignment horizontal="justify" vertical="center" wrapText="1"/>
    </xf>
    <xf numFmtId="0" fontId="12" fillId="4" borderId="24" xfId="0" applyFont="1" applyFill="1" applyBorder="1" applyAlignment="1">
      <alignment horizontal="justify" vertical="center" wrapText="1"/>
    </xf>
    <xf numFmtId="0" fontId="13" fillId="4" borderId="24" xfId="0" applyFont="1" applyFill="1" applyBorder="1" applyAlignment="1">
      <alignment horizontal="center" vertical="center" wrapText="1"/>
    </xf>
    <xf numFmtId="0" fontId="13" fillId="4" borderId="22"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6" fillId="0" borderId="18" xfId="0" applyFont="1" applyBorder="1" applyAlignment="1">
      <alignment horizontal="center" vertical="center" wrapText="1"/>
    </xf>
    <xf numFmtId="0" fontId="17" fillId="0" borderId="16" xfId="0" applyFont="1" applyBorder="1" applyAlignment="1">
      <alignment horizontal="center" vertical="center" wrapText="1"/>
    </xf>
    <xf numFmtId="0" fontId="18" fillId="0" borderId="25" xfId="0" applyFont="1" applyBorder="1" applyAlignment="1">
      <alignment horizontal="justify" vertical="center" wrapText="1"/>
    </xf>
    <xf numFmtId="0" fontId="19" fillId="0" borderId="26" xfId="0" applyFont="1" applyBorder="1" applyAlignment="1">
      <alignment horizontal="justify" vertical="center" wrapText="1"/>
    </xf>
    <xf numFmtId="0" fontId="19" fillId="0" borderId="27" xfId="0" applyFont="1" applyBorder="1" applyAlignment="1">
      <alignment horizontal="justify" vertical="center" wrapText="1"/>
    </xf>
    <xf numFmtId="0" fontId="23" fillId="0" borderId="0" xfId="0" applyFont="1"/>
    <xf numFmtId="0" fontId="1" fillId="2" borderId="9" xfId="1" applyFont="1" applyFill="1" applyBorder="1" applyAlignment="1">
      <alignment horizontal="left"/>
    </xf>
    <xf numFmtId="0" fontId="25" fillId="2" borderId="9" xfId="1" applyFont="1" applyFill="1" applyBorder="1" applyAlignment="1">
      <alignment horizontal="left"/>
    </xf>
    <xf numFmtId="0" fontId="1" fillId="2" borderId="9" xfId="0" applyFont="1" applyFill="1" applyBorder="1" applyAlignment="1">
      <alignment horizontal="left"/>
    </xf>
    <xf numFmtId="0" fontId="8" fillId="2" borderId="9" xfId="1" applyFont="1" applyFill="1" applyBorder="1" applyAlignment="1">
      <alignment horizontal="left"/>
    </xf>
    <xf numFmtId="0" fontId="26" fillId="2" borderId="9" xfId="1" applyFont="1" applyFill="1" applyBorder="1" applyAlignment="1">
      <alignment horizontal="left"/>
    </xf>
    <xf numFmtId="0" fontId="8" fillId="2" borderId="9" xfId="0" applyFont="1" applyFill="1" applyBorder="1" applyAlignment="1">
      <alignment horizontal="left"/>
    </xf>
    <xf numFmtId="0" fontId="26" fillId="2" borderId="9" xfId="0" applyFont="1" applyFill="1" applyBorder="1" applyAlignment="1">
      <alignment horizontal="left"/>
    </xf>
    <xf numFmtId="0" fontId="26" fillId="2" borderId="9" xfId="0" applyFont="1" applyFill="1" applyBorder="1" applyAlignment="1">
      <alignment horizontal="left" vertical="top"/>
    </xf>
    <xf numFmtId="0" fontId="8" fillId="2" borderId="9" xfId="0" applyFont="1" applyFill="1" applyBorder="1" applyAlignment="1">
      <alignment horizontal="left" vertical="center" wrapText="1"/>
    </xf>
    <xf numFmtId="0" fontId="8" fillId="2" borderId="15" xfId="1" applyFont="1" applyFill="1" applyBorder="1" applyAlignment="1">
      <alignment horizontal="left"/>
    </xf>
    <xf numFmtId="0" fontId="26" fillId="2" borderId="15" xfId="1" applyFont="1" applyFill="1" applyBorder="1" applyAlignment="1">
      <alignment horizontal="left"/>
    </xf>
    <xf numFmtId="0" fontId="8" fillId="2" borderId="11" xfId="1" applyFont="1" applyFill="1" applyBorder="1" applyAlignment="1">
      <alignment horizontal="left"/>
    </xf>
    <xf numFmtId="0" fontId="26" fillId="2" borderId="11" xfId="1" applyFont="1" applyFill="1" applyBorder="1" applyAlignment="1">
      <alignment horizontal="left"/>
    </xf>
    <xf numFmtId="164" fontId="8" fillId="2" borderId="9" xfId="3" applyNumberFormat="1" applyFont="1" applyFill="1" applyBorder="1"/>
    <xf numFmtId="0" fontId="8" fillId="2" borderId="9" xfId="0" applyFont="1" applyFill="1" applyBorder="1"/>
    <xf numFmtId="0" fontId="27" fillId="2" borderId="9" xfId="1" applyFont="1" applyFill="1" applyBorder="1" applyAlignment="1">
      <alignment horizontal="left"/>
    </xf>
    <xf numFmtId="0" fontId="26" fillId="2" borderId="9" xfId="0" applyFont="1" applyFill="1" applyBorder="1"/>
    <xf numFmtId="0" fontId="0" fillId="2" borderId="46" xfId="0" applyFill="1" applyBorder="1"/>
    <xf numFmtId="0" fontId="29" fillId="2" borderId="46" xfId="0" applyFont="1" applyFill="1" applyBorder="1" applyAlignment="1">
      <alignment horizontal="center" vertical="center" wrapText="1"/>
    </xf>
    <xf numFmtId="0" fontId="29" fillId="2" borderId="46" xfId="0" applyFont="1" applyFill="1" applyBorder="1" applyAlignment="1">
      <alignment vertical="center" wrapText="1"/>
    </xf>
    <xf numFmtId="0" fontId="29" fillId="2" borderId="46" xfId="0" applyFont="1" applyFill="1" applyBorder="1"/>
    <xf numFmtId="0" fontId="28" fillId="2" borderId="46" xfId="4" applyFill="1" applyBorder="1"/>
    <xf numFmtId="0" fontId="28" fillId="2" borderId="46" xfId="4" applyFill="1" applyBorder="1" applyAlignment="1">
      <alignment horizontal="left" vertical="top"/>
    </xf>
    <xf numFmtId="0" fontId="29" fillId="2" borderId="46" xfId="0" applyFont="1" applyFill="1" applyBorder="1" applyAlignment="1">
      <alignment vertical="center"/>
    </xf>
    <xf numFmtId="0" fontId="31" fillId="5" borderId="46" xfId="0" applyFont="1" applyFill="1" applyBorder="1" applyAlignment="1">
      <alignment wrapText="1"/>
    </xf>
    <xf numFmtId="0" fontId="31" fillId="5" borderId="46" xfId="0" applyFont="1" applyFill="1" applyBorder="1" applyAlignment="1">
      <alignment horizontal="center" wrapText="1"/>
    </xf>
    <xf numFmtId="0" fontId="31" fillId="5" borderId="47" xfId="0" applyFont="1" applyFill="1" applyBorder="1" applyAlignment="1">
      <alignment horizontal="center" wrapText="1"/>
    </xf>
    <xf numFmtId="0" fontId="16" fillId="2" borderId="9" xfId="0" applyFont="1" applyFill="1" applyBorder="1"/>
    <xf numFmtId="0" fontId="32" fillId="2" borderId="9" xfId="0" applyFont="1" applyFill="1" applyBorder="1" applyAlignment="1">
      <alignment horizontal="left" vertical="center" wrapText="1"/>
    </xf>
    <xf numFmtId="0" fontId="17" fillId="2" borderId="9" xfId="0" applyFont="1" applyFill="1" applyBorder="1"/>
    <xf numFmtId="166" fontId="29" fillId="6" borderId="9" xfId="0" applyNumberFormat="1" applyFont="1" applyFill="1" applyBorder="1" applyAlignment="1">
      <alignment horizontal="right" vertical="center" wrapText="1"/>
    </xf>
    <xf numFmtId="0" fontId="11" fillId="3" borderId="18" xfId="0" applyFont="1" applyFill="1" applyBorder="1" applyAlignment="1">
      <alignment horizontal="justify" vertical="center" wrapText="1"/>
    </xf>
    <xf numFmtId="0" fontId="10" fillId="0" borderId="18" xfId="0" applyFont="1" applyBorder="1" applyAlignment="1">
      <alignment horizontal="justify" vertical="center" wrapText="1"/>
    </xf>
    <xf numFmtId="0" fontId="11" fillId="3" borderId="21" xfId="0" applyFont="1" applyFill="1" applyBorder="1" applyAlignment="1">
      <alignment vertical="center" wrapText="1"/>
    </xf>
    <xf numFmtId="0" fontId="11" fillId="3" borderId="19" xfId="0" applyFont="1" applyFill="1" applyBorder="1" applyAlignment="1">
      <alignment vertical="center" wrapText="1"/>
    </xf>
    <xf numFmtId="0" fontId="11" fillId="3" borderId="18" xfId="0" applyFont="1" applyFill="1" applyBorder="1" applyAlignment="1">
      <alignment vertical="center" wrapText="1"/>
    </xf>
    <xf numFmtId="0" fontId="10" fillId="0" borderId="20" xfId="0" applyFont="1" applyBorder="1" applyAlignment="1">
      <alignment vertical="center"/>
    </xf>
    <xf numFmtId="0" fontId="10" fillId="0" borderId="18" xfId="0" applyFont="1" applyBorder="1" applyAlignment="1">
      <alignment vertical="center"/>
    </xf>
    <xf numFmtId="0" fontId="10" fillId="0" borderId="19" xfId="0" applyFont="1" applyBorder="1" applyAlignment="1">
      <alignment vertical="center"/>
    </xf>
    <xf numFmtId="0" fontId="11" fillId="3" borderId="20" xfId="0" applyFont="1" applyFill="1" applyBorder="1" applyAlignment="1">
      <alignment vertical="center" wrapText="1"/>
    </xf>
    <xf numFmtId="0" fontId="10" fillId="0" borderId="20" xfId="0" applyFont="1" applyBorder="1" applyAlignment="1">
      <alignment vertical="center" wrapText="1"/>
    </xf>
    <xf numFmtId="0" fontId="10" fillId="0" borderId="19" xfId="0" applyFont="1" applyBorder="1" applyAlignment="1">
      <alignment vertical="center" wrapText="1"/>
    </xf>
    <xf numFmtId="0" fontId="10" fillId="0" borderId="18" xfId="0" applyFont="1" applyBorder="1" applyAlignment="1">
      <alignment vertical="center" wrapText="1"/>
    </xf>
    <xf numFmtId="0" fontId="8" fillId="7" borderId="9" xfId="1" applyFont="1" applyFill="1" applyBorder="1" applyAlignment="1">
      <alignment horizontal="left"/>
    </xf>
    <xf numFmtId="0" fontId="26" fillId="7" borderId="9" xfId="1" applyFont="1" applyFill="1" applyBorder="1" applyAlignment="1">
      <alignment horizontal="left"/>
    </xf>
    <xf numFmtId="0" fontId="8" fillId="7" borderId="9" xfId="0" applyFont="1" applyFill="1" applyBorder="1" applyAlignment="1">
      <alignment horizontal="left"/>
    </xf>
    <xf numFmtId="0" fontId="37" fillId="0" borderId="0" xfId="5" applyFont="1" applyAlignment="1">
      <alignment vertical="center"/>
    </xf>
    <xf numFmtId="0" fontId="0" fillId="0" borderId="0" xfId="0" quotePrefix="1"/>
    <xf numFmtId="0" fontId="29" fillId="2" borderId="49" xfId="0" applyFont="1" applyFill="1" applyBorder="1" applyAlignment="1">
      <alignment vertical="top" wrapText="1"/>
    </xf>
    <xf numFmtId="0" fontId="29" fillId="2" borderId="0" xfId="0" applyFont="1" applyFill="1" applyAlignment="1">
      <alignment horizontal="left" vertical="top" wrapText="1"/>
    </xf>
    <xf numFmtId="0" fontId="29" fillId="2" borderId="0" xfId="0" applyFont="1" applyFill="1" applyAlignment="1">
      <alignment vertical="top" wrapText="1"/>
    </xf>
    <xf numFmtId="0" fontId="29" fillId="2" borderId="49" xfId="0" applyFont="1" applyFill="1" applyBorder="1" applyAlignment="1">
      <alignment horizontal="left" vertical="top" wrapText="1"/>
    </xf>
    <xf numFmtId="0" fontId="38" fillId="2" borderId="0" xfId="4" applyFont="1" applyFill="1" applyBorder="1" applyAlignment="1">
      <alignment vertical="top" wrapText="1"/>
    </xf>
    <xf numFmtId="0" fontId="38" fillId="2" borderId="0" xfId="0" applyFont="1" applyFill="1" applyAlignment="1">
      <alignment vertical="top" wrapText="1"/>
    </xf>
    <xf numFmtId="9" fontId="0" fillId="0" borderId="9" xfId="6" applyFont="1" applyBorder="1"/>
    <xf numFmtId="0" fontId="1" fillId="0" borderId="9" xfId="0" applyFont="1" applyBorder="1"/>
    <xf numFmtId="0" fontId="14" fillId="0" borderId="9" xfId="0" applyFont="1" applyBorder="1" applyAlignment="1">
      <alignment horizontal="left" vertical="center" indent="1"/>
    </xf>
    <xf numFmtId="0" fontId="0" fillId="0" borderId="9" xfId="0" applyBorder="1"/>
    <xf numFmtId="0" fontId="15" fillId="0" borderId="9" xfId="0" applyFont="1" applyBorder="1" applyAlignment="1">
      <alignment horizontal="left" vertical="center" indent="2"/>
    </xf>
    <xf numFmtId="0" fontId="15" fillId="8" borderId="9" xfId="0" applyFont="1" applyFill="1" applyBorder="1" applyAlignment="1">
      <alignment horizontal="center"/>
    </xf>
    <xf numFmtId="0" fontId="39" fillId="9" borderId="9" xfId="0" applyFont="1" applyFill="1" applyBorder="1" applyAlignment="1">
      <alignment horizontal="center"/>
    </xf>
    <xf numFmtId="0" fontId="40" fillId="8" borderId="9" xfId="0" applyFont="1" applyFill="1" applyBorder="1" applyAlignment="1">
      <alignment horizontal="center"/>
    </xf>
    <xf numFmtId="9" fontId="40" fillId="8" borderId="9" xfId="6" applyFont="1" applyFill="1" applyBorder="1" applyAlignment="1">
      <alignment horizontal="center"/>
    </xf>
    <xf numFmtId="1" fontId="40" fillId="8" borderId="9" xfId="0" applyNumberFormat="1" applyFont="1" applyFill="1" applyBorder="1" applyAlignment="1">
      <alignment horizontal="center"/>
    </xf>
    <xf numFmtId="1" fontId="40" fillId="8" borderId="9" xfId="6" applyNumberFormat="1" applyFont="1" applyFill="1" applyBorder="1" applyAlignment="1">
      <alignment horizontal="center"/>
    </xf>
    <xf numFmtId="0" fontId="15" fillId="0" borderId="9" xfId="0" applyFont="1" applyBorder="1" applyAlignment="1">
      <alignment horizontal="left" vertical="center" indent="3"/>
    </xf>
    <xf numFmtId="0" fontId="15" fillId="0" borderId="9" xfId="0" applyFont="1" applyBorder="1" applyAlignment="1">
      <alignment horizontal="left" vertical="center" indent="5"/>
    </xf>
    <xf numFmtId="9" fontId="40" fillId="10" borderId="9" xfId="6" applyFont="1" applyFill="1" applyBorder="1" applyAlignment="1">
      <alignment horizontal="center"/>
    </xf>
    <xf numFmtId="0" fontId="17" fillId="8" borderId="9" xfId="0" applyFont="1" applyFill="1" applyBorder="1" applyAlignment="1">
      <alignment horizontal="center"/>
    </xf>
    <xf numFmtId="0" fontId="15" fillId="10" borderId="9" xfId="0" applyFont="1" applyFill="1" applyBorder="1" applyAlignment="1">
      <alignment horizontal="center"/>
    </xf>
    <xf numFmtId="2" fontId="40" fillId="8" borderId="9" xfId="6" applyNumberFormat="1" applyFont="1" applyFill="1" applyBorder="1" applyAlignment="1">
      <alignment horizontal="center"/>
    </xf>
    <xf numFmtId="0" fontId="15" fillId="2" borderId="9" xfId="0" applyFont="1" applyFill="1" applyBorder="1" applyAlignment="1">
      <alignment horizontal="left" vertical="center" indent="2"/>
    </xf>
    <xf numFmtId="1" fontId="40" fillId="2" borderId="9" xfId="6" applyNumberFormat="1" applyFont="1" applyFill="1" applyBorder="1" applyAlignment="1">
      <alignment horizontal="center"/>
    </xf>
    <xf numFmtId="166" fontId="40" fillId="10" borderId="9" xfId="6" applyNumberFormat="1" applyFont="1" applyFill="1" applyBorder="1" applyAlignment="1">
      <alignment horizontal="center"/>
    </xf>
    <xf numFmtId="0" fontId="40" fillId="8" borderId="9" xfId="3" applyNumberFormat="1" applyFont="1" applyFill="1" applyBorder="1" applyAlignment="1">
      <alignment horizontal="center"/>
    </xf>
    <xf numFmtId="0" fontId="14" fillId="0" borderId="9" xfId="0" applyFont="1" applyBorder="1" applyAlignment="1">
      <alignment horizontal="left" vertical="center" indent="2"/>
    </xf>
    <xf numFmtId="5" fontId="17" fillId="8" borderId="9" xfId="0" applyNumberFormat="1" applyFont="1" applyFill="1" applyBorder="1" applyAlignment="1">
      <alignment horizontal="center"/>
    </xf>
    <xf numFmtId="166" fontId="40" fillId="8" borderId="9" xfId="6" applyNumberFormat="1" applyFont="1" applyFill="1" applyBorder="1" applyAlignment="1">
      <alignment horizontal="center"/>
    </xf>
    <xf numFmtId="0" fontId="40" fillId="8" borderId="9" xfId="6" applyNumberFormat="1" applyFont="1" applyFill="1" applyBorder="1" applyAlignment="1">
      <alignment horizontal="center"/>
    </xf>
    <xf numFmtId="9" fontId="15" fillId="10" borderId="9" xfId="6" applyFont="1" applyFill="1" applyBorder="1" applyAlignment="1">
      <alignment horizontal="center"/>
    </xf>
    <xf numFmtId="0" fontId="41" fillId="0" borderId="0" xfId="0" applyFont="1"/>
    <xf numFmtId="0" fontId="42" fillId="2" borderId="2" xfId="2" applyFont="1" applyFill="1" applyBorder="1" applyAlignment="1">
      <alignment vertical="center"/>
    </xf>
    <xf numFmtId="0" fontId="42" fillId="2" borderId="3" xfId="2" applyFont="1" applyFill="1" applyBorder="1" applyAlignment="1">
      <alignment vertical="center"/>
    </xf>
    <xf numFmtId="0" fontId="43" fillId="2" borderId="2" xfId="2" applyFont="1" applyFill="1" applyBorder="1" applyAlignment="1">
      <alignment vertical="center"/>
    </xf>
    <xf numFmtId="0" fontId="0" fillId="2" borderId="2" xfId="0" applyFill="1" applyBorder="1"/>
    <xf numFmtId="0" fontId="0" fillId="2" borderId="3" xfId="0" applyFill="1" applyBorder="1"/>
    <xf numFmtId="0" fontId="43" fillId="2" borderId="0" xfId="2" applyFont="1" applyFill="1" applyAlignment="1">
      <alignment vertical="center"/>
    </xf>
    <xf numFmtId="0" fontId="0" fillId="2" borderId="0" xfId="0" applyFill="1"/>
    <xf numFmtId="0" fontId="0" fillId="2" borderId="5" xfId="0" applyFill="1" applyBorder="1"/>
    <xf numFmtId="0" fontId="0" fillId="2" borderId="7" xfId="0" applyFill="1" applyBorder="1"/>
    <xf numFmtId="0" fontId="43" fillId="2" borderId="7" xfId="2" applyFont="1" applyFill="1" applyBorder="1" applyAlignment="1">
      <alignment vertical="center"/>
    </xf>
    <xf numFmtId="0" fontId="0" fillId="2" borderId="8" xfId="0" applyFill="1" applyBorder="1"/>
    <xf numFmtId="0" fontId="42" fillId="2" borderId="50" xfId="2" applyFont="1" applyFill="1" applyBorder="1" applyAlignment="1">
      <alignment horizontal="left" vertical="center"/>
    </xf>
    <xf numFmtId="0" fontId="42" fillId="2" borderId="51" xfId="2" applyFont="1" applyFill="1" applyBorder="1" applyAlignment="1">
      <alignment horizontal="left" vertical="center"/>
    </xf>
    <xf numFmtId="0" fontId="42" fillId="2" borderId="51" xfId="2" applyFont="1" applyFill="1" applyBorder="1" applyAlignment="1">
      <alignment vertical="center"/>
    </xf>
    <xf numFmtId="0" fontId="0" fillId="2" borderId="51" xfId="0" applyFill="1" applyBorder="1"/>
    <xf numFmtId="0" fontId="0" fillId="2" borderId="48" xfId="0" applyFill="1" applyBorder="1"/>
    <xf numFmtId="0" fontId="44" fillId="2" borderId="0" xfId="2" applyFont="1" applyFill="1" applyAlignment="1">
      <alignment vertical="center"/>
    </xf>
    <xf numFmtId="0" fontId="10" fillId="2" borderId="9" xfId="1" applyFont="1" applyFill="1" applyBorder="1" applyAlignment="1">
      <alignment horizontal="left"/>
    </xf>
    <xf numFmtId="0" fontId="11" fillId="2" borderId="9" xfId="1" applyFont="1" applyFill="1" applyBorder="1" applyAlignment="1">
      <alignment horizontal="left"/>
    </xf>
    <xf numFmtId="0" fontId="10" fillId="2" borderId="9" xfId="1" applyFont="1" applyFill="1" applyBorder="1"/>
    <xf numFmtId="49" fontId="10" fillId="2" borderId="9" xfId="1" applyNumberFormat="1" applyFont="1" applyFill="1" applyBorder="1" applyAlignment="1">
      <alignment horizontal="left"/>
    </xf>
    <xf numFmtId="0" fontId="10" fillId="2" borderId="9" xfId="0" applyFont="1" applyFill="1" applyBorder="1" applyAlignment="1">
      <alignment horizontal="left"/>
    </xf>
    <xf numFmtId="0" fontId="5" fillId="2" borderId="9" xfId="1" applyFill="1" applyBorder="1" applyAlignment="1">
      <alignment horizontal="left"/>
    </xf>
    <xf numFmtId="0" fontId="9" fillId="2" borderId="9" xfId="0" applyFont="1" applyFill="1" applyBorder="1" applyAlignment="1">
      <alignment horizontal="left"/>
    </xf>
    <xf numFmtId="0" fontId="5" fillId="2" borderId="9" xfId="0" applyFont="1" applyFill="1" applyBorder="1"/>
    <xf numFmtId="49" fontId="5" fillId="2" borderId="9" xfId="1" applyNumberFormat="1" applyFill="1" applyBorder="1" applyAlignment="1">
      <alignment horizontal="left"/>
    </xf>
    <xf numFmtId="0" fontId="5" fillId="2" borderId="9" xfId="0" applyFont="1" applyFill="1" applyBorder="1" applyAlignment="1">
      <alignment horizontal="left"/>
    </xf>
    <xf numFmtId="0" fontId="9" fillId="2" borderId="9" xfId="1" applyFont="1" applyFill="1" applyBorder="1" applyAlignment="1">
      <alignment horizontal="left"/>
    </xf>
    <xf numFmtId="0" fontId="5" fillId="2" borderId="9" xfId="1" applyFill="1" applyBorder="1"/>
    <xf numFmtId="49" fontId="5" fillId="2" borderId="9" xfId="0" applyNumberFormat="1" applyFont="1" applyFill="1" applyBorder="1" applyAlignment="1">
      <alignment horizontal="left"/>
    </xf>
    <xf numFmtId="0" fontId="5" fillId="2" borderId="9" xfId="1" applyFill="1" applyBorder="1" applyAlignment="1">
      <alignment horizontal="left" wrapText="1"/>
    </xf>
    <xf numFmtId="0" fontId="45" fillId="2" borderId="9" xfId="1" applyFont="1" applyFill="1" applyBorder="1" applyAlignment="1">
      <alignment horizontal="left"/>
    </xf>
    <xf numFmtId="0" fontId="9" fillId="2" borderId="9" xfId="0" applyFont="1" applyFill="1" applyBorder="1"/>
    <xf numFmtId="0" fontId="5" fillId="2" borderId="9" xfId="1" applyFill="1" applyBorder="1" applyAlignment="1">
      <alignment wrapText="1"/>
    </xf>
    <xf numFmtId="9" fontId="5" fillId="2" borderId="9" xfId="6" applyFont="1" applyFill="1" applyBorder="1" applyAlignment="1"/>
    <xf numFmtId="49" fontId="5" fillId="2" borderId="9" xfId="1" applyNumberFormat="1" applyFill="1" applyBorder="1" applyAlignment="1">
      <alignment horizontal="left" wrapText="1"/>
    </xf>
    <xf numFmtId="0" fontId="5" fillId="2" borderId="15" xfId="1" applyFill="1" applyBorder="1" applyAlignment="1">
      <alignment horizontal="left"/>
    </xf>
    <xf numFmtId="0" fontId="9" fillId="2" borderId="15" xfId="1" applyFont="1" applyFill="1" applyBorder="1" applyAlignment="1">
      <alignment horizontal="left"/>
    </xf>
    <xf numFmtId="0" fontId="5" fillId="2" borderId="15" xfId="1" applyFill="1" applyBorder="1"/>
    <xf numFmtId="0" fontId="5" fillId="2" borderId="11" xfId="1" applyFill="1" applyBorder="1" applyAlignment="1">
      <alignment horizontal="left"/>
    </xf>
    <xf numFmtId="0" fontId="9" fillId="2" borderId="11" xfId="1" applyFont="1" applyFill="1" applyBorder="1" applyAlignment="1">
      <alignment horizontal="left"/>
    </xf>
    <xf numFmtId="0" fontId="5" fillId="2" borderId="11" xfId="0" applyFont="1" applyFill="1" applyBorder="1"/>
    <xf numFmtId="0" fontId="9" fillId="2" borderId="9" xfId="0" applyFont="1" applyFill="1" applyBorder="1" applyAlignment="1">
      <alignment horizontal="left" vertical="top"/>
    </xf>
    <xf numFmtId="167" fontId="45" fillId="2" borderId="9" xfId="0" applyNumberFormat="1" applyFont="1" applyFill="1" applyBorder="1"/>
    <xf numFmtId="168" fontId="5" fillId="2" borderId="9" xfId="0" applyNumberFormat="1" applyFont="1" applyFill="1" applyBorder="1"/>
    <xf numFmtId="165" fontId="5" fillId="2" borderId="9" xfId="3" applyNumberFormat="1" applyFont="1" applyFill="1" applyBorder="1" applyAlignment="1"/>
    <xf numFmtId="0" fontId="5" fillId="2" borderId="9" xfId="0" applyFont="1" applyFill="1" applyBorder="1" applyAlignment="1">
      <alignment horizontal="left" vertical="center" wrapText="1"/>
    </xf>
    <xf numFmtId="44" fontId="5" fillId="2" borderId="9" xfId="7" applyFont="1" applyFill="1" applyBorder="1" applyAlignment="1"/>
    <xf numFmtId="0" fontId="5" fillId="2" borderId="9" xfId="0" applyFont="1" applyFill="1" applyBorder="1" applyAlignment="1">
      <alignment vertical="center" wrapText="1"/>
    </xf>
    <xf numFmtId="169" fontId="5" fillId="2" borderId="9" xfId="0" applyNumberFormat="1" applyFont="1" applyFill="1" applyBorder="1"/>
    <xf numFmtId="49" fontId="5" fillId="2" borderId="15" xfId="1" applyNumberFormat="1" applyFill="1" applyBorder="1" applyAlignment="1">
      <alignment horizontal="left"/>
    </xf>
    <xf numFmtId="49" fontId="5" fillId="2" borderId="11" xfId="1" applyNumberFormat="1" applyFill="1" applyBorder="1" applyAlignment="1">
      <alignment horizontal="left"/>
    </xf>
    <xf numFmtId="49" fontId="5" fillId="2" borderId="11" xfId="1" applyNumberFormat="1" applyFill="1" applyBorder="1"/>
    <xf numFmtId="0" fontId="5" fillId="2" borderId="11" xfId="1" applyFill="1" applyBorder="1" applyAlignment="1">
      <alignment horizontal="left" wrapText="1"/>
    </xf>
    <xf numFmtId="0" fontId="5" fillId="2" borderId="15" xfId="0" applyFont="1" applyFill="1" applyBorder="1" applyAlignment="1">
      <alignment horizontal="left"/>
    </xf>
    <xf numFmtId="164" fontId="5" fillId="2" borderId="11" xfId="3" applyNumberFormat="1" applyFont="1" applyFill="1" applyBorder="1"/>
    <xf numFmtId="0" fontId="9" fillId="2" borderId="11" xfId="0" applyFont="1" applyFill="1" applyBorder="1" applyAlignment="1">
      <alignment horizontal="left"/>
    </xf>
    <xf numFmtId="164" fontId="5" fillId="2" borderId="9" xfId="3" applyNumberFormat="1" applyFont="1" applyFill="1" applyBorder="1" applyAlignment="1"/>
    <xf numFmtId="49" fontId="5" fillId="2" borderId="9" xfId="0" applyNumberFormat="1" applyFont="1" applyFill="1" applyBorder="1"/>
    <xf numFmtId="49" fontId="9" fillId="2" borderId="9" xfId="0" applyNumberFormat="1" applyFont="1" applyFill="1" applyBorder="1" applyAlignment="1">
      <alignment horizontal="left"/>
    </xf>
    <xf numFmtId="0" fontId="9" fillId="2" borderId="9" xfId="0" applyFont="1" applyFill="1" applyBorder="1" applyAlignment="1">
      <alignment horizontal="left" wrapText="1"/>
    </xf>
    <xf numFmtId="49" fontId="5" fillId="2" borderId="0" xfId="0" applyNumberFormat="1" applyFont="1" applyFill="1"/>
    <xf numFmtId="49" fontId="5" fillId="0" borderId="0" xfId="0" applyNumberFormat="1" applyFont="1"/>
    <xf numFmtId="0" fontId="46" fillId="12" borderId="52" xfId="0" applyFont="1" applyFill="1" applyBorder="1" applyAlignment="1">
      <alignment horizontal="center" vertical="center" wrapText="1"/>
    </xf>
    <xf numFmtId="0" fontId="46" fillId="12" borderId="53" xfId="0" applyFont="1" applyFill="1" applyBorder="1" applyAlignment="1">
      <alignment horizontal="center" vertical="center" wrapText="1"/>
    </xf>
    <xf numFmtId="0" fontId="0" fillId="0" borderId="0" xfId="0" applyAlignment="1">
      <alignment vertical="center" wrapText="1"/>
    </xf>
    <xf numFmtId="0" fontId="0" fillId="0" borderId="52" xfId="0" applyBorder="1" applyAlignment="1">
      <alignment vertical="center" wrapText="1"/>
    </xf>
    <xf numFmtId="0" fontId="0" fillId="0" borderId="53" xfId="0" applyBorder="1" applyAlignment="1">
      <alignment vertical="center" wrapText="1"/>
    </xf>
    <xf numFmtId="0" fontId="0" fillId="0" borderId="54" xfId="0" applyBorder="1" applyAlignment="1">
      <alignment vertical="center" wrapText="1"/>
    </xf>
    <xf numFmtId="0" fontId="0" fillId="0" borderId="55" xfId="0" applyBorder="1" applyAlignment="1">
      <alignment vertical="center" wrapText="1"/>
    </xf>
    <xf numFmtId="0" fontId="0" fillId="0" borderId="11" xfId="0" applyBorder="1" applyAlignment="1">
      <alignment vertical="center" wrapText="1"/>
    </xf>
    <xf numFmtId="0" fontId="0" fillId="0" borderId="56" xfId="0" applyBorder="1" applyAlignment="1">
      <alignment vertical="center" wrapText="1"/>
    </xf>
    <xf numFmtId="0" fontId="46" fillId="12" borderId="57" xfId="0" applyFont="1" applyFill="1" applyBorder="1" applyAlignment="1">
      <alignment horizontal="center" vertical="center" wrapText="1"/>
    </xf>
    <xf numFmtId="0" fontId="0" fillId="0" borderId="10" xfId="0" applyBorder="1" applyAlignment="1">
      <alignment vertical="center" wrapText="1"/>
    </xf>
    <xf numFmtId="0" fontId="0" fillId="0" borderId="58" xfId="0" applyBorder="1" applyAlignment="1">
      <alignment vertical="center" wrapText="1"/>
    </xf>
    <xf numFmtId="0" fontId="0" fillId="0" borderId="59" xfId="0" applyBorder="1" applyAlignment="1">
      <alignment vertical="center" wrapText="1"/>
    </xf>
    <xf numFmtId="0" fontId="0" fillId="0" borderId="60" xfId="0" applyBorder="1" applyAlignment="1">
      <alignment vertical="center" wrapText="1"/>
    </xf>
    <xf numFmtId="0" fontId="0" fillId="0" borderId="49" xfId="0" applyBorder="1" applyAlignment="1">
      <alignment vertical="center" wrapText="1"/>
    </xf>
    <xf numFmtId="0" fontId="46" fillId="12" borderId="0" xfId="0" applyFont="1" applyFill="1" applyAlignment="1">
      <alignment horizontal="center" vertical="center"/>
    </xf>
    <xf numFmtId="0" fontId="0" fillId="11" borderId="0" xfId="0" applyFill="1"/>
    <xf numFmtId="0" fontId="1" fillId="13" borderId="61" xfId="0" applyFont="1" applyFill="1" applyBorder="1" applyAlignment="1">
      <alignment horizontal="center" vertical="center"/>
    </xf>
    <xf numFmtId="0" fontId="1" fillId="14" borderId="61" xfId="0" applyFont="1" applyFill="1" applyBorder="1" applyAlignment="1">
      <alignment horizontal="center" vertical="center"/>
    </xf>
    <xf numFmtId="0" fontId="1" fillId="11" borderId="0" xfId="0" applyFont="1" applyFill="1"/>
    <xf numFmtId="0" fontId="48" fillId="11" borderId="0" xfId="0" applyFont="1" applyFill="1" applyAlignment="1">
      <alignment horizontal="left" vertical="center"/>
    </xf>
    <xf numFmtId="0" fontId="1" fillId="15" borderId="61" xfId="0" applyFont="1" applyFill="1" applyBorder="1" applyAlignment="1">
      <alignment horizontal="center" vertical="center"/>
    </xf>
    <xf numFmtId="0" fontId="0" fillId="11" borderId="63" xfId="0" applyFill="1" applyBorder="1" applyAlignment="1">
      <alignment horizontal="center" vertical="center"/>
    </xf>
    <xf numFmtId="0" fontId="47" fillId="11" borderId="0" xfId="0" applyFont="1" applyFill="1" applyAlignment="1">
      <alignment horizontal="center"/>
    </xf>
    <xf numFmtId="0" fontId="0" fillId="11" borderId="0" xfId="0" applyFill="1" applyAlignment="1">
      <alignment horizontal="center" vertical="center"/>
    </xf>
    <xf numFmtId="0" fontId="47" fillId="11" borderId="0" xfId="0" applyFont="1" applyFill="1"/>
    <xf numFmtId="0" fontId="0" fillId="11" borderId="63" xfId="0" applyFill="1" applyBorder="1"/>
    <xf numFmtId="0" fontId="49" fillId="0" borderId="0" xfId="0" applyFont="1"/>
    <xf numFmtId="0" fontId="50" fillId="0" borderId="0" xfId="0" applyFont="1"/>
    <xf numFmtId="0" fontId="44" fillId="2" borderId="1" xfId="2" applyFont="1" applyFill="1" applyBorder="1" applyAlignment="1">
      <alignment vertical="center"/>
    </xf>
    <xf numFmtId="0" fontId="44" fillId="2" borderId="2" xfId="2" applyFont="1" applyFill="1" applyBorder="1" applyAlignment="1">
      <alignment vertical="center"/>
    </xf>
    <xf numFmtId="0" fontId="44" fillId="2" borderId="3" xfId="2" applyFont="1" applyFill="1" applyBorder="1" applyAlignment="1">
      <alignment vertical="center"/>
    </xf>
    <xf numFmtId="0" fontId="51" fillId="2" borderId="0" xfId="2" applyFont="1" applyFill="1" applyAlignment="1">
      <alignment vertical="center"/>
    </xf>
    <xf numFmtId="0" fontId="8" fillId="2" borderId="0" xfId="2" applyFont="1" applyFill="1" applyAlignment="1">
      <alignment vertical="center"/>
    </xf>
    <xf numFmtId="0" fontId="44" fillId="2" borderId="5" xfId="2" applyFont="1" applyFill="1" applyBorder="1" applyAlignment="1">
      <alignment vertical="center"/>
    </xf>
    <xf numFmtId="0" fontId="44" fillId="2" borderId="4" xfId="2" applyFont="1" applyFill="1" applyBorder="1" applyAlignment="1">
      <alignment vertical="center"/>
    </xf>
    <xf numFmtId="0" fontId="0" fillId="2" borderId="0" xfId="0" quotePrefix="1" applyFill="1"/>
    <xf numFmtId="0" fontId="28" fillId="2" borderId="0" xfId="4" applyFill="1" applyBorder="1" applyAlignment="1">
      <alignment vertical="center"/>
    </xf>
    <xf numFmtId="0" fontId="44" fillId="2" borderId="6" xfId="2" applyFont="1" applyFill="1" applyBorder="1" applyAlignment="1">
      <alignment vertical="center"/>
    </xf>
    <xf numFmtId="0" fontId="44" fillId="2" borderId="7" xfId="2" applyFont="1" applyFill="1" applyBorder="1" applyAlignment="1">
      <alignment vertical="center"/>
    </xf>
    <xf numFmtId="0" fontId="44" fillId="2" borderId="8" xfId="2" applyFont="1" applyFill="1" applyBorder="1" applyAlignment="1">
      <alignment vertical="center"/>
    </xf>
    <xf numFmtId="170" fontId="0" fillId="0" borderId="0" xfId="0" applyNumberFormat="1"/>
    <xf numFmtId="0" fontId="0" fillId="0" borderId="0" xfId="0" applyAlignment="1"/>
    <xf numFmtId="0" fontId="23" fillId="0" borderId="9" xfId="0" applyFont="1" applyBorder="1" applyAlignment="1">
      <alignment horizontal="justify" vertical="center" wrapText="1"/>
    </xf>
    <xf numFmtId="0" fontId="23" fillId="0" borderId="9" xfId="0" applyFont="1" applyBorder="1" applyAlignment="1">
      <alignment horizontal="center" vertical="center" wrapText="1"/>
    </xf>
    <xf numFmtId="9" fontId="23" fillId="0" borderId="9" xfId="0" applyNumberFormat="1" applyFont="1" applyBorder="1" applyAlignment="1">
      <alignment horizontal="center" vertical="center" wrapText="1"/>
    </xf>
    <xf numFmtId="10" fontId="23" fillId="0" borderId="9" xfId="0" applyNumberFormat="1" applyFont="1" applyBorder="1" applyAlignment="1">
      <alignment horizontal="center" vertical="center" wrapText="1"/>
    </xf>
    <xf numFmtId="0" fontId="52" fillId="2" borderId="1" xfId="2" applyFont="1" applyFill="1" applyBorder="1" applyAlignment="1">
      <alignment vertical="center"/>
    </xf>
    <xf numFmtId="0" fontId="52" fillId="2" borderId="2" xfId="2" applyFont="1" applyFill="1" applyBorder="1" applyAlignment="1">
      <alignment vertical="center"/>
    </xf>
    <xf numFmtId="0" fontId="53" fillId="2" borderId="1" xfId="2" applyFont="1" applyFill="1" applyBorder="1" applyAlignment="1">
      <alignment vertical="center"/>
    </xf>
    <xf numFmtId="0" fontId="53" fillId="2" borderId="2" xfId="2" applyFont="1" applyFill="1" applyBorder="1" applyAlignment="1">
      <alignment vertical="center"/>
    </xf>
    <xf numFmtId="0" fontId="53" fillId="2" borderId="4" xfId="2" applyFont="1" applyFill="1" applyBorder="1" applyAlignment="1">
      <alignment vertical="center"/>
    </xf>
    <xf numFmtId="0" fontId="53" fillId="2" borderId="0" xfId="2" applyFont="1" applyFill="1" applyAlignment="1">
      <alignment vertical="center"/>
    </xf>
    <xf numFmtId="0" fontId="54" fillId="2" borderId="7" xfId="0" applyFont="1" applyFill="1" applyBorder="1"/>
    <xf numFmtId="0" fontId="52" fillId="2" borderId="6" xfId="2" applyFont="1" applyFill="1" applyBorder="1" applyAlignment="1">
      <alignment vertical="center"/>
    </xf>
    <xf numFmtId="0" fontId="33" fillId="0" borderId="9" xfId="0" applyFont="1" applyBorder="1" applyAlignment="1">
      <alignment horizontal="left" vertical="center" wrapText="1"/>
    </xf>
    <xf numFmtId="0" fontId="34" fillId="0" borderId="9" xfId="0" applyFont="1" applyBorder="1" applyAlignment="1">
      <alignment horizontal="left" vertical="center" wrapText="1"/>
    </xf>
    <xf numFmtId="0" fontId="6" fillId="0" borderId="9" xfId="0" applyFont="1" applyBorder="1" applyAlignment="1">
      <alignment horizontal="left" vertical="center" wrapText="1"/>
    </xf>
    <xf numFmtId="0" fontId="35" fillId="0" borderId="9" xfId="0" applyFont="1" applyBorder="1" applyAlignment="1">
      <alignment horizontal="left" vertical="center" wrapText="1"/>
    </xf>
    <xf numFmtId="0" fontId="7" fillId="16" borderId="4" xfId="0" applyFont="1" applyFill="1" applyBorder="1" applyAlignment="1">
      <alignment wrapText="1"/>
    </xf>
    <xf numFmtId="0" fontId="0" fillId="16" borderId="0" xfId="0" applyFill="1" applyAlignment="1">
      <alignment wrapText="1"/>
    </xf>
    <xf numFmtId="0" fontId="0" fillId="16" borderId="5" xfId="0" applyFill="1" applyBorder="1" applyAlignment="1">
      <alignment wrapText="1"/>
    </xf>
    <xf numFmtId="0" fontId="1" fillId="16" borderId="0" xfId="0" applyFont="1" applyFill="1"/>
    <xf numFmtId="0" fontId="0" fillId="16" borderId="0" xfId="0" applyFill="1"/>
    <xf numFmtId="0" fontId="1" fillId="0" borderId="0" xfId="0" applyFont="1" applyFill="1"/>
    <xf numFmtId="0" fontId="0" fillId="0" borderId="0" xfId="0" applyFill="1"/>
    <xf numFmtId="0" fontId="0" fillId="0" borderId="0" xfId="0" applyFill="1" applyAlignment="1">
      <alignment horizontal="left" indent="2"/>
    </xf>
    <xf numFmtId="0" fontId="17" fillId="0" borderId="0" xfId="0" applyFont="1"/>
    <xf numFmtId="0" fontId="16" fillId="0" borderId="0" xfId="0" applyFont="1"/>
    <xf numFmtId="0" fontId="17" fillId="0" borderId="0" xfId="0" quotePrefix="1" applyFont="1"/>
    <xf numFmtId="0" fontId="56" fillId="0" borderId="0" xfId="0" applyFont="1"/>
    <xf numFmtId="0" fontId="55" fillId="12" borderId="46" xfId="0" applyFont="1" applyFill="1" applyBorder="1" applyAlignment="1">
      <alignment horizontal="center" vertical="center" wrapText="1"/>
    </xf>
    <xf numFmtId="0" fontId="17" fillId="0" borderId="0" xfId="0" applyFont="1" applyAlignment="1">
      <alignment vertical="center" wrapText="1"/>
    </xf>
    <xf numFmtId="0" fontId="57" fillId="0" borderId="0" xfId="0" applyFont="1" applyAlignment="1">
      <alignment vertical="center"/>
    </xf>
    <xf numFmtId="0" fontId="55" fillId="12" borderId="0" xfId="0" applyFont="1" applyFill="1" applyAlignment="1">
      <alignment horizontal="center"/>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0" fillId="0" borderId="53" xfId="0" applyBorder="1" applyAlignment="1">
      <alignment horizontal="center" vertical="center" wrapText="1"/>
    </xf>
    <xf numFmtId="0" fontId="0" fillId="0" borderId="52" xfId="0" applyBorder="1" applyAlignment="1">
      <alignment horizontal="center" vertical="center" wrapText="1"/>
    </xf>
    <xf numFmtId="0" fontId="0" fillId="0" borderId="54" xfId="0" applyBorder="1" applyAlignment="1">
      <alignment horizontal="center" vertical="center" wrapText="1"/>
    </xf>
    <xf numFmtId="0" fontId="0" fillId="0" borderId="11" xfId="0" applyBorder="1" applyAlignment="1">
      <alignment horizontal="center" vertical="center" wrapText="1"/>
    </xf>
    <xf numFmtId="0" fontId="18" fillId="0" borderId="28" xfId="0" applyFont="1" applyBorder="1" applyAlignment="1">
      <alignment horizontal="justify" vertical="center" wrapText="1"/>
    </xf>
    <xf numFmtId="0" fontId="18" fillId="0" borderId="33" xfId="0" applyFont="1" applyBorder="1" applyAlignment="1">
      <alignment horizontal="justify" vertical="center" wrapText="1"/>
    </xf>
    <xf numFmtId="0" fontId="18" fillId="0" borderId="43" xfId="0" applyFont="1" applyBorder="1" applyAlignment="1">
      <alignment horizontal="justify" vertical="center" wrapText="1"/>
    </xf>
    <xf numFmtId="0" fontId="18" fillId="0" borderId="31" xfId="0" applyFont="1" applyBorder="1" applyAlignment="1">
      <alignment horizontal="justify" vertical="center" wrapText="1"/>
    </xf>
    <xf numFmtId="0" fontId="18" fillId="0" borderId="36" xfId="0" applyFont="1" applyBorder="1" applyAlignment="1">
      <alignment horizontal="justify" vertical="center" wrapText="1"/>
    </xf>
    <xf numFmtId="0" fontId="18" fillId="0" borderId="44" xfId="0" applyFont="1" applyBorder="1" applyAlignment="1">
      <alignment horizontal="justify" vertical="center" wrapText="1"/>
    </xf>
    <xf numFmtId="0" fontId="24" fillId="0" borderId="31" xfId="0" applyFont="1" applyBorder="1" applyAlignment="1">
      <alignment horizontal="center" vertical="center" wrapText="1"/>
    </xf>
    <xf numFmtId="0" fontId="24" fillId="0" borderId="36" xfId="0" applyFont="1" applyBorder="1" applyAlignment="1">
      <alignment horizontal="center" vertical="center" wrapText="1"/>
    </xf>
    <xf numFmtId="0" fontId="24" fillId="0" borderId="44" xfId="0" applyFont="1" applyBorder="1" applyAlignment="1">
      <alignment horizontal="center" vertical="center" wrapText="1"/>
    </xf>
    <xf numFmtId="0" fontId="18" fillId="0" borderId="32" xfId="0" applyFont="1" applyBorder="1" applyAlignment="1">
      <alignment horizontal="justify" vertical="center" wrapText="1"/>
    </xf>
    <xf numFmtId="0" fontId="18" fillId="0" borderId="37" xfId="0" applyFont="1" applyBorder="1" applyAlignment="1">
      <alignment horizontal="justify" vertical="center" wrapText="1"/>
    </xf>
    <xf numFmtId="0" fontId="18" fillId="0" borderId="45" xfId="0" applyFont="1" applyBorder="1" applyAlignment="1">
      <alignment horizontal="justify" vertical="center" wrapText="1"/>
    </xf>
    <xf numFmtId="0" fontId="18" fillId="0" borderId="38" xfId="0" applyFont="1" applyBorder="1" applyAlignment="1">
      <alignment horizontal="justify" vertical="center" wrapText="1"/>
    </xf>
    <xf numFmtId="0" fontId="18" fillId="0" borderId="29" xfId="0" applyFont="1" applyBorder="1" applyAlignment="1">
      <alignment horizontal="justify" vertical="center" wrapText="1"/>
    </xf>
    <xf numFmtId="0" fontId="18" fillId="0" borderId="30" xfId="0" applyFont="1" applyBorder="1" applyAlignment="1">
      <alignment horizontal="justify" vertical="center" wrapText="1"/>
    </xf>
    <xf numFmtId="0" fontId="18" fillId="0" borderId="41" xfId="0" applyFont="1" applyBorder="1" applyAlignment="1">
      <alignment horizontal="justify" vertical="center" wrapText="1"/>
    </xf>
    <xf numFmtId="0" fontId="18" fillId="0" borderId="42" xfId="0" applyFont="1" applyBorder="1" applyAlignment="1">
      <alignment horizontal="justify" vertical="center" wrapText="1"/>
    </xf>
    <xf numFmtId="0" fontId="22" fillId="0" borderId="39" xfId="0" applyFont="1" applyBorder="1" applyAlignment="1">
      <alignment horizontal="justify" vertical="center" wrapText="1"/>
    </xf>
    <xf numFmtId="0" fontId="22" fillId="0" borderId="40" xfId="0" applyFont="1" applyBorder="1" applyAlignment="1">
      <alignment horizontal="justify" vertical="center" wrapText="1"/>
    </xf>
    <xf numFmtId="0" fontId="24" fillId="0" borderId="41" xfId="0" applyFont="1" applyBorder="1" applyAlignment="1">
      <alignment horizontal="center" vertical="center" wrapText="1"/>
    </xf>
    <xf numFmtId="0" fontId="21" fillId="0" borderId="29" xfId="0" applyFont="1" applyBorder="1" applyAlignment="1">
      <alignment horizontal="center" vertical="center" wrapText="1" readingOrder="1"/>
    </xf>
    <xf numFmtId="0" fontId="21" fillId="0" borderId="30" xfId="0" applyFont="1" applyBorder="1" applyAlignment="1">
      <alignment horizontal="center" vertical="center" wrapText="1" readingOrder="1"/>
    </xf>
    <xf numFmtId="0" fontId="21" fillId="0" borderId="34" xfId="0" applyFont="1" applyBorder="1" applyAlignment="1">
      <alignment horizontal="center" vertical="center" wrapText="1" readingOrder="1"/>
    </xf>
    <xf numFmtId="0" fontId="21" fillId="0" borderId="35" xfId="0" applyFont="1" applyBorder="1" applyAlignment="1">
      <alignment horizontal="center" vertical="center" wrapText="1" readingOrder="1"/>
    </xf>
    <xf numFmtId="0" fontId="21" fillId="0" borderId="39" xfId="0" applyFont="1" applyBorder="1" applyAlignment="1">
      <alignment horizontal="center" vertical="center" wrapText="1" readingOrder="1"/>
    </xf>
    <xf numFmtId="0" fontId="21" fillId="0" borderId="40" xfId="0" applyFont="1" applyBorder="1" applyAlignment="1">
      <alignment horizontal="center" vertical="center" wrapText="1" readingOrder="1"/>
    </xf>
    <xf numFmtId="0" fontId="17" fillId="11" borderId="62" xfId="0" applyFont="1" applyFill="1" applyBorder="1" applyAlignment="1">
      <alignment horizontal="center" wrapText="1"/>
    </xf>
    <xf numFmtId="0" fontId="17" fillId="11" borderId="0" xfId="0" applyFont="1" applyFill="1" applyAlignment="1">
      <alignment horizontal="center" wrapText="1"/>
    </xf>
    <xf numFmtId="0" fontId="7" fillId="16" borderId="4" xfId="0" applyFont="1" applyFill="1" applyBorder="1" applyAlignment="1">
      <alignment horizontal="left" vertical="center" wrapText="1"/>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cellXfs>
  <cellStyles count="8">
    <cellStyle name="Comma" xfId="3" builtinId="3"/>
    <cellStyle name="Currency" xfId="7" builtinId="4"/>
    <cellStyle name="Hyperlink" xfId="4" builtinId="8"/>
    <cellStyle name="Normal" xfId="0" builtinId="0"/>
    <cellStyle name="Normal 2 3" xfId="1" xr:uid="{85722B92-F0E9-49A9-AF0A-938EB48E6530}"/>
    <cellStyle name="Normal 3" xfId="2" xr:uid="{D7A42C81-5A47-437D-8774-E40F2E976139}"/>
    <cellStyle name="Normal_COUNTRY" xfId="5" xr:uid="{CC7F1E74-6BBB-4DEE-890F-3BFDE7B2D0BA}"/>
    <cellStyle name="Percent" xfId="6" builtinId="5"/>
  </cellStyles>
  <dxfs count="17">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106680</xdr:colOff>
      <xdr:row>8</xdr:row>
      <xdr:rowOff>381000</xdr:rowOff>
    </xdr:from>
    <xdr:to>
      <xdr:col>2</xdr:col>
      <xdr:colOff>1371150</xdr:colOff>
      <xdr:row>8</xdr:row>
      <xdr:rowOff>579120</xdr:rowOff>
    </xdr:to>
    <xdr:pic>
      <xdr:nvPicPr>
        <xdr:cNvPr id="2" name="Picture 1">
          <a:extLst>
            <a:ext uri="{FF2B5EF4-FFF2-40B4-BE49-F238E27FC236}">
              <a16:creationId xmlns:a16="http://schemas.microsoft.com/office/drawing/2014/main" id="{0A4C6CCD-3D3F-4ACB-8EB6-18501591DFB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22120" y="4160520"/>
          <a:ext cx="1264470" cy="19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11</xdr:row>
      <xdr:rowOff>457200</xdr:rowOff>
    </xdr:from>
    <xdr:to>
      <xdr:col>2</xdr:col>
      <xdr:colOff>1318708</xdr:colOff>
      <xdr:row>11</xdr:row>
      <xdr:rowOff>640080</xdr:rowOff>
    </xdr:to>
    <xdr:pic>
      <xdr:nvPicPr>
        <xdr:cNvPr id="3" name="Picture 2">
          <a:extLst>
            <a:ext uri="{FF2B5EF4-FFF2-40B4-BE49-F238E27FC236}">
              <a16:creationId xmlns:a16="http://schemas.microsoft.com/office/drawing/2014/main" id="{347BB459-5E4B-4FFA-89F8-86236D11E4D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91640" y="5334000"/>
          <a:ext cx="1242508"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xdr:row>
      <xdr:rowOff>175260</xdr:rowOff>
    </xdr:from>
    <xdr:to>
      <xdr:col>2</xdr:col>
      <xdr:colOff>304800</xdr:colOff>
      <xdr:row>1</xdr:row>
      <xdr:rowOff>419302</xdr:rowOff>
    </xdr:to>
    <xdr:pic>
      <xdr:nvPicPr>
        <xdr:cNvPr id="4" name="Picture 3">
          <a:extLst>
            <a:ext uri="{FF2B5EF4-FFF2-40B4-BE49-F238E27FC236}">
              <a16:creationId xmlns:a16="http://schemas.microsoft.com/office/drawing/2014/main" id="{D697158A-259C-46F4-8B75-41DFFC0FD075}"/>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1127760"/>
          <a:ext cx="1158240" cy="244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climatewatchdata.org/ndcs-explore" TargetMode="External"/><Relationship Id="rId3" Type="http://schemas.openxmlformats.org/officeDocument/2006/relationships/hyperlink" Target="https://databank.worldbank.org/source/world-development-indicators" TargetMode="External"/><Relationship Id="rId7" Type="http://schemas.openxmlformats.org/officeDocument/2006/relationships/hyperlink" Target="https://iiasa.ac.at/web/home/research/researchPrograms/air/GAINS.html" TargetMode="External"/><Relationship Id="rId2" Type="http://schemas.openxmlformats.org/officeDocument/2006/relationships/hyperlink" Target="https://www.nature.com/articles/s41558-018-0282-y" TargetMode="External"/><Relationship Id="rId1" Type="http://schemas.openxmlformats.org/officeDocument/2006/relationships/hyperlink" Target="https://carbonpricingdashboard.worldbank.org/" TargetMode="External"/><Relationship Id="rId6" Type="http://schemas.openxmlformats.org/officeDocument/2006/relationships/hyperlink" Target="https://iiasa.ac.at/web/home/research/researchPrograms/air/GAINS.html" TargetMode="External"/><Relationship Id="rId5" Type="http://schemas.openxmlformats.org/officeDocument/2006/relationships/hyperlink" Target="https://www.imf.org/en/Publications/SPROLLs/world-economic-outlook-databases" TargetMode="External"/><Relationship Id="rId4" Type="http://schemas.openxmlformats.org/officeDocument/2006/relationships/hyperlink" Target="https://www.imf.org/en/Publications/SPROLLs/world-economic-outlook-databases" TargetMode="External"/><Relationship Id="rId9" Type="http://schemas.openxmlformats.org/officeDocument/2006/relationships/hyperlink" Target="https://www.thelancet.com/article/S0140-6736(20)30677-2/fulltext"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CF85-66E3-43A4-9C3F-472C3066AC66}">
  <sheetPr>
    <tabColor theme="4"/>
  </sheetPr>
  <dimension ref="A1:D30"/>
  <sheetViews>
    <sheetView zoomScale="75" zoomScaleNormal="75" workbookViewId="0">
      <selection activeCell="I22" sqref="I22"/>
    </sheetView>
  </sheetViews>
  <sheetFormatPr defaultRowHeight="15"/>
  <cols>
    <col min="1" max="1" width="17.28515625" customWidth="1"/>
    <col min="2" max="2" width="13.28515625" customWidth="1"/>
    <col min="4" max="4" width="61.7109375" customWidth="1"/>
  </cols>
  <sheetData>
    <row r="1" spans="1:4">
      <c r="A1" s="253" t="s">
        <v>2974</v>
      </c>
      <c r="B1" s="253"/>
      <c r="C1" s="253"/>
      <c r="D1" s="253"/>
    </row>
    <row r="2" spans="1:4">
      <c r="A2" s="246" t="s">
        <v>2990</v>
      </c>
      <c r="B2" s="246"/>
      <c r="C2" s="246"/>
      <c r="D2" s="246"/>
    </row>
    <row r="3" spans="1:4" ht="8.65" customHeight="1">
      <c r="A3" s="246"/>
      <c r="B3" s="246"/>
      <c r="C3" s="246"/>
      <c r="D3" s="246"/>
    </row>
    <row r="4" spans="1:4">
      <c r="A4" s="247" t="s">
        <v>3002</v>
      </c>
      <c r="B4" s="246"/>
      <c r="C4" s="246"/>
      <c r="D4" s="246"/>
    </row>
    <row r="5" spans="1:4">
      <c r="A5" s="246" t="s">
        <v>2984</v>
      </c>
      <c r="B5" s="246"/>
      <c r="C5" s="246"/>
      <c r="D5" s="246"/>
    </row>
    <row r="6" spans="1:4">
      <c r="A6" s="246" t="s">
        <v>2975</v>
      </c>
      <c r="B6" s="246"/>
      <c r="C6" s="246"/>
      <c r="D6" s="246"/>
    </row>
    <row r="7" spans="1:4">
      <c r="A7" s="246" t="s">
        <v>2976</v>
      </c>
      <c r="B7" s="246"/>
      <c r="C7" s="246"/>
      <c r="D7" s="246"/>
    </row>
    <row r="8" spans="1:4" ht="8.65" customHeight="1">
      <c r="A8" s="246"/>
      <c r="B8" s="246"/>
      <c r="C8" s="246"/>
      <c r="D8" s="246"/>
    </row>
    <row r="9" spans="1:4">
      <c r="A9" s="247" t="s">
        <v>2985</v>
      </c>
      <c r="B9" s="246"/>
      <c r="C9" s="246"/>
      <c r="D9" s="246"/>
    </row>
    <row r="10" spans="1:4">
      <c r="A10" s="246" t="s">
        <v>2989</v>
      </c>
      <c r="B10" s="246"/>
      <c r="C10" s="246"/>
      <c r="D10" s="246"/>
    </row>
    <row r="11" spans="1:4">
      <c r="A11" s="246" t="s">
        <v>2978</v>
      </c>
      <c r="B11" s="246"/>
      <c r="C11" s="246"/>
      <c r="D11" s="246"/>
    </row>
    <row r="12" spans="1:4">
      <c r="A12" s="246" t="s">
        <v>2977</v>
      </c>
      <c r="B12" s="246"/>
      <c r="C12" s="246"/>
      <c r="D12" s="246"/>
    </row>
    <row r="13" spans="1:4" ht="7.5" customHeight="1">
      <c r="A13" s="246"/>
      <c r="B13" s="246"/>
      <c r="C13" s="246"/>
      <c r="D13" s="246"/>
    </row>
    <row r="14" spans="1:4">
      <c r="A14" s="247" t="s">
        <v>3003</v>
      </c>
      <c r="B14" s="246"/>
      <c r="C14" s="246"/>
      <c r="D14" s="246"/>
    </row>
    <row r="15" spans="1:4">
      <c r="A15" s="246" t="s">
        <v>2986</v>
      </c>
      <c r="B15" s="246"/>
      <c r="C15" s="246"/>
      <c r="D15" s="246"/>
    </row>
    <row r="16" spans="1:4" ht="14.25" customHeight="1">
      <c r="A16" s="246" t="s">
        <v>2987</v>
      </c>
      <c r="B16" s="246"/>
      <c r="C16" s="246"/>
      <c r="D16" s="246"/>
    </row>
    <row r="17" spans="1:4" ht="7.9" customHeight="1">
      <c r="A17" s="246"/>
      <c r="B17" s="246"/>
      <c r="C17" s="246"/>
      <c r="D17" s="246"/>
    </row>
    <row r="18" spans="1:4">
      <c r="A18" s="247" t="s">
        <v>3000</v>
      </c>
      <c r="B18" s="246"/>
      <c r="C18" s="246"/>
      <c r="D18" s="246"/>
    </row>
    <row r="19" spans="1:4">
      <c r="A19" s="246" t="s">
        <v>3001</v>
      </c>
      <c r="B19" s="246"/>
      <c r="C19" s="246" t="s">
        <v>3004</v>
      </c>
      <c r="D19" s="246"/>
    </row>
    <row r="20" spans="1:4">
      <c r="A20" s="246" t="s">
        <v>3005</v>
      </c>
      <c r="B20" s="246"/>
      <c r="C20" s="249" t="s">
        <v>3006</v>
      </c>
      <c r="D20" s="246"/>
    </row>
    <row r="21" spans="1:4">
      <c r="A21" s="246"/>
      <c r="B21" s="246"/>
      <c r="C21" s="249"/>
      <c r="D21" s="246"/>
    </row>
    <row r="22" spans="1:4">
      <c r="A22" s="247" t="s">
        <v>3017</v>
      </c>
      <c r="B22" s="246"/>
      <c r="C22" s="246"/>
      <c r="D22" s="246"/>
    </row>
    <row r="23" spans="1:4">
      <c r="A23" s="246" t="s">
        <v>3036</v>
      </c>
      <c r="B23" s="247" t="s">
        <v>3035</v>
      </c>
      <c r="C23" s="247" t="s">
        <v>3037</v>
      </c>
      <c r="D23" s="246"/>
    </row>
    <row r="24" spans="1:4">
      <c r="A24" s="246" t="s">
        <v>3018</v>
      </c>
      <c r="B24" s="246" t="s">
        <v>2754</v>
      </c>
      <c r="C24" s="246" t="s">
        <v>3034</v>
      </c>
      <c r="D24" s="246"/>
    </row>
    <row r="25" spans="1:4">
      <c r="A25" s="246" t="s">
        <v>3029</v>
      </c>
      <c r="B25" s="246" t="s">
        <v>3033</v>
      </c>
      <c r="C25" s="246" t="s">
        <v>3034</v>
      </c>
      <c r="D25" s="246"/>
    </row>
    <row r="26" spans="1:4">
      <c r="A26" s="246"/>
      <c r="B26" s="246"/>
      <c r="C26" s="246"/>
      <c r="D26" s="246"/>
    </row>
    <row r="27" spans="1:4">
      <c r="A27" s="247" t="s">
        <v>2992</v>
      </c>
      <c r="B27" s="246"/>
      <c r="C27" s="246"/>
      <c r="D27" s="246"/>
    </row>
    <row r="28" spans="1:4">
      <c r="A28" s="247" t="s">
        <v>2995</v>
      </c>
      <c r="B28" s="247" t="s">
        <v>2993</v>
      </c>
      <c r="C28" s="247" t="s">
        <v>2997</v>
      </c>
      <c r="D28" s="247" t="s">
        <v>2650</v>
      </c>
    </row>
    <row r="29" spans="1:4">
      <c r="A29" s="246" t="s">
        <v>2996</v>
      </c>
      <c r="B29" s="246" t="s">
        <v>2994</v>
      </c>
      <c r="C29" s="248" t="s">
        <v>2998</v>
      </c>
      <c r="D29" s="246" t="s">
        <v>2999</v>
      </c>
    </row>
    <row r="30" spans="1:4">
      <c r="A30" s="246"/>
      <c r="B30" s="246"/>
      <c r="C30" s="246"/>
      <c r="D30" s="246"/>
    </row>
  </sheetData>
  <mergeCells count="1">
    <mergeCell ref="A1:D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675FF-C5DA-4B30-98D3-03F9BC635C18}">
  <sheetPr>
    <tabColor rgb="FF92D050"/>
  </sheetPr>
  <dimension ref="A1"/>
  <sheetViews>
    <sheetView workbookViewId="0">
      <selection activeCell="D11" sqref="A1:D11"/>
    </sheetView>
  </sheetViews>
  <sheetFormatPr defaultColWidth="9.28515625" defaultRowHeight="1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B37F-512F-4C10-B0A0-43C335B4415E}">
  <dimension ref="A1:M18"/>
  <sheetViews>
    <sheetView workbookViewId="0">
      <selection activeCell="I3" sqref="I3"/>
    </sheetView>
  </sheetViews>
  <sheetFormatPr defaultColWidth="8.7109375" defaultRowHeight="12.75" outlineLevelCol="1"/>
  <cols>
    <col min="1" max="1" width="9.28515625" style="251"/>
    <col min="2" max="2" width="8.7109375" style="251"/>
    <col min="3" max="3" width="23.5703125" style="251" customWidth="1"/>
    <col min="4" max="4" width="31" style="251" customWidth="1"/>
    <col min="5" max="6" width="10.7109375" style="251" customWidth="1"/>
    <col min="7" max="7" width="20.42578125" style="251" customWidth="1"/>
    <col min="8" max="8" width="20.5703125" style="251" customWidth="1"/>
    <col min="9" max="9" width="12" style="251" customWidth="1"/>
    <col min="10" max="10" width="12" style="251" hidden="1" customWidth="1" outlineLevel="1"/>
    <col min="11" max="11" width="9.42578125" style="251" hidden="1" customWidth="1" outlineLevel="1"/>
    <col min="12" max="12" width="9.28515625" style="251" collapsed="1"/>
    <col min="13" max="13" width="9.28515625" style="251"/>
    <col min="14" max="16384" width="8.7109375" style="246"/>
  </cols>
  <sheetData>
    <row r="1" spans="1:11" ht="38.25">
      <c r="A1" s="250"/>
      <c r="B1" s="250" t="s">
        <v>3031</v>
      </c>
      <c r="C1" s="250" t="s">
        <v>65</v>
      </c>
      <c r="D1" s="250" t="s">
        <v>2744</v>
      </c>
      <c r="E1" s="250" t="s">
        <v>2745</v>
      </c>
      <c r="F1" s="250" t="s">
        <v>3022</v>
      </c>
      <c r="G1" s="250" t="s">
        <v>2650</v>
      </c>
      <c r="H1" s="250" t="s">
        <v>2746</v>
      </c>
      <c r="I1" s="250" t="s">
        <v>3019</v>
      </c>
      <c r="J1" s="250" t="s">
        <v>2747</v>
      </c>
      <c r="K1" s="250" t="s">
        <v>2748</v>
      </c>
    </row>
    <row r="2" spans="1:11" ht="63.75">
      <c r="A2" s="251" t="s">
        <v>3025</v>
      </c>
      <c r="B2" s="251" t="s">
        <v>584</v>
      </c>
      <c r="D2" s="251" t="s">
        <v>3021</v>
      </c>
      <c r="F2" s="251" t="s">
        <v>3023</v>
      </c>
      <c r="I2" s="251" t="s">
        <v>2754</v>
      </c>
    </row>
    <row r="3" spans="1:11" ht="63.75">
      <c r="A3" s="251" t="s">
        <v>3025</v>
      </c>
      <c r="B3" s="251" t="s">
        <v>584</v>
      </c>
      <c r="C3" s="251" t="s">
        <v>2769</v>
      </c>
      <c r="D3" s="251" t="s">
        <v>3020</v>
      </c>
      <c r="F3" s="251" t="s">
        <v>3030</v>
      </c>
      <c r="H3" s="251" t="s">
        <v>3028</v>
      </c>
      <c r="I3" s="251" t="s">
        <v>3026</v>
      </c>
      <c r="J3" s="251" t="s">
        <v>3027</v>
      </c>
    </row>
    <row r="4" spans="1:11" ht="63.75">
      <c r="A4" s="251" t="s">
        <v>3025</v>
      </c>
      <c r="B4" s="251" t="s">
        <v>584</v>
      </c>
      <c r="D4" s="251" t="s">
        <v>1286</v>
      </c>
      <c r="F4" s="251" t="s">
        <v>3024</v>
      </c>
      <c r="I4" s="251" t="s">
        <v>2795</v>
      </c>
    </row>
    <row r="5" spans="1:11" ht="38.25">
      <c r="A5" s="251" t="s">
        <v>2749</v>
      </c>
      <c r="B5" s="251" t="s">
        <v>3032</v>
      </c>
      <c r="C5" s="251" t="s">
        <v>2750</v>
      </c>
      <c r="D5" s="251" t="s">
        <v>2751</v>
      </c>
      <c r="E5" s="251" t="s">
        <v>2752</v>
      </c>
      <c r="H5" s="251" t="s">
        <v>2753</v>
      </c>
      <c r="I5" s="251" t="s">
        <v>908</v>
      </c>
      <c r="J5" s="251" t="s">
        <v>908</v>
      </c>
      <c r="K5" s="251" t="s">
        <v>2754</v>
      </c>
    </row>
    <row r="6" spans="1:11" ht="38.25">
      <c r="A6" s="251" t="s">
        <v>2749</v>
      </c>
      <c r="B6" s="251" t="s">
        <v>3032</v>
      </c>
      <c r="C6" s="251" t="s">
        <v>2750</v>
      </c>
      <c r="D6" s="251" t="s">
        <v>2755</v>
      </c>
      <c r="G6" s="251" t="s">
        <v>2756</v>
      </c>
    </row>
    <row r="7" spans="1:11" ht="25.5">
      <c r="A7" s="251" t="s">
        <v>2749</v>
      </c>
      <c r="B7" s="251" t="s">
        <v>3032</v>
      </c>
      <c r="C7" s="251" t="s">
        <v>2757</v>
      </c>
      <c r="D7" s="251" t="s">
        <v>2758</v>
      </c>
      <c r="E7" s="251" t="s">
        <v>2759</v>
      </c>
      <c r="H7" s="251" t="s">
        <v>2760</v>
      </c>
      <c r="I7" s="251" t="s">
        <v>908</v>
      </c>
      <c r="J7" s="251" t="s">
        <v>908</v>
      </c>
      <c r="K7" s="251" t="s">
        <v>2754</v>
      </c>
    </row>
    <row r="8" spans="1:11" ht="140.25">
      <c r="A8" s="251" t="s">
        <v>2749</v>
      </c>
      <c r="B8" s="251" t="s">
        <v>3032</v>
      </c>
      <c r="C8" s="251" t="s">
        <v>2757</v>
      </c>
      <c r="D8" s="251" t="s">
        <v>2761</v>
      </c>
      <c r="E8" s="251" t="s">
        <v>2762</v>
      </c>
      <c r="G8" s="251" t="s">
        <v>2763</v>
      </c>
      <c r="H8" s="251" t="s">
        <v>2764</v>
      </c>
    </row>
    <row r="9" spans="1:11" ht="38.25">
      <c r="A9" s="251" t="s">
        <v>2749</v>
      </c>
      <c r="B9" s="251" t="s">
        <v>3032</v>
      </c>
      <c r="C9" s="251" t="s">
        <v>2765</v>
      </c>
      <c r="D9" s="251" t="s">
        <v>2766</v>
      </c>
      <c r="E9" s="251" t="s">
        <v>2767</v>
      </c>
      <c r="G9" s="251" t="s">
        <v>2768</v>
      </c>
    </row>
    <row r="10" spans="1:11" ht="63.75">
      <c r="A10" s="251" t="s">
        <v>2749</v>
      </c>
      <c r="B10" s="251" t="s">
        <v>3032</v>
      </c>
      <c r="C10" s="251" t="s">
        <v>2769</v>
      </c>
      <c r="D10" s="251" t="s">
        <v>2770</v>
      </c>
      <c r="E10" s="251" t="s">
        <v>2767</v>
      </c>
      <c r="G10" s="251" t="s">
        <v>2771</v>
      </c>
      <c r="H10" s="251" t="s">
        <v>2772</v>
      </c>
    </row>
    <row r="11" spans="1:11" ht="216.75">
      <c r="A11" s="251" t="s">
        <v>2749</v>
      </c>
      <c r="B11" s="251" t="s">
        <v>3032</v>
      </c>
      <c r="C11" s="251" t="s">
        <v>1648</v>
      </c>
      <c r="D11" s="251" t="s">
        <v>2773</v>
      </c>
      <c r="E11" s="251" t="s">
        <v>2774</v>
      </c>
      <c r="G11" s="251" t="s">
        <v>2775</v>
      </c>
      <c r="H11" s="251" t="s">
        <v>2776</v>
      </c>
      <c r="I11" s="251" t="s">
        <v>2777</v>
      </c>
      <c r="J11" s="251" t="s">
        <v>2777</v>
      </c>
      <c r="K11" s="251" t="s">
        <v>2778</v>
      </c>
    </row>
    <row r="12" spans="1:11" ht="165.75">
      <c r="A12" s="251" t="s">
        <v>2749</v>
      </c>
      <c r="B12" s="251" t="s">
        <v>3032</v>
      </c>
      <c r="C12" s="251" t="s">
        <v>1648</v>
      </c>
      <c r="D12" s="251" t="s">
        <v>2779</v>
      </c>
      <c r="G12" s="251" t="s">
        <v>2780</v>
      </c>
      <c r="H12" s="251" t="s">
        <v>2781</v>
      </c>
      <c r="I12" s="251" t="s">
        <v>908</v>
      </c>
      <c r="J12" s="251" t="s">
        <v>908</v>
      </c>
      <c r="K12" s="251" t="s">
        <v>2782</v>
      </c>
    </row>
    <row r="13" spans="1:11" ht="178.5">
      <c r="A13" s="251" t="s">
        <v>2749</v>
      </c>
      <c r="B13" s="251" t="s">
        <v>3032</v>
      </c>
      <c r="C13" s="251" t="s">
        <v>2783</v>
      </c>
      <c r="D13" s="251" t="s">
        <v>2784</v>
      </c>
      <c r="E13" s="251" t="s">
        <v>2785</v>
      </c>
      <c r="G13" s="251" t="s">
        <v>2786</v>
      </c>
      <c r="H13" s="251" t="s">
        <v>2787</v>
      </c>
      <c r="I13" s="251" t="s">
        <v>908</v>
      </c>
      <c r="J13" s="251" t="s">
        <v>908</v>
      </c>
      <c r="K13" s="251" t="s">
        <v>2754</v>
      </c>
    </row>
    <row r="14" spans="1:11" ht="38.25">
      <c r="A14" s="251" t="s">
        <v>2749</v>
      </c>
      <c r="B14" s="251" t="s">
        <v>3032</v>
      </c>
      <c r="C14" s="251" t="s">
        <v>453</v>
      </c>
      <c r="D14" s="251" t="s">
        <v>2788</v>
      </c>
      <c r="G14" s="251" t="s">
        <v>2789</v>
      </c>
      <c r="H14" s="251" t="s">
        <v>2790</v>
      </c>
      <c r="I14" s="251" t="s">
        <v>908</v>
      </c>
      <c r="J14" s="251" t="s">
        <v>908</v>
      </c>
      <c r="K14" s="251" t="s">
        <v>2754</v>
      </c>
    </row>
    <row r="15" spans="1:11" ht="25.5">
      <c r="A15" s="251" t="s">
        <v>2749</v>
      </c>
      <c r="B15" s="251" t="s">
        <v>3032</v>
      </c>
      <c r="C15" s="251" t="s">
        <v>2791</v>
      </c>
      <c r="D15" s="251" t="s">
        <v>2792</v>
      </c>
      <c r="E15" s="251" t="s">
        <v>2793</v>
      </c>
      <c r="I15" s="251" t="s">
        <v>908</v>
      </c>
      <c r="J15" s="251" t="s">
        <v>908</v>
      </c>
      <c r="K15" s="251" t="s">
        <v>2754</v>
      </c>
    </row>
    <row r="16" spans="1:11" ht="51">
      <c r="A16" s="251" t="s">
        <v>2749</v>
      </c>
      <c r="B16" s="251" t="s">
        <v>3032</v>
      </c>
      <c r="C16" s="251" t="s">
        <v>71</v>
      </c>
      <c r="E16" s="251" t="s">
        <v>2794</v>
      </c>
      <c r="I16" s="251" t="s">
        <v>2795</v>
      </c>
      <c r="J16" s="251" t="s">
        <v>2795</v>
      </c>
      <c r="K16" s="251" t="s">
        <v>2795</v>
      </c>
    </row>
    <row r="17" spans="1:10" ht="38.25">
      <c r="A17" s="251" t="s">
        <v>2749</v>
      </c>
      <c r="B17" s="251" t="s">
        <v>3032</v>
      </c>
      <c r="C17" s="251" t="s">
        <v>189</v>
      </c>
      <c r="I17" s="251" t="s">
        <v>2796</v>
      </c>
      <c r="J17" s="251" t="s">
        <v>2796</v>
      </c>
    </row>
    <row r="18" spans="1:10">
      <c r="A18" s="251" t="s">
        <v>2749</v>
      </c>
      <c r="B18" s="251" t="s">
        <v>3032</v>
      </c>
      <c r="C18" s="251" t="s">
        <v>307</v>
      </c>
      <c r="I18" s="251" t="s">
        <v>2797</v>
      </c>
      <c r="J18" s="251" t="s">
        <v>2797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23FF-AD37-4151-A98E-6F11815947CA}">
  <dimension ref="A1:C3"/>
  <sheetViews>
    <sheetView workbookViewId="0">
      <selection activeCell="B1" sqref="B1:C1"/>
    </sheetView>
  </sheetViews>
  <sheetFormatPr defaultRowHeight="15"/>
  <cols>
    <col min="2" max="2" width="48.7109375" bestFit="1" customWidth="1"/>
    <col min="3" max="3" width="37.28515625" bestFit="1" customWidth="1"/>
  </cols>
  <sheetData>
    <row r="1" spans="1:3">
      <c r="A1" s="1" t="s">
        <v>3008</v>
      </c>
      <c r="B1" s="1" t="s">
        <v>3016</v>
      </c>
      <c r="C1" s="1" t="s">
        <v>3014</v>
      </c>
    </row>
    <row r="2" spans="1:3">
      <c r="A2" t="s">
        <v>3011</v>
      </c>
      <c r="B2" t="s">
        <v>3015</v>
      </c>
      <c r="C2" t="s">
        <v>3009</v>
      </c>
    </row>
    <row r="3" spans="1:3">
      <c r="A3" t="s">
        <v>3012</v>
      </c>
      <c r="B3" t="s">
        <v>3013</v>
      </c>
      <c r="C3" t="s">
        <v>3010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F173-21B7-47A4-9847-9B40EFD066BE}">
  <dimension ref="A1:F23"/>
  <sheetViews>
    <sheetView workbookViewId="0">
      <selection activeCell="B8" sqref="B8"/>
    </sheetView>
  </sheetViews>
  <sheetFormatPr defaultRowHeight="15"/>
  <cols>
    <col min="1" max="1" width="22.28515625" style="181" customWidth="1"/>
    <col min="2" max="2" width="44.7109375" style="181" customWidth="1"/>
    <col min="3" max="3" width="28.28515625" style="181" customWidth="1"/>
    <col min="4" max="4" width="17.7109375" style="181" customWidth="1"/>
    <col min="5" max="5" width="35.28515625" style="181" customWidth="1"/>
    <col min="6" max="6" width="18" style="181" customWidth="1"/>
  </cols>
  <sheetData>
    <row r="1" spans="1:6">
      <c r="A1" s="188" t="s">
        <v>2673</v>
      </c>
      <c r="B1" s="188" t="s">
        <v>2648</v>
      </c>
      <c r="C1" s="188" t="s">
        <v>2281</v>
      </c>
      <c r="D1" s="188" t="s">
        <v>2674</v>
      </c>
      <c r="E1" s="188" t="s">
        <v>2650</v>
      </c>
      <c r="F1" s="188" t="s">
        <v>2647</v>
      </c>
    </row>
    <row r="2" spans="1:6" ht="75">
      <c r="A2" s="189" t="s">
        <v>2675</v>
      </c>
      <c r="B2" s="181" t="s">
        <v>2676</v>
      </c>
      <c r="C2" s="181" t="s">
        <v>2677</v>
      </c>
      <c r="D2" s="181" t="s">
        <v>2678</v>
      </c>
      <c r="E2" s="181" t="s">
        <v>2679</v>
      </c>
      <c r="F2" s="254" t="s">
        <v>2680</v>
      </c>
    </row>
    <row r="3" spans="1:6" ht="90">
      <c r="A3" s="189" t="s">
        <v>2675</v>
      </c>
      <c r="B3" s="181" t="s">
        <v>2681</v>
      </c>
      <c r="C3" s="181" t="s">
        <v>2682</v>
      </c>
      <c r="D3" s="181" t="s">
        <v>2683</v>
      </c>
      <c r="E3" s="181" t="s">
        <v>2684</v>
      </c>
      <c r="F3" s="254"/>
    </row>
    <row r="4" spans="1:6" ht="60">
      <c r="A4" s="190" t="s">
        <v>2675</v>
      </c>
      <c r="B4" s="191" t="s">
        <v>2685</v>
      </c>
      <c r="C4" s="191" t="s">
        <v>2686</v>
      </c>
      <c r="D4" s="191" t="s">
        <v>2683</v>
      </c>
      <c r="E4" s="191" t="s">
        <v>2687</v>
      </c>
      <c r="F4" s="255"/>
    </row>
    <row r="5" spans="1:6" ht="45">
      <c r="A5" s="189" t="s">
        <v>1462</v>
      </c>
      <c r="B5" s="181" t="s">
        <v>2688</v>
      </c>
      <c r="C5" s="181" t="s">
        <v>2689</v>
      </c>
      <c r="D5" s="181" t="s">
        <v>2683</v>
      </c>
      <c r="E5" s="181" t="s">
        <v>2687</v>
      </c>
      <c r="F5" s="254" t="s">
        <v>2690</v>
      </c>
    </row>
    <row r="6" spans="1:6" ht="45">
      <c r="A6" s="189" t="s">
        <v>1462</v>
      </c>
      <c r="B6" s="181" t="s">
        <v>2691</v>
      </c>
      <c r="C6" s="181" t="s">
        <v>2692</v>
      </c>
      <c r="D6" s="181" t="s">
        <v>2683</v>
      </c>
      <c r="E6" s="181" t="s">
        <v>2693</v>
      </c>
      <c r="F6" s="254"/>
    </row>
    <row r="7" spans="1:6" ht="60">
      <c r="A7" s="189" t="s">
        <v>1462</v>
      </c>
      <c r="B7" s="181" t="s">
        <v>2694</v>
      </c>
      <c r="C7" s="181" t="s">
        <v>2695</v>
      </c>
      <c r="D7" s="181" t="s">
        <v>2696</v>
      </c>
      <c r="F7" s="254"/>
    </row>
    <row r="8" spans="1:6" ht="60">
      <c r="A8" s="190" t="s">
        <v>1462</v>
      </c>
      <c r="B8" s="191" t="s">
        <v>2697</v>
      </c>
      <c r="C8" s="191" t="s">
        <v>2698</v>
      </c>
      <c r="D8" s="191" t="s">
        <v>2699</v>
      </c>
      <c r="E8" s="191" t="s">
        <v>2700</v>
      </c>
      <c r="F8" s="255"/>
    </row>
    <row r="9" spans="1:6" ht="45" hidden="1">
      <c r="A9" s="189" t="s">
        <v>2701</v>
      </c>
      <c r="B9" s="181" t="s">
        <v>2702</v>
      </c>
      <c r="C9" s="181" t="s">
        <v>2703</v>
      </c>
      <c r="D9" s="181" t="s">
        <v>2704</v>
      </c>
      <c r="F9" s="254" t="s">
        <v>2705</v>
      </c>
    </row>
    <row r="10" spans="1:6" ht="30" hidden="1">
      <c r="A10" s="189" t="s">
        <v>2701</v>
      </c>
      <c r="B10" s="181" t="s">
        <v>2706</v>
      </c>
      <c r="C10" s="181" t="s">
        <v>2707</v>
      </c>
      <c r="D10" s="181" t="s">
        <v>2704</v>
      </c>
      <c r="F10" s="254"/>
    </row>
    <row r="11" spans="1:6" ht="45" hidden="1">
      <c r="A11" s="189" t="s">
        <v>2701</v>
      </c>
      <c r="B11" s="181" t="s">
        <v>2708</v>
      </c>
      <c r="C11" s="181" t="s">
        <v>2709</v>
      </c>
      <c r="D11" s="181" t="s">
        <v>2704</v>
      </c>
      <c r="E11" s="181" t="s">
        <v>2710</v>
      </c>
      <c r="F11" s="254"/>
    </row>
    <row r="12" spans="1:6" hidden="1">
      <c r="A12" s="189" t="s">
        <v>2701</v>
      </c>
      <c r="B12" s="181" t="s">
        <v>2711</v>
      </c>
      <c r="C12" s="181" t="s">
        <v>2712</v>
      </c>
      <c r="D12" s="181" t="s">
        <v>2704</v>
      </c>
      <c r="F12" s="254"/>
    </row>
    <row r="13" spans="1:6" ht="30" hidden="1">
      <c r="A13" s="189" t="s">
        <v>2701</v>
      </c>
      <c r="B13" s="181" t="s">
        <v>2713</v>
      </c>
      <c r="C13" s="181" t="s">
        <v>2714</v>
      </c>
      <c r="D13" s="181" t="s">
        <v>2704</v>
      </c>
      <c r="F13" s="254"/>
    </row>
    <row r="14" spans="1:6" ht="45" hidden="1">
      <c r="A14" s="189" t="s">
        <v>2701</v>
      </c>
      <c r="B14" s="181" t="s">
        <v>2715</v>
      </c>
      <c r="C14" s="181" t="s">
        <v>2716</v>
      </c>
      <c r="D14" s="181" t="s">
        <v>2704</v>
      </c>
      <c r="E14" s="181" t="s">
        <v>2717</v>
      </c>
      <c r="F14" s="254"/>
    </row>
    <row r="15" spans="1:6" ht="90" hidden="1">
      <c r="A15" s="189" t="s">
        <v>2701</v>
      </c>
      <c r="B15" s="181" t="s">
        <v>2718</v>
      </c>
      <c r="C15" s="181" t="s">
        <v>2719</v>
      </c>
      <c r="D15" s="181" t="s">
        <v>2704</v>
      </c>
      <c r="E15" s="181" t="s">
        <v>2720</v>
      </c>
      <c r="F15" s="254"/>
    </row>
    <row r="16" spans="1:6" ht="75" hidden="1">
      <c r="A16" s="190" t="s">
        <v>2701</v>
      </c>
      <c r="B16" s="191" t="s">
        <v>2721</v>
      </c>
      <c r="C16" s="191" t="s">
        <v>2722</v>
      </c>
      <c r="D16" s="191" t="s">
        <v>2704</v>
      </c>
      <c r="E16" s="191"/>
      <c r="F16" s="255"/>
    </row>
    <row r="17" spans="1:6" ht="30">
      <c r="A17" s="192" t="s">
        <v>2723</v>
      </c>
      <c r="B17" s="193" t="s">
        <v>2724</v>
      </c>
      <c r="C17" s="193" t="s">
        <v>2725</v>
      </c>
      <c r="D17" s="193" t="s">
        <v>2704</v>
      </c>
      <c r="E17" s="193"/>
      <c r="F17" s="256" t="s">
        <v>2726</v>
      </c>
    </row>
    <row r="18" spans="1:6" ht="30">
      <c r="A18" s="189" t="s">
        <v>2723</v>
      </c>
      <c r="B18" s="181" t="s">
        <v>2727</v>
      </c>
      <c r="C18" s="181" t="s">
        <v>2728</v>
      </c>
      <c r="D18" s="181" t="s">
        <v>2704</v>
      </c>
      <c r="E18" s="181" t="s">
        <v>2729</v>
      </c>
      <c r="F18" s="254"/>
    </row>
    <row r="19" spans="1:6" ht="60">
      <c r="A19" s="189" t="s">
        <v>2723</v>
      </c>
      <c r="B19" s="181" t="s">
        <v>2730</v>
      </c>
      <c r="C19" s="181" t="s">
        <v>2731</v>
      </c>
      <c r="D19" s="181" t="s">
        <v>2732</v>
      </c>
      <c r="F19" s="254"/>
    </row>
    <row r="20" spans="1:6" ht="30">
      <c r="A20" s="189" t="s">
        <v>2723</v>
      </c>
      <c r="B20" s="181" t="s">
        <v>2733</v>
      </c>
      <c r="C20" s="181" t="s">
        <v>2734</v>
      </c>
      <c r="F20" s="254"/>
    </row>
    <row r="21" spans="1:6" ht="30">
      <c r="A21" s="190" t="s">
        <v>2723</v>
      </c>
      <c r="B21" s="191" t="s">
        <v>2735</v>
      </c>
      <c r="C21" s="191" t="s">
        <v>2736</v>
      </c>
      <c r="D21" s="191" t="s">
        <v>2732</v>
      </c>
      <c r="E21" s="191"/>
      <c r="F21" s="255"/>
    </row>
    <row r="22" spans="1:6" ht="45">
      <c r="A22" s="181" t="s">
        <v>160</v>
      </c>
      <c r="B22" s="181" t="s">
        <v>2737</v>
      </c>
      <c r="C22" s="181" t="s">
        <v>2738</v>
      </c>
      <c r="D22" s="181" t="s">
        <v>2739</v>
      </c>
      <c r="F22" s="183" t="s">
        <v>2740</v>
      </c>
    </row>
    <row r="23" spans="1:6" ht="45">
      <c r="A23" s="181" t="s">
        <v>160</v>
      </c>
      <c r="B23" s="181" t="s">
        <v>2741</v>
      </c>
      <c r="C23" s="181" t="s">
        <v>2742</v>
      </c>
      <c r="D23" s="181" t="s">
        <v>2704</v>
      </c>
      <c r="F23" s="185" t="s">
        <v>2743</v>
      </c>
    </row>
  </sheetData>
  <mergeCells count="4">
    <mergeCell ref="F2:F4"/>
    <mergeCell ref="F5:F8"/>
    <mergeCell ref="F9:F16"/>
    <mergeCell ref="F17:F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C329-A192-433A-ABED-4120D979B8ED}">
  <dimension ref="A1:E17"/>
  <sheetViews>
    <sheetView workbookViewId="0">
      <selection activeCell="D7" sqref="D7"/>
    </sheetView>
  </sheetViews>
  <sheetFormatPr defaultRowHeight="15"/>
  <cols>
    <col min="1" max="1" width="32.28515625" customWidth="1"/>
    <col min="2" max="2" width="19.7109375" customWidth="1"/>
    <col min="3" max="5" width="32.28515625" customWidth="1"/>
  </cols>
  <sheetData>
    <row r="1" spans="1:5" ht="24.75">
      <c r="A1" s="60" t="s">
        <v>1427</v>
      </c>
      <c r="B1" s="60" t="s">
        <v>1428</v>
      </c>
      <c r="C1" s="60" t="s">
        <v>1429</v>
      </c>
      <c r="D1" s="60" t="s">
        <v>1430</v>
      </c>
      <c r="E1" s="60" t="s">
        <v>1431</v>
      </c>
    </row>
    <row r="2" spans="1:5" ht="72">
      <c r="A2" s="86" t="s">
        <v>1432</v>
      </c>
      <c r="B2" s="86" t="s">
        <v>1433</v>
      </c>
      <c r="C2" s="86" t="s">
        <v>1434</v>
      </c>
      <c r="D2" s="86" t="s">
        <v>1435</v>
      </c>
      <c r="E2" s="83" t="s">
        <v>1436</v>
      </c>
    </row>
    <row r="3" spans="1:5" ht="24">
      <c r="A3" s="84" t="s">
        <v>1437</v>
      </c>
      <c r="B3" s="84" t="s">
        <v>1438</v>
      </c>
      <c r="C3" s="84" t="s">
        <v>1434</v>
      </c>
      <c r="D3" s="84" t="s">
        <v>1439</v>
      </c>
      <c r="E3" s="87" t="s">
        <v>1440</v>
      </c>
    </row>
    <row r="4" spans="1:5" ht="144">
      <c r="A4" s="84" t="s">
        <v>1441</v>
      </c>
      <c r="B4" s="84" t="s">
        <v>1442</v>
      </c>
      <c r="C4" s="84" t="s">
        <v>1443</v>
      </c>
      <c r="D4" s="84" t="s">
        <v>1444</v>
      </c>
      <c r="E4" s="85" t="s">
        <v>1445</v>
      </c>
    </row>
    <row r="5" spans="1:5" ht="24">
      <c r="A5" s="84" t="s">
        <v>1446</v>
      </c>
      <c r="B5" s="84" t="s">
        <v>1447</v>
      </c>
      <c r="C5" s="84" t="s">
        <v>1434</v>
      </c>
      <c r="D5" s="84" t="s">
        <v>1448</v>
      </c>
      <c r="E5" s="85" t="s">
        <v>1449</v>
      </c>
    </row>
    <row r="6" spans="1:5" ht="24">
      <c r="A6" s="84" t="s">
        <v>1450</v>
      </c>
      <c r="B6" s="84" t="s">
        <v>1451</v>
      </c>
      <c r="C6" s="84" t="s">
        <v>1434</v>
      </c>
      <c r="D6" s="84" t="s">
        <v>1452</v>
      </c>
      <c r="E6" s="87" t="s">
        <v>1453</v>
      </c>
    </row>
    <row r="7" spans="1:5" ht="72">
      <c r="A7" s="84" t="s">
        <v>1454</v>
      </c>
      <c r="B7" s="84" t="s">
        <v>1455</v>
      </c>
      <c r="C7" s="84" t="s">
        <v>1456</v>
      </c>
      <c r="D7" s="84" t="s">
        <v>1457</v>
      </c>
      <c r="E7" s="88" t="s">
        <v>1449</v>
      </c>
    </row>
    <row r="8" spans="1:5" ht="36">
      <c r="A8" s="84" t="s">
        <v>1458</v>
      </c>
      <c r="B8" s="84" t="s">
        <v>1459</v>
      </c>
      <c r="C8" s="84" t="s">
        <v>1434</v>
      </c>
      <c r="D8" s="84" t="s">
        <v>1460</v>
      </c>
      <c r="E8" s="87" t="s">
        <v>1461</v>
      </c>
    </row>
    <row r="9" spans="1:5" ht="24">
      <c r="A9" s="84" t="s">
        <v>1462</v>
      </c>
      <c r="B9" s="84" t="s">
        <v>1462</v>
      </c>
      <c r="C9" s="84"/>
      <c r="D9" s="84" t="s">
        <v>1463</v>
      </c>
      <c r="E9" s="87"/>
    </row>
    <row r="10" spans="1:5" ht="24">
      <c r="A10" s="84" t="s">
        <v>1464</v>
      </c>
      <c r="B10" s="84" t="s">
        <v>1465</v>
      </c>
      <c r="C10" s="84" t="s">
        <v>1434</v>
      </c>
      <c r="D10" s="84" t="s">
        <v>1464</v>
      </c>
      <c r="E10" s="87" t="s">
        <v>1466</v>
      </c>
    </row>
    <row r="11" spans="1:5" ht="48">
      <c r="A11" s="84" t="s">
        <v>1467</v>
      </c>
      <c r="B11" s="84" t="s">
        <v>1468</v>
      </c>
      <c r="C11" s="84" t="s">
        <v>1434</v>
      </c>
      <c r="D11" s="84" t="s">
        <v>1469</v>
      </c>
      <c r="E11" s="87" t="s">
        <v>1470</v>
      </c>
    </row>
    <row r="12" spans="1:5" ht="48">
      <c r="A12" s="84" t="s">
        <v>1471</v>
      </c>
      <c r="B12" s="84" t="s">
        <v>1472</v>
      </c>
      <c r="C12" s="84" t="s">
        <v>1434</v>
      </c>
      <c r="D12" s="84" t="s">
        <v>1469</v>
      </c>
      <c r="E12" s="87" t="s">
        <v>1470</v>
      </c>
    </row>
    <row r="13" spans="1:5" ht="24">
      <c r="A13" s="84" t="s">
        <v>1473</v>
      </c>
      <c r="B13" s="84" t="s">
        <v>1474</v>
      </c>
      <c r="C13" s="84" t="s">
        <v>1475</v>
      </c>
      <c r="D13" s="84" t="s">
        <v>1476</v>
      </c>
      <c r="E13" s="87" t="s">
        <v>1477</v>
      </c>
    </row>
    <row r="14" spans="1:5" ht="24">
      <c r="A14" s="84"/>
      <c r="B14" s="84" t="s">
        <v>1478</v>
      </c>
      <c r="C14" s="84" t="s">
        <v>1475</v>
      </c>
      <c r="D14" s="84" t="s">
        <v>1476</v>
      </c>
      <c r="E14" s="87" t="s">
        <v>1477</v>
      </c>
    </row>
    <row r="15" spans="1:5" ht="132">
      <c r="A15" s="84" t="s">
        <v>1479</v>
      </c>
      <c r="B15" s="84" t="s">
        <v>1480</v>
      </c>
      <c r="C15" s="84" t="s">
        <v>1434</v>
      </c>
      <c r="D15" s="84" t="s">
        <v>1481</v>
      </c>
      <c r="E15" s="85" t="s">
        <v>1482</v>
      </c>
    </row>
    <row r="16" spans="1:5" ht="24">
      <c r="A16" s="84" t="s">
        <v>359</v>
      </c>
      <c r="B16" s="84" t="s">
        <v>1483</v>
      </c>
      <c r="C16" s="84" t="s">
        <v>1434</v>
      </c>
      <c r="D16" s="84" t="s">
        <v>1484</v>
      </c>
      <c r="E16" s="85" t="s">
        <v>1485</v>
      </c>
    </row>
    <row r="17" spans="1:5">
      <c r="A17" s="84" t="s">
        <v>1486</v>
      </c>
      <c r="B17" s="84" t="s">
        <v>1486</v>
      </c>
      <c r="C17" s="84" t="s">
        <v>1434</v>
      </c>
      <c r="D17" s="84" t="s">
        <v>1487</v>
      </c>
      <c r="E17" s="84" t="s">
        <v>1449</v>
      </c>
    </row>
  </sheetData>
  <hyperlinks>
    <hyperlink ref="E6" r:id="rId1" xr:uid="{4A814DD6-4FDD-4B47-B52D-BB512CB92889}"/>
    <hyperlink ref="E8" r:id="rId2" xr:uid="{41DCF2B4-B9C8-4341-AFB9-F9903C57F78A}"/>
    <hyperlink ref="E10" r:id="rId3" xr:uid="{9F6492B6-AD00-40E2-88FE-76369494C147}"/>
    <hyperlink ref="E11" r:id="rId4" location="sort=%40imfdate%20descending" xr:uid="{6F8F292F-57D5-460F-9E2E-611481182958}"/>
    <hyperlink ref="E12" r:id="rId5" location="sort=%40imfdate%20descending" xr:uid="{669B2102-2AF4-4E77-879F-541464904CF5}"/>
    <hyperlink ref="E13" r:id="rId6" xr:uid="{873C8983-04D2-4F2E-B4CC-EDC438652787}"/>
    <hyperlink ref="E14" r:id="rId7" xr:uid="{10687C28-6CF1-43B6-97D3-46CAC665C0DE}"/>
    <hyperlink ref="E3" r:id="rId8" xr:uid="{2236823B-3572-4801-8B00-C5037435995A}"/>
    <hyperlink ref="E16" r:id="rId9" xr:uid="{9D0D75E0-30C7-4A39-A2B5-9EFBEFED58C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B088-D16B-4502-8D04-3FD95045E40A}">
  <dimension ref="A1:E9"/>
  <sheetViews>
    <sheetView workbookViewId="0">
      <selection activeCell="F4" sqref="F4"/>
    </sheetView>
  </sheetViews>
  <sheetFormatPr defaultColWidth="9.28515625" defaultRowHeight="15"/>
  <cols>
    <col min="2" max="2" width="162.7109375" bestFit="1" customWidth="1"/>
  </cols>
  <sheetData>
    <row r="1" spans="1:5" ht="24.75">
      <c r="A1" s="61" t="s">
        <v>2197</v>
      </c>
      <c r="B1" s="59" t="s">
        <v>2198</v>
      </c>
      <c r="C1" s="59" t="s">
        <v>25</v>
      </c>
      <c r="D1" s="60" t="s">
        <v>2199</v>
      </c>
      <c r="E1" s="59" t="s">
        <v>2200</v>
      </c>
    </row>
    <row r="2" spans="1:5" ht="39.6" customHeight="1">
      <c r="A2" s="57" t="s">
        <v>2201</v>
      </c>
      <c r="B2" s="54" t="s">
        <v>2202</v>
      </c>
      <c r="C2" s="54" t="s">
        <v>2203</v>
      </c>
      <c r="D2" s="53" t="s">
        <v>2204</v>
      </c>
      <c r="E2" s="54" t="s">
        <v>2205</v>
      </c>
    </row>
    <row r="3" spans="1:5" ht="79.150000000000006" customHeight="1">
      <c r="A3" s="57" t="s">
        <v>2206</v>
      </c>
      <c r="B3" s="54" t="s">
        <v>2207</v>
      </c>
      <c r="C3" s="54" t="s">
        <v>2208</v>
      </c>
      <c r="D3" s="53" t="s">
        <v>2209</v>
      </c>
      <c r="E3" s="54" t="s">
        <v>2210</v>
      </c>
    </row>
    <row r="4" spans="1:5" ht="192">
      <c r="A4" s="57" t="s">
        <v>2211</v>
      </c>
      <c r="B4" s="54" t="s">
        <v>2212</v>
      </c>
      <c r="C4" s="54" t="s">
        <v>2213</v>
      </c>
      <c r="D4" s="53" t="s">
        <v>2214</v>
      </c>
      <c r="E4" s="54" t="s">
        <v>2215</v>
      </c>
    </row>
    <row r="5" spans="1:5" ht="14.65" customHeight="1">
      <c r="A5" s="57" t="s">
        <v>2216</v>
      </c>
      <c r="B5" s="58" t="s">
        <v>2217</v>
      </c>
      <c r="C5" s="54" t="s">
        <v>2218</v>
      </c>
      <c r="D5" s="53" t="s">
        <v>2219</v>
      </c>
      <c r="E5" s="54" t="s">
        <v>2220</v>
      </c>
    </row>
    <row r="6" spans="1:5" ht="14.65" customHeight="1">
      <c r="A6" s="57" t="s">
        <v>2221</v>
      </c>
      <c r="B6" s="54" t="s">
        <v>2222</v>
      </c>
      <c r="C6" s="54" t="s">
        <v>2223</v>
      </c>
      <c r="D6" s="52"/>
      <c r="E6" s="54" t="s">
        <v>2224</v>
      </c>
    </row>
    <row r="7" spans="1:5" ht="14.65" customHeight="1">
      <c r="A7" s="57" t="s">
        <v>2225</v>
      </c>
      <c r="B7" s="54" t="s">
        <v>2226</v>
      </c>
      <c r="C7" s="54" t="s">
        <v>2227</v>
      </c>
      <c r="D7" s="53" t="s">
        <v>2214</v>
      </c>
      <c r="E7" s="54" t="s">
        <v>2228</v>
      </c>
    </row>
    <row r="8" spans="1:5" ht="26.65" customHeight="1">
      <c r="A8" s="56" t="s">
        <v>2229</v>
      </c>
      <c r="B8" s="54" t="s">
        <v>2230</v>
      </c>
      <c r="C8" s="54" t="s">
        <v>2231</v>
      </c>
      <c r="D8" s="53" t="s">
        <v>2232</v>
      </c>
      <c r="E8" s="54" t="s">
        <v>2205</v>
      </c>
    </row>
    <row r="9" spans="1:5" ht="26.65" customHeight="1">
      <c r="A9" s="56" t="s">
        <v>2233</v>
      </c>
      <c r="B9" s="55" t="s">
        <v>2234</v>
      </c>
      <c r="C9" s="54" t="s">
        <v>2235</v>
      </c>
      <c r="D9" s="53" t="s">
        <v>2232</v>
      </c>
      <c r="E9" s="52" t="s">
        <v>2236</v>
      </c>
    </row>
  </sheetData>
  <hyperlinks>
    <hyperlink ref="A2" location="Power!A13" display="Main parameters" xr:uid="{94B420CE-5F72-4978-89DC-6DEAA47A0DCE}"/>
    <hyperlink ref="A3" location="Power!A288" display="Evolution of CapEx" xr:uid="{11CA8DD1-6986-4DA6-9D96-0BDDF7986231}"/>
    <hyperlink ref="A4" location="Power!A521" display="Decommissioning &amp; Transmission costs" xr:uid="{45710A76-6140-4B61-A1E0-685A58972FFD}"/>
    <hyperlink ref="A5" location="Power!A532" display="Installed capacity" xr:uid="{53657050-7C21-41C2-9FB0-AC4A8D08A226}"/>
    <hyperlink ref="A7" location="Power!A1910" display="Battery Storage" xr:uid="{4D9D90BC-0B9F-4ED5-AB32-951FB69D0CBC}"/>
    <hyperlink ref="A8" location="Power!A1947" display="Energy recosts" xr:uid="{C242F045-1EA7-4FC8-B633-8ED1A77789B2}"/>
    <hyperlink ref="A9" location="Power!A4723" display="Maximum and average MW capacity increase" xr:uid="{DA381F6F-7E8B-479F-9A5D-C47849F0333C}"/>
    <hyperlink ref="A6" location="Power!A1813" display="Planned retirement" xr:uid="{A41B4400-350F-4964-9D0B-4C437BFF55B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F27C-BFE4-475C-8D5A-1240AABD5089}">
  <dimension ref="A1:D27"/>
  <sheetViews>
    <sheetView workbookViewId="0">
      <selection activeCell="D21" sqref="D21"/>
    </sheetView>
  </sheetViews>
  <sheetFormatPr defaultRowHeight="15"/>
  <cols>
    <col min="1" max="3" width="33.5703125" customWidth="1"/>
    <col min="4" max="4" width="33.7109375" customWidth="1"/>
  </cols>
  <sheetData>
    <row r="1" spans="1:4">
      <c r="A1" s="234" t="s">
        <v>2426</v>
      </c>
      <c r="B1" s="234" t="s">
        <v>2427</v>
      </c>
      <c r="C1" s="234" t="s">
        <v>2428</v>
      </c>
      <c r="D1" s="234" t="s">
        <v>2429</v>
      </c>
    </row>
    <row r="2" spans="1:4">
      <c r="A2" s="235" t="s">
        <v>2430</v>
      </c>
      <c r="B2" s="235" t="s">
        <v>2431</v>
      </c>
      <c r="C2" s="235" t="s">
        <v>2432</v>
      </c>
      <c r="D2" s="235" t="s">
        <v>2433</v>
      </c>
    </row>
    <row r="3" spans="1:4">
      <c r="A3" s="235" t="s">
        <v>2434</v>
      </c>
      <c r="B3" s="235" t="s">
        <v>2435</v>
      </c>
      <c r="C3" s="235" t="s">
        <v>2432</v>
      </c>
      <c r="D3" s="235" t="s">
        <v>2433</v>
      </c>
    </row>
    <row r="4" spans="1:4" ht="30">
      <c r="A4" s="235" t="s">
        <v>2434</v>
      </c>
      <c r="B4" s="235" t="s">
        <v>2436</v>
      </c>
      <c r="C4" s="235" t="s">
        <v>2437</v>
      </c>
      <c r="D4" s="235" t="s">
        <v>2433</v>
      </c>
    </row>
    <row r="5" spans="1:4">
      <c r="A5" s="236" t="s">
        <v>2438</v>
      </c>
      <c r="B5" s="235" t="s">
        <v>2439</v>
      </c>
      <c r="C5" s="235" t="s">
        <v>2437</v>
      </c>
      <c r="D5" s="235" t="s">
        <v>2433</v>
      </c>
    </row>
    <row r="6" spans="1:4">
      <c r="A6" s="235" t="s">
        <v>2440</v>
      </c>
      <c r="B6" s="235" t="s">
        <v>2441</v>
      </c>
      <c r="C6" s="235" t="s">
        <v>2442</v>
      </c>
      <c r="D6" s="235" t="s">
        <v>2433</v>
      </c>
    </row>
    <row r="7" spans="1:4">
      <c r="A7" s="235" t="s">
        <v>2434</v>
      </c>
      <c r="B7" s="236" t="s">
        <v>2443</v>
      </c>
      <c r="C7" s="235" t="s">
        <v>2444</v>
      </c>
      <c r="D7" s="235" t="s">
        <v>2433</v>
      </c>
    </row>
    <row r="8" spans="1:4" ht="30">
      <c r="A8" s="235" t="s">
        <v>2434</v>
      </c>
      <c r="B8" s="236" t="s">
        <v>2445</v>
      </c>
      <c r="C8" s="235" t="s">
        <v>2444</v>
      </c>
      <c r="D8" s="235" t="s">
        <v>2433</v>
      </c>
    </row>
    <row r="9" spans="1:4">
      <c r="A9" s="235" t="s">
        <v>2446</v>
      </c>
      <c r="B9" s="235" t="s">
        <v>2447</v>
      </c>
      <c r="C9" s="235" t="s">
        <v>2442</v>
      </c>
      <c r="D9" s="235" t="s">
        <v>2433</v>
      </c>
    </row>
    <row r="10" spans="1:4" ht="30">
      <c r="A10" s="235" t="s">
        <v>2448</v>
      </c>
      <c r="B10" s="235" t="s">
        <v>2449</v>
      </c>
      <c r="C10" s="235" t="s">
        <v>2450</v>
      </c>
      <c r="D10" s="235" t="s">
        <v>2433</v>
      </c>
    </row>
    <row r="11" spans="1:4" ht="30">
      <c r="A11" s="235" t="s">
        <v>2451</v>
      </c>
      <c r="B11" s="235" t="s">
        <v>2449</v>
      </c>
      <c r="C11" s="235" t="s">
        <v>2452</v>
      </c>
      <c r="D11" s="235" t="s">
        <v>2433</v>
      </c>
    </row>
    <row r="12" spans="1:4">
      <c r="A12" s="235" t="s">
        <v>2453</v>
      </c>
      <c r="B12" s="235" t="s">
        <v>2454</v>
      </c>
      <c r="C12" s="235" t="s">
        <v>2455</v>
      </c>
      <c r="D12" s="235" t="s">
        <v>2456</v>
      </c>
    </row>
    <row r="13" spans="1:4">
      <c r="A13" s="235" t="s">
        <v>2434</v>
      </c>
      <c r="B13" s="235" t="s">
        <v>2454</v>
      </c>
      <c r="C13" s="235" t="s">
        <v>2437</v>
      </c>
      <c r="D13" s="235" t="s">
        <v>2456</v>
      </c>
    </row>
    <row r="14" spans="1:4">
      <c r="A14" s="235" t="s">
        <v>2457</v>
      </c>
      <c r="B14" s="235" t="s">
        <v>2458</v>
      </c>
      <c r="C14" s="235" t="s">
        <v>2455</v>
      </c>
      <c r="D14" s="235" t="s">
        <v>2433</v>
      </c>
    </row>
    <row r="15" spans="1:4">
      <c r="A15" s="235" t="s">
        <v>2459</v>
      </c>
      <c r="B15" s="235" t="s">
        <v>2460</v>
      </c>
      <c r="C15" s="235" t="s">
        <v>2461</v>
      </c>
      <c r="D15" s="235" t="s">
        <v>2433</v>
      </c>
    </row>
    <row r="16" spans="1:4">
      <c r="A16" s="235" t="s">
        <v>2459</v>
      </c>
      <c r="B16" s="235" t="s">
        <v>2462</v>
      </c>
      <c r="C16" s="235" t="s">
        <v>2463</v>
      </c>
      <c r="D16" s="235" t="s">
        <v>2433</v>
      </c>
    </row>
    <row r="17" spans="1:4">
      <c r="A17" s="235" t="s">
        <v>2434</v>
      </c>
      <c r="B17" s="235" t="s">
        <v>2439</v>
      </c>
      <c r="C17" s="235" t="s">
        <v>2437</v>
      </c>
      <c r="D17" s="235" t="s">
        <v>2433</v>
      </c>
    </row>
    <row r="18" spans="1:4" ht="30">
      <c r="A18" s="235" t="s">
        <v>2464</v>
      </c>
      <c r="B18" s="235" t="s">
        <v>2465</v>
      </c>
      <c r="C18" s="235" t="s">
        <v>2437</v>
      </c>
      <c r="D18" s="235" t="s">
        <v>2466</v>
      </c>
    </row>
    <row r="19" spans="1:4" ht="30">
      <c r="A19" s="235" t="s">
        <v>2464</v>
      </c>
      <c r="B19" s="235" t="s">
        <v>2467</v>
      </c>
      <c r="C19" s="235" t="s">
        <v>2437</v>
      </c>
      <c r="D19" s="235" t="s">
        <v>2466</v>
      </c>
    </row>
    <row r="20" spans="1:4">
      <c r="A20" s="235" t="s">
        <v>2430</v>
      </c>
      <c r="B20" s="235" t="s">
        <v>2468</v>
      </c>
      <c r="C20" s="235" t="s">
        <v>2469</v>
      </c>
      <c r="D20" s="235" t="s">
        <v>2433</v>
      </c>
    </row>
    <row r="21" spans="1:4">
      <c r="A21" s="235" t="s">
        <v>2470</v>
      </c>
      <c r="B21" s="235" t="s">
        <v>2471</v>
      </c>
      <c r="C21" s="235" t="s">
        <v>2472</v>
      </c>
      <c r="D21" s="235" t="s">
        <v>2433</v>
      </c>
    </row>
    <row r="22" spans="1:4">
      <c r="A22" s="235" t="s">
        <v>2473</v>
      </c>
      <c r="B22" s="235" t="s">
        <v>2474</v>
      </c>
      <c r="C22" s="235" t="s">
        <v>2472</v>
      </c>
      <c r="D22" s="235" t="s">
        <v>2433</v>
      </c>
    </row>
    <row r="23" spans="1:4">
      <c r="A23" s="235" t="s">
        <v>2475</v>
      </c>
      <c r="B23" s="235" t="s">
        <v>2439</v>
      </c>
      <c r="C23" s="235" t="s">
        <v>2437</v>
      </c>
      <c r="D23" s="235" t="s">
        <v>2476</v>
      </c>
    </row>
    <row r="24" spans="1:4" ht="30">
      <c r="A24" s="235" t="s">
        <v>2477</v>
      </c>
      <c r="B24" s="235" t="s">
        <v>2478</v>
      </c>
      <c r="C24" s="235" t="s">
        <v>2442</v>
      </c>
      <c r="D24" s="235" t="s">
        <v>2476</v>
      </c>
    </row>
    <row r="25" spans="1:4" ht="30">
      <c r="A25" s="235" t="s">
        <v>2479</v>
      </c>
      <c r="B25" s="235" t="s">
        <v>2480</v>
      </c>
      <c r="C25" s="235" t="s">
        <v>2444</v>
      </c>
      <c r="D25" s="235" t="s">
        <v>2476</v>
      </c>
    </row>
    <row r="26" spans="1:4">
      <c r="A26" s="235" t="s">
        <v>2434</v>
      </c>
      <c r="B26" s="237" t="s">
        <v>2481</v>
      </c>
      <c r="C26" s="235" t="s">
        <v>2434</v>
      </c>
      <c r="D26" s="235" t="s">
        <v>2476</v>
      </c>
    </row>
    <row r="27" spans="1:4" ht="30">
      <c r="A27" s="235" t="s">
        <v>2434</v>
      </c>
      <c r="B27" s="235" t="s">
        <v>2482</v>
      </c>
      <c r="C27" s="235" t="s">
        <v>2434</v>
      </c>
      <c r="D27" s="235" t="s">
        <v>2476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2083-7068-460D-ACB7-AD78C447DEBE}">
  <dimension ref="A1:G10"/>
  <sheetViews>
    <sheetView workbookViewId="0">
      <selection activeCell="C22" sqref="C22"/>
    </sheetView>
  </sheetViews>
  <sheetFormatPr defaultRowHeight="15"/>
  <cols>
    <col min="1" max="1" width="13.5703125" style="181" customWidth="1"/>
    <col min="2" max="2" width="24" style="181" customWidth="1"/>
    <col min="3" max="3" width="36.7109375" style="181" bestFit="1" customWidth="1"/>
    <col min="4" max="4" width="46.7109375" style="181" customWidth="1"/>
    <col min="5" max="5" width="53.7109375" style="181" customWidth="1"/>
    <col min="6" max="7" width="9.28515625" style="181"/>
  </cols>
  <sheetData>
    <row r="1" spans="1:5">
      <c r="A1" s="179" t="s">
        <v>2646</v>
      </c>
      <c r="B1" s="180" t="s">
        <v>2647</v>
      </c>
      <c r="C1" s="179" t="s">
        <v>2648</v>
      </c>
      <c r="D1" s="180" t="s">
        <v>2649</v>
      </c>
      <c r="E1" s="180" t="s">
        <v>2650</v>
      </c>
    </row>
    <row r="2" spans="1:5" ht="30">
      <c r="A2" s="257" t="s">
        <v>2651</v>
      </c>
      <c r="B2" s="256" t="s">
        <v>2652</v>
      </c>
      <c r="C2" s="182" t="s">
        <v>2653</v>
      </c>
      <c r="D2" s="183" t="s">
        <v>2654</v>
      </c>
      <c r="E2" s="183" t="s">
        <v>2655</v>
      </c>
    </row>
    <row r="3" spans="1:5" ht="30">
      <c r="A3" s="258"/>
      <c r="B3" s="254"/>
      <c r="C3" s="184" t="s">
        <v>2656</v>
      </c>
      <c r="D3" s="185" t="s">
        <v>2657</v>
      </c>
      <c r="E3" s="185" t="s">
        <v>2658</v>
      </c>
    </row>
    <row r="4" spans="1:5" ht="45">
      <c r="A4" s="258"/>
      <c r="B4" s="254"/>
      <c r="C4" s="184" t="s">
        <v>2659</v>
      </c>
      <c r="D4" s="185" t="s">
        <v>2660</v>
      </c>
      <c r="E4" s="185" t="s">
        <v>2661</v>
      </c>
    </row>
    <row r="5" spans="1:5" ht="45">
      <c r="A5" s="259"/>
      <c r="B5" s="255"/>
      <c r="C5" s="186" t="s">
        <v>2662</v>
      </c>
      <c r="D5" s="187" t="s">
        <v>2663</v>
      </c>
      <c r="E5" s="187" t="s">
        <v>2664</v>
      </c>
    </row>
    <row r="6" spans="1:5" ht="60">
      <c r="A6" s="258" t="s">
        <v>2665</v>
      </c>
      <c r="B6" s="254" t="s">
        <v>2666</v>
      </c>
      <c r="C6" s="184" t="s">
        <v>2667</v>
      </c>
      <c r="D6" s="185" t="s">
        <v>2668</v>
      </c>
      <c r="E6" s="185"/>
    </row>
    <row r="7" spans="1:5" ht="30">
      <c r="A7" s="258"/>
      <c r="B7" s="254"/>
      <c r="C7" s="184" t="s">
        <v>2669</v>
      </c>
      <c r="D7" s="185" t="s">
        <v>2670</v>
      </c>
      <c r="E7" s="185"/>
    </row>
    <row r="8" spans="1:5" ht="75">
      <c r="A8" s="259"/>
      <c r="B8" s="255"/>
      <c r="C8" s="186" t="s">
        <v>2671</v>
      </c>
      <c r="D8" s="187" t="s">
        <v>2672</v>
      </c>
      <c r="E8" s="187"/>
    </row>
    <row r="10" spans="1:5">
      <c r="A10" s="252" t="s">
        <v>3007</v>
      </c>
    </row>
  </sheetData>
  <mergeCells count="4">
    <mergeCell ref="A2:A5"/>
    <mergeCell ref="B2:B5"/>
    <mergeCell ref="A6:A8"/>
    <mergeCell ref="B6:B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7DFE-A626-41D5-B235-1DF2D8B06E48}">
  <sheetPr>
    <tabColor rgb="FFFF0000"/>
  </sheetPr>
  <dimension ref="B1:N11"/>
  <sheetViews>
    <sheetView workbookViewId="0">
      <selection sqref="A1:XFD1"/>
    </sheetView>
  </sheetViews>
  <sheetFormatPr defaultRowHeight="15"/>
  <cols>
    <col min="3" max="14" width="10.7109375" customWidth="1"/>
  </cols>
  <sheetData>
    <row r="1" spans="2:14" ht="28.9" customHeight="1"/>
    <row r="2" spans="2:14">
      <c r="B2" s="127" t="s">
        <v>2281</v>
      </c>
      <c r="C2" s="128"/>
      <c r="D2" s="129"/>
      <c r="E2" s="129"/>
      <c r="F2" s="129"/>
      <c r="G2" s="129"/>
      <c r="H2" s="129"/>
      <c r="I2" s="129"/>
      <c r="J2" s="129"/>
      <c r="K2" s="130"/>
      <c r="L2" s="130"/>
      <c r="M2" s="130"/>
      <c r="N2" s="131"/>
    </row>
    <row r="3" spans="2:14">
      <c r="B3" s="208"/>
      <c r="C3" s="209"/>
      <c r="D3" s="209"/>
      <c r="E3" s="209"/>
      <c r="F3" s="209"/>
      <c r="G3" s="209"/>
      <c r="H3" s="209"/>
      <c r="I3" s="209"/>
      <c r="J3" s="209"/>
      <c r="K3" s="209"/>
      <c r="L3" s="209"/>
      <c r="M3" s="209"/>
      <c r="N3" s="210"/>
    </row>
    <row r="4" spans="2:14">
      <c r="B4" s="6"/>
      <c r="C4" s="211" t="s">
        <v>2838</v>
      </c>
      <c r="D4" s="212"/>
      <c r="E4" s="132"/>
      <c r="F4" s="132"/>
      <c r="G4" s="132"/>
      <c r="H4" s="132"/>
      <c r="I4" s="132"/>
      <c r="J4" s="132"/>
      <c r="K4" s="132"/>
      <c r="L4" s="132"/>
      <c r="M4" s="132"/>
      <c r="N4" s="213"/>
    </row>
    <row r="5" spans="2:14">
      <c r="B5" s="214"/>
      <c r="C5" s="215">
        <v>1</v>
      </c>
      <c r="D5" s="216" t="s">
        <v>2219</v>
      </c>
      <c r="E5" s="212"/>
      <c r="F5" s="132"/>
      <c r="G5" s="132"/>
      <c r="H5" s="132"/>
      <c r="I5" s="132"/>
      <c r="J5" s="132"/>
      <c r="K5" s="132"/>
      <c r="L5" s="132"/>
      <c r="M5" s="132"/>
      <c r="N5" s="213"/>
    </row>
    <row r="6" spans="2:14">
      <c r="B6" s="214"/>
      <c r="D6" s="212" t="s">
        <v>2839</v>
      </c>
      <c r="E6" s="212"/>
      <c r="F6" s="132"/>
      <c r="G6" s="132"/>
      <c r="H6" s="132"/>
      <c r="I6" s="132"/>
      <c r="J6" s="132"/>
      <c r="K6" s="132"/>
      <c r="L6" s="132"/>
      <c r="M6" s="132"/>
      <c r="N6" s="213"/>
    </row>
    <row r="7" spans="2:14">
      <c r="B7" s="214"/>
      <c r="C7" s="122">
        <v>2</v>
      </c>
      <c r="D7" s="212"/>
      <c r="E7" s="216" t="s">
        <v>2840</v>
      </c>
      <c r="F7" s="132"/>
      <c r="G7" s="132"/>
      <c r="H7" s="132"/>
      <c r="I7" s="132"/>
      <c r="J7" s="132"/>
      <c r="K7" s="132"/>
      <c r="L7" s="132"/>
      <c r="M7" s="132"/>
      <c r="N7" s="213"/>
    </row>
    <row r="8" spans="2:14">
      <c r="B8" s="214"/>
      <c r="C8" s="215">
        <v>3</v>
      </c>
      <c r="D8" s="212"/>
      <c r="E8" s="216" t="s">
        <v>2841</v>
      </c>
      <c r="F8" s="132"/>
      <c r="G8" s="132"/>
      <c r="H8" s="132"/>
      <c r="I8" s="132"/>
      <c r="J8" s="132"/>
      <c r="K8" s="132"/>
      <c r="L8" s="132"/>
      <c r="M8" s="132"/>
      <c r="N8" s="213"/>
    </row>
    <row r="9" spans="2:14">
      <c r="B9" s="214"/>
      <c r="G9" s="132"/>
      <c r="H9" s="132"/>
      <c r="I9" s="132"/>
      <c r="J9" s="132"/>
      <c r="K9" s="132"/>
      <c r="L9" s="132"/>
      <c r="M9" s="132"/>
      <c r="N9" s="213"/>
    </row>
    <row r="10" spans="2:14">
      <c r="B10" s="214"/>
      <c r="G10" s="132"/>
      <c r="H10" s="132"/>
      <c r="I10" s="132"/>
      <c r="J10" s="132"/>
      <c r="K10" s="132"/>
      <c r="L10" s="132"/>
      <c r="M10" s="132"/>
      <c r="N10" s="213"/>
    </row>
    <row r="11" spans="2:14">
      <c r="B11" s="217"/>
      <c r="C11" s="124"/>
      <c r="D11" s="218"/>
      <c r="E11" s="218"/>
      <c r="F11" s="218"/>
      <c r="G11" s="218"/>
      <c r="H11" s="218"/>
      <c r="I11" s="218"/>
      <c r="J11" s="218"/>
      <c r="K11" s="218"/>
      <c r="L11" s="218"/>
      <c r="M11" s="218"/>
      <c r="N11" s="219"/>
    </row>
  </sheetData>
  <hyperlinks>
    <hyperlink ref="D5" location="CountryCode!A1" display="Country" xr:uid="{EF6C5359-8E7B-4697-BB60-5777A7B960D0}"/>
    <hyperlink ref="E7" location="EmissionFactorsCountry!A1" display="Per country" xr:uid="{50AB287A-D610-412C-95D5-DA275F0C2231}"/>
    <hyperlink ref="E8" location="EmissionFactorsCompleting!A1" display="Aggregated" xr:uid="{611D7C7F-1D10-4432-87D9-C9C39232191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954E3-6ED4-4CD6-9C5D-CF64A98121A3}">
  <dimension ref="A1:C34"/>
  <sheetViews>
    <sheetView workbookViewId="0">
      <selection activeCell="C45" sqref="C45"/>
    </sheetView>
  </sheetViews>
  <sheetFormatPr defaultRowHeight="15"/>
  <cols>
    <col min="1" max="1" width="42.7109375" bestFit="1" customWidth="1"/>
    <col min="2" max="2" width="28.7109375" bestFit="1" customWidth="1"/>
    <col min="3" max="3" width="10.28515625" bestFit="1" customWidth="1"/>
  </cols>
  <sheetData>
    <row r="1" spans="1:3">
      <c r="A1" s="1" t="s">
        <v>2279</v>
      </c>
      <c r="B1" s="1" t="s">
        <v>2280</v>
      </c>
      <c r="C1" s="1" t="s">
        <v>2281</v>
      </c>
    </row>
    <row r="2" spans="1:3">
      <c r="A2" s="1" t="s">
        <v>2282</v>
      </c>
    </row>
    <row r="3" spans="1:3">
      <c r="A3" t="s">
        <v>2283</v>
      </c>
      <c r="B3" t="s">
        <v>2284</v>
      </c>
      <c r="C3" t="s">
        <v>2285</v>
      </c>
    </row>
    <row r="4" spans="1:3">
      <c r="A4" t="s">
        <v>1725</v>
      </c>
      <c r="B4" t="s">
        <v>2286</v>
      </c>
      <c r="C4" t="s">
        <v>2287</v>
      </c>
    </row>
    <row r="5" spans="1:3">
      <c r="A5" t="s">
        <v>2288</v>
      </c>
      <c r="B5" t="s">
        <v>2289</v>
      </c>
      <c r="C5" t="s">
        <v>2290</v>
      </c>
    </row>
    <row r="6" spans="1:3">
      <c r="A6" t="s">
        <v>1886</v>
      </c>
      <c r="B6" t="s">
        <v>2291</v>
      </c>
      <c r="C6" t="s">
        <v>2292</v>
      </c>
    </row>
    <row r="7" spans="1:3">
      <c r="A7" t="s">
        <v>2293</v>
      </c>
      <c r="B7" t="s">
        <v>2294</v>
      </c>
      <c r="C7" t="s">
        <v>2295</v>
      </c>
    </row>
    <row r="8" spans="1:3">
      <c r="A8" t="s">
        <v>2296</v>
      </c>
      <c r="B8" t="s">
        <v>2294</v>
      </c>
      <c r="C8" t="s">
        <v>2297</v>
      </c>
    </row>
    <row r="9" spans="1:3">
      <c r="A9" t="s">
        <v>2298</v>
      </c>
      <c r="B9" t="s">
        <v>2294</v>
      </c>
      <c r="C9" t="s">
        <v>2299</v>
      </c>
    </row>
    <row r="10" spans="1:3">
      <c r="A10" s="1" t="s">
        <v>1647</v>
      </c>
    </row>
    <row r="11" spans="1:3">
      <c r="A11" t="s">
        <v>1648</v>
      </c>
      <c r="B11" t="s">
        <v>2300</v>
      </c>
      <c r="C11" t="s">
        <v>2301</v>
      </c>
    </row>
    <row r="12" spans="1:3">
      <c r="A12" t="s">
        <v>1654</v>
      </c>
      <c r="B12" t="s">
        <v>2302</v>
      </c>
      <c r="C12" t="s">
        <v>2303</v>
      </c>
    </row>
    <row r="13" spans="1:3">
      <c r="A13" t="s">
        <v>2304</v>
      </c>
      <c r="B13" t="s">
        <v>2305</v>
      </c>
      <c r="C13" t="s">
        <v>2306</v>
      </c>
    </row>
    <row r="14" spans="1:3">
      <c r="A14" t="s">
        <v>2307</v>
      </c>
      <c r="B14" t="s">
        <v>2305</v>
      </c>
      <c r="C14" t="s">
        <v>2306</v>
      </c>
    </row>
    <row r="15" spans="1:3">
      <c r="A15" t="s">
        <v>1662</v>
      </c>
      <c r="B15" t="s">
        <v>2308</v>
      </c>
      <c r="C15" t="s">
        <v>2309</v>
      </c>
    </row>
    <row r="16" spans="1:3">
      <c r="A16" t="s">
        <v>307</v>
      </c>
      <c r="B16" t="s">
        <v>2310</v>
      </c>
      <c r="C16" t="s">
        <v>2311</v>
      </c>
    </row>
    <row r="17" spans="1:3">
      <c r="A17" t="s">
        <v>2312</v>
      </c>
      <c r="B17" t="s">
        <v>2313</v>
      </c>
      <c r="C17" t="s">
        <v>2314</v>
      </c>
    </row>
    <row r="18" spans="1:3">
      <c r="A18" s="1" t="s">
        <v>1710</v>
      </c>
    </row>
    <row r="19" spans="1:3">
      <c r="A19" t="s">
        <v>1711</v>
      </c>
      <c r="B19" t="s">
        <v>2315</v>
      </c>
      <c r="C19" t="s">
        <v>2316</v>
      </c>
    </row>
    <row r="20" spans="1:3">
      <c r="A20" t="s">
        <v>1714</v>
      </c>
      <c r="B20" t="s">
        <v>2315</v>
      </c>
      <c r="C20" t="s">
        <v>2317</v>
      </c>
    </row>
    <row r="21" spans="1:3">
      <c r="A21" t="s">
        <v>1716</v>
      </c>
      <c r="B21" t="s">
        <v>2318</v>
      </c>
      <c r="C21" t="s">
        <v>2319</v>
      </c>
    </row>
    <row r="22" spans="1:3">
      <c r="A22" t="s">
        <v>1718</v>
      </c>
      <c r="B22" t="s">
        <v>2318</v>
      </c>
      <c r="C22" t="s">
        <v>2319</v>
      </c>
    </row>
    <row r="23" spans="1:3">
      <c r="A23" t="s">
        <v>1720</v>
      </c>
      <c r="B23" t="s">
        <v>2320</v>
      </c>
      <c r="C23" t="s">
        <v>2321</v>
      </c>
    </row>
    <row r="24" spans="1:3">
      <c r="A24" t="s">
        <v>1722</v>
      </c>
      <c r="B24" t="s">
        <v>2315</v>
      </c>
      <c r="C24" t="s">
        <v>2322</v>
      </c>
    </row>
    <row r="25" spans="1:3">
      <c r="A25" t="s">
        <v>2323</v>
      </c>
      <c r="B25" t="s">
        <v>2324</v>
      </c>
      <c r="C25" t="s">
        <v>2325</v>
      </c>
    </row>
    <row r="26" spans="1:3">
      <c r="A26" t="s">
        <v>2326</v>
      </c>
      <c r="B26" t="s">
        <v>2324</v>
      </c>
      <c r="C26" s="221" t="s">
        <v>2327</v>
      </c>
    </row>
    <row r="27" spans="1:3">
      <c r="A27" s="1" t="s">
        <v>1724</v>
      </c>
    </row>
    <row r="28" spans="1:3">
      <c r="A28" t="s">
        <v>1731</v>
      </c>
      <c r="B28" t="s">
        <v>2320</v>
      </c>
      <c r="C28" t="s">
        <v>2328</v>
      </c>
    </row>
    <row r="29" spans="1:3">
      <c r="A29" t="s">
        <v>1733</v>
      </c>
      <c r="B29" t="s">
        <v>2294</v>
      </c>
      <c r="C29" t="s">
        <v>2329</v>
      </c>
    </row>
    <row r="30" spans="1:3">
      <c r="A30" t="s">
        <v>2330</v>
      </c>
      <c r="B30" t="s">
        <v>2331</v>
      </c>
      <c r="C30" t="s">
        <v>2332</v>
      </c>
    </row>
    <row r="31" spans="1:3">
      <c r="A31" t="s">
        <v>1738</v>
      </c>
      <c r="B31">
        <v>0.01</v>
      </c>
      <c r="C31" t="s">
        <v>2333</v>
      </c>
    </row>
    <row r="32" spans="1:3">
      <c r="A32" t="s">
        <v>1643</v>
      </c>
      <c r="B32" t="s">
        <v>2334</v>
      </c>
      <c r="C32" t="s">
        <v>2335</v>
      </c>
    </row>
    <row r="33" spans="1:3">
      <c r="A33" t="s">
        <v>2336</v>
      </c>
      <c r="B33">
        <v>5</v>
      </c>
      <c r="C33" t="s">
        <v>2337</v>
      </c>
    </row>
    <row r="34" spans="1:3">
      <c r="A34" t="s">
        <v>1641</v>
      </c>
      <c r="B34" t="s">
        <v>2294</v>
      </c>
      <c r="C34" t="s">
        <v>2338</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D3C7-B903-4242-9368-B7DFD873B0F7}">
  <dimension ref="A1:C45"/>
  <sheetViews>
    <sheetView topLeftCell="A10" workbookViewId="0">
      <selection activeCell="B1" sqref="B1:B46"/>
    </sheetView>
  </sheetViews>
  <sheetFormatPr defaultRowHeight="15"/>
  <cols>
    <col min="1" max="1" width="70.28515625" bestFit="1" customWidth="1"/>
    <col min="2" max="2" width="60.7109375" bestFit="1" customWidth="1"/>
  </cols>
  <sheetData>
    <row r="1" spans="1:3">
      <c r="A1" s="1" t="s">
        <v>2279</v>
      </c>
      <c r="B1" s="1" t="s">
        <v>2280</v>
      </c>
      <c r="C1" s="1" t="s">
        <v>2281</v>
      </c>
    </row>
    <row r="2" spans="1:3">
      <c r="A2" s="1" t="s">
        <v>1672</v>
      </c>
    </row>
    <row r="3" spans="1:3">
      <c r="A3" t="s">
        <v>1673</v>
      </c>
      <c r="B3">
        <v>2019</v>
      </c>
    </row>
    <row r="4" spans="1:3">
      <c r="A4" t="s">
        <v>1675</v>
      </c>
      <c r="B4">
        <v>2021</v>
      </c>
    </row>
    <row r="5" spans="1:3">
      <c r="A5" t="s">
        <v>1677</v>
      </c>
      <c r="B5" t="s">
        <v>2339</v>
      </c>
    </row>
    <row r="6" spans="1:3">
      <c r="A6" t="s">
        <v>1680</v>
      </c>
      <c r="B6">
        <v>2019</v>
      </c>
    </row>
    <row r="7" spans="1:3">
      <c r="A7" t="s">
        <v>1670</v>
      </c>
      <c r="B7" t="s">
        <v>2340</v>
      </c>
    </row>
    <row r="8" spans="1:3">
      <c r="A8" t="s">
        <v>1789</v>
      </c>
      <c r="B8" t="s">
        <v>2341</v>
      </c>
    </row>
    <row r="9" spans="1:3">
      <c r="A9" t="s">
        <v>1792</v>
      </c>
      <c r="B9" t="s">
        <v>2342</v>
      </c>
    </row>
    <row r="10" spans="1:3">
      <c r="A10" t="s">
        <v>1682</v>
      </c>
      <c r="B10" t="s">
        <v>2320</v>
      </c>
    </row>
    <row r="11" spans="1:3">
      <c r="A11" t="s">
        <v>1684</v>
      </c>
      <c r="B11" t="s">
        <v>2320</v>
      </c>
    </row>
    <row r="12" spans="1:3">
      <c r="A12" t="s">
        <v>1686</v>
      </c>
      <c r="B12" t="s">
        <v>2320</v>
      </c>
    </row>
    <row r="13" spans="1:3">
      <c r="A13" t="s">
        <v>1688</v>
      </c>
      <c r="B13" s="82" t="s">
        <v>2343</v>
      </c>
    </row>
    <row r="14" spans="1:3">
      <c r="A14" t="s">
        <v>1651</v>
      </c>
      <c r="B14" t="s">
        <v>2344</v>
      </c>
    </row>
    <row r="15" spans="1:3">
      <c r="A15" s="1" t="s">
        <v>2345</v>
      </c>
    </row>
    <row r="16" spans="1:3">
      <c r="A16" t="s">
        <v>1756</v>
      </c>
      <c r="B16" t="s">
        <v>2346</v>
      </c>
    </row>
    <row r="17" spans="1:3">
      <c r="A17" t="s">
        <v>1745</v>
      </c>
      <c r="B17" t="s">
        <v>2347</v>
      </c>
    </row>
    <row r="18" spans="1:3">
      <c r="A18" t="s">
        <v>1748</v>
      </c>
      <c r="B18" t="s">
        <v>2348</v>
      </c>
    </row>
    <row r="19" spans="1:3">
      <c r="A19" t="s">
        <v>1751</v>
      </c>
      <c r="B19" t="s">
        <v>1737</v>
      </c>
    </row>
    <row r="20" spans="1:3">
      <c r="A20" t="s">
        <v>2349</v>
      </c>
      <c r="B20">
        <v>0.04</v>
      </c>
    </row>
    <row r="21" spans="1:3">
      <c r="A21" t="s">
        <v>2350</v>
      </c>
      <c r="B21" t="s">
        <v>2320</v>
      </c>
      <c r="C21" t="s">
        <v>2351</v>
      </c>
    </row>
    <row r="22" spans="1:3">
      <c r="A22" s="1" t="s">
        <v>2352</v>
      </c>
    </row>
    <row r="23" spans="1:3">
      <c r="A23" t="s">
        <v>1637</v>
      </c>
      <c r="B23" t="s">
        <v>2320</v>
      </c>
    </row>
    <row r="24" spans="1:3">
      <c r="A24" t="s">
        <v>1639</v>
      </c>
      <c r="B24">
        <v>0</v>
      </c>
    </row>
    <row r="25" spans="1:3">
      <c r="A25" s="1" t="s">
        <v>2353</v>
      </c>
    </row>
    <row r="26" spans="1:3">
      <c r="A26" t="s">
        <v>1626</v>
      </c>
      <c r="B26" t="s">
        <v>2320</v>
      </c>
    </row>
    <row r="27" spans="1:3">
      <c r="A27" t="s">
        <v>1628</v>
      </c>
      <c r="B27">
        <v>0</v>
      </c>
    </row>
    <row r="28" spans="1:3">
      <c r="A28" t="s">
        <v>1630</v>
      </c>
      <c r="B28" t="s">
        <v>2294</v>
      </c>
    </row>
    <row r="29" spans="1:3">
      <c r="A29" s="1" t="s">
        <v>1758</v>
      </c>
    </row>
    <row r="30" spans="1:3">
      <c r="A30" t="s">
        <v>2354</v>
      </c>
      <c r="B30" t="s">
        <v>2294</v>
      </c>
    </row>
    <row r="31" spans="1:3">
      <c r="A31" t="s">
        <v>1762</v>
      </c>
      <c r="B31" t="s">
        <v>2294</v>
      </c>
    </row>
    <row r="32" spans="1:3">
      <c r="A32" t="s">
        <v>1645</v>
      </c>
      <c r="B32" t="s">
        <v>2320</v>
      </c>
    </row>
    <row r="33" spans="1:2">
      <c r="A33" t="s">
        <v>2355</v>
      </c>
    </row>
    <row r="34" spans="1:2">
      <c r="A34" t="s">
        <v>2356</v>
      </c>
      <c r="B34" s="82" t="s">
        <v>2357</v>
      </c>
    </row>
    <row r="35" spans="1:2">
      <c r="A35" t="s">
        <v>2358</v>
      </c>
      <c r="B35" t="s">
        <v>2294</v>
      </c>
    </row>
    <row r="36" spans="1:2">
      <c r="A36" t="s">
        <v>2359</v>
      </c>
      <c r="B36" t="s">
        <v>2360</v>
      </c>
    </row>
    <row r="37" spans="1:2">
      <c r="A37" t="s">
        <v>2361</v>
      </c>
      <c r="B37" s="82" t="s">
        <v>2362</v>
      </c>
    </row>
    <row r="38" spans="1:2">
      <c r="A38" t="s">
        <v>158</v>
      </c>
    </row>
    <row r="39" spans="1:2">
      <c r="A39" t="s">
        <v>2363</v>
      </c>
      <c r="B39" s="82" t="s">
        <v>2357</v>
      </c>
    </row>
    <row r="40" spans="1:2">
      <c r="A40" t="s">
        <v>2358</v>
      </c>
      <c r="B40" t="s">
        <v>2294</v>
      </c>
    </row>
    <row r="41" spans="1:2">
      <c r="A41" t="s">
        <v>2359</v>
      </c>
      <c r="B41" t="s">
        <v>2360</v>
      </c>
    </row>
    <row r="42" spans="1:2">
      <c r="A42" t="s">
        <v>2364</v>
      </c>
      <c r="B42" s="82" t="s">
        <v>2362</v>
      </c>
    </row>
    <row r="43" spans="1:2">
      <c r="A43" t="s">
        <v>1592</v>
      </c>
    </row>
    <row r="44" spans="1:2">
      <c r="A44" t="s">
        <v>1599</v>
      </c>
      <c r="B44" t="s">
        <v>2365</v>
      </c>
    </row>
    <row r="45" spans="1:2">
      <c r="A45" t="s">
        <v>2366</v>
      </c>
      <c r="B45" t="s">
        <v>2294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FAC04-15D1-4844-977F-32B8A1C323D6}">
  <dimension ref="A1:C38"/>
  <sheetViews>
    <sheetView workbookViewId="0">
      <selection sqref="A1:XFD1"/>
    </sheetView>
  </sheetViews>
  <sheetFormatPr defaultRowHeight="15"/>
  <cols>
    <col min="1" max="1" width="54.28515625" bestFit="1" customWidth="1"/>
    <col min="2" max="2" width="20.7109375" bestFit="1" customWidth="1"/>
    <col min="3" max="3" width="77.28515625" bestFit="1" customWidth="1"/>
  </cols>
  <sheetData>
    <row r="1" spans="1:3">
      <c r="A1" s="1" t="s">
        <v>2279</v>
      </c>
      <c r="B1" s="1" t="s">
        <v>2280</v>
      </c>
      <c r="C1" s="1" t="s">
        <v>2281</v>
      </c>
    </row>
    <row r="2" spans="1:3">
      <c r="A2" s="1" t="s">
        <v>2367</v>
      </c>
    </row>
    <row r="3" spans="1:3">
      <c r="A3" t="s">
        <v>2368</v>
      </c>
      <c r="B3" t="s">
        <v>2369</v>
      </c>
    </row>
    <row r="4" spans="1:3">
      <c r="A4" t="s">
        <v>1899</v>
      </c>
      <c r="B4" t="s">
        <v>2370</v>
      </c>
      <c r="C4" t="s">
        <v>2371</v>
      </c>
    </row>
    <row r="5" spans="1:3">
      <c r="A5" s="1" t="s">
        <v>2372</v>
      </c>
    </row>
    <row r="6" spans="1:3">
      <c r="A6" t="s">
        <v>1893</v>
      </c>
      <c r="B6">
        <v>2</v>
      </c>
      <c r="C6" t="s">
        <v>2373</v>
      </c>
    </row>
    <row r="7" spans="1:3">
      <c r="A7" t="s">
        <v>1895</v>
      </c>
      <c r="B7">
        <v>2</v>
      </c>
      <c r="C7" t="s">
        <v>2373</v>
      </c>
    </row>
    <row r="8" spans="1:3">
      <c r="A8" t="s">
        <v>1902</v>
      </c>
      <c r="B8" t="s">
        <v>2320</v>
      </c>
    </row>
    <row r="9" spans="1:3">
      <c r="A9" t="s">
        <v>1907</v>
      </c>
      <c r="B9" t="s">
        <v>2374</v>
      </c>
    </row>
    <row r="10" spans="1:3">
      <c r="A10" t="s">
        <v>1913</v>
      </c>
      <c r="B10" t="s">
        <v>2294</v>
      </c>
    </row>
    <row r="11" spans="1:3">
      <c r="A11" t="s">
        <v>1904</v>
      </c>
      <c r="B11" t="s">
        <v>2375</v>
      </c>
    </row>
    <row r="12" spans="1:3">
      <c r="A12" t="s">
        <v>1944</v>
      </c>
      <c r="B12" s="82" t="s">
        <v>2376</v>
      </c>
    </row>
    <row r="13" spans="1:3">
      <c r="A13" t="s">
        <v>1946</v>
      </c>
      <c r="B13" s="82" t="s">
        <v>2376</v>
      </c>
    </row>
    <row r="14" spans="1:3">
      <c r="A14" t="s">
        <v>2377</v>
      </c>
      <c r="B14" t="s">
        <v>2284</v>
      </c>
      <c r="C14" t="s">
        <v>2378</v>
      </c>
    </row>
    <row r="15" spans="1:3">
      <c r="A15" t="s">
        <v>2379</v>
      </c>
      <c r="B15">
        <v>0</v>
      </c>
    </row>
    <row r="16" spans="1:3">
      <c r="A16" t="s">
        <v>2380</v>
      </c>
      <c r="B16">
        <v>0</v>
      </c>
    </row>
    <row r="17" spans="1:3">
      <c r="A17" t="s">
        <v>2381</v>
      </c>
      <c r="B17" s="82" t="s">
        <v>2382</v>
      </c>
    </row>
    <row r="18" spans="1:3">
      <c r="A18" s="1" t="s">
        <v>2383</v>
      </c>
    </row>
    <row r="19" spans="1:3">
      <c r="A19" t="s">
        <v>2384</v>
      </c>
      <c r="B19" t="s">
        <v>2385</v>
      </c>
    </row>
    <row r="20" spans="1:3">
      <c r="A20" t="s">
        <v>2386</v>
      </c>
      <c r="B20" s="82" t="s">
        <v>2387</v>
      </c>
      <c r="C20" t="s">
        <v>2388</v>
      </c>
    </row>
    <row r="21" spans="1:3">
      <c r="A21" t="s">
        <v>1897</v>
      </c>
      <c r="B21" s="82" t="s">
        <v>2389</v>
      </c>
    </row>
    <row r="22" spans="1:3">
      <c r="A22" t="s">
        <v>1970</v>
      </c>
      <c r="B22" s="82" t="s">
        <v>2357</v>
      </c>
    </row>
    <row r="23" spans="1:3">
      <c r="A23" t="s">
        <v>1972</v>
      </c>
      <c r="B23" t="s">
        <v>2390</v>
      </c>
    </row>
    <row r="24" spans="1:3">
      <c r="A24" t="s">
        <v>1974</v>
      </c>
      <c r="B24" t="s">
        <v>2391</v>
      </c>
    </row>
    <row r="25" spans="1:3">
      <c r="A25" t="s">
        <v>1977</v>
      </c>
      <c r="B25" s="82" t="s">
        <v>2392</v>
      </c>
    </row>
    <row r="26" spans="1:3">
      <c r="A26" t="s">
        <v>1979</v>
      </c>
      <c r="B26" s="82" t="s">
        <v>2393</v>
      </c>
    </row>
    <row r="27" spans="1:3">
      <c r="A27" t="s">
        <v>1981</v>
      </c>
      <c r="B27">
        <v>1</v>
      </c>
    </row>
    <row r="28" spans="1:3">
      <c r="A28" t="s">
        <v>2394</v>
      </c>
      <c r="B28" t="s">
        <v>2395</v>
      </c>
    </row>
    <row r="29" spans="1:3">
      <c r="A29" t="s">
        <v>1936</v>
      </c>
      <c r="B29" t="s">
        <v>2294</v>
      </c>
      <c r="C29" t="s">
        <v>2396</v>
      </c>
    </row>
    <row r="30" spans="1:3">
      <c r="A30" t="s">
        <v>2397</v>
      </c>
      <c r="B30">
        <v>0</v>
      </c>
    </row>
    <row r="31" spans="1:3">
      <c r="A31" t="s">
        <v>2398</v>
      </c>
      <c r="B31" s="82" t="s">
        <v>2399</v>
      </c>
    </row>
    <row r="32" spans="1:3">
      <c r="A32" t="s">
        <v>2400</v>
      </c>
      <c r="B32" s="82" t="s">
        <v>2401</v>
      </c>
    </row>
    <row r="33" spans="1:3">
      <c r="A33" t="s">
        <v>2402</v>
      </c>
      <c r="B33" s="82" t="s">
        <v>2401</v>
      </c>
    </row>
    <row r="34" spans="1:3">
      <c r="A34" s="1" t="s">
        <v>2403</v>
      </c>
    </row>
    <row r="35" spans="1:3">
      <c r="A35" t="s">
        <v>2404</v>
      </c>
      <c r="B35" t="s">
        <v>2405</v>
      </c>
      <c r="C35" t="s">
        <v>2406</v>
      </c>
    </row>
    <row r="36" spans="1:3">
      <c r="A36" t="s">
        <v>2407</v>
      </c>
      <c r="C36" t="s">
        <v>2408</v>
      </c>
    </row>
    <row r="37" spans="1:3">
      <c r="A37" t="s">
        <v>2409</v>
      </c>
      <c r="C37" t="s">
        <v>2410</v>
      </c>
    </row>
    <row r="38" spans="1:3">
      <c r="A38" t="s">
        <v>2411</v>
      </c>
      <c r="B38" t="s">
        <v>2412</v>
      </c>
      <c r="C38" t="s">
        <v>2413</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33A8-A7E1-49BD-9C4A-F62C8386EC4F}">
  <dimension ref="A1:D320"/>
  <sheetViews>
    <sheetView workbookViewId="0"/>
  </sheetViews>
  <sheetFormatPr defaultColWidth="9.28515625" defaultRowHeight="15"/>
  <cols>
    <col min="1" max="1" width="58.5703125" customWidth="1"/>
    <col min="2" max="2" width="25.7109375" customWidth="1"/>
    <col min="3" max="3" width="22.28515625" customWidth="1"/>
    <col min="4" max="4" width="17.42578125" bestFit="1" customWidth="1"/>
  </cols>
  <sheetData>
    <row r="1" spans="1:4">
      <c r="A1" s="90" t="s">
        <v>1488</v>
      </c>
      <c r="B1" s="90" t="s">
        <v>1489</v>
      </c>
      <c r="C1" s="90" t="s">
        <v>1490</v>
      </c>
      <c r="D1" s="90" t="s">
        <v>1404</v>
      </c>
    </row>
    <row r="2" spans="1:4">
      <c r="A2" s="91" t="s">
        <v>1491</v>
      </c>
      <c r="B2" s="92"/>
      <c r="C2" s="92"/>
      <c r="D2" s="92"/>
    </row>
    <row r="3" spans="1:4">
      <c r="A3" s="93" t="s">
        <v>1492</v>
      </c>
      <c r="B3" s="94" t="s">
        <v>1493</v>
      </c>
      <c r="C3" s="95">
        <v>2023</v>
      </c>
      <c r="D3" s="92" t="s">
        <v>1494</v>
      </c>
    </row>
    <row r="4" spans="1:4">
      <c r="A4" s="93" t="s">
        <v>1495</v>
      </c>
      <c r="B4" s="94" t="s">
        <v>1496</v>
      </c>
      <c r="C4" s="95">
        <v>25</v>
      </c>
      <c r="D4" s="92" t="s">
        <v>1494</v>
      </c>
    </row>
    <row r="5" spans="1:4">
      <c r="A5" s="93" t="s">
        <v>1497</v>
      </c>
      <c r="B5" s="94" t="s">
        <v>1498</v>
      </c>
      <c r="C5" s="95">
        <v>75</v>
      </c>
      <c r="D5" s="92" t="s">
        <v>1494</v>
      </c>
    </row>
    <row r="6" spans="1:4">
      <c r="A6" s="93" t="s">
        <v>1499</v>
      </c>
      <c r="B6" s="94" t="s">
        <v>1500</v>
      </c>
      <c r="C6" s="95">
        <v>2030</v>
      </c>
      <c r="D6" s="92" t="s">
        <v>1494</v>
      </c>
    </row>
    <row r="7" spans="1:4">
      <c r="A7" s="91" t="s">
        <v>1501</v>
      </c>
      <c r="B7" s="92"/>
      <c r="C7" s="92"/>
      <c r="D7" s="92"/>
    </row>
    <row r="8" spans="1:4">
      <c r="A8" s="93" t="s">
        <v>1502</v>
      </c>
      <c r="B8" s="96" t="s">
        <v>1503</v>
      </c>
      <c r="C8" s="95" t="b">
        <v>1</v>
      </c>
      <c r="D8" s="92" t="s">
        <v>1494</v>
      </c>
    </row>
    <row r="9" spans="1:4">
      <c r="A9" s="93" t="s">
        <v>1504</v>
      </c>
      <c r="B9" s="96" t="s">
        <v>1505</v>
      </c>
      <c r="C9" s="95" t="b">
        <v>1</v>
      </c>
      <c r="D9" s="92" t="s">
        <v>1494</v>
      </c>
    </row>
    <row r="10" spans="1:4">
      <c r="A10" s="93" t="s">
        <v>1506</v>
      </c>
      <c r="B10" s="96" t="s">
        <v>1507</v>
      </c>
      <c r="C10" s="95" t="b">
        <v>1</v>
      </c>
      <c r="D10" s="92" t="s">
        <v>1494</v>
      </c>
    </row>
    <row r="11" spans="1:4">
      <c r="A11" s="93" t="s">
        <v>1508</v>
      </c>
      <c r="B11" s="96" t="s">
        <v>1509</v>
      </c>
      <c r="C11" s="95" t="b">
        <v>1</v>
      </c>
      <c r="D11" s="92" t="s">
        <v>1494</v>
      </c>
    </row>
    <row r="12" spans="1:4">
      <c r="A12" s="93" t="s">
        <v>1510</v>
      </c>
      <c r="B12" s="96" t="s">
        <v>1511</v>
      </c>
      <c r="C12" s="95" t="b">
        <v>1</v>
      </c>
      <c r="D12" s="92" t="s">
        <v>1494</v>
      </c>
    </row>
    <row r="13" spans="1:4">
      <c r="A13" s="93" t="s">
        <v>1512</v>
      </c>
      <c r="B13" s="96" t="s">
        <v>1513</v>
      </c>
      <c r="C13" s="95" t="b">
        <v>1</v>
      </c>
      <c r="D13" s="92" t="s">
        <v>1494</v>
      </c>
    </row>
    <row r="14" spans="1:4">
      <c r="A14" s="93" t="s">
        <v>1514</v>
      </c>
      <c r="B14" s="96" t="s">
        <v>1515</v>
      </c>
      <c r="C14" s="95" t="b">
        <v>1</v>
      </c>
      <c r="D14" s="92" t="s">
        <v>1494</v>
      </c>
    </row>
    <row r="15" spans="1:4">
      <c r="A15" s="91" t="s">
        <v>1516</v>
      </c>
      <c r="B15" s="92"/>
      <c r="C15" s="92"/>
      <c r="D15" s="92" t="s">
        <v>1494</v>
      </c>
    </row>
    <row r="16" spans="1:4">
      <c r="A16" s="93" t="s">
        <v>1517</v>
      </c>
      <c r="B16" s="96" t="s">
        <v>1518</v>
      </c>
      <c r="C16" s="95" t="b">
        <v>1</v>
      </c>
      <c r="D16" s="92" t="s">
        <v>1494</v>
      </c>
    </row>
    <row r="17" spans="1:4">
      <c r="A17" s="93" t="s">
        <v>1519</v>
      </c>
      <c r="B17" s="96" t="s">
        <v>1520</v>
      </c>
      <c r="C17" s="95" t="b">
        <v>1</v>
      </c>
      <c r="D17" s="92" t="s">
        <v>1494</v>
      </c>
    </row>
    <row r="18" spans="1:4">
      <c r="A18" s="93" t="s">
        <v>1521</v>
      </c>
      <c r="B18" s="96" t="s">
        <v>1522</v>
      </c>
      <c r="C18" s="95" t="b">
        <v>1</v>
      </c>
      <c r="D18" s="92" t="s">
        <v>1494</v>
      </c>
    </row>
    <row r="19" spans="1:4">
      <c r="A19" s="93" t="s">
        <v>1523</v>
      </c>
      <c r="B19" s="96" t="s">
        <v>1524</v>
      </c>
      <c r="C19" s="95" t="b">
        <v>1</v>
      </c>
      <c r="D19" s="92" t="s">
        <v>1494</v>
      </c>
    </row>
    <row r="20" spans="1:4">
      <c r="A20" s="93" t="s">
        <v>1525</v>
      </c>
      <c r="B20" s="96" t="s">
        <v>1526</v>
      </c>
      <c r="C20" s="95" t="b">
        <v>1</v>
      </c>
      <c r="D20" s="92" t="s">
        <v>1494</v>
      </c>
    </row>
    <row r="21" spans="1:4">
      <c r="A21" s="93" t="s">
        <v>1527</v>
      </c>
      <c r="B21" s="96" t="s">
        <v>1528</v>
      </c>
      <c r="C21" s="95" t="b">
        <v>1</v>
      </c>
      <c r="D21" s="92" t="s">
        <v>1494</v>
      </c>
    </row>
    <row r="22" spans="1:4">
      <c r="A22" s="93" t="s">
        <v>1529</v>
      </c>
      <c r="B22" s="96" t="s">
        <v>1530</v>
      </c>
      <c r="C22" s="95" t="b">
        <v>1</v>
      </c>
      <c r="D22" s="92" t="s">
        <v>1494</v>
      </c>
    </row>
    <row r="23" spans="1:4">
      <c r="A23" s="93" t="s">
        <v>1531</v>
      </c>
      <c r="B23" s="96" t="s">
        <v>1532</v>
      </c>
      <c r="C23" s="95" t="b">
        <v>1</v>
      </c>
      <c r="D23" s="92" t="s">
        <v>1494</v>
      </c>
    </row>
    <row r="24" spans="1:4">
      <c r="A24" s="93" t="s">
        <v>1533</v>
      </c>
      <c r="B24" s="96" t="s">
        <v>1534</v>
      </c>
      <c r="C24" s="95" t="b">
        <v>1</v>
      </c>
      <c r="D24" s="92" t="s">
        <v>1494</v>
      </c>
    </row>
    <row r="25" spans="1:4">
      <c r="A25" s="93" t="s">
        <v>1535</v>
      </c>
      <c r="B25" s="96" t="s">
        <v>1536</v>
      </c>
      <c r="C25" s="95" t="b">
        <v>1</v>
      </c>
      <c r="D25" s="92" t="s">
        <v>1494</v>
      </c>
    </row>
    <row r="26" spans="1:4">
      <c r="A26" s="93" t="s">
        <v>1537</v>
      </c>
      <c r="B26" s="96" t="s">
        <v>1538</v>
      </c>
      <c r="C26" s="95" t="b">
        <v>1</v>
      </c>
      <c r="D26" s="92" t="s">
        <v>1494</v>
      </c>
    </row>
    <row r="27" spans="1:4">
      <c r="A27" s="93" t="s">
        <v>1539</v>
      </c>
      <c r="B27" s="96" t="s">
        <v>1540</v>
      </c>
      <c r="C27" s="95" t="b">
        <v>1</v>
      </c>
      <c r="D27" s="92" t="s">
        <v>1494</v>
      </c>
    </row>
    <row r="28" spans="1:4">
      <c r="A28" s="93" t="s">
        <v>1541</v>
      </c>
      <c r="B28" s="96" t="s">
        <v>1542</v>
      </c>
      <c r="C28" s="95" t="b">
        <v>1</v>
      </c>
      <c r="D28" s="92" t="s">
        <v>1494</v>
      </c>
    </row>
    <row r="29" spans="1:4">
      <c r="A29" s="93" t="s">
        <v>1543</v>
      </c>
      <c r="B29" s="96" t="s">
        <v>1544</v>
      </c>
      <c r="C29" s="95" t="b">
        <v>1</v>
      </c>
      <c r="D29" s="92" t="s">
        <v>1494</v>
      </c>
    </row>
    <row r="30" spans="1:4">
      <c r="A30" s="93" t="s">
        <v>1545</v>
      </c>
      <c r="B30" s="96" t="s">
        <v>1546</v>
      </c>
      <c r="C30" s="95" t="b">
        <v>1</v>
      </c>
      <c r="D30" s="92" t="s">
        <v>1494</v>
      </c>
    </row>
    <row r="31" spans="1:4">
      <c r="A31" s="93" t="s">
        <v>1547</v>
      </c>
      <c r="B31" s="96" t="s">
        <v>1548</v>
      </c>
      <c r="C31" s="95" t="b">
        <v>1</v>
      </c>
      <c r="D31" s="92" t="s">
        <v>1494</v>
      </c>
    </row>
    <row r="32" spans="1:4">
      <c r="A32" s="93" t="s">
        <v>1549</v>
      </c>
      <c r="B32" s="96" t="s">
        <v>1550</v>
      </c>
      <c r="C32" s="95" t="b">
        <v>1</v>
      </c>
      <c r="D32" s="92" t="s">
        <v>1494</v>
      </c>
    </row>
    <row r="33" spans="1:4">
      <c r="A33" s="91" t="s">
        <v>1551</v>
      </c>
      <c r="B33" s="92"/>
      <c r="C33" s="92"/>
      <c r="D33" s="92"/>
    </row>
    <row r="34" spans="1:4">
      <c r="A34" s="93" t="s">
        <v>1552</v>
      </c>
      <c r="B34" s="96" t="s">
        <v>1553</v>
      </c>
      <c r="C34" s="95" t="b">
        <v>1</v>
      </c>
      <c r="D34" s="92" t="s">
        <v>1494</v>
      </c>
    </row>
    <row r="35" spans="1:4">
      <c r="A35" s="93" t="s">
        <v>1554</v>
      </c>
      <c r="B35" s="96" t="s">
        <v>1555</v>
      </c>
      <c r="C35" s="95">
        <v>2023</v>
      </c>
      <c r="D35" s="92" t="s">
        <v>1494</v>
      </c>
    </row>
    <row r="36" spans="1:4">
      <c r="A36" s="93" t="s">
        <v>1556</v>
      </c>
      <c r="B36" s="96" t="s">
        <v>1557</v>
      </c>
      <c r="C36" s="95">
        <v>5</v>
      </c>
      <c r="D36" s="92" t="s">
        <v>1494</v>
      </c>
    </row>
    <row r="37" spans="1:4">
      <c r="A37" s="91" t="s">
        <v>1558</v>
      </c>
      <c r="B37" s="92"/>
      <c r="C37" s="92"/>
      <c r="D37" s="92"/>
    </row>
    <row r="38" spans="1:4">
      <c r="A38" s="93" t="s">
        <v>1559</v>
      </c>
      <c r="B38" s="96" t="s">
        <v>1560</v>
      </c>
      <c r="C38" s="95" t="b">
        <v>1</v>
      </c>
      <c r="D38" s="92" t="s">
        <v>1494</v>
      </c>
    </row>
    <row r="39" spans="1:4">
      <c r="A39" s="93" t="s">
        <v>1561</v>
      </c>
      <c r="B39" s="96" t="s">
        <v>1562</v>
      </c>
      <c r="C39" s="95">
        <v>2023</v>
      </c>
      <c r="D39" s="92" t="s">
        <v>1494</v>
      </c>
    </row>
    <row r="40" spans="1:4">
      <c r="A40" s="93" t="s">
        <v>1563</v>
      </c>
      <c r="B40" s="96" t="s">
        <v>1564</v>
      </c>
      <c r="C40" s="95">
        <v>5</v>
      </c>
      <c r="D40" s="92" t="s">
        <v>1494</v>
      </c>
    </row>
    <row r="41" spans="1:4">
      <c r="A41" s="93" t="s">
        <v>1565</v>
      </c>
      <c r="B41" s="97" t="s">
        <v>1566</v>
      </c>
      <c r="C41" s="97">
        <v>1</v>
      </c>
      <c r="D41" s="92"/>
    </row>
    <row r="42" spans="1:4">
      <c r="A42" s="93" t="s">
        <v>1567</v>
      </c>
      <c r="B42" s="96" t="s">
        <v>1568</v>
      </c>
      <c r="C42" s="96" t="s">
        <v>1569</v>
      </c>
      <c r="D42" s="92"/>
    </row>
    <row r="43" spans="1:4">
      <c r="A43" s="93" t="s">
        <v>1570</v>
      </c>
      <c r="B43" s="96" t="s">
        <v>1571</v>
      </c>
      <c r="C43" s="96">
        <v>5</v>
      </c>
      <c r="D43" s="92"/>
    </row>
    <row r="44" spans="1:4">
      <c r="A44" s="93" t="s">
        <v>1572</v>
      </c>
      <c r="B44" s="97" t="s">
        <v>1573</v>
      </c>
      <c r="C44" s="97">
        <v>1</v>
      </c>
      <c r="D44" s="92"/>
    </row>
    <row r="45" spans="1:4">
      <c r="A45" s="91" t="s">
        <v>1574</v>
      </c>
      <c r="B45" s="92"/>
      <c r="C45" s="92"/>
      <c r="D45" s="92"/>
    </row>
    <row r="46" spans="1:4">
      <c r="A46" s="93" t="s">
        <v>1575</v>
      </c>
      <c r="B46" s="96" t="s">
        <v>1576</v>
      </c>
      <c r="C46" s="95" t="b">
        <v>1</v>
      </c>
      <c r="D46" s="92" t="s">
        <v>1494</v>
      </c>
    </row>
    <row r="47" spans="1:4">
      <c r="A47" s="93" t="s">
        <v>1577</v>
      </c>
      <c r="B47" s="96" t="s">
        <v>1578</v>
      </c>
      <c r="C47" s="95">
        <v>2023</v>
      </c>
      <c r="D47" s="92" t="s">
        <v>1494</v>
      </c>
    </row>
    <row r="48" spans="1:4">
      <c r="A48" s="93" t="s">
        <v>1579</v>
      </c>
      <c r="B48" s="96" t="s">
        <v>1580</v>
      </c>
      <c r="C48" s="95">
        <v>5</v>
      </c>
      <c r="D48" s="92" t="s">
        <v>1494</v>
      </c>
    </row>
    <row r="49" spans="1:4">
      <c r="A49" s="93" t="s">
        <v>1581</v>
      </c>
      <c r="B49" s="97" t="s">
        <v>1582</v>
      </c>
      <c r="C49" s="97">
        <v>1</v>
      </c>
      <c r="D49" s="92"/>
    </row>
    <row r="50" spans="1:4">
      <c r="A50" s="93" t="s">
        <v>1583</v>
      </c>
      <c r="B50" s="98" t="s">
        <v>1584</v>
      </c>
      <c r="C50" s="98" t="s">
        <v>1569</v>
      </c>
      <c r="D50" s="92"/>
    </row>
    <row r="51" spans="1:4">
      <c r="A51" s="93" t="s">
        <v>1585</v>
      </c>
      <c r="B51" s="96" t="s">
        <v>1586</v>
      </c>
      <c r="C51" s="96">
        <v>5</v>
      </c>
      <c r="D51" s="92"/>
    </row>
    <row r="52" spans="1:4">
      <c r="A52" s="93" t="s">
        <v>1587</v>
      </c>
      <c r="B52" s="97" t="s">
        <v>1588</v>
      </c>
      <c r="C52" s="97">
        <v>1</v>
      </c>
      <c r="D52" s="92"/>
    </row>
    <row r="53" spans="1:4">
      <c r="A53" s="93" t="s">
        <v>1589</v>
      </c>
      <c r="B53" s="98" t="s">
        <v>1590</v>
      </c>
      <c r="C53" s="98" t="s">
        <v>1591</v>
      </c>
      <c r="D53" s="92"/>
    </row>
    <row r="54" spans="1:4">
      <c r="A54" s="91" t="s">
        <v>1592</v>
      </c>
      <c r="B54" s="92"/>
      <c r="C54" s="92"/>
      <c r="D54" s="92"/>
    </row>
    <row r="55" spans="1:4">
      <c r="A55" s="93" t="s">
        <v>1593</v>
      </c>
      <c r="B55" s="96" t="s">
        <v>1594</v>
      </c>
      <c r="C55" s="95" t="b">
        <v>1</v>
      </c>
      <c r="D55" s="92"/>
    </row>
    <row r="56" spans="1:4">
      <c r="A56" s="93" t="s">
        <v>1595</v>
      </c>
      <c r="B56" s="96" t="s">
        <v>1596</v>
      </c>
      <c r="C56" s="95">
        <v>2023</v>
      </c>
      <c r="D56" s="92"/>
    </row>
    <row r="57" spans="1:4">
      <c r="A57" s="93" t="s">
        <v>1597</v>
      </c>
      <c r="B57" s="96" t="s">
        <v>1598</v>
      </c>
      <c r="C57" s="95">
        <v>5</v>
      </c>
      <c r="D57" s="92"/>
    </row>
    <row r="58" spans="1:4">
      <c r="A58" s="93" t="s">
        <v>1599</v>
      </c>
      <c r="B58" s="99" t="s">
        <v>1600</v>
      </c>
      <c r="C58" s="99" t="s">
        <v>1601</v>
      </c>
      <c r="D58" s="92"/>
    </row>
    <row r="59" spans="1:4">
      <c r="A59" s="93" t="s">
        <v>1602</v>
      </c>
      <c r="B59" s="98" t="s">
        <v>1603</v>
      </c>
      <c r="C59" s="98" t="s">
        <v>1569</v>
      </c>
      <c r="D59" s="92"/>
    </row>
    <row r="60" spans="1:4">
      <c r="A60" s="91" t="s">
        <v>1604</v>
      </c>
      <c r="B60" s="92"/>
      <c r="C60" s="92"/>
      <c r="D60" s="92"/>
    </row>
    <row r="61" spans="1:4">
      <c r="A61" s="93" t="s">
        <v>1605</v>
      </c>
      <c r="B61" s="96" t="s">
        <v>1606</v>
      </c>
      <c r="C61" s="96">
        <v>0</v>
      </c>
      <c r="D61" s="92"/>
    </row>
    <row r="62" spans="1:4">
      <c r="A62" s="93" t="s">
        <v>1607</v>
      </c>
      <c r="B62" s="96" t="s">
        <v>1608</v>
      </c>
      <c r="C62" s="96">
        <v>0</v>
      </c>
      <c r="D62" s="92"/>
    </row>
    <row r="63" spans="1:4">
      <c r="A63" s="93" t="s">
        <v>1609</v>
      </c>
      <c r="B63" s="96" t="s">
        <v>1610</v>
      </c>
      <c r="C63" s="96">
        <v>40</v>
      </c>
      <c r="D63" s="92"/>
    </row>
    <row r="64" spans="1:4">
      <c r="A64" s="93" t="s">
        <v>1611</v>
      </c>
      <c r="B64" s="96" t="s">
        <v>1612</v>
      </c>
      <c r="C64" s="96">
        <v>20</v>
      </c>
      <c r="D64" s="92"/>
    </row>
    <row r="65" spans="1:4">
      <c r="A65" s="93" t="s">
        <v>1613</v>
      </c>
      <c r="B65" s="96" t="s">
        <v>1614</v>
      </c>
      <c r="C65" s="96">
        <v>40</v>
      </c>
      <c r="D65" s="92"/>
    </row>
    <row r="66" spans="1:4">
      <c r="A66" s="100" t="s">
        <v>1615</v>
      </c>
      <c r="B66" s="92"/>
      <c r="C66" s="92"/>
      <c r="D66" s="92"/>
    </row>
    <row r="67" spans="1:4">
      <c r="A67" s="101" t="s">
        <v>1616</v>
      </c>
      <c r="B67" s="96" t="s">
        <v>1617</v>
      </c>
      <c r="C67" s="96">
        <v>40</v>
      </c>
      <c r="D67" s="92"/>
    </row>
    <row r="68" spans="1:4">
      <c r="A68" s="101" t="s">
        <v>1618</v>
      </c>
      <c r="B68" s="96" t="s">
        <v>1619</v>
      </c>
      <c r="C68" s="96">
        <v>95</v>
      </c>
      <c r="D68" s="92"/>
    </row>
    <row r="69" spans="1:4">
      <c r="A69" s="101" t="s">
        <v>1620</v>
      </c>
      <c r="B69" s="96" t="s">
        <v>1621</v>
      </c>
      <c r="C69" s="96">
        <v>5</v>
      </c>
      <c r="D69" s="92"/>
    </row>
    <row r="70" spans="1:4">
      <c r="A70" s="91" t="s">
        <v>1622</v>
      </c>
      <c r="B70" s="92"/>
      <c r="C70" s="92"/>
      <c r="D70" s="92"/>
    </row>
    <row r="71" spans="1:4">
      <c r="A71" s="93" t="s">
        <v>1623</v>
      </c>
      <c r="B71" s="99" t="s">
        <v>1624</v>
      </c>
      <c r="C71" s="99" t="s">
        <v>1625</v>
      </c>
      <c r="D71" s="92"/>
    </row>
    <row r="72" spans="1:4">
      <c r="A72" s="93" t="s">
        <v>1626</v>
      </c>
      <c r="B72" s="99" t="s">
        <v>1627</v>
      </c>
      <c r="C72" s="99" t="s">
        <v>1625</v>
      </c>
      <c r="D72" s="92"/>
    </row>
    <row r="73" spans="1:4">
      <c r="A73" s="93" t="s">
        <v>1628</v>
      </c>
      <c r="B73" s="102" t="s">
        <v>1629</v>
      </c>
      <c r="C73" s="102">
        <v>0</v>
      </c>
      <c r="D73" s="92"/>
    </row>
    <row r="74" spans="1:4">
      <c r="A74" s="93" t="s">
        <v>1630</v>
      </c>
      <c r="B74" s="99" t="s">
        <v>1631</v>
      </c>
      <c r="C74" s="99" t="s">
        <v>1632</v>
      </c>
      <c r="D74" s="92"/>
    </row>
    <row r="75" spans="1:4">
      <c r="A75" s="93" t="s">
        <v>1633</v>
      </c>
      <c r="B75" s="97" t="s">
        <v>1634</v>
      </c>
      <c r="C75" s="97">
        <v>0.9</v>
      </c>
      <c r="D75" s="92"/>
    </row>
    <row r="76" spans="1:4">
      <c r="A76" s="93" t="s">
        <v>1635</v>
      </c>
      <c r="B76" s="103" t="s">
        <v>1636</v>
      </c>
      <c r="C76" s="103">
        <v>5</v>
      </c>
      <c r="D76" s="92"/>
    </row>
    <row r="77" spans="1:4">
      <c r="A77" s="93" t="s">
        <v>1637</v>
      </c>
      <c r="B77" s="103" t="s">
        <v>1638</v>
      </c>
      <c r="C77" s="103" t="s">
        <v>1625</v>
      </c>
      <c r="D77" s="92"/>
    </row>
    <row r="78" spans="1:4">
      <c r="A78" s="93" t="s">
        <v>1639</v>
      </c>
      <c r="B78" s="103" t="s">
        <v>1640</v>
      </c>
      <c r="C78" s="103">
        <v>0</v>
      </c>
      <c r="D78" s="92"/>
    </row>
    <row r="79" spans="1:4">
      <c r="A79" s="93" t="s">
        <v>1641</v>
      </c>
      <c r="B79" s="99" t="s">
        <v>1642</v>
      </c>
      <c r="C79" s="99" t="s">
        <v>1632</v>
      </c>
      <c r="D79" s="92"/>
    </row>
    <row r="80" spans="1:4">
      <c r="A80" s="93" t="s">
        <v>1643</v>
      </c>
      <c r="B80" s="104" t="s">
        <v>1644</v>
      </c>
      <c r="C80" s="104" t="s">
        <v>1632</v>
      </c>
      <c r="D80" s="92"/>
    </row>
    <row r="81" spans="1:4">
      <c r="A81" s="93" t="s">
        <v>1645</v>
      </c>
      <c r="B81" s="99" t="s">
        <v>1646</v>
      </c>
      <c r="C81" s="99" t="s">
        <v>1625</v>
      </c>
      <c r="D81" s="92"/>
    </row>
    <row r="82" spans="1:4">
      <c r="A82" s="91" t="s">
        <v>1647</v>
      </c>
      <c r="B82" s="92"/>
      <c r="C82" s="92"/>
      <c r="D82" s="92"/>
    </row>
    <row r="83" spans="1:4">
      <c r="A83" s="93" t="s">
        <v>1648</v>
      </c>
      <c r="B83" s="99" t="s">
        <v>1649</v>
      </c>
      <c r="C83" s="99" t="s">
        <v>1650</v>
      </c>
      <c r="D83" s="92"/>
    </row>
    <row r="84" spans="1:4">
      <c r="A84" s="93" t="s">
        <v>1651</v>
      </c>
      <c r="B84" s="99" t="s">
        <v>1652</v>
      </c>
      <c r="C84" s="99" t="s">
        <v>1653</v>
      </c>
      <c r="D84" s="92"/>
    </row>
    <row r="85" spans="1:4">
      <c r="A85" s="93" t="s">
        <v>1654</v>
      </c>
      <c r="B85" s="99" t="s">
        <v>1655</v>
      </c>
      <c r="C85" s="99" t="s">
        <v>1656</v>
      </c>
      <c r="D85" s="92"/>
    </row>
    <row r="86" spans="1:4">
      <c r="A86" s="93" t="s">
        <v>1657</v>
      </c>
      <c r="B86" s="99" t="s">
        <v>1658</v>
      </c>
      <c r="C86" s="99" t="s">
        <v>1659</v>
      </c>
      <c r="D86" s="92"/>
    </row>
    <row r="87" spans="1:4">
      <c r="A87" s="93" t="s">
        <v>1660</v>
      </c>
      <c r="B87" s="99" t="s">
        <v>1661</v>
      </c>
      <c r="C87" s="99" t="s">
        <v>1659</v>
      </c>
      <c r="D87" s="92"/>
    </row>
    <row r="88" spans="1:4">
      <c r="A88" s="93" t="s">
        <v>1662</v>
      </c>
      <c r="B88" s="99" t="s">
        <v>1663</v>
      </c>
      <c r="C88" s="99" t="s">
        <v>1664</v>
      </c>
      <c r="D88" s="92"/>
    </row>
    <row r="89" spans="1:4">
      <c r="A89" s="93" t="s">
        <v>307</v>
      </c>
      <c r="B89" s="96" t="s">
        <v>1665</v>
      </c>
      <c r="C89" s="96" t="s">
        <v>1666</v>
      </c>
      <c r="D89" s="92"/>
    </row>
    <row r="90" spans="1:4">
      <c r="A90" s="93" t="s">
        <v>1667</v>
      </c>
      <c r="B90" s="96" t="s">
        <v>1668</v>
      </c>
      <c r="C90" s="96" t="s">
        <v>1669</v>
      </c>
      <c r="D90" s="92"/>
    </row>
    <row r="91" spans="1:4">
      <c r="A91" s="93" t="s">
        <v>1670</v>
      </c>
      <c r="B91" s="99" t="s">
        <v>1438</v>
      </c>
      <c r="C91" s="99" t="s">
        <v>1671</v>
      </c>
      <c r="D91" s="92"/>
    </row>
    <row r="92" spans="1:4">
      <c r="A92" s="91" t="s">
        <v>1672</v>
      </c>
      <c r="B92" s="92"/>
      <c r="C92" s="92"/>
      <c r="D92" s="92"/>
    </row>
    <row r="93" spans="1:4">
      <c r="A93" s="93" t="s">
        <v>1673</v>
      </c>
      <c r="B93" s="99" t="s">
        <v>1674</v>
      </c>
      <c r="C93" s="99">
        <v>2019</v>
      </c>
      <c r="D93" s="92"/>
    </row>
    <row r="94" spans="1:4">
      <c r="A94" s="93" t="s">
        <v>1675</v>
      </c>
      <c r="B94" s="99" t="s">
        <v>1676</v>
      </c>
      <c r="C94" s="99">
        <v>2021</v>
      </c>
      <c r="D94" s="92"/>
    </row>
    <row r="95" spans="1:4">
      <c r="A95" s="93" t="s">
        <v>1677</v>
      </c>
      <c r="B95" s="99" t="s">
        <v>1678</v>
      </c>
      <c r="C95" s="99" t="s">
        <v>1679</v>
      </c>
      <c r="D95" s="92"/>
    </row>
    <row r="96" spans="1:4">
      <c r="A96" s="93" t="s">
        <v>1680</v>
      </c>
      <c r="B96" s="99" t="s">
        <v>1681</v>
      </c>
      <c r="C96" s="99">
        <v>2019</v>
      </c>
      <c r="D96" s="92"/>
    </row>
    <row r="97" spans="1:4">
      <c r="A97" s="93" t="s">
        <v>1682</v>
      </c>
      <c r="B97" s="97" t="s">
        <v>1683</v>
      </c>
      <c r="C97" s="97" t="s">
        <v>1625</v>
      </c>
      <c r="D97" s="92"/>
    </row>
    <row r="98" spans="1:4">
      <c r="A98" s="93" t="s">
        <v>1684</v>
      </c>
      <c r="B98" s="97" t="s">
        <v>1685</v>
      </c>
      <c r="C98" s="97" t="s">
        <v>1625</v>
      </c>
      <c r="D98" s="92"/>
    </row>
    <row r="99" spans="1:4">
      <c r="A99" s="93" t="s">
        <v>1686</v>
      </c>
      <c r="B99" s="97" t="s">
        <v>1687</v>
      </c>
      <c r="C99" s="97" t="s">
        <v>1625</v>
      </c>
      <c r="D99" s="92"/>
    </row>
    <row r="100" spans="1:4">
      <c r="A100" s="93" t="s">
        <v>1688</v>
      </c>
      <c r="B100" s="97" t="s">
        <v>1689</v>
      </c>
      <c r="C100" s="97">
        <v>2.5000000000000001E-2</v>
      </c>
      <c r="D100" s="92"/>
    </row>
    <row r="101" spans="1:4">
      <c r="A101" s="91" t="s">
        <v>1690</v>
      </c>
      <c r="B101" s="93"/>
      <c r="C101" s="93"/>
      <c r="D101" s="92"/>
    </row>
    <row r="102" spans="1:4">
      <c r="A102" s="93" t="s">
        <v>1455</v>
      </c>
      <c r="B102" s="97" t="s">
        <v>1691</v>
      </c>
      <c r="C102" s="97">
        <v>0</v>
      </c>
      <c r="D102" s="92"/>
    </row>
    <row r="103" spans="1:4">
      <c r="A103" s="93" t="s">
        <v>1692</v>
      </c>
      <c r="B103" s="97" t="s">
        <v>1693</v>
      </c>
      <c r="C103" s="97">
        <v>0</v>
      </c>
      <c r="D103" s="92"/>
    </row>
    <row r="104" spans="1:4">
      <c r="A104" s="93" t="s">
        <v>1694</v>
      </c>
      <c r="B104" s="97" t="s">
        <v>1695</v>
      </c>
      <c r="C104" s="97">
        <v>0</v>
      </c>
      <c r="D104" s="92"/>
    </row>
    <row r="105" spans="1:4">
      <c r="A105" s="93" t="s">
        <v>1696</v>
      </c>
      <c r="B105" s="97" t="s">
        <v>1697</v>
      </c>
      <c r="C105" s="97">
        <v>0</v>
      </c>
      <c r="D105" s="92"/>
    </row>
    <row r="106" spans="1:4">
      <c r="A106" s="91" t="s">
        <v>1698</v>
      </c>
      <c r="B106" s="93"/>
      <c r="C106" s="93"/>
      <c r="D106" s="92"/>
    </row>
    <row r="107" spans="1:4">
      <c r="A107" s="93" t="s">
        <v>1385</v>
      </c>
      <c r="B107" s="97" t="s">
        <v>1699</v>
      </c>
      <c r="C107" s="97">
        <v>0.7</v>
      </c>
      <c r="D107" s="92"/>
    </row>
    <row r="108" spans="1:4">
      <c r="A108" s="93" t="s">
        <v>1391</v>
      </c>
      <c r="B108" s="97" t="s">
        <v>1700</v>
      </c>
      <c r="C108" s="97">
        <v>0.7</v>
      </c>
      <c r="D108" s="92"/>
    </row>
    <row r="109" spans="1:4">
      <c r="A109" s="93" t="s">
        <v>1392</v>
      </c>
      <c r="B109" s="97" t="s">
        <v>1701</v>
      </c>
      <c r="C109" s="97">
        <v>0.7</v>
      </c>
      <c r="D109" s="92"/>
    </row>
    <row r="110" spans="1:4">
      <c r="A110" s="93" t="s">
        <v>1393</v>
      </c>
      <c r="B110" s="97" t="s">
        <v>1702</v>
      </c>
      <c r="C110" s="97">
        <v>0.7</v>
      </c>
      <c r="D110" s="92"/>
    </row>
    <row r="111" spans="1:4">
      <c r="A111" s="93" t="s">
        <v>1384</v>
      </c>
      <c r="B111" s="97" t="s">
        <v>1703</v>
      </c>
      <c r="C111" s="97">
        <v>1</v>
      </c>
      <c r="D111" s="92"/>
    </row>
    <row r="112" spans="1:4">
      <c r="A112" s="91" t="s">
        <v>1704</v>
      </c>
      <c r="B112" s="93"/>
      <c r="C112" s="93"/>
      <c r="D112" s="92"/>
    </row>
    <row r="113" spans="1:4">
      <c r="A113" s="93" t="s">
        <v>1312</v>
      </c>
      <c r="B113" s="104" t="s">
        <v>1705</v>
      </c>
      <c r="C113" s="97">
        <v>0.56000000000000005</v>
      </c>
      <c r="D113" s="92"/>
    </row>
    <row r="114" spans="1:4">
      <c r="A114" s="93" t="s">
        <v>1310</v>
      </c>
      <c r="B114" s="104" t="s">
        <v>1706</v>
      </c>
      <c r="C114" s="97">
        <v>0.45</v>
      </c>
      <c r="D114" s="92"/>
    </row>
    <row r="115" spans="1:4">
      <c r="A115" s="93" t="s">
        <v>1290</v>
      </c>
      <c r="B115" s="104" t="s">
        <v>1707</v>
      </c>
      <c r="C115" s="97">
        <v>0.2</v>
      </c>
      <c r="D115" s="92"/>
    </row>
    <row r="116" spans="1:4">
      <c r="A116" s="93" t="s">
        <v>1708</v>
      </c>
      <c r="B116" s="104" t="s">
        <v>1709</v>
      </c>
      <c r="C116" s="97">
        <v>0.57999999999999996</v>
      </c>
      <c r="D116" s="92"/>
    </row>
    <row r="117" spans="1:4">
      <c r="A117" s="91" t="s">
        <v>1710</v>
      </c>
      <c r="B117" s="92"/>
      <c r="C117" s="92"/>
      <c r="D117" s="92"/>
    </row>
    <row r="118" spans="1:4">
      <c r="A118" s="93" t="s">
        <v>1711</v>
      </c>
      <c r="B118" s="99" t="s">
        <v>1712</v>
      </c>
      <c r="C118" s="99" t="s">
        <v>1713</v>
      </c>
      <c r="D118" s="92"/>
    </row>
    <row r="119" spans="1:4">
      <c r="A119" s="93" t="s">
        <v>1714</v>
      </c>
      <c r="B119" s="99" t="s">
        <v>1715</v>
      </c>
      <c r="C119" s="99" t="s">
        <v>1713</v>
      </c>
      <c r="D119" s="92"/>
    </row>
    <row r="120" spans="1:4">
      <c r="A120" s="93" t="s">
        <v>1716</v>
      </c>
      <c r="B120" s="99" t="s">
        <v>1717</v>
      </c>
      <c r="C120" s="99" t="s">
        <v>1713</v>
      </c>
      <c r="D120" s="92"/>
    </row>
    <row r="121" spans="1:4">
      <c r="A121" s="93" t="s">
        <v>1718</v>
      </c>
      <c r="B121" s="99" t="s">
        <v>1719</v>
      </c>
      <c r="C121" s="99" t="s">
        <v>1713</v>
      </c>
      <c r="D121" s="92"/>
    </row>
    <row r="122" spans="1:4">
      <c r="A122" s="93" t="s">
        <v>1720</v>
      </c>
      <c r="B122" s="99" t="s">
        <v>1721</v>
      </c>
      <c r="C122" s="99" t="s">
        <v>1625</v>
      </c>
      <c r="D122" s="92"/>
    </row>
    <row r="123" spans="1:4">
      <c r="A123" s="93" t="s">
        <v>1722</v>
      </c>
      <c r="B123" s="99" t="s">
        <v>1723</v>
      </c>
      <c r="C123" s="99" t="s">
        <v>1713</v>
      </c>
      <c r="D123" s="92"/>
    </row>
    <row r="124" spans="1:4">
      <c r="A124" s="91" t="s">
        <v>1724</v>
      </c>
      <c r="B124" s="92"/>
      <c r="C124" s="92"/>
      <c r="D124" s="92"/>
    </row>
    <row r="125" spans="1:4">
      <c r="A125" s="93" t="s">
        <v>1725</v>
      </c>
      <c r="B125" s="99" t="s">
        <v>1726</v>
      </c>
      <c r="C125" s="99" t="s">
        <v>1727</v>
      </c>
      <c r="D125" s="92"/>
    </row>
    <row r="126" spans="1:4">
      <c r="A126" s="93" t="s">
        <v>1728</v>
      </c>
      <c r="B126" s="99" t="s">
        <v>1729</v>
      </c>
      <c r="C126" s="99" t="s">
        <v>1730</v>
      </c>
      <c r="D126" s="92"/>
    </row>
    <row r="127" spans="1:4">
      <c r="A127" s="93" t="s">
        <v>1731</v>
      </c>
      <c r="B127" s="99" t="s">
        <v>1732</v>
      </c>
      <c r="C127" s="99" t="s">
        <v>1625</v>
      </c>
      <c r="D127" s="92"/>
    </row>
    <row r="128" spans="1:4">
      <c r="A128" s="93" t="s">
        <v>1733</v>
      </c>
      <c r="B128" s="104" t="s">
        <v>1734</v>
      </c>
      <c r="C128" s="104" t="s">
        <v>1632</v>
      </c>
      <c r="D128" s="92"/>
    </row>
    <row r="129" spans="1:4">
      <c r="A129" s="93" t="s">
        <v>1735</v>
      </c>
      <c r="B129" s="99" t="s">
        <v>1736</v>
      </c>
      <c r="C129" s="99" t="s">
        <v>1737</v>
      </c>
      <c r="D129" s="92"/>
    </row>
    <row r="130" spans="1:4">
      <c r="A130" s="93" t="s">
        <v>1738</v>
      </c>
      <c r="B130" s="105" t="s">
        <v>1739</v>
      </c>
      <c r="C130" s="105">
        <v>0.01</v>
      </c>
      <c r="D130" s="92"/>
    </row>
    <row r="131" spans="1:4">
      <c r="A131" s="93" t="s">
        <v>1740</v>
      </c>
      <c r="B131" s="105" t="s">
        <v>1741</v>
      </c>
      <c r="C131" s="105" t="s">
        <v>1727</v>
      </c>
      <c r="D131" s="92"/>
    </row>
    <row r="132" spans="1:4">
      <c r="A132" s="93" t="s">
        <v>1742</v>
      </c>
      <c r="B132" s="105" t="s">
        <v>1743</v>
      </c>
      <c r="C132" s="97">
        <v>0</v>
      </c>
      <c r="D132" s="92"/>
    </row>
    <row r="133" spans="1:4">
      <c r="A133" s="91" t="s">
        <v>1744</v>
      </c>
      <c r="B133" s="92"/>
      <c r="C133" s="92"/>
      <c r="D133" s="92"/>
    </row>
    <row r="134" spans="1:4">
      <c r="A134" s="93" t="s">
        <v>1745</v>
      </c>
      <c r="B134" s="99" t="s">
        <v>1746</v>
      </c>
      <c r="C134" s="99" t="s">
        <v>1747</v>
      </c>
      <c r="D134" s="92"/>
    </row>
    <row r="135" spans="1:4">
      <c r="A135" s="93" t="s">
        <v>1748</v>
      </c>
      <c r="B135" s="99" t="s">
        <v>1749</v>
      </c>
      <c r="C135" s="99" t="s">
        <v>1750</v>
      </c>
      <c r="D135" s="92"/>
    </row>
    <row r="136" spans="1:4">
      <c r="A136" s="93" t="s">
        <v>1751</v>
      </c>
      <c r="B136" s="99" t="s">
        <v>1752</v>
      </c>
      <c r="C136" s="99" t="s">
        <v>1737</v>
      </c>
      <c r="D136" s="92"/>
    </row>
    <row r="137" spans="1:4">
      <c r="A137" s="106" t="s">
        <v>1753</v>
      </c>
      <c r="B137" s="107"/>
      <c r="C137" s="107"/>
      <c r="D137" s="92"/>
    </row>
    <row r="138" spans="1:4">
      <c r="A138" s="93" t="s">
        <v>1754</v>
      </c>
      <c r="B138" s="108" t="s">
        <v>1755</v>
      </c>
      <c r="C138" s="108">
        <v>0.04</v>
      </c>
      <c r="D138" s="92"/>
    </row>
    <row r="139" spans="1:4">
      <c r="A139" s="93" t="s">
        <v>1756</v>
      </c>
      <c r="B139" s="109" t="s">
        <v>1757</v>
      </c>
      <c r="C139" s="109">
        <v>75</v>
      </c>
      <c r="D139" s="92"/>
    </row>
    <row r="140" spans="1:4">
      <c r="A140" s="91" t="s">
        <v>1758</v>
      </c>
      <c r="B140" s="92"/>
      <c r="C140" s="92"/>
      <c r="D140" s="92"/>
    </row>
    <row r="141" spans="1:4">
      <c r="A141" s="93" t="s">
        <v>1759</v>
      </c>
      <c r="B141" s="99" t="s">
        <v>1760</v>
      </c>
      <c r="C141" s="99" t="s">
        <v>1761</v>
      </c>
      <c r="D141" s="92"/>
    </row>
    <row r="142" spans="1:4">
      <c r="A142" s="93" t="s">
        <v>1762</v>
      </c>
      <c r="B142" s="99" t="s">
        <v>1763</v>
      </c>
      <c r="C142" s="99" t="s">
        <v>1761</v>
      </c>
      <c r="D142" s="92"/>
    </row>
    <row r="143" spans="1:4">
      <c r="A143" s="93" t="s">
        <v>1764</v>
      </c>
      <c r="B143" s="99" t="s">
        <v>1765</v>
      </c>
      <c r="C143" s="99">
        <v>2025</v>
      </c>
      <c r="D143" s="92"/>
    </row>
    <row r="144" spans="1:4">
      <c r="A144" s="91" t="s">
        <v>1766</v>
      </c>
      <c r="B144" s="92"/>
      <c r="C144" s="92"/>
      <c r="D144" s="92"/>
    </row>
    <row r="145" spans="1:4">
      <c r="A145" s="93" t="s">
        <v>1767</v>
      </c>
      <c r="B145" s="99" t="s">
        <v>1768</v>
      </c>
      <c r="C145" s="99" t="s">
        <v>1632</v>
      </c>
      <c r="D145" s="92"/>
    </row>
    <row r="146" spans="1:4">
      <c r="A146" s="91" t="s">
        <v>1769</v>
      </c>
      <c r="B146" s="92"/>
      <c r="C146" s="92"/>
      <c r="D146" s="92"/>
    </row>
    <row r="147" spans="1:4">
      <c r="A147" s="93" t="s">
        <v>1770</v>
      </c>
      <c r="B147" s="99" t="s">
        <v>1771</v>
      </c>
      <c r="C147" s="99" t="s">
        <v>1625</v>
      </c>
      <c r="D147" s="92"/>
    </row>
    <row r="148" spans="1:4">
      <c r="A148" s="93" t="s">
        <v>1772</v>
      </c>
      <c r="B148" s="99" t="s">
        <v>1773</v>
      </c>
      <c r="C148" s="99" t="s">
        <v>1625</v>
      </c>
      <c r="D148" s="92"/>
    </row>
    <row r="149" spans="1:4">
      <c r="A149" s="93" t="s">
        <v>1774</v>
      </c>
      <c r="B149" s="99" t="s">
        <v>1775</v>
      </c>
      <c r="C149" s="99" t="s">
        <v>1625</v>
      </c>
      <c r="D149" s="92"/>
    </row>
    <row r="150" spans="1:4">
      <c r="A150" s="93" t="s">
        <v>1776</v>
      </c>
      <c r="B150" s="99" t="s">
        <v>1777</v>
      </c>
      <c r="C150" s="99" t="s">
        <v>1625</v>
      </c>
      <c r="D150" s="92"/>
    </row>
    <row r="151" spans="1:4">
      <c r="A151" s="93" t="s">
        <v>1778</v>
      </c>
      <c r="B151" s="99" t="s">
        <v>1779</v>
      </c>
      <c r="C151" s="99" t="s">
        <v>1625</v>
      </c>
      <c r="D151" s="92"/>
    </row>
    <row r="152" spans="1:4">
      <c r="A152" s="93" t="s">
        <v>1780</v>
      </c>
      <c r="B152" s="99" t="s">
        <v>1781</v>
      </c>
      <c r="C152" s="99" t="s">
        <v>1625</v>
      </c>
      <c r="D152" s="92"/>
    </row>
    <row r="153" spans="1:4">
      <c r="A153" s="93" t="s">
        <v>1782</v>
      </c>
      <c r="B153" s="99" t="s">
        <v>1783</v>
      </c>
      <c r="C153" s="99" t="s">
        <v>1625</v>
      </c>
      <c r="D153" s="92"/>
    </row>
    <row r="154" spans="1:4">
      <c r="A154" s="93" t="s">
        <v>1784</v>
      </c>
      <c r="B154" s="99" t="s">
        <v>1785</v>
      </c>
      <c r="C154" s="99" t="s">
        <v>1625</v>
      </c>
      <c r="D154" s="92"/>
    </row>
    <row r="155" spans="1:4">
      <c r="A155" s="93" t="s">
        <v>1786</v>
      </c>
      <c r="B155" s="99" t="s">
        <v>1787</v>
      </c>
      <c r="C155" s="99" t="s">
        <v>1625</v>
      </c>
      <c r="D155" s="92"/>
    </row>
    <row r="156" spans="1:4">
      <c r="A156" s="110" t="s">
        <v>1788</v>
      </c>
      <c r="B156" s="99"/>
      <c r="C156" s="99"/>
      <c r="D156" s="92"/>
    </row>
    <row r="157" spans="1:4">
      <c r="A157" s="93" t="s">
        <v>1789</v>
      </c>
      <c r="B157" s="99" t="s">
        <v>1790</v>
      </c>
      <c r="C157" s="99" t="s">
        <v>1791</v>
      </c>
      <c r="D157" s="92"/>
    </row>
    <row r="158" spans="1:4">
      <c r="A158" s="93" t="s">
        <v>1792</v>
      </c>
      <c r="B158" s="99" t="s">
        <v>1793</v>
      </c>
      <c r="C158" s="99" t="s">
        <v>1794</v>
      </c>
      <c r="D158" s="92"/>
    </row>
    <row r="159" spans="1:4">
      <c r="A159" s="93" t="s">
        <v>1795</v>
      </c>
      <c r="B159" s="104" t="s">
        <v>1796</v>
      </c>
      <c r="C159" s="104">
        <v>0.56000000000000005</v>
      </c>
      <c r="D159" s="92"/>
    </row>
    <row r="160" spans="1:4">
      <c r="A160" s="93" t="s">
        <v>1797</v>
      </c>
      <c r="B160" s="104" t="s">
        <v>1798</v>
      </c>
      <c r="C160" s="104">
        <v>0.45</v>
      </c>
      <c r="D160" s="92"/>
    </row>
    <row r="161" spans="1:4">
      <c r="A161" s="93" t="s">
        <v>1799</v>
      </c>
      <c r="B161" s="104" t="s">
        <v>1800</v>
      </c>
      <c r="C161" s="104">
        <v>0.2</v>
      </c>
      <c r="D161" s="92"/>
    </row>
    <row r="162" spans="1:4">
      <c r="A162" s="93" t="s">
        <v>1801</v>
      </c>
      <c r="B162" s="104" t="s">
        <v>1802</v>
      </c>
      <c r="C162" s="104">
        <v>0.57999999999999996</v>
      </c>
      <c r="D162" s="92"/>
    </row>
    <row r="163" spans="1:4">
      <c r="A163" s="91" t="s">
        <v>1803</v>
      </c>
      <c r="B163" s="92"/>
      <c r="C163" s="92"/>
      <c r="D163" s="92"/>
    </row>
    <row r="164" spans="1:4">
      <c r="A164" s="93" t="s">
        <v>1804</v>
      </c>
      <c r="B164" s="99" t="s">
        <v>1805</v>
      </c>
      <c r="C164" s="99">
        <v>2025</v>
      </c>
      <c r="D164" s="92"/>
    </row>
    <row r="165" spans="1:4">
      <c r="A165" s="93" t="s">
        <v>1806</v>
      </c>
      <c r="B165" s="105" t="s">
        <v>1807</v>
      </c>
      <c r="C165" s="105" t="s">
        <v>1808</v>
      </c>
      <c r="D165" s="92"/>
    </row>
    <row r="166" spans="1:4">
      <c r="A166" s="93" t="s">
        <v>1809</v>
      </c>
      <c r="B166" s="105" t="s">
        <v>1810</v>
      </c>
      <c r="C166" s="105" t="s">
        <v>1761</v>
      </c>
      <c r="D166" s="92"/>
    </row>
    <row r="167" spans="1:4">
      <c r="A167" s="93" t="s">
        <v>1811</v>
      </c>
      <c r="B167" s="105" t="s">
        <v>1812</v>
      </c>
      <c r="C167" s="105" t="s">
        <v>1813</v>
      </c>
      <c r="D167" s="92"/>
    </row>
    <row r="168" spans="1:4">
      <c r="A168" s="93" t="s">
        <v>1814</v>
      </c>
      <c r="B168" s="105" t="s">
        <v>1815</v>
      </c>
      <c r="C168" s="105" t="s">
        <v>1816</v>
      </c>
      <c r="D168" s="92"/>
    </row>
    <row r="169" spans="1:4">
      <c r="A169" s="93" t="s">
        <v>1817</v>
      </c>
      <c r="B169" s="105" t="s">
        <v>1818</v>
      </c>
      <c r="C169" s="105" t="s">
        <v>1819</v>
      </c>
      <c r="D169" s="92"/>
    </row>
    <row r="170" spans="1:4">
      <c r="A170" s="93" t="s">
        <v>1820</v>
      </c>
      <c r="B170" s="105" t="s">
        <v>1821</v>
      </c>
      <c r="C170" s="105">
        <v>4</v>
      </c>
      <c r="D170" s="92"/>
    </row>
    <row r="171" spans="1:4">
      <c r="A171" s="93" t="s">
        <v>1822</v>
      </c>
      <c r="B171" s="105" t="s">
        <v>1823</v>
      </c>
      <c r="C171" s="105" t="s">
        <v>1824</v>
      </c>
      <c r="D171" s="92"/>
    </row>
    <row r="172" spans="1:4">
      <c r="A172" s="93" t="s">
        <v>1825</v>
      </c>
      <c r="B172" s="105" t="s">
        <v>1826</v>
      </c>
      <c r="C172" s="105" t="s">
        <v>1761</v>
      </c>
      <c r="D172" s="92"/>
    </row>
    <row r="173" spans="1:4">
      <c r="A173" s="93" t="s">
        <v>1827</v>
      </c>
      <c r="B173" s="105" t="s">
        <v>1828</v>
      </c>
      <c r="C173" s="105">
        <v>2</v>
      </c>
      <c r="D173" s="92"/>
    </row>
    <row r="174" spans="1:4">
      <c r="A174" s="93" t="s">
        <v>1829</v>
      </c>
      <c r="B174" s="105" t="s">
        <v>1830</v>
      </c>
      <c r="C174" s="105" t="s">
        <v>1761</v>
      </c>
      <c r="D174" s="92"/>
    </row>
    <row r="175" spans="1:4">
      <c r="A175" s="93" t="s">
        <v>1831</v>
      </c>
      <c r="B175" s="105" t="s">
        <v>1832</v>
      </c>
      <c r="C175" s="105" t="s">
        <v>1569</v>
      </c>
      <c r="D175" s="92"/>
    </row>
    <row r="176" spans="1:4">
      <c r="A176" s="93" t="s">
        <v>1833</v>
      </c>
      <c r="B176" s="105" t="s">
        <v>1834</v>
      </c>
      <c r="C176" s="105" t="s">
        <v>1569</v>
      </c>
      <c r="D176" s="92"/>
    </row>
    <row r="177" spans="1:4">
      <c r="A177" s="93" t="s">
        <v>1835</v>
      </c>
      <c r="B177" s="105" t="s">
        <v>1836</v>
      </c>
      <c r="C177" s="105" t="s">
        <v>1761</v>
      </c>
      <c r="D177" s="92"/>
    </row>
    <row r="178" spans="1:4">
      <c r="A178" s="93" t="s">
        <v>1837</v>
      </c>
      <c r="B178" s="105" t="s">
        <v>1838</v>
      </c>
      <c r="C178" s="105" t="s">
        <v>1761</v>
      </c>
      <c r="D178" s="92"/>
    </row>
    <row r="179" spans="1:4">
      <c r="A179" s="93" t="s">
        <v>1839</v>
      </c>
      <c r="B179" s="99" t="s">
        <v>1840</v>
      </c>
      <c r="C179" s="99" t="s">
        <v>1841</v>
      </c>
      <c r="D179" s="92"/>
    </row>
    <row r="180" spans="1:4">
      <c r="A180" s="93" t="s">
        <v>1842</v>
      </c>
      <c r="B180" s="99" t="s">
        <v>1843</v>
      </c>
      <c r="C180" s="99" t="s">
        <v>1761</v>
      </c>
      <c r="D180" s="92"/>
    </row>
    <row r="181" spans="1:4">
      <c r="A181" s="91" t="s">
        <v>1844</v>
      </c>
      <c r="B181" s="92"/>
      <c r="C181" s="92"/>
      <c r="D181" s="92"/>
    </row>
    <row r="182" spans="1:4">
      <c r="A182" s="93" t="s">
        <v>1845</v>
      </c>
      <c r="B182" s="96" t="s">
        <v>1846</v>
      </c>
      <c r="C182" s="96" t="s">
        <v>1847</v>
      </c>
      <c r="D182" s="92"/>
    </row>
    <row r="183" spans="1:4">
      <c r="A183" s="93" t="s">
        <v>1848</v>
      </c>
      <c r="B183" s="99" t="s">
        <v>1849</v>
      </c>
      <c r="C183" s="99" t="s">
        <v>1850</v>
      </c>
      <c r="D183" s="92"/>
    </row>
    <row r="184" spans="1:4">
      <c r="A184" s="93" t="s">
        <v>71</v>
      </c>
      <c r="B184" s="99" t="s">
        <v>1851</v>
      </c>
      <c r="C184" s="99" t="s">
        <v>1852</v>
      </c>
      <c r="D184" s="92"/>
    </row>
    <row r="185" spans="1:4">
      <c r="A185" s="93" t="s">
        <v>1853</v>
      </c>
      <c r="B185" s="99" t="s">
        <v>1854</v>
      </c>
      <c r="C185" s="99" t="s">
        <v>1761</v>
      </c>
      <c r="D185" s="92"/>
    </row>
    <row r="186" spans="1:4">
      <c r="A186" s="93" t="s">
        <v>1855</v>
      </c>
      <c r="B186" s="99" t="s">
        <v>1856</v>
      </c>
      <c r="C186" s="99" t="s">
        <v>1761</v>
      </c>
      <c r="D186" s="92"/>
    </row>
    <row r="187" spans="1:4">
      <c r="A187" s="93" t="s">
        <v>1857</v>
      </c>
      <c r="B187" s="99" t="s">
        <v>1858</v>
      </c>
      <c r="C187" s="99" t="s">
        <v>1859</v>
      </c>
      <c r="D187" s="92"/>
    </row>
    <row r="188" spans="1:4">
      <c r="A188" s="93" t="s">
        <v>1860</v>
      </c>
      <c r="B188" s="111" t="s">
        <v>1861</v>
      </c>
      <c r="C188" s="111">
        <v>500000</v>
      </c>
      <c r="D188" s="92"/>
    </row>
    <row r="189" spans="1:4">
      <c r="A189" s="93" t="s">
        <v>1862</v>
      </c>
      <c r="B189" s="99" t="s">
        <v>1863</v>
      </c>
      <c r="C189" s="99" t="s">
        <v>1864</v>
      </c>
      <c r="D189" s="92"/>
    </row>
    <row r="190" spans="1:4">
      <c r="A190" s="93" t="s">
        <v>1865</v>
      </c>
      <c r="B190" s="99" t="s">
        <v>1866</v>
      </c>
      <c r="C190" s="99">
        <v>1</v>
      </c>
      <c r="D190" s="92"/>
    </row>
    <row r="191" spans="1:4">
      <c r="A191" s="93" t="s">
        <v>1867</v>
      </c>
      <c r="B191" s="99" t="s">
        <v>1868</v>
      </c>
      <c r="C191" s="99" t="s">
        <v>1869</v>
      </c>
      <c r="D191" s="92"/>
    </row>
    <row r="192" spans="1:4">
      <c r="A192" s="93" t="s">
        <v>1870</v>
      </c>
      <c r="B192" s="108" t="s">
        <v>1871</v>
      </c>
      <c r="C192" s="108">
        <v>0.03</v>
      </c>
      <c r="D192" s="92"/>
    </row>
    <row r="193" spans="1:4">
      <c r="A193" s="91" t="s">
        <v>1872</v>
      </c>
      <c r="B193" s="92"/>
      <c r="C193" s="92"/>
      <c r="D193" s="92"/>
    </row>
    <row r="194" spans="1:4">
      <c r="A194" s="93" t="s">
        <v>1873</v>
      </c>
      <c r="B194" s="99" t="s">
        <v>1874</v>
      </c>
      <c r="C194" s="99">
        <v>20</v>
      </c>
      <c r="D194" s="92"/>
    </row>
    <row r="195" spans="1:4">
      <c r="A195" s="93" t="s">
        <v>1875</v>
      </c>
      <c r="B195" s="102" t="s">
        <v>1876</v>
      </c>
      <c r="C195" s="102">
        <v>0.65</v>
      </c>
      <c r="D195" s="92"/>
    </row>
    <row r="196" spans="1:4">
      <c r="A196" s="93" t="s">
        <v>1877</v>
      </c>
      <c r="B196" s="102" t="s">
        <v>1878</v>
      </c>
      <c r="C196" s="102">
        <v>0.99</v>
      </c>
      <c r="D196" s="92"/>
    </row>
    <row r="197" spans="1:4">
      <c r="A197" s="93" t="s">
        <v>1879</v>
      </c>
      <c r="B197" s="102" t="s">
        <v>1880</v>
      </c>
      <c r="C197" s="102">
        <v>0.5</v>
      </c>
      <c r="D197" s="92"/>
    </row>
    <row r="198" spans="1:4">
      <c r="A198" s="93" t="s">
        <v>1881</v>
      </c>
      <c r="B198" s="108" t="s">
        <v>1882</v>
      </c>
      <c r="C198" s="108" t="s">
        <v>1569</v>
      </c>
      <c r="D198" s="92"/>
    </row>
    <row r="199" spans="1:4">
      <c r="A199" s="91" t="s">
        <v>1883</v>
      </c>
      <c r="B199" s="92"/>
      <c r="C199" s="92"/>
      <c r="D199" s="92"/>
    </row>
    <row r="200" spans="1:4">
      <c r="A200" s="93" t="s">
        <v>1884</v>
      </c>
      <c r="B200" s="96" t="s">
        <v>1885</v>
      </c>
      <c r="C200" s="96" t="s">
        <v>1632</v>
      </c>
      <c r="D200" s="92"/>
    </row>
    <row r="201" spans="1:4">
      <c r="A201" s="93" t="s">
        <v>1886</v>
      </c>
      <c r="B201" s="97" t="s">
        <v>1887</v>
      </c>
      <c r="C201" s="97">
        <v>1</v>
      </c>
      <c r="D201" s="92"/>
    </row>
    <row r="202" spans="1:4">
      <c r="A202" s="93" t="s">
        <v>1888</v>
      </c>
      <c r="B202" s="97" t="s">
        <v>1889</v>
      </c>
      <c r="C202" s="96">
        <v>2030</v>
      </c>
      <c r="D202" s="92"/>
    </row>
    <row r="203" spans="1:4">
      <c r="A203" s="93" t="s">
        <v>1890</v>
      </c>
      <c r="B203" s="104" t="s">
        <v>1891</v>
      </c>
      <c r="C203" s="104" t="s">
        <v>1892</v>
      </c>
      <c r="D203" s="92"/>
    </row>
    <row r="204" spans="1:4">
      <c r="A204" s="93" t="s">
        <v>1893</v>
      </c>
      <c r="B204" s="99" t="s">
        <v>1894</v>
      </c>
      <c r="C204" s="99">
        <v>2</v>
      </c>
      <c r="D204" s="92"/>
    </row>
    <row r="205" spans="1:4">
      <c r="A205" s="93" t="s">
        <v>1895</v>
      </c>
      <c r="B205" s="99" t="s">
        <v>1896</v>
      </c>
      <c r="C205" s="99">
        <v>2</v>
      </c>
      <c r="D205" s="92"/>
    </row>
    <row r="206" spans="1:4">
      <c r="A206" s="93" t="s">
        <v>1897</v>
      </c>
      <c r="B206" s="109" t="s">
        <v>1898</v>
      </c>
      <c r="C206" s="109">
        <v>0.01</v>
      </c>
      <c r="D206" s="92"/>
    </row>
    <row r="207" spans="1:4">
      <c r="A207" s="93" t="s">
        <v>1899</v>
      </c>
      <c r="B207" s="99" t="s">
        <v>1900</v>
      </c>
      <c r="C207" s="99" t="s">
        <v>1901</v>
      </c>
      <c r="D207" s="92"/>
    </row>
    <row r="208" spans="1:4">
      <c r="A208" s="93" t="s">
        <v>1902</v>
      </c>
      <c r="B208" s="109" t="s">
        <v>1903</v>
      </c>
      <c r="C208" s="109" t="s">
        <v>1569</v>
      </c>
      <c r="D208" s="92"/>
    </row>
    <row r="209" spans="1:4">
      <c r="A209" s="93" t="s">
        <v>1904</v>
      </c>
      <c r="B209" s="109" t="s">
        <v>1905</v>
      </c>
      <c r="C209" s="109">
        <v>0.01</v>
      </c>
      <c r="D209" s="92"/>
    </row>
    <row r="210" spans="1:4">
      <c r="A210" s="91" t="s">
        <v>1906</v>
      </c>
      <c r="B210" s="92"/>
      <c r="C210" s="92"/>
      <c r="D210" s="92"/>
    </row>
    <row r="211" spans="1:4">
      <c r="A211" s="93" t="s">
        <v>1907</v>
      </c>
      <c r="B211" s="99" t="s">
        <v>1908</v>
      </c>
      <c r="C211" s="99">
        <v>0</v>
      </c>
      <c r="D211" s="92"/>
    </row>
    <row r="212" spans="1:4">
      <c r="A212" s="93" t="s">
        <v>1909</v>
      </c>
      <c r="B212" s="96" t="s">
        <v>1910</v>
      </c>
      <c r="C212" s="96">
        <v>0</v>
      </c>
      <c r="D212" s="92"/>
    </row>
    <row r="213" spans="1:4">
      <c r="A213" s="93" t="s">
        <v>1911</v>
      </c>
      <c r="B213" s="96" t="s">
        <v>1912</v>
      </c>
      <c r="C213" s="96">
        <v>10</v>
      </c>
      <c r="D213" s="92"/>
    </row>
    <row r="214" spans="1:4">
      <c r="A214" s="93" t="s">
        <v>1913</v>
      </c>
      <c r="B214" s="109" t="s">
        <v>1914</v>
      </c>
      <c r="C214" s="109" t="s">
        <v>1761</v>
      </c>
      <c r="D214" s="92"/>
    </row>
    <row r="215" spans="1:4">
      <c r="A215" s="91" t="s">
        <v>1915</v>
      </c>
      <c r="B215" s="92"/>
      <c r="C215" s="92"/>
      <c r="D215" s="92"/>
    </row>
    <row r="216" spans="1:4">
      <c r="A216" s="93" t="s">
        <v>1916</v>
      </c>
      <c r="B216" s="97" t="s">
        <v>1917</v>
      </c>
      <c r="C216" s="112">
        <v>0.05</v>
      </c>
      <c r="D216" s="92"/>
    </row>
    <row r="217" spans="1:4">
      <c r="A217" s="93" t="s">
        <v>1918</v>
      </c>
      <c r="B217" s="97" t="s">
        <v>1919</v>
      </c>
      <c r="C217" s="112">
        <v>0.02</v>
      </c>
      <c r="D217" s="92"/>
    </row>
    <row r="218" spans="1:4">
      <c r="A218" s="93" t="s">
        <v>1920</v>
      </c>
      <c r="B218" s="99" t="s">
        <v>1921</v>
      </c>
      <c r="C218" s="112">
        <v>0.02</v>
      </c>
      <c r="D218" s="92"/>
    </row>
    <row r="219" spans="1:4">
      <c r="A219" s="93" t="s">
        <v>1922</v>
      </c>
      <c r="B219" s="99" t="s">
        <v>1923</v>
      </c>
      <c r="C219" s="99" t="s">
        <v>1924</v>
      </c>
      <c r="D219" s="92"/>
    </row>
    <row r="220" spans="1:4">
      <c r="A220" s="91" t="s">
        <v>1925</v>
      </c>
      <c r="B220" s="93"/>
      <c r="C220" s="93"/>
      <c r="D220" s="92"/>
    </row>
    <row r="221" spans="1:4">
      <c r="A221" s="93" t="s">
        <v>1926</v>
      </c>
      <c r="B221" s="105" t="s">
        <v>1927</v>
      </c>
      <c r="C221" s="97" t="s">
        <v>1632</v>
      </c>
      <c r="D221" s="92"/>
    </row>
    <row r="222" spans="1:4">
      <c r="A222" s="93" t="s">
        <v>1928</v>
      </c>
      <c r="B222" s="109" t="s">
        <v>1929</v>
      </c>
      <c r="C222" s="109" t="s">
        <v>1930</v>
      </c>
      <c r="D222" s="92"/>
    </row>
    <row r="223" spans="1:4">
      <c r="A223" s="93" t="s">
        <v>1931</v>
      </c>
      <c r="B223" s="109" t="s">
        <v>1932</v>
      </c>
      <c r="C223" s="109">
        <v>7.4999999999999997E-2</v>
      </c>
      <c r="D223" s="92"/>
    </row>
    <row r="224" spans="1:4">
      <c r="A224" s="93" t="s">
        <v>1933</v>
      </c>
      <c r="B224" s="109" t="s">
        <v>1934</v>
      </c>
      <c r="C224" s="109" t="s">
        <v>1935</v>
      </c>
      <c r="D224" s="92"/>
    </row>
    <row r="225" spans="1:4">
      <c r="A225" s="93" t="s">
        <v>1936</v>
      </c>
      <c r="B225" s="109" t="s">
        <v>1937</v>
      </c>
      <c r="C225" s="109" t="s">
        <v>1632</v>
      </c>
      <c r="D225" s="92"/>
    </row>
    <row r="226" spans="1:4">
      <c r="A226" s="93" t="s">
        <v>1938</v>
      </c>
      <c r="B226" s="109" t="s">
        <v>1939</v>
      </c>
      <c r="C226" s="109" t="s">
        <v>1625</v>
      </c>
      <c r="D226" s="92"/>
    </row>
    <row r="227" spans="1:4">
      <c r="A227" s="93" t="s">
        <v>1940</v>
      </c>
      <c r="B227" s="109" t="s">
        <v>1941</v>
      </c>
      <c r="C227" s="109">
        <v>0</v>
      </c>
      <c r="D227" s="92"/>
    </row>
    <row r="228" spans="1:4">
      <c r="A228" s="93" t="s">
        <v>1942</v>
      </c>
      <c r="B228" s="109" t="s">
        <v>1943</v>
      </c>
      <c r="C228" s="109">
        <v>0</v>
      </c>
      <c r="D228" s="92"/>
    </row>
    <row r="229" spans="1:4">
      <c r="A229" s="93" t="s">
        <v>1944</v>
      </c>
      <c r="B229" s="109" t="s">
        <v>1945</v>
      </c>
      <c r="C229" s="109">
        <v>0.9</v>
      </c>
      <c r="D229" s="92"/>
    </row>
    <row r="230" spans="1:4">
      <c r="A230" s="93" t="s">
        <v>1946</v>
      </c>
      <c r="B230" s="109" t="s">
        <v>1947</v>
      </c>
      <c r="C230" s="109">
        <v>0.9</v>
      </c>
      <c r="D230" s="92"/>
    </row>
    <row r="231" spans="1:4">
      <c r="A231" s="93" t="s">
        <v>1948</v>
      </c>
      <c r="B231" s="109" t="s">
        <v>1949</v>
      </c>
      <c r="C231" s="109">
        <v>0</v>
      </c>
      <c r="D231" s="92"/>
    </row>
    <row r="232" spans="1:4">
      <c r="A232" s="93" t="s">
        <v>1950</v>
      </c>
      <c r="B232" s="97" t="s">
        <v>1951</v>
      </c>
      <c r="C232" s="97">
        <v>0.1</v>
      </c>
      <c r="D232" s="92"/>
    </row>
    <row r="233" spans="1:4">
      <c r="A233" s="93" t="s">
        <v>1952</v>
      </c>
      <c r="B233" s="97" t="s">
        <v>1953</v>
      </c>
      <c r="C233" s="97">
        <v>0.01</v>
      </c>
      <c r="D233" s="92"/>
    </row>
    <row r="234" spans="1:4">
      <c r="A234" s="93" t="s">
        <v>1954</v>
      </c>
      <c r="B234" s="97" t="s">
        <v>1955</v>
      </c>
      <c r="C234" s="97">
        <v>1</v>
      </c>
      <c r="D234" s="92"/>
    </row>
    <row r="235" spans="1:4">
      <c r="A235" s="93" t="s">
        <v>1956</v>
      </c>
      <c r="B235" s="97" t="s">
        <v>1957</v>
      </c>
      <c r="C235" s="97">
        <v>0.8</v>
      </c>
      <c r="D235" s="92"/>
    </row>
    <row r="236" spans="1:4">
      <c r="A236" s="93" t="s">
        <v>1958</v>
      </c>
      <c r="B236" s="97" t="s">
        <v>1959</v>
      </c>
      <c r="C236" s="97">
        <v>0.1</v>
      </c>
      <c r="D236" s="92"/>
    </row>
    <row r="237" spans="1:4">
      <c r="A237" s="91" t="s">
        <v>1960</v>
      </c>
      <c r="B237" s="92"/>
      <c r="C237" s="92"/>
      <c r="D237" s="92"/>
    </row>
    <row r="238" spans="1:4">
      <c r="A238" s="93" t="s">
        <v>1961</v>
      </c>
      <c r="B238" s="97" t="s">
        <v>1962</v>
      </c>
      <c r="C238" s="97">
        <v>0</v>
      </c>
      <c r="D238" s="92"/>
    </row>
    <row r="239" spans="1:4">
      <c r="A239" s="93" t="s">
        <v>1963</v>
      </c>
      <c r="B239" s="97" t="s">
        <v>1964</v>
      </c>
      <c r="C239" s="97" t="s">
        <v>1625</v>
      </c>
      <c r="D239" s="92"/>
    </row>
    <row r="240" spans="1:4">
      <c r="A240" s="93" t="s">
        <v>1965</v>
      </c>
      <c r="B240" s="113" t="s">
        <v>1966</v>
      </c>
      <c r="C240" s="113">
        <v>2023</v>
      </c>
      <c r="D240" s="92"/>
    </row>
    <row r="241" spans="1:4">
      <c r="A241" s="93" t="s">
        <v>1967</v>
      </c>
      <c r="B241" s="103" t="s">
        <v>1968</v>
      </c>
      <c r="C241" s="103">
        <v>5</v>
      </c>
      <c r="D241" s="92"/>
    </row>
    <row r="242" spans="1:4">
      <c r="A242" s="91" t="s">
        <v>1969</v>
      </c>
      <c r="B242" s="93"/>
      <c r="C242" s="93"/>
      <c r="D242" s="92"/>
    </row>
    <row r="243" spans="1:4">
      <c r="A243" s="93" t="s">
        <v>1970</v>
      </c>
      <c r="B243" s="97" t="s">
        <v>1971</v>
      </c>
      <c r="C243" s="97">
        <v>1</v>
      </c>
      <c r="D243" s="92"/>
    </row>
    <row r="244" spans="1:4">
      <c r="A244" s="93" t="s">
        <v>1972</v>
      </c>
      <c r="B244" s="109" t="s">
        <v>1973</v>
      </c>
      <c r="C244" s="109">
        <v>9</v>
      </c>
      <c r="D244" s="92"/>
    </row>
    <row r="245" spans="1:4">
      <c r="A245" s="93" t="s">
        <v>1974</v>
      </c>
      <c r="B245" s="109" t="s">
        <v>1975</v>
      </c>
      <c r="C245" s="109">
        <v>2</v>
      </c>
      <c r="D245" s="92"/>
    </row>
    <row r="246" spans="1:4">
      <c r="A246" s="91" t="s">
        <v>1976</v>
      </c>
      <c r="B246" s="93"/>
      <c r="C246" s="93"/>
      <c r="D246" s="92"/>
    </row>
    <row r="247" spans="1:4">
      <c r="A247" s="93" t="s">
        <v>1977</v>
      </c>
      <c r="B247" s="97" t="s">
        <v>1978</v>
      </c>
      <c r="C247" s="97">
        <v>0.33</v>
      </c>
      <c r="D247" s="92"/>
    </row>
    <row r="248" spans="1:4">
      <c r="A248" s="93" t="s">
        <v>1979</v>
      </c>
      <c r="B248" s="109" t="s">
        <v>1980</v>
      </c>
      <c r="C248" s="109">
        <v>0.75</v>
      </c>
      <c r="D248" s="92"/>
    </row>
    <row r="249" spans="1:4">
      <c r="A249" s="93" t="s">
        <v>1981</v>
      </c>
      <c r="B249" s="109" t="s">
        <v>1982</v>
      </c>
      <c r="C249" s="109">
        <v>1</v>
      </c>
      <c r="D249" s="92"/>
    </row>
    <row r="250" spans="1:4">
      <c r="A250" s="93" t="s">
        <v>1983</v>
      </c>
      <c r="B250" s="109" t="s">
        <v>1984</v>
      </c>
      <c r="C250" s="109">
        <v>1000</v>
      </c>
      <c r="D250" s="92"/>
    </row>
    <row r="251" spans="1:4">
      <c r="A251" s="91" t="s">
        <v>1985</v>
      </c>
      <c r="B251" s="92"/>
      <c r="C251" s="92"/>
      <c r="D251" s="92"/>
    </row>
    <row r="252" spans="1:4">
      <c r="A252" s="93" t="s">
        <v>1986</v>
      </c>
      <c r="B252" s="97" t="s">
        <v>1987</v>
      </c>
      <c r="C252" s="97" t="s">
        <v>1632</v>
      </c>
      <c r="D252" s="92"/>
    </row>
    <row r="253" spans="1:4">
      <c r="A253" s="93" t="s">
        <v>1988</v>
      </c>
      <c r="B253" s="97" t="s">
        <v>1989</v>
      </c>
      <c r="C253" s="97" t="s">
        <v>1632</v>
      </c>
      <c r="D253" s="92"/>
    </row>
    <row r="254" spans="1:4">
      <c r="A254" s="93" t="s">
        <v>1990</v>
      </c>
      <c r="B254" s="97" t="s">
        <v>1991</v>
      </c>
      <c r="C254" s="97" t="s">
        <v>1632</v>
      </c>
      <c r="D254" s="92"/>
    </row>
    <row r="255" spans="1:4">
      <c r="A255" s="93" t="s">
        <v>1992</v>
      </c>
      <c r="B255" s="114" t="s">
        <v>1993</v>
      </c>
      <c r="C255" s="114" t="s">
        <v>1632</v>
      </c>
      <c r="D255" s="92"/>
    </row>
    <row r="256" spans="1:4">
      <c r="A256" s="93" t="s">
        <v>1994</v>
      </c>
      <c r="B256" s="114" t="s">
        <v>1995</v>
      </c>
      <c r="C256" s="114" t="s">
        <v>1632</v>
      </c>
      <c r="D256" s="92"/>
    </row>
    <row r="257" spans="1:4">
      <c r="A257" s="93" t="s">
        <v>1996</v>
      </c>
      <c r="B257" s="114" t="s">
        <v>1997</v>
      </c>
      <c r="C257" s="114" t="s">
        <v>1632</v>
      </c>
      <c r="D257" s="92"/>
    </row>
    <row r="258" spans="1:4">
      <c r="A258" s="93" t="s">
        <v>1998</v>
      </c>
      <c r="B258" s="114" t="s">
        <v>1999</v>
      </c>
      <c r="C258" s="114" t="s">
        <v>1632</v>
      </c>
      <c r="D258" s="92"/>
    </row>
    <row r="259" spans="1:4">
      <c r="A259" s="93" t="s">
        <v>2000</v>
      </c>
      <c r="B259" s="114" t="s">
        <v>2001</v>
      </c>
      <c r="C259" s="114" t="s">
        <v>1632</v>
      </c>
      <c r="D259" s="92"/>
    </row>
    <row r="260" spans="1:4">
      <c r="A260" s="93" t="s">
        <v>2002</v>
      </c>
      <c r="B260" s="114" t="s">
        <v>2003</v>
      </c>
      <c r="C260" s="114" t="s">
        <v>1632</v>
      </c>
      <c r="D260" s="92"/>
    </row>
    <row r="261" spans="1:4">
      <c r="A261" s="91" t="s">
        <v>2004</v>
      </c>
      <c r="B261" s="89"/>
      <c r="C261" s="89"/>
      <c r="D261" s="92"/>
    </row>
    <row r="262" spans="1:4">
      <c r="A262" s="93" t="s">
        <v>2005</v>
      </c>
      <c r="B262" s="97" t="s">
        <v>2006</v>
      </c>
      <c r="C262" s="97">
        <v>7.0000000000000007E-2</v>
      </c>
      <c r="D262" s="92"/>
    </row>
    <row r="263" spans="1:4">
      <c r="A263" s="93" t="s">
        <v>2007</v>
      </c>
      <c r="B263" s="97" t="s">
        <v>2008</v>
      </c>
      <c r="C263" s="97">
        <v>7.0000000000000007E-2</v>
      </c>
      <c r="D263" s="92"/>
    </row>
    <row r="264" spans="1:4">
      <c r="A264" s="93" t="s">
        <v>2009</v>
      </c>
      <c r="B264" s="97" t="s">
        <v>2010</v>
      </c>
      <c r="C264" s="97">
        <v>7.0000000000000007E-2</v>
      </c>
      <c r="D264" s="92"/>
    </row>
    <row r="265" spans="1:4">
      <c r="A265" s="93" t="s">
        <v>2011</v>
      </c>
      <c r="B265" s="114" t="s">
        <v>2012</v>
      </c>
      <c r="C265" s="114">
        <v>7.0000000000000007E-2</v>
      </c>
      <c r="D265" s="92"/>
    </row>
    <row r="266" spans="1:4">
      <c r="A266" s="93" t="s">
        <v>2013</v>
      </c>
      <c r="B266" s="114" t="s">
        <v>2014</v>
      </c>
      <c r="C266" s="114">
        <v>7.0000000000000007E-2</v>
      </c>
      <c r="D266" s="92"/>
    </row>
    <row r="267" spans="1:4">
      <c r="A267" s="93" t="s">
        <v>2015</v>
      </c>
      <c r="B267" s="114" t="s">
        <v>2016</v>
      </c>
      <c r="C267" s="114">
        <v>7.0000000000000007E-2</v>
      </c>
      <c r="D267" s="92"/>
    </row>
    <row r="268" spans="1:4">
      <c r="A268" s="93" t="s">
        <v>2017</v>
      </c>
      <c r="B268" s="114" t="s">
        <v>2018</v>
      </c>
      <c r="C268" s="114">
        <v>7.0000000000000007E-2</v>
      </c>
      <c r="D268" s="92"/>
    </row>
    <row r="269" spans="1:4">
      <c r="A269" s="93" t="s">
        <v>2019</v>
      </c>
      <c r="B269" s="114" t="s">
        <v>2020</v>
      </c>
      <c r="C269" s="114">
        <v>7.0000000000000007E-2</v>
      </c>
      <c r="D269" s="92"/>
    </row>
    <row r="270" spans="1:4">
      <c r="A270" s="93" t="s">
        <v>2021</v>
      </c>
      <c r="B270" s="114" t="s">
        <v>2022</v>
      </c>
      <c r="C270" s="114">
        <v>7.0000000000000007E-2</v>
      </c>
      <c r="D270" s="92"/>
    </row>
    <row r="271" spans="1:4">
      <c r="A271" s="91" t="s">
        <v>2023</v>
      </c>
      <c r="B271" s="89"/>
      <c r="C271" s="89"/>
      <c r="D271" s="92"/>
    </row>
    <row r="272" spans="1:4">
      <c r="A272" s="93" t="s">
        <v>2024</v>
      </c>
      <c r="B272" s="97" t="s">
        <v>2025</v>
      </c>
      <c r="C272" s="97" t="s">
        <v>1632</v>
      </c>
      <c r="D272" s="92"/>
    </row>
    <row r="273" spans="1:4">
      <c r="A273" s="93" t="s">
        <v>2026</v>
      </c>
      <c r="B273" s="97" t="s">
        <v>2027</v>
      </c>
      <c r="C273" s="97" t="s">
        <v>1632</v>
      </c>
      <c r="D273" s="92"/>
    </row>
    <row r="274" spans="1:4">
      <c r="A274" s="93" t="s">
        <v>2028</v>
      </c>
      <c r="B274" s="97" t="s">
        <v>2029</v>
      </c>
      <c r="C274" s="97" t="s">
        <v>1632</v>
      </c>
      <c r="D274" s="92"/>
    </row>
    <row r="275" spans="1:4">
      <c r="A275" s="93" t="s">
        <v>2030</v>
      </c>
      <c r="B275" s="114" t="s">
        <v>2031</v>
      </c>
      <c r="C275" s="114" t="s">
        <v>1632</v>
      </c>
      <c r="D275" s="92"/>
    </row>
    <row r="276" spans="1:4">
      <c r="A276" s="93" t="s">
        <v>2032</v>
      </c>
      <c r="B276" s="114" t="s">
        <v>2033</v>
      </c>
      <c r="C276" s="114" t="s">
        <v>1632</v>
      </c>
      <c r="D276" s="92"/>
    </row>
    <row r="277" spans="1:4">
      <c r="A277" s="93" t="s">
        <v>2034</v>
      </c>
      <c r="B277" s="114" t="s">
        <v>2035</v>
      </c>
      <c r="C277" s="114" t="s">
        <v>1632</v>
      </c>
      <c r="D277" s="92"/>
    </row>
    <row r="278" spans="1:4">
      <c r="A278" s="93" t="s">
        <v>2036</v>
      </c>
      <c r="B278" s="114" t="s">
        <v>2037</v>
      </c>
      <c r="C278" s="114" t="s">
        <v>1632</v>
      </c>
      <c r="D278" s="92"/>
    </row>
    <row r="279" spans="1:4">
      <c r="A279" s="93" t="s">
        <v>2038</v>
      </c>
      <c r="B279" s="114" t="s">
        <v>2039</v>
      </c>
      <c r="C279" s="114" t="s">
        <v>1632</v>
      </c>
      <c r="D279" s="92"/>
    </row>
    <row r="280" spans="1:4">
      <c r="A280" s="93" t="s">
        <v>2040</v>
      </c>
      <c r="B280" s="114" t="s">
        <v>2041</v>
      </c>
      <c r="C280" s="114" t="s">
        <v>1632</v>
      </c>
      <c r="D280" s="92"/>
    </row>
    <row r="281" spans="1:4">
      <c r="A281" s="91" t="s">
        <v>2042</v>
      </c>
      <c r="B281" s="89"/>
      <c r="C281" s="89"/>
      <c r="D281" s="92"/>
    </row>
    <row r="282" spans="1:4">
      <c r="A282" s="93" t="s">
        <v>2043</v>
      </c>
      <c r="B282" s="97" t="s">
        <v>2044</v>
      </c>
      <c r="C282" s="97">
        <v>0</v>
      </c>
      <c r="D282" s="92"/>
    </row>
    <row r="283" spans="1:4">
      <c r="A283" s="93" t="s">
        <v>2045</v>
      </c>
      <c r="B283" s="97" t="s">
        <v>2046</v>
      </c>
      <c r="C283" s="97">
        <v>0</v>
      </c>
      <c r="D283" s="92"/>
    </row>
    <row r="284" spans="1:4">
      <c r="A284" s="93" t="s">
        <v>2047</v>
      </c>
      <c r="B284" s="97" t="s">
        <v>2048</v>
      </c>
      <c r="C284" s="97">
        <v>0</v>
      </c>
      <c r="D284" s="92"/>
    </row>
    <row r="285" spans="1:4">
      <c r="A285" s="93" t="s">
        <v>2049</v>
      </c>
      <c r="B285" s="97" t="s">
        <v>2050</v>
      </c>
      <c r="C285" s="97">
        <v>0</v>
      </c>
      <c r="D285" s="92"/>
    </row>
    <row r="286" spans="1:4">
      <c r="A286" s="93" t="s">
        <v>2051</v>
      </c>
      <c r="B286" s="97" t="s">
        <v>2052</v>
      </c>
      <c r="C286" s="97">
        <v>0</v>
      </c>
      <c r="D286" s="92"/>
    </row>
    <row r="287" spans="1:4">
      <c r="A287" s="93" t="s">
        <v>2053</v>
      </c>
      <c r="B287" s="97" t="s">
        <v>2054</v>
      </c>
      <c r="C287" s="97">
        <v>0</v>
      </c>
      <c r="D287" s="92"/>
    </row>
    <row r="288" spans="1:4">
      <c r="A288" s="93" t="s">
        <v>2055</v>
      </c>
      <c r="B288" s="97" t="s">
        <v>2056</v>
      </c>
      <c r="C288" s="97">
        <v>0</v>
      </c>
      <c r="D288" s="92"/>
    </row>
    <row r="289" spans="1:4">
      <c r="A289" s="93" t="s">
        <v>2057</v>
      </c>
      <c r="B289" s="97" t="s">
        <v>2058</v>
      </c>
      <c r="C289" s="97">
        <v>0</v>
      </c>
      <c r="D289" s="92"/>
    </row>
    <row r="290" spans="1:4">
      <c r="A290" s="93" t="s">
        <v>2059</v>
      </c>
      <c r="B290" s="97" t="s">
        <v>2060</v>
      </c>
      <c r="C290" s="97">
        <v>0</v>
      </c>
      <c r="D290" s="92"/>
    </row>
    <row r="291" spans="1:4">
      <c r="A291" s="91" t="s">
        <v>2061</v>
      </c>
      <c r="B291" s="89"/>
      <c r="C291" s="89"/>
      <c r="D291" s="92"/>
    </row>
    <row r="292" spans="1:4">
      <c r="A292" s="93" t="s">
        <v>2062</v>
      </c>
      <c r="B292" s="97" t="s">
        <v>2063</v>
      </c>
      <c r="C292" s="97">
        <v>0</v>
      </c>
      <c r="D292" s="92"/>
    </row>
    <row r="293" spans="1:4">
      <c r="A293" s="93" t="s">
        <v>2064</v>
      </c>
      <c r="B293" s="97" t="s">
        <v>2065</v>
      </c>
      <c r="C293" s="97">
        <v>0</v>
      </c>
      <c r="D293" s="92"/>
    </row>
    <row r="294" spans="1:4">
      <c r="A294" s="93" t="s">
        <v>2066</v>
      </c>
      <c r="B294" s="97" t="s">
        <v>2067</v>
      </c>
      <c r="C294" s="97">
        <v>0</v>
      </c>
      <c r="D294" s="92"/>
    </row>
    <row r="295" spans="1:4">
      <c r="A295" s="93" t="s">
        <v>2068</v>
      </c>
      <c r="B295" s="97" t="s">
        <v>2069</v>
      </c>
      <c r="C295" s="97">
        <v>0</v>
      </c>
      <c r="D295" s="92"/>
    </row>
    <row r="296" spans="1:4">
      <c r="A296" s="93" t="s">
        <v>2070</v>
      </c>
      <c r="B296" s="97" t="s">
        <v>2071</v>
      </c>
      <c r="C296" s="97">
        <v>0</v>
      </c>
      <c r="D296" s="92"/>
    </row>
    <row r="297" spans="1:4">
      <c r="A297" s="93" t="s">
        <v>2072</v>
      </c>
      <c r="B297" s="97" t="s">
        <v>2073</v>
      </c>
      <c r="C297" s="97">
        <v>0</v>
      </c>
      <c r="D297" s="92"/>
    </row>
    <row r="298" spans="1:4">
      <c r="A298" s="93" t="s">
        <v>2074</v>
      </c>
      <c r="B298" s="97" t="s">
        <v>2075</v>
      </c>
      <c r="C298" s="97">
        <v>0</v>
      </c>
      <c r="D298" s="92"/>
    </row>
    <row r="299" spans="1:4">
      <c r="A299" s="93" t="s">
        <v>2076</v>
      </c>
      <c r="B299" s="97" t="s">
        <v>2077</v>
      </c>
      <c r="C299" s="97">
        <v>0</v>
      </c>
      <c r="D299" s="92"/>
    </row>
    <row r="300" spans="1:4">
      <c r="A300" s="93" t="s">
        <v>2078</v>
      </c>
      <c r="B300" s="97" t="s">
        <v>2079</v>
      </c>
      <c r="C300" s="97">
        <v>0</v>
      </c>
      <c r="D300" s="92"/>
    </row>
    <row r="301" spans="1:4">
      <c r="A301" s="91" t="s">
        <v>2080</v>
      </c>
      <c r="B301" s="89"/>
      <c r="C301" s="89"/>
      <c r="D301" s="92"/>
    </row>
    <row r="302" spans="1:4">
      <c r="A302" s="93" t="s">
        <v>2081</v>
      </c>
      <c r="B302" s="97" t="s">
        <v>2082</v>
      </c>
      <c r="C302" s="97" t="s">
        <v>2083</v>
      </c>
      <c r="D302" s="92"/>
    </row>
    <row r="303" spans="1:4">
      <c r="A303" s="93" t="s">
        <v>2084</v>
      </c>
      <c r="B303" s="97" t="s">
        <v>2085</v>
      </c>
      <c r="C303" s="97" t="s">
        <v>2083</v>
      </c>
      <c r="D303" s="92"/>
    </row>
    <row r="304" spans="1:4">
      <c r="A304" s="93" t="s">
        <v>2086</v>
      </c>
      <c r="B304" s="97" t="s">
        <v>2087</v>
      </c>
      <c r="C304" s="97" t="s">
        <v>2083</v>
      </c>
      <c r="D304" s="92"/>
    </row>
    <row r="305" spans="1:4">
      <c r="A305" s="93" t="s">
        <v>2088</v>
      </c>
      <c r="B305" s="97" t="s">
        <v>2089</v>
      </c>
      <c r="C305" s="97" t="s">
        <v>2083</v>
      </c>
      <c r="D305" s="92"/>
    </row>
    <row r="306" spans="1:4">
      <c r="A306" s="93" t="s">
        <v>2090</v>
      </c>
      <c r="B306" s="97" t="s">
        <v>2091</v>
      </c>
      <c r="C306" s="97" t="s">
        <v>1569</v>
      </c>
      <c r="D306" s="92"/>
    </row>
    <row r="307" spans="1:4">
      <c r="A307" s="93" t="s">
        <v>2092</v>
      </c>
      <c r="B307" s="97" t="s">
        <v>2093</v>
      </c>
      <c r="C307" s="97" t="s">
        <v>1569</v>
      </c>
      <c r="D307" s="92"/>
    </row>
    <row r="308" spans="1:4">
      <c r="A308" s="93" t="s">
        <v>2094</v>
      </c>
      <c r="B308" s="97" t="s">
        <v>2095</v>
      </c>
      <c r="C308" s="97" t="s">
        <v>2083</v>
      </c>
      <c r="D308" s="92"/>
    </row>
    <row r="309" spans="1:4">
      <c r="A309" s="93" t="s">
        <v>2096</v>
      </c>
      <c r="B309" s="97" t="s">
        <v>2097</v>
      </c>
      <c r="C309" s="97" t="s">
        <v>2083</v>
      </c>
      <c r="D309" s="92"/>
    </row>
    <row r="310" spans="1:4">
      <c r="A310" s="93" t="s">
        <v>2098</v>
      </c>
      <c r="B310" s="97" t="s">
        <v>2099</v>
      </c>
      <c r="C310" s="97" t="s">
        <v>2083</v>
      </c>
      <c r="D310" s="92"/>
    </row>
    <row r="311" spans="1:4">
      <c r="A311" s="91" t="s">
        <v>2100</v>
      </c>
      <c r="B311" s="92"/>
      <c r="C311" s="92"/>
      <c r="D311" s="92"/>
    </row>
    <row r="312" spans="1:4">
      <c r="A312" s="93" t="s">
        <v>1298</v>
      </c>
      <c r="B312" s="97" t="s">
        <v>2101</v>
      </c>
      <c r="C312" s="109">
        <v>2019</v>
      </c>
      <c r="D312" s="92"/>
    </row>
    <row r="313" spans="1:4">
      <c r="A313" s="93" t="s">
        <v>1314</v>
      </c>
      <c r="B313" s="97" t="s">
        <v>2102</v>
      </c>
      <c r="C313" s="109">
        <v>2019</v>
      </c>
      <c r="D313" s="92"/>
    </row>
    <row r="314" spans="1:4">
      <c r="A314" s="93" t="s">
        <v>2103</v>
      </c>
      <c r="B314" s="97" t="s">
        <v>2104</v>
      </c>
      <c r="C314" s="109">
        <v>2019</v>
      </c>
      <c r="D314" s="92"/>
    </row>
    <row r="315" spans="1:4">
      <c r="A315" s="93" t="s">
        <v>1316</v>
      </c>
      <c r="B315" s="97" t="s">
        <v>2105</v>
      </c>
      <c r="C315" s="109">
        <v>2030</v>
      </c>
      <c r="D315" s="92"/>
    </row>
    <row r="316" spans="1:4">
      <c r="A316" s="93" t="s">
        <v>1326</v>
      </c>
      <c r="B316" s="97" t="s">
        <v>2106</v>
      </c>
      <c r="C316" s="109">
        <v>2019</v>
      </c>
      <c r="D316" s="92"/>
    </row>
    <row r="317" spans="1:4">
      <c r="A317" s="93" t="s">
        <v>1324</v>
      </c>
      <c r="B317" s="97" t="s">
        <v>2107</v>
      </c>
      <c r="C317" s="109">
        <v>2019</v>
      </c>
      <c r="D317" s="92"/>
    </row>
    <row r="318" spans="1:4">
      <c r="A318" s="93" t="s">
        <v>1306</v>
      </c>
      <c r="B318" s="97" t="s">
        <v>2108</v>
      </c>
      <c r="C318" s="109">
        <v>2030</v>
      </c>
      <c r="D318" s="92"/>
    </row>
    <row r="319" spans="1:4">
      <c r="A319" s="93" t="s">
        <v>2109</v>
      </c>
      <c r="B319" s="97" t="s">
        <v>2110</v>
      </c>
      <c r="C319" s="109">
        <v>2030</v>
      </c>
      <c r="D319" s="92"/>
    </row>
    <row r="320" spans="1:4">
      <c r="A320" s="93" t="s">
        <v>1290</v>
      </c>
      <c r="B320" s="97" t="s">
        <v>2111</v>
      </c>
      <c r="C320" s="109">
        <v>2019</v>
      </c>
      <c r="D320" s="92"/>
    </row>
  </sheetData>
  <conditionalFormatting sqref="B131:B132 C132 B211:C214 B199:C209 B216:C250 B124:C124">
    <cfRule type="expression" dxfId="16" priority="35">
      <formula>"SUM($O$4:$O$8)&gt;1"</formula>
    </cfRule>
  </conditionalFormatting>
  <conditionalFormatting sqref="C58">
    <cfRule type="expression" dxfId="15" priority="33">
      <formula>"SUM($O$4:$O$8)&gt;1"</formula>
    </cfRule>
  </conditionalFormatting>
  <conditionalFormatting sqref="C124:C130 C75 C91 C73 C83:C88 C97:C117 C133:C139">
    <cfRule type="expression" dxfId="14" priority="27">
      <formula>"SUM($O$4:$O$8)&gt;1"</formula>
    </cfRule>
  </conditionalFormatting>
  <conditionalFormatting sqref="C145 C118:C123">
    <cfRule type="expression" dxfId="13" priority="26">
      <formula>"SUM($O$4:$O$8)&gt;1"</formula>
    </cfRule>
  </conditionalFormatting>
  <conditionalFormatting sqref="C201:C202">
    <cfRule type="expression" dxfId="12" priority="25">
      <formula>"SUM($O$4:$O$8)&gt;1"</formula>
    </cfRule>
  </conditionalFormatting>
  <conditionalFormatting sqref="C93:C96">
    <cfRule type="expression" dxfId="11" priority="22">
      <formula>"SUM($O$4:$O$8)&gt;1"</formula>
    </cfRule>
  </conditionalFormatting>
  <conditionalFormatting sqref="C171:C172 C177:C178">
    <cfRule type="expression" dxfId="10" priority="18">
      <formula>"SUM($O$4:$O$8)&gt;1"</formula>
    </cfRule>
  </conditionalFormatting>
  <conditionalFormatting sqref="B126:B130 B75 B91 B73 B83:B88 B133:B139 B117 B97:B112">
    <cfRule type="expression" dxfId="9" priority="17">
      <formula>"SUM($O$4:$O$8)&gt;1"</formula>
    </cfRule>
  </conditionalFormatting>
  <conditionalFormatting sqref="B145 B58 B118:B124">
    <cfRule type="expression" dxfId="8" priority="16">
      <formula>"SUM($O$4:$O$8)&gt;1"</formula>
    </cfRule>
  </conditionalFormatting>
  <conditionalFormatting sqref="B201:B202">
    <cfRule type="expression" dxfId="7" priority="15">
      <formula>"SUM($O$4:$O$8)&gt;1"</formula>
    </cfRule>
  </conditionalFormatting>
  <conditionalFormatting sqref="B93:B96">
    <cfRule type="expression" dxfId="6" priority="14">
      <formula>"SUM($O$4:$O$8)&gt;1"</formula>
    </cfRule>
  </conditionalFormatting>
  <conditionalFormatting sqref="B125">
    <cfRule type="expression" dxfId="5" priority="13">
      <formula>"SUM($O$4:$O$8)&gt;1"</formula>
    </cfRule>
  </conditionalFormatting>
  <conditionalFormatting sqref="B165:B178">
    <cfRule type="expression" dxfId="4" priority="12">
      <formula>"SUM($O$4:$O$8)&gt;1"</formula>
    </cfRule>
  </conditionalFormatting>
  <conditionalFormatting sqref="C218">
    <cfRule type="expression" dxfId="3" priority="9">
      <formula>"SUM($O$4:$O$8)&gt;1"</formula>
    </cfRule>
  </conditionalFormatting>
  <conditionalFormatting sqref="C131">
    <cfRule type="expression" dxfId="2" priority="5">
      <formula>"SUM($O$4:$O$8)&gt;1"</formula>
    </cfRule>
  </conditionalFormatting>
  <conditionalFormatting sqref="C165:C170">
    <cfRule type="expression" dxfId="1" priority="2">
      <formula>"SUM($O$4:$O$8)&gt;1"</formula>
    </cfRule>
  </conditionalFormatting>
  <conditionalFormatting sqref="C173:C176">
    <cfRule type="expression" dxfId="0" priority="1">
      <formula>"SUM($O$4:$O$8)&gt;1"</formula>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1A235-9C70-4AEF-98BC-C1B10708BF04}">
  <dimension ref="A1:C42"/>
  <sheetViews>
    <sheetView zoomScale="60" zoomScaleNormal="60" workbookViewId="0">
      <selection activeCell="F11" sqref="F11"/>
    </sheetView>
  </sheetViews>
  <sheetFormatPr defaultColWidth="9.28515625" defaultRowHeight="15"/>
  <cols>
    <col min="1" max="1" width="18.7109375" style="1" customWidth="1"/>
    <col min="2" max="2" width="26.28515625" customWidth="1"/>
    <col min="3" max="3" width="40.7109375" customWidth="1"/>
  </cols>
  <sheetData>
    <row r="1" spans="1:3" ht="32.25" thickBot="1">
      <c r="A1" s="24" t="s">
        <v>2112</v>
      </c>
      <c r="B1" s="23" t="s">
        <v>2113</v>
      </c>
      <c r="C1" s="22" t="s">
        <v>2114</v>
      </c>
    </row>
    <row r="2" spans="1:3" ht="60" customHeight="1" thickBot="1">
      <c r="A2" s="68" t="s">
        <v>1298</v>
      </c>
      <c r="B2" s="19" t="s">
        <v>2115</v>
      </c>
      <c r="C2" s="18" t="s">
        <v>2116</v>
      </c>
    </row>
    <row r="3" spans="1:3" ht="60" customHeight="1" thickBot="1">
      <c r="A3" s="69"/>
      <c r="B3" s="21" t="s">
        <v>2117</v>
      </c>
      <c r="C3" s="20" t="s">
        <v>2118</v>
      </c>
    </row>
    <row r="4" spans="1:3" ht="60" customHeight="1" thickBot="1">
      <c r="A4" s="69"/>
      <c r="B4" s="19" t="s">
        <v>2119</v>
      </c>
      <c r="C4" s="18" t="s">
        <v>2120</v>
      </c>
    </row>
    <row r="5" spans="1:3" ht="60" customHeight="1" thickBot="1">
      <c r="A5" s="69"/>
      <c r="B5" s="21" t="s">
        <v>2121</v>
      </c>
      <c r="C5" s="20" t="s">
        <v>2122</v>
      </c>
    </row>
    <row r="6" spans="1:3" ht="60" customHeight="1" thickBot="1">
      <c r="A6" s="69"/>
      <c r="B6" s="19" t="s">
        <v>2123</v>
      </c>
      <c r="C6" s="18" t="s">
        <v>2124</v>
      </c>
    </row>
    <row r="7" spans="1:3" ht="60" customHeight="1" thickBot="1">
      <c r="A7" s="69"/>
      <c r="B7" s="21" t="s">
        <v>2125</v>
      </c>
      <c r="C7" s="20" t="s">
        <v>2126</v>
      </c>
    </row>
    <row r="8" spans="1:3" ht="60" customHeight="1" thickBot="1">
      <c r="A8" s="69"/>
      <c r="B8" s="19" t="s">
        <v>2127</v>
      </c>
      <c r="C8" s="18" t="s">
        <v>2128</v>
      </c>
    </row>
    <row r="9" spans="1:3" ht="60" customHeight="1" thickBot="1">
      <c r="A9" s="69"/>
      <c r="B9" s="21" t="s">
        <v>2129</v>
      </c>
      <c r="C9" s="20" t="s">
        <v>2130</v>
      </c>
    </row>
    <row r="10" spans="1:3" ht="60" customHeight="1" thickBot="1">
      <c r="A10" s="70"/>
      <c r="B10" s="19" t="s">
        <v>2131</v>
      </c>
      <c r="C10" s="18" t="s">
        <v>2132</v>
      </c>
    </row>
    <row r="11" spans="1:3" ht="60" customHeight="1" thickBot="1">
      <c r="A11" s="71" t="s">
        <v>1314</v>
      </c>
      <c r="B11" s="21" t="s">
        <v>2133</v>
      </c>
      <c r="C11" s="20" t="s">
        <v>1314</v>
      </c>
    </row>
    <row r="12" spans="1:3" ht="60" customHeight="1" thickBot="1">
      <c r="A12" s="72"/>
      <c r="B12" s="19" t="s">
        <v>2134</v>
      </c>
      <c r="C12" s="18" t="s">
        <v>2135</v>
      </c>
    </row>
    <row r="13" spans="1:3" ht="60" customHeight="1" thickBot="1">
      <c r="A13" s="67" t="s">
        <v>1304</v>
      </c>
      <c r="B13" s="21" t="s">
        <v>2136</v>
      </c>
      <c r="C13" s="20" t="s">
        <v>2137</v>
      </c>
    </row>
    <row r="14" spans="1:3" ht="60" customHeight="1" thickBot="1">
      <c r="A14" s="66" t="s">
        <v>1300</v>
      </c>
      <c r="B14" s="19" t="s">
        <v>2138</v>
      </c>
      <c r="C14" s="18" t="s">
        <v>2139</v>
      </c>
    </row>
    <row r="15" spans="1:3" ht="60" customHeight="1" thickBot="1">
      <c r="A15" s="67" t="s">
        <v>1312</v>
      </c>
      <c r="B15" s="21" t="s">
        <v>1312</v>
      </c>
      <c r="C15" s="20" t="s">
        <v>2140</v>
      </c>
    </row>
    <row r="16" spans="1:3" ht="60" customHeight="1" thickBot="1">
      <c r="A16" s="66" t="s">
        <v>1310</v>
      </c>
      <c r="B16" s="19" t="s">
        <v>2141</v>
      </c>
      <c r="C16" s="18" t="s">
        <v>2142</v>
      </c>
    </row>
    <row r="17" spans="1:3" ht="60" customHeight="1" thickBot="1">
      <c r="A17" s="71" t="s">
        <v>1308</v>
      </c>
      <c r="B17" s="21" t="s">
        <v>2143</v>
      </c>
      <c r="C17" s="20" t="s">
        <v>2144</v>
      </c>
    </row>
    <row r="18" spans="1:3" ht="60" customHeight="1" thickBot="1">
      <c r="A18" s="73"/>
      <c r="B18" s="19" t="s">
        <v>2145</v>
      </c>
      <c r="C18" s="18" t="s">
        <v>2146</v>
      </c>
    </row>
    <row r="19" spans="1:3" ht="60" customHeight="1" thickBot="1">
      <c r="A19" s="72"/>
      <c r="B19" s="21" t="s">
        <v>2147</v>
      </c>
      <c r="C19" s="20" t="s">
        <v>2148</v>
      </c>
    </row>
    <row r="20" spans="1:3" ht="60" customHeight="1" thickBot="1">
      <c r="A20" s="74" t="s">
        <v>1318</v>
      </c>
      <c r="B20" s="19" t="s">
        <v>2149</v>
      </c>
      <c r="C20" s="18" t="s">
        <v>2150</v>
      </c>
    </row>
    <row r="21" spans="1:3" ht="60" customHeight="1" thickBot="1">
      <c r="A21" s="69"/>
      <c r="B21" s="21" t="s">
        <v>2151</v>
      </c>
      <c r="C21" s="20" t="s">
        <v>2152</v>
      </c>
    </row>
    <row r="22" spans="1:3" ht="60" customHeight="1" thickBot="1">
      <c r="A22" s="69"/>
      <c r="B22" s="19" t="s">
        <v>2153</v>
      </c>
      <c r="C22" s="18" t="s">
        <v>2154</v>
      </c>
    </row>
    <row r="23" spans="1:3" ht="60" customHeight="1" thickBot="1">
      <c r="A23" s="69"/>
      <c r="B23" s="21" t="s">
        <v>2155</v>
      </c>
      <c r="C23" s="20" t="s">
        <v>2156</v>
      </c>
    </row>
    <row r="24" spans="1:3" ht="60" customHeight="1" thickBot="1">
      <c r="A24" s="69"/>
      <c r="B24" s="19" t="s">
        <v>2157</v>
      </c>
      <c r="C24" s="18" t="s">
        <v>2158</v>
      </c>
    </row>
    <row r="25" spans="1:3" ht="60" customHeight="1" thickBot="1">
      <c r="A25" s="69"/>
      <c r="B25" s="21" t="s">
        <v>2159</v>
      </c>
      <c r="C25" s="20" t="s">
        <v>2160</v>
      </c>
    </row>
    <row r="26" spans="1:3" ht="60" customHeight="1" thickBot="1">
      <c r="A26" s="70"/>
      <c r="B26" s="19" t="s">
        <v>2161</v>
      </c>
      <c r="C26" s="18" t="s">
        <v>2162</v>
      </c>
    </row>
    <row r="27" spans="1:3" ht="60" customHeight="1" thickBot="1">
      <c r="A27" s="75" t="s">
        <v>1290</v>
      </c>
      <c r="B27" s="21" t="s">
        <v>2163</v>
      </c>
      <c r="C27" s="20" t="s">
        <v>2164</v>
      </c>
    </row>
    <row r="28" spans="1:3" ht="60" customHeight="1" thickBot="1">
      <c r="A28" s="76"/>
      <c r="B28" s="19" t="s">
        <v>2165</v>
      </c>
      <c r="C28" s="18" t="s">
        <v>2166</v>
      </c>
    </row>
    <row r="29" spans="1:3" ht="60" customHeight="1" thickBot="1">
      <c r="A29" s="76"/>
      <c r="B29" s="21" t="s">
        <v>2167</v>
      </c>
      <c r="C29" s="20" t="s">
        <v>2168</v>
      </c>
    </row>
    <row r="30" spans="1:3" ht="60" customHeight="1" thickBot="1">
      <c r="A30" s="76"/>
      <c r="B30" s="19" t="s">
        <v>2169</v>
      </c>
      <c r="C30" s="18" t="s">
        <v>2170</v>
      </c>
    </row>
    <row r="31" spans="1:3" ht="60" customHeight="1" thickBot="1">
      <c r="A31" s="77"/>
      <c r="B31" s="21" t="s">
        <v>2171</v>
      </c>
      <c r="C31" s="20" t="s">
        <v>2172</v>
      </c>
    </row>
    <row r="32" spans="1:3" ht="60" customHeight="1" thickBot="1">
      <c r="A32" s="66" t="s">
        <v>1326</v>
      </c>
      <c r="B32" s="19" t="s">
        <v>2173</v>
      </c>
      <c r="C32" s="18" t="s">
        <v>2174</v>
      </c>
    </row>
    <row r="33" spans="1:3" ht="60" customHeight="1" thickBot="1">
      <c r="A33" s="75" t="s">
        <v>1324</v>
      </c>
      <c r="B33" s="21" t="s">
        <v>2175</v>
      </c>
      <c r="C33" s="20" t="s">
        <v>2176</v>
      </c>
    </row>
    <row r="34" spans="1:3" ht="60" customHeight="1" thickBot="1">
      <c r="A34" s="77"/>
      <c r="B34" s="19" t="s">
        <v>2177</v>
      </c>
      <c r="C34" s="18" t="s">
        <v>2178</v>
      </c>
    </row>
    <row r="35" spans="1:3" ht="60" customHeight="1" thickBot="1">
      <c r="A35" s="67" t="s">
        <v>1306</v>
      </c>
      <c r="B35" s="21" t="s">
        <v>2179</v>
      </c>
      <c r="C35" s="20" t="s">
        <v>2180</v>
      </c>
    </row>
    <row r="36" spans="1:3" ht="60" customHeight="1" thickBot="1">
      <c r="A36" s="74" t="s">
        <v>2109</v>
      </c>
      <c r="B36" s="19" t="s">
        <v>2181</v>
      </c>
      <c r="C36" s="18" t="s">
        <v>2182</v>
      </c>
    </row>
    <row r="37" spans="1:3" ht="60" customHeight="1" thickBot="1">
      <c r="A37" s="69"/>
      <c r="B37" s="21" t="s">
        <v>2183</v>
      </c>
      <c r="C37" s="20" t="s">
        <v>2184</v>
      </c>
    </row>
    <row r="38" spans="1:3" ht="60" customHeight="1" thickBot="1">
      <c r="A38" s="69"/>
      <c r="B38" s="19" t="s">
        <v>2185</v>
      </c>
      <c r="C38" s="18" t="s">
        <v>2186</v>
      </c>
    </row>
    <row r="39" spans="1:3" ht="60" customHeight="1" thickBot="1">
      <c r="A39" s="69"/>
      <c r="B39" s="21" t="s">
        <v>2187</v>
      </c>
      <c r="C39" s="20" t="s">
        <v>2188</v>
      </c>
    </row>
    <row r="40" spans="1:3" ht="60" customHeight="1" thickBot="1">
      <c r="A40" s="70"/>
      <c r="B40" s="19" t="s">
        <v>2189</v>
      </c>
      <c r="C40" s="18" t="s">
        <v>2190</v>
      </c>
    </row>
    <row r="41" spans="1:3" ht="60" customHeight="1" thickBot="1">
      <c r="A41" s="67" t="s">
        <v>1316</v>
      </c>
      <c r="B41" s="21" t="s">
        <v>2191</v>
      </c>
      <c r="C41" s="20" t="s">
        <v>2192</v>
      </c>
    </row>
    <row r="42" spans="1:3" ht="60" customHeight="1" thickBot="1">
      <c r="A42" s="66" t="s">
        <v>1302</v>
      </c>
      <c r="B42" s="19" t="s">
        <v>2193</v>
      </c>
      <c r="C42" s="18" t="s">
        <v>2194</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8043-DEB0-4ECF-B1B1-C0CFD3EB10DB}">
  <dimension ref="A1:E3551"/>
  <sheetViews>
    <sheetView workbookViewId="0">
      <selection sqref="A1:XFD1"/>
    </sheetView>
  </sheetViews>
  <sheetFormatPr defaultRowHeight="15"/>
  <sheetData>
    <row r="1" spans="1:5">
      <c r="A1" t="s">
        <v>10</v>
      </c>
      <c r="B1" t="s">
        <v>2914</v>
      </c>
      <c r="C1" t="s">
        <v>2915</v>
      </c>
      <c r="D1" t="s">
        <v>35</v>
      </c>
      <c r="E1" t="s">
        <v>206</v>
      </c>
    </row>
    <row r="2" spans="1:5">
      <c r="A2" t="s">
        <v>580</v>
      </c>
      <c r="B2" t="s">
        <v>2916</v>
      </c>
      <c r="C2" t="s">
        <v>1333</v>
      </c>
      <c r="D2" t="s">
        <v>1299</v>
      </c>
      <c r="E2" s="220">
        <v>9.4352000000000005E-2</v>
      </c>
    </row>
    <row r="3" spans="1:5">
      <c r="A3" t="s">
        <v>587</v>
      </c>
      <c r="B3" t="s">
        <v>2916</v>
      </c>
      <c r="C3" t="s">
        <v>1333</v>
      </c>
      <c r="D3" t="s">
        <v>1299</v>
      </c>
      <c r="E3" s="220">
        <v>9.5971999999999988E-2</v>
      </c>
    </row>
    <row r="4" spans="1:5">
      <c r="A4" t="s">
        <v>1235</v>
      </c>
      <c r="B4" t="s">
        <v>2916</v>
      </c>
      <c r="C4" t="s">
        <v>1333</v>
      </c>
      <c r="D4" t="s">
        <v>1299</v>
      </c>
      <c r="E4" s="220">
        <v>9.4712000000000005E-2</v>
      </c>
    </row>
    <row r="5" spans="1:5">
      <c r="A5" t="s">
        <v>617</v>
      </c>
      <c r="B5" t="s">
        <v>2916</v>
      </c>
      <c r="C5" t="s">
        <v>1333</v>
      </c>
      <c r="D5" t="s">
        <v>1299</v>
      </c>
      <c r="E5" s="220">
        <v>0.1</v>
      </c>
    </row>
    <row r="6" spans="1:5">
      <c r="A6" t="s">
        <v>614</v>
      </c>
      <c r="B6" t="s">
        <v>2916</v>
      </c>
      <c r="C6" t="s">
        <v>1333</v>
      </c>
      <c r="D6" t="s">
        <v>1299</v>
      </c>
      <c r="E6" s="220">
        <v>9.8519000000000009E-2</v>
      </c>
    </row>
    <row r="7" spans="1:5">
      <c r="A7" t="s">
        <v>626</v>
      </c>
      <c r="B7" t="s">
        <v>2916</v>
      </c>
      <c r="C7" t="s">
        <v>1333</v>
      </c>
      <c r="D7" t="s">
        <v>1299</v>
      </c>
      <c r="E7" s="220">
        <v>9.5261999999999999E-2</v>
      </c>
    </row>
    <row r="8" spans="1:5">
      <c r="A8" t="s">
        <v>629</v>
      </c>
      <c r="B8" t="s">
        <v>2916</v>
      </c>
      <c r="C8" t="s">
        <v>1333</v>
      </c>
      <c r="D8" t="s">
        <v>1299</v>
      </c>
      <c r="E8" s="220">
        <v>9.9424999999999999E-2</v>
      </c>
    </row>
    <row r="9" spans="1:5">
      <c r="A9" t="s">
        <v>650</v>
      </c>
      <c r="B9" t="s">
        <v>2916</v>
      </c>
      <c r="C9" t="s">
        <v>1333</v>
      </c>
      <c r="D9" t="s">
        <v>1299</v>
      </c>
      <c r="E9" s="220">
        <v>9.6004999999999993E-2</v>
      </c>
    </row>
    <row r="10" spans="1:5">
      <c r="A10" t="s">
        <v>641</v>
      </c>
      <c r="B10" t="s">
        <v>2916</v>
      </c>
      <c r="C10" t="s">
        <v>1333</v>
      </c>
      <c r="D10" t="s">
        <v>1299</v>
      </c>
      <c r="E10" s="220">
        <v>9.4299999999999995E-2</v>
      </c>
    </row>
    <row r="11" spans="1:5">
      <c r="A11" t="s">
        <v>687</v>
      </c>
      <c r="B11" t="s">
        <v>2916</v>
      </c>
      <c r="C11" t="s">
        <v>1333</v>
      </c>
      <c r="D11" t="s">
        <v>1299</v>
      </c>
      <c r="E11" s="220">
        <v>9.4686999999999993E-2</v>
      </c>
    </row>
    <row r="12" spans="1:5">
      <c r="A12" t="s">
        <v>638</v>
      </c>
      <c r="B12" t="s">
        <v>2916</v>
      </c>
      <c r="C12" t="s">
        <v>1333</v>
      </c>
      <c r="D12" t="s">
        <v>1299</v>
      </c>
      <c r="E12" s="220">
        <v>9.4712000000000005E-2</v>
      </c>
    </row>
    <row r="13" spans="1:5">
      <c r="A13" t="s">
        <v>635</v>
      </c>
      <c r="B13" t="s">
        <v>2916</v>
      </c>
      <c r="C13" t="s">
        <v>1333</v>
      </c>
      <c r="D13" t="s">
        <v>1299</v>
      </c>
      <c r="E13" s="220">
        <v>9.8519000000000009E-2</v>
      </c>
    </row>
    <row r="14" spans="1:5">
      <c r="A14" t="s">
        <v>670</v>
      </c>
      <c r="B14" t="s">
        <v>2916</v>
      </c>
      <c r="C14" t="s">
        <v>1333</v>
      </c>
      <c r="D14" t="s">
        <v>1299</v>
      </c>
      <c r="E14" s="220">
        <v>9.5785999999999996E-2</v>
      </c>
    </row>
    <row r="15" spans="1:5">
      <c r="A15" t="s">
        <v>647</v>
      </c>
      <c r="B15" t="s">
        <v>2916</v>
      </c>
      <c r="C15" t="s">
        <v>1333</v>
      </c>
      <c r="D15" t="s">
        <v>1299</v>
      </c>
      <c r="E15" s="220">
        <v>9.7312999999999997E-2</v>
      </c>
    </row>
    <row r="16" spans="1:5">
      <c r="A16" t="s">
        <v>653</v>
      </c>
      <c r="B16" t="s">
        <v>2916</v>
      </c>
      <c r="C16" t="s">
        <v>1333</v>
      </c>
      <c r="D16" t="s">
        <v>1299</v>
      </c>
      <c r="E16" s="220">
        <v>9.9277000000000004E-2</v>
      </c>
    </row>
    <row r="17" spans="1:5">
      <c r="A17" t="s">
        <v>659</v>
      </c>
      <c r="B17" t="s">
        <v>2916</v>
      </c>
      <c r="C17" t="s">
        <v>1333</v>
      </c>
      <c r="D17" t="s">
        <v>1299</v>
      </c>
      <c r="E17" s="220">
        <v>9.8519000000000009E-2</v>
      </c>
    </row>
    <row r="18" spans="1:5">
      <c r="A18" t="s">
        <v>676</v>
      </c>
      <c r="B18" t="s">
        <v>2916</v>
      </c>
      <c r="C18" t="s">
        <v>1333</v>
      </c>
      <c r="D18" t="s">
        <v>1299</v>
      </c>
      <c r="E18" s="220">
        <v>9.8068000000000002E-2</v>
      </c>
    </row>
    <row r="19" spans="1:5">
      <c r="A19" t="s">
        <v>644</v>
      </c>
      <c r="B19" t="s">
        <v>2916</v>
      </c>
      <c r="C19" t="s">
        <v>1333</v>
      </c>
      <c r="D19" t="s">
        <v>1299</v>
      </c>
      <c r="E19" s="220">
        <v>9.8519000000000009E-2</v>
      </c>
    </row>
    <row r="20" spans="1:5">
      <c r="A20" t="s">
        <v>664</v>
      </c>
      <c r="B20" t="s">
        <v>2916</v>
      </c>
      <c r="C20" t="s">
        <v>1333</v>
      </c>
      <c r="D20" t="s">
        <v>1299</v>
      </c>
      <c r="E20" s="220">
        <v>9.4352000000000005E-2</v>
      </c>
    </row>
    <row r="21" spans="1:5">
      <c r="A21" t="s">
        <v>705</v>
      </c>
      <c r="B21" t="s">
        <v>2916</v>
      </c>
      <c r="C21" t="s">
        <v>1333</v>
      </c>
      <c r="D21" t="s">
        <v>1299</v>
      </c>
      <c r="E21" s="220">
        <v>9.704900000000001E-2</v>
      </c>
    </row>
    <row r="22" spans="1:5">
      <c r="A22" t="s">
        <v>1182</v>
      </c>
      <c r="B22" t="s">
        <v>2916</v>
      </c>
      <c r="C22" t="s">
        <v>1333</v>
      </c>
      <c r="D22" t="s">
        <v>1299</v>
      </c>
      <c r="E22" s="220">
        <v>9.8200999999999997E-2</v>
      </c>
    </row>
    <row r="23" spans="1:5">
      <c r="A23" t="s">
        <v>720</v>
      </c>
      <c r="B23" t="s">
        <v>2916</v>
      </c>
      <c r="C23" t="s">
        <v>1333</v>
      </c>
      <c r="D23" t="s">
        <v>1299</v>
      </c>
      <c r="E23" s="220">
        <v>9.7373000000000001E-2</v>
      </c>
    </row>
    <row r="24" spans="1:5">
      <c r="A24" t="s">
        <v>723</v>
      </c>
      <c r="B24" t="s">
        <v>2916</v>
      </c>
      <c r="C24" t="s">
        <v>1333</v>
      </c>
      <c r="D24" t="s">
        <v>1299</v>
      </c>
      <c r="E24" s="220">
        <v>9.4751999999999989E-2</v>
      </c>
    </row>
    <row r="25" spans="1:5">
      <c r="A25" t="s">
        <v>726</v>
      </c>
      <c r="B25" t="s">
        <v>2916</v>
      </c>
      <c r="C25" t="s">
        <v>1333</v>
      </c>
      <c r="D25" t="s">
        <v>1299</v>
      </c>
      <c r="E25" s="220">
        <v>9.4603999999999994E-2</v>
      </c>
    </row>
    <row r="26" spans="1:5">
      <c r="A26" t="s">
        <v>738</v>
      </c>
      <c r="B26" t="s">
        <v>2916</v>
      </c>
      <c r="C26" t="s">
        <v>1333</v>
      </c>
      <c r="D26" t="s">
        <v>1299</v>
      </c>
      <c r="E26" s="220">
        <v>9.9277000000000004E-2</v>
      </c>
    </row>
    <row r="27" spans="1:5">
      <c r="A27" t="s">
        <v>747</v>
      </c>
      <c r="B27" t="s">
        <v>2916</v>
      </c>
      <c r="C27" t="s">
        <v>1333</v>
      </c>
      <c r="D27" t="s">
        <v>1299</v>
      </c>
      <c r="E27" s="220">
        <v>9.8519000000000009E-2</v>
      </c>
    </row>
    <row r="28" spans="1:5">
      <c r="A28" t="s">
        <v>757</v>
      </c>
      <c r="B28" t="s">
        <v>2916</v>
      </c>
      <c r="C28" t="s">
        <v>1333</v>
      </c>
      <c r="D28" t="s">
        <v>1299</v>
      </c>
      <c r="E28" s="220">
        <v>9.9353999999999998E-2</v>
      </c>
    </row>
    <row r="29" spans="1:5">
      <c r="A29" t="s">
        <v>823</v>
      </c>
      <c r="B29" t="s">
        <v>2916</v>
      </c>
      <c r="C29" t="s">
        <v>1333</v>
      </c>
      <c r="D29" t="s">
        <v>1299</v>
      </c>
      <c r="E29" s="220">
        <v>9.8775000000000002E-2</v>
      </c>
    </row>
    <row r="30" spans="1:5">
      <c r="A30" t="s">
        <v>767</v>
      </c>
      <c r="B30" t="s">
        <v>2916</v>
      </c>
      <c r="C30" t="s">
        <v>1333</v>
      </c>
      <c r="D30" t="s">
        <v>1299</v>
      </c>
      <c r="E30" s="220">
        <v>9.8519000000000009E-2</v>
      </c>
    </row>
    <row r="31" spans="1:5">
      <c r="A31" t="s">
        <v>761</v>
      </c>
      <c r="B31" t="s">
        <v>2916</v>
      </c>
      <c r="C31" t="s">
        <v>1333</v>
      </c>
      <c r="D31" t="s">
        <v>1299</v>
      </c>
      <c r="E31" s="220">
        <v>9.4587000000000004E-2</v>
      </c>
    </row>
    <row r="32" spans="1:5">
      <c r="A32" t="s">
        <v>770</v>
      </c>
      <c r="B32" t="s">
        <v>2916</v>
      </c>
      <c r="C32" t="s">
        <v>1333</v>
      </c>
      <c r="D32" t="s">
        <v>1299</v>
      </c>
      <c r="E32" s="220">
        <v>9.8519000000000009E-2</v>
      </c>
    </row>
    <row r="33" spans="1:5">
      <c r="A33" t="s">
        <v>592</v>
      </c>
      <c r="B33" t="s">
        <v>2916</v>
      </c>
      <c r="C33" t="s">
        <v>1333</v>
      </c>
      <c r="D33" t="s">
        <v>1299</v>
      </c>
      <c r="E33" s="220">
        <v>9.9970000000000003E-2</v>
      </c>
    </row>
    <row r="34" spans="1:5">
      <c r="A34" t="s">
        <v>773</v>
      </c>
      <c r="B34" t="s">
        <v>2916</v>
      </c>
      <c r="C34" t="s">
        <v>1333</v>
      </c>
      <c r="D34" t="s">
        <v>1299</v>
      </c>
      <c r="E34" s="220">
        <v>9.9277000000000004E-2</v>
      </c>
    </row>
    <row r="35" spans="1:5">
      <c r="A35" t="s">
        <v>776</v>
      </c>
      <c r="B35" t="s">
        <v>2916</v>
      </c>
      <c r="C35" t="s">
        <v>1333</v>
      </c>
      <c r="D35" t="s">
        <v>1299</v>
      </c>
      <c r="E35" s="220">
        <v>0.1</v>
      </c>
    </row>
    <row r="36" spans="1:5">
      <c r="A36" t="s">
        <v>1154</v>
      </c>
      <c r="B36" t="s">
        <v>2916</v>
      </c>
      <c r="C36" t="s">
        <v>1333</v>
      </c>
      <c r="D36" t="s">
        <v>1299</v>
      </c>
      <c r="E36" s="220">
        <v>9.5261999999999999E-2</v>
      </c>
    </row>
    <row r="37" spans="1:5">
      <c r="A37" t="s">
        <v>788</v>
      </c>
      <c r="B37" t="s">
        <v>2916</v>
      </c>
      <c r="C37" t="s">
        <v>1333</v>
      </c>
      <c r="D37" t="s">
        <v>1299</v>
      </c>
      <c r="E37" s="220">
        <v>0.101755</v>
      </c>
    </row>
    <row r="38" spans="1:5">
      <c r="A38" t="s">
        <v>805</v>
      </c>
      <c r="B38" t="s">
        <v>2916</v>
      </c>
      <c r="C38" t="s">
        <v>1333</v>
      </c>
      <c r="D38" t="s">
        <v>1299</v>
      </c>
      <c r="E38" s="220">
        <v>0.10256399999999999</v>
      </c>
    </row>
    <row r="39" spans="1:5">
      <c r="A39" t="s">
        <v>808</v>
      </c>
      <c r="B39" t="s">
        <v>2916</v>
      </c>
      <c r="C39" t="s">
        <v>1333</v>
      </c>
      <c r="D39" t="s">
        <v>1299</v>
      </c>
      <c r="E39" s="220">
        <v>9.7281000000000006E-2</v>
      </c>
    </row>
    <row r="40" spans="1:5">
      <c r="A40" t="s">
        <v>1238</v>
      </c>
      <c r="B40" t="s">
        <v>2916</v>
      </c>
      <c r="C40" t="s">
        <v>1333</v>
      </c>
      <c r="D40" t="s">
        <v>1299</v>
      </c>
      <c r="E40" s="220">
        <v>9.5208000000000001E-2</v>
      </c>
    </row>
    <row r="41" spans="1:5">
      <c r="A41" t="s">
        <v>820</v>
      </c>
      <c r="B41" t="s">
        <v>2916</v>
      </c>
      <c r="C41" t="s">
        <v>1333</v>
      </c>
      <c r="D41" t="s">
        <v>1299</v>
      </c>
      <c r="E41" s="220">
        <v>9.8286999999999999E-2</v>
      </c>
    </row>
    <row r="42" spans="1:5">
      <c r="A42" t="s">
        <v>833</v>
      </c>
      <c r="B42" t="s">
        <v>2916</v>
      </c>
      <c r="C42" t="s">
        <v>1333</v>
      </c>
      <c r="D42" t="s">
        <v>1299</v>
      </c>
      <c r="E42" s="220">
        <v>9.4465000000000007E-2</v>
      </c>
    </row>
    <row r="43" spans="1:5">
      <c r="A43" t="s">
        <v>839</v>
      </c>
      <c r="B43" t="s">
        <v>2916</v>
      </c>
      <c r="C43" t="s">
        <v>1333</v>
      </c>
      <c r="D43" t="s">
        <v>1299</v>
      </c>
      <c r="E43" s="220">
        <v>9.8519000000000009E-2</v>
      </c>
    </row>
    <row r="44" spans="1:5">
      <c r="A44" t="s">
        <v>845</v>
      </c>
      <c r="B44" t="s">
        <v>2916</v>
      </c>
      <c r="C44" t="s">
        <v>1333</v>
      </c>
      <c r="D44" t="s">
        <v>1299</v>
      </c>
      <c r="E44" s="220">
        <v>9.9277000000000004E-2</v>
      </c>
    </row>
    <row r="45" spans="1:5">
      <c r="A45" t="s">
        <v>854</v>
      </c>
      <c r="B45" t="s">
        <v>2916</v>
      </c>
      <c r="C45" t="s">
        <v>1333</v>
      </c>
      <c r="D45" t="s">
        <v>1299</v>
      </c>
      <c r="E45" s="220">
        <v>9.8519000000000009E-2</v>
      </c>
    </row>
    <row r="46" spans="1:5">
      <c r="A46" t="s">
        <v>863</v>
      </c>
      <c r="B46" t="s">
        <v>2916</v>
      </c>
      <c r="C46" t="s">
        <v>1333</v>
      </c>
      <c r="D46" t="s">
        <v>1299</v>
      </c>
      <c r="E46" s="220">
        <v>9.4299999999999995E-2</v>
      </c>
    </row>
    <row r="47" spans="1:5">
      <c r="A47" t="s">
        <v>860</v>
      </c>
      <c r="B47" t="s">
        <v>2916</v>
      </c>
      <c r="C47" t="s">
        <v>1333</v>
      </c>
      <c r="D47" t="s">
        <v>1299</v>
      </c>
      <c r="E47" s="220">
        <v>9.9277000000000004E-2</v>
      </c>
    </row>
    <row r="48" spans="1:5">
      <c r="A48" t="s">
        <v>744</v>
      </c>
      <c r="B48" t="s">
        <v>2916</v>
      </c>
      <c r="C48" t="s">
        <v>1333</v>
      </c>
      <c r="D48" t="s">
        <v>1299</v>
      </c>
      <c r="E48" s="220">
        <v>9.7837999999999994E-2</v>
      </c>
    </row>
    <row r="49" spans="1:5">
      <c r="A49" t="s">
        <v>857</v>
      </c>
      <c r="B49" t="s">
        <v>2916</v>
      </c>
      <c r="C49" t="s">
        <v>1333</v>
      </c>
      <c r="D49" t="s">
        <v>1299</v>
      </c>
      <c r="E49" s="220">
        <v>9.8519000000000009E-2</v>
      </c>
    </row>
    <row r="50" spans="1:5">
      <c r="A50" t="s">
        <v>866</v>
      </c>
      <c r="B50" t="s">
        <v>2916</v>
      </c>
      <c r="C50" t="s">
        <v>1333</v>
      </c>
      <c r="D50" t="s">
        <v>1299</v>
      </c>
      <c r="E50" s="220">
        <v>9.6443000000000001E-2</v>
      </c>
    </row>
    <row r="51" spans="1:5">
      <c r="A51" t="s">
        <v>875</v>
      </c>
      <c r="B51" t="s">
        <v>2916</v>
      </c>
      <c r="C51" t="s">
        <v>1333</v>
      </c>
      <c r="D51" t="s">
        <v>1299</v>
      </c>
      <c r="E51" s="220">
        <v>9.4299999999999995E-2</v>
      </c>
    </row>
    <row r="52" spans="1:5">
      <c r="A52" t="s">
        <v>872</v>
      </c>
      <c r="B52" t="s">
        <v>2916</v>
      </c>
      <c r="C52" t="s">
        <v>1333</v>
      </c>
      <c r="D52" t="s">
        <v>1299</v>
      </c>
      <c r="E52" s="220">
        <v>9.4671000000000005E-2</v>
      </c>
    </row>
    <row r="53" spans="1:5">
      <c r="A53" t="s">
        <v>884</v>
      </c>
      <c r="B53" t="s">
        <v>2916</v>
      </c>
      <c r="C53" t="s">
        <v>1333</v>
      </c>
      <c r="D53" t="s">
        <v>1299</v>
      </c>
      <c r="E53" s="220">
        <v>9.4840999999999995E-2</v>
      </c>
    </row>
    <row r="54" spans="1:5">
      <c r="A54" t="s">
        <v>878</v>
      </c>
      <c r="B54" t="s">
        <v>2916</v>
      </c>
      <c r="C54" t="s">
        <v>1333</v>
      </c>
      <c r="D54" t="s">
        <v>1299</v>
      </c>
      <c r="E54" s="220">
        <v>9.4425999999999996E-2</v>
      </c>
    </row>
    <row r="55" spans="1:5">
      <c r="A55" t="s">
        <v>881</v>
      </c>
      <c r="B55" t="s">
        <v>2916</v>
      </c>
      <c r="C55" t="s">
        <v>1333</v>
      </c>
      <c r="D55" t="s">
        <v>1299</v>
      </c>
      <c r="E55" s="220">
        <v>9.4712000000000005E-2</v>
      </c>
    </row>
    <row r="56" spans="1:5">
      <c r="A56" t="s">
        <v>869</v>
      </c>
      <c r="B56" t="s">
        <v>2916</v>
      </c>
      <c r="C56" t="s">
        <v>1333</v>
      </c>
      <c r="D56" t="s">
        <v>1299</v>
      </c>
      <c r="E56" s="220">
        <v>9.5531000000000005E-2</v>
      </c>
    </row>
    <row r="57" spans="1:5">
      <c r="A57" t="s">
        <v>894</v>
      </c>
      <c r="B57" t="s">
        <v>2916</v>
      </c>
      <c r="C57" t="s">
        <v>1333</v>
      </c>
      <c r="D57" t="s">
        <v>1299</v>
      </c>
      <c r="E57" s="220">
        <v>9.6190999999999999E-2</v>
      </c>
    </row>
    <row r="58" spans="1:5">
      <c r="A58" t="s">
        <v>897</v>
      </c>
      <c r="B58" t="s">
        <v>2916</v>
      </c>
      <c r="C58" t="s">
        <v>1333</v>
      </c>
      <c r="D58" t="s">
        <v>1299</v>
      </c>
      <c r="E58" s="220">
        <v>9.8519000000000009E-2</v>
      </c>
    </row>
    <row r="59" spans="1:5">
      <c r="A59" t="s">
        <v>903</v>
      </c>
      <c r="B59" t="s">
        <v>2916</v>
      </c>
      <c r="C59" t="s">
        <v>1333</v>
      </c>
      <c r="D59" t="s">
        <v>1299</v>
      </c>
      <c r="E59" s="220">
        <v>9.4712000000000005E-2</v>
      </c>
    </row>
    <row r="60" spans="1:5">
      <c r="A60" t="s">
        <v>900</v>
      </c>
      <c r="B60" t="s">
        <v>2916</v>
      </c>
      <c r="C60" t="s">
        <v>1333</v>
      </c>
      <c r="D60" t="s">
        <v>1299</v>
      </c>
      <c r="E60" s="220">
        <v>9.6465999999999996E-2</v>
      </c>
    </row>
    <row r="61" spans="1:5">
      <c r="A61" t="s">
        <v>906</v>
      </c>
      <c r="B61" t="s">
        <v>2916</v>
      </c>
      <c r="C61" t="s">
        <v>1333</v>
      </c>
      <c r="D61" t="s">
        <v>1299</v>
      </c>
      <c r="E61" s="220">
        <v>9.4900000000000012E-2</v>
      </c>
    </row>
    <row r="62" spans="1:5">
      <c r="A62" t="s">
        <v>930</v>
      </c>
      <c r="B62" t="s">
        <v>2916</v>
      </c>
      <c r="C62" t="s">
        <v>1333</v>
      </c>
      <c r="D62" t="s">
        <v>1299</v>
      </c>
      <c r="E62" s="220">
        <v>9.633499999999999E-2</v>
      </c>
    </row>
    <row r="63" spans="1:5">
      <c r="A63" t="s">
        <v>1160</v>
      </c>
      <c r="B63" t="s">
        <v>2916</v>
      </c>
      <c r="C63" t="s">
        <v>1333</v>
      </c>
      <c r="D63" t="s">
        <v>1299</v>
      </c>
      <c r="E63" s="220">
        <v>9.8519000000000009E-2</v>
      </c>
    </row>
    <row r="64" spans="1:5">
      <c r="A64" t="s">
        <v>915</v>
      </c>
      <c r="B64" t="s">
        <v>2916</v>
      </c>
      <c r="C64" t="s">
        <v>1333</v>
      </c>
      <c r="D64" t="s">
        <v>1299</v>
      </c>
      <c r="E64" s="220">
        <v>9.6599000000000004E-2</v>
      </c>
    </row>
    <row r="65" spans="1:5">
      <c r="A65" t="s">
        <v>933</v>
      </c>
      <c r="B65" t="s">
        <v>2916</v>
      </c>
      <c r="C65" t="s">
        <v>1333</v>
      </c>
      <c r="D65" t="s">
        <v>1299</v>
      </c>
      <c r="E65" s="220">
        <v>9.4352000000000005E-2</v>
      </c>
    </row>
    <row r="66" spans="1:5">
      <c r="A66" t="s">
        <v>939</v>
      </c>
      <c r="B66" t="s">
        <v>2916</v>
      </c>
      <c r="C66" t="s">
        <v>1333</v>
      </c>
      <c r="D66" t="s">
        <v>1299</v>
      </c>
      <c r="E66" s="220">
        <v>9.4712000000000005E-2</v>
      </c>
    </row>
    <row r="67" spans="1:5">
      <c r="A67" t="s">
        <v>1163</v>
      </c>
      <c r="B67" t="s">
        <v>2916</v>
      </c>
      <c r="C67" t="s">
        <v>1333</v>
      </c>
      <c r="D67" t="s">
        <v>1299</v>
      </c>
      <c r="E67" s="220">
        <v>9.8519000000000009E-2</v>
      </c>
    </row>
    <row r="68" spans="1:5">
      <c r="A68" t="s">
        <v>1157</v>
      </c>
      <c r="B68" t="s">
        <v>2916</v>
      </c>
      <c r="C68" t="s">
        <v>1333</v>
      </c>
      <c r="D68" t="s">
        <v>1299</v>
      </c>
      <c r="E68" s="220">
        <v>9.4299999999999995E-2</v>
      </c>
    </row>
    <row r="69" spans="1:5">
      <c r="A69" t="s">
        <v>954</v>
      </c>
      <c r="B69" t="s">
        <v>2916</v>
      </c>
      <c r="C69" t="s">
        <v>1333</v>
      </c>
      <c r="D69" t="s">
        <v>1299</v>
      </c>
      <c r="E69" s="220">
        <v>9.7397999999999998E-2</v>
      </c>
    </row>
    <row r="70" spans="1:5">
      <c r="A70" t="s">
        <v>957</v>
      </c>
      <c r="B70" t="s">
        <v>2916</v>
      </c>
      <c r="C70" t="s">
        <v>1333</v>
      </c>
      <c r="D70" t="s">
        <v>1299</v>
      </c>
      <c r="E70" s="220">
        <v>9.7924999999999998E-2</v>
      </c>
    </row>
    <row r="71" spans="1:5">
      <c r="A71" t="s">
        <v>936</v>
      </c>
      <c r="B71" t="s">
        <v>2916</v>
      </c>
      <c r="C71" t="s">
        <v>1333</v>
      </c>
      <c r="D71" t="s">
        <v>1299</v>
      </c>
      <c r="E71" s="220">
        <v>9.441200000000001E-2</v>
      </c>
    </row>
    <row r="72" spans="1:5">
      <c r="A72" t="s">
        <v>1014</v>
      </c>
      <c r="B72" t="s">
        <v>2916</v>
      </c>
      <c r="C72" t="s">
        <v>1333</v>
      </c>
      <c r="D72" t="s">
        <v>1299</v>
      </c>
      <c r="E72" s="220">
        <v>9.9970000000000003E-2</v>
      </c>
    </row>
    <row r="73" spans="1:5">
      <c r="A73" t="s">
        <v>999</v>
      </c>
      <c r="B73" t="s">
        <v>2916</v>
      </c>
      <c r="C73" t="s">
        <v>1333</v>
      </c>
      <c r="D73" t="s">
        <v>1299</v>
      </c>
      <c r="E73" s="220">
        <v>9.4299999999999995E-2</v>
      </c>
    </row>
    <row r="74" spans="1:5">
      <c r="A74" t="s">
        <v>993</v>
      </c>
      <c r="B74" t="s">
        <v>2916</v>
      </c>
      <c r="C74" t="s">
        <v>1333</v>
      </c>
      <c r="D74" t="s">
        <v>1299</v>
      </c>
      <c r="E74" s="220">
        <v>9.7504999999999994E-2</v>
      </c>
    </row>
    <row r="75" spans="1:5">
      <c r="A75" t="s">
        <v>963</v>
      </c>
      <c r="B75" t="s">
        <v>2916</v>
      </c>
      <c r="C75" t="s">
        <v>1333</v>
      </c>
      <c r="D75" t="s">
        <v>1299</v>
      </c>
      <c r="E75" s="220">
        <v>9.9500000000000005E-2</v>
      </c>
    </row>
    <row r="76" spans="1:5">
      <c r="A76" t="s">
        <v>1020</v>
      </c>
      <c r="B76" t="s">
        <v>2916</v>
      </c>
      <c r="C76" t="s">
        <v>1333</v>
      </c>
      <c r="D76" t="s">
        <v>1299</v>
      </c>
      <c r="E76" s="220">
        <v>9.69E-2</v>
      </c>
    </row>
    <row r="77" spans="1:5">
      <c r="A77" t="s">
        <v>1006</v>
      </c>
      <c r="B77" t="s">
        <v>2916</v>
      </c>
      <c r="C77" t="s">
        <v>1333</v>
      </c>
      <c r="D77" t="s">
        <v>1299</v>
      </c>
      <c r="E77" s="220">
        <v>9.7622E-2</v>
      </c>
    </row>
    <row r="78" spans="1:5">
      <c r="A78" t="s">
        <v>972</v>
      </c>
      <c r="B78" t="s">
        <v>2916</v>
      </c>
      <c r="C78" t="s">
        <v>1333</v>
      </c>
      <c r="D78" t="s">
        <v>1299</v>
      </c>
      <c r="E78" s="220">
        <v>9.4299999999999995E-2</v>
      </c>
    </row>
    <row r="79" spans="1:5">
      <c r="A79" t="s">
        <v>1042</v>
      </c>
      <c r="B79" t="s">
        <v>2916</v>
      </c>
      <c r="C79" t="s">
        <v>1333</v>
      </c>
      <c r="D79" t="s">
        <v>1299</v>
      </c>
      <c r="E79" s="220">
        <v>9.9277000000000004E-2</v>
      </c>
    </row>
    <row r="80" spans="1:5">
      <c r="A80" t="s">
        <v>1032</v>
      </c>
      <c r="B80" t="s">
        <v>2916</v>
      </c>
      <c r="C80" t="s">
        <v>1333</v>
      </c>
      <c r="D80" t="s">
        <v>1299</v>
      </c>
      <c r="E80" s="220">
        <v>9.5091999999999996E-2</v>
      </c>
    </row>
    <row r="81" spans="1:5">
      <c r="A81" t="s">
        <v>1055</v>
      </c>
      <c r="B81" t="s">
        <v>2916</v>
      </c>
      <c r="C81" t="s">
        <v>1333</v>
      </c>
      <c r="D81" t="s">
        <v>1299</v>
      </c>
      <c r="E81" s="220">
        <v>9.5742999999999995E-2</v>
      </c>
    </row>
    <row r="82" spans="1:5">
      <c r="A82" t="s">
        <v>1029</v>
      </c>
      <c r="B82" t="s">
        <v>2916</v>
      </c>
      <c r="C82" t="s">
        <v>1333</v>
      </c>
      <c r="D82" t="s">
        <v>1299</v>
      </c>
      <c r="E82" s="220">
        <v>9.4299999999999995E-2</v>
      </c>
    </row>
    <row r="83" spans="1:5">
      <c r="A83" t="s">
        <v>1039</v>
      </c>
      <c r="B83" t="s">
        <v>2916</v>
      </c>
      <c r="C83" t="s">
        <v>1333</v>
      </c>
      <c r="D83" t="s">
        <v>1299</v>
      </c>
      <c r="E83" s="220">
        <v>9.4800999999999996E-2</v>
      </c>
    </row>
    <row r="84" spans="1:5">
      <c r="A84" t="s">
        <v>1058</v>
      </c>
      <c r="B84" t="s">
        <v>2916</v>
      </c>
      <c r="C84" t="s">
        <v>1333</v>
      </c>
      <c r="D84" t="s">
        <v>1299</v>
      </c>
      <c r="E84" s="220">
        <v>9.4712000000000005E-2</v>
      </c>
    </row>
    <row r="85" spans="1:5">
      <c r="A85" t="s">
        <v>1061</v>
      </c>
      <c r="B85" t="s">
        <v>2916</v>
      </c>
      <c r="C85" t="s">
        <v>1333</v>
      </c>
      <c r="D85" t="s">
        <v>1299</v>
      </c>
      <c r="E85" s="220">
        <v>9.4689999999999996E-2</v>
      </c>
    </row>
    <row r="86" spans="1:5">
      <c r="A86" t="s">
        <v>1067</v>
      </c>
      <c r="B86" t="s">
        <v>2916</v>
      </c>
      <c r="C86" t="s">
        <v>1333</v>
      </c>
      <c r="D86" t="s">
        <v>1299</v>
      </c>
      <c r="E86" s="220">
        <v>9.9277000000000004E-2</v>
      </c>
    </row>
    <row r="87" spans="1:5">
      <c r="A87" t="s">
        <v>1076</v>
      </c>
      <c r="B87" t="s">
        <v>2916</v>
      </c>
      <c r="C87" t="s">
        <v>1333</v>
      </c>
      <c r="D87" t="s">
        <v>1299</v>
      </c>
      <c r="E87" s="220">
        <v>9.4511999999999999E-2</v>
      </c>
    </row>
    <row r="88" spans="1:5">
      <c r="A88" t="s">
        <v>1079</v>
      </c>
      <c r="B88" t="s">
        <v>2916</v>
      </c>
      <c r="C88" t="s">
        <v>1333</v>
      </c>
      <c r="D88" t="s">
        <v>1299</v>
      </c>
      <c r="E88" s="220">
        <v>9.4299999999999995E-2</v>
      </c>
    </row>
    <row r="89" spans="1:5">
      <c r="A89" t="s">
        <v>1082</v>
      </c>
      <c r="B89" t="s">
        <v>2916</v>
      </c>
      <c r="C89" t="s">
        <v>1333</v>
      </c>
      <c r="D89" t="s">
        <v>1299</v>
      </c>
      <c r="E89" s="220">
        <v>9.5037999999999997E-2</v>
      </c>
    </row>
    <row r="90" spans="1:5">
      <c r="A90" t="s">
        <v>919</v>
      </c>
      <c r="B90" t="s">
        <v>2916</v>
      </c>
      <c r="C90" t="s">
        <v>1333</v>
      </c>
      <c r="D90" t="s">
        <v>1299</v>
      </c>
      <c r="E90" s="220">
        <v>9.4311000000000006E-2</v>
      </c>
    </row>
    <row r="91" spans="1:5">
      <c r="A91" t="s">
        <v>1085</v>
      </c>
      <c r="B91" t="s">
        <v>2916</v>
      </c>
      <c r="C91" t="s">
        <v>1333</v>
      </c>
      <c r="D91" t="s">
        <v>1299</v>
      </c>
      <c r="E91" s="220">
        <v>9.4550999999999996E-2</v>
      </c>
    </row>
    <row r="92" spans="1:5">
      <c r="A92" t="s">
        <v>1264</v>
      </c>
      <c r="B92" t="s">
        <v>2916</v>
      </c>
      <c r="C92" t="s">
        <v>1333</v>
      </c>
      <c r="D92" t="s">
        <v>1299</v>
      </c>
      <c r="E92" s="220">
        <v>9.4712000000000005E-2</v>
      </c>
    </row>
    <row r="93" spans="1:5">
      <c r="A93" t="s">
        <v>1091</v>
      </c>
      <c r="B93" t="s">
        <v>2916</v>
      </c>
      <c r="C93" t="s">
        <v>1333</v>
      </c>
      <c r="D93" t="s">
        <v>1299</v>
      </c>
      <c r="E93" s="220">
        <v>9.4712000000000005E-2</v>
      </c>
    </row>
    <row r="94" spans="1:5">
      <c r="A94" t="s">
        <v>1094</v>
      </c>
      <c r="B94" t="s">
        <v>2916</v>
      </c>
      <c r="C94" t="s">
        <v>1333</v>
      </c>
      <c r="D94" t="s">
        <v>1299</v>
      </c>
      <c r="E94" s="220">
        <v>9.751399999999999E-2</v>
      </c>
    </row>
    <row r="95" spans="1:5">
      <c r="A95" t="s">
        <v>1097</v>
      </c>
      <c r="B95" t="s">
        <v>2916</v>
      </c>
      <c r="C95" t="s">
        <v>1333</v>
      </c>
      <c r="D95" t="s">
        <v>1299</v>
      </c>
      <c r="E95" s="220">
        <v>9.6226000000000006E-2</v>
      </c>
    </row>
    <row r="96" spans="1:5">
      <c r="A96" t="s">
        <v>1173</v>
      </c>
      <c r="B96" t="s">
        <v>2916</v>
      </c>
      <c r="C96" t="s">
        <v>1333</v>
      </c>
      <c r="D96" t="s">
        <v>1299</v>
      </c>
      <c r="E96" s="220">
        <v>9.9970000000000003E-2</v>
      </c>
    </row>
    <row r="97" spans="1:5">
      <c r="A97" t="s">
        <v>779</v>
      </c>
      <c r="B97" t="s">
        <v>2916</v>
      </c>
      <c r="C97" t="s">
        <v>1333</v>
      </c>
      <c r="D97" t="s">
        <v>1299</v>
      </c>
      <c r="E97" s="220">
        <v>9.9277000000000004E-2</v>
      </c>
    </row>
    <row r="98" spans="1:5">
      <c r="A98" t="s">
        <v>1119</v>
      </c>
      <c r="B98" t="s">
        <v>2916</v>
      </c>
      <c r="C98" t="s">
        <v>1333</v>
      </c>
      <c r="D98" t="s">
        <v>1299</v>
      </c>
      <c r="E98" s="220">
        <v>9.8782999999999996E-2</v>
      </c>
    </row>
    <row r="99" spans="1:5">
      <c r="A99" t="s">
        <v>1176</v>
      </c>
      <c r="B99" t="s">
        <v>2916</v>
      </c>
      <c r="C99" t="s">
        <v>1333</v>
      </c>
      <c r="D99" t="s">
        <v>1299</v>
      </c>
      <c r="E99" s="220">
        <v>9.8519000000000009E-2</v>
      </c>
    </row>
    <row r="100" spans="1:5">
      <c r="A100" t="s">
        <v>1135</v>
      </c>
      <c r="B100" t="s">
        <v>2916</v>
      </c>
      <c r="C100" t="s">
        <v>1333</v>
      </c>
      <c r="D100" t="s">
        <v>1299</v>
      </c>
      <c r="E100" s="220">
        <v>9.8611000000000004E-2</v>
      </c>
    </row>
    <row r="101" spans="1:5">
      <c r="A101" t="s">
        <v>1139</v>
      </c>
      <c r="B101" t="s">
        <v>2916</v>
      </c>
      <c r="C101" t="s">
        <v>1333</v>
      </c>
      <c r="D101" t="s">
        <v>1299</v>
      </c>
      <c r="E101" s="220">
        <v>9.7075000000000009E-2</v>
      </c>
    </row>
    <row r="102" spans="1:5">
      <c r="A102" t="s">
        <v>1179</v>
      </c>
      <c r="B102" t="s">
        <v>2916</v>
      </c>
      <c r="C102" t="s">
        <v>1333</v>
      </c>
      <c r="D102" t="s">
        <v>1299</v>
      </c>
      <c r="E102" s="220">
        <v>9.5159000000000007E-2</v>
      </c>
    </row>
    <row r="103" spans="1:5">
      <c r="A103" t="s">
        <v>1185</v>
      </c>
      <c r="B103" t="s">
        <v>2916</v>
      </c>
      <c r="C103" t="s">
        <v>1333</v>
      </c>
      <c r="D103" t="s">
        <v>1299</v>
      </c>
      <c r="E103" s="220">
        <v>9.4712000000000005E-2</v>
      </c>
    </row>
    <row r="104" spans="1:5">
      <c r="A104" t="s">
        <v>1198</v>
      </c>
      <c r="B104" t="s">
        <v>2916</v>
      </c>
      <c r="C104" t="s">
        <v>1333</v>
      </c>
      <c r="D104" t="s">
        <v>1299</v>
      </c>
      <c r="E104" s="220">
        <v>9.4590999999999995E-2</v>
      </c>
    </row>
    <row r="105" spans="1:5">
      <c r="A105" t="s">
        <v>1192</v>
      </c>
      <c r="B105" t="s">
        <v>2916</v>
      </c>
      <c r="C105" t="s">
        <v>1333</v>
      </c>
      <c r="D105" t="s">
        <v>1299</v>
      </c>
      <c r="E105" s="220">
        <v>9.589700000000001E-2</v>
      </c>
    </row>
    <row r="106" spans="1:5">
      <c r="A106" t="s">
        <v>1219</v>
      </c>
      <c r="B106" t="s">
        <v>2916</v>
      </c>
      <c r="C106" t="s">
        <v>1333</v>
      </c>
      <c r="D106" t="s">
        <v>1299</v>
      </c>
      <c r="E106" s="220">
        <v>9.589700000000001E-2</v>
      </c>
    </row>
    <row r="107" spans="1:5">
      <c r="A107" t="s">
        <v>1210</v>
      </c>
      <c r="B107" t="s">
        <v>2916</v>
      </c>
      <c r="C107" t="s">
        <v>1333</v>
      </c>
      <c r="D107" t="s">
        <v>1299</v>
      </c>
      <c r="E107" s="220">
        <v>9.8519000000000009E-2</v>
      </c>
    </row>
    <row r="108" spans="1:5">
      <c r="A108" t="s">
        <v>1213</v>
      </c>
      <c r="B108" t="s">
        <v>2916</v>
      </c>
      <c r="C108" t="s">
        <v>1333</v>
      </c>
      <c r="D108" t="s">
        <v>1299</v>
      </c>
      <c r="E108" s="220">
        <v>9.9970000000000003E-2</v>
      </c>
    </row>
    <row r="109" spans="1:5">
      <c r="A109" t="s">
        <v>1216</v>
      </c>
      <c r="B109" t="s">
        <v>2916</v>
      </c>
      <c r="C109" t="s">
        <v>1333</v>
      </c>
      <c r="D109" t="s">
        <v>1299</v>
      </c>
      <c r="E109" s="220">
        <v>9.6061999999999995E-2</v>
      </c>
    </row>
    <row r="110" spans="1:5">
      <c r="A110" t="s">
        <v>1189</v>
      </c>
      <c r="B110" t="s">
        <v>2916</v>
      </c>
      <c r="C110" t="s">
        <v>1333</v>
      </c>
      <c r="D110" t="s">
        <v>1299</v>
      </c>
      <c r="E110" s="220">
        <v>9.4775999999999999E-2</v>
      </c>
    </row>
    <row r="111" spans="1:5">
      <c r="A111" t="s">
        <v>1232</v>
      </c>
      <c r="B111" t="s">
        <v>2916</v>
      </c>
      <c r="C111" t="s">
        <v>1333</v>
      </c>
      <c r="D111" t="s">
        <v>1299</v>
      </c>
      <c r="E111" s="220">
        <v>9.5802999999999999E-2</v>
      </c>
    </row>
    <row r="112" spans="1:5">
      <c r="A112" t="s">
        <v>1241</v>
      </c>
      <c r="B112" t="s">
        <v>2916</v>
      </c>
      <c r="C112" t="s">
        <v>1333</v>
      </c>
      <c r="D112" t="s">
        <v>1299</v>
      </c>
      <c r="E112" s="220">
        <v>9.5588999999999993E-2</v>
      </c>
    </row>
    <row r="113" spans="1:5">
      <c r="A113" t="s">
        <v>1247</v>
      </c>
      <c r="B113" t="s">
        <v>2916</v>
      </c>
      <c r="C113" t="s">
        <v>1333</v>
      </c>
      <c r="D113" t="s">
        <v>1299</v>
      </c>
      <c r="E113" s="220">
        <v>9.589700000000001E-2</v>
      </c>
    </row>
    <row r="114" spans="1:5">
      <c r="A114" t="s">
        <v>1170</v>
      </c>
      <c r="B114" t="s">
        <v>2916</v>
      </c>
      <c r="C114" t="s">
        <v>1333</v>
      </c>
      <c r="D114" t="s">
        <v>1299</v>
      </c>
      <c r="E114" s="220">
        <v>9.8519000000000009E-2</v>
      </c>
    </row>
    <row r="115" spans="1:5">
      <c r="A115" t="s">
        <v>1253</v>
      </c>
      <c r="B115" t="s">
        <v>2916</v>
      </c>
      <c r="C115" t="s">
        <v>1333</v>
      </c>
      <c r="D115" t="s">
        <v>1299</v>
      </c>
      <c r="E115" s="220">
        <v>9.4299999999999995E-2</v>
      </c>
    </row>
    <row r="116" spans="1:5">
      <c r="A116" t="s">
        <v>1257</v>
      </c>
      <c r="B116" t="s">
        <v>2916</v>
      </c>
      <c r="C116" t="s">
        <v>1333</v>
      </c>
      <c r="D116" t="s">
        <v>1299</v>
      </c>
      <c r="E116" s="220">
        <v>9.4299999999999995E-2</v>
      </c>
    </row>
    <row r="117" spans="1:5">
      <c r="A117" t="s">
        <v>1268</v>
      </c>
      <c r="B117" t="s">
        <v>2916</v>
      </c>
      <c r="C117" t="s">
        <v>1333</v>
      </c>
      <c r="D117" t="s">
        <v>1299</v>
      </c>
      <c r="E117" s="220">
        <v>9.4712000000000005E-2</v>
      </c>
    </row>
    <row r="118" spans="1:5">
      <c r="A118" t="s">
        <v>1148</v>
      </c>
      <c r="B118" t="s">
        <v>2916</v>
      </c>
      <c r="C118" t="s">
        <v>1333</v>
      </c>
      <c r="D118" t="s">
        <v>1299</v>
      </c>
      <c r="E118" s="220">
        <v>9.4299999999999995E-2</v>
      </c>
    </row>
    <row r="119" spans="1:5">
      <c r="A119" t="s">
        <v>580</v>
      </c>
      <c r="B119" t="s">
        <v>2916</v>
      </c>
      <c r="C119" t="s">
        <v>1361</v>
      </c>
      <c r="D119" t="s">
        <v>1299</v>
      </c>
      <c r="E119" s="220">
        <v>9.4299999999999995E-2</v>
      </c>
    </row>
    <row r="120" spans="1:5">
      <c r="A120" t="s">
        <v>617</v>
      </c>
      <c r="B120" t="s">
        <v>2916</v>
      </c>
      <c r="C120" t="s">
        <v>1361</v>
      </c>
      <c r="D120" t="s">
        <v>1299</v>
      </c>
      <c r="E120" s="220">
        <v>9.4299999999999995E-2</v>
      </c>
    </row>
    <row r="121" spans="1:5">
      <c r="A121" t="s">
        <v>614</v>
      </c>
      <c r="B121" t="s">
        <v>2916</v>
      </c>
      <c r="C121" t="s">
        <v>1361</v>
      </c>
      <c r="D121" t="s">
        <v>1299</v>
      </c>
      <c r="E121" s="220">
        <v>9.4299999999999995E-2</v>
      </c>
    </row>
    <row r="122" spans="1:5">
      <c r="A122" t="s">
        <v>626</v>
      </c>
      <c r="B122" t="s">
        <v>2916</v>
      </c>
      <c r="C122" t="s">
        <v>1361</v>
      </c>
      <c r="D122" t="s">
        <v>1299</v>
      </c>
      <c r="E122" s="220">
        <v>9.6338999999999994E-2</v>
      </c>
    </row>
    <row r="123" spans="1:5">
      <c r="A123" t="s">
        <v>629</v>
      </c>
      <c r="B123" t="s">
        <v>2916</v>
      </c>
      <c r="C123" t="s">
        <v>1361</v>
      </c>
      <c r="D123" t="s">
        <v>1299</v>
      </c>
      <c r="E123" s="220">
        <v>9.4299999999999995E-2</v>
      </c>
    </row>
    <row r="124" spans="1:5">
      <c r="A124" t="s">
        <v>650</v>
      </c>
      <c r="B124" t="s">
        <v>2916</v>
      </c>
      <c r="C124" t="s">
        <v>1361</v>
      </c>
      <c r="D124" t="s">
        <v>1299</v>
      </c>
      <c r="E124" s="220">
        <v>9.4299999999999995E-2</v>
      </c>
    </row>
    <row r="125" spans="1:5">
      <c r="A125" t="s">
        <v>641</v>
      </c>
      <c r="B125" t="s">
        <v>2916</v>
      </c>
      <c r="C125" t="s">
        <v>1361</v>
      </c>
      <c r="D125" t="s">
        <v>1299</v>
      </c>
      <c r="E125" s="220">
        <v>9.4299999999999995E-2</v>
      </c>
    </row>
    <row r="126" spans="1:5">
      <c r="A126" t="s">
        <v>687</v>
      </c>
      <c r="B126" t="s">
        <v>2916</v>
      </c>
      <c r="C126" t="s">
        <v>1361</v>
      </c>
      <c r="D126" t="s">
        <v>1299</v>
      </c>
      <c r="E126" s="220">
        <v>9.8005999999999996E-2</v>
      </c>
    </row>
    <row r="127" spans="1:5">
      <c r="A127" t="s">
        <v>635</v>
      </c>
      <c r="B127" t="s">
        <v>2916</v>
      </c>
      <c r="C127" t="s">
        <v>1361</v>
      </c>
      <c r="D127" t="s">
        <v>1299</v>
      </c>
      <c r="E127" s="220">
        <v>9.4299999999999995E-2</v>
      </c>
    </row>
    <row r="128" spans="1:5">
      <c r="A128" t="s">
        <v>670</v>
      </c>
      <c r="B128" t="s">
        <v>2916</v>
      </c>
      <c r="C128" t="s">
        <v>1361</v>
      </c>
      <c r="D128" t="s">
        <v>1299</v>
      </c>
      <c r="E128" s="220">
        <v>9.5893000000000006E-2</v>
      </c>
    </row>
    <row r="129" spans="1:5">
      <c r="A129" t="s">
        <v>647</v>
      </c>
      <c r="B129" t="s">
        <v>2916</v>
      </c>
      <c r="C129" t="s">
        <v>1361</v>
      </c>
      <c r="D129" t="s">
        <v>1299</v>
      </c>
      <c r="E129" s="220">
        <v>9.9428000000000002E-2</v>
      </c>
    </row>
    <row r="130" spans="1:5">
      <c r="A130" t="s">
        <v>653</v>
      </c>
      <c r="B130" t="s">
        <v>2916</v>
      </c>
      <c r="C130" t="s">
        <v>1361</v>
      </c>
      <c r="D130" t="s">
        <v>1299</v>
      </c>
      <c r="E130" s="220">
        <v>9.4299999999999995E-2</v>
      </c>
    </row>
    <row r="131" spans="1:5">
      <c r="A131" t="s">
        <v>659</v>
      </c>
      <c r="B131" t="s">
        <v>2916</v>
      </c>
      <c r="C131" t="s">
        <v>1361</v>
      </c>
      <c r="D131" t="s">
        <v>1299</v>
      </c>
      <c r="E131" s="220">
        <v>9.4299999999999995E-2</v>
      </c>
    </row>
    <row r="132" spans="1:5">
      <c r="A132" t="s">
        <v>676</v>
      </c>
      <c r="B132" t="s">
        <v>2916</v>
      </c>
      <c r="C132" t="s">
        <v>1361</v>
      </c>
      <c r="D132" t="s">
        <v>1299</v>
      </c>
      <c r="E132" s="220">
        <v>9.5251000000000002E-2</v>
      </c>
    </row>
    <row r="133" spans="1:5">
      <c r="A133" t="s">
        <v>644</v>
      </c>
      <c r="B133" t="s">
        <v>2916</v>
      </c>
      <c r="C133" t="s">
        <v>1361</v>
      </c>
      <c r="D133" t="s">
        <v>1299</v>
      </c>
      <c r="E133" s="220">
        <v>9.4299999999999995E-2</v>
      </c>
    </row>
    <row r="134" spans="1:5">
      <c r="A134" t="s">
        <v>664</v>
      </c>
      <c r="B134" t="s">
        <v>2916</v>
      </c>
      <c r="C134" t="s">
        <v>1361</v>
      </c>
      <c r="D134" t="s">
        <v>1299</v>
      </c>
      <c r="E134" s="220">
        <v>9.4299999999999995E-2</v>
      </c>
    </row>
    <row r="135" spans="1:5">
      <c r="A135" t="s">
        <v>705</v>
      </c>
      <c r="B135" t="s">
        <v>2916</v>
      </c>
      <c r="C135" t="s">
        <v>1361</v>
      </c>
      <c r="D135" t="s">
        <v>1299</v>
      </c>
      <c r="E135" s="220">
        <v>9.5306000000000002E-2</v>
      </c>
    </row>
    <row r="136" spans="1:5">
      <c r="A136" t="s">
        <v>720</v>
      </c>
      <c r="B136" t="s">
        <v>2916</v>
      </c>
      <c r="C136" t="s">
        <v>1361</v>
      </c>
      <c r="D136" t="s">
        <v>1299</v>
      </c>
      <c r="E136" s="220">
        <v>9.4299999999999995E-2</v>
      </c>
    </row>
    <row r="137" spans="1:5">
      <c r="A137" t="s">
        <v>723</v>
      </c>
      <c r="B137" t="s">
        <v>2916</v>
      </c>
      <c r="C137" t="s">
        <v>1361</v>
      </c>
      <c r="D137" t="s">
        <v>1299</v>
      </c>
      <c r="E137" s="220">
        <v>9.4299999999999995E-2</v>
      </c>
    </row>
    <row r="138" spans="1:5">
      <c r="A138" t="s">
        <v>726</v>
      </c>
      <c r="B138" t="s">
        <v>2916</v>
      </c>
      <c r="C138" t="s">
        <v>1361</v>
      </c>
      <c r="D138" t="s">
        <v>1299</v>
      </c>
      <c r="E138" s="220">
        <v>9.4299999999999995E-2</v>
      </c>
    </row>
    <row r="139" spans="1:5">
      <c r="A139" t="s">
        <v>738</v>
      </c>
      <c r="B139" t="s">
        <v>2916</v>
      </c>
      <c r="C139" t="s">
        <v>1361</v>
      </c>
      <c r="D139" t="s">
        <v>1299</v>
      </c>
      <c r="E139" s="220">
        <v>9.4299999999999995E-2</v>
      </c>
    </row>
    <row r="140" spans="1:5">
      <c r="A140" t="s">
        <v>747</v>
      </c>
      <c r="B140" t="s">
        <v>2916</v>
      </c>
      <c r="C140" t="s">
        <v>1361</v>
      </c>
      <c r="D140" t="s">
        <v>1299</v>
      </c>
      <c r="E140" s="220">
        <v>9.4299999999999995E-2</v>
      </c>
    </row>
    <row r="141" spans="1:5">
      <c r="A141" t="s">
        <v>757</v>
      </c>
      <c r="B141" t="s">
        <v>2916</v>
      </c>
      <c r="C141" t="s">
        <v>1361</v>
      </c>
      <c r="D141" t="s">
        <v>1299</v>
      </c>
      <c r="E141" s="220">
        <v>9.8480999999999999E-2</v>
      </c>
    </row>
    <row r="142" spans="1:5">
      <c r="A142" t="s">
        <v>823</v>
      </c>
      <c r="B142" t="s">
        <v>2916</v>
      </c>
      <c r="C142" t="s">
        <v>1361</v>
      </c>
      <c r="D142" t="s">
        <v>1299</v>
      </c>
      <c r="E142" s="220">
        <v>9.7606999999999999E-2</v>
      </c>
    </row>
    <row r="143" spans="1:5">
      <c r="A143" t="s">
        <v>767</v>
      </c>
      <c r="B143" t="s">
        <v>2916</v>
      </c>
      <c r="C143" t="s">
        <v>1361</v>
      </c>
      <c r="D143" t="s">
        <v>1299</v>
      </c>
      <c r="E143" s="220">
        <v>9.4299999999999995E-2</v>
      </c>
    </row>
    <row r="144" spans="1:5">
      <c r="A144" t="s">
        <v>761</v>
      </c>
      <c r="B144" t="s">
        <v>2916</v>
      </c>
      <c r="C144" t="s">
        <v>1361</v>
      </c>
      <c r="D144" t="s">
        <v>1299</v>
      </c>
      <c r="E144" s="220">
        <v>9.4299999999999995E-2</v>
      </c>
    </row>
    <row r="145" spans="1:5">
      <c r="A145" t="s">
        <v>770</v>
      </c>
      <c r="B145" t="s">
        <v>2916</v>
      </c>
      <c r="C145" t="s">
        <v>1361</v>
      </c>
      <c r="D145" t="s">
        <v>1299</v>
      </c>
      <c r="E145" s="220">
        <v>9.4299999999999995E-2</v>
      </c>
    </row>
    <row r="146" spans="1:5">
      <c r="A146" t="s">
        <v>592</v>
      </c>
      <c r="B146" t="s">
        <v>2916</v>
      </c>
      <c r="C146" t="s">
        <v>1361</v>
      </c>
      <c r="D146" t="s">
        <v>1299</v>
      </c>
      <c r="E146" s="220">
        <v>9.4299999999999995E-2</v>
      </c>
    </row>
    <row r="147" spans="1:5">
      <c r="A147" t="s">
        <v>773</v>
      </c>
      <c r="B147" t="s">
        <v>2916</v>
      </c>
      <c r="C147" t="s">
        <v>1361</v>
      </c>
      <c r="D147" t="s">
        <v>1299</v>
      </c>
      <c r="E147" s="220">
        <v>9.4299999999999995E-2</v>
      </c>
    </row>
    <row r="148" spans="1:5">
      <c r="A148" t="s">
        <v>1154</v>
      </c>
      <c r="B148" t="s">
        <v>2916</v>
      </c>
      <c r="C148" t="s">
        <v>1361</v>
      </c>
      <c r="D148" t="s">
        <v>1299</v>
      </c>
      <c r="E148" s="220">
        <v>9.4299999999999995E-2</v>
      </c>
    </row>
    <row r="149" spans="1:5">
      <c r="A149" t="s">
        <v>788</v>
      </c>
      <c r="B149" t="s">
        <v>2916</v>
      </c>
      <c r="C149" t="s">
        <v>1361</v>
      </c>
      <c r="D149" t="s">
        <v>1299</v>
      </c>
      <c r="E149" s="220">
        <v>0.106798</v>
      </c>
    </row>
    <row r="150" spans="1:5">
      <c r="A150" t="s">
        <v>805</v>
      </c>
      <c r="B150" t="s">
        <v>2916</v>
      </c>
      <c r="C150" t="s">
        <v>1361</v>
      </c>
      <c r="D150" t="s">
        <v>1299</v>
      </c>
      <c r="E150" s="220">
        <v>9.8149E-2</v>
      </c>
    </row>
    <row r="151" spans="1:5">
      <c r="A151" t="s">
        <v>808</v>
      </c>
      <c r="B151" t="s">
        <v>2916</v>
      </c>
      <c r="C151" t="s">
        <v>1361</v>
      </c>
      <c r="D151" t="s">
        <v>1299</v>
      </c>
      <c r="E151" s="220">
        <v>9.4980000000000009E-2</v>
      </c>
    </row>
    <row r="152" spans="1:5">
      <c r="A152" t="s">
        <v>833</v>
      </c>
      <c r="B152" t="s">
        <v>2916</v>
      </c>
      <c r="C152" t="s">
        <v>1361</v>
      </c>
      <c r="D152" t="s">
        <v>1299</v>
      </c>
      <c r="E152" s="220">
        <v>0.1013</v>
      </c>
    </row>
    <row r="153" spans="1:5">
      <c r="A153" t="s">
        <v>839</v>
      </c>
      <c r="B153" t="s">
        <v>2916</v>
      </c>
      <c r="C153" t="s">
        <v>1361</v>
      </c>
      <c r="D153" t="s">
        <v>1299</v>
      </c>
      <c r="E153" s="220">
        <v>9.4299999999999995E-2</v>
      </c>
    </row>
    <row r="154" spans="1:5">
      <c r="A154" t="s">
        <v>845</v>
      </c>
      <c r="B154" t="s">
        <v>2916</v>
      </c>
      <c r="C154" t="s">
        <v>1361</v>
      </c>
      <c r="D154" t="s">
        <v>1299</v>
      </c>
      <c r="E154" s="220">
        <v>9.4299999999999995E-2</v>
      </c>
    </row>
    <row r="155" spans="1:5">
      <c r="A155" t="s">
        <v>854</v>
      </c>
      <c r="B155" t="s">
        <v>2916</v>
      </c>
      <c r="C155" t="s">
        <v>1361</v>
      </c>
      <c r="D155" t="s">
        <v>1299</v>
      </c>
      <c r="E155" s="220">
        <v>9.4299999999999995E-2</v>
      </c>
    </row>
    <row r="156" spans="1:5">
      <c r="A156" t="s">
        <v>863</v>
      </c>
      <c r="B156" t="s">
        <v>2916</v>
      </c>
      <c r="C156" t="s">
        <v>1361</v>
      </c>
      <c r="D156" t="s">
        <v>1299</v>
      </c>
      <c r="E156" s="220">
        <v>9.4299999999999995E-2</v>
      </c>
    </row>
    <row r="157" spans="1:5">
      <c r="A157" t="s">
        <v>860</v>
      </c>
      <c r="B157" t="s">
        <v>2916</v>
      </c>
      <c r="C157" t="s">
        <v>1361</v>
      </c>
      <c r="D157" t="s">
        <v>1299</v>
      </c>
      <c r="E157" s="220">
        <v>9.4299999999999995E-2</v>
      </c>
    </row>
    <row r="158" spans="1:5">
      <c r="A158" t="s">
        <v>744</v>
      </c>
      <c r="B158" t="s">
        <v>2916</v>
      </c>
      <c r="C158" t="s">
        <v>1361</v>
      </c>
      <c r="D158" t="s">
        <v>1299</v>
      </c>
      <c r="E158" s="220">
        <v>9.4323999999999991E-2</v>
      </c>
    </row>
    <row r="159" spans="1:5">
      <c r="A159" t="s">
        <v>857</v>
      </c>
      <c r="B159" t="s">
        <v>2916</v>
      </c>
      <c r="C159" t="s">
        <v>1361</v>
      </c>
      <c r="D159" t="s">
        <v>1299</v>
      </c>
      <c r="E159" s="220">
        <v>9.4299999999999995E-2</v>
      </c>
    </row>
    <row r="160" spans="1:5">
      <c r="A160" t="s">
        <v>866</v>
      </c>
      <c r="B160" t="s">
        <v>2916</v>
      </c>
      <c r="C160" t="s">
        <v>1361</v>
      </c>
      <c r="D160" t="s">
        <v>1299</v>
      </c>
      <c r="E160" s="220">
        <v>0.101146</v>
      </c>
    </row>
    <row r="161" spans="1:5">
      <c r="A161" t="s">
        <v>875</v>
      </c>
      <c r="B161" t="s">
        <v>2916</v>
      </c>
      <c r="C161" t="s">
        <v>1361</v>
      </c>
      <c r="D161" t="s">
        <v>1299</v>
      </c>
      <c r="E161" s="220">
        <v>9.4299999999999995E-2</v>
      </c>
    </row>
    <row r="162" spans="1:5">
      <c r="A162" t="s">
        <v>872</v>
      </c>
      <c r="B162" t="s">
        <v>2916</v>
      </c>
      <c r="C162" t="s">
        <v>1361</v>
      </c>
      <c r="D162" t="s">
        <v>1299</v>
      </c>
      <c r="E162" s="220">
        <v>9.4476000000000004E-2</v>
      </c>
    </row>
    <row r="163" spans="1:5">
      <c r="A163" t="s">
        <v>884</v>
      </c>
      <c r="B163" t="s">
        <v>2916</v>
      </c>
      <c r="C163" t="s">
        <v>1361</v>
      </c>
      <c r="D163" t="s">
        <v>1299</v>
      </c>
      <c r="E163" s="220">
        <v>9.8824999999999996E-2</v>
      </c>
    </row>
    <row r="164" spans="1:5">
      <c r="A164" t="s">
        <v>891</v>
      </c>
      <c r="B164" t="s">
        <v>2916</v>
      </c>
      <c r="C164" t="s">
        <v>1361</v>
      </c>
      <c r="D164" t="s">
        <v>1299</v>
      </c>
      <c r="E164" s="220">
        <v>9.4331999999999999E-2</v>
      </c>
    </row>
    <row r="165" spans="1:5">
      <c r="A165" t="s">
        <v>894</v>
      </c>
      <c r="B165" t="s">
        <v>2916</v>
      </c>
      <c r="C165" t="s">
        <v>1361</v>
      </c>
      <c r="D165" t="s">
        <v>1299</v>
      </c>
      <c r="E165" s="220">
        <v>9.4299999999999995E-2</v>
      </c>
    </row>
    <row r="166" spans="1:5">
      <c r="A166" t="s">
        <v>897</v>
      </c>
      <c r="B166" t="s">
        <v>2916</v>
      </c>
      <c r="C166" t="s">
        <v>1361</v>
      </c>
      <c r="D166" t="s">
        <v>1299</v>
      </c>
      <c r="E166" s="220">
        <v>9.4299999999999995E-2</v>
      </c>
    </row>
    <row r="167" spans="1:5">
      <c r="A167" t="s">
        <v>900</v>
      </c>
      <c r="B167" t="s">
        <v>2916</v>
      </c>
      <c r="C167" t="s">
        <v>1361</v>
      </c>
      <c r="D167" t="s">
        <v>1299</v>
      </c>
      <c r="E167" s="220">
        <v>9.4299999999999995E-2</v>
      </c>
    </row>
    <row r="168" spans="1:5">
      <c r="A168" t="s">
        <v>906</v>
      </c>
      <c r="B168" t="s">
        <v>2916</v>
      </c>
      <c r="C168" t="s">
        <v>1361</v>
      </c>
      <c r="D168" t="s">
        <v>1299</v>
      </c>
      <c r="E168" s="220">
        <v>9.4303999999999999E-2</v>
      </c>
    </row>
    <row r="169" spans="1:5">
      <c r="A169" t="s">
        <v>930</v>
      </c>
      <c r="B169" t="s">
        <v>2916</v>
      </c>
      <c r="C169" t="s">
        <v>1361</v>
      </c>
      <c r="D169" t="s">
        <v>1299</v>
      </c>
      <c r="E169" s="220">
        <v>9.5582E-2</v>
      </c>
    </row>
    <row r="170" spans="1:5">
      <c r="A170" t="s">
        <v>1160</v>
      </c>
      <c r="B170" t="s">
        <v>2916</v>
      </c>
      <c r="C170" t="s">
        <v>1361</v>
      </c>
      <c r="D170" t="s">
        <v>1299</v>
      </c>
      <c r="E170" s="220">
        <v>9.4299999999999995E-2</v>
      </c>
    </row>
    <row r="171" spans="1:5">
      <c r="A171" t="s">
        <v>915</v>
      </c>
      <c r="B171" t="s">
        <v>2916</v>
      </c>
      <c r="C171" t="s">
        <v>1361</v>
      </c>
      <c r="D171" t="s">
        <v>1299</v>
      </c>
      <c r="E171" s="220">
        <v>9.4299999999999995E-2</v>
      </c>
    </row>
    <row r="172" spans="1:5">
      <c r="A172" t="s">
        <v>933</v>
      </c>
      <c r="B172" t="s">
        <v>2916</v>
      </c>
      <c r="C172" t="s">
        <v>1361</v>
      </c>
      <c r="D172" t="s">
        <v>1299</v>
      </c>
      <c r="E172" s="220">
        <v>9.4299999999999995E-2</v>
      </c>
    </row>
    <row r="173" spans="1:5">
      <c r="A173" t="s">
        <v>1163</v>
      </c>
      <c r="B173" t="s">
        <v>2916</v>
      </c>
      <c r="C173" t="s">
        <v>1361</v>
      </c>
      <c r="D173" t="s">
        <v>1299</v>
      </c>
      <c r="E173" s="220">
        <v>9.4299999999999995E-2</v>
      </c>
    </row>
    <row r="174" spans="1:5">
      <c r="A174" t="s">
        <v>1157</v>
      </c>
      <c r="B174" t="s">
        <v>2916</v>
      </c>
      <c r="C174" t="s">
        <v>1361</v>
      </c>
      <c r="D174" t="s">
        <v>1299</v>
      </c>
      <c r="E174" s="220">
        <v>9.4299999999999995E-2</v>
      </c>
    </row>
    <row r="175" spans="1:5">
      <c r="A175" t="s">
        <v>954</v>
      </c>
      <c r="B175" t="s">
        <v>2916</v>
      </c>
      <c r="C175" t="s">
        <v>1361</v>
      </c>
      <c r="D175" t="s">
        <v>1299</v>
      </c>
      <c r="E175" s="220">
        <v>9.8714999999999997E-2</v>
      </c>
    </row>
    <row r="176" spans="1:5">
      <c r="A176" t="s">
        <v>936</v>
      </c>
      <c r="B176" t="s">
        <v>2916</v>
      </c>
      <c r="C176" t="s">
        <v>1361</v>
      </c>
      <c r="D176" t="s">
        <v>1299</v>
      </c>
      <c r="E176" s="220">
        <v>9.4299999999999995E-2</v>
      </c>
    </row>
    <row r="177" spans="1:5">
      <c r="A177" t="s">
        <v>1014</v>
      </c>
      <c r="B177" t="s">
        <v>2916</v>
      </c>
      <c r="C177" t="s">
        <v>1361</v>
      </c>
      <c r="D177" t="s">
        <v>1299</v>
      </c>
      <c r="E177" s="220">
        <v>9.4299999999999995E-2</v>
      </c>
    </row>
    <row r="178" spans="1:5">
      <c r="A178" t="s">
        <v>993</v>
      </c>
      <c r="B178" t="s">
        <v>2916</v>
      </c>
      <c r="C178" t="s">
        <v>1361</v>
      </c>
      <c r="D178" t="s">
        <v>1299</v>
      </c>
      <c r="E178" s="220">
        <v>9.4299999999999995E-2</v>
      </c>
    </row>
    <row r="179" spans="1:5">
      <c r="A179" t="s">
        <v>963</v>
      </c>
      <c r="B179" t="s">
        <v>2916</v>
      </c>
      <c r="C179" t="s">
        <v>1361</v>
      </c>
      <c r="D179" t="s">
        <v>1299</v>
      </c>
      <c r="E179" s="220">
        <v>9.9500000000000005E-2</v>
      </c>
    </row>
    <row r="180" spans="1:5">
      <c r="A180" t="s">
        <v>1020</v>
      </c>
      <c r="B180" t="s">
        <v>2916</v>
      </c>
      <c r="C180" t="s">
        <v>1361</v>
      </c>
      <c r="D180" t="s">
        <v>1299</v>
      </c>
      <c r="E180" s="220">
        <v>9.4299999999999995E-2</v>
      </c>
    </row>
    <row r="181" spans="1:5">
      <c r="A181" t="s">
        <v>1006</v>
      </c>
      <c r="B181" t="s">
        <v>2916</v>
      </c>
      <c r="C181" t="s">
        <v>1361</v>
      </c>
      <c r="D181" t="s">
        <v>1299</v>
      </c>
      <c r="E181" s="220">
        <v>9.7678000000000001E-2</v>
      </c>
    </row>
    <row r="182" spans="1:5">
      <c r="A182" t="s">
        <v>972</v>
      </c>
      <c r="B182" t="s">
        <v>2916</v>
      </c>
      <c r="C182" t="s">
        <v>1361</v>
      </c>
      <c r="D182" t="s">
        <v>1299</v>
      </c>
      <c r="E182" s="220">
        <v>9.4299999999999995E-2</v>
      </c>
    </row>
    <row r="183" spans="1:5">
      <c r="A183" t="s">
        <v>1042</v>
      </c>
      <c r="B183" t="s">
        <v>2916</v>
      </c>
      <c r="C183" t="s">
        <v>1361</v>
      </c>
      <c r="D183" t="s">
        <v>1299</v>
      </c>
      <c r="E183" s="220">
        <v>9.4299999999999995E-2</v>
      </c>
    </row>
    <row r="184" spans="1:5">
      <c r="A184" t="s">
        <v>1032</v>
      </c>
      <c r="B184" t="s">
        <v>2916</v>
      </c>
      <c r="C184" t="s">
        <v>1361</v>
      </c>
      <c r="D184" t="s">
        <v>1299</v>
      </c>
      <c r="E184" s="220">
        <v>9.4299999999999995E-2</v>
      </c>
    </row>
    <row r="185" spans="1:5">
      <c r="A185" t="s">
        <v>1055</v>
      </c>
      <c r="B185" t="s">
        <v>2916</v>
      </c>
      <c r="C185" t="s">
        <v>1361</v>
      </c>
      <c r="D185" t="s">
        <v>1299</v>
      </c>
      <c r="E185" s="220">
        <v>9.4299999999999995E-2</v>
      </c>
    </row>
    <row r="186" spans="1:5">
      <c r="A186" t="s">
        <v>1039</v>
      </c>
      <c r="B186" t="s">
        <v>2916</v>
      </c>
      <c r="C186" t="s">
        <v>1361</v>
      </c>
      <c r="D186" t="s">
        <v>1299</v>
      </c>
      <c r="E186" s="220">
        <v>9.4299999999999995E-2</v>
      </c>
    </row>
    <row r="187" spans="1:5">
      <c r="A187" t="s">
        <v>1061</v>
      </c>
      <c r="B187" t="s">
        <v>2916</v>
      </c>
      <c r="C187" t="s">
        <v>1361</v>
      </c>
      <c r="D187" t="s">
        <v>1299</v>
      </c>
      <c r="E187" s="220">
        <v>9.4299999999999995E-2</v>
      </c>
    </row>
    <row r="188" spans="1:5">
      <c r="A188" t="s">
        <v>1067</v>
      </c>
      <c r="B188" t="s">
        <v>2916</v>
      </c>
      <c r="C188" t="s">
        <v>1361</v>
      </c>
      <c r="D188" t="s">
        <v>1299</v>
      </c>
      <c r="E188" s="220">
        <v>9.4299999999999995E-2</v>
      </c>
    </row>
    <row r="189" spans="1:5">
      <c r="A189" t="s">
        <v>1076</v>
      </c>
      <c r="B189" t="s">
        <v>2916</v>
      </c>
      <c r="C189" t="s">
        <v>1361</v>
      </c>
      <c r="D189" t="s">
        <v>1299</v>
      </c>
      <c r="E189" s="220">
        <v>9.4299999999999995E-2</v>
      </c>
    </row>
    <row r="190" spans="1:5">
      <c r="A190" t="s">
        <v>1079</v>
      </c>
      <c r="B190" t="s">
        <v>2916</v>
      </c>
      <c r="C190" t="s">
        <v>1361</v>
      </c>
      <c r="D190" t="s">
        <v>1299</v>
      </c>
      <c r="E190" s="220">
        <v>9.4299999999999995E-2</v>
      </c>
    </row>
    <row r="191" spans="1:5">
      <c r="A191" t="s">
        <v>1082</v>
      </c>
      <c r="B191" t="s">
        <v>2916</v>
      </c>
      <c r="C191" t="s">
        <v>1361</v>
      </c>
      <c r="D191" t="s">
        <v>1299</v>
      </c>
      <c r="E191" s="220">
        <v>9.6473000000000003E-2</v>
      </c>
    </row>
    <row r="192" spans="1:5">
      <c r="A192" t="s">
        <v>919</v>
      </c>
      <c r="B192" t="s">
        <v>2916</v>
      </c>
      <c r="C192" t="s">
        <v>1361</v>
      </c>
      <c r="D192" t="s">
        <v>1299</v>
      </c>
      <c r="E192" s="220">
        <v>9.4299999999999995E-2</v>
      </c>
    </row>
    <row r="193" spans="1:5">
      <c r="A193" t="s">
        <v>1094</v>
      </c>
      <c r="B193" t="s">
        <v>2916</v>
      </c>
      <c r="C193" t="s">
        <v>1361</v>
      </c>
      <c r="D193" t="s">
        <v>1299</v>
      </c>
      <c r="E193" s="220">
        <v>9.9214999999999998E-2</v>
      </c>
    </row>
    <row r="194" spans="1:5">
      <c r="A194" t="s">
        <v>1097</v>
      </c>
      <c r="B194" t="s">
        <v>2916</v>
      </c>
      <c r="C194" t="s">
        <v>1361</v>
      </c>
      <c r="D194" t="s">
        <v>1299</v>
      </c>
      <c r="E194" s="220">
        <v>9.6278000000000002E-2</v>
      </c>
    </row>
    <row r="195" spans="1:5">
      <c r="A195" t="s">
        <v>1173</v>
      </c>
      <c r="B195" t="s">
        <v>2916</v>
      </c>
      <c r="C195" t="s">
        <v>1361</v>
      </c>
      <c r="D195" t="s">
        <v>1299</v>
      </c>
      <c r="E195" s="220">
        <v>9.4299999999999995E-2</v>
      </c>
    </row>
    <row r="196" spans="1:5">
      <c r="A196" t="s">
        <v>779</v>
      </c>
      <c r="B196" t="s">
        <v>2916</v>
      </c>
      <c r="C196" t="s">
        <v>1361</v>
      </c>
      <c r="D196" t="s">
        <v>1299</v>
      </c>
      <c r="E196" s="220">
        <v>9.4299999999999995E-2</v>
      </c>
    </row>
    <row r="197" spans="1:5">
      <c r="A197" t="s">
        <v>1119</v>
      </c>
      <c r="B197" t="s">
        <v>2916</v>
      </c>
      <c r="C197" t="s">
        <v>1361</v>
      </c>
      <c r="D197" t="s">
        <v>1299</v>
      </c>
      <c r="E197" s="220">
        <v>9.949899999999999E-2</v>
      </c>
    </row>
    <row r="198" spans="1:5">
      <c r="A198" t="s">
        <v>1176</v>
      </c>
      <c r="B198" t="s">
        <v>2916</v>
      </c>
      <c r="C198" t="s">
        <v>1361</v>
      </c>
      <c r="D198" t="s">
        <v>1299</v>
      </c>
      <c r="E198" s="220">
        <v>9.4299999999999995E-2</v>
      </c>
    </row>
    <row r="199" spans="1:5">
      <c r="A199" t="s">
        <v>1135</v>
      </c>
      <c r="B199" t="s">
        <v>2916</v>
      </c>
      <c r="C199" t="s">
        <v>1361</v>
      </c>
      <c r="D199" t="s">
        <v>1299</v>
      </c>
      <c r="E199" s="220">
        <v>9.7922999999999996E-2</v>
      </c>
    </row>
    <row r="200" spans="1:5">
      <c r="A200" t="s">
        <v>1139</v>
      </c>
      <c r="B200" t="s">
        <v>2916</v>
      </c>
      <c r="C200" t="s">
        <v>1361</v>
      </c>
      <c r="D200" t="s">
        <v>1299</v>
      </c>
      <c r="E200" s="220">
        <v>9.8837999999999995E-2</v>
      </c>
    </row>
    <row r="201" spans="1:5">
      <c r="A201" t="s">
        <v>1179</v>
      </c>
      <c r="B201" t="s">
        <v>2916</v>
      </c>
      <c r="C201" t="s">
        <v>1361</v>
      </c>
      <c r="D201" t="s">
        <v>1299</v>
      </c>
      <c r="E201" s="220">
        <v>9.6281000000000005E-2</v>
      </c>
    </row>
    <row r="202" spans="1:5">
      <c r="A202" t="s">
        <v>1198</v>
      </c>
      <c r="B202" t="s">
        <v>2916</v>
      </c>
      <c r="C202" t="s">
        <v>1361</v>
      </c>
      <c r="D202" t="s">
        <v>1299</v>
      </c>
      <c r="E202" s="220">
        <v>9.6430000000000002E-2</v>
      </c>
    </row>
    <row r="203" spans="1:5">
      <c r="A203" t="s">
        <v>1192</v>
      </c>
      <c r="B203" t="s">
        <v>2916</v>
      </c>
      <c r="C203" t="s">
        <v>1361</v>
      </c>
      <c r="D203" t="s">
        <v>1299</v>
      </c>
      <c r="E203" s="220">
        <v>9.9153000000000005E-2</v>
      </c>
    </row>
    <row r="204" spans="1:5">
      <c r="A204" t="s">
        <v>1219</v>
      </c>
      <c r="B204" t="s">
        <v>2916</v>
      </c>
      <c r="C204" t="s">
        <v>1361</v>
      </c>
      <c r="D204" t="s">
        <v>1299</v>
      </c>
      <c r="E204" s="220">
        <v>9.9153000000000005E-2</v>
      </c>
    </row>
    <row r="205" spans="1:5">
      <c r="A205" t="s">
        <v>1210</v>
      </c>
      <c r="B205" t="s">
        <v>2916</v>
      </c>
      <c r="C205" t="s">
        <v>1361</v>
      </c>
      <c r="D205" t="s">
        <v>1299</v>
      </c>
      <c r="E205" s="220">
        <v>9.4299999999999995E-2</v>
      </c>
    </row>
    <row r="206" spans="1:5">
      <c r="A206" t="s">
        <v>1213</v>
      </c>
      <c r="B206" t="s">
        <v>2916</v>
      </c>
      <c r="C206" t="s">
        <v>1361</v>
      </c>
      <c r="D206" t="s">
        <v>1299</v>
      </c>
      <c r="E206" s="220">
        <v>9.4299999999999995E-2</v>
      </c>
    </row>
    <row r="207" spans="1:5">
      <c r="A207" t="s">
        <v>1216</v>
      </c>
      <c r="B207" t="s">
        <v>2916</v>
      </c>
      <c r="C207" t="s">
        <v>1361</v>
      </c>
      <c r="D207" t="s">
        <v>1299</v>
      </c>
      <c r="E207" s="220">
        <v>9.6812999999999996E-2</v>
      </c>
    </row>
    <row r="208" spans="1:5">
      <c r="A208" t="s">
        <v>1189</v>
      </c>
      <c r="B208" t="s">
        <v>2916</v>
      </c>
      <c r="C208" t="s">
        <v>1361</v>
      </c>
      <c r="D208" t="s">
        <v>1299</v>
      </c>
      <c r="E208" s="220">
        <v>9.4299999999999995E-2</v>
      </c>
    </row>
    <row r="209" spans="1:5">
      <c r="A209" t="s">
        <v>1232</v>
      </c>
      <c r="B209" t="s">
        <v>2916</v>
      </c>
      <c r="C209" t="s">
        <v>1361</v>
      </c>
      <c r="D209" t="s">
        <v>1299</v>
      </c>
      <c r="E209" s="220">
        <v>9.4311999999999993E-2</v>
      </c>
    </row>
    <row r="210" spans="1:5">
      <c r="A210" t="s">
        <v>1241</v>
      </c>
      <c r="B210" t="s">
        <v>2916</v>
      </c>
      <c r="C210" t="s">
        <v>1361</v>
      </c>
      <c r="D210" t="s">
        <v>1299</v>
      </c>
      <c r="E210" s="220">
        <v>9.4618999999999995E-2</v>
      </c>
    </row>
    <row r="211" spans="1:5">
      <c r="A211" t="s">
        <v>1247</v>
      </c>
      <c r="B211" t="s">
        <v>2916</v>
      </c>
      <c r="C211" t="s">
        <v>1361</v>
      </c>
      <c r="D211" t="s">
        <v>1299</v>
      </c>
      <c r="E211" s="220">
        <v>9.9153000000000005E-2</v>
      </c>
    </row>
    <row r="212" spans="1:5">
      <c r="A212" t="s">
        <v>1170</v>
      </c>
      <c r="B212" t="s">
        <v>2916</v>
      </c>
      <c r="C212" t="s">
        <v>1361</v>
      </c>
      <c r="D212" t="s">
        <v>1299</v>
      </c>
      <c r="E212" s="220">
        <v>9.4299999999999995E-2</v>
      </c>
    </row>
    <row r="213" spans="1:5">
      <c r="A213" t="s">
        <v>1257</v>
      </c>
      <c r="B213" t="s">
        <v>2916</v>
      </c>
      <c r="C213" t="s">
        <v>1361</v>
      </c>
      <c r="D213" t="s">
        <v>1299</v>
      </c>
      <c r="E213" s="220">
        <v>9.4299999999999995E-2</v>
      </c>
    </row>
    <row r="214" spans="1:5">
      <c r="A214" t="s">
        <v>1148</v>
      </c>
      <c r="B214" t="s">
        <v>2916</v>
      </c>
      <c r="C214" t="s">
        <v>1361</v>
      </c>
      <c r="D214" t="s">
        <v>1299</v>
      </c>
      <c r="E214" s="220">
        <v>9.4299999999999995E-2</v>
      </c>
    </row>
    <row r="215" spans="1:5">
      <c r="A215" t="s">
        <v>629</v>
      </c>
      <c r="B215" t="s">
        <v>2916</v>
      </c>
      <c r="C215" t="s">
        <v>1365</v>
      </c>
      <c r="D215" t="s">
        <v>1299</v>
      </c>
      <c r="E215" s="220">
        <v>9.5394999999999994E-2</v>
      </c>
    </row>
    <row r="216" spans="1:5">
      <c r="A216" t="s">
        <v>650</v>
      </c>
      <c r="B216" t="s">
        <v>2916</v>
      </c>
      <c r="C216" t="s">
        <v>1365</v>
      </c>
      <c r="D216" t="s">
        <v>1299</v>
      </c>
      <c r="E216" s="220">
        <v>9.4299999999999995E-2</v>
      </c>
    </row>
    <row r="217" spans="1:5">
      <c r="A217" t="s">
        <v>687</v>
      </c>
      <c r="B217" t="s">
        <v>2916</v>
      </c>
      <c r="C217" t="s">
        <v>1365</v>
      </c>
      <c r="D217" t="s">
        <v>1299</v>
      </c>
      <c r="E217" s="220">
        <v>9.4953999999999997E-2</v>
      </c>
    </row>
    <row r="218" spans="1:5">
      <c r="A218" t="s">
        <v>670</v>
      </c>
      <c r="B218" t="s">
        <v>2916</v>
      </c>
      <c r="C218" t="s">
        <v>1365</v>
      </c>
      <c r="D218" t="s">
        <v>1299</v>
      </c>
      <c r="E218" s="220">
        <v>9.6875000000000003E-2</v>
      </c>
    </row>
    <row r="219" spans="1:5">
      <c r="A219" t="s">
        <v>647</v>
      </c>
      <c r="B219" t="s">
        <v>2916</v>
      </c>
      <c r="C219" t="s">
        <v>1365</v>
      </c>
      <c r="D219" t="s">
        <v>1299</v>
      </c>
      <c r="E219" s="220">
        <v>9.9471999999999991E-2</v>
      </c>
    </row>
    <row r="220" spans="1:5">
      <c r="A220" t="s">
        <v>705</v>
      </c>
      <c r="B220" t="s">
        <v>2916</v>
      </c>
      <c r="C220" t="s">
        <v>1365</v>
      </c>
      <c r="D220" t="s">
        <v>1299</v>
      </c>
      <c r="E220" s="220">
        <v>9.9500000000000005E-2</v>
      </c>
    </row>
    <row r="221" spans="1:5">
      <c r="A221" t="s">
        <v>1182</v>
      </c>
      <c r="B221" t="s">
        <v>2916</v>
      </c>
      <c r="C221" t="s">
        <v>1365</v>
      </c>
      <c r="D221" t="s">
        <v>1299</v>
      </c>
      <c r="E221" s="220">
        <v>9.4299999999999995E-2</v>
      </c>
    </row>
    <row r="222" spans="1:5">
      <c r="A222" t="s">
        <v>723</v>
      </c>
      <c r="B222" t="s">
        <v>2916</v>
      </c>
      <c r="C222" t="s">
        <v>1365</v>
      </c>
      <c r="D222" t="s">
        <v>1299</v>
      </c>
      <c r="E222" s="220">
        <v>9.4328999999999996E-2</v>
      </c>
    </row>
    <row r="223" spans="1:5">
      <c r="A223" t="s">
        <v>726</v>
      </c>
      <c r="B223" t="s">
        <v>2916</v>
      </c>
      <c r="C223" t="s">
        <v>1365</v>
      </c>
      <c r="D223" t="s">
        <v>1299</v>
      </c>
      <c r="E223" s="220">
        <v>9.4299999999999995E-2</v>
      </c>
    </row>
    <row r="224" spans="1:5">
      <c r="A224" t="s">
        <v>757</v>
      </c>
      <c r="B224" t="s">
        <v>2916</v>
      </c>
      <c r="C224" t="s">
        <v>1365</v>
      </c>
      <c r="D224" t="s">
        <v>1299</v>
      </c>
      <c r="E224" s="220">
        <v>9.9015000000000006E-2</v>
      </c>
    </row>
    <row r="225" spans="1:5">
      <c r="A225" t="s">
        <v>823</v>
      </c>
      <c r="B225" t="s">
        <v>2916</v>
      </c>
      <c r="C225" t="s">
        <v>1365</v>
      </c>
      <c r="D225" t="s">
        <v>1299</v>
      </c>
      <c r="E225" s="220">
        <v>9.4299999999999995E-2</v>
      </c>
    </row>
    <row r="226" spans="1:5">
      <c r="A226" t="s">
        <v>1154</v>
      </c>
      <c r="B226" t="s">
        <v>2916</v>
      </c>
      <c r="C226" t="s">
        <v>1365</v>
      </c>
      <c r="D226" t="s">
        <v>1299</v>
      </c>
      <c r="E226" s="220">
        <v>9.4299999999999995E-2</v>
      </c>
    </row>
    <row r="227" spans="1:5">
      <c r="A227" t="s">
        <v>788</v>
      </c>
      <c r="B227" t="s">
        <v>2916</v>
      </c>
      <c r="C227" t="s">
        <v>1365</v>
      </c>
      <c r="D227" t="s">
        <v>1299</v>
      </c>
      <c r="E227" s="220">
        <v>9.9958000000000005E-2</v>
      </c>
    </row>
    <row r="228" spans="1:5">
      <c r="A228" t="s">
        <v>805</v>
      </c>
      <c r="B228" t="s">
        <v>2916</v>
      </c>
      <c r="C228" t="s">
        <v>1365</v>
      </c>
      <c r="D228" t="s">
        <v>1299</v>
      </c>
      <c r="E228" s="220">
        <v>0.10511100000000001</v>
      </c>
    </row>
    <row r="229" spans="1:5">
      <c r="A229" t="s">
        <v>808</v>
      </c>
      <c r="B229" t="s">
        <v>2916</v>
      </c>
      <c r="C229" t="s">
        <v>1365</v>
      </c>
      <c r="D229" t="s">
        <v>1299</v>
      </c>
      <c r="E229" s="220">
        <v>9.5000000000000001E-2</v>
      </c>
    </row>
    <row r="230" spans="1:5">
      <c r="A230" t="s">
        <v>1238</v>
      </c>
      <c r="B230" t="s">
        <v>2916</v>
      </c>
      <c r="C230" t="s">
        <v>1365</v>
      </c>
      <c r="D230" t="s">
        <v>1299</v>
      </c>
      <c r="E230" s="220">
        <v>9.4400999999999999E-2</v>
      </c>
    </row>
    <row r="231" spans="1:5">
      <c r="A231" t="s">
        <v>833</v>
      </c>
      <c r="B231" t="s">
        <v>2916</v>
      </c>
      <c r="C231" t="s">
        <v>1365</v>
      </c>
      <c r="D231" t="s">
        <v>1299</v>
      </c>
      <c r="E231" s="220">
        <v>0.1013</v>
      </c>
    </row>
    <row r="232" spans="1:5">
      <c r="A232" t="s">
        <v>744</v>
      </c>
      <c r="B232" t="s">
        <v>2916</v>
      </c>
      <c r="C232" t="s">
        <v>1365</v>
      </c>
      <c r="D232" t="s">
        <v>1299</v>
      </c>
      <c r="E232" s="220">
        <v>9.9500000000000005E-2</v>
      </c>
    </row>
    <row r="233" spans="1:5">
      <c r="A233" t="s">
        <v>866</v>
      </c>
      <c r="B233" t="s">
        <v>2916</v>
      </c>
      <c r="C233" t="s">
        <v>1365</v>
      </c>
      <c r="D233" t="s">
        <v>1299</v>
      </c>
      <c r="E233" s="220">
        <v>9.6495999999999998E-2</v>
      </c>
    </row>
    <row r="234" spans="1:5">
      <c r="A234" t="s">
        <v>872</v>
      </c>
      <c r="B234" t="s">
        <v>2916</v>
      </c>
      <c r="C234" t="s">
        <v>1365</v>
      </c>
      <c r="D234" t="s">
        <v>1299</v>
      </c>
      <c r="E234" s="220">
        <v>9.4435000000000005E-2</v>
      </c>
    </row>
    <row r="235" spans="1:5">
      <c r="A235" t="s">
        <v>884</v>
      </c>
      <c r="B235" t="s">
        <v>2916</v>
      </c>
      <c r="C235" t="s">
        <v>1365</v>
      </c>
      <c r="D235" t="s">
        <v>1299</v>
      </c>
      <c r="E235" s="220">
        <v>0.10065099999999999</v>
      </c>
    </row>
    <row r="236" spans="1:5">
      <c r="A236" t="s">
        <v>878</v>
      </c>
      <c r="B236" t="s">
        <v>2916</v>
      </c>
      <c r="C236" t="s">
        <v>1365</v>
      </c>
      <c r="D236" t="s">
        <v>1299</v>
      </c>
      <c r="E236" s="220">
        <v>9.4299999999999995E-2</v>
      </c>
    </row>
    <row r="237" spans="1:5">
      <c r="A237" t="s">
        <v>954</v>
      </c>
      <c r="B237" t="s">
        <v>2916</v>
      </c>
      <c r="C237" t="s">
        <v>1365</v>
      </c>
      <c r="D237" t="s">
        <v>1299</v>
      </c>
      <c r="E237" s="220">
        <v>9.5807000000000003E-2</v>
      </c>
    </row>
    <row r="238" spans="1:5">
      <c r="A238" t="s">
        <v>936</v>
      </c>
      <c r="B238" t="s">
        <v>2916</v>
      </c>
      <c r="C238" t="s">
        <v>1365</v>
      </c>
      <c r="D238" t="s">
        <v>1299</v>
      </c>
      <c r="E238" s="220">
        <v>9.4402E-2</v>
      </c>
    </row>
    <row r="239" spans="1:5">
      <c r="A239" t="s">
        <v>999</v>
      </c>
      <c r="B239" t="s">
        <v>2916</v>
      </c>
      <c r="C239" t="s">
        <v>1365</v>
      </c>
      <c r="D239" t="s">
        <v>1299</v>
      </c>
      <c r="E239" s="220">
        <v>9.4299999999999995E-2</v>
      </c>
    </row>
    <row r="240" spans="1:5">
      <c r="A240" t="s">
        <v>963</v>
      </c>
      <c r="B240" t="s">
        <v>2916</v>
      </c>
      <c r="C240" t="s">
        <v>1365</v>
      </c>
      <c r="D240" t="s">
        <v>1299</v>
      </c>
      <c r="E240" s="220">
        <v>9.9500000000000005E-2</v>
      </c>
    </row>
    <row r="241" spans="1:5">
      <c r="A241" t="s">
        <v>1006</v>
      </c>
      <c r="B241" t="s">
        <v>2916</v>
      </c>
      <c r="C241" t="s">
        <v>1365</v>
      </c>
      <c r="D241" t="s">
        <v>1299</v>
      </c>
      <c r="E241" s="220">
        <v>9.597E-2</v>
      </c>
    </row>
    <row r="242" spans="1:5">
      <c r="A242" t="s">
        <v>1032</v>
      </c>
      <c r="B242" t="s">
        <v>2916</v>
      </c>
      <c r="C242" t="s">
        <v>1365</v>
      </c>
      <c r="D242" t="s">
        <v>1299</v>
      </c>
      <c r="E242" s="220">
        <v>9.4299999999999995E-2</v>
      </c>
    </row>
    <row r="243" spans="1:5">
      <c r="A243" t="s">
        <v>1029</v>
      </c>
      <c r="B243" t="s">
        <v>2916</v>
      </c>
      <c r="C243" t="s">
        <v>1365</v>
      </c>
      <c r="D243" t="s">
        <v>1299</v>
      </c>
      <c r="E243" s="220">
        <v>9.4299999999999995E-2</v>
      </c>
    </row>
    <row r="244" spans="1:5">
      <c r="A244" t="s">
        <v>1039</v>
      </c>
      <c r="B244" t="s">
        <v>2916</v>
      </c>
      <c r="C244" t="s">
        <v>1365</v>
      </c>
      <c r="D244" t="s">
        <v>1299</v>
      </c>
      <c r="E244" s="220">
        <v>9.7075999999999996E-2</v>
      </c>
    </row>
    <row r="245" spans="1:5">
      <c r="A245" t="s">
        <v>1082</v>
      </c>
      <c r="B245" t="s">
        <v>2916</v>
      </c>
      <c r="C245" t="s">
        <v>1365</v>
      </c>
      <c r="D245" t="s">
        <v>1299</v>
      </c>
      <c r="E245" s="220">
        <v>9.4382000000000008E-2</v>
      </c>
    </row>
    <row r="246" spans="1:5">
      <c r="A246" t="s">
        <v>1094</v>
      </c>
      <c r="B246" t="s">
        <v>2916</v>
      </c>
      <c r="C246" t="s">
        <v>1365</v>
      </c>
      <c r="D246" t="s">
        <v>1299</v>
      </c>
      <c r="E246" s="220">
        <v>9.9500000000000005E-2</v>
      </c>
    </row>
    <row r="247" spans="1:5">
      <c r="A247" t="s">
        <v>1097</v>
      </c>
      <c r="B247" t="s">
        <v>2916</v>
      </c>
      <c r="C247" t="s">
        <v>1365</v>
      </c>
      <c r="D247" t="s">
        <v>1299</v>
      </c>
      <c r="E247" s="220">
        <v>9.5010999999999998E-2</v>
      </c>
    </row>
    <row r="248" spans="1:5">
      <c r="A248" t="s">
        <v>1119</v>
      </c>
      <c r="B248" t="s">
        <v>2916</v>
      </c>
      <c r="C248" t="s">
        <v>1365</v>
      </c>
      <c r="D248" t="s">
        <v>1299</v>
      </c>
      <c r="E248" s="220">
        <v>9.9500000000000005E-2</v>
      </c>
    </row>
    <row r="249" spans="1:5">
      <c r="A249" t="s">
        <v>1135</v>
      </c>
      <c r="B249" t="s">
        <v>2916</v>
      </c>
      <c r="C249" t="s">
        <v>1365</v>
      </c>
      <c r="D249" t="s">
        <v>1299</v>
      </c>
      <c r="E249" s="220">
        <v>9.8438999999999999E-2</v>
      </c>
    </row>
    <row r="250" spans="1:5">
      <c r="A250" t="s">
        <v>1192</v>
      </c>
      <c r="B250" t="s">
        <v>2916</v>
      </c>
      <c r="C250" t="s">
        <v>1365</v>
      </c>
      <c r="D250" t="s">
        <v>1299</v>
      </c>
      <c r="E250" s="220">
        <v>9.9500000000000005E-2</v>
      </c>
    </row>
    <row r="251" spans="1:5">
      <c r="A251" t="s">
        <v>1219</v>
      </c>
      <c r="B251" t="s">
        <v>2916</v>
      </c>
      <c r="C251" t="s">
        <v>1365</v>
      </c>
      <c r="D251" t="s">
        <v>1299</v>
      </c>
      <c r="E251" s="220">
        <v>9.9500000000000005E-2</v>
      </c>
    </row>
    <row r="252" spans="1:5">
      <c r="A252" t="s">
        <v>1216</v>
      </c>
      <c r="B252" t="s">
        <v>2916</v>
      </c>
      <c r="C252" t="s">
        <v>1365</v>
      </c>
      <c r="D252" t="s">
        <v>1299</v>
      </c>
      <c r="E252" s="220">
        <v>9.654900000000001E-2</v>
      </c>
    </row>
    <row r="253" spans="1:5">
      <c r="A253" t="s">
        <v>1232</v>
      </c>
      <c r="B253" t="s">
        <v>2916</v>
      </c>
      <c r="C253" t="s">
        <v>1365</v>
      </c>
      <c r="D253" t="s">
        <v>1299</v>
      </c>
      <c r="E253" s="220">
        <v>9.4906000000000004E-2</v>
      </c>
    </row>
    <row r="254" spans="1:5">
      <c r="A254" t="s">
        <v>1247</v>
      </c>
      <c r="B254" t="s">
        <v>2916</v>
      </c>
      <c r="C254" t="s">
        <v>1365</v>
      </c>
      <c r="D254" t="s">
        <v>1299</v>
      </c>
      <c r="E254" s="220">
        <v>9.9500000000000005E-2</v>
      </c>
    </row>
    <row r="255" spans="1:5">
      <c r="A255" t="s">
        <v>1257</v>
      </c>
      <c r="B255" t="s">
        <v>2916</v>
      </c>
      <c r="C255" t="s">
        <v>1365</v>
      </c>
      <c r="D255" t="s">
        <v>1299</v>
      </c>
      <c r="E255" s="220">
        <v>9.4299999999999995E-2</v>
      </c>
    </row>
    <row r="256" spans="1:5">
      <c r="A256" t="s">
        <v>1148</v>
      </c>
      <c r="B256" t="s">
        <v>2916</v>
      </c>
      <c r="C256" t="s">
        <v>1365</v>
      </c>
      <c r="D256" t="s">
        <v>1299</v>
      </c>
      <c r="E256" s="220">
        <v>9.4299999999999995E-2</v>
      </c>
    </row>
    <row r="257" spans="1:5">
      <c r="A257" t="s">
        <v>580</v>
      </c>
      <c r="B257" t="s">
        <v>2916</v>
      </c>
      <c r="C257" t="s">
        <v>1333</v>
      </c>
      <c r="D257" t="s">
        <v>1301</v>
      </c>
      <c r="E257" s="220">
        <v>7.3400000000000007E-2</v>
      </c>
    </row>
    <row r="258" spans="1:5">
      <c r="A258" t="s">
        <v>587</v>
      </c>
      <c r="B258" t="s">
        <v>2916</v>
      </c>
      <c r="C258" t="s">
        <v>1333</v>
      </c>
      <c r="D258" t="s">
        <v>1301</v>
      </c>
      <c r="E258" s="220">
        <v>7.3079999999999992E-2</v>
      </c>
    </row>
    <row r="259" spans="1:5">
      <c r="A259" t="s">
        <v>1235</v>
      </c>
      <c r="B259" t="s">
        <v>2916</v>
      </c>
      <c r="C259" t="s">
        <v>1333</v>
      </c>
      <c r="D259" t="s">
        <v>1301</v>
      </c>
      <c r="E259" s="220">
        <v>7.3373000000000008E-2</v>
      </c>
    </row>
    <row r="260" spans="1:5">
      <c r="A260" t="s">
        <v>617</v>
      </c>
      <c r="B260" t="s">
        <v>2916</v>
      </c>
      <c r="C260" t="s">
        <v>1333</v>
      </c>
      <c r="D260" t="s">
        <v>1301</v>
      </c>
      <c r="E260" s="220">
        <v>7.2191000000000005E-2</v>
      </c>
    </row>
    <row r="261" spans="1:5">
      <c r="A261" t="s">
        <v>620</v>
      </c>
      <c r="B261" t="s">
        <v>2916</v>
      </c>
      <c r="C261" t="s">
        <v>1333</v>
      </c>
      <c r="D261" t="s">
        <v>1301</v>
      </c>
      <c r="E261" s="220">
        <v>7.3301000000000005E-2</v>
      </c>
    </row>
    <row r="262" spans="1:5">
      <c r="A262" t="s">
        <v>614</v>
      </c>
      <c r="B262" t="s">
        <v>2916</v>
      </c>
      <c r="C262" t="s">
        <v>1333</v>
      </c>
      <c r="D262" t="s">
        <v>1301</v>
      </c>
      <c r="E262" s="220">
        <v>7.2416999999999995E-2</v>
      </c>
    </row>
    <row r="263" spans="1:5">
      <c r="A263" t="s">
        <v>626</v>
      </c>
      <c r="B263" t="s">
        <v>2916</v>
      </c>
      <c r="C263" t="s">
        <v>1333</v>
      </c>
      <c r="D263" t="s">
        <v>1301</v>
      </c>
      <c r="E263" s="220">
        <v>7.3234999999999995E-2</v>
      </c>
    </row>
    <row r="264" spans="1:5">
      <c r="A264" t="s">
        <v>629</v>
      </c>
      <c r="B264" t="s">
        <v>2916</v>
      </c>
      <c r="C264" t="s">
        <v>1333</v>
      </c>
      <c r="D264" t="s">
        <v>1301</v>
      </c>
      <c r="E264" s="220">
        <v>7.0982000000000003E-2</v>
      </c>
    </row>
    <row r="265" spans="1:5">
      <c r="A265" t="s">
        <v>632</v>
      </c>
      <c r="B265" t="s">
        <v>2916</v>
      </c>
      <c r="C265" t="s">
        <v>1333</v>
      </c>
      <c r="D265" t="s">
        <v>1301</v>
      </c>
      <c r="E265" s="220">
        <v>7.3343999999999993E-2</v>
      </c>
    </row>
    <row r="266" spans="1:5">
      <c r="A266" t="s">
        <v>650</v>
      </c>
      <c r="B266" t="s">
        <v>2916</v>
      </c>
      <c r="C266" t="s">
        <v>1333</v>
      </c>
      <c r="D266" t="s">
        <v>1301</v>
      </c>
      <c r="E266" s="220">
        <v>7.1275999999999992E-2</v>
      </c>
    </row>
    <row r="267" spans="1:5">
      <c r="A267" t="s">
        <v>641</v>
      </c>
      <c r="B267" t="s">
        <v>2916</v>
      </c>
      <c r="C267" t="s">
        <v>1333</v>
      </c>
      <c r="D267" t="s">
        <v>1301</v>
      </c>
      <c r="E267" s="220">
        <v>7.3348999999999998E-2</v>
      </c>
    </row>
    <row r="268" spans="1:5">
      <c r="A268" t="s">
        <v>687</v>
      </c>
      <c r="B268" t="s">
        <v>2916</v>
      </c>
      <c r="C268" t="s">
        <v>1333</v>
      </c>
      <c r="D268" t="s">
        <v>1301</v>
      </c>
      <c r="E268" s="220">
        <v>6.9536000000000001E-2</v>
      </c>
    </row>
    <row r="269" spans="1:5">
      <c r="A269" t="s">
        <v>638</v>
      </c>
      <c r="B269" t="s">
        <v>2916</v>
      </c>
      <c r="C269" t="s">
        <v>1333</v>
      </c>
      <c r="D269" t="s">
        <v>1301</v>
      </c>
      <c r="E269" s="220">
        <v>7.3373000000000008E-2</v>
      </c>
    </row>
    <row r="270" spans="1:5">
      <c r="A270" t="s">
        <v>635</v>
      </c>
      <c r="B270" t="s">
        <v>2916</v>
      </c>
      <c r="C270" t="s">
        <v>1333</v>
      </c>
      <c r="D270" t="s">
        <v>1301</v>
      </c>
      <c r="E270" s="220">
        <v>7.2416999999999995E-2</v>
      </c>
    </row>
    <row r="271" spans="1:5">
      <c r="A271" t="s">
        <v>647</v>
      </c>
      <c r="B271" t="s">
        <v>2916</v>
      </c>
      <c r="C271" t="s">
        <v>1333</v>
      </c>
      <c r="D271" t="s">
        <v>1301</v>
      </c>
      <c r="E271" s="220">
        <v>7.3400000000000007E-2</v>
      </c>
    </row>
    <row r="272" spans="1:5">
      <c r="A272" t="s">
        <v>653</v>
      </c>
      <c r="B272" t="s">
        <v>2916</v>
      </c>
      <c r="C272" t="s">
        <v>1333</v>
      </c>
      <c r="D272" t="s">
        <v>1301</v>
      </c>
      <c r="E272" s="220">
        <v>7.2229000000000002E-2</v>
      </c>
    </row>
    <row r="273" spans="1:5">
      <c r="A273" t="s">
        <v>659</v>
      </c>
      <c r="B273" t="s">
        <v>2916</v>
      </c>
      <c r="C273" t="s">
        <v>1333</v>
      </c>
      <c r="D273" t="s">
        <v>1301</v>
      </c>
      <c r="E273" s="220">
        <v>7.2416999999999995E-2</v>
      </c>
    </row>
    <row r="274" spans="1:5">
      <c r="A274" t="s">
        <v>667</v>
      </c>
      <c r="B274" t="s">
        <v>2916</v>
      </c>
      <c r="C274" t="s">
        <v>1333</v>
      </c>
      <c r="D274" t="s">
        <v>1301</v>
      </c>
      <c r="E274" s="220">
        <v>7.2191000000000005E-2</v>
      </c>
    </row>
    <row r="275" spans="1:5">
      <c r="A275" t="s">
        <v>676</v>
      </c>
      <c r="B275" t="s">
        <v>2916</v>
      </c>
      <c r="C275" t="s">
        <v>1333</v>
      </c>
      <c r="D275" t="s">
        <v>1301</v>
      </c>
      <c r="E275" s="220">
        <v>7.0758000000000001E-2</v>
      </c>
    </row>
    <row r="276" spans="1:5">
      <c r="A276" t="s">
        <v>644</v>
      </c>
      <c r="B276" t="s">
        <v>2916</v>
      </c>
      <c r="C276" t="s">
        <v>1333</v>
      </c>
      <c r="D276" t="s">
        <v>1301</v>
      </c>
      <c r="E276" s="220">
        <v>7.2416999999999995E-2</v>
      </c>
    </row>
    <row r="277" spans="1:5">
      <c r="A277" t="s">
        <v>684</v>
      </c>
      <c r="B277" t="s">
        <v>2916</v>
      </c>
      <c r="C277" t="s">
        <v>1333</v>
      </c>
      <c r="D277" t="s">
        <v>1301</v>
      </c>
      <c r="E277" s="220">
        <v>7.3362999999999998E-2</v>
      </c>
    </row>
    <row r="278" spans="1:5">
      <c r="A278" t="s">
        <v>664</v>
      </c>
      <c r="B278" t="s">
        <v>2916</v>
      </c>
      <c r="C278" t="s">
        <v>1333</v>
      </c>
      <c r="D278" t="s">
        <v>1301</v>
      </c>
      <c r="E278" s="220">
        <v>7.3366000000000001E-2</v>
      </c>
    </row>
    <row r="279" spans="1:5">
      <c r="A279" t="s">
        <v>705</v>
      </c>
      <c r="B279" t="s">
        <v>2916</v>
      </c>
      <c r="C279" t="s">
        <v>1333</v>
      </c>
      <c r="D279" t="s">
        <v>1301</v>
      </c>
      <c r="E279" s="220">
        <v>7.3234999999999995E-2</v>
      </c>
    </row>
    <row r="280" spans="1:5">
      <c r="A280" t="s">
        <v>1182</v>
      </c>
      <c r="B280" t="s">
        <v>2916</v>
      </c>
      <c r="C280" t="s">
        <v>1333</v>
      </c>
      <c r="D280" t="s">
        <v>1301</v>
      </c>
      <c r="E280" s="220">
        <v>7.3088E-2</v>
      </c>
    </row>
    <row r="281" spans="1:5">
      <c r="A281" t="s">
        <v>720</v>
      </c>
      <c r="B281" t="s">
        <v>2916</v>
      </c>
      <c r="C281" t="s">
        <v>1333</v>
      </c>
      <c r="D281" t="s">
        <v>1301</v>
      </c>
      <c r="E281" s="220">
        <v>7.2728000000000001E-2</v>
      </c>
    </row>
    <row r="282" spans="1:5">
      <c r="A282" t="s">
        <v>723</v>
      </c>
      <c r="B282" t="s">
        <v>2916</v>
      </c>
      <c r="C282" t="s">
        <v>1333</v>
      </c>
      <c r="D282" t="s">
        <v>1301</v>
      </c>
      <c r="E282" s="220">
        <v>7.2695999999999997E-2</v>
      </c>
    </row>
    <row r="283" spans="1:5">
      <c r="A283" t="s">
        <v>726</v>
      </c>
      <c r="B283" t="s">
        <v>2916</v>
      </c>
      <c r="C283" t="s">
        <v>1333</v>
      </c>
      <c r="D283" t="s">
        <v>1301</v>
      </c>
      <c r="E283" s="220">
        <v>7.2191000000000005E-2</v>
      </c>
    </row>
    <row r="284" spans="1:5">
      <c r="A284" t="s">
        <v>738</v>
      </c>
      <c r="B284" t="s">
        <v>2916</v>
      </c>
      <c r="C284" t="s">
        <v>1333</v>
      </c>
      <c r="D284" t="s">
        <v>1301</v>
      </c>
      <c r="E284" s="220">
        <v>7.2229000000000002E-2</v>
      </c>
    </row>
    <row r="285" spans="1:5">
      <c r="A285" t="s">
        <v>747</v>
      </c>
      <c r="B285" t="s">
        <v>2916</v>
      </c>
      <c r="C285" t="s">
        <v>1333</v>
      </c>
      <c r="D285" t="s">
        <v>1301</v>
      </c>
      <c r="E285" s="220">
        <v>7.2416999999999995E-2</v>
      </c>
    </row>
    <row r="286" spans="1:5">
      <c r="A286" t="s">
        <v>754</v>
      </c>
      <c r="B286" t="s">
        <v>2916</v>
      </c>
      <c r="C286" t="s">
        <v>1333</v>
      </c>
      <c r="D286" t="s">
        <v>1301</v>
      </c>
      <c r="E286" s="220">
        <v>7.0274000000000003E-2</v>
      </c>
    </row>
    <row r="287" spans="1:5">
      <c r="A287" t="s">
        <v>757</v>
      </c>
      <c r="B287" t="s">
        <v>2916</v>
      </c>
      <c r="C287" t="s">
        <v>1333</v>
      </c>
      <c r="D287" t="s">
        <v>1301</v>
      </c>
      <c r="E287" s="220">
        <v>6.9800000000000001E-2</v>
      </c>
    </row>
    <row r="288" spans="1:5">
      <c r="A288" t="s">
        <v>823</v>
      </c>
      <c r="B288" t="s">
        <v>2916</v>
      </c>
      <c r="C288" t="s">
        <v>1333</v>
      </c>
      <c r="D288" t="s">
        <v>1301</v>
      </c>
      <c r="E288" s="220">
        <v>6.9468999999999989E-2</v>
      </c>
    </row>
    <row r="289" spans="1:5">
      <c r="A289" t="s">
        <v>767</v>
      </c>
      <c r="B289" t="s">
        <v>2916</v>
      </c>
      <c r="C289" t="s">
        <v>1333</v>
      </c>
      <c r="D289" t="s">
        <v>1301</v>
      </c>
      <c r="E289" s="220">
        <v>7.2416999999999995E-2</v>
      </c>
    </row>
    <row r="290" spans="1:5">
      <c r="A290" t="s">
        <v>761</v>
      </c>
      <c r="B290" t="s">
        <v>2916</v>
      </c>
      <c r="C290" t="s">
        <v>1333</v>
      </c>
      <c r="D290" t="s">
        <v>1301</v>
      </c>
      <c r="E290" s="220">
        <v>7.1258000000000002E-2</v>
      </c>
    </row>
    <row r="291" spans="1:5">
      <c r="A291" t="s">
        <v>770</v>
      </c>
      <c r="B291" t="s">
        <v>2916</v>
      </c>
      <c r="C291" t="s">
        <v>1333</v>
      </c>
      <c r="D291" t="s">
        <v>1301</v>
      </c>
      <c r="E291" s="220">
        <v>7.2416999999999995E-2</v>
      </c>
    </row>
    <row r="292" spans="1:5">
      <c r="A292" t="s">
        <v>592</v>
      </c>
      <c r="B292" t="s">
        <v>2916</v>
      </c>
      <c r="C292" t="s">
        <v>1333</v>
      </c>
      <c r="D292" t="s">
        <v>1301</v>
      </c>
      <c r="E292" s="220">
        <v>7.2321999999999997E-2</v>
      </c>
    </row>
    <row r="293" spans="1:5">
      <c r="A293" t="s">
        <v>773</v>
      </c>
      <c r="B293" t="s">
        <v>2916</v>
      </c>
      <c r="C293" t="s">
        <v>1333</v>
      </c>
      <c r="D293" t="s">
        <v>1301</v>
      </c>
      <c r="E293" s="220">
        <v>7.2229000000000002E-2</v>
      </c>
    </row>
    <row r="294" spans="1:5">
      <c r="A294" t="s">
        <v>776</v>
      </c>
      <c r="B294" t="s">
        <v>2916</v>
      </c>
      <c r="C294" t="s">
        <v>1333</v>
      </c>
      <c r="D294" t="s">
        <v>1301</v>
      </c>
      <c r="E294" s="220">
        <v>7.1844999999999992E-2</v>
      </c>
    </row>
    <row r="295" spans="1:5">
      <c r="A295" t="s">
        <v>1154</v>
      </c>
      <c r="B295" t="s">
        <v>2916</v>
      </c>
      <c r="C295" t="s">
        <v>1333</v>
      </c>
      <c r="D295" t="s">
        <v>1301</v>
      </c>
      <c r="E295" s="220">
        <v>6.9924E-2</v>
      </c>
    </row>
    <row r="296" spans="1:5">
      <c r="A296" t="s">
        <v>788</v>
      </c>
      <c r="B296" t="s">
        <v>2916</v>
      </c>
      <c r="C296" t="s">
        <v>1333</v>
      </c>
      <c r="D296" t="s">
        <v>1301</v>
      </c>
      <c r="E296" s="220">
        <v>7.2819999999999996E-2</v>
      </c>
    </row>
    <row r="297" spans="1:5">
      <c r="A297" t="s">
        <v>805</v>
      </c>
      <c r="B297" t="s">
        <v>2916</v>
      </c>
      <c r="C297" t="s">
        <v>1333</v>
      </c>
      <c r="D297" t="s">
        <v>1301</v>
      </c>
      <c r="E297" s="220">
        <v>7.1872000000000005E-2</v>
      </c>
    </row>
    <row r="298" spans="1:5">
      <c r="A298" t="s">
        <v>808</v>
      </c>
      <c r="B298" t="s">
        <v>2916</v>
      </c>
      <c r="C298" t="s">
        <v>1333</v>
      </c>
      <c r="D298" t="s">
        <v>1301</v>
      </c>
      <c r="E298" s="220">
        <v>7.1236999999999995E-2</v>
      </c>
    </row>
    <row r="299" spans="1:5">
      <c r="A299" t="s">
        <v>1238</v>
      </c>
      <c r="B299" t="s">
        <v>2916</v>
      </c>
      <c r="C299" t="s">
        <v>1333</v>
      </c>
      <c r="D299" t="s">
        <v>1301</v>
      </c>
      <c r="E299" s="220">
        <v>7.1274000000000004E-2</v>
      </c>
    </row>
    <row r="300" spans="1:5">
      <c r="A300" t="s">
        <v>820</v>
      </c>
      <c r="B300" t="s">
        <v>2916</v>
      </c>
      <c r="C300" t="s">
        <v>1333</v>
      </c>
      <c r="D300" t="s">
        <v>1301</v>
      </c>
      <c r="E300" s="220">
        <v>7.3275000000000007E-2</v>
      </c>
    </row>
    <row r="301" spans="1:5">
      <c r="A301" t="s">
        <v>833</v>
      </c>
      <c r="B301" t="s">
        <v>2916</v>
      </c>
      <c r="C301" t="s">
        <v>1333</v>
      </c>
      <c r="D301" t="s">
        <v>1301</v>
      </c>
      <c r="E301" s="220">
        <v>6.9894000000000012E-2</v>
      </c>
    </row>
    <row r="302" spans="1:5">
      <c r="A302" t="s">
        <v>839</v>
      </c>
      <c r="B302" t="s">
        <v>2916</v>
      </c>
      <c r="C302" t="s">
        <v>1333</v>
      </c>
      <c r="D302" t="s">
        <v>1301</v>
      </c>
      <c r="E302" s="220">
        <v>7.2416999999999995E-2</v>
      </c>
    </row>
    <row r="303" spans="1:5">
      <c r="A303" t="s">
        <v>845</v>
      </c>
      <c r="B303" t="s">
        <v>2916</v>
      </c>
      <c r="C303" t="s">
        <v>1333</v>
      </c>
      <c r="D303" t="s">
        <v>1301</v>
      </c>
      <c r="E303" s="220">
        <v>7.2229000000000002E-2</v>
      </c>
    </row>
    <row r="304" spans="1:5">
      <c r="A304" t="s">
        <v>854</v>
      </c>
      <c r="B304" t="s">
        <v>2916</v>
      </c>
      <c r="C304" t="s">
        <v>1333</v>
      </c>
      <c r="D304" t="s">
        <v>1301</v>
      </c>
      <c r="E304" s="220">
        <v>7.2416999999999995E-2</v>
      </c>
    </row>
    <row r="305" spans="1:5">
      <c r="A305" t="s">
        <v>863</v>
      </c>
      <c r="B305" t="s">
        <v>2916</v>
      </c>
      <c r="C305" t="s">
        <v>1333</v>
      </c>
      <c r="D305" t="s">
        <v>1301</v>
      </c>
      <c r="E305" s="220">
        <v>7.2878999999999999E-2</v>
      </c>
    </row>
    <row r="306" spans="1:5">
      <c r="A306" t="s">
        <v>860</v>
      </c>
      <c r="B306" t="s">
        <v>2916</v>
      </c>
      <c r="C306" t="s">
        <v>1333</v>
      </c>
      <c r="D306" t="s">
        <v>1301</v>
      </c>
      <c r="E306" s="220">
        <v>7.2229000000000002E-2</v>
      </c>
    </row>
    <row r="307" spans="1:5">
      <c r="A307" t="s">
        <v>744</v>
      </c>
      <c r="B307" t="s">
        <v>2916</v>
      </c>
      <c r="C307" t="s">
        <v>1333</v>
      </c>
      <c r="D307" t="s">
        <v>1301</v>
      </c>
      <c r="E307" s="220">
        <v>7.2128999999999999E-2</v>
      </c>
    </row>
    <row r="308" spans="1:5">
      <c r="A308" t="s">
        <v>857</v>
      </c>
      <c r="B308" t="s">
        <v>2916</v>
      </c>
      <c r="C308" t="s">
        <v>1333</v>
      </c>
      <c r="D308" t="s">
        <v>1301</v>
      </c>
      <c r="E308" s="220">
        <v>7.2416999999999995E-2</v>
      </c>
    </row>
    <row r="309" spans="1:5">
      <c r="A309" t="s">
        <v>866</v>
      </c>
      <c r="B309" t="s">
        <v>2916</v>
      </c>
      <c r="C309" t="s">
        <v>1333</v>
      </c>
      <c r="D309" t="s">
        <v>1301</v>
      </c>
      <c r="E309" s="220">
        <v>7.1742E-2</v>
      </c>
    </row>
    <row r="310" spans="1:5">
      <c r="A310" t="s">
        <v>875</v>
      </c>
      <c r="B310" t="s">
        <v>2916</v>
      </c>
      <c r="C310" t="s">
        <v>1333</v>
      </c>
      <c r="D310" t="s">
        <v>1301</v>
      </c>
      <c r="E310" s="220">
        <v>7.2364999999999999E-2</v>
      </c>
    </row>
    <row r="311" spans="1:5">
      <c r="A311" t="s">
        <v>872</v>
      </c>
      <c r="B311" t="s">
        <v>2916</v>
      </c>
      <c r="C311" t="s">
        <v>1333</v>
      </c>
      <c r="D311" t="s">
        <v>1301</v>
      </c>
      <c r="E311" s="220">
        <v>7.1400000000000005E-2</v>
      </c>
    </row>
    <row r="312" spans="1:5">
      <c r="A312" t="s">
        <v>884</v>
      </c>
      <c r="B312" t="s">
        <v>2916</v>
      </c>
      <c r="C312" t="s">
        <v>1333</v>
      </c>
      <c r="D312" t="s">
        <v>1301</v>
      </c>
      <c r="E312" s="220">
        <v>7.2628999999999999E-2</v>
      </c>
    </row>
    <row r="313" spans="1:5">
      <c r="A313" t="s">
        <v>878</v>
      </c>
      <c r="B313" t="s">
        <v>2916</v>
      </c>
      <c r="C313" t="s">
        <v>1333</v>
      </c>
      <c r="D313" t="s">
        <v>1301</v>
      </c>
      <c r="E313" s="220">
        <v>7.3359999999999995E-2</v>
      </c>
    </row>
    <row r="314" spans="1:5">
      <c r="A314" t="s">
        <v>881</v>
      </c>
      <c r="B314" t="s">
        <v>2916</v>
      </c>
      <c r="C314" t="s">
        <v>1333</v>
      </c>
      <c r="D314" t="s">
        <v>1301</v>
      </c>
      <c r="E314" s="220">
        <v>7.3373000000000008E-2</v>
      </c>
    </row>
    <row r="315" spans="1:5">
      <c r="A315" t="s">
        <v>869</v>
      </c>
      <c r="B315" t="s">
        <v>2916</v>
      </c>
      <c r="C315" t="s">
        <v>1333</v>
      </c>
      <c r="D315" t="s">
        <v>1301</v>
      </c>
      <c r="E315" s="220">
        <v>7.2412000000000004E-2</v>
      </c>
    </row>
    <row r="316" spans="1:5">
      <c r="A316" t="s">
        <v>894</v>
      </c>
      <c r="B316" t="s">
        <v>2916</v>
      </c>
      <c r="C316" t="s">
        <v>1333</v>
      </c>
      <c r="D316" t="s">
        <v>1301</v>
      </c>
      <c r="E316" s="220">
        <v>7.1552999999999992E-2</v>
      </c>
    </row>
    <row r="317" spans="1:5">
      <c r="A317" t="s">
        <v>897</v>
      </c>
      <c r="B317" t="s">
        <v>2916</v>
      </c>
      <c r="C317" t="s">
        <v>1333</v>
      </c>
      <c r="D317" t="s">
        <v>1301</v>
      </c>
      <c r="E317" s="220">
        <v>7.2416999999999995E-2</v>
      </c>
    </row>
    <row r="318" spans="1:5">
      <c r="A318" t="s">
        <v>903</v>
      </c>
      <c r="B318" t="s">
        <v>2916</v>
      </c>
      <c r="C318" t="s">
        <v>1333</v>
      </c>
      <c r="D318" t="s">
        <v>1301</v>
      </c>
      <c r="E318" s="220">
        <v>7.3373000000000008E-2</v>
      </c>
    </row>
    <row r="319" spans="1:5">
      <c r="A319" t="s">
        <v>900</v>
      </c>
      <c r="B319" t="s">
        <v>2916</v>
      </c>
      <c r="C319" t="s">
        <v>1333</v>
      </c>
      <c r="D319" t="s">
        <v>1301</v>
      </c>
      <c r="E319" s="220">
        <v>7.3266000000000012E-2</v>
      </c>
    </row>
    <row r="320" spans="1:5">
      <c r="A320" t="s">
        <v>906</v>
      </c>
      <c r="B320" t="s">
        <v>2916</v>
      </c>
      <c r="C320" t="s">
        <v>1333</v>
      </c>
      <c r="D320" t="s">
        <v>1301</v>
      </c>
      <c r="E320" s="220">
        <v>7.3343999999999993E-2</v>
      </c>
    </row>
    <row r="321" spans="1:5">
      <c r="A321" t="s">
        <v>930</v>
      </c>
      <c r="B321" t="s">
        <v>2916</v>
      </c>
      <c r="C321" t="s">
        <v>1333</v>
      </c>
      <c r="D321" t="s">
        <v>1301</v>
      </c>
      <c r="E321" s="220">
        <v>7.3302999999999993E-2</v>
      </c>
    </row>
    <row r="322" spans="1:5">
      <c r="A322" t="s">
        <v>699</v>
      </c>
      <c r="B322" t="s">
        <v>2916</v>
      </c>
      <c r="C322" t="s">
        <v>1333</v>
      </c>
      <c r="D322" t="s">
        <v>1301</v>
      </c>
      <c r="E322" s="220">
        <v>7.3372000000000007E-2</v>
      </c>
    </row>
    <row r="323" spans="1:5">
      <c r="A323" t="s">
        <v>1160</v>
      </c>
      <c r="B323" t="s">
        <v>2916</v>
      </c>
      <c r="C323" t="s">
        <v>1333</v>
      </c>
      <c r="D323" t="s">
        <v>1301</v>
      </c>
      <c r="E323" s="220">
        <v>7.2416999999999995E-2</v>
      </c>
    </row>
    <row r="324" spans="1:5">
      <c r="A324" t="s">
        <v>915</v>
      </c>
      <c r="B324" t="s">
        <v>2916</v>
      </c>
      <c r="C324" t="s">
        <v>1333</v>
      </c>
      <c r="D324" t="s">
        <v>1301</v>
      </c>
      <c r="E324" s="220">
        <v>7.3052999999999993E-2</v>
      </c>
    </row>
    <row r="325" spans="1:5">
      <c r="A325" t="s">
        <v>927</v>
      </c>
      <c r="B325" t="s">
        <v>2916</v>
      </c>
      <c r="C325" t="s">
        <v>1333</v>
      </c>
      <c r="D325" t="s">
        <v>1301</v>
      </c>
      <c r="E325" s="220">
        <v>7.3370999999999992E-2</v>
      </c>
    </row>
    <row r="326" spans="1:5">
      <c r="A326" t="s">
        <v>933</v>
      </c>
      <c r="B326" t="s">
        <v>2916</v>
      </c>
      <c r="C326" t="s">
        <v>1333</v>
      </c>
      <c r="D326" t="s">
        <v>1301</v>
      </c>
      <c r="E326" s="220">
        <v>7.3372000000000007E-2</v>
      </c>
    </row>
    <row r="327" spans="1:5">
      <c r="A327" t="s">
        <v>939</v>
      </c>
      <c r="B327" t="s">
        <v>2916</v>
      </c>
      <c r="C327" t="s">
        <v>1333</v>
      </c>
      <c r="D327" t="s">
        <v>1301</v>
      </c>
      <c r="E327" s="220">
        <v>7.3373000000000008E-2</v>
      </c>
    </row>
    <row r="328" spans="1:5">
      <c r="A328" t="s">
        <v>1163</v>
      </c>
      <c r="B328" t="s">
        <v>2916</v>
      </c>
      <c r="C328" t="s">
        <v>1333</v>
      </c>
      <c r="D328" t="s">
        <v>1301</v>
      </c>
      <c r="E328" s="220">
        <v>7.2416999999999995E-2</v>
      </c>
    </row>
    <row r="329" spans="1:5">
      <c r="A329" t="s">
        <v>1157</v>
      </c>
      <c r="B329" t="s">
        <v>2916</v>
      </c>
      <c r="C329" t="s">
        <v>1333</v>
      </c>
      <c r="D329" t="s">
        <v>1301</v>
      </c>
      <c r="E329" s="220">
        <v>7.3400000000000007E-2</v>
      </c>
    </row>
    <row r="330" spans="1:5">
      <c r="A330" t="s">
        <v>954</v>
      </c>
      <c r="B330" t="s">
        <v>2916</v>
      </c>
      <c r="C330" t="s">
        <v>1333</v>
      </c>
      <c r="D330" t="s">
        <v>1301</v>
      </c>
      <c r="E330" s="220">
        <v>7.1946999999999997E-2</v>
      </c>
    </row>
    <row r="331" spans="1:5">
      <c r="A331" t="s">
        <v>957</v>
      </c>
      <c r="B331" t="s">
        <v>2916</v>
      </c>
      <c r="C331" t="s">
        <v>1333</v>
      </c>
      <c r="D331" t="s">
        <v>1301</v>
      </c>
      <c r="E331" s="220">
        <v>7.2192999999999993E-2</v>
      </c>
    </row>
    <row r="332" spans="1:5">
      <c r="A332" t="s">
        <v>936</v>
      </c>
      <c r="B332" t="s">
        <v>2916</v>
      </c>
      <c r="C332" t="s">
        <v>1333</v>
      </c>
      <c r="D332" t="s">
        <v>1301</v>
      </c>
      <c r="E332" s="220">
        <v>7.2150999999999993E-2</v>
      </c>
    </row>
    <row r="333" spans="1:5">
      <c r="A333" t="s">
        <v>1014</v>
      </c>
      <c r="B333" t="s">
        <v>2916</v>
      </c>
      <c r="C333" t="s">
        <v>1333</v>
      </c>
      <c r="D333" t="s">
        <v>1301</v>
      </c>
      <c r="E333" s="220">
        <v>7.2321999999999997E-2</v>
      </c>
    </row>
    <row r="334" spans="1:5">
      <c r="A334" t="s">
        <v>999</v>
      </c>
      <c r="B334" t="s">
        <v>2916</v>
      </c>
      <c r="C334" t="s">
        <v>1333</v>
      </c>
      <c r="D334" t="s">
        <v>1301</v>
      </c>
      <c r="E334" s="220">
        <v>7.3400000000000007E-2</v>
      </c>
    </row>
    <row r="335" spans="1:5">
      <c r="A335" t="s">
        <v>993</v>
      </c>
      <c r="B335" t="s">
        <v>2916</v>
      </c>
      <c r="C335" t="s">
        <v>1333</v>
      </c>
      <c r="D335" t="s">
        <v>1301</v>
      </c>
      <c r="E335" s="220">
        <v>7.3242999999999989E-2</v>
      </c>
    </row>
    <row r="336" spans="1:5">
      <c r="A336" t="s">
        <v>963</v>
      </c>
      <c r="B336" t="s">
        <v>2916</v>
      </c>
      <c r="C336" t="s">
        <v>1333</v>
      </c>
      <c r="D336" t="s">
        <v>1301</v>
      </c>
      <c r="E336" s="220">
        <v>7.3222999999999996E-2</v>
      </c>
    </row>
    <row r="337" spans="1:5">
      <c r="A337" t="s">
        <v>981</v>
      </c>
      <c r="B337" t="s">
        <v>2916</v>
      </c>
      <c r="C337" t="s">
        <v>1333</v>
      </c>
      <c r="D337" t="s">
        <v>1301</v>
      </c>
      <c r="E337" s="220">
        <v>7.2814999999999991E-2</v>
      </c>
    </row>
    <row r="338" spans="1:5">
      <c r="A338" t="s">
        <v>1020</v>
      </c>
      <c r="B338" t="s">
        <v>2916</v>
      </c>
      <c r="C338" t="s">
        <v>1333</v>
      </c>
      <c r="D338" t="s">
        <v>1301</v>
      </c>
      <c r="E338" s="220">
        <v>7.3367000000000002E-2</v>
      </c>
    </row>
    <row r="339" spans="1:5">
      <c r="A339" t="s">
        <v>1006</v>
      </c>
      <c r="B339" t="s">
        <v>2916</v>
      </c>
      <c r="C339" t="s">
        <v>1333</v>
      </c>
      <c r="D339" t="s">
        <v>1301</v>
      </c>
      <c r="E339" s="220">
        <v>7.3400000000000007E-2</v>
      </c>
    </row>
    <row r="340" spans="1:5">
      <c r="A340" t="s">
        <v>972</v>
      </c>
      <c r="B340" t="s">
        <v>2916</v>
      </c>
      <c r="C340" t="s">
        <v>1333</v>
      </c>
      <c r="D340" t="s">
        <v>1301</v>
      </c>
      <c r="E340" s="220">
        <v>7.2776999999999994E-2</v>
      </c>
    </row>
    <row r="341" spans="1:5">
      <c r="A341" t="s">
        <v>1042</v>
      </c>
      <c r="B341" t="s">
        <v>2916</v>
      </c>
      <c r="C341" t="s">
        <v>1333</v>
      </c>
      <c r="D341" t="s">
        <v>1301</v>
      </c>
      <c r="E341" s="220">
        <v>7.2229000000000002E-2</v>
      </c>
    </row>
    <row r="342" spans="1:5">
      <c r="A342" t="s">
        <v>1032</v>
      </c>
      <c r="B342" t="s">
        <v>2916</v>
      </c>
      <c r="C342" t="s">
        <v>1333</v>
      </c>
      <c r="D342" t="s">
        <v>1301</v>
      </c>
      <c r="E342" s="220">
        <v>7.2041999999999995E-2</v>
      </c>
    </row>
    <row r="343" spans="1:5">
      <c r="A343" t="s">
        <v>1055</v>
      </c>
      <c r="B343" t="s">
        <v>2916</v>
      </c>
      <c r="C343" t="s">
        <v>1333</v>
      </c>
      <c r="D343" t="s">
        <v>1301</v>
      </c>
      <c r="E343" s="220">
        <v>7.1709000000000009E-2</v>
      </c>
    </row>
    <row r="344" spans="1:5">
      <c r="A344" t="s">
        <v>1029</v>
      </c>
      <c r="B344" t="s">
        <v>2916</v>
      </c>
      <c r="C344" t="s">
        <v>1333</v>
      </c>
      <c r="D344" t="s">
        <v>1301</v>
      </c>
      <c r="E344" s="220">
        <v>7.3400000000000007E-2</v>
      </c>
    </row>
    <row r="345" spans="1:5">
      <c r="A345" t="s">
        <v>1039</v>
      </c>
      <c r="B345" t="s">
        <v>2916</v>
      </c>
      <c r="C345" t="s">
        <v>1333</v>
      </c>
      <c r="D345" t="s">
        <v>1301</v>
      </c>
      <c r="E345" s="220">
        <v>7.3173000000000002E-2</v>
      </c>
    </row>
    <row r="346" spans="1:5">
      <c r="A346" t="s">
        <v>1058</v>
      </c>
      <c r="B346" t="s">
        <v>2916</v>
      </c>
      <c r="C346" t="s">
        <v>1333</v>
      </c>
      <c r="D346" t="s">
        <v>1301</v>
      </c>
      <c r="E346" s="220">
        <v>7.3373000000000008E-2</v>
      </c>
    </row>
    <row r="347" spans="1:5">
      <c r="A347" t="s">
        <v>1061</v>
      </c>
      <c r="B347" t="s">
        <v>2916</v>
      </c>
      <c r="C347" t="s">
        <v>1333</v>
      </c>
      <c r="D347" t="s">
        <v>1301</v>
      </c>
      <c r="E347" s="220">
        <v>7.2849999999999998E-2</v>
      </c>
    </row>
    <row r="348" spans="1:5">
      <c r="A348" t="s">
        <v>1067</v>
      </c>
      <c r="B348" t="s">
        <v>2916</v>
      </c>
      <c r="C348" t="s">
        <v>1333</v>
      </c>
      <c r="D348" t="s">
        <v>1301</v>
      </c>
      <c r="E348" s="220">
        <v>7.2229000000000002E-2</v>
      </c>
    </row>
    <row r="349" spans="1:5">
      <c r="A349" t="s">
        <v>1076</v>
      </c>
      <c r="B349" t="s">
        <v>2916</v>
      </c>
      <c r="C349" t="s">
        <v>1333</v>
      </c>
      <c r="D349" t="s">
        <v>1301</v>
      </c>
      <c r="E349" s="220">
        <v>7.2410000000000002E-2</v>
      </c>
    </row>
    <row r="350" spans="1:5">
      <c r="A350" t="s">
        <v>1079</v>
      </c>
      <c r="B350" t="s">
        <v>2916</v>
      </c>
      <c r="C350" t="s">
        <v>1333</v>
      </c>
      <c r="D350" t="s">
        <v>1301</v>
      </c>
      <c r="E350" s="220">
        <v>7.2175000000000003E-2</v>
      </c>
    </row>
    <row r="351" spans="1:5">
      <c r="A351" t="s">
        <v>1082</v>
      </c>
      <c r="B351" t="s">
        <v>2916</v>
      </c>
      <c r="C351" t="s">
        <v>1333</v>
      </c>
      <c r="D351" t="s">
        <v>1301</v>
      </c>
      <c r="E351" s="220">
        <v>7.1226999999999999E-2</v>
      </c>
    </row>
    <row r="352" spans="1:5">
      <c r="A352" t="s">
        <v>1085</v>
      </c>
      <c r="B352" t="s">
        <v>2916</v>
      </c>
      <c r="C352" t="s">
        <v>1333</v>
      </c>
      <c r="D352" t="s">
        <v>1301</v>
      </c>
      <c r="E352" s="220">
        <v>7.0963999999999999E-2</v>
      </c>
    </row>
    <row r="353" spans="1:5">
      <c r="A353" t="s">
        <v>1264</v>
      </c>
      <c r="B353" t="s">
        <v>2916</v>
      </c>
      <c r="C353" t="s">
        <v>1333</v>
      </c>
      <c r="D353" t="s">
        <v>1301</v>
      </c>
      <c r="E353" s="220">
        <v>7.3373000000000008E-2</v>
      </c>
    </row>
    <row r="354" spans="1:5">
      <c r="A354" t="s">
        <v>1091</v>
      </c>
      <c r="B354" t="s">
        <v>2916</v>
      </c>
      <c r="C354" t="s">
        <v>1333</v>
      </c>
      <c r="D354" t="s">
        <v>1301</v>
      </c>
      <c r="E354" s="220">
        <v>7.3373000000000008E-2</v>
      </c>
    </row>
    <row r="355" spans="1:5">
      <c r="A355" t="s">
        <v>1094</v>
      </c>
      <c r="B355" t="s">
        <v>2916</v>
      </c>
      <c r="C355" t="s">
        <v>1333</v>
      </c>
      <c r="D355" t="s">
        <v>1301</v>
      </c>
      <c r="E355" s="220">
        <v>7.2111000000000008E-2</v>
      </c>
    </row>
    <row r="356" spans="1:5">
      <c r="A356" t="s">
        <v>1097</v>
      </c>
      <c r="B356" t="s">
        <v>2916</v>
      </c>
      <c r="C356" t="s">
        <v>1333</v>
      </c>
      <c r="D356" t="s">
        <v>1301</v>
      </c>
      <c r="E356" s="220">
        <v>7.3236000000000009E-2</v>
      </c>
    </row>
    <row r="357" spans="1:5">
      <c r="A357" t="s">
        <v>1113</v>
      </c>
      <c r="B357" t="s">
        <v>2916</v>
      </c>
      <c r="C357" t="s">
        <v>1333</v>
      </c>
      <c r="D357" t="s">
        <v>1301</v>
      </c>
      <c r="E357" s="220">
        <v>7.3370999999999992E-2</v>
      </c>
    </row>
    <row r="358" spans="1:5">
      <c r="A358" t="s">
        <v>1173</v>
      </c>
      <c r="B358" t="s">
        <v>2916</v>
      </c>
      <c r="C358" t="s">
        <v>1333</v>
      </c>
      <c r="D358" t="s">
        <v>1301</v>
      </c>
      <c r="E358" s="220">
        <v>7.2321999999999997E-2</v>
      </c>
    </row>
    <row r="359" spans="1:5">
      <c r="A359" t="s">
        <v>1128</v>
      </c>
      <c r="B359" t="s">
        <v>2916</v>
      </c>
      <c r="C359" t="s">
        <v>1333</v>
      </c>
      <c r="D359" t="s">
        <v>1301</v>
      </c>
      <c r="E359" s="220">
        <v>7.3362999999999998E-2</v>
      </c>
    </row>
    <row r="360" spans="1:5">
      <c r="A360" t="s">
        <v>779</v>
      </c>
      <c r="B360" t="s">
        <v>2916</v>
      </c>
      <c r="C360" t="s">
        <v>1333</v>
      </c>
      <c r="D360" t="s">
        <v>1301</v>
      </c>
      <c r="E360" s="220">
        <v>7.2229000000000002E-2</v>
      </c>
    </row>
    <row r="361" spans="1:5">
      <c r="A361" t="s">
        <v>1119</v>
      </c>
      <c r="B361" t="s">
        <v>2916</v>
      </c>
      <c r="C361" t="s">
        <v>1333</v>
      </c>
      <c r="D361" t="s">
        <v>1301</v>
      </c>
      <c r="E361" s="220">
        <v>7.3218999999999992E-2</v>
      </c>
    </row>
    <row r="362" spans="1:5">
      <c r="A362" t="s">
        <v>1176</v>
      </c>
      <c r="B362" t="s">
        <v>2916</v>
      </c>
      <c r="C362" t="s">
        <v>1333</v>
      </c>
      <c r="D362" t="s">
        <v>1301</v>
      </c>
      <c r="E362" s="220">
        <v>7.2416999999999995E-2</v>
      </c>
    </row>
    <row r="363" spans="1:5">
      <c r="A363" t="s">
        <v>1135</v>
      </c>
      <c r="B363" t="s">
        <v>2916</v>
      </c>
      <c r="C363" t="s">
        <v>1333</v>
      </c>
      <c r="D363" t="s">
        <v>1301</v>
      </c>
      <c r="E363" s="220">
        <v>7.1843999999999991E-2</v>
      </c>
    </row>
    <row r="364" spans="1:5">
      <c r="A364" t="s">
        <v>1139</v>
      </c>
      <c r="B364" t="s">
        <v>2916</v>
      </c>
      <c r="C364" t="s">
        <v>1333</v>
      </c>
      <c r="D364" t="s">
        <v>1301</v>
      </c>
      <c r="E364" s="220">
        <v>7.0476999999999998E-2</v>
      </c>
    </row>
    <row r="365" spans="1:5">
      <c r="A365" t="s">
        <v>1179</v>
      </c>
      <c r="B365" t="s">
        <v>2916</v>
      </c>
      <c r="C365" t="s">
        <v>1333</v>
      </c>
      <c r="D365" t="s">
        <v>1301</v>
      </c>
      <c r="E365" s="220">
        <v>6.5212000000000006E-2</v>
      </c>
    </row>
    <row r="366" spans="1:5">
      <c r="A366" t="s">
        <v>1185</v>
      </c>
      <c r="B366" t="s">
        <v>2916</v>
      </c>
      <c r="C366" t="s">
        <v>1333</v>
      </c>
      <c r="D366" t="s">
        <v>1301</v>
      </c>
      <c r="E366" s="220">
        <v>7.3373000000000008E-2</v>
      </c>
    </row>
    <row r="367" spans="1:5">
      <c r="A367" t="s">
        <v>1198</v>
      </c>
      <c r="B367" t="s">
        <v>2916</v>
      </c>
      <c r="C367" t="s">
        <v>1333</v>
      </c>
      <c r="D367" t="s">
        <v>1301</v>
      </c>
      <c r="E367" s="220">
        <v>7.0074999999999998E-2</v>
      </c>
    </row>
    <row r="368" spans="1:5">
      <c r="A368" t="s">
        <v>1192</v>
      </c>
      <c r="B368" t="s">
        <v>2916</v>
      </c>
      <c r="C368" t="s">
        <v>1333</v>
      </c>
      <c r="D368" t="s">
        <v>1301</v>
      </c>
      <c r="E368" s="220">
        <v>7.336100000000001E-2</v>
      </c>
    </row>
    <row r="369" spans="1:5">
      <c r="A369" t="s">
        <v>1219</v>
      </c>
      <c r="B369" t="s">
        <v>2916</v>
      </c>
      <c r="C369" t="s">
        <v>1333</v>
      </c>
      <c r="D369" t="s">
        <v>1301</v>
      </c>
      <c r="E369" s="220">
        <v>7.336100000000001E-2</v>
      </c>
    </row>
    <row r="370" spans="1:5">
      <c r="A370" t="s">
        <v>1210</v>
      </c>
      <c r="B370" t="s">
        <v>2916</v>
      </c>
      <c r="C370" t="s">
        <v>1333</v>
      </c>
      <c r="D370" t="s">
        <v>1301</v>
      </c>
      <c r="E370" s="220">
        <v>7.2416999999999995E-2</v>
      </c>
    </row>
    <row r="371" spans="1:5">
      <c r="A371" t="s">
        <v>1213</v>
      </c>
      <c r="B371" t="s">
        <v>2916</v>
      </c>
      <c r="C371" t="s">
        <v>1333</v>
      </c>
      <c r="D371" t="s">
        <v>1301</v>
      </c>
      <c r="E371" s="220">
        <v>7.2321999999999997E-2</v>
      </c>
    </row>
    <row r="372" spans="1:5">
      <c r="A372" t="s">
        <v>1216</v>
      </c>
      <c r="B372" t="s">
        <v>2916</v>
      </c>
      <c r="C372" t="s">
        <v>1333</v>
      </c>
      <c r="D372" t="s">
        <v>1301</v>
      </c>
      <c r="E372" s="220">
        <v>7.3147999999999991E-2</v>
      </c>
    </row>
    <row r="373" spans="1:5">
      <c r="A373" t="s">
        <v>1189</v>
      </c>
      <c r="B373" t="s">
        <v>2916</v>
      </c>
      <c r="C373" t="s">
        <v>1333</v>
      </c>
      <c r="D373" t="s">
        <v>1301</v>
      </c>
      <c r="E373" s="220">
        <v>7.3372000000000007E-2</v>
      </c>
    </row>
    <row r="374" spans="1:5">
      <c r="A374" t="s">
        <v>1232</v>
      </c>
      <c r="B374" t="s">
        <v>2916</v>
      </c>
      <c r="C374" t="s">
        <v>1333</v>
      </c>
      <c r="D374" t="s">
        <v>1301</v>
      </c>
      <c r="E374" s="220">
        <v>7.3234999999999995E-2</v>
      </c>
    </row>
    <row r="375" spans="1:5">
      <c r="A375" t="s">
        <v>1244</v>
      </c>
      <c r="B375" t="s">
        <v>2916</v>
      </c>
      <c r="C375" t="s">
        <v>1333</v>
      </c>
      <c r="D375" t="s">
        <v>1301</v>
      </c>
      <c r="E375" s="220">
        <v>7.2194999999999995E-2</v>
      </c>
    </row>
    <row r="376" spans="1:5">
      <c r="A376" t="s">
        <v>1241</v>
      </c>
      <c r="B376" t="s">
        <v>2916</v>
      </c>
      <c r="C376" t="s">
        <v>1333</v>
      </c>
      <c r="D376" t="s">
        <v>1301</v>
      </c>
      <c r="E376" s="220">
        <v>7.3069000000000009E-2</v>
      </c>
    </row>
    <row r="377" spans="1:5">
      <c r="A377" t="s">
        <v>1247</v>
      </c>
      <c r="B377" t="s">
        <v>2916</v>
      </c>
      <c r="C377" t="s">
        <v>1333</v>
      </c>
      <c r="D377" t="s">
        <v>1301</v>
      </c>
      <c r="E377" s="220">
        <v>7.336100000000001E-2</v>
      </c>
    </row>
    <row r="378" spans="1:5">
      <c r="A378" t="s">
        <v>1170</v>
      </c>
      <c r="B378" t="s">
        <v>2916</v>
      </c>
      <c r="C378" t="s">
        <v>1333</v>
      </c>
      <c r="D378" t="s">
        <v>1301</v>
      </c>
      <c r="E378" s="220">
        <v>7.2416999999999995E-2</v>
      </c>
    </row>
    <row r="379" spans="1:5">
      <c r="A379" t="s">
        <v>1253</v>
      </c>
      <c r="B379" t="s">
        <v>2916</v>
      </c>
      <c r="C379" t="s">
        <v>1333</v>
      </c>
      <c r="D379" t="s">
        <v>1301</v>
      </c>
      <c r="E379" s="220">
        <v>7.2505E-2</v>
      </c>
    </row>
    <row r="380" spans="1:5">
      <c r="A380" t="s">
        <v>1257</v>
      </c>
      <c r="B380" t="s">
        <v>2916</v>
      </c>
      <c r="C380" t="s">
        <v>1333</v>
      </c>
      <c r="D380" t="s">
        <v>1301</v>
      </c>
      <c r="E380" s="220">
        <v>7.3351E-2</v>
      </c>
    </row>
    <row r="381" spans="1:5">
      <c r="A381" t="s">
        <v>1268</v>
      </c>
      <c r="B381" t="s">
        <v>2916</v>
      </c>
      <c r="C381" t="s">
        <v>1333</v>
      </c>
      <c r="D381" t="s">
        <v>1301</v>
      </c>
      <c r="E381" s="220">
        <v>7.3373000000000008E-2</v>
      </c>
    </row>
    <row r="382" spans="1:5">
      <c r="A382" t="s">
        <v>1148</v>
      </c>
      <c r="B382" t="s">
        <v>2916</v>
      </c>
      <c r="C382" t="s">
        <v>1333</v>
      </c>
      <c r="D382" t="s">
        <v>1301</v>
      </c>
      <c r="E382" s="220">
        <v>7.1209000000000008E-2</v>
      </c>
    </row>
    <row r="383" spans="1:5">
      <c r="A383" t="s">
        <v>580</v>
      </c>
      <c r="B383" t="s">
        <v>2916</v>
      </c>
      <c r="C383" t="s">
        <v>1361</v>
      </c>
      <c r="D383" t="s">
        <v>1301</v>
      </c>
      <c r="E383" s="220">
        <v>7.3400000000000007E-2</v>
      </c>
    </row>
    <row r="384" spans="1:5">
      <c r="A384" t="s">
        <v>614</v>
      </c>
      <c r="B384" t="s">
        <v>2916</v>
      </c>
      <c r="C384" t="s">
        <v>1361</v>
      </c>
      <c r="D384" t="s">
        <v>1301</v>
      </c>
      <c r="E384" s="220">
        <v>7.3400000000000007E-2</v>
      </c>
    </row>
    <row r="385" spans="1:5">
      <c r="A385" t="s">
        <v>626</v>
      </c>
      <c r="B385" t="s">
        <v>2916</v>
      </c>
      <c r="C385" t="s">
        <v>1361</v>
      </c>
      <c r="D385" t="s">
        <v>1301</v>
      </c>
      <c r="E385" s="220">
        <v>7.3400000000000007E-2</v>
      </c>
    </row>
    <row r="386" spans="1:5">
      <c r="A386" t="s">
        <v>635</v>
      </c>
      <c r="B386" t="s">
        <v>2916</v>
      </c>
      <c r="C386" t="s">
        <v>1361</v>
      </c>
      <c r="D386" t="s">
        <v>1301</v>
      </c>
      <c r="E386" s="220">
        <v>7.3400000000000007E-2</v>
      </c>
    </row>
    <row r="387" spans="1:5">
      <c r="A387" t="s">
        <v>659</v>
      </c>
      <c r="B387" t="s">
        <v>2916</v>
      </c>
      <c r="C387" t="s">
        <v>1361</v>
      </c>
      <c r="D387" t="s">
        <v>1301</v>
      </c>
      <c r="E387" s="220">
        <v>7.3400000000000007E-2</v>
      </c>
    </row>
    <row r="388" spans="1:5">
      <c r="A388" t="s">
        <v>667</v>
      </c>
      <c r="B388" t="s">
        <v>2916</v>
      </c>
      <c r="C388" t="s">
        <v>1361</v>
      </c>
      <c r="D388" t="s">
        <v>1301</v>
      </c>
      <c r="E388" s="220">
        <v>7.3400000000000007E-2</v>
      </c>
    </row>
    <row r="389" spans="1:5">
      <c r="A389" t="s">
        <v>676</v>
      </c>
      <c r="B389" t="s">
        <v>2916</v>
      </c>
      <c r="C389" t="s">
        <v>1361</v>
      </c>
      <c r="D389" t="s">
        <v>1301</v>
      </c>
      <c r="E389" s="220">
        <v>7.3400000000000007E-2</v>
      </c>
    </row>
    <row r="390" spans="1:5">
      <c r="A390" t="s">
        <v>644</v>
      </c>
      <c r="B390" t="s">
        <v>2916</v>
      </c>
      <c r="C390" t="s">
        <v>1361</v>
      </c>
      <c r="D390" t="s">
        <v>1301</v>
      </c>
      <c r="E390" s="220">
        <v>7.3400000000000007E-2</v>
      </c>
    </row>
    <row r="391" spans="1:5">
      <c r="A391" t="s">
        <v>664</v>
      </c>
      <c r="B391" t="s">
        <v>2916</v>
      </c>
      <c r="C391" t="s">
        <v>1361</v>
      </c>
      <c r="D391" t="s">
        <v>1301</v>
      </c>
      <c r="E391" s="220">
        <v>7.3400000000000007E-2</v>
      </c>
    </row>
    <row r="392" spans="1:5">
      <c r="A392" t="s">
        <v>705</v>
      </c>
      <c r="B392" t="s">
        <v>2916</v>
      </c>
      <c r="C392" t="s">
        <v>1361</v>
      </c>
      <c r="D392" t="s">
        <v>1301</v>
      </c>
      <c r="E392" s="220">
        <v>7.3400000000000007E-2</v>
      </c>
    </row>
    <row r="393" spans="1:5">
      <c r="A393" t="s">
        <v>1182</v>
      </c>
      <c r="B393" t="s">
        <v>2916</v>
      </c>
      <c r="C393" t="s">
        <v>1361</v>
      </c>
      <c r="D393" t="s">
        <v>1301</v>
      </c>
      <c r="E393" s="220">
        <v>7.3400000000000007E-2</v>
      </c>
    </row>
    <row r="394" spans="1:5">
      <c r="A394" t="s">
        <v>747</v>
      </c>
      <c r="B394" t="s">
        <v>2916</v>
      </c>
      <c r="C394" t="s">
        <v>1361</v>
      </c>
      <c r="D394" t="s">
        <v>1301</v>
      </c>
      <c r="E394" s="220">
        <v>7.3400000000000007E-2</v>
      </c>
    </row>
    <row r="395" spans="1:5">
      <c r="A395" t="s">
        <v>767</v>
      </c>
      <c r="B395" t="s">
        <v>2916</v>
      </c>
      <c r="C395" t="s">
        <v>1361</v>
      </c>
      <c r="D395" t="s">
        <v>1301</v>
      </c>
      <c r="E395" s="220">
        <v>7.3400000000000007E-2</v>
      </c>
    </row>
    <row r="396" spans="1:5">
      <c r="A396" t="s">
        <v>770</v>
      </c>
      <c r="B396" t="s">
        <v>2916</v>
      </c>
      <c r="C396" t="s">
        <v>1361</v>
      </c>
      <c r="D396" t="s">
        <v>1301</v>
      </c>
      <c r="E396" s="220">
        <v>7.3400000000000007E-2</v>
      </c>
    </row>
    <row r="397" spans="1:5">
      <c r="A397" t="s">
        <v>592</v>
      </c>
      <c r="B397" t="s">
        <v>2916</v>
      </c>
      <c r="C397" t="s">
        <v>1361</v>
      </c>
      <c r="D397" t="s">
        <v>1301</v>
      </c>
      <c r="E397" s="220">
        <v>7.3400000000000007E-2</v>
      </c>
    </row>
    <row r="398" spans="1:5">
      <c r="A398" t="s">
        <v>805</v>
      </c>
      <c r="B398" t="s">
        <v>2916</v>
      </c>
      <c r="C398" t="s">
        <v>1361</v>
      </c>
      <c r="D398" t="s">
        <v>1301</v>
      </c>
      <c r="E398" s="220">
        <v>7.3400000000000007E-2</v>
      </c>
    </row>
    <row r="399" spans="1:5">
      <c r="A399" t="s">
        <v>833</v>
      </c>
      <c r="B399" t="s">
        <v>2916</v>
      </c>
      <c r="C399" t="s">
        <v>1361</v>
      </c>
      <c r="D399" t="s">
        <v>1301</v>
      </c>
      <c r="E399" s="220">
        <v>7.3400000000000007E-2</v>
      </c>
    </row>
    <row r="400" spans="1:5">
      <c r="A400" t="s">
        <v>839</v>
      </c>
      <c r="B400" t="s">
        <v>2916</v>
      </c>
      <c r="C400" t="s">
        <v>1361</v>
      </c>
      <c r="D400" t="s">
        <v>1301</v>
      </c>
      <c r="E400" s="220">
        <v>7.3400000000000007E-2</v>
      </c>
    </row>
    <row r="401" spans="1:5">
      <c r="A401" t="s">
        <v>854</v>
      </c>
      <c r="B401" t="s">
        <v>2916</v>
      </c>
      <c r="C401" t="s">
        <v>1361</v>
      </c>
      <c r="D401" t="s">
        <v>1301</v>
      </c>
      <c r="E401" s="220">
        <v>7.3400000000000007E-2</v>
      </c>
    </row>
    <row r="402" spans="1:5">
      <c r="A402" t="s">
        <v>857</v>
      </c>
      <c r="B402" t="s">
        <v>2916</v>
      </c>
      <c r="C402" t="s">
        <v>1361</v>
      </c>
      <c r="D402" t="s">
        <v>1301</v>
      </c>
      <c r="E402" s="220">
        <v>7.3400000000000007E-2</v>
      </c>
    </row>
    <row r="403" spans="1:5">
      <c r="A403" t="s">
        <v>875</v>
      </c>
      <c r="B403" t="s">
        <v>2916</v>
      </c>
      <c r="C403" t="s">
        <v>1361</v>
      </c>
      <c r="D403" t="s">
        <v>1301</v>
      </c>
      <c r="E403" s="220">
        <v>7.3400000000000007E-2</v>
      </c>
    </row>
    <row r="404" spans="1:5">
      <c r="A404" t="s">
        <v>872</v>
      </c>
      <c r="B404" t="s">
        <v>2916</v>
      </c>
      <c r="C404" t="s">
        <v>1361</v>
      </c>
      <c r="D404" t="s">
        <v>1301</v>
      </c>
      <c r="E404" s="220">
        <v>7.3400000000000007E-2</v>
      </c>
    </row>
    <row r="405" spans="1:5">
      <c r="A405" t="s">
        <v>878</v>
      </c>
      <c r="B405" t="s">
        <v>2916</v>
      </c>
      <c r="C405" t="s">
        <v>1361</v>
      </c>
      <c r="D405" t="s">
        <v>1301</v>
      </c>
      <c r="E405" s="220">
        <v>7.3400000000000007E-2</v>
      </c>
    </row>
    <row r="406" spans="1:5">
      <c r="A406" t="s">
        <v>869</v>
      </c>
      <c r="B406" t="s">
        <v>2916</v>
      </c>
      <c r="C406" t="s">
        <v>1361</v>
      </c>
      <c r="D406" t="s">
        <v>1301</v>
      </c>
      <c r="E406" s="220">
        <v>7.3400000000000007E-2</v>
      </c>
    </row>
    <row r="407" spans="1:5">
      <c r="A407" t="s">
        <v>891</v>
      </c>
      <c r="B407" t="s">
        <v>2916</v>
      </c>
      <c r="C407" t="s">
        <v>1361</v>
      </c>
      <c r="D407" t="s">
        <v>1301</v>
      </c>
      <c r="E407" s="220">
        <v>7.3400000000000007E-2</v>
      </c>
    </row>
    <row r="408" spans="1:5">
      <c r="A408" t="s">
        <v>897</v>
      </c>
      <c r="B408" t="s">
        <v>2916</v>
      </c>
      <c r="C408" t="s">
        <v>1361</v>
      </c>
      <c r="D408" t="s">
        <v>1301</v>
      </c>
      <c r="E408" s="220">
        <v>7.3400000000000007E-2</v>
      </c>
    </row>
    <row r="409" spans="1:5">
      <c r="A409" t="s">
        <v>900</v>
      </c>
      <c r="B409" t="s">
        <v>2916</v>
      </c>
      <c r="C409" t="s">
        <v>1361</v>
      </c>
      <c r="D409" t="s">
        <v>1301</v>
      </c>
      <c r="E409" s="220">
        <v>7.3400000000000007E-2</v>
      </c>
    </row>
    <row r="410" spans="1:5">
      <c r="A410" t="s">
        <v>1160</v>
      </c>
      <c r="B410" t="s">
        <v>2916</v>
      </c>
      <c r="C410" t="s">
        <v>1361</v>
      </c>
      <c r="D410" t="s">
        <v>1301</v>
      </c>
      <c r="E410" s="220">
        <v>7.3400000000000007E-2</v>
      </c>
    </row>
    <row r="411" spans="1:5">
      <c r="A411" t="s">
        <v>915</v>
      </c>
      <c r="B411" t="s">
        <v>2916</v>
      </c>
      <c r="C411" t="s">
        <v>1361</v>
      </c>
      <c r="D411" t="s">
        <v>1301</v>
      </c>
      <c r="E411" s="220">
        <v>7.3400000000000007E-2</v>
      </c>
    </row>
    <row r="412" spans="1:5">
      <c r="A412" t="s">
        <v>927</v>
      </c>
      <c r="B412" t="s">
        <v>2916</v>
      </c>
      <c r="C412" t="s">
        <v>1361</v>
      </c>
      <c r="D412" t="s">
        <v>1301</v>
      </c>
      <c r="E412" s="220">
        <v>7.3400000000000007E-2</v>
      </c>
    </row>
    <row r="413" spans="1:5">
      <c r="A413" t="s">
        <v>933</v>
      </c>
      <c r="B413" t="s">
        <v>2916</v>
      </c>
      <c r="C413" t="s">
        <v>1361</v>
      </c>
      <c r="D413" t="s">
        <v>1301</v>
      </c>
      <c r="E413" s="220">
        <v>7.3400000000000007E-2</v>
      </c>
    </row>
    <row r="414" spans="1:5">
      <c r="A414" t="s">
        <v>1163</v>
      </c>
      <c r="B414" t="s">
        <v>2916</v>
      </c>
      <c r="C414" t="s">
        <v>1361</v>
      </c>
      <c r="D414" t="s">
        <v>1301</v>
      </c>
      <c r="E414" s="220">
        <v>7.3400000000000007E-2</v>
      </c>
    </row>
    <row r="415" spans="1:5">
      <c r="A415" t="s">
        <v>1014</v>
      </c>
      <c r="B415" t="s">
        <v>2916</v>
      </c>
      <c r="C415" t="s">
        <v>1361</v>
      </c>
      <c r="D415" t="s">
        <v>1301</v>
      </c>
      <c r="E415" s="220">
        <v>7.3400000000000007E-2</v>
      </c>
    </row>
    <row r="416" spans="1:5">
      <c r="A416" t="s">
        <v>993</v>
      </c>
      <c r="B416" t="s">
        <v>2916</v>
      </c>
      <c r="C416" t="s">
        <v>1361</v>
      </c>
      <c r="D416" t="s">
        <v>1301</v>
      </c>
      <c r="E416" s="220">
        <v>7.3400000000000007E-2</v>
      </c>
    </row>
    <row r="417" spans="1:5">
      <c r="A417" t="s">
        <v>972</v>
      </c>
      <c r="B417" t="s">
        <v>2916</v>
      </c>
      <c r="C417" t="s">
        <v>1361</v>
      </c>
      <c r="D417" t="s">
        <v>1301</v>
      </c>
      <c r="E417" s="220">
        <v>7.3400000000000007E-2</v>
      </c>
    </row>
    <row r="418" spans="1:5">
      <c r="A418" t="s">
        <v>1076</v>
      </c>
      <c r="B418" t="s">
        <v>2916</v>
      </c>
      <c r="C418" t="s">
        <v>1361</v>
      </c>
      <c r="D418" t="s">
        <v>1301</v>
      </c>
      <c r="E418" s="220">
        <v>7.3400000000000007E-2</v>
      </c>
    </row>
    <row r="419" spans="1:5">
      <c r="A419" t="s">
        <v>1082</v>
      </c>
      <c r="B419" t="s">
        <v>2916</v>
      </c>
      <c r="C419" t="s">
        <v>1361</v>
      </c>
      <c r="D419" t="s">
        <v>1301</v>
      </c>
      <c r="E419" s="220">
        <v>7.3400000000000007E-2</v>
      </c>
    </row>
    <row r="420" spans="1:5">
      <c r="A420" t="s">
        <v>1097</v>
      </c>
      <c r="B420" t="s">
        <v>2916</v>
      </c>
      <c r="C420" t="s">
        <v>1361</v>
      </c>
      <c r="D420" t="s">
        <v>1301</v>
      </c>
      <c r="E420" s="220">
        <v>7.3400000000000007E-2</v>
      </c>
    </row>
    <row r="421" spans="1:5">
      <c r="A421" t="s">
        <v>1113</v>
      </c>
      <c r="B421" t="s">
        <v>2916</v>
      </c>
      <c r="C421" t="s">
        <v>1361</v>
      </c>
      <c r="D421" t="s">
        <v>1301</v>
      </c>
      <c r="E421" s="220">
        <v>7.3400000000000007E-2</v>
      </c>
    </row>
    <row r="422" spans="1:5">
      <c r="A422" t="s">
        <v>1173</v>
      </c>
      <c r="B422" t="s">
        <v>2916</v>
      </c>
      <c r="C422" t="s">
        <v>1361</v>
      </c>
      <c r="D422" t="s">
        <v>1301</v>
      </c>
      <c r="E422" s="220">
        <v>7.3400000000000007E-2</v>
      </c>
    </row>
    <row r="423" spans="1:5">
      <c r="A423" t="s">
        <v>1176</v>
      </c>
      <c r="B423" t="s">
        <v>2916</v>
      </c>
      <c r="C423" t="s">
        <v>1361</v>
      </c>
      <c r="D423" t="s">
        <v>1301</v>
      </c>
      <c r="E423" s="220">
        <v>7.3400000000000007E-2</v>
      </c>
    </row>
    <row r="424" spans="1:5">
      <c r="A424" t="s">
        <v>1210</v>
      </c>
      <c r="B424" t="s">
        <v>2916</v>
      </c>
      <c r="C424" t="s">
        <v>1361</v>
      </c>
      <c r="D424" t="s">
        <v>1301</v>
      </c>
      <c r="E424" s="220">
        <v>7.3400000000000007E-2</v>
      </c>
    </row>
    <row r="425" spans="1:5">
      <c r="A425" t="s">
        <v>1213</v>
      </c>
      <c r="B425" t="s">
        <v>2916</v>
      </c>
      <c r="C425" t="s">
        <v>1361</v>
      </c>
      <c r="D425" t="s">
        <v>1301</v>
      </c>
      <c r="E425" s="220">
        <v>7.3400000000000007E-2</v>
      </c>
    </row>
    <row r="426" spans="1:5">
      <c r="A426" t="s">
        <v>1189</v>
      </c>
      <c r="B426" t="s">
        <v>2916</v>
      </c>
      <c r="C426" t="s">
        <v>1361</v>
      </c>
      <c r="D426" t="s">
        <v>1301</v>
      </c>
      <c r="E426" s="220">
        <v>7.3400000000000007E-2</v>
      </c>
    </row>
    <row r="427" spans="1:5">
      <c r="A427" t="s">
        <v>1244</v>
      </c>
      <c r="B427" t="s">
        <v>2916</v>
      </c>
      <c r="C427" t="s">
        <v>1361</v>
      </c>
      <c r="D427" t="s">
        <v>1301</v>
      </c>
      <c r="E427" s="220">
        <v>7.3400000000000007E-2</v>
      </c>
    </row>
    <row r="428" spans="1:5">
      <c r="A428" t="s">
        <v>1241</v>
      </c>
      <c r="B428" t="s">
        <v>2916</v>
      </c>
      <c r="C428" t="s">
        <v>1361</v>
      </c>
      <c r="D428" t="s">
        <v>1301</v>
      </c>
      <c r="E428" s="220">
        <v>7.3400000000000007E-2</v>
      </c>
    </row>
    <row r="429" spans="1:5">
      <c r="A429" t="s">
        <v>1170</v>
      </c>
      <c r="B429" t="s">
        <v>2916</v>
      </c>
      <c r="C429" t="s">
        <v>1361</v>
      </c>
      <c r="D429" t="s">
        <v>1301</v>
      </c>
      <c r="E429" s="220">
        <v>7.3400000000000007E-2</v>
      </c>
    </row>
    <row r="430" spans="1:5">
      <c r="A430" t="s">
        <v>1253</v>
      </c>
      <c r="B430" t="s">
        <v>2916</v>
      </c>
      <c r="C430" t="s">
        <v>1361</v>
      </c>
      <c r="D430" t="s">
        <v>1301</v>
      </c>
      <c r="E430" s="220">
        <v>7.3400000000000007E-2</v>
      </c>
    </row>
    <row r="431" spans="1:5">
      <c r="A431" t="s">
        <v>614</v>
      </c>
      <c r="B431" t="s">
        <v>2916</v>
      </c>
      <c r="C431" t="s">
        <v>1365</v>
      </c>
      <c r="D431" t="s">
        <v>1301</v>
      </c>
      <c r="E431" s="220">
        <v>7.3400000000000007E-2</v>
      </c>
    </row>
    <row r="432" spans="1:5">
      <c r="A432" t="s">
        <v>626</v>
      </c>
      <c r="B432" t="s">
        <v>2916</v>
      </c>
      <c r="C432" t="s">
        <v>1365</v>
      </c>
      <c r="D432" t="s">
        <v>1301</v>
      </c>
      <c r="E432" s="220">
        <v>7.3400000000000007E-2</v>
      </c>
    </row>
    <row r="433" spans="1:5">
      <c r="A433" t="s">
        <v>629</v>
      </c>
      <c r="B433" t="s">
        <v>2916</v>
      </c>
      <c r="C433" t="s">
        <v>1365</v>
      </c>
      <c r="D433" t="s">
        <v>1301</v>
      </c>
      <c r="E433" s="220">
        <v>7.3400000000000007E-2</v>
      </c>
    </row>
    <row r="434" spans="1:5">
      <c r="A434" t="s">
        <v>650</v>
      </c>
      <c r="B434" t="s">
        <v>2916</v>
      </c>
      <c r="C434" t="s">
        <v>1365</v>
      </c>
      <c r="D434" t="s">
        <v>1301</v>
      </c>
      <c r="E434" s="220">
        <v>7.3400000000000007E-2</v>
      </c>
    </row>
    <row r="435" spans="1:5">
      <c r="A435" t="s">
        <v>687</v>
      </c>
      <c r="B435" t="s">
        <v>2916</v>
      </c>
      <c r="C435" t="s">
        <v>1365</v>
      </c>
      <c r="D435" t="s">
        <v>1301</v>
      </c>
      <c r="E435" s="220">
        <v>7.3400000000000007E-2</v>
      </c>
    </row>
    <row r="436" spans="1:5">
      <c r="A436" t="s">
        <v>635</v>
      </c>
      <c r="B436" t="s">
        <v>2916</v>
      </c>
      <c r="C436" t="s">
        <v>1365</v>
      </c>
      <c r="D436" t="s">
        <v>1301</v>
      </c>
      <c r="E436" s="220">
        <v>7.3400000000000007E-2</v>
      </c>
    </row>
    <row r="437" spans="1:5">
      <c r="A437" t="s">
        <v>647</v>
      </c>
      <c r="B437" t="s">
        <v>2916</v>
      </c>
      <c r="C437" t="s">
        <v>1365</v>
      </c>
      <c r="D437" t="s">
        <v>1301</v>
      </c>
      <c r="E437" s="220">
        <v>7.3400000000000007E-2</v>
      </c>
    </row>
    <row r="438" spans="1:5">
      <c r="A438" t="s">
        <v>659</v>
      </c>
      <c r="B438" t="s">
        <v>2916</v>
      </c>
      <c r="C438" t="s">
        <v>1365</v>
      </c>
      <c r="D438" t="s">
        <v>1301</v>
      </c>
      <c r="E438" s="220">
        <v>7.3400000000000007E-2</v>
      </c>
    </row>
    <row r="439" spans="1:5">
      <c r="A439" t="s">
        <v>676</v>
      </c>
      <c r="B439" t="s">
        <v>2916</v>
      </c>
      <c r="C439" t="s">
        <v>1365</v>
      </c>
      <c r="D439" t="s">
        <v>1301</v>
      </c>
      <c r="E439" s="220">
        <v>7.3400000000000007E-2</v>
      </c>
    </row>
    <row r="440" spans="1:5">
      <c r="A440" t="s">
        <v>644</v>
      </c>
      <c r="B440" t="s">
        <v>2916</v>
      </c>
      <c r="C440" t="s">
        <v>1365</v>
      </c>
      <c r="D440" t="s">
        <v>1301</v>
      </c>
      <c r="E440" s="220">
        <v>7.3400000000000007E-2</v>
      </c>
    </row>
    <row r="441" spans="1:5">
      <c r="A441" t="s">
        <v>705</v>
      </c>
      <c r="B441" t="s">
        <v>2916</v>
      </c>
      <c r="C441" t="s">
        <v>1365</v>
      </c>
      <c r="D441" t="s">
        <v>1301</v>
      </c>
      <c r="E441" s="220">
        <v>7.3400000000000007E-2</v>
      </c>
    </row>
    <row r="442" spans="1:5">
      <c r="A442" t="s">
        <v>1182</v>
      </c>
      <c r="B442" t="s">
        <v>2916</v>
      </c>
      <c r="C442" t="s">
        <v>1365</v>
      </c>
      <c r="D442" t="s">
        <v>1301</v>
      </c>
      <c r="E442" s="220">
        <v>7.3400000000000007E-2</v>
      </c>
    </row>
    <row r="443" spans="1:5">
      <c r="A443" t="s">
        <v>723</v>
      </c>
      <c r="B443" t="s">
        <v>2916</v>
      </c>
      <c r="C443" t="s">
        <v>1365</v>
      </c>
      <c r="D443" t="s">
        <v>1301</v>
      </c>
      <c r="E443" s="220">
        <v>7.3400000000000007E-2</v>
      </c>
    </row>
    <row r="444" spans="1:5">
      <c r="A444" t="s">
        <v>747</v>
      </c>
      <c r="B444" t="s">
        <v>2916</v>
      </c>
      <c r="C444" t="s">
        <v>1365</v>
      </c>
      <c r="D444" t="s">
        <v>1301</v>
      </c>
      <c r="E444" s="220">
        <v>7.3400000000000007E-2</v>
      </c>
    </row>
    <row r="445" spans="1:5">
      <c r="A445" t="s">
        <v>754</v>
      </c>
      <c r="B445" t="s">
        <v>2916</v>
      </c>
      <c r="C445" t="s">
        <v>1365</v>
      </c>
      <c r="D445" t="s">
        <v>1301</v>
      </c>
      <c r="E445" s="220">
        <v>7.3400000000000007E-2</v>
      </c>
    </row>
    <row r="446" spans="1:5">
      <c r="A446" t="s">
        <v>757</v>
      </c>
      <c r="B446" t="s">
        <v>2916</v>
      </c>
      <c r="C446" t="s">
        <v>1365</v>
      </c>
      <c r="D446" t="s">
        <v>1301</v>
      </c>
      <c r="E446" s="220">
        <v>7.3400000000000007E-2</v>
      </c>
    </row>
    <row r="447" spans="1:5">
      <c r="A447" t="s">
        <v>823</v>
      </c>
      <c r="B447" t="s">
        <v>2916</v>
      </c>
      <c r="C447" t="s">
        <v>1365</v>
      </c>
      <c r="D447" t="s">
        <v>1301</v>
      </c>
      <c r="E447" s="220">
        <v>7.3400000000000007E-2</v>
      </c>
    </row>
    <row r="448" spans="1:5">
      <c r="A448" t="s">
        <v>767</v>
      </c>
      <c r="B448" t="s">
        <v>2916</v>
      </c>
      <c r="C448" t="s">
        <v>1365</v>
      </c>
      <c r="D448" t="s">
        <v>1301</v>
      </c>
      <c r="E448" s="220">
        <v>7.3400000000000007E-2</v>
      </c>
    </row>
    <row r="449" spans="1:5">
      <c r="A449" t="s">
        <v>761</v>
      </c>
      <c r="B449" t="s">
        <v>2916</v>
      </c>
      <c r="C449" t="s">
        <v>1365</v>
      </c>
      <c r="D449" t="s">
        <v>1301</v>
      </c>
      <c r="E449" s="220">
        <v>7.3400000000000007E-2</v>
      </c>
    </row>
    <row r="450" spans="1:5">
      <c r="A450" t="s">
        <v>770</v>
      </c>
      <c r="B450" t="s">
        <v>2916</v>
      </c>
      <c r="C450" t="s">
        <v>1365</v>
      </c>
      <c r="D450" t="s">
        <v>1301</v>
      </c>
      <c r="E450" s="220">
        <v>7.3400000000000007E-2</v>
      </c>
    </row>
    <row r="451" spans="1:5">
      <c r="A451" t="s">
        <v>592</v>
      </c>
      <c r="B451" t="s">
        <v>2916</v>
      </c>
      <c r="C451" t="s">
        <v>1365</v>
      </c>
      <c r="D451" t="s">
        <v>1301</v>
      </c>
      <c r="E451" s="220">
        <v>7.3400000000000007E-2</v>
      </c>
    </row>
    <row r="452" spans="1:5">
      <c r="A452" t="s">
        <v>1154</v>
      </c>
      <c r="B452" t="s">
        <v>2916</v>
      </c>
      <c r="C452" t="s">
        <v>1365</v>
      </c>
      <c r="D452" t="s">
        <v>1301</v>
      </c>
      <c r="E452" s="220">
        <v>7.3400000000000007E-2</v>
      </c>
    </row>
    <row r="453" spans="1:5">
      <c r="A453" t="s">
        <v>788</v>
      </c>
      <c r="B453" t="s">
        <v>2916</v>
      </c>
      <c r="C453" t="s">
        <v>1365</v>
      </c>
      <c r="D453" t="s">
        <v>1301</v>
      </c>
      <c r="E453" s="220">
        <v>7.3400000000000007E-2</v>
      </c>
    </row>
    <row r="454" spans="1:5">
      <c r="A454" t="s">
        <v>805</v>
      </c>
      <c r="B454" t="s">
        <v>2916</v>
      </c>
      <c r="C454" t="s">
        <v>1365</v>
      </c>
      <c r="D454" t="s">
        <v>1301</v>
      </c>
      <c r="E454" s="220">
        <v>7.3400000000000007E-2</v>
      </c>
    </row>
    <row r="455" spans="1:5">
      <c r="A455" t="s">
        <v>808</v>
      </c>
      <c r="B455" t="s">
        <v>2916</v>
      </c>
      <c r="C455" t="s">
        <v>1365</v>
      </c>
      <c r="D455" t="s">
        <v>1301</v>
      </c>
      <c r="E455" s="220">
        <v>7.4999999999999997E-2</v>
      </c>
    </row>
    <row r="456" spans="1:5">
      <c r="A456" t="s">
        <v>833</v>
      </c>
      <c r="B456" t="s">
        <v>2916</v>
      </c>
      <c r="C456" t="s">
        <v>1365</v>
      </c>
      <c r="D456" t="s">
        <v>1301</v>
      </c>
      <c r="E456" s="220">
        <v>7.3400000000000007E-2</v>
      </c>
    </row>
    <row r="457" spans="1:5">
      <c r="A457" t="s">
        <v>839</v>
      </c>
      <c r="B457" t="s">
        <v>2916</v>
      </c>
      <c r="C457" t="s">
        <v>1365</v>
      </c>
      <c r="D457" t="s">
        <v>1301</v>
      </c>
      <c r="E457" s="220">
        <v>7.3400000000000007E-2</v>
      </c>
    </row>
    <row r="458" spans="1:5">
      <c r="A458" t="s">
        <v>854</v>
      </c>
      <c r="B458" t="s">
        <v>2916</v>
      </c>
      <c r="C458" t="s">
        <v>1365</v>
      </c>
      <c r="D458" t="s">
        <v>1301</v>
      </c>
      <c r="E458" s="220">
        <v>7.3400000000000007E-2</v>
      </c>
    </row>
    <row r="459" spans="1:5">
      <c r="A459" t="s">
        <v>863</v>
      </c>
      <c r="B459" t="s">
        <v>2916</v>
      </c>
      <c r="C459" t="s">
        <v>1365</v>
      </c>
      <c r="D459" t="s">
        <v>1301</v>
      </c>
      <c r="E459" s="220">
        <v>7.3400000000000007E-2</v>
      </c>
    </row>
    <row r="460" spans="1:5">
      <c r="A460" t="s">
        <v>744</v>
      </c>
      <c r="B460" t="s">
        <v>2916</v>
      </c>
      <c r="C460" t="s">
        <v>1365</v>
      </c>
      <c r="D460" t="s">
        <v>1301</v>
      </c>
      <c r="E460" s="220">
        <v>7.3400000000000007E-2</v>
      </c>
    </row>
    <row r="461" spans="1:5">
      <c r="A461" t="s">
        <v>857</v>
      </c>
      <c r="B461" t="s">
        <v>2916</v>
      </c>
      <c r="C461" t="s">
        <v>1365</v>
      </c>
      <c r="D461" t="s">
        <v>1301</v>
      </c>
      <c r="E461" s="220">
        <v>7.3400000000000007E-2</v>
      </c>
    </row>
    <row r="462" spans="1:5">
      <c r="A462" t="s">
        <v>866</v>
      </c>
      <c r="B462" t="s">
        <v>2916</v>
      </c>
      <c r="C462" t="s">
        <v>1365</v>
      </c>
      <c r="D462" t="s">
        <v>1301</v>
      </c>
      <c r="E462" s="220">
        <v>7.3400000000000007E-2</v>
      </c>
    </row>
    <row r="463" spans="1:5">
      <c r="A463" t="s">
        <v>884</v>
      </c>
      <c r="B463" t="s">
        <v>2916</v>
      </c>
      <c r="C463" t="s">
        <v>1365</v>
      </c>
      <c r="D463" t="s">
        <v>1301</v>
      </c>
      <c r="E463" s="220">
        <v>7.3400000000000007E-2</v>
      </c>
    </row>
    <row r="464" spans="1:5">
      <c r="A464" t="s">
        <v>878</v>
      </c>
      <c r="B464" t="s">
        <v>2916</v>
      </c>
      <c r="C464" t="s">
        <v>1365</v>
      </c>
      <c r="D464" t="s">
        <v>1301</v>
      </c>
      <c r="E464" s="220">
        <v>7.3400000000000007E-2</v>
      </c>
    </row>
    <row r="465" spans="1:5">
      <c r="A465" t="s">
        <v>869</v>
      </c>
      <c r="B465" t="s">
        <v>2916</v>
      </c>
      <c r="C465" t="s">
        <v>1365</v>
      </c>
      <c r="D465" t="s">
        <v>1301</v>
      </c>
      <c r="E465" s="220">
        <v>7.3400000000000007E-2</v>
      </c>
    </row>
    <row r="466" spans="1:5">
      <c r="A466" t="s">
        <v>894</v>
      </c>
      <c r="B466" t="s">
        <v>2916</v>
      </c>
      <c r="C466" t="s">
        <v>1365</v>
      </c>
      <c r="D466" t="s">
        <v>1301</v>
      </c>
      <c r="E466" s="220">
        <v>7.3400000000000007E-2</v>
      </c>
    </row>
    <row r="467" spans="1:5">
      <c r="A467" t="s">
        <v>897</v>
      </c>
      <c r="B467" t="s">
        <v>2916</v>
      </c>
      <c r="C467" t="s">
        <v>1365</v>
      </c>
      <c r="D467" t="s">
        <v>1301</v>
      </c>
      <c r="E467" s="220">
        <v>7.3400000000000007E-2</v>
      </c>
    </row>
    <row r="468" spans="1:5">
      <c r="A468" t="s">
        <v>900</v>
      </c>
      <c r="B468" t="s">
        <v>2916</v>
      </c>
      <c r="C468" t="s">
        <v>1365</v>
      </c>
      <c r="D468" t="s">
        <v>1301</v>
      </c>
      <c r="E468" s="220">
        <v>7.3400000000000007E-2</v>
      </c>
    </row>
    <row r="469" spans="1:5">
      <c r="A469" t="s">
        <v>906</v>
      </c>
      <c r="B469" t="s">
        <v>2916</v>
      </c>
      <c r="C469" t="s">
        <v>1365</v>
      </c>
      <c r="D469" t="s">
        <v>1301</v>
      </c>
      <c r="E469" s="220">
        <v>7.3400000000000007E-2</v>
      </c>
    </row>
    <row r="470" spans="1:5">
      <c r="A470" t="s">
        <v>1160</v>
      </c>
      <c r="B470" t="s">
        <v>2916</v>
      </c>
      <c r="C470" t="s">
        <v>1365</v>
      </c>
      <c r="D470" t="s">
        <v>1301</v>
      </c>
      <c r="E470" s="220">
        <v>7.3400000000000007E-2</v>
      </c>
    </row>
    <row r="471" spans="1:5">
      <c r="A471" t="s">
        <v>915</v>
      </c>
      <c r="B471" t="s">
        <v>2916</v>
      </c>
      <c r="C471" t="s">
        <v>1365</v>
      </c>
      <c r="D471" t="s">
        <v>1301</v>
      </c>
      <c r="E471" s="220">
        <v>7.3400000000000007E-2</v>
      </c>
    </row>
    <row r="472" spans="1:5">
      <c r="A472" t="s">
        <v>1163</v>
      </c>
      <c r="B472" t="s">
        <v>2916</v>
      </c>
      <c r="C472" t="s">
        <v>1365</v>
      </c>
      <c r="D472" t="s">
        <v>1301</v>
      </c>
      <c r="E472" s="220">
        <v>7.3400000000000007E-2</v>
      </c>
    </row>
    <row r="473" spans="1:5">
      <c r="A473" t="s">
        <v>954</v>
      </c>
      <c r="B473" t="s">
        <v>2916</v>
      </c>
      <c r="C473" t="s">
        <v>1365</v>
      </c>
      <c r="D473" t="s">
        <v>1301</v>
      </c>
      <c r="E473" s="220">
        <v>7.3400000000000007E-2</v>
      </c>
    </row>
    <row r="474" spans="1:5">
      <c r="A474" t="s">
        <v>957</v>
      </c>
      <c r="B474" t="s">
        <v>2916</v>
      </c>
      <c r="C474" t="s">
        <v>1365</v>
      </c>
      <c r="D474" t="s">
        <v>1301</v>
      </c>
      <c r="E474" s="220">
        <v>7.3400000000000007E-2</v>
      </c>
    </row>
    <row r="475" spans="1:5">
      <c r="A475" t="s">
        <v>936</v>
      </c>
      <c r="B475" t="s">
        <v>2916</v>
      </c>
      <c r="C475" t="s">
        <v>1365</v>
      </c>
      <c r="D475" t="s">
        <v>1301</v>
      </c>
      <c r="E475" s="220">
        <v>7.3400000000000007E-2</v>
      </c>
    </row>
    <row r="476" spans="1:5">
      <c r="A476" t="s">
        <v>1014</v>
      </c>
      <c r="B476" t="s">
        <v>2916</v>
      </c>
      <c r="C476" t="s">
        <v>1365</v>
      </c>
      <c r="D476" t="s">
        <v>1301</v>
      </c>
      <c r="E476" s="220">
        <v>7.3400000000000007E-2</v>
      </c>
    </row>
    <row r="477" spans="1:5">
      <c r="A477" t="s">
        <v>963</v>
      </c>
      <c r="B477" t="s">
        <v>2916</v>
      </c>
      <c r="C477" t="s">
        <v>1365</v>
      </c>
      <c r="D477" t="s">
        <v>1301</v>
      </c>
      <c r="E477" s="220">
        <v>7.3400000000000007E-2</v>
      </c>
    </row>
    <row r="478" spans="1:5">
      <c r="A478" t="s">
        <v>981</v>
      </c>
      <c r="B478" t="s">
        <v>2916</v>
      </c>
      <c r="C478" t="s">
        <v>1365</v>
      </c>
      <c r="D478" t="s">
        <v>1301</v>
      </c>
      <c r="E478" s="220">
        <v>7.3400000000000007E-2</v>
      </c>
    </row>
    <row r="479" spans="1:5">
      <c r="A479" t="s">
        <v>972</v>
      </c>
      <c r="B479" t="s">
        <v>2916</v>
      </c>
      <c r="C479" t="s">
        <v>1365</v>
      </c>
      <c r="D479" t="s">
        <v>1301</v>
      </c>
      <c r="E479" s="220">
        <v>7.3400000000000007E-2</v>
      </c>
    </row>
    <row r="480" spans="1:5">
      <c r="A480" t="s">
        <v>1032</v>
      </c>
      <c r="B480" t="s">
        <v>2916</v>
      </c>
      <c r="C480" t="s">
        <v>1365</v>
      </c>
      <c r="D480" t="s">
        <v>1301</v>
      </c>
      <c r="E480" s="220">
        <v>7.3400000000000007E-2</v>
      </c>
    </row>
    <row r="481" spans="1:5">
      <c r="A481" t="s">
        <v>1055</v>
      </c>
      <c r="B481" t="s">
        <v>2916</v>
      </c>
      <c r="C481" t="s">
        <v>1365</v>
      </c>
      <c r="D481" t="s">
        <v>1301</v>
      </c>
      <c r="E481" s="220">
        <v>7.3400000000000007E-2</v>
      </c>
    </row>
    <row r="482" spans="1:5">
      <c r="A482" t="s">
        <v>1039</v>
      </c>
      <c r="B482" t="s">
        <v>2916</v>
      </c>
      <c r="C482" t="s">
        <v>1365</v>
      </c>
      <c r="D482" t="s">
        <v>1301</v>
      </c>
      <c r="E482" s="220">
        <v>7.3400000000000007E-2</v>
      </c>
    </row>
    <row r="483" spans="1:5">
      <c r="A483" t="s">
        <v>1076</v>
      </c>
      <c r="B483" t="s">
        <v>2916</v>
      </c>
      <c r="C483" t="s">
        <v>1365</v>
      </c>
      <c r="D483" t="s">
        <v>1301</v>
      </c>
      <c r="E483" s="220">
        <v>7.3400000000000007E-2</v>
      </c>
    </row>
    <row r="484" spans="1:5">
      <c r="A484" t="s">
        <v>1082</v>
      </c>
      <c r="B484" t="s">
        <v>2916</v>
      </c>
      <c r="C484" t="s">
        <v>1365</v>
      </c>
      <c r="D484" t="s">
        <v>1301</v>
      </c>
      <c r="E484" s="220">
        <v>7.3400000000000007E-2</v>
      </c>
    </row>
    <row r="485" spans="1:5">
      <c r="A485" t="s">
        <v>1085</v>
      </c>
      <c r="B485" t="s">
        <v>2916</v>
      </c>
      <c r="C485" t="s">
        <v>1365</v>
      </c>
      <c r="D485" t="s">
        <v>1301</v>
      </c>
      <c r="E485" s="220">
        <v>7.3400000000000007E-2</v>
      </c>
    </row>
    <row r="486" spans="1:5">
      <c r="A486" t="s">
        <v>1094</v>
      </c>
      <c r="B486" t="s">
        <v>2916</v>
      </c>
      <c r="C486" t="s">
        <v>1365</v>
      </c>
      <c r="D486" t="s">
        <v>1301</v>
      </c>
      <c r="E486" s="220">
        <v>7.3400000000000007E-2</v>
      </c>
    </row>
    <row r="487" spans="1:5">
      <c r="A487" t="s">
        <v>1097</v>
      </c>
      <c r="B487" t="s">
        <v>2916</v>
      </c>
      <c r="C487" t="s">
        <v>1365</v>
      </c>
      <c r="D487" t="s">
        <v>1301</v>
      </c>
      <c r="E487" s="220">
        <v>7.3400000000000007E-2</v>
      </c>
    </row>
    <row r="488" spans="1:5">
      <c r="A488" t="s">
        <v>1173</v>
      </c>
      <c r="B488" t="s">
        <v>2916</v>
      </c>
      <c r="C488" t="s">
        <v>1365</v>
      </c>
      <c r="D488" t="s">
        <v>1301</v>
      </c>
      <c r="E488" s="220">
        <v>7.3400000000000007E-2</v>
      </c>
    </row>
    <row r="489" spans="1:5">
      <c r="A489" t="s">
        <v>1119</v>
      </c>
      <c r="B489" t="s">
        <v>2916</v>
      </c>
      <c r="C489" t="s">
        <v>1365</v>
      </c>
      <c r="D489" t="s">
        <v>1301</v>
      </c>
      <c r="E489" s="220">
        <v>7.3400000000000007E-2</v>
      </c>
    </row>
    <row r="490" spans="1:5">
      <c r="A490" t="s">
        <v>1176</v>
      </c>
      <c r="B490" t="s">
        <v>2916</v>
      </c>
      <c r="C490" t="s">
        <v>1365</v>
      </c>
      <c r="D490" t="s">
        <v>1301</v>
      </c>
      <c r="E490" s="220">
        <v>7.3400000000000007E-2</v>
      </c>
    </row>
    <row r="491" spans="1:5">
      <c r="A491" t="s">
        <v>1139</v>
      </c>
      <c r="B491" t="s">
        <v>2916</v>
      </c>
      <c r="C491" t="s">
        <v>1365</v>
      </c>
      <c r="D491" t="s">
        <v>1301</v>
      </c>
      <c r="E491" s="220">
        <v>7.3400000000000007E-2</v>
      </c>
    </row>
    <row r="492" spans="1:5">
      <c r="A492" t="s">
        <v>1179</v>
      </c>
      <c r="B492" t="s">
        <v>2916</v>
      </c>
      <c r="C492" t="s">
        <v>1365</v>
      </c>
      <c r="D492" t="s">
        <v>1301</v>
      </c>
      <c r="E492" s="220">
        <v>7.3400000000000007E-2</v>
      </c>
    </row>
    <row r="493" spans="1:5">
      <c r="A493" t="s">
        <v>1210</v>
      </c>
      <c r="B493" t="s">
        <v>2916</v>
      </c>
      <c r="C493" t="s">
        <v>1365</v>
      </c>
      <c r="D493" t="s">
        <v>1301</v>
      </c>
      <c r="E493" s="220">
        <v>7.3400000000000007E-2</v>
      </c>
    </row>
    <row r="494" spans="1:5">
      <c r="A494" t="s">
        <v>1213</v>
      </c>
      <c r="B494" t="s">
        <v>2916</v>
      </c>
      <c r="C494" t="s">
        <v>1365</v>
      </c>
      <c r="D494" t="s">
        <v>1301</v>
      </c>
      <c r="E494" s="220">
        <v>7.3400000000000007E-2</v>
      </c>
    </row>
    <row r="495" spans="1:5">
      <c r="A495" t="s">
        <v>1189</v>
      </c>
      <c r="B495" t="s">
        <v>2916</v>
      </c>
      <c r="C495" t="s">
        <v>1365</v>
      </c>
      <c r="D495" t="s">
        <v>1301</v>
      </c>
      <c r="E495" s="220">
        <v>7.3400000000000007E-2</v>
      </c>
    </row>
    <row r="496" spans="1:5">
      <c r="A496" t="s">
        <v>1244</v>
      </c>
      <c r="B496" t="s">
        <v>2916</v>
      </c>
      <c r="C496" t="s">
        <v>1365</v>
      </c>
      <c r="D496" t="s">
        <v>1301</v>
      </c>
      <c r="E496" s="220">
        <v>7.3400000000000007E-2</v>
      </c>
    </row>
    <row r="497" spans="1:5">
      <c r="A497" t="s">
        <v>1241</v>
      </c>
      <c r="B497" t="s">
        <v>2916</v>
      </c>
      <c r="C497" t="s">
        <v>1365</v>
      </c>
      <c r="D497" t="s">
        <v>1301</v>
      </c>
      <c r="E497" s="220">
        <v>7.3400000000000007E-2</v>
      </c>
    </row>
    <row r="498" spans="1:5">
      <c r="A498" t="s">
        <v>1170</v>
      </c>
      <c r="B498" t="s">
        <v>2916</v>
      </c>
      <c r="C498" t="s">
        <v>1365</v>
      </c>
      <c r="D498" t="s">
        <v>1301</v>
      </c>
      <c r="E498" s="220">
        <v>7.3400000000000007E-2</v>
      </c>
    </row>
    <row r="499" spans="1:5">
      <c r="A499" t="s">
        <v>1257</v>
      </c>
      <c r="B499" t="s">
        <v>2916</v>
      </c>
      <c r="C499" t="s">
        <v>1365</v>
      </c>
      <c r="D499" t="s">
        <v>1301</v>
      </c>
      <c r="E499" s="220">
        <v>7.3400000000000007E-2</v>
      </c>
    </row>
    <row r="500" spans="1:5">
      <c r="A500" t="s">
        <v>580</v>
      </c>
      <c r="B500" t="s">
        <v>2916</v>
      </c>
      <c r="C500" t="s">
        <v>1372</v>
      </c>
      <c r="D500" t="s">
        <v>1301</v>
      </c>
      <c r="E500" s="220">
        <v>7.3400000000000007E-2</v>
      </c>
    </row>
    <row r="501" spans="1:5">
      <c r="A501" t="s">
        <v>587</v>
      </c>
      <c r="B501" t="s">
        <v>2916</v>
      </c>
      <c r="C501" t="s">
        <v>1372</v>
      </c>
      <c r="D501" t="s">
        <v>1301</v>
      </c>
      <c r="E501" s="220">
        <v>7.2956000000000007E-2</v>
      </c>
    </row>
    <row r="502" spans="1:5">
      <c r="A502" t="s">
        <v>1235</v>
      </c>
      <c r="B502" t="s">
        <v>2916</v>
      </c>
      <c r="C502" t="s">
        <v>1372</v>
      </c>
      <c r="D502" t="s">
        <v>1301</v>
      </c>
      <c r="E502" s="220">
        <v>7.3312000000000002E-2</v>
      </c>
    </row>
    <row r="503" spans="1:5">
      <c r="A503" t="s">
        <v>617</v>
      </c>
      <c r="B503" t="s">
        <v>2916</v>
      </c>
      <c r="C503" t="s">
        <v>1372</v>
      </c>
      <c r="D503" t="s">
        <v>1301</v>
      </c>
      <c r="E503" s="220">
        <v>7.0713999999999999E-2</v>
      </c>
    </row>
    <row r="504" spans="1:5">
      <c r="A504" t="s">
        <v>620</v>
      </c>
      <c r="B504" t="s">
        <v>2916</v>
      </c>
      <c r="C504" t="s">
        <v>1372</v>
      </c>
      <c r="D504" t="s">
        <v>1301</v>
      </c>
      <c r="E504" s="220">
        <v>7.3275000000000007E-2</v>
      </c>
    </row>
    <row r="505" spans="1:5">
      <c r="A505" t="s">
        <v>614</v>
      </c>
      <c r="B505" t="s">
        <v>2916</v>
      </c>
      <c r="C505" t="s">
        <v>1372</v>
      </c>
      <c r="D505" t="s">
        <v>1301</v>
      </c>
      <c r="E505" s="220">
        <v>7.0713999999999999E-2</v>
      </c>
    </row>
    <row r="506" spans="1:5">
      <c r="A506" t="s">
        <v>626</v>
      </c>
      <c r="B506" t="s">
        <v>2916</v>
      </c>
      <c r="C506" t="s">
        <v>1372</v>
      </c>
      <c r="D506" t="s">
        <v>1301</v>
      </c>
      <c r="E506" s="220">
        <v>7.3033000000000001E-2</v>
      </c>
    </row>
    <row r="507" spans="1:5">
      <c r="A507" t="s">
        <v>629</v>
      </c>
      <c r="B507" t="s">
        <v>2916</v>
      </c>
      <c r="C507" t="s">
        <v>1372</v>
      </c>
      <c r="D507" t="s">
        <v>1301</v>
      </c>
      <c r="E507" s="220">
        <v>6.7676E-2</v>
      </c>
    </row>
    <row r="508" spans="1:5">
      <c r="A508" t="s">
        <v>632</v>
      </c>
      <c r="B508" t="s">
        <v>2916</v>
      </c>
      <c r="C508" t="s">
        <v>1372</v>
      </c>
      <c r="D508" t="s">
        <v>1301</v>
      </c>
      <c r="E508" s="220">
        <v>7.3275000000000007E-2</v>
      </c>
    </row>
    <row r="509" spans="1:5">
      <c r="A509" t="s">
        <v>650</v>
      </c>
      <c r="B509" t="s">
        <v>2916</v>
      </c>
      <c r="C509" t="s">
        <v>1372</v>
      </c>
      <c r="D509" t="s">
        <v>1301</v>
      </c>
      <c r="E509" s="220">
        <v>7.0630999999999999E-2</v>
      </c>
    </row>
    <row r="510" spans="1:5">
      <c r="A510" t="s">
        <v>641</v>
      </c>
      <c r="B510" t="s">
        <v>2916</v>
      </c>
      <c r="C510" t="s">
        <v>1372</v>
      </c>
      <c r="D510" t="s">
        <v>1301</v>
      </c>
      <c r="E510" s="220">
        <v>7.3290000000000008E-2</v>
      </c>
    </row>
    <row r="511" spans="1:5">
      <c r="A511" t="s">
        <v>687</v>
      </c>
      <c r="B511" t="s">
        <v>2916</v>
      </c>
      <c r="C511" t="s">
        <v>1372</v>
      </c>
      <c r="D511" t="s">
        <v>1301</v>
      </c>
      <c r="E511" s="220">
        <v>6.9536000000000001E-2</v>
      </c>
    </row>
    <row r="512" spans="1:5">
      <c r="A512" t="s">
        <v>638</v>
      </c>
      <c r="B512" t="s">
        <v>2916</v>
      </c>
      <c r="C512" t="s">
        <v>1372</v>
      </c>
      <c r="D512" t="s">
        <v>1301</v>
      </c>
      <c r="E512" s="220">
        <v>7.3312000000000002E-2</v>
      </c>
    </row>
    <row r="513" spans="1:5">
      <c r="A513" t="s">
        <v>635</v>
      </c>
      <c r="B513" t="s">
        <v>2916</v>
      </c>
      <c r="C513" t="s">
        <v>1372</v>
      </c>
      <c r="D513" t="s">
        <v>1301</v>
      </c>
      <c r="E513" s="220">
        <v>7.0713999999999999E-2</v>
      </c>
    </row>
    <row r="514" spans="1:5">
      <c r="A514" t="s">
        <v>670</v>
      </c>
      <c r="B514" t="s">
        <v>2916</v>
      </c>
      <c r="C514" t="s">
        <v>1372</v>
      </c>
      <c r="D514" t="s">
        <v>1301</v>
      </c>
      <c r="E514" s="220">
        <v>7.3001999999999997E-2</v>
      </c>
    </row>
    <row r="515" spans="1:5">
      <c r="A515" t="s">
        <v>647</v>
      </c>
      <c r="B515" t="s">
        <v>2916</v>
      </c>
      <c r="C515" t="s">
        <v>1372</v>
      </c>
      <c r="D515" t="s">
        <v>1301</v>
      </c>
      <c r="E515" s="220">
        <v>7.3400000000000007E-2</v>
      </c>
    </row>
    <row r="516" spans="1:5">
      <c r="A516" t="s">
        <v>653</v>
      </c>
      <c r="B516" t="s">
        <v>2916</v>
      </c>
      <c r="C516" t="s">
        <v>1372</v>
      </c>
      <c r="D516" t="s">
        <v>1301</v>
      </c>
      <c r="E516" s="220">
        <v>7.0713999999999999E-2</v>
      </c>
    </row>
    <row r="517" spans="1:5">
      <c r="A517" t="s">
        <v>659</v>
      </c>
      <c r="B517" t="s">
        <v>2916</v>
      </c>
      <c r="C517" t="s">
        <v>1372</v>
      </c>
      <c r="D517" t="s">
        <v>1301</v>
      </c>
      <c r="E517" s="220">
        <v>7.0713999999999999E-2</v>
      </c>
    </row>
    <row r="518" spans="1:5">
      <c r="A518" t="s">
        <v>667</v>
      </c>
      <c r="B518" t="s">
        <v>2916</v>
      </c>
      <c r="C518" t="s">
        <v>1372</v>
      </c>
      <c r="D518" t="s">
        <v>1301</v>
      </c>
      <c r="E518" s="220">
        <v>7.0713999999999999E-2</v>
      </c>
    </row>
    <row r="519" spans="1:5">
      <c r="A519" t="s">
        <v>676</v>
      </c>
      <c r="B519" t="s">
        <v>2916</v>
      </c>
      <c r="C519" t="s">
        <v>1372</v>
      </c>
      <c r="D519" t="s">
        <v>1301</v>
      </c>
      <c r="E519" s="220">
        <v>6.7528000000000005E-2</v>
      </c>
    </row>
    <row r="520" spans="1:5">
      <c r="A520" t="s">
        <v>644</v>
      </c>
      <c r="B520" t="s">
        <v>2916</v>
      </c>
      <c r="C520" t="s">
        <v>1372</v>
      </c>
      <c r="D520" t="s">
        <v>1301</v>
      </c>
      <c r="E520" s="220">
        <v>7.0713999999999999E-2</v>
      </c>
    </row>
    <row r="521" spans="1:5">
      <c r="A521" t="s">
        <v>684</v>
      </c>
      <c r="B521" t="s">
        <v>2916</v>
      </c>
      <c r="C521" t="s">
        <v>1372</v>
      </c>
      <c r="D521" t="s">
        <v>1301</v>
      </c>
      <c r="E521" s="220">
        <v>7.3290000000000008E-2</v>
      </c>
    </row>
    <row r="522" spans="1:5">
      <c r="A522" t="s">
        <v>664</v>
      </c>
      <c r="B522" t="s">
        <v>2916</v>
      </c>
      <c r="C522" t="s">
        <v>1372</v>
      </c>
      <c r="D522" t="s">
        <v>1301</v>
      </c>
      <c r="E522" s="220">
        <v>7.3290000000000008E-2</v>
      </c>
    </row>
    <row r="523" spans="1:5">
      <c r="A523" t="s">
        <v>705</v>
      </c>
      <c r="B523" t="s">
        <v>2916</v>
      </c>
      <c r="C523" t="s">
        <v>1372</v>
      </c>
      <c r="D523" t="s">
        <v>1301</v>
      </c>
      <c r="E523" s="220">
        <v>7.3033000000000001E-2</v>
      </c>
    </row>
    <row r="524" spans="1:5">
      <c r="A524" t="s">
        <v>1182</v>
      </c>
      <c r="B524" t="s">
        <v>2916</v>
      </c>
      <c r="C524" t="s">
        <v>1372</v>
      </c>
      <c r="D524" t="s">
        <v>1301</v>
      </c>
      <c r="E524" s="220">
        <v>7.2152000000000008E-2</v>
      </c>
    </row>
    <row r="525" spans="1:5">
      <c r="A525" t="s">
        <v>720</v>
      </c>
      <c r="B525" t="s">
        <v>2916</v>
      </c>
      <c r="C525" t="s">
        <v>1372</v>
      </c>
      <c r="D525" t="s">
        <v>1301</v>
      </c>
      <c r="E525" s="220">
        <v>7.0713999999999999E-2</v>
      </c>
    </row>
    <row r="526" spans="1:5">
      <c r="A526" t="s">
        <v>723</v>
      </c>
      <c r="B526" t="s">
        <v>2916</v>
      </c>
      <c r="C526" t="s">
        <v>1372</v>
      </c>
      <c r="D526" t="s">
        <v>1301</v>
      </c>
      <c r="E526" s="220">
        <v>7.1836999999999998E-2</v>
      </c>
    </row>
    <row r="527" spans="1:5">
      <c r="A527" t="s">
        <v>726</v>
      </c>
      <c r="B527" t="s">
        <v>2916</v>
      </c>
      <c r="C527" t="s">
        <v>1372</v>
      </c>
      <c r="D527" t="s">
        <v>1301</v>
      </c>
      <c r="E527" s="220">
        <v>7.0713999999999999E-2</v>
      </c>
    </row>
    <row r="528" spans="1:5">
      <c r="A528" t="s">
        <v>738</v>
      </c>
      <c r="B528" t="s">
        <v>2916</v>
      </c>
      <c r="C528" t="s">
        <v>1372</v>
      </c>
      <c r="D528" t="s">
        <v>1301</v>
      </c>
      <c r="E528" s="220">
        <v>7.0713999999999999E-2</v>
      </c>
    </row>
    <row r="529" spans="1:5">
      <c r="A529" t="s">
        <v>747</v>
      </c>
      <c r="B529" t="s">
        <v>2916</v>
      </c>
      <c r="C529" t="s">
        <v>1372</v>
      </c>
      <c r="D529" t="s">
        <v>1301</v>
      </c>
      <c r="E529" s="220">
        <v>7.0713999999999999E-2</v>
      </c>
    </row>
    <row r="530" spans="1:5">
      <c r="A530" t="s">
        <v>754</v>
      </c>
      <c r="B530" t="s">
        <v>2916</v>
      </c>
      <c r="C530" t="s">
        <v>1372</v>
      </c>
      <c r="D530" t="s">
        <v>1301</v>
      </c>
      <c r="E530" s="220">
        <v>7.0274000000000003E-2</v>
      </c>
    </row>
    <row r="531" spans="1:5">
      <c r="A531" t="s">
        <v>757</v>
      </c>
      <c r="B531" t="s">
        <v>2916</v>
      </c>
      <c r="C531" t="s">
        <v>1372</v>
      </c>
      <c r="D531" t="s">
        <v>1301</v>
      </c>
      <c r="E531" s="220">
        <v>6.9433999999999996E-2</v>
      </c>
    </row>
    <row r="532" spans="1:5">
      <c r="A532" t="s">
        <v>823</v>
      </c>
      <c r="B532" t="s">
        <v>2916</v>
      </c>
      <c r="C532" t="s">
        <v>1372</v>
      </c>
      <c r="D532" t="s">
        <v>1301</v>
      </c>
      <c r="E532" s="220">
        <v>6.8507999999999999E-2</v>
      </c>
    </row>
    <row r="533" spans="1:5">
      <c r="A533" t="s">
        <v>767</v>
      </c>
      <c r="B533" t="s">
        <v>2916</v>
      </c>
      <c r="C533" t="s">
        <v>1372</v>
      </c>
      <c r="D533" t="s">
        <v>1301</v>
      </c>
      <c r="E533" s="220">
        <v>7.0713999999999999E-2</v>
      </c>
    </row>
    <row r="534" spans="1:5">
      <c r="A534" t="s">
        <v>761</v>
      </c>
      <c r="B534" t="s">
        <v>2916</v>
      </c>
      <c r="C534" t="s">
        <v>1372</v>
      </c>
      <c r="D534" t="s">
        <v>1301</v>
      </c>
      <c r="E534" s="220">
        <v>6.8668999999999994E-2</v>
      </c>
    </row>
    <row r="535" spans="1:5">
      <c r="A535" t="s">
        <v>770</v>
      </c>
      <c r="B535" t="s">
        <v>2916</v>
      </c>
      <c r="C535" t="s">
        <v>1372</v>
      </c>
      <c r="D535" t="s">
        <v>1301</v>
      </c>
      <c r="E535" s="220">
        <v>7.0713999999999999E-2</v>
      </c>
    </row>
    <row r="536" spans="1:5">
      <c r="A536" t="s">
        <v>592</v>
      </c>
      <c r="B536" t="s">
        <v>2916</v>
      </c>
      <c r="C536" t="s">
        <v>1372</v>
      </c>
      <c r="D536" t="s">
        <v>1301</v>
      </c>
      <c r="E536" s="220">
        <v>7.0808999999999997E-2</v>
      </c>
    </row>
    <row r="537" spans="1:5">
      <c r="A537" t="s">
        <v>773</v>
      </c>
      <c r="B537" t="s">
        <v>2916</v>
      </c>
      <c r="C537" t="s">
        <v>1372</v>
      </c>
      <c r="D537" t="s">
        <v>1301</v>
      </c>
      <c r="E537" s="220">
        <v>7.0713999999999999E-2</v>
      </c>
    </row>
    <row r="538" spans="1:5">
      <c r="A538" t="s">
        <v>776</v>
      </c>
      <c r="B538" t="s">
        <v>2916</v>
      </c>
      <c r="C538" t="s">
        <v>1372</v>
      </c>
      <c r="D538" t="s">
        <v>1301</v>
      </c>
      <c r="E538" s="220">
        <v>7.0808999999999997E-2</v>
      </c>
    </row>
    <row r="539" spans="1:5">
      <c r="A539" t="s">
        <v>1154</v>
      </c>
      <c r="B539" t="s">
        <v>2916</v>
      </c>
      <c r="C539" t="s">
        <v>1372</v>
      </c>
      <c r="D539" t="s">
        <v>1301</v>
      </c>
      <c r="E539" s="220">
        <v>6.9924E-2</v>
      </c>
    </row>
    <row r="540" spans="1:5">
      <c r="A540" t="s">
        <v>788</v>
      </c>
      <c r="B540" t="s">
        <v>2916</v>
      </c>
      <c r="C540" t="s">
        <v>1372</v>
      </c>
      <c r="D540" t="s">
        <v>1301</v>
      </c>
      <c r="E540" s="220">
        <v>7.2755E-2</v>
      </c>
    </row>
    <row r="541" spans="1:5">
      <c r="A541" t="s">
        <v>805</v>
      </c>
      <c r="B541" t="s">
        <v>2916</v>
      </c>
      <c r="C541" t="s">
        <v>1372</v>
      </c>
      <c r="D541" t="s">
        <v>1301</v>
      </c>
      <c r="E541" s="220">
        <v>6.9289000000000003E-2</v>
      </c>
    </row>
    <row r="542" spans="1:5">
      <c r="A542" t="s">
        <v>808</v>
      </c>
      <c r="B542" t="s">
        <v>2916</v>
      </c>
      <c r="C542" t="s">
        <v>1372</v>
      </c>
      <c r="D542" t="s">
        <v>1301</v>
      </c>
      <c r="E542" s="220">
        <v>7.0346999999999993E-2</v>
      </c>
    </row>
    <row r="543" spans="1:5">
      <c r="A543" t="s">
        <v>1238</v>
      </c>
      <c r="B543" t="s">
        <v>2916</v>
      </c>
      <c r="C543" t="s">
        <v>1372</v>
      </c>
      <c r="D543" t="s">
        <v>1301</v>
      </c>
      <c r="E543" s="220">
        <v>7.0701E-2</v>
      </c>
    </row>
    <row r="544" spans="1:5">
      <c r="A544" t="s">
        <v>820</v>
      </c>
      <c r="B544" t="s">
        <v>2916</v>
      </c>
      <c r="C544" t="s">
        <v>1372</v>
      </c>
      <c r="D544" t="s">
        <v>1301</v>
      </c>
      <c r="E544" s="220">
        <v>7.3275000000000007E-2</v>
      </c>
    </row>
    <row r="545" spans="1:5">
      <c r="A545" t="s">
        <v>833</v>
      </c>
      <c r="B545" t="s">
        <v>2916</v>
      </c>
      <c r="C545" t="s">
        <v>1372</v>
      </c>
      <c r="D545" t="s">
        <v>1301</v>
      </c>
      <c r="E545" s="220">
        <v>6.9894000000000012E-2</v>
      </c>
    </row>
    <row r="546" spans="1:5">
      <c r="A546" t="s">
        <v>839</v>
      </c>
      <c r="B546" t="s">
        <v>2916</v>
      </c>
      <c r="C546" t="s">
        <v>1372</v>
      </c>
      <c r="D546" t="s">
        <v>1301</v>
      </c>
      <c r="E546" s="220">
        <v>7.0713999999999999E-2</v>
      </c>
    </row>
    <row r="547" spans="1:5">
      <c r="A547" t="s">
        <v>845</v>
      </c>
      <c r="B547" t="s">
        <v>2916</v>
      </c>
      <c r="C547" t="s">
        <v>1372</v>
      </c>
      <c r="D547" t="s">
        <v>1301</v>
      </c>
      <c r="E547" s="220">
        <v>7.0713999999999999E-2</v>
      </c>
    </row>
    <row r="548" spans="1:5">
      <c r="A548" t="s">
        <v>854</v>
      </c>
      <c r="B548" t="s">
        <v>2916</v>
      </c>
      <c r="C548" t="s">
        <v>1372</v>
      </c>
      <c r="D548" t="s">
        <v>1301</v>
      </c>
      <c r="E548" s="220">
        <v>7.0713999999999999E-2</v>
      </c>
    </row>
    <row r="549" spans="1:5">
      <c r="A549" t="s">
        <v>863</v>
      </c>
      <c r="B549" t="s">
        <v>2916</v>
      </c>
      <c r="C549" t="s">
        <v>1372</v>
      </c>
      <c r="D549" t="s">
        <v>1301</v>
      </c>
      <c r="E549" s="220">
        <v>7.1836999999999998E-2</v>
      </c>
    </row>
    <row r="550" spans="1:5">
      <c r="A550" t="s">
        <v>860</v>
      </c>
      <c r="B550" t="s">
        <v>2916</v>
      </c>
      <c r="C550" t="s">
        <v>1372</v>
      </c>
      <c r="D550" t="s">
        <v>1301</v>
      </c>
      <c r="E550" s="220">
        <v>7.0713999999999999E-2</v>
      </c>
    </row>
    <row r="551" spans="1:5">
      <c r="A551" t="s">
        <v>744</v>
      </c>
      <c r="B551" t="s">
        <v>2916</v>
      </c>
      <c r="C551" t="s">
        <v>1372</v>
      </c>
      <c r="D551" t="s">
        <v>1301</v>
      </c>
      <c r="E551" s="220">
        <v>7.0569999999999994E-2</v>
      </c>
    </row>
    <row r="552" spans="1:5">
      <c r="A552" t="s">
        <v>857</v>
      </c>
      <c r="B552" t="s">
        <v>2916</v>
      </c>
      <c r="C552" t="s">
        <v>1372</v>
      </c>
      <c r="D552" t="s">
        <v>1301</v>
      </c>
      <c r="E552" s="220">
        <v>7.0713999999999999E-2</v>
      </c>
    </row>
    <row r="553" spans="1:5">
      <c r="A553" t="s">
        <v>866</v>
      </c>
      <c r="B553" t="s">
        <v>2916</v>
      </c>
      <c r="C553" t="s">
        <v>1372</v>
      </c>
      <c r="D553" t="s">
        <v>1301</v>
      </c>
      <c r="E553" s="220">
        <v>6.9694999999999993E-2</v>
      </c>
    </row>
    <row r="554" spans="1:5">
      <c r="A554" t="s">
        <v>875</v>
      </c>
      <c r="B554" t="s">
        <v>2916</v>
      </c>
      <c r="C554" t="s">
        <v>1372</v>
      </c>
      <c r="D554" t="s">
        <v>1301</v>
      </c>
      <c r="E554" s="220">
        <v>7.1330000000000005E-2</v>
      </c>
    </row>
    <row r="555" spans="1:5">
      <c r="A555" t="s">
        <v>872</v>
      </c>
      <c r="B555" t="s">
        <v>2916</v>
      </c>
      <c r="C555" t="s">
        <v>1372</v>
      </c>
      <c r="D555" t="s">
        <v>1301</v>
      </c>
      <c r="E555" s="220">
        <v>6.8996000000000002E-2</v>
      </c>
    </row>
    <row r="556" spans="1:5">
      <c r="A556" t="s">
        <v>884</v>
      </c>
      <c r="B556" t="s">
        <v>2916</v>
      </c>
      <c r="C556" t="s">
        <v>1372</v>
      </c>
      <c r="D556" t="s">
        <v>1301</v>
      </c>
      <c r="E556" s="220">
        <v>7.177299999999999E-2</v>
      </c>
    </row>
    <row r="557" spans="1:5">
      <c r="A557" t="s">
        <v>878</v>
      </c>
      <c r="B557" t="s">
        <v>2916</v>
      </c>
      <c r="C557" t="s">
        <v>1372</v>
      </c>
      <c r="D557" t="s">
        <v>1301</v>
      </c>
      <c r="E557" s="220">
        <v>7.3312000000000002E-2</v>
      </c>
    </row>
    <row r="558" spans="1:5">
      <c r="A558" t="s">
        <v>881</v>
      </c>
      <c r="B558" t="s">
        <v>2916</v>
      </c>
      <c r="C558" t="s">
        <v>1372</v>
      </c>
      <c r="D558" t="s">
        <v>1301</v>
      </c>
      <c r="E558" s="220">
        <v>7.3312000000000002E-2</v>
      </c>
    </row>
    <row r="559" spans="1:5">
      <c r="A559" t="s">
        <v>869</v>
      </c>
      <c r="B559" t="s">
        <v>2916</v>
      </c>
      <c r="C559" t="s">
        <v>1372</v>
      </c>
      <c r="D559" t="s">
        <v>1301</v>
      </c>
      <c r="E559" s="220">
        <v>6.9873000000000005E-2</v>
      </c>
    </row>
    <row r="560" spans="1:5">
      <c r="A560" t="s">
        <v>891</v>
      </c>
      <c r="B560" t="s">
        <v>2916</v>
      </c>
      <c r="C560" t="s">
        <v>1372</v>
      </c>
      <c r="D560" t="s">
        <v>1301</v>
      </c>
      <c r="E560" s="220">
        <v>7.3312000000000002E-2</v>
      </c>
    </row>
    <row r="561" spans="1:5">
      <c r="A561" t="s">
        <v>894</v>
      </c>
      <c r="B561" t="s">
        <v>2916</v>
      </c>
      <c r="C561" t="s">
        <v>1372</v>
      </c>
      <c r="D561" t="s">
        <v>1301</v>
      </c>
      <c r="E561" s="220">
        <v>6.9543999999999995E-2</v>
      </c>
    </row>
    <row r="562" spans="1:5">
      <c r="A562" t="s">
        <v>897</v>
      </c>
      <c r="B562" t="s">
        <v>2916</v>
      </c>
      <c r="C562" t="s">
        <v>1372</v>
      </c>
      <c r="D562" t="s">
        <v>1301</v>
      </c>
      <c r="E562" s="220">
        <v>7.0713999999999999E-2</v>
      </c>
    </row>
    <row r="563" spans="1:5">
      <c r="A563" t="s">
        <v>903</v>
      </c>
      <c r="B563" t="s">
        <v>2916</v>
      </c>
      <c r="C563" t="s">
        <v>1372</v>
      </c>
      <c r="D563" t="s">
        <v>1301</v>
      </c>
      <c r="E563" s="220">
        <v>7.3312000000000002E-2</v>
      </c>
    </row>
    <row r="564" spans="1:5">
      <c r="A564" t="s">
        <v>900</v>
      </c>
      <c r="B564" t="s">
        <v>2916</v>
      </c>
      <c r="C564" t="s">
        <v>1372</v>
      </c>
      <c r="D564" t="s">
        <v>1301</v>
      </c>
      <c r="E564" s="220">
        <v>7.3025999999999994E-2</v>
      </c>
    </row>
    <row r="565" spans="1:5">
      <c r="A565" t="s">
        <v>906</v>
      </c>
      <c r="B565" t="s">
        <v>2916</v>
      </c>
      <c r="C565" t="s">
        <v>1372</v>
      </c>
      <c r="D565" t="s">
        <v>1301</v>
      </c>
      <c r="E565" s="220">
        <v>7.3275000000000007E-2</v>
      </c>
    </row>
    <row r="566" spans="1:5">
      <c r="A566" t="s">
        <v>930</v>
      </c>
      <c r="B566" t="s">
        <v>2916</v>
      </c>
      <c r="C566" t="s">
        <v>1372</v>
      </c>
      <c r="D566" t="s">
        <v>1301</v>
      </c>
      <c r="E566" s="220">
        <v>7.3275000000000007E-2</v>
      </c>
    </row>
    <row r="567" spans="1:5">
      <c r="A567" t="s">
        <v>699</v>
      </c>
      <c r="B567" t="s">
        <v>2916</v>
      </c>
      <c r="C567" t="s">
        <v>1372</v>
      </c>
      <c r="D567" t="s">
        <v>1301</v>
      </c>
      <c r="E567" s="220">
        <v>7.3290000000000008E-2</v>
      </c>
    </row>
    <row r="568" spans="1:5">
      <c r="A568" t="s">
        <v>1160</v>
      </c>
      <c r="B568" t="s">
        <v>2916</v>
      </c>
      <c r="C568" t="s">
        <v>1372</v>
      </c>
      <c r="D568" t="s">
        <v>1301</v>
      </c>
      <c r="E568" s="220">
        <v>7.0713999999999999E-2</v>
      </c>
    </row>
    <row r="569" spans="1:5">
      <c r="A569" t="s">
        <v>915</v>
      </c>
      <c r="B569" t="s">
        <v>2916</v>
      </c>
      <c r="C569" t="s">
        <v>1372</v>
      </c>
      <c r="D569" t="s">
        <v>1301</v>
      </c>
      <c r="E569" s="220">
        <v>7.2277000000000008E-2</v>
      </c>
    </row>
    <row r="570" spans="1:5">
      <c r="A570" t="s">
        <v>927</v>
      </c>
      <c r="B570" t="s">
        <v>2916</v>
      </c>
      <c r="C570" t="s">
        <v>1372</v>
      </c>
      <c r="D570" t="s">
        <v>1301</v>
      </c>
      <c r="E570" s="220">
        <v>7.3312000000000002E-2</v>
      </c>
    </row>
    <row r="571" spans="1:5">
      <c r="A571" t="s">
        <v>933</v>
      </c>
      <c r="B571" t="s">
        <v>2916</v>
      </c>
      <c r="C571" t="s">
        <v>1372</v>
      </c>
      <c r="D571" t="s">
        <v>1301</v>
      </c>
      <c r="E571" s="220">
        <v>7.3290000000000008E-2</v>
      </c>
    </row>
    <row r="572" spans="1:5">
      <c r="A572" t="s">
        <v>939</v>
      </c>
      <c r="B572" t="s">
        <v>2916</v>
      </c>
      <c r="C572" t="s">
        <v>1372</v>
      </c>
      <c r="D572" t="s">
        <v>1301</v>
      </c>
      <c r="E572" s="220">
        <v>7.3312000000000002E-2</v>
      </c>
    </row>
    <row r="573" spans="1:5">
      <c r="A573" t="s">
        <v>1163</v>
      </c>
      <c r="B573" t="s">
        <v>2916</v>
      </c>
      <c r="C573" t="s">
        <v>1372</v>
      </c>
      <c r="D573" t="s">
        <v>1301</v>
      </c>
      <c r="E573" s="220">
        <v>7.0713999999999999E-2</v>
      </c>
    </row>
    <row r="574" spans="1:5">
      <c r="A574" t="s">
        <v>1157</v>
      </c>
      <c r="B574" t="s">
        <v>2916</v>
      </c>
      <c r="C574" t="s">
        <v>1372</v>
      </c>
      <c r="D574" t="s">
        <v>1301</v>
      </c>
      <c r="E574" s="220">
        <v>7.3400000000000007E-2</v>
      </c>
    </row>
    <row r="575" spans="1:5">
      <c r="A575" t="s">
        <v>954</v>
      </c>
      <c r="B575" t="s">
        <v>2916</v>
      </c>
      <c r="C575" t="s">
        <v>1372</v>
      </c>
      <c r="D575" t="s">
        <v>1301</v>
      </c>
      <c r="E575" s="220">
        <v>6.9949999999999998E-2</v>
      </c>
    </row>
    <row r="576" spans="1:5">
      <c r="A576" t="s">
        <v>957</v>
      </c>
      <c r="B576" t="s">
        <v>2916</v>
      </c>
      <c r="C576" t="s">
        <v>1372</v>
      </c>
      <c r="D576" t="s">
        <v>1301</v>
      </c>
      <c r="E576" s="220">
        <v>6.9779999999999995E-2</v>
      </c>
    </row>
    <row r="577" spans="1:5">
      <c r="A577" t="s">
        <v>936</v>
      </c>
      <c r="B577" t="s">
        <v>2916</v>
      </c>
      <c r="C577" t="s">
        <v>1372</v>
      </c>
      <c r="D577" t="s">
        <v>1301</v>
      </c>
      <c r="E577" s="220">
        <v>7.0586999999999997E-2</v>
      </c>
    </row>
    <row r="578" spans="1:5">
      <c r="A578" t="s">
        <v>1014</v>
      </c>
      <c r="B578" t="s">
        <v>2916</v>
      </c>
      <c r="C578" t="s">
        <v>1372</v>
      </c>
      <c r="D578" t="s">
        <v>1301</v>
      </c>
      <c r="E578" s="220">
        <v>7.0808999999999997E-2</v>
      </c>
    </row>
    <row r="579" spans="1:5">
      <c r="A579" t="s">
        <v>999</v>
      </c>
      <c r="B579" t="s">
        <v>2916</v>
      </c>
      <c r="C579" t="s">
        <v>1372</v>
      </c>
      <c r="D579" t="s">
        <v>1301</v>
      </c>
      <c r="E579" s="220">
        <v>7.3400000000000007E-2</v>
      </c>
    </row>
    <row r="580" spans="1:5">
      <c r="A580" t="s">
        <v>993</v>
      </c>
      <c r="B580" t="s">
        <v>2916</v>
      </c>
      <c r="C580" t="s">
        <v>1372</v>
      </c>
      <c r="D580" t="s">
        <v>1301</v>
      </c>
      <c r="E580" s="220">
        <v>7.3051000000000005E-2</v>
      </c>
    </row>
    <row r="581" spans="1:5">
      <c r="A581" t="s">
        <v>963</v>
      </c>
      <c r="B581" t="s">
        <v>2916</v>
      </c>
      <c r="C581" t="s">
        <v>1372</v>
      </c>
      <c r="D581" t="s">
        <v>1301</v>
      </c>
      <c r="E581" s="220">
        <v>7.2933000000000012E-2</v>
      </c>
    </row>
    <row r="582" spans="1:5">
      <c r="A582" t="s">
        <v>981</v>
      </c>
      <c r="B582" t="s">
        <v>2916</v>
      </c>
      <c r="C582" t="s">
        <v>1372</v>
      </c>
      <c r="D582" t="s">
        <v>1301</v>
      </c>
      <c r="E582" s="220">
        <v>7.1410000000000001E-2</v>
      </c>
    </row>
    <row r="583" spans="1:5">
      <c r="A583" t="s">
        <v>1020</v>
      </c>
      <c r="B583" t="s">
        <v>2916</v>
      </c>
      <c r="C583" t="s">
        <v>1372</v>
      </c>
      <c r="D583" t="s">
        <v>1301</v>
      </c>
      <c r="E583" s="220">
        <v>7.3290000000000008E-2</v>
      </c>
    </row>
    <row r="584" spans="1:5">
      <c r="A584" t="s">
        <v>1006</v>
      </c>
      <c r="B584" t="s">
        <v>2916</v>
      </c>
      <c r="C584" t="s">
        <v>1372</v>
      </c>
      <c r="D584" t="s">
        <v>1301</v>
      </c>
      <c r="E584" s="220">
        <v>7.3400000000000007E-2</v>
      </c>
    </row>
    <row r="585" spans="1:5">
      <c r="A585" t="s">
        <v>972</v>
      </c>
      <c r="B585" t="s">
        <v>2916</v>
      </c>
      <c r="C585" t="s">
        <v>1372</v>
      </c>
      <c r="D585" t="s">
        <v>1301</v>
      </c>
      <c r="E585" s="220">
        <v>7.1725999999999998E-2</v>
      </c>
    </row>
    <row r="586" spans="1:5">
      <c r="A586" t="s">
        <v>1042</v>
      </c>
      <c r="B586" t="s">
        <v>2916</v>
      </c>
      <c r="C586" t="s">
        <v>1372</v>
      </c>
      <c r="D586" t="s">
        <v>1301</v>
      </c>
      <c r="E586" s="220">
        <v>7.0713999999999999E-2</v>
      </c>
    </row>
    <row r="587" spans="1:5">
      <c r="A587" t="s">
        <v>1032</v>
      </c>
      <c r="B587" t="s">
        <v>2916</v>
      </c>
      <c r="C587" t="s">
        <v>1372</v>
      </c>
      <c r="D587" t="s">
        <v>1301</v>
      </c>
      <c r="E587" s="220">
        <v>6.9650999999999991E-2</v>
      </c>
    </row>
    <row r="588" spans="1:5">
      <c r="A588" t="s">
        <v>1055</v>
      </c>
      <c r="B588" t="s">
        <v>2916</v>
      </c>
      <c r="C588" t="s">
        <v>1372</v>
      </c>
      <c r="D588" t="s">
        <v>1301</v>
      </c>
      <c r="E588" s="220">
        <v>6.8693000000000004E-2</v>
      </c>
    </row>
    <row r="589" spans="1:5">
      <c r="A589" t="s">
        <v>1029</v>
      </c>
      <c r="B589" t="s">
        <v>2916</v>
      </c>
      <c r="C589" t="s">
        <v>1372</v>
      </c>
      <c r="D589" t="s">
        <v>1301</v>
      </c>
      <c r="E589" s="220">
        <v>7.3400000000000007E-2</v>
      </c>
    </row>
    <row r="590" spans="1:5">
      <c r="A590" t="s">
        <v>1039</v>
      </c>
      <c r="B590" t="s">
        <v>2916</v>
      </c>
      <c r="C590" t="s">
        <v>1372</v>
      </c>
      <c r="D590" t="s">
        <v>1301</v>
      </c>
      <c r="E590" s="220">
        <v>7.2885999999999992E-2</v>
      </c>
    </row>
    <row r="591" spans="1:5">
      <c r="A591" t="s">
        <v>1058</v>
      </c>
      <c r="B591" t="s">
        <v>2916</v>
      </c>
      <c r="C591" t="s">
        <v>1372</v>
      </c>
      <c r="D591" t="s">
        <v>1301</v>
      </c>
      <c r="E591" s="220">
        <v>7.3312000000000002E-2</v>
      </c>
    </row>
    <row r="592" spans="1:5">
      <c r="A592" t="s">
        <v>1061</v>
      </c>
      <c r="B592" t="s">
        <v>2916</v>
      </c>
      <c r="C592" t="s">
        <v>1372</v>
      </c>
      <c r="D592" t="s">
        <v>1301</v>
      </c>
      <c r="E592" s="220">
        <v>7.2299000000000002E-2</v>
      </c>
    </row>
    <row r="593" spans="1:5">
      <c r="A593" t="s">
        <v>1067</v>
      </c>
      <c r="B593" t="s">
        <v>2916</v>
      </c>
      <c r="C593" t="s">
        <v>1372</v>
      </c>
      <c r="D593" t="s">
        <v>1301</v>
      </c>
      <c r="E593" s="220">
        <v>7.0713999999999999E-2</v>
      </c>
    </row>
    <row r="594" spans="1:5">
      <c r="A594" t="s">
        <v>1076</v>
      </c>
      <c r="B594" t="s">
        <v>2916</v>
      </c>
      <c r="C594" t="s">
        <v>1372</v>
      </c>
      <c r="D594" t="s">
        <v>1301</v>
      </c>
      <c r="E594" s="220">
        <v>7.0713999999999999E-2</v>
      </c>
    </row>
    <row r="595" spans="1:5">
      <c r="A595" t="s">
        <v>1079</v>
      </c>
      <c r="B595" t="s">
        <v>2916</v>
      </c>
      <c r="C595" t="s">
        <v>1372</v>
      </c>
      <c r="D595" t="s">
        <v>1301</v>
      </c>
      <c r="E595" s="220">
        <v>6.9957999999999992E-2</v>
      </c>
    </row>
    <row r="596" spans="1:5">
      <c r="A596" t="s">
        <v>1082</v>
      </c>
      <c r="B596" t="s">
        <v>2916</v>
      </c>
      <c r="C596" t="s">
        <v>1372</v>
      </c>
      <c r="D596" t="s">
        <v>1301</v>
      </c>
      <c r="E596" s="220">
        <v>6.8587000000000009E-2</v>
      </c>
    </row>
    <row r="597" spans="1:5">
      <c r="A597" t="s">
        <v>919</v>
      </c>
      <c r="B597" t="s">
        <v>2916</v>
      </c>
      <c r="C597" t="s">
        <v>1372</v>
      </c>
      <c r="D597" t="s">
        <v>1301</v>
      </c>
      <c r="E597" s="220">
        <v>7.3400000000000007E-2</v>
      </c>
    </row>
    <row r="598" spans="1:5">
      <c r="A598" t="s">
        <v>1085</v>
      </c>
      <c r="B598" t="s">
        <v>2916</v>
      </c>
      <c r="C598" t="s">
        <v>1372</v>
      </c>
      <c r="D598" t="s">
        <v>1301</v>
      </c>
      <c r="E598" s="220">
        <v>6.7702999999999999E-2</v>
      </c>
    </row>
    <row r="599" spans="1:5">
      <c r="A599" t="s">
        <v>1073</v>
      </c>
      <c r="B599" t="s">
        <v>2916</v>
      </c>
      <c r="C599" t="s">
        <v>1372</v>
      </c>
      <c r="D599" t="s">
        <v>1301</v>
      </c>
      <c r="E599" s="220">
        <v>7.0713999999999999E-2</v>
      </c>
    </row>
    <row r="600" spans="1:5">
      <c r="A600" t="s">
        <v>1264</v>
      </c>
      <c r="B600" t="s">
        <v>2916</v>
      </c>
      <c r="C600" t="s">
        <v>1372</v>
      </c>
      <c r="D600" t="s">
        <v>1301</v>
      </c>
      <c r="E600" s="220">
        <v>7.3312000000000002E-2</v>
      </c>
    </row>
    <row r="601" spans="1:5">
      <c r="A601" t="s">
        <v>1091</v>
      </c>
      <c r="B601" t="s">
        <v>2916</v>
      </c>
      <c r="C601" t="s">
        <v>1372</v>
      </c>
      <c r="D601" t="s">
        <v>1301</v>
      </c>
      <c r="E601" s="220">
        <v>7.3312000000000002E-2</v>
      </c>
    </row>
    <row r="602" spans="1:5">
      <c r="A602" t="s">
        <v>1094</v>
      </c>
      <c r="B602" t="s">
        <v>2916</v>
      </c>
      <c r="C602" t="s">
        <v>1372</v>
      </c>
      <c r="D602" t="s">
        <v>1301</v>
      </c>
      <c r="E602" s="220">
        <v>6.9948999999999997E-2</v>
      </c>
    </row>
    <row r="603" spans="1:5">
      <c r="A603" t="s">
        <v>1097</v>
      </c>
      <c r="B603" t="s">
        <v>2916</v>
      </c>
      <c r="C603" t="s">
        <v>1372</v>
      </c>
      <c r="D603" t="s">
        <v>1301</v>
      </c>
      <c r="E603" s="220">
        <v>7.3033000000000001E-2</v>
      </c>
    </row>
    <row r="604" spans="1:5">
      <c r="A604" t="s">
        <v>1113</v>
      </c>
      <c r="B604" t="s">
        <v>2916</v>
      </c>
      <c r="C604" t="s">
        <v>1372</v>
      </c>
      <c r="D604" t="s">
        <v>1301</v>
      </c>
      <c r="E604" s="220">
        <v>7.3312000000000002E-2</v>
      </c>
    </row>
    <row r="605" spans="1:5">
      <c r="A605" t="s">
        <v>1173</v>
      </c>
      <c r="B605" t="s">
        <v>2916</v>
      </c>
      <c r="C605" t="s">
        <v>1372</v>
      </c>
      <c r="D605" t="s">
        <v>1301</v>
      </c>
      <c r="E605" s="220">
        <v>7.0808999999999997E-2</v>
      </c>
    </row>
    <row r="606" spans="1:5">
      <c r="A606" t="s">
        <v>1128</v>
      </c>
      <c r="B606" t="s">
        <v>2916</v>
      </c>
      <c r="C606" t="s">
        <v>1372</v>
      </c>
      <c r="D606" t="s">
        <v>1301</v>
      </c>
      <c r="E606" s="220">
        <v>7.3290000000000008E-2</v>
      </c>
    </row>
    <row r="607" spans="1:5">
      <c r="A607" t="s">
        <v>779</v>
      </c>
      <c r="B607" t="s">
        <v>2916</v>
      </c>
      <c r="C607" t="s">
        <v>1372</v>
      </c>
      <c r="D607" t="s">
        <v>1301</v>
      </c>
      <c r="E607" s="220">
        <v>7.0713999999999999E-2</v>
      </c>
    </row>
    <row r="608" spans="1:5">
      <c r="A608" t="s">
        <v>1119</v>
      </c>
      <c r="B608" t="s">
        <v>2916</v>
      </c>
      <c r="C608" t="s">
        <v>1372</v>
      </c>
      <c r="D608" t="s">
        <v>1301</v>
      </c>
      <c r="E608" s="220">
        <v>7.2857000000000005E-2</v>
      </c>
    </row>
    <row r="609" spans="1:5">
      <c r="A609" t="s">
        <v>1176</v>
      </c>
      <c r="B609" t="s">
        <v>2916</v>
      </c>
      <c r="C609" t="s">
        <v>1372</v>
      </c>
      <c r="D609" t="s">
        <v>1301</v>
      </c>
      <c r="E609" s="220">
        <v>7.0713999999999999E-2</v>
      </c>
    </row>
    <row r="610" spans="1:5">
      <c r="A610" t="s">
        <v>1135</v>
      </c>
      <c r="B610" t="s">
        <v>2916</v>
      </c>
      <c r="C610" t="s">
        <v>1372</v>
      </c>
      <c r="D610" t="s">
        <v>1301</v>
      </c>
      <c r="E610" s="220">
        <v>6.8819999999999992E-2</v>
      </c>
    </row>
    <row r="611" spans="1:5">
      <c r="A611" t="s">
        <v>1139</v>
      </c>
      <c r="B611" t="s">
        <v>2916</v>
      </c>
      <c r="C611" t="s">
        <v>1372</v>
      </c>
      <c r="D611" t="s">
        <v>1301</v>
      </c>
      <c r="E611" s="220">
        <v>6.7554000000000003E-2</v>
      </c>
    </row>
    <row r="612" spans="1:5">
      <c r="A612" t="s">
        <v>1179</v>
      </c>
      <c r="B612" t="s">
        <v>2916</v>
      </c>
      <c r="C612" t="s">
        <v>1372</v>
      </c>
      <c r="D612" t="s">
        <v>1301</v>
      </c>
      <c r="E612" s="220">
        <v>6.5212000000000006E-2</v>
      </c>
    </row>
    <row r="613" spans="1:5">
      <c r="A613" t="s">
        <v>1185</v>
      </c>
      <c r="B613" t="s">
        <v>2916</v>
      </c>
      <c r="C613" t="s">
        <v>1372</v>
      </c>
      <c r="D613" t="s">
        <v>1301</v>
      </c>
      <c r="E613" s="220">
        <v>7.3312000000000002E-2</v>
      </c>
    </row>
    <row r="614" spans="1:5">
      <c r="A614" t="s">
        <v>1198</v>
      </c>
      <c r="B614" t="s">
        <v>2916</v>
      </c>
      <c r="C614" t="s">
        <v>1372</v>
      </c>
      <c r="D614" t="s">
        <v>1301</v>
      </c>
      <c r="E614" s="220">
        <v>6.6060000000000008E-2</v>
      </c>
    </row>
    <row r="615" spans="1:5">
      <c r="A615" t="s">
        <v>1192</v>
      </c>
      <c r="B615" t="s">
        <v>2916</v>
      </c>
      <c r="C615" t="s">
        <v>1372</v>
      </c>
      <c r="D615" t="s">
        <v>1301</v>
      </c>
      <c r="E615" s="220">
        <v>7.3275000000000007E-2</v>
      </c>
    </row>
    <row r="616" spans="1:5">
      <c r="A616" t="s">
        <v>1219</v>
      </c>
      <c r="B616" t="s">
        <v>2916</v>
      </c>
      <c r="C616" t="s">
        <v>1372</v>
      </c>
      <c r="D616" t="s">
        <v>1301</v>
      </c>
      <c r="E616" s="220">
        <v>7.3275000000000007E-2</v>
      </c>
    </row>
    <row r="617" spans="1:5">
      <c r="A617" t="s">
        <v>1210</v>
      </c>
      <c r="B617" t="s">
        <v>2916</v>
      </c>
      <c r="C617" t="s">
        <v>1372</v>
      </c>
      <c r="D617" t="s">
        <v>1301</v>
      </c>
      <c r="E617" s="220">
        <v>7.0713999999999999E-2</v>
      </c>
    </row>
    <row r="618" spans="1:5">
      <c r="A618" t="s">
        <v>1213</v>
      </c>
      <c r="B618" t="s">
        <v>2916</v>
      </c>
      <c r="C618" t="s">
        <v>1372</v>
      </c>
      <c r="D618" t="s">
        <v>1301</v>
      </c>
      <c r="E618" s="220">
        <v>7.0808999999999997E-2</v>
      </c>
    </row>
    <row r="619" spans="1:5">
      <c r="A619" t="s">
        <v>1216</v>
      </c>
      <c r="B619" t="s">
        <v>2916</v>
      </c>
      <c r="C619" t="s">
        <v>1372</v>
      </c>
      <c r="D619" t="s">
        <v>1301</v>
      </c>
      <c r="E619" s="220">
        <v>7.2839000000000001E-2</v>
      </c>
    </row>
    <row r="620" spans="1:5">
      <c r="A620" t="s">
        <v>1189</v>
      </c>
      <c r="B620" t="s">
        <v>2916</v>
      </c>
      <c r="C620" t="s">
        <v>1372</v>
      </c>
      <c r="D620" t="s">
        <v>1301</v>
      </c>
      <c r="E620" s="220">
        <v>7.3290000000000008E-2</v>
      </c>
    </row>
    <row r="621" spans="1:5">
      <c r="A621" t="s">
        <v>1232</v>
      </c>
      <c r="B621" t="s">
        <v>2916</v>
      </c>
      <c r="C621" t="s">
        <v>1372</v>
      </c>
      <c r="D621" t="s">
        <v>1301</v>
      </c>
      <c r="E621" s="220">
        <v>7.3033000000000001E-2</v>
      </c>
    </row>
    <row r="622" spans="1:5">
      <c r="A622" t="s">
        <v>1244</v>
      </c>
      <c r="B622" t="s">
        <v>2916</v>
      </c>
      <c r="C622" t="s">
        <v>1372</v>
      </c>
      <c r="D622" t="s">
        <v>1301</v>
      </c>
      <c r="E622" s="220">
        <v>7.0713999999999999E-2</v>
      </c>
    </row>
    <row r="623" spans="1:5">
      <c r="A623" t="s">
        <v>1241</v>
      </c>
      <c r="B623" t="s">
        <v>2916</v>
      </c>
      <c r="C623" t="s">
        <v>1372</v>
      </c>
      <c r="D623" t="s">
        <v>1301</v>
      </c>
      <c r="E623" s="220">
        <v>7.2665999999999994E-2</v>
      </c>
    </row>
    <row r="624" spans="1:5">
      <c r="A624" t="s">
        <v>1247</v>
      </c>
      <c r="B624" t="s">
        <v>2916</v>
      </c>
      <c r="C624" t="s">
        <v>1372</v>
      </c>
      <c r="D624" t="s">
        <v>1301</v>
      </c>
      <c r="E624" s="220">
        <v>7.3275000000000007E-2</v>
      </c>
    </row>
    <row r="625" spans="1:5">
      <c r="A625" t="s">
        <v>1170</v>
      </c>
      <c r="B625" t="s">
        <v>2916</v>
      </c>
      <c r="C625" t="s">
        <v>1372</v>
      </c>
      <c r="D625" t="s">
        <v>1301</v>
      </c>
      <c r="E625" s="220">
        <v>7.0713999999999999E-2</v>
      </c>
    </row>
    <row r="626" spans="1:5">
      <c r="A626" t="s">
        <v>1253</v>
      </c>
      <c r="B626" t="s">
        <v>2916</v>
      </c>
      <c r="C626" t="s">
        <v>1372</v>
      </c>
      <c r="D626" t="s">
        <v>1301</v>
      </c>
      <c r="E626" s="220">
        <v>7.0713999999999999E-2</v>
      </c>
    </row>
    <row r="627" spans="1:5">
      <c r="A627" t="s">
        <v>1257</v>
      </c>
      <c r="B627" t="s">
        <v>2916</v>
      </c>
      <c r="C627" t="s">
        <v>1372</v>
      </c>
      <c r="D627" t="s">
        <v>1301</v>
      </c>
      <c r="E627" s="220">
        <v>7.3290000000000008E-2</v>
      </c>
    </row>
    <row r="628" spans="1:5">
      <c r="A628" t="s">
        <v>1268</v>
      </c>
      <c r="B628" t="s">
        <v>2916</v>
      </c>
      <c r="C628" t="s">
        <v>1372</v>
      </c>
      <c r="D628" t="s">
        <v>1301</v>
      </c>
      <c r="E628" s="220">
        <v>7.3312000000000002E-2</v>
      </c>
    </row>
    <row r="629" spans="1:5">
      <c r="A629" t="s">
        <v>1148</v>
      </c>
      <c r="B629" t="s">
        <v>2916</v>
      </c>
      <c r="C629" t="s">
        <v>1372</v>
      </c>
      <c r="D629" t="s">
        <v>1301</v>
      </c>
      <c r="E629" s="220">
        <v>7.0808999999999997E-2</v>
      </c>
    </row>
    <row r="630" spans="1:5">
      <c r="A630" t="s">
        <v>580</v>
      </c>
      <c r="B630" t="s">
        <v>2916</v>
      </c>
      <c r="C630" t="s">
        <v>1333</v>
      </c>
      <c r="D630" t="s">
        <v>1305</v>
      </c>
      <c r="E630" s="220">
        <v>6.8599999999999994E-2</v>
      </c>
    </row>
    <row r="631" spans="1:5">
      <c r="A631" t="s">
        <v>614</v>
      </c>
      <c r="B631" t="s">
        <v>2916</v>
      </c>
      <c r="C631" t="s">
        <v>1333</v>
      </c>
      <c r="D631" t="s">
        <v>1305</v>
      </c>
      <c r="E631" s="220">
        <v>6.7941000000000001E-2</v>
      </c>
    </row>
    <row r="632" spans="1:5">
      <c r="A632" t="s">
        <v>626</v>
      </c>
      <c r="B632" t="s">
        <v>2916</v>
      </c>
      <c r="C632" t="s">
        <v>1333</v>
      </c>
      <c r="D632" t="s">
        <v>1305</v>
      </c>
      <c r="E632" s="220">
        <v>6.6679000000000002E-2</v>
      </c>
    </row>
    <row r="633" spans="1:5">
      <c r="A633" t="s">
        <v>629</v>
      </c>
      <c r="B633" t="s">
        <v>2916</v>
      </c>
      <c r="C633" t="s">
        <v>1333</v>
      </c>
      <c r="D633" t="s">
        <v>1305</v>
      </c>
      <c r="E633" s="220">
        <v>6.5115999999999993E-2</v>
      </c>
    </row>
    <row r="634" spans="1:5">
      <c r="A634" t="s">
        <v>632</v>
      </c>
      <c r="B634" t="s">
        <v>2916</v>
      </c>
      <c r="C634" t="s">
        <v>1333</v>
      </c>
      <c r="D634" t="s">
        <v>1305</v>
      </c>
      <c r="E634" s="220">
        <v>6.8599999999999994E-2</v>
      </c>
    </row>
    <row r="635" spans="1:5">
      <c r="A635" t="s">
        <v>650</v>
      </c>
      <c r="B635" t="s">
        <v>2916</v>
      </c>
      <c r="C635" t="s">
        <v>1333</v>
      </c>
      <c r="D635" t="s">
        <v>1305</v>
      </c>
      <c r="E635" s="220">
        <v>6.8599999999999994E-2</v>
      </c>
    </row>
    <row r="636" spans="1:5">
      <c r="A636" t="s">
        <v>641</v>
      </c>
      <c r="B636" t="s">
        <v>2916</v>
      </c>
      <c r="C636" t="s">
        <v>1333</v>
      </c>
      <c r="D636" t="s">
        <v>1305</v>
      </c>
      <c r="E636" s="220">
        <v>6.8566000000000002E-2</v>
      </c>
    </row>
    <row r="637" spans="1:5">
      <c r="A637" t="s">
        <v>635</v>
      </c>
      <c r="B637" t="s">
        <v>2916</v>
      </c>
      <c r="C637" t="s">
        <v>1333</v>
      </c>
      <c r="D637" t="s">
        <v>1305</v>
      </c>
      <c r="E637" s="220">
        <v>6.7941000000000001E-2</v>
      </c>
    </row>
    <row r="638" spans="1:5">
      <c r="A638" t="s">
        <v>647</v>
      </c>
      <c r="B638" t="s">
        <v>2916</v>
      </c>
      <c r="C638" t="s">
        <v>1333</v>
      </c>
      <c r="D638" t="s">
        <v>1305</v>
      </c>
      <c r="E638" s="220">
        <v>6.8599999999999994E-2</v>
      </c>
    </row>
    <row r="639" spans="1:5">
      <c r="A639" t="s">
        <v>653</v>
      </c>
      <c r="B639" t="s">
        <v>2916</v>
      </c>
      <c r="C639" t="s">
        <v>1333</v>
      </c>
      <c r="D639" t="s">
        <v>1305</v>
      </c>
      <c r="E639" s="220">
        <v>6.7470000000000002E-2</v>
      </c>
    </row>
    <row r="640" spans="1:5">
      <c r="A640" t="s">
        <v>659</v>
      </c>
      <c r="B640" t="s">
        <v>2916</v>
      </c>
      <c r="C640" t="s">
        <v>1333</v>
      </c>
      <c r="D640" t="s">
        <v>1305</v>
      </c>
      <c r="E640" s="220">
        <v>6.7941000000000001E-2</v>
      </c>
    </row>
    <row r="641" spans="1:5">
      <c r="A641" t="s">
        <v>667</v>
      </c>
      <c r="B641" t="s">
        <v>2916</v>
      </c>
      <c r="C641" t="s">
        <v>1333</v>
      </c>
      <c r="D641" t="s">
        <v>1305</v>
      </c>
      <c r="E641" s="220">
        <v>6.7763000000000004E-2</v>
      </c>
    </row>
    <row r="642" spans="1:5">
      <c r="A642" t="s">
        <v>676</v>
      </c>
      <c r="B642" t="s">
        <v>2916</v>
      </c>
      <c r="C642" t="s">
        <v>1333</v>
      </c>
      <c r="D642" t="s">
        <v>1305</v>
      </c>
      <c r="E642" s="220">
        <v>6.0999000000000005E-2</v>
      </c>
    </row>
    <row r="643" spans="1:5">
      <c r="A643" t="s">
        <v>644</v>
      </c>
      <c r="B643" t="s">
        <v>2916</v>
      </c>
      <c r="C643" t="s">
        <v>1333</v>
      </c>
      <c r="D643" t="s">
        <v>1305</v>
      </c>
      <c r="E643" s="220">
        <v>6.7941000000000001E-2</v>
      </c>
    </row>
    <row r="644" spans="1:5">
      <c r="A644" t="s">
        <v>684</v>
      </c>
      <c r="B644" t="s">
        <v>2916</v>
      </c>
      <c r="C644" t="s">
        <v>1333</v>
      </c>
      <c r="D644" t="s">
        <v>1305</v>
      </c>
      <c r="E644" s="220">
        <v>6.8566000000000002E-2</v>
      </c>
    </row>
    <row r="645" spans="1:5">
      <c r="A645" t="s">
        <v>664</v>
      </c>
      <c r="B645" t="s">
        <v>2916</v>
      </c>
      <c r="C645" t="s">
        <v>1333</v>
      </c>
      <c r="D645" t="s">
        <v>1305</v>
      </c>
      <c r="E645" s="220">
        <v>6.8599999999999994E-2</v>
      </c>
    </row>
    <row r="646" spans="1:5">
      <c r="A646" t="s">
        <v>705</v>
      </c>
      <c r="B646" t="s">
        <v>2916</v>
      </c>
      <c r="C646" t="s">
        <v>1333</v>
      </c>
      <c r="D646" t="s">
        <v>1305</v>
      </c>
      <c r="E646" s="220">
        <v>6.7983000000000002E-2</v>
      </c>
    </row>
    <row r="647" spans="1:5">
      <c r="A647" t="s">
        <v>1182</v>
      </c>
      <c r="B647" t="s">
        <v>2916</v>
      </c>
      <c r="C647" t="s">
        <v>1333</v>
      </c>
      <c r="D647" t="s">
        <v>1305</v>
      </c>
      <c r="E647" s="220">
        <v>6.8343999999999988E-2</v>
      </c>
    </row>
    <row r="648" spans="1:5">
      <c r="A648" t="s">
        <v>720</v>
      </c>
      <c r="B648" t="s">
        <v>2916</v>
      </c>
      <c r="C648" t="s">
        <v>1333</v>
      </c>
      <c r="D648" t="s">
        <v>1305</v>
      </c>
      <c r="E648" s="220">
        <v>6.7763000000000004E-2</v>
      </c>
    </row>
    <row r="649" spans="1:5">
      <c r="A649" t="s">
        <v>723</v>
      </c>
      <c r="B649" t="s">
        <v>2916</v>
      </c>
      <c r="C649" t="s">
        <v>1333</v>
      </c>
      <c r="D649" t="s">
        <v>1305</v>
      </c>
      <c r="E649" s="220">
        <v>6.7723000000000005E-2</v>
      </c>
    </row>
    <row r="650" spans="1:5">
      <c r="A650" t="s">
        <v>726</v>
      </c>
      <c r="B650" t="s">
        <v>2916</v>
      </c>
      <c r="C650" t="s">
        <v>1333</v>
      </c>
      <c r="D650" t="s">
        <v>1305</v>
      </c>
      <c r="E650" s="220">
        <v>6.7590999999999998E-2</v>
      </c>
    </row>
    <row r="651" spans="1:5">
      <c r="A651" t="s">
        <v>738</v>
      </c>
      <c r="B651" t="s">
        <v>2916</v>
      </c>
      <c r="C651" t="s">
        <v>1333</v>
      </c>
      <c r="D651" t="s">
        <v>1305</v>
      </c>
      <c r="E651" s="220">
        <v>6.7470000000000002E-2</v>
      </c>
    </row>
    <row r="652" spans="1:5">
      <c r="A652" t="s">
        <v>747</v>
      </c>
      <c r="B652" t="s">
        <v>2916</v>
      </c>
      <c r="C652" t="s">
        <v>1333</v>
      </c>
      <c r="D652" t="s">
        <v>1305</v>
      </c>
      <c r="E652" s="220">
        <v>6.7941000000000001E-2</v>
      </c>
    </row>
    <row r="653" spans="1:5">
      <c r="A653" t="s">
        <v>823</v>
      </c>
      <c r="B653" t="s">
        <v>2916</v>
      </c>
      <c r="C653" t="s">
        <v>1333</v>
      </c>
      <c r="D653" t="s">
        <v>1305</v>
      </c>
      <c r="E653" s="220">
        <v>6.5212999999999993E-2</v>
      </c>
    </row>
    <row r="654" spans="1:5">
      <c r="A654" t="s">
        <v>767</v>
      </c>
      <c r="B654" t="s">
        <v>2916</v>
      </c>
      <c r="C654" t="s">
        <v>1333</v>
      </c>
      <c r="D654" t="s">
        <v>1305</v>
      </c>
      <c r="E654" s="220">
        <v>6.7941000000000001E-2</v>
      </c>
    </row>
    <row r="655" spans="1:5">
      <c r="A655" t="s">
        <v>761</v>
      </c>
      <c r="B655" t="s">
        <v>2916</v>
      </c>
      <c r="C655" t="s">
        <v>1333</v>
      </c>
      <c r="D655" t="s">
        <v>1305</v>
      </c>
      <c r="E655" s="220">
        <v>6.5215000000000009E-2</v>
      </c>
    </row>
    <row r="656" spans="1:5">
      <c r="A656" t="s">
        <v>770</v>
      </c>
      <c r="B656" t="s">
        <v>2916</v>
      </c>
      <c r="C656" t="s">
        <v>1333</v>
      </c>
      <c r="D656" t="s">
        <v>1305</v>
      </c>
      <c r="E656" s="220">
        <v>6.7941000000000001E-2</v>
      </c>
    </row>
    <row r="657" spans="1:5">
      <c r="A657" t="s">
        <v>592</v>
      </c>
      <c r="B657" t="s">
        <v>2916</v>
      </c>
      <c r="C657" t="s">
        <v>1333</v>
      </c>
      <c r="D657" t="s">
        <v>1305</v>
      </c>
      <c r="E657" s="220">
        <v>6.8599999999999994E-2</v>
      </c>
    </row>
    <row r="658" spans="1:5">
      <c r="A658" t="s">
        <v>773</v>
      </c>
      <c r="B658" t="s">
        <v>2916</v>
      </c>
      <c r="C658" t="s">
        <v>1333</v>
      </c>
      <c r="D658" t="s">
        <v>1305</v>
      </c>
      <c r="E658" s="220">
        <v>6.7470000000000002E-2</v>
      </c>
    </row>
    <row r="659" spans="1:5">
      <c r="A659" t="s">
        <v>776</v>
      </c>
      <c r="B659" t="s">
        <v>2916</v>
      </c>
      <c r="C659" t="s">
        <v>1333</v>
      </c>
      <c r="D659" t="s">
        <v>1305</v>
      </c>
      <c r="E659" s="220">
        <v>6.7793000000000006E-2</v>
      </c>
    </row>
    <row r="660" spans="1:5">
      <c r="A660" t="s">
        <v>1154</v>
      </c>
      <c r="B660" t="s">
        <v>2916</v>
      </c>
      <c r="C660" t="s">
        <v>1333</v>
      </c>
      <c r="D660" t="s">
        <v>1305</v>
      </c>
      <c r="E660" s="220">
        <v>6.8379999999999996E-2</v>
      </c>
    </row>
    <row r="661" spans="1:5">
      <c r="A661" t="s">
        <v>805</v>
      </c>
      <c r="B661" t="s">
        <v>2916</v>
      </c>
      <c r="C661" t="s">
        <v>1333</v>
      </c>
      <c r="D661" t="s">
        <v>1305</v>
      </c>
      <c r="E661" s="220">
        <v>6.8599999999999994E-2</v>
      </c>
    </row>
    <row r="662" spans="1:5">
      <c r="A662" t="s">
        <v>808</v>
      </c>
      <c r="B662" t="s">
        <v>2916</v>
      </c>
      <c r="C662" t="s">
        <v>1333</v>
      </c>
      <c r="D662" t="s">
        <v>1305</v>
      </c>
      <c r="E662" s="220">
        <v>7.1096000000000006E-2</v>
      </c>
    </row>
    <row r="663" spans="1:5">
      <c r="A663" t="s">
        <v>1238</v>
      </c>
      <c r="B663" t="s">
        <v>2916</v>
      </c>
      <c r="C663" t="s">
        <v>1333</v>
      </c>
      <c r="D663" t="s">
        <v>1305</v>
      </c>
      <c r="E663" s="220">
        <v>6.8214999999999998E-2</v>
      </c>
    </row>
    <row r="664" spans="1:5">
      <c r="A664" t="s">
        <v>839</v>
      </c>
      <c r="B664" t="s">
        <v>2916</v>
      </c>
      <c r="C664" t="s">
        <v>1333</v>
      </c>
      <c r="D664" t="s">
        <v>1305</v>
      </c>
      <c r="E664" s="220">
        <v>6.7941000000000001E-2</v>
      </c>
    </row>
    <row r="665" spans="1:5">
      <c r="A665" t="s">
        <v>845</v>
      </c>
      <c r="B665" t="s">
        <v>2916</v>
      </c>
      <c r="C665" t="s">
        <v>1333</v>
      </c>
      <c r="D665" t="s">
        <v>1305</v>
      </c>
      <c r="E665" s="220">
        <v>6.7470000000000002E-2</v>
      </c>
    </row>
    <row r="666" spans="1:5">
      <c r="A666" t="s">
        <v>854</v>
      </c>
      <c r="B666" t="s">
        <v>2916</v>
      </c>
      <c r="C666" t="s">
        <v>1333</v>
      </c>
      <c r="D666" t="s">
        <v>1305</v>
      </c>
      <c r="E666" s="220">
        <v>6.7941000000000001E-2</v>
      </c>
    </row>
    <row r="667" spans="1:5">
      <c r="A667" t="s">
        <v>863</v>
      </c>
      <c r="B667" t="s">
        <v>2916</v>
      </c>
      <c r="C667" t="s">
        <v>1333</v>
      </c>
      <c r="D667" t="s">
        <v>1305</v>
      </c>
      <c r="E667" s="220">
        <v>6.8112999999999993E-2</v>
      </c>
    </row>
    <row r="668" spans="1:5">
      <c r="A668" t="s">
        <v>860</v>
      </c>
      <c r="B668" t="s">
        <v>2916</v>
      </c>
      <c r="C668" t="s">
        <v>1333</v>
      </c>
      <c r="D668" t="s">
        <v>1305</v>
      </c>
      <c r="E668" s="220">
        <v>6.7470000000000002E-2</v>
      </c>
    </row>
    <row r="669" spans="1:5">
      <c r="A669" t="s">
        <v>744</v>
      </c>
      <c r="B669" t="s">
        <v>2916</v>
      </c>
      <c r="C669" t="s">
        <v>1333</v>
      </c>
      <c r="D669" t="s">
        <v>1305</v>
      </c>
      <c r="E669" s="220">
        <v>6.8599999999999994E-2</v>
      </c>
    </row>
    <row r="670" spans="1:5">
      <c r="A670" t="s">
        <v>857</v>
      </c>
      <c r="B670" t="s">
        <v>2916</v>
      </c>
      <c r="C670" t="s">
        <v>1333</v>
      </c>
      <c r="D670" t="s">
        <v>1305</v>
      </c>
      <c r="E670" s="220">
        <v>6.7941000000000001E-2</v>
      </c>
    </row>
    <row r="671" spans="1:5">
      <c r="A671" t="s">
        <v>875</v>
      </c>
      <c r="B671" t="s">
        <v>2916</v>
      </c>
      <c r="C671" t="s">
        <v>1333</v>
      </c>
      <c r="D671" t="s">
        <v>1305</v>
      </c>
      <c r="E671" s="220">
        <v>6.8115999999999996E-2</v>
      </c>
    </row>
    <row r="672" spans="1:5">
      <c r="A672" t="s">
        <v>872</v>
      </c>
      <c r="B672" t="s">
        <v>2916</v>
      </c>
      <c r="C672" t="s">
        <v>1333</v>
      </c>
      <c r="D672" t="s">
        <v>1305</v>
      </c>
      <c r="E672" s="220">
        <v>6.8599999999999994E-2</v>
      </c>
    </row>
    <row r="673" spans="1:5">
      <c r="A673" t="s">
        <v>878</v>
      </c>
      <c r="B673" t="s">
        <v>2916</v>
      </c>
      <c r="C673" t="s">
        <v>1333</v>
      </c>
      <c r="D673" t="s">
        <v>1305</v>
      </c>
      <c r="E673" s="220">
        <v>6.8562999999999999E-2</v>
      </c>
    </row>
    <row r="674" spans="1:5">
      <c r="A674" t="s">
        <v>894</v>
      </c>
      <c r="B674" t="s">
        <v>2916</v>
      </c>
      <c r="C674" t="s">
        <v>1333</v>
      </c>
      <c r="D674" t="s">
        <v>1305</v>
      </c>
      <c r="E674" s="220">
        <v>6.7459000000000005E-2</v>
      </c>
    </row>
    <row r="675" spans="1:5">
      <c r="A675" t="s">
        <v>897</v>
      </c>
      <c r="B675" t="s">
        <v>2916</v>
      </c>
      <c r="C675" t="s">
        <v>1333</v>
      </c>
      <c r="D675" t="s">
        <v>1305</v>
      </c>
      <c r="E675" s="220">
        <v>6.7941000000000001E-2</v>
      </c>
    </row>
    <row r="676" spans="1:5">
      <c r="A676" t="s">
        <v>900</v>
      </c>
      <c r="B676" t="s">
        <v>2916</v>
      </c>
      <c r="C676" t="s">
        <v>1333</v>
      </c>
      <c r="D676" t="s">
        <v>1305</v>
      </c>
      <c r="E676" s="220">
        <v>6.8447000000000008E-2</v>
      </c>
    </row>
    <row r="677" spans="1:5">
      <c r="A677" t="s">
        <v>1160</v>
      </c>
      <c r="B677" t="s">
        <v>2916</v>
      </c>
      <c r="C677" t="s">
        <v>1333</v>
      </c>
      <c r="D677" t="s">
        <v>1305</v>
      </c>
      <c r="E677" s="220">
        <v>6.7941000000000001E-2</v>
      </c>
    </row>
    <row r="678" spans="1:5">
      <c r="A678" t="s">
        <v>915</v>
      </c>
      <c r="B678" t="s">
        <v>2916</v>
      </c>
      <c r="C678" t="s">
        <v>1333</v>
      </c>
      <c r="D678" t="s">
        <v>1305</v>
      </c>
      <c r="E678" s="220">
        <v>6.8308000000000008E-2</v>
      </c>
    </row>
    <row r="679" spans="1:5">
      <c r="A679" t="s">
        <v>933</v>
      </c>
      <c r="B679" t="s">
        <v>2916</v>
      </c>
      <c r="C679" t="s">
        <v>1333</v>
      </c>
      <c r="D679" t="s">
        <v>1305</v>
      </c>
      <c r="E679" s="220">
        <v>6.8599999999999994E-2</v>
      </c>
    </row>
    <row r="680" spans="1:5">
      <c r="A680" t="s">
        <v>1163</v>
      </c>
      <c r="B680" t="s">
        <v>2916</v>
      </c>
      <c r="C680" t="s">
        <v>1333</v>
      </c>
      <c r="D680" t="s">
        <v>1305</v>
      </c>
      <c r="E680" s="220">
        <v>6.7941000000000001E-2</v>
      </c>
    </row>
    <row r="681" spans="1:5">
      <c r="A681" t="s">
        <v>1157</v>
      </c>
      <c r="B681" t="s">
        <v>2916</v>
      </c>
      <c r="C681" t="s">
        <v>1333</v>
      </c>
      <c r="D681" t="s">
        <v>1305</v>
      </c>
      <c r="E681" s="220">
        <v>6.8599999999999994E-2</v>
      </c>
    </row>
    <row r="682" spans="1:5">
      <c r="A682" t="s">
        <v>954</v>
      </c>
      <c r="B682" t="s">
        <v>2916</v>
      </c>
      <c r="C682" t="s">
        <v>1333</v>
      </c>
      <c r="D682" t="s">
        <v>1305</v>
      </c>
      <c r="E682" s="220">
        <v>6.8599999999999994E-2</v>
      </c>
    </row>
    <row r="683" spans="1:5">
      <c r="A683" t="s">
        <v>936</v>
      </c>
      <c r="B683" t="s">
        <v>2916</v>
      </c>
      <c r="C683" t="s">
        <v>1333</v>
      </c>
      <c r="D683" t="s">
        <v>1305</v>
      </c>
      <c r="E683" s="220">
        <v>6.8599999999999994E-2</v>
      </c>
    </row>
    <row r="684" spans="1:5">
      <c r="A684" t="s">
        <v>1014</v>
      </c>
      <c r="B684" t="s">
        <v>2916</v>
      </c>
      <c r="C684" t="s">
        <v>1333</v>
      </c>
      <c r="D684" t="s">
        <v>1305</v>
      </c>
      <c r="E684" s="220">
        <v>6.8599999999999994E-2</v>
      </c>
    </row>
    <row r="685" spans="1:5">
      <c r="A685" t="s">
        <v>993</v>
      </c>
      <c r="B685" t="s">
        <v>2916</v>
      </c>
      <c r="C685" t="s">
        <v>1333</v>
      </c>
      <c r="D685" t="s">
        <v>1305</v>
      </c>
      <c r="E685" s="220">
        <v>6.8599999999999994E-2</v>
      </c>
    </row>
    <row r="686" spans="1:5">
      <c r="A686" t="s">
        <v>981</v>
      </c>
      <c r="B686" t="s">
        <v>2916</v>
      </c>
      <c r="C686" t="s">
        <v>1333</v>
      </c>
      <c r="D686" t="s">
        <v>1305</v>
      </c>
      <c r="E686" s="220">
        <v>6.8199999999999997E-2</v>
      </c>
    </row>
    <row r="687" spans="1:5">
      <c r="A687" t="s">
        <v>972</v>
      </c>
      <c r="B687" t="s">
        <v>2916</v>
      </c>
      <c r="C687" t="s">
        <v>1333</v>
      </c>
      <c r="D687" t="s">
        <v>1305</v>
      </c>
      <c r="E687" s="220">
        <v>6.8209000000000006E-2</v>
      </c>
    </row>
    <row r="688" spans="1:5">
      <c r="A688" t="s">
        <v>1042</v>
      </c>
      <c r="B688" t="s">
        <v>2916</v>
      </c>
      <c r="C688" t="s">
        <v>1333</v>
      </c>
      <c r="D688" t="s">
        <v>1305</v>
      </c>
      <c r="E688" s="220">
        <v>6.7470000000000002E-2</v>
      </c>
    </row>
    <row r="689" spans="1:5">
      <c r="A689" t="s">
        <v>1032</v>
      </c>
      <c r="B689" t="s">
        <v>2916</v>
      </c>
      <c r="C689" t="s">
        <v>1333</v>
      </c>
      <c r="D689" t="s">
        <v>1305</v>
      </c>
      <c r="E689" s="220">
        <v>6.6915000000000002E-2</v>
      </c>
    </row>
    <row r="690" spans="1:5">
      <c r="A690" t="s">
        <v>1055</v>
      </c>
      <c r="B690" t="s">
        <v>2916</v>
      </c>
      <c r="C690" t="s">
        <v>1333</v>
      </c>
      <c r="D690" t="s">
        <v>1305</v>
      </c>
      <c r="E690" s="220">
        <v>6.8599999999999994E-2</v>
      </c>
    </row>
    <row r="691" spans="1:5">
      <c r="A691" t="s">
        <v>1039</v>
      </c>
      <c r="B691" t="s">
        <v>2916</v>
      </c>
      <c r="C691" t="s">
        <v>1333</v>
      </c>
      <c r="D691" t="s">
        <v>1305</v>
      </c>
      <c r="E691" s="220">
        <v>6.7102000000000009E-2</v>
      </c>
    </row>
    <row r="692" spans="1:5">
      <c r="A692" t="s">
        <v>1061</v>
      </c>
      <c r="B692" t="s">
        <v>2916</v>
      </c>
      <c r="C692" t="s">
        <v>1333</v>
      </c>
      <c r="D692" t="s">
        <v>1305</v>
      </c>
      <c r="E692" s="220">
        <v>6.7227999999999996E-2</v>
      </c>
    </row>
    <row r="693" spans="1:5">
      <c r="A693" t="s">
        <v>1067</v>
      </c>
      <c r="B693" t="s">
        <v>2916</v>
      </c>
      <c r="C693" t="s">
        <v>1333</v>
      </c>
      <c r="D693" t="s">
        <v>1305</v>
      </c>
      <c r="E693" s="220">
        <v>6.7470000000000002E-2</v>
      </c>
    </row>
    <row r="694" spans="1:5">
      <c r="A694" t="s">
        <v>1076</v>
      </c>
      <c r="B694" t="s">
        <v>2916</v>
      </c>
      <c r="C694" t="s">
        <v>1333</v>
      </c>
      <c r="D694" t="s">
        <v>1305</v>
      </c>
      <c r="E694" s="220">
        <v>6.6088999999999995E-2</v>
      </c>
    </row>
    <row r="695" spans="1:5">
      <c r="A695" t="s">
        <v>1079</v>
      </c>
      <c r="B695" t="s">
        <v>2916</v>
      </c>
      <c r="C695" t="s">
        <v>1333</v>
      </c>
      <c r="D695" t="s">
        <v>1305</v>
      </c>
      <c r="E695" s="220">
        <v>6.7635000000000001E-2</v>
      </c>
    </row>
    <row r="696" spans="1:5">
      <c r="A696" t="s">
        <v>1082</v>
      </c>
      <c r="B696" t="s">
        <v>2916</v>
      </c>
      <c r="C696" t="s">
        <v>1333</v>
      </c>
      <c r="D696" t="s">
        <v>1305</v>
      </c>
      <c r="E696" s="220">
        <v>6.8599999999999994E-2</v>
      </c>
    </row>
    <row r="697" spans="1:5">
      <c r="A697" t="s">
        <v>1085</v>
      </c>
      <c r="B697" t="s">
        <v>2916</v>
      </c>
      <c r="C697" t="s">
        <v>1333</v>
      </c>
      <c r="D697" t="s">
        <v>1305</v>
      </c>
      <c r="E697" s="220">
        <v>6.8599999999999994E-2</v>
      </c>
    </row>
    <row r="698" spans="1:5">
      <c r="A698" t="s">
        <v>1073</v>
      </c>
      <c r="B698" t="s">
        <v>2916</v>
      </c>
      <c r="C698" t="s">
        <v>1333</v>
      </c>
      <c r="D698" t="s">
        <v>1305</v>
      </c>
      <c r="E698" s="220">
        <v>6.7763000000000004E-2</v>
      </c>
    </row>
    <row r="699" spans="1:5">
      <c r="A699" t="s">
        <v>1094</v>
      </c>
      <c r="B699" t="s">
        <v>2916</v>
      </c>
      <c r="C699" t="s">
        <v>1333</v>
      </c>
      <c r="D699" t="s">
        <v>1305</v>
      </c>
      <c r="E699" s="220">
        <v>6.8599999999999994E-2</v>
      </c>
    </row>
    <row r="700" spans="1:5">
      <c r="A700" t="s">
        <v>1173</v>
      </c>
      <c r="B700" t="s">
        <v>2916</v>
      </c>
      <c r="C700" t="s">
        <v>1333</v>
      </c>
      <c r="D700" t="s">
        <v>1305</v>
      </c>
      <c r="E700" s="220">
        <v>6.8599999999999994E-2</v>
      </c>
    </row>
    <row r="701" spans="1:5">
      <c r="A701" t="s">
        <v>779</v>
      </c>
      <c r="B701" t="s">
        <v>2916</v>
      </c>
      <c r="C701" t="s">
        <v>1333</v>
      </c>
      <c r="D701" t="s">
        <v>1305</v>
      </c>
      <c r="E701" s="220">
        <v>6.7470000000000002E-2</v>
      </c>
    </row>
    <row r="702" spans="1:5">
      <c r="A702" t="s">
        <v>1119</v>
      </c>
      <c r="B702" t="s">
        <v>2916</v>
      </c>
      <c r="C702" t="s">
        <v>1333</v>
      </c>
      <c r="D702" t="s">
        <v>1305</v>
      </c>
      <c r="E702" s="220">
        <v>6.8599999999999994E-2</v>
      </c>
    </row>
    <row r="703" spans="1:5">
      <c r="A703" t="s">
        <v>1176</v>
      </c>
      <c r="B703" t="s">
        <v>2916</v>
      </c>
      <c r="C703" t="s">
        <v>1333</v>
      </c>
      <c r="D703" t="s">
        <v>1305</v>
      </c>
      <c r="E703" s="220">
        <v>6.7941000000000001E-2</v>
      </c>
    </row>
    <row r="704" spans="1:5">
      <c r="A704" t="s">
        <v>1139</v>
      </c>
      <c r="B704" t="s">
        <v>2916</v>
      </c>
      <c r="C704" t="s">
        <v>1333</v>
      </c>
      <c r="D704" t="s">
        <v>1305</v>
      </c>
      <c r="E704" s="220">
        <v>6.6903999999999991E-2</v>
      </c>
    </row>
    <row r="705" spans="1:5">
      <c r="A705" t="s">
        <v>1179</v>
      </c>
      <c r="B705" t="s">
        <v>2916</v>
      </c>
      <c r="C705" t="s">
        <v>1333</v>
      </c>
      <c r="D705" t="s">
        <v>1305</v>
      </c>
      <c r="E705" s="220">
        <v>6.4431000000000002E-2</v>
      </c>
    </row>
    <row r="706" spans="1:5">
      <c r="A706" t="s">
        <v>1198</v>
      </c>
      <c r="B706" t="s">
        <v>2916</v>
      </c>
      <c r="C706" t="s">
        <v>1333</v>
      </c>
      <c r="D706" t="s">
        <v>1305</v>
      </c>
      <c r="E706" s="220">
        <v>6.8290999999999991E-2</v>
      </c>
    </row>
    <row r="707" spans="1:5">
      <c r="A707" t="s">
        <v>1192</v>
      </c>
      <c r="B707" t="s">
        <v>2916</v>
      </c>
      <c r="C707" t="s">
        <v>1333</v>
      </c>
      <c r="D707" t="s">
        <v>1305</v>
      </c>
      <c r="E707" s="220">
        <v>6.8559999999999996E-2</v>
      </c>
    </row>
    <row r="708" spans="1:5">
      <c r="A708" t="s">
        <v>1219</v>
      </c>
      <c r="B708" t="s">
        <v>2916</v>
      </c>
      <c r="C708" t="s">
        <v>1333</v>
      </c>
      <c r="D708" t="s">
        <v>1305</v>
      </c>
      <c r="E708" s="220">
        <v>6.8559999999999996E-2</v>
      </c>
    </row>
    <row r="709" spans="1:5">
      <c r="A709" t="s">
        <v>1210</v>
      </c>
      <c r="B709" t="s">
        <v>2916</v>
      </c>
      <c r="C709" t="s">
        <v>1333</v>
      </c>
      <c r="D709" t="s">
        <v>1305</v>
      </c>
      <c r="E709" s="220">
        <v>6.7941000000000001E-2</v>
      </c>
    </row>
    <row r="710" spans="1:5">
      <c r="A710" t="s">
        <v>1213</v>
      </c>
      <c r="B710" t="s">
        <v>2916</v>
      </c>
      <c r="C710" t="s">
        <v>1333</v>
      </c>
      <c r="D710" t="s">
        <v>1305</v>
      </c>
      <c r="E710" s="220">
        <v>6.8599999999999994E-2</v>
      </c>
    </row>
    <row r="711" spans="1:5">
      <c r="A711" t="s">
        <v>1189</v>
      </c>
      <c r="B711" t="s">
        <v>2916</v>
      </c>
      <c r="C711" t="s">
        <v>1333</v>
      </c>
      <c r="D711" t="s">
        <v>1305</v>
      </c>
      <c r="E711" s="220">
        <v>6.8573999999999996E-2</v>
      </c>
    </row>
    <row r="712" spans="1:5">
      <c r="A712" t="s">
        <v>1232</v>
      </c>
      <c r="B712" t="s">
        <v>2916</v>
      </c>
      <c r="C712" t="s">
        <v>1333</v>
      </c>
      <c r="D712" t="s">
        <v>1305</v>
      </c>
      <c r="E712" s="220">
        <v>6.8429000000000004E-2</v>
      </c>
    </row>
    <row r="713" spans="1:5">
      <c r="A713" t="s">
        <v>1244</v>
      </c>
      <c r="B713" t="s">
        <v>2916</v>
      </c>
      <c r="C713" t="s">
        <v>1333</v>
      </c>
      <c r="D713" t="s">
        <v>1305</v>
      </c>
      <c r="E713" s="220">
        <v>6.6590999999999997E-2</v>
      </c>
    </row>
    <row r="714" spans="1:5">
      <c r="A714" t="s">
        <v>1241</v>
      </c>
      <c r="B714" t="s">
        <v>2916</v>
      </c>
      <c r="C714" t="s">
        <v>1333</v>
      </c>
      <c r="D714" t="s">
        <v>1305</v>
      </c>
      <c r="E714" s="220">
        <v>6.6438999999999998E-2</v>
      </c>
    </row>
    <row r="715" spans="1:5">
      <c r="A715" t="s">
        <v>1247</v>
      </c>
      <c r="B715" t="s">
        <v>2916</v>
      </c>
      <c r="C715" t="s">
        <v>1333</v>
      </c>
      <c r="D715" t="s">
        <v>1305</v>
      </c>
      <c r="E715" s="220">
        <v>6.8559999999999996E-2</v>
      </c>
    </row>
    <row r="716" spans="1:5">
      <c r="A716" t="s">
        <v>1170</v>
      </c>
      <c r="B716" t="s">
        <v>2916</v>
      </c>
      <c r="C716" t="s">
        <v>1333</v>
      </c>
      <c r="D716" t="s">
        <v>1305</v>
      </c>
      <c r="E716" s="220">
        <v>6.7941000000000001E-2</v>
      </c>
    </row>
    <row r="717" spans="1:5">
      <c r="A717" t="s">
        <v>1253</v>
      </c>
      <c r="B717" t="s">
        <v>2916</v>
      </c>
      <c r="C717" t="s">
        <v>1333</v>
      </c>
      <c r="D717" t="s">
        <v>1305</v>
      </c>
      <c r="E717" s="220">
        <v>6.7763000000000004E-2</v>
      </c>
    </row>
    <row r="718" spans="1:5">
      <c r="A718" t="s">
        <v>1257</v>
      </c>
      <c r="B718" t="s">
        <v>2916</v>
      </c>
      <c r="C718" t="s">
        <v>1333</v>
      </c>
      <c r="D718" t="s">
        <v>1305</v>
      </c>
      <c r="E718" s="220">
        <v>6.8554000000000004E-2</v>
      </c>
    </row>
    <row r="719" spans="1:5">
      <c r="A719" t="s">
        <v>1148</v>
      </c>
      <c r="B719" t="s">
        <v>2916</v>
      </c>
      <c r="C719" t="s">
        <v>1333</v>
      </c>
      <c r="D719" t="s">
        <v>1305</v>
      </c>
      <c r="E719" s="220">
        <v>6.7553000000000002E-2</v>
      </c>
    </row>
    <row r="720" spans="1:5">
      <c r="A720" t="s">
        <v>617</v>
      </c>
      <c r="B720" t="s">
        <v>2916</v>
      </c>
      <c r="C720" t="s">
        <v>1361</v>
      </c>
      <c r="D720" t="s">
        <v>1305</v>
      </c>
      <c r="E720" s="220">
        <v>6.8599999999999994E-2</v>
      </c>
    </row>
    <row r="721" spans="1:5">
      <c r="A721" t="s">
        <v>614</v>
      </c>
      <c r="B721" t="s">
        <v>2916</v>
      </c>
      <c r="C721" t="s">
        <v>1361</v>
      </c>
      <c r="D721" t="s">
        <v>1305</v>
      </c>
      <c r="E721" s="220">
        <v>6.8599999999999994E-2</v>
      </c>
    </row>
    <row r="722" spans="1:5">
      <c r="A722" t="s">
        <v>635</v>
      </c>
      <c r="B722" t="s">
        <v>2916</v>
      </c>
      <c r="C722" t="s">
        <v>1361</v>
      </c>
      <c r="D722" t="s">
        <v>1305</v>
      </c>
      <c r="E722" s="220">
        <v>6.8599999999999994E-2</v>
      </c>
    </row>
    <row r="723" spans="1:5">
      <c r="A723" t="s">
        <v>647</v>
      </c>
      <c r="B723" t="s">
        <v>2916</v>
      </c>
      <c r="C723" t="s">
        <v>1361</v>
      </c>
      <c r="D723" t="s">
        <v>1305</v>
      </c>
      <c r="E723" s="220">
        <v>6.8599999999999994E-2</v>
      </c>
    </row>
    <row r="724" spans="1:5">
      <c r="A724" t="s">
        <v>659</v>
      </c>
      <c r="B724" t="s">
        <v>2916</v>
      </c>
      <c r="C724" t="s">
        <v>1361</v>
      </c>
      <c r="D724" t="s">
        <v>1305</v>
      </c>
      <c r="E724" s="220">
        <v>6.8599999999999994E-2</v>
      </c>
    </row>
    <row r="725" spans="1:5">
      <c r="A725" t="s">
        <v>676</v>
      </c>
      <c r="B725" t="s">
        <v>2916</v>
      </c>
      <c r="C725" t="s">
        <v>1361</v>
      </c>
      <c r="D725" t="s">
        <v>1305</v>
      </c>
      <c r="E725" s="220">
        <v>6.8599999999999994E-2</v>
      </c>
    </row>
    <row r="726" spans="1:5">
      <c r="A726" t="s">
        <v>644</v>
      </c>
      <c r="B726" t="s">
        <v>2916</v>
      </c>
      <c r="C726" t="s">
        <v>1361</v>
      </c>
      <c r="D726" t="s">
        <v>1305</v>
      </c>
      <c r="E726" s="220">
        <v>6.8599999999999994E-2</v>
      </c>
    </row>
    <row r="727" spans="1:5">
      <c r="A727" t="s">
        <v>720</v>
      </c>
      <c r="B727" t="s">
        <v>2916</v>
      </c>
      <c r="C727" t="s">
        <v>1361</v>
      </c>
      <c r="D727" t="s">
        <v>1305</v>
      </c>
      <c r="E727" s="220">
        <v>6.8599999999999994E-2</v>
      </c>
    </row>
    <row r="728" spans="1:5">
      <c r="A728" t="s">
        <v>723</v>
      </c>
      <c r="B728" t="s">
        <v>2916</v>
      </c>
      <c r="C728" t="s">
        <v>1361</v>
      </c>
      <c r="D728" t="s">
        <v>1305</v>
      </c>
      <c r="E728" s="220">
        <v>6.8599999999999994E-2</v>
      </c>
    </row>
    <row r="729" spans="1:5">
      <c r="A729" t="s">
        <v>747</v>
      </c>
      <c r="B729" t="s">
        <v>2916</v>
      </c>
      <c r="C729" t="s">
        <v>1361</v>
      </c>
      <c r="D729" t="s">
        <v>1305</v>
      </c>
      <c r="E729" s="220">
        <v>6.8599999999999994E-2</v>
      </c>
    </row>
    <row r="730" spans="1:5">
      <c r="A730" t="s">
        <v>823</v>
      </c>
      <c r="B730" t="s">
        <v>2916</v>
      </c>
      <c r="C730" t="s">
        <v>1361</v>
      </c>
      <c r="D730" t="s">
        <v>1305</v>
      </c>
      <c r="E730" s="220">
        <v>6.8599999999999994E-2</v>
      </c>
    </row>
    <row r="731" spans="1:5">
      <c r="A731" t="s">
        <v>767</v>
      </c>
      <c r="B731" t="s">
        <v>2916</v>
      </c>
      <c r="C731" t="s">
        <v>1361</v>
      </c>
      <c r="D731" t="s">
        <v>1305</v>
      </c>
      <c r="E731" s="220">
        <v>6.8599999999999994E-2</v>
      </c>
    </row>
    <row r="732" spans="1:5">
      <c r="A732" t="s">
        <v>761</v>
      </c>
      <c r="B732" t="s">
        <v>2916</v>
      </c>
      <c r="C732" t="s">
        <v>1361</v>
      </c>
      <c r="D732" t="s">
        <v>1305</v>
      </c>
      <c r="E732" s="220">
        <v>6.8599999999999994E-2</v>
      </c>
    </row>
    <row r="733" spans="1:5">
      <c r="A733" t="s">
        <v>770</v>
      </c>
      <c r="B733" t="s">
        <v>2916</v>
      </c>
      <c r="C733" t="s">
        <v>1361</v>
      </c>
      <c r="D733" t="s">
        <v>1305</v>
      </c>
      <c r="E733" s="220">
        <v>6.8599999999999994E-2</v>
      </c>
    </row>
    <row r="734" spans="1:5">
      <c r="A734" t="s">
        <v>1154</v>
      </c>
      <c r="B734" t="s">
        <v>2916</v>
      </c>
      <c r="C734" t="s">
        <v>1361</v>
      </c>
      <c r="D734" t="s">
        <v>1305</v>
      </c>
      <c r="E734" s="220">
        <v>6.8599999999999994E-2</v>
      </c>
    </row>
    <row r="735" spans="1:5">
      <c r="A735" t="s">
        <v>839</v>
      </c>
      <c r="B735" t="s">
        <v>2916</v>
      </c>
      <c r="C735" t="s">
        <v>1361</v>
      </c>
      <c r="D735" t="s">
        <v>1305</v>
      </c>
      <c r="E735" s="220">
        <v>6.8599999999999994E-2</v>
      </c>
    </row>
    <row r="736" spans="1:5">
      <c r="A736" t="s">
        <v>854</v>
      </c>
      <c r="B736" t="s">
        <v>2916</v>
      </c>
      <c r="C736" t="s">
        <v>1361</v>
      </c>
      <c r="D736" t="s">
        <v>1305</v>
      </c>
      <c r="E736" s="220">
        <v>6.8599999999999994E-2</v>
      </c>
    </row>
    <row r="737" spans="1:5">
      <c r="A737" t="s">
        <v>744</v>
      </c>
      <c r="B737" t="s">
        <v>2916</v>
      </c>
      <c r="C737" t="s">
        <v>1361</v>
      </c>
      <c r="D737" t="s">
        <v>1305</v>
      </c>
      <c r="E737" s="220">
        <v>6.8599999999999994E-2</v>
      </c>
    </row>
    <row r="738" spans="1:5">
      <c r="A738" t="s">
        <v>857</v>
      </c>
      <c r="B738" t="s">
        <v>2916</v>
      </c>
      <c r="C738" t="s">
        <v>1361</v>
      </c>
      <c r="D738" t="s">
        <v>1305</v>
      </c>
      <c r="E738" s="220">
        <v>6.8599999999999994E-2</v>
      </c>
    </row>
    <row r="739" spans="1:5">
      <c r="A739" t="s">
        <v>872</v>
      </c>
      <c r="B739" t="s">
        <v>2916</v>
      </c>
      <c r="C739" t="s">
        <v>1361</v>
      </c>
      <c r="D739" t="s">
        <v>1305</v>
      </c>
      <c r="E739" s="220">
        <v>6.8599999999999994E-2</v>
      </c>
    </row>
    <row r="740" spans="1:5">
      <c r="A740" t="s">
        <v>884</v>
      </c>
      <c r="B740" t="s">
        <v>2916</v>
      </c>
      <c r="C740" t="s">
        <v>1361</v>
      </c>
      <c r="D740" t="s">
        <v>1305</v>
      </c>
      <c r="E740" s="220">
        <v>6.8599999999999994E-2</v>
      </c>
    </row>
    <row r="741" spans="1:5">
      <c r="A741" t="s">
        <v>894</v>
      </c>
      <c r="B741" t="s">
        <v>2916</v>
      </c>
      <c r="C741" t="s">
        <v>1361</v>
      </c>
      <c r="D741" t="s">
        <v>1305</v>
      </c>
      <c r="E741" s="220">
        <v>6.8599999999999994E-2</v>
      </c>
    </row>
    <row r="742" spans="1:5">
      <c r="A742" t="s">
        <v>897</v>
      </c>
      <c r="B742" t="s">
        <v>2916</v>
      </c>
      <c r="C742" t="s">
        <v>1361</v>
      </c>
      <c r="D742" t="s">
        <v>1305</v>
      </c>
      <c r="E742" s="220">
        <v>6.8599999999999994E-2</v>
      </c>
    </row>
    <row r="743" spans="1:5">
      <c r="A743" t="s">
        <v>900</v>
      </c>
      <c r="B743" t="s">
        <v>2916</v>
      </c>
      <c r="C743" t="s">
        <v>1361</v>
      </c>
      <c r="D743" t="s">
        <v>1305</v>
      </c>
      <c r="E743" s="220">
        <v>6.8599999999999994E-2</v>
      </c>
    </row>
    <row r="744" spans="1:5">
      <c r="A744" t="s">
        <v>1160</v>
      </c>
      <c r="B744" t="s">
        <v>2916</v>
      </c>
      <c r="C744" t="s">
        <v>1361</v>
      </c>
      <c r="D744" t="s">
        <v>1305</v>
      </c>
      <c r="E744" s="220">
        <v>6.8599999999999994E-2</v>
      </c>
    </row>
    <row r="745" spans="1:5">
      <c r="A745" t="s">
        <v>915</v>
      </c>
      <c r="B745" t="s">
        <v>2916</v>
      </c>
      <c r="C745" t="s">
        <v>1361</v>
      </c>
      <c r="D745" t="s">
        <v>1305</v>
      </c>
      <c r="E745" s="220">
        <v>6.8599999999999994E-2</v>
      </c>
    </row>
    <row r="746" spans="1:5">
      <c r="A746" t="s">
        <v>1163</v>
      </c>
      <c r="B746" t="s">
        <v>2916</v>
      </c>
      <c r="C746" t="s">
        <v>1361</v>
      </c>
      <c r="D746" t="s">
        <v>1305</v>
      </c>
      <c r="E746" s="220">
        <v>6.8599999999999994E-2</v>
      </c>
    </row>
    <row r="747" spans="1:5">
      <c r="A747" t="s">
        <v>1157</v>
      </c>
      <c r="B747" t="s">
        <v>2916</v>
      </c>
      <c r="C747" t="s">
        <v>1361</v>
      </c>
      <c r="D747" t="s">
        <v>1305</v>
      </c>
      <c r="E747" s="220">
        <v>6.8599999999999994E-2</v>
      </c>
    </row>
    <row r="748" spans="1:5">
      <c r="A748" t="s">
        <v>1032</v>
      </c>
      <c r="B748" t="s">
        <v>2916</v>
      </c>
      <c r="C748" t="s">
        <v>1361</v>
      </c>
      <c r="D748" t="s">
        <v>1305</v>
      </c>
      <c r="E748" s="220">
        <v>6.8599999999999994E-2</v>
      </c>
    </row>
    <row r="749" spans="1:5">
      <c r="A749" t="s">
        <v>1076</v>
      </c>
      <c r="B749" t="s">
        <v>2916</v>
      </c>
      <c r="C749" t="s">
        <v>1361</v>
      </c>
      <c r="D749" t="s">
        <v>1305</v>
      </c>
      <c r="E749" s="220">
        <v>6.8599999999999994E-2</v>
      </c>
    </row>
    <row r="750" spans="1:5">
      <c r="A750" t="s">
        <v>1082</v>
      </c>
      <c r="B750" t="s">
        <v>2916</v>
      </c>
      <c r="C750" t="s">
        <v>1361</v>
      </c>
      <c r="D750" t="s">
        <v>1305</v>
      </c>
      <c r="E750" s="220">
        <v>6.8599999999999994E-2</v>
      </c>
    </row>
    <row r="751" spans="1:5">
      <c r="A751" t="s">
        <v>1176</v>
      </c>
      <c r="B751" t="s">
        <v>2916</v>
      </c>
      <c r="C751" t="s">
        <v>1361</v>
      </c>
      <c r="D751" t="s">
        <v>1305</v>
      </c>
      <c r="E751" s="220">
        <v>6.8599999999999994E-2</v>
      </c>
    </row>
    <row r="752" spans="1:5">
      <c r="A752" t="s">
        <v>1210</v>
      </c>
      <c r="B752" t="s">
        <v>2916</v>
      </c>
      <c r="C752" t="s">
        <v>1361</v>
      </c>
      <c r="D752" t="s">
        <v>1305</v>
      </c>
      <c r="E752" s="220">
        <v>6.8599999999999994E-2</v>
      </c>
    </row>
    <row r="753" spans="1:5">
      <c r="A753" t="s">
        <v>1189</v>
      </c>
      <c r="B753" t="s">
        <v>2916</v>
      </c>
      <c r="C753" t="s">
        <v>1361</v>
      </c>
      <c r="D753" t="s">
        <v>1305</v>
      </c>
      <c r="E753" s="220">
        <v>6.8599999999999994E-2</v>
      </c>
    </row>
    <row r="754" spans="1:5">
      <c r="A754" t="s">
        <v>1241</v>
      </c>
      <c r="B754" t="s">
        <v>2916</v>
      </c>
      <c r="C754" t="s">
        <v>1361</v>
      </c>
      <c r="D754" t="s">
        <v>1305</v>
      </c>
      <c r="E754" s="220">
        <v>6.8599999999999994E-2</v>
      </c>
    </row>
    <row r="755" spans="1:5">
      <c r="A755" t="s">
        <v>1170</v>
      </c>
      <c r="B755" t="s">
        <v>2916</v>
      </c>
      <c r="C755" t="s">
        <v>1361</v>
      </c>
      <c r="D755" t="s">
        <v>1305</v>
      </c>
      <c r="E755" s="220">
        <v>6.8599999999999994E-2</v>
      </c>
    </row>
    <row r="756" spans="1:5">
      <c r="A756" t="s">
        <v>580</v>
      </c>
      <c r="B756" t="s">
        <v>2916</v>
      </c>
      <c r="C756" t="s">
        <v>1365</v>
      </c>
      <c r="D756" t="s">
        <v>1305</v>
      </c>
      <c r="E756" s="220">
        <v>6.6757000000000011E-2</v>
      </c>
    </row>
    <row r="757" spans="1:5">
      <c r="A757" t="s">
        <v>1235</v>
      </c>
      <c r="B757" t="s">
        <v>2916</v>
      </c>
      <c r="C757" t="s">
        <v>1365</v>
      </c>
      <c r="D757" t="s">
        <v>1305</v>
      </c>
      <c r="E757" s="220">
        <v>6.8599999999999994E-2</v>
      </c>
    </row>
    <row r="758" spans="1:5">
      <c r="A758" t="s">
        <v>617</v>
      </c>
      <c r="B758" t="s">
        <v>2916</v>
      </c>
      <c r="C758" t="s">
        <v>1365</v>
      </c>
      <c r="D758" t="s">
        <v>1305</v>
      </c>
      <c r="E758" s="220">
        <v>6.6435000000000008E-2</v>
      </c>
    </row>
    <row r="759" spans="1:5">
      <c r="A759" t="s">
        <v>614</v>
      </c>
      <c r="B759" t="s">
        <v>2916</v>
      </c>
      <c r="C759" t="s">
        <v>1365</v>
      </c>
      <c r="D759" t="s">
        <v>1305</v>
      </c>
      <c r="E759" s="220">
        <v>6.8451999999999999E-2</v>
      </c>
    </row>
    <row r="760" spans="1:5">
      <c r="A760" t="s">
        <v>626</v>
      </c>
      <c r="B760" t="s">
        <v>2916</v>
      </c>
      <c r="C760" t="s">
        <v>1365</v>
      </c>
      <c r="D760" t="s">
        <v>1305</v>
      </c>
      <c r="E760" s="220">
        <v>6.8599999999999994E-2</v>
      </c>
    </row>
    <row r="761" spans="1:5">
      <c r="A761" t="s">
        <v>629</v>
      </c>
      <c r="B761" t="s">
        <v>2916</v>
      </c>
      <c r="C761" t="s">
        <v>1365</v>
      </c>
      <c r="D761" t="s">
        <v>1305</v>
      </c>
      <c r="E761" s="220">
        <v>6.8599999999999994E-2</v>
      </c>
    </row>
    <row r="762" spans="1:5">
      <c r="A762" t="s">
        <v>650</v>
      </c>
      <c r="B762" t="s">
        <v>2916</v>
      </c>
      <c r="C762" t="s">
        <v>1365</v>
      </c>
      <c r="D762" t="s">
        <v>1305</v>
      </c>
      <c r="E762" s="220">
        <v>6.8599999999999994E-2</v>
      </c>
    </row>
    <row r="763" spans="1:5">
      <c r="A763" t="s">
        <v>641</v>
      </c>
      <c r="B763" t="s">
        <v>2916</v>
      </c>
      <c r="C763" t="s">
        <v>1365</v>
      </c>
      <c r="D763" t="s">
        <v>1305</v>
      </c>
      <c r="E763" s="220">
        <v>6.6433999999999993E-2</v>
      </c>
    </row>
    <row r="764" spans="1:5">
      <c r="A764" t="s">
        <v>638</v>
      </c>
      <c r="B764" t="s">
        <v>2916</v>
      </c>
      <c r="C764" t="s">
        <v>1365</v>
      </c>
      <c r="D764" t="s">
        <v>1305</v>
      </c>
      <c r="E764" s="220">
        <v>6.8599999999999994E-2</v>
      </c>
    </row>
    <row r="765" spans="1:5">
      <c r="A765" t="s">
        <v>635</v>
      </c>
      <c r="B765" t="s">
        <v>2916</v>
      </c>
      <c r="C765" t="s">
        <v>1365</v>
      </c>
      <c r="D765" t="s">
        <v>1305</v>
      </c>
      <c r="E765" s="220">
        <v>6.8451999999999999E-2</v>
      </c>
    </row>
    <row r="766" spans="1:5">
      <c r="A766" t="s">
        <v>647</v>
      </c>
      <c r="B766" t="s">
        <v>2916</v>
      </c>
      <c r="C766" t="s">
        <v>1365</v>
      </c>
      <c r="D766" t="s">
        <v>1305</v>
      </c>
      <c r="E766" s="220">
        <v>6.8599999999999994E-2</v>
      </c>
    </row>
    <row r="767" spans="1:5">
      <c r="A767" t="s">
        <v>653</v>
      </c>
      <c r="B767" t="s">
        <v>2916</v>
      </c>
      <c r="C767" t="s">
        <v>1365</v>
      </c>
      <c r="D767" t="s">
        <v>1305</v>
      </c>
      <c r="E767" s="220">
        <v>6.762E-2</v>
      </c>
    </row>
    <row r="768" spans="1:5">
      <c r="A768" t="s">
        <v>659</v>
      </c>
      <c r="B768" t="s">
        <v>2916</v>
      </c>
      <c r="C768" t="s">
        <v>1365</v>
      </c>
      <c r="D768" t="s">
        <v>1305</v>
      </c>
      <c r="E768" s="220">
        <v>6.8451999999999999E-2</v>
      </c>
    </row>
    <row r="769" spans="1:5">
      <c r="A769" t="s">
        <v>667</v>
      </c>
      <c r="B769" t="s">
        <v>2916</v>
      </c>
      <c r="C769" t="s">
        <v>1365</v>
      </c>
      <c r="D769" t="s">
        <v>1305</v>
      </c>
      <c r="E769" s="220">
        <v>6.8599999999999994E-2</v>
      </c>
    </row>
    <row r="770" spans="1:5">
      <c r="A770" t="s">
        <v>676</v>
      </c>
      <c r="B770" t="s">
        <v>2916</v>
      </c>
      <c r="C770" t="s">
        <v>1365</v>
      </c>
      <c r="D770" t="s">
        <v>1305</v>
      </c>
      <c r="E770" s="220">
        <v>6.6435000000000008E-2</v>
      </c>
    </row>
    <row r="771" spans="1:5">
      <c r="A771" t="s">
        <v>644</v>
      </c>
      <c r="B771" t="s">
        <v>2916</v>
      </c>
      <c r="C771" t="s">
        <v>1365</v>
      </c>
      <c r="D771" t="s">
        <v>1305</v>
      </c>
      <c r="E771" s="220">
        <v>6.8451999999999999E-2</v>
      </c>
    </row>
    <row r="772" spans="1:5">
      <c r="A772" t="s">
        <v>664</v>
      </c>
      <c r="B772" t="s">
        <v>2916</v>
      </c>
      <c r="C772" t="s">
        <v>1365</v>
      </c>
      <c r="D772" t="s">
        <v>1305</v>
      </c>
      <c r="E772" s="220">
        <v>6.8566999999999989E-2</v>
      </c>
    </row>
    <row r="773" spans="1:5">
      <c r="A773" t="s">
        <v>705</v>
      </c>
      <c r="B773" t="s">
        <v>2916</v>
      </c>
      <c r="C773" t="s">
        <v>1365</v>
      </c>
      <c r="D773" t="s">
        <v>1305</v>
      </c>
      <c r="E773" s="220">
        <v>6.8599999999999994E-2</v>
      </c>
    </row>
    <row r="774" spans="1:5">
      <c r="A774" t="s">
        <v>720</v>
      </c>
      <c r="B774" t="s">
        <v>2916</v>
      </c>
      <c r="C774" t="s">
        <v>1365</v>
      </c>
      <c r="D774" t="s">
        <v>1305</v>
      </c>
      <c r="E774" s="220">
        <v>6.8599999999999994E-2</v>
      </c>
    </row>
    <row r="775" spans="1:5">
      <c r="A775" t="s">
        <v>723</v>
      </c>
      <c r="B775" t="s">
        <v>2916</v>
      </c>
      <c r="C775" t="s">
        <v>1365</v>
      </c>
      <c r="D775" t="s">
        <v>1305</v>
      </c>
      <c r="E775" s="220">
        <v>6.6448999999999994E-2</v>
      </c>
    </row>
    <row r="776" spans="1:5">
      <c r="A776" t="s">
        <v>726</v>
      </c>
      <c r="B776" t="s">
        <v>2916</v>
      </c>
      <c r="C776" t="s">
        <v>1365</v>
      </c>
      <c r="D776" t="s">
        <v>1305</v>
      </c>
      <c r="E776" s="220">
        <v>6.7531999999999995E-2</v>
      </c>
    </row>
    <row r="777" spans="1:5">
      <c r="A777" t="s">
        <v>738</v>
      </c>
      <c r="B777" t="s">
        <v>2916</v>
      </c>
      <c r="C777" t="s">
        <v>1365</v>
      </c>
      <c r="D777" t="s">
        <v>1305</v>
      </c>
      <c r="E777" s="220">
        <v>6.762E-2</v>
      </c>
    </row>
    <row r="778" spans="1:5">
      <c r="A778" t="s">
        <v>747</v>
      </c>
      <c r="B778" t="s">
        <v>2916</v>
      </c>
      <c r="C778" t="s">
        <v>1365</v>
      </c>
      <c r="D778" t="s">
        <v>1305</v>
      </c>
      <c r="E778" s="220">
        <v>6.8451999999999999E-2</v>
      </c>
    </row>
    <row r="779" spans="1:5">
      <c r="A779" t="s">
        <v>754</v>
      </c>
      <c r="B779" t="s">
        <v>2916</v>
      </c>
      <c r="C779" t="s">
        <v>1365</v>
      </c>
      <c r="D779" t="s">
        <v>1305</v>
      </c>
      <c r="E779" s="220">
        <v>6.8599999999999994E-2</v>
      </c>
    </row>
    <row r="780" spans="1:5">
      <c r="A780" t="s">
        <v>757</v>
      </c>
      <c r="B780" t="s">
        <v>2916</v>
      </c>
      <c r="C780" t="s">
        <v>1365</v>
      </c>
      <c r="D780" t="s">
        <v>1305</v>
      </c>
      <c r="E780" s="220">
        <v>6.8599999999999994E-2</v>
      </c>
    </row>
    <row r="781" spans="1:5">
      <c r="A781" t="s">
        <v>823</v>
      </c>
      <c r="B781" t="s">
        <v>2916</v>
      </c>
      <c r="C781" t="s">
        <v>1365</v>
      </c>
      <c r="D781" t="s">
        <v>1305</v>
      </c>
      <c r="E781" s="220">
        <v>6.8599999999999994E-2</v>
      </c>
    </row>
    <row r="782" spans="1:5">
      <c r="A782" t="s">
        <v>767</v>
      </c>
      <c r="B782" t="s">
        <v>2916</v>
      </c>
      <c r="C782" t="s">
        <v>1365</v>
      </c>
      <c r="D782" t="s">
        <v>1305</v>
      </c>
      <c r="E782" s="220">
        <v>6.8451999999999999E-2</v>
      </c>
    </row>
    <row r="783" spans="1:5">
      <c r="A783" t="s">
        <v>770</v>
      </c>
      <c r="B783" t="s">
        <v>2916</v>
      </c>
      <c r="C783" t="s">
        <v>1365</v>
      </c>
      <c r="D783" t="s">
        <v>1305</v>
      </c>
      <c r="E783" s="220">
        <v>6.8451999999999999E-2</v>
      </c>
    </row>
    <row r="784" spans="1:5">
      <c r="A784" t="s">
        <v>592</v>
      </c>
      <c r="B784" t="s">
        <v>2916</v>
      </c>
      <c r="C784" t="s">
        <v>1365</v>
      </c>
      <c r="D784" t="s">
        <v>1305</v>
      </c>
      <c r="E784" s="220">
        <v>6.8346999999999991E-2</v>
      </c>
    </row>
    <row r="785" spans="1:5">
      <c r="A785" t="s">
        <v>773</v>
      </c>
      <c r="B785" t="s">
        <v>2916</v>
      </c>
      <c r="C785" t="s">
        <v>1365</v>
      </c>
      <c r="D785" t="s">
        <v>1305</v>
      </c>
      <c r="E785" s="220">
        <v>6.762E-2</v>
      </c>
    </row>
    <row r="786" spans="1:5">
      <c r="A786" t="s">
        <v>1154</v>
      </c>
      <c r="B786" t="s">
        <v>2916</v>
      </c>
      <c r="C786" t="s">
        <v>1365</v>
      </c>
      <c r="D786" t="s">
        <v>1305</v>
      </c>
      <c r="E786" s="220">
        <v>6.8599999999999994E-2</v>
      </c>
    </row>
    <row r="787" spans="1:5">
      <c r="A787" t="s">
        <v>805</v>
      </c>
      <c r="B787" t="s">
        <v>2916</v>
      </c>
      <c r="C787" t="s">
        <v>1365</v>
      </c>
      <c r="D787" t="s">
        <v>1305</v>
      </c>
      <c r="E787" s="220">
        <v>6.8599999999999994E-2</v>
      </c>
    </row>
    <row r="788" spans="1:5">
      <c r="A788" t="s">
        <v>808</v>
      </c>
      <c r="B788" t="s">
        <v>2916</v>
      </c>
      <c r="C788" t="s">
        <v>1365</v>
      </c>
      <c r="D788" t="s">
        <v>1305</v>
      </c>
      <c r="E788" s="220">
        <v>7.2999999999999995E-2</v>
      </c>
    </row>
    <row r="789" spans="1:5">
      <c r="A789" t="s">
        <v>833</v>
      </c>
      <c r="B789" t="s">
        <v>2916</v>
      </c>
      <c r="C789" t="s">
        <v>1365</v>
      </c>
      <c r="D789" t="s">
        <v>1305</v>
      </c>
      <c r="E789" s="220">
        <v>6.8599999999999994E-2</v>
      </c>
    </row>
    <row r="790" spans="1:5">
      <c r="A790" t="s">
        <v>839</v>
      </c>
      <c r="B790" t="s">
        <v>2916</v>
      </c>
      <c r="C790" t="s">
        <v>1365</v>
      </c>
      <c r="D790" t="s">
        <v>1305</v>
      </c>
      <c r="E790" s="220">
        <v>6.8451999999999999E-2</v>
      </c>
    </row>
    <row r="791" spans="1:5">
      <c r="A791" t="s">
        <v>845</v>
      </c>
      <c r="B791" t="s">
        <v>2916</v>
      </c>
      <c r="C791" t="s">
        <v>1365</v>
      </c>
      <c r="D791" t="s">
        <v>1305</v>
      </c>
      <c r="E791" s="220">
        <v>6.762E-2</v>
      </c>
    </row>
    <row r="792" spans="1:5">
      <c r="A792" t="s">
        <v>854</v>
      </c>
      <c r="B792" t="s">
        <v>2916</v>
      </c>
      <c r="C792" t="s">
        <v>1365</v>
      </c>
      <c r="D792" t="s">
        <v>1305</v>
      </c>
      <c r="E792" s="220">
        <v>6.8451999999999999E-2</v>
      </c>
    </row>
    <row r="793" spans="1:5">
      <c r="A793" t="s">
        <v>863</v>
      </c>
      <c r="B793" t="s">
        <v>2916</v>
      </c>
      <c r="C793" t="s">
        <v>1365</v>
      </c>
      <c r="D793" t="s">
        <v>1305</v>
      </c>
      <c r="E793" s="220">
        <v>6.8599999999999994E-2</v>
      </c>
    </row>
    <row r="794" spans="1:5">
      <c r="A794" t="s">
        <v>860</v>
      </c>
      <c r="B794" t="s">
        <v>2916</v>
      </c>
      <c r="C794" t="s">
        <v>1365</v>
      </c>
      <c r="D794" t="s">
        <v>1305</v>
      </c>
      <c r="E794" s="220">
        <v>6.762E-2</v>
      </c>
    </row>
    <row r="795" spans="1:5">
      <c r="A795" t="s">
        <v>857</v>
      </c>
      <c r="B795" t="s">
        <v>2916</v>
      </c>
      <c r="C795" t="s">
        <v>1365</v>
      </c>
      <c r="D795" t="s">
        <v>1305</v>
      </c>
      <c r="E795" s="220">
        <v>6.8451999999999999E-2</v>
      </c>
    </row>
    <row r="796" spans="1:5">
      <c r="A796" t="s">
        <v>875</v>
      </c>
      <c r="B796" t="s">
        <v>2916</v>
      </c>
      <c r="C796" t="s">
        <v>1365</v>
      </c>
      <c r="D796" t="s">
        <v>1305</v>
      </c>
      <c r="E796" s="220">
        <v>6.7516999999999994E-2</v>
      </c>
    </row>
    <row r="797" spans="1:5">
      <c r="A797" t="s">
        <v>872</v>
      </c>
      <c r="B797" t="s">
        <v>2916</v>
      </c>
      <c r="C797" t="s">
        <v>1365</v>
      </c>
      <c r="D797" t="s">
        <v>1305</v>
      </c>
      <c r="E797" s="220">
        <v>6.7636000000000002E-2</v>
      </c>
    </row>
    <row r="798" spans="1:5">
      <c r="A798" t="s">
        <v>878</v>
      </c>
      <c r="B798" t="s">
        <v>2916</v>
      </c>
      <c r="C798" t="s">
        <v>1365</v>
      </c>
      <c r="D798" t="s">
        <v>1305</v>
      </c>
      <c r="E798" s="220">
        <v>6.8599999999999994E-2</v>
      </c>
    </row>
    <row r="799" spans="1:5">
      <c r="A799" t="s">
        <v>881</v>
      </c>
      <c r="B799" t="s">
        <v>2916</v>
      </c>
      <c r="C799" t="s">
        <v>1365</v>
      </c>
      <c r="D799" t="s">
        <v>1305</v>
      </c>
      <c r="E799" s="220">
        <v>6.8599999999999994E-2</v>
      </c>
    </row>
    <row r="800" spans="1:5">
      <c r="A800" t="s">
        <v>894</v>
      </c>
      <c r="B800" t="s">
        <v>2916</v>
      </c>
      <c r="C800" t="s">
        <v>1365</v>
      </c>
      <c r="D800" t="s">
        <v>1305</v>
      </c>
      <c r="E800" s="220">
        <v>6.8599999999999994E-2</v>
      </c>
    </row>
    <row r="801" spans="1:5">
      <c r="A801" t="s">
        <v>897</v>
      </c>
      <c r="B801" t="s">
        <v>2916</v>
      </c>
      <c r="C801" t="s">
        <v>1365</v>
      </c>
      <c r="D801" t="s">
        <v>1305</v>
      </c>
      <c r="E801" s="220">
        <v>6.8451999999999999E-2</v>
      </c>
    </row>
    <row r="802" spans="1:5">
      <c r="A802" t="s">
        <v>903</v>
      </c>
      <c r="B802" t="s">
        <v>2916</v>
      </c>
      <c r="C802" t="s">
        <v>1365</v>
      </c>
      <c r="D802" t="s">
        <v>1305</v>
      </c>
      <c r="E802" s="220">
        <v>6.8599999999999994E-2</v>
      </c>
    </row>
    <row r="803" spans="1:5">
      <c r="A803" t="s">
        <v>900</v>
      </c>
      <c r="B803" t="s">
        <v>2916</v>
      </c>
      <c r="C803" t="s">
        <v>1365</v>
      </c>
      <c r="D803" t="s">
        <v>1305</v>
      </c>
      <c r="E803" s="220">
        <v>6.8599999999999994E-2</v>
      </c>
    </row>
    <row r="804" spans="1:5">
      <c r="A804" t="s">
        <v>1160</v>
      </c>
      <c r="B804" t="s">
        <v>2916</v>
      </c>
      <c r="C804" t="s">
        <v>1365</v>
      </c>
      <c r="D804" t="s">
        <v>1305</v>
      </c>
      <c r="E804" s="220">
        <v>6.8451999999999999E-2</v>
      </c>
    </row>
    <row r="805" spans="1:5">
      <c r="A805" t="s">
        <v>915</v>
      </c>
      <c r="B805" t="s">
        <v>2916</v>
      </c>
      <c r="C805" t="s">
        <v>1365</v>
      </c>
      <c r="D805" t="s">
        <v>1305</v>
      </c>
      <c r="E805" s="220">
        <v>6.8599999999999994E-2</v>
      </c>
    </row>
    <row r="806" spans="1:5">
      <c r="A806" t="s">
        <v>927</v>
      </c>
      <c r="B806" t="s">
        <v>2916</v>
      </c>
      <c r="C806" t="s">
        <v>1365</v>
      </c>
      <c r="D806" t="s">
        <v>1305</v>
      </c>
      <c r="E806" s="220">
        <v>6.8599999999999994E-2</v>
      </c>
    </row>
    <row r="807" spans="1:5">
      <c r="A807" t="s">
        <v>933</v>
      </c>
      <c r="B807" t="s">
        <v>2916</v>
      </c>
      <c r="C807" t="s">
        <v>1365</v>
      </c>
      <c r="D807" t="s">
        <v>1305</v>
      </c>
      <c r="E807" s="220">
        <v>6.8078E-2</v>
      </c>
    </row>
    <row r="808" spans="1:5">
      <c r="A808" t="s">
        <v>939</v>
      </c>
      <c r="B808" t="s">
        <v>2916</v>
      </c>
      <c r="C808" t="s">
        <v>1365</v>
      </c>
      <c r="D808" t="s">
        <v>1305</v>
      </c>
      <c r="E808" s="220">
        <v>6.8599999999999994E-2</v>
      </c>
    </row>
    <row r="809" spans="1:5">
      <c r="A809" t="s">
        <v>1163</v>
      </c>
      <c r="B809" t="s">
        <v>2916</v>
      </c>
      <c r="C809" t="s">
        <v>1365</v>
      </c>
      <c r="D809" t="s">
        <v>1305</v>
      </c>
      <c r="E809" s="220">
        <v>6.8451999999999999E-2</v>
      </c>
    </row>
    <row r="810" spans="1:5">
      <c r="A810" t="s">
        <v>954</v>
      </c>
      <c r="B810" t="s">
        <v>2916</v>
      </c>
      <c r="C810" t="s">
        <v>1365</v>
      </c>
      <c r="D810" t="s">
        <v>1305</v>
      </c>
      <c r="E810" s="220">
        <v>6.8599999999999994E-2</v>
      </c>
    </row>
    <row r="811" spans="1:5">
      <c r="A811" t="s">
        <v>936</v>
      </c>
      <c r="B811" t="s">
        <v>2916</v>
      </c>
      <c r="C811" t="s">
        <v>1365</v>
      </c>
      <c r="D811" t="s">
        <v>1305</v>
      </c>
      <c r="E811" s="220">
        <v>6.8599999999999994E-2</v>
      </c>
    </row>
    <row r="812" spans="1:5">
      <c r="A812" t="s">
        <v>1014</v>
      </c>
      <c r="B812" t="s">
        <v>2916</v>
      </c>
      <c r="C812" t="s">
        <v>1365</v>
      </c>
      <c r="D812" t="s">
        <v>1305</v>
      </c>
      <c r="E812" s="220">
        <v>6.8346999999999991E-2</v>
      </c>
    </row>
    <row r="813" spans="1:5">
      <c r="A813" t="s">
        <v>993</v>
      </c>
      <c r="B813" t="s">
        <v>2916</v>
      </c>
      <c r="C813" t="s">
        <v>1365</v>
      </c>
      <c r="D813" t="s">
        <v>1305</v>
      </c>
      <c r="E813" s="220">
        <v>6.8599999999999994E-2</v>
      </c>
    </row>
    <row r="814" spans="1:5">
      <c r="A814" t="s">
        <v>1042</v>
      </c>
      <c r="B814" t="s">
        <v>2916</v>
      </c>
      <c r="C814" t="s">
        <v>1365</v>
      </c>
      <c r="D814" t="s">
        <v>1305</v>
      </c>
      <c r="E814" s="220">
        <v>6.762E-2</v>
      </c>
    </row>
    <row r="815" spans="1:5">
      <c r="A815" t="s">
        <v>1032</v>
      </c>
      <c r="B815" t="s">
        <v>2916</v>
      </c>
      <c r="C815" t="s">
        <v>1365</v>
      </c>
      <c r="D815" t="s">
        <v>1305</v>
      </c>
      <c r="E815" s="220">
        <v>6.8599999999999994E-2</v>
      </c>
    </row>
    <row r="816" spans="1:5">
      <c r="A816" t="s">
        <v>1055</v>
      </c>
      <c r="B816" t="s">
        <v>2916</v>
      </c>
      <c r="C816" t="s">
        <v>1365</v>
      </c>
      <c r="D816" t="s">
        <v>1305</v>
      </c>
      <c r="E816" s="220">
        <v>6.8599999999999994E-2</v>
      </c>
    </row>
    <row r="817" spans="1:5">
      <c r="A817" t="s">
        <v>1029</v>
      </c>
      <c r="B817" t="s">
        <v>2916</v>
      </c>
      <c r="C817" t="s">
        <v>1365</v>
      </c>
      <c r="D817" t="s">
        <v>1305</v>
      </c>
      <c r="E817" s="220">
        <v>6.7561999999999997E-2</v>
      </c>
    </row>
    <row r="818" spans="1:5">
      <c r="A818" t="s">
        <v>1039</v>
      </c>
      <c r="B818" t="s">
        <v>2916</v>
      </c>
      <c r="C818" t="s">
        <v>1365</v>
      </c>
      <c r="D818" t="s">
        <v>1305</v>
      </c>
      <c r="E818" s="220">
        <v>6.8599999999999994E-2</v>
      </c>
    </row>
    <row r="819" spans="1:5">
      <c r="A819" t="s">
        <v>1058</v>
      </c>
      <c r="B819" t="s">
        <v>2916</v>
      </c>
      <c r="C819" t="s">
        <v>1365</v>
      </c>
      <c r="D819" t="s">
        <v>1305</v>
      </c>
      <c r="E819" s="220">
        <v>6.8599999999999994E-2</v>
      </c>
    </row>
    <row r="820" spans="1:5">
      <c r="A820" t="s">
        <v>1061</v>
      </c>
      <c r="B820" t="s">
        <v>2916</v>
      </c>
      <c r="C820" t="s">
        <v>1365</v>
      </c>
      <c r="D820" t="s">
        <v>1305</v>
      </c>
      <c r="E820" s="220">
        <v>6.7748000000000003E-2</v>
      </c>
    </row>
    <row r="821" spans="1:5">
      <c r="A821" t="s">
        <v>1067</v>
      </c>
      <c r="B821" t="s">
        <v>2916</v>
      </c>
      <c r="C821" t="s">
        <v>1365</v>
      </c>
      <c r="D821" t="s">
        <v>1305</v>
      </c>
      <c r="E821" s="220">
        <v>6.762E-2</v>
      </c>
    </row>
    <row r="822" spans="1:5">
      <c r="A822" t="s">
        <v>1076</v>
      </c>
      <c r="B822" t="s">
        <v>2916</v>
      </c>
      <c r="C822" t="s">
        <v>1365</v>
      </c>
      <c r="D822" t="s">
        <v>1305</v>
      </c>
      <c r="E822" s="220">
        <v>6.8599999999999994E-2</v>
      </c>
    </row>
    <row r="823" spans="1:5">
      <c r="A823" t="s">
        <v>1079</v>
      </c>
      <c r="B823" t="s">
        <v>2916</v>
      </c>
      <c r="C823" t="s">
        <v>1365</v>
      </c>
      <c r="D823" t="s">
        <v>1305</v>
      </c>
      <c r="E823" s="220">
        <v>6.6435000000000008E-2</v>
      </c>
    </row>
    <row r="824" spans="1:5">
      <c r="A824" t="s">
        <v>1082</v>
      </c>
      <c r="B824" t="s">
        <v>2916</v>
      </c>
      <c r="C824" t="s">
        <v>1365</v>
      </c>
      <c r="D824" t="s">
        <v>1305</v>
      </c>
      <c r="E824" s="220">
        <v>6.8599999999999994E-2</v>
      </c>
    </row>
    <row r="825" spans="1:5">
      <c r="A825" t="s">
        <v>919</v>
      </c>
      <c r="B825" t="s">
        <v>2916</v>
      </c>
      <c r="C825" t="s">
        <v>1365</v>
      </c>
      <c r="D825" t="s">
        <v>1305</v>
      </c>
      <c r="E825" s="220">
        <v>6.8599999999999994E-2</v>
      </c>
    </row>
    <row r="826" spans="1:5">
      <c r="A826" t="s">
        <v>1085</v>
      </c>
      <c r="B826" t="s">
        <v>2916</v>
      </c>
      <c r="C826" t="s">
        <v>1365</v>
      </c>
      <c r="D826" t="s">
        <v>1305</v>
      </c>
      <c r="E826" s="220">
        <v>6.8599999999999994E-2</v>
      </c>
    </row>
    <row r="827" spans="1:5">
      <c r="A827" t="s">
        <v>1073</v>
      </c>
      <c r="B827" t="s">
        <v>2916</v>
      </c>
      <c r="C827" t="s">
        <v>1365</v>
      </c>
      <c r="D827" t="s">
        <v>1305</v>
      </c>
      <c r="E827" s="220">
        <v>6.8599999999999994E-2</v>
      </c>
    </row>
    <row r="828" spans="1:5">
      <c r="A828" t="s">
        <v>1264</v>
      </c>
      <c r="B828" t="s">
        <v>2916</v>
      </c>
      <c r="C828" t="s">
        <v>1365</v>
      </c>
      <c r="D828" t="s">
        <v>1305</v>
      </c>
      <c r="E828" s="220">
        <v>6.8599999999999994E-2</v>
      </c>
    </row>
    <row r="829" spans="1:5">
      <c r="A829" t="s">
        <v>1091</v>
      </c>
      <c r="B829" t="s">
        <v>2916</v>
      </c>
      <c r="C829" t="s">
        <v>1365</v>
      </c>
      <c r="D829" t="s">
        <v>1305</v>
      </c>
      <c r="E829" s="220">
        <v>6.8599999999999994E-2</v>
      </c>
    </row>
    <row r="830" spans="1:5">
      <c r="A830" t="s">
        <v>1094</v>
      </c>
      <c r="B830" t="s">
        <v>2916</v>
      </c>
      <c r="C830" t="s">
        <v>1365</v>
      </c>
      <c r="D830" t="s">
        <v>1305</v>
      </c>
      <c r="E830" s="220">
        <v>6.8599999999999994E-2</v>
      </c>
    </row>
    <row r="831" spans="1:5">
      <c r="A831" t="s">
        <v>1113</v>
      </c>
      <c r="B831" t="s">
        <v>2916</v>
      </c>
      <c r="C831" t="s">
        <v>1365</v>
      </c>
      <c r="D831" t="s">
        <v>1305</v>
      </c>
      <c r="E831" s="220">
        <v>6.8599999999999994E-2</v>
      </c>
    </row>
    <row r="832" spans="1:5">
      <c r="A832" t="s">
        <v>1173</v>
      </c>
      <c r="B832" t="s">
        <v>2916</v>
      </c>
      <c r="C832" t="s">
        <v>1365</v>
      </c>
      <c r="D832" t="s">
        <v>1305</v>
      </c>
      <c r="E832" s="220">
        <v>6.8346999999999991E-2</v>
      </c>
    </row>
    <row r="833" spans="1:5">
      <c r="A833" t="s">
        <v>779</v>
      </c>
      <c r="B833" t="s">
        <v>2916</v>
      </c>
      <c r="C833" t="s">
        <v>1365</v>
      </c>
      <c r="D833" t="s">
        <v>1305</v>
      </c>
      <c r="E833" s="220">
        <v>6.762E-2</v>
      </c>
    </row>
    <row r="834" spans="1:5">
      <c r="A834" t="s">
        <v>1176</v>
      </c>
      <c r="B834" t="s">
        <v>2916</v>
      </c>
      <c r="C834" t="s">
        <v>1365</v>
      </c>
      <c r="D834" t="s">
        <v>1305</v>
      </c>
      <c r="E834" s="220">
        <v>6.8451999999999999E-2</v>
      </c>
    </row>
    <row r="835" spans="1:5">
      <c r="A835" t="s">
        <v>1185</v>
      </c>
      <c r="B835" t="s">
        <v>2916</v>
      </c>
      <c r="C835" t="s">
        <v>1365</v>
      </c>
      <c r="D835" t="s">
        <v>1305</v>
      </c>
      <c r="E835" s="220">
        <v>6.8599999999999994E-2</v>
      </c>
    </row>
    <row r="836" spans="1:5">
      <c r="A836" t="s">
        <v>1192</v>
      </c>
      <c r="B836" t="s">
        <v>2916</v>
      </c>
      <c r="C836" t="s">
        <v>1365</v>
      </c>
      <c r="D836" t="s">
        <v>1305</v>
      </c>
      <c r="E836" s="220">
        <v>6.8599999999999994E-2</v>
      </c>
    </row>
    <row r="837" spans="1:5">
      <c r="A837" t="s">
        <v>1219</v>
      </c>
      <c r="B837" t="s">
        <v>2916</v>
      </c>
      <c r="C837" t="s">
        <v>1365</v>
      </c>
      <c r="D837" t="s">
        <v>1305</v>
      </c>
      <c r="E837" s="220">
        <v>6.8599999999999994E-2</v>
      </c>
    </row>
    <row r="838" spans="1:5">
      <c r="A838" t="s">
        <v>1210</v>
      </c>
      <c r="B838" t="s">
        <v>2916</v>
      </c>
      <c r="C838" t="s">
        <v>1365</v>
      </c>
      <c r="D838" t="s">
        <v>1305</v>
      </c>
      <c r="E838" s="220">
        <v>6.8451999999999999E-2</v>
      </c>
    </row>
    <row r="839" spans="1:5">
      <c r="A839" t="s">
        <v>1213</v>
      </c>
      <c r="B839" t="s">
        <v>2916</v>
      </c>
      <c r="C839" t="s">
        <v>1365</v>
      </c>
      <c r="D839" t="s">
        <v>1305</v>
      </c>
      <c r="E839" s="220">
        <v>6.8346999999999991E-2</v>
      </c>
    </row>
    <row r="840" spans="1:5">
      <c r="A840" t="s">
        <v>1189</v>
      </c>
      <c r="B840" t="s">
        <v>2916</v>
      </c>
      <c r="C840" t="s">
        <v>1365</v>
      </c>
      <c r="D840" t="s">
        <v>1305</v>
      </c>
      <c r="E840" s="220">
        <v>6.8599999999999994E-2</v>
      </c>
    </row>
    <row r="841" spans="1:5">
      <c r="A841" t="s">
        <v>1232</v>
      </c>
      <c r="B841" t="s">
        <v>2916</v>
      </c>
      <c r="C841" t="s">
        <v>1365</v>
      </c>
      <c r="D841" t="s">
        <v>1305</v>
      </c>
      <c r="E841" s="220">
        <v>6.8599999999999994E-2</v>
      </c>
    </row>
    <row r="842" spans="1:5">
      <c r="A842" t="s">
        <v>1244</v>
      </c>
      <c r="B842" t="s">
        <v>2916</v>
      </c>
      <c r="C842" t="s">
        <v>1365</v>
      </c>
      <c r="D842" t="s">
        <v>1305</v>
      </c>
      <c r="E842" s="220">
        <v>6.8599999999999994E-2</v>
      </c>
    </row>
    <row r="843" spans="1:5">
      <c r="A843" t="s">
        <v>1241</v>
      </c>
      <c r="B843" t="s">
        <v>2916</v>
      </c>
      <c r="C843" t="s">
        <v>1365</v>
      </c>
      <c r="D843" t="s">
        <v>1305</v>
      </c>
      <c r="E843" s="220">
        <v>6.8599999999999994E-2</v>
      </c>
    </row>
    <row r="844" spans="1:5">
      <c r="A844" t="s">
        <v>1247</v>
      </c>
      <c r="B844" t="s">
        <v>2916</v>
      </c>
      <c r="C844" t="s">
        <v>1365</v>
      </c>
      <c r="D844" t="s">
        <v>1305</v>
      </c>
      <c r="E844" s="220">
        <v>6.8599999999999994E-2</v>
      </c>
    </row>
    <row r="845" spans="1:5">
      <c r="A845" t="s">
        <v>1170</v>
      </c>
      <c r="B845" t="s">
        <v>2916</v>
      </c>
      <c r="C845" t="s">
        <v>1365</v>
      </c>
      <c r="D845" t="s">
        <v>1305</v>
      </c>
      <c r="E845" s="220">
        <v>6.8451999999999999E-2</v>
      </c>
    </row>
    <row r="846" spans="1:5">
      <c r="A846" t="s">
        <v>1257</v>
      </c>
      <c r="B846" t="s">
        <v>2916</v>
      </c>
      <c r="C846" t="s">
        <v>1365</v>
      </c>
      <c r="D846" t="s">
        <v>1305</v>
      </c>
      <c r="E846" s="220">
        <v>6.7274E-2</v>
      </c>
    </row>
    <row r="847" spans="1:5">
      <c r="A847" t="s">
        <v>1268</v>
      </c>
      <c r="B847" t="s">
        <v>2916</v>
      </c>
      <c r="C847" t="s">
        <v>1365</v>
      </c>
      <c r="D847" t="s">
        <v>1305</v>
      </c>
      <c r="E847" s="220">
        <v>6.8599999999999994E-2</v>
      </c>
    </row>
    <row r="848" spans="1:5">
      <c r="A848" t="s">
        <v>1148</v>
      </c>
      <c r="B848" t="s">
        <v>2916</v>
      </c>
      <c r="C848" t="s">
        <v>1365</v>
      </c>
      <c r="D848" t="s">
        <v>1305</v>
      </c>
      <c r="E848" s="220">
        <v>6.8168999999999993E-2</v>
      </c>
    </row>
    <row r="849" spans="1:5">
      <c r="A849" t="s">
        <v>580</v>
      </c>
      <c r="B849" t="s">
        <v>2916</v>
      </c>
      <c r="C849" t="s">
        <v>1372</v>
      </c>
      <c r="D849" t="s">
        <v>1305</v>
      </c>
      <c r="E849" s="220">
        <v>6.8599999999999994E-2</v>
      </c>
    </row>
    <row r="850" spans="1:5">
      <c r="A850" t="s">
        <v>587</v>
      </c>
      <c r="B850" t="s">
        <v>2916</v>
      </c>
      <c r="C850" t="s">
        <v>1372</v>
      </c>
      <c r="D850" t="s">
        <v>1305</v>
      </c>
      <c r="E850" s="220">
        <v>6.8266000000000007E-2</v>
      </c>
    </row>
    <row r="851" spans="1:5">
      <c r="A851" t="s">
        <v>1235</v>
      </c>
      <c r="B851" t="s">
        <v>2916</v>
      </c>
      <c r="C851" t="s">
        <v>1372</v>
      </c>
      <c r="D851" t="s">
        <v>1305</v>
      </c>
      <c r="E851" s="220">
        <v>6.8517999999999996E-2</v>
      </c>
    </row>
    <row r="852" spans="1:5">
      <c r="A852" t="s">
        <v>617</v>
      </c>
      <c r="B852" t="s">
        <v>2916</v>
      </c>
      <c r="C852" t="s">
        <v>1372</v>
      </c>
      <c r="D852" t="s">
        <v>1305</v>
      </c>
      <c r="E852" s="220">
        <v>6.6088999999999995E-2</v>
      </c>
    </row>
    <row r="853" spans="1:5">
      <c r="A853" t="s">
        <v>620</v>
      </c>
      <c r="B853" t="s">
        <v>2916</v>
      </c>
      <c r="C853" t="s">
        <v>1372</v>
      </c>
      <c r="D853" t="s">
        <v>1305</v>
      </c>
      <c r="E853" s="220">
        <v>6.8483000000000002E-2</v>
      </c>
    </row>
    <row r="854" spans="1:5">
      <c r="A854" t="s">
        <v>614</v>
      </c>
      <c r="B854" t="s">
        <v>2916</v>
      </c>
      <c r="C854" t="s">
        <v>1372</v>
      </c>
      <c r="D854" t="s">
        <v>1305</v>
      </c>
      <c r="E854" s="220">
        <v>6.6088999999999995E-2</v>
      </c>
    </row>
    <row r="855" spans="1:5">
      <c r="A855" t="s">
        <v>626</v>
      </c>
      <c r="B855" t="s">
        <v>2916</v>
      </c>
      <c r="C855" t="s">
        <v>1372</v>
      </c>
      <c r="D855" t="s">
        <v>1305</v>
      </c>
      <c r="E855" s="220">
        <v>6.3798000000000007E-2</v>
      </c>
    </row>
    <row r="856" spans="1:5">
      <c r="A856" t="s">
        <v>629</v>
      </c>
      <c r="B856" t="s">
        <v>2916</v>
      </c>
      <c r="C856" t="s">
        <v>1372</v>
      </c>
      <c r="D856" t="s">
        <v>1305</v>
      </c>
      <c r="E856" s="220">
        <v>6.5115999999999993E-2</v>
      </c>
    </row>
    <row r="857" spans="1:5">
      <c r="A857" t="s">
        <v>632</v>
      </c>
      <c r="B857" t="s">
        <v>2916</v>
      </c>
      <c r="C857" t="s">
        <v>1372</v>
      </c>
      <c r="D857" t="s">
        <v>1305</v>
      </c>
      <c r="E857" s="220">
        <v>6.8483000000000002E-2</v>
      </c>
    </row>
    <row r="858" spans="1:5">
      <c r="A858" t="s">
        <v>650</v>
      </c>
      <c r="B858" t="s">
        <v>2916</v>
      </c>
      <c r="C858" t="s">
        <v>1372</v>
      </c>
      <c r="D858" t="s">
        <v>1305</v>
      </c>
      <c r="E858" s="220">
        <v>6.5545000000000006E-2</v>
      </c>
    </row>
    <row r="859" spans="1:5">
      <c r="A859" t="s">
        <v>641</v>
      </c>
      <c r="B859" t="s">
        <v>2916</v>
      </c>
      <c r="C859" t="s">
        <v>1372</v>
      </c>
      <c r="D859" t="s">
        <v>1305</v>
      </c>
      <c r="E859" s="220">
        <v>6.8497000000000002E-2</v>
      </c>
    </row>
    <row r="860" spans="1:5">
      <c r="A860" t="s">
        <v>687</v>
      </c>
      <c r="B860" t="s">
        <v>2916</v>
      </c>
      <c r="C860" t="s">
        <v>1372</v>
      </c>
      <c r="D860" t="s">
        <v>1305</v>
      </c>
      <c r="E860" s="220">
        <v>6.6769999999999996E-2</v>
      </c>
    </row>
    <row r="861" spans="1:5">
      <c r="A861" t="s">
        <v>638</v>
      </c>
      <c r="B861" t="s">
        <v>2916</v>
      </c>
      <c r="C861" t="s">
        <v>1372</v>
      </c>
      <c r="D861" t="s">
        <v>1305</v>
      </c>
      <c r="E861" s="220">
        <v>6.8517999999999996E-2</v>
      </c>
    </row>
    <row r="862" spans="1:5">
      <c r="A862" t="s">
        <v>635</v>
      </c>
      <c r="B862" t="s">
        <v>2916</v>
      </c>
      <c r="C862" t="s">
        <v>1372</v>
      </c>
      <c r="D862" t="s">
        <v>1305</v>
      </c>
      <c r="E862" s="220">
        <v>6.6088999999999995E-2</v>
      </c>
    </row>
    <row r="863" spans="1:5">
      <c r="A863" t="s">
        <v>670</v>
      </c>
      <c r="B863" t="s">
        <v>2916</v>
      </c>
      <c r="C863" t="s">
        <v>1372</v>
      </c>
      <c r="D863" t="s">
        <v>1305</v>
      </c>
      <c r="E863" s="220">
        <v>6.8311000000000011E-2</v>
      </c>
    </row>
    <row r="864" spans="1:5">
      <c r="A864" t="s">
        <v>647</v>
      </c>
      <c r="B864" t="s">
        <v>2916</v>
      </c>
      <c r="C864" t="s">
        <v>1372</v>
      </c>
      <c r="D864" t="s">
        <v>1305</v>
      </c>
      <c r="E864" s="220">
        <v>6.8599999999999994E-2</v>
      </c>
    </row>
    <row r="865" spans="1:5">
      <c r="A865" t="s">
        <v>653</v>
      </c>
      <c r="B865" t="s">
        <v>2916</v>
      </c>
      <c r="C865" t="s">
        <v>1372</v>
      </c>
      <c r="D865" t="s">
        <v>1305</v>
      </c>
      <c r="E865" s="220">
        <v>6.6088999999999995E-2</v>
      </c>
    </row>
    <row r="866" spans="1:5">
      <c r="A866" t="s">
        <v>659</v>
      </c>
      <c r="B866" t="s">
        <v>2916</v>
      </c>
      <c r="C866" t="s">
        <v>1372</v>
      </c>
      <c r="D866" t="s">
        <v>1305</v>
      </c>
      <c r="E866" s="220">
        <v>6.6088999999999995E-2</v>
      </c>
    </row>
    <row r="867" spans="1:5">
      <c r="A867" t="s">
        <v>667</v>
      </c>
      <c r="B867" t="s">
        <v>2916</v>
      </c>
      <c r="C867" t="s">
        <v>1372</v>
      </c>
      <c r="D867" t="s">
        <v>1305</v>
      </c>
      <c r="E867" s="220">
        <v>6.6088999999999995E-2</v>
      </c>
    </row>
    <row r="868" spans="1:5">
      <c r="A868" t="s">
        <v>676</v>
      </c>
      <c r="B868" t="s">
        <v>2916</v>
      </c>
      <c r="C868" t="s">
        <v>1372</v>
      </c>
      <c r="D868" t="s">
        <v>1305</v>
      </c>
      <c r="E868" s="220">
        <v>4.5796999999999997E-2</v>
      </c>
    </row>
    <row r="869" spans="1:5">
      <c r="A869" t="s">
        <v>644</v>
      </c>
      <c r="B869" t="s">
        <v>2916</v>
      </c>
      <c r="C869" t="s">
        <v>1372</v>
      </c>
      <c r="D869" t="s">
        <v>1305</v>
      </c>
      <c r="E869" s="220">
        <v>6.6088999999999995E-2</v>
      </c>
    </row>
    <row r="870" spans="1:5">
      <c r="A870" t="s">
        <v>684</v>
      </c>
      <c r="B870" t="s">
        <v>2916</v>
      </c>
      <c r="C870" t="s">
        <v>1372</v>
      </c>
      <c r="D870" t="s">
        <v>1305</v>
      </c>
      <c r="E870" s="220">
        <v>6.8497000000000002E-2</v>
      </c>
    </row>
    <row r="871" spans="1:5">
      <c r="A871" t="s">
        <v>664</v>
      </c>
      <c r="B871" t="s">
        <v>2916</v>
      </c>
      <c r="C871" t="s">
        <v>1372</v>
      </c>
      <c r="D871" t="s">
        <v>1305</v>
      </c>
      <c r="E871" s="220">
        <v>6.8497000000000002E-2</v>
      </c>
    </row>
    <row r="872" spans="1:5">
      <c r="A872" t="s">
        <v>705</v>
      </c>
      <c r="B872" t="s">
        <v>2916</v>
      </c>
      <c r="C872" t="s">
        <v>1372</v>
      </c>
      <c r="D872" t="s">
        <v>1305</v>
      </c>
      <c r="E872" s="220">
        <v>6.7227999999999996E-2</v>
      </c>
    </row>
    <row r="873" spans="1:5">
      <c r="A873" t="s">
        <v>1182</v>
      </c>
      <c r="B873" t="s">
        <v>2916</v>
      </c>
      <c r="C873" t="s">
        <v>1372</v>
      </c>
      <c r="D873" t="s">
        <v>1305</v>
      </c>
      <c r="E873" s="220">
        <v>6.7831000000000002E-2</v>
      </c>
    </row>
    <row r="874" spans="1:5">
      <c r="A874" t="s">
        <v>720</v>
      </c>
      <c r="B874" t="s">
        <v>2916</v>
      </c>
      <c r="C874" t="s">
        <v>1372</v>
      </c>
      <c r="D874" t="s">
        <v>1305</v>
      </c>
      <c r="E874" s="220">
        <v>6.6088999999999995E-2</v>
      </c>
    </row>
    <row r="875" spans="1:5">
      <c r="A875" t="s">
        <v>723</v>
      </c>
      <c r="B875" t="s">
        <v>2916</v>
      </c>
      <c r="C875" t="s">
        <v>1372</v>
      </c>
      <c r="D875" t="s">
        <v>1305</v>
      </c>
      <c r="E875" s="220">
        <v>6.713899999999999E-2</v>
      </c>
    </row>
    <row r="876" spans="1:5">
      <c r="A876" t="s">
        <v>726</v>
      </c>
      <c r="B876" t="s">
        <v>2916</v>
      </c>
      <c r="C876" t="s">
        <v>1372</v>
      </c>
      <c r="D876" t="s">
        <v>1305</v>
      </c>
      <c r="E876" s="220">
        <v>6.6088999999999995E-2</v>
      </c>
    </row>
    <row r="877" spans="1:5">
      <c r="A877" t="s">
        <v>738</v>
      </c>
      <c r="B877" t="s">
        <v>2916</v>
      </c>
      <c r="C877" t="s">
        <v>1372</v>
      </c>
      <c r="D877" t="s">
        <v>1305</v>
      </c>
      <c r="E877" s="220">
        <v>6.6088999999999995E-2</v>
      </c>
    </row>
    <row r="878" spans="1:5">
      <c r="A878" t="s">
        <v>747</v>
      </c>
      <c r="B878" t="s">
        <v>2916</v>
      </c>
      <c r="C878" t="s">
        <v>1372</v>
      </c>
      <c r="D878" t="s">
        <v>1305</v>
      </c>
      <c r="E878" s="220">
        <v>6.6088999999999995E-2</v>
      </c>
    </row>
    <row r="879" spans="1:5">
      <c r="A879" t="s">
        <v>754</v>
      </c>
      <c r="B879" t="s">
        <v>2916</v>
      </c>
      <c r="C879" t="s">
        <v>1372</v>
      </c>
      <c r="D879" t="s">
        <v>1305</v>
      </c>
      <c r="E879" s="220">
        <v>6.7905000000000007E-2</v>
      </c>
    </row>
    <row r="880" spans="1:5">
      <c r="A880" t="s">
        <v>757</v>
      </c>
      <c r="B880" t="s">
        <v>2916</v>
      </c>
      <c r="C880" t="s">
        <v>1372</v>
      </c>
      <c r="D880" t="s">
        <v>1305</v>
      </c>
      <c r="E880" s="220">
        <v>6.6346000000000002E-2</v>
      </c>
    </row>
    <row r="881" spans="1:5">
      <c r="A881" t="s">
        <v>823</v>
      </c>
      <c r="B881" t="s">
        <v>2916</v>
      </c>
      <c r="C881" t="s">
        <v>1372</v>
      </c>
      <c r="D881" t="s">
        <v>1305</v>
      </c>
      <c r="E881" s="220">
        <v>6.5212999999999993E-2</v>
      </c>
    </row>
    <row r="882" spans="1:5">
      <c r="A882" t="s">
        <v>767</v>
      </c>
      <c r="B882" t="s">
        <v>2916</v>
      </c>
      <c r="C882" t="s">
        <v>1372</v>
      </c>
      <c r="D882" t="s">
        <v>1305</v>
      </c>
      <c r="E882" s="220">
        <v>6.6088999999999995E-2</v>
      </c>
    </row>
    <row r="883" spans="1:5">
      <c r="A883" t="s">
        <v>761</v>
      </c>
      <c r="B883" t="s">
        <v>2916</v>
      </c>
      <c r="C883" t="s">
        <v>1372</v>
      </c>
      <c r="D883" t="s">
        <v>1305</v>
      </c>
      <c r="E883" s="220">
        <v>6.5046999999999994E-2</v>
      </c>
    </row>
    <row r="884" spans="1:5">
      <c r="A884" t="s">
        <v>770</v>
      </c>
      <c r="B884" t="s">
        <v>2916</v>
      </c>
      <c r="C884" t="s">
        <v>1372</v>
      </c>
      <c r="D884" t="s">
        <v>1305</v>
      </c>
      <c r="E884" s="220">
        <v>6.6088999999999995E-2</v>
      </c>
    </row>
    <row r="885" spans="1:5">
      <c r="A885" t="s">
        <v>592</v>
      </c>
      <c r="B885" t="s">
        <v>2916</v>
      </c>
      <c r="C885" t="s">
        <v>1372</v>
      </c>
      <c r="D885" t="s">
        <v>1305</v>
      </c>
      <c r="E885" s="220">
        <v>6.6178000000000001E-2</v>
      </c>
    </row>
    <row r="886" spans="1:5">
      <c r="A886" t="s">
        <v>773</v>
      </c>
      <c r="B886" t="s">
        <v>2916</v>
      </c>
      <c r="C886" t="s">
        <v>1372</v>
      </c>
      <c r="D886" t="s">
        <v>1305</v>
      </c>
      <c r="E886" s="220">
        <v>6.6088999999999995E-2</v>
      </c>
    </row>
    <row r="887" spans="1:5">
      <c r="A887" t="s">
        <v>776</v>
      </c>
      <c r="B887" t="s">
        <v>2916</v>
      </c>
      <c r="C887" t="s">
        <v>1372</v>
      </c>
      <c r="D887" t="s">
        <v>1305</v>
      </c>
      <c r="E887" s="220">
        <v>6.6178000000000001E-2</v>
      </c>
    </row>
    <row r="888" spans="1:5">
      <c r="A888" t="s">
        <v>1154</v>
      </c>
      <c r="B888" t="s">
        <v>2916</v>
      </c>
      <c r="C888" t="s">
        <v>1372</v>
      </c>
      <c r="D888" t="s">
        <v>1305</v>
      </c>
      <c r="E888" s="220">
        <v>6.5295000000000006E-2</v>
      </c>
    </row>
    <row r="889" spans="1:5">
      <c r="A889" t="s">
        <v>788</v>
      </c>
      <c r="B889" t="s">
        <v>2916</v>
      </c>
      <c r="C889" t="s">
        <v>1372</v>
      </c>
      <c r="D889" t="s">
        <v>1305</v>
      </c>
      <c r="E889" s="220">
        <v>6.7179000000000003E-2</v>
      </c>
    </row>
    <row r="890" spans="1:5">
      <c r="A890" t="s">
        <v>805</v>
      </c>
      <c r="B890" t="s">
        <v>2916</v>
      </c>
      <c r="C890" t="s">
        <v>1372</v>
      </c>
      <c r="D890" t="s">
        <v>1305</v>
      </c>
      <c r="E890" s="220">
        <v>6.5109E-2</v>
      </c>
    </row>
    <row r="891" spans="1:5">
      <c r="A891" t="s">
        <v>808</v>
      </c>
      <c r="B891" t="s">
        <v>2916</v>
      </c>
      <c r="C891" t="s">
        <v>1372</v>
      </c>
      <c r="D891" t="s">
        <v>1305</v>
      </c>
      <c r="E891" s="220">
        <v>6.9191000000000003E-2</v>
      </c>
    </row>
    <row r="892" spans="1:5">
      <c r="A892" t="s">
        <v>1238</v>
      </c>
      <c r="B892" t="s">
        <v>2916</v>
      </c>
      <c r="C892" t="s">
        <v>1372</v>
      </c>
      <c r="D892" t="s">
        <v>1305</v>
      </c>
      <c r="E892" s="220">
        <v>6.7587999999999995E-2</v>
      </c>
    </row>
    <row r="893" spans="1:5">
      <c r="A893" t="s">
        <v>820</v>
      </c>
      <c r="B893" t="s">
        <v>2916</v>
      </c>
      <c r="C893" t="s">
        <v>1372</v>
      </c>
      <c r="D893" t="s">
        <v>1305</v>
      </c>
      <c r="E893" s="220">
        <v>6.8483000000000002E-2</v>
      </c>
    </row>
    <row r="894" spans="1:5">
      <c r="A894" t="s">
        <v>833</v>
      </c>
      <c r="B894" t="s">
        <v>2916</v>
      </c>
      <c r="C894" t="s">
        <v>1372</v>
      </c>
      <c r="D894" t="s">
        <v>1305</v>
      </c>
      <c r="E894" s="220">
        <v>6.7543000000000006E-2</v>
      </c>
    </row>
    <row r="895" spans="1:5">
      <c r="A895" t="s">
        <v>839</v>
      </c>
      <c r="B895" t="s">
        <v>2916</v>
      </c>
      <c r="C895" t="s">
        <v>1372</v>
      </c>
      <c r="D895" t="s">
        <v>1305</v>
      </c>
      <c r="E895" s="220">
        <v>6.6088999999999995E-2</v>
      </c>
    </row>
    <row r="896" spans="1:5">
      <c r="A896" t="s">
        <v>845</v>
      </c>
      <c r="B896" t="s">
        <v>2916</v>
      </c>
      <c r="C896" t="s">
        <v>1372</v>
      </c>
      <c r="D896" t="s">
        <v>1305</v>
      </c>
      <c r="E896" s="220">
        <v>6.6088999999999995E-2</v>
      </c>
    </row>
    <row r="897" spans="1:5">
      <c r="A897" t="s">
        <v>854</v>
      </c>
      <c r="B897" t="s">
        <v>2916</v>
      </c>
      <c r="C897" t="s">
        <v>1372</v>
      </c>
      <c r="D897" t="s">
        <v>1305</v>
      </c>
      <c r="E897" s="220">
        <v>6.6088999999999995E-2</v>
      </c>
    </row>
    <row r="898" spans="1:5">
      <c r="A898" t="s">
        <v>863</v>
      </c>
      <c r="B898" t="s">
        <v>2916</v>
      </c>
      <c r="C898" t="s">
        <v>1372</v>
      </c>
      <c r="D898" t="s">
        <v>1305</v>
      </c>
      <c r="E898" s="220">
        <v>6.713899999999999E-2</v>
      </c>
    </row>
    <row r="899" spans="1:5">
      <c r="A899" t="s">
        <v>860</v>
      </c>
      <c r="B899" t="s">
        <v>2916</v>
      </c>
      <c r="C899" t="s">
        <v>1372</v>
      </c>
      <c r="D899" t="s">
        <v>1305</v>
      </c>
      <c r="E899" s="220">
        <v>6.6088999999999995E-2</v>
      </c>
    </row>
    <row r="900" spans="1:5">
      <c r="A900" t="s">
        <v>744</v>
      </c>
      <c r="B900" t="s">
        <v>2916</v>
      </c>
      <c r="C900" t="s">
        <v>1372</v>
      </c>
      <c r="D900" t="s">
        <v>1305</v>
      </c>
      <c r="E900" s="220">
        <v>6.6956000000000002E-2</v>
      </c>
    </row>
    <row r="901" spans="1:5">
      <c r="A901" t="s">
        <v>857</v>
      </c>
      <c r="B901" t="s">
        <v>2916</v>
      </c>
      <c r="C901" t="s">
        <v>1372</v>
      </c>
      <c r="D901" t="s">
        <v>1305</v>
      </c>
      <c r="E901" s="220">
        <v>6.6088999999999995E-2</v>
      </c>
    </row>
    <row r="902" spans="1:5">
      <c r="A902" t="s">
        <v>866</v>
      </c>
      <c r="B902" t="s">
        <v>2916</v>
      </c>
      <c r="C902" t="s">
        <v>1372</v>
      </c>
      <c r="D902" t="s">
        <v>1305</v>
      </c>
      <c r="E902" s="220">
        <v>6.5725999999999993E-2</v>
      </c>
    </row>
    <row r="903" spans="1:5">
      <c r="A903" t="s">
        <v>875</v>
      </c>
      <c r="B903" t="s">
        <v>2916</v>
      </c>
      <c r="C903" t="s">
        <v>1372</v>
      </c>
      <c r="D903" t="s">
        <v>1305</v>
      </c>
      <c r="E903" s="220">
        <v>6.6665000000000002E-2</v>
      </c>
    </row>
    <row r="904" spans="1:5">
      <c r="A904" t="s">
        <v>872</v>
      </c>
      <c r="B904" t="s">
        <v>2916</v>
      </c>
      <c r="C904" t="s">
        <v>1372</v>
      </c>
      <c r="D904" t="s">
        <v>1305</v>
      </c>
      <c r="E904" s="220">
        <v>6.7570999999999992E-2</v>
      </c>
    </row>
    <row r="905" spans="1:5">
      <c r="A905" t="s">
        <v>884</v>
      </c>
      <c r="B905" t="s">
        <v>2916</v>
      </c>
      <c r="C905" t="s">
        <v>1372</v>
      </c>
      <c r="D905" t="s">
        <v>1305</v>
      </c>
      <c r="E905" s="220">
        <v>6.701399999999999E-2</v>
      </c>
    </row>
    <row r="906" spans="1:5">
      <c r="A906" t="s">
        <v>878</v>
      </c>
      <c r="B906" t="s">
        <v>2916</v>
      </c>
      <c r="C906" t="s">
        <v>1372</v>
      </c>
      <c r="D906" t="s">
        <v>1305</v>
      </c>
      <c r="E906" s="220">
        <v>6.8517999999999996E-2</v>
      </c>
    </row>
    <row r="907" spans="1:5">
      <c r="A907" t="s">
        <v>881</v>
      </c>
      <c r="B907" t="s">
        <v>2916</v>
      </c>
      <c r="C907" t="s">
        <v>1372</v>
      </c>
      <c r="D907" t="s">
        <v>1305</v>
      </c>
      <c r="E907" s="220">
        <v>6.8517999999999996E-2</v>
      </c>
    </row>
    <row r="908" spans="1:5">
      <c r="A908" t="s">
        <v>869</v>
      </c>
      <c r="B908" t="s">
        <v>2916</v>
      </c>
      <c r="C908" t="s">
        <v>1372</v>
      </c>
      <c r="D908" t="s">
        <v>1305</v>
      </c>
      <c r="E908" s="220">
        <v>6.5745999999999999E-2</v>
      </c>
    </row>
    <row r="909" spans="1:5">
      <c r="A909" t="s">
        <v>891</v>
      </c>
      <c r="B909" t="s">
        <v>2916</v>
      </c>
      <c r="C909" t="s">
        <v>1372</v>
      </c>
      <c r="D909" t="s">
        <v>1305</v>
      </c>
      <c r="E909" s="220">
        <v>6.8517999999999996E-2</v>
      </c>
    </row>
    <row r="910" spans="1:5">
      <c r="A910" t="s">
        <v>894</v>
      </c>
      <c r="B910" t="s">
        <v>2916</v>
      </c>
      <c r="C910" t="s">
        <v>1372</v>
      </c>
      <c r="D910" t="s">
        <v>1305</v>
      </c>
      <c r="E910" s="220">
        <v>6.6748999999999989E-2</v>
      </c>
    </row>
    <row r="911" spans="1:5">
      <c r="A911" t="s">
        <v>897</v>
      </c>
      <c r="B911" t="s">
        <v>2916</v>
      </c>
      <c r="C911" t="s">
        <v>1372</v>
      </c>
      <c r="D911" t="s">
        <v>1305</v>
      </c>
      <c r="E911" s="220">
        <v>6.6088999999999995E-2</v>
      </c>
    </row>
    <row r="912" spans="1:5">
      <c r="A912" t="s">
        <v>903</v>
      </c>
      <c r="B912" t="s">
        <v>2916</v>
      </c>
      <c r="C912" t="s">
        <v>1372</v>
      </c>
      <c r="D912" t="s">
        <v>1305</v>
      </c>
      <c r="E912" s="220">
        <v>6.8517999999999996E-2</v>
      </c>
    </row>
    <row r="913" spans="1:5">
      <c r="A913" t="s">
        <v>900</v>
      </c>
      <c r="B913" t="s">
        <v>2916</v>
      </c>
      <c r="C913" t="s">
        <v>1372</v>
      </c>
      <c r="D913" t="s">
        <v>1305</v>
      </c>
      <c r="E913" s="220">
        <v>6.8250000000000005E-2</v>
      </c>
    </row>
    <row r="914" spans="1:5">
      <c r="A914" t="s">
        <v>906</v>
      </c>
      <c r="B914" t="s">
        <v>2916</v>
      </c>
      <c r="C914" t="s">
        <v>1372</v>
      </c>
      <c r="D914" t="s">
        <v>1305</v>
      </c>
      <c r="E914" s="220">
        <v>6.8483000000000002E-2</v>
      </c>
    </row>
    <row r="915" spans="1:5">
      <c r="A915" t="s">
        <v>930</v>
      </c>
      <c r="B915" t="s">
        <v>2916</v>
      </c>
      <c r="C915" t="s">
        <v>1372</v>
      </c>
      <c r="D915" t="s">
        <v>1305</v>
      </c>
      <c r="E915" s="220">
        <v>6.8483000000000002E-2</v>
      </c>
    </row>
    <row r="916" spans="1:5">
      <c r="A916" t="s">
        <v>699</v>
      </c>
      <c r="B916" t="s">
        <v>2916</v>
      </c>
      <c r="C916" t="s">
        <v>1372</v>
      </c>
      <c r="D916" t="s">
        <v>1305</v>
      </c>
      <c r="E916" s="220">
        <v>6.8497000000000002E-2</v>
      </c>
    </row>
    <row r="917" spans="1:5">
      <c r="A917" t="s">
        <v>1160</v>
      </c>
      <c r="B917" t="s">
        <v>2916</v>
      </c>
      <c r="C917" t="s">
        <v>1372</v>
      </c>
      <c r="D917" t="s">
        <v>1305</v>
      </c>
      <c r="E917" s="220">
        <v>6.6088999999999995E-2</v>
      </c>
    </row>
    <row r="918" spans="1:5">
      <c r="A918" t="s">
        <v>915</v>
      </c>
      <c r="B918" t="s">
        <v>2916</v>
      </c>
      <c r="C918" t="s">
        <v>1372</v>
      </c>
      <c r="D918" t="s">
        <v>1305</v>
      </c>
      <c r="E918" s="220">
        <v>6.7549999999999999E-2</v>
      </c>
    </row>
    <row r="919" spans="1:5">
      <c r="A919" t="s">
        <v>927</v>
      </c>
      <c r="B919" t="s">
        <v>2916</v>
      </c>
      <c r="C919" t="s">
        <v>1372</v>
      </c>
      <c r="D919" t="s">
        <v>1305</v>
      </c>
      <c r="E919" s="220">
        <v>6.8517999999999996E-2</v>
      </c>
    </row>
    <row r="920" spans="1:5">
      <c r="A920" t="s">
        <v>933</v>
      </c>
      <c r="B920" t="s">
        <v>2916</v>
      </c>
      <c r="C920" t="s">
        <v>1372</v>
      </c>
      <c r="D920" t="s">
        <v>1305</v>
      </c>
      <c r="E920" s="220">
        <v>6.8497000000000002E-2</v>
      </c>
    </row>
    <row r="921" spans="1:5">
      <c r="A921" t="s">
        <v>939</v>
      </c>
      <c r="B921" t="s">
        <v>2916</v>
      </c>
      <c r="C921" t="s">
        <v>1372</v>
      </c>
      <c r="D921" t="s">
        <v>1305</v>
      </c>
      <c r="E921" s="220">
        <v>6.8517999999999996E-2</v>
      </c>
    </row>
    <row r="922" spans="1:5">
      <c r="A922" t="s">
        <v>1163</v>
      </c>
      <c r="B922" t="s">
        <v>2916</v>
      </c>
      <c r="C922" t="s">
        <v>1372</v>
      </c>
      <c r="D922" t="s">
        <v>1305</v>
      </c>
      <c r="E922" s="220">
        <v>6.6088999999999995E-2</v>
      </c>
    </row>
    <row r="923" spans="1:5">
      <c r="A923" t="s">
        <v>1157</v>
      </c>
      <c r="B923" t="s">
        <v>2916</v>
      </c>
      <c r="C923" t="s">
        <v>1372</v>
      </c>
      <c r="D923" t="s">
        <v>1305</v>
      </c>
      <c r="E923" s="220">
        <v>6.8599999999999994E-2</v>
      </c>
    </row>
    <row r="924" spans="1:5">
      <c r="A924" t="s">
        <v>954</v>
      </c>
      <c r="B924" t="s">
        <v>2916</v>
      </c>
      <c r="C924" t="s">
        <v>1372</v>
      </c>
      <c r="D924" t="s">
        <v>1305</v>
      </c>
      <c r="E924" s="220">
        <v>6.6493999999999998E-2</v>
      </c>
    </row>
    <row r="925" spans="1:5">
      <c r="A925" t="s">
        <v>957</v>
      </c>
      <c r="B925" t="s">
        <v>2916</v>
      </c>
      <c r="C925" t="s">
        <v>1372</v>
      </c>
      <c r="D925" t="s">
        <v>1305</v>
      </c>
      <c r="E925" s="220">
        <v>6.5963999999999995E-2</v>
      </c>
    </row>
    <row r="926" spans="1:5">
      <c r="A926" t="s">
        <v>936</v>
      </c>
      <c r="B926" t="s">
        <v>2916</v>
      </c>
      <c r="C926" t="s">
        <v>1372</v>
      </c>
      <c r="D926" t="s">
        <v>1305</v>
      </c>
      <c r="E926" s="220">
        <v>6.6251999999999991E-2</v>
      </c>
    </row>
    <row r="927" spans="1:5">
      <c r="A927" t="s">
        <v>1014</v>
      </c>
      <c r="B927" t="s">
        <v>2916</v>
      </c>
      <c r="C927" t="s">
        <v>1372</v>
      </c>
      <c r="D927" t="s">
        <v>1305</v>
      </c>
      <c r="E927" s="220">
        <v>6.6178000000000001E-2</v>
      </c>
    </row>
    <row r="928" spans="1:5">
      <c r="A928" t="s">
        <v>999</v>
      </c>
      <c r="B928" t="s">
        <v>2916</v>
      </c>
      <c r="C928" t="s">
        <v>1372</v>
      </c>
      <c r="D928" t="s">
        <v>1305</v>
      </c>
      <c r="E928" s="220">
        <v>6.8599999999999994E-2</v>
      </c>
    </row>
    <row r="929" spans="1:5">
      <c r="A929" t="s">
        <v>993</v>
      </c>
      <c r="B929" t="s">
        <v>2916</v>
      </c>
      <c r="C929" t="s">
        <v>1372</v>
      </c>
      <c r="D929" t="s">
        <v>1305</v>
      </c>
      <c r="E929" s="220">
        <v>6.8274000000000001E-2</v>
      </c>
    </row>
    <row r="930" spans="1:5">
      <c r="A930" t="s">
        <v>963</v>
      </c>
      <c r="B930" t="s">
        <v>2916</v>
      </c>
      <c r="C930" t="s">
        <v>1372</v>
      </c>
      <c r="D930" t="s">
        <v>1305</v>
      </c>
      <c r="E930" s="220">
        <v>6.8379999999999996E-2</v>
      </c>
    </row>
    <row r="931" spans="1:5">
      <c r="A931" t="s">
        <v>981</v>
      </c>
      <c r="B931" t="s">
        <v>2916</v>
      </c>
      <c r="C931" t="s">
        <v>1372</v>
      </c>
      <c r="D931" t="s">
        <v>1305</v>
      </c>
      <c r="E931" s="220">
        <v>6.8199999999999997E-2</v>
      </c>
    </row>
    <row r="932" spans="1:5">
      <c r="A932" t="s">
        <v>1020</v>
      </c>
      <c r="B932" t="s">
        <v>2916</v>
      </c>
      <c r="C932" t="s">
        <v>1372</v>
      </c>
      <c r="D932" t="s">
        <v>1305</v>
      </c>
      <c r="E932" s="220">
        <v>6.8497000000000002E-2</v>
      </c>
    </row>
    <row r="933" spans="1:5">
      <c r="A933" t="s">
        <v>1006</v>
      </c>
      <c r="B933" t="s">
        <v>2916</v>
      </c>
      <c r="C933" t="s">
        <v>1372</v>
      </c>
      <c r="D933" t="s">
        <v>1305</v>
      </c>
      <c r="E933" s="220">
        <v>6.8599999999999994E-2</v>
      </c>
    </row>
    <row r="934" spans="1:5">
      <c r="A934" t="s">
        <v>972</v>
      </c>
      <c r="B934" t="s">
        <v>2916</v>
      </c>
      <c r="C934" t="s">
        <v>1372</v>
      </c>
      <c r="D934" t="s">
        <v>1305</v>
      </c>
      <c r="E934" s="220">
        <v>6.7035999999999998E-2</v>
      </c>
    </row>
    <row r="935" spans="1:5">
      <c r="A935" t="s">
        <v>1042</v>
      </c>
      <c r="B935" t="s">
        <v>2916</v>
      </c>
      <c r="C935" t="s">
        <v>1372</v>
      </c>
      <c r="D935" t="s">
        <v>1305</v>
      </c>
      <c r="E935" s="220">
        <v>6.6088999999999995E-2</v>
      </c>
    </row>
    <row r="936" spans="1:5">
      <c r="A936" t="s">
        <v>1032</v>
      </c>
      <c r="B936" t="s">
        <v>2916</v>
      </c>
      <c r="C936" t="s">
        <v>1372</v>
      </c>
      <c r="D936" t="s">
        <v>1305</v>
      </c>
      <c r="E936" s="220">
        <v>6.523000000000001E-2</v>
      </c>
    </row>
    <row r="937" spans="1:5">
      <c r="A937" t="s">
        <v>1055</v>
      </c>
      <c r="B937" t="s">
        <v>2916</v>
      </c>
      <c r="C937" t="s">
        <v>1372</v>
      </c>
      <c r="D937" t="s">
        <v>1305</v>
      </c>
      <c r="E937" s="220">
        <v>6.7305000000000004E-2</v>
      </c>
    </row>
    <row r="938" spans="1:5">
      <c r="A938" t="s">
        <v>1029</v>
      </c>
      <c r="B938" t="s">
        <v>2916</v>
      </c>
      <c r="C938" t="s">
        <v>1372</v>
      </c>
      <c r="D938" t="s">
        <v>1305</v>
      </c>
      <c r="E938" s="220">
        <v>6.8599999999999994E-2</v>
      </c>
    </row>
    <row r="939" spans="1:5">
      <c r="A939" t="s">
        <v>1039</v>
      </c>
      <c r="B939" t="s">
        <v>2916</v>
      </c>
      <c r="C939" t="s">
        <v>1372</v>
      </c>
      <c r="D939" t="s">
        <v>1305</v>
      </c>
      <c r="E939" s="220">
        <v>6.5170000000000006E-2</v>
      </c>
    </row>
    <row r="940" spans="1:5">
      <c r="A940" t="s">
        <v>1058</v>
      </c>
      <c r="B940" t="s">
        <v>2916</v>
      </c>
      <c r="C940" t="s">
        <v>1372</v>
      </c>
      <c r="D940" t="s">
        <v>1305</v>
      </c>
      <c r="E940" s="220">
        <v>6.8517999999999996E-2</v>
      </c>
    </row>
    <row r="941" spans="1:5">
      <c r="A941" t="s">
        <v>1061</v>
      </c>
      <c r="B941" t="s">
        <v>2916</v>
      </c>
      <c r="C941" t="s">
        <v>1372</v>
      </c>
      <c r="D941" t="s">
        <v>1305</v>
      </c>
      <c r="E941" s="220">
        <v>6.4484E-2</v>
      </c>
    </row>
    <row r="942" spans="1:5">
      <c r="A942" t="s">
        <v>1067</v>
      </c>
      <c r="B942" t="s">
        <v>2916</v>
      </c>
      <c r="C942" t="s">
        <v>1372</v>
      </c>
      <c r="D942" t="s">
        <v>1305</v>
      </c>
      <c r="E942" s="220">
        <v>6.6088999999999995E-2</v>
      </c>
    </row>
    <row r="943" spans="1:5">
      <c r="A943" t="s">
        <v>1076</v>
      </c>
      <c r="B943" t="s">
        <v>2916</v>
      </c>
      <c r="C943" t="s">
        <v>1372</v>
      </c>
      <c r="D943" t="s">
        <v>1305</v>
      </c>
      <c r="E943" s="220">
        <v>6.6088999999999995E-2</v>
      </c>
    </row>
    <row r="944" spans="1:5">
      <c r="A944" t="s">
        <v>1079</v>
      </c>
      <c r="B944" t="s">
        <v>2916</v>
      </c>
      <c r="C944" t="s">
        <v>1372</v>
      </c>
      <c r="D944" t="s">
        <v>1305</v>
      </c>
      <c r="E944" s="220">
        <v>6.5382999999999997E-2</v>
      </c>
    </row>
    <row r="945" spans="1:5">
      <c r="A945" t="s">
        <v>1082</v>
      </c>
      <c r="B945" t="s">
        <v>2916</v>
      </c>
      <c r="C945" t="s">
        <v>1372</v>
      </c>
      <c r="D945" t="s">
        <v>1305</v>
      </c>
      <c r="E945" s="220">
        <v>6.4798000000000008E-2</v>
      </c>
    </row>
    <row r="946" spans="1:5">
      <c r="A946" t="s">
        <v>919</v>
      </c>
      <c r="B946" t="s">
        <v>2916</v>
      </c>
      <c r="C946" t="s">
        <v>1372</v>
      </c>
      <c r="D946" t="s">
        <v>1305</v>
      </c>
      <c r="E946" s="220">
        <v>6.8599999999999994E-2</v>
      </c>
    </row>
    <row r="947" spans="1:5">
      <c r="A947" t="s">
        <v>1085</v>
      </c>
      <c r="B947" t="s">
        <v>2916</v>
      </c>
      <c r="C947" t="s">
        <v>1372</v>
      </c>
      <c r="D947" t="s">
        <v>1305</v>
      </c>
      <c r="E947" s="220">
        <v>6.5501000000000004E-2</v>
      </c>
    </row>
    <row r="948" spans="1:5">
      <c r="A948" t="s">
        <v>1073</v>
      </c>
      <c r="B948" t="s">
        <v>2916</v>
      </c>
      <c r="C948" t="s">
        <v>1372</v>
      </c>
      <c r="D948" t="s">
        <v>1305</v>
      </c>
      <c r="E948" s="220">
        <v>6.6088999999999995E-2</v>
      </c>
    </row>
    <row r="949" spans="1:5">
      <c r="A949" t="s">
        <v>1264</v>
      </c>
      <c r="B949" t="s">
        <v>2916</v>
      </c>
      <c r="C949" t="s">
        <v>1372</v>
      </c>
      <c r="D949" t="s">
        <v>1305</v>
      </c>
      <c r="E949" s="220">
        <v>6.8517999999999996E-2</v>
      </c>
    </row>
    <row r="950" spans="1:5">
      <c r="A950" t="s">
        <v>1091</v>
      </c>
      <c r="B950" t="s">
        <v>2916</v>
      </c>
      <c r="C950" t="s">
        <v>1372</v>
      </c>
      <c r="D950" t="s">
        <v>1305</v>
      </c>
      <c r="E950" s="220">
        <v>6.8517999999999996E-2</v>
      </c>
    </row>
    <row r="951" spans="1:5">
      <c r="A951" t="s">
        <v>1094</v>
      </c>
      <c r="B951" t="s">
        <v>2916</v>
      </c>
      <c r="C951" t="s">
        <v>1372</v>
      </c>
      <c r="D951" t="s">
        <v>1305</v>
      </c>
      <c r="E951" s="220">
        <v>6.5069999999999989E-2</v>
      </c>
    </row>
    <row r="952" spans="1:5">
      <c r="A952" t="s">
        <v>1097</v>
      </c>
      <c r="B952" t="s">
        <v>2916</v>
      </c>
      <c r="C952" t="s">
        <v>1372</v>
      </c>
      <c r="D952" t="s">
        <v>1305</v>
      </c>
      <c r="E952" s="220">
        <v>6.8256999999999998E-2</v>
      </c>
    </row>
    <row r="953" spans="1:5">
      <c r="A953" t="s">
        <v>1113</v>
      </c>
      <c r="B953" t="s">
        <v>2916</v>
      </c>
      <c r="C953" t="s">
        <v>1372</v>
      </c>
      <c r="D953" t="s">
        <v>1305</v>
      </c>
      <c r="E953" s="220">
        <v>6.8517999999999996E-2</v>
      </c>
    </row>
    <row r="954" spans="1:5">
      <c r="A954" t="s">
        <v>1173</v>
      </c>
      <c r="B954" t="s">
        <v>2916</v>
      </c>
      <c r="C954" t="s">
        <v>1372</v>
      </c>
      <c r="D954" t="s">
        <v>1305</v>
      </c>
      <c r="E954" s="220">
        <v>6.6178000000000001E-2</v>
      </c>
    </row>
    <row r="955" spans="1:5">
      <c r="A955" t="s">
        <v>1128</v>
      </c>
      <c r="B955" t="s">
        <v>2916</v>
      </c>
      <c r="C955" t="s">
        <v>1372</v>
      </c>
      <c r="D955" t="s">
        <v>1305</v>
      </c>
      <c r="E955" s="220">
        <v>6.8497000000000002E-2</v>
      </c>
    </row>
    <row r="956" spans="1:5">
      <c r="A956" t="s">
        <v>779</v>
      </c>
      <c r="B956" t="s">
        <v>2916</v>
      </c>
      <c r="C956" t="s">
        <v>1372</v>
      </c>
      <c r="D956" t="s">
        <v>1305</v>
      </c>
      <c r="E956" s="220">
        <v>6.6088999999999995E-2</v>
      </c>
    </row>
    <row r="957" spans="1:5">
      <c r="A957" t="s">
        <v>1119</v>
      </c>
      <c r="B957" t="s">
        <v>2916</v>
      </c>
      <c r="C957" t="s">
        <v>1372</v>
      </c>
      <c r="D957" t="s">
        <v>1305</v>
      </c>
      <c r="E957" s="220">
        <v>6.8198999999999996E-2</v>
      </c>
    </row>
    <row r="958" spans="1:5">
      <c r="A958" t="s">
        <v>1176</v>
      </c>
      <c r="B958" t="s">
        <v>2916</v>
      </c>
      <c r="C958" t="s">
        <v>1372</v>
      </c>
      <c r="D958" t="s">
        <v>1305</v>
      </c>
      <c r="E958" s="220">
        <v>6.6088999999999995E-2</v>
      </c>
    </row>
    <row r="959" spans="1:5">
      <c r="A959" t="s">
        <v>1135</v>
      </c>
      <c r="B959" t="s">
        <v>2916</v>
      </c>
      <c r="C959" t="s">
        <v>1372</v>
      </c>
      <c r="D959" t="s">
        <v>1305</v>
      </c>
      <c r="E959" s="220">
        <v>6.6191E-2</v>
      </c>
    </row>
    <row r="960" spans="1:5">
      <c r="A960" t="s">
        <v>1139</v>
      </c>
      <c r="B960" t="s">
        <v>2916</v>
      </c>
      <c r="C960" t="s">
        <v>1372</v>
      </c>
      <c r="D960" t="s">
        <v>1305</v>
      </c>
      <c r="E960" s="220">
        <v>6.538200000000001E-2</v>
      </c>
    </row>
    <row r="961" spans="1:5">
      <c r="A961" t="s">
        <v>1179</v>
      </c>
      <c r="B961" t="s">
        <v>2916</v>
      </c>
      <c r="C961" t="s">
        <v>1372</v>
      </c>
      <c r="D961" t="s">
        <v>1305</v>
      </c>
      <c r="E961" s="220">
        <v>6.4431000000000002E-2</v>
      </c>
    </row>
    <row r="962" spans="1:5">
      <c r="A962" t="s">
        <v>1185</v>
      </c>
      <c r="B962" t="s">
        <v>2916</v>
      </c>
      <c r="C962" t="s">
        <v>1372</v>
      </c>
      <c r="D962" t="s">
        <v>1305</v>
      </c>
      <c r="E962" s="220">
        <v>6.8517999999999996E-2</v>
      </c>
    </row>
    <row r="963" spans="1:5">
      <c r="A963" t="s">
        <v>1198</v>
      </c>
      <c r="B963" t="s">
        <v>2916</v>
      </c>
      <c r="C963" t="s">
        <v>1372</v>
      </c>
      <c r="D963" t="s">
        <v>1305</v>
      </c>
      <c r="E963" s="220">
        <v>6.7914000000000002E-2</v>
      </c>
    </row>
    <row r="964" spans="1:5">
      <c r="A964" t="s">
        <v>1192</v>
      </c>
      <c r="B964" t="s">
        <v>2916</v>
      </c>
      <c r="C964" t="s">
        <v>1372</v>
      </c>
      <c r="D964" t="s">
        <v>1305</v>
      </c>
      <c r="E964" s="220">
        <v>6.8483000000000002E-2</v>
      </c>
    </row>
    <row r="965" spans="1:5">
      <c r="A965" t="s">
        <v>1219</v>
      </c>
      <c r="B965" t="s">
        <v>2916</v>
      </c>
      <c r="C965" t="s">
        <v>1372</v>
      </c>
      <c r="D965" t="s">
        <v>1305</v>
      </c>
      <c r="E965" s="220">
        <v>6.8483000000000002E-2</v>
      </c>
    </row>
    <row r="966" spans="1:5">
      <c r="A966" t="s">
        <v>1210</v>
      </c>
      <c r="B966" t="s">
        <v>2916</v>
      </c>
      <c r="C966" t="s">
        <v>1372</v>
      </c>
      <c r="D966" t="s">
        <v>1305</v>
      </c>
      <c r="E966" s="220">
        <v>6.6088999999999995E-2</v>
      </c>
    </row>
    <row r="967" spans="1:5">
      <c r="A967" t="s">
        <v>1213</v>
      </c>
      <c r="B967" t="s">
        <v>2916</v>
      </c>
      <c r="C967" t="s">
        <v>1372</v>
      </c>
      <c r="D967" t="s">
        <v>1305</v>
      </c>
      <c r="E967" s="220">
        <v>6.6178000000000001E-2</v>
      </c>
    </row>
    <row r="968" spans="1:5">
      <c r="A968" t="s">
        <v>1216</v>
      </c>
      <c r="B968" t="s">
        <v>2916</v>
      </c>
      <c r="C968" t="s">
        <v>1372</v>
      </c>
      <c r="D968" t="s">
        <v>1305</v>
      </c>
      <c r="E968" s="220">
        <v>6.7830000000000001E-2</v>
      </c>
    </row>
    <row r="969" spans="1:5">
      <c r="A969" t="s">
        <v>1189</v>
      </c>
      <c r="B969" t="s">
        <v>2916</v>
      </c>
      <c r="C969" t="s">
        <v>1372</v>
      </c>
      <c r="D969" t="s">
        <v>1305</v>
      </c>
      <c r="E969" s="220">
        <v>6.8497000000000002E-2</v>
      </c>
    </row>
    <row r="970" spans="1:5">
      <c r="A970" t="s">
        <v>1232</v>
      </c>
      <c r="B970" t="s">
        <v>2916</v>
      </c>
      <c r="C970" t="s">
        <v>1372</v>
      </c>
      <c r="D970" t="s">
        <v>1305</v>
      </c>
      <c r="E970" s="220">
        <v>6.8085999999999994E-2</v>
      </c>
    </row>
    <row r="971" spans="1:5">
      <c r="A971" t="s">
        <v>1244</v>
      </c>
      <c r="B971" t="s">
        <v>2916</v>
      </c>
      <c r="C971" t="s">
        <v>1372</v>
      </c>
      <c r="D971" t="s">
        <v>1305</v>
      </c>
      <c r="E971" s="220">
        <v>6.6088999999999995E-2</v>
      </c>
    </row>
    <row r="972" spans="1:5">
      <c r="A972" t="s">
        <v>1241</v>
      </c>
      <c r="B972" t="s">
        <v>2916</v>
      </c>
      <c r="C972" t="s">
        <v>1372</v>
      </c>
      <c r="D972" t="s">
        <v>1305</v>
      </c>
      <c r="E972" s="220">
        <v>6.3798000000000007E-2</v>
      </c>
    </row>
    <row r="973" spans="1:5">
      <c r="A973" t="s">
        <v>1247</v>
      </c>
      <c r="B973" t="s">
        <v>2916</v>
      </c>
      <c r="C973" t="s">
        <v>1372</v>
      </c>
      <c r="D973" t="s">
        <v>1305</v>
      </c>
      <c r="E973" s="220">
        <v>6.8483000000000002E-2</v>
      </c>
    </row>
    <row r="974" spans="1:5">
      <c r="A974" t="s">
        <v>1170</v>
      </c>
      <c r="B974" t="s">
        <v>2916</v>
      </c>
      <c r="C974" t="s">
        <v>1372</v>
      </c>
      <c r="D974" t="s">
        <v>1305</v>
      </c>
      <c r="E974" s="220">
        <v>6.6088999999999995E-2</v>
      </c>
    </row>
    <row r="975" spans="1:5">
      <c r="A975" t="s">
        <v>1253</v>
      </c>
      <c r="B975" t="s">
        <v>2916</v>
      </c>
      <c r="C975" t="s">
        <v>1372</v>
      </c>
      <c r="D975" t="s">
        <v>1305</v>
      </c>
      <c r="E975" s="220">
        <v>6.6088999999999995E-2</v>
      </c>
    </row>
    <row r="976" spans="1:5">
      <c r="A976" t="s">
        <v>1257</v>
      </c>
      <c r="B976" t="s">
        <v>2916</v>
      </c>
      <c r="C976" t="s">
        <v>1372</v>
      </c>
      <c r="D976" t="s">
        <v>1305</v>
      </c>
      <c r="E976" s="220">
        <v>6.8497000000000002E-2</v>
      </c>
    </row>
    <row r="977" spans="1:5">
      <c r="A977" t="s">
        <v>1268</v>
      </c>
      <c r="B977" t="s">
        <v>2916</v>
      </c>
      <c r="C977" t="s">
        <v>1372</v>
      </c>
      <c r="D977" t="s">
        <v>1305</v>
      </c>
      <c r="E977" s="220">
        <v>6.8517999999999996E-2</v>
      </c>
    </row>
    <row r="978" spans="1:5">
      <c r="A978" t="s">
        <v>1148</v>
      </c>
      <c r="B978" t="s">
        <v>2916</v>
      </c>
      <c r="C978" t="s">
        <v>1372</v>
      </c>
      <c r="D978" t="s">
        <v>1305</v>
      </c>
      <c r="E978" s="220">
        <v>6.6178000000000001E-2</v>
      </c>
    </row>
    <row r="979" spans="1:5">
      <c r="A979" t="s">
        <v>580</v>
      </c>
      <c r="B979" t="s">
        <v>2916</v>
      </c>
      <c r="C979" t="s">
        <v>1368</v>
      </c>
      <c r="D979" t="s">
        <v>1309</v>
      </c>
      <c r="E979" s="220">
        <v>6.8599999999999994E-2</v>
      </c>
    </row>
    <row r="980" spans="1:5">
      <c r="A980" t="s">
        <v>587</v>
      </c>
      <c r="B980" t="s">
        <v>2916</v>
      </c>
      <c r="C980" t="s">
        <v>1368</v>
      </c>
      <c r="D980" t="s">
        <v>1309</v>
      </c>
      <c r="E980" s="220">
        <v>6.8599999999999994E-2</v>
      </c>
    </row>
    <row r="981" spans="1:5">
      <c r="A981" t="s">
        <v>1235</v>
      </c>
      <c r="B981" t="s">
        <v>2916</v>
      </c>
      <c r="C981" t="s">
        <v>1368</v>
      </c>
      <c r="D981" t="s">
        <v>1309</v>
      </c>
      <c r="E981" s="220">
        <v>6.8599999999999994E-2</v>
      </c>
    </row>
    <row r="982" spans="1:5">
      <c r="A982" t="s">
        <v>617</v>
      </c>
      <c r="B982" t="s">
        <v>2916</v>
      </c>
      <c r="C982" t="s">
        <v>1368</v>
      </c>
      <c r="D982" t="s">
        <v>1309</v>
      </c>
      <c r="E982" s="220">
        <v>6.8599999999999994E-2</v>
      </c>
    </row>
    <row r="983" spans="1:5">
      <c r="A983" t="s">
        <v>620</v>
      </c>
      <c r="B983" t="s">
        <v>2916</v>
      </c>
      <c r="C983" t="s">
        <v>1368</v>
      </c>
      <c r="D983" t="s">
        <v>1309</v>
      </c>
      <c r="E983" s="220">
        <v>6.8599999999999994E-2</v>
      </c>
    </row>
    <row r="984" spans="1:5">
      <c r="A984" t="s">
        <v>614</v>
      </c>
      <c r="B984" t="s">
        <v>2916</v>
      </c>
      <c r="C984" t="s">
        <v>1368</v>
      </c>
      <c r="D984" t="s">
        <v>1309</v>
      </c>
      <c r="E984" s="220">
        <v>6.8599999999999994E-2</v>
      </c>
    </row>
    <row r="985" spans="1:5">
      <c r="A985" t="s">
        <v>626</v>
      </c>
      <c r="B985" t="s">
        <v>2916</v>
      </c>
      <c r="C985" t="s">
        <v>1368</v>
      </c>
      <c r="D985" t="s">
        <v>1309</v>
      </c>
      <c r="E985" s="220">
        <v>6.8599999999999994E-2</v>
      </c>
    </row>
    <row r="986" spans="1:5">
      <c r="A986" t="s">
        <v>632</v>
      </c>
      <c r="B986" t="s">
        <v>2916</v>
      </c>
      <c r="C986" t="s">
        <v>1368</v>
      </c>
      <c r="D986" t="s">
        <v>1309</v>
      </c>
      <c r="E986" s="220">
        <v>6.8599999999999994E-2</v>
      </c>
    </row>
    <row r="987" spans="1:5">
      <c r="A987" t="s">
        <v>650</v>
      </c>
      <c r="B987" t="s">
        <v>2916</v>
      </c>
      <c r="C987" t="s">
        <v>1368</v>
      </c>
      <c r="D987" t="s">
        <v>1309</v>
      </c>
      <c r="E987" s="220">
        <v>6.8599999999999994E-2</v>
      </c>
    </row>
    <row r="988" spans="1:5">
      <c r="A988" t="s">
        <v>641</v>
      </c>
      <c r="B988" t="s">
        <v>2916</v>
      </c>
      <c r="C988" t="s">
        <v>1368</v>
      </c>
      <c r="D988" t="s">
        <v>1309</v>
      </c>
      <c r="E988" s="220">
        <v>6.8599999999999994E-2</v>
      </c>
    </row>
    <row r="989" spans="1:5">
      <c r="A989" t="s">
        <v>687</v>
      </c>
      <c r="B989" t="s">
        <v>2916</v>
      </c>
      <c r="C989" t="s">
        <v>1368</v>
      </c>
      <c r="D989" t="s">
        <v>1309</v>
      </c>
      <c r="E989" s="220">
        <v>6.8599999999999994E-2</v>
      </c>
    </row>
    <row r="990" spans="1:5">
      <c r="A990" t="s">
        <v>638</v>
      </c>
      <c r="B990" t="s">
        <v>2916</v>
      </c>
      <c r="C990" t="s">
        <v>1368</v>
      </c>
      <c r="D990" t="s">
        <v>1309</v>
      </c>
      <c r="E990" s="220">
        <v>6.8599999999999994E-2</v>
      </c>
    </row>
    <row r="991" spans="1:5">
      <c r="A991" t="s">
        <v>635</v>
      </c>
      <c r="B991" t="s">
        <v>2916</v>
      </c>
      <c r="C991" t="s">
        <v>1368</v>
      </c>
      <c r="D991" t="s">
        <v>1309</v>
      </c>
      <c r="E991" s="220">
        <v>6.8599999999999994E-2</v>
      </c>
    </row>
    <row r="992" spans="1:5">
      <c r="A992" t="s">
        <v>670</v>
      </c>
      <c r="B992" t="s">
        <v>2916</v>
      </c>
      <c r="C992" t="s">
        <v>1368</v>
      </c>
      <c r="D992" t="s">
        <v>1309</v>
      </c>
      <c r="E992" s="220">
        <v>6.8599999999999994E-2</v>
      </c>
    </row>
    <row r="993" spans="1:5">
      <c r="A993" t="s">
        <v>647</v>
      </c>
      <c r="B993" t="s">
        <v>2916</v>
      </c>
      <c r="C993" t="s">
        <v>1368</v>
      </c>
      <c r="D993" t="s">
        <v>1309</v>
      </c>
      <c r="E993" s="220">
        <v>6.8599999999999994E-2</v>
      </c>
    </row>
    <row r="994" spans="1:5">
      <c r="A994" t="s">
        <v>653</v>
      </c>
      <c r="B994" t="s">
        <v>2916</v>
      </c>
      <c r="C994" t="s">
        <v>1368</v>
      </c>
      <c r="D994" t="s">
        <v>1309</v>
      </c>
      <c r="E994" s="220">
        <v>6.8599999999999994E-2</v>
      </c>
    </row>
    <row r="995" spans="1:5">
      <c r="A995" t="s">
        <v>659</v>
      </c>
      <c r="B995" t="s">
        <v>2916</v>
      </c>
      <c r="C995" t="s">
        <v>1368</v>
      </c>
      <c r="D995" t="s">
        <v>1309</v>
      </c>
      <c r="E995" s="220">
        <v>6.8599999999999994E-2</v>
      </c>
    </row>
    <row r="996" spans="1:5">
      <c r="A996" t="s">
        <v>667</v>
      </c>
      <c r="B996" t="s">
        <v>2916</v>
      </c>
      <c r="C996" t="s">
        <v>1368</v>
      </c>
      <c r="D996" t="s">
        <v>1309</v>
      </c>
      <c r="E996" s="220">
        <v>6.8599999999999994E-2</v>
      </c>
    </row>
    <row r="997" spans="1:5">
      <c r="A997" t="s">
        <v>676</v>
      </c>
      <c r="B997" t="s">
        <v>2916</v>
      </c>
      <c r="C997" t="s">
        <v>1368</v>
      </c>
      <c r="D997" t="s">
        <v>1309</v>
      </c>
      <c r="E997" s="220">
        <v>6.8599999999999994E-2</v>
      </c>
    </row>
    <row r="998" spans="1:5">
      <c r="A998" t="s">
        <v>644</v>
      </c>
      <c r="B998" t="s">
        <v>2916</v>
      </c>
      <c r="C998" t="s">
        <v>1368</v>
      </c>
      <c r="D998" t="s">
        <v>1309</v>
      </c>
      <c r="E998" s="220">
        <v>6.8599999999999994E-2</v>
      </c>
    </row>
    <row r="999" spans="1:5">
      <c r="A999" t="s">
        <v>684</v>
      </c>
      <c r="B999" t="s">
        <v>2916</v>
      </c>
      <c r="C999" t="s">
        <v>1368</v>
      </c>
      <c r="D999" t="s">
        <v>1309</v>
      </c>
      <c r="E999" s="220">
        <v>6.8599999999999994E-2</v>
      </c>
    </row>
    <row r="1000" spans="1:5">
      <c r="A1000" t="s">
        <v>664</v>
      </c>
      <c r="B1000" t="s">
        <v>2916</v>
      </c>
      <c r="C1000" t="s">
        <v>1368</v>
      </c>
      <c r="D1000" t="s">
        <v>1309</v>
      </c>
      <c r="E1000" s="220">
        <v>6.8599999999999994E-2</v>
      </c>
    </row>
    <row r="1001" spans="1:5">
      <c r="A1001" t="s">
        <v>705</v>
      </c>
      <c r="B1001" t="s">
        <v>2916</v>
      </c>
      <c r="C1001" t="s">
        <v>1368</v>
      </c>
      <c r="D1001" t="s">
        <v>1309</v>
      </c>
      <c r="E1001" s="220">
        <v>6.8599999999999994E-2</v>
      </c>
    </row>
    <row r="1002" spans="1:5">
      <c r="A1002" t="s">
        <v>1182</v>
      </c>
      <c r="B1002" t="s">
        <v>2916</v>
      </c>
      <c r="C1002" t="s">
        <v>1368</v>
      </c>
      <c r="D1002" t="s">
        <v>1309</v>
      </c>
      <c r="E1002" s="220">
        <v>6.8599999999999994E-2</v>
      </c>
    </row>
    <row r="1003" spans="1:5">
      <c r="A1003" t="s">
        <v>720</v>
      </c>
      <c r="B1003" t="s">
        <v>2916</v>
      </c>
      <c r="C1003" t="s">
        <v>1368</v>
      </c>
      <c r="D1003" t="s">
        <v>1309</v>
      </c>
      <c r="E1003" s="220">
        <v>6.8599999999999994E-2</v>
      </c>
    </row>
    <row r="1004" spans="1:5">
      <c r="A1004" t="s">
        <v>723</v>
      </c>
      <c r="B1004" t="s">
        <v>2916</v>
      </c>
      <c r="C1004" t="s">
        <v>1368</v>
      </c>
      <c r="D1004" t="s">
        <v>1309</v>
      </c>
      <c r="E1004" s="220">
        <v>6.6312999999999997E-2</v>
      </c>
    </row>
    <row r="1005" spans="1:5">
      <c r="A1005" t="s">
        <v>726</v>
      </c>
      <c r="B1005" t="s">
        <v>2916</v>
      </c>
      <c r="C1005" t="s">
        <v>1368</v>
      </c>
      <c r="D1005" t="s">
        <v>1309</v>
      </c>
      <c r="E1005" s="220">
        <v>6.8599999999999994E-2</v>
      </c>
    </row>
    <row r="1006" spans="1:5">
      <c r="A1006" t="s">
        <v>738</v>
      </c>
      <c r="B1006" t="s">
        <v>2916</v>
      </c>
      <c r="C1006" t="s">
        <v>1368</v>
      </c>
      <c r="D1006" t="s">
        <v>1309</v>
      </c>
      <c r="E1006" s="220">
        <v>6.8599999999999994E-2</v>
      </c>
    </row>
    <row r="1007" spans="1:5">
      <c r="A1007" t="s">
        <v>747</v>
      </c>
      <c r="B1007" t="s">
        <v>2916</v>
      </c>
      <c r="C1007" t="s">
        <v>1368</v>
      </c>
      <c r="D1007" t="s">
        <v>1309</v>
      </c>
      <c r="E1007" s="220">
        <v>6.8599999999999994E-2</v>
      </c>
    </row>
    <row r="1008" spans="1:5">
      <c r="A1008" t="s">
        <v>754</v>
      </c>
      <c r="B1008" t="s">
        <v>2916</v>
      </c>
      <c r="C1008" t="s">
        <v>1368</v>
      </c>
      <c r="D1008" t="s">
        <v>1309</v>
      </c>
      <c r="E1008" s="220">
        <v>6.8599999999999994E-2</v>
      </c>
    </row>
    <row r="1009" spans="1:5">
      <c r="A1009" t="s">
        <v>757</v>
      </c>
      <c r="B1009" t="s">
        <v>2916</v>
      </c>
      <c r="C1009" t="s">
        <v>1368</v>
      </c>
      <c r="D1009" t="s">
        <v>1309</v>
      </c>
      <c r="E1009" s="220">
        <v>6.8599999999999994E-2</v>
      </c>
    </row>
    <row r="1010" spans="1:5">
      <c r="A1010" t="s">
        <v>823</v>
      </c>
      <c r="B1010" t="s">
        <v>2916</v>
      </c>
      <c r="C1010" t="s">
        <v>1368</v>
      </c>
      <c r="D1010" t="s">
        <v>1309</v>
      </c>
      <c r="E1010" s="220">
        <v>6.8599999999999994E-2</v>
      </c>
    </row>
    <row r="1011" spans="1:5">
      <c r="A1011" t="s">
        <v>767</v>
      </c>
      <c r="B1011" t="s">
        <v>2916</v>
      </c>
      <c r="C1011" t="s">
        <v>1368</v>
      </c>
      <c r="D1011" t="s">
        <v>1309</v>
      </c>
      <c r="E1011" s="220">
        <v>6.8599999999999994E-2</v>
      </c>
    </row>
    <row r="1012" spans="1:5">
      <c r="A1012" t="s">
        <v>761</v>
      </c>
      <c r="B1012" t="s">
        <v>2916</v>
      </c>
      <c r="C1012" t="s">
        <v>1368</v>
      </c>
      <c r="D1012" t="s">
        <v>1309</v>
      </c>
      <c r="E1012" s="220">
        <v>6.8599999999999994E-2</v>
      </c>
    </row>
    <row r="1013" spans="1:5">
      <c r="A1013" t="s">
        <v>770</v>
      </c>
      <c r="B1013" t="s">
        <v>2916</v>
      </c>
      <c r="C1013" t="s">
        <v>1368</v>
      </c>
      <c r="D1013" t="s">
        <v>1309</v>
      </c>
      <c r="E1013" s="220">
        <v>6.8599999999999994E-2</v>
      </c>
    </row>
    <row r="1014" spans="1:5">
      <c r="A1014" t="s">
        <v>592</v>
      </c>
      <c r="B1014" t="s">
        <v>2916</v>
      </c>
      <c r="C1014" t="s">
        <v>1368</v>
      </c>
      <c r="D1014" t="s">
        <v>1309</v>
      </c>
      <c r="E1014" s="220">
        <v>6.8599999999999994E-2</v>
      </c>
    </row>
    <row r="1015" spans="1:5">
      <c r="A1015" t="s">
        <v>773</v>
      </c>
      <c r="B1015" t="s">
        <v>2916</v>
      </c>
      <c r="C1015" t="s">
        <v>1368</v>
      </c>
      <c r="D1015" t="s">
        <v>1309</v>
      </c>
      <c r="E1015" s="220">
        <v>6.8599999999999994E-2</v>
      </c>
    </row>
    <row r="1016" spans="1:5">
      <c r="A1016" t="s">
        <v>776</v>
      </c>
      <c r="B1016" t="s">
        <v>2916</v>
      </c>
      <c r="C1016" t="s">
        <v>1368</v>
      </c>
      <c r="D1016" t="s">
        <v>1309</v>
      </c>
      <c r="E1016" s="220">
        <v>6.8599999999999994E-2</v>
      </c>
    </row>
    <row r="1017" spans="1:5">
      <c r="A1017" t="s">
        <v>1154</v>
      </c>
      <c r="B1017" t="s">
        <v>2916</v>
      </c>
      <c r="C1017" t="s">
        <v>1368</v>
      </c>
      <c r="D1017" t="s">
        <v>1309</v>
      </c>
      <c r="E1017" s="220">
        <v>6.8599999999999994E-2</v>
      </c>
    </row>
    <row r="1018" spans="1:5">
      <c r="A1018" t="s">
        <v>788</v>
      </c>
      <c r="B1018" t="s">
        <v>2916</v>
      </c>
      <c r="C1018" t="s">
        <v>1368</v>
      </c>
      <c r="D1018" t="s">
        <v>1309</v>
      </c>
      <c r="E1018" s="220">
        <v>6.8599999999999994E-2</v>
      </c>
    </row>
    <row r="1019" spans="1:5">
      <c r="A1019" t="s">
        <v>805</v>
      </c>
      <c r="B1019" t="s">
        <v>2916</v>
      </c>
      <c r="C1019" t="s">
        <v>1368</v>
      </c>
      <c r="D1019" t="s">
        <v>1309</v>
      </c>
      <c r="E1019" s="220">
        <v>6.8599999999999994E-2</v>
      </c>
    </row>
    <row r="1020" spans="1:5">
      <c r="A1020" t="s">
        <v>808</v>
      </c>
      <c r="B1020" t="s">
        <v>2916</v>
      </c>
      <c r="C1020" t="s">
        <v>1368</v>
      </c>
      <c r="D1020" t="s">
        <v>1309</v>
      </c>
      <c r="E1020" s="220">
        <v>7.2999999999999995E-2</v>
      </c>
    </row>
    <row r="1021" spans="1:5">
      <c r="A1021" t="s">
        <v>1238</v>
      </c>
      <c r="B1021" t="s">
        <v>2916</v>
      </c>
      <c r="C1021" t="s">
        <v>1368</v>
      </c>
      <c r="D1021" t="s">
        <v>1309</v>
      </c>
      <c r="E1021" s="220">
        <v>6.8599999999999994E-2</v>
      </c>
    </row>
    <row r="1022" spans="1:5">
      <c r="A1022" t="s">
        <v>820</v>
      </c>
      <c r="B1022" t="s">
        <v>2916</v>
      </c>
      <c r="C1022" t="s">
        <v>1368</v>
      </c>
      <c r="D1022" t="s">
        <v>1309</v>
      </c>
      <c r="E1022" s="220">
        <v>6.8599999999999994E-2</v>
      </c>
    </row>
    <row r="1023" spans="1:5">
      <c r="A1023" t="s">
        <v>833</v>
      </c>
      <c r="B1023" t="s">
        <v>2916</v>
      </c>
      <c r="C1023" t="s">
        <v>1368</v>
      </c>
      <c r="D1023" t="s">
        <v>1309</v>
      </c>
      <c r="E1023" s="220">
        <v>6.8599999999999994E-2</v>
      </c>
    </row>
    <row r="1024" spans="1:5">
      <c r="A1024" t="s">
        <v>839</v>
      </c>
      <c r="B1024" t="s">
        <v>2916</v>
      </c>
      <c r="C1024" t="s">
        <v>1368</v>
      </c>
      <c r="D1024" t="s">
        <v>1309</v>
      </c>
      <c r="E1024" s="220">
        <v>6.8599999999999994E-2</v>
      </c>
    </row>
    <row r="1025" spans="1:5">
      <c r="A1025" t="s">
        <v>845</v>
      </c>
      <c r="B1025" t="s">
        <v>2916</v>
      </c>
      <c r="C1025" t="s">
        <v>1368</v>
      </c>
      <c r="D1025" t="s">
        <v>1309</v>
      </c>
      <c r="E1025" s="220">
        <v>6.8599999999999994E-2</v>
      </c>
    </row>
    <row r="1026" spans="1:5">
      <c r="A1026" t="s">
        <v>854</v>
      </c>
      <c r="B1026" t="s">
        <v>2916</v>
      </c>
      <c r="C1026" t="s">
        <v>1368</v>
      </c>
      <c r="D1026" t="s">
        <v>1309</v>
      </c>
      <c r="E1026" s="220">
        <v>6.8599999999999994E-2</v>
      </c>
    </row>
    <row r="1027" spans="1:5">
      <c r="A1027" t="s">
        <v>863</v>
      </c>
      <c r="B1027" t="s">
        <v>2916</v>
      </c>
      <c r="C1027" t="s">
        <v>1368</v>
      </c>
      <c r="D1027" t="s">
        <v>1309</v>
      </c>
      <c r="E1027" s="220">
        <v>6.8599999999999994E-2</v>
      </c>
    </row>
    <row r="1028" spans="1:5">
      <c r="A1028" t="s">
        <v>860</v>
      </c>
      <c r="B1028" t="s">
        <v>2916</v>
      </c>
      <c r="C1028" t="s">
        <v>1368</v>
      </c>
      <c r="D1028" t="s">
        <v>1309</v>
      </c>
      <c r="E1028" s="220">
        <v>6.8599999999999994E-2</v>
      </c>
    </row>
    <row r="1029" spans="1:5">
      <c r="A1029" t="s">
        <v>744</v>
      </c>
      <c r="B1029" t="s">
        <v>2916</v>
      </c>
      <c r="C1029" t="s">
        <v>1368</v>
      </c>
      <c r="D1029" t="s">
        <v>1309</v>
      </c>
      <c r="E1029" s="220">
        <v>6.8599999999999994E-2</v>
      </c>
    </row>
    <row r="1030" spans="1:5">
      <c r="A1030" t="s">
        <v>857</v>
      </c>
      <c r="B1030" t="s">
        <v>2916</v>
      </c>
      <c r="C1030" t="s">
        <v>1368</v>
      </c>
      <c r="D1030" t="s">
        <v>1309</v>
      </c>
      <c r="E1030" s="220">
        <v>6.8599999999999994E-2</v>
      </c>
    </row>
    <row r="1031" spans="1:5">
      <c r="A1031" t="s">
        <v>866</v>
      </c>
      <c r="B1031" t="s">
        <v>2916</v>
      </c>
      <c r="C1031" t="s">
        <v>1368</v>
      </c>
      <c r="D1031" t="s">
        <v>1309</v>
      </c>
      <c r="E1031" s="220">
        <v>6.8599999999999994E-2</v>
      </c>
    </row>
    <row r="1032" spans="1:5">
      <c r="A1032" t="s">
        <v>875</v>
      </c>
      <c r="B1032" t="s">
        <v>2916</v>
      </c>
      <c r="C1032" t="s">
        <v>1368</v>
      </c>
      <c r="D1032" t="s">
        <v>1309</v>
      </c>
      <c r="E1032" s="220">
        <v>6.8599999999999994E-2</v>
      </c>
    </row>
    <row r="1033" spans="1:5">
      <c r="A1033" t="s">
        <v>872</v>
      </c>
      <c r="B1033" t="s">
        <v>2916</v>
      </c>
      <c r="C1033" t="s">
        <v>1368</v>
      </c>
      <c r="D1033" t="s">
        <v>1309</v>
      </c>
      <c r="E1033" s="220">
        <v>6.8599999999999994E-2</v>
      </c>
    </row>
    <row r="1034" spans="1:5">
      <c r="A1034" t="s">
        <v>884</v>
      </c>
      <c r="B1034" t="s">
        <v>2916</v>
      </c>
      <c r="C1034" t="s">
        <v>1368</v>
      </c>
      <c r="D1034" t="s">
        <v>1309</v>
      </c>
      <c r="E1034" s="220">
        <v>6.8599999999999994E-2</v>
      </c>
    </row>
    <row r="1035" spans="1:5">
      <c r="A1035" t="s">
        <v>878</v>
      </c>
      <c r="B1035" t="s">
        <v>2916</v>
      </c>
      <c r="C1035" t="s">
        <v>1368</v>
      </c>
      <c r="D1035" t="s">
        <v>1309</v>
      </c>
      <c r="E1035" s="220">
        <v>6.8599999999999994E-2</v>
      </c>
    </row>
    <row r="1036" spans="1:5">
      <c r="A1036" t="s">
        <v>881</v>
      </c>
      <c r="B1036" t="s">
        <v>2916</v>
      </c>
      <c r="C1036" t="s">
        <v>1368</v>
      </c>
      <c r="D1036" t="s">
        <v>1309</v>
      </c>
      <c r="E1036" s="220">
        <v>6.8599999999999994E-2</v>
      </c>
    </row>
    <row r="1037" spans="1:5">
      <c r="A1037" t="s">
        <v>869</v>
      </c>
      <c r="B1037" t="s">
        <v>2916</v>
      </c>
      <c r="C1037" t="s">
        <v>1368</v>
      </c>
      <c r="D1037" t="s">
        <v>1309</v>
      </c>
      <c r="E1037" s="220">
        <v>6.8599999999999994E-2</v>
      </c>
    </row>
    <row r="1038" spans="1:5">
      <c r="A1038" t="s">
        <v>891</v>
      </c>
      <c r="B1038" t="s">
        <v>2916</v>
      </c>
      <c r="C1038" t="s">
        <v>1368</v>
      </c>
      <c r="D1038" t="s">
        <v>1309</v>
      </c>
      <c r="E1038" s="220">
        <v>6.8599999999999994E-2</v>
      </c>
    </row>
    <row r="1039" spans="1:5">
      <c r="A1039" t="s">
        <v>894</v>
      </c>
      <c r="B1039" t="s">
        <v>2916</v>
      </c>
      <c r="C1039" t="s">
        <v>1368</v>
      </c>
      <c r="D1039" t="s">
        <v>1309</v>
      </c>
      <c r="E1039" s="220">
        <v>6.8599999999999994E-2</v>
      </c>
    </row>
    <row r="1040" spans="1:5">
      <c r="A1040" t="s">
        <v>897</v>
      </c>
      <c r="B1040" t="s">
        <v>2916</v>
      </c>
      <c r="C1040" t="s">
        <v>1368</v>
      </c>
      <c r="D1040" t="s">
        <v>1309</v>
      </c>
      <c r="E1040" s="220">
        <v>6.8599999999999994E-2</v>
      </c>
    </row>
    <row r="1041" spans="1:5">
      <c r="A1041" t="s">
        <v>903</v>
      </c>
      <c r="B1041" t="s">
        <v>2916</v>
      </c>
      <c r="C1041" t="s">
        <v>1368</v>
      </c>
      <c r="D1041" t="s">
        <v>1309</v>
      </c>
      <c r="E1041" s="220">
        <v>6.8599999999999994E-2</v>
      </c>
    </row>
    <row r="1042" spans="1:5">
      <c r="A1042" t="s">
        <v>900</v>
      </c>
      <c r="B1042" t="s">
        <v>2916</v>
      </c>
      <c r="C1042" t="s">
        <v>1368</v>
      </c>
      <c r="D1042" t="s">
        <v>1309</v>
      </c>
      <c r="E1042" s="220">
        <v>6.8599999999999994E-2</v>
      </c>
    </row>
    <row r="1043" spans="1:5">
      <c r="A1043" t="s">
        <v>906</v>
      </c>
      <c r="B1043" t="s">
        <v>2916</v>
      </c>
      <c r="C1043" t="s">
        <v>1368</v>
      </c>
      <c r="D1043" t="s">
        <v>1309</v>
      </c>
      <c r="E1043" s="220">
        <v>6.8599999999999994E-2</v>
      </c>
    </row>
    <row r="1044" spans="1:5">
      <c r="A1044" t="s">
        <v>930</v>
      </c>
      <c r="B1044" t="s">
        <v>2916</v>
      </c>
      <c r="C1044" t="s">
        <v>1368</v>
      </c>
      <c r="D1044" t="s">
        <v>1309</v>
      </c>
      <c r="E1044" s="220">
        <v>6.8599999999999994E-2</v>
      </c>
    </row>
    <row r="1045" spans="1:5">
      <c r="A1045" t="s">
        <v>699</v>
      </c>
      <c r="B1045" t="s">
        <v>2916</v>
      </c>
      <c r="C1045" t="s">
        <v>1368</v>
      </c>
      <c r="D1045" t="s">
        <v>1309</v>
      </c>
      <c r="E1045" s="220">
        <v>6.8599999999999994E-2</v>
      </c>
    </row>
    <row r="1046" spans="1:5">
      <c r="A1046" t="s">
        <v>1160</v>
      </c>
      <c r="B1046" t="s">
        <v>2916</v>
      </c>
      <c r="C1046" t="s">
        <v>1368</v>
      </c>
      <c r="D1046" t="s">
        <v>1309</v>
      </c>
      <c r="E1046" s="220">
        <v>6.8599999999999994E-2</v>
      </c>
    </row>
    <row r="1047" spans="1:5">
      <c r="A1047" t="s">
        <v>915</v>
      </c>
      <c r="B1047" t="s">
        <v>2916</v>
      </c>
      <c r="C1047" t="s">
        <v>1368</v>
      </c>
      <c r="D1047" t="s">
        <v>1309</v>
      </c>
      <c r="E1047" s="220">
        <v>6.8599999999999994E-2</v>
      </c>
    </row>
    <row r="1048" spans="1:5">
      <c r="A1048" t="s">
        <v>927</v>
      </c>
      <c r="B1048" t="s">
        <v>2916</v>
      </c>
      <c r="C1048" t="s">
        <v>1368</v>
      </c>
      <c r="D1048" t="s">
        <v>1309</v>
      </c>
      <c r="E1048" s="220">
        <v>6.8599999999999994E-2</v>
      </c>
    </row>
    <row r="1049" spans="1:5">
      <c r="A1049" t="s">
        <v>933</v>
      </c>
      <c r="B1049" t="s">
        <v>2916</v>
      </c>
      <c r="C1049" t="s">
        <v>1368</v>
      </c>
      <c r="D1049" t="s">
        <v>1309</v>
      </c>
      <c r="E1049" s="220">
        <v>6.8599999999999994E-2</v>
      </c>
    </row>
    <row r="1050" spans="1:5">
      <c r="A1050" t="s">
        <v>939</v>
      </c>
      <c r="B1050" t="s">
        <v>2916</v>
      </c>
      <c r="C1050" t="s">
        <v>1368</v>
      </c>
      <c r="D1050" t="s">
        <v>1309</v>
      </c>
      <c r="E1050" s="220">
        <v>6.8599999999999994E-2</v>
      </c>
    </row>
    <row r="1051" spans="1:5">
      <c r="A1051" t="s">
        <v>1163</v>
      </c>
      <c r="B1051" t="s">
        <v>2916</v>
      </c>
      <c r="C1051" t="s">
        <v>1368</v>
      </c>
      <c r="D1051" t="s">
        <v>1309</v>
      </c>
      <c r="E1051" s="220">
        <v>6.8599999999999994E-2</v>
      </c>
    </row>
    <row r="1052" spans="1:5">
      <c r="A1052" t="s">
        <v>1157</v>
      </c>
      <c r="B1052" t="s">
        <v>2916</v>
      </c>
      <c r="C1052" t="s">
        <v>1368</v>
      </c>
      <c r="D1052" t="s">
        <v>1309</v>
      </c>
      <c r="E1052" s="220">
        <v>6.8599999999999994E-2</v>
      </c>
    </row>
    <row r="1053" spans="1:5">
      <c r="A1053" t="s">
        <v>954</v>
      </c>
      <c r="B1053" t="s">
        <v>2916</v>
      </c>
      <c r="C1053" t="s">
        <v>1368</v>
      </c>
      <c r="D1053" t="s">
        <v>1309</v>
      </c>
      <c r="E1053" s="220">
        <v>6.8599999999999994E-2</v>
      </c>
    </row>
    <row r="1054" spans="1:5">
      <c r="A1054" t="s">
        <v>957</v>
      </c>
      <c r="B1054" t="s">
        <v>2916</v>
      </c>
      <c r="C1054" t="s">
        <v>1368</v>
      </c>
      <c r="D1054" t="s">
        <v>1309</v>
      </c>
      <c r="E1054" s="220">
        <v>6.8599999999999994E-2</v>
      </c>
    </row>
    <row r="1055" spans="1:5">
      <c r="A1055" t="s">
        <v>936</v>
      </c>
      <c r="B1055" t="s">
        <v>2916</v>
      </c>
      <c r="C1055" t="s">
        <v>1368</v>
      </c>
      <c r="D1055" t="s">
        <v>1309</v>
      </c>
      <c r="E1055" s="220">
        <v>6.8599999999999994E-2</v>
      </c>
    </row>
    <row r="1056" spans="1:5">
      <c r="A1056" t="s">
        <v>1014</v>
      </c>
      <c r="B1056" t="s">
        <v>2916</v>
      </c>
      <c r="C1056" t="s">
        <v>1368</v>
      </c>
      <c r="D1056" t="s">
        <v>1309</v>
      </c>
      <c r="E1056" s="220">
        <v>6.8599999999999994E-2</v>
      </c>
    </row>
    <row r="1057" spans="1:5">
      <c r="A1057" t="s">
        <v>999</v>
      </c>
      <c r="B1057" t="s">
        <v>2916</v>
      </c>
      <c r="C1057" t="s">
        <v>1368</v>
      </c>
      <c r="D1057" t="s">
        <v>1309</v>
      </c>
      <c r="E1057" s="220">
        <v>6.8599999999999994E-2</v>
      </c>
    </row>
    <row r="1058" spans="1:5">
      <c r="A1058" t="s">
        <v>993</v>
      </c>
      <c r="B1058" t="s">
        <v>2916</v>
      </c>
      <c r="C1058" t="s">
        <v>1368</v>
      </c>
      <c r="D1058" t="s">
        <v>1309</v>
      </c>
      <c r="E1058" s="220">
        <v>6.8599999999999994E-2</v>
      </c>
    </row>
    <row r="1059" spans="1:5">
      <c r="A1059" t="s">
        <v>963</v>
      </c>
      <c r="B1059" t="s">
        <v>2916</v>
      </c>
      <c r="C1059" t="s">
        <v>1368</v>
      </c>
      <c r="D1059" t="s">
        <v>1309</v>
      </c>
      <c r="E1059" s="220">
        <v>6.8599999999999994E-2</v>
      </c>
    </row>
    <row r="1060" spans="1:5">
      <c r="A1060" t="s">
        <v>981</v>
      </c>
      <c r="B1060" t="s">
        <v>2916</v>
      </c>
      <c r="C1060" t="s">
        <v>1368</v>
      </c>
      <c r="D1060" t="s">
        <v>1309</v>
      </c>
      <c r="E1060" s="220">
        <v>6.8599999999999994E-2</v>
      </c>
    </row>
    <row r="1061" spans="1:5">
      <c r="A1061" t="s">
        <v>1020</v>
      </c>
      <c r="B1061" t="s">
        <v>2916</v>
      </c>
      <c r="C1061" t="s">
        <v>1368</v>
      </c>
      <c r="D1061" t="s">
        <v>1309</v>
      </c>
      <c r="E1061" s="220">
        <v>6.8599999999999994E-2</v>
      </c>
    </row>
    <row r="1062" spans="1:5">
      <c r="A1062" t="s">
        <v>1006</v>
      </c>
      <c r="B1062" t="s">
        <v>2916</v>
      </c>
      <c r="C1062" t="s">
        <v>1368</v>
      </c>
      <c r="D1062" t="s">
        <v>1309</v>
      </c>
      <c r="E1062" s="220">
        <v>6.8599999999999994E-2</v>
      </c>
    </row>
    <row r="1063" spans="1:5">
      <c r="A1063" t="s">
        <v>972</v>
      </c>
      <c r="B1063" t="s">
        <v>2916</v>
      </c>
      <c r="C1063" t="s">
        <v>1368</v>
      </c>
      <c r="D1063" t="s">
        <v>1309</v>
      </c>
      <c r="E1063" s="220">
        <v>6.8599999999999994E-2</v>
      </c>
    </row>
    <row r="1064" spans="1:5">
      <c r="A1064" t="s">
        <v>1042</v>
      </c>
      <c r="B1064" t="s">
        <v>2916</v>
      </c>
      <c r="C1064" t="s">
        <v>1368</v>
      </c>
      <c r="D1064" t="s">
        <v>1309</v>
      </c>
      <c r="E1064" s="220">
        <v>6.8599999999999994E-2</v>
      </c>
    </row>
    <row r="1065" spans="1:5">
      <c r="A1065" t="s">
        <v>1032</v>
      </c>
      <c r="B1065" t="s">
        <v>2916</v>
      </c>
      <c r="C1065" t="s">
        <v>1368</v>
      </c>
      <c r="D1065" t="s">
        <v>1309</v>
      </c>
      <c r="E1065" s="220">
        <v>6.8599999999999994E-2</v>
      </c>
    </row>
    <row r="1066" spans="1:5">
      <c r="A1066" t="s">
        <v>1055</v>
      </c>
      <c r="B1066" t="s">
        <v>2916</v>
      </c>
      <c r="C1066" t="s">
        <v>1368</v>
      </c>
      <c r="D1066" t="s">
        <v>1309</v>
      </c>
      <c r="E1066" s="220">
        <v>6.8599999999999994E-2</v>
      </c>
    </row>
    <row r="1067" spans="1:5">
      <c r="A1067" t="s">
        <v>1029</v>
      </c>
      <c r="B1067" t="s">
        <v>2916</v>
      </c>
      <c r="C1067" t="s">
        <v>1368</v>
      </c>
      <c r="D1067" t="s">
        <v>1309</v>
      </c>
      <c r="E1067" s="220">
        <v>6.8599999999999994E-2</v>
      </c>
    </row>
    <row r="1068" spans="1:5">
      <c r="A1068" t="s">
        <v>1039</v>
      </c>
      <c r="B1068" t="s">
        <v>2916</v>
      </c>
      <c r="C1068" t="s">
        <v>1368</v>
      </c>
      <c r="D1068" t="s">
        <v>1309</v>
      </c>
      <c r="E1068" s="220">
        <v>6.8599999999999994E-2</v>
      </c>
    </row>
    <row r="1069" spans="1:5">
      <c r="A1069" t="s">
        <v>1058</v>
      </c>
      <c r="B1069" t="s">
        <v>2916</v>
      </c>
      <c r="C1069" t="s">
        <v>1368</v>
      </c>
      <c r="D1069" t="s">
        <v>1309</v>
      </c>
      <c r="E1069" s="220">
        <v>6.8599999999999994E-2</v>
      </c>
    </row>
    <row r="1070" spans="1:5">
      <c r="A1070" t="s">
        <v>1061</v>
      </c>
      <c r="B1070" t="s">
        <v>2916</v>
      </c>
      <c r="C1070" t="s">
        <v>1368</v>
      </c>
      <c r="D1070" t="s">
        <v>1309</v>
      </c>
      <c r="E1070" s="220">
        <v>6.8599999999999994E-2</v>
      </c>
    </row>
    <row r="1071" spans="1:5">
      <c r="A1071" t="s">
        <v>1067</v>
      </c>
      <c r="B1071" t="s">
        <v>2916</v>
      </c>
      <c r="C1071" t="s">
        <v>1368</v>
      </c>
      <c r="D1071" t="s">
        <v>1309</v>
      </c>
      <c r="E1071" s="220">
        <v>6.8599999999999994E-2</v>
      </c>
    </row>
    <row r="1072" spans="1:5">
      <c r="A1072" t="s">
        <v>1076</v>
      </c>
      <c r="B1072" t="s">
        <v>2916</v>
      </c>
      <c r="C1072" t="s">
        <v>1368</v>
      </c>
      <c r="D1072" t="s">
        <v>1309</v>
      </c>
      <c r="E1072" s="220">
        <v>6.8599999999999994E-2</v>
      </c>
    </row>
    <row r="1073" spans="1:5">
      <c r="A1073" t="s">
        <v>1079</v>
      </c>
      <c r="B1073" t="s">
        <v>2916</v>
      </c>
      <c r="C1073" t="s">
        <v>1368</v>
      </c>
      <c r="D1073" t="s">
        <v>1309</v>
      </c>
      <c r="E1073" s="220">
        <v>6.8599999999999994E-2</v>
      </c>
    </row>
    <row r="1074" spans="1:5">
      <c r="A1074" t="s">
        <v>1082</v>
      </c>
      <c r="B1074" t="s">
        <v>2916</v>
      </c>
      <c r="C1074" t="s">
        <v>1368</v>
      </c>
      <c r="D1074" t="s">
        <v>1309</v>
      </c>
      <c r="E1074" s="220">
        <v>6.8599999999999994E-2</v>
      </c>
    </row>
    <row r="1075" spans="1:5">
      <c r="A1075" t="s">
        <v>919</v>
      </c>
      <c r="B1075" t="s">
        <v>2916</v>
      </c>
      <c r="C1075" t="s">
        <v>1368</v>
      </c>
      <c r="D1075" t="s">
        <v>1309</v>
      </c>
      <c r="E1075" s="220">
        <v>6.8599999999999994E-2</v>
      </c>
    </row>
    <row r="1076" spans="1:5">
      <c r="A1076" t="s">
        <v>1085</v>
      </c>
      <c r="B1076" t="s">
        <v>2916</v>
      </c>
      <c r="C1076" t="s">
        <v>1368</v>
      </c>
      <c r="D1076" t="s">
        <v>1309</v>
      </c>
      <c r="E1076" s="220">
        <v>6.8599999999999994E-2</v>
      </c>
    </row>
    <row r="1077" spans="1:5">
      <c r="A1077" t="s">
        <v>1073</v>
      </c>
      <c r="B1077" t="s">
        <v>2916</v>
      </c>
      <c r="C1077" t="s">
        <v>1368</v>
      </c>
      <c r="D1077" t="s">
        <v>1309</v>
      </c>
      <c r="E1077" s="220">
        <v>6.8599999999999994E-2</v>
      </c>
    </row>
    <row r="1078" spans="1:5">
      <c r="A1078" t="s">
        <v>1264</v>
      </c>
      <c r="B1078" t="s">
        <v>2916</v>
      </c>
      <c r="C1078" t="s">
        <v>1368</v>
      </c>
      <c r="D1078" t="s">
        <v>1309</v>
      </c>
      <c r="E1078" s="220">
        <v>6.8599999999999994E-2</v>
      </c>
    </row>
    <row r="1079" spans="1:5">
      <c r="A1079" t="s">
        <v>1091</v>
      </c>
      <c r="B1079" t="s">
        <v>2916</v>
      </c>
      <c r="C1079" t="s">
        <v>1368</v>
      </c>
      <c r="D1079" t="s">
        <v>1309</v>
      </c>
      <c r="E1079" s="220">
        <v>6.8599999999999994E-2</v>
      </c>
    </row>
    <row r="1080" spans="1:5">
      <c r="A1080" t="s">
        <v>1094</v>
      </c>
      <c r="B1080" t="s">
        <v>2916</v>
      </c>
      <c r="C1080" t="s">
        <v>1368</v>
      </c>
      <c r="D1080" t="s">
        <v>1309</v>
      </c>
      <c r="E1080" s="220">
        <v>6.8599999999999994E-2</v>
      </c>
    </row>
    <row r="1081" spans="1:5">
      <c r="A1081" t="s">
        <v>1097</v>
      </c>
      <c r="B1081" t="s">
        <v>2916</v>
      </c>
      <c r="C1081" t="s">
        <v>1368</v>
      </c>
      <c r="D1081" t="s">
        <v>1309</v>
      </c>
      <c r="E1081" s="220">
        <v>6.8599999999999994E-2</v>
      </c>
    </row>
    <row r="1082" spans="1:5">
      <c r="A1082" t="s">
        <v>1113</v>
      </c>
      <c r="B1082" t="s">
        <v>2916</v>
      </c>
      <c r="C1082" t="s">
        <v>1368</v>
      </c>
      <c r="D1082" t="s">
        <v>1309</v>
      </c>
      <c r="E1082" s="220">
        <v>6.8599999999999994E-2</v>
      </c>
    </row>
    <row r="1083" spans="1:5">
      <c r="A1083" t="s">
        <v>1173</v>
      </c>
      <c r="B1083" t="s">
        <v>2916</v>
      </c>
      <c r="C1083" t="s">
        <v>1368</v>
      </c>
      <c r="D1083" t="s">
        <v>1309</v>
      </c>
      <c r="E1083" s="220">
        <v>6.8599999999999994E-2</v>
      </c>
    </row>
    <row r="1084" spans="1:5">
      <c r="A1084" t="s">
        <v>1128</v>
      </c>
      <c r="B1084" t="s">
        <v>2916</v>
      </c>
      <c r="C1084" t="s">
        <v>1368</v>
      </c>
      <c r="D1084" t="s">
        <v>1309</v>
      </c>
      <c r="E1084" s="220">
        <v>6.8599999999999994E-2</v>
      </c>
    </row>
    <row r="1085" spans="1:5">
      <c r="A1085" t="s">
        <v>779</v>
      </c>
      <c r="B1085" t="s">
        <v>2916</v>
      </c>
      <c r="C1085" t="s">
        <v>1368</v>
      </c>
      <c r="D1085" t="s">
        <v>1309</v>
      </c>
      <c r="E1085" s="220">
        <v>6.8599999999999994E-2</v>
      </c>
    </row>
    <row r="1086" spans="1:5">
      <c r="A1086" t="s">
        <v>1119</v>
      </c>
      <c r="B1086" t="s">
        <v>2916</v>
      </c>
      <c r="C1086" t="s">
        <v>1368</v>
      </c>
      <c r="D1086" t="s">
        <v>1309</v>
      </c>
      <c r="E1086" s="220">
        <v>6.8599999999999994E-2</v>
      </c>
    </row>
    <row r="1087" spans="1:5">
      <c r="A1087" t="s">
        <v>1176</v>
      </c>
      <c r="B1087" t="s">
        <v>2916</v>
      </c>
      <c r="C1087" t="s">
        <v>1368</v>
      </c>
      <c r="D1087" t="s">
        <v>1309</v>
      </c>
      <c r="E1087" s="220">
        <v>6.8599999999999994E-2</v>
      </c>
    </row>
    <row r="1088" spans="1:5">
      <c r="A1088" t="s">
        <v>1135</v>
      </c>
      <c r="B1088" t="s">
        <v>2916</v>
      </c>
      <c r="C1088" t="s">
        <v>1368</v>
      </c>
      <c r="D1088" t="s">
        <v>1309</v>
      </c>
      <c r="E1088" s="220">
        <v>6.8599999999999994E-2</v>
      </c>
    </row>
    <row r="1089" spans="1:5">
      <c r="A1089" t="s">
        <v>1139</v>
      </c>
      <c r="B1089" t="s">
        <v>2916</v>
      </c>
      <c r="C1089" t="s">
        <v>1368</v>
      </c>
      <c r="D1089" t="s">
        <v>1309</v>
      </c>
      <c r="E1089" s="220">
        <v>6.8599999999999994E-2</v>
      </c>
    </row>
    <row r="1090" spans="1:5">
      <c r="A1090" t="s">
        <v>1179</v>
      </c>
      <c r="B1090" t="s">
        <v>2916</v>
      </c>
      <c r="C1090" t="s">
        <v>1368</v>
      </c>
      <c r="D1090" t="s">
        <v>1309</v>
      </c>
      <c r="E1090" s="220">
        <v>6.8599999999999994E-2</v>
      </c>
    </row>
    <row r="1091" spans="1:5">
      <c r="A1091" t="s">
        <v>1185</v>
      </c>
      <c r="B1091" t="s">
        <v>2916</v>
      </c>
      <c r="C1091" t="s">
        <v>1368</v>
      </c>
      <c r="D1091" t="s">
        <v>1309</v>
      </c>
      <c r="E1091" s="220">
        <v>6.8599999999999994E-2</v>
      </c>
    </row>
    <row r="1092" spans="1:5">
      <c r="A1092" t="s">
        <v>1198</v>
      </c>
      <c r="B1092" t="s">
        <v>2916</v>
      </c>
      <c r="C1092" t="s">
        <v>1368</v>
      </c>
      <c r="D1092" t="s">
        <v>1309</v>
      </c>
      <c r="E1092" s="220">
        <v>6.8599999999999994E-2</v>
      </c>
    </row>
    <row r="1093" spans="1:5">
      <c r="A1093" t="s">
        <v>1192</v>
      </c>
      <c r="B1093" t="s">
        <v>2916</v>
      </c>
      <c r="C1093" t="s">
        <v>1368</v>
      </c>
      <c r="D1093" t="s">
        <v>1309</v>
      </c>
      <c r="E1093" s="220">
        <v>6.8599999999999994E-2</v>
      </c>
    </row>
    <row r="1094" spans="1:5">
      <c r="A1094" t="s">
        <v>1219</v>
      </c>
      <c r="B1094" t="s">
        <v>2916</v>
      </c>
      <c r="C1094" t="s">
        <v>1368</v>
      </c>
      <c r="D1094" t="s">
        <v>1309</v>
      </c>
      <c r="E1094" s="220">
        <v>6.8599999999999994E-2</v>
      </c>
    </row>
    <row r="1095" spans="1:5">
      <c r="A1095" t="s">
        <v>1210</v>
      </c>
      <c r="B1095" t="s">
        <v>2916</v>
      </c>
      <c r="C1095" t="s">
        <v>1368</v>
      </c>
      <c r="D1095" t="s">
        <v>1309</v>
      </c>
      <c r="E1095" s="220">
        <v>6.8599999999999994E-2</v>
      </c>
    </row>
    <row r="1096" spans="1:5">
      <c r="A1096" t="s">
        <v>1213</v>
      </c>
      <c r="B1096" t="s">
        <v>2916</v>
      </c>
      <c r="C1096" t="s">
        <v>1368</v>
      </c>
      <c r="D1096" t="s">
        <v>1309</v>
      </c>
      <c r="E1096" s="220">
        <v>6.8599999999999994E-2</v>
      </c>
    </row>
    <row r="1097" spans="1:5">
      <c r="A1097" t="s">
        <v>1216</v>
      </c>
      <c r="B1097" t="s">
        <v>2916</v>
      </c>
      <c r="C1097" t="s">
        <v>1368</v>
      </c>
      <c r="D1097" t="s">
        <v>1309</v>
      </c>
      <c r="E1097" s="220">
        <v>6.8599999999999994E-2</v>
      </c>
    </row>
    <row r="1098" spans="1:5">
      <c r="A1098" t="s">
        <v>1189</v>
      </c>
      <c r="B1098" t="s">
        <v>2916</v>
      </c>
      <c r="C1098" t="s">
        <v>1368</v>
      </c>
      <c r="D1098" t="s">
        <v>1309</v>
      </c>
      <c r="E1098" s="220">
        <v>6.8599999999999994E-2</v>
      </c>
    </row>
    <row r="1099" spans="1:5">
      <c r="A1099" t="s">
        <v>1232</v>
      </c>
      <c r="B1099" t="s">
        <v>2916</v>
      </c>
      <c r="C1099" t="s">
        <v>1368</v>
      </c>
      <c r="D1099" t="s">
        <v>1309</v>
      </c>
      <c r="E1099" s="220">
        <v>6.8599999999999994E-2</v>
      </c>
    </row>
    <row r="1100" spans="1:5">
      <c r="A1100" t="s">
        <v>1244</v>
      </c>
      <c r="B1100" t="s">
        <v>2916</v>
      </c>
      <c r="C1100" t="s">
        <v>1368</v>
      </c>
      <c r="D1100" t="s">
        <v>1309</v>
      </c>
      <c r="E1100" s="220">
        <v>6.8599999999999994E-2</v>
      </c>
    </row>
    <row r="1101" spans="1:5">
      <c r="A1101" t="s">
        <v>1241</v>
      </c>
      <c r="B1101" t="s">
        <v>2916</v>
      </c>
      <c r="C1101" t="s">
        <v>1368</v>
      </c>
      <c r="D1101" t="s">
        <v>1309</v>
      </c>
      <c r="E1101" s="220">
        <v>6.8599999999999994E-2</v>
      </c>
    </row>
    <row r="1102" spans="1:5">
      <c r="A1102" t="s">
        <v>1247</v>
      </c>
      <c r="B1102" t="s">
        <v>2916</v>
      </c>
      <c r="C1102" t="s">
        <v>1368</v>
      </c>
      <c r="D1102" t="s">
        <v>1309</v>
      </c>
      <c r="E1102" s="220">
        <v>6.8599999999999994E-2</v>
      </c>
    </row>
    <row r="1103" spans="1:5">
      <c r="A1103" t="s">
        <v>1170</v>
      </c>
      <c r="B1103" t="s">
        <v>2916</v>
      </c>
      <c r="C1103" t="s">
        <v>1368</v>
      </c>
      <c r="D1103" t="s">
        <v>1309</v>
      </c>
      <c r="E1103" s="220">
        <v>6.8599999999999994E-2</v>
      </c>
    </row>
    <row r="1104" spans="1:5">
      <c r="A1104" t="s">
        <v>1253</v>
      </c>
      <c r="B1104" t="s">
        <v>2916</v>
      </c>
      <c r="C1104" t="s">
        <v>1368</v>
      </c>
      <c r="D1104" t="s">
        <v>1309</v>
      </c>
      <c r="E1104" s="220">
        <v>6.8599999999999994E-2</v>
      </c>
    </row>
    <row r="1105" spans="1:5">
      <c r="A1105" t="s">
        <v>1257</v>
      </c>
      <c r="B1105" t="s">
        <v>2916</v>
      </c>
      <c r="C1105" t="s">
        <v>1368</v>
      </c>
      <c r="D1105" t="s">
        <v>1309</v>
      </c>
      <c r="E1105" s="220">
        <v>6.8599999999999994E-2</v>
      </c>
    </row>
    <row r="1106" spans="1:5">
      <c r="A1106" t="s">
        <v>1268</v>
      </c>
      <c r="B1106" t="s">
        <v>2916</v>
      </c>
      <c r="C1106" t="s">
        <v>1368</v>
      </c>
      <c r="D1106" t="s">
        <v>1309</v>
      </c>
      <c r="E1106" s="220">
        <v>6.8599999999999994E-2</v>
      </c>
    </row>
    <row r="1107" spans="1:5">
      <c r="A1107" t="s">
        <v>1148</v>
      </c>
      <c r="B1107" t="s">
        <v>2916</v>
      </c>
      <c r="C1107" t="s">
        <v>1368</v>
      </c>
      <c r="D1107" t="s">
        <v>1309</v>
      </c>
      <c r="E1107" s="220">
        <v>6.8599999999999994E-2</v>
      </c>
    </row>
    <row r="1108" spans="1:5">
      <c r="A1108" t="s">
        <v>580</v>
      </c>
      <c r="B1108" t="s">
        <v>2916</v>
      </c>
      <c r="C1108" t="s">
        <v>1333</v>
      </c>
      <c r="D1108" t="s">
        <v>1311</v>
      </c>
      <c r="E1108" s="220">
        <v>6.8599999999999994E-2</v>
      </c>
    </row>
    <row r="1109" spans="1:5">
      <c r="A1109" t="s">
        <v>614</v>
      </c>
      <c r="B1109" t="s">
        <v>2916</v>
      </c>
      <c r="C1109" t="s">
        <v>1333</v>
      </c>
      <c r="D1109" t="s">
        <v>1311</v>
      </c>
      <c r="E1109" s="220">
        <v>6.7941000000000001E-2</v>
      </c>
    </row>
    <row r="1110" spans="1:5">
      <c r="A1110" t="s">
        <v>626</v>
      </c>
      <c r="B1110" t="s">
        <v>2916</v>
      </c>
      <c r="C1110" t="s">
        <v>1333</v>
      </c>
      <c r="D1110" t="s">
        <v>1311</v>
      </c>
      <c r="E1110" s="220">
        <v>6.6679000000000002E-2</v>
      </c>
    </row>
    <row r="1111" spans="1:5">
      <c r="A1111" t="s">
        <v>629</v>
      </c>
      <c r="B1111" t="s">
        <v>2916</v>
      </c>
      <c r="C1111" t="s">
        <v>1333</v>
      </c>
      <c r="D1111" t="s">
        <v>1311</v>
      </c>
      <c r="E1111" s="220">
        <v>6.5115999999999993E-2</v>
      </c>
    </row>
    <row r="1112" spans="1:5">
      <c r="A1112" t="s">
        <v>632</v>
      </c>
      <c r="B1112" t="s">
        <v>2916</v>
      </c>
      <c r="C1112" t="s">
        <v>1333</v>
      </c>
      <c r="D1112" t="s">
        <v>1311</v>
      </c>
      <c r="E1112" s="220">
        <v>6.8599999999999994E-2</v>
      </c>
    </row>
    <row r="1113" spans="1:5">
      <c r="A1113" t="s">
        <v>650</v>
      </c>
      <c r="B1113" t="s">
        <v>2916</v>
      </c>
      <c r="C1113" t="s">
        <v>1333</v>
      </c>
      <c r="D1113" t="s">
        <v>1311</v>
      </c>
      <c r="E1113" s="220">
        <v>6.8599999999999994E-2</v>
      </c>
    </row>
    <row r="1114" spans="1:5">
      <c r="A1114" t="s">
        <v>641</v>
      </c>
      <c r="B1114" t="s">
        <v>2916</v>
      </c>
      <c r="C1114" t="s">
        <v>1333</v>
      </c>
      <c r="D1114" t="s">
        <v>1311</v>
      </c>
      <c r="E1114" s="220">
        <v>6.8566000000000002E-2</v>
      </c>
    </row>
    <row r="1115" spans="1:5">
      <c r="A1115" t="s">
        <v>635</v>
      </c>
      <c r="B1115" t="s">
        <v>2916</v>
      </c>
      <c r="C1115" t="s">
        <v>1333</v>
      </c>
      <c r="D1115" t="s">
        <v>1311</v>
      </c>
      <c r="E1115" s="220">
        <v>6.7941000000000001E-2</v>
      </c>
    </row>
    <row r="1116" spans="1:5">
      <c r="A1116" t="s">
        <v>647</v>
      </c>
      <c r="B1116" t="s">
        <v>2916</v>
      </c>
      <c r="C1116" t="s">
        <v>1333</v>
      </c>
      <c r="D1116" t="s">
        <v>1311</v>
      </c>
      <c r="E1116" s="220">
        <v>6.8599999999999994E-2</v>
      </c>
    </row>
    <row r="1117" spans="1:5">
      <c r="A1117" t="s">
        <v>653</v>
      </c>
      <c r="B1117" t="s">
        <v>2916</v>
      </c>
      <c r="C1117" t="s">
        <v>1333</v>
      </c>
      <c r="D1117" t="s">
        <v>1311</v>
      </c>
      <c r="E1117" s="220">
        <v>6.7470000000000002E-2</v>
      </c>
    </row>
    <row r="1118" spans="1:5">
      <c r="A1118" t="s">
        <v>659</v>
      </c>
      <c r="B1118" t="s">
        <v>2916</v>
      </c>
      <c r="C1118" t="s">
        <v>1333</v>
      </c>
      <c r="D1118" t="s">
        <v>1311</v>
      </c>
      <c r="E1118" s="220">
        <v>6.7941000000000001E-2</v>
      </c>
    </row>
    <row r="1119" spans="1:5">
      <c r="A1119" t="s">
        <v>667</v>
      </c>
      <c r="B1119" t="s">
        <v>2916</v>
      </c>
      <c r="C1119" t="s">
        <v>1333</v>
      </c>
      <c r="D1119" t="s">
        <v>1311</v>
      </c>
      <c r="E1119" s="220">
        <v>6.7763000000000004E-2</v>
      </c>
    </row>
    <row r="1120" spans="1:5">
      <c r="A1120" t="s">
        <v>676</v>
      </c>
      <c r="B1120" t="s">
        <v>2916</v>
      </c>
      <c r="C1120" t="s">
        <v>1333</v>
      </c>
      <c r="D1120" t="s">
        <v>1311</v>
      </c>
      <c r="E1120" s="220">
        <v>6.0999000000000005E-2</v>
      </c>
    </row>
    <row r="1121" spans="1:5">
      <c r="A1121" t="s">
        <v>644</v>
      </c>
      <c r="B1121" t="s">
        <v>2916</v>
      </c>
      <c r="C1121" t="s">
        <v>1333</v>
      </c>
      <c r="D1121" t="s">
        <v>1311</v>
      </c>
      <c r="E1121" s="220">
        <v>6.7941000000000001E-2</v>
      </c>
    </row>
    <row r="1122" spans="1:5">
      <c r="A1122" t="s">
        <v>684</v>
      </c>
      <c r="B1122" t="s">
        <v>2916</v>
      </c>
      <c r="C1122" t="s">
        <v>1333</v>
      </c>
      <c r="D1122" t="s">
        <v>1311</v>
      </c>
      <c r="E1122" s="220">
        <v>6.8566000000000002E-2</v>
      </c>
    </row>
    <row r="1123" spans="1:5">
      <c r="A1123" t="s">
        <v>664</v>
      </c>
      <c r="B1123" t="s">
        <v>2916</v>
      </c>
      <c r="C1123" t="s">
        <v>1333</v>
      </c>
      <c r="D1123" t="s">
        <v>1311</v>
      </c>
      <c r="E1123" s="220">
        <v>6.8599999999999994E-2</v>
      </c>
    </row>
    <row r="1124" spans="1:5">
      <c r="A1124" t="s">
        <v>705</v>
      </c>
      <c r="B1124" t="s">
        <v>2916</v>
      </c>
      <c r="C1124" t="s">
        <v>1333</v>
      </c>
      <c r="D1124" t="s">
        <v>1311</v>
      </c>
      <c r="E1124" s="220">
        <v>6.7983000000000002E-2</v>
      </c>
    </row>
    <row r="1125" spans="1:5">
      <c r="A1125" t="s">
        <v>1182</v>
      </c>
      <c r="B1125" t="s">
        <v>2916</v>
      </c>
      <c r="C1125" t="s">
        <v>1333</v>
      </c>
      <c r="D1125" t="s">
        <v>1311</v>
      </c>
      <c r="E1125" s="220">
        <v>6.8343999999999988E-2</v>
      </c>
    </row>
    <row r="1126" spans="1:5">
      <c r="A1126" t="s">
        <v>720</v>
      </c>
      <c r="B1126" t="s">
        <v>2916</v>
      </c>
      <c r="C1126" t="s">
        <v>1333</v>
      </c>
      <c r="D1126" t="s">
        <v>1311</v>
      </c>
      <c r="E1126" s="220">
        <v>6.7763000000000004E-2</v>
      </c>
    </row>
    <row r="1127" spans="1:5">
      <c r="A1127" t="s">
        <v>723</v>
      </c>
      <c r="B1127" t="s">
        <v>2916</v>
      </c>
      <c r="C1127" t="s">
        <v>1333</v>
      </c>
      <c r="D1127" t="s">
        <v>1311</v>
      </c>
      <c r="E1127" s="220">
        <v>6.7723000000000005E-2</v>
      </c>
    </row>
    <row r="1128" spans="1:5">
      <c r="A1128" t="s">
        <v>726</v>
      </c>
      <c r="B1128" t="s">
        <v>2916</v>
      </c>
      <c r="C1128" t="s">
        <v>1333</v>
      </c>
      <c r="D1128" t="s">
        <v>1311</v>
      </c>
      <c r="E1128" s="220">
        <v>6.7590999999999998E-2</v>
      </c>
    </row>
    <row r="1129" spans="1:5">
      <c r="A1129" t="s">
        <v>738</v>
      </c>
      <c r="B1129" t="s">
        <v>2916</v>
      </c>
      <c r="C1129" t="s">
        <v>1333</v>
      </c>
      <c r="D1129" t="s">
        <v>1311</v>
      </c>
      <c r="E1129" s="220">
        <v>6.7470000000000002E-2</v>
      </c>
    </row>
    <row r="1130" spans="1:5">
      <c r="A1130" t="s">
        <v>747</v>
      </c>
      <c r="B1130" t="s">
        <v>2916</v>
      </c>
      <c r="C1130" t="s">
        <v>1333</v>
      </c>
      <c r="D1130" t="s">
        <v>1311</v>
      </c>
      <c r="E1130" s="220">
        <v>6.7941000000000001E-2</v>
      </c>
    </row>
    <row r="1131" spans="1:5">
      <c r="A1131" t="s">
        <v>823</v>
      </c>
      <c r="B1131" t="s">
        <v>2916</v>
      </c>
      <c r="C1131" t="s">
        <v>1333</v>
      </c>
      <c r="D1131" t="s">
        <v>1311</v>
      </c>
      <c r="E1131" s="220">
        <v>6.5212999999999993E-2</v>
      </c>
    </row>
    <row r="1132" spans="1:5">
      <c r="A1132" t="s">
        <v>767</v>
      </c>
      <c r="B1132" t="s">
        <v>2916</v>
      </c>
      <c r="C1132" t="s">
        <v>1333</v>
      </c>
      <c r="D1132" t="s">
        <v>1311</v>
      </c>
      <c r="E1132" s="220">
        <v>6.7941000000000001E-2</v>
      </c>
    </row>
    <row r="1133" spans="1:5">
      <c r="A1133" t="s">
        <v>761</v>
      </c>
      <c r="B1133" t="s">
        <v>2916</v>
      </c>
      <c r="C1133" t="s">
        <v>1333</v>
      </c>
      <c r="D1133" t="s">
        <v>1311</v>
      </c>
      <c r="E1133" s="220">
        <v>6.5215000000000009E-2</v>
      </c>
    </row>
    <row r="1134" spans="1:5">
      <c r="A1134" t="s">
        <v>770</v>
      </c>
      <c r="B1134" t="s">
        <v>2916</v>
      </c>
      <c r="C1134" t="s">
        <v>1333</v>
      </c>
      <c r="D1134" t="s">
        <v>1311</v>
      </c>
      <c r="E1134" s="220">
        <v>6.7941000000000001E-2</v>
      </c>
    </row>
    <row r="1135" spans="1:5">
      <c r="A1135" t="s">
        <v>592</v>
      </c>
      <c r="B1135" t="s">
        <v>2916</v>
      </c>
      <c r="C1135" t="s">
        <v>1333</v>
      </c>
      <c r="D1135" t="s">
        <v>1311</v>
      </c>
      <c r="E1135" s="220">
        <v>6.8599999999999994E-2</v>
      </c>
    </row>
    <row r="1136" spans="1:5">
      <c r="A1136" t="s">
        <v>773</v>
      </c>
      <c r="B1136" t="s">
        <v>2916</v>
      </c>
      <c r="C1136" t="s">
        <v>1333</v>
      </c>
      <c r="D1136" t="s">
        <v>1311</v>
      </c>
      <c r="E1136" s="220">
        <v>6.7470000000000002E-2</v>
      </c>
    </row>
    <row r="1137" spans="1:5">
      <c r="A1137" t="s">
        <v>776</v>
      </c>
      <c r="B1137" t="s">
        <v>2916</v>
      </c>
      <c r="C1137" t="s">
        <v>1333</v>
      </c>
      <c r="D1137" t="s">
        <v>1311</v>
      </c>
      <c r="E1137" s="220">
        <v>6.7793000000000006E-2</v>
      </c>
    </row>
    <row r="1138" spans="1:5">
      <c r="A1138" t="s">
        <v>1154</v>
      </c>
      <c r="B1138" t="s">
        <v>2916</v>
      </c>
      <c r="C1138" t="s">
        <v>1333</v>
      </c>
      <c r="D1138" t="s">
        <v>1311</v>
      </c>
      <c r="E1138" s="220">
        <v>6.8379999999999996E-2</v>
      </c>
    </row>
    <row r="1139" spans="1:5">
      <c r="A1139" t="s">
        <v>805</v>
      </c>
      <c r="B1139" t="s">
        <v>2916</v>
      </c>
      <c r="C1139" t="s">
        <v>1333</v>
      </c>
      <c r="D1139" t="s">
        <v>1311</v>
      </c>
      <c r="E1139" s="220">
        <v>6.8599999999999994E-2</v>
      </c>
    </row>
    <row r="1140" spans="1:5">
      <c r="A1140" t="s">
        <v>808</v>
      </c>
      <c r="B1140" t="s">
        <v>2916</v>
      </c>
      <c r="C1140" t="s">
        <v>1333</v>
      </c>
      <c r="D1140" t="s">
        <v>1311</v>
      </c>
      <c r="E1140" s="220">
        <v>7.1096000000000006E-2</v>
      </c>
    </row>
    <row r="1141" spans="1:5">
      <c r="A1141" t="s">
        <v>1238</v>
      </c>
      <c r="B1141" t="s">
        <v>2916</v>
      </c>
      <c r="C1141" t="s">
        <v>1333</v>
      </c>
      <c r="D1141" t="s">
        <v>1311</v>
      </c>
      <c r="E1141" s="220">
        <v>6.8214999999999998E-2</v>
      </c>
    </row>
    <row r="1142" spans="1:5">
      <c r="A1142" t="s">
        <v>839</v>
      </c>
      <c r="B1142" t="s">
        <v>2916</v>
      </c>
      <c r="C1142" t="s">
        <v>1333</v>
      </c>
      <c r="D1142" t="s">
        <v>1311</v>
      </c>
      <c r="E1142" s="220">
        <v>6.7941000000000001E-2</v>
      </c>
    </row>
    <row r="1143" spans="1:5">
      <c r="A1143" t="s">
        <v>845</v>
      </c>
      <c r="B1143" t="s">
        <v>2916</v>
      </c>
      <c r="C1143" t="s">
        <v>1333</v>
      </c>
      <c r="D1143" t="s">
        <v>1311</v>
      </c>
      <c r="E1143" s="220">
        <v>6.7470000000000002E-2</v>
      </c>
    </row>
    <row r="1144" spans="1:5">
      <c r="A1144" t="s">
        <v>854</v>
      </c>
      <c r="B1144" t="s">
        <v>2916</v>
      </c>
      <c r="C1144" t="s">
        <v>1333</v>
      </c>
      <c r="D1144" t="s">
        <v>1311</v>
      </c>
      <c r="E1144" s="220">
        <v>6.7941000000000001E-2</v>
      </c>
    </row>
    <row r="1145" spans="1:5">
      <c r="A1145" t="s">
        <v>863</v>
      </c>
      <c r="B1145" t="s">
        <v>2916</v>
      </c>
      <c r="C1145" t="s">
        <v>1333</v>
      </c>
      <c r="D1145" t="s">
        <v>1311</v>
      </c>
      <c r="E1145" s="220">
        <v>6.8112999999999993E-2</v>
      </c>
    </row>
    <row r="1146" spans="1:5">
      <c r="A1146" t="s">
        <v>860</v>
      </c>
      <c r="B1146" t="s">
        <v>2916</v>
      </c>
      <c r="C1146" t="s">
        <v>1333</v>
      </c>
      <c r="D1146" t="s">
        <v>1311</v>
      </c>
      <c r="E1146" s="220">
        <v>6.7470000000000002E-2</v>
      </c>
    </row>
    <row r="1147" spans="1:5">
      <c r="A1147" t="s">
        <v>744</v>
      </c>
      <c r="B1147" t="s">
        <v>2916</v>
      </c>
      <c r="C1147" t="s">
        <v>1333</v>
      </c>
      <c r="D1147" t="s">
        <v>1311</v>
      </c>
      <c r="E1147" s="220">
        <v>6.8599999999999994E-2</v>
      </c>
    </row>
    <row r="1148" spans="1:5">
      <c r="A1148" t="s">
        <v>857</v>
      </c>
      <c r="B1148" t="s">
        <v>2916</v>
      </c>
      <c r="C1148" t="s">
        <v>1333</v>
      </c>
      <c r="D1148" t="s">
        <v>1311</v>
      </c>
      <c r="E1148" s="220">
        <v>6.7941000000000001E-2</v>
      </c>
    </row>
    <row r="1149" spans="1:5">
      <c r="A1149" t="s">
        <v>875</v>
      </c>
      <c r="B1149" t="s">
        <v>2916</v>
      </c>
      <c r="C1149" t="s">
        <v>1333</v>
      </c>
      <c r="D1149" t="s">
        <v>1311</v>
      </c>
      <c r="E1149" s="220">
        <v>6.8115999999999996E-2</v>
      </c>
    </row>
    <row r="1150" spans="1:5">
      <c r="A1150" t="s">
        <v>872</v>
      </c>
      <c r="B1150" t="s">
        <v>2916</v>
      </c>
      <c r="C1150" t="s">
        <v>1333</v>
      </c>
      <c r="D1150" t="s">
        <v>1311</v>
      </c>
      <c r="E1150" s="220">
        <v>6.8599999999999994E-2</v>
      </c>
    </row>
    <row r="1151" spans="1:5">
      <c r="A1151" t="s">
        <v>878</v>
      </c>
      <c r="B1151" t="s">
        <v>2916</v>
      </c>
      <c r="C1151" t="s">
        <v>1333</v>
      </c>
      <c r="D1151" t="s">
        <v>1311</v>
      </c>
      <c r="E1151" s="220">
        <v>6.8562999999999999E-2</v>
      </c>
    </row>
    <row r="1152" spans="1:5">
      <c r="A1152" t="s">
        <v>894</v>
      </c>
      <c r="B1152" t="s">
        <v>2916</v>
      </c>
      <c r="C1152" t="s">
        <v>1333</v>
      </c>
      <c r="D1152" t="s">
        <v>1311</v>
      </c>
      <c r="E1152" s="220">
        <v>6.7459000000000005E-2</v>
      </c>
    </row>
    <row r="1153" spans="1:5">
      <c r="A1153" t="s">
        <v>897</v>
      </c>
      <c r="B1153" t="s">
        <v>2916</v>
      </c>
      <c r="C1153" t="s">
        <v>1333</v>
      </c>
      <c r="D1153" t="s">
        <v>1311</v>
      </c>
      <c r="E1153" s="220">
        <v>6.7941000000000001E-2</v>
      </c>
    </row>
    <row r="1154" spans="1:5">
      <c r="A1154" t="s">
        <v>900</v>
      </c>
      <c r="B1154" t="s">
        <v>2916</v>
      </c>
      <c r="C1154" t="s">
        <v>1333</v>
      </c>
      <c r="D1154" t="s">
        <v>1311</v>
      </c>
      <c r="E1154" s="220">
        <v>6.8447000000000008E-2</v>
      </c>
    </row>
    <row r="1155" spans="1:5">
      <c r="A1155" t="s">
        <v>1160</v>
      </c>
      <c r="B1155" t="s">
        <v>2916</v>
      </c>
      <c r="C1155" t="s">
        <v>1333</v>
      </c>
      <c r="D1155" t="s">
        <v>1311</v>
      </c>
      <c r="E1155" s="220">
        <v>6.7941000000000001E-2</v>
      </c>
    </row>
    <row r="1156" spans="1:5">
      <c r="A1156" t="s">
        <v>915</v>
      </c>
      <c r="B1156" t="s">
        <v>2916</v>
      </c>
      <c r="C1156" t="s">
        <v>1333</v>
      </c>
      <c r="D1156" t="s">
        <v>1311</v>
      </c>
      <c r="E1156" s="220">
        <v>6.8308000000000008E-2</v>
      </c>
    </row>
    <row r="1157" spans="1:5">
      <c r="A1157" t="s">
        <v>933</v>
      </c>
      <c r="B1157" t="s">
        <v>2916</v>
      </c>
      <c r="C1157" t="s">
        <v>1333</v>
      </c>
      <c r="D1157" t="s">
        <v>1311</v>
      </c>
      <c r="E1157" s="220">
        <v>6.8599999999999994E-2</v>
      </c>
    </row>
    <row r="1158" spans="1:5">
      <c r="A1158" t="s">
        <v>1163</v>
      </c>
      <c r="B1158" t="s">
        <v>2916</v>
      </c>
      <c r="C1158" t="s">
        <v>1333</v>
      </c>
      <c r="D1158" t="s">
        <v>1311</v>
      </c>
      <c r="E1158" s="220">
        <v>6.7941000000000001E-2</v>
      </c>
    </row>
    <row r="1159" spans="1:5">
      <c r="A1159" t="s">
        <v>1157</v>
      </c>
      <c r="B1159" t="s">
        <v>2916</v>
      </c>
      <c r="C1159" t="s">
        <v>1333</v>
      </c>
      <c r="D1159" t="s">
        <v>1311</v>
      </c>
      <c r="E1159" s="220">
        <v>6.8599999999999994E-2</v>
      </c>
    </row>
    <row r="1160" spans="1:5">
      <c r="A1160" t="s">
        <v>954</v>
      </c>
      <c r="B1160" t="s">
        <v>2916</v>
      </c>
      <c r="C1160" t="s">
        <v>1333</v>
      </c>
      <c r="D1160" t="s">
        <v>1311</v>
      </c>
      <c r="E1160" s="220">
        <v>6.8599999999999994E-2</v>
      </c>
    </row>
    <row r="1161" spans="1:5">
      <c r="A1161" t="s">
        <v>936</v>
      </c>
      <c r="B1161" t="s">
        <v>2916</v>
      </c>
      <c r="C1161" t="s">
        <v>1333</v>
      </c>
      <c r="D1161" t="s">
        <v>1311</v>
      </c>
      <c r="E1161" s="220">
        <v>6.8599999999999994E-2</v>
      </c>
    </row>
    <row r="1162" spans="1:5">
      <c r="A1162" t="s">
        <v>1014</v>
      </c>
      <c r="B1162" t="s">
        <v>2916</v>
      </c>
      <c r="C1162" t="s">
        <v>1333</v>
      </c>
      <c r="D1162" t="s">
        <v>1311</v>
      </c>
      <c r="E1162" s="220">
        <v>6.8599999999999994E-2</v>
      </c>
    </row>
    <row r="1163" spans="1:5">
      <c r="A1163" t="s">
        <v>993</v>
      </c>
      <c r="B1163" t="s">
        <v>2916</v>
      </c>
      <c r="C1163" t="s">
        <v>1333</v>
      </c>
      <c r="D1163" t="s">
        <v>1311</v>
      </c>
      <c r="E1163" s="220">
        <v>6.8599999999999994E-2</v>
      </c>
    </row>
    <row r="1164" spans="1:5">
      <c r="A1164" t="s">
        <v>981</v>
      </c>
      <c r="B1164" t="s">
        <v>2916</v>
      </c>
      <c r="C1164" t="s">
        <v>1333</v>
      </c>
      <c r="D1164" t="s">
        <v>1311</v>
      </c>
      <c r="E1164" s="220">
        <v>6.8199999999999997E-2</v>
      </c>
    </row>
    <row r="1165" spans="1:5">
      <c r="A1165" t="s">
        <v>972</v>
      </c>
      <c r="B1165" t="s">
        <v>2916</v>
      </c>
      <c r="C1165" t="s">
        <v>1333</v>
      </c>
      <c r="D1165" t="s">
        <v>1311</v>
      </c>
      <c r="E1165" s="220">
        <v>6.8209000000000006E-2</v>
      </c>
    </row>
    <row r="1166" spans="1:5">
      <c r="A1166" t="s">
        <v>1042</v>
      </c>
      <c r="B1166" t="s">
        <v>2916</v>
      </c>
      <c r="C1166" t="s">
        <v>1333</v>
      </c>
      <c r="D1166" t="s">
        <v>1311</v>
      </c>
      <c r="E1166" s="220">
        <v>6.7470000000000002E-2</v>
      </c>
    </row>
    <row r="1167" spans="1:5">
      <c r="A1167" t="s">
        <v>1032</v>
      </c>
      <c r="B1167" t="s">
        <v>2916</v>
      </c>
      <c r="C1167" t="s">
        <v>1333</v>
      </c>
      <c r="D1167" t="s">
        <v>1311</v>
      </c>
      <c r="E1167" s="220">
        <v>6.6915000000000002E-2</v>
      </c>
    </row>
    <row r="1168" spans="1:5">
      <c r="A1168" t="s">
        <v>1055</v>
      </c>
      <c r="B1168" t="s">
        <v>2916</v>
      </c>
      <c r="C1168" t="s">
        <v>1333</v>
      </c>
      <c r="D1168" t="s">
        <v>1311</v>
      </c>
      <c r="E1168" s="220">
        <v>6.8599999999999994E-2</v>
      </c>
    </row>
    <row r="1169" spans="1:5">
      <c r="A1169" t="s">
        <v>1039</v>
      </c>
      <c r="B1169" t="s">
        <v>2916</v>
      </c>
      <c r="C1169" t="s">
        <v>1333</v>
      </c>
      <c r="D1169" t="s">
        <v>1311</v>
      </c>
      <c r="E1169" s="220">
        <v>6.7102000000000009E-2</v>
      </c>
    </row>
    <row r="1170" spans="1:5">
      <c r="A1170" t="s">
        <v>1061</v>
      </c>
      <c r="B1170" t="s">
        <v>2916</v>
      </c>
      <c r="C1170" t="s">
        <v>1333</v>
      </c>
      <c r="D1170" t="s">
        <v>1311</v>
      </c>
      <c r="E1170" s="220">
        <v>6.7227999999999996E-2</v>
      </c>
    </row>
    <row r="1171" spans="1:5">
      <c r="A1171" t="s">
        <v>1067</v>
      </c>
      <c r="B1171" t="s">
        <v>2916</v>
      </c>
      <c r="C1171" t="s">
        <v>1333</v>
      </c>
      <c r="D1171" t="s">
        <v>1311</v>
      </c>
      <c r="E1171" s="220">
        <v>6.7470000000000002E-2</v>
      </c>
    </row>
    <row r="1172" spans="1:5">
      <c r="A1172" t="s">
        <v>1076</v>
      </c>
      <c r="B1172" t="s">
        <v>2916</v>
      </c>
      <c r="C1172" t="s">
        <v>1333</v>
      </c>
      <c r="D1172" t="s">
        <v>1311</v>
      </c>
      <c r="E1172" s="220">
        <v>6.6088999999999995E-2</v>
      </c>
    </row>
    <row r="1173" spans="1:5">
      <c r="A1173" t="s">
        <v>1079</v>
      </c>
      <c r="B1173" t="s">
        <v>2916</v>
      </c>
      <c r="C1173" t="s">
        <v>1333</v>
      </c>
      <c r="D1173" t="s">
        <v>1311</v>
      </c>
      <c r="E1173" s="220">
        <v>6.7635000000000001E-2</v>
      </c>
    </row>
    <row r="1174" spans="1:5">
      <c r="A1174" t="s">
        <v>1082</v>
      </c>
      <c r="B1174" t="s">
        <v>2916</v>
      </c>
      <c r="C1174" t="s">
        <v>1333</v>
      </c>
      <c r="D1174" t="s">
        <v>1311</v>
      </c>
      <c r="E1174" s="220">
        <v>6.8599999999999994E-2</v>
      </c>
    </row>
    <row r="1175" spans="1:5">
      <c r="A1175" t="s">
        <v>1085</v>
      </c>
      <c r="B1175" t="s">
        <v>2916</v>
      </c>
      <c r="C1175" t="s">
        <v>1333</v>
      </c>
      <c r="D1175" t="s">
        <v>1311</v>
      </c>
      <c r="E1175" s="220">
        <v>6.8599999999999994E-2</v>
      </c>
    </row>
    <row r="1176" spans="1:5">
      <c r="A1176" t="s">
        <v>1073</v>
      </c>
      <c r="B1176" t="s">
        <v>2916</v>
      </c>
      <c r="C1176" t="s">
        <v>1333</v>
      </c>
      <c r="D1176" t="s">
        <v>1311</v>
      </c>
      <c r="E1176" s="220">
        <v>6.7763000000000004E-2</v>
      </c>
    </row>
    <row r="1177" spans="1:5">
      <c r="A1177" t="s">
        <v>1094</v>
      </c>
      <c r="B1177" t="s">
        <v>2916</v>
      </c>
      <c r="C1177" t="s">
        <v>1333</v>
      </c>
      <c r="D1177" t="s">
        <v>1311</v>
      </c>
      <c r="E1177" s="220">
        <v>6.8599999999999994E-2</v>
      </c>
    </row>
    <row r="1178" spans="1:5">
      <c r="A1178" t="s">
        <v>1173</v>
      </c>
      <c r="B1178" t="s">
        <v>2916</v>
      </c>
      <c r="C1178" t="s">
        <v>1333</v>
      </c>
      <c r="D1178" t="s">
        <v>1311</v>
      </c>
      <c r="E1178" s="220">
        <v>6.8599999999999994E-2</v>
      </c>
    </row>
    <row r="1179" spans="1:5">
      <c r="A1179" t="s">
        <v>779</v>
      </c>
      <c r="B1179" t="s">
        <v>2916</v>
      </c>
      <c r="C1179" t="s">
        <v>1333</v>
      </c>
      <c r="D1179" t="s">
        <v>1311</v>
      </c>
      <c r="E1179" s="220">
        <v>6.7470000000000002E-2</v>
      </c>
    </row>
    <row r="1180" spans="1:5">
      <c r="A1180" t="s">
        <v>1119</v>
      </c>
      <c r="B1180" t="s">
        <v>2916</v>
      </c>
      <c r="C1180" t="s">
        <v>1333</v>
      </c>
      <c r="D1180" t="s">
        <v>1311</v>
      </c>
      <c r="E1180" s="220">
        <v>6.8599999999999994E-2</v>
      </c>
    </row>
    <row r="1181" spans="1:5">
      <c r="A1181" t="s">
        <v>1176</v>
      </c>
      <c r="B1181" t="s">
        <v>2916</v>
      </c>
      <c r="C1181" t="s">
        <v>1333</v>
      </c>
      <c r="D1181" t="s">
        <v>1311</v>
      </c>
      <c r="E1181" s="220">
        <v>6.7941000000000001E-2</v>
      </c>
    </row>
    <row r="1182" spans="1:5">
      <c r="A1182" t="s">
        <v>1139</v>
      </c>
      <c r="B1182" t="s">
        <v>2916</v>
      </c>
      <c r="C1182" t="s">
        <v>1333</v>
      </c>
      <c r="D1182" t="s">
        <v>1311</v>
      </c>
      <c r="E1182" s="220">
        <v>6.6903999999999991E-2</v>
      </c>
    </row>
    <row r="1183" spans="1:5">
      <c r="A1183" t="s">
        <v>1179</v>
      </c>
      <c r="B1183" t="s">
        <v>2916</v>
      </c>
      <c r="C1183" t="s">
        <v>1333</v>
      </c>
      <c r="D1183" t="s">
        <v>1311</v>
      </c>
      <c r="E1183" s="220">
        <v>6.4431000000000002E-2</v>
      </c>
    </row>
    <row r="1184" spans="1:5">
      <c r="A1184" t="s">
        <v>1198</v>
      </c>
      <c r="B1184" t="s">
        <v>2916</v>
      </c>
      <c r="C1184" t="s">
        <v>1333</v>
      </c>
      <c r="D1184" t="s">
        <v>1311</v>
      </c>
      <c r="E1184" s="220">
        <v>6.8290999999999991E-2</v>
      </c>
    </row>
    <row r="1185" spans="1:5">
      <c r="A1185" t="s">
        <v>1192</v>
      </c>
      <c r="B1185" t="s">
        <v>2916</v>
      </c>
      <c r="C1185" t="s">
        <v>1333</v>
      </c>
      <c r="D1185" t="s">
        <v>1311</v>
      </c>
      <c r="E1185" s="220">
        <v>6.8559999999999996E-2</v>
      </c>
    </row>
    <row r="1186" spans="1:5">
      <c r="A1186" t="s">
        <v>1219</v>
      </c>
      <c r="B1186" t="s">
        <v>2916</v>
      </c>
      <c r="C1186" t="s">
        <v>1333</v>
      </c>
      <c r="D1186" t="s">
        <v>1311</v>
      </c>
      <c r="E1186" s="220">
        <v>6.8559999999999996E-2</v>
      </c>
    </row>
    <row r="1187" spans="1:5">
      <c r="A1187" t="s">
        <v>1210</v>
      </c>
      <c r="B1187" t="s">
        <v>2916</v>
      </c>
      <c r="C1187" t="s">
        <v>1333</v>
      </c>
      <c r="D1187" t="s">
        <v>1311</v>
      </c>
      <c r="E1187" s="220">
        <v>6.7941000000000001E-2</v>
      </c>
    </row>
    <row r="1188" spans="1:5">
      <c r="A1188" t="s">
        <v>1213</v>
      </c>
      <c r="B1188" t="s">
        <v>2916</v>
      </c>
      <c r="C1188" t="s">
        <v>1333</v>
      </c>
      <c r="D1188" t="s">
        <v>1311</v>
      </c>
      <c r="E1188" s="220">
        <v>6.8599999999999994E-2</v>
      </c>
    </row>
    <row r="1189" spans="1:5">
      <c r="A1189" t="s">
        <v>1189</v>
      </c>
      <c r="B1189" t="s">
        <v>2916</v>
      </c>
      <c r="C1189" t="s">
        <v>1333</v>
      </c>
      <c r="D1189" t="s">
        <v>1311</v>
      </c>
      <c r="E1189" s="220">
        <v>6.8573999999999996E-2</v>
      </c>
    </row>
    <row r="1190" spans="1:5">
      <c r="A1190" t="s">
        <v>1232</v>
      </c>
      <c r="B1190" t="s">
        <v>2916</v>
      </c>
      <c r="C1190" t="s">
        <v>1333</v>
      </c>
      <c r="D1190" t="s">
        <v>1311</v>
      </c>
      <c r="E1190" s="220">
        <v>6.8429000000000004E-2</v>
      </c>
    </row>
    <row r="1191" spans="1:5">
      <c r="A1191" t="s">
        <v>1244</v>
      </c>
      <c r="B1191" t="s">
        <v>2916</v>
      </c>
      <c r="C1191" t="s">
        <v>1333</v>
      </c>
      <c r="D1191" t="s">
        <v>1311</v>
      </c>
      <c r="E1191" s="220">
        <v>6.6590999999999997E-2</v>
      </c>
    </row>
    <row r="1192" spans="1:5">
      <c r="A1192" t="s">
        <v>1241</v>
      </c>
      <c r="B1192" t="s">
        <v>2916</v>
      </c>
      <c r="C1192" t="s">
        <v>1333</v>
      </c>
      <c r="D1192" t="s">
        <v>1311</v>
      </c>
      <c r="E1192" s="220">
        <v>6.6438999999999998E-2</v>
      </c>
    </row>
    <row r="1193" spans="1:5">
      <c r="A1193" t="s">
        <v>1247</v>
      </c>
      <c r="B1193" t="s">
        <v>2916</v>
      </c>
      <c r="C1193" t="s">
        <v>1333</v>
      </c>
      <c r="D1193" t="s">
        <v>1311</v>
      </c>
      <c r="E1193" s="220">
        <v>6.8559999999999996E-2</v>
      </c>
    </row>
    <row r="1194" spans="1:5">
      <c r="A1194" t="s">
        <v>1170</v>
      </c>
      <c r="B1194" t="s">
        <v>2916</v>
      </c>
      <c r="C1194" t="s">
        <v>1333</v>
      </c>
      <c r="D1194" t="s">
        <v>1311</v>
      </c>
      <c r="E1194" s="220">
        <v>6.7941000000000001E-2</v>
      </c>
    </row>
    <row r="1195" spans="1:5">
      <c r="A1195" t="s">
        <v>1253</v>
      </c>
      <c r="B1195" t="s">
        <v>2916</v>
      </c>
      <c r="C1195" t="s">
        <v>1333</v>
      </c>
      <c r="D1195" t="s">
        <v>1311</v>
      </c>
      <c r="E1195" s="220">
        <v>6.7763000000000004E-2</v>
      </c>
    </row>
    <row r="1196" spans="1:5">
      <c r="A1196" t="s">
        <v>1257</v>
      </c>
      <c r="B1196" t="s">
        <v>2916</v>
      </c>
      <c r="C1196" t="s">
        <v>1333</v>
      </c>
      <c r="D1196" t="s">
        <v>1311</v>
      </c>
      <c r="E1196" s="220">
        <v>6.8554000000000004E-2</v>
      </c>
    </row>
    <row r="1197" spans="1:5">
      <c r="A1197" t="s">
        <v>1148</v>
      </c>
      <c r="B1197" t="s">
        <v>2916</v>
      </c>
      <c r="C1197" t="s">
        <v>1333</v>
      </c>
      <c r="D1197" t="s">
        <v>1311</v>
      </c>
      <c r="E1197" s="220">
        <v>6.7553000000000002E-2</v>
      </c>
    </row>
    <row r="1198" spans="1:5">
      <c r="A1198" t="s">
        <v>580</v>
      </c>
      <c r="B1198" t="s">
        <v>2916</v>
      </c>
      <c r="C1198" t="s">
        <v>1365</v>
      </c>
      <c r="D1198" t="s">
        <v>1311</v>
      </c>
      <c r="E1198" s="220">
        <v>6.6757000000000011E-2</v>
      </c>
    </row>
    <row r="1199" spans="1:5">
      <c r="A1199" t="s">
        <v>1235</v>
      </c>
      <c r="B1199" t="s">
        <v>2916</v>
      </c>
      <c r="C1199" t="s">
        <v>1365</v>
      </c>
      <c r="D1199" t="s">
        <v>1311</v>
      </c>
      <c r="E1199" s="220">
        <v>6.8599999999999994E-2</v>
      </c>
    </row>
    <row r="1200" spans="1:5">
      <c r="A1200" t="s">
        <v>617</v>
      </c>
      <c r="B1200" t="s">
        <v>2916</v>
      </c>
      <c r="C1200" t="s">
        <v>1365</v>
      </c>
      <c r="D1200" t="s">
        <v>1311</v>
      </c>
      <c r="E1200" s="220">
        <v>6.6435000000000008E-2</v>
      </c>
    </row>
    <row r="1201" spans="1:5">
      <c r="A1201" t="s">
        <v>614</v>
      </c>
      <c r="B1201" t="s">
        <v>2916</v>
      </c>
      <c r="C1201" t="s">
        <v>1365</v>
      </c>
      <c r="D1201" t="s">
        <v>1311</v>
      </c>
      <c r="E1201" s="220">
        <v>6.8451999999999999E-2</v>
      </c>
    </row>
    <row r="1202" spans="1:5">
      <c r="A1202" t="s">
        <v>626</v>
      </c>
      <c r="B1202" t="s">
        <v>2916</v>
      </c>
      <c r="C1202" t="s">
        <v>1365</v>
      </c>
      <c r="D1202" t="s">
        <v>1311</v>
      </c>
      <c r="E1202" s="220">
        <v>6.8599999999999994E-2</v>
      </c>
    </row>
    <row r="1203" spans="1:5">
      <c r="A1203" t="s">
        <v>629</v>
      </c>
      <c r="B1203" t="s">
        <v>2916</v>
      </c>
      <c r="C1203" t="s">
        <v>1365</v>
      </c>
      <c r="D1203" t="s">
        <v>1311</v>
      </c>
      <c r="E1203" s="220">
        <v>6.8599999999999994E-2</v>
      </c>
    </row>
    <row r="1204" spans="1:5">
      <c r="A1204" t="s">
        <v>650</v>
      </c>
      <c r="B1204" t="s">
        <v>2916</v>
      </c>
      <c r="C1204" t="s">
        <v>1365</v>
      </c>
      <c r="D1204" t="s">
        <v>1311</v>
      </c>
      <c r="E1204" s="220">
        <v>6.8599999999999994E-2</v>
      </c>
    </row>
    <row r="1205" spans="1:5">
      <c r="A1205" t="s">
        <v>641</v>
      </c>
      <c r="B1205" t="s">
        <v>2916</v>
      </c>
      <c r="C1205" t="s">
        <v>1365</v>
      </c>
      <c r="D1205" t="s">
        <v>1311</v>
      </c>
      <c r="E1205" s="220">
        <v>6.6433999999999993E-2</v>
      </c>
    </row>
    <row r="1206" spans="1:5">
      <c r="A1206" t="s">
        <v>638</v>
      </c>
      <c r="B1206" t="s">
        <v>2916</v>
      </c>
      <c r="C1206" t="s">
        <v>1365</v>
      </c>
      <c r="D1206" t="s">
        <v>1311</v>
      </c>
      <c r="E1206" s="220">
        <v>6.8599999999999994E-2</v>
      </c>
    </row>
    <row r="1207" spans="1:5">
      <c r="A1207" t="s">
        <v>635</v>
      </c>
      <c r="B1207" t="s">
        <v>2916</v>
      </c>
      <c r="C1207" t="s">
        <v>1365</v>
      </c>
      <c r="D1207" t="s">
        <v>1311</v>
      </c>
      <c r="E1207" s="220">
        <v>6.8451999999999999E-2</v>
      </c>
    </row>
    <row r="1208" spans="1:5">
      <c r="A1208" t="s">
        <v>647</v>
      </c>
      <c r="B1208" t="s">
        <v>2916</v>
      </c>
      <c r="C1208" t="s">
        <v>1365</v>
      </c>
      <c r="D1208" t="s">
        <v>1311</v>
      </c>
      <c r="E1208" s="220">
        <v>6.8599999999999994E-2</v>
      </c>
    </row>
    <row r="1209" spans="1:5">
      <c r="A1209" t="s">
        <v>653</v>
      </c>
      <c r="B1209" t="s">
        <v>2916</v>
      </c>
      <c r="C1209" t="s">
        <v>1365</v>
      </c>
      <c r="D1209" t="s">
        <v>1311</v>
      </c>
      <c r="E1209" s="220">
        <v>6.762E-2</v>
      </c>
    </row>
    <row r="1210" spans="1:5">
      <c r="A1210" t="s">
        <v>659</v>
      </c>
      <c r="B1210" t="s">
        <v>2916</v>
      </c>
      <c r="C1210" t="s">
        <v>1365</v>
      </c>
      <c r="D1210" t="s">
        <v>1311</v>
      </c>
      <c r="E1210" s="220">
        <v>6.8451999999999999E-2</v>
      </c>
    </row>
    <row r="1211" spans="1:5">
      <c r="A1211" t="s">
        <v>667</v>
      </c>
      <c r="B1211" t="s">
        <v>2916</v>
      </c>
      <c r="C1211" t="s">
        <v>1365</v>
      </c>
      <c r="D1211" t="s">
        <v>1311</v>
      </c>
      <c r="E1211" s="220">
        <v>6.8599999999999994E-2</v>
      </c>
    </row>
    <row r="1212" spans="1:5">
      <c r="A1212" t="s">
        <v>676</v>
      </c>
      <c r="B1212" t="s">
        <v>2916</v>
      </c>
      <c r="C1212" t="s">
        <v>1365</v>
      </c>
      <c r="D1212" t="s">
        <v>1311</v>
      </c>
      <c r="E1212" s="220">
        <v>6.6435000000000008E-2</v>
      </c>
    </row>
    <row r="1213" spans="1:5">
      <c r="A1213" t="s">
        <v>644</v>
      </c>
      <c r="B1213" t="s">
        <v>2916</v>
      </c>
      <c r="C1213" t="s">
        <v>1365</v>
      </c>
      <c r="D1213" t="s">
        <v>1311</v>
      </c>
      <c r="E1213" s="220">
        <v>6.8451999999999999E-2</v>
      </c>
    </row>
    <row r="1214" spans="1:5">
      <c r="A1214" t="s">
        <v>664</v>
      </c>
      <c r="B1214" t="s">
        <v>2916</v>
      </c>
      <c r="C1214" t="s">
        <v>1365</v>
      </c>
      <c r="D1214" t="s">
        <v>1311</v>
      </c>
      <c r="E1214" s="220">
        <v>6.8566999999999989E-2</v>
      </c>
    </row>
    <row r="1215" spans="1:5">
      <c r="A1215" t="s">
        <v>705</v>
      </c>
      <c r="B1215" t="s">
        <v>2916</v>
      </c>
      <c r="C1215" t="s">
        <v>1365</v>
      </c>
      <c r="D1215" t="s">
        <v>1311</v>
      </c>
      <c r="E1215" s="220">
        <v>6.8599999999999994E-2</v>
      </c>
    </row>
    <row r="1216" spans="1:5">
      <c r="A1216" t="s">
        <v>720</v>
      </c>
      <c r="B1216" t="s">
        <v>2916</v>
      </c>
      <c r="C1216" t="s">
        <v>1365</v>
      </c>
      <c r="D1216" t="s">
        <v>1311</v>
      </c>
      <c r="E1216" s="220">
        <v>6.8599999999999994E-2</v>
      </c>
    </row>
    <row r="1217" spans="1:5">
      <c r="A1217" t="s">
        <v>723</v>
      </c>
      <c r="B1217" t="s">
        <v>2916</v>
      </c>
      <c r="C1217" t="s">
        <v>1365</v>
      </c>
      <c r="D1217" t="s">
        <v>1311</v>
      </c>
      <c r="E1217" s="220">
        <v>6.6448999999999994E-2</v>
      </c>
    </row>
    <row r="1218" spans="1:5">
      <c r="A1218" t="s">
        <v>726</v>
      </c>
      <c r="B1218" t="s">
        <v>2916</v>
      </c>
      <c r="C1218" t="s">
        <v>1365</v>
      </c>
      <c r="D1218" t="s">
        <v>1311</v>
      </c>
      <c r="E1218" s="220">
        <v>6.7531999999999995E-2</v>
      </c>
    </row>
    <row r="1219" spans="1:5">
      <c r="A1219" t="s">
        <v>738</v>
      </c>
      <c r="B1219" t="s">
        <v>2916</v>
      </c>
      <c r="C1219" t="s">
        <v>1365</v>
      </c>
      <c r="D1219" t="s">
        <v>1311</v>
      </c>
      <c r="E1219" s="220">
        <v>6.762E-2</v>
      </c>
    </row>
    <row r="1220" spans="1:5">
      <c r="A1220" t="s">
        <v>747</v>
      </c>
      <c r="B1220" t="s">
        <v>2916</v>
      </c>
      <c r="C1220" t="s">
        <v>1365</v>
      </c>
      <c r="D1220" t="s">
        <v>1311</v>
      </c>
      <c r="E1220" s="220">
        <v>6.8451999999999999E-2</v>
      </c>
    </row>
    <row r="1221" spans="1:5">
      <c r="A1221" t="s">
        <v>754</v>
      </c>
      <c r="B1221" t="s">
        <v>2916</v>
      </c>
      <c r="C1221" t="s">
        <v>1365</v>
      </c>
      <c r="D1221" t="s">
        <v>1311</v>
      </c>
      <c r="E1221" s="220">
        <v>6.8599999999999994E-2</v>
      </c>
    </row>
    <row r="1222" spans="1:5">
      <c r="A1222" t="s">
        <v>757</v>
      </c>
      <c r="B1222" t="s">
        <v>2916</v>
      </c>
      <c r="C1222" t="s">
        <v>1365</v>
      </c>
      <c r="D1222" t="s">
        <v>1311</v>
      </c>
      <c r="E1222" s="220">
        <v>6.8599999999999994E-2</v>
      </c>
    </row>
    <row r="1223" spans="1:5">
      <c r="A1223" t="s">
        <v>823</v>
      </c>
      <c r="B1223" t="s">
        <v>2916</v>
      </c>
      <c r="C1223" t="s">
        <v>1365</v>
      </c>
      <c r="D1223" t="s">
        <v>1311</v>
      </c>
      <c r="E1223" s="220">
        <v>6.8599999999999994E-2</v>
      </c>
    </row>
    <row r="1224" spans="1:5">
      <c r="A1224" t="s">
        <v>767</v>
      </c>
      <c r="B1224" t="s">
        <v>2916</v>
      </c>
      <c r="C1224" t="s">
        <v>1365</v>
      </c>
      <c r="D1224" t="s">
        <v>1311</v>
      </c>
      <c r="E1224" s="220">
        <v>6.8451999999999999E-2</v>
      </c>
    </row>
    <row r="1225" spans="1:5">
      <c r="A1225" t="s">
        <v>770</v>
      </c>
      <c r="B1225" t="s">
        <v>2916</v>
      </c>
      <c r="C1225" t="s">
        <v>1365</v>
      </c>
      <c r="D1225" t="s">
        <v>1311</v>
      </c>
      <c r="E1225" s="220">
        <v>6.8451999999999999E-2</v>
      </c>
    </row>
    <row r="1226" spans="1:5">
      <c r="A1226" t="s">
        <v>592</v>
      </c>
      <c r="B1226" t="s">
        <v>2916</v>
      </c>
      <c r="C1226" t="s">
        <v>1365</v>
      </c>
      <c r="D1226" t="s">
        <v>1311</v>
      </c>
      <c r="E1226" s="220">
        <v>6.8346999999999991E-2</v>
      </c>
    </row>
    <row r="1227" spans="1:5">
      <c r="A1227" t="s">
        <v>773</v>
      </c>
      <c r="B1227" t="s">
        <v>2916</v>
      </c>
      <c r="C1227" t="s">
        <v>1365</v>
      </c>
      <c r="D1227" t="s">
        <v>1311</v>
      </c>
      <c r="E1227" s="220">
        <v>6.762E-2</v>
      </c>
    </row>
    <row r="1228" spans="1:5">
      <c r="A1228" t="s">
        <v>1154</v>
      </c>
      <c r="B1228" t="s">
        <v>2916</v>
      </c>
      <c r="C1228" t="s">
        <v>1365</v>
      </c>
      <c r="D1228" t="s">
        <v>1311</v>
      </c>
      <c r="E1228" s="220">
        <v>6.8599999999999994E-2</v>
      </c>
    </row>
    <row r="1229" spans="1:5">
      <c r="A1229" t="s">
        <v>805</v>
      </c>
      <c r="B1229" t="s">
        <v>2916</v>
      </c>
      <c r="C1229" t="s">
        <v>1365</v>
      </c>
      <c r="D1229" t="s">
        <v>1311</v>
      </c>
      <c r="E1229" s="220">
        <v>6.8599999999999994E-2</v>
      </c>
    </row>
    <row r="1230" spans="1:5">
      <c r="A1230" t="s">
        <v>808</v>
      </c>
      <c r="B1230" t="s">
        <v>2916</v>
      </c>
      <c r="C1230" t="s">
        <v>1365</v>
      </c>
      <c r="D1230" t="s">
        <v>1311</v>
      </c>
      <c r="E1230" s="220">
        <v>7.2999999999999995E-2</v>
      </c>
    </row>
    <row r="1231" spans="1:5">
      <c r="A1231" t="s">
        <v>833</v>
      </c>
      <c r="B1231" t="s">
        <v>2916</v>
      </c>
      <c r="C1231" t="s">
        <v>1365</v>
      </c>
      <c r="D1231" t="s">
        <v>1311</v>
      </c>
      <c r="E1231" s="220">
        <v>6.8599999999999994E-2</v>
      </c>
    </row>
    <row r="1232" spans="1:5">
      <c r="A1232" t="s">
        <v>839</v>
      </c>
      <c r="B1232" t="s">
        <v>2916</v>
      </c>
      <c r="C1232" t="s">
        <v>1365</v>
      </c>
      <c r="D1232" t="s">
        <v>1311</v>
      </c>
      <c r="E1232" s="220">
        <v>6.8451999999999999E-2</v>
      </c>
    </row>
    <row r="1233" spans="1:5">
      <c r="A1233" t="s">
        <v>845</v>
      </c>
      <c r="B1233" t="s">
        <v>2916</v>
      </c>
      <c r="C1233" t="s">
        <v>1365</v>
      </c>
      <c r="D1233" t="s">
        <v>1311</v>
      </c>
      <c r="E1233" s="220">
        <v>6.762E-2</v>
      </c>
    </row>
    <row r="1234" spans="1:5">
      <c r="A1234" t="s">
        <v>854</v>
      </c>
      <c r="B1234" t="s">
        <v>2916</v>
      </c>
      <c r="C1234" t="s">
        <v>1365</v>
      </c>
      <c r="D1234" t="s">
        <v>1311</v>
      </c>
      <c r="E1234" s="220">
        <v>6.8451999999999999E-2</v>
      </c>
    </row>
    <row r="1235" spans="1:5">
      <c r="A1235" t="s">
        <v>863</v>
      </c>
      <c r="B1235" t="s">
        <v>2916</v>
      </c>
      <c r="C1235" t="s">
        <v>1365</v>
      </c>
      <c r="D1235" t="s">
        <v>1311</v>
      </c>
      <c r="E1235" s="220">
        <v>6.8599999999999994E-2</v>
      </c>
    </row>
    <row r="1236" spans="1:5">
      <c r="A1236" t="s">
        <v>860</v>
      </c>
      <c r="B1236" t="s">
        <v>2916</v>
      </c>
      <c r="C1236" t="s">
        <v>1365</v>
      </c>
      <c r="D1236" t="s">
        <v>1311</v>
      </c>
      <c r="E1236" s="220">
        <v>6.762E-2</v>
      </c>
    </row>
    <row r="1237" spans="1:5">
      <c r="A1237" t="s">
        <v>857</v>
      </c>
      <c r="B1237" t="s">
        <v>2916</v>
      </c>
      <c r="C1237" t="s">
        <v>1365</v>
      </c>
      <c r="D1237" t="s">
        <v>1311</v>
      </c>
      <c r="E1237" s="220">
        <v>6.8451999999999999E-2</v>
      </c>
    </row>
    <row r="1238" spans="1:5">
      <c r="A1238" t="s">
        <v>875</v>
      </c>
      <c r="B1238" t="s">
        <v>2916</v>
      </c>
      <c r="C1238" t="s">
        <v>1365</v>
      </c>
      <c r="D1238" t="s">
        <v>1311</v>
      </c>
      <c r="E1238" s="220">
        <v>6.7516999999999994E-2</v>
      </c>
    </row>
    <row r="1239" spans="1:5">
      <c r="A1239" t="s">
        <v>872</v>
      </c>
      <c r="B1239" t="s">
        <v>2916</v>
      </c>
      <c r="C1239" t="s">
        <v>1365</v>
      </c>
      <c r="D1239" t="s">
        <v>1311</v>
      </c>
      <c r="E1239" s="220">
        <v>6.7636000000000002E-2</v>
      </c>
    </row>
    <row r="1240" spans="1:5">
      <c r="A1240" t="s">
        <v>878</v>
      </c>
      <c r="B1240" t="s">
        <v>2916</v>
      </c>
      <c r="C1240" t="s">
        <v>1365</v>
      </c>
      <c r="D1240" t="s">
        <v>1311</v>
      </c>
      <c r="E1240" s="220">
        <v>6.8599999999999994E-2</v>
      </c>
    </row>
    <row r="1241" spans="1:5">
      <c r="A1241" t="s">
        <v>881</v>
      </c>
      <c r="B1241" t="s">
        <v>2916</v>
      </c>
      <c r="C1241" t="s">
        <v>1365</v>
      </c>
      <c r="D1241" t="s">
        <v>1311</v>
      </c>
      <c r="E1241" s="220">
        <v>6.8599999999999994E-2</v>
      </c>
    </row>
    <row r="1242" spans="1:5">
      <c r="A1242" t="s">
        <v>894</v>
      </c>
      <c r="B1242" t="s">
        <v>2916</v>
      </c>
      <c r="C1242" t="s">
        <v>1365</v>
      </c>
      <c r="D1242" t="s">
        <v>1311</v>
      </c>
      <c r="E1242" s="220">
        <v>6.8599999999999994E-2</v>
      </c>
    </row>
    <row r="1243" spans="1:5">
      <c r="A1243" t="s">
        <v>897</v>
      </c>
      <c r="B1243" t="s">
        <v>2916</v>
      </c>
      <c r="C1243" t="s">
        <v>1365</v>
      </c>
      <c r="D1243" t="s">
        <v>1311</v>
      </c>
      <c r="E1243" s="220">
        <v>6.8451999999999999E-2</v>
      </c>
    </row>
    <row r="1244" spans="1:5">
      <c r="A1244" t="s">
        <v>903</v>
      </c>
      <c r="B1244" t="s">
        <v>2916</v>
      </c>
      <c r="C1244" t="s">
        <v>1365</v>
      </c>
      <c r="D1244" t="s">
        <v>1311</v>
      </c>
      <c r="E1244" s="220">
        <v>6.8599999999999994E-2</v>
      </c>
    </row>
    <row r="1245" spans="1:5">
      <c r="A1245" t="s">
        <v>900</v>
      </c>
      <c r="B1245" t="s">
        <v>2916</v>
      </c>
      <c r="C1245" t="s">
        <v>1365</v>
      </c>
      <c r="D1245" t="s">
        <v>1311</v>
      </c>
      <c r="E1245" s="220">
        <v>6.8599999999999994E-2</v>
      </c>
    </row>
    <row r="1246" spans="1:5">
      <c r="A1246" t="s">
        <v>1160</v>
      </c>
      <c r="B1246" t="s">
        <v>2916</v>
      </c>
      <c r="C1246" t="s">
        <v>1365</v>
      </c>
      <c r="D1246" t="s">
        <v>1311</v>
      </c>
      <c r="E1246" s="220">
        <v>6.8451999999999999E-2</v>
      </c>
    </row>
    <row r="1247" spans="1:5">
      <c r="A1247" t="s">
        <v>915</v>
      </c>
      <c r="B1247" t="s">
        <v>2916</v>
      </c>
      <c r="C1247" t="s">
        <v>1365</v>
      </c>
      <c r="D1247" t="s">
        <v>1311</v>
      </c>
      <c r="E1247" s="220">
        <v>6.8599999999999994E-2</v>
      </c>
    </row>
    <row r="1248" spans="1:5">
      <c r="A1248" t="s">
        <v>927</v>
      </c>
      <c r="B1248" t="s">
        <v>2916</v>
      </c>
      <c r="C1248" t="s">
        <v>1365</v>
      </c>
      <c r="D1248" t="s">
        <v>1311</v>
      </c>
      <c r="E1248" s="220">
        <v>6.8599999999999994E-2</v>
      </c>
    </row>
    <row r="1249" spans="1:5">
      <c r="A1249" t="s">
        <v>933</v>
      </c>
      <c r="B1249" t="s">
        <v>2916</v>
      </c>
      <c r="C1249" t="s">
        <v>1365</v>
      </c>
      <c r="D1249" t="s">
        <v>1311</v>
      </c>
      <c r="E1249" s="220">
        <v>6.8078E-2</v>
      </c>
    </row>
    <row r="1250" spans="1:5">
      <c r="A1250" t="s">
        <v>939</v>
      </c>
      <c r="B1250" t="s">
        <v>2916</v>
      </c>
      <c r="C1250" t="s">
        <v>1365</v>
      </c>
      <c r="D1250" t="s">
        <v>1311</v>
      </c>
      <c r="E1250" s="220">
        <v>6.8599999999999994E-2</v>
      </c>
    </row>
    <row r="1251" spans="1:5">
      <c r="A1251" t="s">
        <v>1163</v>
      </c>
      <c r="B1251" t="s">
        <v>2916</v>
      </c>
      <c r="C1251" t="s">
        <v>1365</v>
      </c>
      <c r="D1251" t="s">
        <v>1311</v>
      </c>
      <c r="E1251" s="220">
        <v>6.8451999999999999E-2</v>
      </c>
    </row>
    <row r="1252" spans="1:5">
      <c r="A1252" t="s">
        <v>954</v>
      </c>
      <c r="B1252" t="s">
        <v>2916</v>
      </c>
      <c r="C1252" t="s">
        <v>1365</v>
      </c>
      <c r="D1252" t="s">
        <v>1311</v>
      </c>
      <c r="E1252" s="220">
        <v>6.8599999999999994E-2</v>
      </c>
    </row>
    <row r="1253" spans="1:5">
      <c r="A1253" t="s">
        <v>936</v>
      </c>
      <c r="B1253" t="s">
        <v>2916</v>
      </c>
      <c r="C1253" t="s">
        <v>1365</v>
      </c>
      <c r="D1253" t="s">
        <v>1311</v>
      </c>
      <c r="E1253" s="220">
        <v>6.8599999999999994E-2</v>
      </c>
    </row>
    <row r="1254" spans="1:5">
      <c r="A1254" t="s">
        <v>1014</v>
      </c>
      <c r="B1254" t="s">
        <v>2916</v>
      </c>
      <c r="C1254" t="s">
        <v>1365</v>
      </c>
      <c r="D1254" t="s">
        <v>1311</v>
      </c>
      <c r="E1254" s="220">
        <v>6.8346999999999991E-2</v>
      </c>
    </row>
    <row r="1255" spans="1:5">
      <c r="A1255" t="s">
        <v>993</v>
      </c>
      <c r="B1255" t="s">
        <v>2916</v>
      </c>
      <c r="C1255" t="s">
        <v>1365</v>
      </c>
      <c r="D1255" t="s">
        <v>1311</v>
      </c>
      <c r="E1255" s="220">
        <v>6.8599999999999994E-2</v>
      </c>
    </row>
    <row r="1256" spans="1:5">
      <c r="A1256" t="s">
        <v>1042</v>
      </c>
      <c r="B1256" t="s">
        <v>2916</v>
      </c>
      <c r="C1256" t="s">
        <v>1365</v>
      </c>
      <c r="D1256" t="s">
        <v>1311</v>
      </c>
      <c r="E1256" s="220">
        <v>6.762E-2</v>
      </c>
    </row>
    <row r="1257" spans="1:5">
      <c r="A1257" t="s">
        <v>1032</v>
      </c>
      <c r="B1257" t="s">
        <v>2916</v>
      </c>
      <c r="C1257" t="s">
        <v>1365</v>
      </c>
      <c r="D1257" t="s">
        <v>1311</v>
      </c>
      <c r="E1257" s="220">
        <v>6.8599999999999994E-2</v>
      </c>
    </row>
    <row r="1258" spans="1:5">
      <c r="A1258" t="s">
        <v>1055</v>
      </c>
      <c r="B1258" t="s">
        <v>2916</v>
      </c>
      <c r="C1258" t="s">
        <v>1365</v>
      </c>
      <c r="D1258" t="s">
        <v>1311</v>
      </c>
      <c r="E1258" s="220">
        <v>6.8599999999999994E-2</v>
      </c>
    </row>
    <row r="1259" spans="1:5">
      <c r="A1259" t="s">
        <v>1029</v>
      </c>
      <c r="B1259" t="s">
        <v>2916</v>
      </c>
      <c r="C1259" t="s">
        <v>1365</v>
      </c>
      <c r="D1259" t="s">
        <v>1311</v>
      </c>
      <c r="E1259" s="220">
        <v>6.7561999999999997E-2</v>
      </c>
    </row>
    <row r="1260" spans="1:5">
      <c r="A1260" t="s">
        <v>1039</v>
      </c>
      <c r="B1260" t="s">
        <v>2916</v>
      </c>
      <c r="C1260" t="s">
        <v>1365</v>
      </c>
      <c r="D1260" t="s">
        <v>1311</v>
      </c>
      <c r="E1260" s="220">
        <v>6.8599999999999994E-2</v>
      </c>
    </row>
    <row r="1261" spans="1:5">
      <c r="A1261" t="s">
        <v>1058</v>
      </c>
      <c r="B1261" t="s">
        <v>2916</v>
      </c>
      <c r="C1261" t="s">
        <v>1365</v>
      </c>
      <c r="D1261" t="s">
        <v>1311</v>
      </c>
      <c r="E1261" s="220">
        <v>6.8599999999999994E-2</v>
      </c>
    </row>
    <row r="1262" spans="1:5">
      <c r="A1262" t="s">
        <v>1061</v>
      </c>
      <c r="B1262" t="s">
        <v>2916</v>
      </c>
      <c r="C1262" t="s">
        <v>1365</v>
      </c>
      <c r="D1262" t="s">
        <v>1311</v>
      </c>
      <c r="E1262" s="220">
        <v>6.7748000000000003E-2</v>
      </c>
    </row>
    <row r="1263" spans="1:5">
      <c r="A1263" t="s">
        <v>1067</v>
      </c>
      <c r="B1263" t="s">
        <v>2916</v>
      </c>
      <c r="C1263" t="s">
        <v>1365</v>
      </c>
      <c r="D1263" t="s">
        <v>1311</v>
      </c>
      <c r="E1263" s="220">
        <v>6.762E-2</v>
      </c>
    </row>
    <row r="1264" spans="1:5">
      <c r="A1264" t="s">
        <v>1076</v>
      </c>
      <c r="B1264" t="s">
        <v>2916</v>
      </c>
      <c r="C1264" t="s">
        <v>1365</v>
      </c>
      <c r="D1264" t="s">
        <v>1311</v>
      </c>
      <c r="E1264" s="220">
        <v>6.8599999999999994E-2</v>
      </c>
    </row>
    <row r="1265" spans="1:5">
      <c r="A1265" t="s">
        <v>1079</v>
      </c>
      <c r="B1265" t="s">
        <v>2916</v>
      </c>
      <c r="C1265" t="s">
        <v>1365</v>
      </c>
      <c r="D1265" t="s">
        <v>1311</v>
      </c>
      <c r="E1265" s="220">
        <v>6.6435000000000008E-2</v>
      </c>
    </row>
    <row r="1266" spans="1:5">
      <c r="A1266" t="s">
        <v>1082</v>
      </c>
      <c r="B1266" t="s">
        <v>2916</v>
      </c>
      <c r="C1266" t="s">
        <v>1365</v>
      </c>
      <c r="D1266" t="s">
        <v>1311</v>
      </c>
      <c r="E1266" s="220">
        <v>6.8599999999999994E-2</v>
      </c>
    </row>
    <row r="1267" spans="1:5">
      <c r="A1267" t="s">
        <v>919</v>
      </c>
      <c r="B1267" t="s">
        <v>2916</v>
      </c>
      <c r="C1267" t="s">
        <v>1365</v>
      </c>
      <c r="D1267" t="s">
        <v>1311</v>
      </c>
      <c r="E1267" s="220">
        <v>6.8599999999999994E-2</v>
      </c>
    </row>
    <row r="1268" spans="1:5">
      <c r="A1268" t="s">
        <v>1085</v>
      </c>
      <c r="B1268" t="s">
        <v>2916</v>
      </c>
      <c r="C1268" t="s">
        <v>1365</v>
      </c>
      <c r="D1268" t="s">
        <v>1311</v>
      </c>
      <c r="E1268" s="220">
        <v>6.8599999999999994E-2</v>
      </c>
    </row>
    <row r="1269" spans="1:5">
      <c r="A1269" t="s">
        <v>1073</v>
      </c>
      <c r="B1269" t="s">
        <v>2916</v>
      </c>
      <c r="C1269" t="s">
        <v>1365</v>
      </c>
      <c r="D1269" t="s">
        <v>1311</v>
      </c>
      <c r="E1269" s="220">
        <v>6.8599999999999994E-2</v>
      </c>
    </row>
    <row r="1270" spans="1:5">
      <c r="A1270" t="s">
        <v>1264</v>
      </c>
      <c r="B1270" t="s">
        <v>2916</v>
      </c>
      <c r="C1270" t="s">
        <v>1365</v>
      </c>
      <c r="D1270" t="s">
        <v>1311</v>
      </c>
      <c r="E1270" s="220">
        <v>6.8599999999999994E-2</v>
      </c>
    </row>
    <row r="1271" spans="1:5">
      <c r="A1271" t="s">
        <v>1091</v>
      </c>
      <c r="B1271" t="s">
        <v>2916</v>
      </c>
      <c r="C1271" t="s">
        <v>1365</v>
      </c>
      <c r="D1271" t="s">
        <v>1311</v>
      </c>
      <c r="E1271" s="220">
        <v>6.8599999999999994E-2</v>
      </c>
    </row>
    <row r="1272" spans="1:5">
      <c r="A1272" t="s">
        <v>1094</v>
      </c>
      <c r="B1272" t="s">
        <v>2916</v>
      </c>
      <c r="C1272" t="s">
        <v>1365</v>
      </c>
      <c r="D1272" t="s">
        <v>1311</v>
      </c>
      <c r="E1272" s="220">
        <v>6.8599999999999994E-2</v>
      </c>
    </row>
    <row r="1273" spans="1:5">
      <c r="A1273" t="s">
        <v>1113</v>
      </c>
      <c r="B1273" t="s">
        <v>2916</v>
      </c>
      <c r="C1273" t="s">
        <v>1365</v>
      </c>
      <c r="D1273" t="s">
        <v>1311</v>
      </c>
      <c r="E1273" s="220">
        <v>6.8599999999999994E-2</v>
      </c>
    </row>
    <row r="1274" spans="1:5">
      <c r="A1274" t="s">
        <v>1173</v>
      </c>
      <c r="B1274" t="s">
        <v>2916</v>
      </c>
      <c r="C1274" t="s">
        <v>1365</v>
      </c>
      <c r="D1274" t="s">
        <v>1311</v>
      </c>
      <c r="E1274" s="220">
        <v>6.8346999999999991E-2</v>
      </c>
    </row>
    <row r="1275" spans="1:5">
      <c r="A1275" t="s">
        <v>779</v>
      </c>
      <c r="B1275" t="s">
        <v>2916</v>
      </c>
      <c r="C1275" t="s">
        <v>1365</v>
      </c>
      <c r="D1275" t="s">
        <v>1311</v>
      </c>
      <c r="E1275" s="220">
        <v>6.762E-2</v>
      </c>
    </row>
    <row r="1276" spans="1:5">
      <c r="A1276" t="s">
        <v>1176</v>
      </c>
      <c r="B1276" t="s">
        <v>2916</v>
      </c>
      <c r="C1276" t="s">
        <v>1365</v>
      </c>
      <c r="D1276" t="s">
        <v>1311</v>
      </c>
      <c r="E1276" s="220">
        <v>6.8451999999999999E-2</v>
      </c>
    </row>
    <row r="1277" spans="1:5">
      <c r="A1277" t="s">
        <v>1185</v>
      </c>
      <c r="B1277" t="s">
        <v>2916</v>
      </c>
      <c r="C1277" t="s">
        <v>1365</v>
      </c>
      <c r="D1277" t="s">
        <v>1311</v>
      </c>
      <c r="E1277" s="220">
        <v>6.8599999999999994E-2</v>
      </c>
    </row>
    <row r="1278" spans="1:5">
      <c r="A1278" t="s">
        <v>1192</v>
      </c>
      <c r="B1278" t="s">
        <v>2916</v>
      </c>
      <c r="C1278" t="s">
        <v>1365</v>
      </c>
      <c r="D1278" t="s">
        <v>1311</v>
      </c>
      <c r="E1278" s="220">
        <v>6.8599999999999994E-2</v>
      </c>
    </row>
    <row r="1279" spans="1:5">
      <c r="A1279" t="s">
        <v>1219</v>
      </c>
      <c r="B1279" t="s">
        <v>2916</v>
      </c>
      <c r="C1279" t="s">
        <v>1365</v>
      </c>
      <c r="D1279" t="s">
        <v>1311</v>
      </c>
      <c r="E1279" s="220">
        <v>6.8599999999999994E-2</v>
      </c>
    </row>
    <row r="1280" spans="1:5">
      <c r="A1280" t="s">
        <v>1210</v>
      </c>
      <c r="B1280" t="s">
        <v>2916</v>
      </c>
      <c r="C1280" t="s">
        <v>1365</v>
      </c>
      <c r="D1280" t="s">
        <v>1311</v>
      </c>
      <c r="E1280" s="220">
        <v>6.8451999999999999E-2</v>
      </c>
    </row>
    <row r="1281" spans="1:5">
      <c r="A1281" t="s">
        <v>1213</v>
      </c>
      <c r="B1281" t="s">
        <v>2916</v>
      </c>
      <c r="C1281" t="s">
        <v>1365</v>
      </c>
      <c r="D1281" t="s">
        <v>1311</v>
      </c>
      <c r="E1281" s="220">
        <v>6.8346999999999991E-2</v>
      </c>
    </row>
    <row r="1282" spans="1:5">
      <c r="A1282" t="s">
        <v>1189</v>
      </c>
      <c r="B1282" t="s">
        <v>2916</v>
      </c>
      <c r="C1282" t="s">
        <v>1365</v>
      </c>
      <c r="D1282" t="s">
        <v>1311</v>
      </c>
      <c r="E1282" s="220">
        <v>6.8599999999999994E-2</v>
      </c>
    </row>
    <row r="1283" spans="1:5">
      <c r="A1283" t="s">
        <v>1232</v>
      </c>
      <c r="B1283" t="s">
        <v>2916</v>
      </c>
      <c r="C1283" t="s">
        <v>1365</v>
      </c>
      <c r="D1283" t="s">
        <v>1311</v>
      </c>
      <c r="E1283" s="220">
        <v>6.8599999999999994E-2</v>
      </c>
    </row>
    <row r="1284" spans="1:5">
      <c r="A1284" t="s">
        <v>1244</v>
      </c>
      <c r="B1284" t="s">
        <v>2916</v>
      </c>
      <c r="C1284" t="s">
        <v>1365</v>
      </c>
      <c r="D1284" t="s">
        <v>1311</v>
      </c>
      <c r="E1284" s="220">
        <v>6.8599999999999994E-2</v>
      </c>
    </row>
    <row r="1285" spans="1:5">
      <c r="A1285" t="s">
        <v>1241</v>
      </c>
      <c r="B1285" t="s">
        <v>2916</v>
      </c>
      <c r="C1285" t="s">
        <v>1365</v>
      </c>
      <c r="D1285" t="s">
        <v>1311</v>
      </c>
      <c r="E1285" s="220">
        <v>6.8599999999999994E-2</v>
      </c>
    </row>
    <row r="1286" spans="1:5">
      <c r="A1286" t="s">
        <v>1247</v>
      </c>
      <c r="B1286" t="s">
        <v>2916</v>
      </c>
      <c r="C1286" t="s">
        <v>1365</v>
      </c>
      <c r="D1286" t="s">
        <v>1311</v>
      </c>
      <c r="E1286" s="220">
        <v>6.8599999999999994E-2</v>
      </c>
    </row>
    <row r="1287" spans="1:5">
      <c r="A1287" t="s">
        <v>1170</v>
      </c>
      <c r="B1287" t="s">
        <v>2916</v>
      </c>
      <c r="C1287" t="s">
        <v>1365</v>
      </c>
      <c r="D1287" t="s">
        <v>1311</v>
      </c>
      <c r="E1287" s="220">
        <v>6.8451999999999999E-2</v>
      </c>
    </row>
    <row r="1288" spans="1:5">
      <c r="A1288" t="s">
        <v>1257</v>
      </c>
      <c r="B1288" t="s">
        <v>2916</v>
      </c>
      <c r="C1288" t="s">
        <v>1365</v>
      </c>
      <c r="D1288" t="s">
        <v>1311</v>
      </c>
      <c r="E1288" s="220">
        <v>6.7274E-2</v>
      </c>
    </row>
    <row r="1289" spans="1:5">
      <c r="A1289" t="s">
        <v>1268</v>
      </c>
      <c r="B1289" t="s">
        <v>2916</v>
      </c>
      <c r="C1289" t="s">
        <v>1365</v>
      </c>
      <c r="D1289" t="s">
        <v>1311</v>
      </c>
      <c r="E1289" s="220">
        <v>6.8599999999999994E-2</v>
      </c>
    </row>
    <row r="1290" spans="1:5">
      <c r="A1290" t="s">
        <v>1148</v>
      </c>
      <c r="B1290" t="s">
        <v>2916</v>
      </c>
      <c r="C1290" t="s">
        <v>1365</v>
      </c>
      <c r="D1290" t="s">
        <v>1311</v>
      </c>
      <c r="E1290" s="220">
        <v>6.8168999999999993E-2</v>
      </c>
    </row>
    <row r="1291" spans="1:5">
      <c r="A1291" t="s">
        <v>580</v>
      </c>
      <c r="B1291" t="s">
        <v>2916</v>
      </c>
      <c r="C1291" t="s">
        <v>1333</v>
      </c>
      <c r="D1291" t="s">
        <v>1313</v>
      </c>
      <c r="E1291" s="220">
        <v>6.8599999999999994E-2</v>
      </c>
    </row>
    <row r="1292" spans="1:5">
      <c r="A1292" t="s">
        <v>587</v>
      </c>
      <c r="B1292" t="s">
        <v>2916</v>
      </c>
      <c r="C1292" t="s">
        <v>1333</v>
      </c>
      <c r="D1292" t="s">
        <v>1313</v>
      </c>
      <c r="E1292" s="220">
        <v>6.8599999999999994E-2</v>
      </c>
    </row>
    <row r="1293" spans="1:5">
      <c r="A1293" t="s">
        <v>1235</v>
      </c>
      <c r="B1293" t="s">
        <v>2916</v>
      </c>
      <c r="C1293" t="s">
        <v>1333</v>
      </c>
      <c r="D1293" t="s">
        <v>1313</v>
      </c>
      <c r="E1293" s="220">
        <v>6.8599999999999994E-2</v>
      </c>
    </row>
    <row r="1294" spans="1:5">
      <c r="A1294" t="s">
        <v>617</v>
      </c>
      <c r="B1294" t="s">
        <v>2916</v>
      </c>
      <c r="C1294" t="s">
        <v>1333</v>
      </c>
      <c r="D1294" t="s">
        <v>1313</v>
      </c>
      <c r="E1294" s="220">
        <v>6.8599999999999994E-2</v>
      </c>
    </row>
    <row r="1295" spans="1:5">
      <c r="A1295" t="s">
        <v>614</v>
      </c>
      <c r="B1295" t="s">
        <v>2916</v>
      </c>
      <c r="C1295" t="s">
        <v>1333</v>
      </c>
      <c r="D1295" t="s">
        <v>1313</v>
      </c>
      <c r="E1295" s="220">
        <v>6.8599999999999994E-2</v>
      </c>
    </row>
    <row r="1296" spans="1:5">
      <c r="A1296" t="s">
        <v>626</v>
      </c>
      <c r="B1296" t="s">
        <v>2916</v>
      </c>
      <c r="C1296" t="s">
        <v>1333</v>
      </c>
      <c r="D1296" t="s">
        <v>1313</v>
      </c>
      <c r="E1296" s="220">
        <v>6.8599999999999994E-2</v>
      </c>
    </row>
    <row r="1297" spans="1:5">
      <c r="A1297" t="s">
        <v>629</v>
      </c>
      <c r="B1297" t="s">
        <v>2916</v>
      </c>
      <c r="C1297" t="s">
        <v>1333</v>
      </c>
      <c r="D1297" t="s">
        <v>1313</v>
      </c>
      <c r="E1297" s="220">
        <v>6.8599999999999994E-2</v>
      </c>
    </row>
    <row r="1298" spans="1:5">
      <c r="A1298" t="s">
        <v>632</v>
      </c>
      <c r="B1298" t="s">
        <v>2916</v>
      </c>
      <c r="C1298" t="s">
        <v>1333</v>
      </c>
      <c r="D1298" t="s">
        <v>1313</v>
      </c>
      <c r="E1298" s="220">
        <v>6.8599999999999994E-2</v>
      </c>
    </row>
    <row r="1299" spans="1:5">
      <c r="A1299" t="s">
        <v>650</v>
      </c>
      <c r="B1299" t="s">
        <v>2916</v>
      </c>
      <c r="C1299" t="s">
        <v>1333</v>
      </c>
      <c r="D1299" t="s">
        <v>1313</v>
      </c>
      <c r="E1299" s="220">
        <v>6.8599999999999994E-2</v>
      </c>
    </row>
    <row r="1300" spans="1:5">
      <c r="A1300" t="s">
        <v>687</v>
      </c>
      <c r="B1300" t="s">
        <v>2916</v>
      </c>
      <c r="C1300" t="s">
        <v>1333</v>
      </c>
      <c r="D1300" t="s">
        <v>1313</v>
      </c>
      <c r="E1300" s="220">
        <v>6.8599999999999994E-2</v>
      </c>
    </row>
    <row r="1301" spans="1:5">
      <c r="A1301" t="s">
        <v>638</v>
      </c>
      <c r="B1301" t="s">
        <v>2916</v>
      </c>
      <c r="C1301" t="s">
        <v>1333</v>
      </c>
      <c r="D1301" t="s">
        <v>1313</v>
      </c>
      <c r="E1301" s="220">
        <v>6.8599999999999994E-2</v>
      </c>
    </row>
    <row r="1302" spans="1:5">
      <c r="A1302" t="s">
        <v>635</v>
      </c>
      <c r="B1302" t="s">
        <v>2916</v>
      </c>
      <c r="C1302" t="s">
        <v>1333</v>
      </c>
      <c r="D1302" t="s">
        <v>1313</v>
      </c>
      <c r="E1302" s="220">
        <v>6.8599999999999994E-2</v>
      </c>
    </row>
    <row r="1303" spans="1:5">
      <c r="A1303" t="s">
        <v>670</v>
      </c>
      <c r="B1303" t="s">
        <v>2916</v>
      </c>
      <c r="C1303" t="s">
        <v>1333</v>
      </c>
      <c r="D1303" t="s">
        <v>1313</v>
      </c>
      <c r="E1303" s="220">
        <v>6.8599999999999994E-2</v>
      </c>
    </row>
    <row r="1304" spans="1:5">
      <c r="A1304" t="s">
        <v>647</v>
      </c>
      <c r="B1304" t="s">
        <v>2916</v>
      </c>
      <c r="C1304" t="s">
        <v>1333</v>
      </c>
      <c r="D1304" t="s">
        <v>1313</v>
      </c>
      <c r="E1304" s="220">
        <v>6.8599999999999994E-2</v>
      </c>
    </row>
    <row r="1305" spans="1:5">
      <c r="A1305" t="s">
        <v>653</v>
      </c>
      <c r="B1305" t="s">
        <v>2916</v>
      </c>
      <c r="C1305" t="s">
        <v>1333</v>
      </c>
      <c r="D1305" t="s">
        <v>1313</v>
      </c>
      <c r="E1305" s="220">
        <v>6.8599999999999994E-2</v>
      </c>
    </row>
    <row r="1306" spans="1:5">
      <c r="A1306" t="s">
        <v>659</v>
      </c>
      <c r="B1306" t="s">
        <v>2916</v>
      </c>
      <c r="C1306" t="s">
        <v>1333</v>
      </c>
      <c r="D1306" t="s">
        <v>1313</v>
      </c>
      <c r="E1306" s="220">
        <v>6.8599999999999994E-2</v>
      </c>
    </row>
    <row r="1307" spans="1:5">
      <c r="A1307" t="s">
        <v>667</v>
      </c>
      <c r="B1307" t="s">
        <v>2916</v>
      </c>
      <c r="C1307" t="s">
        <v>1333</v>
      </c>
      <c r="D1307" t="s">
        <v>1313</v>
      </c>
      <c r="E1307" s="220">
        <v>6.8599999999999994E-2</v>
      </c>
    </row>
    <row r="1308" spans="1:5">
      <c r="A1308" t="s">
        <v>676</v>
      </c>
      <c r="B1308" t="s">
        <v>2916</v>
      </c>
      <c r="C1308" t="s">
        <v>1333</v>
      </c>
      <c r="D1308" t="s">
        <v>1313</v>
      </c>
      <c r="E1308" s="220">
        <v>6.8599999999999994E-2</v>
      </c>
    </row>
    <row r="1309" spans="1:5">
      <c r="A1309" t="s">
        <v>644</v>
      </c>
      <c r="B1309" t="s">
        <v>2916</v>
      </c>
      <c r="C1309" t="s">
        <v>1333</v>
      </c>
      <c r="D1309" t="s">
        <v>1313</v>
      </c>
      <c r="E1309" s="220">
        <v>6.8599999999999994E-2</v>
      </c>
    </row>
    <row r="1310" spans="1:5">
      <c r="A1310" t="s">
        <v>684</v>
      </c>
      <c r="B1310" t="s">
        <v>2916</v>
      </c>
      <c r="C1310" t="s">
        <v>1333</v>
      </c>
      <c r="D1310" t="s">
        <v>1313</v>
      </c>
      <c r="E1310" s="220">
        <v>6.8599999999999994E-2</v>
      </c>
    </row>
    <row r="1311" spans="1:5">
      <c r="A1311" t="s">
        <v>664</v>
      </c>
      <c r="B1311" t="s">
        <v>2916</v>
      </c>
      <c r="C1311" t="s">
        <v>1333</v>
      </c>
      <c r="D1311" t="s">
        <v>1313</v>
      </c>
      <c r="E1311" s="220">
        <v>6.8599999999999994E-2</v>
      </c>
    </row>
    <row r="1312" spans="1:5">
      <c r="A1312" t="s">
        <v>705</v>
      </c>
      <c r="B1312" t="s">
        <v>2916</v>
      </c>
      <c r="C1312" t="s">
        <v>1333</v>
      </c>
      <c r="D1312" t="s">
        <v>1313</v>
      </c>
      <c r="E1312" s="220">
        <v>6.8599999999999994E-2</v>
      </c>
    </row>
    <row r="1313" spans="1:5">
      <c r="A1313" t="s">
        <v>1182</v>
      </c>
      <c r="B1313" t="s">
        <v>2916</v>
      </c>
      <c r="C1313" t="s">
        <v>1333</v>
      </c>
      <c r="D1313" t="s">
        <v>1313</v>
      </c>
      <c r="E1313" s="220">
        <v>6.8599999999999994E-2</v>
      </c>
    </row>
    <row r="1314" spans="1:5">
      <c r="A1314" t="s">
        <v>720</v>
      </c>
      <c r="B1314" t="s">
        <v>2916</v>
      </c>
      <c r="C1314" t="s">
        <v>1333</v>
      </c>
      <c r="D1314" t="s">
        <v>1313</v>
      </c>
      <c r="E1314" s="220">
        <v>6.8599999999999994E-2</v>
      </c>
    </row>
    <row r="1315" spans="1:5">
      <c r="A1315" t="s">
        <v>723</v>
      </c>
      <c r="B1315" t="s">
        <v>2916</v>
      </c>
      <c r="C1315" t="s">
        <v>1333</v>
      </c>
      <c r="D1315" t="s">
        <v>1313</v>
      </c>
      <c r="E1315" s="220">
        <v>6.8599999999999994E-2</v>
      </c>
    </row>
    <row r="1316" spans="1:5">
      <c r="A1316" t="s">
        <v>726</v>
      </c>
      <c r="B1316" t="s">
        <v>2916</v>
      </c>
      <c r="C1316" t="s">
        <v>1333</v>
      </c>
      <c r="D1316" t="s">
        <v>1313</v>
      </c>
      <c r="E1316" s="220">
        <v>6.8599999999999994E-2</v>
      </c>
    </row>
    <row r="1317" spans="1:5">
      <c r="A1317" t="s">
        <v>738</v>
      </c>
      <c r="B1317" t="s">
        <v>2916</v>
      </c>
      <c r="C1317" t="s">
        <v>1333</v>
      </c>
      <c r="D1317" t="s">
        <v>1313</v>
      </c>
      <c r="E1317" s="220">
        <v>6.8599999999999994E-2</v>
      </c>
    </row>
    <row r="1318" spans="1:5">
      <c r="A1318" t="s">
        <v>747</v>
      </c>
      <c r="B1318" t="s">
        <v>2916</v>
      </c>
      <c r="C1318" t="s">
        <v>1333</v>
      </c>
      <c r="D1318" t="s">
        <v>1313</v>
      </c>
      <c r="E1318" s="220">
        <v>6.8599999999999994E-2</v>
      </c>
    </row>
    <row r="1319" spans="1:5">
      <c r="A1319" t="s">
        <v>754</v>
      </c>
      <c r="B1319" t="s">
        <v>2916</v>
      </c>
      <c r="C1319" t="s">
        <v>1333</v>
      </c>
      <c r="D1319" t="s">
        <v>1313</v>
      </c>
      <c r="E1319" s="220">
        <v>6.8599999999999994E-2</v>
      </c>
    </row>
    <row r="1320" spans="1:5">
      <c r="A1320" t="s">
        <v>757</v>
      </c>
      <c r="B1320" t="s">
        <v>2916</v>
      </c>
      <c r="C1320" t="s">
        <v>1333</v>
      </c>
      <c r="D1320" t="s">
        <v>1313</v>
      </c>
      <c r="E1320" s="220">
        <v>6.8599999999999994E-2</v>
      </c>
    </row>
    <row r="1321" spans="1:5">
      <c r="A1321" t="s">
        <v>823</v>
      </c>
      <c r="B1321" t="s">
        <v>2916</v>
      </c>
      <c r="C1321" t="s">
        <v>1333</v>
      </c>
      <c r="D1321" t="s">
        <v>1313</v>
      </c>
      <c r="E1321" s="220">
        <v>6.8599999999999994E-2</v>
      </c>
    </row>
    <row r="1322" spans="1:5">
      <c r="A1322" t="s">
        <v>767</v>
      </c>
      <c r="B1322" t="s">
        <v>2916</v>
      </c>
      <c r="C1322" t="s">
        <v>1333</v>
      </c>
      <c r="D1322" t="s">
        <v>1313</v>
      </c>
      <c r="E1322" s="220">
        <v>6.8599999999999994E-2</v>
      </c>
    </row>
    <row r="1323" spans="1:5">
      <c r="A1323" t="s">
        <v>761</v>
      </c>
      <c r="B1323" t="s">
        <v>2916</v>
      </c>
      <c r="C1323" t="s">
        <v>1333</v>
      </c>
      <c r="D1323" t="s">
        <v>1313</v>
      </c>
      <c r="E1323" s="220">
        <v>6.8599999999999994E-2</v>
      </c>
    </row>
    <row r="1324" spans="1:5">
      <c r="A1324" t="s">
        <v>770</v>
      </c>
      <c r="B1324" t="s">
        <v>2916</v>
      </c>
      <c r="C1324" t="s">
        <v>1333</v>
      </c>
      <c r="D1324" t="s">
        <v>1313</v>
      </c>
      <c r="E1324" s="220">
        <v>6.8599999999999994E-2</v>
      </c>
    </row>
    <row r="1325" spans="1:5">
      <c r="A1325" t="s">
        <v>592</v>
      </c>
      <c r="B1325" t="s">
        <v>2916</v>
      </c>
      <c r="C1325" t="s">
        <v>1333</v>
      </c>
      <c r="D1325" t="s">
        <v>1313</v>
      </c>
      <c r="E1325" s="220">
        <v>6.8599999999999994E-2</v>
      </c>
    </row>
    <row r="1326" spans="1:5">
      <c r="A1326" t="s">
        <v>773</v>
      </c>
      <c r="B1326" t="s">
        <v>2916</v>
      </c>
      <c r="C1326" t="s">
        <v>1333</v>
      </c>
      <c r="D1326" t="s">
        <v>1313</v>
      </c>
      <c r="E1326" s="220">
        <v>6.8599999999999994E-2</v>
      </c>
    </row>
    <row r="1327" spans="1:5">
      <c r="A1327" t="s">
        <v>776</v>
      </c>
      <c r="B1327" t="s">
        <v>2916</v>
      </c>
      <c r="C1327" t="s">
        <v>1333</v>
      </c>
      <c r="D1327" t="s">
        <v>1313</v>
      </c>
      <c r="E1327" s="220">
        <v>6.8599999999999994E-2</v>
      </c>
    </row>
    <row r="1328" spans="1:5">
      <c r="A1328" t="s">
        <v>1154</v>
      </c>
      <c r="B1328" t="s">
        <v>2916</v>
      </c>
      <c r="C1328" t="s">
        <v>1333</v>
      </c>
      <c r="D1328" t="s">
        <v>1313</v>
      </c>
      <c r="E1328" s="220">
        <v>6.8599999999999994E-2</v>
      </c>
    </row>
    <row r="1329" spans="1:5">
      <c r="A1329" t="s">
        <v>788</v>
      </c>
      <c r="B1329" t="s">
        <v>2916</v>
      </c>
      <c r="C1329" t="s">
        <v>1333</v>
      </c>
      <c r="D1329" t="s">
        <v>1313</v>
      </c>
      <c r="E1329" s="220">
        <v>6.8599999999999994E-2</v>
      </c>
    </row>
    <row r="1330" spans="1:5">
      <c r="A1330" t="s">
        <v>805</v>
      </c>
      <c r="B1330" t="s">
        <v>2916</v>
      </c>
      <c r="C1330" t="s">
        <v>1333</v>
      </c>
      <c r="D1330" t="s">
        <v>1313</v>
      </c>
      <c r="E1330" s="220">
        <v>6.8599999999999994E-2</v>
      </c>
    </row>
    <row r="1331" spans="1:5">
      <c r="A1331" t="s">
        <v>808</v>
      </c>
      <c r="B1331" t="s">
        <v>2916</v>
      </c>
      <c r="C1331" t="s">
        <v>1333</v>
      </c>
      <c r="D1331" t="s">
        <v>1313</v>
      </c>
      <c r="E1331" s="220">
        <v>6.4000000000000001E-2</v>
      </c>
    </row>
    <row r="1332" spans="1:5">
      <c r="A1332" t="s">
        <v>1238</v>
      </c>
      <c r="B1332" t="s">
        <v>2916</v>
      </c>
      <c r="C1332" t="s">
        <v>1333</v>
      </c>
      <c r="D1332" t="s">
        <v>1313</v>
      </c>
      <c r="E1332" s="220">
        <v>6.8599999999999994E-2</v>
      </c>
    </row>
    <row r="1333" spans="1:5">
      <c r="A1333" t="s">
        <v>833</v>
      </c>
      <c r="B1333" t="s">
        <v>2916</v>
      </c>
      <c r="C1333" t="s">
        <v>1333</v>
      </c>
      <c r="D1333" t="s">
        <v>1313</v>
      </c>
      <c r="E1333" s="220">
        <v>6.8599999999999994E-2</v>
      </c>
    </row>
    <row r="1334" spans="1:5">
      <c r="A1334" t="s">
        <v>839</v>
      </c>
      <c r="B1334" t="s">
        <v>2916</v>
      </c>
      <c r="C1334" t="s">
        <v>1333</v>
      </c>
      <c r="D1334" t="s">
        <v>1313</v>
      </c>
      <c r="E1334" s="220">
        <v>6.8599999999999994E-2</v>
      </c>
    </row>
    <row r="1335" spans="1:5">
      <c r="A1335" t="s">
        <v>845</v>
      </c>
      <c r="B1335" t="s">
        <v>2916</v>
      </c>
      <c r="C1335" t="s">
        <v>1333</v>
      </c>
      <c r="D1335" t="s">
        <v>1313</v>
      </c>
      <c r="E1335" s="220">
        <v>6.8599999999999994E-2</v>
      </c>
    </row>
    <row r="1336" spans="1:5">
      <c r="A1336" t="s">
        <v>854</v>
      </c>
      <c r="B1336" t="s">
        <v>2916</v>
      </c>
      <c r="C1336" t="s">
        <v>1333</v>
      </c>
      <c r="D1336" t="s">
        <v>1313</v>
      </c>
      <c r="E1336" s="220">
        <v>6.8599999999999994E-2</v>
      </c>
    </row>
    <row r="1337" spans="1:5">
      <c r="A1337" t="s">
        <v>863</v>
      </c>
      <c r="B1337" t="s">
        <v>2916</v>
      </c>
      <c r="C1337" t="s">
        <v>1333</v>
      </c>
      <c r="D1337" t="s">
        <v>1313</v>
      </c>
      <c r="E1337" s="220">
        <v>6.8599999999999994E-2</v>
      </c>
    </row>
    <row r="1338" spans="1:5">
      <c r="A1338" t="s">
        <v>860</v>
      </c>
      <c r="B1338" t="s">
        <v>2916</v>
      </c>
      <c r="C1338" t="s">
        <v>1333</v>
      </c>
      <c r="D1338" t="s">
        <v>1313</v>
      </c>
      <c r="E1338" s="220">
        <v>6.8599999999999994E-2</v>
      </c>
    </row>
    <row r="1339" spans="1:5">
      <c r="A1339" t="s">
        <v>744</v>
      </c>
      <c r="B1339" t="s">
        <v>2916</v>
      </c>
      <c r="C1339" t="s">
        <v>1333</v>
      </c>
      <c r="D1339" t="s">
        <v>1313</v>
      </c>
      <c r="E1339" s="220">
        <v>6.8599999999999994E-2</v>
      </c>
    </row>
    <row r="1340" spans="1:5">
      <c r="A1340" t="s">
        <v>857</v>
      </c>
      <c r="B1340" t="s">
        <v>2916</v>
      </c>
      <c r="C1340" t="s">
        <v>1333</v>
      </c>
      <c r="D1340" t="s">
        <v>1313</v>
      </c>
      <c r="E1340" s="220">
        <v>6.8599999999999994E-2</v>
      </c>
    </row>
    <row r="1341" spans="1:5">
      <c r="A1341" t="s">
        <v>866</v>
      </c>
      <c r="B1341" t="s">
        <v>2916</v>
      </c>
      <c r="C1341" t="s">
        <v>1333</v>
      </c>
      <c r="D1341" t="s">
        <v>1313</v>
      </c>
      <c r="E1341" s="220">
        <v>6.8599999999999994E-2</v>
      </c>
    </row>
    <row r="1342" spans="1:5">
      <c r="A1342" t="s">
        <v>875</v>
      </c>
      <c r="B1342" t="s">
        <v>2916</v>
      </c>
      <c r="C1342" t="s">
        <v>1333</v>
      </c>
      <c r="D1342" t="s">
        <v>1313</v>
      </c>
      <c r="E1342" s="220">
        <v>6.8599999999999994E-2</v>
      </c>
    </row>
    <row r="1343" spans="1:5">
      <c r="A1343" t="s">
        <v>872</v>
      </c>
      <c r="B1343" t="s">
        <v>2916</v>
      </c>
      <c r="C1343" t="s">
        <v>1333</v>
      </c>
      <c r="D1343" t="s">
        <v>1313</v>
      </c>
      <c r="E1343" s="220">
        <v>6.8599999999999994E-2</v>
      </c>
    </row>
    <row r="1344" spans="1:5">
      <c r="A1344" t="s">
        <v>884</v>
      </c>
      <c r="B1344" t="s">
        <v>2916</v>
      </c>
      <c r="C1344" t="s">
        <v>1333</v>
      </c>
      <c r="D1344" t="s">
        <v>1313</v>
      </c>
      <c r="E1344" s="220">
        <v>6.8599999999999994E-2</v>
      </c>
    </row>
    <row r="1345" spans="1:5">
      <c r="A1345" t="s">
        <v>878</v>
      </c>
      <c r="B1345" t="s">
        <v>2916</v>
      </c>
      <c r="C1345" t="s">
        <v>1333</v>
      </c>
      <c r="D1345" t="s">
        <v>1313</v>
      </c>
      <c r="E1345" s="220">
        <v>6.8599999999999994E-2</v>
      </c>
    </row>
    <row r="1346" spans="1:5">
      <c r="A1346" t="s">
        <v>881</v>
      </c>
      <c r="B1346" t="s">
        <v>2916</v>
      </c>
      <c r="C1346" t="s">
        <v>1333</v>
      </c>
      <c r="D1346" t="s">
        <v>1313</v>
      </c>
      <c r="E1346" s="220">
        <v>6.8599999999999994E-2</v>
      </c>
    </row>
    <row r="1347" spans="1:5">
      <c r="A1347" t="s">
        <v>869</v>
      </c>
      <c r="B1347" t="s">
        <v>2916</v>
      </c>
      <c r="C1347" t="s">
        <v>1333</v>
      </c>
      <c r="D1347" t="s">
        <v>1313</v>
      </c>
      <c r="E1347" s="220">
        <v>6.8599999999999994E-2</v>
      </c>
    </row>
    <row r="1348" spans="1:5">
      <c r="A1348" t="s">
        <v>891</v>
      </c>
      <c r="B1348" t="s">
        <v>2916</v>
      </c>
      <c r="C1348" t="s">
        <v>1333</v>
      </c>
      <c r="D1348" t="s">
        <v>1313</v>
      </c>
      <c r="E1348" s="220">
        <v>6.8599999999999994E-2</v>
      </c>
    </row>
    <row r="1349" spans="1:5">
      <c r="A1349" t="s">
        <v>894</v>
      </c>
      <c r="B1349" t="s">
        <v>2916</v>
      </c>
      <c r="C1349" t="s">
        <v>1333</v>
      </c>
      <c r="D1349" t="s">
        <v>1313</v>
      </c>
      <c r="E1349" s="220">
        <v>6.8599999999999994E-2</v>
      </c>
    </row>
    <row r="1350" spans="1:5">
      <c r="A1350" t="s">
        <v>897</v>
      </c>
      <c r="B1350" t="s">
        <v>2916</v>
      </c>
      <c r="C1350" t="s">
        <v>1333</v>
      </c>
      <c r="D1350" t="s">
        <v>1313</v>
      </c>
      <c r="E1350" s="220">
        <v>6.8599999999999994E-2</v>
      </c>
    </row>
    <row r="1351" spans="1:5">
      <c r="A1351" t="s">
        <v>903</v>
      </c>
      <c r="B1351" t="s">
        <v>2916</v>
      </c>
      <c r="C1351" t="s">
        <v>1333</v>
      </c>
      <c r="D1351" t="s">
        <v>1313</v>
      </c>
      <c r="E1351" s="220">
        <v>6.8599999999999994E-2</v>
      </c>
    </row>
    <row r="1352" spans="1:5">
      <c r="A1352" t="s">
        <v>900</v>
      </c>
      <c r="B1352" t="s">
        <v>2916</v>
      </c>
      <c r="C1352" t="s">
        <v>1333</v>
      </c>
      <c r="D1352" t="s">
        <v>1313</v>
      </c>
      <c r="E1352" s="220">
        <v>6.8599999999999994E-2</v>
      </c>
    </row>
    <row r="1353" spans="1:5">
      <c r="A1353" t="s">
        <v>1160</v>
      </c>
      <c r="B1353" t="s">
        <v>2916</v>
      </c>
      <c r="C1353" t="s">
        <v>1333</v>
      </c>
      <c r="D1353" t="s">
        <v>1313</v>
      </c>
      <c r="E1353" s="220">
        <v>6.8599999999999994E-2</v>
      </c>
    </row>
    <row r="1354" spans="1:5">
      <c r="A1354" t="s">
        <v>915</v>
      </c>
      <c r="B1354" t="s">
        <v>2916</v>
      </c>
      <c r="C1354" t="s">
        <v>1333</v>
      </c>
      <c r="D1354" t="s">
        <v>1313</v>
      </c>
      <c r="E1354" s="220">
        <v>6.8599999999999994E-2</v>
      </c>
    </row>
    <row r="1355" spans="1:5">
      <c r="A1355" t="s">
        <v>933</v>
      </c>
      <c r="B1355" t="s">
        <v>2916</v>
      </c>
      <c r="C1355" t="s">
        <v>1333</v>
      </c>
      <c r="D1355" t="s">
        <v>1313</v>
      </c>
      <c r="E1355" s="220">
        <v>6.8599999999999994E-2</v>
      </c>
    </row>
    <row r="1356" spans="1:5">
      <c r="A1356" t="s">
        <v>939</v>
      </c>
      <c r="B1356" t="s">
        <v>2916</v>
      </c>
      <c r="C1356" t="s">
        <v>1333</v>
      </c>
      <c r="D1356" t="s">
        <v>1313</v>
      </c>
      <c r="E1356" s="220">
        <v>6.8599999999999994E-2</v>
      </c>
    </row>
    <row r="1357" spans="1:5">
      <c r="A1357" t="s">
        <v>1163</v>
      </c>
      <c r="B1357" t="s">
        <v>2916</v>
      </c>
      <c r="C1357" t="s">
        <v>1333</v>
      </c>
      <c r="D1357" t="s">
        <v>1313</v>
      </c>
      <c r="E1357" s="220">
        <v>6.8599999999999994E-2</v>
      </c>
    </row>
    <row r="1358" spans="1:5">
      <c r="A1358" t="s">
        <v>1157</v>
      </c>
      <c r="B1358" t="s">
        <v>2916</v>
      </c>
      <c r="C1358" t="s">
        <v>1333</v>
      </c>
      <c r="D1358" t="s">
        <v>1313</v>
      </c>
      <c r="E1358" s="220">
        <v>6.8599999999999994E-2</v>
      </c>
    </row>
    <row r="1359" spans="1:5">
      <c r="A1359" t="s">
        <v>954</v>
      </c>
      <c r="B1359" t="s">
        <v>2916</v>
      </c>
      <c r="C1359" t="s">
        <v>1333</v>
      </c>
      <c r="D1359" t="s">
        <v>1313</v>
      </c>
      <c r="E1359" s="220">
        <v>6.8599999999999994E-2</v>
      </c>
    </row>
    <row r="1360" spans="1:5">
      <c r="A1360" t="s">
        <v>957</v>
      </c>
      <c r="B1360" t="s">
        <v>2916</v>
      </c>
      <c r="C1360" t="s">
        <v>1333</v>
      </c>
      <c r="D1360" t="s">
        <v>1313</v>
      </c>
      <c r="E1360" s="220">
        <v>6.8599999999999994E-2</v>
      </c>
    </row>
    <row r="1361" spans="1:5">
      <c r="A1361" t="s">
        <v>936</v>
      </c>
      <c r="B1361" t="s">
        <v>2916</v>
      </c>
      <c r="C1361" t="s">
        <v>1333</v>
      </c>
      <c r="D1361" t="s">
        <v>1313</v>
      </c>
      <c r="E1361" s="220">
        <v>6.8599999999999994E-2</v>
      </c>
    </row>
    <row r="1362" spans="1:5">
      <c r="A1362" t="s">
        <v>1014</v>
      </c>
      <c r="B1362" t="s">
        <v>2916</v>
      </c>
      <c r="C1362" t="s">
        <v>1333</v>
      </c>
      <c r="D1362" t="s">
        <v>1313</v>
      </c>
      <c r="E1362" s="220">
        <v>6.8599999999999994E-2</v>
      </c>
    </row>
    <row r="1363" spans="1:5">
      <c r="A1363" t="s">
        <v>999</v>
      </c>
      <c r="B1363" t="s">
        <v>2916</v>
      </c>
      <c r="C1363" t="s">
        <v>1333</v>
      </c>
      <c r="D1363" t="s">
        <v>1313</v>
      </c>
      <c r="E1363" s="220">
        <v>6.8599999999999994E-2</v>
      </c>
    </row>
    <row r="1364" spans="1:5">
      <c r="A1364" t="s">
        <v>993</v>
      </c>
      <c r="B1364" t="s">
        <v>2916</v>
      </c>
      <c r="C1364" t="s">
        <v>1333</v>
      </c>
      <c r="D1364" t="s">
        <v>1313</v>
      </c>
      <c r="E1364" s="220">
        <v>6.8599999999999994E-2</v>
      </c>
    </row>
    <row r="1365" spans="1:5">
      <c r="A1365" t="s">
        <v>963</v>
      </c>
      <c r="B1365" t="s">
        <v>2916</v>
      </c>
      <c r="C1365" t="s">
        <v>1333</v>
      </c>
      <c r="D1365" t="s">
        <v>1313</v>
      </c>
      <c r="E1365" s="220">
        <v>6.8599999999999994E-2</v>
      </c>
    </row>
    <row r="1366" spans="1:5">
      <c r="A1366" t="s">
        <v>981</v>
      </c>
      <c r="B1366" t="s">
        <v>2916</v>
      </c>
      <c r="C1366" t="s">
        <v>1333</v>
      </c>
      <c r="D1366" t="s">
        <v>1313</v>
      </c>
      <c r="E1366" s="220">
        <v>6.8599999999999994E-2</v>
      </c>
    </row>
    <row r="1367" spans="1:5">
      <c r="A1367" t="s">
        <v>1020</v>
      </c>
      <c r="B1367" t="s">
        <v>2916</v>
      </c>
      <c r="C1367" t="s">
        <v>1333</v>
      </c>
      <c r="D1367" t="s">
        <v>1313</v>
      </c>
      <c r="E1367" s="220">
        <v>6.8599999999999994E-2</v>
      </c>
    </row>
    <row r="1368" spans="1:5">
      <c r="A1368" t="s">
        <v>972</v>
      </c>
      <c r="B1368" t="s">
        <v>2916</v>
      </c>
      <c r="C1368" t="s">
        <v>1333</v>
      </c>
      <c r="D1368" t="s">
        <v>1313</v>
      </c>
      <c r="E1368" s="220">
        <v>6.8599999999999994E-2</v>
      </c>
    </row>
    <row r="1369" spans="1:5">
      <c r="A1369" t="s">
        <v>1042</v>
      </c>
      <c r="B1369" t="s">
        <v>2916</v>
      </c>
      <c r="C1369" t="s">
        <v>1333</v>
      </c>
      <c r="D1369" t="s">
        <v>1313</v>
      </c>
      <c r="E1369" s="220">
        <v>6.8599999999999994E-2</v>
      </c>
    </row>
    <row r="1370" spans="1:5">
      <c r="A1370" t="s">
        <v>1032</v>
      </c>
      <c r="B1370" t="s">
        <v>2916</v>
      </c>
      <c r="C1370" t="s">
        <v>1333</v>
      </c>
      <c r="D1370" t="s">
        <v>1313</v>
      </c>
      <c r="E1370" s="220">
        <v>6.8599999999999994E-2</v>
      </c>
    </row>
    <row r="1371" spans="1:5">
      <c r="A1371" t="s">
        <v>1055</v>
      </c>
      <c r="B1371" t="s">
        <v>2916</v>
      </c>
      <c r="C1371" t="s">
        <v>1333</v>
      </c>
      <c r="D1371" t="s">
        <v>1313</v>
      </c>
      <c r="E1371" s="220">
        <v>6.8599999999999994E-2</v>
      </c>
    </row>
    <row r="1372" spans="1:5">
      <c r="A1372" t="s">
        <v>1039</v>
      </c>
      <c r="B1372" t="s">
        <v>2916</v>
      </c>
      <c r="C1372" t="s">
        <v>1333</v>
      </c>
      <c r="D1372" t="s">
        <v>1313</v>
      </c>
      <c r="E1372" s="220">
        <v>6.8599999999999994E-2</v>
      </c>
    </row>
    <row r="1373" spans="1:5">
      <c r="A1373" t="s">
        <v>1058</v>
      </c>
      <c r="B1373" t="s">
        <v>2916</v>
      </c>
      <c r="C1373" t="s">
        <v>1333</v>
      </c>
      <c r="D1373" t="s">
        <v>1313</v>
      </c>
      <c r="E1373" s="220">
        <v>6.8599999999999994E-2</v>
      </c>
    </row>
    <row r="1374" spans="1:5">
      <c r="A1374" t="s">
        <v>1061</v>
      </c>
      <c r="B1374" t="s">
        <v>2916</v>
      </c>
      <c r="C1374" t="s">
        <v>1333</v>
      </c>
      <c r="D1374" t="s">
        <v>1313</v>
      </c>
      <c r="E1374" s="220">
        <v>6.8599999999999994E-2</v>
      </c>
    </row>
    <row r="1375" spans="1:5">
      <c r="A1375" t="s">
        <v>1067</v>
      </c>
      <c r="B1375" t="s">
        <v>2916</v>
      </c>
      <c r="C1375" t="s">
        <v>1333</v>
      </c>
      <c r="D1375" t="s">
        <v>1313</v>
      </c>
      <c r="E1375" s="220">
        <v>6.8599999999999994E-2</v>
      </c>
    </row>
    <row r="1376" spans="1:5">
      <c r="A1376" t="s">
        <v>1076</v>
      </c>
      <c r="B1376" t="s">
        <v>2916</v>
      </c>
      <c r="C1376" t="s">
        <v>1333</v>
      </c>
      <c r="D1376" t="s">
        <v>1313</v>
      </c>
      <c r="E1376" s="220">
        <v>6.8599999999999994E-2</v>
      </c>
    </row>
    <row r="1377" spans="1:5">
      <c r="A1377" t="s">
        <v>1079</v>
      </c>
      <c r="B1377" t="s">
        <v>2916</v>
      </c>
      <c r="C1377" t="s">
        <v>1333</v>
      </c>
      <c r="D1377" t="s">
        <v>1313</v>
      </c>
      <c r="E1377" s="220">
        <v>6.8599999999999994E-2</v>
      </c>
    </row>
    <row r="1378" spans="1:5">
      <c r="A1378" t="s">
        <v>1082</v>
      </c>
      <c r="B1378" t="s">
        <v>2916</v>
      </c>
      <c r="C1378" t="s">
        <v>1333</v>
      </c>
      <c r="D1378" t="s">
        <v>1313</v>
      </c>
      <c r="E1378" s="220">
        <v>6.8599999999999994E-2</v>
      </c>
    </row>
    <row r="1379" spans="1:5">
      <c r="A1379" t="s">
        <v>1085</v>
      </c>
      <c r="B1379" t="s">
        <v>2916</v>
      </c>
      <c r="C1379" t="s">
        <v>1333</v>
      </c>
      <c r="D1379" t="s">
        <v>1313</v>
      </c>
      <c r="E1379" s="220">
        <v>6.8599999999999994E-2</v>
      </c>
    </row>
    <row r="1380" spans="1:5">
      <c r="A1380" t="s">
        <v>1073</v>
      </c>
      <c r="B1380" t="s">
        <v>2916</v>
      </c>
      <c r="C1380" t="s">
        <v>1333</v>
      </c>
      <c r="D1380" t="s">
        <v>1313</v>
      </c>
      <c r="E1380" s="220">
        <v>6.8599999999999994E-2</v>
      </c>
    </row>
    <row r="1381" spans="1:5">
      <c r="A1381" t="s">
        <v>1264</v>
      </c>
      <c r="B1381" t="s">
        <v>2916</v>
      </c>
      <c r="C1381" t="s">
        <v>1333</v>
      </c>
      <c r="D1381" t="s">
        <v>1313</v>
      </c>
      <c r="E1381" s="220">
        <v>6.8599999999999994E-2</v>
      </c>
    </row>
    <row r="1382" spans="1:5">
      <c r="A1382" t="s">
        <v>1091</v>
      </c>
      <c r="B1382" t="s">
        <v>2916</v>
      </c>
      <c r="C1382" t="s">
        <v>1333</v>
      </c>
      <c r="D1382" t="s">
        <v>1313</v>
      </c>
      <c r="E1382" s="220">
        <v>6.8599999999999994E-2</v>
      </c>
    </row>
    <row r="1383" spans="1:5">
      <c r="A1383" t="s">
        <v>1094</v>
      </c>
      <c r="B1383" t="s">
        <v>2916</v>
      </c>
      <c r="C1383" t="s">
        <v>1333</v>
      </c>
      <c r="D1383" t="s">
        <v>1313</v>
      </c>
      <c r="E1383" s="220">
        <v>6.8599999999999994E-2</v>
      </c>
    </row>
    <row r="1384" spans="1:5">
      <c r="A1384" t="s">
        <v>1097</v>
      </c>
      <c r="B1384" t="s">
        <v>2916</v>
      </c>
      <c r="C1384" t="s">
        <v>1333</v>
      </c>
      <c r="D1384" t="s">
        <v>1313</v>
      </c>
      <c r="E1384" s="220">
        <v>6.8599999999999994E-2</v>
      </c>
    </row>
    <row r="1385" spans="1:5">
      <c r="A1385" t="s">
        <v>1173</v>
      </c>
      <c r="B1385" t="s">
        <v>2916</v>
      </c>
      <c r="C1385" t="s">
        <v>1333</v>
      </c>
      <c r="D1385" t="s">
        <v>1313</v>
      </c>
      <c r="E1385" s="220">
        <v>6.8599999999999994E-2</v>
      </c>
    </row>
    <row r="1386" spans="1:5">
      <c r="A1386" t="s">
        <v>779</v>
      </c>
      <c r="B1386" t="s">
        <v>2916</v>
      </c>
      <c r="C1386" t="s">
        <v>1333</v>
      </c>
      <c r="D1386" t="s">
        <v>1313</v>
      </c>
      <c r="E1386" s="220">
        <v>6.8599999999999994E-2</v>
      </c>
    </row>
    <row r="1387" spans="1:5">
      <c r="A1387" t="s">
        <v>1119</v>
      </c>
      <c r="B1387" t="s">
        <v>2916</v>
      </c>
      <c r="C1387" t="s">
        <v>1333</v>
      </c>
      <c r="D1387" t="s">
        <v>1313</v>
      </c>
      <c r="E1387" s="220">
        <v>6.8599999999999994E-2</v>
      </c>
    </row>
    <row r="1388" spans="1:5">
      <c r="A1388" t="s">
        <v>1176</v>
      </c>
      <c r="B1388" t="s">
        <v>2916</v>
      </c>
      <c r="C1388" t="s">
        <v>1333</v>
      </c>
      <c r="D1388" t="s">
        <v>1313</v>
      </c>
      <c r="E1388" s="220">
        <v>6.8599999999999994E-2</v>
      </c>
    </row>
    <row r="1389" spans="1:5">
      <c r="A1389" t="s">
        <v>1135</v>
      </c>
      <c r="B1389" t="s">
        <v>2916</v>
      </c>
      <c r="C1389" t="s">
        <v>1333</v>
      </c>
      <c r="D1389" t="s">
        <v>1313</v>
      </c>
      <c r="E1389" s="220">
        <v>6.8599999999999994E-2</v>
      </c>
    </row>
    <row r="1390" spans="1:5">
      <c r="A1390" t="s">
        <v>1139</v>
      </c>
      <c r="B1390" t="s">
        <v>2916</v>
      </c>
      <c r="C1390" t="s">
        <v>1333</v>
      </c>
      <c r="D1390" t="s">
        <v>1313</v>
      </c>
      <c r="E1390" s="220">
        <v>6.8599999999999994E-2</v>
      </c>
    </row>
    <row r="1391" spans="1:5">
      <c r="A1391" t="s">
        <v>1179</v>
      </c>
      <c r="B1391" t="s">
        <v>2916</v>
      </c>
      <c r="C1391" t="s">
        <v>1333</v>
      </c>
      <c r="D1391" t="s">
        <v>1313</v>
      </c>
      <c r="E1391" s="220">
        <v>6.8599999999999994E-2</v>
      </c>
    </row>
    <row r="1392" spans="1:5">
      <c r="A1392" t="s">
        <v>1185</v>
      </c>
      <c r="B1392" t="s">
        <v>2916</v>
      </c>
      <c r="C1392" t="s">
        <v>1333</v>
      </c>
      <c r="D1392" t="s">
        <v>1313</v>
      </c>
      <c r="E1392" s="220">
        <v>6.8599999999999994E-2</v>
      </c>
    </row>
    <row r="1393" spans="1:5">
      <c r="A1393" t="s">
        <v>1198</v>
      </c>
      <c r="B1393" t="s">
        <v>2916</v>
      </c>
      <c r="C1393" t="s">
        <v>1333</v>
      </c>
      <c r="D1393" t="s">
        <v>1313</v>
      </c>
      <c r="E1393" s="220">
        <v>6.8599999999999994E-2</v>
      </c>
    </row>
    <row r="1394" spans="1:5">
      <c r="A1394" t="s">
        <v>1210</v>
      </c>
      <c r="B1394" t="s">
        <v>2916</v>
      </c>
      <c r="C1394" t="s">
        <v>1333</v>
      </c>
      <c r="D1394" t="s">
        <v>1313</v>
      </c>
      <c r="E1394" s="220">
        <v>6.8599999999999994E-2</v>
      </c>
    </row>
    <row r="1395" spans="1:5">
      <c r="A1395" t="s">
        <v>1213</v>
      </c>
      <c r="B1395" t="s">
        <v>2916</v>
      </c>
      <c r="C1395" t="s">
        <v>1333</v>
      </c>
      <c r="D1395" t="s">
        <v>1313</v>
      </c>
      <c r="E1395" s="220">
        <v>6.8599999999999994E-2</v>
      </c>
    </row>
    <row r="1396" spans="1:5">
      <c r="A1396" t="s">
        <v>1216</v>
      </c>
      <c r="B1396" t="s">
        <v>2916</v>
      </c>
      <c r="C1396" t="s">
        <v>1333</v>
      </c>
      <c r="D1396" t="s">
        <v>1313</v>
      </c>
      <c r="E1396" s="220">
        <v>6.8599999999999994E-2</v>
      </c>
    </row>
    <row r="1397" spans="1:5">
      <c r="A1397" t="s">
        <v>1189</v>
      </c>
      <c r="B1397" t="s">
        <v>2916</v>
      </c>
      <c r="C1397" t="s">
        <v>1333</v>
      </c>
      <c r="D1397" t="s">
        <v>1313</v>
      </c>
      <c r="E1397" s="220">
        <v>6.8599999999999994E-2</v>
      </c>
    </row>
    <row r="1398" spans="1:5">
      <c r="A1398" t="s">
        <v>1232</v>
      </c>
      <c r="B1398" t="s">
        <v>2916</v>
      </c>
      <c r="C1398" t="s">
        <v>1333</v>
      </c>
      <c r="D1398" t="s">
        <v>1313</v>
      </c>
      <c r="E1398" s="220">
        <v>6.8599999999999994E-2</v>
      </c>
    </row>
    <row r="1399" spans="1:5">
      <c r="A1399" t="s">
        <v>1244</v>
      </c>
      <c r="B1399" t="s">
        <v>2916</v>
      </c>
      <c r="C1399" t="s">
        <v>1333</v>
      </c>
      <c r="D1399" t="s">
        <v>1313</v>
      </c>
      <c r="E1399" s="220">
        <v>6.8599999999999994E-2</v>
      </c>
    </row>
    <row r="1400" spans="1:5">
      <c r="A1400" t="s">
        <v>1241</v>
      </c>
      <c r="B1400" t="s">
        <v>2916</v>
      </c>
      <c r="C1400" t="s">
        <v>1333</v>
      </c>
      <c r="D1400" t="s">
        <v>1313</v>
      </c>
      <c r="E1400" s="220">
        <v>6.8599999999999994E-2</v>
      </c>
    </row>
    <row r="1401" spans="1:5">
      <c r="A1401" t="s">
        <v>1170</v>
      </c>
      <c r="B1401" t="s">
        <v>2916</v>
      </c>
      <c r="C1401" t="s">
        <v>1333</v>
      </c>
      <c r="D1401" t="s">
        <v>1313</v>
      </c>
      <c r="E1401" s="220">
        <v>6.8599999999999994E-2</v>
      </c>
    </row>
    <row r="1402" spans="1:5">
      <c r="A1402" t="s">
        <v>1253</v>
      </c>
      <c r="B1402" t="s">
        <v>2916</v>
      </c>
      <c r="C1402" t="s">
        <v>1333</v>
      </c>
      <c r="D1402" t="s">
        <v>1313</v>
      </c>
      <c r="E1402" s="220">
        <v>6.8599999999999994E-2</v>
      </c>
    </row>
    <row r="1403" spans="1:5">
      <c r="A1403" t="s">
        <v>1257</v>
      </c>
      <c r="B1403" t="s">
        <v>2916</v>
      </c>
      <c r="C1403" t="s">
        <v>1333</v>
      </c>
      <c r="D1403" t="s">
        <v>1313</v>
      </c>
      <c r="E1403" s="220">
        <v>6.8599999999999994E-2</v>
      </c>
    </row>
    <row r="1404" spans="1:5">
      <c r="A1404" t="s">
        <v>1268</v>
      </c>
      <c r="B1404" t="s">
        <v>2916</v>
      </c>
      <c r="C1404" t="s">
        <v>1333</v>
      </c>
      <c r="D1404" t="s">
        <v>1313</v>
      </c>
      <c r="E1404" s="220">
        <v>6.8599999999999994E-2</v>
      </c>
    </row>
    <row r="1405" spans="1:5">
      <c r="A1405" t="s">
        <v>1148</v>
      </c>
      <c r="B1405" t="s">
        <v>2916</v>
      </c>
      <c r="C1405" t="s">
        <v>1333</v>
      </c>
      <c r="D1405" t="s">
        <v>1313</v>
      </c>
      <c r="E1405" s="220">
        <v>6.8599999999999994E-2</v>
      </c>
    </row>
    <row r="1406" spans="1:5">
      <c r="A1406" t="s">
        <v>580</v>
      </c>
      <c r="B1406" t="s">
        <v>2916</v>
      </c>
      <c r="C1406" t="s">
        <v>1365</v>
      </c>
      <c r="D1406" t="s">
        <v>1313</v>
      </c>
      <c r="E1406" s="220">
        <v>6.8599999999999994E-2</v>
      </c>
    </row>
    <row r="1407" spans="1:5">
      <c r="A1407" t="s">
        <v>587</v>
      </c>
      <c r="B1407" t="s">
        <v>2916</v>
      </c>
      <c r="C1407" t="s">
        <v>1365</v>
      </c>
      <c r="D1407" t="s">
        <v>1313</v>
      </c>
      <c r="E1407" s="220">
        <v>6.8599999999999994E-2</v>
      </c>
    </row>
    <row r="1408" spans="1:5">
      <c r="A1408" t="s">
        <v>1235</v>
      </c>
      <c r="B1408" t="s">
        <v>2916</v>
      </c>
      <c r="C1408" t="s">
        <v>1365</v>
      </c>
      <c r="D1408" t="s">
        <v>1313</v>
      </c>
      <c r="E1408" s="220">
        <v>6.8599999999999994E-2</v>
      </c>
    </row>
    <row r="1409" spans="1:5">
      <c r="A1409" t="s">
        <v>617</v>
      </c>
      <c r="B1409" t="s">
        <v>2916</v>
      </c>
      <c r="C1409" t="s">
        <v>1365</v>
      </c>
      <c r="D1409" t="s">
        <v>1313</v>
      </c>
      <c r="E1409" s="220">
        <v>6.8599999999999994E-2</v>
      </c>
    </row>
    <row r="1410" spans="1:5">
      <c r="A1410" t="s">
        <v>614</v>
      </c>
      <c r="B1410" t="s">
        <v>2916</v>
      </c>
      <c r="C1410" t="s">
        <v>1365</v>
      </c>
      <c r="D1410" t="s">
        <v>1313</v>
      </c>
      <c r="E1410" s="220">
        <v>6.8599999999999994E-2</v>
      </c>
    </row>
    <row r="1411" spans="1:5">
      <c r="A1411" t="s">
        <v>626</v>
      </c>
      <c r="B1411" t="s">
        <v>2916</v>
      </c>
      <c r="C1411" t="s">
        <v>1365</v>
      </c>
      <c r="D1411" t="s">
        <v>1313</v>
      </c>
      <c r="E1411" s="220">
        <v>6.8599999999999994E-2</v>
      </c>
    </row>
    <row r="1412" spans="1:5">
      <c r="A1412" t="s">
        <v>629</v>
      </c>
      <c r="B1412" t="s">
        <v>2916</v>
      </c>
      <c r="C1412" t="s">
        <v>1365</v>
      </c>
      <c r="D1412" t="s">
        <v>1313</v>
      </c>
      <c r="E1412" s="220">
        <v>6.8599999999999994E-2</v>
      </c>
    </row>
    <row r="1413" spans="1:5">
      <c r="A1413" t="s">
        <v>632</v>
      </c>
      <c r="B1413" t="s">
        <v>2916</v>
      </c>
      <c r="C1413" t="s">
        <v>1365</v>
      </c>
      <c r="D1413" t="s">
        <v>1313</v>
      </c>
      <c r="E1413" s="220">
        <v>6.8599999999999994E-2</v>
      </c>
    </row>
    <row r="1414" spans="1:5">
      <c r="A1414" t="s">
        <v>650</v>
      </c>
      <c r="B1414" t="s">
        <v>2916</v>
      </c>
      <c r="C1414" t="s">
        <v>1365</v>
      </c>
      <c r="D1414" t="s">
        <v>1313</v>
      </c>
      <c r="E1414" s="220">
        <v>6.8599999999999994E-2</v>
      </c>
    </row>
    <row r="1415" spans="1:5">
      <c r="A1415" t="s">
        <v>641</v>
      </c>
      <c r="B1415" t="s">
        <v>2916</v>
      </c>
      <c r="C1415" t="s">
        <v>1365</v>
      </c>
      <c r="D1415" t="s">
        <v>1313</v>
      </c>
      <c r="E1415" s="220">
        <v>6.8599999999999994E-2</v>
      </c>
    </row>
    <row r="1416" spans="1:5">
      <c r="A1416" t="s">
        <v>687</v>
      </c>
      <c r="B1416" t="s">
        <v>2916</v>
      </c>
      <c r="C1416" t="s">
        <v>1365</v>
      </c>
      <c r="D1416" t="s">
        <v>1313</v>
      </c>
      <c r="E1416" s="220">
        <v>6.8599999999999994E-2</v>
      </c>
    </row>
    <row r="1417" spans="1:5">
      <c r="A1417" t="s">
        <v>638</v>
      </c>
      <c r="B1417" t="s">
        <v>2916</v>
      </c>
      <c r="C1417" t="s">
        <v>1365</v>
      </c>
      <c r="D1417" t="s">
        <v>1313</v>
      </c>
      <c r="E1417" s="220">
        <v>6.8599999999999994E-2</v>
      </c>
    </row>
    <row r="1418" spans="1:5">
      <c r="A1418" t="s">
        <v>635</v>
      </c>
      <c r="B1418" t="s">
        <v>2916</v>
      </c>
      <c r="C1418" t="s">
        <v>1365</v>
      </c>
      <c r="D1418" t="s">
        <v>1313</v>
      </c>
      <c r="E1418" s="220">
        <v>6.8599999999999994E-2</v>
      </c>
    </row>
    <row r="1419" spans="1:5">
      <c r="A1419" t="s">
        <v>670</v>
      </c>
      <c r="B1419" t="s">
        <v>2916</v>
      </c>
      <c r="C1419" t="s">
        <v>1365</v>
      </c>
      <c r="D1419" t="s">
        <v>1313</v>
      </c>
      <c r="E1419" s="220">
        <v>6.8599999999999994E-2</v>
      </c>
    </row>
    <row r="1420" spans="1:5">
      <c r="A1420" t="s">
        <v>647</v>
      </c>
      <c r="B1420" t="s">
        <v>2916</v>
      </c>
      <c r="C1420" t="s">
        <v>1365</v>
      </c>
      <c r="D1420" t="s">
        <v>1313</v>
      </c>
      <c r="E1420" s="220">
        <v>6.8599999999999994E-2</v>
      </c>
    </row>
    <row r="1421" spans="1:5">
      <c r="A1421" t="s">
        <v>653</v>
      </c>
      <c r="B1421" t="s">
        <v>2916</v>
      </c>
      <c r="C1421" t="s">
        <v>1365</v>
      </c>
      <c r="D1421" t="s">
        <v>1313</v>
      </c>
      <c r="E1421" s="220">
        <v>6.8599999999999994E-2</v>
      </c>
    </row>
    <row r="1422" spans="1:5">
      <c r="A1422" t="s">
        <v>659</v>
      </c>
      <c r="B1422" t="s">
        <v>2916</v>
      </c>
      <c r="C1422" t="s">
        <v>1365</v>
      </c>
      <c r="D1422" t="s">
        <v>1313</v>
      </c>
      <c r="E1422" s="220">
        <v>6.8599999999999994E-2</v>
      </c>
    </row>
    <row r="1423" spans="1:5">
      <c r="A1423" t="s">
        <v>667</v>
      </c>
      <c r="B1423" t="s">
        <v>2916</v>
      </c>
      <c r="C1423" t="s">
        <v>1365</v>
      </c>
      <c r="D1423" t="s">
        <v>1313</v>
      </c>
      <c r="E1423" s="220">
        <v>6.8599999999999994E-2</v>
      </c>
    </row>
    <row r="1424" spans="1:5">
      <c r="A1424" t="s">
        <v>676</v>
      </c>
      <c r="B1424" t="s">
        <v>2916</v>
      </c>
      <c r="C1424" t="s">
        <v>1365</v>
      </c>
      <c r="D1424" t="s">
        <v>1313</v>
      </c>
      <c r="E1424" s="220">
        <v>6.8599999999999994E-2</v>
      </c>
    </row>
    <row r="1425" spans="1:5">
      <c r="A1425" t="s">
        <v>644</v>
      </c>
      <c r="B1425" t="s">
        <v>2916</v>
      </c>
      <c r="C1425" t="s">
        <v>1365</v>
      </c>
      <c r="D1425" t="s">
        <v>1313</v>
      </c>
      <c r="E1425" s="220">
        <v>6.8599999999999994E-2</v>
      </c>
    </row>
    <row r="1426" spans="1:5">
      <c r="A1426" t="s">
        <v>684</v>
      </c>
      <c r="B1426" t="s">
        <v>2916</v>
      </c>
      <c r="C1426" t="s">
        <v>1365</v>
      </c>
      <c r="D1426" t="s">
        <v>1313</v>
      </c>
      <c r="E1426" s="220">
        <v>6.8599999999999994E-2</v>
      </c>
    </row>
    <row r="1427" spans="1:5">
      <c r="A1427" t="s">
        <v>664</v>
      </c>
      <c r="B1427" t="s">
        <v>2916</v>
      </c>
      <c r="C1427" t="s">
        <v>1365</v>
      </c>
      <c r="D1427" t="s">
        <v>1313</v>
      </c>
      <c r="E1427" s="220">
        <v>6.8599999999999994E-2</v>
      </c>
    </row>
    <row r="1428" spans="1:5">
      <c r="A1428" t="s">
        <v>705</v>
      </c>
      <c r="B1428" t="s">
        <v>2916</v>
      </c>
      <c r="C1428" t="s">
        <v>1365</v>
      </c>
      <c r="D1428" t="s">
        <v>1313</v>
      </c>
      <c r="E1428" s="220">
        <v>6.8599999999999994E-2</v>
      </c>
    </row>
    <row r="1429" spans="1:5">
      <c r="A1429" t="s">
        <v>720</v>
      </c>
      <c r="B1429" t="s">
        <v>2916</v>
      </c>
      <c r="C1429" t="s">
        <v>1365</v>
      </c>
      <c r="D1429" t="s">
        <v>1313</v>
      </c>
      <c r="E1429" s="220">
        <v>6.8599999999999994E-2</v>
      </c>
    </row>
    <row r="1430" spans="1:5">
      <c r="A1430" t="s">
        <v>723</v>
      </c>
      <c r="B1430" t="s">
        <v>2916</v>
      </c>
      <c r="C1430" t="s">
        <v>1365</v>
      </c>
      <c r="D1430" t="s">
        <v>1313</v>
      </c>
      <c r="E1430" s="220">
        <v>6.8599999999999994E-2</v>
      </c>
    </row>
    <row r="1431" spans="1:5">
      <c r="A1431" t="s">
        <v>726</v>
      </c>
      <c r="B1431" t="s">
        <v>2916</v>
      </c>
      <c r="C1431" t="s">
        <v>1365</v>
      </c>
      <c r="D1431" t="s">
        <v>1313</v>
      </c>
      <c r="E1431" s="220">
        <v>6.8599999999999994E-2</v>
      </c>
    </row>
    <row r="1432" spans="1:5">
      <c r="A1432" t="s">
        <v>738</v>
      </c>
      <c r="B1432" t="s">
        <v>2916</v>
      </c>
      <c r="C1432" t="s">
        <v>1365</v>
      </c>
      <c r="D1432" t="s">
        <v>1313</v>
      </c>
      <c r="E1432" s="220">
        <v>6.8599999999999994E-2</v>
      </c>
    </row>
    <row r="1433" spans="1:5">
      <c r="A1433" t="s">
        <v>747</v>
      </c>
      <c r="B1433" t="s">
        <v>2916</v>
      </c>
      <c r="C1433" t="s">
        <v>1365</v>
      </c>
      <c r="D1433" t="s">
        <v>1313</v>
      </c>
      <c r="E1433" s="220">
        <v>6.8599999999999994E-2</v>
      </c>
    </row>
    <row r="1434" spans="1:5">
      <c r="A1434" t="s">
        <v>754</v>
      </c>
      <c r="B1434" t="s">
        <v>2916</v>
      </c>
      <c r="C1434" t="s">
        <v>1365</v>
      </c>
      <c r="D1434" t="s">
        <v>1313</v>
      </c>
      <c r="E1434" s="220">
        <v>6.8599999999999994E-2</v>
      </c>
    </row>
    <row r="1435" spans="1:5">
      <c r="A1435" t="s">
        <v>757</v>
      </c>
      <c r="B1435" t="s">
        <v>2916</v>
      </c>
      <c r="C1435" t="s">
        <v>1365</v>
      </c>
      <c r="D1435" t="s">
        <v>1313</v>
      </c>
      <c r="E1435" s="220">
        <v>6.8599999999999994E-2</v>
      </c>
    </row>
    <row r="1436" spans="1:5">
      <c r="A1436" t="s">
        <v>823</v>
      </c>
      <c r="B1436" t="s">
        <v>2916</v>
      </c>
      <c r="C1436" t="s">
        <v>1365</v>
      </c>
      <c r="D1436" t="s">
        <v>1313</v>
      </c>
      <c r="E1436" s="220">
        <v>6.8599999999999994E-2</v>
      </c>
    </row>
    <row r="1437" spans="1:5">
      <c r="A1437" t="s">
        <v>767</v>
      </c>
      <c r="B1437" t="s">
        <v>2916</v>
      </c>
      <c r="C1437" t="s">
        <v>1365</v>
      </c>
      <c r="D1437" t="s">
        <v>1313</v>
      </c>
      <c r="E1437" s="220">
        <v>6.8599999999999994E-2</v>
      </c>
    </row>
    <row r="1438" spans="1:5">
      <c r="A1438" t="s">
        <v>761</v>
      </c>
      <c r="B1438" t="s">
        <v>2916</v>
      </c>
      <c r="C1438" t="s">
        <v>1365</v>
      </c>
      <c r="D1438" t="s">
        <v>1313</v>
      </c>
      <c r="E1438" s="220">
        <v>6.8599999999999994E-2</v>
      </c>
    </row>
    <row r="1439" spans="1:5">
      <c r="A1439" t="s">
        <v>770</v>
      </c>
      <c r="B1439" t="s">
        <v>2916</v>
      </c>
      <c r="C1439" t="s">
        <v>1365</v>
      </c>
      <c r="D1439" t="s">
        <v>1313</v>
      </c>
      <c r="E1439" s="220">
        <v>6.8599999999999994E-2</v>
      </c>
    </row>
    <row r="1440" spans="1:5">
      <c r="A1440" t="s">
        <v>773</v>
      </c>
      <c r="B1440" t="s">
        <v>2916</v>
      </c>
      <c r="C1440" t="s">
        <v>1365</v>
      </c>
      <c r="D1440" t="s">
        <v>1313</v>
      </c>
      <c r="E1440" s="220">
        <v>6.8599999999999994E-2</v>
      </c>
    </row>
    <row r="1441" spans="1:5">
      <c r="A1441" t="s">
        <v>1154</v>
      </c>
      <c r="B1441" t="s">
        <v>2916</v>
      </c>
      <c r="C1441" t="s">
        <v>1365</v>
      </c>
      <c r="D1441" t="s">
        <v>1313</v>
      </c>
      <c r="E1441" s="220">
        <v>6.8599999999999994E-2</v>
      </c>
    </row>
    <row r="1442" spans="1:5">
      <c r="A1442" t="s">
        <v>788</v>
      </c>
      <c r="B1442" t="s">
        <v>2916</v>
      </c>
      <c r="C1442" t="s">
        <v>1365</v>
      </c>
      <c r="D1442" t="s">
        <v>1313</v>
      </c>
      <c r="E1442" s="220">
        <v>6.8599999999999994E-2</v>
      </c>
    </row>
    <row r="1443" spans="1:5">
      <c r="A1443" t="s">
        <v>805</v>
      </c>
      <c r="B1443" t="s">
        <v>2916</v>
      </c>
      <c r="C1443" t="s">
        <v>1365</v>
      </c>
      <c r="D1443" t="s">
        <v>1313</v>
      </c>
      <c r="E1443" s="220">
        <v>6.8599999999999994E-2</v>
      </c>
    </row>
    <row r="1444" spans="1:5">
      <c r="A1444" t="s">
        <v>808</v>
      </c>
      <c r="B1444" t="s">
        <v>2916</v>
      </c>
      <c r="C1444" t="s">
        <v>1365</v>
      </c>
      <c r="D1444" t="s">
        <v>1313</v>
      </c>
      <c r="E1444" s="220">
        <v>6.4000000000000001E-2</v>
      </c>
    </row>
    <row r="1445" spans="1:5">
      <c r="A1445" t="s">
        <v>1238</v>
      </c>
      <c r="B1445" t="s">
        <v>2916</v>
      </c>
      <c r="C1445" t="s">
        <v>1365</v>
      </c>
      <c r="D1445" t="s">
        <v>1313</v>
      </c>
      <c r="E1445" s="220">
        <v>6.8599999999999994E-2</v>
      </c>
    </row>
    <row r="1446" spans="1:5">
      <c r="A1446" t="s">
        <v>833</v>
      </c>
      <c r="B1446" t="s">
        <v>2916</v>
      </c>
      <c r="C1446" t="s">
        <v>1365</v>
      </c>
      <c r="D1446" t="s">
        <v>1313</v>
      </c>
      <c r="E1446" s="220">
        <v>6.8599999999999994E-2</v>
      </c>
    </row>
    <row r="1447" spans="1:5">
      <c r="A1447" t="s">
        <v>839</v>
      </c>
      <c r="B1447" t="s">
        <v>2916</v>
      </c>
      <c r="C1447" t="s">
        <v>1365</v>
      </c>
      <c r="D1447" t="s">
        <v>1313</v>
      </c>
      <c r="E1447" s="220">
        <v>6.8599999999999994E-2</v>
      </c>
    </row>
    <row r="1448" spans="1:5">
      <c r="A1448" t="s">
        <v>845</v>
      </c>
      <c r="B1448" t="s">
        <v>2916</v>
      </c>
      <c r="C1448" t="s">
        <v>1365</v>
      </c>
      <c r="D1448" t="s">
        <v>1313</v>
      </c>
      <c r="E1448" s="220">
        <v>6.8599999999999994E-2</v>
      </c>
    </row>
    <row r="1449" spans="1:5">
      <c r="A1449" t="s">
        <v>854</v>
      </c>
      <c r="B1449" t="s">
        <v>2916</v>
      </c>
      <c r="C1449" t="s">
        <v>1365</v>
      </c>
      <c r="D1449" t="s">
        <v>1313</v>
      </c>
      <c r="E1449" s="220">
        <v>6.8599999999999994E-2</v>
      </c>
    </row>
    <row r="1450" spans="1:5">
      <c r="A1450" t="s">
        <v>863</v>
      </c>
      <c r="B1450" t="s">
        <v>2916</v>
      </c>
      <c r="C1450" t="s">
        <v>1365</v>
      </c>
      <c r="D1450" t="s">
        <v>1313</v>
      </c>
      <c r="E1450" s="220">
        <v>6.8599999999999994E-2</v>
      </c>
    </row>
    <row r="1451" spans="1:5">
      <c r="A1451" t="s">
        <v>860</v>
      </c>
      <c r="B1451" t="s">
        <v>2916</v>
      </c>
      <c r="C1451" t="s">
        <v>1365</v>
      </c>
      <c r="D1451" t="s">
        <v>1313</v>
      </c>
      <c r="E1451" s="220">
        <v>6.8599999999999994E-2</v>
      </c>
    </row>
    <row r="1452" spans="1:5">
      <c r="A1452" t="s">
        <v>744</v>
      </c>
      <c r="B1452" t="s">
        <v>2916</v>
      </c>
      <c r="C1452" t="s">
        <v>1365</v>
      </c>
      <c r="D1452" t="s">
        <v>1313</v>
      </c>
      <c r="E1452" s="220">
        <v>6.8599999999999994E-2</v>
      </c>
    </row>
    <row r="1453" spans="1:5">
      <c r="A1453" t="s">
        <v>857</v>
      </c>
      <c r="B1453" t="s">
        <v>2916</v>
      </c>
      <c r="C1453" t="s">
        <v>1365</v>
      </c>
      <c r="D1453" t="s">
        <v>1313</v>
      </c>
      <c r="E1453" s="220">
        <v>6.8599999999999994E-2</v>
      </c>
    </row>
    <row r="1454" spans="1:5">
      <c r="A1454" t="s">
        <v>866</v>
      </c>
      <c r="B1454" t="s">
        <v>2916</v>
      </c>
      <c r="C1454" t="s">
        <v>1365</v>
      </c>
      <c r="D1454" t="s">
        <v>1313</v>
      </c>
      <c r="E1454" s="220">
        <v>6.8599999999999994E-2</v>
      </c>
    </row>
    <row r="1455" spans="1:5">
      <c r="A1455" t="s">
        <v>875</v>
      </c>
      <c r="B1455" t="s">
        <v>2916</v>
      </c>
      <c r="C1455" t="s">
        <v>1365</v>
      </c>
      <c r="D1455" t="s">
        <v>1313</v>
      </c>
      <c r="E1455" s="220">
        <v>6.8599999999999994E-2</v>
      </c>
    </row>
    <row r="1456" spans="1:5">
      <c r="A1456" t="s">
        <v>872</v>
      </c>
      <c r="B1456" t="s">
        <v>2916</v>
      </c>
      <c r="C1456" t="s">
        <v>1365</v>
      </c>
      <c r="D1456" t="s">
        <v>1313</v>
      </c>
      <c r="E1456" s="220">
        <v>6.8599999999999994E-2</v>
      </c>
    </row>
    <row r="1457" spans="1:5">
      <c r="A1457" t="s">
        <v>884</v>
      </c>
      <c r="B1457" t="s">
        <v>2916</v>
      </c>
      <c r="C1457" t="s">
        <v>1365</v>
      </c>
      <c r="D1457" t="s">
        <v>1313</v>
      </c>
      <c r="E1457" s="220">
        <v>6.8599999999999994E-2</v>
      </c>
    </row>
    <row r="1458" spans="1:5">
      <c r="A1458" t="s">
        <v>878</v>
      </c>
      <c r="B1458" t="s">
        <v>2916</v>
      </c>
      <c r="C1458" t="s">
        <v>1365</v>
      </c>
      <c r="D1458" t="s">
        <v>1313</v>
      </c>
      <c r="E1458" s="220">
        <v>6.8599999999999994E-2</v>
      </c>
    </row>
    <row r="1459" spans="1:5">
      <c r="A1459" t="s">
        <v>881</v>
      </c>
      <c r="B1459" t="s">
        <v>2916</v>
      </c>
      <c r="C1459" t="s">
        <v>1365</v>
      </c>
      <c r="D1459" t="s">
        <v>1313</v>
      </c>
      <c r="E1459" s="220">
        <v>6.8599999999999994E-2</v>
      </c>
    </row>
    <row r="1460" spans="1:5">
      <c r="A1460" t="s">
        <v>869</v>
      </c>
      <c r="B1460" t="s">
        <v>2916</v>
      </c>
      <c r="C1460" t="s">
        <v>1365</v>
      </c>
      <c r="D1460" t="s">
        <v>1313</v>
      </c>
      <c r="E1460" s="220">
        <v>6.8599999999999994E-2</v>
      </c>
    </row>
    <row r="1461" spans="1:5">
      <c r="A1461" t="s">
        <v>891</v>
      </c>
      <c r="B1461" t="s">
        <v>2916</v>
      </c>
      <c r="C1461" t="s">
        <v>1365</v>
      </c>
      <c r="D1461" t="s">
        <v>1313</v>
      </c>
      <c r="E1461" s="220">
        <v>6.8599999999999994E-2</v>
      </c>
    </row>
    <row r="1462" spans="1:5">
      <c r="A1462" t="s">
        <v>894</v>
      </c>
      <c r="B1462" t="s">
        <v>2916</v>
      </c>
      <c r="C1462" t="s">
        <v>1365</v>
      </c>
      <c r="D1462" t="s">
        <v>1313</v>
      </c>
      <c r="E1462" s="220">
        <v>6.8599999999999994E-2</v>
      </c>
    </row>
    <row r="1463" spans="1:5">
      <c r="A1463" t="s">
        <v>897</v>
      </c>
      <c r="B1463" t="s">
        <v>2916</v>
      </c>
      <c r="C1463" t="s">
        <v>1365</v>
      </c>
      <c r="D1463" t="s">
        <v>1313</v>
      </c>
      <c r="E1463" s="220">
        <v>6.8599999999999994E-2</v>
      </c>
    </row>
    <row r="1464" spans="1:5">
      <c r="A1464" t="s">
        <v>903</v>
      </c>
      <c r="B1464" t="s">
        <v>2916</v>
      </c>
      <c r="C1464" t="s">
        <v>1365</v>
      </c>
      <c r="D1464" t="s">
        <v>1313</v>
      </c>
      <c r="E1464" s="220">
        <v>6.8599999999999994E-2</v>
      </c>
    </row>
    <row r="1465" spans="1:5">
      <c r="A1465" t="s">
        <v>900</v>
      </c>
      <c r="B1465" t="s">
        <v>2916</v>
      </c>
      <c r="C1465" t="s">
        <v>1365</v>
      </c>
      <c r="D1465" t="s">
        <v>1313</v>
      </c>
      <c r="E1465" s="220">
        <v>6.8599999999999994E-2</v>
      </c>
    </row>
    <row r="1466" spans="1:5">
      <c r="A1466" t="s">
        <v>699</v>
      </c>
      <c r="B1466" t="s">
        <v>2916</v>
      </c>
      <c r="C1466" t="s">
        <v>1365</v>
      </c>
      <c r="D1466" t="s">
        <v>1313</v>
      </c>
      <c r="E1466" s="220">
        <v>6.8599999999999994E-2</v>
      </c>
    </row>
    <row r="1467" spans="1:5">
      <c r="A1467" t="s">
        <v>1160</v>
      </c>
      <c r="B1467" t="s">
        <v>2916</v>
      </c>
      <c r="C1467" t="s">
        <v>1365</v>
      </c>
      <c r="D1467" t="s">
        <v>1313</v>
      </c>
      <c r="E1467" s="220">
        <v>6.8599999999999994E-2</v>
      </c>
    </row>
    <row r="1468" spans="1:5">
      <c r="A1468" t="s">
        <v>915</v>
      </c>
      <c r="B1468" t="s">
        <v>2916</v>
      </c>
      <c r="C1468" t="s">
        <v>1365</v>
      </c>
      <c r="D1468" t="s">
        <v>1313</v>
      </c>
      <c r="E1468" s="220">
        <v>6.8599999999999994E-2</v>
      </c>
    </row>
    <row r="1469" spans="1:5">
      <c r="A1469" t="s">
        <v>927</v>
      </c>
      <c r="B1469" t="s">
        <v>2916</v>
      </c>
      <c r="C1469" t="s">
        <v>1365</v>
      </c>
      <c r="D1469" t="s">
        <v>1313</v>
      </c>
      <c r="E1469" s="220">
        <v>6.8599999999999994E-2</v>
      </c>
    </row>
    <row r="1470" spans="1:5">
      <c r="A1470" t="s">
        <v>933</v>
      </c>
      <c r="B1470" t="s">
        <v>2916</v>
      </c>
      <c r="C1470" t="s">
        <v>1365</v>
      </c>
      <c r="D1470" t="s">
        <v>1313</v>
      </c>
      <c r="E1470" s="220">
        <v>6.8599999999999994E-2</v>
      </c>
    </row>
    <row r="1471" spans="1:5">
      <c r="A1471" t="s">
        <v>939</v>
      </c>
      <c r="B1471" t="s">
        <v>2916</v>
      </c>
      <c r="C1471" t="s">
        <v>1365</v>
      </c>
      <c r="D1471" t="s">
        <v>1313</v>
      </c>
      <c r="E1471" s="220">
        <v>6.8599999999999994E-2</v>
      </c>
    </row>
    <row r="1472" spans="1:5">
      <c r="A1472" t="s">
        <v>1163</v>
      </c>
      <c r="B1472" t="s">
        <v>2916</v>
      </c>
      <c r="C1472" t="s">
        <v>1365</v>
      </c>
      <c r="D1472" t="s">
        <v>1313</v>
      </c>
      <c r="E1472" s="220">
        <v>6.8599999999999994E-2</v>
      </c>
    </row>
    <row r="1473" spans="1:5">
      <c r="A1473" t="s">
        <v>1157</v>
      </c>
      <c r="B1473" t="s">
        <v>2916</v>
      </c>
      <c r="C1473" t="s">
        <v>1365</v>
      </c>
      <c r="D1473" t="s">
        <v>1313</v>
      </c>
      <c r="E1473" s="220">
        <v>6.8599999999999994E-2</v>
      </c>
    </row>
    <row r="1474" spans="1:5">
      <c r="A1474" t="s">
        <v>954</v>
      </c>
      <c r="B1474" t="s">
        <v>2916</v>
      </c>
      <c r="C1474" t="s">
        <v>1365</v>
      </c>
      <c r="D1474" t="s">
        <v>1313</v>
      </c>
      <c r="E1474" s="220">
        <v>6.8599999999999994E-2</v>
      </c>
    </row>
    <row r="1475" spans="1:5">
      <c r="A1475" t="s">
        <v>957</v>
      </c>
      <c r="B1475" t="s">
        <v>2916</v>
      </c>
      <c r="C1475" t="s">
        <v>1365</v>
      </c>
      <c r="D1475" t="s">
        <v>1313</v>
      </c>
      <c r="E1475" s="220">
        <v>6.8599999999999994E-2</v>
      </c>
    </row>
    <row r="1476" spans="1:5">
      <c r="A1476" t="s">
        <v>936</v>
      </c>
      <c r="B1476" t="s">
        <v>2916</v>
      </c>
      <c r="C1476" t="s">
        <v>1365</v>
      </c>
      <c r="D1476" t="s">
        <v>1313</v>
      </c>
      <c r="E1476" s="220">
        <v>6.8599999999999994E-2</v>
      </c>
    </row>
    <row r="1477" spans="1:5">
      <c r="A1477" t="s">
        <v>999</v>
      </c>
      <c r="B1477" t="s">
        <v>2916</v>
      </c>
      <c r="C1477" t="s">
        <v>1365</v>
      </c>
      <c r="D1477" t="s">
        <v>1313</v>
      </c>
      <c r="E1477" s="220">
        <v>6.8599999999999994E-2</v>
      </c>
    </row>
    <row r="1478" spans="1:5">
      <c r="A1478" t="s">
        <v>993</v>
      </c>
      <c r="B1478" t="s">
        <v>2916</v>
      </c>
      <c r="C1478" t="s">
        <v>1365</v>
      </c>
      <c r="D1478" t="s">
        <v>1313</v>
      </c>
      <c r="E1478" s="220">
        <v>6.8599999999999994E-2</v>
      </c>
    </row>
    <row r="1479" spans="1:5">
      <c r="A1479" t="s">
        <v>963</v>
      </c>
      <c r="B1479" t="s">
        <v>2916</v>
      </c>
      <c r="C1479" t="s">
        <v>1365</v>
      </c>
      <c r="D1479" t="s">
        <v>1313</v>
      </c>
      <c r="E1479" s="220">
        <v>6.8599999999999994E-2</v>
      </c>
    </row>
    <row r="1480" spans="1:5">
      <c r="A1480" t="s">
        <v>981</v>
      </c>
      <c r="B1480" t="s">
        <v>2916</v>
      </c>
      <c r="C1480" t="s">
        <v>1365</v>
      </c>
      <c r="D1480" t="s">
        <v>1313</v>
      </c>
      <c r="E1480" s="220">
        <v>6.8599999999999994E-2</v>
      </c>
    </row>
    <row r="1481" spans="1:5">
      <c r="A1481" t="s">
        <v>1020</v>
      </c>
      <c r="B1481" t="s">
        <v>2916</v>
      </c>
      <c r="C1481" t="s">
        <v>1365</v>
      </c>
      <c r="D1481" t="s">
        <v>1313</v>
      </c>
      <c r="E1481" s="220">
        <v>6.8599999999999994E-2</v>
      </c>
    </row>
    <row r="1482" spans="1:5">
      <c r="A1482" t="s">
        <v>972</v>
      </c>
      <c r="B1482" t="s">
        <v>2916</v>
      </c>
      <c r="C1482" t="s">
        <v>1365</v>
      </c>
      <c r="D1482" t="s">
        <v>1313</v>
      </c>
      <c r="E1482" s="220">
        <v>6.8599999999999994E-2</v>
      </c>
    </row>
    <row r="1483" spans="1:5">
      <c r="A1483" t="s">
        <v>1042</v>
      </c>
      <c r="B1483" t="s">
        <v>2916</v>
      </c>
      <c r="C1483" t="s">
        <v>1365</v>
      </c>
      <c r="D1483" t="s">
        <v>1313</v>
      </c>
      <c r="E1483" s="220">
        <v>6.8599999999999994E-2</v>
      </c>
    </row>
    <row r="1484" spans="1:5">
      <c r="A1484" t="s">
        <v>1032</v>
      </c>
      <c r="B1484" t="s">
        <v>2916</v>
      </c>
      <c r="C1484" t="s">
        <v>1365</v>
      </c>
      <c r="D1484" t="s">
        <v>1313</v>
      </c>
      <c r="E1484" s="220">
        <v>6.8599999999999994E-2</v>
      </c>
    </row>
    <row r="1485" spans="1:5">
      <c r="A1485" t="s">
        <v>1055</v>
      </c>
      <c r="B1485" t="s">
        <v>2916</v>
      </c>
      <c r="C1485" t="s">
        <v>1365</v>
      </c>
      <c r="D1485" t="s">
        <v>1313</v>
      </c>
      <c r="E1485" s="220">
        <v>6.8599999999999994E-2</v>
      </c>
    </row>
    <row r="1486" spans="1:5">
      <c r="A1486" t="s">
        <v>1029</v>
      </c>
      <c r="B1486" t="s">
        <v>2916</v>
      </c>
      <c r="C1486" t="s">
        <v>1365</v>
      </c>
      <c r="D1486" t="s">
        <v>1313</v>
      </c>
      <c r="E1486" s="220">
        <v>6.8599999999999994E-2</v>
      </c>
    </row>
    <row r="1487" spans="1:5">
      <c r="A1487" t="s">
        <v>1039</v>
      </c>
      <c r="B1487" t="s">
        <v>2916</v>
      </c>
      <c r="C1487" t="s">
        <v>1365</v>
      </c>
      <c r="D1487" t="s">
        <v>1313</v>
      </c>
      <c r="E1487" s="220">
        <v>6.8599999999999994E-2</v>
      </c>
    </row>
    <row r="1488" spans="1:5">
      <c r="A1488" t="s">
        <v>1058</v>
      </c>
      <c r="B1488" t="s">
        <v>2916</v>
      </c>
      <c r="C1488" t="s">
        <v>1365</v>
      </c>
      <c r="D1488" t="s">
        <v>1313</v>
      </c>
      <c r="E1488" s="220">
        <v>6.8599999999999994E-2</v>
      </c>
    </row>
    <row r="1489" spans="1:5">
      <c r="A1489" t="s">
        <v>1061</v>
      </c>
      <c r="B1489" t="s">
        <v>2916</v>
      </c>
      <c r="C1489" t="s">
        <v>1365</v>
      </c>
      <c r="D1489" t="s">
        <v>1313</v>
      </c>
      <c r="E1489" s="220">
        <v>6.8599999999999994E-2</v>
      </c>
    </row>
    <row r="1490" spans="1:5">
      <c r="A1490" t="s">
        <v>1067</v>
      </c>
      <c r="B1490" t="s">
        <v>2916</v>
      </c>
      <c r="C1490" t="s">
        <v>1365</v>
      </c>
      <c r="D1490" t="s">
        <v>1313</v>
      </c>
      <c r="E1490" s="220">
        <v>6.8599999999999994E-2</v>
      </c>
    </row>
    <row r="1491" spans="1:5">
      <c r="A1491" t="s">
        <v>1076</v>
      </c>
      <c r="B1491" t="s">
        <v>2916</v>
      </c>
      <c r="C1491" t="s">
        <v>1365</v>
      </c>
      <c r="D1491" t="s">
        <v>1313</v>
      </c>
      <c r="E1491" s="220">
        <v>6.8599999999999994E-2</v>
      </c>
    </row>
    <row r="1492" spans="1:5">
      <c r="A1492" t="s">
        <v>1079</v>
      </c>
      <c r="B1492" t="s">
        <v>2916</v>
      </c>
      <c r="C1492" t="s">
        <v>1365</v>
      </c>
      <c r="D1492" t="s">
        <v>1313</v>
      </c>
      <c r="E1492" s="220">
        <v>6.8599999999999994E-2</v>
      </c>
    </row>
    <row r="1493" spans="1:5">
      <c r="A1493" t="s">
        <v>1082</v>
      </c>
      <c r="B1493" t="s">
        <v>2916</v>
      </c>
      <c r="C1493" t="s">
        <v>1365</v>
      </c>
      <c r="D1493" t="s">
        <v>1313</v>
      </c>
      <c r="E1493" s="220">
        <v>6.8599999999999994E-2</v>
      </c>
    </row>
    <row r="1494" spans="1:5">
      <c r="A1494" t="s">
        <v>1085</v>
      </c>
      <c r="B1494" t="s">
        <v>2916</v>
      </c>
      <c r="C1494" t="s">
        <v>1365</v>
      </c>
      <c r="D1494" t="s">
        <v>1313</v>
      </c>
      <c r="E1494" s="220">
        <v>6.8599999999999994E-2</v>
      </c>
    </row>
    <row r="1495" spans="1:5">
      <c r="A1495" t="s">
        <v>1073</v>
      </c>
      <c r="B1495" t="s">
        <v>2916</v>
      </c>
      <c r="C1495" t="s">
        <v>1365</v>
      </c>
      <c r="D1495" t="s">
        <v>1313</v>
      </c>
      <c r="E1495" s="220">
        <v>6.8599999999999994E-2</v>
      </c>
    </row>
    <row r="1496" spans="1:5">
      <c r="A1496" t="s">
        <v>1264</v>
      </c>
      <c r="B1496" t="s">
        <v>2916</v>
      </c>
      <c r="C1496" t="s">
        <v>1365</v>
      </c>
      <c r="D1496" t="s">
        <v>1313</v>
      </c>
      <c r="E1496" s="220">
        <v>6.8599999999999994E-2</v>
      </c>
    </row>
    <row r="1497" spans="1:5">
      <c r="A1497" t="s">
        <v>1091</v>
      </c>
      <c r="B1497" t="s">
        <v>2916</v>
      </c>
      <c r="C1497" t="s">
        <v>1365</v>
      </c>
      <c r="D1497" t="s">
        <v>1313</v>
      </c>
      <c r="E1497" s="220">
        <v>6.8599999999999994E-2</v>
      </c>
    </row>
    <row r="1498" spans="1:5">
      <c r="A1498" t="s">
        <v>1094</v>
      </c>
      <c r="B1498" t="s">
        <v>2916</v>
      </c>
      <c r="C1498" t="s">
        <v>1365</v>
      </c>
      <c r="D1498" t="s">
        <v>1313</v>
      </c>
      <c r="E1498" s="220">
        <v>6.8599999999999994E-2</v>
      </c>
    </row>
    <row r="1499" spans="1:5">
      <c r="A1499" t="s">
        <v>1097</v>
      </c>
      <c r="B1499" t="s">
        <v>2916</v>
      </c>
      <c r="C1499" t="s">
        <v>1365</v>
      </c>
      <c r="D1499" t="s">
        <v>1313</v>
      </c>
      <c r="E1499" s="220">
        <v>6.8599999999999994E-2</v>
      </c>
    </row>
    <row r="1500" spans="1:5">
      <c r="A1500" t="s">
        <v>1113</v>
      </c>
      <c r="B1500" t="s">
        <v>2916</v>
      </c>
      <c r="C1500" t="s">
        <v>1365</v>
      </c>
      <c r="D1500" t="s">
        <v>1313</v>
      </c>
      <c r="E1500" s="220">
        <v>6.8599999999999994E-2</v>
      </c>
    </row>
    <row r="1501" spans="1:5">
      <c r="A1501" t="s">
        <v>1128</v>
      </c>
      <c r="B1501" t="s">
        <v>2916</v>
      </c>
      <c r="C1501" t="s">
        <v>1365</v>
      </c>
      <c r="D1501" t="s">
        <v>1313</v>
      </c>
      <c r="E1501" s="220">
        <v>6.8599999999999994E-2</v>
      </c>
    </row>
    <row r="1502" spans="1:5">
      <c r="A1502" t="s">
        <v>779</v>
      </c>
      <c r="B1502" t="s">
        <v>2916</v>
      </c>
      <c r="C1502" t="s">
        <v>1365</v>
      </c>
      <c r="D1502" t="s">
        <v>1313</v>
      </c>
      <c r="E1502" s="220">
        <v>6.8599999999999994E-2</v>
      </c>
    </row>
    <row r="1503" spans="1:5">
      <c r="A1503" t="s">
        <v>1119</v>
      </c>
      <c r="B1503" t="s">
        <v>2916</v>
      </c>
      <c r="C1503" t="s">
        <v>1365</v>
      </c>
      <c r="D1503" t="s">
        <v>1313</v>
      </c>
      <c r="E1503" s="220">
        <v>6.8599999999999994E-2</v>
      </c>
    </row>
    <row r="1504" spans="1:5">
      <c r="A1504" t="s">
        <v>1176</v>
      </c>
      <c r="B1504" t="s">
        <v>2916</v>
      </c>
      <c r="C1504" t="s">
        <v>1365</v>
      </c>
      <c r="D1504" t="s">
        <v>1313</v>
      </c>
      <c r="E1504" s="220">
        <v>6.8599999999999994E-2</v>
      </c>
    </row>
    <row r="1505" spans="1:5">
      <c r="A1505" t="s">
        <v>1135</v>
      </c>
      <c r="B1505" t="s">
        <v>2916</v>
      </c>
      <c r="C1505" t="s">
        <v>1365</v>
      </c>
      <c r="D1505" t="s">
        <v>1313</v>
      </c>
      <c r="E1505" s="220">
        <v>6.8599999999999994E-2</v>
      </c>
    </row>
    <row r="1506" spans="1:5">
      <c r="A1506" t="s">
        <v>1139</v>
      </c>
      <c r="B1506" t="s">
        <v>2916</v>
      </c>
      <c r="C1506" t="s">
        <v>1365</v>
      </c>
      <c r="D1506" t="s">
        <v>1313</v>
      </c>
      <c r="E1506" s="220">
        <v>6.8599999999999994E-2</v>
      </c>
    </row>
    <row r="1507" spans="1:5">
      <c r="A1507" t="s">
        <v>1179</v>
      </c>
      <c r="B1507" t="s">
        <v>2916</v>
      </c>
      <c r="C1507" t="s">
        <v>1365</v>
      </c>
      <c r="D1507" t="s">
        <v>1313</v>
      </c>
      <c r="E1507" s="220">
        <v>6.8599999999999994E-2</v>
      </c>
    </row>
    <row r="1508" spans="1:5">
      <c r="A1508" t="s">
        <v>1185</v>
      </c>
      <c r="B1508" t="s">
        <v>2916</v>
      </c>
      <c r="C1508" t="s">
        <v>1365</v>
      </c>
      <c r="D1508" t="s">
        <v>1313</v>
      </c>
      <c r="E1508" s="220">
        <v>6.8599999999999994E-2</v>
      </c>
    </row>
    <row r="1509" spans="1:5">
      <c r="A1509" t="s">
        <v>1198</v>
      </c>
      <c r="B1509" t="s">
        <v>2916</v>
      </c>
      <c r="C1509" t="s">
        <v>1365</v>
      </c>
      <c r="D1509" t="s">
        <v>1313</v>
      </c>
      <c r="E1509" s="220">
        <v>6.8599999999999994E-2</v>
      </c>
    </row>
    <row r="1510" spans="1:5">
      <c r="A1510" t="s">
        <v>1210</v>
      </c>
      <c r="B1510" t="s">
        <v>2916</v>
      </c>
      <c r="C1510" t="s">
        <v>1365</v>
      </c>
      <c r="D1510" t="s">
        <v>1313</v>
      </c>
      <c r="E1510" s="220">
        <v>6.8599999999999994E-2</v>
      </c>
    </row>
    <row r="1511" spans="1:5">
      <c r="A1511" t="s">
        <v>1216</v>
      </c>
      <c r="B1511" t="s">
        <v>2916</v>
      </c>
      <c r="C1511" t="s">
        <v>1365</v>
      </c>
      <c r="D1511" t="s">
        <v>1313</v>
      </c>
      <c r="E1511" s="220">
        <v>6.8599999999999994E-2</v>
      </c>
    </row>
    <row r="1512" spans="1:5">
      <c r="A1512" t="s">
        <v>1189</v>
      </c>
      <c r="B1512" t="s">
        <v>2916</v>
      </c>
      <c r="C1512" t="s">
        <v>1365</v>
      </c>
      <c r="D1512" t="s">
        <v>1313</v>
      </c>
      <c r="E1512" s="220">
        <v>6.8599999999999994E-2</v>
      </c>
    </row>
    <row r="1513" spans="1:5">
      <c r="A1513" t="s">
        <v>1232</v>
      </c>
      <c r="B1513" t="s">
        <v>2916</v>
      </c>
      <c r="C1513" t="s">
        <v>1365</v>
      </c>
      <c r="D1513" t="s">
        <v>1313</v>
      </c>
      <c r="E1513" s="220">
        <v>6.8599999999999994E-2</v>
      </c>
    </row>
    <row r="1514" spans="1:5">
      <c r="A1514" t="s">
        <v>1244</v>
      </c>
      <c r="B1514" t="s">
        <v>2916</v>
      </c>
      <c r="C1514" t="s">
        <v>1365</v>
      </c>
      <c r="D1514" t="s">
        <v>1313</v>
      </c>
      <c r="E1514" s="220">
        <v>6.8599999999999994E-2</v>
      </c>
    </row>
    <row r="1515" spans="1:5">
      <c r="A1515" t="s">
        <v>1241</v>
      </c>
      <c r="B1515" t="s">
        <v>2916</v>
      </c>
      <c r="C1515" t="s">
        <v>1365</v>
      </c>
      <c r="D1515" t="s">
        <v>1313</v>
      </c>
      <c r="E1515" s="220">
        <v>6.8599999999999994E-2</v>
      </c>
    </row>
    <row r="1516" spans="1:5">
      <c r="A1516" t="s">
        <v>1170</v>
      </c>
      <c r="B1516" t="s">
        <v>2916</v>
      </c>
      <c r="C1516" t="s">
        <v>1365</v>
      </c>
      <c r="D1516" t="s">
        <v>1313</v>
      </c>
      <c r="E1516" s="220">
        <v>6.8599999999999994E-2</v>
      </c>
    </row>
    <row r="1517" spans="1:5">
      <c r="A1517" t="s">
        <v>1253</v>
      </c>
      <c r="B1517" t="s">
        <v>2916</v>
      </c>
      <c r="C1517" t="s">
        <v>1365</v>
      </c>
      <c r="D1517" t="s">
        <v>1313</v>
      </c>
      <c r="E1517" s="220">
        <v>6.8599999999999994E-2</v>
      </c>
    </row>
    <row r="1518" spans="1:5">
      <c r="A1518" t="s">
        <v>1257</v>
      </c>
      <c r="B1518" t="s">
        <v>2916</v>
      </c>
      <c r="C1518" t="s">
        <v>1365</v>
      </c>
      <c r="D1518" t="s">
        <v>1313</v>
      </c>
      <c r="E1518" s="220">
        <v>6.8599999999999994E-2</v>
      </c>
    </row>
    <row r="1519" spans="1:5">
      <c r="A1519" t="s">
        <v>1268</v>
      </c>
      <c r="B1519" t="s">
        <v>2916</v>
      </c>
      <c r="C1519" t="s">
        <v>1365</v>
      </c>
      <c r="D1519" t="s">
        <v>1313</v>
      </c>
      <c r="E1519" s="220">
        <v>6.8599999999999994E-2</v>
      </c>
    </row>
    <row r="1520" spans="1:5">
      <c r="A1520" t="s">
        <v>1148</v>
      </c>
      <c r="B1520" t="s">
        <v>2916</v>
      </c>
      <c r="C1520" t="s">
        <v>1365</v>
      </c>
      <c r="D1520" t="s">
        <v>1313</v>
      </c>
      <c r="E1520" s="220">
        <v>6.8599999999999994E-2</v>
      </c>
    </row>
    <row r="1521" spans="1:5">
      <c r="A1521" t="s">
        <v>580</v>
      </c>
      <c r="B1521" t="s">
        <v>2916</v>
      </c>
      <c r="C1521" t="s">
        <v>1372</v>
      </c>
      <c r="D1521" t="s">
        <v>1313</v>
      </c>
      <c r="E1521" s="220">
        <v>6.8599999999999994E-2</v>
      </c>
    </row>
    <row r="1522" spans="1:5">
      <c r="A1522" t="s">
        <v>587</v>
      </c>
      <c r="B1522" t="s">
        <v>2916</v>
      </c>
      <c r="C1522" t="s">
        <v>1372</v>
      </c>
      <c r="D1522" t="s">
        <v>1313</v>
      </c>
      <c r="E1522" s="220">
        <v>6.8599999999999994E-2</v>
      </c>
    </row>
    <row r="1523" spans="1:5">
      <c r="A1523" t="s">
        <v>1235</v>
      </c>
      <c r="B1523" t="s">
        <v>2916</v>
      </c>
      <c r="C1523" t="s">
        <v>1372</v>
      </c>
      <c r="D1523" t="s">
        <v>1313</v>
      </c>
      <c r="E1523" s="220">
        <v>6.8599999999999994E-2</v>
      </c>
    </row>
    <row r="1524" spans="1:5">
      <c r="A1524" t="s">
        <v>626</v>
      </c>
      <c r="B1524" t="s">
        <v>2916</v>
      </c>
      <c r="C1524" t="s">
        <v>1372</v>
      </c>
      <c r="D1524" t="s">
        <v>1313</v>
      </c>
      <c r="E1524" s="220">
        <v>6.8599999999999994E-2</v>
      </c>
    </row>
    <row r="1525" spans="1:5">
      <c r="A1525" t="s">
        <v>629</v>
      </c>
      <c r="B1525" t="s">
        <v>2916</v>
      </c>
      <c r="C1525" t="s">
        <v>1372</v>
      </c>
      <c r="D1525" t="s">
        <v>1313</v>
      </c>
      <c r="E1525" s="220">
        <v>6.8599999999999994E-2</v>
      </c>
    </row>
    <row r="1526" spans="1:5">
      <c r="A1526" t="s">
        <v>632</v>
      </c>
      <c r="B1526" t="s">
        <v>2916</v>
      </c>
      <c r="C1526" t="s">
        <v>1372</v>
      </c>
      <c r="D1526" t="s">
        <v>1313</v>
      </c>
      <c r="E1526" s="220">
        <v>6.8599999999999994E-2</v>
      </c>
    </row>
    <row r="1527" spans="1:5">
      <c r="A1527" t="s">
        <v>650</v>
      </c>
      <c r="B1527" t="s">
        <v>2916</v>
      </c>
      <c r="C1527" t="s">
        <v>1372</v>
      </c>
      <c r="D1527" t="s">
        <v>1313</v>
      </c>
      <c r="E1527" s="220">
        <v>6.8599999999999994E-2</v>
      </c>
    </row>
    <row r="1528" spans="1:5">
      <c r="A1528" t="s">
        <v>687</v>
      </c>
      <c r="B1528" t="s">
        <v>2916</v>
      </c>
      <c r="C1528" t="s">
        <v>1372</v>
      </c>
      <c r="D1528" t="s">
        <v>1313</v>
      </c>
      <c r="E1528" s="220">
        <v>6.8599999999999994E-2</v>
      </c>
    </row>
    <row r="1529" spans="1:5">
      <c r="A1529" t="s">
        <v>638</v>
      </c>
      <c r="B1529" t="s">
        <v>2916</v>
      </c>
      <c r="C1529" t="s">
        <v>1372</v>
      </c>
      <c r="D1529" t="s">
        <v>1313</v>
      </c>
      <c r="E1529" s="220">
        <v>6.8599999999999994E-2</v>
      </c>
    </row>
    <row r="1530" spans="1:5">
      <c r="A1530" t="s">
        <v>670</v>
      </c>
      <c r="B1530" t="s">
        <v>2916</v>
      </c>
      <c r="C1530" t="s">
        <v>1372</v>
      </c>
      <c r="D1530" t="s">
        <v>1313</v>
      </c>
      <c r="E1530" s="220">
        <v>6.8599999999999994E-2</v>
      </c>
    </row>
    <row r="1531" spans="1:5">
      <c r="A1531" t="s">
        <v>647</v>
      </c>
      <c r="B1531" t="s">
        <v>2916</v>
      </c>
      <c r="C1531" t="s">
        <v>1372</v>
      </c>
      <c r="D1531" t="s">
        <v>1313</v>
      </c>
      <c r="E1531" s="220">
        <v>6.8599999999999994E-2</v>
      </c>
    </row>
    <row r="1532" spans="1:5">
      <c r="A1532" t="s">
        <v>653</v>
      </c>
      <c r="B1532" t="s">
        <v>2916</v>
      </c>
      <c r="C1532" t="s">
        <v>1372</v>
      </c>
      <c r="D1532" t="s">
        <v>1313</v>
      </c>
      <c r="E1532" s="220">
        <v>6.8599999999999994E-2</v>
      </c>
    </row>
    <row r="1533" spans="1:5">
      <c r="A1533" t="s">
        <v>664</v>
      </c>
      <c r="B1533" t="s">
        <v>2916</v>
      </c>
      <c r="C1533" t="s">
        <v>1372</v>
      </c>
      <c r="D1533" t="s">
        <v>1313</v>
      </c>
      <c r="E1533" s="220">
        <v>6.8599999999999994E-2</v>
      </c>
    </row>
    <row r="1534" spans="1:5">
      <c r="A1534" t="s">
        <v>705</v>
      </c>
      <c r="B1534" t="s">
        <v>2916</v>
      </c>
      <c r="C1534" t="s">
        <v>1372</v>
      </c>
      <c r="D1534" t="s">
        <v>1313</v>
      </c>
      <c r="E1534" s="220">
        <v>6.8599999999999994E-2</v>
      </c>
    </row>
    <row r="1535" spans="1:5">
      <c r="A1535" t="s">
        <v>1182</v>
      </c>
      <c r="B1535" t="s">
        <v>2916</v>
      </c>
      <c r="C1535" t="s">
        <v>1372</v>
      </c>
      <c r="D1535" t="s">
        <v>1313</v>
      </c>
      <c r="E1535" s="220">
        <v>6.8599999999999994E-2</v>
      </c>
    </row>
    <row r="1536" spans="1:5">
      <c r="A1536" t="s">
        <v>720</v>
      </c>
      <c r="B1536" t="s">
        <v>2916</v>
      </c>
      <c r="C1536" t="s">
        <v>1372</v>
      </c>
      <c r="D1536" t="s">
        <v>1313</v>
      </c>
      <c r="E1536" s="220">
        <v>6.8599999999999994E-2</v>
      </c>
    </row>
    <row r="1537" spans="1:5">
      <c r="A1537" t="s">
        <v>738</v>
      </c>
      <c r="B1537" t="s">
        <v>2916</v>
      </c>
      <c r="C1537" t="s">
        <v>1372</v>
      </c>
      <c r="D1537" t="s">
        <v>1313</v>
      </c>
      <c r="E1537" s="220">
        <v>6.8599999999999994E-2</v>
      </c>
    </row>
    <row r="1538" spans="1:5">
      <c r="A1538" t="s">
        <v>754</v>
      </c>
      <c r="B1538" t="s">
        <v>2916</v>
      </c>
      <c r="C1538" t="s">
        <v>1372</v>
      </c>
      <c r="D1538" t="s">
        <v>1313</v>
      </c>
      <c r="E1538" s="220">
        <v>6.8599999999999994E-2</v>
      </c>
    </row>
    <row r="1539" spans="1:5">
      <c r="A1539" t="s">
        <v>757</v>
      </c>
      <c r="B1539" t="s">
        <v>2916</v>
      </c>
      <c r="C1539" t="s">
        <v>1372</v>
      </c>
      <c r="D1539" t="s">
        <v>1313</v>
      </c>
      <c r="E1539" s="220">
        <v>6.8599999999999994E-2</v>
      </c>
    </row>
    <row r="1540" spans="1:5">
      <c r="A1540" t="s">
        <v>823</v>
      </c>
      <c r="B1540" t="s">
        <v>2916</v>
      </c>
      <c r="C1540" t="s">
        <v>1372</v>
      </c>
      <c r="D1540" t="s">
        <v>1313</v>
      </c>
      <c r="E1540" s="220">
        <v>6.8599999999999994E-2</v>
      </c>
    </row>
    <row r="1541" spans="1:5">
      <c r="A1541" t="s">
        <v>761</v>
      </c>
      <c r="B1541" t="s">
        <v>2916</v>
      </c>
      <c r="C1541" t="s">
        <v>1372</v>
      </c>
      <c r="D1541" t="s">
        <v>1313</v>
      </c>
      <c r="E1541" s="220">
        <v>6.8599999999999994E-2</v>
      </c>
    </row>
    <row r="1542" spans="1:5">
      <c r="A1542" t="s">
        <v>592</v>
      </c>
      <c r="B1542" t="s">
        <v>2916</v>
      </c>
      <c r="C1542" t="s">
        <v>1372</v>
      </c>
      <c r="D1542" t="s">
        <v>1313</v>
      </c>
      <c r="E1542" s="220">
        <v>6.8599999999999994E-2</v>
      </c>
    </row>
    <row r="1543" spans="1:5">
      <c r="A1543" t="s">
        <v>773</v>
      </c>
      <c r="B1543" t="s">
        <v>2916</v>
      </c>
      <c r="C1543" t="s">
        <v>1372</v>
      </c>
      <c r="D1543" t="s">
        <v>1313</v>
      </c>
      <c r="E1543" s="220">
        <v>6.8599999999999994E-2</v>
      </c>
    </row>
    <row r="1544" spans="1:5">
      <c r="A1544" t="s">
        <v>1154</v>
      </c>
      <c r="B1544" t="s">
        <v>2916</v>
      </c>
      <c r="C1544" t="s">
        <v>1372</v>
      </c>
      <c r="D1544" t="s">
        <v>1313</v>
      </c>
      <c r="E1544" s="220">
        <v>6.8599999999999994E-2</v>
      </c>
    </row>
    <row r="1545" spans="1:5">
      <c r="A1545" t="s">
        <v>788</v>
      </c>
      <c r="B1545" t="s">
        <v>2916</v>
      </c>
      <c r="C1545" t="s">
        <v>1372</v>
      </c>
      <c r="D1545" t="s">
        <v>1313</v>
      </c>
      <c r="E1545" s="220">
        <v>6.8599999999999994E-2</v>
      </c>
    </row>
    <row r="1546" spans="1:5">
      <c r="A1546" t="s">
        <v>805</v>
      </c>
      <c r="B1546" t="s">
        <v>2916</v>
      </c>
      <c r="C1546" t="s">
        <v>1372</v>
      </c>
      <c r="D1546" t="s">
        <v>1313</v>
      </c>
      <c r="E1546" s="220">
        <v>6.8599999999999994E-2</v>
      </c>
    </row>
    <row r="1547" spans="1:5">
      <c r="A1547" t="s">
        <v>808</v>
      </c>
      <c r="B1547" t="s">
        <v>2916</v>
      </c>
      <c r="C1547" t="s">
        <v>1372</v>
      </c>
      <c r="D1547" t="s">
        <v>1313</v>
      </c>
      <c r="E1547" s="220">
        <v>6.4000000000000001E-2</v>
      </c>
    </row>
    <row r="1548" spans="1:5">
      <c r="A1548" t="s">
        <v>1238</v>
      </c>
      <c r="B1548" t="s">
        <v>2916</v>
      </c>
      <c r="C1548" t="s">
        <v>1372</v>
      </c>
      <c r="D1548" t="s">
        <v>1313</v>
      </c>
      <c r="E1548" s="220">
        <v>6.8599999999999994E-2</v>
      </c>
    </row>
    <row r="1549" spans="1:5">
      <c r="A1549" t="s">
        <v>833</v>
      </c>
      <c r="B1549" t="s">
        <v>2916</v>
      </c>
      <c r="C1549" t="s">
        <v>1372</v>
      </c>
      <c r="D1549" t="s">
        <v>1313</v>
      </c>
      <c r="E1549" s="220">
        <v>6.8599999999999994E-2</v>
      </c>
    </row>
    <row r="1550" spans="1:5">
      <c r="A1550" t="s">
        <v>845</v>
      </c>
      <c r="B1550" t="s">
        <v>2916</v>
      </c>
      <c r="C1550" t="s">
        <v>1372</v>
      </c>
      <c r="D1550" t="s">
        <v>1313</v>
      </c>
      <c r="E1550" s="220">
        <v>6.8599999999999994E-2</v>
      </c>
    </row>
    <row r="1551" spans="1:5">
      <c r="A1551" t="s">
        <v>860</v>
      </c>
      <c r="B1551" t="s">
        <v>2916</v>
      </c>
      <c r="C1551" t="s">
        <v>1372</v>
      </c>
      <c r="D1551" t="s">
        <v>1313</v>
      </c>
      <c r="E1551" s="220">
        <v>6.8599999999999994E-2</v>
      </c>
    </row>
    <row r="1552" spans="1:5">
      <c r="A1552" t="s">
        <v>744</v>
      </c>
      <c r="B1552" t="s">
        <v>2916</v>
      </c>
      <c r="C1552" t="s">
        <v>1372</v>
      </c>
      <c r="D1552" t="s">
        <v>1313</v>
      </c>
      <c r="E1552" s="220">
        <v>6.8599999999999994E-2</v>
      </c>
    </row>
    <row r="1553" spans="1:5">
      <c r="A1553" t="s">
        <v>866</v>
      </c>
      <c r="B1553" t="s">
        <v>2916</v>
      </c>
      <c r="C1553" t="s">
        <v>1372</v>
      </c>
      <c r="D1553" t="s">
        <v>1313</v>
      </c>
      <c r="E1553" s="220">
        <v>6.8599999999999994E-2</v>
      </c>
    </row>
    <row r="1554" spans="1:5">
      <c r="A1554" t="s">
        <v>884</v>
      </c>
      <c r="B1554" t="s">
        <v>2916</v>
      </c>
      <c r="C1554" t="s">
        <v>1372</v>
      </c>
      <c r="D1554" t="s">
        <v>1313</v>
      </c>
      <c r="E1554" s="220">
        <v>6.8599999999999994E-2</v>
      </c>
    </row>
    <row r="1555" spans="1:5">
      <c r="A1555" t="s">
        <v>878</v>
      </c>
      <c r="B1555" t="s">
        <v>2916</v>
      </c>
      <c r="C1555" t="s">
        <v>1372</v>
      </c>
      <c r="D1555" t="s">
        <v>1313</v>
      </c>
      <c r="E1555" s="220">
        <v>6.8599999999999994E-2</v>
      </c>
    </row>
    <row r="1556" spans="1:5">
      <c r="A1556" t="s">
        <v>881</v>
      </c>
      <c r="B1556" t="s">
        <v>2916</v>
      </c>
      <c r="C1556" t="s">
        <v>1372</v>
      </c>
      <c r="D1556" t="s">
        <v>1313</v>
      </c>
      <c r="E1556" s="220">
        <v>6.8599999999999994E-2</v>
      </c>
    </row>
    <row r="1557" spans="1:5">
      <c r="A1557" t="s">
        <v>894</v>
      </c>
      <c r="B1557" t="s">
        <v>2916</v>
      </c>
      <c r="C1557" t="s">
        <v>1372</v>
      </c>
      <c r="D1557" t="s">
        <v>1313</v>
      </c>
      <c r="E1557" s="220">
        <v>6.8599999999999994E-2</v>
      </c>
    </row>
    <row r="1558" spans="1:5">
      <c r="A1558" t="s">
        <v>903</v>
      </c>
      <c r="B1558" t="s">
        <v>2916</v>
      </c>
      <c r="C1558" t="s">
        <v>1372</v>
      </c>
      <c r="D1558" t="s">
        <v>1313</v>
      </c>
      <c r="E1558" s="220">
        <v>6.8599999999999994E-2</v>
      </c>
    </row>
    <row r="1559" spans="1:5">
      <c r="A1559" t="s">
        <v>900</v>
      </c>
      <c r="B1559" t="s">
        <v>2916</v>
      </c>
      <c r="C1559" t="s">
        <v>1372</v>
      </c>
      <c r="D1559" t="s">
        <v>1313</v>
      </c>
      <c r="E1559" s="220">
        <v>6.8599999999999994E-2</v>
      </c>
    </row>
    <row r="1560" spans="1:5">
      <c r="A1560" t="s">
        <v>915</v>
      </c>
      <c r="B1560" t="s">
        <v>2916</v>
      </c>
      <c r="C1560" t="s">
        <v>1372</v>
      </c>
      <c r="D1560" t="s">
        <v>1313</v>
      </c>
      <c r="E1560" s="220">
        <v>6.8599999999999994E-2</v>
      </c>
    </row>
    <row r="1561" spans="1:5">
      <c r="A1561" t="s">
        <v>933</v>
      </c>
      <c r="B1561" t="s">
        <v>2916</v>
      </c>
      <c r="C1561" t="s">
        <v>1372</v>
      </c>
      <c r="D1561" t="s">
        <v>1313</v>
      </c>
      <c r="E1561" s="220">
        <v>6.8599999999999994E-2</v>
      </c>
    </row>
    <row r="1562" spans="1:5">
      <c r="A1562" t="s">
        <v>939</v>
      </c>
      <c r="B1562" t="s">
        <v>2916</v>
      </c>
      <c r="C1562" t="s">
        <v>1372</v>
      </c>
      <c r="D1562" t="s">
        <v>1313</v>
      </c>
      <c r="E1562" s="220">
        <v>6.8599999999999994E-2</v>
      </c>
    </row>
    <row r="1563" spans="1:5">
      <c r="A1563" t="s">
        <v>1157</v>
      </c>
      <c r="B1563" t="s">
        <v>2916</v>
      </c>
      <c r="C1563" t="s">
        <v>1372</v>
      </c>
      <c r="D1563" t="s">
        <v>1313</v>
      </c>
      <c r="E1563" s="220">
        <v>6.8599999999999994E-2</v>
      </c>
    </row>
    <row r="1564" spans="1:5">
      <c r="A1564" t="s">
        <v>954</v>
      </c>
      <c r="B1564" t="s">
        <v>2916</v>
      </c>
      <c r="C1564" t="s">
        <v>1372</v>
      </c>
      <c r="D1564" t="s">
        <v>1313</v>
      </c>
      <c r="E1564" s="220">
        <v>6.8599999999999994E-2</v>
      </c>
    </row>
    <row r="1565" spans="1:5">
      <c r="A1565" t="s">
        <v>957</v>
      </c>
      <c r="B1565" t="s">
        <v>2916</v>
      </c>
      <c r="C1565" t="s">
        <v>1372</v>
      </c>
      <c r="D1565" t="s">
        <v>1313</v>
      </c>
      <c r="E1565" s="220">
        <v>6.8599999999999994E-2</v>
      </c>
    </row>
    <row r="1566" spans="1:5">
      <c r="A1566" t="s">
        <v>936</v>
      </c>
      <c r="B1566" t="s">
        <v>2916</v>
      </c>
      <c r="C1566" t="s">
        <v>1372</v>
      </c>
      <c r="D1566" t="s">
        <v>1313</v>
      </c>
      <c r="E1566" s="220">
        <v>6.8599999999999994E-2</v>
      </c>
    </row>
    <row r="1567" spans="1:5">
      <c r="A1567" t="s">
        <v>1014</v>
      </c>
      <c r="B1567" t="s">
        <v>2916</v>
      </c>
      <c r="C1567" t="s">
        <v>1372</v>
      </c>
      <c r="D1567" t="s">
        <v>1313</v>
      </c>
      <c r="E1567" s="220">
        <v>6.8599999999999994E-2</v>
      </c>
    </row>
    <row r="1568" spans="1:5">
      <c r="A1568" t="s">
        <v>999</v>
      </c>
      <c r="B1568" t="s">
        <v>2916</v>
      </c>
      <c r="C1568" t="s">
        <v>1372</v>
      </c>
      <c r="D1568" t="s">
        <v>1313</v>
      </c>
      <c r="E1568" s="220">
        <v>6.8599999999999994E-2</v>
      </c>
    </row>
    <row r="1569" spans="1:5">
      <c r="A1569" t="s">
        <v>993</v>
      </c>
      <c r="B1569" t="s">
        <v>2916</v>
      </c>
      <c r="C1569" t="s">
        <v>1372</v>
      </c>
      <c r="D1569" t="s">
        <v>1313</v>
      </c>
      <c r="E1569" s="220">
        <v>6.8599999999999994E-2</v>
      </c>
    </row>
    <row r="1570" spans="1:5">
      <c r="A1570" t="s">
        <v>963</v>
      </c>
      <c r="B1570" t="s">
        <v>2916</v>
      </c>
      <c r="C1570" t="s">
        <v>1372</v>
      </c>
      <c r="D1570" t="s">
        <v>1313</v>
      </c>
      <c r="E1570" s="220">
        <v>6.8599999999999994E-2</v>
      </c>
    </row>
    <row r="1571" spans="1:5">
      <c r="A1571" t="s">
        <v>981</v>
      </c>
      <c r="B1571" t="s">
        <v>2916</v>
      </c>
      <c r="C1571" t="s">
        <v>1372</v>
      </c>
      <c r="D1571" t="s">
        <v>1313</v>
      </c>
      <c r="E1571" s="220">
        <v>6.8599999999999994E-2</v>
      </c>
    </row>
    <row r="1572" spans="1:5">
      <c r="A1572" t="s">
        <v>1042</v>
      </c>
      <c r="B1572" t="s">
        <v>2916</v>
      </c>
      <c r="C1572" t="s">
        <v>1372</v>
      </c>
      <c r="D1572" t="s">
        <v>1313</v>
      </c>
      <c r="E1572" s="220">
        <v>6.8599999999999994E-2</v>
      </c>
    </row>
    <row r="1573" spans="1:5">
      <c r="A1573" t="s">
        <v>1032</v>
      </c>
      <c r="B1573" t="s">
        <v>2916</v>
      </c>
      <c r="C1573" t="s">
        <v>1372</v>
      </c>
      <c r="D1573" t="s">
        <v>1313</v>
      </c>
      <c r="E1573" s="220">
        <v>6.8599999999999994E-2</v>
      </c>
    </row>
    <row r="1574" spans="1:5">
      <c r="A1574" t="s">
        <v>1055</v>
      </c>
      <c r="B1574" t="s">
        <v>2916</v>
      </c>
      <c r="C1574" t="s">
        <v>1372</v>
      </c>
      <c r="D1574" t="s">
        <v>1313</v>
      </c>
      <c r="E1574" s="220">
        <v>6.8599999999999994E-2</v>
      </c>
    </row>
    <row r="1575" spans="1:5">
      <c r="A1575" t="s">
        <v>1029</v>
      </c>
      <c r="B1575" t="s">
        <v>2916</v>
      </c>
      <c r="C1575" t="s">
        <v>1372</v>
      </c>
      <c r="D1575" t="s">
        <v>1313</v>
      </c>
      <c r="E1575" s="220">
        <v>6.8599999999999994E-2</v>
      </c>
    </row>
    <row r="1576" spans="1:5">
      <c r="A1576" t="s">
        <v>1039</v>
      </c>
      <c r="B1576" t="s">
        <v>2916</v>
      </c>
      <c r="C1576" t="s">
        <v>1372</v>
      </c>
      <c r="D1576" t="s">
        <v>1313</v>
      </c>
      <c r="E1576" s="220">
        <v>6.8599999999999994E-2</v>
      </c>
    </row>
    <row r="1577" spans="1:5">
      <c r="A1577" t="s">
        <v>1058</v>
      </c>
      <c r="B1577" t="s">
        <v>2916</v>
      </c>
      <c r="C1577" t="s">
        <v>1372</v>
      </c>
      <c r="D1577" t="s">
        <v>1313</v>
      </c>
      <c r="E1577" s="220">
        <v>6.8599999999999994E-2</v>
      </c>
    </row>
    <row r="1578" spans="1:5">
      <c r="A1578" t="s">
        <v>1067</v>
      </c>
      <c r="B1578" t="s">
        <v>2916</v>
      </c>
      <c r="C1578" t="s">
        <v>1372</v>
      </c>
      <c r="D1578" t="s">
        <v>1313</v>
      </c>
      <c r="E1578" s="220">
        <v>6.8599999999999994E-2</v>
      </c>
    </row>
    <row r="1579" spans="1:5">
      <c r="A1579" t="s">
        <v>1076</v>
      </c>
      <c r="B1579" t="s">
        <v>2916</v>
      </c>
      <c r="C1579" t="s">
        <v>1372</v>
      </c>
      <c r="D1579" t="s">
        <v>1313</v>
      </c>
      <c r="E1579" s="220">
        <v>6.8599999999999994E-2</v>
      </c>
    </row>
    <row r="1580" spans="1:5">
      <c r="A1580" t="s">
        <v>1079</v>
      </c>
      <c r="B1580" t="s">
        <v>2916</v>
      </c>
      <c r="C1580" t="s">
        <v>1372</v>
      </c>
      <c r="D1580" t="s">
        <v>1313</v>
      </c>
      <c r="E1580" s="220">
        <v>6.8599999999999994E-2</v>
      </c>
    </row>
    <row r="1581" spans="1:5">
      <c r="A1581" t="s">
        <v>1082</v>
      </c>
      <c r="B1581" t="s">
        <v>2916</v>
      </c>
      <c r="C1581" t="s">
        <v>1372</v>
      </c>
      <c r="D1581" t="s">
        <v>1313</v>
      </c>
      <c r="E1581" s="220">
        <v>6.8599999999999994E-2</v>
      </c>
    </row>
    <row r="1582" spans="1:5">
      <c r="A1582" t="s">
        <v>1085</v>
      </c>
      <c r="B1582" t="s">
        <v>2916</v>
      </c>
      <c r="C1582" t="s">
        <v>1372</v>
      </c>
      <c r="D1582" t="s">
        <v>1313</v>
      </c>
      <c r="E1582" s="220">
        <v>6.8599999999999994E-2</v>
      </c>
    </row>
    <row r="1583" spans="1:5">
      <c r="A1583" t="s">
        <v>1264</v>
      </c>
      <c r="B1583" t="s">
        <v>2916</v>
      </c>
      <c r="C1583" t="s">
        <v>1372</v>
      </c>
      <c r="D1583" t="s">
        <v>1313</v>
      </c>
      <c r="E1583" s="220">
        <v>6.8599999999999994E-2</v>
      </c>
    </row>
    <row r="1584" spans="1:5">
      <c r="A1584" t="s">
        <v>1091</v>
      </c>
      <c r="B1584" t="s">
        <v>2916</v>
      </c>
      <c r="C1584" t="s">
        <v>1372</v>
      </c>
      <c r="D1584" t="s">
        <v>1313</v>
      </c>
      <c r="E1584" s="220">
        <v>6.8599999999999994E-2</v>
      </c>
    </row>
    <row r="1585" spans="1:5">
      <c r="A1585" t="s">
        <v>1094</v>
      </c>
      <c r="B1585" t="s">
        <v>2916</v>
      </c>
      <c r="C1585" t="s">
        <v>1372</v>
      </c>
      <c r="D1585" t="s">
        <v>1313</v>
      </c>
      <c r="E1585" s="220">
        <v>6.8599999999999994E-2</v>
      </c>
    </row>
    <row r="1586" spans="1:5">
      <c r="A1586" t="s">
        <v>1097</v>
      </c>
      <c r="B1586" t="s">
        <v>2916</v>
      </c>
      <c r="C1586" t="s">
        <v>1372</v>
      </c>
      <c r="D1586" t="s">
        <v>1313</v>
      </c>
      <c r="E1586" s="220">
        <v>6.8599999999999994E-2</v>
      </c>
    </row>
    <row r="1587" spans="1:5">
      <c r="A1587" t="s">
        <v>1173</v>
      </c>
      <c r="B1587" t="s">
        <v>2916</v>
      </c>
      <c r="C1587" t="s">
        <v>1372</v>
      </c>
      <c r="D1587" t="s">
        <v>1313</v>
      </c>
      <c r="E1587" s="220">
        <v>6.8599999999999994E-2</v>
      </c>
    </row>
    <row r="1588" spans="1:5">
      <c r="A1588" t="s">
        <v>779</v>
      </c>
      <c r="B1588" t="s">
        <v>2916</v>
      </c>
      <c r="C1588" t="s">
        <v>1372</v>
      </c>
      <c r="D1588" t="s">
        <v>1313</v>
      </c>
      <c r="E1588" s="220">
        <v>6.8599999999999994E-2</v>
      </c>
    </row>
    <row r="1589" spans="1:5">
      <c r="A1589" t="s">
        <v>1119</v>
      </c>
      <c r="B1589" t="s">
        <v>2916</v>
      </c>
      <c r="C1589" t="s">
        <v>1372</v>
      </c>
      <c r="D1589" t="s">
        <v>1313</v>
      </c>
      <c r="E1589" s="220">
        <v>6.8599999999999994E-2</v>
      </c>
    </row>
    <row r="1590" spans="1:5">
      <c r="A1590" t="s">
        <v>1135</v>
      </c>
      <c r="B1590" t="s">
        <v>2916</v>
      </c>
      <c r="C1590" t="s">
        <v>1372</v>
      </c>
      <c r="D1590" t="s">
        <v>1313</v>
      </c>
      <c r="E1590" s="220">
        <v>6.8599999999999994E-2</v>
      </c>
    </row>
    <row r="1591" spans="1:5">
      <c r="A1591" t="s">
        <v>1139</v>
      </c>
      <c r="B1591" t="s">
        <v>2916</v>
      </c>
      <c r="C1591" t="s">
        <v>1372</v>
      </c>
      <c r="D1591" t="s">
        <v>1313</v>
      </c>
      <c r="E1591" s="220">
        <v>6.8599999999999994E-2</v>
      </c>
    </row>
    <row r="1592" spans="1:5">
      <c r="A1592" t="s">
        <v>1179</v>
      </c>
      <c r="B1592" t="s">
        <v>2916</v>
      </c>
      <c r="C1592" t="s">
        <v>1372</v>
      </c>
      <c r="D1592" t="s">
        <v>1313</v>
      </c>
      <c r="E1592" s="220">
        <v>6.8599999999999994E-2</v>
      </c>
    </row>
    <row r="1593" spans="1:5">
      <c r="A1593" t="s">
        <v>1185</v>
      </c>
      <c r="B1593" t="s">
        <v>2916</v>
      </c>
      <c r="C1593" t="s">
        <v>1372</v>
      </c>
      <c r="D1593" t="s">
        <v>1313</v>
      </c>
      <c r="E1593" s="220">
        <v>6.8599999999999994E-2</v>
      </c>
    </row>
    <row r="1594" spans="1:5">
      <c r="A1594" t="s">
        <v>1198</v>
      </c>
      <c r="B1594" t="s">
        <v>2916</v>
      </c>
      <c r="C1594" t="s">
        <v>1372</v>
      </c>
      <c r="D1594" t="s">
        <v>1313</v>
      </c>
      <c r="E1594" s="220">
        <v>6.8599999999999994E-2</v>
      </c>
    </row>
    <row r="1595" spans="1:5">
      <c r="A1595" t="s">
        <v>1192</v>
      </c>
      <c r="B1595" t="s">
        <v>2916</v>
      </c>
      <c r="C1595" t="s">
        <v>1372</v>
      </c>
      <c r="D1595" t="s">
        <v>1313</v>
      </c>
      <c r="E1595" s="220">
        <v>6.8599999999999994E-2</v>
      </c>
    </row>
    <row r="1596" spans="1:5">
      <c r="A1596" t="s">
        <v>1219</v>
      </c>
      <c r="B1596" t="s">
        <v>2916</v>
      </c>
      <c r="C1596" t="s">
        <v>1372</v>
      </c>
      <c r="D1596" t="s">
        <v>1313</v>
      </c>
      <c r="E1596" s="220">
        <v>6.8599999999999994E-2</v>
      </c>
    </row>
    <row r="1597" spans="1:5">
      <c r="A1597" t="s">
        <v>1213</v>
      </c>
      <c r="B1597" t="s">
        <v>2916</v>
      </c>
      <c r="C1597" t="s">
        <v>1372</v>
      </c>
      <c r="D1597" t="s">
        <v>1313</v>
      </c>
      <c r="E1597" s="220">
        <v>6.8599999999999994E-2</v>
      </c>
    </row>
    <row r="1598" spans="1:5">
      <c r="A1598" t="s">
        <v>1216</v>
      </c>
      <c r="B1598" t="s">
        <v>2916</v>
      </c>
      <c r="C1598" t="s">
        <v>1372</v>
      </c>
      <c r="D1598" t="s">
        <v>1313</v>
      </c>
      <c r="E1598" s="220">
        <v>6.8599999999999994E-2</v>
      </c>
    </row>
    <row r="1599" spans="1:5">
      <c r="A1599" t="s">
        <v>1189</v>
      </c>
      <c r="B1599" t="s">
        <v>2916</v>
      </c>
      <c r="C1599" t="s">
        <v>1372</v>
      </c>
      <c r="D1599" t="s">
        <v>1313</v>
      </c>
      <c r="E1599" s="220">
        <v>6.8599999999999994E-2</v>
      </c>
    </row>
    <row r="1600" spans="1:5">
      <c r="A1600" t="s">
        <v>1232</v>
      </c>
      <c r="B1600" t="s">
        <v>2916</v>
      </c>
      <c r="C1600" t="s">
        <v>1372</v>
      </c>
      <c r="D1600" t="s">
        <v>1313</v>
      </c>
      <c r="E1600" s="220">
        <v>6.8599999999999994E-2</v>
      </c>
    </row>
    <row r="1601" spans="1:5">
      <c r="A1601" t="s">
        <v>1241</v>
      </c>
      <c r="B1601" t="s">
        <v>2916</v>
      </c>
      <c r="C1601" t="s">
        <v>1372</v>
      </c>
      <c r="D1601" t="s">
        <v>1313</v>
      </c>
      <c r="E1601" s="220">
        <v>6.8599999999999994E-2</v>
      </c>
    </row>
    <row r="1602" spans="1:5">
      <c r="A1602" t="s">
        <v>1247</v>
      </c>
      <c r="B1602" t="s">
        <v>2916</v>
      </c>
      <c r="C1602" t="s">
        <v>1372</v>
      </c>
      <c r="D1602" t="s">
        <v>1313</v>
      </c>
      <c r="E1602" s="220">
        <v>6.8599999999999994E-2</v>
      </c>
    </row>
    <row r="1603" spans="1:5">
      <c r="A1603" t="s">
        <v>1268</v>
      </c>
      <c r="B1603" t="s">
        <v>2916</v>
      </c>
      <c r="C1603" t="s">
        <v>1372</v>
      </c>
      <c r="D1603" t="s">
        <v>1313</v>
      </c>
      <c r="E1603" s="220">
        <v>6.8599999999999994E-2</v>
      </c>
    </row>
    <row r="1604" spans="1:5">
      <c r="A1604" t="s">
        <v>580</v>
      </c>
      <c r="B1604" t="s">
        <v>2916</v>
      </c>
      <c r="C1604" t="s">
        <v>1333</v>
      </c>
      <c r="D1604" t="s">
        <v>1315</v>
      </c>
      <c r="E1604" s="220">
        <v>5.5799999999999995E-2</v>
      </c>
    </row>
    <row r="1605" spans="1:5">
      <c r="A1605" t="s">
        <v>587</v>
      </c>
      <c r="B1605" t="s">
        <v>2916</v>
      </c>
      <c r="C1605" t="s">
        <v>1333</v>
      </c>
      <c r="D1605" t="s">
        <v>1315</v>
      </c>
      <c r="E1605" s="220">
        <v>5.5799999999999995E-2</v>
      </c>
    </row>
    <row r="1606" spans="1:5">
      <c r="A1606" t="s">
        <v>1235</v>
      </c>
      <c r="B1606" t="s">
        <v>2916</v>
      </c>
      <c r="C1606" t="s">
        <v>1333</v>
      </c>
      <c r="D1606" t="s">
        <v>1315</v>
      </c>
      <c r="E1606" s="220">
        <v>5.5799999999999995E-2</v>
      </c>
    </row>
    <row r="1607" spans="1:5">
      <c r="A1607" t="s">
        <v>617</v>
      </c>
      <c r="B1607" t="s">
        <v>2916</v>
      </c>
      <c r="C1607" t="s">
        <v>1333</v>
      </c>
      <c r="D1607" t="s">
        <v>1315</v>
      </c>
      <c r="E1607" s="220">
        <v>5.5799999999999995E-2</v>
      </c>
    </row>
    <row r="1608" spans="1:5">
      <c r="A1608" t="s">
        <v>620</v>
      </c>
      <c r="B1608" t="s">
        <v>2916</v>
      </c>
      <c r="C1608" t="s">
        <v>1333</v>
      </c>
      <c r="D1608" t="s">
        <v>1315</v>
      </c>
      <c r="E1608" s="220">
        <v>5.5799999999999995E-2</v>
      </c>
    </row>
    <row r="1609" spans="1:5">
      <c r="A1609" t="s">
        <v>614</v>
      </c>
      <c r="B1609" t="s">
        <v>2916</v>
      </c>
      <c r="C1609" t="s">
        <v>1333</v>
      </c>
      <c r="D1609" t="s">
        <v>1315</v>
      </c>
      <c r="E1609" s="220">
        <v>5.5799999999999995E-2</v>
      </c>
    </row>
    <row r="1610" spans="1:5">
      <c r="A1610" t="s">
        <v>626</v>
      </c>
      <c r="B1610" t="s">
        <v>2916</v>
      </c>
      <c r="C1610" t="s">
        <v>1333</v>
      </c>
      <c r="D1610" t="s">
        <v>1315</v>
      </c>
      <c r="E1610" s="220">
        <v>5.5799999999999995E-2</v>
      </c>
    </row>
    <row r="1611" spans="1:5">
      <c r="A1611" t="s">
        <v>629</v>
      </c>
      <c r="B1611" t="s">
        <v>2916</v>
      </c>
      <c r="C1611" t="s">
        <v>1333</v>
      </c>
      <c r="D1611" t="s">
        <v>1315</v>
      </c>
      <c r="E1611" s="220">
        <v>5.5799999999999995E-2</v>
      </c>
    </row>
    <row r="1612" spans="1:5">
      <c r="A1612" t="s">
        <v>632</v>
      </c>
      <c r="B1612" t="s">
        <v>2916</v>
      </c>
      <c r="C1612" t="s">
        <v>1333</v>
      </c>
      <c r="D1612" t="s">
        <v>1315</v>
      </c>
      <c r="E1612" s="220">
        <v>5.5799999999999995E-2</v>
      </c>
    </row>
    <row r="1613" spans="1:5">
      <c r="A1613" t="s">
        <v>650</v>
      </c>
      <c r="B1613" t="s">
        <v>2916</v>
      </c>
      <c r="C1613" t="s">
        <v>1333</v>
      </c>
      <c r="D1613" t="s">
        <v>1315</v>
      </c>
      <c r="E1613" s="220">
        <v>5.5799999999999995E-2</v>
      </c>
    </row>
    <row r="1614" spans="1:5">
      <c r="A1614" t="s">
        <v>641</v>
      </c>
      <c r="B1614" t="s">
        <v>2916</v>
      </c>
      <c r="C1614" t="s">
        <v>1333</v>
      </c>
      <c r="D1614" t="s">
        <v>1315</v>
      </c>
      <c r="E1614" s="220">
        <v>5.5799999999999995E-2</v>
      </c>
    </row>
    <row r="1615" spans="1:5">
      <c r="A1615" t="s">
        <v>687</v>
      </c>
      <c r="B1615" t="s">
        <v>2916</v>
      </c>
      <c r="C1615" t="s">
        <v>1333</v>
      </c>
      <c r="D1615" t="s">
        <v>1315</v>
      </c>
      <c r="E1615" s="220">
        <v>5.5799999999999995E-2</v>
      </c>
    </row>
    <row r="1616" spans="1:5">
      <c r="A1616" t="s">
        <v>638</v>
      </c>
      <c r="B1616" t="s">
        <v>2916</v>
      </c>
      <c r="C1616" t="s">
        <v>1333</v>
      </c>
      <c r="D1616" t="s">
        <v>1315</v>
      </c>
      <c r="E1616" s="220">
        <v>5.5799999999999995E-2</v>
      </c>
    </row>
    <row r="1617" spans="1:5">
      <c r="A1617" t="s">
        <v>635</v>
      </c>
      <c r="B1617" t="s">
        <v>2916</v>
      </c>
      <c r="C1617" t="s">
        <v>1333</v>
      </c>
      <c r="D1617" t="s">
        <v>1315</v>
      </c>
      <c r="E1617" s="220">
        <v>5.5799999999999995E-2</v>
      </c>
    </row>
    <row r="1618" spans="1:5">
      <c r="A1618" t="s">
        <v>670</v>
      </c>
      <c r="B1618" t="s">
        <v>2916</v>
      </c>
      <c r="C1618" t="s">
        <v>1333</v>
      </c>
      <c r="D1618" t="s">
        <v>1315</v>
      </c>
      <c r="E1618" s="220">
        <v>5.5799999999999995E-2</v>
      </c>
    </row>
    <row r="1619" spans="1:5">
      <c r="A1619" t="s">
        <v>647</v>
      </c>
      <c r="B1619" t="s">
        <v>2916</v>
      </c>
      <c r="C1619" t="s">
        <v>1333</v>
      </c>
      <c r="D1619" t="s">
        <v>1315</v>
      </c>
      <c r="E1619" s="220">
        <v>5.5799999999999995E-2</v>
      </c>
    </row>
    <row r="1620" spans="1:5">
      <c r="A1620" t="s">
        <v>653</v>
      </c>
      <c r="B1620" t="s">
        <v>2916</v>
      </c>
      <c r="C1620" t="s">
        <v>1333</v>
      </c>
      <c r="D1620" t="s">
        <v>1315</v>
      </c>
      <c r="E1620" s="220">
        <v>5.5799999999999995E-2</v>
      </c>
    </row>
    <row r="1621" spans="1:5">
      <c r="A1621" t="s">
        <v>659</v>
      </c>
      <c r="B1621" t="s">
        <v>2916</v>
      </c>
      <c r="C1621" t="s">
        <v>1333</v>
      </c>
      <c r="D1621" t="s">
        <v>1315</v>
      </c>
      <c r="E1621" s="220">
        <v>5.5799999999999995E-2</v>
      </c>
    </row>
    <row r="1622" spans="1:5">
      <c r="A1622" t="s">
        <v>667</v>
      </c>
      <c r="B1622" t="s">
        <v>2916</v>
      </c>
      <c r="C1622" t="s">
        <v>1333</v>
      </c>
      <c r="D1622" t="s">
        <v>1315</v>
      </c>
      <c r="E1622" s="220">
        <v>5.5799999999999995E-2</v>
      </c>
    </row>
    <row r="1623" spans="1:5">
      <c r="A1623" t="s">
        <v>676</v>
      </c>
      <c r="B1623" t="s">
        <v>2916</v>
      </c>
      <c r="C1623" t="s">
        <v>1333</v>
      </c>
      <c r="D1623" t="s">
        <v>1315</v>
      </c>
      <c r="E1623" s="220">
        <v>5.5799999999999995E-2</v>
      </c>
    </row>
    <row r="1624" spans="1:5">
      <c r="A1624" t="s">
        <v>644</v>
      </c>
      <c r="B1624" t="s">
        <v>2916</v>
      </c>
      <c r="C1624" t="s">
        <v>1333</v>
      </c>
      <c r="D1624" t="s">
        <v>1315</v>
      </c>
      <c r="E1624" s="220">
        <v>5.5799999999999995E-2</v>
      </c>
    </row>
    <row r="1625" spans="1:5">
      <c r="A1625" t="s">
        <v>684</v>
      </c>
      <c r="B1625" t="s">
        <v>2916</v>
      </c>
      <c r="C1625" t="s">
        <v>1333</v>
      </c>
      <c r="D1625" t="s">
        <v>1315</v>
      </c>
      <c r="E1625" s="220">
        <v>5.5799999999999995E-2</v>
      </c>
    </row>
    <row r="1626" spans="1:5">
      <c r="A1626" t="s">
        <v>664</v>
      </c>
      <c r="B1626" t="s">
        <v>2916</v>
      </c>
      <c r="C1626" t="s">
        <v>1333</v>
      </c>
      <c r="D1626" t="s">
        <v>1315</v>
      </c>
      <c r="E1626" s="220">
        <v>5.5799999999999995E-2</v>
      </c>
    </row>
    <row r="1627" spans="1:5">
      <c r="A1627" t="s">
        <v>705</v>
      </c>
      <c r="B1627" t="s">
        <v>2916</v>
      </c>
      <c r="C1627" t="s">
        <v>1333</v>
      </c>
      <c r="D1627" t="s">
        <v>1315</v>
      </c>
      <c r="E1627" s="220">
        <v>5.5799999999999995E-2</v>
      </c>
    </row>
    <row r="1628" spans="1:5">
      <c r="A1628" t="s">
        <v>1182</v>
      </c>
      <c r="B1628" t="s">
        <v>2916</v>
      </c>
      <c r="C1628" t="s">
        <v>1333</v>
      </c>
      <c r="D1628" t="s">
        <v>1315</v>
      </c>
      <c r="E1628" s="220">
        <v>5.5799999999999995E-2</v>
      </c>
    </row>
    <row r="1629" spans="1:5">
      <c r="A1629" t="s">
        <v>720</v>
      </c>
      <c r="B1629" t="s">
        <v>2916</v>
      </c>
      <c r="C1629" t="s">
        <v>1333</v>
      </c>
      <c r="D1629" t="s">
        <v>1315</v>
      </c>
      <c r="E1629" s="220">
        <v>5.5799999999999995E-2</v>
      </c>
    </row>
    <row r="1630" spans="1:5">
      <c r="A1630" t="s">
        <v>723</v>
      </c>
      <c r="B1630" t="s">
        <v>2916</v>
      </c>
      <c r="C1630" t="s">
        <v>1333</v>
      </c>
      <c r="D1630" t="s">
        <v>1315</v>
      </c>
      <c r="E1630" s="220">
        <v>5.5799999999999995E-2</v>
      </c>
    </row>
    <row r="1631" spans="1:5">
      <c r="A1631" t="s">
        <v>726</v>
      </c>
      <c r="B1631" t="s">
        <v>2916</v>
      </c>
      <c r="C1631" t="s">
        <v>1333</v>
      </c>
      <c r="D1631" t="s">
        <v>1315</v>
      </c>
      <c r="E1631" s="220">
        <v>5.5799999999999995E-2</v>
      </c>
    </row>
    <row r="1632" spans="1:5">
      <c r="A1632" t="s">
        <v>738</v>
      </c>
      <c r="B1632" t="s">
        <v>2916</v>
      </c>
      <c r="C1632" t="s">
        <v>1333</v>
      </c>
      <c r="D1632" t="s">
        <v>1315</v>
      </c>
      <c r="E1632" s="220">
        <v>5.5799999999999995E-2</v>
      </c>
    </row>
    <row r="1633" spans="1:5">
      <c r="A1633" t="s">
        <v>747</v>
      </c>
      <c r="B1633" t="s">
        <v>2916</v>
      </c>
      <c r="C1633" t="s">
        <v>1333</v>
      </c>
      <c r="D1633" t="s">
        <v>1315</v>
      </c>
      <c r="E1633" s="220">
        <v>5.5799999999999995E-2</v>
      </c>
    </row>
    <row r="1634" spans="1:5">
      <c r="A1634" t="s">
        <v>757</v>
      </c>
      <c r="B1634" t="s">
        <v>2916</v>
      </c>
      <c r="C1634" t="s">
        <v>1333</v>
      </c>
      <c r="D1634" t="s">
        <v>1315</v>
      </c>
      <c r="E1634" s="220">
        <v>5.5799999999999995E-2</v>
      </c>
    </row>
    <row r="1635" spans="1:5">
      <c r="A1635" t="s">
        <v>823</v>
      </c>
      <c r="B1635" t="s">
        <v>2916</v>
      </c>
      <c r="C1635" t="s">
        <v>1333</v>
      </c>
      <c r="D1635" t="s">
        <v>1315</v>
      </c>
      <c r="E1635" s="220">
        <v>5.5799999999999995E-2</v>
      </c>
    </row>
    <row r="1636" spans="1:5">
      <c r="A1636" t="s">
        <v>767</v>
      </c>
      <c r="B1636" t="s">
        <v>2916</v>
      </c>
      <c r="C1636" t="s">
        <v>1333</v>
      </c>
      <c r="D1636" t="s">
        <v>1315</v>
      </c>
      <c r="E1636" s="220">
        <v>5.5799999999999995E-2</v>
      </c>
    </row>
    <row r="1637" spans="1:5">
      <c r="A1637" t="s">
        <v>761</v>
      </c>
      <c r="B1637" t="s">
        <v>2916</v>
      </c>
      <c r="C1637" t="s">
        <v>1333</v>
      </c>
      <c r="D1637" t="s">
        <v>1315</v>
      </c>
      <c r="E1637" s="220">
        <v>5.5799999999999995E-2</v>
      </c>
    </row>
    <row r="1638" spans="1:5">
      <c r="A1638" t="s">
        <v>770</v>
      </c>
      <c r="B1638" t="s">
        <v>2916</v>
      </c>
      <c r="C1638" t="s">
        <v>1333</v>
      </c>
      <c r="D1638" t="s">
        <v>1315</v>
      </c>
      <c r="E1638" s="220">
        <v>5.5799999999999995E-2</v>
      </c>
    </row>
    <row r="1639" spans="1:5">
      <c r="A1639" t="s">
        <v>592</v>
      </c>
      <c r="B1639" t="s">
        <v>2916</v>
      </c>
      <c r="C1639" t="s">
        <v>1333</v>
      </c>
      <c r="D1639" t="s">
        <v>1315</v>
      </c>
      <c r="E1639" s="220">
        <v>5.5799999999999995E-2</v>
      </c>
    </row>
    <row r="1640" spans="1:5">
      <c r="A1640" t="s">
        <v>773</v>
      </c>
      <c r="B1640" t="s">
        <v>2916</v>
      </c>
      <c r="C1640" t="s">
        <v>1333</v>
      </c>
      <c r="D1640" t="s">
        <v>1315</v>
      </c>
      <c r="E1640" s="220">
        <v>5.5799999999999995E-2</v>
      </c>
    </row>
    <row r="1641" spans="1:5">
      <c r="A1641" t="s">
        <v>776</v>
      </c>
      <c r="B1641" t="s">
        <v>2916</v>
      </c>
      <c r="C1641" t="s">
        <v>1333</v>
      </c>
      <c r="D1641" t="s">
        <v>1315</v>
      </c>
      <c r="E1641" s="220">
        <v>5.5799999999999995E-2</v>
      </c>
    </row>
    <row r="1642" spans="1:5">
      <c r="A1642" t="s">
        <v>1154</v>
      </c>
      <c r="B1642" t="s">
        <v>2916</v>
      </c>
      <c r="C1642" t="s">
        <v>1333</v>
      </c>
      <c r="D1642" t="s">
        <v>1315</v>
      </c>
      <c r="E1642" s="220">
        <v>5.5799999999999995E-2</v>
      </c>
    </row>
    <row r="1643" spans="1:5">
      <c r="A1643" t="s">
        <v>788</v>
      </c>
      <c r="B1643" t="s">
        <v>2916</v>
      </c>
      <c r="C1643" t="s">
        <v>1333</v>
      </c>
      <c r="D1643" t="s">
        <v>1315</v>
      </c>
      <c r="E1643" s="220">
        <v>5.5799999999999995E-2</v>
      </c>
    </row>
    <row r="1644" spans="1:5">
      <c r="A1644" t="s">
        <v>805</v>
      </c>
      <c r="B1644" t="s">
        <v>2916</v>
      </c>
      <c r="C1644" t="s">
        <v>1333</v>
      </c>
      <c r="D1644" t="s">
        <v>1315</v>
      </c>
      <c r="E1644" s="220">
        <v>5.5799999999999995E-2</v>
      </c>
    </row>
    <row r="1645" spans="1:5">
      <c r="A1645" t="s">
        <v>808</v>
      </c>
      <c r="B1645" t="s">
        <v>2916</v>
      </c>
      <c r="C1645" t="s">
        <v>1333</v>
      </c>
      <c r="D1645" t="s">
        <v>1315</v>
      </c>
      <c r="E1645" s="220">
        <v>5.7000000000000002E-2</v>
      </c>
    </row>
    <row r="1646" spans="1:5">
      <c r="A1646" t="s">
        <v>1238</v>
      </c>
      <c r="B1646" t="s">
        <v>2916</v>
      </c>
      <c r="C1646" t="s">
        <v>1333</v>
      </c>
      <c r="D1646" t="s">
        <v>1315</v>
      </c>
      <c r="E1646" s="220">
        <v>5.5799999999999995E-2</v>
      </c>
    </row>
    <row r="1647" spans="1:5">
      <c r="A1647" t="s">
        <v>820</v>
      </c>
      <c r="B1647" t="s">
        <v>2916</v>
      </c>
      <c r="C1647" t="s">
        <v>1333</v>
      </c>
      <c r="D1647" t="s">
        <v>1315</v>
      </c>
      <c r="E1647" s="220">
        <v>5.5799999999999995E-2</v>
      </c>
    </row>
    <row r="1648" spans="1:5">
      <c r="A1648" t="s">
        <v>833</v>
      </c>
      <c r="B1648" t="s">
        <v>2916</v>
      </c>
      <c r="C1648" t="s">
        <v>1333</v>
      </c>
      <c r="D1648" t="s">
        <v>1315</v>
      </c>
      <c r="E1648" s="220">
        <v>5.5799999999999995E-2</v>
      </c>
    </row>
    <row r="1649" spans="1:5">
      <c r="A1649" t="s">
        <v>839</v>
      </c>
      <c r="B1649" t="s">
        <v>2916</v>
      </c>
      <c r="C1649" t="s">
        <v>1333</v>
      </c>
      <c r="D1649" t="s">
        <v>1315</v>
      </c>
      <c r="E1649" s="220">
        <v>5.5799999999999995E-2</v>
      </c>
    </row>
    <row r="1650" spans="1:5">
      <c r="A1650" t="s">
        <v>845</v>
      </c>
      <c r="B1650" t="s">
        <v>2916</v>
      </c>
      <c r="C1650" t="s">
        <v>1333</v>
      </c>
      <c r="D1650" t="s">
        <v>1315</v>
      </c>
      <c r="E1650" s="220">
        <v>5.5799999999999995E-2</v>
      </c>
    </row>
    <row r="1651" spans="1:5">
      <c r="A1651" t="s">
        <v>854</v>
      </c>
      <c r="B1651" t="s">
        <v>2916</v>
      </c>
      <c r="C1651" t="s">
        <v>1333</v>
      </c>
      <c r="D1651" t="s">
        <v>1315</v>
      </c>
      <c r="E1651" s="220">
        <v>5.5799999999999995E-2</v>
      </c>
    </row>
    <row r="1652" spans="1:5">
      <c r="A1652" t="s">
        <v>863</v>
      </c>
      <c r="B1652" t="s">
        <v>2916</v>
      </c>
      <c r="C1652" t="s">
        <v>1333</v>
      </c>
      <c r="D1652" t="s">
        <v>1315</v>
      </c>
      <c r="E1652" s="220">
        <v>5.5799999999999995E-2</v>
      </c>
    </row>
    <row r="1653" spans="1:5">
      <c r="A1653" t="s">
        <v>860</v>
      </c>
      <c r="B1653" t="s">
        <v>2916</v>
      </c>
      <c r="C1653" t="s">
        <v>1333</v>
      </c>
      <c r="D1653" t="s">
        <v>1315</v>
      </c>
      <c r="E1653" s="220">
        <v>5.5799999999999995E-2</v>
      </c>
    </row>
    <row r="1654" spans="1:5">
      <c r="A1654" t="s">
        <v>744</v>
      </c>
      <c r="B1654" t="s">
        <v>2916</v>
      </c>
      <c r="C1654" t="s">
        <v>1333</v>
      </c>
      <c r="D1654" t="s">
        <v>1315</v>
      </c>
      <c r="E1654" s="220">
        <v>5.5799999999999995E-2</v>
      </c>
    </row>
    <row r="1655" spans="1:5">
      <c r="A1655" t="s">
        <v>857</v>
      </c>
      <c r="B1655" t="s">
        <v>2916</v>
      </c>
      <c r="C1655" t="s">
        <v>1333</v>
      </c>
      <c r="D1655" t="s">
        <v>1315</v>
      </c>
      <c r="E1655" s="220">
        <v>5.5799999999999995E-2</v>
      </c>
    </row>
    <row r="1656" spans="1:5">
      <c r="A1656" t="s">
        <v>866</v>
      </c>
      <c r="B1656" t="s">
        <v>2916</v>
      </c>
      <c r="C1656" t="s">
        <v>1333</v>
      </c>
      <c r="D1656" t="s">
        <v>1315</v>
      </c>
      <c r="E1656" s="220">
        <v>5.5799999999999995E-2</v>
      </c>
    </row>
    <row r="1657" spans="1:5">
      <c r="A1657" t="s">
        <v>875</v>
      </c>
      <c r="B1657" t="s">
        <v>2916</v>
      </c>
      <c r="C1657" t="s">
        <v>1333</v>
      </c>
      <c r="D1657" t="s">
        <v>1315</v>
      </c>
      <c r="E1657" s="220">
        <v>5.5799999999999995E-2</v>
      </c>
    </row>
    <row r="1658" spans="1:5">
      <c r="A1658" t="s">
        <v>872</v>
      </c>
      <c r="B1658" t="s">
        <v>2916</v>
      </c>
      <c r="C1658" t="s">
        <v>1333</v>
      </c>
      <c r="D1658" t="s">
        <v>1315</v>
      </c>
      <c r="E1658" s="220">
        <v>5.5799999999999995E-2</v>
      </c>
    </row>
    <row r="1659" spans="1:5">
      <c r="A1659" t="s">
        <v>884</v>
      </c>
      <c r="B1659" t="s">
        <v>2916</v>
      </c>
      <c r="C1659" t="s">
        <v>1333</v>
      </c>
      <c r="D1659" t="s">
        <v>1315</v>
      </c>
      <c r="E1659" s="220">
        <v>5.5799999999999995E-2</v>
      </c>
    </row>
    <row r="1660" spans="1:5">
      <c r="A1660" t="s">
        <v>878</v>
      </c>
      <c r="B1660" t="s">
        <v>2916</v>
      </c>
      <c r="C1660" t="s">
        <v>1333</v>
      </c>
      <c r="D1660" t="s">
        <v>1315</v>
      </c>
      <c r="E1660" s="220">
        <v>5.5799999999999995E-2</v>
      </c>
    </row>
    <row r="1661" spans="1:5">
      <c r="A1661" t="s">
        <v>881</v>
      </c>
      <c r="B1661" t="s">
        <v>2916</v>
      </c>
      <c r="C1661" t="s">
        <v>1333</v>
      </c>
      <c r="D1661" t="s">
        <v>1315</v>
      </c>
      <c r="E1661" s="220">
        <v>5.5799999999999995E-2</v>
      </c>
    </row>
    <row r="1662" spans="1:5">
      <c r="A1662" t="s">
        <v>891</v>
      </c>
      <c r="B1662" t="s">
        <v>2916</v>
      </c>
      <c r="C1662" t="s">
        <v>1333</v>
      </c>
      <c r="D1662" t="s">
        <v>1315</v>
      </c>
      <c r="E1662" s="220">
        <v>5.5799999999999995E-2</v>
      </c>
    </row>
    <row r="1663" spans="1:5">
      <c r="A1663" t="s">
        <v>894</v>
      </c>
      <c r="B1663" t="s">
        <v>2916</v>
      </c>
      <c r="C1663" t="s">
        <v>1333</v>
      </c>
      <c r="D1663" t="s">
        <v>1315</v>
      </c>
      <c r="E1663" s="220">
        <v>5.5799999999999995E-2</v>
      </c>
    </row>
    <row r="1664" spans="1:5">
      <c r="A1664" t="s">
        <v>897</v>
      </c>
      <c r="B1664" t="s">
        <v>2916</v>
      </c>
      <c r="C1664" t="s">
        <v>1333</v>
      </c>
      <c r="D1664" t="s">
        <v>1315</v>
      </c>
      <c r="E1664" s="220">
        <v>5.5799999999999995E-2</v>
      </c>
    </row>
    <row r="1665" spans="1:5">
      <c r="A1665" t="s">
        <v>903</v>
      </c>
      <c r="B1665" t="s">
        <v>2916</v>
      </c>
      <c r="C1665" t="s">
        <v>1333</v>
      </c>
      <c r="D1665" t="s">
        <v>1315</v>
      </c>
      <c r="E1665" s="220">
        <v>5.5799999999999995E-2</v>
      </c>
    </row>
    <row r="1666" spans="1:5">
      <c r="A1666" t="s">
        <v>900</v>
      </c>
      <c r="B1666" t="s">
        <v>2916</v>
      </c>
      <c r="C1666" t="s">
        <v>1333</v>
      </c>
      <c r="D1666" t="s">
        <v>1315</v>
      </c>
      <c r="E1666" s="220">
        <v>5.5799999999999995E-2</v>
      </c>
    </row>
    <row r="1667" spans="1:5">
      <c r="A1667" t="s">
        <v>906</v>
      </c>
      <c r="B1667" t="s">
        <v>2916</v>
      </c>
      <c r="C1667" t="s">
        <v>1333</v>
      </c>
      <c r="D1667" t="s">
        <v>1315</v>
      </c>
      <c r="E1667" s="220">
        <v>5.5799999999999995E-2</v>
      </c>
    </row>
    <row r="1668" spans="1:5">
      <c r="A1668" t="s">
        <v>930</v>
      </c>
      <c r="B1668" t="s">
        <v>2916</v>
      </c>
      <c r="C1668" t="s">
        <v>1333</v>
      </c>
      <c r="D1668" t="s">
        <v>1315</v>
      </c>
      <c r="E1668" s="220">
        <v>5.5799999999999995E-2</v>
      </c>
    </row>
    <row r="1669" spans="1:5">
      <c r="A1669" t="s">
        <v>1160</v>
      </c>
      <c r="B1669" t="s">
        <v>2916</v>
      </c>
      <c r="C1669" t="s">
        <v>1333</v>
      </c>
      <c r="D1669" t="s">
        <v>1315</v>
      </c>
      <c r="E1669" s="220">
        <v>5.5799999999999995E-2</v>
      </c>
    </row>
    <row r="1670" spans="1:5">
      <c r="A1670" t="s">
        <v>915</v>
      </c>
      <c r="B1670" t="s">
        <v>2916</v>
      </c>
      <c r="C1670" t="s">
        <v>1333</v>
      </c>
      <c r="D1670" t="s">
        <v>1315</v>
      </c>
      <c r="E1670" s="220">
        <v>5.5799999999999995E-2</v>
      </c>
    </row>
    <row r="1671" spans="1:5">
      <c r="A1671" t="s">
        <v>927</v>
      </c>
      <c r="B1671" t="s">
        <v>2916</v>
      </c>
      <c r="C1671" t="s">
        <v>1333</v>
      </c>
      <c r="D1671" t="s">
        <v>1315</v>
      </c>
      <c r="E1671" s="220">
        <v>5.5799999999999995E-2</v>
      </c>
    </row>
    <row r="1672" spans="1:5">
      <c r="A1672" t="s">
        <v>933</v>
      </c>
      <c r="B1672" t="s">
        <v>2916</v>
      </c>
      <c r="C1672" t="s">
        <v>1333</v>
      </c>
      <c r="D1672" t="s">
        <v>1315</v>
      </c>
      <c r="E1672" s="220">
        <v>5.5799999999999995E-2</v>
      </c>
    </row>
    <row r="1673" spans="1:5">
      <c r="A1673" t="s">
        <v>939</v>
      </c>
      <c r="B1673" t="s">
        <v>2916</v>
      </c>
      <c r="C1673" t="s">
        <v>1333</v>
      </c>
      <c r="D1673" t="s">
        <v>1315</v>
      </c>
      <c r="E1673" s="220">
        <v>5.5799999999999995E-2</v>
      </c>
    </row>
    <row r="1674" spans="1:5">
      <c r="A1674" t="s">
        <v>1163</v>
      </c>
      <c r="B1674" t="s">
        <v>2916</v>
      </c>
      <c r="C1674" t="s">
        <v>1333</v>
      </c>
      <c r="D1674" t="s">
        <v>1315</v>
      </c>
      <c r="E1674" s="220">
        <v>5.5799999999999995E-2</v>
      </c>
    </row>
    <row r="1675" spans="1:5">
      <c r="A1675" t="s">
        <v>954</v>
      </c>
      <c r="B1675" t="s">
        <v>2916</v>
      </c>
      <c r="C1675" t="s">
        <v>1333</v>
      </c>
      <c r="D1675" t="s">
        <v>1315</v>
      </c>
      <c r="E1675" s="220">
        <v>5.5799999999999995E-2</v>
      </c>
    </row>
    <row r="1676" spans="1:5">
      <c r="A1676" t="s">
        <v>957</v>
      </c>
      <c r="B1676" t="s">
        <v>2916</v>
      </c>
      <c r="C1676" t="s">
        <v>1333</v>
      </c>
      <c r="D1676" t="s">
        <v>1315</v>
      </c>
      <c r="E1676" s="220">
        <v>5.5799999999999995E-2</v>
      </c>
    </row>
    <row r="1677" spans="1:5">
      <c r="A1677" t="s">
        <v>936</v>
      </c>
      <c r="B1677" t="s">
        <v>2916</v>
      </c>
      <c r="C1677" t="s">
        <v>1333</v>
      </c>
      <c r="D1677" t="s">
        <v>1315</v>
      </c>
      <c r="E1677" s="220">
        <v>5.5799999999999995E-2</v>
      </c>
    </row>
    <row r="1678" spans="1:5">
      <c r="A1678" t="s">
        <v>1014</v>
      </c>
      <c r="B1678" t="s">
        <v>2916</v>
      </c>
      <c r="C1678" t="s">
        <v>1333</v>
      </c>
      <c r="D1678" t="s">
        <v>1315</v>
      </c>
      <c r="E1678" s="220">
        <v>5.5799999999999995E-2</v>
      </c>
    </row>
    <row r="1679" spans="1:5">
      <c r="A1679" t="s">
        <v>999</v>
      </c>
      <c r="B1679" t="s">
        <v>2916</v>
      </c>
      <c r="C1679" t="s">
        <v>1333</v>
      </c>
      <c r="D1679" t="s">
        <v>1315</v>
      </c>
      <c r="E1679" s="220">
        <v>5.5799999999999995E-2</v>
      </c>
    </row>
    <row r="1680" spans="1:5">
      <c r="A1680" t="s">
        <v>993</v>
      </c>
      <c r="B1680" t="s">
        <v>2916</v>
      </c>
      <c r="C1680" t="s">
        <v>1333</v>
      </c>
      <c r="D1680" t="s">
        <v>1315</v>
      </c>
      <c r="E1680" s="220">
        <v>5.5799999999999995E-2</v>
      </c>
    </row>
    <row r="1681" spans="1:5">
      <c r="A1681" t="s">
        <v>963</v>
      </c>
      <c r="B1681" t="s">
        <v>2916</v>
      </c>
      <c r="C1681" t="s">
        <v>1333</v>
      </c>
      <c r="D1681" t="s">
        <v>1315</v>
      </c>
      <c r="E1681" s="220">
        <v>5.5799999999999995E-2</v>
      </c>
    </row>
    <row r="1682" spans="1:5">
      <c r="A1682" t="s">
        <v>1020</v>
      </c>
      <c r="B1682" t="s">
        <v>2916</v>
      </c>
      <c r="C1682" t="s">
        <v>1333</v>
      </c>
      <c r="D1682" t="s">
        <v>1315</v>
      </c>
      <c r="E1682" s="220">
        <v>5.5799999999999995E-2</v>
      </c>
    </row>
    <row r="1683" spans="1:5">
      <c r="A1683" t="s">
        <v>972</v>
      </c>
      <c r="B1683" t="s">
        <v>2916</v>
      </c>
      <c r="C1683" t="s">
        <v>1333</v>
      </c>
      <c r="D1683" t="s">
        <v>1315</v>
      </c>
      <c r="E1683" s="220">
        <v>5.5799999999999995E-2</v>
      </c>
    </row>
    <row r="1684" spans="1:5">
      <c r="A1684" t="s">
        <v>1042</v>
      </c>
      <c r="B1684" t="s">
        <v>2916</v>
      </c>
      <c r="C1684" t="s">
        <v>1333</v>
      </c>
      <c r="D1684" t="s">
        <v>1315</v>
      </c>
      <c r="E1684" s="220">
        <v>5.5799999999999995E-2</v>
      </c>
    </row>
    <row r="1685" spans="1:5">
      <c r="A1685" t="s">
        <v>1032</v>
      </c>
      <c r="B1685" t="s">
        <v>2916</v>
      </c>
      <c r="C1685" t="s">
        <v>1333</v>
      </c>
      <c r="D1685" t="s">
        <v>1315</v>
      </c>
      <c r="E1685" s="220">
        <v>5.5799999999999995E-2</v>
      </c>
    </row>
    <row r="1686" spans="1:5">
      <c r="A1686" t="s">
        <v>1055</v>
      </c>
      <c r="B1686" t="s">
        <v>2916</v>
      </c>
      <c r="C1686" t="s">
        <v>1333</v>
      </c>
      <c r="D1686" t="s">
        <v>1315</v>
      </c>
      <c r="E1686" s="220">
        <v>5.5799999999999995E-2</v>
      </c>
    </row>
    <row r="1687" spans="1:5">
      <c r="A1687" t="s">
        <v>1039</v>
      </c>
      <c r="B1687" t="s">
        <v>2916</v>
      </c>
      <c r="C1687" t="s">
        <v>1333</v>
      </c>
      <c r="D1687" t="s">
        <v>1315</v>
      </c>
      <c r="E1687" s="220">
        <v>5.5799999999999995E-2</v>
      </c>
    </row>
    <row r="1688" spans="1:5">
      <c r="A1688" t="s">
        <v>1058</v>
      </c>
      <c r="B1688" t="s">
        <v>2916</v>
      </c>
      <c r="C1688" t="s">
        <v>1333</v>
      </c>
      <c r="D1688" t="s">
        <v>1315</v>
      </c>
      <c r="E1688" s="220">
        <v>5.5799999999999995E-2</v>
      </c>
    </row>
    <row r="1689" spans="1:5">
      <c r="A1689" t="s">
        <v>1061</v>
      </c>
      <c r="B1689" t="s">
        <v>2916</v>
      </c>
      <c r="C1689" t="s">
        <v>1333</v>
      </c>
      <c r="D1689" t="s">
        <v>1315</v>
      </c>
      <c r="E1689" s="220">
        <v>5.5799999999999995E-2</v>
      </c>
    </row>
    <row r="1690" spans="1:5">
      <c r="A1690" t="s">
        <v>1067</v>
      </c>
      <c r="B1690" t="s">
        <v>2916</v>
      </c>
      <c r="C1690" t="s">
        <v>1333</v>
      </c>
      <c r="D1690" t="s">
        <v>1315</v>
      </c>
      <c r="E1690" s="220">
        <v>5.5799999999999995E-2</v>
      </c>
    </row>
    <row r="1691" spans="1:5">
      <c r="A1691" t="s">
        <v>1076</v>
      </c>
      <c r="B1691" t="s">
        <v>2916</v>
      </c>
      <c r="C1691" t="s">
        <v>1333</v>
      </c>
      <c r="D1691" t="s">
        <v>1315</v>
      </c>
      <c r="E1691" s="220">
        <v>5.5799999999999995E-2</v>
      </c>
    </row>
    <row r="1692" spans="1:5">
      <c r="A1692" t="s">
        <v>1079</v>
      </c>
      <c r="B1692" t="s">
        <v>2916</v>
      </c>
      <c r="C1692" t="s">
        <v>1333</v>
      </c>
      <c r="D1692" t="s">
        <v>1315</v>
      </c>
      <c r="E1692" s="220">
        <v>5.5799999999999995E-2</v>
      </c>
    </row>
    <row r="1693" spans="1:5">
      <c r="A1693" t="s">
        <v>1082</v>
      </c>
      <c r="B1693" t="s">
        <v>2916</v>
      </c>
      <c r="C1693" t="s">
        <v>1333</v>
      </c>
      <c r="D1693" t="s">
        <v>1315</v>
      </c>
      <c r="E1693" s="220">
        <v>5.5799999999999995E-2</v>
      </c>
    </row>
    <row r="1694" spans="1:5">
      <c r="A1694" t="s">
        <v>919</v>
      </c>
      <c r="B1694" t="s">
        <v>2916</v>
      </c>
      <c r="C1694" t="s">
        <v>1333</v>
      </c>
      <c r="D1694" t="s">
        <v>1315</v>
      </c>
      <c r="E1694" s="220">
        <v>5.5799999999999995E-2</v>
      </c>
    </row>
    <row r="1695" spans="1:5">
      <c r="A1695" t="s">
        <v>1085</v>
      </c>
      <c r="B1695" t="s">
        <v>2916</v>
      </c>
      <c r="C1695" t="s">
        <v>1333</v>
      </c>
      <c r="D1695" t="s">
        <v>1315</v>
      </c>
      <c r="E1695" s="220">
        <v>5.5799999999999995E-2</v>
      </c>
    </row>
    <row r="1696" spans="1:5">
      <c r="A1696" t="s">
        <v>1264</v>
      </c>
      <c r="B1696" t="s">
        <v>2916</v>
      </c>
      <c r="C1696" t="s">
        <v>1333</v>
      </c>
      <c r="D1696" t="s">
        <v>1315</v>
      </c>
      <c r="E1696" s="220">
        <v>5.5799999999999995E-2</v>
      </c>
    </row>
    <row r="1697" spans="1:5">
      <c r="A1697" t="s">
        <v>1091</v>
      </c>
      <c r="B1697" t="s">
        <v>2916</v>
      </c>
      <c r="C1697" t="s">
        <v>1333</v>
      </c>
      <c r="D1697" t="s">
        <v>1315</v>
      </c>
      <c r="E1697" s="220">
        <v>5.5799999999999995E-2</v>
      </c>
    </row>
    <row r="1698" spans="1:5">
      <c r="A1698" t="s">
        <v>1094</v>
      </c>
      <c r="B1698" t="s">
        <v>2916</v>
      </c>
      <c r="C1698" t="s">
        <v>1333</v>
      </c>
      <c r="D1698" t="s">
        <v>1315</v>
      </c>
      <c r="E1698" s="220">
        <v>5.5799999999999995E-2</v>
      </c>
    </row>
    <row r="1699" spans="1:5">
      <c r="A1699" t="s">
        <v>1097</v>
      </c>
      <c r="B1699" t="s">
        <v>2916</v>
      </c>
      <c r="C1699" t="s">
        <v>1333</v>
      </c>
      <c r="D1699" t="s">
        <v>1315</v>
      </c>
      <c r="E1699" s="220">
        <v>5.5799999999999995E-2</v>
      </c>
    </row>
    <row r="1700" spans="1:5">
      <c r="A1700" t="s">
        <v>1113</v>
      </c>
      <c r="B1700" t="s">
        <v>2916</v>
      </c>
      <c r="C1700" t="s">
        <v>1333</v>
      </c>
      <c r="D1700" t="s">
        <v>1315</v>
      </c>
      <c r="E1700" s="220">
        <v>5.5799999999999995E-2</v>
      </c>
    </row>
    <row r="1701" spans="1:5">
      <c r="A1701" t="s">
        <v>1173</v>
      </c>
      <c r="B1701" t="s">
        <v>2916</v>
      </c>
      <c r="C1701" t="s">
        <v>1333</v>
      </c>
      <c r="D1701" t="s">
        <v>1315</v>
      </c>
      <c r="E1701" s="220">
        <v>5.5799999999999995E-2</v>
      </c>
    </row>
    <row r="1702" spans="1:5">
      <c r="A1702" t="s">
        <v>1128</v>
      </c>
      <c r="B1702" t="s">
        <v>2916</v>
      </c>
      <c r="C1702" t="s">
        <v>1333</v>
      </c>
      <c r="D1702" t="s">
        <v>1315</v>
      </c>
      <c r="E1702" s="220">
        <v>5.5799999999999995E-2</v>
      </c>
    </row>
    <row r="1703" spans="1:5">
      <c r="A1703" t="s">
        <v>779</v>
      </c>
      <c r="B1703" t="s">
        <v>2916</v>
      </c>
      <c r="C1703" t="s">
        <v>1333</v>
      </c>
      <c r="D1703" t="s">
        <v>1315</v>
      </c>
      <c r="E1703" s="220">
        <v>5.5799999999999995E-2</v>
      </c>
    </row>
    <row r="1704" spans="1:5">
      <c r="A1704" t="s">
        <v>1119</v>
      </c>
      <c r="B1704" t="s">
        <v>2916</v>
      </c>
      <c r="C1704" t="s">
        <v>1333</v>
      </c>
      <c r="D1704" t="s">
        <v>1315</v>
      </c>
      <c r="E1704" s="220">
        <v>5.5799999999999995E-2</v>
      </c>
    </row>
    <row r="1705" spans="1:5">
      <c r="A1705" t="s">
        <v>1176</v>
      </c>
      <c r="B1705" t="s">
        <v>2916</v>
      </c>
      <c r="C1705" t="s">
        <v>1333</v>
      </c>
      <c r="D1705" t="s">
        <v>1315</v>
      </c>
      <c r="E1705" s="220">
        <v>5.5799999999999995E-2</v>
      </c>
    </row>
    <row r="1706" spans="1:5">
      <c r="A1706" t="s">
        <v>1135</v>
      </c>
      <c r="B1706" t="s">
        <v>2916</v>
      </c>
      <c r="C1706" t="s">
        <v>1333</v>
      </c>
      <c r="D1706" t="s">
        <v>1315</v>
      </c>
      <c r="E1706" s="220">
        <v>5.5799999999999995E-2</v>
      </c>
    </row>
    <row r="1707" spans="1:5">
      <c r="A1707" t="s">
        <v>1139</v>
      </c>
      <c r="B1707" t="s">
        <v>2916</v>
      </c>
      <c r="C1707" t="s">
        <v>1333</v>
      </c>
      <c r="D1707" t="s">
        <v>1315</v>
      </c>
      <c r="E1707" s="220">
        <v>5.5799999999999995E-2</v>
      </c>
    </row>
    <row r="1708" spans="1:5">
      <c r="A1708" t="s">
        <v>1179</v>
      </c>
      <c r="B1708" t="s">
        <v>2916</v>
      </c>
      <c r="C1708" t="s">
        <v>1333</v>
      </c>
      <c r="D1708" t="s">
        <v>1315</v>
      </c>
      <c r="E1708" s="220">
        <v>5.5799999999999995E-2</v>
      </c>
    </row>
    <row r="1709" spans="1:5">
      <c r="A1709" t="s">
        <v>1185</v>
      </c>
      <c r="B1709" t="s">
        <v>2916</v>
      </c>
      <c r="C1709" t="s">
        <v>1333</v>
      </c>
      <c r="D1709" t="s">
        <v>1315</v>
      </c>
      <c r="E1709" s="220">
        <v>5.5799999999999995E-2</v>
      </c>
    </row>
    <row r="1710" spans="1:5">
      <c r="A1710" t="s">
        <v>1198</v>
      </c>
      <c r="B1710" t="s">
        <v>2916</v>
      </c>
      <c r="C1710" t="s">
        <v>1333</v>
      </c>
      <c r="D1710" t="s">
        <v>1315</v>
      </c>
      <c r="E1710" s="220">
        <v>5.5799999999999995E-2</v>
      </c>
    </row>
    <row r="1711" spans="1:5">
      <c r="A1711" t="s">
        <v>1192</v>
      </c>
      <c r="B1711" t="s">
        <v>2916</v>
      </c>
      <c r="C1711" t="s">
        <v>1333</v>
      </c>
      <c r="D1711" t="s">
        <v>1315</v>
      </c>
      <c r="E1711" s="220">
        <v>5.5799999999999995E-2</v>
      </c>
    </row>
    <row r="1712" spans="1:5">
      <c r="A1712" t="s">
        <v>1219</v>
      </c>
      <c r="B1712" t="s">
        <v>2916</v>
      </c>
      <c r="C1712" t="s">
        <v>1333</v>
      </c>
      <c r="D1712" t="s">
        <v>1315</v>
      </c>
      <c r="E1712" s="220">
        <v>5.5799999999999995E-2</v>
      </c>
    </row>
    <row r="1713" spans="1:5">
      <c r="A1713" t="s">
        <v>1210</v>
      </c>
      <c r="B1713" t="s">
        <v>2916</v>
      </c>
      <c r="C1713" t="s">
        <v>1333</v>
      </c>
      <c r="D1713" t="s">
        <v>1315</v>
      </c>
      <c r="E1713" s="220">
        <v>5.5799999999999995E-2</v>
      </c>
    </row>
    <row r="1714" spans="1:5">
      <c r="A1714" t="s">
        <v>1213</v>
      </c>
      <c r="B1714" t="s">
        <v>2916</v>
      </c>
      <c r="C1714" t="s">
        <v>1333</v>
      </c>
      <c r="D1714" t="s">
        <v>1315</v>
      </c>
      <c r="E1714" s="220">
        <v>5.5799999999999995E-2</v>
      </c>
    </row>
    <row r="1715" spans="1:5">
      <c r="A1715" t="s">
        <v>1216</v>
      </c>
      <c r="B1715" t="s">
        <v>2916</v>
      </c>
      <c r="C1715" t="s">
        <v>1333</v>
      </c>
      <c r="D1715" t="s">
        <v>1315</v>
      </c>
      <c r="E1715" s="220">
        <v>5.5799999999999995E-2</v>
      </c>
    </row>
    <row r="1716" spans="1:5">
      <c r="A1716" t="s">
        <v>1189</v>
      </c>
      <c r="B1716" t="s">
        <v>2916</v>
      </c>
      <c r="C1716" t="s">
        <v>1333</v>
      </c>
      <c r="D1716" t="s">
        <v>1315</v>
      </c>
      <c r="E1716" s="220">
        <v>5.5799999999999995E-2</v>
      </c>
    </row>
    <row r="1717" spans="1:5">
      <c r="A1717" t="s">
        <v>1232</v>
      </c>
      <c r="B1717" t="s">
        <v>2916</v>
      </c>
      <c r="C1717" t="s">
        <v>1333</v>
      </c>
      <c r="D1717" t="s">
        <v>1315</v>
      </c>
      <c r="E1717" s="220">
        <v>5.5799999999999995E-2</v>
      </c>
    </row>
    <row r="1718" spans="1:5">
      <c r="A1718" t="s">
        <v>1241</v>
      </c>
      <c r="B1718" t="s">
        <v>2916</v>
      </c>
      <c r="C1718" t="s">
        <v>1333</v>
      </c>
      <c r="D1718" t="s">
        <v>1315</v>
      </c>
      <c r="E1718" s="220">
        <v>5.5799999999999995E-2</v>
      </c>
    </row>
    <row r="1719" spans="1:5">
      <c r="A1719" t="s">
        <v>1247</v>
      </c>
      <c r="B1719" t="s">
        <v>2916</v>
      </c>
      <c r="C1719" t="s">
        <v>1333</v>
      </c>
      <c r="D1719" t="s">
        <v>1315</v>
      </c>
      <c r="E1719" s="220">
        <v>5.5799999999999995E-2</v>
      </c>
    </row>
    <row r="1720" spans="1:5">
      <c r="A1720" t="s">
        <v>1170</v>
      </c>
      <c r="B1720" t="s">
        <v>2916</v>
      </c>
      <c r="C1720" t="s">
        <v>1333</v>
      </c>
      <c r="D1720" t="s">
        <v>1315</v>
      </c>
      <c r="E1720" s="220">
        <v>5.5799999999999995E-2</v>
      </c>
    </row>
    <row r="1721" spans="1:5">
      <c r="A1721" t="s">
        <v>1253</v>
      </c>
      <c r="B1721" t="s">
        <v>2916</v>
      </c>
      <c r="C1721" t="s">
        <v>1333</v>
      </c>
      <c r="D1721" t="s">
        <v>1315</v>
      </c>
      <c r="E1721" s="220">
        <v>5.5799999999999995E-2</v>
      </c>
    </row>
    <row r="1722" spans="1:5">
      <c r="A1722" t="s">
        <v>1257</v>
      </c>
      <c r="B1722" t="s">
        <v>2916</v>
      </c>
      <c r="C1722" t="s">
        <v>1333</v>
      </c>
      <c r="D1722" t="s">
        <v>1315</v>
      </c>
      <c r="E1722" s="220">
        <v>5.5799999999999995E-2</v>
      </c>
    </row>
    <row r="1723" spans="1:5">
      <c r="A1723" t="s">
        <v>1268</v>
      </c>
      <c r="B1723" t="s">
        <v>2916</v>
      </c>
      <c r="C1723" t="s">
        <v>1333</v>
      </c>
      <c r="D1723" t="s">
        <v>1315</v>
      </c>
      <c r="E1723" s="220">
        <v>5.5799999999999995E-2</v>
      </c>
    </row>
    <row r="1724" spans="1:5">
      <c r="A1724" t="s">
        <v>1148</v>
      </c>
      <c r="B1724" t="s">
        <v>2916</v>
      </c>
      <c r="C1724" t="s">
        <v>1333</v>
      </c>
      <c r="D1724" t="s">
        <v>1315</v>
      </c>
      <c r="E1724" s="220">
        <v>5.5799999999999995E-2</v>
      </c>
    </row>
    <row r="1725" spans="1:5">
      <c r="A1725" t="s">
        <v>580</v>
      </c>
      <c r="B1725" t="s">
        <v>2916</v>
      </c>
      <c r="C1725" t="s">
        <v>1361</v>
      </c>
      <c r="D1725" t="s">
        <v>1315</v>
      </c>
      <c r="E1725" s="220">
        <v>5.5799999999999995E-2</v>
      </c>
    </row>
    <row r="1726" spans="1:5">
      <c r="A1726" t="s">
        <v>1235</v>
      </c>
      <c r="B1726" t="s">
        <v>2916</v>
      </c>
      <c r="C1726" t="s">
        <v>1361</v>
      </c>
      <c r="D1726" t="s">
        <v>1315</v>
      </c>
      <c r="E1726" s="220">
        <v>5.5799999999999995E-2</v>
      </c>
    </row>
    <row r="1727" spans="1:5">
      <c r="A1727" t="s">
        <v>617</v>
      </c>
      <c r="B1727" t="s">
        <v>2916</v>
      </c>
      <c r="C1727" t="s">
        <v>1361</v>
      </c>
      <c r="D1727" t="s">
        <v>1315</v>
      </c>
      <c r="E1727" s="220">
        <v>5.5799999999999995E-2</v>
      </c>
    </row>
    <row r="1728" spans="1:5">
      <c r="A1728" t="s">
        <v>620</v>
      </c>
      <c r="B1728" t="s">
        <v>2916</v>
      </c>
      <c r="C1728" t="s">
        <v>1361</v>
      </c>
      <c r="D1728" t="s">
        <v>1315</v>
      </c>
      <c r="E1728" s="220">
        <v>5.5799999999999995E-2</v>
      </c>
    </row>
    <row r="1729" spans="1:5">
      <c r="A1729" t="s">
        <v>614</v>
      </c>
      <c r="B1729" t="s">
        <v>2916</v>
      </c>
      <c r="C1729" t="s">
        <v>1361</v>
      </c>
      <c r="D1729" t="s">
        <v>1315</v>
      </c>
      <c r="E1729" s="220">
        <v>5.5799999999999995E-2</v>
      </c>
    </row>
    <row r="1730" spans="1:5">
      <c r="A1730" t="s">
        <v>626</v>
      </c>
      <c r="B1730" t="s">
        <v>2916</v>
      </c>
      <c r="C1730" t="s">
        <v>1361</v>
      </c>
      <c r="D1730" t="s">
        <v>1315</v>
      </c>
      <c r="E1730" s="220">
        <v>5.5799999999999995E-2</v>
      </c>
    </row>
    <row r="1731" spans="1:5">
      <c r="A1731" t="s">
        <v>629</v>
      </c>
      <c r="B1731" t="s">
        <v>2916</v>
      </c>
      <c r="C1731" t="s">
        <v>1361</v>
      </c>
      <c r="D1731" t="s">
        <v>1315</v>
      </c>
      <c r="E1731" s="220">
        <v>5.5799999999999995E-2</v>
      </c>
    </row>
    <row r="1732" spans="1:5">
      <c r="A1732" t="s">
        <v>632</v>
      </c>
      <c r="B1732" t="s">
        <v>2916</v>
      </c>
      <c r="C1732" t="s">
        <v>1361</v>
      </c>
      <c r="D1732" t="s">
        <v>1315</v>
      </c>
      <c r="E1732" s="220">
        <v>5.5799999999999995E-2</v>
      </c>
    </row>
    <row r="1733" spans="1:5">
      <c r="A1733" t="s">
        <v>650</v>
      </c>
      <c r="B1733" t="s">
        <v>2916</v>
      </c>
      <c r="C1733" t="s">
        <v>1361</v>
      </c>
      <c r="D1733" t="s">
        <v>1315</v>
      </c>
      <c r="E1733" s="220">
        <v>5.5799999999999995E-2</v>
      </c>
    </row>
    <row r="1734" spans="1:5">
      <c r="A1734" t="s">
        <v>641</v>
      </c>
      <c r="B1734" t="s">
        <v>2916</v>
      </c>
      <c r="C1734" t="s">
        <v>1361</v>
      </c>
      <c r="D1734" t="s">
        <v>1315</v>
      </c>
      <c r="E1734" s="220">
        <v>5.5799999999999995E-2</v>
      </c>
    </row>
    <row r="1735" spans="1:5">
      <c r="A1735" t="s">
        <v>687</v>
      </c>
      <c r="B1735" t="s">
        <v>2916</v>
      </c>
      <c r="C1735" t="s">
        <v>1361</v>
      </c>
      <c r="D1735" t="s">
        <v>1315</v>
      </c>
      <c r="E1735" s="220">
        <v>5.5799999999999995E-2</v>
      </c>
    </row>
    <row r="1736" spans="1:5">
      <c r="A1736" t="s">
        <v>638</v>
      </c>
      <c r="B1736" t="s">
        <v>2916</v>
      </c>
      <c r="C1736" t="s">
        <v>1361</v>
      </c>
      <c r="D1736" t="s">
        <v>1315</v>
      </c>
      <c r="E1736" s="220">
        <v>5.5799999999999995E-2</v>
      </c>
    </row>
    <row r="1737" spans="1:5">
      <c r="A1737" t="s">
        <v>635</v>
      </c>
      <c r="B1737" t="s">
        <v>2916</v>
      </c>
      <c r="C1737" t="s">
        <v>1361</v>
      </c>
      <c r="D1737" t="s">
        <v>1315</v>
      </c>
      <c r="E1737" s="220">
        <v>5.5799999999999995E-2</v>
      </c>
    </row>
    <row r="1738" spans="1:5">
      <c r="A1738" t="s">
        <v>670</v>
      </c>
      <c r="B1738" t="s">
        <v>2916</v>
      </c>
      <c r="C1738" t="s">
        <v>1361</v>
      </c>
      <c r="D1738" t="s">
        <v>1315</v>
      </c>
      <c r="E1738" s="220">
        <v>5.5799999999999995E-2</v>
      </c>
    </row>
    <row r="1739" spans="1:5">
      <c r="A1739" t="s">
        <v>647</v>
      </c>
      <c r="B1739" t="s">
        <v>2916</v>
      </c>
      <c r="C1739" t="s">
        <v>1361</v>
      </c>
      <c r="D1739" t="s">
        <v>1315</v>
      </c>
      <c r="E1739" s="220">
        <v>5.5799999999999995E-2</v>
      </c>
    </row>
    <row r="1740" spans="1:5">
      <c r="A1740" t="s">
        <v>659</v>
      </c>
      <c r="B1740" t="s">
        <v>2916</v>
      </c>
      <c r="C1740" t="s">
        <v>1361</v>
      </c>
      <c r="D1740" t="s">
        <v>1315</v>
      </c>
      <c r="E1740" s="220">
        <v>5.5799999999999995E-2</v>
      </c>
    </row>
    <row r="1741" spans="1:5">
      <c r="A1741" t="s">
        <v>667</v>
      </c>
      <c r="B1741" t="s">
        <v>2916</v>
      </c>
      <c r="C1741" t="s">
        <v>1361</v>
      </c>
      <c r="D1741" t="s">
        <v>1315</v>
      </c>
      <c r="E1741" s="220">
        <v>5.5799999999999995E-2</v>
      </c>
    </row>
    <row r="1742" spans="1:5">
      <c r="A1742" t="s">
        <v>676</v>
      </c>
      <c r="B1742" t="s">
        <v>2916</v>
      </c>
      <c r="C1742" t="s">
        <v>1361</v>
      </c>
      <c r="D1742" t="s">
        <v>1315</v>
      </c>
      <c r="E1742" s="220">
        <v>5.5799999999999995E-2</v>
      </c>
    </row>
    <row r="1743" spans="1:5">
      <c r="A1743" t="s">
        <v>644</v>
      </c>
      <c r="B1743" t="s">
        <v>2916</v>
      </c>
      <c r="C1743" t="s">
        <v>1361</v>
      </c>
      <c r="D1743" t="s">
        <v>1315</v>
      </c>
      <c r="E1743" s="220">
        <v>5.5799999999999995E-2</v>
      </c>
    </row>
    <row r="1744" spans="1:5">
      <c r="A1744" t="s">
        <v>684</v>
      </c>
      <c r="B1744" t="s">
        <v>2916</v>
      </c>
      <c r="C1744" t="s">
        <v>1361</v>
      </c>
      <c r="D1744" t="s">
        <v>1315</v>
      </c>
      <c r="E1744" s="220">
        <v>5.5799999999999995E-2</v>
      </c>
    </row>
    <row r="1745" spans="1:5">
      <c r="A1745" t="s">
        <v>664</v>
      </c>
      <c r="B1745" t="s">
        <v>2916</v>
      </c>
      <c r="C1745" t="s">
        <v>1361</v>
      </c>
      <c r="D1745" t="s">
        <v>1315</v>
      </c>
      <c r="E1745" s="220">
        <v>5.5799999999999995E-2</v>
      </c>
    </row>
    <row r="1746" spans="1:5">
      <c r="A1746" t="s">
        <v>705</v>
      </c>
      <c r="B1746" t="s">
        <v>2916</v>
      </c>
      <c r="C1746" t="s">
        <v>1361</v>
      </c>
      <c r="D1746" t="s">
        <v>1315</v>
      </c>
      <c r="E1746" s="220">
        <v>5.5799999999999995E-2</v>
      </c>
    </row>
    <row r="1747" spans="1:5">
      <c r="A1747" t="s">
        <v>1182</v>
      </c>
      <c r="B1747" t="s">
        <v>2916</v>
      </c>
      <c r="C1747" t="s">
        <v>1361</v>
      </c>
      <c r="D1747" t="s">
        <v>1315</v>
      </c>
      <c r="E1747" s="220">
        <v>5.5799999999999995E-2</v>
      </c>
    </row>
    <row r="1748" spans="1:5">
      <c r="A1748" t="s">
        <v>720</v>
      </c>
      <c r="B1748" t="s">
        <v>2916</v>
      </c>
      <c r="C1748" t="s">
        <v>1361</v>
      </c>
      <c r="D1748" t="s">
        <v>1315</v>
      </c>
      <c r="E1748" s="220">
        <v>5.5799999999999995E-2</v>
      </c>
    </row>
    <row r="1749" spans="1:5">
      <c r="A1749" t="s">
        <v>723</v>
      </c>
      <c r="B1749" t="s">
        <v>2916</v>
      </c>
      <c r="C1749" t="s">
        <v>1361</v>
      </c>
      <c r="D1749" t="s">
        <v>1315</v>
      </c>
      <c r="E1749" s="220">
        <v>5.5799999999999995E-2</v>
      </c>
    </row>
    <row r="1750" spans="1:5">
      <c r="A1750" t="s">
        <v>726</v>
      </c>
      <c r="B1750" t="s">
        <v>2916</v>
      </c>
      <c r="C1750" t="s">
        <v>1361</v>
      </c>
      <c r="D1750" t="s">
        <v>1315</v>
      </c>
      <c r="E1750" s="220">
        <v>5.5799999999999995E-2</v>
      </c>
    </row>
    <row r="1751" spans="1:5">
      <c r="A1751" t="s">
        <v>747</v>
      </c>
      <c r="B1751" t="s">
        <v>2916</v>
      </c>
      <c r="C1751" t="s">
        <v>1361</v>
      </c>
      <c r="D1751" t="s">
        <v>1315</v>
      </c>
      <c r="E1751" s="220">
        <v>5.5799999999999995E-2</v>
      </c>
    </row>
    <row r="1752" spans="1:5">
      <c r="A1752" t="s">
        <v>757</v>
      </c>
      <c r="B1752" t="s">
        <v>2916</v>
      </c>
      <c r="C1752" t="s">
        <v>1361</v>
      </c>
      <c r="D1752" t="s">
        <v>1315</v>
      </c>
      <c r="E1752" s="220">
        <v>5.5799999999999995E-2</v>
      </c>
    </row>
    <row r="1753" spans="1:5">
      <c r="A1753" t="s">
        <v>823</v>
      </c>
      <c r="B1753" t="s">
        <v>2916</v>
      </c>
      <c r="C1753" t="s">
        <v>1361</v>
      </c>
      <c r="D1753" t="s">
        <v>1315</v>
      </c>
      <c r="E1753" s="220">
        <v>5.5799999999999995E-2</v>
      </c>
    </row>
    <row r="1754" spans="1:5">
      <c r="A1754" t="s">
        <v>767</v>
      </c>
      <c r="B1754" t="s">
        <v>2916</v>
      </c>
      <c r="C1754" t="s">
        <v>1361</v>
      </c>
      <c r="D1754" t="s">
        <v>1315</v>
      </c>
      <c r="E1754" s="220">
        <v>5.5799999999999995E-2</v>
      </c>
    </row>
    <row r="1755" spans="1:5">
      <c r="A1755" t="s">
        <v>761</v>
      </c>
      <c r="B1755" t="s">
        <v>2916</v>
      </c>
      <c r="C1755" t="s">
        <v>1361</v>
      </c>
      <c r="D1755" t="s">
        <v>1315</v>
      </c>
      <c r="E1755" s="220">
        <v>5.5799999999999995E-2</v>
      </c>
    </row>
    <row r="1756" spans="1:5">
      <c r="A1756" t="s">
        <v>770</v>
      </c>
      <c r="B1756" t="s">
        <v>2916</v>
      </c>
      <c r="C1756" t="s">
        <v>1361</v>
      </c>
      <c r="D1756" t="s">
        <v>1315</v>
      </c>
      <c r="E1756" s="220">
        <v>5.5799999999999995E-2</v>
      </c>
    </row>
    <row r="1757" spans="1:5">
      <c r="A1757" t="s">
        <v>592</v>
      </c>
      <c r="B1757" t="s">
        <v>2916</v>
      </c>
      <c r="C1757" t="s">
        <v>1361</v>
      </c>
      <c r="D1757" t="s">
        <v>1315</v>
      </c>
      <c r="E1757" s="220">
        <v>5.5799999999999995E-2</v>
      </c>
    </row>
    <row r="1758" spans="1:5">
      <c r="A1758" t="s">
        <v>776</v>
      </c>
      <c r="B1758" t="s">
        <v>2916</v>
      </c>
      <c r="C1758" t="s">
        <v>1361</v>
      </c>
      <c r="D1758" t="s">
        <v>1315</v>
      </c>
      <c r="E1758" s="220">
        <v>5.5799999999999995E-2</v>
      </c>
    </row>
    <row r="1759" spans="1:5">
      <c r="A1759" t="s">
        <v>1154</v>
      </c>
      <c r="B1759" t="s">
        <v>2916</v>
      </c>
      <c r="C1759" t="s">
        <v>1361</v>
      </c>
      <c r="D1759" t="s">
        <v>1315</v>
      </c>
      <c r="E1759" s="220">
        <v>5.5799999999999995E-2</v>
      </c>
    </row>
    <row r="1760" spans="1:5">
      <c r="A1760" t="s">
        <v>788</v>
      </c>
      <c r="B1760" t="s">
        <v>2916</v>
      </c>
      <c r="C1760" t="s">
        <v>1361</v>
      </c>
      <c r="D1760" t="s">
        <v>1315</v>
      </c>
      <c r="E1760" s="220">
        <v>5.5799999999999995E-2</v>
      </c>
    </row>
    <row r="1761" spans="1:5">
      <c r="A1761" t="s">
        <v>805</v>
      </c>
      <c r="B1761" t="s">
        <v>2916</v>
      </c>
      <c r="C1761" t="s">
        <v>1361</v>
      </c>
      <c r="D1761" t="s">
        <v>1315</v>
      </c>
      <c r="E1761" s="220">
        <v>5.5799999999999995E-2</v>
      </c>
    </row>
    <row r="1762" spans="1:5">
      <c r="A1762" t="s">
        <v>808</v>
      </c>
      <c r="B1762" t="s">
        <v>2916</v>
      </c>
      <c r="C1762" t="s">
        <v>1361</v>
      </c>
      <c r="D1762" t="s">
        <v>1315</v>
      </c>
      <c r="E1762" s="220">
        <v>5.6106999999999997E-2</v>
      </c>
    </row>
    <row r="1763" spans="1:5">
      <c r="A1763" t="s">
        <v>1238</v>
      </c>
      <c r="B1763" t="s">
        <v>2916</v>
      </c>
      <c r="C1763" t="s">
        <v>1361</v>
      </c>
      <c r="D1763" t="s">
        <v>1315</v>
      </c>
      <c r="E1763" s="220">
        <v>5.5799999999999995E-2</v>
      </c>
    </row>
    <row r="1764" spans="1:5">
      <c r="A1764" t="s">
        <v>820</v>
      </c>
      <c r="B1764" t="s">
        <v>2916</v>
      </c>
      <c r="C1764" t="s">
        <v>1361</v>
      </c>
      <c r="D1764" t="s">
        <v>1315</v>
      </c>
      <c r="E1764" s="220">
        <v>5.5799999999999995E-2</v>
      </c>
    </row>
    <row r="1765" spans="1:5">
      <c r="A1765" t="s">
        <v>833</v>
      </c>
      <c r="B1765" t="s">
        <v>2916</v>
      </c>
      <c r="C1765" t="s">
        <v>1361</v>
      </c>
      <c r="D1765" t="s">
        <v>1315</v>
      </c>
      <c r="E1765" s="220">
        <v>5.5799999999999995E-2</v>
      </c>
    </row>
    <row r="1766" spans="1:5">
      <c r="A1766" t="s">
        <v>839</v>
      </c>
      <c r="B1766" t="s">
        <v>2916</v>
      </c>
      <c r="C1766" t="s">
        <v>1361</v>
      </c>
      <c r="D1766" t="s">
        <v>1315</v>
      </c>
      <c r="E1766" s="220">
        <v>5.5799999999999995E-2</v>
      </c>
    </row>
    <row r="1767" spans="1:5">
      <c r="A1767" t="s">
        <v>854</v>
      </c>
      <c r="B1767" t="s">
        <v>2916</v>
      </c>
      <c r="C1767" t="s">
        <v>1361</v>
      </c>
      <c r="D1767" t="s">
        <v>1315</v>
      </c>
      <c r="E1767" s="220">
        <v>5.5799999999999995E-2</v>
      </c>
    </row>
    <row r="1768" spans="1:5">
      <c r="A1768" t="s">
        <v>863</v>
      </c>
      <c r="B1768" t="s">
        <v>2916</v>
      </c>
      <c r="C1768" t="s">
        <v>1361</v>
      </c>
      <c r="D1768" t="s">
        <v>1315</v>
      </c>
      <c r="E1768" s="220">
        <v>5.5799999999999995E-2</v>
      </c>
    </row>
    <row r="1769" spans="1:5">
      <c r="A1769" t="s">
        <v>744</v>
      </c>
      <c r="B1769" t="s">
        <v>2916</v>
      </c>
      <c r="C1769" t="s">
        <v>1361</v>
      </c>
      <c r="D1769" t="s">
        <v>1315</v>
      </c>
      <c r="E1769" s="220">
        <v>5.5799999999999995E-2</v>
      </c>
    </row>
    <row r="1770" spans="1:5">
      <c r="A1770" t="s">
        <v>857</v>
      </c>
      <c r="B1770" t="s">
        <v>2916</v>
      </c>
      <c r="C1770" t="s">
        <v>1361</v>
      </c>
      <c r="D1770" t="s">
        <v>1315</v>
      </c>
      <c r="E1770" s="220">
        <v>5.5799999999999995E-2</v>
      </c>
    </row>
    <row r="1771" spans="1:5">
      <c r="A1771" t="s">
        <v>866</v>
      </c>
      <c r="B1771" t="s">
        <v>2916</v>
      </c>
      <c r="C1771" t="s">
        <v>1361</v>
      </c>
      <c r="D1771" t="s">
        <v>1315</v>
      </c>
      <c r="E1771" s="220">
        <v>5.5799999999999995E-2</v>
      </c>
    </row>
    <row r="1772" spans="1:5">
      <c r="A1772" t="s">
        <v>875</v>
      </c>
      <c r="B1772" t="s">
        <v>2916</v>
      </c>
      <c r="C1772" t="s">
        <v>1361</v>
      </c>
      <c r="D1772" t="s">
        <v>1315</v>
      </c>
      <c r="E1772" s="220">
        <v>5.5799999999999995E-2</v>
      </c>
    </row>
    <row r="1773" spans="1:5">
      <c r="A1773" t="s">
        <v>872</v>
      </c>
      <c r="B1773" t="s">
        <v>2916</v>
      </c>
      <c r="C1773" t="s">
        <v>1361</v>
      </c>
      <c r="D1773" t="s">
        <v>1315</v>
      </c>
      <c r="E1773" s="220">
        <v>5.5799999999999995E-2</v>
      </c>
    </row>
    <row r="1774" spans="1:5">
      <c r="A1774" t="s">
        <v>884</v>
      </c>
      <c r="B1774" t="s">
        <v>2916</v>
      </c>
      <c r="C1774" t="s">
        <v>1361</v>
      </c>
      <c r="D1774" t="s">
        <v>1315</v>
      </c>
      <c r="E1774" s="220">
        <v>5.5799999999999995E-2</v>
      </c>
    </row>
    <row r="1775" spans="1:5">
      <c r="A1775" t="s">
        <v>878</v>
      </c>
      <c r="B1775" t="s">
        <v>2916</v>
      </c>
      <c r="C1775" t="s">
        <v>1361</v>
      </c>
      <c r="D1775" t="s">
        <v>1315</v>
      </c>
      <c r="E1775" s="220">
        <v>5.5799999999999995E-2</v>
      </c>
    </row>
    <row r="1776" spans="1:5">
      <c r="A1776" t="s">
        <v>881</v>
      </c>
      <c r="B1776" t="s">
        <v>2916</v>
      </c>
      <c r="C1776" t="s">
        <v>1361</v>
      </c>
      <c r="D1776" t="s">
        <v>1315</v>
      </c>
      <c r="E1776" s="220">
        <v>5.5799999999999995E-2</v>
      </c>
    </row>
    <row r="1777" spans="1:5">
      <c r="A1777" t="s">
        <v>891</v>
      </c>
      <c r="B1777" t="s">
        <v>2916</v>
      </c>
      <c r="C1777" t="s">
        <v>1361</v>
      </c>
      <c r="D1777" t="s">
        <v>1315</v>
      </c>
      <c r="E1777" s="220">
        <v>5.5799999999999995E-2</v>
      </c>
    </row>
    <row r="1778" spans="1:5">
      <c r="A1778" t="s">
        <v>894</v>
      </c>
      <c r="B1778" t="s">
        <v>2916</v>
      </c>
      <c r="C1778" t="s">
        <v>1361</v>
      </c>
      <c r="D1778" t="s">
        <v>1315</v>
      </c>
      <c r="E1778" s="220">
        <v>5.5799999999999995E-2</v>
      </c>
    </row>
    <row r="1779" spans="1:5">
      <c r="A1779" t="s">
        <v>897</v>
      </c>
      <c r="B1779" t="s">
        <v>2916</v>
      </c>
      <c r="C1779" t="s">
        <v>1361</v>
      </c>
      <c r="D1779" t="s">
        <v>1315</v>
      </c>
      <c r="E1779" s="220">
        <v>5.5799999999999995E-2</v>
      </c>
    </row>
    <row r="1780" spans="1:5">
      <c r="A1780" t="s">
        <v>903</v>
      </c>
      <c r="B1780" t="s">
        <v>2916</v>
      </c>
      <c r="C1780" t="s">
        <v>1361</v>
      </c>
      <c r="D1780" t="s">
        <v>1315</v>
      </c>
      <c r="E1780" s="220">
        <v>5.5799999999999995E-2</v>
      </c>
    </row>
    <row r="1781" spans="1:5">
      <c r="A1781" t="s">
        <v>900</v>
      </c>
      <c r="B1781" t="s">
        <v>2916</v>
      </c>
      <c r="C1781" t="s">
        <v>1361</v>
      </c>
      <c r="D1781" t="s">
        <v>1315</v>
      </c>
      <c r="E1781" s="220">
        <v>5.5799999999999995E-2</v>
      </c>
    </row>
    <row r="1782" spans="1:5">
      <c r="A1782" t="s">
        <v>906</v>
      </c>
      <c r="B1782" t="s">
        <v>2916</v>
      </c>
      <c r="C1782" t="s">
        <v>1361</v>
      </c>
      <c r="D1782" t="s">
        <v>1315</v>
      </c>
      <c r="E1782" s="220">
        <v>5.5799999999999995E-2</v>
      </c>
    </row>
    <row r="1783" spans="1:5">
      <c r="A1783" t="s">
        <v>930</v>
      </c>
      <c r="B1783" t="s">
        <v>2916</v>
      </c>
      <c r="C1783" t="s">
        <v>1361</v>
      </c>
      <c r="D1783" t="s">
        <v>1315</v>
      </c>
      <c r="E1783" s="220">
        <v>5.5799999999999995E-2</v>
      </c>
    </row>
    <row r="1784" spans="1:5">
      <c r="A1784" t="s">
        <v>1160</v>
      </c>
      <c r="B1784" t="s">
        <v>2916</v>
      </c>
      <c r="C1784" t="s">
        <v>1361</v>
      </c>
      <c r="D1784" t="s">
        <v>1315</v>
      </c>
      <c r="E1784" s="220">
        <v>5.5799999999999995E-2</v>
      </c>
    </row>
    <row r="1785" spans="1:5">
      <c r="A1785" t="s">
        <v>915</v>
      </c>
      <c r="B1785" t="s">
        <v>2916</v>
      </c>
      <c r="C1785" t="s">
        <v>1361</v>
      </c>
      <c r="D1785" t="s">
        <v>1315</v>
      </c>
      <c r="E1785" s="220">
        <v>5.5799999999999995E-2</v>
      </c>
    </row>
    <row r="1786" spans="1:5">
      <c r="A1786" t="s">
        <v>927</v>
      </c>
      <c r="B1786" t="s">
        <v>2916</v>
      </c>
      <c r="C1786" t="s">
        <v>1361</v>
      </c>
      <c r="D1786" t="s">
        <v>1315</v>
      </c>
      <c r="E1786" s="220">
        <v>5.5799999999999995E-2</v>
      </c>
    </row>
    <row r="1787" spans="1:5">
      <c r="A1787" t="s">
        <v>933</v>
      </c>
      <c r="B1787" t="s">
        <v>2916</v>
      </c>
      <c r="C1787" t="s">
        <v>1361</v>
      </c>
      <c r="D1787" t="s">
        <v>1315</v>
      </c>
      <c r="E1787" s="220">
        <v>5.5799999999999995E-2</v>
      </c>
    </row>
    <row r="1788" spans="1:5">
      <c r="A1788" t="s">
        <v>939</v>
      </c>
      <c r="B1788" t="s">
        <v>2916</v>
      </c>
      <c r="C1788" t="s">
        <v>1361</v>
      </c>
      <c r="D1788" t="s">
        <v>1315</v>
      </c>
      <c r="E1788" s="220">
        <v>5.5799999999999995E-2</v>
      </c>
    </row>
    <row r="1789" spans="1:5">
      <c r="A1789" t="s">
        <v>1163</v>
      </c>
      <c r="B1789" t="s">
        <v>2916</v>
      </c>
      <c r="C1789" t="s">
        <v>1361</v>
      </c>
      <c r="D1789" t="s">
        <v>1315</v>
      </c>
      <c r="E1789" s="220">
        <v>5.5799999999999995E-2</v>
      </c>
    </row>
    <row r="1790" spans="1:5">
      <c r="A1790" t="s">
        <v>954</v>
      </c>
      <c r="B1790" t="s">
        <v>2916</v>
      </c>
      <c r="C1790" t="s">
        <v>1361</v>
      </c>
      <c r="D1790" t="s">
        <v>1315</v>
      </c>
      <c r="E1790" s="220">
        <v>5.5799999999999995E-2</v>
      </c>
    </row>
    <row r="1791" spans="1:5">
      <c r="A1791" t="s">
        <v>957</v>
      </c>
      <c r="B1791" t="s">
        <v>2916</v>
      </c>
      <c r="C1791" t="s">
        <v>1361</v>
      </c>
      <c r="D1791" t="s">
        <v>1315</v>
      </c>
      <c r="E1791" s="220">
        <v>5.5799999999999995E-2</v>
      </c>
    </row>
    <row r="1792" spans="1:5">
      <c r="A1792" t="s">
        <v>936</v>
      </c>
      <c r="B1792" t="s">
        <v>2916</v>
      </c>
      <c r="C1792" t="s">
        <v>1361</v>
      </c>
      <c r="D1792" t="s">
        <v>1315</v>
      </c>
      <c r="E1792" s="220">
        <v>5.5799999999999995E-2</v>
      </c>
    </row>
    <row r="1793" spans="1:5">
      <c r="A1793" t="s">
        <v>1014</v>
      </c>
      <c r="B1793" t="s">
        <v>2916</v>
      </c>
      <c r="C1793" t="s">
        <v>1361</v>
      </c>
      <c r="D1793" t="s">
        <v>1315</v>
      </c>
      <c r="E1793" s="220">
        <v>5.5799999999999995E-2</v>
      </c>
    </row>
    <row r="1794" spans="1:5">
      <c r="A1794" t="s">
        <v>999</v>
      </c>
      <c r="B1794" t="s">
        <v>2916</v>
      </c>
      <c r="C1794" t="s">
        <v>1361</v>
      </c>
      <c r="D1794" t="s">
        <v>1315</v>
      </c>
      <c r="E1794" s="220">
        <v>5.5799999999999995E-2</v>
      </c>
    </row>
    <row r="1795" spans="1:5">
      <c r="A1795" t="s">
        <v>993</v>
      </c>
      <c r="B1795" t="s">
        <v>2916</v>
      </c>
      <c r="C1795" t="s">
        <v>1361</v>
      </c>
      <c r="D1795" t="s">
        <v>1315</v>
      </c>
      <c r="E1795" s="220">
        <v>5.5799999999999995E-2</v>
      </c>
    </row>
    <row r="1796" spans="1:5">
      <c r="A1796" t="s">
        <v>963</v>
      </c>
      <c r="B1796" t="s">
        <v>2916</v>
      </c>
      <c r="C1796" t="s">
        <v>1361</v>
      </c>
      <c r="D1796" t="s">
        <v>1315</v>
      </c>
      <c r="E1796" s="220">
        <v>5.5799999999999995E-2</v>
      </c>
    </row>
    <row r="1797" spans="1:5">
      <c r="A1797" t="s">
        <v>1020</v>
      </c>
      <c r="B1797" t="s">
        <v>2916</v>
      </c>
      <c r="C1797" t="s">
        <v>1361</v>
      </c>
      <c r="D1797" t="s">
        <v>1315</v>
      </c>
      <c r="E1797" s="220">
        <v>5.5799999999999995E-2</v>
      </c>
    </row>
    <row r="1798" spans="1:5">
      <c r="A1798" t="s">
        <v>972</v>
      </c>
      <c r="B1798" t="s">
        <v>2916</v>
      </c>
      <c r="C1798" t="s">
        <v>1361</v>
      </c>
      <c r="D1798" t="s">
        <v>1315</v>
      </c>
      <c r="E1798" s="220">
        <v>5.5799999999999995E-2</v>
      </c>
    </row>
    <row r="1799" spans="1:5">
      <c r="A1799" t="s">
        <v>1032</v>
      </c>
      <c r="B1799" t="s">
        <v>2916</v>
      </c>
      <c r="C1799" t="s">
        <v>1361</v>
      </c>
      <c r="D1799" t="s">
        <v>1315</v>
      </c>
      <c r="E1799" s="220">
        <v>5.5799999999999995E-2</v>
      </c>
    </row>
    <row r="1800" spans="1:5">
      <c r="A1800" t="s">
        <v>1055</v>
      </c>
      <c r="B1800" t="s">
        <v>2916</v>
      </c>
      <c r="C1800" t="s">
        <v>1361</v>
      </c>
      <c r="D1800" t="s">
        <v>1315</v>
      </c>
      <c r="E1800" s="220">
        <v>5.5799999999999995E-2</v>
      </c>
    </row>
    <row r="1801" spans="1:5">
      <c r="A1801" t="s">
        <v>1039</v>
      </c>
      <c r="B1801" t="s">
        <v>2916</v>
      </c>
      <c r="C1801" t="s">
        <v>1361</v>
      </c>
      <c r="D1801" t="s">
        <v>1315</v>
      </c>
      <c r="E1801" s="220">
        <v>5.5799999999999995E-2</v>
      </c>
    </row>
    <row r="1802" spans="1:5">
      <c r="A1802" t="s">
        <v>1058</v>
      </c>
      <c r="B1802" t="s">
        <v>2916</v>
      </c>
      <c r="C1802" t="s">
        <v>1361</v>
      </c>
      <c r="D1802" t="s">
        <v>1315</v>
      </c>
      <c r="E1802" s="220">
        <v>5.5799999999999995E-2</v>
      </c>
    </row>
    <row r="1803" spans="1:5">
      <c r="A1803" t="s">
        <v>1061</v>
      </c>
      <c r="B1803" t="s">
        <v>2916</v>
      </c>
      <c r="C1803" t="s">
        <v>1361</v>
      </c>
      <c r="D1803" t="s">
        <v>1315</v>
      </c>
      <c r="E1803" s="220">
        <v>5.5799999999999995E-2</v>
      </c>
    </row>
    <row r="1804" spans="1:5">
      <c r="A1804" t="s">
        <v>1076</v>
      </c>
      <c r="B1804" t="s">
        <v>2916</v>
      </c>
      <c r="C1804" t="s">
        <v>1361</v>
      </c>
      <c r="D1804" t="s">
        <v>1315</v>
      </c>
      <c r="E1804" s="220">
        <v>5.5799999999999995E-2</v>
      </c>
    </row>
    <row r="1805" spans="1:5">
      <c r="A1805" t="s">
        <v>1079</v>
      </c>
      <c r="B1805" t="s">
        <v>2916</v>
      </c>
      <c r="C1805" t="s">
        <v>1361</v>
      </c>
      <c r="D1805" t="s">
        <v>1315</v>
      </c>
      <c r="E1805" s="220">
        <v>5.5799999999999995E-2</v>
      </c>
    </row>
    <row r="1806" spans="1:5">
      <c r="A1806" t="s">
        <v>1082</v>
      </c>
      <c r="B1806" t="s">
        <v>2916</v>
      </c>
      <c r="C1806" t="s">
        <v>1361</v>
      </c>
      <c r="D1806" t="s">
        <v>1315</v>
      </c>
      <c r="E1806" s="220">
        <v>5.5799999999999995E-2</v>
      </c>
    </row>
    <row r="1807" spans="1:5">
      <c r="A1807" t="s">
        <v>1085</v>
      </c>
      <c r="B1807" t="s">
        <v>2916</v>
      </c>
      <c r="C1807" t="s">
        <v>1361</v>
      </c>
      <c r="D1807" t="s">
        <v>1315</v>
      </c>
      <c r="E1807" s="220">
        <v>5.5799999999999995E-2</v>
      </c>
    </row>
    <row r="1808" spans="1:5">
      <c r="A1808" t="s">
        <v>1264</v>
      </c>
      <c r="B1808" t="s">
        <v>2916</v>
      </c>
      <c r="C1808" t="s">
        <v>1361</v>
      </c>
      <c r="D1808" t="s">
        <v>1315</v>
      </c>
      <c r="E1808" s="220">
        <v>5.5799999999999995E-2</v>
      </c>
    </row>
    <row r="1809" spans="1:5">
      <c r="A1809" t="s">
        <v>1091</v>
      </c>
      <c r="B1809" t="s">
        <v>2916</v>
      </c>
      <c r="C1809" t="s">
        <v>1361</v>
      </c>
      <c r="D1809" t="s">
        <v>1315</v>
      </c>
      <c r="E1809" s="220">
        <v>5.5799999999999995E-2</v>
      </c>
    </row>
    <row r="1810" spans="1:5">
      <c r="A1810" t="s">
        <v>1094</v>
      </c>
      <c r="B1810" t="s">
        <v>2916</v>
      </c>
      <c r="C1810" t="s">
        <v>1361</v>
      </c>
      <c r="D1810" t="s">
        <v>1315</v>
      </c>
      <c r="E1810" s="220">
        <v>5.5799999999999995E-2</v>
      </c>
    </row>
    <row r="1811" spans="1:5">
      <c r="A1811" t="s">
        <v>1097</v>
      </c>
      <c r="B1811" t="s">
        <v>2916</v>
      </c>
      <c r="C1811" t="s">
        <v>1361</v>
      </c>
      <c r="D1811" t="s">
        <v>1315</v>
      </c>
      <c r="E1811" s="220">
        <v>5.5799999999999995E-2</v>
      </c>
    </row>
    <row r="1812" spans="1:5">
      <c r="A1812" t="s">
        <v>1113</v>
      </c>
      <c r="B1812" t="s">
        <v>2916</v>
      </c>
      <c r="C1812" t="s">
        <v>1361</v>
      </c>
      <c r="D1812" t="s">
        <v>1315</v>
      </c>
      <c r="E1812" s="220">
        <v>5.5799999999999995E-2</v>
      </c>
    </row>
    <row r="1813" spans="1:5">
      <c r="A1813" t="s">
        <v>1173</v>
      </c>
      <c r="B1813" t="s">
        <v>2916</v>
      </c>
      <c r="C1813" t="s">
        <v>1361</v>
      </c>
      <c r="D1813" t="s">
        <v>1315</v>
      </c>
      <c r="E1813" s="220">
        <v>5.5799999999999995E-2</v>
      </c>
    </row>
    <row r="1814" spans="1:5">
      <c r="A1814" t="s">
        <v>1128</v>
      </c>
      <c r="B1814" t="s">
        <v>2916</v>
      </c>
      <c r="C1814" t="s">
        <v>1361</v>
      </c>
      <c r="D1814" t="s">
        <v>1315</v>
      </c>
      <c r="E1814" s="220">
        <v>5.5799999999999995E-2</v>
      </c>
    </row>
    <row r="1815" spans="1:5">
      <c r="A1815" t="s">
        <v>1119</v>
      </c>
      <c r="B1815" t="s">
        <v>2916</v>
      </c>
      <c r="C1815" t="s">
        <v>1361</v>
      </c>
      <c r="D1815" t="s">
        <v>1315</v>
      </c>
      <c r="E1815" s="220">
        <v>5.5799999999999995E-2</v>
      </c>
    </row>
    <row r="1816" spans="1:5">
      <c r="A1816" t="s">
        <v>1176</v>
      </c>
      <c r="B1816" t="s">
        <v>2916</v>
      </c>
      <c r="C1816" t="s">
        <v>1361</v>
      </c>
      <c r="D1816" t="s">
        <v>1315</v>
      </c>
      <c r="E1816" s="220">
        <v>5.5799999999999995E-2</v>
      </c>
    </row>
    <row r="1817" spans="1:5">
      <c r="A1817" t="s">
        <v>1135</v>
      </c>
      <c r="B1817" t="s">
        <v>2916</v>
      </c>
      <c r="C1817" t="s">
        <v>1361</v>
      </c>
      <c r="D1817" t="s">
        <v>1315</v>
      </c>
      <c r="E1817" s="220">
        <v>5.5799999999999995E-2</v>
      </c>
    </row>
    <row r="1818" spans="1:5">
      <c r="A1818" t="s">
        <v>1139</v>
      </c>
      <c r="B1818" t="s">
        <v>2916</v>
      </c>
      <c r="C1818" t="s">
        <v>1361</v>
      </c>
      <c r="D1818" t="s">
        <v>1315</v>
      </c>
      <c r="E1818" s="220">
        <v>5.5799999999999995E-2</v>
      </c>
    </row>
    <row r="1819" spans="1:5">
      <c r="A1819" t="s">
        <v>1179</v>
      </c>
      <c r="B1819" t="s">
        <v>2916</v>
      </c>
      <c r="C1819" t="s">
        <v>1361</v>
      </c>
      <c r="D1819" t="s">
        <v>1315</v>
      </c>
      <c r="E1819" s="220">
        <v>5.5799999999999995E-2</v>
      </c>
    </row>
    <row r="1820" spans="1:5">
      <c r="A1820" t="s">
        <v>1185</v>
      </c>
      <c r="B1820" t="s">
        <v>2916</v>
      </c>
      <c r="C1820" t="s">
        <v>1361</v>
      </c>
      <c r="D1820" t="s">
        <v>1315</v>
      </c>
      <c r="E1820" s="220">
        <v>5.5799999999999995E-2</v>
      </c>
    </row>
    <row r="1821" spans="1:5">
      <c r="A1821" t="s">
        <v>1198</v>
      </c>
      <c r="B1821" t="s">
        <v>2916</v>
      </c>
      <c r="C1821" t="s">
        <v>1361</v>
      </c>
      <c r="D1821" t="s">
        <v>1315</v>
      </c>
      <c r="E1821" s="220">
        <v>5.5799999999999995E-2</v>
      </c>
    </row>
    <row r="1822" spans="1:5">
      <c r="A1822" t="s">
        <v>1192</v>
      </c>
      <c r="B1822" t="s">
        <v>2916</v>
      </c>
      <c r="C1822" t="s">
        <v>1361</v>
      </c>
      <c r="D1822" t="s">
        <v>1315</v>
      </c>
      <c r="E1822" s="220">
        <v>5.5799999999999995E-2</v>
      </c>
    </row>
    <row r="1823" spans="1:5">
      <c r="A1823" t="s">
        <v>1219</v>
      </c>
      <c r="B1823" t="s">
        <v>2916</v>
      </c>
      <c r="C1823" t="s">
        <v>1361</v>
      </c>
      <c r="D1823" t="s">
        <v>1315</v>
      </c>
      <c r="E1823" s="220">
        <v>5.5799999999999995E-2</v>
      </c>
    </row>
    <row r="1824" spans="1:5">
      <c r="A1824" t="s">
        <v>1210</v>
      </c>
      <c r="B1824" t="s">
        <v>2916</v>
      </c>
      <c r="C1824" t="s">
        <v>1361</v>
      </c>
      <c r="D1824" t="s">
        <v>1315</v>
      </c>
      <c r="E1824" s="220">
        <v>5.5799999999999995E-2</v>
      </c>
    </row>
    <row r="1825" spans="1:5">
      <c r="A1825" t="s">
        <v>1213</v>
      </c>
      <c r="B1825" t="s">
        <v>2916</v>
      </c>
      <c r="C1825" t="s">
        <v>1361</v>
      </c>
      <c r="D1825" t="s">
        <v>1315</v>
      </c>
      <c r="E1825" s="220">
        <v>5.5799999999999995E-2</v>
      </c>
    </row>
    <row r="1826" spans="1:5">
      <c r="A1826" t="s">
        <v>1216</v>
      </c>
      <c r="B1826" t="s">
        <v>2916</v>
      </c>
      <c r="C1826" t="s">
        <v>1361</v>
      </c>
      <c r="D1826" t="s">
        <v>1315</v>
      </c>
      <c r="E1826" s="220">
        <v>5.5799999999999995E-2</v>
      </c>
    </row>
    <row r="1827" spans="1:5">
      <c r="A1827" t="s">
        <v>1189</v>
      </c>
      <c r="B1827" t="s">
        <v>2916</v>
      </c>
      <c r="C1827" t="s">
        <v>1361</v>
      </c>
      <c r="D1827" t="s">
        <v>1315</v>
      </c>
      <c r="E1827" s="220">
        <v>5.5799999999999995E-2</v>
      </c>
    </row>
    <row r="1828" spans="1:5">
      <c r="A1828" t="s">
        <v>1232</v>
      </c>
      <c r="B1828" t="s">
        <v>2916</v>
      </c>
      <c r="C1828" t="s">
        <v>1361</v>
      </c>
      <c r="D1828" t="s">
        <v>1315</v>
      </c>
      <c r="E1828" s="220">
        <v>5.5799999999999995E-2</v>
      </c>
    </row>
    <row r="1829" spans="1:5">
      <c r="A1829" t="s">
        <v>1241</v>
      </c>
      <c r="B1829" t="s">
        <v>2916</v>
      </c>
      <c r="C1829" t="s">
        <v>1361</v>
      </c>
      <c r="D1829" t="s">
        <v>1315</v>
      </c>
      <c r="E1829" s="220">
        <v>5.5799999999999995E-2</v>
      </c>
    </row>
    <row r="1830" spans="1:5">
      <c r="A1830" t="s">
        <v>1247</v>
      </c>
      <c r="B1830" t="s">
        <v>2916</v>
      </c>
      <c r="C1830" t="s">
        <v>1361</v>
      </c>
      <c r="D1830" t="s">
        <v>1315</v>
      </c>
      <c r="E1830" s="220">
        <v>5.5799999999999995E-2</v>
      </c>
    </row>
    <row r="1831" spans="1:5">
      <c r="A1831" t="s">
        <v>1170</v>
      </c>
      <c r="B1831" t="s">
        <v>2916</v>
      </c>
      <c r="C1831" t="s">
        <v>1361</v>
      </c>
      <c r="D1831" t="s">
        <v>1315</v>
      </c>
      <c r="E1831" s="220">
        <v>5.5799999999999995E-2</v>
      </c>
    </row>
    <row r="1832" spans="1:5">
      <c r="A1832" t="s">
        <v>1253</v>
      </c>
      <c r="B1832" t="s">
        <v>2916</v>
      </c>
      <c r="C1832" t="s">
        <v>1361</v>
      </c>
      <c r="D1832" t="s">
        <v>1315</v>
      </c>
      <c r="E1832" s="220">
        <v>5.5799999999999995E-2</v>
      </c>
    </row>
    <row r="1833" spans="1:5">
      <c r="A1833" t="s">
        <v>1257</v>
      </c>
      <c r="B1833" t="s">
        <v>2916</v>
      </c>
      <c r="C1833" t="s">
        <v>1361</v>
      </c>
      <c r="D1833" t="s">
        <v>1315</v>
      </c>
      <c r="E1833" s="220">
        <v>5.5799999999999995E-2</v>
      </c>
    </row>
    <row r="1834" spans="1:5">
      <c r="A1834" t="s">
        <v>1268</v>
      </c>
      <c r="B1834" t="s">
        <v>2916</v>
      </c>
      <c r="C1834" t="s">
        <v>1361</v>
      </c>
      <c r="D1834" t="s">
        <v>1315</v>
      </c>
      <c r="E1834" s="220">
        <v>5.5799999999999995E-2</v>
      </c>
    </row>
    <row r="1835" spans="1:5">
      <c r="A1835" t="s">
        <v>617</v>
      </c>
      <c r="B1835" t="s">
        <v>2916</v>
      </c>
      <c r="C1835" t="s">
        <v>1365</v>
      </c>
      <c r="D1835" t="s">
        <v>1315</v>
      </c>
      <c r="E1835" s="220">
        <v>5.5799999999999995E-2</v>
      </c>
    </row>
    <row r="1836" spans="1:5">
      <c r="A1836" t="s">
        <v>620</v>
      </c>
      <c r="B1836" t="s">
        <v>2916</v>
      </c>
      <c r="C1836" t="s">
        <v>1365</v>
      </c>
      <c r="D1836" t="s">
        <v>1315</v>
      </c>
      <c r="E1836" s="220">
        <v>5.5799999999999995E-2</v>
      </c>
    </row>
    <row r="1837" spans="1:5">
      <c r="A1837" t="s">
        <v>614</v>
      </c>
      <c r="B1837" t="s">
        <v>2916</v>
      </c>
      <c r="C1837" t="s">
        <v>1365</v>
      </c>
      <c r="D1837" t="s">
        <v>1315</v>
      </c>
      <c r="E1837" s="220">
        <v>5.5799999999999995E-2</v>
      </c>
    </row>
    <row r="1838" spans="1:5">
      <c r="A1838" t="s">
        <v>626</v>
      </c>
      <c r="B1838" t="s">
        <v>2916</v>
      </c>
      <c r="C1838" t="s">
        <v>1365</v>
      </c>
      <c r="D1838" t="s">
        <v>1315</v>
      </c>
      <c r="E1838" s="220">
        <v>5.5799999999999995E-2</v>
      </c>
    </row>
    <row r="1839" spans="1:5">
      <c r="A1839" t="s">
        <v>629</v>
      </c>
      <c r="B1839" t="s">
        <v>2916</v>
      </c>
      <c r="C1839" t="s">
        <v>1365</v>
      </c>
      <c r="D1839" t="s">
        <v>1315</v>
      </c>
      <c r="E1839" s="220">
        <v>5.5799999999999995E-2</v>
      </c>
    </row>
    <row r="1840" spans="1:5">
      <c r="A1840" t="s">
        <v>632</v>
      </c>
      <c r="B1840" t="s">
        <v>2916</v>
      </c>
      <c r="C1840" t="s">
        <v>1365</v>
      </c>
      <c r="D1840" t="s">
        <v>1315</v>
      </c>
      <c r="E1840" s="220">
        <v>5.5799999999999995E-2</v>
      </c>
    </row>
    <row r="1841" spans="1:5">
      <c r="A1841" t="s">
        <v>650</v>
      </c>
      <c r="B1841" t="s">
        <v>2916</v>
      </c>
      <c r="C1841" t="s">
        <v>1365</v>
      </c>
      <c r="D1841" t="s">
        <v>1315</v>
      </c>
      <c r="E1841" s="220">
        <v>5.5799999999999995E-2</v>
      </c>
    </row>
    <row r="1842" spans="1:5">
      <c r="A1842" t="s">
        <v>641</v>
      </c>
      <c r="B1842" t="s">
        <v>2916</v>
      </c>
      <c r="C1842" t="s">
        <v>1365</v>
      </c>
      <c r="D1842" t="s">
        <v>1315</v>
      </c>
      <c r="E1842" s="220">
        <v>5.5799999999999995E-2</v>
      </c>
    </row>
    <row r="1843" spans="1:5">
      <c r="A1843" t="s">
        <v>687</v>
      </c>
      <c r="B1843" t="s">
        <v>2916</v>
      </c>
      <c r="C1843" t="s">
        <v>1365</v>
      </c>
      <c r="D1843" t="s">
        <v>1315</v>
      </c>
      <c r="E1843" s="220">
        <v>5.5799999999999995E-2</v>
      </c>
    </row>
    <row r="1844" spans="1:5">
      <c r="A1844" t="s">
        <v>635</v>
      </c>
      <c r="B1844" t="s">
        <v>2916</v>
      </c>
      <c r="C1844" t="s">
        <v>1365</v>
      </c>
      <c r="D1844" t="s">
        <v>1315</v>
      </c>
      <c r="E1844" s="220">
        <v>5.5799999999999995E-2</v>
      </c>
    </row>
    <row r="1845" spans="1:5">
      <c r="A1845" t="s">
        <v>670</v>
      </c>
      <c r="B1845" t="s">
        <v>2916</v>
      </c>
      <c r="C1845" t="s">
        <v>1365</v>
      </c>
      <c r="D1845" t="s">
        <v>1315</v>
      </c>
      <c r="E1845" s="220">
        <v>5.5799999999999995E-2</v>
      </c>
    </row>
    <row r="1846" spans="1:5">
      <c r="A1846" t="s">
        <v>647</v>
      </c>
      <c r="B1846" t="s">
        <v>2916</v>
      </c>
      <c r="C1846" t="s">
        <v>1365</v>
      </c>
      <c r="D1846" t="s">
        <v>1315</v>
      </c>
      <c r="E1846" s="220">
        <v>5.5799999999999995E-2</v>
      </c>
    </row>
    <row r="1847" spans="1:5">
      <c r="A1847" t="s">
        <v>659</v>
      </c>
      <c r="B1847" t="s">
        <v>2916</v>
      </c>
      <c r="C1847" t="s">
        <v>1365</v>
      </c>
      <c r="D1847" t="s">
        <v>1315</v>
      </c>
      <c r="E1847" s="220">
        <v>5.5799999999999995E-2</v>
      </c>
    </row>
    <row r="1848" spans="1:5">
      <c r="A1848" t="s">
        <v>667</v>
      </c>
      <c r="B1848" t="s">
        <v>2916</v>
      </c>
      <c r="C1848" t="s">
        <v>1365</v>
      </c>
      <c r="D1848" t="s">
        <v>1315</v>
      </c>
      <c r="E1848" s="220">
        <v>5.5799999999999995E-2</v>
      </c>
    </row>
    <row r="1849" spans="1:5">
      <c r="A1849" t="s">
        <v>676</v>
      </c>
      <c r="B1849" t="s">
        <v>2916</v>
      </c>
      <c r="C1849" t="s">
        <v>1365</v>
      </c>
      <c r="D1849" t="s">
        <v>1315</v>
      </c>
      <c r="E1849" s="220">
        <v>5.5799999999999995E-2</v>
      </c>
    </row>
    <row r="1850" spans="1:5">
      <c r="A1850" t="s">
        <v>644</v>
      </c>
      <c r="B1850" t="s">
        <v>2916</v>
      </c>
      <c r="C1850" t="s">
        <v>1365</v>
      </c>
      <c r="D1850" t="s">
        <v>1315</v>
      </c>
      <c r="E1850" s="220">
        <v>5.5799999999999995E-2</v>
      </c>
    </row>
    <row r="1851" spans="1:5">
      <c r="A1851" t="s">
        <v>684</v>
      </c>
      <c r="B1851" t="s">
        <v>2916</v>
      </c>
      <c r="C1851" t="s">
        <v>1365</v>
      </c>
      <c r="D1851" t="s">
        <v>1315</v>
      </c>
      <c r="E1851" s="220">
        <v>5.5799999999999995E-2</v>
      </c>
    </row>
    <row r="1852" spans="1:5">
      <c r="A1852" t="s">
        <v>705</v>
      </c>
      <c r="B1852" t="s">
        <v>2916</v>
      </c>
      <c r="C1852" t="s">
        <v>1365</v>
      </c>
      <c r="D1852" t="s">
        <v>1315</v>
      </c>
      <c r="E1852" s="220">
        <v>5.5799999999999995E-2</v>
      </c>
    </row>
    <row r="1853" spans="1:5">
      <c r="A1853" t="s">
        <v>1182</v>
      </c>
      <c r="B1853" t="s">
        <v>2916</v>
      </c>
      <c r="C1853" t="s">
        <v>1365</v>
      </c>
      <c r="D1853" t="s">
        <v>1315</v>
      </c>
      <c r="E1853" s="220">
        <v>5.5799999999999995E-2</v>
      </c>
    </row>
    <row r="1854" spans="1:5">
      <c r="A1854" t="s">
        <v>720</v>
      </c>
      <c r="B1854" t="s">
        <v>2916</v>
      </c>
      <c r="C1854" t="s">
        <v>1365</v>
      </c>
      <c r="D1854" t="s">
        <v>1315</v>
      </c>
      <c r="E1854" s="220">
        <v>5.5799999999999995E-2</v>
      </c>
    </row>
    <row r="1855" spans="1:5">
      <c r="A1855" t="s">
        <v>723</v>
      </c>
      <c r="B1855" t="s">
        <v>2916</v>
      </c>
      <c r="C1855" t="s">
        <v>1365</v>
      </c>
      <c r="D1855" t="s">
        <v>1315</v>
      </c>
      <c r="E1855" s="220">
        <v>5.5799999999999995E-2</v>
      </c>
    </row>
    <row r="1856" spans="1:5">
      <c r="A1856" t="s">
        <v>726</v>
      </c>
      <c r="B1856" t="s">
        <v>2916</v>
      </c>
      <c r="C1856" t="s">
        <v>1365</v>
      </c>
      <c r="D1856" t="s">
        <v>1315</v>
      </c>
      <c r="E1856" s="220">
        <v>5.5799999999999995E-2</v>
      </c>
    </row>
    <row r="1857" spans="1:5">
      <c r="A1857" t="s">
        <v>747</v>
      </c>
      <c r="B1857" t="s">
        <v>2916</v>
      </c>
      <c r="C1857" t="s">
        <v>1365</v>
      </c>
      <c r="D1857" t="s">
        <v>1315</v>
      </c>
      <c r="E1857" s="220">
        <v>5.5799999999999995E-2</v>
      </c>
    </row>
    <row r="1858" spans="1:5">
      <c r="A1858" t="s">
        <v>757</v>
      </c>
      <c r="B1858" t="s">
        <v>2916</v>
      </c>
      <c r="C1858" t="s">
        <v>1365</v>
      </c>
      <c r="D1858" t="s">
        <v>1315</v>
      </c>
      <c r="E1858" s="220">
        <v>5.5799999999999995E-2</v>
      </c>
    </row>
    <row r="1859" spans="1:5">
      <c r="A1859" t="s">
        <v>823</v>
      </c>
      <c r="B1859" t="s">
        <v>2916</v>
      </c>
      <c r="C1859" t="s">
        <v>1365</v>
      </c>
      <c r="D1859" t="s">
        <v>1315</v>
      </c>
      <c r="E1859" s="220">
        <v>5.5799999999999995E-2</v>
      </c>
    </row>
    <row r="1860" spans="1:5">
      <c r="A1860" t="s">
        <v>767</v>
      </c>
      <c r="B1860" t="s">
        <v>2916</v>
      </c>
      <c r="C1860" t="s">
        <v>1365</v>
      </c>
      <c r="D1860" t="s">
        <v>1315</v>
      </c>
      <c r="E1860" s="220">
        <v>5.5799999999999995E-2</v>
      </c>
    </row>
    <row r="1861" spans="1:5">
      <c r="A1861" t="s">
        <v>761</v>
      </c>
      <c r="B1861" t="s">
        <v>2916</v>
      </c>
      <c r="C1861" t="s">
        <v>1365</v>
      </c>
      <c r="D1861" t="s">
        <v>1315</v>
      </c>
      <c r="E1861" s="220">
        <v>5.5799999999999995E-2</v>
      </c>
    </row>
    <row r="1862" spans="1:5">
      <c r="A1862" t="s">
        <v>770</v>
      </c>
      <c r="B1862" t="s">
        <v>2916</v>
      </c>
      <c r="C1862" t="s">
        <v>1365</v>
      </c>
      <c r="D1862" t="s">
        <v>1315</v>
      </c>
      <c r="E1862" s="220">
        <v>5.5799999999999995E-2</v>
      </c>
    </row>
    <row r="1863" spans="1:5">
      <c r="A1863" t="s">
        <v>592</v>
      </c>
      <c r="B1863" t="s">
        <v>2916</v>
      </c>
      <c r="C1863" t="s">
        <v>1365</v>
      </c>
      <c r="D1863" t="s">
        <v>1315</v>
      </c>
      <c r="E1863" s="220">
        <v>5.5799999999999995E-2</v>
      </c>
    </row>
    <row r="1864" spans="1:5">
      <c r="A1864" t="s">
        <v>776</v>
      </c>
      <c r="B1864" t="s">
        <v>2916</v>
      </c>
      <c r="C1864" t="s">
        <v>1365</v>
      </c>
      <c r="D1864" t="s">
        <v>1315</v>
      </c>
      <c r="E1864" s="220">
        <v>5.5799999999999995E-2</v>
      </c>
    </row>
    <row r="1865" spans="1:5">
      <c r="A1865" t="s">
        <v>1154</v>
      </c>
      <c r="B1865" t="s">
        <v>2916</v>
      </c>
      <c r="C1865" t="s">
        <v>1365</v>
      </c>
      <c r="D1865" t="s">
        <v>1315</v>
      </c>
      <c r="E1865" s="220">
        <v>5.5799999999999995E-2</v>
      </c>
    </row>
    <row r="1866" spans="1:5">
      <c r="A1866" t="s">
        <v>788</v>
      </c>
      <c r="B1866" t="s">
        <v>2916</v>
      </c>
      <c r="C1866" t="s">
        <v>1365</v>
      </c>
      <c r="D1866" t="s">
        <v>1315</v>
      </c>
      <c r="E1866" s="220">
        <v>5.5799999999999995E-2</v>
      </c>
    </row>
    <row r="1867" spans="1:5">
      <c r="A1867" t="s">
        <v>805</v>
      </c>
      <c r="B1867" t="s">
        <v>2916</v>
      </c>
      <c r="C1867" t="s">
        <v>1365</v>
      </c>
      <c r="D1867" t="s">
        <v>1315</v>
      </c>
      <c r="E1867" s="220">
        <v>5.5799999999999995E-2</v>
      </c>
    </row>
    <row r="1868" spans="1:5">
      <c r="A1868" t="s">
        <v>808</v>
      </c>
      <c r="B1868" t="s">
        <v>2916</v>
      </c>
      <c r="C1868" t="s">
        <v>1365</v>
      </c>
      <c r="D1868" t="s">
        <v>1315</v>
      </c>
      <c r="E1868" s="220">
        <v>5.7000000000000002E-2</v>
      </c>
    </row>
    <row r="1869" spans="1:5">
      <c r="A1869" t="s">
        <v>1238</v>
      </c>
      <c r="B1869" t="s">
        <v>2916</v>
      </c>
      <c r="C1869" t="s">
        <v>1365</v>
      </c>
      <c r="D1869" t="s">
        <v>1315</v>
      </c>
      <c r="E1869" s="220">
        <v>5.5799999999999995E-2</v>
      </c>
    </row>
    <row r="1870" spans="1:5">
      <c r="A1870" t="s">
        <v>820</v>
      </c>
      <c r="B1870" t="s">
        <v>2916</v>
      </c>
      <c r="C1870" t="s">
        <v>1365</v>
      </c>
      <c r="D1870" t="s">
        <v>1315</v>
      </c>
      <c r="E1870" s="220">
        <v>5.5799999999999995E-2</v>
      </c>
    </row>
    <row r="1871" spans="1:5">
      <c r="A1871" t="s">
        <v>833</v>
      </c>
      <c r="B1871" t="s">
        <v>2916</v>
      </c>
      <c r="C1871" t="s">
        <v>1365</v>
      </c>
      <c r="D1871" t="s">
        <v>1315</v>
      </c>
      <c r="E1871" s="220">
        <v>5.5799999999999995E-2</v>
      </c>
    </row>
    <row r="1872" spans="1:5">
      <c r="A1872" t="s">
        <v>839</v>
      </c>
      <c r="B1872" t="s">
        <v>2916</v>
      </c>
      <c r="C1872" t="s">
        <v>1365</v>
      </c>
      <c r="D1872" t="s">
        <v>1315</v>
      </c>
      <c r="E1872" s="220">
        <v>5.5799999999999995E-2</v>
      </c>
    </row>
    <row r="1873" spans="1:5">
      <c r="A1873" t="s">
        <v>854</v>
      </c>
      <c r="B1873" t="s">
        <v>2916</v>
      </c>
      <c r="C1873" t="s">
        <v>1365</v>
      </c>
      <c r="D1873" t="s">
        <v>1315</v>
      </c>
      <c r="E1873" s="220">
        <v>5.5799999999999995E-2</v>
      </c>
    </row>
    <row r="1874" spans="1:5">
      <c r="A1874" t="s">
        <v>863</v>
      </c>
      <c r="B1874" t="s">
        <v>2916</v>
      </c>
      <c r="C1874" t="s">
        <v>1365</v>
      </c>
      <c r="D1874" t="s">
        <v>1315</v>
      </c>
      <c r="E1874" s="220">
        <v>5.5799999999999995E-2</v>
      </c>
    </row>
    <row r="1875" spans="1:5">
      <c r="A1875" t="s">
        <v>744</v>
      </c>
      <c r="B1875" t="s">
        <v>2916</v>
      </c>
      <c r="C1875" t="s">
        <v>1365</v>
      </c>
      <c r="D1875" t="s">
        <v>1315</v>
      </c>
      <c r="E1875" s="220">
        <v>5.5799999999999995E-2</v>
      </c>
    </row>
    <row r="1876" spans="1:5">
      <c r="A1876" t="s">
        <v>857</v>
      </c>
      <c r="B1876" t="s">
        <v>2916</v>
      </c>
      <c r="C1876" t="s">
        <v>1365</v>
      </c>
      <c r="D1876" t="s">
        <v>1315</v>
      </c>
      <c r="E1876" s="220">
        <v>5.5799999999999995E-2</v>
      </c>
    </row>
    <row r="1877" spans="1:5">
      <c r="A1877" t="s">
        <v>866</v>
      </c>
      <c r="B1877" t="s">
        <v>2916</v>
      </c>
      <c r="C1877" t="s">
        <v>1365</v>
      </c>
      <c r="D1877" t="s">
        <v>1315</v>
      </c>
      <c r="E1877" s="220">
        <v>5.5799999999999995E-2</v>
      </c>
    </row>
    <row r="1878" spans="1:5">
      <c r="A1878" t="s">
        <v>875</v>
      </c>
      <c r="B1878" t="s">
        <v>2916</v>
      </c>
      <c r="C1878" t="s">
        <v>1365</v>
      </c>
      <c r="D1878" t="s">
        <v>1315</v>
      </c>
      <c r="E1878" s="220">
        <v>5.5799999999999995E-2</v>
      </c>
    </row>
    <row r="1879" spans="1:5">
      <c r="A1879" t="s">
        <v>872</v>
      </c>
      <c r="B1879" t="s">
        <v>2916</v>
      </c>
      <c r="C1879" t="s">
        <v>1365</v>
      </c>
      <c r="D1879" t="s">
        <v>1315</v>
      </c>
      <c r="E1879" s="220">
        <v>5.5799999999999995E-2</v>
      </c>
    </row>
    <row r="1880" spans="1:5">
      <c r="A1880" t="s">
        <v>884</v>
      </c>
      <c r="B1880" t="s">
        <v>2916</v>
      </c>
      <c r="C1880" t="s">
        <v>1365</v>
      </c>
      <c r="D1880" t="s">
        <v>1315</v>
      </c>
      <c r="E1880" s="220">
        <v>5.5799999999999995E-2</v>
      </c>
    </row>
    <row r="1881" spans="1:5">
      <c r="A1881" t="s">
        <v>878</v>
      </c>
      <c r="B1881" t="s">
        <v>2916</v>
      </c>
      <c r="C1881" t="s">
        <v>1365</v>
      </c>
      <c r="D1881" t="s">
        <v>1315</v>
      </c>
      <c r="E1881" s="220">
        <v>5.5799999999999995E-2</v>
      </c>
    </row>
    <row r="1882" spans="1:5">
      <c r="A1882" t="s">
        <v>894</v>
      </c>
      <c r="B1882" t="s">
        <v>2916</v>
      </c>
      <c r="C1882" t="s">
        <v>1365</v>
      </c>
      <c r="D1882" t="s">
        <v>1315</v>
      </c>
      <c r="E1882" s="220">
        <v>5.5799999999999995E-2</v>
      </c>
    </row>
    <row r="1883" spans="1:5">
      <c r="A1883" t="s">
        <v>897</v>
      </c>
      <c r="B1883" t="s">
        <v>2916</v>
      </c>
      <c r="C1883" t="s">
        <v>1365</v>
      </c>
      <c r="D1883" t="s">
        <v>1315</v>
      </c>
      <c r="E1883" s="220">
        <v>5.5799999999999995E-2</v>
      </c>
    </row>
    <row r="1884" spans="1:5">
      <c r="A1884" t="s">
        <v>900</v>
      </c>
      <c r="B1884" t="s">
        <v>2916</v>
      </c>
      <c r="C1884" t="s">
        <v>1365</v>
      </c>
      <c r="D1884" t="s">
        <v>1315</v>
      </c>
      <c r="E1884" s="220">
        <v>5.5799999999999995E-2</v>
      </c>
    </row>
    <row r="1885" spans="1:5">
      <c r="A1885" t="s">
        <v>906</v>
      </c>
      <c r="B1885" t="s">
        <v>2916</v>
      </c>
      <c r="C1885" t="s">
        <v>1365</v>
      </c>
      <c r="D1885" t="s">
        <v>1315</v>
      </c>
      <c r="E1885" s="220">
        <v>5.5799999999999995E-2</v>
      </c>
    </row>
    <row r="1886" spans="1:5">
      <c r="A1886" t="s">
        <v>1160</v>
      </c>
      <c r="B1886" t="s">
        <v>2916</v>
      </c>
      <c r="C1886" t="s">
        <v>1365</v>
      </c>
      <c r="D1886" t="s">
        <v>1315</v>
      </c>
      <c r="E1886" s="220">
        <v>5.5799999999999995E-2</v>
      </c>
    </row>
    <row r="1887" spans="1:5">
      <c r="A1887" t="s">
        <v>915</v>
      </c>
      <c r="B1887" t="s">
        <v>2916</v>
      </c>
      <c r="C1887" t="s">
        <v>1365</v>
      </c>
      <c r="D1887" t="s">
        <v>1315</v>
      </c>
      <c r="E1887" s="220">
        <v>5.5799999999999995E-2</v>
      </c>
    </row>
    <row r="1888" spans="1:5">
      <c r="A1888" t="s">
        <v>1163</v>
      </c>
      <c r="B1888" t="s">
        <v>2916</v>
      </c>
      <c r="C1888" t="s">
        <v>1365</v>
      </c>
      <c r="D1888" t="s">
        <v>1315</v>
      </c>
      <c r="E1888" s="220">
        <v>5.5799999999999995E-2</v>
      </c>
    </row>
    <row r="1889" spans="1:5">
      <c r="A1889" t="s">
        <v>954</v>
      </c>
      <c r="B1889" t="s">
        <v>2916</v>
      </c>
      <c r="C1889" t="s">
        <v>1365</v>
      </c>
      <c r="D1889" t="s">
        <v>1315</v>
      </c>
      <c r="E1889" s="220">
        <v>5.5799999999999995E-2</v>
      </c>
    </row>
    <row r="1890" spans="1:5">
      <c r="A1890" t="s">
        <v>957</v>
      </c>
      <c r="B1890" t="s">
        <v>2916</v>
      </c>
      <c r="C1890" t="s">
        <v>1365</v>
      </c>
      <c r="D1890" t="s">
        <v>1315</v>
      </c>
      <c r="E1890" s="220">
        <v>5.5799999999999995E-2</v>
      </c>
    </row>
    <row r="1891" spans="1:5">
      <c r="A1891" t="s">
        <v>936</v>
      </c>
      <c r="B1891" t="s">
        <v>2916</v>
      </c>
      <c r="C1891" t="s">
        <v>1365</v>
      </c>
      <c r="D1891" t="s">
        <v>1315</v>
      </c>
      <c r="E1891" s="220">
        <v>5.5799999999999995E-2</v>
      </c>
    </row>
    <row r="1892" spans="1:5">
      <c r="A1892" t="s">
        <v>1014</v>
      </c>
      <c r="B1892" t="s">
        <v>2916</v>
      </c>
      <c r="C1892" t="s">
        <v>1365</v>
      </c>
      <c r="D1892" t="s">
        <v>1315</v>
      </c>
      <c r="E1892" s="220">
        <v>5.5799999999999995E-2</v>
      </c>
    </row>
    <row r="1893" spans="1:5">
      <c r="A1893" t="s">
        <v>999</v>
      </c>
      <c r="B1893" t="s">
        <v>2916</v>
      </c>
      <c r="C1893" t="s">
        <v>1365</v>
      </c>
      <c r="D1893" t="s">
        <v>1315</v>
      </c>
      <c r="E1893" s="220">
        <v>5.5799999999999995E-2</v>
      </c>
    </row>
    <row r="1894" spans="1:5">
      <c r="A1894" t="s">
        <v>993</v>
      </c>
      <c r="B1894" t="s">
        <v>2916</v>
      </c>
      <c r="C1894" t="s">
        <v>1365</v>
      </c>
      <c r="D1894" t="s">
        <v>1315</v>
      </c>
      <c r="E1894" s="220">
        <v>5.5799999999999995E-2</v>
      </c>
    </row>
    <row r="1895" spans="1:5">
      <c r="A1895" t="s">
        <v>963</v>
      </c>
      <c r="B1895" t="s">
        <v>2916</v>
      </c>
      <c r="C1895" t="s">
        <v>1365</v>
      </c>
      <c r="D1895" t="s">
        <v>1315</v>
      </c>
      <c r="E1895" s="220">
        <v>5.5799999999999995E-2</v>
      </c>
    </row>
    <row r="1896" spans="1:5">
      <c r="A1896" t="s">
        <v>972</v>
      </c>
      <c r="B1896" t="s">
        <v>2916</v>
      </c>
      <c r="C1896" t="s">
        <v>1365</v>
      </c>
      <c r="D1896" t="s">
        <v>1315</v>
      </c>
      <c r="E1896" s="220">
        <v>5.5799999999999995E-2</v>
      </c>
    </row>
    <row r="1897" spans="1:5">
      <c r="A1897" t="s">
        <v>1032</v>
      </c>
      <c r="B1897" t="s">
        <v>2916</v>
      </c>
      <c r="C1897" t="s">
        <v>1365</v>
      </c>
      <c r="D1897" t="s">
        <v>1315</v>
      </c>
      <c r="E1897" s="220">
        <v>5.5799999999999995E-2</v>
      </c>
    </row>
    <row r="1898" spans="1:5">
      <c r="A1898" t="s">
        <v>1055</v>
      </c>
      <c r="B1898" t="s">
        <v>2916</v>
      </c>
      <c r="C1898" t="s">
        <v>1365</v>
      </c>
      <c r="D1898" t="s">
        <v>1315</v>
      </c>
      <c r="E1898" s="220">
        <v>5.5799999999999995E-2</v>
      </c>
    </row>
    <row r="1899" spans="1:5">
      <c r="A1899" t="s">
        <v>1039</v>
      </c>
      <c r="B1899" t="s">
        <v>2916</v>
      </c>
      <c r="C1899" t="s">
        <v>1365</v>
      </c>
      <c r="D1899" t="s">
        <v>1315</v>
      </c>
      <c r="E1899" s="220">
        <v>5.5799999999999995E-2</v>
      </c>
    </row>
    <row r="1900" spans="1:5">
      <c r="A1900" t="s">
        <v>1061</v>
      </c>
      <c r="B1900" t="s">
        <v>2916</v>
      </c>
      <c r="C1900" t="s">
        <v>1365</v>
      </c>
      <c r="D1900" t="s">
        <v>1315</v>
      </c>
      <c r="E1900" s="220">
        <v>5.5799999999999995E-2</v>
      </c>
    </row>
    <row r="1901" spans="1:5">
      <c r="A1901" t="s">
        <v>1076</v>
      </c>
      <c r="B1901" t="s">
        <v>2916</v>
      </c>
      <c r="C1901" t="s">
        <v>1365</v>
      </c>
      <c r="D1901" t="s">
        <v>1315</v>
      </c>
      <c r="E1901" s="220">
        <v>5.5799999999999995E-2</v>
      </c>
    </row>
    <row r="1902" spans="1:5">
      <c r="A1902" t="s">
        <v>1082</v>
      </c>
      <c r="B1902" t="s">
        <v>2916</v>
      </c>
      <c r="C1902" t="s">
        <v>1365</v>
      </c>
      <c r="D1902" t="s">
        <v>1315</v>
      </c>
      <c r="E1902" s="220">
        <v>5.5799999999999995E-2</v>
      </c>
    </row>
    <row r="1903" spans="1:5">
      <c r="A1903" t="s">
        <v>1085</v>
      </c>
      <c r="B1903" t="s">
        <v>2916</v>
      </c>
      <c r="C1903" t="s">
        <v>1365</v>
      </c>
      <c r="D1903" t="s">
        <v>1315</v>
      </c>
      <c r="E1903" s="220">
        <v>5.5799999999999995E-2</v>
      </c>
    </row>
    <row r="1904" spans="1:5">
      <c r="A1904" t="s">
        <v>1094</v>
      </c>
      <c r="B1904" t="s">
        <v>2916</v>
      </c>
      <c r="C1904" t="s">
        <v>1365</v>
      </c>
      <c r="D1904" t="s">
        <v>1315</v>
      </c>
      <c r="E1904" s="220">
        <v>5.5799999999999995E-2</v>
      </c>
    </row>
    <row r="1905" spans="1:5">
      <c r="A1905" t="s">
        <v>1097</v>
      </c>
      <c r="B1905" t="s">
        <v>2916</v>
      </c>
      <c r="C1905" t="s">
        <v>1365</v>
      </c>
      <c r="D1905" t="s">
        <v>1315</v>
      </c>
      <c r="E1905" s="220">
        <v>5.5799999999999995E-2</v>
      </c>
    </row>
    <row r="1906" spans="1:5">
      <c r="A1906" t="s">
        <v>1173</v>
      </c>
      <c r="B1906" t="s">
        <v>2916</v>
      </c>
      <c r="C1906" t="s">
        <v>1365</v>
      </c>
      <c r="D1906" t="s">
        <v>1315</v>
      </c>
      <c r="E1906" s="220">
        <v>5.5799999999999995E-2</v>
      </c>
    </row>
    <row r="1907" spans="1:5">
      <c r="A1907" t="s">
        <v>1128</v>
      </c>
      <c r="B1907" t="s">
        <v>2916</v>
      </c>
      <c r="C1907" t="s">
        <v>1365</v>
      </c>
      <c r="D1907" t="s">
        <v>1315</v>
      </c>
      <c r="E1907" s="220">
        <v>5.5799999999999995E-2</v>
      </c>
    </row>
    <row r="1908" spans="1:5">
      <c r="A1908" t="s">
        <v>1119</v>
      </c>
      <c r="B1908" t="s">
        <v>2916</v>
      </c>
      <c r="C1908" t="s">
        <v>1365</v>
      </c>
      <c r="D1908" t="s">
        <v>1315</v>
      </c>
      <c r="E1908" s="220">
        <v>5.5799999999999995E-2</v>
      </c>
    </row>
    <row r="1909" spans="1:5">
      <c r="A1909" t="s">
        <v>1176</v>
      </c>
      <c r="B1909" t="s">
        <v>2916</v>
      </c>
      <c r="C1909" t="s">
        <v>1365</v>
      </c>
      <c r="D1909" t="s">
        <v>1315</v>
      </c>
      <c r="E1909" s="220">
        <v>5.5799999999999995E-2</v>
      </c>
    </row>
    <row r="1910" spans="1:5">
      <c r="A1910" t="s">
        <v>1135</v>
      </c>
      <c r="B1910" t="s">
        <v>2916</v>
      </c>
      <c r="C1910" t="s">
        <v>1365</v>
      </c>
      <c r="D1910" t="s">
        <v>1315</v>
      </c>
      <c r="E1910" s="220">
        <v>5.5799999999999995E-2</v>
      </c>
    </row>
    <row r="1911" spans="1:5">
      <c r="A1911" t="s">
        <v>1139</v>
      </c>
      <c r="B1911" t="s">
        <v>2916</v>
      </c>
      <c r="C1911" t="s">
        <v>1365</v>
      </c>
      <c r="D1911" t="s">
        <v>1315</v>
      </c>
      <c r="E1911" s="220">
        <v>5.5799999999999995E-2</v>
      </c>
    </row>
    <row r="1912" spans="1:5">
      <c r="A1912" t="s">
        <v>1179</v>
      </c>
      <c r="B1912" t="s">
        <v>2916</v>
      </c>
      <c r="C1912" t="s">
        <v>1365</v>
      </c>
      <c r="D1912" t="s">
        <v>1315</v>
      </c>
      <c r="E1912" s="220">
        <v>5.5799999999999995E-2</v>
      </c>
    </row>
    <row r="1913" spans="1:5">
      <c r="A1913" t="s">
        <v>1192</v>
      </c>
      <c r="B1913" t="s">
        <v>2916</v>
      </c>
      <c r="C1913" t="s">
        <v>1365</v>
      </c>
      <c r="D1913" t="s">
        <v>1315</v>
      </c>
      <c r="E1913" s="220">
        <v>5.5799999999999995E-2</v>
      </c>
    </row>
    <row r="1914" spans="1:5">
      <c r="A1914" t="s">
        <v>1219</v>
      </c>
      <c r="B1914" t="s">
        <v>2916</v>
      </c>
      <c r="C1914" t="s">
        <v>1365</v>
      </c>
      <c r="D1914" t="s">
        <v>1315</v>
      </c>
      <c r="E1914" s="220">
        <v>5.5799999999999995E-2</v>
      </c>
    </row>
    <row r="1915" spans="1:5">
      <c r="A1915" t="s">
        <v>1210</v>
      </c>
      <c r="B1915" t="s">
        <v>2916</v>
      </c>
      <c r="C1915" t="s">
        <v>1365</v>
      </c>
      <c r="D1915" t="s">
        <v>1315</v>
      </c>
      <c r="E1915" s="220">
        <v>5.5799999999999995E-2</v>
      </c>
    </row>
    <row r="1916" spans="1:5">
      <c r="A1916" t="s">
        <v>1213</v>
      </c>
      <c r="B1916" t="s">
        <v>2916</v>
      </c>
      <c r="C1916" t="s">
        <v>1365</v>
      </c>
      <c r="D1916" t="s">
        <v>1315</v>
      </c>
      <c r="E1916" s="220">
        <v>5.5799999999999995E-2</v>
      </c>
    </row>
    <row r="1917" spans="1:5">
      <c r="A1917" t="s">
        <v>1216</v>
      </c>
      <c r="B1917" t="s">
        <v>2916</v>
      </c>
      <c r="C1917" t="s">
        <v>1365</v>
      </c>
      <c r="D1917" t="s">
        <v>1315</v>
      </c>
      <c r="E1917" s="220">
        <v>5.5799999999999995E-2</v>
      </c>
    </row>
    <row r="1918" spans="1:5">
      <c r="A1918" t="s">
        <v>1189</v>
      </c>
      <c r="B1918" t="s">
        <v>2916</v>
      </c>
      <c r="C1918" t="s">
        <v>1365</v>
      </c>
      <c r="D1918" t="s">
        <v>1315</v>
      </c>
      <c r="E1918" s="220">
        <v>5.5799999999999995E-2</v>
      </c>
    </row>
    <row r="1919" spans="1:5">
      <c r="A1919" t="s">
        <v>1232</v>
      </c>
      <c r="B1919" t="s">
        <v>2916</v>
      </c>
      <c r="C1919" t="s">
        <v>1365</v>
      </c>
      <c r="D1919" t="s">
        <v>1315</v>
      </c>
      <c r="E1919" s="220">
        <v>5.5799999999999995E-2</v>
      </c>
    </row>
    <row r="1920" spans="1:5">
      <c r="A1920" t="s">
        <v>1244</v>
      </c>
      <c r="B1920" t="s">
        <v>2916</v>
      </c>
      <c r="C1920" t="s">
        <v>1365</v>
      </c>
      <c r="D1920" t="s">
        <v>1315</v>
      </c>
      <c r="E1920" s="220">
        <v>5.5799999999999995E-2</v>
      </c>
    </row>
    <row r="1921" spans="1:5">
      <c r="A1921" t="s">
        <v>1241</v>
      </c>
      <c r="B1921" t="s">
        <v>2916</v>
      </c>
      <c r="C1921" t="s">
        <v>1365</v>
      </c>
      <c r="D1921" t="s">
        <v>1315</v>
      </c>
      <c r="E1921" s="220">
        <v>5.5799999999999995E-2</v>
      </c>
    </row>
    <row r="1922" spans="1:5">
      <c r="A1922" t="s">
        <v>1247</v>
      </c>
      <c r="B1922" t="s">
        <v>2916</v>
      </c>
      <c r="C1922" t="s">
        <v>1365</v>
      </c>
      <c r="D1922" t="s">
        <v>1315</v>
      </c>
      <c r="E1922" s="220">
        <v>5.5799999999999995E-2</v>
      </c>
    </row>
    <row r="1923" spans="1:5">
      <c r="A1923" t="s">
        <v>1170</v>
      </c>
      <c r="B1923" t="s">
        <v>2916</v>
      </c>
      <c r="C1923" t="s">
        <v>1365</v>
      </c>
      <c r="D1923" t="s">
        <v>1315</v>
      </c>
      <c r="E1923" s="220">
        <v>5.5799999999999995E-2</v>
      </c>
    </row>
    <row r="1924" spans="1:5">
      <c r="A1924" t="s">
        <v>1253</v>
      </c>
      <c r="B1924" t="s">
        <v>2916</v>
      </c>
      <c r="C1924" t="s">
        <v>1365</v>
      </c>
      <c r="D1924" t="s">
        <v>1315</v>
      </c>
      <c r="E1924" s="220">
        <v>5.5799999999999995E-2</v>
      </c>
    </row>
    <row r="1925" spans="1:5">
      <c r="A1925" t="s">
        <v>617</v>
      </c>
      <c r="B1925" t="s">
        <v>2916</v>
      </c>
      <c r="C1925" t="s">
        <v>1372</v>
      </c>
      <c r="D1925" t="s">
        <v>1315</v>
      </c>
      <c r="E1925" s="220">
        <v>5.5799999999999995E-2</v>
      </c>
    </row>
    <row r="1926" spans="1:5">
      <c r="A1926" t="s">
        <v>620</v>
      </c>
      <c r="B1926" t="s">
        <v>2916</v>
      </c>
      <c r="C1926" t="s">
        <v>1372</v>
      </c>
      <c r="D1926" t="s">
        <v>1315</v>
      </c>
      <c r="E1926" s="220">
        <v>5.5799999999999995E-2</v>
      </c>
    </row>
    <row r="1927" spans="1:5">
      <c r="A1927" t="s">
        <v>626</v>
      </c>
      <c r="B1927" t="s">
        <v>2916</v>
      </c>
      <c r="C1927" t="s">
        <v>1372</v>
      </c>
      <c r="D1927" t="s">
        <v>1315</v>
      </c>
      <c r="E1927" s="220">
        <v>5.5799999999999995E-2</v>
      </c>
    </row>
    <row r="1928" spans="1:5">
      <c r="A1928" t="s">
        <v>629</v>
      </c>
      <c r="B1928" t="s">
        <v>2916</v>
      </c>
      <c r="C1928" t="s">
        <v>1372</v>
      </c>
      <c r="D1928" t="s">
        <v>1315</v>
      </c>
      <c r="E1928" s="220">
        <v>5.5799999999999995E-2</v>
      </c>
    </row>
    <row r="1929" spans="1:5">
      <c r="A1929" t="s">
        <v>632</v>
      </c>
      <c r="B1929" t="s">
        <v>2916</v>
      </c>
      <c r="C1929" t="s">
        <v>1372</v>
      </c>
      <c r="D1929" t="s">
        <v>1315</v>
      </c>
      <c r="E1929" s="220">
        <v>5.5799999999999995E-2</v>
      </c>
    </row>
    <row r="1930" spans="1:5">
      <c r="A1930" t="s">
        <v>650</v>
      </c>
      <c r="B1930" t="s">
        <v>2916</v>
      </c>
      <c r="C1930" t="s">
        <v>1372</v>
      </c>
      <c r="D1930" t="s">
        <v>1315</v>
      </c>
      <c r="E1930" s="220">
        <v>5.5799999999999995E-2</v>
      </c>
    </row>
    <row r="1931" spans="1:5">
      <c r="A1931" t="s">
        <v>641</v>
      </c>
      <c r="B1931" t="s">
        <v>2916</v>
      </c>
      <c r="C1931" t="s">
        <v>1372</v>
      </c>
      <c r="D1931" t="s">
        <v>1315</v>
      </c>
      <c r="E1931" s="220">
        <v>5.5799999999999995E-2</v>
      </c>
    </row>
    <row r="1932" spans="1:5">
      <c r="A1932" t="s">
        <v>687</v>
      </c>
      <c r="B1932" t="s">
        <v>2916</v>
      </c>
      <c r="C1932" t="s">
        <v>1372</v>
      </c>
      <c r="D1932" t="s">
        <v>1315</v>
      </c>
      <c r="E1932" s="220">
        <v>5.5799999999999995E-2</v>
      </c>
    </row>
    <row r="1933" spans="1:5">
      <c r="A1933" t="s">
        <v>647</v>
      </c>
      <c r="B1933" t="s">
        <v>2916</v>
      </c>
      <c r="C1933" t="s">
        <v>1372</v>
      </c>
      <c r="D1933" t="s">
        <v>1315</v>
      </c>
      <c r="E1933" s="220">
        <v>5.5799999999999995E-2</v>
      </c>
    </row>
    <row r="1934" spans="1:5">
      <c r="A1934" t="s">
        <v>667</v>
      </c>
      <c r="B1934" t="s">
        <v>2916</v>
      </c>
      <c r="C1934" t="s">
        <v>1372</v>
      </c>
      <c r="D1934" t="s">
        <v>1315</v>
      </c>
      <c r="E1934" s="220">
        <v>5.5799999999999995E-2</v>
      </c>
    </row>
    <row r="1935" spans="1:5">
      <c r="A1935" t="s">
        <v>676</v>
      </c>
      <c r="B1935" t="s">
        <v>2916</v>
      </c>
      <c r="C1935" t="s">
        <v>1372</v>
      </c>
      <c r="D1935" t="s">
        <v>1315</v>
      </c>
      <c r="E1935" s="220">
        <v>5.5799999999999995E-2</v>
      </c>
    </row>
    <row r="1936" spans="1:5">
      <c r="A1936" t="s">
        <v>705</v>
      </c>
      <c r="B1936" t="s">
        <v>2916</v>
      </c>
      <c r="C1936" t="s">
        <v>1372</v>
      </c>
      <c r="D1936" t="s">
        <v>1315</v>
      </c>
      <c r="E1936" s="220">
        <v>5.5799999999999995E-2</v>
      </c>
    </row>
    <row r="1937" spans="1:5">
      <c r="A1937" t="s">
        <v>1182</v>
      </c>
      <c r="B1937" t="s">
        <v>2916</v>
      </c>
      <c r="C1937" t="s">
        <v>1372</v>
      </c>
      <c r="D1937" t="s">
        <v>1315</v>
      </c>
      <c r="E1937" s="220">
        <v>5.5799999999999995E-2</v>
      </c>
    </row>
    <row r="1938" spans="1:5">
      <c r="A1938" t="s">
        <v>720</v>
      </c>
      <c r="B1938" t="s">
        <v>2916</v>
      </c>
      <c r="C1938" t="s">
        <v>1372</v>
      </c>
      <c r="D1938" t="s">
        <v>1315</v>
      </c>
      <c r="E1938" s="220">
        <v>5.5799999999999995E-2</v>
      </c>
    </row>
    <row r="1939" spans="1:5">
      <c r="A1939" t="s">
        <v>723</v>
      </c>
      <c r="B1939" t="s">
        <v>2916</v>
      </c>
      <c r="C1939" t="s">
        <v>1372</v>
      </c>
      <c r="D1939" t="s">
        <v>1315</v>
      </c>
      <c r="E1939" s="220">
        <v>5.5799999999999995E-2</v>
      </c>
    </row>
    <row r="1940" spans="1:5">
      <c r="A1940" t="s">
        <v>726</v>
      </c>
      <c r="B1940" t="s">
        <v>2916</v>
      </c>
      <c r="C1940" t="s">
        <v>1372</v>
      </c>
      <c r="D1940" t="s">
        <v>1315</v>
      </c>
      <c r="E1940" s="220">
        <v>5.5799999999999995E-2</v>
      </c>
    </row>
    <row r="1941" spans="1:5">
      <c r="A1941" t="s">
        <v>754</v>
      </c>
      <c r="B1941" t="s">
        <v>2916</v>
      </c>
      <c r="C1941" t="s">
        <v>1372</v>
      </c>
      <c r="D1941" t="s">
        <v>1315</v>
      </c>
      <c r="E1941" s="220">
        <v>5.5799999999999995E-2</v>
      </c>
    </row>
    <row r="1942" spans="1:5">
      <c r="A1942" t="s">
        <v>757</v>
      </c>
      <c r="B1942" t="s">
        <v>2916</v>
      </c>
      <c r="C1942" t="s">
        <v>1372</v>
      </c>
      <c r="D1942" t="s">
        <v>1315</v>
      </c>
      <c r="E1942" s="220">
        <v>5.5799999999999995E-2</v>
      </c>
    </row>
    <row r="1943" spans="1:5">
      <c r="A1943" t="s">
        <v>823</v>
      </c>
      <c r="B1943" t="s">
        <v>2916</v>
      </c>
      <c r="C1943" t="s">
        <v>1372</v>
      </c>
      <c r="D1943" t="s">
        <v>1315</v>
      </c>
      <c r="E1943" s="220">
        <v>5.5799999999999995E-2</v>
      </c>
    </row>
    <row r="1944" spans="1:5">
      <c r="A1944" t="s">
        <v>761</v>
      </c>
      <c r="B1944" t="s">
        <v>2916</v>
      </c>
      <c r="C1944" t="s">
        <v>1372</v>
      </c>
      <c r="D1944" t="s">
        <v>1315</v>
      </c>
      <c r="E1944" s="220">
        <v>5.5799999999999995E-2</v>
      </c>
    </row>
    <row r="1945" spans="1:5">
      <c r="A1945" t="s">
        <v>776</v>
      </c>
      <c r="B1945" t="s">
        <v>2916</v>
      </c>
      <c r="C1945" t="s">
        <v>1372</v>
      </c>
      <c r="D1945" t="s">
        <v>1315</v>
      </c>
      <c r="E1945" s="220">
        <v>5.5799999999999995E-2</v>
      </c>
    </row>
    <row r="1946" spans="1:5">
      <c r="A1946" t="s">
        <v>1154</v>
      </c>
      <c r="B1946" t="s">
        <v>2916</v>
      </c>
      <c r="C1946" t="s">
        <v>1372</v>
      </c>
      <c r="D1946" t="s">
        <v>1315</v>
      </c>
      <c r="E1946" s="220">
        <v>5.5799999999999995E-2</v>
      </c>
    </row>
    <row r="1947" spans="1:5">
      <c r="A1947" t="s">
        <v>788</v>
      </c>
      <c r="B1947" t="s">
        <v>2916</v>
      </c>
      <c r="C1947" t="s">
        <v>1372</v>
      </c>
      <c r="D1947" t="s">
        <v>1315</v>
      </c>
      <c r="E1947" s="220">
        <v>5.5799999999999995E-2</v>
      </c>
    </row>
    <row r="1948" spans="1:5">
      <c r="A1948" t="s">
        <v>805</v>
      </c>
      <c r="B1948" t="s">
        <v>2916</v>
      </c>
      <c r="C1948" t="s">
        <v>1372</v>
      </c>
      <c r="D1948" t="s">
        <v>1315</v>
      </c>
      <c r="E1948" s="220">
        <v>5.5799999999999995E-2</v>
      </c>
    </row>
    <row r="1949" spans="1:5">
      <c r="A1949" t="s">
        <v>808</v>
      </c>
      <c r="B1949" t="s">
        <v>2916</v>
      </c>
      <c r="C1949" t="s">
        <v>1372</v>
      </c>
      <c r="D1949" t="s">
        <v>1315</v>
      </c>
      <c r="E1949" s="220">
        <v>5.7000000000000002E-2</v>
      </c>
    </row>
    <row r="1950" spans="1:5">
      <c r="A1950" t="s">
        <v>1238</v>
      </c>
      <c r="B1950" t="s">
        <v>2916</v>
      </c>
      <c r="C1950" t="s">
        <v>1372</v>
      </c>
      <c r="D1950" t="s">
        <v>1315</v>
      </c>
      <c r="E1950" s="220">
        <v>5.5799999999999995E-2</v>
      </c>
    </row>
    <row r="1951" spans="1:5">
      <c r="A1951" t="s">
        <v>820</v>
      </c>
      <c r="B1951" t="s">
        <v>2916</v>
      </c>
      <c r="C1951" t="s">
        <v>1372</v>
      </c>
      <c r="D1951" t="s">
        <v>1315</v>
      </c>
      <c r="E1951" s="220">
        <v>5.5799999999999995E-2</v>
      </c>
    </row>
    <row r="1952" spans="1:5">
      <c r="A1952" t="s">
        <v>833</v>
      </c>
      <c r="B1952" t="s">
        <v>2916</v>
      </c>
      <c r="C1952" t="s">
        <v>1372</v>
      </c>
      <c r="D1952" t="s">
        <v>1315</v>
      </c>
      <c r="E1952" s="220">
        <v>5.5799999999999995E-2</v>
      </c>
    </row>
    <row r="1953" spans="1:5">
      <c r="A1953" t="s">
        <v>863</v>
      </c>
      <c r="B1953" t="s">
        <v>2916</v>
      </c>
      <c r="C1953" t="s">
        <v>1372</v>
      </c>
      <c r="D1953" t="s">
        <v>1315</v>
      </c>
      <c r="E1953" s="220">
        <v>5.5799999999999995E-2</v>
      </c>
    </row>
    <row r="1954" spans="1:5">
      <c r="A1954" t="s">
        <v>744</v>
      </c>
      <c r="B1954" t="s">
        <v>2916</v>
      </c>
      <c r="C1954" t="s">
        <v>1372</v>
      </c>
      <c r="D1954" t="s">
        <v>1315</v>
      </c>
      <c r="E1954" s="220">
        <v>5.5799999999999995E-2</v>
      </c>
    </row>
    <row r="1955" spans="1:5">
      <c r="A1955" t="s">
        <v>866</v>
      </c>
      <c r="B1955" t="s">
        <v>2916</v>
      </c>
      <c r="C1955" t="s">
        <v>1372</v>
      </c>
      <c r="D1955" t="s">
        <v>1315</v>
      </c>
      <c r="E1955" s="220">
        <v>5.5799999999999995E-2</v>
      </c>
    </row>
    <row r="1956" spans="1:5">
      <c r="A1956" t="s">
        <v>875</v>
      </c>
      <c r="B1956" t="s">
        <v>2916</v>
      </c>
      <c r="C1956" t="s">
        <v>1372</v>
      </c>
      <c r="D1956" t="s">
        <v>1315</v>
      </c>
      <c r="E1956" s="220">
        <v>5.5799999999999995E-2</v>
      </c>
    </row>
    <row r="1957" spans="1:5">
      <c r="A1957" t="s">
        <v>872</v>
      </c>
      <c r="B1957" t="s">
        <v>2916</v>
      </c>
      <c r="C1957" t="s">
        <v>1372</v>
      </c>
      <c r="D1957" t="s">
        <v>1315</v>
      </c>
      <c r="E1957" s="220">
        <v>5.5799999999999995E-2</v>
      </c>
    </row>
    <row r="1958" spans="1:5">
      <c r="A1958" t="s">
        <v>884</v>
      </c>
      <c r="B1958" t="s">
        <v>2916</v>
      </c>
      <c r="C1958" t="s">
        <v>1372</v>
      </c>
      <c r="D1958" t="s">
        <v>1315</v>
      </c>
      <c r="E1958" s="220">
        <v>5.5799999999999995E-2</v>
      </c>
    </row>
    <row r="1959" spans="1:5">
      <c r="A1959" t="s">
        <v>878</v>
      </c>
      <c r="B1959" t="s">
        <v>2916</v>
      </c>
      <c r="C1959" t="s">
        <v>1372</v>
      </c>
      <c r="D1959" t="s">
        <v>1315</v>
      </c>
      <c r="E1959" s="220">
        <v>5.5799999999999995E-2</v>
      </c>
    </row>
    <row r="1960" spans="1:5">
      <c r="A1960" t="s">
        <v>894</v>
      </c>
      <c r="B1960" t="s">
        <v>2916</v>
      </c>
      <c r="C1960" t="s">
        <v>1372</v>
      </c>
      <c r="D1960" t="s">
        <v>1315</v>
      </c>
      <c r="E1960" s="220">
        <v>5.5799999999999995E-2</v>
      </c>
    </row>
    <row r="1961" spans="1:5">
      <c r="A1961" t="s">
        <v>915</v>
      </c>
      <c r="B1961" t="s">
        <v>2916</v>
      </c>
      <c r="C1961" t="s">
        <v>1372</v>
      </c>
      <c r="D1961" t="s">
        <v>1315</v>
      </c>
      <c r="E1961" s="220">
        <v>5.5799999999999995E-2</v>
      </c>
    </row>
    <row r="1962" spans="1:5">
      <c r="A1962" t="s">
        <v>933</v>
      </c>
      <c r="B1962" t="s">
        <v>2916</v>
      </c>
      <c r="C1962" t="s">
        <v>1372</v>
      </c>
      <c r="D1962" t="s">
        <v>1315</v>
      </c>
      <c r="E1962" s="220">
        <v>5.5799999999999995E-2</v>
      </c>
    </row>
    <row r="1963" spans="1:5">
      <c r="A1963" t="s">
        <v>954</v>
      </c>
      <c r="B1963" t="s">
        <v>2916</v>
      </c>
      <c r="C1963" t="s">
        <v>1372</v>
      </c>
      <c r="D1963" t="s">
        <v>1315</v>
      </c>
      <c r="E1963" s="220">
        <v>5.5799999999999995E-2</v>
      </c>
    </row>
    <row r="1964" spans="1:5">
      <c r="A1964" t="s">
        <v>957</v>
      </c>
      <c r="B1964" t="s">
        <v>2916</v>
      </c>
      <c r="C1964" t="s">
        <v>1372</v>
      </c>
      <c r="D1964" t="s">
        <v>1315</v>
      </c>
      <c r="E1964" s="220">
        <v>5.5799999999999995E-2</v>
      </c>
    </row>
    <row r="1965" spans="1:5">
      <c r="A1965" t="s">
        <v>936</v>
      </c>
      <c r="B1965" t="s">
        <v>2916</v>
      </c>
      <c r="C1965" t="s">
        <v>1372</v>
      </c>
      <c r="D1965" t="s">
        <v>1315</v>
      </c>
      <c r="E1965" s="220">
        <v>5.5799999999999995E-2</v>
      </c>
    </row>
    <row r="1966" spans="1:5">
      <c r="A1966" t="s">
        <v>999</v>
      </c>
      <c r="B1966" t="s">
        <v>2916</v>
      </c>
      <c r="C1966" t="s">
        <v>1372</v>
      </c>
      <c r="D1966" t="s">
        <v>1315</v>
      </c>
      <c r="E1966" s="220">
        <v>5.5799999999999995E-2</v>
      </c>
    </row>
    <row r="1967" spans="1:5">
      <c r="A1967" t="s">
        <v>993</v>
      </c>
      <c r="B1967" t="s">
        <v>2916</v>
      </c>
      <c r="C1967" t="s">
        <v>1372</v>
      </c>
      <c r="D1967" t="s">
        <v>1315</v>
      </c>
      <c r="E1967" s="220">
        <v>5.5799999999999995E-2</v>
      </c>
    </row>
    <row r="1968" spans="1:5">
      <c r="A1968" t="s">
        <v>981</v>
      </c>
      <c r="B1968" t="s">
        <v>2916</v>
      </c>
      <c r="C1968" t="s">
        <v>1372</v>
      </c>
      <c r="D1968" t="s">
        <v>1315</v>
      </c>
      <c r="E1968" s="220">
        <v>5.5799999999999995E-2</v>
      </c>
    </row>
    <row r="1969" spans="1:5">
      <c r="A1969" t="s">
        <v>1020</v>
      </c>
      <c r="B1969" t="s">
        <v>2916</v>
      </c>
      <c r="C1969" t="s">
        <v>1372</v>
      </c>
      <c r="D1969" t="s">
        <v>1315</v>
      </c>
      <c r="E1969" s="220">
        <v>5.5799999999999995E-2</v>
      </c>
    </row>
    <row r="1970" spans="1:5">
      <c r="A1970" t="s">
        <v>972</v>
      </c>
      <c r="B1970" t="s">
        <v>2916</v>
      </c>
      <c r="C1970" t="s">
        <v>1372</v>
      </c>
      <c r="D1970" t="s">
        <v>1315</v>
      </c>
      <c r="E1970" s="220">
        <v>5.5799999999999995E-2</v>
      </c>
    </row>
    <row r="1971" spans="1:5">
      <c r="A1971" t="s">
        <v>1032</v>
      </c>
      <c r="B1971" t="s">
        <v>2916</v>
      </c>
      <c r="C1971" t="s">
        <v>1372</v>
      </c>
      <c r="D1971" t="s">
        <v>1315</v>
      </c>
      <c r="E1971" s="220">
        <v>5.5799999999999995E-2</v>
      </c>
    </row>
    <row r="1972" spans="1:5">
      <c r="A1972" t="s">
        <v>1055</v>
      </c>
      <c r="B1972" t="s">
        <v>2916</v>
      </c>
      <c r="C1972" t="s">
        <v>1372</v>
      </c>
      <c r="D1972" t="s">
        <v>1315</v>
      </c>
      <c r="E1972" s="220">
        <v>5.5799999999999995E-2</v>
      </c>
    </row>
    <row r="1973" spans="1:5">
      <c r="A1973" t="s">
        <v>1039</v>
      </c>
      <c r="B1973" t="s">
        <v>2916</v>
      </c>
      <c r="C1973" t="s">
        <v>1372</v>
      </c>
      <c r="D1973" t="s">
        <v>1315</v>
      </c>
      <c r="E1973" s="220">
        <v>5.5799999999999995E-2</v>
      </c>
    </row>
    <row r="1974" spans="1:5">
      <c r="A1974" t="s">
        <v>1061</v>
      </c>
      <c r="B1974" t="s">
        <v>2916</v>
      </c>
      <c r="C1974" t="s">
        <v>1372</v>
      </c>
      <c r="D1974" t="s">
        <v>1315</v>
      </c>
      <c r="E1974" s="220">
        <v>5.5799999999999995E-2</v>
      </c>
    </row>
    <row r="1975" spans="1:5">
      <c r="A1975" t="s">
        <v>1076</v>
      </c>
      <c r="B1975" t="s">
        <v>2916</v>
      </c>
      <c r="C1975" t="s">
        <v>1372</v>
      </c>
      <c r="D1975" t="s">
        <v>1315</v>
      </c>
      <c r="E1975" s="220">
        <v>5.5799999999999995E-2</v>
      </c>
    </row>
    <row r="1976" spans="1:5">
      <c r="A1976" t="s">
        <v>1082</v>
      </c>
      <c r="B1976" t="s">
        <v>2916</v>
      </c>
      <c r="C1976" t="s">
        <v>1372</v>
      </c>
      <c r="D1976" t="s">
        <v>1315</v>
      </c>
      <c r="E1976" s="220">
        <v>5.5799999999999995E-2</v>
      </c>
    </row>
    <row r="1977" spans="1:5">
      <c r="A1977" t="s">
        <v>1085</v>
      </c>
      <c r="B1977" t="s">
        <v>2916</v>
      </c>
      <c r="C1977" t="s">
        <v>1372</v>
      </c>
      <c r="D1977" t="s">
        <v>1315</v>
      </c>
      <c r="E1977" s="220">
        <v>5.5799999999999995E-2</v>
      </c>
    </row>
    <row r="1978" spans="1:5">
      <c r="A1978" t="s">
        <v>1094</v>
      </c>
      <c r="B1978" t="s">
        <v>2916</v>
      </c>
      <c r="C1978" t="s">
        <v>1372</v>
      </c>
      <c r="D1978" t="s">
        <v>1315</v>
      </c>
      <c r="E1978" s="220">
        <v>5.5799999999999995E-2</v>
      </c>
    </row>
    <row r="1979" spans="1:5">
      <c r="A1979" t="s">
        <v>1097</v>
      </c>
      <c r="B1979" t="s">
        <v>2916</v>
      </c>
      <c r="C1979" t="s">
        <v>1372</v>
      </c>
      <c r="D1979" t="s">
        <v>1315</v>
      </c>
      <c r="E1979" s="220">
        <v>5.5799999999999995E-2</v>
      </c>
    </row>
    <row r="1980" spans="1:5">
      <c r="A1980" t="s">
        <v>1128</v>
      </c>
      <c r="B1980" t="s">
        <v>2916</v>
      </c>
      <c r="C1980" t="s">
        <v>1372</v>
      </c>
      <c r="D1980" t="s">
        <v>1315</v>
      </c>
      <c r="E1980" s="220">
        <v>5.5799999999999995E-2</v>
      </c>
    </row>
    <row r="1981" spans="1:5">
      <c r="A1981" t="s">
        <v>1119</v>
      </c>
      <c r="B1981" t="s">
        <v>2916</v>
      </c>
      <c r="C1981" t="s">
        <v>1372</v>
      </c>
      <c r="D1981" t="s">
        <v>1315</v>
      </c>
      <c r="E1981" s="220">
        <v>5.5799999999999995E-2</v>
      </c>
    </row>
    <row r="1982" spans="1:5">
      <c r="A1982" t="s">
        <v>1135</v>
      </c>
      <c r="B1982" t="s">
        <v>2916</v>
      </c>
      <c r="C1982" t="s">
        <v>1372</v>
      </c>
      <c r="D1982" t="s">
        <v>1315</v>
      </c>
      <c r="E1982" s="220">
        <v>5.5799999999999995E-2</v>
      </c>
    </row>
    <row r="1983" spans="1:5">
      <c r="A1983" t="s">
        <v>1139</v>
      </c>
      <c r="B1983" t="s">
        <v>2916</v>
      </c>
      <c r="C1983" t="s">
        <v>1372</v>
      </c>
      <c r="D1983" t="s">
        <v>1315</v>
      </c>
      <c r="E1983" s="220">
        <v>5.5799999999999995E-2</v>
      </c>
    </row>
    <row r="1984" spans="1:5">
      <c r="A1984" t="s">
        <v>1179</v>
      </c>
      <c r="B1984" t="s">
        <v>2916</v>
      </c>
      <c r="C1984" t="s">
        <v>1372</v>
      </c>
      <c r="D1984" t="s">
        <v>1315</v>
      </c>
      <c r="E1984" s="220">
        <v>5.5799999999999995E-2</v>
      </c>
    </row>
    <row r="1985" spans="1:5">
      <c r="A1985" t="s">
        <v>1198</v>
      </c>
      <c r="B1985" t="s">
        <v>2916</v>
      </c>
      <c r="C1985" t="s">
        <v>1372</v>
      </c>
      <c r="D1985" t="s">
        <v>1315</v>
      </c>
      <c r="E1985" s="220">
        <v>5.5799999999999995E-2</v>
      </c>
    </row>
    <row r="1986" spans="1:5">
      <c r="A1986" t="s">
        <v>1192</v>
      </c>
      <c r="B1986" t="s">
        <v>2916</v>
      </c>
      <c r="C1986" t="s">
        <v>1372</v>
      </c>
      <c r="D1986" t="s">
        <v>1315</v>
      </c>
      <c r="E1986" s="220">
        <v>5.5799999999999995E-2</v>
      </c>
    </row>
    <row r="1987" spans="1:5">
      <c r="A1987" t="s">
        <v>1219</v>
      </c>
      <c r="B1987" t="s">
        <v>2916</v>
      </c>
      <c r="C1987" t="s">
        <v>1372</v>
      </c>
      <c r="D1987" t="s">
        <v>1315</v>
      </c>
      <c r="E1987" s="220">
        <v>5.5799999999999995E-2</v>
      </c>
    </row>
    <row r="1988" spans="1:5">
      <c r="A1988" t="s">
        <v>1216</v>
      </c>
      <c r="B1988" t="s">
        <v>2916</v>
      </c>
      <c r="C1988" t="s">
        <v>1372</v>
      </c>
      <c r="D1988" t="s">
        <v>1315</v>
      </c>
      <c r="E1988" s="220">
        <v>5.5799999999999995E-2</v>
      </c>
    </row>
    <row r="1989" spans="1:5">
      <c r="A1989" t="s">
        <v>1232</v>
      </c>
      <c r="B1989" t="s">
        <v>2916</v>
      </c>
      <c r="C1989" t="s">
        <v>1372</v>
      </c>
      <c r="D1989" t="s">
        <v>1315</v>
      </c>
      <c r="E1989" s="220">
        <v>5.5799999999999995E-2</v>
      </c>
    </row>
    <row r="1990" spans="1:5">
      <c r="A1990" t="s">
        <v>1241</v>
      </c>
      <c r="B1990" t="s">
        <v>2916</v>
      </c>
      <c r="C1990" t="s">
        <v>1372</v>
      </c>
      <c r="D1990" t="s">
        <v>1315</v>
      </c>
      <c r="E1990" s="220">
        <v>5.5799999999999995E-2</v>
      </c>
    </row>
    <row r="1991" spans="1:5">
      <c r="A1991" t="s">
        <v>1247</v>
      </c>
      <c r="B1991" t="s">
        <v>2916</v>
      </c>
      <c r="C1991" t="s">
        <v>1372</v>
      </c>
      <c r="D1991" t="s">
        <v>1315</v>
      </c>
      <c r="E1991" s="220">
        <v>5.5799999999999995E-2</v>
      </c>
    </row>
    <row r="1992" spans="1:5">
      <c r="A1992" t="s">
        <v>1148</v>
      </c>
      <c r="B1992" t="s">
        <v>2916</v>
      </c>
      <c r="C1992" t="s">
        <v>1372</v>
      </c>
      <c r="D1992" t="s">
        <v>1315</v>
      </c>
      <c r="E1992" s="220">
        <v>5.5799999999999995E-2</v>
      </c>
    </row>
    <row r="1993" spans="1:5">
      <c r="A1993" t="s">
        <v>580</v>
      </c>
      <c r="B1993" t="s">
        <v>2916</v>
      </c>
      <c r="C1993" t="s">
        <v>1333</v>
      </c>
      <c r="D1993" t="s">
        <v>1319</v>
      </c>
      <c r="E1993" s="220">
        <v>7.6700000000000004E-2</v>
      </c>
    </row>
    <row r="1994" spans="1:5">
      <c r="A1994" t="s">
        <v>587</v>
      </c>
      <c r="B1994" t="s">
        <v>2916</v>
      </c>
      <c r="C1994" t="s">
        <v>1333</v>
      </c>
      <c r="D1994" t="s">
        <v>1319</v>
      </c>
      <c r="E1994" s="220">
        <v>7.6700000000000004E-2</v>
      </c>
    </row>
    <row r="1995" spans="1:5">
      <c r="A1995" t="s">
        <v>1235</v>
      </c>
      <c r="B1995" t="s">
        <v>2916</v>
      </c>
      <c r="C1995" t="s">
        <v>1333</v>
      </c>
      <c r="D1995" t="s">
        <v>1319</v>
      </c>
      <c r="E1995" s="220">
        <v>7.6700000000000004E-2</v>
      </c>
    </row>
    <row r="1996" spans="1:5">
      <c r="A1996" t="s">
        <v>617</v>
      </c>
      <c r="B1996" t="s">
        <v>2916</v>
      </c>
      <c r="C1996" t="s">
        <v>1333</v>
      </c>
      <c r="D1996" t="s">
        <v>1319</v>
      </c>
      <c r="E1996" s="220">
        <v>7.6700000000000004E-2</v>
      </c>
    </row>
    <row r="1997" spans="1:5">
      <c r="A1997" t="s">
        <v>614</v>
      </c>
      <c r="B1997" t="s">
        <v>2916</v>
      </c>
      <c r="C1997" t="s">
        <v>1333</v>
      </c>
      <c r="D1997" t="s">
        <v>1319</v>
      </c>
      <c r="E1997" s="220">
        <v>7.6700000000000004E-2</v>
      </c>
    </row>
    <row r="1998" spans="1:5">
      <c r="A1998" t="s">
        <v>626</v>
      </c>
      <c r="B1998" t="s">
        <v>2916</v>
      </c>
      <c r="C1998" t="s">
        <v>1333</v>
      </c>
      <c r="D1998" t="s">
        <v>1319</v>
      </c>
      <c r="E1998" s="220">
        <v>7.6700000000000004E-2</v>
      </c>
    </row>
    <row r="1999" spans="1:5">
      <c r="A1999" t="s">
        <v>629</v>
      </c>
      <c r="B1999" t="s">
        <v>2916</v>
      </c>
      <c r="C1999" t="s">
        <v>1333</v>
      </c>
      <c r="D1999" t="s">
        <v>1319</v>
      </c>
      <c r="E1999" s="220">
        <v>7.6700000000000004E-2</v>
      </c>
    </row>
    <row r="2000" spans="1:5">
      <c r="A2000" t="s">
        <v>632</v>
      </c>
      <c r="B2000" t="s">
        <v>2916</v>
      </c>
      <c r="C2000" t="s">
        <v>1333</v>
      </c>
      <c r="D2000" t="s">
        <v>1319</v>
      </c>
      <c r="E2000" s="220">
        <v>7.6700000000000004E-2</v>
      </c>
    </row>
    <row r="2001" spans="1:5">
      <c r="A2001" t="s">
        <v>650</v>
      </c>
      <c r="B2001" t="s">
        <v>2916</v>
      </c>
      <c r="C2001" t="s">
        <v>1333</v>
      </c>
      <c r="D2001" t="s">
        <v>1319</v>
      </c>
      <c r="E2001" s="220">
        <v>7.6700000000000004E-2</v>
      </c>
    </row>
    <row r="2002" spans="1:5">
      <c r="A2002" t="s">
        <v>641</v>
      </c>
      <c r="B2002" t="s">
        <v>2916</v>
      </c>
      <c r="C2002" t="s">
        <v>1333</v>
      </c>
      <c r="D2002" t="s">
        <v>1319</v>
      </c>
      <c r="E2002" s="220">
        <v>7.6700000000000004E-2</v>
      </c>
    </row>
    <row r="2003" spans="1:5">
      <c r="A2003" t="s">
        <v>687</v>
      </c>
      <c r="B2003" t="s">
        <v>2916</v>
      </c>
      <c r="C2003" t="s">
        <v>1333</v>
      </c>
      <c r="D2003" t="s">
        <v>1319</v>
      </c>
      <c r="E2003" s="220">
        <v>7.6700000000000004E-2</v>
      </c>
    </row>
    <row r="2004" spans="1:5">
      <c r="A2004" t="s">
        <v>638</v>
      </c>
      <c r="B2004" t="s">
        <v>2916</v>
      </c>
      <c r="C2004" t="s">
        <v>1333</v>
      </c>
      <c r="D2004" t="s">
        <v>1319</v>
      </c>
      <c r="E2004" s="220">
        <v>7.6700000000000004E-2</v>
      </c>
    </row>
    <row r="2005" spans="1:5">
      <c r="A2005" t="s">
        <v>635</v>
      </c>
      <c r="B2005" t="s">
        <v>2916</v>
      </c>
      <c r="C2005" t="s">
        <v>1333</v>
      </c>
      <c r="D2005" t="s">
        <v>1319</v>
      </c>
      <c r="E2005" s="220">
        <v>7.6700000000000004E-2</v>
      </c>
    </row>
    <row r="2006" spans="1:5">
      <c r="A2006" t="s">
        <v>670</v>
      </c>
      <c r="B2006" t="s">
        <v>2916</v>
      </c>
      <c r="C2006" t="s">
        <v>1333</v>
      </c>
      <c r="D2006" t="s">
        <v>1319</v>
      </c>
      <c r="E2006" s="220">
        <v>7.6700000000000004E-2</v>
      </c>
    </row>
    <row r="2007" spans="1:5">
      <c r="A2007" t="s">
        <v>647</v>
      </c>
      <c r="B2007" t="s">
        <v>2916</v>
      </c>
      <c r="C2007" t="s">
        <v>1333</v>
      </c>
      <c r="D2007" t="s">
        <v>1319</v>
      </c>
      <c r="E2007" s="220">
        <v>7.6700000000000004E-2</v>
      </c>
    </row>
    <row r="2008" spans="1:5">
      <c r="A2008" t="s">
        <v>653</v>
      </c>
      <c r="B2008" t="s">
        <v>2916</v>
      </c>
      <c r="C2008" t="s">
        <v>1333</v>
      </c>
      <c r="D2008" t="s">
        <v>1319</v>
      </c>
      <c r="E2008" s="220">
        <v>7.6700000000000004E-2</v>
      </c>
    </row>
    <row r="2009" spans="1:5">
      <c r="A2009" t="s">
        <v>659</v>
      </c>
      <c r="B2009" t="s">
        <v>2916</v>
      </c>
      <c r="C2009" t="s">
        <v>1333</v>
      </c>
      <c r="D2009" t="s">
        <v>1319</v>
      </c>
      <c r="E2009" s="220">
        <v>7.6700000000000004E-2</v>
      </c>
    </row>
    <row r="2010" spans="1:5">
      <c r="A2010" t="s">
        <v>667</v>
      </c>
      <c r="B2010" t="s">
        <v>2916</v>
      </c>
      <c r="C2010" t="s">
        <v>1333</v>
      </c>
      <c r="D2010" t="s">
        <v>1319</v>
      </c>
      <c r="E2010" s="220">
        <v>7.6700000000000004E-2</v>
      </c>
    </row>
    <row r="2011" spans="1:5">
      <c r="A2011" t="s">
        <v>676</v>
      </c>
      <c r="B2011" t="s">
        <v>2916</v>
      </c>
      <c r="C2011" t="s">
        <v>1333</v>
      </c>
      <c r="D2011" t="s">
        <v>1319</v>
      </c>
      <c r="E2011" s="220">
        <v>7.6700000000000004E-2</v>
      </c>
    </row>
    <row r="2012" spans="1:5">
      <c r="A2012" t="s">
        <v>644</v>
      </c>
      <c r="B2012" t="s">
        <v>2916</v>
      </c>
      <c r="C2012" t="s">
        <v>1333</v>
      </c>
      <c r="D2012" t="s">
        <v>1319</v>
      </c>
      <c r="E2012" s="220">
        <v>7.6700000000000004E-2</v>
      </c>
    </row>
    <row r="2013" spans="1:5">
      <c r="A2013" t="s">
        <v>664</v>
      </c>
      <c r="B2013" t="s">
        <v>2916</v>
      </c>
      <c r="C2013" t="s">
        <v>1333</v>
      </c>
      <c r="D2013" t="s">
        <v>1319</v>
      </c>
      <c r="E2013" s="220">
        <v>7.6700000000000004E-2</v>
      </c>
    </row>
    <row r="2014" spans="1:5">
      <c r="A2014" t="s">
        <v>705</v>
      </c>
      <c r="B2014" t="s">
        <v>2916</v>
      </c>
      <c r="C2014" t="s">
        <v>1333</v>
      </c>
      <c r="D2014" t="s">
        <v>1319</v>
      </c>
      <c r="E2014" s="220">
        <v>7.6700000000000004E-2</v>
      </c>
    </row>
    <row r="2015" spans="1:5">
      <c r="A2015" t="s">
        <v>1182</v>
      </c>
      <c r="B2015" t="s">
        <v>2916</v>
      </c>
      <c r="C2015" t="s">
        <v>1333</v>
      </c>
      <c r="D2015" t="s">
        <v>1319</v>
      </c>
      <c r="E2015" s="220">
        <v>7.6700000000000004E-2</v>
      </c>
    </row>
    <row r="2016" spans="1:5">
      <c r="A2016" t="s">
        <v>720</v>
      </c>
      <c r="B2016" t="s">
        <v>2916</v>
      </c>
      <c r="C2016" t="s">
        <v>1333</v>
      </c>
      <c r="D2016" t="s">
        <v>1319</v>
      </c>
      <c r="E2016" s="220">
        <v>7.6700000000000004E-2</v>
      </c>
    </row>
    <row r="2017" spans="1:5">
      <c r="A2017" t="s">
        <v>723</v>
      </c>
      <c r="B2017" t="s">
        <v>2916</v>
      </c>
      <c r="C2017" t="s">
        <v>1333</v>
      </c>
      <c r="D2017" t="s">
        <v>1319</v>
      </c>
      <c r="E2017" s="220">
        <v>7.6700000000000004E-2</v>
      </c>
    </row>
    <row r="2018" spans="1:5">
      <c r="A2018" t="s">
        <v>726</v>
      </c>
      <c r="B2018" t="s">
        <v>2916</v>
      </c>
      <c r="C2018" t="s">
        <v>1333</v>
      </c>
      <c r="D2018" t="s">
        <v>1319</v>
      </c>
      <c r="E2018" s="220">
        <v>7.6700000000000004E-2</v>
      </c>
    </row>
    <row r="2019" spans="1:5">
      <c r="A2019" t="s">
        <v>738</v>
      </c>
      <c r="B2019" t="s">
        <v>2916</v>
      </c>
      <c r="C2019" t="s">
        <v>1333</v>
      </c>
      <c r="D2019" t="s">
        <v>1319</v>
      </c>
      <c r="E2019" s="220">
        <v>7.6700000000000004E-2</v>
      </c>
    </row>
    <row r="2020" spans="1:5">
      <c r="A2020" t="s">
        <v>747</v>
      </c>
      <c r="B2020" t="s">
        <v>2916</v>
      </c>
      <c r="C2020" t="s">
        <v>1333</v>
      </c>
      <c r="D2020" t="s">
        <v>1319</v>
      </c>
      <c r="E2020" s="220">
        <v>7.6700000000000004E-2</v>
      </c>
    </row>
    <row r="2021" spans="1:5">
      <c r="A2021" t="s">
        <v>754</v>
      </c>
      <c r="B2021" t="s">
        <v>2916</v>
      </c>
      <c r="C2021" t="s">
        <v>1333</v>
      </c>
      <c r="D2021" t="s">
        <v>1319</v>
      </c>
      <c r="E2021" s="220">
        <v>7.6700000000000004E-2</v>
      </c>
    </row>
    <row r="2022" spans="1:5">
      <c r="A2022" t="s">
        <v>757</v>
      </c>
      <c r="B2022" t="s">
        <v>2916</v>
      </c>
      <c r="C2022" t="s">
        <v>1333</v>
      </c>
      <c r="D2022" t="s">
        <v>1319</v>
      </c>
      <c r="E2022" s="220">
        <v>7.6700000000000004E-2</v>
      </c>
    </row>
    <row r="2023" spans="1:5">
      <c r="A2023" t="s">
        <v>823</v>
      </c>
      <c r="B2023" t="s">
        <v>2916</v>
      </c>
      <c r="C2023" t="s">
        <v>1333</v>
      </c>
      <c r="D2023" t="s">
        <v>1319</v>
      </c>
      <c r="E2023" s="220">
        <v>7.6700000000000004E-2</v>
      </c>
    </row>
    <row r="2024" spans="1:5">
      <c r="A2024" t="s">
        <v>767</v>
      </c>
      <c r="B2024" t="s">
        <v>2916</v>
      </c>
      <c r="C2024" t="s">
        <v>1333</v>
      </c>
      <c r="D2024" t="s">
        <v>1319</v>
      </c>
      <c r="E2024" s="220">
        <v>7.6700000000000004E-2</v>
      </c>
    </row>
    <row r="2025" spans="1:5">
      <c r="A2025" t="s">
        <v>761</v>
      </c>
      <c r="B2025" t="s">
        <v>2916</v>
      </c>
      <c r="C2025" t="s">
        <v>1333</v>
      </c>
      <c r="D2025" t="s">
        <v>1319</v>
      </c>
      <c r="E2025" s="220">
        <v>7.6700000000000004E-2</v>
      </c>
    </row>
    <row r="2026" spans="1:5">
      <c r="A2026" t="s">
        <v>770</v>
      </c>
      <c r="B2026" t="s">
        <v>2916</v>
      </c>
      <c r="C2026" t="s">
        <v>1333</v>
      </c>
      <c r="D2026" t="s">
        <v>1319</v>
      </c>
      <c r="E2026" s="220">
        <v>7.6700000000000004E-2</v>
      </c>
    </row>
    <row r="2027" spans="1:5">
      <c r="A2027" t="s">
        <v>592</v>
      </c>
      <c r="B2027" t="s">
        <v>2916</v>
      </c>
      <c r="C2027" t="s">
        <v>1333</v>
      </c>
      <c r="D2027" t="s">
        <v>1319</v>
      </c>
      <c r="E2027" s="220">
        <v>7.6700000000000004E-2</v>
      </c>
    </row>
    <row r="2028" spans="1:5">
      <c r="A2028" t="s">
        <v>773</v>
      </c>
      <c r="B2028" t="s">
        <v>2916</v>
      </c>
      <c r="C2028" t="s">
        <v>1333</v>
      </c>
      <c r="D2028" t="s">
        <v>1319</v>
      </c>
      <c r="E2028" s="220">
        <v>7.6700000000000004E-2</v>
      </c>
    </row>
    <row r="2029" spans="1:5">
      <c r="A2029" t="s">
        <v>776</v>
      </c>
      <c r="B2029" t="s">
        <v>2916</v>
      </c>
      <c r="C2029" t="s">
        <v>1333</v>
      </c>
      <c r="D2029" t="s">
        <v>1319</v>
      </c>
      <c r="E2029" s="220">
        <v>7.6700000000000004E-2</v>
      </c>
    </row>
    <row r="2030" spans="1:5">
      <c r="A2030" t="s">
        <v>1154</v>
      </c>
      <c r="B2030" t="s">
        <v>2916</v>
      </c>
      <c r="C2030" t="s">
        <v>1333</v>
      </c>
      <c r="D2030" t="s">
        <v>1319</v>
      </c>
      <c r="E2030" s="220">
        <v>7.6700000000000004E-2</v>
      </c>
    </row>
    <row r="2031" spans="1:5">
      <c r="A2031" t="s">
        <v>788</v>
      </c>
      <c r="B2031" t="s">
        <v>2916</v>
      </c>
      <c r="C2031" t="s">
        <v>1333</v>
      </c>
      <c r="D2031" t="s">
        <v>1319</v>
      </c>
      <c r="E2031" s="220">
        <v>7.6700000000000004E-2</v>
      </c>
    </row>
    <row r="2032" spans="1:5">
      <c r="A2032" t="s">
        <v>805</v>
      </c>
      <c r="B2032" t="s">
        <v>2916</v>
      </c>
      <c r="C2032" t="s">
        <v>1333</v>
      </c>
      <c r="D2032" t="s">
        <v>1319</v>
      </c>
      <c r="E2032" s="220">
        <v>7.6700000000000004E-2</v>
      </c>
    </row>
    <row r="2033" spans="1:5">
      <c r="A2033" t="s">
        <v>808</v>
      </c>
      <c r="B2033" t="s">
        <v>2916</v>
      </c>
      <c r="C2033" t="s">
        <v>1333</v>
      </c>
      <c r="D2033" t="s">
        <v>1319</v>
      </c>
      <c r="E2033" s="220">
        <v>7.8E-2</v>
      </c>
    </row>
    <row r="2034" spans="1:5">
      <c r="A2034" t="s">
        <v>1238</v>
      </c>
      <c r="B2034" t="s">
        <v>2916</v>
      </c>
      <c r="C2034" t="s">
        <v>1333</v>
      </c>
      <c r="D2034" t="s">
        <v>1319</v>
      </c>
      <c r="E2034" s="220">
        <v>7.6700000000000004E-2</v>
      </c>
    </row>
    <row r="2035" spans="1:5">
      <c r="A2035" t="s">
        <v>820</v>
      </c>
      <c r="B2035" t="s">
        <v>2916</v>
      </c>
      <c r="C2035" t="s">
        <v>1333</v>
      </c>
      <c r="D2035" t="s">
        <v>1319</v>
      </c>
      <c r="E2035" s="220">
        <v>7.6700000000000004E-2</v>
      </c>
    </row>
    <row r="2036" spans="1:5">
      <c r="A2036" t="s">
        <v>833</v>
      </c>
      <c r="B2036" t="s">
        <v>2916</v>
      </c>
      <c r="C2036" t="s">
        <v>1333</v>
      </c>
      <c r="D2036" t="s">
        <v>1319</v>
      </c>
      <c r="E2036" s="220">
        <v>7.6700000000000004E-2</v>
      </c>
    </row>
    <row r="2037" spans="1:5">
      <c r="A2037" t="s">
        <v>839</v>
      </c>
      <c r="B2037" t="s">
        <v>2916</v>
      </c>
      <c r="C2037" t="s">
        <v>1333</v>
      </c>
      <c r="D2037" t="s">
        <v>1319</v>
      </c>
      <c r="E2037" s="220">
        <v>7.6700000000000004E-2</v>
      </c>
    </row>
    <row r="2038" spans="1:5">
      <c r="A2038" t="s">
        <v>845</v>
      </c>
      <c r="B2038" t="s">
        <v>2916</v>
      </c>
      <c r="C2038" t="s">
        <v>1333</v>
      </c>
      <c r="D2038" t="s">
        <v>1319</v>
      </c>
      <c r="E2038" s="220">
        <v>7.6700000000000004E-2</v>
      </c>
    </row>
    <row r="2039" spans="1:5">
      <c r="A2039" t="s">
        <v>854</v>
      </c>
      <c r="B2039" t="s">
        <v>2916</v>
      </c>
      <c r="C2039" t="s">
        <v>1333</v>
      </c>
      <c r="D2039" t="s">
        <v>1319</v>
      </c>
      <c r="E2039" s="220">
        <v>7.6700000000000004E-2</v>
      </c>
    </row>
    <row r="2040" spans="1:5">
      <c r="A2040" t="s">
        <v>860</v>
      </c>
      <c r="B2040" t="s">
        <v>2916</v>
      </c>
      <c r="C2040" t="s">
        <v>1333</v>
      </c>
      <c r="D2040" t="s">
        <v>1319</v>
      </c>
      <c r="E2040" s="220">
        <v>7.6700000000000004E-2</v>
      </c>
    </row>
    <row r="2041" spans="1:5">
      <c r="A2041" t="s">
        <v>744</v>
      </c>
      <c r="B2041" t="s">
        <v>2916</v>
      </c>
      <c r="C2041" t="s">
        <v>1333</v>
      </c>
      <c r="D2041" t="s">
        <v>1319</v>
      </c>
      <c r="E2041" s="220">
        <v>7.6700000000000004E-2</v>
      </c>
    </row>
    <row r="2042" spans="1:5">
      <c r="A2042" t="s">
        <v>857</v>
      </c>
      <c r="B2042" t="s">
        <v>2916</v>
      </c>
      <c r="C2042" t="s">
        <v>1333</v>
      </c>
      <c r="D2042" t="s">
        <v>1319</v>
      </c>
      <c r="E2042" s="220">
        <v>7.6700000000000004E-2</v>
      </c>
    </row>
    <row r="2043" spans="1:5">
      <c r="A2043" t="s">
        <v>866</v>
      </c>
      <c r="B2043" t="s">
        <v>2916</v>
      </c>
      <c r="C2043" t="s">
        <v>1333</v>
      </c>
      <c r="D2043" t="s">
        <v>1319</v>
      </c>
      <c r="E2043" s="220">
        <v>7.6700000000000004E-2</v>
      </c>
    </row>
    <row r="2044" spans="1:5">
      <c r="A2044" t="s">
        <v>875</v>
      </c>
      <c r="B2044" t="s">
        <v>2916</v>
      </c>
      <c r="C2044" t="s">
        <v>1333</v>
      </c>
      <c r="D2044" t="s">
        <v>1319</v>
      </c>
      <c r="E2044" s="220">
        <v>7.6700000000000004E-2</v>
      </c>
    </row>
    <row r="2045" spans="1:5">
      <c r="A2045" t="s">
        <v>872</v>
      </c>
      <c r="B2045" t="s">
        <v>2916</v>
      </c>
      <c r="C2045" t="s">
        <v>1333</v>
      </c>
      <c r="D2045" t="s">
        <v>1319</v>
      </c>
      <c r="E2045" s="220">
        <v>7.6700000000000004E-2</v>
      </c>
    </row>
    <row r="2046" spans="1:5">
      <c r="A2046" t="s">
        <v>884</v>
      </c>
      <c r="B2046" t="s">
        <v>2916</v>
      </c>
      <c r="C2046" t="s">
        <v>1333</v>
      </c>
      <c r="D2046" t="s">
        <v>1319</v>
      </c>
      <c r="E2046" s="220">
        <v>7.6700000000000004E-2</v>
      </c>
    </row>
    <row r="2047" spans="1:5">
      <c r="A2047" t="s">
        <v>878</v>
      </c>
      <c r="B2047" t="s">
        <v>2916</v>
      </c>
      <c r="C2047" t="s">
        <v>1333</v>
      </c>
      <c r="D2047" t="s">
        <v>1319</v>
      </c>
      <c r="E2047" s="220">
        <v>7.6700000000000004E-2</v>
      </c>
    </row>
    <row r="2048" spans="1:5">
      <c r="A2048" t="s">
        <v>881</v>
      </c>
      <c r="B2048" t="s">
        <v>2916</v>
      </c>
      <c r="C2048" t="s">
        <v>1333</v>
      </c>
      <c r="D2048" t="s">
        <v>1319</v>
      </c>
      <c r="E2048" s="220">
        <v>7.6700000000000004E-2</v>
      </c>
    </row>
    <row r="2049" spans="1:5">
      <c r="A2049" t="s">
        <v>869</v>
      </c>
      <c r="B2049" t="s">
        <v>2916</v>
      </c>
      <c r="C2049" t="s">
        <v>1333</v>
      </c>
      <c r="D2049" t="s">
        <v>1319</v>
      </c>
      <c r="E2049" s="220">
        <v>7.6700000000000004E-2</v>
      </c>
    </row>
    <row r="2050" spans="1:5">
      <c r="A2050" t="s">
        <v>891</v>
      </c>
      <c r="B2050" t="s">
        <v>2916</v>
      </c>
      <c r="C2050" t="s">
        <v>1333</v>
      </c>
      <c r="D2050" t="s">
        <v>1319</v>
      </c>
      <c r="E2050" s="220">
        <v>7.6700000000000004E-2</v>
      </c>
    </row>
    <row r="2051" spans="1:5">
      <c r="A2051" t="s">
        <v>894</v>
      </c>
      <c r="B2051" t="s">
        <v>2916</v>
      </c>
      <c r="C2051" t="s">
        <v>1333</v>
      </c>
      <c r="D2051" t="s">
        <v>1319</v>
      </c>
      <c r="E2051" s="220">
        <v>7.6700000000000004E-2</v>
      </c>
    </row>
    <row r="2052" spans="1:5">
      <c r="A2052" t="s">
        <v>897</v>
      </c>
      <c r="B2052" t="s">
        <v>2916</v>
      </c>
      <c r="C2052" t="s">
        <v>1333</v>
      </c>
      <c r="D2052" t="s">
        <v>1319</v>
      </c>
      <c r="E2052" s="220">
        <v>7.6700000000000004E-2</v>
      </c>
    </row>
    <row r="2053" spans="1:5">
      <c r="A2053" t="s">
        <v>903</v>
      </c>
      <c r="B2053" t="s">
        <v>2916</v>
      </c>
      <c r="C2053" t="s">
        <v>1333</v>
      </c>
      <c r="D2053" t="s">
        <v>1319</v>
      </c>
      <c r="E2053" s="220">
        <v>7.6700000000000004E-2</v>
      </c>
    </row>
    <row r="2054" spans="1:5">
      <c r="A2054" t="s">
        <v>900</v>
      </c>
      <c r="B2054" t="s">
        <v>2916</v>
      </c>
      <c r="C2054" t="s">
        <v>1333</v>
      </c>
      <c r="D2054" t="s">
        <v>1319</v>
      </c>
      <c r="E2054" s="220">
        <v>7.6700000000000004E-2</v>
      </c>
    </row>
    <row r="2055" spans="1:5">
      <c r="A2055" t="s">
        <v>906</v>
      </c>
      <c r="B2055" t="s">
        <v>2916</v>
      </c>
      <c r="C2055" t="s">
        <v>1333</v>
      </c>
      <c r="D2055" t="s">
        <v>1319</v>
      </c>
      <c r="E2055" s="220">
        <v>7.6700000000000004E-2</v>
      </c>
    </row>
    <row r="2056" spans="1:5">
      <c r="A2056" t="s">
        <v>930</v>
      </c>
      <c r="B2056" t="s">
        <v>2916</v>
      </c>
      <c r="C2056" t="s">
        <v>1333</v>
      </c>
      <c r="D2056" t="s">
        <v>1319</v>
      </c>
      <c r="E2056" s="220">
        <v>7.6700000000000004E-2</v>
      </c>
    </row>
    <row r="2057" spans="1:5">
      <c r="A2057" t="s">
        <v>699</v>
      </c>
      <c r="B2057" t="s">
        <v>2916</v>
      </c>
      <c r="C2057" t="s">
        <v>1333</v>
      </c>
      <c r="D2057" t="s">
        <v>1319</v>
      </c>
      <c r="E2057" s="220">
        <v>7.6700000000000004E-2</v>
      </c>
    </row>
    <row r="2058" spans="1:5">
      <c r="A2058" t="s">
        <v>1160</v>
      </c>
      <c r="B2058" t="s">
        <v>2916</v>
      </c>
      <c r="C2058" t="s">
        <v>1333</v>
      </c>
      <c r="D2058" t="s">
        <v>1319</v>
      </c>
      <c r="E2058" s="220">
        <v>7.6700000000000004E-2</v>
      </c>
    </row>
    <row r="2059" spans="1:5">
      <c r="A2059" t="s">
        <v>915</v>
      </c>
      <c r="B2059" t="s">
        <v>2916</v>
      </c>
      <c r="C2059" t="s">
        <v>1333</v>
      </c>
      <c r="D2059" t="s">
        <v>1319</v>
      </c>
      <c r="E2059" s="220">
        <v>7.6700000000000004E-2</v>
      </c>
    </row>
    <row r="2060" spans="1:5">
      <c r="A2060" t="s">
        <v>927</v>
      </c>
      <c r="B2060" t="s">
        <v>2916</v>
      </c>
      <c r="C2060" t="s">
        <v>1333</v>
      </c>
      <c r="D2060" t="s">
        <v>1319</v>
      </c>
      <c r="E2060" s="220">
        <v>7.6700000000000004E-2</v>
      </c>
    </row>
    <row r="2061" spans="1:5">
      <c r="A2061" t="s">
        <v>933</v>
      </c>
      <c r="B2061" t="s">
        <v>2916</v>
      </c>
      <c r="C2061" t="s">
        <v>1333</v>
      </c>
      <c r="D2061" t="s">
        <v>1319</v>
      </c>
      <c r="E2061" s="220">
        <v>7.6700000000000004E-2</v>
      </c>
    </row>
    <row r="2062" spans="1:5">
      <c r="A2062" t="s">
        <v>939</v>
      </c>
      <c r="B2062" t="s">
        <v>2916</v>
      </c>
      <c r="C2062" t="s">
        <v>1333</v>
      </c>
      <c r="D2062" t="s">
        <v>1319</v>
      </c>
      <c r="E2062" s="220">
        <v>7.6700000000000004E-2</v>
      </c>
    </row>
    <row r="2063" spans="1:5">
      <c r="A2063" t="s">
        <v>1163</v>
      </c>
      <c r="B2063" t="s">
        <v>2916</v>
      </c>
      <c r="C2063" t="s">
        <v>1333</v>
      </c>
      <c r="D2063" t="s">
        <v>1319</v>
      </c>
      <c r="E2063" s="220">
        <v>7.6700000000000004E-2</v>
      </c>
    </row>
    <row r="2064" spans="1:5">
      <c r="A2064" t="s">
        <v>1157</v>
      </c>
      <c r="B2064" t="s">
        <v>2916</v>
      </c>
      <c r="C2064" t="s">
        <v>1333</v>
      </c>
      <c r="D2064" t="s">
        <v>1319</v>
      </c>
      <c r="E2064" s="220">
        <v>7.6700000000000004E-2</v>
      </c>
    </row>
    <row r="2065" spans="1:5">
      <c r="A2065" t="s">
        <v>954</v>
      </c>
      <c r="B2065" t="s">
        <v>2916</v>
      </c>
      <c r="C2065" t="s">
        <v>1333</v>
      </c>
      <c r="D2065" t="s">
        <v>1319</v>
      </c>
      <c r="E2065" s="220">
        <v>7.6700000000000004E-2</v>
      </c>
    </row>
    <row r="2066" spans="1:5">
      <c r="A2066" t="s">
        <v>957</v>
      </c>
      <c r="B2066" t="s">
        <v>2916</v>
      </c>
      <c r="C2066" t="s">
        <v>1333</v>
      </c>
      <c r="D2066" t="s">
        <v>1319</v>
      </c>
      <c r="E2066" s="220">
        <v>7.6700000000000004E-2</v>
      </c>
    </row>
    <row r="2067" spans="1:5">
      <c r="A2067" t="s">
        <v>936</v>
      </c>
      <c r="B2067" t="s">
        <v>2916</v>
      </c>
      <c r="C2067" t="s">
        <v>1333</v>
      </c>
      <c r="D2067" t="s">
        <v>1319</v>
      </c>
      <c r="E2067" s="220">
        <v>7.6700000000000004E-2</v>
      </c>
    </row>
    <row r="2068" spans="1:5">
      <c r="A2068" t="s">
        <v>1014</v>
      </c>
      <c r="B2068" t="s">
        <v>2916</v>
      </c>
      <c r="C2068" t="s">
        <v>1333</v>
      </c>
      <c r="D2068" t="s">
        <v>1319</v>
      </c>
      <c r="E2068" s="220">
        <v>7.6700000000000004E-2</v>
      </c>
    </row>
    <row r="2069" spans="1:5">
      <c r="A2069" t="s">
        <v>999</v>
      </c>
      <c r="B2069" t="s">
        <v>2916</v>
      </c>
      <c r="C2069" t="s">
        <v>1333</v>
      </c>
      <c r="D2069" t="s">
        <v>1319</v>
      </c>
      <c r="E2069" s="220">
        <v>7.6700000000000004E-2</v>
      </c>
    </row>
    <row r="2070" spans="1:5">
      <c r="A2070" t="s">
        <v>993</v>
      </c>
      <c r="B2070" t="s">
        <v>2916</v>
      </c>
      <c r="C2070" t="s">
        <v>1333</v>
      </c>
      <c r="D2070" t="s">
        <v>1319</v>
      </c>
      <c r="E2070" s="220">
        <v>7.6700000000000004E-2</v>
      </c>
    </row>
    <row r="2071" spans="1:5">
      <c r="A2071" t="s">
        <v>963</v>
      </c>
      <c r="B2071" t="s">
        <v>2916</v>
      </c>
      <c r="C2071" t="s">
        <v>1333</v>
      </c>
      <c r="D2071" t="s">
        <v>1319</v>
      </c>
      <c r="E2071" s="220">
        <v>7.6700000000000004E-2</v>
      </c>
    </row>
    <row r="2072" spans="1:5">
      <c r="A2072" t="s">
        <v>981</v>
      </c>
      <c r="B2072" t="s">
        <v>2916</v>
      </c>
      <c r="C2072" t="s">
        <v>1333</v>
      </c>
      <c r="D2072" t="s">
        <v>1319</v>
      </c>
      <c r="E2072" s="220">
        <v>7.6700000000000004E-2</v>
      </c>
    </row>
    <row r="2073" spans="1:5">
      <c r="A2073" t="s">
        <v>1020</v>
      </c>
      <c r="B2073" t="s">
        <v>2916</v>
      </c>
      <c r="C2073" t="s">
        <v>1333</v>
      </c>
      <c r="D2073" t="s">
        <v>1319</v>
      </c>
      <c r="E2073" s="220">
        <v>7.6700000000000004E-2</v>
      </c>
    </row>
    <row r="2074" spans="1:5">
      <c r="A2074" t="s">
        <v>972</v>
      </c>
      <c r="B2074" t="s">
        <v>2916</v>
      </c>
      <c r="C2074" t="s">
        <v>1333</v>
      </c>
      <c r="D2074" t="s">
        <v>1319</v>
      </c>
      <c r="E2074" s="220">
        <v>7.6700000000000004E-2</v>
      </c>
    </row>
    <row r="2075" spans="1:5">
      <c r="A2075" t="s">
        <v>1042</v>
      </c>
      <c r="B2075" t="s">
        <v>2916</v>
      </c>
      <c r="C2075" t="s">
        <v>1333</v>
      </c>
      <c r="D2075" t="s">
        <v>1319</v>
      </c>
      <c r="E2075" s="220">
        <v>7.6700000000000004E-2</v>
      </c>
    </row>
    <row r="2076" spans="1:5">
      <c r="A2076" t="s">
        <v>1032</v>
      </c>
      <c r="B2076" t="s">
        <v>2916</v>
      </c>
      <c r="C2076" t="s">
        <v>1333</v>
      </c>
      <c r="D2076" t="s">
        <v>1319</v>
      </c>
      <c r="E2076" s="220">
        <v>7.6700000000000004E-2</v>
      </c>
    </row>
    <row r="2077" spans="1:5">
      <c r="A2077" t="s">
        <v>1055</v>
      </c>
      <c r="B2077" t="s">
        <v>2916</v>
      </c>
      <c r="C2077" t="s">
        <v>1333</v>
      </c>
      <c r="D2077" t="s">
        <v>1319</v>
      </c>
      <c r="E2077" s="220">
        <v>7.6700000000000004E-2</v>
      </c>
    </row>
    <row r="2078" spans="1:5">
      <c r="A2078" t="s">
        <v>1039</v>
      </c>
      <c r="B2078" t="s">
        <v>2916</v>
      </c>
      <c r="C2078" t="s">
        <v>1333</v>
      </c>
      <c r="D2078" t="s">
        <v>1319</v>
      </c>
      <c r="E2078" s="220">
        <v>7.6700000000000004E-2</v>
      </c>
    </row>
    <row r="2079" spans="1:5">
      <c r="A2079" t="s">
        <v>1058</v>
      </c>
      <c r="B2079" t="s">
        <v>2916</v>
      </c>
      <c r="C2079" t="s">
        <v>1333</v>
      </c>
      <c r="D2079" t="s">
        <v>1319</v>
      </c>
      <c r="E2079" s="220">
        <v>7.6700000000000004E-2</v>
      </c>
    </row>
    <row r="2080" spans="1:5">
      <c r="A2080" t="s">
        <v>1061</v>
      </c>
      <c r="B2080" t="s">
        <v>2916</v>
      </c>
      <c r="C2080" t="s">
        <v>1333</v>
      </c>
      <c r="D2080" t="s">
        <v>1319</v>
      </c>
      <c r="E2080" s="220">
        <v>7.6700000000000004E-2</v>
      </c>
    </row>
    <row r="2081" spans="1:5">
      <c r="A2081" t="s">
        <v>1067</v>
      </c>
      <c r="B2081" t="s">
        <v>2916</v>
      </c>
      <c r="C2081" t="s">
        <v>1333</v>
      </c>
      <c r="D2081" t="s">
        <v>1319</v>
      </c>
      <c r="E2081" s="220">
        <v>7.6700000000000004E-2</v>
      </c>
    </row>
    <row r="2082" spans="1:5">
      <c r="A2082" t="s">
        <v>1076</v>
      </c>
      <c r="B2082" t="s">
        <v>2916</v>
      </c>
      <c r="C2082" t="s">
        <v>1333</v>
      </c>
      <c r="D2082" t="s">
        <v>1319</v>
      </c>
      <c r="E2082" s="220">
        <v>7.6700000000000004E-2</v>
      </c>
    </row>
    <row r="2083" spans="1:5">
      <c r="A2083" t="s">
        <v>1079</v>
      </c>
      <c r="B2083" t="s">
        <v>2916</v>
      </c>
      <c r="C2083" t="s">
        <v>1333</v>
      </c>
      <c r="D2083" t="s">
        <v>1319</v>
      </c>
      <c r="E2083" s="220">
        <v>7.6700000000000004E-2</v>
      </c>
    </row>
    <row r="2084" spans="1:5">
      <c r="A2084" t="s">
        <v>1082</v>
      </c>
      <c r="B2084" t="s">
        <v>2916</v>
      </c>
      <c r="C2084" t="s">
        <v>1333</v>
      </c>
      <c r="D2084" t="s">
        <v>1319</v>
      </c>
      <c r="E2084" s="220">
        <v>7.6700000000000004E-2</v>
      </c>
    </row>
    <row r="2085" spans="1:5">
      <c r="A2085" t="s">
        <v>919</v>
      </c>
      <c r="B2085" t="s">
        <v>2916</v>
      </c>
      <c r="C2085" t="s">
        <v>1333</v>
      </c>
      <c r="D2085" t="s">
        <v>1319</v>
      </c>
      <c r="E2085" s="220">
        <v>7.6700000000000004E-2</v>
      </c>
    </row>
    <row r="2086" spans="1:5">
      <c r="A2086" t="s">
        <v>1085</v>
      </c>
      <c r="B2086" t="s">
        <v>2916</v>
      </c>
      <c r="C2086" t="s">
        <v>1333</v>
      </c>
      <c r="D2086" t="s">
        <v>1319</v>
      </c>
      <c r="E2086" s="220">
        <v>7.6700000000000004E-2</v>
      </c>
    </row>
    <row r="2087" spans="1:5">
      <c r="A2087" t="s">
        <v>1264</v>
      </c>
      <c r="B2087" t="s">
        <v>2916</v>
      </c>
      <c r="C2087" t="s">
        <v>1333</v>
      </c>
      <c r="D2087" t="s">
        <v>1319</v>
      </c>
      <c r="E2087" s="220">
        <v>7.6700000000000004E-2</v>
      </c>
    </row>
    <row r="2088" spans="1:5">
      <c r="A2088" t="s">
        <v>1091</v>
      </c>
      <c r="B2088" t="s">
        <v>2916</v>
      </c>
      <c r="C2088" t="s">
        <v>1333</v>
      </c>
      <c r="D2088" t="s">
        <v>1319</v>
      </c>
      <c r="E2088" s="220">
        <v>7.6700000000000004E-2</v>
      </c>
    </row>
    <row r="2089" spans="1:5">
      <c r="A2089" t="s">
        <v>1094</v>
      </c>
      <c r="B2089" t="s">
        <v>2916</v>
      </c>
      <c r="C2089" t="s">
        <v>1333</v>
      </c>
      <c r="D2089" t="s">
        <v>1319</v>
      </c>
      <c r="E2089" s="220">
        <v>7.6700000000000004E-2</v>
      </c>
    </row>
    <row r="2090" spans="1:5">
      <c r="A2090" t="s">
        <v>1097</v>
      </c>
      <c r="B2090" t="s">
        <v>2916</v>
      </c>
      <c r="C2090" t="s">
        <v>1333</v>
      </c>
      <c r="D2090" t="s">
        <v>1319</v>
      </c>
      <c r="E2090" s="220">
        <v>7.6700000000000004E-2</v>
      </c>
    </row>
    <row r="2091" spans="1:5">
      <c r="A2091" t="s">
        <v>1113</v>
      </c>
      <c r="B2091" t="s">
        <v>2916</v>
      </c>
      <c r="C2091" t="s">
        <v>1333</v>
      </c>
      <c r="D2091" t="s">
        <v>1319</v>
      </c>
      <c r="E2091" s="220">
        <v>7.6700000000000004E-2</v>
      </c>
    </row>
    <row r="2092" spans="1:5">
      <c r="A2092" t="s">
        <v>1173</v>
      </c>
      <c r="B2092" t="s">
        <v>2916</v>
      </c>
      <c r="C2092" t="s">
        <v>1333</v>
      </c>
      <c r="D2092" t="s">
        <v>1319</v>
      </c>
      <c r="E2092" s="220">
        <v>7.6700000000000004E-2</v>
      </c>
    </row>
    <row r="2093" spans="1:5">
      <c r="A2093" t="s">
        <v>1128</v>
      </c>
      <c r="B2093" t="s">
        <v>2916</v>
      </c>
      <c r="C2093" t="s">
        <v>1333</v>
      </c>
      <c r="D2093" t="s">
        <v>1319</v>
      </c>
      <c r="E2093" s="220">
        <v>7.6700000000000004E-2</v>
      </c>
    </row>
    <row r="2094" spans="1:5">
      <c r="A2094" t="s">
        <v>779</v>
      </c>
      <c r="B2094" t="s">
        <v>2916</v>
      </c>
      <c r="C2094" t="s">
        <v>1333</v>
      </c>
      <c r="D2094" t="s">
        <v>1319</v>
      </c>
      <c r="E2094" s="220">
        <v>7.6700000000000004E-2</v>
      </c>
    </row>
    <row r="2095" spans="1:5">
      <c r="A2095" t="s">
        <v>1119</v>
      </c>
      <c r="B2095" t="s">
        <v>2916</v>
      </c>
      <c r="C2095" t="s">
        <v>1333</v>
      </c>
      <c r="D2095" t="s">
        <v>1319</v>
      </c>
      <c r="E2095" s="220">
        <v>7.6700000000000004E-2</v>
      </c>
    </row>
    <row r="2096" spans="1:5">
      <c r="A2096" t="s">
        <v>1176</v>
      </c>
      <c r="B2096" t="s">
        <v>2916</v>
      </c>
      <c r="C2096" t="s">
        <v>1333</v>
      </c>
      <c r="D2096" t="s">
        <v>1319</v>
      </c>
      <c r="E2096" s="220">
        <v>7.6700000000000004E-2</v>
      </c>
    </row>
    <row r="2097" spans="1:5">
      <c r="A2097" t="s">
        <v>1135</v>
      </c>
      <c r="B2097" t="s">
        <v>2916</v>
      </c>
      <c r="C2097" t="s">
        <v>1333</v>
      </c>
      <c r="D2097" t="s">
        <v>1319</v>
      </c>
      <c r="E2097" s="220">
        <v>7.6700000000000004E-2</v>
      </c>
    </row>
    <row r="2098" spans="1:5">
      <c r="A2098" t="s">
        <v>1139</v>
      </c>
      <c r="B2098" t="s">
        <v>2916</v>
      </c>
      <c r="C2098" t="s">
        <v>1333</v>
      </c>
      <c r="D2098" t="s">
        <v>1319</v>
      </c>
      <c r="E2098" s="220">
        <v>7.6700000000000004E-2</v>
      </c>
    </row>
    <row r="2099" spans="1:5">
      <c r="A2099" t="s">
        <v>1179</v>
      </c>
      <c r="B2099" t="s">
        <v>2916</v>
      </c>
      <c r="C2099" t="s">
        <v>1333</v>
      </c>
      <c r="D2099" t="s">
        <v>1319</v>
      </c>
      <c r="E2099" s="220">
        <v>7.6700000000000004E-2</v>
      </c>
    </row>
    <row r="2100" spans="1:5">
      <c r="A2100" t="s">
        <v>1185</v>
      </c>
      <c r="B2100" t="s">
        <v>2916</v>
      </c>
      <c r="C2100" t="s">
        <v>1333</v>
      </c>
      <c r="D2100" t="s">
        <v>1319</v>
      </c>
      <c r="E2100" s="220">
        <v>7.6700000000000004E-2</v>
      </c>
    </row>
    <row r="2101" spans="1:5">
      <c r="A2101" t="s">
        <v>1198</v>
      </c>
      <c r="B2101" t="s">
        <v>2916</v>
      </c>
      <c r="C2101" t="s">
        <v>1333</v>
      </c>
      <c r="D2101" t="s">
        <v>1319</v>
      </c>
      <c r="E2101" s="220">
        <v>7.6700000000000004E-2</v>
      </c>
    </row>
    <row r="2102" spans="1:5">
      <c r="A2102" t="s">
        <v>1192</v>
      </c>
      <c r="B2102" t="s">
        <v>2916</v>
      </c>
      <c r="C2102" t="s">
        <v>1333</v>
      </c>
      <c r="D2102" t="s">
        <v>1319</v>
      </c>
      <c r="E2102" s="220">
        <v>7.6700000000000004E-2</v>
      </c>
    </row>
    <row r="2103" spans="1:5">
      <c r="A2103" t="s">
        <v>1219</v>
      </c>
      <c r="B2103" t="s">
        <v>2916</v>
      </c>
      <c r="C2103" t="s">
        <v>1333</v>
      </c>
      <c r="D2103" t="s">
        <v>1319</v>
      </c>
      <c r="E2103" s="220">
        <v>7.6700000000000004E-2</v>
      </c>
    </row>
    <row r="2104" spans="1:5">
      <c r="A2104" t="s">
        <v>1210</v>
      </c>
      <c r="B2104" t="s">
        <v>2916</v>
      </c>
      <c r="C2104" t="s">
        <v>1333</v>
      </c>
      <c r="D2104" t="s">
        <v>1319</v>
      </c>
      <c r="E2104" s="220">
        <v>7.6700000000000004E-2</v>
      </c>
    </row>
    <row r="2105" spans="1:5">
      <c r="A2105" t="s">
        <v>1213</v>
      </c>
      <c r="B2105" t="s">
        <v>2916</v>
      </c>
      <c r="C2105" t="s">
        <v>1333</v>
      </c>
      <c r="D2105" t="s">
        <v>1319</v>
      </c>
      <c r="E2105" s="220">
        <v>7.6700000000000004E-2</v>
      </c>
    </row>
    <row r="2106" spans="1:5">
      <c r="A2106" t="s">
        <v>1216</v>
      </c>
      <c r="B2106" t="s">
        <v>2916</v>
      </c>
      <c r="C2106" t="s">
        <v>1333</v>
      </c>
      <c r="D2106" t="s">
        <v>1319</v>
      </c>
      <c r="E2106" s="220">
        <v>7.6700000000000004E-2</v>
      </c>
    </row>
    <row r="2107" spans="1:5">
      <c r="A2107" t="s">
        <v>1189</v>
      </c>
      <c r="B2107" t="s">
        <v>2916</v>
      </c>
      <c r="C2107" t="s">
        <v>1333</v>
      </c>
      <c r="D2107" t="s">
        <v>1319</v>
      </c>
      <c r="E2107" s="220">
        <v>7.6700000000000004E-2</v>
      </c>
    </row>
    <row r="2108" spans="1:5">
      <c r="A2108" t="s">
        <v>1232</v>
      </c>
      <c r="B2108" t="s">
        <v>2916</v>
      </c>
      <c r="C2108" t="s">
        <v>1333</v>
      </c>
      <c r="D2108" t="s">
        <v>1319</v>
      </c>
      <c r="E2108" s="220">
        <v>7.6700000000000004E-2</v>
      </c>
    </row>
    <row r="2109" spans="1:5">
      <c r="A2109" t="s">
        <v>1244</v>
      </c>
      <c r="B2109" t="s">
        <v>2916</v>
      </c>
      <c r="C2109" t="s">
        <v>1333</v>
      </c>
      <c r="D2109" t="s">
        <v>1319</v>
      </c>
      <c r="E2109" s="220">
        <v>7.6700000000000004E-2</v>
      </c>
    </row>
    <row r="2110" spans="1:5">
      <c r="A2110" t="s">
        <v>1241</v>
      </c>
      <c r="B2110" t="s">
        <v>2916</v>
      </c>
      <c r="C2110" t="s">
        <v>1333</v>
      </c>
      <c r="D2110" t="s">
        <v>1319</v>
      </c>
      <c r="E2110" s="220">
        <v>7.6700000000000004E-2</v>
      </c>
    </row>
    <row r="2111" spans="1:5">
      <c r="A2111" t="s">
        <v>1247</v>
      </c>
      <c r="B2111" t="s">
        <v>2916</v>
      </c>
      <c r="C2111" t="s">
        <v>1333</v>
      </c>
      <c r="D2111" t="s">
        <v>1319</v>
      </c>
      <c r="E2111" s="220">
        <v>7.6700000000000004E-2</v>
      </c>
    </row>
    <row r="2112" spans="1:5">
      <c r="A2112" t="s">
        <v>1170</v>
      </c>
      <c r="B2112" t="s">
        <v>2916</v>
      </c>
      <c r="C2112" t="s">
        <v>1333</v>
      </c>
      <c r="D2112" t="s">
        <v>1319</v>
      </c>
      <c r="E2112" s="220">
        <v>7.6700000000000004E-2</v>
      </c>
    </row>
    <row r="2113" spans="1:5">
      <c r="A2113" t="s">
        <v>1253</v>
      </c>
      <c r="B2113" t="s">
        <v>2916</v>
      </c>
      <c r="C2113" t="s">
        <v>1333</v>
      </c>
      <c r="D2113" t="s">
        <v>1319</v>
      </c>
      <c r="E2113" s="220">
        <v>7.6700000000000004E-2</v>
      </c>
    </row>
    <row r="2114" spans="1:5">
      <c r="A2114" t="s">
        <v>1257</v>
      </c>
      <c r="B2114" t="s">
        <v>2916</v>
      </c>
      <c r="C2114" t="s">
        <v>1333</v>
      </c>
      <c r="D2114" t="s">
        <v>1319</v>
      </c>
      <c r="E2114" s="220">
        <v>7.6700000000000004E-2</v>
      </c>
    </row>
    <row r="2115" spans="1:5">
      <c r="A2115" t="s">
        <v>1268</v>
      </c>
      <c r="B2115" t="s">
        <v>2916</v>
      </c>
      <c r="C2115" t="s">
        <v>1333</v>
      </c>
      <c r="D2115" t="s">
        <v>1319</v>
      </c>
      <c r="E2115" s="220">
        <v>7.6700000000000004E-2</v>
      </c>
    </row>
    <row r="2116" spans="1:5">
      <c r="A2116" t="s">
        <v>1148</v>
      </c>
      <c r="B2116" t="s">
        <v>2916</v>
      </c>
      <c r="C2116" t="s">
        <v>1333</v>
      </c>
      <c r="D2116" t="s">
        <v>1319</v>
      </c>
      <c r="E2116" s="220">
        <v>7.6700000000000004E-2</v>
      </c>
    </row>
    <row r="2117" spans="1:5">
      <c r="A2117" t="s">
        <v>580</v>
      </c>
      <c r="B2117" t="s">
        <v>2916</v>
      </c>
      <c r="C2117" t="s">
        <v>1361</v>
      </c>
      <c r="D2117" t="s">
        <v>1319</v>
      </c>
      <c r="E2117" s="220">
        <v>7.6700000000000004E-2</v>
      </c>
    </row>
    <row r="2118" spans="1:5">
      <c r="A2118" t="s">
        <v>1235</v>
      </c>
      <c r="B2118" t="s">
        <v>2916</v>
      </c>
      <c r="C2118" t="s">
        <v>1361</v>
      </c>
      <c r="D2118" t="s">
        <v>1319</v>
      </c>
      <c r="E2118" s="220">
        <v>7.6700000000000004E-2</v>
      </c>
    </row>
    <row r="2119" spans="1:5">
      <c r="A2119" t="s">
        <v>617</v>
      </c>
      <c r="B2119" t="s">
        <v>2916</v>
      </c>
      <c r="C2119" t="s">
        <v>1361</v>
      </c>
      <c r="D2119" t="s">
        <v>1319</v>
      </c>
      <c r="E2119" s="220">
        <v>7.6700000000000004E-2</v>
      </c>
    </row>
    <row r="2120" spans="1:5">
      <c r="A2120" t="s">
        <v>614</v>
      </c>
      <c r="B2120" t="s">
        <v>2916</v>
      </c>
      <c r="C2120" t="s">
        <v>1361</v>
      </c>
      <c r="D2120" t="s">
        <v>1319</v>
      </c>
      <c r="E2120" s="220">
        <v>7.6700000000000004E-2</v>
      </c>
    </row>
    <row r="2121" spans="1:5">
      <c r="A2121" t="s">
        <v>626</v>
      </c>
      <c r="B2121" t="s">
        <v>2916</v>
      </c>
      <c r="C2121" t="s">
        <v>1361</v>
      </c>
      <c r="D2121" t="s">
        <v>1319</v>
      </c>
      <c r="E2121" s="220">
        <v>7.6700000000000004E-2</v>
      </c>
    </row>
    <row r="2122" spans="1:5">
      <c r="A2122" t="s">
        <v>629</v>
      </c>
      <c r="B2122" t="s">
        <v>2916</v>
      </c>
      <c r="C2122" t="s">
        <v>1361</v>
      </c>
      <c r="D2122" t="s">
        <v>1319</v>
      </c>
      <c r="E2122" s="220">
        <v>7.6700000000000004E-2</v>
      </c>
    </row>
    <row r="2123" spans="1:5">
      <c r="A2123" t="s">
        <v>632</v>
      </c>
      <c r="B2123" t="s">
        <v>2916</v>
      </c>
      <c r="C2123" t="s">
        <v>1361</v>
      </c>
      <c r="D2123" t="s">
        <v>1319</v>
      </c>
      <c r="E2123" s="220">
        <v>7.6700000000000004E-2</v>
      </c>
    </row>
    <row r="2124" spans="1:5">
      <c r="A2124" t="s">
        <v>650</v>
      </c>
      <c r="B2124" t="s">
        <v>2916</v>
      </c>
      <c r="C2124" t="s">
        <v>1361</v>
      </c>
      <c r="D2124" t="s">
        <v>1319</v>
      </c>
      <c r="E2124" s="220">
        <v>7.6700000000000004E-2</v>
      </c>
    </row>
    <row r="2125" spans="1:5">
      <c r="A2125" t="s">
        <v>641</v>
      </c>
      <c r="B2125" t="s">
        <v>2916</v>
      </c>
      <c r="C2125" t="s">
        <v>1361</v>
      </c>
      <c r="D2125" t="s">
        <v>1319</v>
      </c>
      <c r="E2125" s="220">
        <v>7.6700000000000004E-2</v>
      </c>
    </row>
    <row r="2126" spans="1:5">
      <c r="A2126" t="s">
        <v>638</v>
      </c>
      <c r="B2126" t="s">
        <v>2916</v>
      </c>
      <c r="C2126" t="s">
        <v>1361</v>
      </c>
      <c r="D2126" t="s">
        <v>1319</v>
      </c>
      <c r="E2126" s="220">
        <v>7.6700000000000004E-2</v>
      </c>
    </row>
    <row r="2127" spans="1:5">
      <c r="A2127" t="s">
        <v>635</v>
      </c>
      <c r="B2127" t="s">
        <v>2916</v>
      </c>
      <c r="C2127" t="s">
        <v>1361</v>
      </c>
      <c r="D2127" t="s">
        <v>1319</v>
      </c>
      <c r="E2127" s="220">
        <v>7.6700000000000004E-2</v>
      </c>
    </row>
    <row r="2128" spans="1:5">
      <c r="A2128" t="s">
        <v>670</v>
      </c>
      <c r="B2128" t="s">
        <v>2916</v>
      </c>
      <c r="C2128" t="s">
        <v>1361</v>
      </c>
      <c r="D2128" t="s">
        <v>1319</v>
      </c>
      <c r="E2128" s="220">
        <v>7.6700000000000004E-2</v>
      </c>
    </row>
    <row r="2129" spans="1:5">
      <c r="A2129" t="s">
        <v>647</v>
      </c>
      <c r="B2129" t="s">
        <v>2916</v>
      </c>
      <c r="C2129" t="s">
        <v>1361</v>
      </c>
      <c r="D2129" t="s">
        <v>1319</v>
      </c>
      <c r="E2129" s="220">
        <v>7.6700000000000004E-2</v>
      </c>
    </row>
    <row r="2130" spans="1:5">
      <c r="A2130" t="s">
        <v>653</v>
      </c>
      <c r="B2130" t="s">
        <v>2916</v>
      </c>
      <c r="C2130" t="s">
        <v>1361</v>
      </c>
      <c r="D2130" t="s">
        <v>1319</v>
      </c>
      <c r="E2130" s="220">
        <v>7.6700000000000004E-2</v>
      </c>
    </row>
    <row r="2131" spans="1:5">
      <c r="A2131" t="s">
        <v>659</v>
      </c>
      <c r="B2131" t="s">
        <v>2916</v>
      </c>
      <c r="C2131" t="s">
        <v>1361</v>
      </c>
      <c r="D2131" t="s">
        <v>1319</v>
      </c>
      <c r="E2131" s="220">
        <v>7.6700000000000004E-2</v>
      </c>
    </row>
    <row r="2132" spans="1:5">
      <c r="A2132" t="s">
        <v>676</v>
      </c>
      <c r="B2132" t="s">
        <v>2916</v>
      </c>
      <c r="C2132" t="s">
        <v>1361</v>
      </c>
      <c r="D2132" t="s">
        <v>1319</v>
      </c>
      <c r="E2132" s="220">
        <v>7.6700000000000004E-2</v>
      </c>
    </row>
    <row r="2133" spans="1:5">
      <c r="A2133" t="s">
        <v>644</v>
      </c>
      <c r="B2133" t="s">
        <v>2916</v>
      </c>
      <c r="C2133" t="s">
        <v>1361</v>
      </c>
      <c r="D2133" t="s">
        <v>1319</v>
      </c>
      <c r="E2133" s="220">
        <v>7.6700000000000004E-2</v>
      </c>
    </row>
    <row r="2134" spans="1:5">
      <c r="A2134" t="s">
        <v>664</v>
      </c>
      <c r="B2134" t="s">
        <v>2916</v>
      </c>
      <c r="C2134" t="s">
        <v>1361</v>
      </c>
      <c r="D2134" t="s">
        <v>1319</v>
      </c>
      <c r="E2134" s="220">
        <v>7.6700000000000004E-2</v>
      </c>
    </row>
    <row r="2135" spans="1:5">
      <c r="A2135" t="s">
        <v>705</v>
      </c>
      <c r="B2135" t="s">
        <v>2916</v>
      </c>
      <c r="C2135" t="s">
        <v>1361</v>
      </c>
      <c r="D2135" t="s">
        <v>1319</v>
      </c>
      <c r="E2135" s="220">
        <v>7.6700000000000004E-2</v>
      </c>
    </row>
    <row r="2136" spans="1:5">
      <c r="A2136" t="s">
        <v>720</v>
      </c>
      <c r="B2136" t="s">
        <v>2916</v>
      </c>
      <c r="C2136" t="s">
        <v>1361</v>
      </c>
      <c r="D2136" t="s">
        <v>1319</v>
      </c>
      <c r="E2136" s="220">
        <v>7.6700000000000004E-2</v>
      </c>
    </row>
    <row r="2137" spans="1:5">
      <c r="A2137" t="s">
        <v>723</v>
      </c>
      <c r="B2137" t="s">
        <v>2916</v>
      </c>
      <c r="C2137" t="s">
        <v>1361</v>
      </c>
      <c r="D2137" t="s">
        <v>1319</v>
      </c>
      <c r="E2137" s="220">
        <v>7.6700000000000004E-2</v>
      </c>
    </row>
    <row r="2138" spans="1:5">
      <c r="A2138" t="s">
        <v>726</v>
      </c>
      <c r="B2138" t="s">
        <v>2916</v>
      </c>
      <c r="C2138" t="s">
        <v>1361</v>
      </c>
      <c r="D2138" t="s">
        <v>1319</v>
      </c>
      <c r="E2138" s="220">
        <v>7.6700000000000004E-2</v>
      </c>
    </row>
    <row r="2139" spans="1:5">
      <c r="A2139" t="s">
        <v>738</v>
      </c>
      <c r="B2139" t="s">
        <v>2916</v>
      </c>
      <c r="C2139" t="s">
        <v>1361</v>
      </c>
      <c r="D2139" t="s">
        <v>1319</v>
      </c>
      <c r="E2139" s="220">
        <v>7.6700000000000004E-2</v>
      </c>
    </row>
    <row r="2140" spans="1:5">
      <c r="A2140" t="s">
        <v>747</v>
      </c>
      <c r="B2140" t="s">
        <v>2916</v>
      </c>
      <c r="C2140" t="s">
        <v>1361</v>
      </c>
      <c r="D2140" t="s">
        <v>1319</v>
      </c>
      <c r="E2140" s="220">
        <v>7.6700000000000004E-2</v>
      </c>
    </row>
    <row r="2141" spans="1:5">
      <c r="A2141" t="s">
        <v>823</v>
      </c>
      <c r="B2141" t="s">
        <v>2916</v>
      </c>
      <c r="C2141" t="s">
        <v>1361</v>
      </c>
      <c r="D2141" t="s">
        <v>1319</v>
      </c>
      <c r="E2141" s="220">
        <v>7.6700000000000004E-2</v>
      </c>
    </row>
    <row r="2142" spans="1:5">
      <c r="A2142" t="s">
        <v>767</v>
      </c>
      <c r="B2142" t="s">
        <v>2916</v>
      </c>
      <c r="C2142" t="s">
        <v>1361</v>
      </c>
      <c r="D2142" t="s">
        <v>1319</v>
      </c>
      <c r="E2142" s="220">
        <v>7.6700000000000004E-2</v>
      </c>
    </row>
    <row r="2143" spans="1:5">
      <c r="A2143" t="s">
        <v>761</v>
      </c>
      <c r="B2143" t="s">
        <v>2916</v>
      </c>
      <c r="C2143" t="s">
        <v>1361</v>
      </c>
      <c r="D2143" t="s">
        <v>1319</v>
      </c>
      <c r="E2143" s="220">
        <v>7.6700000000000004E-2</v>
      </c>
    </row>
    <row r="2144" spans="1:5">
      <c r="A2144" t="s">
        <v>770</v>
      </c>
      <c r="B2144" t="s">
        <v>2916</v>
      </c>
      <c r="C2144" t="s">
        <v>1361</v>
      </c>
      <c r="D2144" t="s">
        <v>1319</v>
      </c>
      <c r="E2144" s="220">
        <v>7.6700000000000004E-2</v>
      </c>
    </row>
    <row r="2145" spans="1:5">
      <c r="A2145" t="s">
        <v>592</v>
      </c>
      <c r="B2145" t="s">
        <v>2916</v>
      </c>
      <c r="C2145" t="s">
        <v>1361</v>
      </c>
      <c r="D2145" t="s">
        <v>1319</v>
      </c>
      <c r="E2145" s="220">
        <v>7.6700000000000004E-2</v>
      </c>
    </row>
    <row r="2146" spans="1:5">
      <c r="A2146" t="s">
        <v>773</v>
      </c>
      <c r="B2146" t="s">
        <v>2916</v>
      </c>
      <c r="C2146" t="s">
        <v>1361</v>
      </c>
      <c r="D2146" t="s">
        <v>1319</v>
      </c>
      <c r="E2146" s="220">
        <v>7.6700000000000004E-2</v>
      </c>
    </row>
    <row r="2147" spans="1:5">
      <c r="A2147" t="s">
        <v>776</v>
      </c>
      <c r="B2147" t="s">
        <v>2916</v>
      </c>
      <c r="C2147" t="s">
        <v>1361</v>
      </c>
      <c r="D2147" t="s">
        <v>1319</v>
      </c>
      <c r="E2147" s="220">
        <v>7.6700000000000004E-2</v>
      </c>
    </row>
    <row r="2148" spans="1:5">
      <c r="A2148" t="s">
        <v>808</v>
      </c>
      <c r="B2148" t="s">
        <v>2916</v>
      </c>
      <c r="C2148" t="s">
        <v>1361</v>
      </c>
      <c r="D2148" t="s">
        <v>1319</v>
      </c>
      <c r="E2148" s="220">
        <v>7.7936000000000005E-2</v>
      </c>
    </row>
    <row r="2149" spans="1:5">
      <c r="A2149" t="s">
        <v>1238</v>
      </c>
      <c r="B2149" t="s">
        <v>2916</v>
      </c>
      <c r="C2149" t="s">
        <v>1361</v>
      </c>
      <c r="D2149" t="s">
        <v>1319</v>
      </c>
      <c r="E2149" s="220">
        <v>7.6700000000000004E-2</v>
      </c>
    </row>
    <row r="2150" spans="1:5">
      <c r="A2150" t="s">
        <v>833</v>
      </c>
      <c r="B2150" t="s">
        <v>2916</v>
      </c>
      <c r="C2150" t="s">
        <v>1361</v>
      </c>
      <c r="D2150" t="s">
        <v>1319</v>
      </c>
      <c r="E2150" s="220">
        <v>7.6700000000000004E-2</v>
      </c>
    </row>
    <row r="2151" spans="1:5">
      <c r="A2151" t="s">
        <v>839</v>
      </c>
      <c r="B2151" t="s">
        <v>2916</v>
      </c>
      <c r="C2151" t="s">
        <v>1361</v>
      </c>
      <c r="D2151" t="s">
        <v>1319</v>
      </c>
      <c r="E2151" s="220">
        <v>7.6700000000000004E-2</v>
      </c>
    </row>
    <row r="2152" spans="1:5">
      <c r="A2152" t="s">
        <v>845</v>
      </c>
      <c r="B2152" t="s">
        <v>2916</v>
      </c>
      <c r="C2152" t="s">
        <v>1361</v>
      </c>
      <c r="D2152" t="s">
        <v>1319</v>
      </c>
      <c r="E2152" s="220">
        <v>7.6700000000000004E-2</v>
      </c>
    </row>
    <row r="2153" spans="1:5">
      <c r="A2153" t="s">
        <v>854</v>
      </c>
      <c r="B2153" t="s">
        <v>2916</v>
      </c>
      <c r="C2153" t="s">
        <v>1361</v>
      </c>
      <c r="D2153" t="s">
        <v>1319</v>
      </c>
      <c r="E2153" s="220">
        <v>7.6700000000000004E-2</v>
      </c>
    </row>
    <row r="2154" spans="1:5">
      <c r="A2154" t="s">
        <v>863</v>
      </c>
      <c r="B2154" t="s">
        <v>2916</v>
      </c>
      <c r="C2154" t="s">
        <v>1361</v>
      </c>
      <c r="D2154" t="s">
        <v>1319</v>
      </c>
      <c r="E2154" s="220">
        <v>7.6700000000000004E-2</v>
      </c>
    </row>
    <row r="2155" spans="1:5">
      <c r="A2155" t="s">
        <v>860</v>
      </c>
      <c r="B2155" t="s">
        <v>2916</v>
      </c>
      <c r="C2155" t="s">
        <v>1361</v>
      </c>
      <c r="D2155" t="s">
        <v>1319</v>
      </c>
      <c r="E2155" s="220">
        <v>7.6700000000000004E-2</v>
      </c>
    </row>
    <row r="2156" spans="1:5">
      <c r="A2156" t="s">
        <v>744</v>
      </c>
      <c r="B2156" t="s">
        <v>2916</v>
      </c>
      <c r="C2156" t="s">
        <v>1361</v>
      </c>
      <c r="D2156" t="s">
        <v>1319</v>
      </c>
      <c r="E2156" s="220">
        <v>7.6700000000000004E-2</v>
      </c>
    </row>
    <row r="2157" spans="1:5">
      <c r="A2157" t="s">
        <v>857</v>
      </c>
      <c r="B2157" t="s">
        <v>2916</v>
      </c>
      <c r="C2157" t="s">
        <v>1361</v>
      </c>
      <c r="D2157" t="s">
        <v>1319</v>
      </c>
      <c r="E2157" s="220">
        <v>7.6700000000000004E-2</v>
      </c>
    </row>
    <row r="2158" spans="1:5">
      <c r="A2158" t="s">
        <v>866</v>
      </c>
      <c r="B2158" t="s">
        <v>2916</v>
      </c>
      <c r="C2158" t="s">
        <v>1361</v>
      </c>
      <c r="D2158" t="s">
        <v>1319</v>
      </c>
      <c r="E2158" s="220">
        <v>7.6700000000000004E-2</v>
      </c>
    </row>
    <row r="2159" spans="1:5">
      <c r="A2159" t="s">
        <v>875</v>
      </c>
      <c r="B2159" t="s">
        <v>2916</v>
      </c>
      <c r="C2159" t="s">
        <v>1361</v>
      </c>
      <c r="D2159" t="s">
        <v>1319</v>
      </c>
      <c r="E2159" s="220">
        <v>7.6700000000000004E-2</v>
      </c>
    </row>
    <row r="2160" spans="1:5">
      <c r="A2160" t="s">
        <v>872</v>
      </c>
      <c r="B2160" t="s">
        <v>2916</v>
      </c>
      <c r="C2160" t="s">
        <v>1361</v>
      </c>
      <c r="D2160" t="s">
        <v>1319</v>
      </c>
      <c r="E2160" s="220">
        <v>7.6700000000000004E-2</v>
      </c>
    </row>
    <row r="2161" spans="1:5">
      <c r="A2161" t="s">
        <v>878</v>
      </c>
      <c r="B2161" t="s">
        <v>2916</v>
      </c>
      <c r="C2161" t="s">
        <v>1361</v>
      </c>
      <c r="D2161" t="s">
        <v>1319</v>
      </c>
      <c r="E2161" s="220">
        <v>7.6700000000000004E-2</v>
      </c>
    </row>
    <row r="2162" spans="1:5">
      <c r="A2162" t="s">
        <v>881</v>
      </c>
      <c r="B2162" t="s">
        <v>2916</v>
      </c>
      <c r="C2162" t="s">
        <v>1361</v>
      </c>
      <c r="D2162" t="s">
        <v>1319</v>
      </c>
      <c r="E2162" s="220">
        <v>7.6700000000000004E-2</v>
      </c>
    </row>
    <row r="2163" spans="1:5">
      <c r="A2163" t="s">
        <v>894</v>
      </c>
      <c r="B2163" t="s">
        <v>2916</v>
      </c>
      <c r="C2163" t="s">
        <v>1361</v>
      </c>
      <c r="D2163" t="s">
        <v>1319</v>
      </c>
      <c r="E2163" s="220">
        <v>7.6700000000000004E-2</v>
      </c>
    </row>
    <row r="2164" spans="1:5">
      <c r="A2164" t="s">
        <v>897</v>
      </c>
      <c r="B2164" t="s">
        <v>2916</v>
      </c>
      <c r="C2164" t="s">
        <v>1361</v>
      </c>
      <c r="D2164" t="s">
        <v>1319</v>
      </c>
      <c r="E2164" s="220">
        <v>7.6700000000000004E-2</v>
      </c>
    </row>
    <row r="2165" spans="1:5">
      <c r="A2165" t="s">
        <v>903</v>
      </c>
      <c r="B2165" t="s">
        <v>2916</v>
      </c>
      <c r="C2165" t="s">
        <v>1361</v>
      </c>
      <c r="D2165" t="s">
        <v>1319</v>
      </c>
      <c r="E2165" s="220">
        <v>7.6700000000000004E-2</v>
      </c>
    </row>
    <row r="2166" spans="1:5">
      <c r="A2166" t="s">
        <v>900</v>
      </c>
      <c r="B2166" t="s">
        <v>2916</v>
      </c>
      <c r="C2166" t="s">
        <v>1361</v>
      </c>
      <c r="D2166" t="s">
        <v>1319</v>
      </c>
      <c r="E2166" s="220">
        <v>7.6700000000000004E-2</v>
      </c>
    </row>
    <row r="2167" spans="1:5">
      <c r="A2167" t="s">
        <v>906</v>
      </c>
      <c r="B2167" t="s">
        <v>2916</v>
      </c>
      <c r="C2167" t="s">
        <v>1361</v>
      </c>
      <c r="D2167" t="s">
        <v>1319</v>
      </c>
      <c r="E2167" s="220">
        <v>7.6700000000000004E-2</v>
      </c>
    </row>
    <row r="2168" spans="1:5">
      <c r="A2168" t="s">
        <v>699</v>
      </c>
      <c r="B2168" t="s">
        <v>2916</v>
      </c>
      <c r="C2168" t="s">
        <v>1361</v>
      </c>
      <c r="D2168" t="s">
        <v>1319</v>
      </c>
      <c r="E2168" s="220">
        <v>7.6700000000000004E-2</v>
      </c>
    </row>
    <row r="2169" spans="1:5">
      <c r="A2169" t="s">
        <v>1160</v>
      </c>
      <c r="B2169" t="s">
        <v>2916</v>
      </c>
      <c r="C2169" t="s">
        <v>1361</v>
      </c>
      <c r="D2169" t="s">
        <v>1319</v>
      </c>
      <c r="E2169" s="220">
        <v>7.6700000000000004E-2</v>
      </c>
    </row>
    <row r="2170" spans="1:5">
      <c r="A2170" t="s">
        <v>915</v>
      </c>
      <c r="B2170" t="s">
        <v>2916</v>
      </c>
      <c r="C2170" t="s">
        <v>1361</v>
      </c>
      <c r="D2170" t="s">
        <v>1319</v>
      </c>
      <c r="E2170" s="220">
        <v>7.6700000000000004E-2</v>
      </c>
    </row>
    <row r="2171" spans="1:5">
      <c r="A2171" t="s">
        <v>927</v>
      </c>
      <c r="B2171" t="s">
        <v>2916</v>
      </c>
      <c r="C2171" t="s">
        <v>1361</v>
      </c>
      <c r="D2171" t="s">
        <v>1319</v>
      </c>
      <c r="E2171" s="220">
        <v>7.6700000000000004E-2</v>
      </c>
    </row>
    <row r="2172" spans="1:5">
      <c r="A2172" t="s">
        <v>933</v>
      </c>
      <c r="B2172" t="s">
        <v>2916</v>
      </c>
      <c r="C2172" t="s">
        <v>1361</v>
      </c>
      <c r="D2172" t="s">
        <v>1319</v>
      </c>
      <c r="E2172" s="220">
        <v>7.6700000000000004E-2</v>
      </c>
    </row>
    <row r="2173" spans="1:5">
      <c r="A2173" t="s">
        <v>939</v>
      </c>
      <c r="B2173" t="s">
        <v>2916</v>
      </c>
      <c r="C2173" t="s">
        <v>1361</v>
      </c>
      <c r="D2173" t="s">
        <v>1319</v>
      </c>
      <c r="E2173" s="220">
        <v>7.6700000000000004E-2</v>
      </c>
    </row>
    <row r="2174" spans="1:5">
      <c r="A2174" t="s">
        <v>1163</v>
      </c>
      <c r="B2174" t="s">
        <v>2916</v>
      </c>
      <c r="C2174" t="s">
        <v>1361</v>
      </c>
      <c r="D2174" t="s">
        <v>1319</v>
      </c>
      <c r="E2174" s="220">
        <v>7.6700000000000004E-2</v>
      </c>
    </row>
    <row r="2175" spans="1:5">
      <c r="A2175" t="s">
        <v>1157</v>
      </c>
      <c r="B2175" t="s">
        <v>2916</v>
      </c>
      <c r="C2175" t="s">
        <v>1361</v>
      </c>
      <c r="D2175" t="s">
        <v>1319</v>
      </c>
      <c r="E2175" s="220">
        <v>7.6700000000000004E-2</v>
      </c>
    </row>
    <row r="2176" spans="1:5">
      <c r="A2176" t="s">
        <v>1014</v>
      </c>
      <c r="B2176" t="s">
        <v>2916</v>
      </c>
      <c r="C2176" t="s">
        <v>1361</v>
      </c>
      <c r="D2176" t="s">
        <v>1319</v>
      </c>
      <c r="E2176" s="220">
        <v>7.6700000000000004E-2</v>
      </c>
    </row>
    <row r="2177" spans="1:5">
      <c r="A2177" t="s">
        <v>999</v>
      </c>
      <c r="B2177" t="s">
        <v>2916</v>
      </c>
      <c r="C2177" t="s">
        <v>1361</v>
      </c>
      <c r="D2177" t="s">
        <v>1319</v>
      </c>
      <c r="E2177" s="220">
        <v>7.6700000000000004E-2</v>
      </c>
    </row>
    <row r="2178" spans="1:5">
      <c r="A2178" t="s">
        <v>993</v>
      </c>
      <c r="B2178" t="s">
        <v>2916</v>
      </c>
      <c r="C2178" t="s">
        <v>1361</v>
      </c>
      <c r="D2178" t="s">
        <v>1319</v>
      </c>
      <c r="E2178" s="220">
        <v>7.6700000000000004E-2</v>
      </c>
    </row>
    <row r="2179" spans="1:5">
      <c r="A2179" t="s">
        <v>963</v>
      </c>
      <c r="B2179" t="s">
        <v>2916</v>
      </c>
      <c r="C2179" t="s">
        <v>1361</v>
      </c>
      <c r="D2179" t="s">
        <v>1319</v>
      </c>
      <c r="E2179" s="220">
        <v>7.6700000000000004E-2</v>
      </c>
    </row>
    <row r="2180" spans="1:5">
      <c r="A2180" t="s">
        <v>1006</v>
      </c>
      <c r="B2180" t="s">
        <v>2916</v>
      </c>
      <c r="C2180" t="s">
        <v>1361</v>
      </c>
      <c r="D2180" t="s">
        <v>1319</v>
      </c>
      <c r="E2180" s="220">
        <v>7.6700000000000004E-2</v>
      </c>
    </row>
    <row r="2181" spans="1:5">
      <c r="A2181" t="s">
        <v>972</v>
      </c>
      <c r="B2181" t="s">
        <v>2916</v>
      </c>
      <c r="C2181" t="s">
        <v>1361</v>
      </c>
      <c r="D2181" t="s">
        <v>1319</v>
      </c>
      <c r="E2181" s="220">
        <v>7.6700000000000004E-2</v>
      </c>
    </row>
    <row r="2182" spans="1:5">
      <c r="A2182" t="s">
        <v>1042</v>
      </c>
      <c r="B2182" t="s">
        <v>2916</v>
      </c>
      <c r="C2182" t="s">
        <v>1361</v>
      </c>
      <c r="D2182" t="s">
        <v>1319</v>
      </c>
      <c r="E2182" s="220">
        <v>7.6700000000000004E-2</v>
      </c>
    </row>
    <row r="2183" spans="1:5">
      <c r="A2183" t="s">
        <v>1058</v>
      </c>
      <c r="B2183" t="s">
        <v>2916</v>
      </c>
      <c r="C2183" t="s">
        <v>1361</v>
      </c>
      <c r="D2183" t="s">
        <v>1319</v>
      </c>
      <c r="E2183" s="220">
        <v>7.6700000000000004E-2</v>
      </c>
    </row>
    <row r="2184" spans="1:5">
      <c r="A2184" t="s">
        <v>1061</v>
      </c>
      <c r="B2184" t="s">
        <v>2916</v>
      </c>
      <c r="C2184" t="s">
        <v>1361</v>
      </c>
      <c r="D2184" t="s">
        <v>1319</v>
      </c>
      <c r="E2184" s="220">
        <v>7.6700000000000004E-2</v>
      </c>
    </row>
    <row r="2185" spans="1:5">
      <c r="A2185" t="s">
        <v>1067</v>
      </c>
      <c r="B2185" t="s">
        <v>2916</v>
      </c>
      <c r="C2185" t="s">
        <v>1361</v>
      </c>
      <c r="D2185" t="s">
        <v>1319</v>
      </c>
      <c r="E2185" s="220">
        <v>7.6700000000000004E-2</v>
      </c>
    </row>
    <row r="2186" spans="1:5">
      <c r="A2186" t="s">
        <v>1076</v>
      </c>
      <c r="B2186" t="s">
        <v>2916</v>
      </c>
      <c r="C2186" t="s">
        <v>1361</v>
      </c>
      <c r="D2186" t="s">
        <v>1319</v>
      </c>
      <c r="E2186" s="220">
        <v>7.6700000000000004E-2</v>
      </c>
    </row>
    <row r="2187" spans="1:5">
      <c r="A2187" t="s">
        <v>1079</v>
      </c>
      <c r="B2187" t="s">
        <v>2916</v>
      </c>
      <c r="C2187" t="s">
        <v>1361</v>
      </c>
      <c r="D2187" t="s">
        <v>1319</v>
      </c>
      <c r="E2187" s="220">
        <v>7.6700000000000004E-2</v>
      </c>
    </row>
    <row r="2188" spans="1:5">
      <c r="A2188" t="s">
        <v>1082</v>
      </c>
      <c r="B2188" t="s">
        <v>2916</v>
      </c>
      <c r="C2188" t="s">
        <v>1361</v>
      </c>
      <c r="D2188" t="s">
        <v>1319</v>
      </c>
      <c r="E2188" s="220">
        <v>7.6700000000000004E-2</v>
      </c>
    </row>
    <row r="2189" spans="1:5">
      <c r="A2189" t="s">
        <v>919</v>
      </c>
      <c r="B2189" t="s">
        <v>2916</v>
      </c>
      <c r="C2189" t="s">
        <v>1361</v>
      </c>
      <c r="D2189" t="s">
        <v>1319</v>
      </c>
      <c r="E2189" s="220">
        <v>7.6700000000000004E-2</v>
      </c>
    </row>
    <row r="2190" spans="1:5">
      <c r="A2190" t="s">
        <v>1085</v>
      </c>
      <c r="B2190" t="s">
        <v>2916</v>
      </c>
      <c r="C2190" t="s">
        <v>1361</v>
      </c>
      <c r="D2190" t="s">
        <v>1319</v>
      </c>
      <c r="E2190" s="220">
        <v>7.6700000000000004E-2</v>
      </c>
    </row>
    <row r="2191" spans="1:5">
      <c r="A2191" t="s">
        <v>1264</v>
      </c>
      <c r="B2191" t="s">
        <v>2916</v>
      </c>
      <c r="C2191" t="s">
        <v>1361</v>
      </c>
      <c r="D2191" t="s">
        <v>1319</v>
      </c>
      <c r="E2191" s="220">
        <v>7.6700000000000004E-2</v>
      </c>
    </row>
    <row r="2192" spans="1:5">
      <c r="A2192" t="s">
        <v>1091</v>
      </c>
      <c r="B2192" t="s">
        <v>2916</v>
      </c>
      <c r="C2192" t="s">
        <v>1361</v>
      </c>
      <c r="D2192" t="s">
        <v>1319</v>
      </c>
      <c r="E2192" s="220">
        <v>7.6700000000000004E-2</v>
      </c>
    </row>
    <row r="2193" spans="1:5">
      <c r="A2193" t="s">
        <v>1094</v>
      </c>
      <c r="B2193" t="s">
        <v>2916</v>
      </c>
      <c r="C2193" t="s">
        <v>1361</v>
      </c>
      <c r="D2193" t="s">
        <v>1319</v>
      </c>
      <c r="E2193" s="220">
        <v>7.6700000000000004E-2</v>
      </c>
    </row>
    <row r="2194" spans="1:5">
      <c r="A2194" t="s">
        <v>1097</v>
      </c>
      <c r="B2194" t="s">
        <v>2916</v>
      </c>
      <c r="C2194" t="s">
        <v>1361</v>
      </c>
      <c r="D2194" t="s">
        <v>1319</v>
      </c>
      <c r="E2194" s="220">
        <v>7.6700000000000004E-2</v>
      </c>
    </row>
    <row r="2195" spans="1:5">
      <c r="A2195" t="s">
        <v>1113</v>
      </c>
      <c r="B2195" t="s">
        <v>2916</v>
      </c>
      <c r="C2195" t="s">
        <v>1361</v>
      </c>
      <c r="D2195" t="s">
        <v>1319</v>
      </c>
      <c r="E2195" s="220">
        <v>7.6700000000000004E-2</v>
      </c>
    </row>
    <row r="2196" spans="1:5">
      <c r="A2196" t="s">
        <v>1173</v>
      </c>
      <c r="B2196" t="s">
        <v>2916</v>
      </c>
      <c r="C2196" t="s">
        <v>1361</v>
      </c>
      <c r="D2196" t="s">
        <v>1319</v>
      </c>
      <c r="E2196" s="220">
        <v>7.6700000000000004E-2</v>
      </c>
    </row>
    <row r="2197" spans="1:5">
      <c r="A2197" t="s">
        <v>1128</v>
      </c>
      <c r="B2197" t="s">
        <v>2916</v>
      </c>
      <c r="C2197" t="s">
        <v>1361</v>
      </c>
      <c r="D2197" t="s">
        <v>1319</v>
      </c>
      <c r="E2197" s="220">
        <v>7.6700000000000004E-2</v>
      </c>
    </row>
    <row r="2198" spans="1:5">
      <c r="A2198" t="s">
        <v>779</v>
      </c>
      <c r="B2198" t="s">
        <v>2916</v>
      </c>
      <c r="C2198" t="s">
        <v>1361</v>
      </c>
      <c r="D2198" t="s">
        <v>1319</v>
      </c>
      <c r="E2198" s="220">
        <v>7.6700000000000004E-2</v>
      </c>
    </row>
    <row r="2199" spans="1:5">
      <c r="A2199" t="s">
        <v>1119</v>
      </c>
      <c r="B2199" t="s">
        <v>2916</v>
      </c>
      <c r="C2199" t="s">
        <v>1361</v>
      </c>
      <c r="D2199" t="s">
        <v>1319</v>
      </c>
      <c r="E2199" s="220">
        <v>7.6700000000000004E-2</v>
      </c>
    </row>
    <row r="2200" spans="1:5">
      <c r="A2200" t="s">
        <v>1176</v>
      </c>
      <c r="B2200" t="s">
        <v>2916</v>
      </c>
      <c r="C2200" t="s">
        <v>1361</v>
      </c>
      <c r="D2200" t="s">
        <v>1319</v>
      </c>
      <c r="E2200" s="220">
        <v>7.6700000000000004E-2</v>
      </c>
    </row>
    <row r="2201" spans="1:5">
      <c r="A2201" t="s">
        <v>1135</v>
      </c>
      <c r="B2201" t="s">
        <v>2916</v>
      </c>
      <c r="C2201" t="s">
        <v>1361</v>
      </c>
      <c r="D2201" t="s">
        <v>1319</v>
      </c>
      <c r="E2201" s="220">
        <v>7.6700000000000004E-2</v>
      </c>
    </row>
    <row r="2202" spans="1:5">
      <c r="A2202" t="s">
        <v>1185</v>
      </c>
      <c r="B2202" t="s">
        <v>2916</v>
      </c>
      <c r="C2202" t="s">
        <v>1361</v>
      </c>
      <c r="D2202" t="s">
        <v>1319</v>
      </c>
      <c r="E2202" s="220">
        <v>7.6700000000000004E-2</v>
      </c>
    </row>
    <row r="2203" spans="1:5">
      <c r="A2203" t="s">
        <v>1198</v>
      </c>
      <c r="B2203" t="s">
        <v>2916</v>
      </c>
      <c r="C2203" t="s">
        <v>1361</v>
      </c>
      <c r="D2203" t="s">
        <v>1319</v>
      </c>
      <c r="E2203" s="220">
        <v>7.6700000000000004E-2</v>
      </c>
    </row>
    <row r="2204" spans="1:5">
      <c r="A2204" t="s">
        <v>1192</v>
      </c>
      <c r="B2204" t="s">
        <v>2916</v>
      </c>
      <c r="C2204" t="s">
        <v>1361</v>
      </c>
      <c r="D2204" t="s">
        <v>1319</v>
      </c>
      <c r="E2204" s="220">
        <v>7.6700000000000004E-2</v>
      </c>
    </row>
    <row r="2205" spans="1:5">
      <c r="A2205" t="s">
        <v>1219</v>
      </c>
      <c r="B2205" t="s">
        <v>2916</v>
      </c>
      <c r="C2205" t="s">
        <v>1361</v>
      </c>
      <c r="D2205" t="s">
        <v>1319</v>
      </c>
      <c r="E2205" s="220">
        <v>7.6700000000000004E-2</v>
      </c>
    </row>
    <row r="2206" spans="1:5">
      <c r="A2206" t="s">
        <v>1210</v>
      </c>
      <c r="B2206" t="s">
        <v>2916</v>
      </c>
      <c r="C2206" t="s">
        <v>1361</v>
      </c>
      <c r="D2206" t="s">
        <v>1319</v>
      </c>
      <c r="E2206" s="220">
        <v>7.6700000000000004E-2</v>
      </c>
    </row>
    <row r="2207" spans="1:5">
      <c r="A2207" t="s">
        <v>1213</v>
      </c>
      <c r="B2207" t="s">
        <v>2916</v>
      </c>
      <c r="C2207" t="s">
        <v>1361</v>
      </c>
      <c r="D2207" t="s">
        <v>1319</v>
      </c>
      <c r="E2207" s="220">
        <v>7.6700000000000004E-2</v>
      </c>
    </row>
    <row r="2208" spans="1:5">
      <c r="A2208" t="s">
        <v>1216</v>
      </c>
      <c r="B2208" t="s">
        <v>2916</v>
      </c>
      <c r="C2208" t="s">
        <v>1361</v>
      </c>
      <c r="D2208" t="s">
        <v>1319</v>
      </c>
      <c r="E2208" s="220">
        <v>7.6700000000000004E-2</v>
      </c>
    </row>
    <row r="2209" spans="1:5">
      <c r="A2209" t="s">
        <v>1189</v>
      </c>
      <c r="B2209" t="s">
        <v>2916</v>
      </c>
      <c r="C2209" t="s">
        <v>1361</v>
      </c>
      <c r="D2209" t="s">
        <v>1319</v>
      </c>
      <c r="E2209" s="220">
        <v>7.6700000000000004E-2</v>
      </c>
    </row>
    <row r="2210" spans="1:5">
      <c r="A2210" t="s">
        <v>1232</v>
      </c>
      <c r="B2210" t="s">
        <v>2916</v>
      </c>
      <c r="C2210" t="s">
        <v>1361</v>
      </c>
      <c r="D2210" t="s">
        <v>1319</v>
      </c>
      <c r="E2210" s="220">
        <v>7.6700000000000004E-2</v>
      </c>
    </row>
    <row r="2211" spans="1:5">
      <c r="A2211" t="s">
        <v>1244</v>
      </c>
      <c r="B2211" t="s">
        <v>2916</v>
      </c>
      <c r="C2211" t="s">
        <v>1361</v>
      </c>
      <c r="D2211" t="s">
        <v>1319</v>
      </c>
      <c r="E2211" s="220">
        <v>7.6700000000000004E-2</v>
      </c>
    </row>
    <row r="2212" spans="1:5">
      <c r="A2212" t="s">
        <v>1241</v>
      </c>
      <c r="B2212" t="s">
        <v>2916</v>
      </c>
      <c r="C2212" t="s">
        <v>1361</v>
      </c>
      <c r="D2212" t="s">
        <v>1319</v>
      </c>
      <c r="E2212" s="220">
        <v>7.6700000000000004E-2</v>
      </c>
    </row>
    <row r="2213" spans="1:5">
      <c r="A2213" t="s">
        <v>1247</v>
      </c>
      <c r="B2213" t="s">
        <v>2916</v>
      </c>
      <c r="C2213" t="s">
        <v>1361</v>
      </c>
      <c r="D2213" t="s">
        <v>1319</v>
      </c>
      <c r="E2213" s="220">
        <v>7.6700000000000004E-2</v>
      </c>
    </row>
    <row r="2214" spans="1:5">
      <c r="A2214" t="s">
        <v>1170</v>
      </c>
      <c r="B2214" t="s">
        <v>2916</v>
      </c>
      <c r="C2214" t="s">
        <v>1361</v>
      </c>
      <c r="D2214" t="s">
        <v>1319</v>
      </c>
      <c r="E2214" s="220">
        <v>7.6700000000000004E-2</v>
      </c>
    </row>
    <row r="2215" spans="1:5">
      <c r="A2215" t="s">
        <v>1253</v>
      </c>
      <c r="B2215" t="s">
        <v>2916</v>
      </c>
      <c r="C2215" t="s">
        <v>1361</v>
      </c>
      <c r="D2215" t="s">
        <v>1319</v>
      </c>
      <c r="E2215" s="220">
        <v>7.6700000000000004E-2</v>
      </c>
    </row>
    <row r="2216" spans="1:5">
      <c r="A2216" t="s">
        <v>1257</v>
      </c>
      <c r="B2216" t="s">
        <v>2916</v>
      </c>
      <c r="C2216" t="s">
        <v>1361</v>
      </c>
      <c r="D2216" t="s">
        <v>1319</v>
      </c>
      <c r="E2216" s="220">
        <v>7.6700000000000004E-2</v>
      </c>
    </row>
    <row r="2217" spans="1:5">
      <c r="A2217" t="s">
        <v>1268</v>
      </c>
      <c r="B2217" t="s">
        <v>2916</v>
      </c>
      <c r="C2217" t="s">
        <v>1361</v>
      </c>
      <c r="D2217" t="s">
        <v>1319</v>
      </c>
      <c r="E2217" s="220">
        <v>7.6700000000000004E-2</v>
      </c>
    </row>
    <row r="2218" spans="1:5">
      <c r="A2218" t="s">
        <v>617</v>
      </c>
      <c r="B2218" t="s">
        <v>2916</v>
      </c>
      <c r="C2218" t="s">
        <v>1365</v>
      </c>
      <c r="D2218" t="s">
        <v>1319</v>
      </c>
      <c r="E2218" s="220">
        <v>7.6700000000000004E-2</v>
      </c>
    </row>
    <row r="2219" spans="1:5">
      <c r="A2219" t="s">
        <v>614</v>
      </c>
      <c r="B2219" t="s">
        <v>2916</v>
      </c>
      <c r="C2219" t="s">
        <v>1365</v>
      </c>
      <c r="D2219" t="s">
        <v>1319</v>
      </c>
      <c r="E2219" s="220">
        <v>7.6700000000000004E-2</v>
      </c>
    </row>
    <row r="2220" spans="1:5">
      <c r="A2220" t="s">
        <v>626</v>
      </c>
      <c r="B2220" t="s">
        <v>2916</v>
      </c>
      <c r="C2220" t="s">
        <v>1365</v>
      </c>
      <c r="D2220" t="s">
        <v>1319</v>
      </c>
      <c r="E2220" s="220">
        <v>7.6700000000000004E-2</v>
      </c>
    </row>
    <row r="2221" spans="1:5">
      <c r="A2221" t="s">
        <v>629</v>
      </c>
      <c r="B2221" t="s">
        <v>2916</v>
      </c>
      <c r="C2221" t="s">
        <v>1365</v>
      </c>
      <c r="D2221" t="s">
        <v>1319</v>
      </c>
      <c r="E2221" s="220">
        <v>7.6700000000000004E-2</v>
      </c>
    </row>
    <row r="2222" spans="1:5">
      <c r="A2222" t="s">
        <v>687</v>
      </c>
      <c r="B2222" t="s">
        <v>2916</v>
      </c>
      <c r="C2222" t="s">
        <v>1365</v>
      </c>
      <c r="D2222" t="s">
        <v>1319</v>
      </c>
      <c r="E2222" s="220">
        <v>7.6700000000000004E-2</v>
      </c>
    </row>
    <row r="2223" spans="1:5">
      <c r="A2223" t="s">
        <v>635</v>
      </c>
      <c r="B2223" t="s">
        <v>2916</v>
      </c>
      <c r="C2223" t="s">
        <v>1365</v>
      </c>
      <c r="D2223" t="s">
        <v>1319</v>
      </c>
      <c r="E2223" s="220">
        <v>7.6700000000000004E-2</v>
      </c>
    </row>
    <row r="2224" spans="1:5">
      <c r="A2224" t="s">
        <v>653</v>
      </c>
      <c r="B2224" t="s">
        <v>2916</v>
      </c>
      <c r="C2224" t="s">
        <v>1365</v>
      </c>
      <c r="D2224" t="s">
        <v>1319</v>
      </c>
      <c r="E2224" s="220">
        <v>7.6700000000000004E-2</v>
      </c>
    </row>
    <row r="2225" spans="1:5">
      <c r="A2225" t="s">
        <v>659</v>
      </c>
      <c r="B2225" t="s">
        <v>2916</v>
      </c>
      <c r="C2225" t="s">
        <v>1365</v>
      </c>
      <c r="D2225" t="s">
        <v>1319</v>
      </c>
      <c r="E2225" s="220">
        <v>7.6700000000000004E-2</v>
      </c>
    </row>
    <row r="2226" spans="1:5">
      <c r="A2226" t="s">
        <v>676</v>
      </c>
      <c r="B2226" t="s">
        <v>2916</v>
      </c>
      <c r="C2226" t="s">
        <v>1365</v>
      </c>
      <c r="D2226" t="s">
        <v>1319</v>
      </c>
      <c r="E2226" s="220">
        <v>7.6700000000000004E-2</v>
      </c>
    </row>
    <row r="2227" spans="1:5">
      <c r="A2227" t="s">
        <v>644</v>
      </c>
      <c r="B2227" t="s">
        <v>2916</v>
      </c>
      <c r="C2227" t="s">
        <v>1365</v>
      </c>
      <c r="D2227" t="s">
        <v>1319</v>
      </c>
      <c r="E2227" s="220">
        <v>7.6700000000000004E-2</v>
      </c>
    </row>
    <row r="2228" spans="1:5">
      <c r="A2228" t="s">
        <v>705</v>
      </c>
      <c r="B2228" t="s">
        <v>2916</v>
      </c>
      <c r="C2228" t="s">
        <v>1365</v>
      </c>
      <c r="D2228" t="s">
        <v>1319</v>
      </c>
      <c r="E2228" s="220">
        <v>7.6700000000000004E-2</v>
      </c>
    </row>
    <row r="2229" spans="1:5">
      <c r="A2229" t="s">
        <v>720</v>
      </c>
      <c r="B2229" t="s">
        <v>2916</v>
      </c>
      <c r="C2229" t="s">
        <v>1365</v>
      </c>
      <c r="D2229" t="s">
        <v>1319</v>
      </c>
      <c r="E2229" s="220">
        <v>7.6700000000000004E-2</v>
      </c>
    </row>
    <row r="2230" spans="1:5">
      <c r="A2230" t="s">
        <v>723</v>
      </c>
      <c r="B2230" t="s">
        <v>2916</v>
      </c>
      <c r="C2230" t="s">
        <v>1365</v>
      </c>
      <c r="D2230" t="s">
        <v>1319</v>
      </c>
      <c r="E2230" s="220">
        <v>7.6700000000000004E-2</v>
      </c>
    </row>
    <row r="2231" spans="1:5">
      <c r="A2231" t="s">
        <v>738</v>
      </c>
      <c r="B2231" t="s">
        <v>2916</v>
      </c>
      <c r="C2231" t="s">
        <v>1365</v>
      </c>
      <c r="D2231" t="s">
        <v>1319</v>
      </c>
      <c r="E2231" s="220">
        <v>7.6700000000000004E-2</v>
      </c>
    </row>
    <row r="2232" spans="1:5">
      <c r="A2232" t="s">
        <v>747</v>
      </c>
      <c r="B2232" t="s">
        <v>2916</v>
      </c>
      <c r="C2232" t="s">
        <v>1365</v>
      </c>
      <c r="D2232" t="s">
        <v>1319</v>
      </c>
      <c r="E2232" s="220">
        <v>7.6700000000000004E-2</v>
      </c>
    </row>
    <row r="2233" spans="1:5">
      <c r="A2233" t="s">
        <v>754</v>
      </c>
      <c r="B2233" t="s">
        <v>2916</v>
      </c>
      <c r="C2233" t="s">
        <v>1365</v>
      </c>
      <c r="D2233" t="s">
        <v>1319</v>
      </c>
      <c r="E2233" s="220">
        <v>7.6700000000000004E-2</v>
      </c>
    </row>
    <row r="2234" spans="1:5">
      <c r="A2234" t="s">
        <v>757</v>
      </c>
      <c r="B2234" t="s">
        <v>2916</v>
      </c>
      <c r="C2234" t="s">
        <v>1365</v>
      </c>
      <c r="D2234" t="s">
        <v>1319</v>
      </c>
      <c r="E2234" s="220">
        <v>7.6700000000000004E-2</v>
      </c>
    </row>
    <row r="2235" spans="1:5">
      <c r="A2235" t="s">
        <v>823</v>
      </c>
      <c r="B2235" t="s">
        <v>2916</v>
      </c>
      <c r="C2235" t="s">
        <v>1365</v>
      </c>
      <c r="D2235" t="s">
        <v>1319</v>
      </c>
      <c r="E2235" s="220">
        <v>7.6700000000000004E-2</v>
      </c>
    </row>
    <row r="2236" spans="1:5">
      <c r="A2236" t="s">
        <v>767</v>
      </c>
      <c r="B2236" t="s">
        <v>2916</v>
      </c>
      <c r="C2236" t="s">
        <v>1365</v>
      </c>
      <c r="D2236" t="s">
        <v>1319</v>
      </c>
      <c r="E2236" s="220">
        <v>7.6700000000000004E-2</v>
      </c>
    </row>
    <row r="2237" spans="1:5">
      <c r="A2237" t="s">
        <v>761</v>
      </c>
      <c r="B2237" t="s">
        <v>2916</v>
      </c>
      <c r="C2237" t="s">
        <v>1365</v>
      </c>
      <c r="D2237" t="s">
        <v>1319</v>
      </c>
      <c r="E2237" s="220">
        <v>7.6700000000000004E-2</v>
      </c>
    </row>
    <row r="2238" spans="1:5">
      <c r="A2238" t="s">
        <v>770</v>
      </c>
      <c r="B2238" t="s">
        <v>2916</v>
      </c>
      <c r="C2238" t="s">
        <v>1365</v>
      </c>
      <c r="D2238" t="s">
        <v>1319</v>
      </c>
      <c r="E2238" s="220">
        <v>7.6700000000000004E-2</v>
      </c>
    </row>
    <row r="2239" spans="1:5">
      <c r="A2239" t="s">
        <v>592</v>
      </c>
      <c r="B2239" t="s">
        <v>2916</v>
      </c>
      <c r="C2239" t="s">
        <v>1365</v>
      </c>
      <c r="D2239" t="s">
        <v>1319</v>
      </c>
      <c r="E2239" s="220">
        <v>7.6700000000000004E-2</v>
      </c>
    </row>
    <row r="2240" spans="1:5">
      <c r="A2240" t="s">
        <v>773</v>
      </c>
      <c r="B2240" t="s">
        <v>2916</v>
      </c>
      <c r="C2240" t="s">
        <v>1365</v>
      </c>
      <c r="D2240" t="s">
        <v>1319</v>
      </c>
      <c r="E2240" s="220">
        <v>7.6700000000000004E-2</v>
      </c>
    </row>
    <row r="2241" spans="1:5">
      <c r="A2241" t="s">
        <v>1154</v>
      </c>
      <c r="B2241" t="s">
        <v>2916</v>
      </c>
      <c r="C2241" t="s">
        <v>1365</v>
      </c>
      <c r="D2241" t="s">
        <v>1319</v>
      </c>
      <c r="E2241" s="220">
        <v>7.6700000000000004E-2</v>
      </c>
    </row>
    <row r="2242" spans="1:5">
      <c r="A2242" t="s">
        <v>788</v>
      </c>
      <c r="B2242" t="s">
        <v>2916</v>
      </c>
      <c r="C2242" t="s">
        <v>1365</v>
      </c>
      <c r="D2242" t="s">
        <v>1319</v>
      </c>
      <c r="E2242" s="220">
        <v>7.6700000000000004E-2</v>
      </c>
    </row>
    <row r="2243" spans="1:5">
      <c r="A2243" t="s">
        <v>805</v>
      </c>
      <c r="B2243" t="s">
        <v>2916</v>
      </c>
      <c r="C2243" t="s">
        <v>1365</v>
      </c>
      <c r="D2243" t="s">
        <v>1319</v>
      </c>
      <c r="E2243" s="220">
        <v>7.6700000000000004E-2</v>
      </c>
    </row>
    <row r="2244" spans="1:5">
      <c r="A2244" t="s">
        <v>808</v>
      </c>
      <c r="B2244" t="s">
        <v>2916</v>
      </c>
      <c r="C2244" t="s">
        <v>1365</v>
      </c>
      <c r="D2244" t="s">
        <v>1319</v>
      </c>
      <c r="E2244" s="220">
        <v>7.8E-2</v>
      </c>
    </row>
    <row r="2245" spans="1:5">
      <c r="A2245" t="s">
        <v>1238</v>
      </c>
      <c r="B2245" t="s">
        <v>2916</v>
      </c>
      <c r="C2245" t="s">
        <v>1365</v>
      </c>
      <c r="D2245" t="s">
        <v>1319</v>
      </c>
      <c r="E2245" s="220">
        <v>7.6700000000000004E-2</v>
      </c>
    </row>
    <row r="2246" spans="1:5">
      <c r="A2246" t="s">
        <v>833</v>
      </c>
      <c r="B2246" t="s">
        <v>2916</v>
      </c>
      <c r="C2246" t="s">
        <v>1365</v>
      </c>
      <c r="D2246" t="s">
        <v>1319</v>
      </c>
      <c r="E2246" s="220">
        <v>7.6700000000000004E-2</v>
      </c>
    </row>
    <row r="2247" spans="1:5">
      <c r="A2247" t="s">
        <v>839</v>
      </c>
      <c r="B2247" t="s">
        <v>2916</v>
      </c>
      <c r="C2247" t="s">
        <v>1365</v>
      </c>
      <c r="D2247" t="s">
        <v>1319</v>
      </c>
      <c r="E2247" s="220">
        <v>7.6700000000000004E-2</v>
      </c>
    </row>
    <row r="2248" spans="1:5">
      <c r="A2248" t="s">
        <v>845</v>
      </c>
      <c r="B2248" t="s">
        <v>2916</v>
      </c>
      <c r="C2248" t="s">
        <v>1365</v>
      </c>
      <c r="D2248" t="s">
        <v>1319</v>
      </c>
      <c r="E2248" s="220">
        <v>7.6700000000000004E-2</v>
      </c>
    </row>
    <row r="2249" spans="1:5">
      <c r="A2249" t="s">
        <v>854</v>
      </c>
      <c r="B2249" t="s">
        <v>2916</v>
      </c>
      <c r="C2249" t="s">
        <v>1365</v>
      </c>
      <c r="D2249" t="s">
        <v>1319</v>
      </c>
      <c r="E2249" s="220">
        <v>7.6700000000000004E-2</v>
      </c>
    </row>
    <row r="2250" spans="1:5">
      <c r="A2250" t="s">
        <v>860</v>
      </c>
      <c r="B2250" t="s">
        <v>2916</v>
      </c>
      <c r="C2250" t="s">
        <v>1365</v>
      </c>
      <c r="D2250" t="s">
        <v>1319</v>
      </c>
      <c r="E2250" s="220">
        <v>7.6700000000000004E-2</v>
      </c>
    </row>
    <row r="2251" spans="1:5">
      <c r="A2251" t="s">
        <v>744</v>
      </c>
      <c r="B2251" t="s">
        <v>2916</v>
      </c>
      <c r="C2251" t="s">
        <v>1365</v>
      </c>
      <c r="D2251" t="s">
        <v>1319</v>
      </c>
      <c r="E2251" s="220">
        <v>7.6700000000000004E-2</v>
      </c>
    </row>
    <row r="2252" spans="1:5">
      <c r="A2252" t="s">
        <v>857</v>
      </c>
      <c r="B2252" t="s">
        <v>2916</v>
      </c>
      <c r="C2252" t="s">
        <v>1365</v>
      </c>
      <c r="D2252" t="s">
        <v>1319</v>
      </c>
      <c r="E2252" s="220">
        <v>7.6700000000000004E-2</v>
      </c>
    </row>
    <row r="2253" spans="1:5">
      <c r="A2253" t="s">
        <v>866</v>
      </c>
      <c r="B2253" t="s">
        <v>2916</v>
      </c>
      <c r="C2253" t="s">
        <v>1365</v>
      </c>
      <c r="D2253" t="s">
        <v>1319</v>
      </c>
      <c r="E2253" s="220">
        <v>7.6700000000000004E-2</v>
      </c>
    </row>
    <row r="2254" spans="1:5">
      <c r="A2254" t="s">
        <v>884</v>
      </c>
      <c r="B2254" t="s">
        <v>2916</v>
      </c>
      <c r="C2254" t="s">
        <v>1365</v>
      </c>
      <c r="D2254" t="s">
        <v>1319</v>
      </c>
      <c r="E2254" s="220">
        <v>7.6700000000000004E-2</v>
      </c>
    </row>
    <row r="2255" spans="1:5">
      <c r="A2255" t="s">
        <v>878</v>
      </c>
      <c r="B2255" t="s">
        <v>2916</v>
      </c>
      <c r="C2255" t="s">
        <v>1365</v>
      </c>
      <c r="D2255" t="s">
        <v>1319</v>
      </c>
      <c r="E2255" s="220">
        <v>7.6700000000000004E-2</v>
      </c>
    </row>
    <row r="2256" spans="1:5">
      <c r="A2256" t="s">
        <v>897</v>
      </c>
      <c r="B2256" t="s">
        <v>2916</v>
      </c>
      <c r="C2256" t="s">
        <v>1365</v>
      </c>
      <c r="D2256" t="s">
        <v>1319</v>
      </c>
      <c r="E2256" s="220">
        <v>7.6700000000000004E-2</v>
      </c>
    </row>
    <row r="2257" spans="1:5">
      <c r="A2257" t="s">
        <v>906</v>
      </c>
      <c r="B2257" t="s">
        <v>2916</v>
      </c>
      <c r="C2257" t="s">
        <v>1365</v>
      </c>
      <c r="D2257" t="s">
        <v>1319</v>
      </c>
      <c r="E2257" s="220">
        <v>7.6700000000000004E-2</v>
      </c>
    </row>
    <row r="2258" spans="1:5">
      <c r="A2258" t="s">
        <v>1160</v>
      </c>
      <c r="B2258" t="s">
        <v>2916</v>
      </c>
      <c r="C2258" t="s">
        <v>1365</v>
      </c>
      <c r="D2258" t="s">
        <v>1319</v>
      </c>
      <c r="E2258" s="220">
        <v>7.6700000000000004E-2</v>
      </c>
    </row>
    <row r="2259" spans="1:5">
      <c r="A2259" t="s">
        <v>915</v>
      </c>
      <c r="B2259" t="s">
        <v>2916</v>
      </c>
      <c r="C2259" t="s">
        <v>1365</v>
      </c>
      <c r="D2259" t="s">
        <v>1319</v>
      </c>
      <c r="E2259" s="220">
        <v>7.6700000000000004E-2</v>
      </c>
    </row>
    <row r="2260" spans="1:5">
      <c r="A2260" t="s">
        <v>1163</v>
      </c>
      <c r="B2260" t="s">
        <v>2916</v>
      </c>
      <c r="C2260" t="s">
        <v>1365</v>
      </c>
      <c r="D2260" t="s">
        <v>1319</v>
      </c>
      <c r="E2260" s="220">
        <v>7.6700000000000004E-2</v>
      </c>
    </row>
    <row r="2261" spans="1:5">
      <c r="A2261" t="s">
        <v>954</v>
      </c>
      <c r="B2261" t="s">
        <v>2916</v>
      </c>
      <c r="C2261" t="s">
        <v>1365</v>
      </c>
      <c r="D2261" t="s">
        <v>1319</v>
      </c>
      <c r="E2261" s="220">
        <v>7.6700000000000004E-2</v>
      </c>
    </row>
    <row r="2262" spans="1:5">
      <c r="A2262" t="s">
        <v>1014</v>
      </c>
      <c r="B2262" t="s">
        <v>2916</v>
      </c>
      <c r="C2262" t="s">
        <v>1365</v>
      </c>
      <c r="D2262" t="s">
        <v>1319</v>
      </c>
      <c r="E2262" s="220">
        <v>7.6700000000000004E-2</v>
      </c>
    </row>
    <row r="2263" spans="1:5">
      <c r="A2263" t="s">
        <v>963</v>
      </c>
      <c r="B2263" t="s">
        <v>2916</v>
      </c>
      <c r="C2263" t="s">
        <v>1365</v>
      </c>
      <c r="D2263" t="s">
        <v>1319</v>
      </c>
      <c r="E2263" s="220">
        <v>7.6700000000000004E-2</v>
      </c>
    </row>
    <row r="2264" spans="1:5">
      <c r="A2264" t="s">
        <v>972</v>
      </c>
      <c r="B2264" t="s">
        <v>2916</v>
      </c>
      <c r="C2264" t="s">
        <v>1365</v>
      </c>
      <c r="D2264" t="s">
        <v>1319</v>
      </c>
      <c r="E2264" s="220">
        <v>7.6700000000000004E-2</v>
      </c>
    </row>
    <row r="2265" spans="1:5">
      <c r="A2265" t="s">
        <v>1042</v>
      </c>
      <c r="B2265" t="s">
        <v>2916</v>
      </c>
      <c r="C2265" t="s">
        <v>1365</v>
      </c>
      <c r="D2265" t="s">
        <v>1319</v>
      </c>
      <c r="E2265" s="220">
        <v>7.6700000000000004E-2</v>
      </c>
    </row>
    <row r="2266" spans="1:5">
      <c r="A2266" t="s">
        <v>1032</v>
      </c>
      <c r="B2266" t="s">
        <v>2916</v>
      </c>
      <c r="C2266" t="s">
        <v>1365</v>
      </c>
      <c r="D2266" t="s">
        <v>1319</v>
      </c>
      <c r="E2266" s="220">
        <v>7.6700000000000004E-2</v>
      </c>
    </row>
    <row r="2267" spans="1:5">
      <c r="A2267" t="s">
        <v>1055</v>
      </c>
      <c r="B2267" t="s">
        <v>2916</v>
      </c>
      <c r="C2267" t="s">
        <v>1365</v>
      </c>
      <c r="D2267" t="s">
        <v>1319</v>
      </c>
      <c r="E2267" s="220">
        <v>7.6700000000000004E-2</v>
      </c>
    </row>
    <row r="2268" spans="1:5">
      <c r="A2268" t="s">
        <v>1061</v>
      </c>
      <c r="B2268" t="s">
        <v>2916</v>
      </c>
      <c r="C2268" t="s">
        <v>1365</v>
      </c>
      <c r="D2268" t="s">
        <v>1319</v>
      </c>
      <c r="E2268" s="220">
        <v>7.6700000000000004E-2</v>
      </c>
    </row>
    <row r="2269" spans="1:5">
      <c r="A2269" t="s">
        <v>1067</v>
      </c>
      <c r="B2269" t="s">
        <v>2916</v>
      </c>
      <c r="C2269" t="s">
        <v>1365</v>
      </c>
      <c r="D2269" t="s">
        <v>1319</v>
      </c>
      <c r="E2269" s="220">
        <v>7.6700000000000004E-2</v>
      </c>
    </row>
    <row r="2270" spans="1:5">
      <c r="A2270" t="s">
        <v>1079</v>
      </c>
      <c r="B2270" t="s">
        <v>2916</v>
      </c>
      <c r="C2270" t="s">
        <v>1365</v>
      </c>
      <c r="D2270" t="s">
        <v>1319</v>
      </c>
      <c r="E2270" s="220">
        <v>7.6700000000000004E-2</v>
      </c>
    </row>
    <row r="2271" spans="1:5">
      <c r="A2271" t="s">
        <v>1085</v>
      </c>
      <c r="B2271" t="s">
        <v>2916</v>
      </c>
      <c r="C2271" t="s">
        <v>1365</v>
      </c>
      <c r="D2271" t="s">
        <v>1319</v>
      </c>
      <c r="E2271" s="220">
        <v>7.6700000000000004E-2</v>
      </c>
    </row>
    <row r="2272" spans="1:5">
      <c r="A2272" t="s">
        <v>1094</v>
      </c>
      <c r="B2272" t="s">
        <v>2916</v>
      </c>
      <c r="C2272" t="s">
        <v>1365</v>
      </c>
      <c r="D2272" t="s">
        <v>1319</v>
      </c>
      <c r="E2272" s="220">
        <v>7.6700000000000004E-2</v>
      </c>
    </row>
    <row r="2273" spans="1:5">
      <c r="A2273" t="s">
        <v>1097</v>
      </c>
      <c r="B2273" t="s">
        <v>2916</v>
      </c>
      <c r="C2273" t="s">
        <v>1365</v>
      </c>
      <c r="D2273" t="s">
        <v>1319</v>
      </c>
      <c r="E2273" s="220">
        <v>7.6700000000000004E-2</v>
      </c>
    </row>
    <row r="2274" spans="1:5">
      <c r="A2274" t="s">
        <v>1173</v>
      </c>
      <c r="B2274" t="s">
        <v>2916</v>
      </c>
      <c r="C2274" t="s">
        <v>1365</v>
      </c>
      <c r="D2274" t="s">
        <v>1319</v>
      </c>
      <c r="E2274" s="220">
        <v>7.6700000000000004E-2</v>
      </c>
    </row>
    <row r="2275" spans="1:5">
      <c r="A2275" t="s">
        <v>779</v>
      </c>
      <c r="B2275" t="s">
        <v>2916</v>
      </c>
      <c r="C2275" t="s">
        <v>1365</v>
      </c>
      <c r="D2275" t="s">
        <v>1319</v>
      </c>
      <c r="E2275" s="220">
        <v>7.6700000000000004E-2</v>
      </c>
    </row>
    <row r="2276" spans="1:5">
      <c r="A2276" t="s">
        <v>1119</v>
      </c>
      <c r="B2276" t="s">
        <v>2916</v>
      </c>
      <c r="C2276" t="s">
        <v>1365</v>
      </c>
      <c r="D2276" t="s">
        <v>1319</v>
      </c>
      <c r="E2276" s="220">
        <v>7.6700000000000004E-2</v>
      </c>
    </row>
    <row r="2277" spans="1:5">
      <c r="A2277" t="s">
        <v>1176</v>
      </c>
      <c r="B2277" t="s">
        <v>2916</v>
      </c>
      <c r="C2277" t="s">
        <v>1365</v>
      </c>
      <c r="D2277" t="s">
        <v>1319</v>
      </c>
      <c r="E2277" s="220">
        <v>7.6700000000000004E-2</v>
      </c>
    </row>
    <row r="2278" spans="1:5">
      <c r="A2278" t="s">
        <v>1179</v>
      </c>
      <c r="B2278" t="s">
        <v>2916</v>
      </c>
      <c r="C2278" t="s">
        <v>1365</v>
      </c>
      <c r="D2278" t="s">
        <v>1319</v>
      </c>
      <c r="E2278" s="220">
        <v>7.6700000000000004E-2</v>
      </c>
    </row>
    <row r="2279" spans="1:5">
      <c r="A2279" t="s">
        <v>1210</v>
      </c>
      <c r="B2279" t="s">
        <v>2916</v>
      </c>
      <c r="C2279" t="s">
        <v>1365</v>
      </c>
      <c r="D2279" t="s">
        <v>1319</v>
      </c>
      <c r="E2279" s="220">
        <v>7.6700000000000004E-2</v>
      </c>
    </row>
    <row r="2280" spans="1:5">
      <c r="A2280" t="s">
        <v>1213</v>
      </c>
      <c r="B2280" t="s">
        <v>2916</v>
      </c>
      <c r="C2280" t="s">
        <v>1365</v>
      </c>
      <c r="D2280" t="s">
        <v>1319</v>
      </c>
      <c r="E2280" s="220">
        <v>7.6700000000000004E-2</v>
      </c>
    </row>
    <row r="2281" spans="1:5">
      <c r="A2281" t="s">
        <v>1189</v>
      </c>
      <c r="B2281" t="s">
        <v>2916</v>
      </c>
      <c r="C2281" t="s">
        <v>1365</v>
      </c>
      <c r="D2281" t="s">
        <v>1319</v>
      </c>
      <c r="E2281" s="220">
        <v>7.6700000000000004E-2</v>
      </c>
    </row>
    <row r="2282" spans="1:5">
      <c r="A2282" t="s">
        <v>1232</v>
      </c>
      <c r="B2282" t="s">
        <v>2916</v>
      </c>
      <c r="C2282" t="s">
        <v>1365</v>
      </c>
      <c r="D2282" t="s">
        <v>1319</v>
      </c>
      <c r="E2282" s="220">
        <v>7.6700000000000004E-2</v>
      </c>
    </row>
    <row r="2283" spans="1:5">
      <c r="A2283" t="s">
        <v>1244</v>
      </c>
      <c r="B2283" t="s">
        <v>2916</v>
      </c>
      <c r="C2283" t="s">
        <v>1365</v>
      </c>
      <c r="D2283" t="s">
        <v>1319</v>
      </c>
      <c r="E2283" s="220">
        <v>7.6700000000000004E-2</v>
      </c>
    </row>
    <row r="2284" spans="1:5">
      <c r="A2284" t="s">
        <v>1241</v>
      </c>
      <c r="B2284" t="s">
        <v>2916</v>
      </c>
      <c r="C2284" t="s">
        <v>1365</v>
      </c>
      <c r="D2284" t="s">
        <v>1319</v>
      </c>
      <c r="E2284" s="220">
        <v>7.6700000000000004E-2</v>
      </c>
    </row>
    <row r="2285" spans="1:5">
      <c r="A2285" t="s">
        <v>1170</v>
      </c>
      <c r="B2285" t="s">
        <v>2916</v>
      </c>
      <c r="C2285" t="s">
        <v>1365</v>
      </c>
      <c r="D2285" t="s">
        <v>1319</v>
      </c>
      <c r="E2285" s="220">
        <v>7.6700000000000004E-2</v>
      </c>
    </row>
    <row r="2286" spans="1:5">
      <c r="A2286" t="s">
        <v>1257</v>
      </c>
      <c r="B2286" t="s">
        <v>2916</v>
      </c>
      <c r="C2286" t="s">
        <v>1365</v>
      </c>
      <c r="D2286" t="s">
        <v>1319</v>
      </c>
      <c r="E2286" s="220">
        <v>7.6700000000000004E-2</v>
      </c>
    </row>
    <row r="2287" spans="1:5">
      <c r="A2287" t="s">
        <v>1148</v>
      </c>
      <c r="B2287" t="s">
        <v>2916</v>
      </c>
      <c r="C2287" t="s">
        <v>1365</v>
      </c>
      <c r="D2287" t="s">
        <v>1319</v>
      </c>
      <c r="E2287" s="220">
        <v>7.6700000000000004E-2</v>
      </c>
    </row>
    <row r="2288" spans="1:5">
      <c r="A2288" t="s">
        <v>580</v>
      </c>
      <c r="B2288" t="s">
        <v>2916</v>
      </c>
      <c r="C2288" t="s">
        <v>1374</v>
      </c>
      <c r="D2288" t="s">
        <v>1299</v>
      </c>
      <c r="E2288" s="220">
        <v>9.4325999999999993E-2</v>
      </c>
    </row>
    <row r="2289" spans="1:5">
      <c r="A2289" t="s">
        <v>587</v>
      </c>
      <c r="B2289" t="s">
        <v>2916</v>
      </c>
      <c r="C2289" t="s">
        <v>1374</v>
      </c>
      <c r="D2289" t="s">
        <v>1299</v>
      </c>
      <c r="E2289" s="220">
        <v>9.5971999999999988E-2</v>
      </c>
    </row>
    <row r="2290" spans="1:5">
      <c r="A2290" t="s">
        <v>1235</v>
      </c>
      <c r="B2290" t="s">
        <v>2916</v>
      </c>
      <c r="C2290" t="s">
        <v>1374</v>
      </c>
      <c r="D2290" t="s">
        <v>1299</v>
      </c>
      <c r="E2290" s="220">
        <v>9.4712000000000005E-2</v>
      </c>
    </row>
    <row r="2291" spans="1:5">
      <c r="A2291" t="s">
        <v>617</v>
      </c>
      <c r="B2291" t="s">
        <v>2916</v>
      </c>
      <c r="C2291" t="s">
        <v>1374</v>
      </c>
      <c r="D2291" t="s">
        <v>1299</v>
      </c>
      <c r="E2291" s="220">
        <v>9.715E-2</v>
      </c>
    </row>
    <row r="2292" spans="1:5">
      <c r="A2292" t="s">
        <v>614</v>
      </c>
      <c r="B2292" t="s">
        <v>2916</v>
      </c>
      <c r="C2292" t="s">
        <v>1374</v>
      </c>
      <c r="D2292" t="s">
        <v>1299</v>
      </c>
      <c r="E2292" s="220">
        <v>9.6409000000000009E-2</v>
      </c>
    </row>
    <row r="2293" spans="1:5">
      <c r="A2293" t="s">
        <v>626</v>
      </c>
      <c r="B2293" t="s">
        <v>2916</v>
      </c>
      <c r="C2293" t="s">
        <v>1374</v>
      </c>
      <c r="D2293" t="s">
        <v>1299</v>
      </c>
      <c r="E2293" s="220">
        <v>9.5799999999999996E-2</v>
      </c>
    </row>
    <row r="2294" spans="1:5">
      <c r="A2294" t="s">
        <v>629</v>
      </c>
      <c r="B2294" t="s">
        <v>2916</v>
      </c>
      <c r="C2294" t="s">
        <v>1374</v>
      </c>
      <c r="D2294" t="s">
        <v>1299</v>
      </c>
      <c r="E2294" s="220">
        <v>9.6373E-2</v>
      </c>
    </row>
    <row r="2295" spans="1:5">
      <c r="A2295" t="s">
        <v>650</v>
      </c>
      <c r="B2295" t="s">
        <v>2916</v>
      </c>
      <c r="C2295" t="s">
        <v>1374</v>
      </c>
      <c r="D2295" t="s">
        <v>1299</v>
      </c>
      <c r="E2295" s="220">
        <v>9.4867999999999994E-2</v>
      </c>
    </row>
    <row r="2296" spans="1:5">
      <c r="A2296" t="s">
        <v>641</v>
      </c>
      <c r="B2296" t="s">
        <v>2916</v>
      </c>
      <c r="C2296" t="s">
        <v>1374</v>
      </c>
      <c r="D2296" t="s">
        <v>1299</v>
      </c>
      <c r="E2296" s="220">
        <v>9.4299999999999995E-2</v>
      </c>
    </row>
    <row r="2297" spans="1:5">
      <c r="A2297" t="s">
        <v>687</v>
      </c>
      <c r="B2297" t="s">
        <v>2916</v>
      </c>
      <c r="C2297" t="s">
        <v>1374</v>
      </c>
      <c r="D2297" t="s">
        <v>1299</v>
      </c>
      <c r="E2297" s="220">
        <v>9.5882000000000009E-2</v>
      </c>
    </row>
    <row r="2298" spans="1:5">
      <c r="A2298" t="s">
        <v>638</v>
      </c>
      <c r="B2298" t="s">
        <v>2916</v>
      </c>
      <c r="C2298" t="s">
        <v>1374</v>
      </c>
      <c r="D2298" t="s">
        <v>1299</v>
      </c>
      <c r="E2298" s="220">
        <v>9.4712000000000005E-2</v>
      </c>
    </row>
    <row r="2299" spans="1:5">
      <c r="A2299" t="s">
        <v>635</v>
      </c>
      <c r="B2299" t="s">
        <v>2916</v>
      </c>
      <c r="C2299" t="s">
        <v>1374</v>
      </c>
      <c r="D2299" t="s">
        <v>1299</v>
      </c>
      <c r="E2299" s="220">
        <v>9.6409000000000009E-2</v>
      </c>
    </row>
    <row r="2300" spans="1:5">
      <c r="A2300" t="s">
        <v>670</v>
      </c>
      <c r="B2300" t="s">
        <v>2916</v>
      </c>
      <c r="C2300" t="s">
        <v>1374</v>
      </c>
      <c r="D2300" t="s">
        <v>1299</v>
      </c>
      <c r="E2300" s="220">
        <v>9.6185000000000007E-2</v>
      </c>
    </row>
    <row r="2301" spans="1:5">
      <c r="A2301" t="s">
        <v>647</v>
      </c>
      <c r="B2301" t="s">
        <v>2916</v>
      </c>
      <c r="C2301" t="s">
        <v>1374</v>
      </c>
      <c r="D2301" t="s">
        <v>1299</v>
      </c>
      <c r="E2301" s="220">
        <v>9.8738000000000006E-2</v>
      </c>
    </row>
    <row r="2302" spans="1:5">
      <c r="A2302" t="s">
        <v>653</v>
      </c>
      <c r="B2302" t="s">
        <v>2916</v>
      </c>
      <c r="C2302" t="s">
        <v>1374</v>
      </c>
      <c r="D2302" t="s">
        <v>1299</v>
      </c>
      <c r="E2302" s="220">
        <v>9.6787999999999999E-2</v>
      </c>
    </row>
    <row r="2303" spans="1:5">
      <c r="A2303" t="s">
        <v>659</v>
      </c>
      <c r="B2303" t="s">
        <v>2916</v>
      </c>
      <c r="C2303" t="s">
        <v>1374</v>
      </c>
      <c r="D2303" t="s">
        <v>1299</v>
      </c>
      <c r="E2303" s="220">
        <v>9.6409000000000009E-2</v>
      </c>
    </row>
    <row r="2304" spans="1:5">
      <c r="A2304" t="s">
        <v>676</v>
      </c>
      <c r="B2304" t="s">
        <v>2916</v>
      </c>
      <c r="C2304" t="s">
        <v>1374</v>
      </c>
      <c r="D2304" t="s">
        <v>1299</v>
      </c>
      <c r="E2304" s="220">
        <v>9.6659999999999996E-2</v>
      </c>
    </row>
    <row r="2305" spans="1:5">
      <c r="A2305" t="s">
        <v>644</v>
      </c>
      <c r="B2305" t="s">
        <v>2916</v>
      </c>
      <c r="C2305" t="s">
        <v>1374</v>
      </c>
      <c r="D2305" t="s">
        <v>1299</v>
      </c>
      <c r="E2305" s="220">
        <v>9.6409000000000009E-2</v>
      </c>
    </row>
    <row r="2306" spans="1:5">
      <c r="A2306" t="s">
        <v>664</v>
      </c>
      <c r="B2306" t="s">
        <v>2916</v>
      </c>
      <c r="C2306" t="s">
        <v>1374</v>
      </c>
      <c r="D2306" t="s">
        <v>1299</v>
      </c>
      <c r="E2306" s="220">
        <v>9.4325999999999993E-2</v>
      </c>
    </row>
    <row r="2307" spans="1:5">
      <c r="A2307" t="s">
        <v>705</v>
      </c>
      <c r="B2307" t="s">
        <v>2916</v>
      </c>
      <c r="C2307" t="s">
        <v>1374</v>
      </c>
      <c r="D2307" t="s">
        <v>1299</v>
      </c>
      <c r="E2307" s="220">
        <v>9.7284999999999996E-2</v>
      </c>
    </row>
    <row r="2308" spans="1:5">
      <c r="A2308" t="s">
        <v>1182</v>
      </c>
      <c r="B2308" t="s">
        <v>2916</v>
      </c>
      <c r="C2308" t="s">
        <v>1374</v>
      </c>
      <c r="D2308" t="s">
        <v>1299</v>
      </c>
      <c r="E2308" s="220">
        <v>9.6250000000000002E-2</v>
      </c>
    </row>
    <row r="2309" spans="1:5">
      <c r="A2309" t="s">
        <v>720</v>
      </c>
      <c r="B2309" t="s">
        <v>2916</v>
      </c>
      <c r="C2309" t="s">
        <v>1374</v>
      </c>
      <c r="D2309" t="s">
        <v>1299</v>
      </c>
      <c r="E2309" s="220">
        <v>9.5837000000000006E-2</v>
      </c>
    </row>
    <row r="2310" spans="1:5">
      <c r="A2310" t="s">
        <v>723</v>
      </c>
      <c r="B2310" t="s">
        <v>2916</v>
      </c>
      <c r="C2310" t="s">
        <v>1374</v>
      </c>
      <c r="D2310" t="s">
        <v>1299</v>
      </c>
      <c r="E2310" s="220">
        <v>9.4459999999999988E-2</v>
      </c>
    </row>
    <row r="2311" spans="1:5">
      <c r="A2311" t="s">
        <v>726</v>
      </c>
      <c r="B2311" t="s">
        <v>2916</v>
      </c>
      <c r="C2311" t="s">
        <v>1374</v>
      </c>
      <c r="D2311" t="s">
        <v>1299</v>
      </c>
      <c r="E2311" s="220">
        <v>9.4400999999999999E-2</v>
      </c>
    </row>
    <row r="2312" spans="1:5">
      <c r="A2312" t="s">
        <v>738</v>
      </c>
      <c r="B2312" t="s">
        <v>2916</v>
      </c>
      <c r="C2312" t="s">
        <v>1374</v>
      </c>
      <c r="D2312" t="s">
        <v>1299</v>
      </c>
      <c r="E2312" s="220">
        <v>9.6787999999999999E-2</v>
      </c>
    </row>
    <row r="2313" spans="1:5">
      <c r="A2313" t="s">
        <v>747</v>
      </c>
      <c r="B2313" t="s">
        <v>2916</v>
      </c>
      <c r="C2313" t="s">
        <v>1374</v>
      </c>
      <c r="D2313" t="s">
        <v>1299</v>
      </c>
      <c r="E2313" s="220">
        <v>9.6409000000000009E-2</v>
      </c>
    </row>
    <row r="2314" spans="1:5">
      <c r="A2314" t="s">
        <v>757</v>
      </c>
      <c r="B2314" t="s">
        <v>2916</v>
      </c>
      <c r="C2314" t="s">
        <v>1374</v>
      </c>
      <c r="D2314" t="s">
        <v>1299</v>
      </c>
      <c r="E2314" s="220">
        <v>9.8949999999999996E-2</v>
      </c>
    </row>
    <row r="2315" spans="1:5">
      <c r="A2315" t="s">
        <v>823</v>
      </c>
      <c r="B2315" t="s">
        <v>2916</v>
      </c>
      <c r="C2315" t="s">
        <v>1374</v>
      </c>
      <c r="D2315" t="s">
        <v>1299</v>
      </c>
      <c r="E2315" s="220">
        <v>9.6894000000000008E-2</v>
      </c>
    </row>
    <row r="2316" spans="1:5">
      <c r="A2316" t="s">
        <v>767</v>
      </c>
      <c r="B2316" t="s">
        <v>2916</v>
      </c>
      <c r="C2316" t="s">
        <v>1374</v>
      </c>
      <c r="D2316" t="s">
        <v>1299</v>
      </c>
      <c r="E2316" s="220">
        <v>9.6409000000000009E-2</v>
      </c>
    </row>
    <row r="2317" spans="1:5">
      <c r="A2317" t="s">
        <v>761</v>
      </c>
      <c r="B2317" t="s">
        <v>2916</v>
      </c>
      <c r="C2317" t="s">
        <v>1374</v>
      </c>
      <c r="D2317" t="s">
        <v>1299</v>
      </c>
      <c r="E2317" s="220">
        <v>9.4442999999999999E-2</v>
      </c>
    </row>
    <row r="2318" spans="1:5">
      <c r="A2318" t="s">
        <v>770</v>
      </c>
      <c r="B2318" t="s">
        <v>2916</v>
      </c>
      <c r="C2318" t="s">
        <v>1374</v>
      </c>
      <c r="D2318" t="s">
        <v>1299</v>
      </c>
      <c r="E2318" s="220">
        <v>9.6409000000000009E-2</v>
      </c>
    </row>
    <row r="2319" spans="1:5">
      <c r="A2319" t="s">
        <v>592</v>
      </c>
      <c r="B2319" t="s">
        <v>2916</v>
      </c>
      <c r="C2319" t="s">
        <v>1374</v>
      </c>
      <c r="D2319" t="s">
        <v>1299</v>
      </c>
      <c r="E2319" s="220">
        <v>9.7134999999999999E-2</v>
      </c>
    </row>
    <row r="2320" spans="1:5">
      <c r="A2320" t="s">
        <v>773</v>
      </c>
      <c r="B2320" t="s">
        <v>2916</v>
      </c>
      <c r="C2320" t="s">
        <v>1374</v>
      </c>
      <c r="D2320" t="s">
        <v>1299</v>
      </c>
      <c r="E2320" s="220">
        <v>9.6787999999999999E-2</v>
      </c>
    </row>
    <row r="2321" spans="1:5">
      <c r="A2321" t="s">
        <v>776</v>
      </c>
      <c r="B2321" t="s">
        <v>2916</v>
      </c>
      <c r="C2321" t="s">
        <v>1374</v>
      </c>
      <c r="D2321" t="s">
        <v>1299</v>
      </c>
      <c r="E2321" s="220">
        <v>0.1</v>
      </c>
    </row>
    <row r="2322" spans="1:5">
      <c r="A2322" t="s">
        <v>1154</v>
      </c>
      <c r="B2322" t="s">
        <v>2916</v>
      </c>
      <c r="C2322" t="s">
        <v>1374</v>
      </c>
      <c r="D2322" t="s">
        <v>1299</v>
      </c>
      <c r="E2322" s="220">
        <v>9.4620999999999997E-2</v>
      </c>
    </row>
    <row r="2323" spans="1:5">
      <c r="A2323" t="s">
        <v>788</v>
      </c>
      <c r="B2323" t="s">
        <v>2916</v>
      </c>
      <c r="C2323" t="s">
        <v>1374</v>
      </c>
      <c r="D2323" t="s">
        <v>1299</v>
      </c>
      <c r="E2323" s="220">
        <v>0.102837</v>
      </c>
    </row>
    <row r="2324" spans="1:5">
      <c r="A2324" t="s">
        <v>805</v>
      </c>
      <c r="B2324" t="s">
        <v>2916</v>
      </c>
      <c r="C2324" t="s">
        <v>1374</v>
      </c>
      <c r="D2324" t="s">
        <v>1299</v>
      </c>
      <c r="E2324" s="220">
        <v>0.101941</v>
      </c>
    </row>
    <row r="2325" spans="1:5">
      <c r="A2325" t="s">
        <v>808</v>
      </c>
      <c r="B2325" t="s">
        <v>2916</v>
      </c>
      <c r="C2325" t="s">
        <v>1374</v>
      </c>
      <c r="D2325" t="s">
        <v>1299</v>
      </c>
      <c r="E2325" s="220">
        <v>9.5754000000000006E-2</v>
      </c>
    </row>
    <row r="2326" spans="1:5">
      <c r="A2326" t="s">
        <v>1238</v>
      </c>
      <c r="B2326" t="s">
        <v>2916</v>
      </c>
      <c r="C2326" t="s">
        <v>1374</v>
      </c>
      <c r="D2326" t="s">
        <v>1299</v>
      </c>
      <c r="E2326" s="220">
        <v>9.4803999999999999E-2</v>
      </c>
    </row>
    <row r="2327" spans="1:5">
      <c r="A2327" t="s">
        <v>820</v>
      </c>
      <c r="B2327" t="s">
        <v>2916</v>
      </c>
      <c r="C2327" t="s">
        <v>1374</v>
      </c>
      <c r="D2327" t="s">
        <v>1299</v>
      </c>
      <c r="E2327" s="220">
        <v>9.8286999999999999E-2</v>
      </c>
    </row>
    <row r="2328" spans="1:5">
      <c r="A2328" t="s">
        <v>833</v>
      </c>
      <c r="B2328" t="s">
        <v>2916</v>
      </c>
      <c r="C2328" t="s">
        <v>1374</v>
      </c>
      <c r="D2328" t="s">
        <v>1299</v>
      </c>
      <c r="E2328" s="220">
        <v>9.9021999999999999E-2</v>
      </c>
    </row>
    <row r="2329" spans="1:5">
      <c r="A2329" t="s">
        <v>839</v>
      </c>
      <c r="B2329" t="s">
        <v>2916</v>
      </c>
      <c r="C2329" t="s">
        <v>1374</v>
      </c>
      <c r="D2329" t="s">
        <v>1299</v>
      </c>
      <c r="E2329" s="220">
        <v>9.6409000000000009E-2</v>
      </c>
    </row>
    <row r="2330" spans="1:5">
      <c r="A2330" t="s">
        <v>845</v>
      </c>
      <c r="B2330" t="s">
        <v>2916</v>
      </c>
      <c r="C2330" t="s">
        <v>1374</v>
      </c>
      <c r="D2330" t="s">
        <v>1299</v>
      </c>
      <c r="E2330" s="220">
        <v>9.6787999999999999E-2</v>
      </c>
    </row>
    <row r="2331" spans="1:5">
      <c r="A2331" t="s">
        <v>854</v>
      </c>
      <c r="B2331" t="s">
        <v>2916</v>
      </c>
      <c r="C2331" t="s">
        <v>1374</v>
      </c>
      <c r="D2331" t="s">
        <v>1299</v>
      </c>
      <c r="E2331" s="220">
        <v>9.6409000000000009E-2</v>
      </c>
    </row>
    <row r="2332" spans="1:5">
      <c r="A2332" t="s">
        <v>863</v>
      </c>
      <c r="B2332" t="s">
        <v>2916</v>
      </c>
      <c r="C2332" t="s">
        <v>1374</v>
      </c>
      <c r="D2332" t="s">
        <v>1299</v>
      </c>
      <c r="E2332" s="220">
        <v>9.4299999999999995E-2</v>
      </c>
    </row>
    <row r="2333" spans="1:5">
      <c r="A2333" t="s">
        <v>860</v>
      </c>
      <c r="B2333" t="s">
        <v>2916</v>
      </c>
      <c r="C2333" t="s">
        <v>1374</v>
      </c>
      <c r="D2333" t="s">
        <v>1299</v>
      </c>
      <c r="E2333" s="220">
        <v>9.6787999999999999E-2</v>
      </c>
    </row>
    <row r="2334" spans="1:5">
      <c r="A2334" t="s">
        <v>744</v>
      </c>
      <c r="B2334" t="s">
        <v>2916</v>
      </c>
      <c r="C2334" t="s">
        <v>1374</v>
      </c>
      <c r="D2334" t="s">
        <v>1299</v>
      </c>
      <c r="E2334" s="220">
        <v>9.7221000000000002E-2</v>
      </c>
    </row>
    <row r="2335" spans="1:5">
      <c r="A2335" t="s">
        <v>857</v>
      </c>
      <c r="B2335" t="s">
        <v>2916</v>
      </c>
      <c r="C2335" t="s">
        <v>1374</v>
      </c>
      <c r="D2335" t="s">
        <v>1299</v>
      </c>
      <c r="E2335" s="220">
        <v>9.6409000000000009E-2</v>
      </c>
    </row>
    <row r="2336" spans="1:5">
      <c r="A2336" t="s">
        <v>866</v>
      </c>
      <c r="B2336" t="s">
        <v>2916</v>
      </c>
      <c r="C2336" t="s">
        <v>1374</v>
      </c>
      <c r="D2336" t="s">
        <v>1299</v>
      </c>
      <c r="E2336" s="220">
        <v>9.8028000000000004E-2</v>
      </c>
    </row>
    <row r="2337" spans="1:5">
      <c r="A2337" t="s">
        <v>875</v>
      </c>
      <c r="B2337" t="s">
        <v>2916</v>
      </c>
      <c r="C2337" t="s">
        <v>1374</v>
      </c>
      <c r="D2337" t="s">
        <v>1299</v>
      </c>
      <c r="E2337" s="220">
        <v>9.4299999999999995E-2</v>
      </c>
    </row>
    <row r="2338" spans="1:5">
      <c r="A2338" t="s">
        <v>872</v>
      </c>
      <c r="B2338" t="s">
        <v>2916</v>
      </c>
      <c r="C2338" t="s">
        <v>1374</v>
      </c>
      <c r="D2338" t="s">
        <v>1299</v>
      </c>
      <c r="E2338" s="220">
        <v>9.4527E-2</v>
      </c>
    </row>
    <row r="2339" spans="1:5">
      <c r="A2339" t="s">
        <v>884</v>
      </c>
      <c r="B2339" t="s">
        <v>2916</v>
      </c>
      <c r="C2339" t="s">
        <v>1374</v>
      </c>
      <c r="D2339" t="s">
        <v>1299</v>
      </c>
      <c r="E2339" s="220">
        <v>9.8104999999999998E-2</v>
      </c>
    </row>
    <row r="2340" spans="1:5">
      <c r="A2340" t="s">
        <v>878</v>
      </c>
      <c r="B2340" t="s">
        <v>2916</v>
      </c>
      <c r="C2340" t="s">
        <v>1374</v>
      </c>
      <c r="D2340" t="s">
        <v>1299</v>
      </c>
      <c r="E2340" s="220">
        <v>9.4363000000000002E-2</v>
      </c>
    </row>
    <row r="2341" spans="1:5">
      <c r="A2341" t="s">
        <v>881</v>
      </c>
      <c r="B2341" t="s">
        <v>2916</v>
      </c>
      <c r="C2341" t="s">
        <v>1374</v>
      </c>
      <c r="D2341" t="s">
        <v>1299</v>
      </c>
      <c r="E2341" s="220">
        <v>9.4712000000000005E-2</v>
      </c>
    </row>
    <row r="2342" spans="1:5">
      <c r="A2342" t="s">
        <v>869</v>
      </c>
      <c r="B2342" t="s">
        <v>2916</v>
      </c>
      <c r="C2342" t="s">
        <v>1374</v>
      </c>
      <c r="D2342" t="s">
        <v>1299</v>
      </c>
      <c r="E2342" s="220">
        <v>9.5531000000000005E-2</v>
      </c>
    </row>
    <row r="2343" spans="1:5">
      <c r="A2343" t="s">
        <v>891</v>
      </c>
      <c r="B2343" t="s">
        <v>2916</v>
      </c>
      <c r="C2343" t="s">
        <v>1374</v>
      </c>
      <c r="D2343" t="s">
        <v>1299</v>
      </c>
      <c r="E2343" s="220">
        <v>9.4331999999999999E-2</v>
      </c>
    </row>
    <row r="2344" spans="1:5">
      <c r="A2344" t="s">
        <v>894</v>
      </c>
      <c r="B2344" t="s">
        <v>2916</v>
      </c>
      <c r="C2344" t="s">
        <v>1374</v>
      </c>
      <c r="D2344" t="s">
        <v>1299</v>
      </c>
      <c r="E2344" s="220">
        <v>9.5245999999999997E-2</v>
      </c>
    </row>
    <row r="2345" spans="1:5">
      <c r="A2345" t="s">
        <v>897</v>
      </c>
      <c r="B2345" t="s">
        <v>2916</v>
      </c>
      <c r="C2345" t="s">
        <v>1374</v>
      </c>
      <c r="D2345" t="s">
        <v>1299</v>
      </c>
      <c r="E2345" s="220">
        <v>9.6409000000000009E-2</v>
      </c>
    </row>
    <row r="2346" spans="1:5">
      <c r="A2346" t="s">
        <v>903</v>
      </c>
      <c r="B2346" t="s">
        <v>2916</v>
      </c>
      <c r="C2346" t="s">
        <v>1374</v>
      </c>
      <c r="D2346" t="s">
        <v>1299</v>
      </c>
      <c r="E2346" s="220">
        <v>9.4712000000000005E-2</v>
      </c>
    </row>
    <row r="2347" spans="1:5">
      <c r="A2347" t="s">
        <v>900</v>
      </c>
      <c r="B2347" t="s">
        <v>2916</v>
      </c>
      <c r="C2347" t="s">
        <v>1374</v>
      </c>
      <c r="D2347" t="s">
        <v>1299</v>
      </c>
      <c r="E2347" s="220">
        <v>9.5382999999999996E-2</v>
      </c>
    </row>
    <row r="2348" spans="1:5">
      <c r="A2348" t="s">
        <v>906</v>
      </c>
      <c r="B2348" t="s">
        <v>2916</v>
      </c>
      <c r="C2348" t="s">
        <v>1374</v>
      </c>
      <c r="D2348" t="s">
        <v>1299</v>
      </c>
      <c r="E2348" s="220">
        <v>9.4602000000000006E-2</v>
      </c>
    </row>
    <row r="2349" spans="1:5">
      <c r="A2349" t="s">
        <v>930</v>
      </c>
      <c r="B2349" t="s">
        <v>2916</v>
      </c>
      <c r="C2349" t="s">
        <v>1374</v>
      </c>
      <c r="D2349" t="s">
        <v>1299</v>
      </c>
      <c r="E2349" s="220">
        <v>9.5959000000000003E-2</v>
      </c>
    </row>
    <row r="2350" spans="1:5">
      <c r="A2350" t="s">
        <v>1160</v>
      </c>
      <c r="B2350" t="s">
        <v>2916</v>
      </c>
      <c r="C2350" t="s">
        <v>1374</v>
      </c>
      <c r="D2350" t="s">
        <v>1299</v>
      </c>
      <c r="E2350" s="220">
        <v>9.6409000000000009E-2</v>
      </c>
    </row>
    <row r="2351" spans="1:5">
      <c r="A2351" t="s">
        <v>915</v>
      </c>
      <c r="B2351" t="s">
        <v>2916</v>
      </c>
      <c r="C2351" t="s">
        <v>1374</v>
      </c>
      <c r="D2351" t="s">
        <v>1299</v>
      </c>
      <c r="E2351" s="220">
        <v>9.5448999999999992E-2</v>
      </c>
    </row>
    <row r="2352" spans="1:5">
      <c r="A2352" t="s">
        <v>933</v>
      </c>
      <c r="B2352" t="s">
        <v>2916</v>
      </c>
      <c r="C2352" t="s">
        <v>1374</v>
      </c>
      <c r="D2352" t="s">
        <v>1299</v>
      </c>
      <c r="E2352" s="220">
        <v>9.4325999999999993E-2</v>
      </c>
    </row>
    <row r="2353" spans="1:5">
      <c r="A2353" t="s">
        <v>939</v>
      </c>
      <c r="B2353" t="s">
        <v>2916</v>
      </c>
      <c r="C2353" t="s">
        <v>1374</v>
      </c>
      <c r="D2353" t="s">
        <v>1299</v>
      </c>
      <c r="E2353" s="220">
        <v>9.4712000000000005E-2</v>
      </c>
    </row>
    <row r="2354" spans="1:5">
      <c r="A2354" t="s">
        <v>1163</v>
      </c>
      <c r="B2354" t="s">
        <v>2916</v>
      </c>
      <c r="C2354" t="s">
        <v>1374</v>
      </c>
      <c r="D2354" t="s">
        <v>1299</v>
      </c>
      <c r="E2354" s="220">
        <v>9.6409000000000009E-2</v>
      </c>
    </row>
    <row r="2355" spans="1:5">
      <c r="A2355" t="s">
        <v>1157</v>
      </c>
      <c r="B2355" t="s">
        <v>2916</v>
      </c>
      <c r="C2355" t="s">
        <v>1374</v>
      </c>
      <c r="D2355" t="s">
        <v>1299</v>
      </c>
      <c r="E2355" s="220">
        <v>9.4299999999999995E-2</v>
      </c>
    </row>
    <row r="2356" spans="1:5">
      <c r="A2356" t="s">
        <v>954</v>
      </c>
      <c r="B2356" t="s">
        <v>2916</v>
      </c>
      <c r="C2356" t="s">
        <v>1374</v>
      </c>
      <c r="D2356" t="s">
        <v>1299</v>
      </c>
      <c r="E2356" s="220">
        <v>9.7307000000000005E-2</v>
      </c>
    </row>
    <row r="2357" spans="1:5">
      <c r="A2357" t="s">
        <v>957</v>
      </c>
      <c r="B2357" t="s">
        <v>2916</v>
      </c>
      <c r="C2357" t="s">
        <v>1374</v>
      </c>
      <c r="D2357" t="s">
        <v>1299</v>
      </c>
      <c r="E2357" s="220">
        <v>9.7924999999999998E-2</v>
      </c>
    </row>
    <row r="2358" spans="1:5">
      <c r="A2358" t="s">
        <v>936</v>
      </c>
      <c r="B2358" t="s">
        <v>2916</v>
      </c>
      <c r="C2358" t="s">
        <v>1374</v>
      </c>
      <c r="D2358" t="s">
        <v>1299</v>
      </c>
      <c r="E2358" s="220">
        <v>9.4370999999999997E-2</v>
      </c>
    </row>
    <row r="2359" spans="1:5">
      <c r="A2359" t="s">
        <v>1014</v>
      </c>
      <c r="B2359" t="s">
        <v>2916</v>
      </c>
      <c r="C2359" t="s">
        <v>1374</v>
      </c>
      <c r="D2359" t="s">
        <v>1299</v>
      </c>
      <c r="E2359" s="220">
        <v>9.7134999999999999E-2</v>
      </c>
    </row>
    <row r="2360" spans="1:5">
      <c r="A2360" t="s">
        <v>999</v>
      </c>
      <c r="B2360" t="s">
        <v>2916</v>
      </c>
      <c r="C2360" t="s">
        <v>1374</v>
      </c>
      <c r="D2360" t="s">
        <v>1299</v>
      </c>
      <c r="E2360" s="220">
        <v>9.4299999999999995E-2</v>
      </c>
    </row>
    <row r="2361" spans="1:5">
      <c r="A2361" t="s">
        <v>993</v>
      </c>
      <c r="B2361" t="s">
        <v>2916</v>
      </c>
      <c r="C2361" t="s">
        <v>1374</v>
      </c>
      <c r="D2361" t="s">
        <v>1299</v>
      </c>
      <c r="E2361" s="220">
        <v>9.5902000000000001E-2</v>
      </c>
    </row>
    <row r="2362" spans="1:5">
      <c r="A2362" t="s">
        <v>963</v>
      </c>
      <c r="B2362" t="s">
        <v>2916</v>
      </c>
      <c r="C2362" t="s">
        <v>1374</v>
      </c>
      <c r="D2362" t="s">
        <v>1299</v>
      </c>
      <c r="E2362" s="220">
        <v>9.9500000000000005E-2</v>
      </c>
    </row>
    <row r="2363" spans="1:5">
      <c r="A2363" t="s">
        <v>1020</v>
      </c>
      <c r="B2363" t="s">
        <v>2916</v>
      </c>
      <c r="C2363" t="s">
        <v>1374</v>
      </c>
      <c r="D2363" t="s">
        <v>1299</v>
      </c>
      <c r="E2363" s="220">
        <v>9.5599999999999991E-2</v>
      </c>
    </row>
    <row r="2364" spans="1:5">
      <c r="A2364" t="s">
        <v>1006</v>
      </c>
      <c r="B2364" t="s">
        <v>2916</v>
      </c>
      <c r="C2364" t="s">
        <v>1374</v>
      </c>
      <c r="D2364" t="s">
        <v>1299</v>
      </c>
      <c r="E2364" s="220">
        <v>9.709000000000001E-2</v>
      </c>
    </row>
    <row r="2365" spans="1:5">
      <c r="A2365" t="s">
        <v>972</v>
      </c>
      <c r="B2365" t="s">
        <v>2916</v>
      </c>
      <c r="C2365" t="s">
        <v>1374</v>
      </c>
      <c r="D2365" t="s">
        <v>1299</v>
      </c>
      <c r="E2365" s="220">
        <v>9.4299999999999995E-2</v>
      </c>
    </row>
    <row r="2366" spans="1:5">
      <c r="A2366" t="s">
        <v>1042</v>
      </c>
      <c r="B2366" t="s">
        <v>2916</v>
      </c>
      <c r="C2366" t="s">
        <v>1374</v>
      </c>
      <c r="D2366" t="s">
        <v>1299</v>
      </c>
      <c r="E2366" s="220">
        <v>9.6787999999999999E-2</v>
      </c>
    </row>
    <row r="2367" spans="1:5">
      <c r="A2367" t="s">
        <v>1032</v>
      </c>
      <c r="B2367" t="s">
        <v>2916</v>
      </c>
      <c r="C2367" t="s">
        <v>1374</v>
      </c>
      <c r="D2367" t="s">
        <v>1299</v>
      </c>
      <c r="E2367" s="220">
        <v>9.4563999999999995E-2</v>
      </c>
    </row>
    <row r="2368" spans="1:5">
      <c r="A2368" t="s">
        <v>1055</v>
      </c>
      <c r="B2368" t="s">
        <v>2916</v>
      </c>
      <c r="C2368" t="s">
        <v>1374</v>
      </c>
      <c r="D2368" t="s">
        <v>1299</v>
      </c>
      <c r="E2368" s="220">
        <v>9.5020999999999994E-2</v>
      </c>
    </row>
    <row r="2369" spans="1:5">
      <c r="A2369" t="s">
        <v>1029</v>
      </c>
      <c r="B2369" t="s">
        <v>2916</v>
      </c>
      <c r="C2369" t="s">
        <v>1374</v>
      </c>
      <c r="D2369" t="s">
        <v>1299</v>
      </c>
      <c r="E2369" s="220">
        <v>9.4299999999999995E-2</v>
      </c>
    </row>
    <row r="2370" spans="1:5">
      <c r="A2370" t="s">
        <v>1039</v>
      </c>
      <c r="B2370" t="s">
        <v>2916</v>
      </c>
      <c r="C2370" t="s">
        <v>1374</v>
      </c>
      <c r="D2370" t="s">
        <v>1299</v>
      </c>
      <c r="E2370" s="220">
        <v>9.5391999999999991E-2</v>
      </c>
    </row>
    <row r="2371" spans="1:5">
      <c r="A2371" t="s">
        <v>1058</v>
      </c>
      <c r="B2371" t="s">
        <v>2916</v>
      </c>
      <c r="C2371" t="s">
        <v>1374</v>
      </c>
      <c r="D2371" t="s">
        <v>1299</v>
      </c>
      <c r="E2371" s="220">
        <v>9.4712000000000005E-2</v>
      </c>
    </row>
    <row r="2372" spans="1:5">
      <c r="A2372" t="s">
        <v>1061</v>
      </c>
      <c r="B2372" t="s">
        <v>2916</v>
      </c>
      <c r="C2372" t="s">
        <v>1374</v>
      </c>
      <c r="D2372" t="s">
        <v>1299</v>
      </c>
      <c r="E2372" s="220">
        <v>9.449500000000001E-2</v>
      </c>
    </row>
    <row r="2373" spans="1:5">
      <c r="A2373" t="s">
        <v>1067</v>
      </c>
      <c r="B2373" t="s">
        <v>2916</v>
      </c>
      <c r="C2373" t="s">
        <v>1374</v>
      </c>
      <c r="D2373" t="s">
        <v>1299</v>
      </c>
      <c r="E2373" s="220">
        <v>9.6787999999999999E-2</v>
      </c>
    </row>
    <row r="2374" spans="1:5">
      <c r="A2374" t="s">
        <v>1076</v>
      </c>
      <c r="B2374" t="s">
        <v>2916</v>
      </c>
      <c r="C2374" t="s">
        <v>1374</v>
      </c>
      <c r="D2374" t="s">
        <v>1299</v>
      </c>
      <c r="E2374" s="220">
        <v>9.4406000000000004E-2</v>
      </c>
    </row>
    <row r="2375" spans="1:5">
      <c r="A2375" t="s">
        <v>1079</v>
      </c>
      <c r="B2375" t="s">
        <v>2916</v>
      </c>
      <c r="C2375" t="s">
        <v>1374</v>
      </c>
      <c r="D2375" t="s">
        <v>1299</v>
      </c>
      <c r="E2375" s="220">
        <v>9.4299999999999995E-2</v>
      </c>
    </row>
    <row r="2376" spans="1:5">
      <c r="A2376" t="s">
        <v>1082</v>
      </c>
      <c r="B2376" t="s">
        <v>2916</v>
      </c>
      <c r="C2376" t="s">
        <v>1374</v>
      </c>
      <c r="D2376" t="s">
        <v>1299</v>
      </c>
      <c r="E2376" s="220">
        <v>9.5296999999999993E-2</v>
      </c>
    </row>
    <row r="2377" spans="1:5">
      <c r="A2377" t="s">
        <v>919</v>
      </c>
      <c r="B2377" t="s">
        <v>2916</v>
      </c>
      <c r="C2377" t="s">
        <v>1374</v>
      </c>
      <c r="D2377" t="s">
        <v>1299</v>
      </c>
      <c r="E2377" s="220">
        <v>9.4305E-2</v>
      </c>
    </row>
    <row r="2378" spans="1:5">
      <c r="A2378" t="s">
        <v>1085</v>
      </c>
      <c r="B2378" t="s">
        <v>2916</v>
      </c>
      <c r="C2378" t="s">
        <v>1374</v>
      </c>
      <c r="D2378" t="s">
        <v>1299</v>
      </c>
      <c r="E2378" s="220">
        <v>9.4550999999999996E-2</v>
      </c>
    </row>
    <row r="2379" spans="1:5">
      <c r="A2379" t="s">
        <v>1264</v>
      </c>
      <c r="B2379" t="s">
        <v>2916</v>
      </c>
      <c r="C2379" t="s">
        <v>1374</v>
      </c>
      <c r="D2379" t="s">
        <v>1299</v>
      </c>
      <c r="E2379" s="220">
        <v>9.4712000000000005E-2</v>
      </c>
    </row>
    <row r="2380" spans="1:5">
      <c r="A2380" t="s">
        <v>1091</v>
      </c>
      <c r="B2380" t="s">
        <v>2916</v>
      </c>
      <c r="C2380" t="s">
        <v>1374</v>
      </c>
      <c r="D2380" t="s">
        <v>1299</v>
      </c>
      <c r="E2380" s="220">
        <v>9.4712000000000005E-2</v>
      </c>
    </row>
    <row r="2381" spans="1:5">
      <c r="A2381" t="s">
        <v>1094</v>
      </c>
      <c r="B2381" t="s">
        <v>2916</v>
      </c>
      <c r="C2381" t="s">
        <v>1374</v>
      </c>
      <c r="D2381" t="s">
        <v>1299</v>
      </c>
      <c r="E2381" s="220">
        <v>9.8742999999999997E-2</v>
      </c>
    </row>
    <row r="2382" spans="1:5">
      <c r="A2382" t="s">
        <v>1097</v>
      </c>
      <c r="B2382" t="s">
        <v>2916</v>
      </c>
      <c r="C2382" t="s">
        <v>1374</v>
      </c>
      <c r="D2382" t="s">
        <v>1299</v>
      </c>
      <c r="E2382" s="220">
        <v>9.5837999999999993E-2</v>
      </c>
    </row>
    <row r="2383" spans="1:5">
      <c r="A2383" t="s">
        <v>1173</v>
      </c>
      <c r="B2383" t="s">
        <v>2916</v>
      </c>
      <c r="C2383" t="s">
        <v>1374</v>
      </c>
      <c r="D2383" t="s">
        <v>1299</v>
      </c>
      <c r="E2383" s="220">
        <v>9.7134999999999999E-2</v>
      </c>
    </row>
    <row r="2384" spans="1:5">
      <c r="A2384" t="s">
        <v>779</v>
      </c>
      <c r="B2384" t="s">
        <v>2916</v>
      </c>
      <c r="C2384" t="s">
        <v>1374</v>
      </c>
      <c r="D2384" t="s">
        <v>1299</v>
      </c>
      <c r="E2384" s="220">
        <v>9.6787999999999999E-2</v>
      </c>
    </row>
    <row r="2385" spans="1:5">
      <c r="A2385" t="s">
        <v>1119</v>
      </c>
      <c r="B2385" t="s">
        <v>2916</v>
      </c>
      <c r="C2385" t="s">
        <v>1374</v>
      </c>
      <c r="D2385" t="s">
        <v>1299</v>
      </c>
      <c r="E2385" s="220">
        <v>9.9261000000000002E-2</v>
      </c>
    </row>
    <row r="2386" spans="1:5">
      <c r="A2386" t="s">
        <v>1176</v>
      </c>
      <c r="B2386" t="s">
        <v>2916</v>
      </c>
      <c r="C2386" t="s">
        <v>1374</v>
      </c>
      <c r="D2386" t="s">
        <v>1299</v>
      </c>
      <c r="E2386" s="220">
        <v>9.6409000000000009E-2</v>
      </c>
    </row>
    <row r="2387" spans="1:5">
      <c r="A2387" t="s">
        <v>1135</v>
      </c>
      <c r="B2387" t="s">
        <v>2916</v>
      </c>
      <c r="C2387" t="s">
        <v>1374</v>
      </c>
      <c r="D2387" t="s">
        <v>1299</v>
      </c>
      <c r="E2387" s="220">
        <v>9.8323999999999995E-2</v>
      </c>
    </row>
    <row r="2388" spans="1:5">
      <c r="A2388" t="s">
        <v>1139</v>
      </c>
      <c r="B2388" t="s">
        <v>2916</v>
      </c>
      <c r="C2388" t="s">
        <v>1374</v>
      </c>
      <c r="D2388" t="s">
        <v>1299</v>
      </c>
      <c r="E2388" s="220">
        <v>9.7956000000000001E-2</v>
      </c>
    </row>
    <row r="2389" spans="1:5">
      <c r="A2389" t="s">
        <v>1179</v>
      </c>
      <c r="B2389" t="s">
        <v>2916</v>
      </c>
      <c r="C2389" t="s">
        <v>1374</v>
      </c>
      <c r="D2389" t="s">
        <v>1299</v>
      </c>
      <c r="E2389" s="220">
        <v>9.572E-2</v>
      </c>
    </row>
    <row r="2390" spans="1:5">
      <c r="A2390" t="s">
        <v>1185</v>
      </c>
      <c r="B2390" t="s">
        <v>2916</v>
      </c>
      <c r="C2390" t="s">
        <v>1374</v>
      </c>
      <c r="D2390" t="s">
        <v>1299</v>
      </c>
      <c r="E2390" s="220">
        <v>9.4712000000000005E-2</v>
      </c>
    </row>
    <row r="2391" spans="1:5">
      <c r="A2391" t="s">
        <v>1198</v>
      </c>
      <c r="B2391" t="s">
        <v>2916</v>
      </c>
      <c r="C2391" t="s">
        <v>1374</v>
      </c>
      <c r="D2391" t="s">
        <v>1299</v>
      </c>
      <c r="E2391" s="220">
        <v>9.5510000000000012E-2</v>
      </c>
    </row>
    <row r="2392" spans="1:5">
      <c r="A2392" t="s">
        <v>1192</v>
      </c>
      <c r="B2392" t="s">
        <v>2916</v>
      </c>
      <c r="C2392" t="s">
        <v>1374</v>
      </c>
      <c r="D2392" t="s">
        <v>1299</v>
      </c>
      <c r="E2392" s="220">
        <v>9.8183000000000006E-2</v>
      </c>
    </row>
    <row r="2393" spans="1:5">
      <c r="A2393" t="s">
        <v>1219</v>
      </c>
      <c r="B2393" t="s">
        <v>2916</v>
      </c>
      <c r="C2393" t="s">
        <v>1374</v>
      </c>
      <c r="D2393" t="s">
        <v>1299</v>
      </c>
      <c r="E2393" s="220">
        <v>9.8183000000000006E-2</v>
      </c>
    </row>
    <row r="2394" spans="1:5">
      <c r="A2394" t="s">
        <v>1210</v>
      </c>
      <c r="B2394" t="s">
        <v>2916</v>
      </c>
      <c r="C2394" t="s">
        <v>1374</v>
      </c>
      <c r="D2394" t="s">
        <v>1299</v>
      </c>
      <c r="E2394" s="220">
        <v>9.6409000000000009E-2</v>
      </c>
    </row>
    <row r="2395" spans="1:5">
      <c r="A2395" t="s">
        <v>1213</v>
      </c>
      <c r="B2395" t="s">
        <v>2916</v>
      </c>
      <c r="C2395" t="s">
        <v>1374</v>
      </c>
      <c r="D2395" t="s">
        <v>1299</v>
      </c>
      <c r="E2395" s="220">
        <v>9.7134999999999999E-2</v>
      </c>
    </row>
    <row r="2396" spans="1:5">
      <c r="A2396" t="s">
        <v>1216</v>
      </c>
      <c r="B2396" t="s">
        <v>2916</v>
      </c>
      <c r="C2396" t="s">
        <v>1374</v>
      </c>
      <c r="D2396" t="s">
        <v>1299</v>
      </c>
      <c r="E2396" s="220">
        <v>9.6474999999999991E-2</v>
      </c>
    </row>
    <row r="2397" spans="1:5">
      <c r="A2397" t="s">
        <v>1189</v>
      </c>
      <c r="B2397" t="s">
        <v>2916</v>
      </c>
      <c r="C2397" t="s">
        <v>1374</v>
      </c>
      <c r="D2397" t="s">
        <v>1299</v>
      </c>
      <c r="E2397" s="220">
        <v>9.4537999999999997E-2</v>
      </c>
    </row>
    <row r="2398" spans="1:5">
      <c r="A2398" t="s">
        <v>1232</v>
      </c>
      <c r="B2398" t="s">
        <v>2916</v>
      </c>
      <c r="C2398" t="s">
        <v>1374</v>
      </c>
      <c r="D2398" t="s">
        <v>1299</v>
      </c>
      <c r="E2398" s="220">
        <v>9.5007000000000008E-2</v>
      </c>
    </row>
    <row r="2399" spans="1:5">
      <c r="A2399" t="s">
        <v>1241</v>
      </c>
      <c r="B2399" t="s">
        <v>2916</v>
      </c>
      <c r="C2399" t="s">
        <v>1374</v>
      </c>
      <c r="D2399" t="s">
        <v>1299</v>
      </c>
      <c r="E2399" s="220">
        <v>9.5103999999999994E-2</v>
      </c>
    </row>
    <row r="2400" spans="1:5">
      <c r="A2400" t="s">
        <v>1247</v>
      </c>
      <c r="B2400" t="s">
        <v>2916</v>
      </c>
      <c r="C2400" t="s">
        <v>1374</v>
      </c>
      <c r="D2400" t="s">
        <v>1299</v>
      </c>
      <c r="E2400" s="220">
        <v>9.8183000000000006E-2</v>
      </c>
    </row>
    <row r="2401" spans="1:5">
      <c r="A2401" t="s">
        <v>1170</v>
      </c>
      <c r="B2401" t="s">
        <v>2916</v>
      </c>
      <c r="C2401" t="s">
        <v>1374</v>
      </c>
      <c r="D2401" t="s">
        <v>1299</v>
      </c>
      <c r="E2401" s="220">
        <v>9.6409000000000009E-2</v>
      </c>
    </row>
    <row r="2402" spans="1:5">
      <c r="A2402" t="s">
        <v>1253</v>
      </c>
      <c r="B2402" t="s">
        <v>2916</v>
      </c>
      <c r="C2402" t="s">
        <v>1374</v>
      </c>
      <c r="D2402" t="s">
        <v>1299</v>
      </c>
      <c r="E2402" s="220">
        <v>9.4299999999999995E-2</v>
      </c>
    </row>
    <row r="2403" spans="1:5">
      <c r="A2403" t="s">
        <v>1257</v>
      </c>
      <c r="B2403" t="s">
        <v>2916</v>
      </c>
      <c r="C2403" t="s">
        <v>1374</v>
      </c>
      <c r="D2403" t="s">
        <v>1299</v>
      </c>
      <c r="E2403" s="220">
        <v>9.4299999999999995E-2</v>
      </c>
    </row>
    <row r="2404" spans="1:5">
      <c r="A2404" t="s">
        <v>1268</v>
      </c>
      <c r="B2404" t="s">
        <v>2916</v>
      </c>
      <c r="C2404" t="s">
        <v>1374</v>
      </c>
      <c r="D2404" t="s">
        <v>1299</v>
      </c>
      <c r="E2404" s="220">
        <v>9.4712000000000005E-2</v>
      </c>
    </row>
    <row r="2405" spans="1:5">
      <c r="A2405" t="s">
        <v>1148</v>
      </c>
      <c r="B2405" t="s">
        <v>2916</v>
      </c>
      <c r="C2405" t="s">
        <v>1374</v>
      </c>
      <c r="D2405" t="s">
        <v>1299</v>
      </c>
      <c r="E2405" s="220">
        <v>9.4299999999999995E-2</v>
      </c>
    </row>
    <row r="2406" spans="1:5">
      <c r="A2406" t="s">
        <v>580</v>
      </c>
      <c r="B2406" t="s">
        <v>2916</v>
      </c>
      <c r="C2406" t="s">
        <v>1374</v>
      </c>
      <c r="D2406" t="s">
        <v>1301</v>
      </c>
      <c r="E2406" s="220">
        <v>7.3400000000000007E-2</v>
      </c>
    </row>
    <row r="2407" spans="1:5">
      <c r="A2407" t="s">
        <v>587</v>
      </c>
      <c r="B2407" t="s">
        <v>2916</v>
      </c>
      <c r="C2407" t="s">
        <v>1374</v>
      </c>
      <c r="D2407" t="s">
        <v>1301</v>
      </c>
      <c r="E2407" s="220">
        <v>7.3018E-2</v>
      </c>
    </row>
    <row r="2408" spans="1:5">
      <c r="A2408" t="s">
        <v>1235</v>
      </c>
      <c r="B2408" t="s">
        <v>2916</v>
      </c>
      <c r="C2408" t="s">
        <v>1374</v>
      </c>
      <c r="D2408" t="s">
        <v>1301</v>
      </c>
      <c r="E2408" s="220">
        <v>7.3343000000000005E-2</v>
      </c>
    </row>
    <row r="2409" spans="1:5">
      <c r="A2409" t="s">
        <v>617</v>
      </c>
      <c r="B2409" t="s">
        <v>2916</v>
      </c>
      <c r="C2409" t="s">
        <v>1374</v>
      </c>
      <c r="D2409" t="s">
        <v>1301</v>
      </c>
      <c r="E2409" s="220">
        <v>7.1452000000000002E-2</v>
      </c>
    </row>
    <row r="2410" spans="1:5">
      <c r="A2410" t="s">
        <v>620</v>
      </c>
      <c r="B2410" t="s">
        <v>2916</v>
      </c>
      <c r="C2410" t="s">
        <v>1374</v>
      </c>
      <c r="D2410" t="s">
        <v>1301</v>
      </c>
      <c r="E2410" s="220">
        <v>7.3287999999999992E-2</v>
      </c>
    </row>
    <row r="2411" spans="1:5">
      <c r="A2411" t="s">
        <v>614</v>
      </c>
      <c r="B2411" t="s">
        <v>2916</v>
      </c>
      <c r="C2411" t="s">
        <v>1374</v>
      </c>
      <c r="D2411" t="s">
        <v>1301</v>
      </c>
      <c r="E2411" s="220">
        <v>7.2483000000000006E-2</v>
      </c>
    </row>
    <row r="2412" spans="1:5">
      <c r="A2412" t="s">
        <v>626</v>
      </c>
      <c r="B2412" t="s">
        <v>2916</v>
      </c>
      <c r="C2412" t="s">
        <v>1374</v>
      </c>
      <c r="D2412" t="s">
        <v>1301</v>
      </c>
      <c r="E2412" s="220">
        <v>7.3266999999999999E-2</v>
      </c>
    </row>
    <row r="2413" spans="1:5">
      <c r="A2413" t="s">
        <v>629</v>
      </c>
      <c r="B2413" t="s">
        <v>2916</v>
      </c>
      <c r="C2413" t="s">
        <v>1374</v>
      </c>
      <c r="D2413" t="s">
        <v>1301</v>
      </c>
      <c r="E2413" s="220">
        <v>7.0686000000000013E-2</v>
      </c>
    </row>
    <row r="2414" spans="1:5">
      <c r="A2414" t="s">
        <v>632</v>
      </c>
      <c r="B2414" t="s">
        <v>2916</v>
      </c>
      <c r="C2414" t="s">
        <v>1374</v>
      </c>
      <c r="D2414" t="s">
        <v>1301</v>
      </c>
      <c r="E2414" s="220">
        <v>7.331E-2</v>
      </c>
    </row>
    <row r="2415" spans="1:5">
      <c r="A2415" t="s">
        <v>650</v>
      </c>
      <c r="B2415" t="s">
        <v>2916</v>
      </c>
      <c r="C2415" t="s">
        <v>1374</v>
      </c>
      <c r="D2415" t="s">
        <v>1301</v>
      </c>
      <c r="E2415" s="220">
        <v>7.1768999999999999E-2</v>
      </c>
    </row>
    <row r="2416" spans="1:5">
      <c r="A2416" t="s">
        <v>641</v>
      </c>
      <c r="B2416" t="s">
        <v>2916</v>
      </c>
      <c r="C2416" t="s">
        <v>1374</v>
      </c>
      <c r="D2416" t="s">
        <v>1301</v>
      </c>
      <c r="E2416" s="220">
        <v>7.3319999999999996E-2</v>
      </c>
    </row>
    <row r="2417" spans="1:5">
      <c r="A2417" t="s">
        <v>687</v>
      </c>
      <c r="B2417" t="s">
        <v>2916</v>
      </c>
      <c r="C2417" t="s">
        <v>1374</v>
      </c>
      <c r="D2417" t="s">
        <v>1301</v>
      </c>
      <c r="E2417" s="220">
        <v>7.0823999999999998E-2</v>
      </c>
    </row>
    <row r="2418" spans="1:5">
      <c r="A2418" t="s">
        <v>638</v>
      </c>
      <c r="B2418" t="s">
        <v>2916</v>
      </c>
      <c r="C2418" t="s">
        <v>1374</v>
      </c>
      <c r="D2418" t="s">
        <v>1301</v>
      </c>
      <c r="E2418" s="220">
        <v>7.3343000000000005E-2</v>
      </c>
    </row>
    <row r="2419" spans="1:5">
      <c r="A2419" t="s">
        <v>635</v>
      </c>
      <c r="B2419" t="s">
        <v>2916</v>
      </c>
      <c r="C2419" t="s">
        <v>1374</v>
      </c>
      <c r="D2419" t="s">
        <v>1301</v>
      </c>
      <c r="E2419" s="220">
        <v>7.2483000000000006E-2</v>
      </c>
    </row>
    <row r="2420" spans="1:5">
      <c r="A2420" t="s">
        <v>670</v>
      </c>
      <c r="B2420" t="s">
        <v>2916</v>
      </c>
      <c r="C2420" t="s">
        <v>1374</v>
      </c>
      <c r="D2420" t="s">
        <v>1301</v>
      </c>
      <c r="E2420" s="220">
        <v>7.3001999999999997E-2</v>
      </c>
    </row>
    <row r="2421" spans="1:5">
      <c r="A2421" t="s">
        <v>647</v>
      </c>
      <c r="B2421" t="s">
        <v>2916</v>
      </c>
      <c r="C2421" t="s">
        <v>1374</v>
      </c>
      <c r="D2421" t="s">
        <v>1301</v>
      </c>
      <c r="E2421" s="220">
        <v>7.3400000000000007E-2</v>
      </c>
    </row>
    <row r="2422" spans="1:5">
      <c r="A2422" t="s">
        <v>653</v>
      </c>
      <c r="B2422" t="s">
        <v>2916</v>
      </c>
      <c r="C2422" t="s">
        <v>1374</v>
      </c>
      <c r="D2422" t="s">
        <v>1301</v>
      </c>
      <c r="E2422" s="220">
        <v>7.1471000000000007E-2</v>
      </c>
    </row>
    <row r="2423" spans="1:5">
      <c r="A2423" t="s">
        <v>659</v>
      </c>
      <c r="B2423" t="s">
        <v>2916</v>
      </c>
      <c r="C2423" t="s">
        <v>1374</v>
      </c>
      <c r="D2423" t="s">
        <v>1301</v>
      </c>
      <c r="E2423" s="220">
        <v>7.2483000000000006E-2</v>
      </c>
    </row>
    <row r="2424" spans="1:5">
      <c r="A2424" t="s">
        <v>667</v>
      </c>
      <c r="B2424" t="s">
        <v>2916</v>
      </c>
      <c r="C2424" t="s">
        <v>1374</v>
      </c>
      <c r="D2424" t="s">
        <v>1301</v>
      </c>
      <c r="E2424" s="220">
        <v>7.2101999999999999E-2</v>
      </c>
    </row>
    <row r="2425" spans="1:5">
      <c r="A2425" t="s">
        <v>676</v>
      </c>
      <c r="B2425" t="s">
        <v>2916</v>
      </c>
      <c r="C2425" t="s">
        <v>1374</v>
      </c>
      <c r="D2425" t="s">
        <v>1301</v>
      </c>
      <c r="E2425" s="220">
        <v>7.1271000000000001E-2</v>
      </c>
    </row>
    <row r="2426" spans="1:5">
      <c r="A2426" t="s">
        <v>644</v>
      </c>
      <c r="B2426" t="s">
        <v>2916</v>
      </c>
      <c r="C2426" t="s">
        <v>1374</v>
      </c>
      <c r="D2426" t="s">
        <v>1301</v>
      </c>
      <c r="E2426" s="220">
        <v>7.2483000000000006E-2</v>
      </c>
    </row>
    <row r="2427" spans="1:5">
      <c r="A2427" t="s">
        <v>684</v>
      </c>
      <c r="B2427" t="s">
        <v>2916</v>
      </c>
      <c r="C2427" t="s">
        <v>1374</v>
      </c>
      <c r="D2427" t="s">
        <v>1301</v>
      </c>
      <c r="E2427" s="220">
        <v>7.3327000000000003E-2</v>
      </c>
    </row>
    <row r="2428" spans="1:5">
      <c r="A2428" t="s">
        <v>664</v>
      </c>
      <c r="B2428" t="s">
        <v>2916</v>
      </c>
      <c r="C2428" t="s">
        <v>1374</v>
      </c>
      <c r="D2428" t="s">
        <v>1301</v>
      </c>
      <c r="E2428" s="220">
        <v>7.3352000000000001E-2</v>
      </c>
    </row>
    <row r="2429" spans="1:5">
      <c r="A2429" t="s">
        <v>705</v>
      </c>
      <c r="B2429" t="s">
        <v>2916</v>
      </c>
      <c r="C2429" t="s">
        <v>1374</v>
      </c>
      <c r="D2429" t="s">
        <v>1301</v>
      </c>
      <c r="E2429" s="220">
        <v>7.3266999999999999E-2</v>
      </c>
    </row>
    <row r="2430" spans="1:5">
      <c r="A2430" t="s">
        <v>1182</v>
      </c>
      <c r="B2430" t="s">
        <v>2916</v>
      </c>
      <c r="C2430" t="s">
        <v>1374</v>
      </c>
      <c r="D2430" t="s">
        <v>1301</v>
      </c>
      <c r="E2430" s="220">
        <v>7.3010000000000005E-2</v>
      </c>
    </row>
    <row r="2431" spans="1:5">
      <c r="A2431" t="s">
        <v>720</v>
      </c>
      <c r="B2431" t="s">
        <v>2916</v>
      </c>
      <c r="C2431" t="s">
        <v>1374</v>
      </c>
      <c r="D2431" t="s">
        <v>1301</v>
      </c>
      <c r="E2431" s="220">
        <v>7.1721000000000007E-2</v>
      </c>
    </row>
    <row r="2432" spans="1:5">
      <c r="A2432" t="s">
        <v>723</v>
      </c>
      <c r="B2432" t="s">
        <v>2916</v>
      </c>
      <c r="C2432" t="s">
        <v>1374</v>
      </c>
      <c r="D2432" t="s">
        <v>1301</v>
      </c>
      <c r="E2432" s="220">
        <v>7.2644E-2</v>
      </c>
    </row>
    <row r="2433" spans="1:5">
      <c r="A2433" t="s">
        <v>726</v>
      </c>
      <c r="B2433" t="s">
        <v>2916</v>
      </c>
      <c r="C2433" t="s">
        <v>1374</v>
      </c>
      <c r="D2433" t="s">
        <v>1301</v>
      </c>
      <c r="E2433" s="220">
        <v>7.1452000000000002E-2</v>
      </c>
    </row>
    <row r="2434" spans="1:5">
      <c r="A2434" t="s">
        <v>738</v>
      </c>
      <c r="B2434" t="s">
        <v>2916</v>
      </c>
      <c r="C2434" t="s">
        <v>1374</v>
      </c>
      <c r="D2434" t="s">
        <v>1301</v>
      </c>
      <c r="E2434" s="220">
        <v>7.1471000000000007E-2</v>
      </c>
    </row>
    <row r="2435" spans="1:5">
      <c r="A2435" t="s">
        <v>747</v>
      </c>
      <c r="B2435" t="s">
        <v>2916</v>
      </c>
      <c r="C2435" t="s">
        <v>1374</v>
      </c>
      <c r="D2435" t="s">
        <v>1301</v>
      </c>
      <c r="E2435" s="220">
        <v>7.2483000000000006E-2</v>
      </c>
    </row>
    <row r="2436" spans="1:5">
      <c r="A2436" t="s">
        <v>754</v>
      </c>
      <c r="B2436" t="s">
        <v>2916</v>
      </c>
      <c r="C2436" t="s">
        <v>1374</v>
      </c>
      <c r="D2436" t="s">
        <v>1301</v>
      </c>
      <c r="E2436" s="220">
        <v>7.1316000000000004E-2</v>
      </c>
    </row>
    <row r="2437" spans="1:5">
      <c r="A2437" t="s">
        <v>757</v>
      </c>
      <c r="B2437" t="s">
        <v>2916</v>
      </c>
      <c r="C2437" t="s">
        <v>1374</v>
      </c>
      <c r="D2437" t="s">
        <v>1301</v>
      </c>
      <c r="E2437" s="220">
        <v>7.0877999999999997E-2</v>
      </c>
    </row>
    <row r="2438" spans="1:5">
      <c r="A2438" t="s">
        <v>823</v>
      </c>
      <c r="B2438" t="s">
        <v>2916</v>
      </c>
      <c r="C2438" t="s">
        <v>1374</v>
      </c>
      <c r="D2438" t="s">
        <v>1301</v>
      </c>
      <c r="E2438" s="220">
        <v>7.0459000000000008E-2</v>
      </c>
    </row>
    <row r="2439" spans="1:5">
      <c r="A2439" t="s">
        <v>767</v>
      </c>
      <c r="B2439" t="s">
        <v>2916</v>
      </c>
      <c r="C2439" t="s">
        <v>1374</v>
      </c>
      <c r="D2439" t="s">
        <v>1301</v>
      </c>
      <c r="E2439" s="220">
        <v>7.2483000000000006E-2</v>
      </c>
    </row>
    <row r="2440" spans="1:5">
      <c r="A2440" t="s">
        <v>761</v>
      </c>
      <c r="B2440" t="s">
        <v>2916</v>
      </c>
      <c r="C2440" t="s">
        <v>1374</v>
      </c>
      <c r="D2440" t="s">
        <v>1301</v>
      </c>
      <c r="E2440" s="220">
        <v>7.1108999999999992E-2</v>
      </c>
    </row>
    <row r="2441" spans="1:5">
      <c r="A2441" t="s">
        <v>770</v>
      </c>
      <c r="B2441" t="s">
        <v>2916</v>
      </c>
      <c r="C2441" t="s">
        <v>1374</v>
      </c>
      <c r="D2441" t="s">
        <v>1301</v>
      </c>
      <c r="E2441" s="220">
        <v>7.2483000000000006E-2</v>
      </c>
    </row>
    <row r="2442" spans="1:5">
      <c r="A2442" t="s">
        <v>592</v>
      </c>
      <c r="B2442" t="s">
        <v>2916</v>
      </c>
      <c r="C2442" t="s">
        <v>1374</v>
      </c>
      <c r="D2442" t="s">
        <v>1301</v>
      </c>
      <c r="E2442" s="220">
        <v>7.2483000000000006E-2</v>
      </c>
    </row>
    <row r="2443" spans="1:5">
      <c r="A2443" t="s">
        <v>773</v>
      </c>
      <c r="B2443" t="s">
        <v>2916</v>
      </c>
      <c r="C2443" t="s">
        <v>1374</v>
      </c>
      <c r="D2443" t="s">
        <v>1301</v>
      </c>
      <c r="E2443" s="220">
        <v>7.1471000000000007E-2</v>
      </c>
    </row>
    <row r="2444" spans="1:5">
      <c r="A2444" t="s">
        <v>776</v>
      </c>
      <c r="B2444" t="s">
        <v>2916</v>
      </c>
      <c r="C2444" t="s">
        <v>1374</v>
      </c>
      <c r="D2444" t="s">
        <v>1301</v>
      </c>
      <c r="E2444" s="220">
        <v>7.1327000000000002E-2</v>
      </c>
    </row>
    <row r="2445" spans="1:5">
      <c r="A2445" t="s">
        <v>1154</v>
      </c>
      <c r="B2445" t="s">
        <v>2916</v>
      </c>
      <c r="C2445" t="s">
        <v>1374</v>
      </c>
      <c r="D2445" t="s">
        <v>1301</v>
      </c>
      <c r="E2445" s="220">
        <v>7.1082999999999993E-2</v>
      </c>
    </row>
    <row r="2446" spans="1:5">
      <c r="A2446" t="s">
        <v>788</v>
      </c>
      <c r="B2446" t="s">
        <v>2916</v>
      </c>
      <c r="C2446" t="s">
        <v>1374</v>
      </c>
      <c r="D2446" t="s">
        <v>1301</v>
      </c>
      <c r="E2446" s="220">
        <v>7.2992000000000001E-2</v>
      </c>
    </row>
    <row r="2447" spans="1:5">
      <c r="A2447" t="s">
        <v>805</v>
      </c>
      <c r="B2447" t="s">
        <v>2916</v>
      </c>
      <c r="C2447" t="s">
        <v>1374</v>
      </c>
      <c r="D2447" t="s">
        <v>1301</v>
      </c>
      <c r="E2447" s="220">
        <v>7.1989999999999998E-2</v>
      </c>
    </row>
    <row r="2448" spans="1:5">
      <c r="A2448" t="s">
        <v>808</v>
      </c>
      <c r="B2448" t="s">
        <v>2916</v>
      </c>
      <c r="C2448" t="s">
        <v>1374</v>
      </c>
      <c r="D2448" t="s">
        <v>1301</v>
      </c>
      <c r="E2448" s="220">
        <v>7.2194999999999995E-2</v>
      </c>
    </row>
    <row r="2449" spans="1:5">
      <c r="A2449" t="s">
        <v>1238</v>
      </c>
      <c r="B2449" t="s">
        <v>2916</v>
      </c>
      <c r="C2449" t="s">
        <v>1374</v>
      </c>
      <c r="D2449" t="s">
        <v>1301</v>
      </c>
      <c r="E2449" s="220">
        <v>7.0986999999999995E-2</v>
      </c>
    </row>
    <row r="2450" spans="1:5">
      <c r="A2450" t="s">
        <v>820</v>
      </c>
      <c r="B2450" t="s">
        <v>2916</v>
      </c>
      <c r="C2450" t="s">
        <v>1374</v>
      </c>
      <c r="D2450" t="s">
        <v>1301</v>
      </c>
      <c r="E2450" s="220">
        <v>7.3275000000000007E-2</v>
      </c>
    </row>
    <row r="2451" spans="1:5">
      <c r="A2451" t="s">
        <v>833</v>
      </c>
      <c r="B2451" t="s">
        <v>2916</v>
      </c>
      <c r="C2451" t="s">
        <v>1374</v>
      </c>
      <c r="D2451" t="s">
        <v>1301</v>
      </c>
      <c r="E2451" s="220">
        <v>7.1647000000000002E-2</v>
      </c>
    </row>
    <row r="2452" spans="1:5">
      <c r="A2452" t="s">
        <v>839</v>
      </c>
      <c r="B2452" t="s">
        <v>2916</v>
      </c>
      <c r="C2452" t="s">
        <v>1374</v>
      </c>
      <c r="D2452" t="s">
        <v>1301</v>
      </c>
      <c r="E2452" s="220">
        <v>7.2483000000000006E-2</v>
      </c>
    </row>
    <row r="2453" spans="1:5">
      <c r="A2453" t="s">
        <v>845</v>
      </c>
      <c r="B2453" t="s">
        <v>2916</v>
      </c>
      <c r="C2453" t="s">
        <v>1374</v>
      </c>
      <c r="D2453" t="s">
        <v>1301</v>
      </c>
      <c r="E2453" s="220">
        <v>7.1471000000000007E-2</v>
      </c>
    </row>
    <row r="2454" spans="1:5">
      <c r="A2454" t="s">
        <v>854</v>
      </c>
      <c r="B2454" t="s">
        <v>2916</v>
      </c>
      <c r="C2454" t="s">
        <v>1374</v>
      </c>
      <c r="D2454" t="s">
        <v>1301</v>
      </c>
      <c r="E2454" s="220">
        <v>7.2483000000000006E-2</v>
      </c>
    </row>
    <row r="2455" spans="1:5">
      <c r="A2455" t="s">
        <v>863</v>
      </c>
      <c r="B2455" t="s">
        <v>2916</v>
      </c>
      <c r="C2455" t="s">
        <v>1374</v>
      </c>
      <c r="D2455" t="s">
        <v>1301</v>
      </c>
      <c r="E2455" s="220">
        <v>7.2704999999999992E-2</v>
      </c>
    </row>
    <row r="2456" spans="1:5">
      <c r="A2456" t="s">
        <v>860</v>
      </c>
      <c r="B2456" t="s">
        <v>2916</v>
      </c>
      <c r="C2456" t="s">
        <v>1374</v>
      </c>
      <c r="D2456" t="s">
        <v>1301</v>
      </c>
      <c r="E2456" s="220">
        <v>7.1471000000000007E-2</v>
      </c>
    </row>
    <row r="2457" spans="1:5">
      <c r="A2457" t="s">
        <v>744</v>
      </c>
      <c r="B2457" t="s">
        <v>2916</v>
      </c>
      <c r="C2457" t="s">
        <v>1374</v>
      </c>
      <c r="D2457" t="s">
        <v>1301</v>
      </c>
      <c r="E2457" s="220">
        <v>7.2033E-2</v>
      </c>
    </row>
    <row r="2458" spans="1:5">
      <c r="A2458" t="s">
        <v>857</v>
      </c>
      <c r="B2458" t="s">
        <v>2916</v>
      </c>
      <c r="C2458" t="s">
        <v>1374</v>
      </c>
      <c r="D2458" t="s">
        <v>1301</v>
      </c>
      <c r="E2458" s="220">
        <v>7.2483000000000006E-2</v>
      </c>
    </row>
    <row r="2459" spans="1:5">
      <c r="A2459" t="s">
        <v>866</v>
      </c>
      <c r="B2459" t="s">
        <v>2916</v>
      </c>
      <c r="C2459" t="s">
        <v>1374</v>
      </c>
      <c r="D2459" t="s">
        <v>1301</v>
      </c>
      <c r="E2459" s="220">
        <v>7.1611999999999995E-2</v>
      </c>
    </row>
    <row r="2460" spans="1:5">
      <c r="A2460" t="s">
        <v>875</v>
      </c>
      <c r="B2460" t="s">
        <v>2916</v>
      </c>
      <c r="C2460" t="s">
        <v>1374</v>
      </c>
      <c r="D2460" t="s">
        <v>1301</v>
      </c>
      <c r="E2460" s="220">
        <v>7.2364999999999999E-2</v>
      </c>
    </row>
    <row r="2461" spans="1:5">
      <c r="A2461" t="s">
        <v>872</v>
      </c>
      <c r="B2461" t="s">
        <v>2916</v>
      </c>
      <c r="C2461" t="s">
        <v>1374</v>
      </c>
      <c r="D2461" t="s">
        <v>1301</v>
      </c>
      <c r="E2461" s="220">
        <v>7.1264999999999995E-2</v>
      </c>
    </row>
    <row r="2462" spans="1:5">
      <c r="A2462" t="s">
        <v>884</v>
      </c>
      <c r="B2462" t="s">
        <v>2916</v>
      </c>
      <c r="C2462" t="s">
        <v>1374</v>
      </c>
      <c r="D2462" t="s">
        <v>1301</v>
      </c>
      <c r="E2462" s="220">
        <v>7.2600999999999999E-2</v>
      </c>
    </row>
    <row r="2463" spans="1:5">
      <c r="A2463" t="s">
        <v>878</v>
      </c>
      <c r="B2463" t="s">
        <v>2916</v>
      </c>
      <c r="C2463" t="s">
        <v>1374</v>
      </c>
      <c r="D2463" t="s">
        <v>1301</v>
      </c>
      <c r="E2463" s="220">
        <v>7.3367999999999989E-2</v>
      </c>
    </row>
    <row r="2464" spans="1:5">
      <c r="A2464" t="s">
        <v>881</v>
      </c>
      <c r="B2464" t="s">
        <v>2916</v>
      </c>
      <c r="C2464" t="s">
        <v>1374</v>
      </c>
      <c r="D2464" t="s">
        <v>1301</v>
      </c>
      <c r="E2464" s="220">
        <v>7.3343000000000005E-2</v>
      </c>
    </row>
    <row r="2465" spans="1:5">
      <c r="A2465" t="s">
        <v>869</v>
      </c>
      <c r="B2465" t="s">
        <v>2916</v>
      </c>
      <c r="C2465" t="s">
        <v>1374</v>
      </c>
      <c r="D2465" t="s">
        <v>1301</v>
      </c>
      <c r="E2465" s="220">
        <v>7.2271000000000002E-2</v>
      </c>
    </row>
    <row r="2466" spans="1:5">
      <c r="A2466" t="s">
        <v>891</v>
      </c>
      <c r="B2466" t="s">
        <v>2916</v>
      </c>
      <c r="C2466" t="s">
        <v>1374</v>
      </c>
      <c r="D2466" t="s">
        <v>1301</v>
      </c>
      <c r="E2466" s="220">
        <v>7.3355999999999991E-2</v>
      </c>
    </row>
    <row r="2467" spans="1:5">
      <c r="A2467" t="s">
        <v>894</v>
      </c>
      <c r="B2467" t="s">
        <v>2916</v>
      </c>
      <c r="C2467" t="s">
        <v>1374</v>
      </c>
      <c r="D2467" t="s">
        <v>1301</v>
      </c>
      <c r="E2467" s="220">
        <v>7.1498999999999993E-2</v>
      </c>
    </row>
    <row r="2468" spans="1:5">
      <c r="A2468" t="s">
        <v>897</v>
      </c>
      <c r="B2468" t="s">
        <v>2916</v>
      </c>
      <c r="C2468" t="s">
        <v>1374</v>
      </c>
      <c r="D2468" t="s">
        <v>1301</v>
      </c>
      <c r="E2468" s="220">
        <v>7.2483000000000006E-2</v>
      </c>
    </row>
    <row r="2469" spans="1:5">
      <c r="A2469" t="s">
        <v>903</v>
      </c>
      <c r="B2469" t="s">
        <v>2916</v>
      </c>
      <c r="C2469" t="s">
        <v>1374</v>
      </c>
      <c r="D2469" t="s">
        <v>1301</v>
      </c>
      <c r="E2469" s="220">
        <v>7.3343000000000005E-2</v>
      </c>
    </row>
    <row r="2470" spans="1:5">
      <c r="A2470" t="s">
        <v>900</v>
      </c>
      <c r="B2470" t="s">
        <v>2916</v>
      </c>
      <c r="C2470" t="s">
        <v>1374</v>
      </c>
      <c r="D2470" t="s">
        <v>1301</v>
      </c>
      <c r="E2470" s="220">
        <v>7.3272999999999991E-2</v>
      </c>
    </row>
    <row r="2471" spans="1:5">
      <c r="A2471" t="s">
        <v>906</v>
      </c>
      <c r="B2471" t="s">
        <v>2916</v>
      </c>
      <c r="C2471" t="s">
        <v>1374</v>
      </c>
      <c r="D2471" t="s">
        <v>1301</v>
      </c>
      <c r="E2471" s="220">
        <v>7.3340000000000002E-2</v>
      </c>
    </row>
    <row r="2472" spans="1:5">
      <c r="A2472" t="s">
        <v>930</v>
      </c>
      <c r="B2472" t="s">
        <v>2916</v>
      </c>
      <c r="C2472" t="s">
        <v>1374</v>
      </c>
      <c r="D2472" t="s">
        <v>1301</v>
      </c>
      <c r="E2472" s="220">
        <v>7.3289000000000007E-2</v>
      </c>
    </row>
    <row r="2473" spans="1:5">
      <c r="A2473" t="s">
        <v>699</v>
      </c>
      <c r="B2473" t="s">
        <v>2916</v>
      </c>
      <c r="C2473" t="s">
        <v>1374</v>
      </c>
      <c r="D2473" t="s">
        <v>1301</v>
      </c>
      <c r="E2473" s="220">
        <v>7.3331000000000007E-2</v>
      </c>
    </row>
    <row r="2474" spans="1:5">
      <c r="A2474" t="s">
        <v>1160</v>
      </c>
      <c r="B2474" t="s">
        <v>2916</v>
      </c>
      <c r="C2474" t="s">
        <v>1374</v>
      </c>
      <c r="D2474" t="s">
        <v>1301</v>
      </c>
      <c r="E2474" s="220">
        <v>7.2483000000000006E-2</v>
      </c>
    </row>
    <row r="2475" spans="1:5">
      <c r="A2475" t="s">
        <v>915</v>
      </c>
      <c r="B2475" t="s">
        <v>2916</v>
      </c>
      <c r="C2475" t="s">
        <v>1374</v>
      </c>
      <c r="D2475" t="s">
        <v>1301</v>
      </c>
      <c r="E2475" s="220">
        <v>7.3033000000000001E-2</v>
      </c>
    </row>
    <row r="2476" spans="1:5">
      <c r="A2476" t="s">
        <v>927</v>
      </c>
      <c r="B2476" t="s">
        <v>2916</v>
      </c>
      <c r="C2476" t="s">
        <v>1374</v>
      </c>
      <c r="D2476" t="s">
        <v>1301</v>
      </c>
      <c r="E2476" s="220">
        <v>7.336100000000001E-2</v>
      </c>
    </row>
    <row r="2477" spans="1:5">
      <c r="A2477" t="s">
        <v>933</v>
      </c>
      <c r="B2477" t="s">
        <v>2916</v>
      </c>
      <c r="C2477" t="s">
        <v>1374</v>
      </c>
      <c r="D2477" t="s">
        <v>1301</v>
      </c>
      <c r="E2477" s="220">
        <v>7.3354000000000003E-2</v>
      </c>
    </row>
    <row r="2478" spans="1:5">
      <c r="A2478" t="s">
        <v>939</v>
      </c>
      <c r="B2478" t="s">
        <v>2916</v>
      </c>
      <c r="C2478" t="s">
        <v>1374</v>
      </c>
      <c r="D2478" t="s">
        <v>1301</v>
      </c>
      <c r="E2478" s="220">
        <v>7.3343000000000005E-2</v>
      </c>
    </row>
    <row r="2479" spans="1:5">
      <c r="A2479" t="s">
        <v>1163</v>
      </c>
      <c r="B2479" t="s">
        <v>2916</v>
      </c>
      <c r="C2479" t="s">
        <v>1374</v>
      </c>
      <c r="D2479" t="s">
        <v>1301</v>
      </c>
      <c r="E2479" s="220">
        <v>7.2483000000000006E-2</v>
      </c>
    </row>
    <row r="2480" spans="1:5">
      <c r="A2480" t="s">
        <v>1157</v>
      </c>
      <c r="B2480" t="s">
        <v>2916</v>
      </c>
      <c r="C2480" t="s">
        <v>1374</v>
      </c>
      <c r="D2480" t="s">
        <v>1301</v>
      </c>
      <c r="E2480" s="220">
        <v>7.3400000000000007E-2</v>
      </c>
    </row>
    <row r="2481" spans="1:5">
      <c r="A2481" t="s">
        <v>954</v>
      </c>
      <c r="B2481" t="s">
        <v>2916</v>
      </c>
      <c r="C2481" t="s">
        <v>1374</v>
      </c>
      <c r="D2481" t="s">
        <v>1301</v>
      </c>
      <c r="E2481" s="220">
        <v>7.176600000000001E-2</v>
      </c>
    </row>
    <row r="2482" spans="1:5">
      <c r="A2482" t="s">
        <v>957</v>
      </c>
      <c r="B2482" t="s">
        <v>2916</v>
      </c>
      <c r="C2482" t="s">
        <v>1374</v>
      </c>
      <c r="D2482" t="s">
        <v>1301</v>
      </c>
      <c r="E2482" s="220">
        <v>7.1790999999999994E-2</v>
      </c>
    </row>
    <row r="2483" spans="1:5">
      <c r="A2483" t="s">
        <v>936</v>
      </c>
      <c r="B2483" t="s">
        <v>2916</v>
      </c>
      <c r="C2483" t="s">
        <v>1374</v>
      </c>
      <c r="D2483" t="s">
        <v>1301</v>
      </c>
      <c r="E2483" s="220">
        <v>7.2046000000000013E-2</v>
      </c>
    </row>
    <row r="2484" spans="1:5">
      <c r="A2484" t="s">
        <v>1014</v>
      </c>
      <c r="B2484" t="s">
        <v>2916</v>
      </c>
      <c r="C2484" t="s">
        <v>1374</v>
      </c>
      <c r="D2484" t="s">
        <v>1301</v>
      </c>
      <c r="E2484" s="220">
        <v>7.2483000000000006E-2</v>
      </c>
    </row>
    <row r="2485" spans="1:5">
      <c r="A2485" t="s">
        <v>999</v>
      </c>
      <c r="B2485" t="s">
        <v>2916</v>
      </c>
      <c r="C2485" t="s">
        <v>1374</v>
      </c>
      <c r="D2485" t="s">
        <v>1301</v>
      </c>
      <c r="E2485" s="220">
        <v>7.3400000000000007E-2</v>
      </c>
    </row>
    <row r="2486" spans="1:5">
      <c r="A2486" t="s">
        <v>993</v>
      </c>
      <c r="B2486" t="s">
        <v>2916</v>
      </c>
      <c r="C2486" t="s">
        <v>1374</v>
      </c>
      <c r="D2486" t="s">
        <v>1301</v>
      </c>
      <c r="E2486" s="220">
        <v>7.3230999999999991E-2</v>
      </c>
    </row>
    <row r="2487" spans="1:5">
      <c r="A2487" t="s">
        <v>963</v>
      </c>
      <c r="B2487" t="s">
        <v>2916</v>
      </c>
      <c r="C2487" t="s">
        <v>1374</v>
      </c>
      <c r="D2487" t="s">
        <v>1301</v>
      </c>
      <c r="E2487" s="220">
        <v>7.3185E-2</v>
      </c>
    </row>
    <row r="2488" spans="1:5">
      <c r="A2488" t="s">
        <v>981</v>
      </c>
      <c r="B2488" t="s">
        <v>2916</v>
      </c>
      <c r="C2488" t="s">
        <v>1374</v>
      </c>
      <c r="D2488" t="s">
        <v>1301</v>
      </c>
      <c r="E2488" s="220">
        <v>7.2541999999999995E-2</v>
      </c>
    </row>
    <row r="2489" spans="1:5">
      <c r="A2489" t="s">
        <v>1020</v>
      </c>
      <c r="B2489" t="s">
        <v>2916</v>
      </c>
      <c r="C2489" t="s">
        <v>1374</v>
      </c>
      <c r="D2489" t="s">
        <v>1301</v>
      </c>
      <c r="E2489" s="220">
        <v>7.3328000000000004E-2</v>
      </c>
    </row>
    <row r="2490" spans="1:5">
      <c r="A2490" t="s">
        <v>1006</v>
      </c>
      <c r="B2490" t="s">
        <v>2916</v>
      </c>
      <c r="C2490" t="s">
        <v>1374</v>
      </c>
      <c r="D2490" t="s">
        <v>1301</v>
      </c>
      <c r="E2490" s="220">
        <v>7.3400000000000007E-2</v>
      </c>
    </row>
    <row r="2491" spans="1:5">
      <c r="A2491" t="s">
        <v>972</v>
      </c>
      <c r="B2491" t="s">
        <v>2916</v>
      </c>
      <c r="C2491" t="s">
        <v>1374</v>
      </c>
      <c r="D2491" t="s">
        <v>1301</v>
      </c>
      <c r="E2491" s="220">
        <v>7.2825999999999988E-2</v>
      </c>
    </row>
    <row r="2492" spans="1:5">
      <c r="A2492" t="s">
        <v>1042</v>
      </c>
      <c r="B2492" t="s">
        <v>2916</v>
      </c>
      <c r="C2492" t="s">
        <v>1374</v>
      </c>
      <c r="D2492" t="s">
        <v>1301</v>
      </c>
      <c r="E2492" s="220">
        <v>7.1471000000000007E-2</v>
      </c>
    </row>
    <row r="2493" spans="1:5">
      <c r="A2493" t="s">
        <v>1032</v>
      </c>
      <c r="B2493" t="s">
        <v>2916</v>
      </c>
      <c r="C2493" t="s">
        <v>1374</v>
      </c>
      <c r="D2493" t="s">
        <v>1301</v>
      </c>
      <c r="E2493" s="220">
        <v>7.1697999999999998E-2</v>
      </c>
    </row>
    <row r="2494" spans="1:5">
      <c r="A2494" t="s">
        <v>1055</v>
      </c>
      <c r="B2494" t="s">
        <v>2916</v>
      </c>
      <c r="C2494" t="s">
        <v>1374</v>
      </c>
      <c r="D2494" t="s">
        <v>1301</v>
      </c>
      <c r="E2494" s="220">
        <v>7.1266999999999997E-2</v>
      </c>
    </row>
    <row r="2495" spans="1:5">
      <c r="A2495" t="s">
        <v>1029</v>
      </c>
      <c r="B2495" t="s">
        <v>2916</v>
      </c>
      <c r="C2495" t="s">
        <v>1374</v>
      </c>
      <c r="D2495" t="s">
        <v>1301</v>
      </c>
      <c r="E2495" s="220">
        <v>7.3400000000000007E-2</v>
      </c>
    </row>
    <row r="2496" spans="1:5">
      <c r="A2496" t="s">
        <v>1039</v>
      </c>
      <c r="B2496" t="s">
        <v>2916</v>
      </c>
      <c r="C2496" t="s">
        <v>1374</v>
      </c>
      <c r="D2496" t="s">
        <v>1301</v>
      </c>
      <c r="E2496" s="220">
        <v>7.315300000000001E-2</v>
      </c>
    </row>
    <row r="2497" spans="1:5">
      <c r="A2497" t="s">
        <v>1058</v>
      </c>
      <c r="B2497" t="s">
        <v>2916</v>
      </c>
      <c r="C2497" t="s">
        <v>1374</v>
      </c>
      <c r="D2497" t="s">
        <v>1301</v>
      </c>
      <c r="E2497" s="220">
        <v>7.3343000000000005E-2</v>
      </c>
    </row>
    <row r="2498" spans="1:5">
      <c r="A2498" t="s">
        <v>1061</v>
      </c>
      <c r="B2498" t="s">
        <v>2916</v>
      </c>
      <c r="C2498" t="s">
        <v>1374</v>
      </c>
      <c r="D2498" t="s">
        <v>1301</v>
      </c>
      <c r="E2498" s="220">
        <v>7.2574E-2</v>
      </c>
    </row>
    <row r="2499" spans="1:5">
      <c r="A2499" t="s">
        <v>1067</v>
      </c>
      <c r="B2499" t="s">
        <v>2916</v>
      </c>
      <c r="C2499" t="s">
        <v>1374</v>
      </c>
      <c r="D2499" t="s">
        <v>1301</v>
      </c>
      <c r="E2499" s="220">
        <v>7.1471000000000007E-2</v>
      </c>
    </row>
    <row r="2500" spans="1:5">
      <c r="A2500" t="s">
        <v>1076</v>
      </c>
      <c r="B2500" t="s">
        <v>2916</v>
      </c>
      <c r="C2500" t="s">
        <v>1374</v>
      </c>
      <c r="D2500" t="s">
        <v>1301</v>
      </c>
      <c r="E2500" s="220">
        <v>7.248099999999999E-2</v>
      </c>
    </row>
    <row r="2501" spans="1:5">
      <c r="A2501" t="s">
        <v>1079</v>
      </c>
      <c r="B2501" t="s">
        <v>2916</v>
      </c>
      <c r="C2501" t="s">
        <v>1374</v>
      </c>
      <c r="D2501" t="s">
        <v>1301</v>
      </c>
      <c r="E2501" s="220">
        <v>7.1066000000000004E-2</v>
      </c>
    </row>
    <row r="2502" spans="1:5">
      <c r="A2502" t="s">
        <v>1082</v>
      </c>
      <c r="B2502" t="s">
        <v>2916</v>
      </c>
      <c r="C2502" t="s">
        <v>1374</v>
      </c>
      <c r="D2502" t="s">
        <v>1301</v>
      </c>
      <c r="E2502" s="220">
        <v>7.1653999999999995E-2</v>
      </c>
    </row>
    <row r="2503" spans="1:5">
      <c r="A2503" t="s">
        <v>919</v>
      </c>
      <c r="B2503" t="s">
        <v>2916</v>
      </c>
      <c r="C2503" t="s">
        <v>1374</v>
      </c>
      <c r="D2503" t="s">
        <v>1301</v>
      </c>
      <c r="E2503" s="220">
        <v>7.3400000000000007E-2</v>
      </c>
    </row>
    <row r="2504" spans="1:5">
      <c r="A2504" t="s">
        <v>1085</v>
      </c>
      <c r="B2504" t="s">
        <v>2916</v>
      </c>
      <c r="C2504" t="s">
        <v>1374</v>
      </c>
      <c r="D2504" t="s">
        <v>1301</v>
      </c>
      <c r="E2504" s="220">
        <v>7.0688999999999988E-2</v>
      </c>
    </row>
    <row r="2505" spans="1:5">
      <c r="A2505" t="s">
        <v>1073</v>
      </c>
      <c r="B2505" t="s">
        <v>2916</v>
      </c>
      <c r="C2505" t="s">
        <v>1374</v>
      </c>
      <c r="D2505" t="s">
        <v>1301</v>
      </c>
      <c r="E2505" s="220">
        <v>7.0713999999999999E-2</v>
      </c>
    </row>
    <row r="2506" spans="1:5">
      <c r="A2506" t="s">
        <v>1264</v>
      </c>
      <c r="B2506" t="s">
        <v>2916</v>
      </c>
      <c r="C2506" t="s">
        <v>1374</v>
      </c>
      <c r="D2506" t="s">
        <v>1301</v>
      </c>
      <c r="E2506" s="220">
        <v>7.3343000000000005E-2</v>
      </c>
    </row>
    <row r="2507" spans="1:5">
      <c r="A2507" t="s">
        <v>1091</v>
      </c>
      <c r="B2507" t="s">
        <v>2916</v>
      </c>
      <c r="C2507" t="s">
        <v>1374</v>
      </c>
      <c r="D2507" t="s">
        <v>1301</v>
      </c>
      <c r="E2507" s="220">
        <v>7.3343000000000005E-2</v>
      </c>
    </row>
    <row r="2508" spans="1:5">
      <c r="A2508" t="s">
        <v>1094</v>
      </c>
      <c r="B2508" t="s">
        <v>2916</v>
      </c>
      <c r="C2508" t="s">
        <v>1374</v>
      </c>
      <c r="D2508" t="s">
        <v>1301</v>
      </c>
      <c r="E2508" s="220">
        <v>7.1819999999999995E-2</v>
      </c>
    </row>
    <row r="2509" spans="1:5">
      <c r="A2509" t="s">
        <v>1097</v>
      </c>
      <c r="B2509" t="s">
        <v>2916</v>
      </c>
      <c r="C2509" t="s">
        <v>1374</v>
      </c>
      <c r="D2509" t="s">
        <v>1301</v>
      </c>
      <c r="E2509" s="220">
        <v>7.3266999999999999E-2</v>
      </c>
    </row>
    <row r="2510" spans="1:5">
      <c r="A2510" t="s">
        <v>1113</v>
      </c>
      <c r="B2510" t="s">
        <v>2916</v>
      </c>
      <c r="C2510" t="s">
        <v>1374</v>
      </c>
      <c r="D2510" t="s">
        <v>1301</v>
      </c>
      <c r="E2510" s="220">
        <v>7.336100000000001E-2</v>
      </c>
    </row>
    <row r="2511" spans="1:5">
      <c r="A2511" t="s">
        <v>1173</v>
      </c>
      <c r="B2511" t="s">
        <v>2916</v>
      </c>
      <c r="C2511" t="s">
        <v>1374</v>
      </c>
      <c r="D2511" t="s">
        <v>1301</v>
      </c>
      <c r="E2511" s="220">
        <v>7.2483000000000006E-2</v>
      </c>
    </row>
    <row r="2512" spans="1:5">
      <c r="A2512" t="s">
        <v>1128</v>
      </c>
      <c r="B2512" t="s">
        <v>2916</v>
      </c>
      <c r="C2512" t="s">
        <v>1374</v>
      </c>
      <c r="D2512" t="s">
        <v>1301</v>
      </c>
      <c r="E2512" s="220">
        <v>7.3327000000000003E-2</v>
      </c>
    </row>
    <row r="2513" spans="1:5">
      <c r="A2513" t="s">
        <v>779</v>
      </c>
      <c r="B2513" t="s">
        <v>2916</v>
      </c>
      <c r="C2513" t="s">
        <v>1374</v>
      </c>
      <c r="D2513" t="s">
        <v>1301</v>
      </c>
      <c r="E2513" s="220">
        <v>7.1471000000000007E-2</v>
      </c>
    </row>
    <row r="2514" spans="1:5">
      <c r="A2514" t="s">
        <v>1119</v>
      </c>
      <c r="B2514" t="s">
        <v>2916</v>
      </c>
      <c r="C2514" t="s">
        <v>1374</v>
      </c>
      <c r="D2514" t="s">
        <v>1301</v>
      </c>
      <c r="E2514" s="220">
        <v>7.3159000000000002E-2</v>
      </c>
    </row>
    <row r="2515" spans="1:5">
      <c r="A2515" t="s">
        <v>1176</v>
      </c>
      <c r="B2515" t="s">
        <v>2916</v>
      </c>
      <c r="C2515" t="s">
        <v>1374</v>
      </c>
      <c r="D2515" t="s">
        <v>1301</v>
      </c>
      <c r="E2515" s="220">
        <v>7.2483000000000006E-2</v>
      </c>
    </row>
    <row r="2516" spans="1:5">
      <c r="A2516" t="s">
        <v>1135</v>
      </c>
      <c r="B2516" t="s">
        <v>2916</v>
      </c>
      <c r="C2516" t="s">
        <v>1374</v>
      </c>
      <c r="D2516" t="s">
        <v>1301</v>
      </c>
      <c r="E2516" s="220">
        <v>7.0331999999999992E-2</v>
      </c>
    </row>
    <row r="2517" spans="1:5">
      <c r="A2517" t="s">
        <v>1139</v>
      </c>
      <c r="B2517" t="s">
        <v>2916</v>
      </c>
      <c r="C2517" t="s">
        <v>1374</v>
      </c>
      <c r="D2517" t="s">
        <v>1301</v>
      </c>
      <c r="E2517" s="220">
        <v>7.0476999999999998E-2</v>
      </c>
    </row>
    <row r="2518" spans="1:5">
      <c r="A2518" t="s">
        <v>1179</v>
      </c>
      <c r="B2518" t="s">
        <v>2916</v>
      </c>
      <c r="C2518" t="s">
        <v>1374</v>
      </c>
      <c r="D2518" t="s">
        <v>1301</v>
      </c>
      <c r="E2518" s="220">
        <v>6.7941999999999989E-2</v>
      </c>
    </row>
    <row r="2519" spans="1:5">
      <c r="A2519" t="s">
        <v>1185</v>
      </c>
      <c r="B2519" t="s">
        <v>2916</v>
      </c>
      <c r="C2519" t="s">
        <v>1374</v>
      </c>
      <c r="D2519" t="s">
        <v>1301</v>
      </c>
      <c r="E2519" s="220">
        <v>7.3343000000000005E-2</v>
      </c>
    </row>
    <row r="2520" spans="1:5">
      <c r="A2520" t="s">
        <v>1198</v>
      </c>
      <c r="B2520" t="s">
        <v>2916</v>
      </c>
      <c r="C2520" t="s">
        <v>1374</v>
      </c>
      <c r="D2520" t="s">
        <v>1301</v>
      </c>
      <c r="E2520" s="220">
        <v>6.8068000000000004E-2</v>
      </c>
    </row>
    <row r="2521" spans="1:5">
      <c r="A2521" t="s">
        <v>1192</v>
      </c>
      <c r="B2521" t="s">
        <v>2916</v>
      </c>
      <c r="C2521" t="s">
        <v>1374</v>
      </c>
      <c r="D2521" t="s">
        <v>1301</v>
      </c>
      <c r="E2521" s="220">
        <v>7.3317999999999994E-2</v>
      </c>
    </row>
    <row r="2522" spans="1:5">
      <c r="A2522" t="s">
        <v>1219</v>
      </c>
      <c r="B2522" t="s">
        <v>2916</v>
      </c>
      <c r="C2522" t="s">
        <v>1374</v>
      </c>
      <c r="D2522" t="s">
        <v>1301</v>
      </c>
      <c r="E2522" s="220">
        <v>7.3317999999999994E-2</v>
      </c>
    </row>
    <row r="2523" spans="1:5">
      <c r="A2523" t="s">
        <v>1210</v>
      </c>
      <c r="B2523" t="s">
        <v>2916</v>
      </c>
      <c r="C2523" t="s">
        <v>1374</v>
      </c>
      <c r="D2523" t="s">
        <v>1301</v>
      </c>
      <c r="E2523" s="220">
        <v>7.2483000000000006E-2</v>
      </c>
    </row>
    <row r="2524" spans="1:5">
      <c r="A2524" t="s">
        <v>1213</v>
      </c>
      <c r="B2524" t="s">
        <v>2916</v>
      </c>
      <c r="C2524" t="s">
        <v>1374</v>
      </c>
      <c r="D2524" t="s">
        <v>1301</v>
      </c>
      <c r="E2524" s="220">
        <v>7.2483000000000006E-2</v>
      </c>
    </row>
    <row r="2525" spans="1:5">
      <c r="A2525" t="s">
        <v>1216</v>
      </c>
      <c r="B2525" t="s">
        <v>2916</v>
      </c>
      <c r="C2525" t="s">
        <v>1374</v>
      </c>
      <c r="D2525" t="s">
        <v>1301</v>
      </c>
      <c r="E2525" s="220">
        <v>7.2992999999999988E-2</v>
      </c>
    </row>
    <row r="2526" spans="1:5">
      <c r="A2526" t="s">
        <v>1189</v>
      </c>
      <c r="B2526" t="s">
        <v>2916</v>
      </c>
      <c r="C2526" t="s">
        <v>1374</v>
      </c>
      <c r="D2526" t="s">
        <v>1301</v>
      </c>
      <c r="E2526" s="220">
        <v>7.3366000000000001E-2</v>
      </c>
    </row>
    <row r="2527" spans="1:5">
      <c r="A2527" t="s">
        <v>1232</v>
      </c>
      <c r="B2527" t="s">
        <v>2916</v>
      </c>
      <c r="C2527" t="s">
        <v>1374</v>
      </c>
      <c r="D2527" t="s">
        <v>1301</v>
      </c>
      <c r="E2527" s="220">
        <v>7.3134000000000005E-2</v>
      </c>
    </row>
    <row r="2528" spans="1:5">
      <c r="A2528" t="s">
        <v>1244</v>
      </c>
      <c r="B2528" t="s">
        <v>2916</v>
      </c>
      <c r="C2528" t="s">
        <v>1374</v>
      </c>
      <c r="D2528" t="s">
        <v>1301</v>
      </c>
      <c r="E2528" s="220">
        <v>7.2427000000000005E-2</v>
      </c>
    </row>
    <row r="2529" spans="1:5">
      <c r="A2529" t="s">
        <v>1241</v>
      </c>
      <c r="B2529" t="s">
        <v>2916</v>
      </c>
      <c r="C2529" t="s">
        <v>1374</v>
      </c>
      <c r="D2529" t="s">
        <v>1301</v>
      </c>
      <c r="E2529" s="220">
        <v>7.3134000000000005E-2</v>
      </c>
    </row>
    <row r="2530" spans="1:5">
      <c r="A2530" t="s">
        <v>1247</v>
      </c>
      <c r="B2530" t="s">
        <v>2916</v>
      </c>
      <c r="C2530" t="s">
        <v>1374</v>
      </c>
      <c r="D2530" t="s">
        <v>1301</v>
      </c>
      <c r="E2530" s="220">
        <v>7.3317999999999994E-2</v>
      </c>
    </row>
    <row r="2531" spans="1:5">
      <c r="A2531" t="s">
        <v>1170</v>
      </c>
      <c r="B2531" t="s">
        <v>2916</v>
      </c>
      <c r="C2531" t="s">
        <v>1374</v>
      </c>
      <c r="D2531" t="s">
        <v>1301</v>
      </c>
      <c r="E2531" s="220">
        <v>7.2483000000000006E-2</v>
      </c>
    </row>
    <row r="2532" spans="1:5">
      <c r="A2532" t="s">
        <v>1253</v>
      </c>
      <c r="B2532" t="s">
        <v>2916</v>
      </c>
      <c r="C2532" t="s">
        <v>1374</v>
      </c>
      <c r="D2532" t="s">
        <v>1301</v>
      </c>
      <c r="E2532" s="220">
        <v>7.2206000000000006E-2</v>
      </c>
    </row>
    <row r="2533" spans="1:5">
      <c r="A2533" t="s">
        <v>1257</v>
      </c>
      <c r="B2533" t="s">
        <v>2916</v>
      </c>
      <c r="C2533" t="s">
        <v>1374</v>
      </c>
      <c r="D2533" t="s">
        <v>1301</v>
      </c>
      <c r="E2533" s="220">
        <v>7.3346999999999996E-2</v>
      </c>
    </row>
    <row r="2534" spans="1:5">
      <c r="A2534" t="s">
        <v>1268</v>
      </c>
      <c r="B2534" t="s">
        <v>2916</v>
      </c>
      <c r="C2534" t="s">
        <v>1374</v>
      </c>
      <c r="D2534" t="s">
        <v>1301</v>
      </c>
      <c r="E2534" s="220">
        <v>7.3343000000000005E-2</v>
      </c>
    </row>
    <row r="2535" spans="1:5">
      <c r="A2535" t="s">
        <v>1148</v>
      </c>
      <c r="B2535" t="s">
        <v>2916</v>
      </c>
      <c r="C2535" t="s">
        <v>1374</v>
      </c>
      <c r="D2535" t="s">
        <v>1301</v>
      </c>
      <c r="E2535" s="220">
        <v>7.1009000000000003E-2</v>
      </c>
    </row>
    <row r="2536" spans="1:5">
      <c r="A2536" t="s">
        <v>580</v>
      </c>
      <c r="B2536" t="s">
        <v>2916</v>
      </c>
      <c r="C2536" t="s">
        <v>1374</v>
      </c>
      <c r="D2536" t="s">
        <v>1305</v>
      </c>
      <c r="E2536" s="220">
        <v>6.7986000000000005E-2</v>
      </c>
    </row>
    <row r="2537" spans="1:5">
      <c r="A2537" t="s">
        <v>587</v>
      </c>
      <c r="B2537" t="s">
        <v>2916</v>
      </c>
      <c r="C2537" t="s">
        <v>1374</v>
      </c>
      <c r="D2537" t="s">
        <v>1305</v>
      </c>
      <c r="E2537" s="220">
        <v>6.8266000000000007E-2</v>
      </c>
    </row>
    <row r="2538" spans="1:5">
      <c r="A2538" t="s">
        <v>1235</v>
      </c>
      <c r="B2538" t="s">
        <v>2916</v>
      </c>
      <c r="C2538" t="s">
        <v>1374</v>
      </c>
      <c r="D2538" t="s">
        <v>1305</v>
      </c>
      <c r="E2538" s="220">
        <v>6.8558999999999995E-2</v>
      </c>
    </row>
    <row r="2539" spans="1:5">
      <c r="A2539" t="s">
        <v>617</v>
      </c>
      <c r="B2539" t="s">
        <v>2916</v>
      </c>
      <c r="C2539" t="s">
        <v>1374</v>
      </c>
      <c r="D2539" t="s">
        <v>1305</v>
      </c>
      <c r="E2539" s="220">
        <v>6.7041000000000003E-2</v>
      </c>
    </row>
    <row r="2540" spans="1:5">
      <c r="A2540" t="s">
        <v>620</v>
      </c>
      <c r="B2540" t="s">
        <v>2916</v>
      </c>
      <c r="C2540" t="s">
        <v>1374</v>
      </c>
      <c r="D2540" t="s">
        <v>1305</v>
      </c>
      <c r="E2540" s="220">
        <v>6.8483000000000002E-2</v>
      </c>
    </row>
    <row r="2541" spans="1:5">
      <c r="A2541" t="s">
        <v>614</v>
      </c>
      <c r="B2541" t="s">
        <v>2916</v>
      </c>
      <c r="C2541" t="s">
        <v>1374</v>
      </c>
      <c r="D2541" t="s">
        <v>1305</v>
      </c>
      <c r="E2541" s="220">
        <v>6.7770999999999998E-2</v>
      </c>
    </row>
    <row r="2542" spans="1:5">
      <c r="A2542" t="s">
        <v>626</v>
      </c>
      <c r="B2542" t="s">
        <v>2916</v>
      </c>
      <c r="C2542" t="s">
        <v>1374</v>
      </c>
      <c r="D2542" t="s">
        <v>1305</v>
      </c>
      <c r="E2542" s="220">
        <v>6.6359000000000001E-2</v>
      </c>
    </row>
    <row r="2543" spans="1:5">
      <c r="A2543" t="s">
        <v>629</v>
      </c>
      <c r="B2543" t="s">
        <v>2916</v>
      </c>
      <c r="C2543" t="s">
        <v>1374</v>
      </c>
      <c r="D2543" t="s">
        <v>1305</v>
      </c>
      <c r="E2543" s="220">
        <v>6.6277000000000003E-2</v>
      </c>
    </row>
    <row r="2544" spans="1:5">
      <c r="A2544" t="s">
        <v>632</v>
      </c>
      <c r="B2544" t="s">
        <v>2916</v>
      </c>
      <c r="C2544" t="s">
        <v>1374</v>
      </c>
      <c r="D2544" t="s">
        <v>1305</v>
      </c>
      <c r="E2544" s="220">
        <v>6.8542000000000006E-2</v>
      </c>
    </row>
    <row r="2545" spans="1:5">
      <c r="A2545" t="s">
        <v>650</v>
      </c>
      <c r="B2545" t="s">
        <v>2916</v>
      </c>
      <c r="C2545" t="s">
        <v>1374</v>
      </c>
      <c r="D2545" t="s">
        <v>1305</v>
      </c>
      <c r="E2545" s="220">
        <v>6.7581999999999989E-2</v>
      </c>
    </row>
    <row r="2546" spans="1:5">
      <c r="A2546" t="s">
        <v>641</v>
      </c>
      <c r="B2546" t="s">
        <v>2916</v>
      </c>
      <c r="C2546" t="s">
        <v>1374</v>
      </c>
      <c r="D2546" t="s">
        <v>1305</v>
      </c>
      <c r="E2546" s="220">
        <v>6.783199999999999E-2</v>
      </c>
    </row>
    <row r="2547" spans="1:5">
      <c r="A2547" t="s">
        <v>687</v>
      </c>
      <c r="B2547" t="s">
        <v>2916</v>
      </c>
      <c r="C2547" t="s">
        <v>1374</v>
      </c>
      <c r="D2547" t="s">
        <v>1305</v>
      </c>
      <c r="E2547" s="220">
        <v>6.6769999999999996E-2</v>
      </c>
    </row>
    <row r="2548" spans="1:5">
      <c r="A2548" t="s">
        <v>638</v>
      </c>
      <c r="B2548" t="s">
        <v>2916</v>
      </c>
      <c r="C2548" t="s">
        <v>1374</v>
      </c>
      <c r="D2548" t="s">
        <v>1305</v>
      </c>
      <c r="E2548" s="220">
        <v>6.8558999999999995E-2</v>
      </c>
    </row>
    <row r="2549" spans="1:5">
      <c r="A2549" t="s">
        <v>635</v>
      </c>
      <c r="B2549" t="s">
        <v>2916</v>
      </c>
      <c r="C2549" t="s">
        <v>1374</v>
      </c>
      <c r="D2549" t="s">
        <v>1305</v>
      </c>
      <c r="E2549" s="220">
        <v>6.7770999999999998E-2</v>
      </c>
    </row>
    <row r="2550" spans="1:5">
      <c r="A2550" t="s">
        <v>670</v>
      </c>
      <c r="B2550" t="s">
        <v>2916</v>
      </c>
      <c r="C2550" t="s">
        <v>1374</v>
      </c>
      <c r="D2550" t="s">
        <v>1305</v>
      </c>
      <c r="E2550" s="220">
        <v>6.8311000000000011E-2</v>
      </c>
    </row>
    <row r="2551" spans="1:5">
      <c r="A2551" t="s">
        <v>647</v>
      </c>
      <c r="B2551" t="s">
        <v>2916</v>
      </c>
      <c r="C2551" t="s">
        <v>1374</v>
      </c>
      <c r="D2551" t="s">
        <v>1305</v>
      </c>
      <c r="E2551" s="220">
        <v>6.8599999999999994E-2</v>
      </c>
    </row>
    <row r="2552" spans="1:5">
      <c r="A2552" t="s">
        <v>653</v>
      </c>
      <c r="B2552" t="s">
        <v>2916</v>
      </c>
      <c r="C2552" t="s">
        <v>1374</v>
      </c>
      <c r="D2552" t="s">
        <v>1305</v>
      </c>
      <c r="E2552" s="220">
        <v>6.7060000000000008E-2</v>
      </c>
    </row>
    <row r="2553" spans="1:5">
      <c r="A2553" t="s">
        <v>659</v>
      </c>
      <c r="B2553" t="s">
        <v>2916</v>
      </c>
      <c r="C2553" t="s">
        <v>1374</v>
      </c>
      <c r="D2553" t="s">
        <v>1305</v>
      </c>
      <c r="E2553" s="220">
        <v>6.7770999999999998E-2</v>
      </c>
    </row>
    <row r="2554" spans="1:5">
      <c r="A2554" t="s">
        <v>667</v>
      </c>
      <c r="B2554" t="s">
        <v>2916</v>
      </c>
      <c r="C2554" t="s">
        <v>1374</v>
      </c>
      <c r="D2554" t="s">
        <v>1305</v>
      </c>
      <c r="E2554" s="220">
        <v>6.7483999999999988E-2</v>
      </c>
    </row>
    <row r="2555" spans="1:5">
      <c r="A2555" t="s">
        <v>676</v>
      </c>
      <c r="B2555" t="s">
        <v>2916</v>
      </c>
      <c r="C2555" t="s">
        <v>1374</v>
      </c>
      <c r="D2555" t="s">
        <v>1305</v>
      </c>
      <c r="E2555" s="220">
        <v>6.0457999999999998E-2</v>
      </c>
    </row>
    <row r="2556" spans="1:5">
      <c r="A2556" t="s">
        <v>644</v>
      </c>
      <c r="B2556" t="s">
        <v>2916</v>
      </c>
      <c r="C2556" t="s">
        <v>1374</v>
      </c>
      <c r="D2556" t="s">
        <v>1305</v>
      </c>
      <c r="E2556" s="220">
        <v>6.7770999999999998E-2</v>
      </c>
    </row>
    <row r="2557" spans="1:5">
      <c r="A2557" t="s">
        <v>684</v>
      </c>
      <c r="B2557" t="s">
        <v>2916</v>
      </c>
      <c r="C2557" t="s">
        <v>1374</v>
      </c>
      <c r="D2557" t="s">
        <v>1305</v>
      </c>
      <c r="E2557" s="220">
        <v>6.8531000000000009E-2</v>
      </c>
    </row>
    <row r="2558" spans="1:5">
      <c r="A2558" t="s">
        <v>664</v>
      </c>
      <c r="B2558" t="s">
        <v>2916</v>
      </c>
      <c r="C2558" t="s">
        <v>1374</v>
      </c>
      <c r="D2558" t="s">
        <v>1305</v>
      </c>
      <c r="E2558" s="220">
        <v>6.8555000000000005E-2</v>
      </c>
    </row>
    <row r="2559" spans="1:5">
      <c r="A2559" t="s">
        <v>705</v>
      </c>
      <c r="B2559" t="s">
        <v>2916</v>
      </c>
      <c r="C2559" t="s">
        <v>1374</v>
      </c>
      <c r="D2559" t="s">
        <v>1305</v>
      </c>
      <c r="E2559" s="220">
        <v>6.7936999999999997E-2</v>
      </c>
    </row>
    <row r="2560" spans="1:5">
      <c r="A2560" t="s">
        <v>1182</v>
      </c>
      <c r="B2560" t="s">
        <v>2916</v>
      </c>
      <c r="C2560" t="s">
        <v>1374</v>
      </c>
      <c r="D2560" t="s">
        <v>1305</v>
      </c>
      <c r="E2560" s="220">
        <v>6.8087999999999996E-2</v>
      </c>
    </row>
    <row r="2561" spans="1:5">
      <c r="A2561" t="s">
        <v>720</v>
      </c>
      <c r="B2561" t="s">
        <v>2916</v>
      </c>
      <c r="C2561" t="s">
        <v>1374</v>
      </c>
      <c r="D2561" t="s">
        <v>1305</v>
      </c>
      <c r="E2561" s="220">
        <v>6.7763000000000004E-2</v>
      </c>
    </row>
    <row r="2562" spans="1:5">
      <c r="A2562" t="s">
        <v>723</v>
      </c>
      <c r="B2562" t="s">
        <v>2916</v>
      </c>
      <c r="C2562" t="s">
        <v>1374</v>
      </c>
      <c r="D2562" t="s">
        <v>1305</v>
      </c>
      <c r="E2562" s="220">
        <v>6.7477999999999996E-2</v>
      </c>
    </row>
    <row r="2563" spans="1:5">
      <c r="A2563" t="s">
        <v>726</v>
      </c>
      <c r="B2563" t="s">
        <v>2916</v>
      </c>
      <c r="C2563" t="s">
        <v>1374</v>
      </c>
      <c r="D2563" t="s">
        <v>1305</v>
      </c>
      <c r="E2563" s="220">
        <v>6.7070999999999992E-2</v>
      </c>
    </row>
    <row r="2564" spans="1:5">
      <c r="A2564" t="s">
        <v>738</v>
      </c>
      <c r="B2564" t="s">
        <v>2916</v>
      </c>
      <c r="C2564" t="s">
        <v>1374</v>
      </c>
      <c r="D2564" t="s">
        <v>1305</v>
      </c>
      <c r="E2564" s="220">
        <v>6.7060000000000008E-2</v>
      </c>
    </row>
    <row r="2565" spans="1:5">
      <c r="A2565" t="s">
        <v>747</v>
      </c>
      <c r="B2565" t="s">
        <v>2916</v>
      </c>
      <c r="C2565" t="s">
        <v>1374</v>
      </c>
      <c r="D2565" t="s">
        <v>1305</v>
      </c>
      <c r="E2565" s="220">
        <v>6.7770999999999998E-2</v>
      </c>
    </row>
    <row r="2566" spans="1:5">
      <c r="A2566" t="s">
        <v>754</v>
      </c>
      <c r="B2566" t="s">
        <v>2916</v>
      </c>
      <c r="C2566" t="s">
        <v>1374</v>
      </c>
      <c r="D2566" t="s">
        <v>1305</v>
      </c>
      <c r="E2566" s="220">
        <v>6.8251999999999993E-2</v>
      </c>
    </row>
    <row r="2567" spans="1:5">
      <c r="A2567" t="s">
        <v>757</v>
      </c>
      <c r="B2567" t="s">
        <v>2916</v>
      </c>
      <c r="C2567" t="s">
        <v>1374</v>
      </c>
      <c r="D2567" t="s">
        <v>1305</v>
      </c>
      <c r="E2567" s="220">
        <v>6.7473000000000005E-2</v>
      </c>
    </row>
    <row r="2568" spans="1:5">
      <c r="A2568" t="s">
        <v>823</v>
      </c>
      <c r="B2568" t="s">
        <v>2916</v>
      </c>
      <c r="C2568" t="s">
        <v>1374</v>
      </c>
      <c r="D2568" t="s">
        <v>1305</v>
      </c>
      <c r="E2568" s="220">
        <v>6.6906999999999994E-2</v>
      </c>
    </row>
    <row r="2569" spans="1:5">
      <c r="A2569" t="s">
        <v>767</v>
      </c>
      <c r="B2569" t="s">
        <v>2916</v>
      </c>
      <c r="C2569" t="s">
        <v>1374</v>
      </c>
      <c r="D2569" t="s">
        <v>1305</v>
      </c>
      <c r="E2569" s="220">
        <v>6.7770999999999998E-2</v>
      </c>
    </row>
    <row r="2570" spans="1:5">
      <c r="A2570" t="s">
        <v>761</v>
      </c>
      <c r="B2570" t="s">
        <v>2916</v>
      </c>
      <c r="C2570" t="s">
        <v>1374</v>
      </c>
      <c r="D2570" t="s">
        <v>1305</v>
      </c>
      <c r="E2570" s="220">
        <v>6.6287000000000013E-2</v>
      </c>
    </row>
    <row r="2571" spans="1:5">
      <c r="A2571" t="s">
        <v>770</v>
      </c>
      <c r="B2571" t="s">
        <v>2916</v>
      </c>
      <c r="C2571" t="s">
        <v>1374</v>
      </c>
      <c r="D2571" t="s">
        <v>1305</v>
      </c>
      <c r="E2571" s="220">
        <v>6.7770999999999998E-2</v>
      </c>
    </row>
    <row r="2572" spans="1:5">
      <c r="A2572" t="s">
        <v>592</v>
      </c>
      <c r="B2572" t="s">
        <v>2916</v>
      </c>
      <c r="C2572" t="s">
        <v>1374</v>
      </c>
      <c r="D2572" t="s">
        <v>1305</v>
      </c>
      <c r="E2572" s="220">
        <v>6.7708000000000004E-2</v>
      </c>
    </row>
    <row r="2573" spans="1:5">
      <c r="A2573" t="s">
        <v>773</v>
      </c>
      <c r="B2573" t="s">
        <v>2916</v>
      </c>
      <c r="C2573" t="s">
        <v>1374</v>
      </c>
      <c r="D2573" t="s">
        <v>1305</v>
      </c>
      <c r="E2573" s="220">
        <v>6.7060000000000008E-2</v>
      </c>
    </row>
    <row r="2574" spans="1:5">
      <c r="A2574" t="s">
        <v>776</v>
      </c>
      <c r="B2574" t="s">
        <v>2916</v>
      </c>
      <c r="C2574" t="s">
        <v>1374</v>
      </c>
      <c r="D2574" t="s">
        <v>1305</v>
      </c>
      <c r="E2574" s="220">
        <v>6.6986000000000004E-2</v>
      </c>
    </row>
    <row r="2575" spans="1:5">
      <c r="A2575" t="s">
        <v>1154</v>
      </c>
      <c r="B2575" t="s">
        <v>2916</v>
      </c>
      <c r="C2575" t="s">
        <v>1374</v>
      </c>
      <c r="D2575" t="s">
        <v>1305</v>
      </c>
      <c r="E2575" s="220">
        <v>6.7718999999999988E-2</v>
      </c>
    </row>
    <row r="2576" spans="1:5">
      <c r="A2576" t="s">
        <v>788</v>
      </c>
      <c r="B2576" t="s">
        <v>2916</v>
      </c>
      <c r="C2576" t="s">
        <v>1374</v>
      </c>
      <c r="D2576" t="s">
        <v>1305</v>
      </c>
      <c r="E2576" s="220">
        <v>6.7179000000000003E-2</v>
      </c>
    </row>
    <row r="2577" spans="1:5">
      <c r="A2577" t="s">
        <v>805</v>
      </c>
      <c r="B2577" t="s">
        <v>2916</v>
      </c>
      <c r="C2577" t="s">
        <v>1374</v>
      </c>
      <c r="D2577" t="s">
        <v>1305</v>
      </c>
      <c r="E2577" s="220">
        <v>6.743600000000001E-2</v>
      </c>
    </row>
    <row r="2578" spans="1:5">
      <c r="A2578" t="s">
        <v>808</v>
      </c>
      <c r="B2578" t="s">
        <v>2916</v>
      </c>
      <c r="C2578" t="s">
        <v>1374</v>
      </c>
      <c r="D2578" t="s">
        <v>1305</v>
      </c>
      <c r="E2578" s="220">
        <v>7.1096000000000006E-2</v>
      </c>
    </row>
    <row r="2579" spans="1:5">
      <c r="A2579" t="s">
        <v>1238</v>
      </c>
      <c r="B2579" t="s">
        <v>2916</v>
      </c>
      <c r="C2579" t="s">
        <v>1374</v>
      </c>
      <c r="D2579" t="s">
        <v>1305</v>
      </c>
      <c r="E2579" s="220">
        <v>6.7901000000000003E-2</v>
      </c>
    </row>
    <row r="2580" spans="1:5">
      <c r="A2580" t="s">
        <v>820</v>
      </c>
      <c r="B2580" t="s">
        <v>2916</v>
      </c>
      <c r="C2580" t="s">
        <v>1374</v>
      </c>
      <c r="D2580" t="s">
        <v>1305</v>
      </c>
      <c r="E2580" s="220">
        <v>6.8483000000000002E-2</v>
      </c>
    </row>
    <row r="2581" spans="1:5">
      <c r="A2581" t="s">
        <v>833</v>
      </c>
      <c r="B2581" t="s">
        <v>2916</v>
      </c>
      <c r="C2581" t="s">
        <v>1374</v>
      </c>
      <c r="D2581" t="s">
        <v>1305</v>
      </c>
      <c r="E2581" s="220">
        <v>6.8072000000000008E-2</v>
      </c>
    </row>
    <row r="2582" spans="1:5">
      <c r="A2582" t="s">
        <v>839</v>
      </c>
      <c r="B2582" t="s">
        <v>2916</v>
      </c>
      <c r="C2582" t="s">
        <v>1374</v>
      </c>
      <c r="D2582" t="s">
        <v>1305</v>
      </c>
      <c r="E2582" s="220">
        <v>6.7770999999999998E-2</v>
      </c>
    </row>
    <row r="2583" spans="1:5">
      <c r="A2583" t="s">
        <v>845</v>
      </c>
      <c r="B2583" t="s">
        <v>2916</v>
      </c>
      <c r="C2583" t="s">
        <v>1374</v>
      </c>
      <c r="D2583" t="s">
        <v>1305</v>
      </c>
      <c r="E2583" s="220">
        <v>6.7060000000000008E-2</v>
      </c>
    </row>
    <row r="2584" spans="1:5">
      <c r="A2584" t="s">
        <v>854</v>
      </c>
      <c r="B2584" t="s">
        <v>2916</v>
      </c>
      <c r="C2584" t="s">
        <v>1374</v>
      </c>
      <c r="D2584" t="s">
        <v>1305</v>
      </c>
      <c r="E2584" s="220">
        <v>6.7770999999999998E-2</v>
      </c>
    </row>
    <row r="2585" spans="1:5">
      <c r="A2585" t="s">
        <v>863</v>
      </c>
      <c r="B2585" t="s">
        <v>2916</v>
      </c>
      <c r="C2585" t="s">
        <v>1374</v>
      </c>
      <c r="D2585" t="s">
        <v>1305</v>
      </c>
      <c r="E2585" s="220">
        <v>6.7950999999999998E-2</v>
      </c>
    </row>
    <row r="2586" spans="1:5">
      <c r="A2586" t="s">
        <v>860</v>
      </c>
      <c r="B2586" t="s">
        <v>2916</v>
      </c>
      <c r="C2586" t="s">
        <v>1374</v>
      </c>
      <c r="D2586" t="s">
        <v>1305</v>
      </c>
      <c r="E2586" s="220">
        <v>6.7060000000000008E-2</v>
      </c>
    </row>
    <row r="2587" spans="1:5">
      <c r="A2587" t="s">
        <v>744</v>
      </c>
      <c r="B2587" t="s">
        <v>2916</v>
      </c>
      <c r="C2587" t="s">
        <v>1374</v>
      </c>
      <c r="D2587" t="s">
        <v>1305</v>
      </c>
      <c r="E2587" s="220">
        <v>6.8052000000000001E-2</v>
      </c>
    </row>
    <row r="2588" spans="1:5">
      <c r="A2588" t="s">
        <v>857</v>
      </c>
      <c r="B2588" t="s">
        <v>2916</v>
      </c>
      <c r="C2588" t="s">
        <v>1374</v>
      </c>
      <c r="D2588" t="s">
        <v>1305</v>
      </c>
      <c r="E2588" s="220">
        <v>6.7770999999999998E-2</v>
      </c>
    </row>
    <row r="2589" spans="1:5">
      <c r="A2589" t="s">
        <v>866</v>
      </c>
      <c r="B2589" t="s">
        <v>2916</v>
      </c>
      <c r="C2589" t="s">
        <v>1374</v>
      </c>
      <c r="D2589" t="s">
        <v>1305</v>
      </c>
      <c r="E2589" s="220">
        <v>6.5725999999999993E-2</v>
      </c>
    </row>
    <row r="2590" spans="1:5">
      <c r="A2590" t="s">
        <v>875</v>
      </c>
      <c r="B2590" t="s">
        <v>2916</v>
      </c>
      <c r="C2590" t="s">
        <v>1374</v>
      </c>
      <c r="D2590" t="s">
        <v>1305</v>
      </c>
      <c r="E2590" s="220">
        <v>6.7433000000000007E-2</v>
      </c>
    </row>
    <row r="2591" spans="1:5">
      <c r="A2591" t="s">
        <v>872</v>
      </c>
      <c r="B2591" t="s">
        <v>2916</v>
      </c>
      <c r="C2591" t="s">
        <v>1374</v>
      </c>
      <c r="D2591" t="s">
        <v>1305</v>
      </c>
      <c r="E2591" s="220">
        <v>6.810200000000001E-2</v>
      </c>
    </row>
    <row r="2592" spans="1:5">
      <c r="A2592" t="s">
        <v>884</v>
      </c>
      <c r="B2592" t="s">
        <v>2916</v>
      </c>
      <c r="C2592" t="s">
        <v>1374</v>
      </c>
      <c r="D2592" t="s">
        <v>1305</v>
      </c>
      <c r="E2592" s="220">
        <v>6.7807000000000006E-2</v>
      </c>
    </row>
    <row r="2593" spans="1:5">
      <c r="A2593" t="s">
        <v>878</v>
      </c>
      <c r="B2593" t="s">
        <v>2916</v>
      </c>
      <c r="C2593" t="s">
        <v>1374</v>
      </c>
      <c r="D2593" t="s">
        <v>1305</v>
      </c>
      <c r="E2593" s="220">
        <v>6.8559999999999996E-2</v>
      </c>
    </row>
    <row r="2594" spans="1:5">
      <c r="A2594" t="s">
        <v>881</v>
      </c>
      <c r="B2594" t="s">
        <v>2916</v>
      </c>
      <c r="C2594" t="s">
        <v>1374</v>
      </c>
      <c r="D2594" t="s">
        <v>1305</v>
      </c>
      <c r="E2594" s="220">
        <v>6.8558999999999995E-2</v>
      </c>
    </row>
    <row r="2595" spans="1:5">
      <c r="A2595" t="s">
        <v>869</v>
      </c>
      <c r="B2595" t="s">
        <v>2916</v>
      </c>
      <c r="C2595" t="s">
        <v>1374</v>
      </c>
      <c r="D2595" t="s">
        <v>1305</v>
      </c>
      <c r="E2595" s="220">
        <v>6.5745999999999999E-2</v>
      </c>
    </row>
    <row r="2596" spans="1:5">
      <c r="A2596" t="s">
        <v>891</v>
      </c>
      <c r="B2596" t="s">
        <v>2916</v>
      </c>
      <c r="C2596" t="s">
        <v>1374</v>
      </c>
      <c r="D2596" t="s">
        <v>1305</v>
      </c>
      <c r="E2596" s="220">
        <v>6.8517999999999996E-2</v>
      </c>
    </row>
    <row r="2597" spans="1:5">
      <c r="A2597" t="s">
        <v>894</v>
      </c>
      <c r="B2597" t="s">
        <v>2916</v>
      </c>
      <c r="C2597" t="s">
        <v>1374</v>
      </c>
      <c r="D2597" t="s">
        <v>1305</v>
      </c>
      <c r="E2597" s="220">
        <v>6.785200000000001E-2</v>
      </c>
    </row>
    <row r="2598" spans="1:5">
      <c r="A2598" t="s">
        <v>897</v>
      </c>
      <c r="B2598" t="s">
        <v>2916</v>
      </c>
      <c r="C2598" t="s">
        <v>1374</v>
      </c>
      <c r="D2598" t="s">
        <v>1305</v>
      </c>
      <c r="E2598" s="220">
        <v>6.7770999999999998E-2</v>
      </c>
    </row>
    <row r="2599" spans="1:5">
      <c r="A2599" t="s">
        <v>903</v>
      </c>
      <c r="B2599" t="s">
        <v>2916</v>
      </c>
      <c r="C2599" t="s">
        <v>1374</v>
      </c>
      <c r="D2599" t="s">
        <v>1305</v>
      </c>
      <c r="E2599" s="220">
        <v>6.8558999999999995E-2</v>
      </c>
    </row>
    <row r="2600" spans="1:5">
      <c r="A2600" t="s">
        <v>900</v>
      </c>
      <c r="B2600" t="s">
        <v>2916</v>
      </c>
      <c r="C2600" t="s">
        <v>1374</v>
      </c>
      <c r="D2600" t="s">
        <v>1305</v>
      </c>
      <c r="E2600" s="220">
        <v>6.8474000000000007E-2</v>
      </c>
    </row>
    <row r="2601" spans="1:5">
      <c r="A2601" t="s">
        <v>906</v>
      </c>
      <c r="B2601" t="s">
        <v>2916</v>
      </c>
      <c r="C2601" t="s">
        <v>1374</v>
      </c>
      <c r="D2601" t="s">
        <v>1305</v>
      </c>
      <c r="E2601" s="220">
        <v>6.8483000000000002E-2</v>
      </c>
    </row>
    <row r="2602" spans="1:5">
      <c r="A2602" t="s">
        <v>930</v>
      </c>
      <c r="B2602" t="s">
        <v>2916</v>
      </c>
      <c r="C2602" t="s">
        <v>1374</v>
      </c>
      <c r="D2602" t="s">
        <v>1305</v>
      </c>
      <c r="E2602" s="220">
        <v>6.8483000000000002E-2</v>
      </c>
    </row>
    <row r="2603" spans="1:5">
      <c r="A2603" t="s">
        <v>699</v>
      </c>
      <c r="B2603" t="s">
        <v>2916</v>
      </c>
      <c r="C2603" t="s">
        <v>1374</v>
      </c>
      <c r="D2603" t="s">
        <v>1305</v>
      </c>
      <c r="E2603" s="220">
        <v>6.8497000000000002E-2</v>
      </c>
    </row>
    <row r="2604" spans="1:5">
      <c r="A2604" t="s">
        <v>1160</v>
      </c>
      <c r="B2604" t="s">
        <v>2916</v>
      </c>
      <c r="C2604" t="s">
        <v>1374</v>
      </c>
      <c r="D2604" t="s">
        <v>1305</v>
      </c>
      <c r="E2604" s="220">
        <v>6.7770999999999998E-2</v>
      </c>
    </row>
    <row r="2605" spans="1:5">
      <c r="A2605" t="s">
        <v>915</v>
      </c>
      <c r="B2605" t="s">
        <v>2916</v>
      </c>
      <c r="C2605" t="s">
        <v>1374</v>
      </c>
      <c r="D2605" t="s">
        <v>1305</v>
      </c>
      <c r="E2605" s="220">
        <v>6.8265000000000006E-2</v>
      </c>
    </row>
    <row r="2606" spans="1:5">
      <c r="A2606" t="s">
        <v>927</v>
      </c>
      <c r="B2606" t="s">
        <v>2916</v>
      </c>
      <c r="C2606" t="s">
        <v>1374</v>
      </c>
      <c r="D2606" t="s">
        <v>1305</v>
      </c>
      <c r="E2606" s="220">
        <v>6.8558999999999995E-2</v>
      </c>
    </row>
    <row r="2607" spans="1:5">
      <c r="A2607" t="s">
        <v>933</v>
      </c>
      <c r="B2607" t="s">
        <v>2916</v>
      </c>
      <c r="C2607" t="s">
        <v>1374</v>
      </c>
      <c r="D2607" t="s">
        <v>1305</v>
      </c>
      <c r="E2607" s="220">
        <v>6.8391999999999994E-2</v>
      </c>
    </row>
    <row r="2608" spans="1:5">
      <c r="A2608" t="s">
        <v>939</v>
      </c>
      <c r="B2608" t="s">
        <v>2916</v>
      </c>
      <c r="C2608" t="s">
        <v>1374</v>
      </c>
      <c r="D2608" t="s">
        <v>1305</v>
      </c>
      <c r="E2608" s="220">
        <v>6.8558999999999995E-2</v>
      </c>
    </row>
    <row r="2609" spans="1:5">
      <c r="A2609" t="s">
        <v>1163</v>
      </c>
      <c r="B2609" t="s">
        <v>2916</v>
      </c>
      <c r="C2609" t="s">
        <v>1374</v>
      </c>
      <c r="D2609" t="s">
        <v>1305</v>
      </c>
      <c r="E2609" s="220">
        <v>6.7770999999999998E-2</v>
      </c>
    </row>
    <row r="2610" spans="1:5">
      <c r="A2610" t="s">
        <v>1157</v>
      </c>
      <c r="B2610" t="s">
        <v>2916</v>
      </c>
      <c r="C2610" t="s">
        <v>1374</v>
      </c>
      <c r="D2610" t="s">
        <v>1305</v>
      </c>
      <c r="E2610" s="220">
        <v>6.8599999999999994E-2</v>
      </c>
    </row>
    <row r="2611" spans="1:5">
      <c r="A2611" t="s">
        <v>954</v>
      </c>
      <c r="B2611" t="s">
        <v>2916</v>
      </c>
      <c r="C2611" t="s">
        <v>1374</v>
      </c>
      <c r="D2611" t="s">
        <v>1305</v>
      </c>
      <c r="E2611" s="220">
        <v>6.7898E-2</v>
      </c>
    </row>
    <row r="2612" spans="1:5">
      <c r="A2612" t="s">
        <v>957</v>
      </c>
      <c r="B2612" t="s">
        <v>2916</v>
      </c>
      <c r="C2612" t="s">
        <v>1374</v>
      </c>
      <c r="D2612" t="s">
        <v>1305</v>
      </c>
      <c r="E2612" s="220">
        <v>6.5963999999999995E-2</v>
      </c>
    </row>
    <row r="2613" spans="1:5">
      <c r="A2613" t="s">
        <v>936</v>
      </c>
      <c r="B2613" t="s">
        <v>2916</v>
      </c>
      <c r="C2613" t="s">
        <v>1374</v>
      </c>
      <c r="D2613" t="s">
        <v>1305</v>
      </c>
      <c r="E2613" s="220">
        <v>6.7816999999999988E-2</v>
      </c>
    </row>
    <row r="2614" spans="1:5">
      <c r="A2614" t="s">
        <v>1014</v>
      </c>
      <c r="B2614" t="s">
        <v>2916</v>
      </c>
      <c r="C2614" t="s">
        <v>1374</v>
      </c>
      <c r="D2614" t="s">
        <v>1305</v>
      </c>
      <c r="E2614" s="220">
        <v>6.7708000000000004E-2</v>
      </c>
    </row>
    <row r="2615" spans="1:5">
      <c r="A2615" t="s">
        <v>999</v>
      </c>
      <c r="B2615" t="s">
        <v>2916</v>
      </c>
      <c r="C2615" t="s">
        <v>1374</v>
      </c>
      <c r="D2615" t="s">
        <v>1305</v>
      </c>
      <c r="E2615" s="220">
        <v>6.8599999999999994E-2</v>
      </c>
    </row>
    <row r="2616" spans="1:5">
      <c r="A2616" t="s">
        <v>993</v>
      </c>
      <c r="B2616" t="s">
        <v>2916</v>
      </c>
      <c r="C2616" t="s">
        <v>1374</v>
      </c>
      <c r="D2616" t="s">
        <v>1305</v>
      </c>
      <c r="E2616" s="220">
        <v>6.8490999999999996E-2</v>
      </c>
    </row>
    <row r="2617" spans="1:5">
      <c r="A2617" t="s">
        <v>963</v>
      </c>
      <c r="B2617" t="s">
        <v>2916</v>
      </c>
      <c r="C2617" t="s">
        <v>1374</v>
      </c>
      <c r="D2617" t="s">
        <v>1305</v>
      </c>
      <c r="E2617" s="220">
        <v>6.8379999999999996E-2</v>
      </c>
    </row>
    <row r="2618" spans="1:5">
      <c r="A2618" t="s">
        <v>981</v>
      </c>
      <c r="B2618" t="s">
        <v>2916</v>
      </c>
      <c r="C2618" t="s">
        <v>1374</v>
      </c>
      <c r="D2618" t="s">
        <v>1305</v>
      </c>
      <c r="E2618" s="220">
        <v>6.8199999999999997E-2</v>
      </c>
    </row>
    <row r="2619" spans="1:5">
      <c r="A2619" t="s">
        <v>1020</v>
      </c>
      <c r="B2619" t="s">
        <v>2916</v>
      </c>
      <c r="C2619" t="s">
        <v>1374</v>
      </c>
      <c r="D2619" t="s">
        <v>1305</v>
      </c>
      <c r="E2619" s="220">
        <v>6.8497000000000002E-2</v>
      </c>
    </row>
    <row r="2620" spans="1:5">
      <c r="A2620" t="s">
        <v>1006</v>
      </c>
      <c r="B2620" t="s">
        <v>2916</v>
      </c>
      <c r="C2620" t="s">
        <v>1374</v>
      </c>
      <c r="D2620" t="s">
        <v>1305</v>
      </c>
      <c r="E2620" s="220">
        <v>6.8599999999999994E-2</v>
      </c>
    </row>
    <row r="2621" spans="1:5">
      <c r="A2621" t="s">
        <v>972</v>
      </c>
      <c r="B2621" t="s">
        <v>2916</v>
      </c>
      <c r="C2621" t="s">
        <v>1374</v>
      </c>
      <c r="D2621" t="s">
        <v>1305</v>
      </c>
      <c r="E2621" s="220">
        <v>6.7622000000000002E-2</v>
      </c>
    </row>
    <row r="2622" spans="1:5">
      <c r="A2622" t="s">
        <v>1042</v>
      </c>
      <c r="B2622" t="s">
        <v>2916</v>
      </c>
      <c r="C2622" t="s">
        <v>1374</v>
      </c>
      <c r="D2622" t="s">
        <v>1305</v>
      </c>
      <c r="E2622" s="220">
        <v>6.7060000000000008E-2</v>
      </c>
    </row>
    <row r="2623" spans="1:5">
      <c r="A2623" t="s">
        <v>1032</v>
      </c>
      <c r="B2623" t="s">
        <v>2916</v>
      </c>
      <c r="C2623" t="s">
        <v>1374</v>
      </c>
      <c r="D2623" t="s">
        <v>1305</v>
      </c>
      <c r="E2623" s="220">
        <v>6.7335999999999993E-2</v>
      </c>
    </row>
    <row r="2624" spans="1:5">
      <c r="A2624" t="s">
        <v>1055</v>
      </c>
      <c r="B2624" t="s">
        <v>2916</v>
      </c>
      <c r="C2624" t="s">
        <v>1374</v>
      </c>
      <c r="D2624" t="s">
        <v>1305</v>
      </c>
      <c r="E2624" s="220">
        <v>6.8168000000000006E-2</v>
      </c>
    </row>
    <row r="2625" spans="1:5">
      <c r="A2625" t="s">
        <v>1029</v>
      </c>
      <c r="B2625" t="s">
        <v>2916</v>
      </c>
      <c r="C2625" t="s">
        <v>1374</v>
      </c>
      <c r="D2625" t="s">
        <v>1305</v>
      </c>
      <c r="E2625" s="220">
        <v>6.8081000000000003E-2</v>
      </c>
    </row>
    <row r="2626" spans="1:5">
      <c r="A2626" t="s">
        <v>1039</v>
      </c>
      <c r="B2626" t="s">
        <v>2916</v>
      </c>
      <c r="C2626" t="s">
        <v>1374</v>
      </c>
      <c r="D2626" t="s">
        <v>1305</v>
      </c>
      <c r="E2626" s="220">
        <v>6.6956999999999989E-2</v>
      </c>
    </row>
    <row r="2627" spans="1:5">
      <c r="A2627" t="s">
        <v>1058</v>
      </c>
      <c r="B2627" t="s">
        <v>2916</v>
      </c>
      <c r="C2627" t="s">
        <v>1374</v>
      </c>
      <c r="D2627" t="s">
        <v>1305</v>
      </c>
      <c r="E2627" s="220">
        <v>6.8558999999999995E-2</v>
      </c>
    </row>
    <row r="2628" spans="1:5">
      <c r="A2628" t="s">
        <v>1061</v>
      </c>
      <c r="B2628" t="s">
        <v>2916</v>
      </c>
      <c r="C2628" t="s">
        <v>1374</v>
      </c>
      <c r="D2628" t="s">
        <v>1305</v>
      </c>
      <c r="E2628" s="220">
        <v>6.6486999999999991E-2</v>
      </c>
    </row>
    <row r="2629" spans="1:5">
      <c r="A2629" t="s">
        <v>1067</v>
      </c>
      <c r="B2629" t="s">
        <v>2916</v>
      </c>
      <c r="C2629" t="s">
        <v>1374</v>
      </c>
      <c r="D2629" t="s">
        <v>1305</v>
      </c>
      <c r="E2629" s="220">
        <v>6.7060000000000008E-2</v>
      </c>
    </row>
    <row r="2630" spans="1:5">
      <c r="A2630" t="s">
        <v>1076</v>
      </c>
      <c r="B2630" t="s">
        <v>2916</v>
      </c>
      <c r="C2630" t="s">
        <v>1374</v>
      </c>
      <c r="D2630" t="s">
        <v>1305</v>
      </c>
      <c r="E2630" s="220">
        <v>6.7345000000000002E-2</v>
      </c>
    </row>
    <row r="2631" spans="1:5">
      <c r="A2631" t="s">
        <v>1079</v>
      </c>
      <c r="B2631" t="s">
        <v>2916</v>
      </c>
      <c r="C2631" t="s">
        <v>1374</v>
      </c>
      <c r="D2631" t="s">
        <v>1305</v>
      </c>
      <c r="E2631" s="220">
        <v>6.6484000000000001E-2</v>
      </c>
    </row>
    <row r="2632" spans="1:5">
      <c r="A2632" t="s">
        <v>1082</v>
      </c>
      <c r="B2632" t="s">
        <v>2916</v>
      </c>
      <c r="C2632" t="s">
        <v>1374</v>
      </c>
      <c r="D2632" t="s">
        <v>1305</v>
      </c>
      <c r="E2632" s="220">
        <v>6.7650000000000002E-2</v>
      </c>
    </row>
    <row r="2633" spans="1:5">
      <c r="A2633" t="s">
        <v>919</v>
      </c>
      <c r="B2633" t="s">
        <v>2916</v>
      </c>
      <c r="C2633" t="s">
        <v>1374</v>
      </c>
      <c r="D2633" t="s">
        <v>1305</v>
      </c>
      <c r="E2633" s="220">
        <v>6.8599999999999994E-2</v>
      </c>
    </row>
    <row r="2634" spans="1:5">
      <c r="A2634" t="s">
        <v>1085</v>
      </c>
      <c r="B2634" t="s">
        <v>2916</v>
      </c>
      <c r="C2634" t="s">
        <v>1374</v>
      </c>
      <c r="D2634" t="s">
        <v>1305</v>
      </c>
      <c r="E2634" s="220">
        <v>6.7566999999999988E-2</v>
      </c>
    </row>
    <row r="2635" spans="1:5">
      <c r="A2635" t="s">
        <v>1073</v>
      </c>
      <c r="B2635" t="s">
        <v>2916</v>
      </c>
      <c r="C2635" t="s">
        <v>1374</v>
      </c>
      <c r="D2635" t="s">
        <v>1305</v>
      </c>
      <c r="E2635" s="220">
        <v>6.7483999999999988E-2</v>
      </c>
    </row>
    <row r="2636" spans="1:5">
      <c r="A2636" t="s">
        <v>1264</v>
      </c>
      <c r="B2636" t="s">
        <v>2916</v>
      </c>
      <c r="C2636" t="s">
        <v>1374</v>
      </c>
      <c r="D2636" t="s">
        <v>1305</v>
      </c>
      <c r="E2636" s="220">
        <v>6.8558999999999995E-2</v>
      </c>
    </row>
    <row r="2637" spans="1:5">
      <c r="A2637" t="s">
        <v>1091</v>
      </c>
      <c r="B2637" t="s">
        <v>2916</v>
      </c>
      <c r="C2637" t="s">
        <v>1374</v>
      </c>
      <c r="D2637" t="s">
        <v>1305</v>
      </c>
      <c r="E2637" s="220">
        <v>6.8558999999999995E-2</v>
      </c>
    </row>
    <row r="2638" spans="1:5">
      <c r="A2638" t="s">
        <v>1094</v>
      </c>
      <c r="B2638" t="s">
        <v>2916</v>
      </c>
      <c r="C2638" t="s">
        <v>1374</v>
      </c>
      <c r="D2638" t="s">
        <v>1305</v>
      </c>
      <c r="E2638" s="220">
        <v>6.7422999999999997E-2</v>
      </c>
    </row>
    <row r="2639" spans="1:5">
      <c r="A2639" t="s">
        <v>1097</v>
      </c>
      <c r="B2639" t="s">
        <v>2916</v>
      </c>
      <c r="C2639" t="s">
        <v>1374</v>
      </c>
      <c r="D2639" t="s">
        <v>1305</v>
      </c>
      <c r="E2639" s="220">
        <v>6.8256999999999998E-2</v>
      </c>
    </row>
    <row r="2640" spans="1:5">
      <c r="A2640" t="s">
        <v>1113</v>
      </c>
      <c r="B2640" t="s">
        <v>2916</v>
      </c>
      <c r="C2640" t="s">
        <v>1374</v>
      </c>
      <c r="D2640" t="s">
        <v>1305</v>
      </c>
      <c r="E2640" s="220">
        <v>6.8558999999999995E-2</v>
      </c>
    </row>
    <row r="2641" spans="1:5">
      <c r="A2641" t="s">
        <v>1173</v>
      </c>
      <c r="B2641" t="s">
        <v>2916</v>
      </c>
      <c r="C2641" t="s">
        <v>1374</v>
      </c>
      <c r="D2641" t="s">
        <v>1305</v>
      </c>
      <c r="E2641" s="220">
        <v>6.7708000000000004E-2</v>
      </c>
    </row>
    <row r="2642" spans="1:5">
      <c r="A2642" t="s">
        <v>1128</v>
      </c>
      <c r="B2642" t="s">
        <v>2916</v>
      </c>
      <c r="C2642" t="s">
        <v>1374</v>
      </c>
      <c r="D2642" t="s">
        <v>1305</v>
      </c>
      <c r="E2642" s="220">
        <v>6.8497000000000002E-2</v>
      </c>
    </row>
    <row r="2643" spans="1:5">
      <c r="A2643" t="s">
        <v>779</v>
      </c>
      <c r="B2643" t="s">
        <v>2916</v>
      </c>
      <c r="C2643" t="s">
        <v>1374</v>
      </c>
      <c r="D2643" t="s">
        <v>1305</v>
      </c>
      <c r="E2643" s="220">
        <v>6.7060000000000008E-2</v>
      </c>
    </row>
    <row r="2644" spans="1:5">
      <c r="A2644" t="s">
        <v>1119</v>
      </c>
      <c r="B2644" t="s">
        <v>2916</v>
      </c>
      <c r="C2644" t="s">
        <v>1374</v>
      </c>
      <c r="D2644" t="s">
        <v>1305</v>
      </c>
      <c r="E2644" s="220">
        <v>6.8400000000000002E-2</v>
      </c>
    </row>
    <row r="2645" spans="1:5">
      <c r="A2645" t="s">
        <v>1176</v>
      </c>
      <c r="B2645" t="s">
        <v>2916</v>
      </c>
      <c r="C2645" t="s">
        <v>1374</v>
      </c>
      <c r="D2645" t="s">
        <v>1305</v>
      </c>
      <c r="E2645" s="220">
        <v>6.7770999999999998E-2</v>
      </c>
    </row>
    <row r="2646" spans="1:5">
      <c r="A2646" t="s">
        <v>1135</v>
      </c>
      <c r="B2646" t="s">
        <v>2916</v>
      </c>
      <c r="C2646" t="s">
        <v>1374</v>
      </c>
      <c r="D2646" t="s">
        <v>1305</v>
      </c>
      <c r="E2646" s="220">
        <v>6.6191E-2</v>
      </c>
    </row>
    <row r="2647" spans="1:5">
      <c r="A2647" t="s">
        <v>1139</v>
      </c>
      <c r="B2647" t="s">
        <v>2916</v>
      </c>
      <c r="C2647" t="s">
        <v>1374</v>
      </c>
      <c r="D2647" t="s">
        <v>1305</v>
      </c>
      <c r="E2647" s="220">
        <v>6.6143000000000007E-2</v>
      </c>
    </row>
    <row r="2648" spans="1:5">
      <c r="A2648" t="s">
        <v>1179</v>
      </c>
      <c r="B2648" t="s">
        <v>2916</v>
      </c>
      <c r="C2648" t="s">
        <v>1374</v>
      </c>
      <c r="D2648" t="s">
        <v>1305</v>
      </c>
      <c r="E2648" s="220">
        <v>6.4431000000000002E-2</v>
      </c>
    </row>
    <row r="2649" spans="1:5">
      <c r="A2649" t="s">
        <v>1185</v>
      </c>
      <c r="B2649" t="s">
        <v>2916</v>
      </c>
      <c r="C2649" t="s">
        <v>1374</v>
      </c>
      <c r="D2649" t="s">
        <v>1305</v>
      </c>
      <c r="E2649" s="220">
        <v>6.8558999999999995E-2</v>
      </c>
    </row>
    <row r="2650" spans="1:5">
      <c r="A2650" t="s">
        <v>1198</v>
      </c>
      <c r="B2650" t="s">
        <v>2916</v>
      </c>
      <c r="C2650" t="s">
        <v>1374</v>
      </c>
      <c r="D2650" t="s">
        <v>1305</v>
      </c>
      <c r="E2650" s="220">
        <v>6.8102999999999997E-2</v>
      </c>
    </row>
    <row r="2651" spans="1:5">
      <c r="A2651" t="s">
        <v>1192</v>
      </c>
      <c r="B2651" t="s">
        <v>2916</v>
      </c>
      <c r="C2651" t="s">
        <v>1374</v>
      </c>
      <c r="D2651" t="s">
        <v>1305</v>
      </c>
      <c r="E2651" s="220">
        <v>6.8547999999999998E-2</v>
      </c>
    </row>
    <row r="2652" spans="1:5">
      <c r="A2652" t="s">
        <v>1219</v>
      </c>
      <c r="B2652" t="s">
        <v>2916</v>
      </c>
      <c r="C2652" t="s">
        <v>1374</v>
      </c>
      <c r="D2652" t="s">
        <v>1305</v>
      </c>
      <c r="E2652" s="220">
        <v>6.8547999999999998E-2</v>
      </c>
    </row>
    <row r="2653" spans="1:5">
      <c r="A2653" t="s">
        <v>1210</v>
      </c>
      <c r="B2653" t="s">
        <v>2916</v>
      </c>
      <c r="C2653" t="s">
        <v>1374</v>
      </c>
      <c r="D2653" t="s">
        <v>1305</v>
      </c>
      <c r="E2653" s="220">
        <v>6.7770999999999998E-2</v>
      </c>
    </row>
    <row r="2654" spans="1:5">
      <c r="A2654" t="s">
        <v>1213</v>
      </c>
      <c r="B2654" t="s">
        <v>2916</v>
      </c>
      <c r="C2654" t="s">
        <v>1374</v>
      </c>
      <c r="D2654" t="s">
        <v>1305</v>
      </c>
      <c r="E2654" s="220">
        <v>6.7708000000000004E-2</v>
      </c>
    </row>
    <row r="2655" spans="1:5">
      <c r="A2655" t="s">
        <v>1216</v>
      </c>
      <c r="B2655" t="s">
        <v>2916</v>
      </c>
      <c r="C2655" t="s">
        <v>1374</v>
      </c>
      <c r="D2655" t="s">
        <v>1305</v>
      </c>
      <c r="E2655" s="220">
        <v>6.7830000000000001E-2</v>
      </c>
    </row>
    <row r="2656" spans="1:5">
      <c r="A2656" t="s">
        <v>1189</v>
      </c>
      <c r="B2656" t="s">
        <v>2916</v>
      </c>
      <c r="C2656" t="s">
        <v>1374</v>
      </c>
      <c r="D2656" t="s">
        <v>1305</v>
      </c>
      <c r="E2656" s="220">
        <v>6.8568000000000004E-2</v>
      </c>
    </row>
    <row r="2657" spans="1:5">
      <c r="A2657" t="s">
        <v>1232</v>
      </c>
      <c r="B2657" t="s">
        <v>2916</v>
      </c>
      <c r="C2657" t="s">
        <v>1374</v>
      </c>
      <c r="D2657" t="s">
        <v>1305</v>
      </c>
      <c r="E2657" s="220">
        <v>6.8371000000000001E-2</v>
      </c>
    </row>
    <row r="2658" spans="1:5">
      <c r="A2658" t="s">
        <v>1244</v>
      </c>
      <c r="B2658" t="s">
        <v>2916</v>
      </c>
      <c r="C2658" t="s">
        <v>1374</v>
      </c>
      <c r="D2658" t="s">
        <v>1305</v>
      </c>
      <c r="E2658" s="220">
        <v>6.7094000000000001E-2</v>
      </c>
    </row>
    <row r="2659" spans="1:5">
      <c r="A2659" t="s">
        <v>1241</v>
      </c>
      <c r="B2659" t="s">
        <v>2916</v>
      </c>
      <c r="C2659" t="s">
        <v>1374</v>
      </c>
      <c r="D2659" t="s">
        <v>1305</v>
      </c>
      <c r="E2659" s="220">
        <v>6.6858999999999988E-2</v>
      </c>
    </row>
    <row r="2660" spans="1:5">
      <c r="A2660" t="s">
        <v>1247</v>
      </c>
      <c r="B2660" t="s">
        <v>2916</v>
      </c>
      <c r="C2660" t="s">
        <v>1374</v>
      </c>
      <c r="D2660" t="s">
        <v>1305</v>
      </c>
      <c r="E2660" s="220">
        <v>6.8547999999999998E-2</v>
      </c>
    </row>
    <row r="2661" spans="1:5">
      <c r="A2661" t="s">
        <v>1170</v>
      </c>
      <c r="B2661" t="s">
        <v>2916</v>
      </c>
      <c r="C2661" t="s">
        <v>1374</v>
      </c>
      <c r="D2661" t="s">
        <v>1305</v>
      </c>
      <c r="E2661" s="220">
        <v>6.7770999999999998E-2</v>
      </c>
    </row>
    <row r="2662" spans="1:5">
      <c r="A2662" t="s">
        <v>1253</v>
      </c>
      <c r="B2662" t="s">
        <v>2916</v>
      </c>
      <c r="C2662" t="s">
        <v>1374</v>
      </c>
      <c r="D2662" t="s">
        <v>1305</v>
      </c>
      <c r="E2662" s="220">
        <v>6.6925999999999999E-2</v>
      </c>
    </row>
    <row r="2663" spans="1:5">
      <c r="A2663" t="s">
        <v>1257</v>
      </c>
      <c r="B2663" t="s">
        <v>2916</v>
      </c>
      <c r="C2663" t="s">
        <v>1374</v>
      </c>
      <c r="D2663" t="s">
        <v>1305</v>
      </c>
      <c r="E2663" s="220">
        <v>6.8108000000000002E-2</v>
      </c>
    </row>
    <row r="2664" spans="1:5">
      <c r="A2664" t="s">
        <v>1268</v>
      </c>
      <c r="B2664" t="s">
        <v>2916</v>
      </c>
      <c r="C2664" t="s">
        <v>1374</v>
      </c>
      <c r="D2664" t="s">
        <v>1305</v>
      </c>
      <c r="E2664" s="220">
        <v>6.8558999999999995E-2</v>
      </c>
    </row>
    <row r="2665" spans="1:5">
      <c r="A2665" t="s">
        <v>1148</v>
      </c>
      <c r="B2665" t="s">
        <v>2916</v>
      </c>
      <c r="C2665" t="s">
        <v>1374</v>
      </c>
      <c r="D2665" t="s">
        <v>1305</v>
      </c>
      <c r="E2665" s="220">
        <v>6.7299999999999999E-2</v>
      </c>
    </row>
    <row r="2666" spans="1:5">
      <c r="A2666" t="s">
        <v>580</v>
      </c>
      <c r="B2666" t="s">
        <v>2916</v>
      </c>
      <c r="C2666" t="s">
        <v>1374</v>
      </c>
      <c r="D2666" t="s">
        <v>1309</v>
      </c>
      <c r="E2666" s="220">
        <v>6.8599999999999994E-2</v>
      </c>
    </row>
    <row r="2667" spans="1:5">
      <c r="A2667" t="s">
        <v>587</v>
      </c>
      <c r="B2667" t="s">
        <v>2916</v>
      </c>
      <c r="C2667" t="s">
        <v>1374</v>
      </c>
      <c r="D2667" t="s">
        <v>1309</v>
      </c>
      <c r="E2667" s="220">
        <v>6.8599999999999994E-2</v>
      </c>
    </row>
    <row r="2668" spans="1:5">
      <c r="A2668" t="s">
        <v>1235</v>
      </c>
      <c r="B2668" t="s">
        <v>2916</v>
      </c>
      <c r="C2668" t="s">
        <v>1374</v>
      </c>
      <c r="D2668" t="s">
        <v>1309</v>
      </c>
      <c r="E2668" s="220">
        <v>6.8599999999999994E-2</v>
      </c>
    </row>
    <row r="2669" spans="1:5">
      <c r="A2669" t="s">
        <v>617</v>
      </c>
      <c r="B2669" t="s">
        <v>2916</v>
      </c>
      <c r="C2669" t="s">
        <v>1374</v>
      </c>
      <c r="D2669" t="s">
        <v>1309</v>
      </c>
      <c r="E2669" s="220">
        <v>6.8599999999999994E-2</v>
      </c>
    </row>
    <row r="2670" spans="1:5">
      <c r="A2670" t="s">
        <v>620</v>
      </c>
      <c r="B2670" t="s">
        <v>2916</v>
      </c>
      <c r="C2670" t="s">
        <v>1374</v>
      </c>
      <c r="D2670" t="s">
        <v>1309</v>
      </c>
      <c r="E2670" s="220">
        <v>6.8599999999999994E-2</v>
      </c>
    </row>
    <row r="2671" spans="1:5">
      <c r="A2671" t="s">
        <v>614</v>
      </c>
      <c r="B2671" t="s">
        <v>2916</v>
      </c>
      <c r="C2671" t="s">
        <v>1374</v>
      </c>
      <c r="D2671" t="s">
        <v>1309</v>
      </c>
      <c r="E2671" s="220">
        <v>6.8599999999999994E-2</v>
      </c>
    </row>
    <row r="2672" spans="1:5">
      <c r="A2672" t="s">
        <v>626</v>
      </c>
      <c r="B2672" t="s">
        <v>2916</v>
      </c>
      <c r="C2672" t="s">
        <v>1374</v>
      </c>
      <c r="D2672" t="s">
        <v>1309</v>
      </c>
      <c r="E2672" s="220">
        <v>6.8599999999999994E-2</v>
      </c>
    </row>
    <row r="2673" spans="1:5">
      <c r="A2673" t="s">
        <v>632</v>
      </c>
      <c r="B2673" t="s">
        <v>2916</v>
      </c>
      <c r="C2673" t="s">
        <v>1374</v>
      </c>
      <c r="D2673" t="s">
        <v>1309</v>
      </c>
      <c r="E2673" s="220">
        <v>6.8599999999999994E-2</v>
      </c>
    </row>
    <row r="2674" spans="1:5">
      <c r="A2674" t="s">
        <v>650</v>
      </c>
      <c r="B2674" t="s">
        <v>2916</v>
      </c>
      <c r="C2674" t="s">
        <v>1374</v>
      </c>
      <c r="D2674" t="s">
        <v>1309</v>
      </c>
      <c r="E2674" s="220">
        <v>6.8599999999999994E-2</v>
      </c>
    </row>
    <row r="2675" spans="1:5">
      <c r="A2675" t="s">
        <v>641</v>
      </c>
      <c r="B2675" t="s">
        <v>2916</v>
      </c>
      <c r="C2675" t="s">
        <v>1374</v>
      </c>
      <c r="D2675" t="s">
        <v>1309</v>
      </c>
      <c r="E2675" s="220">
        <v>6.8599999999999994E-2</v>
      </c>
    </row>
    <row r="2676" spans="1:5">
      <c r="A2676" t="s">
        <v>687</v>
      </c>
      <c r="B2676" t="s">
        <v>2916</v>
      </c>
      <c r="C2676" t="s">
        <v>1374</v>
      </c>
      <c r="D2676" t="s">
        <v>1309</v>
      </c>
      <c r="E2676" s="220">
        <v>6.8599999999999994E-2</v>
      </c>
    </row>
    <row r="2677" spans="1:5">
      <c r="A2677" t="s">
        <v>638</v>
      </c>
      <c r="B2677" t="s">
        <v>2916</v>
      </c>
      <c r="C2677" t="s">
        <v>1374</v>
      </c>
      <c r="D2677" t="s">
        <v>1309</v>
      </c>
      <c r="E2677" s="220">
        <v>6.8599999999999994E-2</v>
      </c>
    </row>
    <row r="2678" spans="1:5">
      <c r="A2678" t="s">
        <v>635</v>
      </c>
      <c r="B2678" t="s">
        <v>2916</v>
      </c>
      <c r="C2678" t="s">
        <v>1374</v>
      </c>
      <c r="D2678" t="s">
        <v>1309</v>
      </c>
      <c r="E2678" s="220">
        <v>6.8599999999999994E-2</v>
      </c>
    </row>
    <row r="2679" spans="1:5">
      <c r="A2679" t="s">
        <v>670</v>
      </c>
      <c r="B2679" t="s">
        <v>2916</v>
      </c>
      <c r="C2679" t="s">
        <v>1374</v>
      </c>
      <c r="D2679" t="s">
        <v>1309</v>
      </c>
      <c r="E2679" s="220">
        <v>6.8599999999999994E-2</v>
      </c>
    </row>
    <row r="2680" spans="1:5">
      <c r="A2680" t="s">
        <v>647</v>
      </c>
      <c r="B2680" t="s">
        <v>2916</v>
      </c>
      <c r="C2680" t="s">
        <v>1374</v>
      </c>
      <c r="D2680" t="s">
        <v>1309</v>
      </c>
      <c r="E2680" s="220">
        <v>6.8599999999999994E-2</v>
      </c>
    </row>
    <row r="2681" spans="1:5">
      <c r="A2681" t="s">
        <v>653</v>
      </c>
      <c r="B2681" t="s">
        <v>2916</v>
      </c>
      <c r="C2681" t="s">
        <v>1374</v>
      </c>
      <c r="D2681" t="s">
        <v>1309</v>
      </c>
      <c r="E2681" s="220">
        <v>6.8599999999999994E-2</v>
      </c>
    </row>
    <row r="2682" spans="1:5">
      <c r="A2682" t="s">
        <v>659</v>
      </c>
      <c r="B2682" t="s">
        <v>2916</v>
      </c>
      <c r="C2682" t="s">
        <v>1374</v>
      </c>
      <c r="D2682" t="s">
        <v>1309</v>
      </c>
      <c r="E2682" s="220">
        <v>6.8599999999999994E-2</v>
      </c>
    </row>
    <row r="2683" spans="1:5">
      <c r="A2683" t="s">
        <v>667</v>
      </c>
      <c r="B2683" t="s">
        <v>2916</v>
      </c>
      <c r="C2683" t="s">
        <v>1374</v>
      </c>
      <c r="D2683" t="s">
        <v>1309</v>
      </c>
      <c r="E2683" s="220">
        <v>6.8599999999999994E-2</v>
      </c>
    </row>
    <row r="2684" spans="1:5">
      <c r="A2684" t="s">
        <v>676</v>
      </c>
      <c r="B2684" t="s">
        <v>2916</v>
      </c>
      <c r="C2684" t="s">
        <v>1374</v>
      </c>
      <c r="D2684" t="s">
        <v>1309</v>
      </c>
      <c r="E2684" s="220">
        <v>6.8599999999999994E-2</v>
      </c>
    </row>
    <row r="2685" spans="1:5">
      <c r="A2685" t="s">
        <v>644</v>
      </c>
      <c r="B2685" t="s">
        <v>2916</v>
      </c>
      <c r="C2685" t="s">
        <v>1374</v>
      </c>
      <c r="D2685" t="s">
        <v>1309</v>
      </c>
      <c r="E2685" s="220">
        <v>6.8599999999999994E-2</v>
      </c>
    </row>
    <row r="2686" spans="1:5">
      <c r="A2686" t="s">
        <v>684</v>
      </c>
      <c r="B2686" t="s">
        <v>2916</v>
      </c>
      <c r="C2686" t="s">
        <v>1374</v>
      </c>
      <c r="D2686" t="s">
        <v>1309</v>
      </c>
      <c r="E2686" s="220">
        <v>6.8599999999999994E-2</v>
      </c>
    </row>
    <row r="2687" spans="1:5">
      <c r="A2687" t="s">
        <v>664</v>
      </c>
      <c r="B2687" t="s">
        <v>2916</v>
      </c>
      <c r="C2687" t="s">
        <v>1374</v>
      </c>
      <c r="D2687" t="s">
        <v>1309</v>
      </c>
      <c r="E2687" s="220">
        <v>6.8599999999999994E-2</v>
      </c>
    </row>
    <row r="2688" spans="1:5">
      <c r="A2688" t="s">
        <v>705</v>
      </c>
      <c r="B2688" t="s">
        <v>2916</v>
      </c>
      <c r="C2688" t="s">
        <v>1374</v>
      </c>
      <c r="D2688" t="s">
        <v>1309</v>
      </c>
      <c r="E2688" s="220">
        <v>6.8599999999999994E-2</v>
      </c>
    </row>
    <row r="2689" spans="1:5">
      <c r="A2689" t="s">
        <v>1182</v>
      </c>
      <c r="B2689" t="s">
        <v>2916</v>
      </c>
      <c r="C2689" t="s">
        <v>1374</v>
      </c>
      <c r="D2689" t="s">
        <v>1309</v>
      </c>
      <c r="E2689" s="220">
        <v>6.8599999999999994E-2</v>
      </c>
    </row>
    <row r="2690" spans="1:5">
      <c r="A2690" t="s">
        <v>720</v>
      </c>
      <c r="B2690" t="s">
        <v>2916</v>
      </c>
      <c r="C2690" t="s">
        <v>1374</v>
      </c>
      <c r="D2690" t="s">
        <v>1309</v>
      </c>
      <c r="E2690" s="220">
        <v>6.8599999999999994E-2</v>
      </c>
    </row>
    <row r="2691" spans="1:5">
      <c r="A2691" t="s">
        <v>723</v>
      </c>
      <c r="B2691" t="s">
        <v>2916</v>
      </c>
      <c r="C2691" t="s">
        <v>1374</v>
      </c>
      <c r="D2691" t="s">
        <v>1309</v>
      </c>
      <c r="E2691" s="220">
        <v>6.6312999999999997E-2</v>
      </c>
    </row>
    <row r="2692" spans="1:5">
      <c r="A2692" t="s">
        <v>726</v>
      </c>
      <c r="B2692" t="s">
        <v>2916</v>
      </c>
      <c r="C2692" t="s">
        <v>1374</v>
      </c>
      <c r="D2692" t="s">
        <v>1309</v>
      </c>
      <c r="E2692" s="220">
        <v>6.8599999999999994E-2</v>
      </c>
    </row>
    <row r="2693" spans="1:5">
      <c r="A2693" t="s">
        <v>738</v>
      </c>
      <c r="B2693" t="s">
        <v>2916</v>
      </c>
      <c r="C2693" t="s">
        <v>1374</v>
      </c>
      <c r="D2693" t="s">
        <v>1309</v>
      </c>
      <c r="E2693" s="220">
        <v>6.8599999999999994E-2</v>
      </c>
    </row>
    <row r="2694" spans="1:5">
      <c r="A2694" t="s">
        <v>747</v>
      </c>
      <c r="B2694" t="s">
        <v>2916</v>
      </c>
      <c r="C2694" t="s">
        <v>1374</v>
      </c>
      <c r="D2694" t="s">
        <v>1309</v>
      </c>
      <c r="E2694" s="220">
        <v>6.8599999999999994E-2</v>
      </c>
    </row>
    <row r="2695" spans="1:5">
      <c r="A2695" t="s">
        <v>754</v>
      </c>
      <c r="B2695" t="s">
        <v>2916</v>
      </c>
      <c r="C2695" t="s">
        <v>1374</v>
      </c>
      <c r="D2695" t="s">
        <v>1309</v>
      </c>
      <c r="E2695" s="220">
        <v>6.8599999999999994E-2</v>
      </c>
    </row>
    <row r="2696" spans="1:5">
      <c r="A2696" t="s">
        <v>757</v>
      </c>
      <c r="B2696" t="s">
        <v>2916</v>
      </c>
      <c r="C2696" t="s">
        <v>1374</v>
      </c>
      <c r="D2696" t="s">
        <v>1309</v>
      </c>
      <c r="E2696" s="220">
        <v>6.8599999999999994E-2</v>
      </c>
    </row>
    <row r="2697" spans="1:5">
      <c r="A2697" t="s">
        <v>823</v>
      </c>
      <c r="B2697" t="s">
        <v>2916</v>
      </c>
      <c r="C2697" t="s">
        <v>1374</v>
      </c>
      <c r="D2697" t="s">
        <v>1309</v>
      </c>
      <c r="E2697" s="220">
        <v>6.8599999999999994E-2</v>
      </c>
    </row>
    <row r="2698" spans="1:5">
      <c r="A2698" t="s">
        <v>767</v>
      </c>
      <c r="B2698" t="s">
        <v>2916</v>
      </c>
      <c r="C2698" t="s">
        <v>1374</v>
      </c>
      <c r="D2698" t="s">
        <v>1309</v>
      </c>
      <c r="E2698" s="220">
        <v>6.8599999999999994E-2</v>
      </c>
    </row>
    <row r="2699" spans="1:5">
      <c r="A2699" t="s">
        <v>761</v>
      </c>
      <c r="B2699" t="s">
        <v>2916</v>
      </c>
      <c r="C2699" t="s">
        <v>1374</v>
      </c>
      <c r="D2699" t="s">
        <v>1309</v>
      </c>
      <c r="E2699" s="220">
        <v>6.8599999999999994E-2</v>
      </c>
    </row>
    <row r="2700" spans="1:5">
      <c r="A2700" t="s">
        <v>770</v>
      </c>
      <c r="B2700" t="s">
        <v>2916</v>
      </c>
      <c r="C2700" t="s">
        <v>1374</v>
      </c>
      <c r="D2700" t="s">
        <v>1309</v>
      </c>
      <c r="E2700" s="220">
        <v>6.8599999999999994E-2</v>
      </c>
    </row>
    <row r="2701" spans="1:5">
      <c r="A2701" t="s">
        <v>592</v>
      </c>
      <c r="B2701" t="s">
        <v>2916</v>
      </c>
      <c r="C2701" t="s">
        <v>1374</v>
      </c>
      <c r="D2701" t="s">
        <v>1309</v>
      </c>
      <c r="E2701" s="220">
        <v>6.8599999999999994E-2</v>
      </c>
    </row>
    <row r="2702" spans="1:5">
      <c r="A2702" t="s">
        <v>773</v>
      </c>
      <c r="B2702" t="s">
        <v>2916</v>
      </c>
      <c r="C2702" t="s">
        <v>1374</v>
      </c>
      <c r="D2702" t="s">
        <v>1309</v>
      </c>
      <c r="E2702" s="220">
        <v>6.8599999999999994E-2</v>
      </c>
    </row>
    <row r="2703" spans="1:5">
      <c r="A2703" t="s">
        <v>776</v>
      </c>
      <c r="B2703" t="s">
        <v>2916</v>
      </c>
      <c r="C2703" t="s">
        <v>1374</v>
      </c>
      <c r="D2703" t="s">
        <v>1309</v>
      </c>
      <c r="E2703" s="220">
        <v>6.8599999999999994E-2</v>
      </c>
    </row>
    <row r="2704" spans="1:5">
      <c r="A2704" t="s">
        <v>1154</v>
      </c>
      <c r="B2704" t="s">
        <v>2916</v>
      </c>
      <c r="C2704" t="s">
        <v>1374</v>
      </c>
      <c r="D2704" t="s">
        <v>1309</v>
      </c>
      <c r="E2704" s="220">
        <v>6.8599999999999994E-2</v>
      </c>
    </row>
    <row r="2705" spans="1:5">
      <c r="A2705" t="s">
        <v>788</v>
      </c>
      <c r="B2705" t="s">
        <v>2916</v>
      </c>
      <c r="C2705" t="s">
        <v>1374</v>
      </c>
      <c r="D2705" t="s">
        <v>1309</v>
      </c>
      <c r="E2705" s="220">
        <v>6.8599999999999994E-2</v>
      </c>
    </row>
    <row r="2706" spans="1:5">
      <c r="A2706" t="s">
        <v>805</v>
      </c>
      <c r="B2706" t="s">
        <v>2916</v>
      </c>
      <c r="C2706" t="s">
        <v>1374</v>
      </c>
      <c r="D2706" t="s">
        <v>1309</v>
      </c>
      <c r="E2706" s="220">
        <v>6.8599999999999994E-2</v>
      </c>
    </row>
    <row r="2707" spans="1:5">
      <c r="A2707" t="s">
        <v>808</v>
      </c>
      <c r="B2707" t="s">
        <v>2916</v>
      </c>
      <c r="C2707" t="s">
        <v>1374</v>
      </c>
      <c r="D2707" t="s">
        <v>1309</v>
      </c>
      <c r="E2707" s="220">
        <v>7.2999999999999995E-2</v>
      </c>
    </row>
    <row r="2708" spans="1:5">
      <c r="A2708" t="s">
        <v>1238</v>
      </c>
      <c r="B2708" t="s">
        <v>2916</v>
      </c>
      <c r="C2708" t="s">
        <v>1374</v>
      </c>
      <c r="D2708" t="s">
        <v>1309</v>
      </c>
      <c r="E2708" s="220">
        <v>6.8599999999999994E-2</v>
      </c>
    </row>
    <row r="2709" spans="1:5">
      <c r="A2709" t="s">
        <v>820</v>
      </c>
      <c r="B2709" t="s">
        <v>2916</v>
      </c>
      <c r="C2709" t="s">
        <v>1374</v>
      </c>
      <c r="D2709" t="s">
        <v>1309</v>
      </c>
      <c r="E2709" s="220">
        <v>6.8599999999999994E-2</v>
      </c>
    </row>
    <row r="2710" spans="1:5">
      <c r="A2710" t="s">
        <v>833</v>
      </c>
      <c r="B2710" t="s">
        <v>2916</v>
      </c>
      <c r="C2710" t="s">
        <v>1374</v>
      </c>
      <c r="D2710" t="s">
        <v>1309</v>
      </c>
      <c r="E2710" s="220">
        <v>6.8599999999999994E-2</v>
      </c>
    </row>
    <row r="2711" spans="1:5">
      <c r="A2711" t="s">
        <v>839</v>
      </c>
      <c r="B2711" t="s">
        <v>2916</v>
      </c>
      <c r="C2711" t="s">
        <v>1374</v>
      </c>
      <c r="D2711" t="s">
        <v>1309</v>
      </c>
      <c r="E2711" s="220">
        <v>6.8599999999999994E-2</v>
      </c>
    </row>
    <row r="2712" spans="1:5">
      <c r="A2712" t="s">
        <v>845</v>
      </c>
      <c r="B2712" t="s">
        <v>2916</v>
      </c>
      <c r="C2712" t="s">
        <v>1374</v>
      </c>
      <c r="D2712" t="s">
        <v>1309</v>
      </c>
      <c r="E2712" s="220">
        <v>6.8599999999999994E-2</v>
      </c>
    </row>
    <row r="2713" spans="1:5">
      <c r="A2713" t="s">
        <v>854</v>
      </c>
      <c r="B2713" t="s">
        <v>2916</v>
      </c>
      <c r="C2713" t="s">
        <v>1374</v>
      </c>
      <c r="D2713" t="s">
        <v>1309</v>
      </c>
      <c r="E2713" s="220">
        <v>6.8599999999999994E-2</v>
      </c>
    </row>
    <row r="2714" spans="1:5">
      <c r="A2714" t="s">
        <v>863</v>
      </c>
      <c r="B2714" t="s">
        <v>2916</v>
      </c>
      <c r="C2714" t="s">
        <v>1374</v>
      </c>
      <c r="D2714" t="s">
        <v>1309</v>
      </c>
      <c r="E2714" s="220">
        <v>6.8599999999999994E-2</v>
      </c>
    </row>
    <row r="2715" spans="1:5">
      <c r="A2715" t="s">
        <v>860</v>
      </c>
      <c r="B2715" t="s">
        <v>2916</v>
      </c>
      <c r="C2715" t="s">
        <v>1374</v>
      </c>
      <c r="D2715" t="s">
        <v>1309</v>
      </c>
      <c r="E2715" s="220">
        <v>6.8599999999999994E-2</v>
      </c>
    </row>
    <row r="2716" spans="1:5">
      <c r="A2716" t="s">
        <v>744</v>
      </c>
      <c r="B2716" t="s">
        <v>2916</v>
      </c>
      <c r="C2716" t="s">
        <v>1374</v>
      </c>
      <c r="D2716" t="s">
        <v>1309</v>
      </c>
      <c r="E2716" s="220">
        <v>6.8599999999999994E-2</v>
      </c>
    </row>
    <row r="2717" spans="1:5">
      <c r="A2717" t="s">
        <v>857</v>
      </c>
      <c r="B2717" t="s">
        <v>2916</v>
      </c>
      <c r="C2717" t="s">
        <v>1374</v>
      </c>
      <c r="D2717" t="s">
        <v>1309</v>
      </c>
      <c r="E2717" s="220">
        <v>6.8599999999999994E-2</v>
      </c>
    </row>
    <row r="2718" spans="1:5">
      <c r="A2718" t="s">
        <v>866</v>
      </c>
      <c r="B2718" t="s">
        <v>2916</v>
      </c>
      <c r="C2718" t="s">
        <v>1374</v>
      </c>
      <c r="D2718" t="s">
        <v>1309</v>
      </c>
      <c r="E2718" s="220">
        <v>6.8599999999999994E-2</v>
      </c>
    </row>
    <row r="2719" spans="1:5">
      <c r="A2719" t="s">
        <v>875</v>
      </c>
      <c r="B2719" t="s">
        <v>2916</v>
      </c>
      <c r="C2719" t="s">
        <v>1374</v>
      </c>
      <c r="D2719" t="s">
        <v>1309</v>
      </c>
      <c r="E2719" s="220">
        <v>6.8599999999999994E-2</v>
      </c>
    </row>
    <row r="2720" spans="1:5">
      <c r="A2720" t="s">
        <v>872</v>
      </c>
      <c r="B2720" t="s">
        <v>2916</v>
      </c>
      <c r="C2720" t="s">
        <v>1374</v>
      </c>
      <c r="D2720" t="s">
        <v>1309</v>
      </c>
      <c r="E2720" s="220">
        <v>6.8599999999999994E-2</v>
      </c>
    </row>
    <row r="2721" spans="1:5">
      <c r="A2721" t="s">
        <v>884</v>
      </c>
      <c r="B2721" t="s">
        <v>2916</v>
      </c>
      <c r="C2721" t="s">
        <v>1374</v>
      </c>
      <c r="D2721" t="s">
        <v>1309</v>
      </c>
      <c r="E2721" s="220">
        <v>6.8599999999999994E-2</v>
      </c>
    </row>
    <row r="2722" spans="1:5">
      <c r="A2722" t="s">
        <v>878</v>
      </c>
      <c r="B2722" t="s">
        <v>2916</v>
      </c>
      <c r="C2722" t="s">
        <v>1374</v>
      </c>
      <c r="D2722" t="s">
        <v>1309</v>
      </c>
      <c r="E2722" s="220">
        <v>6.8599999999999994E-2</v>
      </c>
    </row>
    <row r="2723" spans="1:5">
      <c r="A2723" t="s">
        <v>881</v>
      </c>
      <c r="B2723" t="s">
        <v>2916</v>
      </c>
      <c r="C2723" t="s">
        <v>1374</v>
      </c>
      <c r="D2723" t="s">
        <v>1309</v>
      </c>
      <c r="E2723" s="220">
        <v>6.8599999999999994E-2</v>
      </c>
    </row>
    <row r="2724" spans="1:5">
      <c r="A2724" t="s">
        <v>869</v>
      </c>
      <c r="B2724" t="s">
        <v>2916</v>
      </c>
      <c r="C2724" t="s">
        <v>1374</v>
      </c>
      <c r="D2724" t="s">
        <v>1309</v>
      </c>
      <c r="E2724" s="220">
        <v>6.8599999999999994E-2</v>
      </c>
    </row>
    <row r="2725" spans="1:5">
      <c r="A2725" t="s">
        <v>891</v>
      </c>
      <c r="B2725" t="s">
        <v>2916</v>
      </c>
      <c r="C2725" t="s">
        <v>1374</v>
      </c>
      <c r="D2725" t="s">
        <v>1309</v>
      </c>
      <c r="E2725" s="220">
        <v>6.8599999999999994E-2</v>
      </c>
    </row>
    <row r="2726" spans="1:5">
      <c r="A2726" t="s">
        <v>894</v>
      </c>
      <c r="B2726" t="s">
        <v>2916</v>
      </c>
      <c r="C2726" t="s">
        <v>1374</v>
      </c>
      <c r="D2726" t="s">
        <v>1309</v>
      </c>
      <c r="E2726" s="220">
        <v>6.8599999999999994E-2</v>
      </c>
    </row>
    <row r="2727" spans="1:5">
      <c r="A2727" t="s">
        <v>897</v>
      </c>
      <c r="B2727" t="s">
        <v>2916</v>
      </c>
      <c r="C2727" t="s">
        <v>1374</v>
      </c>
      <c r="D2727" t="s">
        <v>1309</v>
      </c>
      <c r="E2727" s="220">
        <v>6.8599999999999994E-2</v>
      </c>
    </row>
    <row r="2728" spans="1:5">
      <c r="A2728" t="s">
        <v>903</v>
      </c>
      <c r="B2728" t="s">
        <v>2916</v>
      </c>
      <c r="C2728" t="s">
        <v>1374</v>
      </c>
      <c r="D2728" t="s">
        <v>1309</v>
      </c>
      <c r="E2728" s="220">
        <v>6.8599999999999994E-2</v>
      </c>
    </row>
    <row r="2729" spans="1:5">
      <c r="A2729" t="s">
        <v>900</v>
      </c>
      <c r="B2729" t="s">
        <v>2916</v>
      </c>
      <c r="C2729" t="s">
        <v>1374</v>
      </c>
      <c r="D2729" t="s">
        <v>1309</v>
      </c>
      <c r="E2729" s="220">
        <v>6.8599999999999994E-2</v>
      </c>
    </row>
    <row r="2730" spans="1:5">
      <c r="A2730" t="s">
        <v>906</v>
      </c>
      <c r="B2730" t="s">
        <v>2916</v>
      </c>
      <c r="C2730" t="s">
        <v>1374</v>
      </c>
      <c r="D2730" t="s">
        <v>1309</v>
      </c>
      <c r="E2730" s="220">
        <v>6.8599999999999994E-2</v>
      </c>
    </row>
    <row r="2731" spans="1:5">
      <c r="A2731" t="s">
        <v>930</v>
      </c>
      <c r="B2731" t="s">
        <v>2916</v>
      </c>
      <c r="C2731" t="s">
        <v>1374</v>
      </c>
      <c r="D2731" t="s">
        <v>1309</v>
      </c>
      <c r="E2731" s="220">
        <v>6.8599999999999994E-2</v>
      </c>
    </row>
    <row r="2732" spans="1:5">
      <c r="A2732" t="s">
        <v>699</v>
      </c>
      <c r="B2732" t="s">
        <v>2916</v>
      </c>
      <c r="C2732" t="s">
        <v>1374</v>
      </c>
      <c r="D2732" t="s">
        <v>1309</v>
      </c>
      <c r="E2732" s="220">
        <v>6.8599999999999994E-2</v>
      </c>
    </row>
    <row r="2733" spans="1:5">
      <c r="A2733" t="s">
        <v>1160</v>
      </c>
      <c r="B2733" t="s">
        <v>2916</v>
      </c>
      <c r="C2733" t="s">
        <v>1374</v>
      </c>
      <c r="D2733" t="s">
        <v>1309</v>
      </c>
      <c r="E2733" s="220">
        <v>6.8599999999999994E-2</v>
      </c>
    </row>
    <row r="2734" spans="1:5">
      <c r="A2734" t="s">
        <v>915</v>
      </c>
      <c r="B2734" t="s">
        <v>2916</v>
      </c>
      <c r="C2734" t="s">
        <v>1374</v>
      </c>
      <c r="D2734" t="s">
        <v>1309</v>
      </c>
      <c r="E2734" s="220">
        <v>6.8599999999999994E-2</v>
      </c>
    </row>
    <row r="2735" spans="1:5">
      <c r="A2735" t="s">
        <v>927</v>
      </c>
      <c r="B2735" t="s">
        <v>2916</v>
      </c>
      <c r="C2735" t="s">
        <v>1374</v>
      </c>
      <c r="D2735" t="s">
        <v>1309</v>
      </c>
      <c r="E2735" s="220">
        <v>6.8599999999999994E-2</v>
      </c>
    </row>
    <row r="2736" spans="1:5">
      <c r="A2736" t="s">
        <v>933</v>
      </c>
      <c r="B2736" t="s">
        <v>2916</v>
      </c>
      <c r="C2736" t="s">
        <v>1374</v>
      </c>
      <c r="D2736" t="s">
        <v>1309</v>
      </c>
      <c r="E2736" s="220">
        <v>6.8599999999999994E-2</v>
      </c>
    </row>
    <row r="2737" spans="1:5">
      <c r="A2737" t="s">
        <v>939</v>
      </c>
      <c r="B2737" t="s">
        <v>2916</v>
      </c>
      <c r="C2737" t="s">
        <v>1374</v>
      </c>
      <c r="D2737" t="s">
        <v>1309</v>
      </c>
      <c r="E2737" s="220">
        <v>6.8599999999999994E-2</v>
      </c>
    </row>
    <row r="2738" spans="1:5">
      <c r="A2738" t="s">
        <v>1163</v>
      </c>
      <c r="B2738" t="s">
        <v>2916</v>
      </c>
      <c r="C2738" t="s">
        <v>1374</v>
      </c>
      <c r="D2738" t="s">
        <v>1309</v>
      </c>
      <c r="E2738" s="220">
        <v>6.8599999999999994E-2</v>
      </c>
    </row>
    <row r="2739" spans="1:5">
      <c r="A2739" t="s">
        <v>1157</v>
      </c>
      <c r="B2739" t="s">
        <v>2916</v>
      </c>
      <c r="C2739" t="s">
        <v>1374</v>
      </c>
      <c r="D2739" t="s">
        <v>1309</v>
      </c>
      <c r="E2739" s="220">
        <v>6.8599999999999994E-2</v>
      </c>
    </row>
    <row r="2740" spans="1:5">
      <c r="A2740" t="s">
        <v>954</v>
      </c>
      <c r="B2740" t="s">
        <v>2916</v>
      </c>
      <c r="C2740" t="s">
        <v>1374</v>
      </c>
      <c r="D2740" t="s">
        <v>1309</v>
      </c>
      <c r="E2740" s="220">
        <v>6.8599999999999994E-2</v>
      </c>
    </row>
    <row r="2741" spans="1:5">
      <c r="A2741" t="s">
        <v>957</v>
      </c>
      <c r="B2741" t="s">
        <v>2916</v>
      </c>
      <c r="C2741" t="s">
        <v>1374</v>
      </c>
      <c r="D2741" t="s">
        <v>1309</v>
      </c>
      <c r="E2741" s="220">
        <v>6.8599999999999994E-2</v>
      </c>
    </row>
    <row r="2742" spans="1:5">
      <c r="A2742" t="s">
        <v>936</v>
      </c>
      <c r="B2742" t="s">
        <v>2916</v>
      </c>
      <c r="C2742" t="s">
        <v>1374</v>
      </c>
      <c r="D2742" t="s">
        <v>1309</v>
      </c>
      <c r="E2742" s="220">
        <v>6.8599999999999994E-2</v>
      </c>
    </row>
    <row r="2743" spans="1:5">
      <c r="A2743" t="s">
        <v>1014</v>
      </c>
      <c r="B2743" t="s">
        <v>2916</v>
      </c>
      <c r="C2743" t="s">
        <v>1374</v>
      </c>
      <c r="D2743" t="s">
        <v>1309</v>
      </c>
      <c r="E2743" s="220">
        <v>6.8599999999999994E-2</v>
      </c>
    </row>
    <row r="2744" spans="1:5">
      <c r="A2744" t="s">
        <v>999</v>
      </c>
      <c r="B2744" t="s">
        <v>2916</v>
      </c>
      <c r="C2744" t="s">
        <v>1374</v>
      </c>
      <c r="D2744" t="s">
        <v>1309</v>
      </c>
      <c r="E2744" s="220">
        <v>6.8599999999999994E-2</v>
      </c>
    </row>
    <row r="2745" spans="1:5">
      <c r="A2745" t="s">
        <v>993</v>
      </c>
      <c r="B2745" t="s">
        <v>2916</v>
      </c>
      <c r="C2745" t="s">
        <v>1374</v>
      </c>
      <c r="D2745" t="s">
        <v>1309</v>
      </c>
      <c r="E2745" s="220">
        <v>6.8599999999999994E-2</v>
      </c>
    </row>
    <row r="2746" spans="1:5">
      <c r="A2746" t="s">
        <v>963</v>
      </c>
      <c r="B2746" t="s">
        <v>2916</v>
      </c>
      <c r="C2746" t="s">
        <v>1374</v>
      </c>
      <c r="D2746" t="s">
        <v>1309</v>
      </c>
      <c r="E2746" s="220">
        <v>6.8599999999999994E-2</v>
      </c>
    </row>
    <row r="2747" spans="1:5">
      <c r="A2747" t="s">
        <v>981</v>
      </c>
      <c r="B2747" t="s">
        <v>2916</v>
      </c>
      <c r="C2747" t="s">
        <v>1374</v>
      </c>
      <c r="D2747" t="s">
        <v>1309</v>
      </c>
      <c r="E2747" s="220">
        <v>6.8599999999999994E-2</v>
      </c>
    </row>
    <row r="2748" spans="1:5">
      <c r="A2748" t="s">
        <v>1020</v>
      </c>
      <c r="B2748" t="s">
        <v>2916</v>
      </c>
      <c r="C2748" t="s">
        <v>1374</v>
      </c>
      <c r="D2748" t="s">
        <v>1309</v>
      </c>
      <c r="E2748" s="220">
        <v>6.8599999999999994E-2</v>
      </c>
    </row>
    <row r="2749" spans="1:5">
      <c r="A2749" t="s">
        <v>1006</v>
      </c>
      <c r="B2749" t="s">
        <v>2916</v>
      </c>
      <c r="C2749" t="s">
        <v>1374</v>
      </c>
      <c r="D2749" t="s">
        <v>1309</v>
      </c>
      <c r="E2749" s="220">
        <v>6.8599999999999994E-2</v>
      </c>
    </row>
    <row r="2750" spans="1:5">
      <c r="A2750" t="s">
        <v>972</v>
      </c>
      <c r="B2750" t="s">
        <v>2916</v>
      </c>
      <c r="C2750" t="s">
        <v>1374</v>
      </c>
      <c r="D2750" t="s">
        <v>1309</v>
      </c>
      <c r="E2750" s="220">
        <v>6.8599999999999994E-2</v>
      </c>
    </row>
    <row r="2751" spans="1:5">
      <c r="A2751" t="s">
        <v>1042</v>
      </c>
      <c r="B2751" t="s">
        <v>2916</v>
      </c>
      <c r="C2751" t="s">
        <v>1374</v>
      </c>
      <c r="D2751" t="s">
        <v>1309</v>
      </c>
      <c r="E2751" s="220">
        <v>6.8599999999999994E-2</v>
      </c>
    </row>
    <row r="2752" spans="1:5">
      <c r="A2752" t="s">
        <v>1032</v>
      </c>
      <c r="B2752" t="s">
        <v>2916</v>
      </c>
      <c r="C2752" t="s">
        <v>1374</v>
      </c>
      <c r="D2752" t="s">
        <v>1309</v>
      </c>
      <c r="E2752" s="220">
        <v>6.8599999999999994E-2</v>
      </c>
    </row>
    <row r="2753" spans="1:5">
      <c r="A2753" t="s">
        <v>1055</v>
      </c>
      <c r="B2753" t="s">
        <v>2916</v>
      </c>
      <c r="C2753" t="s">
        <v>1374</v>
      </c>
      <c r="D2753" t="s">
        <v>1309</v>
      </c>
      <c r="E2753" s="220">
        <v>6.8599999999999994E-2</v>
      </c>
    </row>
    <row r="2754" spans="1:5">
      <c r="A2754" t="s">
        <v>1029</v>
      </c>
      <c r="B2754" t="s">
        <v>2916</v>
      </c>
      <c r="C2754" t="s">
        <v>1374</v>
      </c>
      <c r="D2754" t="s">
        <v>1309</v>
      </c>
      <c r="E2754" s="220">
        <v>6.8599999999999994E-2</v>
      </c>
    </row>
    <row r="2755" spans="1:5">
      <c r="A2755" t="s">
        <v>1039</v>
      </c>
      <c r="B2755" t="s">
        <v>2916</v>
      </c>
      <c r="C2755" t="s">
        <v>1374</v>
      </c>
      <c r="D2755" t="s">
        <v>1309</v>
      </c>
      <c r="E2755" s="220">
        <v>6.8599999999999994E-2</v>
      </c>
    </row>
    <row r="2756" spans="1:5">
      <c r="A2756" t="s">
        <v>1058</v>
      </c>
      <c r="B2756" t="s">
        <v>2916</v>
      </c>
      <c r="C2756" t="s">
        <v>1374</v>
      </c>
      <c r="D2756" t="s">
        <v>1309</v>
      </c>
      <c r="E2756" s="220">
        <v>6.8599999999999994E-2</v>
      </c>
    </row>
    <row r="2757" spans="1:5">
      <c r="A2757" t="s">
        <v>1061</v>
      </c>
      <c r="B2757" t="s">
        <v>2916</v>
      </c>
      <c r="C2757" t="s">
        <v>1374</v>
      </c>
      <c r="D2757" t="s">
        <v>1309</v>
      </c>
      <c r="E2757" s="220">
        <v>6.8599999999999994E-2</v>
      </c>
    </row>
    <row r="2758" spans="1:5">
      <c r="A2758" t="s">
        <v>1067</v>
      </c>
      <c r="B2758" t="s">
        <v>2916</v>
      </c>
      <c r="C2758" t="s">
        <v>1374</v>
      </c>
      <c r="D2758" t="s">
        <v>1309</v>
      </c>
      <c r="E2758" s="220">
        <v>6.8599999999999994E-2</v>
      </c>
    </row>
    <row r="2759" spans="1:5">
      <c r="A2759" t="s">
        <v>1076</v>
      </c>
      <c r="B2759" t="s">
        <v>2916</v>
      </c>
      <c r="C2759" t="s">
        <v>1374</v>
      </c>
      <c r="D2759" t="s">
        <v>1309</v>
      </c>
      <c r="E2759" s="220">
        <v>6.8599999999999994E-2</v>
      </c>
    </row>
    <row r="2760" spans="1:5">
      <c r="A2760" t="s">
        <v>1079</v>
      </c>
      <c r="B2760" t="s">
        <v>2916</v>
      </c>
      <c r="C2760" t="s">
        <v>1374</v>
      </c>
      <c r="D2760" t="s">
        <v>1309</v>
      </c>
      <c r="E2760" s="220">
        <v>6.8599999999999994E-2</v>
      </c>
    </row>
    <row r="2761" spans="1:5">
      <c r="A2761" t="s">
        <v>1082</v>
      </c>
      <c r="B2761" t="s">
        <v>2916</v>
      </c>
      <c r="C2761" t="s">
        <v>1374</v>
      </c>
      <c r="D2761" t="s">
        <v>1309</v>
      </c>
      <c r="E2761" s="220">
        <v>6.8599999999999994E-2</v>
      </c>
    </row>
    <row r="2762" spans="1:5">
      <c r="A2762" t="s">
        <v>919</v>
      </c>
      <c r="B2762" t="s">
        <v>2916</v>
      </c>
      <c r="C2762" t="s">
        <v>1374</v>
      </c>
      <c r="D2762" t="s">
        <v>1309</v>
      </c>
      <c r="E2762" s="220">
        <v>6.8599999999999994E-2</v>
      </c>
    </row>
    <row r="2763" spans="1:5">
      <c r="A2763" t="s">
        <v>1085</v>
      </c>
      <c r="B2763" t="s">
        <v>2916</v>
      </c>
      <c r="C2763" t="s">
        <v>1374</v>
      </c>
      <c r="D2763" t="s">
        <v>1309</v>
      </c>
      <c r="E2763" s="220">
        <v>6.8599999999999994E-2</v>
      </c>
    </row>
    <row r="2764" spans="1:5">
      <c r="A2764" t="s">
        <v>1073</v>
      </c>
      <c r="B2764" t="s">
        <v>2916</v>
      </c>
      <c r="C2764" t="s">
        <v>1374</v>
      </c>
      <c r="D2764" t="s">
        <v>1309</v>
      </c>
      <c r="E2764" s="220">
        <v>6.8599999999999994E-2</v>
      </c>
    </row>
    <row r="2765" spans="1:5">
      <c r="A2765" t="s">
        <v>1264</v>
      </c>
      <c r="B2765" t="s">
        <v>2916</v>
      </c>
      <c r="C2765" t="s">
        <v>1374</v>
      </c>
      <c r="D2765" t="s">
        <v>1309</v>
      </c>
      <c r="E2765" s="220">
        <v>6.8599999999999994E-2</v>
      </c>
    </row>
    <row r="2766" spans="1:5">
      <c r="A2766" t="s">
        <v>1091</v>
      </c>
      <c r="B2766" t="s">
        <v>2916</v>
      </c>
      <c r="C2766" t="s">
        <v>1374</v>
      </c>
      <c r="D2766" t="s">
        <v>1309</v>
      </c>
      <c r="E2766" s="220">
        <v>6.8599999999999994E-2</v>
      </c>
    </row>
    <row r="2767" spans="1:5">
      <c r="A2767" t="s">
        <v>1094</v>
      </c>
      <c r="B2767" t="s">
        <v>2916</v>
      </c>
      <c r="C2767" t="s">
        <v>1374</v>
      </c>
      <c r="D2767" t="s">
        <v>1309</v>
      </c>
      <c r="E2767" s="220">
        <v>6.8599999999999994E-2</v>
      </c>
    </row>
    <row r="2768" spans="1:5">
      <c r="A2768" t="s">
        <v>1097</v>
      </c>
      <c r="B2768" t="s">
        <v>2916</v>
      </c>
      <c r="C2768" t="s">
        <v>1374</v>
      </c>
      <c r="D2768" t="s">
        <v>1309</v>
      </c>
      <c r="E2768" s="220">
        <v>6.8599999999999994E-2</v>
      </c>
    </row>
    <row r="2769" spans="1:5">
      <c r="A2769" t="s">
        <v>1113</v>
      </c>
      <c r="B2769" t="s">
        <v>2916</v>
      </c>
      <c r="C2769" t="s">
        <v>1374</v>
      </c>
      <c r="D2769" t="s">
        <v>1309</v>
      </c>
      <c r="E2769" s="220">
        <v>6.8599999999999994E-2</v>
      </c>
    </row>
    <row r="2770" spans="1:5">
      <c r="A2770" t="s">
        <v>1173</v>
      </c>
      <c r="B2770" t="s">
        <v>2916</v>
      </c>
      <c r="C2770" t="s">
        <v>1374</v>
      </c>
      <c r="D2770" t="s">
        <v>1309</v>
      </c>
      <c r="E2770" s="220">
        <v>6.8599999999999994E-2</v>
      </c>
    </row>
    <row r="2771" spans="1:5">
      <c r="A2771" t="s">
        <v>1128</v>
      </c>
      <c r="B2771" t="s">
        <v>2916</v>
      </c>
      <c r="C2771" t="s">
        <v>1374</v>
      </c>
      <c r="D2771" t="s">
        <v>1309</v>
      </c>
      <c r="E2771" s="220">
        <v>6.8599999999999994E-2</v>
      </c>
    </row>
    <row r="2772" spans="1:5">
      <c r="A2772" t="s">
        <v>779</v>
      </c>
      <c r="B2772" t="s">
        <v>2916</v>
      </c>
      <c r="C2772" t="s">
        <v>1374</v>
      </c>
      <c r="D2772" t="s">
        <v>1309</v>
      </c>
      <c r="E2772" s="220">
        <v>6.8599999999999994E-2</v>
      </c>
    </row>
    <row r="2773" spans="1:5">
      <c r="A2773" t="s">
        <v>1119</v>
      </c>
      <c r="B2773" t="s">
        <v>2916</v>
      </c>
      <c r="C2773" t="s">
        <v>1374</v>
      </c>
      <c r="D2773" t="s">
        <v>1309</v>
      </c>
      <c r="E2773" s="220">
        <v>6.8599999999999994E-2</v>
      </c>
    </row>
    <row r="2774" spans="1:5">
      <c r="A2774" t="s">
        <v>1176</v>
      </c>
      <c r="B2774" t="s">
        <v>2916</v>
      </c>
      <c r="C2774" t="s">
        <v>1374</v>
      </c>
      <c r="D2774" t="s">
        <v>1309</v>
      </c>
      <c r="E2774" s="220">
        <v>6.8599999999999994E-2</v>
      </c>
    </row>
    <row r="2775" spans="1:5">
      <c r="A2775" t="s">
        <v>1135</v>
      </c>
      <c r="B2775" t="s">
        <v>2916</v>
      </c>
      <c r="C2775" t="s">
        <v>1374</v>
      </c>
      <c r="D2775" t="s">
        <v>1309</v>
      </c>
      <c r="E2775" s="220">
        <v>6.8599999999999994E-2</v>
      </c>
    </row>
    <row r="2776" spans="1:5">
      <c r="A2776" t="s">
        <v>1139</v>
      </c>
      <c r="B2776" t="s">
        <v>2916</v>
      </c>
      <c r="C2776" t="s">
        <v>1374</v>
      </c>
      <c r="D2776" t="s">
        <v>1309</v>
      </c>
      <c r="E2776" s="220">
        <v>6.8599999999999994E-2</v>
      </c>
    </row>
    <row r="2777" spans="1:5">
      <c r="A2777" t="s">
        <v>1179</v>
      </c>
      <c r="B2777" t="s">
        <v>2916</v>
      </c>
      <c r="C2777" t="s">
        <v>1374</v>
      </c>
      <c r="D2777" t="s">
        <v>1309</v>
      </c>
      <c r="E2777" s="220">
        <v>6.8599999999999994E-2</v>
      </c>
    </row>
    <row r="2778" spans="1:5">
      <c r="A2778" t="s">
        <v>1185</v>
      </c>
      <c r="B2778" t="s">
        <v>2916</v>
      </c>
      <c r="C2778" t="s">
        <v>1374</v>
      </c>
      <c r="D2778" t="s">
        <v>1309</v>
      </c>
      <c r="E2778" s="220">
        <v>6.8599999999999994E-2</v>
      </c>
    </row>
    <row r="2779" spans="1:5">
      <c r="A2779" t="s">
        <v>1198</v>
      </c>
      <c r="B2779" t="s">
        <v>2916</v>
      </c>
      <c r="C2779" t="s">
        <v>1374</v>
      </c>
      <c r="D2779" t="s">
        <v>1309</v>
      </c>
      <c r="E2779" s="220">
        <v>6.8599999999999994E-2</v>
      </c>
    </row>
    <row r="2780" spans="1:5">
      <c r="A2780" t="s">
        <v>1192</v>
      </c>
      <c r="B2780" t="s">
        <v>2916</v>
      </c>
      <c r="C2780" t="s">
        <v>1374</v>
      </c>
      <c r="D2780" t="s">
        <v>1309</v>
      </c>
      <c r="E2780" s="220">
        <v>6.8599999999999994E-2</v>
      </c>
    </row>
    <row r="2781" spans="1:5">
      <c r="A2781" t="s">
        <v>1219</v>
      </c>
      <c r="B2781" t="s">
        <v>2916</v>
      </c>
      <c r="C2781" t="s">
        <v>1374</v>
      </c>
      <c r="D2781" t="s">
        <v>1309</v>
      </c>
      <c r="E2781" s="220">
        <v>6.8599999999999994E-2</v>
      </c>
    </row>
    <row r="2782" spans="1:5">
      <c r="A2782" t="s">
        <v>1210</v>
      </c>
      <c r="B2782" t="s">
        <v>2916</v>
      </c>
      <c r="C2782" t="s">
        <v>1374</v>
      </c>
      <c r="D2782" t="s">
        <v>1309</v>
      </c>
      <c r="E2782" s="220">
        <v>6.8599999999999994E-2</v>
      </c>
    </row>
    <row r="2783" spans="1:5">
      <c r="A2783" t="s">
        <v>1213</v>
      </c>
      <c r="B2783" t="s">
        <v>2916</v>
      </c>
      <c r="C2783" t="s">
        <v>1374</v>
      </c>
      <c r="D2783" t="s">
        <v>1309</v>
      </c>
      <c r="E2783" s="220">
        <v>6.8599999999999994E-2</v>
      </c>
    </row>
    <row r="2784" spans="1:5">
      <c r="A2784" t="s">
        <v>1216</v>
      </c>
      <c r="B2784" t="s">
        <v>2916</v>
      </c>
      <c r="C2784" t="s">
        <v>1374</v>
      </c>
      <c r="D2784" t="s">
        <v>1309</v>
      </c>
      <c r="E2784" s="220">
        <v>6.8599999999999994E-2</v>
      </c>
    </row>
    <row r="2785" spans="1:5">
      <c r="A2785" t="s">
        <v>1189</v>
      </c>
      <c r="B2785" t="s">
        <v>2916</v>
      </c>
      <c r="C2785" t="s">
        <v>1374</v>
      </c>
      <c r="D2785" t="s">
        <v>1309</v>
      </c>
      <c r="E2785" s="220">
        <v>6.8599999999999994E-2</v>
      </c>
    </row>
    <row r="2786" spans="1:5">
      <c r="A2786" t="s">
        <v>1232</v>
      </c>
      <c r="B2786" t="s">
        <v>2916</v>
      </c>
      <c r="C2786" t="s">
        <v>1374</v>
      </c>
      <c r="D2786" t="s">
        <v>1309</v>
      </c>
      <c r="E2786" s="220">
        <v>6.8599999999999994E-2</v>
      </c>
    </row>
    <row r="2787" spans="1:5">
      <c r="A2787" t="s">
        <v>1244</v>
      </c>
      <c r="B2787" t="s">
        <v>2916</v>
      </c>
      <c r="C2787" t="s">
        <v>1374</v>
      </c>
      <c r="D2787" t="s">
        <v>1309</v>
      </c>
      <c r="E2787" s="220">
        <v>6.8599999999999994E-2</v>
      </c>
    </row>
    <row r="2788" spans="1:5">
      <c r="A2788" t="s">
        <v>1241</v>
      </c>
      <c r="B2788" t="s">
        <v>2916</v>
      </c>
      <c r="C2788" t="s">
        <v>1374</v>
      </c>
      <c r="D2788" t="s">
        <v>1309</v>
      </c>
      <c r="E2788" s="220">
        <v>6.8599999999999994E-2</v>
      </c>
    </row>
    <row r="2789" spans="1:5">
      <c r="A2789" t="s">
        <v>1247</v>
      </c>
      <c r="B2789" t="s">
        <v>2916</v>
      </c>
      <c r="C2789" t="s">
        <v>1374</v>
      </c>
      <c r="D2789" t="s">
        <v>1309</v>
      </c>
      <c r="E2789" s="220">
        <v>6.8599999999999994E-2</v>
      </c>
    </row>
    <row r="2790" spans="1:5">
      <c r="A2790" t="s">
        <v>1170</v>
      </c>
      <c r="B2790" t="s">
        <v>2916</v>
      </c>
      <c r="C2790" t="s">
        <v>1374</v>
      </c>
      <c r="D2790" t="s">
        <v>1309</v>
      </c>
      <c r="E2790" s="220">
        <v>6.8599999999999994E-2</v>
      </c>
    </row>
    <row r="2791" spans="1:5">
      <c r="A2791" t="s">
        <v>1253</v>
      </c>
      <c r="B2791" t="s">
        <v>2916</v>
      </c>
      <c r="C2791" t="s">
        <v>1374</v>
      </c>
      <c r="D2791" t="s">
        <v>1309</v>
      </c>
      <c r="E2791" s="220">
        <v>6.8599999999999994E-2</v>
      </c>
    </row>
    <row r="2792" spans="1:5">
      <c r="A2792" t="s">
        <v>1257</v>
      </c>
      <c r="B2792" t="s">
        <v>2916</v>
      </c>
      <c r="C2792" t="s">
        <v>1374</v>
      </c>
      <c r="D2792" t="s">
        <v>1309</v>
      </c>
      <c r="E2792" s="220">
        <v>6.8599999999999994E-2</v>
      </c>
    </row>
    <row r="2793" spans="1:5">
      <c r="A2793" t="s">
        <v>1268</v>
      </c>
      <c r="B2793" t="s">
        <v>2916</v>
      </c>
      <c r="C2793" t="s">
        <v>1374</v>
      </c>
      <c r="D2793" t="s">
        <v>1309</v>
      </c>
      <c r="E2793" s="220">
        <v>6.8599999999999994E-2</v>
      </c>
    </row>
    <row r="2794" spans="1:5">
      <c r="A2794" t="s">
        <v>1148</v>
      </c>
      <c r="B2794" t="s">
        <v>2916</v>
      </c>
      <c r="C2794" t="s">
        <v>1374</v>
      </c>
      <c r="D2794" t="s">
        <v>1309</v>
      </c>
      <c r="E2794" s="220">
        <v>6.8599999999999994E-2</v>
      </c>
    </row>
    <row r="2795" spans="1:5">
      <c r="A2795" t="s">
        <v>580</v>
      </c>
      <c r="B2795" t="s">
        <v>2916</v>
      </c>
      <c r="C2795" t="s">
        <v>1374</v>
      </c>
      <c r="D2795" t="s">
        <v>1311</v>
      </c>
      <c r="E2795" s="220">
        <v>6.7678000000000002E-2</v>
      </c>
    </row>
    <row r="2796" spans="1:5">
      <c r="A2796" t="s">
        <v>1235</v>
      </c>
      <c r="B2796" t="s">
        <v>2916</v>
      </c>
      <c r="C2796" t="s">
        <v>1374</v>
      </c>
      <c r="D2796" t="s">
        <v>1311</v>
      </c>
      <c r="E2796" s="220">
        <v>6.8599999999999994E-2</v>
      </c>
    </row>
    <row r="2797" spans="1:5">
      <c r="A2797" t="s">
        <v>617</v>
      </c>
      <c r="B2797" t="s">
        <v>2916</v>
      </c>
      <c r="C2797" t="s">
        <v>1374</v>
      </c>
      <c r="D2797" t="s">
        <v>1311</v>
      </c>
      <c r="E2797" s="220">
        <v>6.6435000000000008E-2</v>
      </c>
    </row>
    <row r="2798" spans="1:5">
      <c r="A2798" t="s">
        <v>614</v>
      </c>
      <c r="B2798" t="s">
        <v>2916</v>
      </c>
      <c r="C2798" t="s">
        <v>1374</v>
      </c>
      <c r="D2798" t="s">
        <v>1311</v>
      </c>
      <c r="E2798" s="220">
        <v>6.8195999999999993E-2</v>
      </c>
    </row>
    <row r="2799" spans="1:5">
      <c r="A2799" t="s">
        <v>626</v>
      </c>
      <c r="B2799" t="s">
        <v>2916</v>
      </c>
      <c r="C2799" t="s">
        <v>1374</v>
      </c>
      <c r="D2799" t="s">
        <v>1311</v>
      </c>
      <c r="E2799" s="220">
        <v>6.7640000000000006E-2</v>
      </c>
    </row>
    <row r="2800" spans="1:5">
      <c r="A2800" t="s">
        <v>629</v>
      </c>
      <c r="B2800" t="s">
        <v>2916</v>
      </c>
      <c r="C2800" t="s">
        <v>1374</v>
      </c>
      <c r="D2800" t="s">
        <v>1311</v>
      </c>
      <c r="E2800" s="220">
        <v>6.6858000000000001E-2</v>
      </c>
    </row>
    <row r="2801" spans="1:5">
      <c r="A2801" t="s">
        <v>632</v>
      </c>
      <c r="B2801" t="s">
        <v>2916</v>
      </c>
      <c r="C2801" t="s">
        <v>1374</v>
      </c>
      <c r="D2801" t="s">
        <v>1311</v>
      </c>
      <c r="E2801" s="220">
        <v>6.8599999999999994E-2</v>
      </c>
    </row>
    <row r="2802" spans="1:5">
      <c r="A2802" t="s">
        <v>650</v>
      </c>
      <c r="B2802" t="s">
        <v>2916</v>
      </c>
      <c r="C2802" t="s">
        <v>1374</v>
      </c>
      <c r="D2802" t="s">
        <v>1311</v>
      </c>
      <c r="E2802" s="220">
        <v>6.8599999999999994E-2</v>
      </c>
    </row>
    <row r="2803" spans="1:5">
      <c r="A2803" t="s">
        <v>641</v>
      </c>
      <c r="B2803" t="s">
        <v>2916</v>
      </c>
      <c r="C2803" t="s">
        <v>1374</v>
      </c>
      <c r="D2803" t="s">
        <v>1311</v>
      </c>
      <c r="E2803" s="220">
        <v>6.7500000000000004E-2</v>
      </c>
    </row>
    <row r="2804" spans="1:5">
      <c r="A2804" t="s">
        <v>638</v>
      </c>
      <c r="B2804" t="s">
        <v>2916</v>
      </c>
      <c r="C2804" t="s">
        <v>1374</v>
      </c>
      <c r="D2804" t="s">
        <v>1311</v>
      </c>
      <c r="E2804" s="220">
        <v>6.8599999999999994E-2</v>
      </c>
    </row>
    <row r="2805" spans="1:5">
      <c r="A2805" t="s">
        <v>635</v>
      </c>
      <c r="B2805" t="s">
        <v>2916</v>
      </c>
      <c r="C2805" t="s">
        <v>1374</v>
      </c>
      <c r="D2805" t="s">
        <v>1311</v>
      </c>
      <c r="E2805" s="220">
        <v>6.8195999999999993E-2</v>
      </c>
    </row>
    <row r="2806" spans="1:5">
      <c r="A2806" t="s">
        <v>647</v>
      </c>
      <c r="B2806" t="s">
        <v>2916</v>
      </c>
      <c r="C2806" t="s">
        <v>1374</v>
      </c>
      <c r="D2806" t="s">
        <v>1311</v>
      </c>
      <c r="E2806" s="220">
        <v>6.8599999999999994E-2</v>
      </c>
    </row>
    <row r="2807" spans="1:5">
      <c r="A2807" t="s">
        <v>653</v>
      </c>
      <c r="B2807" t="s">
        <v>2916</v>
      </c>
      <c r="C2807" t="s">
        <v>1374</v>
      </c>
      <c r="D2807" t="s">
        <v>1311</v>
      </c>
      <c r="E2807" s="220">
        <v>6.7545000000000008E-2</v>
      </c>
    </row>
    <row r="2808" spans="1:5">
      <c r="A2808" t="s">
        <v>659</v>
      </c>
      <c r="B2808" t="s">
        <v>2916</v>
      </c>
      <c r="C2808" t="s">
        <v>1374</v>
      </c>
      <c r="D2808" t="s">
        <v>1311</v>
      </c>
      <c r="E2808" s="220">
        <v>6.8195999999999993E-2</v>
      </c>
    </row>
    <row r="2809" spans="1:5">
      <c r="A2809" t="s">
        <v>667</v>
      </c>
      <c r="B2809" t="s">
        <v>2916</v>
      </c>
      <c r="C2809" t="s">
        <v>1374</v>
      </c>
      <c r="D2809" t="s">
        <v>1311</v>
      </c>
      <c r="E2809" s="220">
        <v>6.8182000000000006E-2</v>
      </c>
    </row>
    <row r="2810" spans="1:5">
      <c r="A2810" t="s">
        <v>676</v>
      </c>
      <c r="B2810" t="s">
        <v>2916</v>
      </c>
      <c r="C2810" t="s">
        <v>1374</v>
      </c>
      <c r="D2810" t="s">
        <v>1311</v>
      </c>
      <c r="E2810" s="220">
        <v>6.3716999999999996E-2</v>
      </c>
    </row>
    <row r="2811" spans="1:5">
      <c r="A2811" t="s">
        <v>644</v>
      </c>
      <c r="B2811" t="s">
        <v>2916</v>
      </c>
      <c r="C2811" t="s">
        <v>1374</v>
      </c>
      <c r="D2811" t="s">
        <v>1311</v>
      </c>
      <c r="E2811" s="220">
        <v>6.8195999999999993E-2</v>
      </c>
    </row>
    <row r="2812" spans="1:5">
      <c r="A2812" t="s">
        <v>684</v>
      </c>
      <c r="B2812" t="s">
        <v>2916</v>
      </c>
      <c r="C2812" t="s">
        <v>1374</v>
      </c>
      <c r="D2812" t="s">
        <v>1311</v>
      </c>
      <c r="E2812" s="220">
        <v>6.8566000000000002E-2</v>
      </c>
    </row>
    <row r="2813" spans="1:5">
      <c r="A2813" t="s">
        <v>664</v>
      </c>
      <c r="B2813" t="s">
        <v>2916</v>
      </c>
      <c r="C2813" t="s">
        <v>1374</v>
      </c>
      <c r="D2813" t="s">
        <v>1311</v>
      </c>
      <c r="E2813" s="220">
        <v>6.8584000000000006E-2</v>
      </c>
    </row>
    <row r="2814" spans="1:5">
      <c r="A2814" t="s">
        <v>705</v>
      </c>
      <c r="B2814" t="s">
        <v>2916</v>
      </c>
      <c r="C2814" t="s">
        <v>1374</v>
      </c>
      <c r="D2814" t="s">
        <v>1311</v>
      </c>
      <c r="E2814" s="220">
        <v>6.8290999999999991E-2</v>
      </c>
    </row>
    <row r="2815" spans="1:5">
      <c r="A2815" t="s">
        <v>1182</v>
      </c>
      <c r="B2815" t="s">
        <v>2916</v>
      </c>
      <c r="C2815" t="s">
        <v>1374</v>
      </c>
      <c r="D2815" t="s">
        <v>1311</v>
      </c>
      <c r="E2815" s="220">
        <v>6.8343999999999988E-2</v>
      </c>
    </row>
    <row r="2816" spans="1:5">
      <c r="A2816" t="s">
        <v>720</v>
      </c>
      <c r="B2816" t="s">
        <v>2916</v>
      </c>
      <c r="C2816" t="s">
        <v>1374</v>
      </c>
      <c r="D2816" t="s">
        <v>1311</v>
      </c>
      <c r="E2816" s="220">
        <v>6.8182000000000006E-2</v>
      </c>
    </row>
    <row r="2817" spans="1:5">
      <c r="A2817" t="s">
        <v>723</v>
      </c>
      <c r="B2817" t="s">
        <v>2916</v>
      </c>
      <c r="C2817" t="s">
        <v>1374</v>
      </c>
      <c r="D2817" t="s">
        <v>1311</v>
      </c>
      <c r="E2817" s="220">
        <v>6.7085999999999993E-2</v>
      </c>
    </row>
    <row r="2818" spans="1:5">
      <c r="A2818" t="s">
        <v>726</v>
      </c>
      <c r="B2818" t="s">
        <v>2916</v>
      </c>
      <c r="C2818" t="s">
        <v>1374</v>
      </c>
      <c r="D2818" t="s">
        <v>1311</v>
      </c>
      <c r="E2818" s="220">
        <v>6.756100000000001E-2</v>
      </c>
    </row>
    <row r="2819" spans="1:5">
      <c r="A2819" t="s">
        <v>738</v>
      </c>
      <c r="B2819" t="s">
        <v>2916</v>
      </c>
      <c r="C2819" t="s">
        <v>1374</v>
      </c>
      <c r="D2819" t="s">
        <v>1311</v>
      </c>
      <c r="E2819" s="220">
        <v>6.7545000000000008E-2</v>
      </c>
    </row>
    <row r="2820" spans="1:5">
      <c r="A2820" t="s">
        <v>747</v>
      </c>
      <c r="B2820" t="s">
        <v>2916</v>
      </c>
      <c r="C2820" t="s">
        <v>1374</v>
      </c>
      <c r="D2820" t="s">
        <v>1311</v>
      </c>
      <c r="E2820" s="220">
        <v>6.8195999999999993E-2</v>
      </c>
    </row>
    <row r="2821" spans="1:5">
      <c r="A2821" t="s">
        <v>754</v>
      </c>
      <c r="B2821" t="s">
        <v>2916</v>
      </c>
      <c r="C2821" t="s">
        <v>1374</v>
      </c>
      <c r="D2821" t="s">
        <v>1311</v>
      </c>
      <c r="E2821" s="220">
        <v>6.8599999999999994E-2</v>
      </c>
    </row>
    <row r="2822" spans="1:5">
      <c r="A2822" t="s">
        <v>757</v>
      </c>
      <c r="B2822" t="s">
        <v>2916</v>
      </c>
      <c r="C2822" t="s">
        <v>1374</v>
      </c>
      <c r="D2822" t="s">
        <v>1311</v>
      </c>
      <c r="E2822" s="220">
        <v>6.8599999999999994E-2</v>
      </c>
    </row>
    <row r="2823" spans="1:5">
      <c r="A2823" t="s">
        <v>823</v>
      </c>
      <c r="B2823" t="s">
        <v>2916</v>
      </c>
      <c r="C2823" t="s">
        <v>1374</v>
      </c>
      <c r="D2823" t="s">
        <v>1311</v>
      </c>
      <c r="E2823" s="220">
        <v>6.6906999999999994E-2</v>
      </c>
    </row>
    <row r="2824" spans="1:5">
      <c r="A2824" t="s">
        <v>767</v>
      </c>
      <c r="B2824" t="s">
        <v>2916</v>
      </c>
      <c r="C2824" t="s">
        <v>1374</v>
      </c>
      <c r="D2824" t="s">
        <v>1311</v>
      </c>
      <c r="E2824" s="220">
        <v>6.8195999999999993E-2</v>
      </c>
    </row>
    <row r="2825" spans="1:5">
      <c r="A2825" t="s">
        <v>761</v>
      </c>
      <c r="B2825" t="s">
        <v>2916</v>
      </c>
      <c r="C2825" t="s">
        <v>1374</v>
      </c>
      <c r="D2825" t="s">
        <v>1311</v>
      </c>
      <c r="E2825" s="220">
        <v>6.5215000000000009E-2</v>
      </c>
    </row>
    <row r="2826" spans="1:5">
      <c r="A2826" t="s">
        <v>770</v>
      </c>
      <c r="B2826" t="s">
        <v>2916</v>
      </c>
      <c r="C2826" t="s">
        <v>1374</v>
      </c>
      <c r="D2826" t="s">
        <v>1311</v>
      </c>
      <c r="E2826" s="220">
        <v>6.8195999999999993E-2</v>
      </c>
    </row>
    <row r="2827" spans="1:5">
      <c r="A2827" t="s">
        <v>592</v>
      </c>
      <c r="B2827" t="s">
        <v>2916</v>
      </c>
      <c r="C2827" t="s">
        <v>1374</v>
      </c>
      <c r="D2827" t="s">
        <v>1311</v>
      </c>
      <c r="E2827" s="220">
        <v>6.8472999999999992E-2</v>
      </c>
    </row>
    <row r="2828" spans="1:5">
      <c r="A2828" t="s">
        <v>773</v>
      </c>
      <c r="B2828" t="s">
        <v>2916</v>
      </c>
      <c r="C2828" t="s">
        <v>1374</v>
      </c>
      <c r="D2828" t="s">
        <v>1311</v>
      </c>
      <c r="E2828" s="220">
        <v>6.7545000000000008E-2</v>
      </c>
    </row>
    <row r="2829" spans="1:5">
      <c r="A2829" t="s">
        <v>776</v>
      </c>
      <c r="B2829" t="s">
        <v>2916</v>
      </c>
      <c r="C2829" t="s">
        <v>1374</v>
      </c>
      <c r="D2829" t="s">
        <v>1311</v>
      </c>
      <c r="E2829" s="220">
        <v>6.7793000000000006E-2</v>
      </c>
    </row>
    <row r="2830" spans="1:5">
      <c r="A2830" t="s">
        <v>1154</v>
      </c>
      <c r="B2830" t="s">
        <v>2916</v>
      </c>
      <c r="C2830" t="s">
        <v>1374</v>
      </c>
      <c r="D2830" t="s">
        <v>1311</v>
      </c>
      <c r="E2830" s="220">
        <v>6.8489999999999995E-2</v>
      </c>
    </row>
    <row r="2831" spans="1:5">
      <c r="A2831" t="s">
        <v>805</v>
      </c>
      <c r="B2831" t="s">
        <v>2916</v>
      </c>
      <c r="C2831" t="s">
        <v>1374</v>
      </c>
      <c r="D2831" t="s">
        <v>1311</v>
      </c>
      <c r="E2831" s="220">
        <v>6.8599999999999994E-2</v>
      </c>
    </row>
    <row r="2832" spans="1:5">
      <c r="A2832" t="s">
        <v>808</v>
      </c>
      <c r="B2832" t="s">
        <v>2916</v>
      </c>
      <c r="C2832" t="s">
        <v>1374</v>
      </c>
      <c r="D2832" t="s">
        <v>1311</v>
      </c>
      <c r="E2832" s="220">
        <v>7.2048000000000001E-2</v>
      </c>
    </row>
    <row r="2833" spans="1:5">
      <c r="A2833" t="s">
        <v>1238</v>
      </c>
      <c r="B2833" t="s">
        <v>2916</v>
      </c>
      <c r="C2833" t="s">
        <v>1374</v>
      </c>
      <c r="D2833" t="s">
        <v>1311</v>
      </c>
      <c r="E2833" s="220">
        <v>6.8214999999999998E-2</v>
      </c>
    </row>
    <row r="2834" spans="1:5">
      <c r="A2834" t="s">
        <v>833</v>
      </c>
      <c r="B2834" t="s">
        <v>2916</v>
      </c>
      <c r="C2834" t="s">
        <v>1374</v>
      </c>
      <c r="D2834" t="s">
        <v>1311</v>
      </c>
      <c r="E2834" s="220">
        <v>6.8599999999999994E-2</v>
      </c>
    </row>
    <row r="2835" spans="1:5">
      <c r="A2835" t="s">
        <v>839</v>
      </c>
      <c r="B2835" t="s">
        <v>2916</v>
      </c>
      <c r="C2835" t="s">
        <v>1374</v>
      </c>
      <c r="D2835" t="s">
        <v>1311</v>
      </c>
      <c r="E2835" s="220">
        <v>6.8195999999999993E-2</v>
      </c>
    </row>
    <row r="2836" spans="1:5">
      <c r="A2836" t="s">
        <v>845</v>
      </c>
      <c r="B2836" t="s">
        <v>2916</v>
      </c>
      <c r="C2836" t="s">
        <v>1374</v>
      </c>
      <c r="D2836" t="s">
        <v>1311</v>
      </c>
      <c r="E2836" s="220">
        <v>6.7545000000000008E-2</v>
      </c>
    </row>
    <row r="2837" spans="1:5">
      <c r="A2837" t="s">
        <v>854</v>
      </c>
      <c r="B2837" t="s">
        <v>2916</v>
      </c>
      <c r="C2837" t="s">
        <v>1374</v>
      </c>
      <c r="D2837" t="s">
        <v>1311</v>
      </c>
      <c r="E2837" s="220">
        <v>6.8195999999999993E-2</v>
      </c>
    </row>
    <row r="2838" spans="1:5">
      <c r="A2838" t="s">
        <v>863</v>
      </c>
      <c r="B2838" t="s">
        <v>2916</v>
      </c>
      <c r="C2838" t="s">
        <v>1374</v>
      </c>
      <c r="D2838" t="s">
        <v>1311</v>
      </c>
      <c r="E2838" s="220">
        <v>6.8356E-2</v>
      </c>
    </row>
    <row r="2839" spans="1:5">
      <c r="A2839" t="s">
        <v>860</v>
      </c>
      <c r="B2839" t="s">
        <v>2916</v>
      </c>
      <c r="C2839" t="s">
        <v>1374</v>
      </c>
      <c r="D2839" t="s">
        <v>1311</v>
      </c>
      <c r="E2839" s="220">
        <v>6.7545000000000008E-2</v>
      </c>
    </row>
    <row r="2840" spans="1:5">
      <c r="A2840" t="s">
        <v>744</v>
      </c>
      <c r="B2840" t="s">
        <v>2916</v>
      </c>
      <c r="C2840" t="s">
        <v>1374</v>
      </c>
      <c r="D2840" t="s">
        <v>1311</v>
      </c>
      <c r="E2840" s="220">
        <v>6.8599999999999994E-2</v>
      </c>
    </row>
    <row r="2841" spans="1:5">
      <c r="A2841" t="s">
        <v>857</v>
      </c>
      <c r="B2841" t="s">
        <v>2916</v>
      </c>
      <c r="C2841" t="s">
        <v>1374</v>
      </c>
      <c r="D2841" t="s">
        <v>1311</v>
      </c>
      <c r="E2841" s="220">
        <v>6.8195999999999993E-2</v>
      </c>
    </row>
    <row r="2842" spans="1:5">
      <c r="A2842" t="s">
        <v>875</v>
      </c>
      <c r="B2842" t="s">
        <v>2916</v>
      </c>
      <c r="C2842" t="s">
        <v>1374</v>
      </c>
      <c r="D2842" t="s">
        <v>1311</v>
      </c>
      <c r="E2842" s="220">
        <v>6.7816999999999988E-2</v>
      </c>
    </row>
    <row r="2843" spans="1:5">
      <c r="A2843" t="s">
        <v>872</v>
      </c>
      <c r="B2843" t="s">
        <v>2916</v>
      </c>
      <c r="C2843" t="s">
        <v>1374</v>
      </c>
      <c r="D2843" t="s">
        <v>1311</v>
      </c>
      <c r="E2843" s="220">
        <v>6.8117999999999998E-2</v>
      </c>
    </row>
    <row r="2844" spans="1:5">
      <c r="A2844" t="s">
        <v>878</v>
      </c>
      <c r="B2844" t="s">
        <v>2916</v>
      </c>
      <c r="C2844" t="s">
        <v>1374</v>
      </c>
      <c r="D2844" t="s">
        <v>1311</v>
      </c>
      <c r="E2844" s="220">
        <v>6.8581000000000003E-2</v>
      </c>
    </row>
    <row r="2845" spans="1:5">
      <c r="A2845" t="s">
        <v>881</v>
      </c>
      <c r="B2845" t="s">
        <v>2916</v>
      </c>
      <c r="C2845" t="s">
        <v>1374</v>
      </c>
      <c r="D2845" t="s">
        <v>1311</v>
      </c>
      <c r="E2845" s="220">
        <v>6.8599999999999994E-2</v>
      </c>
    </row>
    <row r="2846" spans="1:5">
      <c r="A2846" t="s">
        <v>894</v>
      </c>
      <c r="B2846" t="s">
        <v>2916</v>
      </c>
      <c r="C2846" t="s">
        <v>1374</v>
      </c>
      <c r="D2846" t="s">
        <v>1311</v>
      </c>
      <c r="E2846" s="220">
        <v>6.8028999999999992E-2</v>
      </c>
    </row>
    <row r="2847" spans="1:5">
      <c r="A2847" t="s">
        <v>897</v>
      </c>
      <c r="B2847" t="s">
        <v>2916</v>
      </c>
      <c r="C2847" t="s">
        <v>1374</v>
      </c>
      <c r="D2847" t="s">
        <v>1311</v>
      </c>
      <c r="E2847" s="220">
        <v>6.8195999999999993E-2</v>
      </c>
    </row>
    <row r="2848" spans="1:5">
      <c r="A2848" t="s">
        <v>903</v>
      </c>
      <c r="B2848" t="s">
        <v>2916</v>
      </c>
      <c r="C2848" t="s">
        <v>1374</v>
      </c>
      <c r="D2848" t="s">
        <v>1311</v>
      </c>
      <c r="E2848" s="220">
        <v>6.8599999999999994E-2</v>
      </c>
    </row>
    <row r="2849" spans="1:5">
      <c r="A2849" t="s">
        <v>900</v>
      </c>
      <c r="B2849" t="s">
        <v>2916</v>
      </c>
      <c r="C2849" t="s">
        <v>1374</v>
      </c>
      <c r="D2849" t="s">
        <v>1311</v>
      </c>
      <c r="E2849" s="220">
        <v>6.8524000000000002E-2</v>
      </c>
    </row>
    <row r="2850" spans="1:5">
      <c r="A2850" t="s">
        <v>1160</v>
      </c>
      <c r="B2850" t="s">
        <v>2916</v>
      </c>
      <c r="C2850" t="s">
        <v>1374</v>
      </c>
      <c r="D2850" t="s">
        <v>1311</v>
      </c>
      <c r="E2850" s="220">
        <v>6.8195999999999993E-2</v>
      </c>
    </row>
    <row r="2851" spans="1:5">
      <c r="A2851" t="s">
        <v>915</v>
      </c>
      <c r="B2851" t="s">
        <v>2916</v>
      </c>
      <c r="C2851" t="s">
        <v>1374</v>
      </c>
      <c r="D2851" t="s">
        <v>1311</v>
      </c>
      <c r="E2851" s="220">
        <v>6.8453999999999987E-2</v>
      </c>
    </row>
    <row r="2852" spans="1:5">
      <c r="A2852" t="s">
        <v>927</v>
      </c>
      <c r="B2852" t="s">
        <v>2916</v>
      </c>
      <c r="C2852" t="s">
        <v>1374</v>
      </c>
      <c r="D2852" t="s">
        <v>1311</v>
      </c>
      <c r="E2852" s="220">
        <v>6.8599999999999994E-2</v>
      </c>
    </row>
    <row r="2853" spans="1:5">
      <c r="A2853" t="s">
        <v>933</v>
      </c>
      <c r="B2853" t="s">
        <v>2916</v>
      </c>
      <c r="C2853" t="s">
        <v>1374</v>
      </c>
      <c r="D2853" t="s">
        <v>1311</v>
      </c>
      <c r="E2853" s="220">
        <v>6.8338999999999997E-2</v>
      </c>
    </row>
    <row r="2854" spans="1:5">
      <c r="A2854" t="s">
        <v>939</v>
      </c>
      <c r="B2854" t="s">
        <v>2916</v>
      </c>
      <c r="C2854" t="s">
        <v>1374</v>
      </c>
      <c r="D2854" t="s">
        <v>1311</v>
      </c>
      <c r="E2854" s="220">
        <v>6.8599999999999994E-2</v>
      </c>
    </row>
    <row r="2855" spans="1:5">
      <c r="A2855" t="s">
        <v>1163</v>
      </c>
      <c r="B2855" t="s">
        <v>2916</v>
      </c>
      <c r="C2855" t="s">
        <v>1374</v>
      </c>
      <c r="D2855" t="s">
        <v>1311</v>
      </c>
      <c r="E2855" s="220">
        <v>6.8195999999999993E-2</v>
      </c>
    </row>
    <row r="2856" spans="1:5">
      <c r="A2856" t="s">
        <v>1157</v>
      </c>
      <c r="B2856" t="s">
        <v>2916</v>
      </c>
      <c r="C2856" t="s">
        <v>1374</v>
      </c>
      <c r="D2856" t="s">
        <v>1311</v>
      </c>
      <c r="E2856" s="220">
        <v>6.8599999999999994E-2</v>
      </c>
    </row>
    <row r="2857" spans="1:5">
      <c r="A2857" t="s">
        <v>954</v>
      </c>
      <c r="B2857" t="s">
        <v>2916</v>
      </c>
      <c r="C2857" t="s">
        <v>1374</v>
      </c>
      <c r="D2857" t="s">
        <v>1311</v>
      </c>
      <c r="E2857" s="220">
        <v>6.8599999999999994E-2</v>
      </c>
    </row>
    <row r="2858" spans="1:5">
      <c r="A2858" t="s">
        <v>936</v>
      </c>
      <c r="B2858" t="s">
        <v>2916</v>
      </c>
      <c r="C2858" t="s">
        <v>1374</v>
      </c>
      <c r="D2858" t="s">
        <v>1311</v>
      </c>
      <c r="E2858" s="220">
        <v>6.8599999999999994E-2</v>
      </c>
    </row>
    <row r="2859" spans="1:5">
      <c r="A2859" t="s">
        <v>1014</v>
      </c>
      <c r="B2859" t="s">
        <v>2916</v>
      </c>
      <c r="C2859" t="s">
        <v>1374</v>
      </c>
      <c r="D2859" t="s">
        <v>1311</v>
      </c>
      <c r="E2859" s="220">
        <v>6.8472999999999992E-2</v>
      </c>
    </row>
    <row r="2860" spans="1:5">
      <c r="A2860" t="s">
        <v>993</v>
      </c>
      <c r="B2860" t="s">
        <v>2916</v>
      </c>
      <c r="C2860" t="s">
        <v>1374</v>
      </c>
      <c r="D2860" t="s">
        <v>1311</v>
      </c>
      <c r="E2860" s="220">
        <v>6.8599999999999994E-2</v>
      </c>
    </row>
    <row r="2861" spans="1:5">
      <c r="A2861" t="s">
        <v>981</v>
      </c>
      <c r="B2861" t="s">
        <v>2916</v>
      </c>
      <c r="C2861" t="s">
        <v>1374</v>
      </c>
      <c r="D2861" t="s">
        <v>1311</v>
      </c>
      <c r="E2861" s="220">
        <v>6.8199999999999997E-2</v>
      </c>
    </row>
    <row r="2862" spans="1:5">
      <c r="A2862" t="s">
        <v>972</v>
      </c>
      <c r="B2862" t="s">
        <v>2916</v>
      </c>
      <c r="C2862" t="s">
        <v>1374</v>
      </c>
      <c r="D2862" t="s">
        <v>1311</v>
      </c>
      <c r="E2862" s="220">
        <v>6.8209000000000006E-2</v>
      </c>
    </row>
    <row r="2863" spans="1:5">
      <c r="A2863" t="s">
        <v>1042</v>
      </c>
      <c r="B2863" t="s">
        <v>2916</v>
      </c>
      <c r="C2863" t="s">
        <v>1374</v>
      </c>
      <c r="D2863" t="s">
        <v>1311</v>
      </c>
      <c r="E2863" s="220">
        <v>6.7545000000000008E-2</v>
      </c>
    </row>
    <row r="2864" spans="1:5">
      <c r="A2864" t="s">
        <v>1032</v>
      </c>
      <c r="B2864" t="s">
        <v>2916</v>
      </c>
      <c r="C2864" t="s">
        <v>1374</v>
      </c>
      <c r="D2864" t="s">
        <v>1311</v>
      </c>
      <c r="E2864" s="220">
        <v>6.7757000000000012E-2</v>
      </c>
    </row>
    <row r="2865" spans="1:5">
      <c r="A2865" t="s">
        <v>1055</v>
      </c>
      <c r="B2865" t="s">
        <v>2916</v>
      </c>
      <c r="C2865" t="s">
        <v>1374</v>
      </c>
      <c r="D2865" t="s">
        <v>1311</v>
      </c>
      <c r="E2865" s="220">
        <v>6.8599999999999994E-2</v>
      </c>
    </row>
    <row r="2866" spans="1:5">
      <c r="A2866" t="s">
        <v>1029</v>
      </c>
      <c r="B2866" t="s">
        <v>2916</v>
      </c>
      <c r="C2866" t="s">
        <v>1374</v>
      </c>
      <c r="D2866" t="s">
        <v>1311</v>
      </c>
      <c r="E2866" s="220">
        <v>6.7561999999999997E-2</v>
      </c>
    </row>
    <row r="2867" spans="1:5">
      <c r="A2867" t="s">
        <v>1039</v>
      </c>
      <c r="B2867" t="s">
        <v>2916</v>
      </c>
      <c r="C2867" t="s">
        <v>1374</v>
      </c>
      <c r="D2867" t="s">
        <v>1311</v>
      </c>
      <c r="E2867" s="220">
        <v>6.7850999999999995E-2</v>
      </c>
    </row>
    <row r="2868" spans="1:5">
      <c r="A2868" t="s">
        <v>1058</v>
      </c>
      <c r="B2868" t="s">
        <v>2916</v>
      </c>
      <c r="C2868" t="s">
        <v>1374</v>
      </c>
      <c r="D2868" t="s">
        <v>1311</v>
      </c>
      <c r="E2868" s="220">
        <v>6.8599999999999994E-2</v>
      </c>
    </row>
    <row r="2869" spans="1:5">
      <c r="A2869" t="s">
        <v>1061</v>
      </c>
      <c r="B2869" t="s">
        <v>2916</v>
      </c>
      <c r="C2869" t="s">
        <v>1374</v>
      </c>
      <c r="D2869" t="s">
        <v>1311</v>
      </c>
      <c r="E2869" s="220">
        <v>6.7488000000000006E-2</v>
      </c>
    </row>
    <row r="2870" spans="1:5">
      <c r="A2870" t="s">
        <v>1067</v>
      </c>
      <c r="B2870" t="s">
        <v>2916</v>
      </c>
      <c r="C2870" t="s">
        <v>1374</v>
      </c>
      <c r="D2870" t="s">
        <v>1311</v>
      </c>
      <c r="E2870" s="220">
        <v>6.7545000000000008E-2</v>
      </c>
    </row>
    <row r="2871" spans="1:5">
      <c r="A2871" t="s">
        <v>1076</v>
      </c>
      <c r="B2871" t="s">
        <v>2916</v>
      </c>
      <c r="C2871" t="s">
        <v>1374</v>
      </c>
      <c r="D2871" t="s">
        <v>1311</v>
      </c>
      <c r="E2871" s="220">
        <v>6.7345000000000002E-2</v>
      </c>
    </row>
    <row r="2872" spans="1:5">
      <c r="A2872" t="s">
        <v>1079</v>
      </c>
      <c r="B2872" t="s">
        <v>2916</v>
      </c>
      <c r="C2872" t="s">
        <v>1374</v>
      </c>
      <c r="D2872" t="s">
        <v>1311</v>
      </c>
      <c r="E2872" s="220">
        <v>6.7034999999999997E-2</v>
      </c>
    </row>
    <row r="2873" spans="1:5">
      <c r="A2873" t="s">
        <v>1082</v>
      </c>
      <c r="B2873" t="s">
        <v>2916</v>
      </c>
      <c r="C2873" t="s">
        <v>1374</v>
      </c>
      <c r="D2873" t="s">
        <v>1311</v>
      </c>
      <c r="E2873" s="220">
        <v>6.8599999999999994E-2</v>
      </c>
    </row>
    <row r="2874" spans="1:5">
      <c r="A2874" t="s">
        <v>919</v>
      </c>
      <c r="B2874" t="s">
        <v>2916</v>
      </c>
      <c r="C2874" t="s">
        <v>1374</v>
      </c>
      <c r="D2874" t="s">
        <v>1311</v>
      </c>
      <c r="E2874" s="220">
        <v>6.8599999999999994E-2</v>
      </c>
    </row>
    <row r="2875" spans="1:5">
      <c r="A2875" t="s">
        <v>1085</v>
      </c>
      <c r="B2875" t="s">
        <v>2916</v>
      </c>
      <c r="C2875" t="s">
        <v>1374</v>
      </c>
      <c r="D2875" t="s">
        <v>1311</v>
      </c>
      <c r="E2875" s="220">
        <v>6.8599999999999994E-2</v>
      </c>
    </row>
    <row r="2876" spans="1:5">
      <c r="A2876" t="s">
        <v>1073</v>
      </c>
      <c r="B2876" t="s">
        <v>2916</v>
      </c>
      <c r="C2876" t="s">
        <v>1374</v>
      </c>
      <c r="D2876" t="s">
        <v>1311</v>
      </c>
      <c r="E2876" s="220">
        <v>6.8182000000000006E-2</v>
      </c>
    </row>
    <row r="2877" spans="1:5">
      <c r="A2877" t="s">
        <v>1264</v>
      </c>
      <c r="B2877" t="s">
        <v>2916</v>
      </c>
      <c r="C2877" t="s">
        <v>1374</v>
      </c>
      <c r="D2877" t="s">
        <v>1311</v>
      </c>
      <c r="E2877" s="220">
        <v>6.8599999999999994E-2</v>
      </c>
    </row>
    <row r="2878" spans="1:5">
      <c r="A2878" t="s">
        <v>1091</v>
      </c>
      <c r="B2878" t="s">
        <v>2916</v>
      </c>
      <c r="C2878" t="s">
        <v>1374</v>
      </c>
      <c r="D2878" t="s">
        <v>1311</v>
      </c>
      <c r="E2878" s="220">
        <v>6.8599999999999994E-2</v>
      </c>
    </row>
    <row r="2879" spans="1:5">
      <c r="A2879" t="s">
        <v>1094</v>
      </c>
      <c r="B2879" t="s">
        <v>2916</v>
      </c>
      <c r="C2879" t="s">
        <v>1374</v>
      </c>
      <c r="D2879" t="s">
        <v>1311</v>
      </c>
      <c r="E2879" s="220">
        <v>6.8599999999999994E-2</v>
      </c>
    </row>
    <row r="2880" spans="1:5">
      <c r="A2880" t="s">
        <v>1113</v>
      </c>
      <c r="B2880" t="s">
        <v>2916</v>
      </c>
      <c r="C2880" t="s">
        <v>1374</v>
      </c>
      <c r="D2880" t="s">
        <v>1311</v>
      </c>
      <c r="E2880" s="220">
        <v>6.8599999999999994E-2</v>
      </c>
    </row>
    <row r="2881" spans="1:5">
      <c r="A2881" t="s">
        <v>1173</v>
      </c>
      <c r="B2881" t="s">
        <v>2916</v>
      </c>
      <c r="C2881" t="s">
        <v>1374</v>
      </c>
      <c r="D2881" t="s">
        <v>1311</v>
      </c>
      <c r="E2881" s="220">
        <v>6.8472999999999992E-2</v>
      </c>
    </row>
    <row r="2882" spans="1:5">
      <c r="A2882" t="s">
        <v>779</v>
      </c>
      <c r="B2882" t="s">
        <v>2916</v>
      </c>
      <c r="C2882" t="s">
        <v>1374</v>
      </c>
      <c r="D2882" t="s">
        <v>1311</v>
      </c>
      <c r="E2882" s="220">
        <v>6.7545000000000008E-2</v>
      </c>
    </row>
    <row r="2883" spans="1:5">
      <c r="A2883" t="s">
        <v>1119</v>
      </c>
      <c r="B2883" t="s">
        <v>2916</v>
      </c>
      <c r="C2883" t="s">
        <v>1374</v>
      </c>
      <c r="D2883" t="s">
        <v>1311</v>
      </c>
      <c r="E2883" s="220">
        <v>6.8599999999999994E-2</v>
      </c>
    </row>
    <row r="2884" spans="1:5">
      <c r="A2884" t="s">
        <v>1176</v>
      </c>
      <c r="B2884" t="s">
        <v>2916</v>
      </c>
      <c r="C2884" t="s">
        <v>1374</v>
      </c>
      <c r="D2884" t="s">
        <v>1311</v>
      </c>
      <c r="E2884" s="220">
        <v>6.8195999999999993E-2</v>
      </c>
    </row>
    <row r="2885" spans="1:5">
      <c r="A2885" t="s">
        <v>1139</v>
      </c>
      <c r="B2885" t="s">
        <v>2916</v>
      </c>
      <c r="C2885" t="s">
        <v>1374</v>
      </c>
      <c r="D2885" t="s">
        <v>1311</v>
      </c>
      <c r="E2885" s="220">
        <v>6.6903999999999991E-2</v>
      </c>
    </row>
    <row r="2886" spans="1:5">
      <c r="A2886" t="s">
        <v>1179</v>
      </c>
      <c r="B2886" t="s">
        <v>2916</v>
      </c>
      <c r="C2886" t="s">
        <v>1374</v>
      </c>
      <c r="D2886" t="s">
        <v>1311</v>
      </c>
      <c r="E2886" s="220">
        <v>6.4431000000000002E-2</v>
      </c>
    </row>
    <row r="2887" spans="1:5">
      <c r="A2887" t="s">
        <v>1185</v>
      </c>
      <c r="B2887" t="s">
        <v>2916</v>
      </c>
      <c r="C2887" t="s">
        <v>1374</v>
      </c>
      <c r="D2887" t="s">
        <v>1311</v>
      </c>
      <c r="E2887" s="220">
        <v>6.8599999999999994E-2</v>
      </c>
    </row>
    <row r="2888" spans="1:5">
      <c r="A2888" t="s">
        <v>1198</v>
      </c>
      <c r="B2888" t="s">
        <v>2916</v>
      </c>
      <c r="C2888" t="s">
        <v>1374</v>
      </c>
      <c r="D2888" t="s">
        <v>1311</v>
      </c>
      <c r="E2888" s="220">
        <v>6.8290999999999991E-2</v>
      </c>
    </row>
    <row r="2889" spans="1:5">
      <c r="A2889" t="s">
        <v>1192</v>
      </c>
      <c r="B2889" t="s">
        <v>2916</v>
      </c>
      <c r="C2889" t="s">
        <v>1374</v>
      </c>
      <c r="D2889" t="s">
        <v>1311</v>
      </c>
      <c r="E2889" s="220">
        <v>6.8580000000000002E-2</v>
      </c>
    </row>
    <row r="2890" spans="1:5">
      <c r="A2890" t="s">
        <v>1219</v>
      </c>
      <c r="B2890" t="s">
        <v>2916</v>
      </c>
      <c r="C2890" t="s">
        <v>1374</v>
      </c>
      <c r="D2890" t="s">
        <v>1311</v>
      </c>
      <c r="E2890" s="220">
        <v>6.8580000000000002E-2</v>
      </c>
    </row>
    <row r="2891" spans="1:5">
      <c r="A2891" t="s">
        <v>1210</v>
      </c>
      <c r="B2891" t="s">
        <v>2916</v>
      </c>
      <c r="C2891" t="s">
        <v>1374</v>
      </c>
      <c r="D2891" t="s">
        <v>1311</v>
      </c>
      <c r="E2891" s="220">
        <v>6.8195999999999993E-2</v>
      </c>
    </row>
    <row r="2892" spans="1:5">
      <c r="A2892" t="s">
        <v>1213</v>
      </c>
      <c r="B2892" t="s">
        <v>2916</v>
      </c>
      <c r="C2892" t="s">
        <v>1374</v>
      </c>
      <c r="D2892" t="s">
        <v>1311</v>
      </c>
      <c r="E2892" s="220">
        <v>6.8472999999999992E-2</v>
      </c>
    </row>
    <row r="2893" spans="1:5">
      <c r="A2893" t="s">
        <v>1189</v>
      </c>
      <c r="B2893" t="s">
        <v>2916</v>
      </c>
      <c r="C2893" t="s">
        <v>1374</v>
      </c>
      <c r="D2893" t="s">
        <v>1311</v>
      </c>
      <c r="E2893" s="220">
        <v>6.8587000000000009E-2</v>
      </c>
    </row>
    <row r="2894" spans="1:5">
      <c r="A2894" t="s">
        <v>1232</v>
      </c>
      <c r="B2894" t="s">
        <v>2916</v>
      </c>
      <c r="C2894" t="s">
        <v>1374</v>
      </c>
      <c r="D2894" t="s">
        <v>1311</v>
      </c>
      <c r="E2894" s="220">
        <v>6.8513999999999992E-2</v>
      </c>
    </row>
    <row r="2895" spans="1:5">
      <c r="A2895" t="s">
        <v>1244</v>
      </c>
      <c r="B2895" t="s">
        <v>2916</v>
      </c>
      <c r="C2895" t="s">
        <v>1374</v>
      </c>
      <c r="D2895" t="s">
        <v>1311</v>
      </c>
      <c r="E2895" s="220">
        <v>6.7596000000000003E-2</v>
      </c>
    </row>
    <row r="2896" spans="1:5">
      <c r="A2896" t="s">
        <v>1241</v>
      </c>
      <c r="B2896" t="s">
        <v>2916</v>
      </c>
      <c r="C2896" t="s">
        <v>1374</v>
      </c>
      <c r="D2896" t="s">
        <v>1311</v>
      </c>
      <c r="E2896" s="220">
        <v>6.7519999999999997E-2</v>
      </c>
    </row>
    <row r="2897" spans="1:5">
      <c r="A2897" t="s">
        <v>1247</v>
      </c>
      <c r="B2897" t="s">
        <v>2916</v>
      </c>
      <c r="C2897" t="s">
        <v>1374</v>
      </c>
      <c r="D2897" t="s">
        <v>1311</v>
      </c>
      <c r="E2897" s="220">
        <v>6.8580000000000002E-2</v>
      </c>
    </row>
    <row r="2898" spans="1:5">
      <c r="A2898" t="s">
        <v>1170</v>
      </c>
      <c r="B2898" t="s">
        <v>2916</v>
      </c>
      <c r="C2898" t="s">
        <v>1374</v>
      </c>
      <c r="D2898" t="s">
        <v>1311</v>
      </c>
      <c r="E2898" s="220">
        <v>6.8195999999999993E-2</v>
      </c>
    </row>
    <row r="2899" spans="1:5">
      <c r="A2899" t="s">
        <v>1253</v>
      </c>
      <c r="B2899" t="s">
        <v>2916</v>
      </c>
      <c r="C2899" t="s">
        <v>1374</v>
      </c>
      <c r="D2899" t="s">
        <v>1311</v>
      </c>
      <c r="E2899" s="220">
        <v>6.7763000000000004E-2</v>
      </c>
    </row>
    <row r="2900" spans="1:5">
      <c r="A2900" t="s">
        <v>1257</v>
      </c>
      <c r="B2900" t="s">
        <v>2916</v>
      </c>
      <c r="C2900" t="s">
        <v>1374</v>
      </c>
      <c r="D2900" t="s">
        <v>1311</v>
      </c>
      <c r="E2900" s="220">
        <v>6.7914000000000002E-2</v>
      </c>
    </row>
    <row r="2901" spans="1:5">
      <c r="A2901" t="s">
        <v>1268</v>
      </c>
      <c r="B2901" t="s">
        <v>2916</v>
      </c>
      <c r="C2901" t="s">
        <v>1374</v>
      </c>
      <c r="D2901" t="s">
        <v>1311</v>
      </c>
      <c r="E2901" s="220">
        <v>6.8599999999999994E-2</v>
      </c>
    </row>
    <row r="2902" spans="1:5">
      <c r="A2902" t="s">
        <v>1148</v>
      </c>
      <c r="B2902" t="s">
        <v>2916</v>
      </c>
      <c r="C2902" t="s">
        <v>1374</v>
      </c>
      <c r="D2902" t="s">
        <v>1311</v>
      </c>
      <c r="E2902" s="220">
        <v>6.7861000000000005E-2</v>
      </c>
    </row>
    <row r="2903" spans="1:5">
      <c r="A2903" t="s">
        <v>580</v>
      </c>
      <c r="B2903" t="s">
        <v>2916</v>
      </c>
      <c r="C2903" t="s">
        <v>1374</v>
      </c>
      <c r="D2903" t="s">
        <v>1313</v>
      </c>
      <c r="E2903" s="220">
        <v>6.8599999999999994E-2</v>
      </c>
    </row>
    <row r="2904" spans="1:5">
      <c r="A2904" t="s">
        <v>587</v>
      </c>
      <c r="B2904" t="s">
        <v>2916</v>
      </c>
      <c r="C2904" t="s">
        <v>1374</v>
      </c>
      <c r="D2904" t="s">
        <v>1313</v>
      </c>
      <c r="E2904" s="220">
        <v>6.8599999999999994E-2</v>
      </c>
    </row>
    <row r="2905" spans="1:5">
      <c r="A2905" t="s">
        <v>1235</v>
      </c>
      <c r="B2905" t="s">
        <v>2916</v>
      </c>
      <c r="C2905" t="s">
        <v>1374</v>
      </c>
      <c r="D2905" t="s">
        <v>1313</v>
      </c>
      <c r="E2905" s="220">
        <v>6.8599999999999994E-2</v>
      </c>
    </row>
    <row r="2906" spans="1:5">
      <c r="A2906" t="s">
        <v>617</v>
      </c>
      <c r="B2906" t="s">
        <v>2916</v>
      </c>
      <c r="C2906" t="s">
        <v>1374</v>
      </c>
      <c r="D2906" t="s">
        <v>1313</v>
      </c>
      <c r="E2906" s="220">
        <v>6.8599999999999994E-2</v>
      </c>
    </row>
    <row r="2907" spans="1:5">
      <c r="A2907" t="s">
        <v>614</v>
      </c>
      <c r="B2907" t="s">
        <v>2916</v>
      </c>
      <c r="C2907" t="s">
        <v>1374</v>
      </c>
      <c r="D2907" t="s">
        <v>1313</v>
      </c>
      <c r="E2907" s="220">
        <v>6.8599999999999994E-2</v>
      </c>
    </row>
    <row r="2908" spans="1:5">
      <c r="A2908" t="s">
        <v>626</v>
      </c>
      <c r="B2908" t="s">
        <v>2916</v>
      </c>
      <c r="C2908" t="s">
        <v>1374</v>
      </c>
      <c r="D2908" t="s">
        <v>1313</v>
      </c>
      <c r="E2908" s="220">
        <v>6.8599999999999994E-2</v>
      </c>
    </row>
    <row r="2909" spans="1:5">
      <c r="A2909" t="s">
        <v>629</v>
      </c>
      <c r="B2909" t="s">
        <v>2916</v>
      </c>
      <c r="C2909" t="s">
        <v>1374</v>
      </c>
      <c r="D2909" t="s">
        <v>1313</v>
      </c>
      <c r="E2909" s="220">
        <v>6.8599999999999994E-2</v>
      </c>
    </row>
    <row r="2910" spans="1:5">
      <c r="A2910" t="s">
        <v>632</v>
      </c>
      <c r="B2910" t="s">
        <v>2916</v>
      </c>
      <c r="C2910" t="s">
        <v>1374</v>
      </c>
      <c r="D2910" t="s">
        <v>1313</v>
      </c>
      <c r="E2910" s="220">
        <v>6.8599999999999994E-2</v>
      </c>
    </row>
    <row r="2911" spans="1:5">
      <c r="A2911" t="s">
        <v>650</v>
      </c>
      <c r="B2911" t="s">
        <v>2916</v>
      </c>
      <c r="C2911" t="s">
        <v>1374</v>
      </c>
      <c r="D2911" t="s">
        <v>1313</v>
      </c>
      <c r="E2911" s="220">
        <v>6.8599999999999994E-2</v>
      </c>
    </row>
    <row r="2912" spans="1:5">
      <c r="A2912" t="s">
        <v>641</v>
      </c>
      <c r="B2912" t="s">
        <v>2916</v>
      </c>
      <c r="C2912" t="s">
        <v>1374</v>
      </c>
      <c r="D2912" t="s">
        <v>1313</v>
      </c>
      <c r="E2912" s="220">
        <v>6.8599999999999994E-2</v>
      </c>
    </row>
    <row r="2913" spans="1:5">
      <c r="A2913" t="s">
        <v>687</v>
      </c>
      <c r="B2913" t="s">
        <v>2916</v>
      </c>
      <c r="C2913" t="s">
        <v>1374</v>
      </c>
      <c r="D2913" t="s">
        <v>1313</v>
      </c>
      <c r="E2913" s="220">
        <v>6.8599999999999994E-2</v>
      </c>
    </row>
    <row r="2914" spans="1:5">
      <c r="A2914" t="s">
        <v>638</v>
      </c>
      <c r="B2914" t="s">
        <v>2916</v>
      </c>
      <c r="C2914" t="s">
        <v>1374</v>
      </c>
      <c r="D2914" t="s">
        <v>1313</v>
      </c>
      <c r="E2914" s="220">
        <v>6.8599999999999994E-2</v>
      </c>
    </row>
    <row r="2915" spans="1:5">
      <c r="A2915" t="s">
        <v>635</v>
      </c>
      <c r="B2915" t="s">
        <v>2916</v>
      </c>
      <c r="C2915" t="s">
        <v>1374</v>
      </c>
      <c r="D2915" t="s">
        <v>1313</v>
      </c>
      <c r="E2915" s="220">
        <v>6.8599999999999994E-2</v>
      </c>
    </row>
    <row r="2916" spans="1:5">
      <c r="A2916" t="s">
        <v>670</v>
      </c>
      <c r="B2916" t="s">
        <v>2916</v>
      </c>
      <c r="C2916" t="s">
        <v>1374</v>
      </c>
      <c r="D2916" t="s">
        <v>1313</v>
      </c>
      <c r="E2916" s="220">
        <v>6.8599999999999994E-2</v>
      </c>
    </row>
    <row r="2917" spans="1:5">
      <c r="A2917" t="s">
        <v>647</v>
      </c>
      <c r="B2917" t="s">
        <v>2916</v>
      </c>
      <c r="C2917" t="s">
        <v>1374</v>
      </c>
      <c r="D2917" t="s">
        <v>1313</v>
      </c>
      <c r="E2917" s="220">
        <v>6.8599999999999994E-2</v>
      </c>
    </row>
    <row r="2918" spans="1:5">
      <c r="A2918" t="s">
        <v>653</v>
      </c>
      <c r="B2918" t="s">
        <v>2916</v>
      </c>
      <c r="C2918" t="s">
        <v>1374</v>
      </c>
      <c r="D2918" t="s">
        <v>1313</v>
      </c>
      <c r="E2918" s="220">
        <v>6.8599999999999994E-2</v>
      </c>
    </row>
    <row r="2919" spans="1:5">
      <c r="A2919" t="s">
        <v>659</v>
      </c>
      <c r="B2919" t="s">
        <v>2916</v>
      </c>
      <c r="C2919" t="s">
        <v>1374</v>
      </c>
      <c r="D2919" t="s">
        <v>1313</v>
      </c>
      <c r="E2919" s="220">
        <v>6.8599999999999994E-2</v>
      </c>
    </row>
    <row r="2920" spans="1:5">
      <c r="A2920" t="s">
        <v>667</v>
      </c>
      <c r="B2920" t="s">
        <v>2916</v>
      </c>
      <c r="C2920" t="s">
        <v>1374</v>
      </c>
      <c r="D2920" t="s">
        <v>1313</v>
      </c>
      <c r="E2920" s="220">
        <v>6.8599999999999994E-2</v>
      </c>
    </row>
    <row r="2921" spans="1:5">
      <c r="A2921" t="s">
        <v>676</v>
      </c>
      <c r="B2921" t="s">
        <v>2916</v>
      </c>
      <c r="C2921" t="s">
        <v>1374</v>
      </c>
      <c r="D2921" t="s">
        <v>1313</v>
      </c>
      <c r="E2921" s="220">
        <v>6.8599999999999994E-2</v>
      </c>
    </row>
    <row r="2922" spans="1:5">
      <c r="A2922" t="s">
        <v>644</v>
      </c>
      <c r="B2922" t="s">
        <v>2916</v>
      </c>
      <c r="C2922" t="s">
        <v>1374</v>
      </c>
      <c r="D2922" t="s">
        <v>1313</v>
      </c>
      <c r="E2922" s="220">
        <v>6.8599999999999994E-2</v>
      </c>
    </row>
    <row r="2923" spans="1:5">
      <c r="A2923" t="s">
        <v>684</v>
      </c>
      <c r="B2923" t="s">
        <v>2916</v>
      </c>
      <c r="C2923" t="s">
        <v>1374</v>
      </c>
      <c r="D2923" t="s">
        <v>1313</v>
      </c>
      <c r="E2923" s="220">
        <v>6.8599999999999994E-2</v>
      </c>
    </row>
    <row r="2924" spans="1:5">
      <c r="A2924" t="s">
        <v>664</v>
      </c>
      <c r="B2924" t="s">
        <v>2916</v>
      </c>
      <c r="C2924" t="s">
        <v>1374</v>
      </c>
      <c r="D2924" t="s">
        <v>1313</v>
      </c>
      <c r="E2924" s="220">
        <v>6.8599999999999994E-2</v>
      </c>
    </row>
    <row r="2925" spans="1:5">
      <c r="A2925" t="s">
        <v>705</v>
      </c>
      <c r="B2925" t="s">
        <v>2916</v>
      </c>
      <c r="C2925" t="s">
        <v>1374</v>
      </c>
      <c r="D2925" t="s">
        <v>1313</v>
      </c>
      <c r="E2925" s="220">
        <v>6.8599999999999994E-2</v>
      </c>
    </row>
    <row r="2926" spans="1:5">
      <c r="A2926" t="s">
        <v>1182</v>
      </c>
      <c r="B2926" t="s">
        <v>2916</v>
      </c>
      <c r="C2926" t="s">
        <v>1374</v>
      </c>
      <c r="D2926" t="s">
        <v>1313</v>
      </c>
      <c r="E2926" s="220">
        <v>6.8599999999999994E-2</v>
      </c>
    </row>
    <row r="2927" spans="1:5">
      <c r="A2927" t="s">
        <v>720</v>
      </c>
      <c r="B2927" t="s">
        <v>2916</v>
      </c>
      <c r="C2927" t="s">
        <v>1374</v>
      </c>
      <c r="D2927" t="s">
        <v>1313</v>
      </c>
      <c r="E2927" s="220">
        <v>6.8599999999999994E-2</v>
      </c>
    </row>
    <row r="2928" spans="1:5">
      <c r="A2928" t="s">
        <v>723</v>
      </c>
      <c r="B2928" t="s">
        <v>2916</v>
      </c>
      <c r="C2928" t="s">
        <v>1374</v>
      </c>
      <c r="D2928" t="s">
        <v>1313</v>
      </c>
      <c r="E2928" s="220">
        <v>6.8599999999999994E-2</v>
      </c>
    </row>
    <row r="2929" spans="1:5">
      <c r="A2929" t="s">
        <v>726</v>
      </c>
      <c r="B2929" t="s">
        <v>2916</v>
      </c>
      <c r="C2929" t="s">
        <v>1374</v>
      </c>
      <c r="D2929" t="s">
        <v>1313</v>
      </c>
      <c r="E2929" s="220">
        <v>6.8599999999999994E-2</v>
      </c>
    </row>
    <row r="2930" spans="1:5">
      <c r="A2930" t="s">
        <v>738</v>
      </c>
      <c r="B2930" t="s">
        <v>2916</v>
      </c>
      <c r="C2930" t="s">
        <v>1374</v>
      </c>
      <c r="D2930" t="s">
        <v>1313</v>
      </c>
      <c r="E2930" s="220">
        <v>6.8599999999999994E-2</v>
      </c>
    </row>
    <row r="2931" spans="1:5">
      <c r="A2931" t="s">
        <v>747</v>
      </c>
      <c r="B2931" t="s">
        <v>2916</v>
      </c>
      <c r="C2931" t="s">
        <v>1374</v>
      </c>
      <c r="D2931" t="s">
        <v>1313</v>
      </c>
      <c r="E2931" s="220">
        <v>6.8599999999999994E-2</v>
      </c>
    </row>
    <row r="2932" spans="1:5">
      <c r="A2932" t="s">
        <v>754</v>
      </c>
      <c r="B2932" t="s">
        <v>2916</v>
      </c>
      <c r="C2932" t="s">
        <v>1374</v>
      </c>
      <c r="D2932" t="s">
        <v>1313</v>
      </c>
      <c r="E2932" s="220">
        <v>6.8599999999999994E-2</v>
      </c>
    </row>
    <row r="2933" spans="1:5">
      <c r="A2933" t="s">
        <v>757</v>
      </c>
      <c r="B2933" t="s">
        <v>2916</v>
      </c>
      <c r="C2933" t="s">
        <v>1374</v>
      </c>
      <c r="D2933" t="s">
        <v>1313</v>
      </c>
      <c r="E2933" s="220">
        <v>6.8599999999999994E-2</v>
      </c>
    </row>
    <row r="2934" spans="1:5">
      <c r="A2934" t="s">
        <v>823</v>
      </c>
      <c r="B2934" t="s">
        <v>2916</v>
      </c>
      <c r="C2934" t="s">
        <v>1374</v>
      </c>
      <c r="D2934" t="s">
        <v>1313</v>
      </c>
      <c r="E2934" s="220">
        <v>6.8599999999999994E-2</v>
      </c>
    </row>
    <row r="2935" spans="1:5">
      <c r="A2935" t="s">
        <v>767</v>
      </c>
      <c r="B2935" t="s">
        <v>2916</v>
      </c>
      <c r="C2935" t="s">
        <v>1374</v>
      </c>
      <c r="D2935" t="s">
        <v>1313</v>
      </c>
      <c r="E2935" s="220">
        <v>6.8599999999999994E-2</v>
      </c>
    </row>
    <row r="2936" spans="1:5">
      <c r="A2936" t="s">
        <v>761</v>
      </c>
      <c r="B2936" t="s">
        <v>2916</v>
      </c>
      <c r="C2936" t="s">
        <v>1374</v>
      </c>
      <c r="D2936" t="s">
        <v>1313</v>
      </c>
      <c r="E2936" s="220">
        <v>6.8599999999999994E-2</v>
      </c>
    </row>
    <row r="2937" spans="1:5">
      <c r="A2937" t="s">
        <v>770</v>
      </c>
      <c r="B2937" t="s">
        <v>2916</v>
      </c>
      <c r="C2937" t="s">
        <v>1374</v>
      </c>
      <c r="D2937" t="s">
        <v>1313</v>
      </c>
      <c r="E2937" s="220">
        <v>6.8599999999999994E-2</v>
      </c>
    </row>
    <row r="2938" spans="1:5">
      <c r="A2938" t="s">
        <v>592</v>
      </c>
      <c r="B2938" t="s">
        <v>2916</v>
      </c>
      <c r="C2938" t="s">
        <v>1374</v>
      </c>
      <c r="D2938" t="s">
        <v>1313</v>
      </c>
      <c r="E2938" s="220">
        <v>6.8599999999999994E-2</v>
      </c>
    </row>
    <row r="2939" spans="1:5">
      <c r="A2939" t="s">
        <v>773</v>
      </c>
      <c r="B2939" t="s">
        <v>2916</v>
      </c>
      <c r="C2939" t="s">
        <v>1374</v>
      </c>
      <c r="D2939" t="s">
        <v>1313</v>
      </c>
      <c r="E2939" s="220">
        <v>6.8599999999999994E-2</v>
      </c>
    </row>
    <row r="2940" spans="1:5">
      <c r="A2940" t="s">
        <v>776</v>
      </c>
      <c r="B2940" t="s">
        <v>2916</v>
      </c>
      <c r="C2940" t="s">
        <v>1374</v>
      </c>
      <c r="D2940" t="s">
        <v>1313</v>
      </c>
      <c r="E2940" s="220">
        <v>6.8599999999999994E-2</v>
      </c>
    </row>
    <row r="2941" spans="1:5">
      <c r="A2941" t="s">
        <v>1154</v>
      </c>
      <c r="B2941" t="s">
        <v>2916</v>
      </c>
      <c r="C2941" t="s">
        <v>1374</v>
      </c>
      <c r="D2941" t="s">
        <v>1313</v>
      </c>
      <c r="E2941" s="220">
        <v>6.8599999999999994E-2</v>
      </c>
    </row>
    <row r="2942" spans="1:5">
      <c r="A2942" t="s">
        <v>788</v>
      </c>
      <c r="B2942" t="s">
        <v>2916</v>
      </c>
      <c r="C2942" t="s">
        <v>1374</v>
      </c>
      <c r="D2942" t="s">
        <v>1313</v>
      </c>
      <c r="E2942" s="220">
        <v>6.8599999999999994E-2</v>
      </c>
    </row>
    <row r="2943" spans="1:5">
      <c r="A2943" t="s">
        <v>805</v>
      </c>
      <c r="B2943" t="s">
        <v>2916</v>
      </c>
      <c r="C2943" t="s">
        <v>1374</v>
      </c>
      <c r="D2943" t="s">
        <v>1313</v>
      </c>
      <c r="E2943" s="220">
        <v>6.8599999999999994E-2</v>
      </c>
    </row>
    <row r="2944" spans="1:5">
      <c r="A2944" t="s">
        <v>808</v>
      </c>
      <c r="B2944" t="s">
        <v>2916</v>
      </c>
      <c r="C2944" t="s">
        <v>1374</v>
      </c>
      <c r="D2944" t="s">
        <v>1313</v>
      </c>
      <c r="E2944" s="220">
        <v>6.4000000000000001E-2</v>
      </c>
    </row>
    <row r="2945" spans="1:5">
      <c r="A2945" t="s">
        <v>1238</v>
      </c>
      <c r="B2945" t="s">
        <v>2916</v>
      </c>
      <c r="C2945" t="s">
        <v>1374</v>
      </c>
      <c r="D2945" t="s">
        <v>1313</v>
      </c>
      <c r="E2945" s="220">
        <v>6.8599999999999994E-2</v>
      </c>
    </row>
    <row r="2946" spans="1:5">
      <c r="A2946" t="s">
        <v>833</v>
      </c>
      <c r="B2946" t="s">
        <v>2916</v>
      </c>
      <c r="C2946" t="s">
        <v>1374</v>
      </c>
      <c r="D2946" t="s">
        <v>1313</v>
      </c>
      <c r="E2946" s="220">
        <v>6.8599999999999994E-2</v>
      </c>
    </row>
    <row r="2947" spans="1:5">
      <c r="A2947" t="s">
        <v>839</v>
      </c>
      <c r="B2947" t="s">
        <v>2916</v>
      </c>
      <c r="C2947" t="s">
        <v>1374</v>
      </c>
      <c r="D2947" t="s">
        <v>1313</v>
      </c>
      <c r="E2947" s="220">
        <v>6.8599999999999994E-2</v>
      </c>
    </row>
    <row r="2948" spans="1:5">
      <c r="A2948" t="s">
        <v>845</v>
      </c>
      <c r="B2948" t="s">
        <v>2916</v>
      </c>
      <c r="C2948" t="s">
        <v>1374</v>
      </c>
      <c r="D2948" t="s">
        <v>1313</v>
      </c>
      <c r="E2948" s="220">
        <v>6.8599999999999994E-2</v>
      </c>
    </row>
    <row r="2949" spans="1:5">
      <c r="A2949" t="s">
        <v>854</v>
      </c>
      <c r="B2949" t="s">
        <v>2916</v>
      </c>
      <c r="C2949" t="s">
        <v>1374</v>
      </c>
      <c r="D2949" t="s">
        <v>1313</v>
      </c>
      <c r="E2949" s="220">
        <v>6.8599999999999994E-2</v>
      </c>
    </row>
    <row r="2950" spans="1:5">
      <c r="A2950" t="s">
        <v>863</v>
      </c>
      <c r="B2950" t="s">
        <v>2916</v>
      </c>
      <c r="C2950" t="s">
        <v>1374</v>
      </c>
      <c r="D2950" t="s">
        <v>1313</v>
      </c>
      <c r="E2950" s="220">
        <v>6.8599999999999994E-2</v>
      </c>
    </row>
    <row r="2951" spans="1:5">
      <c r="A2951" t="s">
        <v>860</v>
      </c>
      <c r="B2951" t="s">
        <v>2916</v>
      </c>
      <c r="C2951" t="s">
        <v>1374</v>
      </c>
      <c r="D2951" t="s">
        <v>1313</v>
      </c>
      <c r="E2951" s="220">
        <v>6.8599999999999994E-2</v>
      </c>
    </row>
    <row r="2952" spans="1:5">
      <c r="A2952" t="s">
        <v>744</v>
      </c>
      <c r="B2952" t="s">
        <v>2916</v>
      </c>
      <c r="C2952" t="s">
        <v>1374</v>
      </c>
      <c r="D2952" t="s">
        <v>1313</v>
      </c>
      <c r="E2952" s="220">
        <v>6.8599999999999994E-2</v>
      </c>
    </row>
    <row r="2953" spans="1:5">
      <c r="A2953" t="s">
        <v>857</v>
      </c>
      <c r="B2953" t="s">
        <v>2916</v>
      </c>
      <c r="C2953" t="s">
        <v>1374</v>
      </c>
      <c r="D2953" t="s">
        <v>1313</v>
      </c>
      <c r="E2953" s="220">
        <v>6.8599999999999994E-2</v>
      </c>
    </row>
    <row r="2954" spans="1:5">
      <c r="A2954" t="s">
        <v>866</v>
      </c>
      <c r="B2954" t="s">
        <v>2916</v>
      </c>
      <c r="C2954" t="s">
        <v>1374</v>
      </c>
      <c r="D2954" t="s">
        <v>1313</v>
      </c>
      <c r="E2954" s="220">
        <v>6.8599999999999994E-2</v>
      </c>
    </row>
    <row r="2955" spans="1:5">
      <c r="A2955" t="s">
        <v>875</v>
      </c>
      <c r="B2955" t="s">
        <v>2916</v>
      </c>
      <c r="C2955" t="s">
        <v>1374</v>
      </c>
      <c r="D2955" t="s">
        <v>1313</v>
      </c>
      <c r="E2955" s="220">
        <v>6.8599999999999994E-2</v>
      </c>
    </row>
    <row r="2956" spans="1:5">
      <c r="A2956" t="s">
        <v>872</v>
      </c>
      <c r="B2956" t="s">
        <v>2916</v>
      </c>
      <c r="C2956" t="s">
        <v>1374</v>
      </c>
      <c r="D2956" t="s">
        <v>1313</v>
      </c>
      <c r="E2956" s="220">
        <v>6.8599999999999994E-2</v>
      </c>
    </row>
    <row r="2957" spans="1:5">
      <c r="A2957" t="s">
        <v>884</v>
      </c>
      <c r="B2957" t="s">
        <v>2916</v>
      </c>
      <c r="C2957" t="s">
        <v>1374</v>
      </c>
      <c r="D2957" t="s">
        <v>1313</v>
      </c>
      <c r="E2957" s="220">
        <v>6.8599999999999994E-2</v>
      </c>
    </row>
    <row r="2958" spans="1:5">
      <c r="A2958" t="s">
        <v>878</v>
      </c>
      <c r="B2958" t="s">
        <v>2916</v>
      </c>
      <c r="C2958" t="s">
        <v>1374</v>
      </c>
      <c r="D2958" t="s">
        <v>1313</v>
      </c>
      <c r="E2958" s="220">
        <v>6.8599999999999994E-2</v>
      </c>
    </row>
    <row r="2959" spans="1:5">
      <c r="A2959" t="s">
        <v>881</v>
      </c>
      <c r="B2959" t="s">
        <v>2916</v>
      </c>
      <c r="C2959" t="s">
        <v>1374</v>
      </c>
      <c r="D2959" t="s">
        <v>1313</v>
      </c>
      <c r="E2959" s="220">
        <v>6.8599999999999994E-2</v>
      </c>
    </row>
    <row r="2960" spans="1:5">
      <c r="A2960" t="s">
        <v>869</v>
      </c>
      <c r="B2960" t="s">
        <v>2916</v>
      </c>
      <c r="C2960" t="s">
        <v>1374</v>
      </c>
      <c r="D2960" t="s">
        <v>1313</v>
      </c>
      <c r="E2960" s="220">
        <v>6.8599999999999994E-2</v>
      </c>
    </row>
    <row r="2961" spans="1:5">
      <c r="A2961" t="s">
        <v>891</v>
      </c>
      <c r="B2961" t="s">
        <v>2916</v>
      </c>
      <c r="C2961" t="s">
        <v>1374</v>
      </c>
      <c r="D2961" t="s">
        <v>1313</v>
      </c>
      <c r="E2961" s="220">
        <v>6.8599999999999994E-2</v>
      </c>
    </row>
    <row r="2962" spans="1:5">
      <c r="A2962" t="s">
        <v>894</v>
      </c>
      <c r="B2962" t="s">
        <v>2916</v>
      </c>
      <c r="C2962" t="s">
        <v>1374</v>
      </c>
      <c r="D2962" t="s">
        <v>1313</v>
      </c>
      <c r="E2962" s="220">
        <v>6.8599999999999994E-2</v>
      </c>
    </row>
    <row r="2963" spans="1:5">
      <c r="A2963" t="s">
        <v>897</v>
      </c>
      <c r="B2963" t="s">
        <v>2916</v>
      </c>
      <c r="C2963" t="s">
        <v>1374</v>
      </c>
      <c r="D2963" t="s">
        <v>1313</v>
      </c>
      <c r="E2963" s="220">
        <v>6.8599999999999994E-2</v>
      </c>
    </row>
    <row r="2964" spans="1:5">
      <c r="A2964" t="s">
        <v>903</v>
      </c>
      <c r="B2964" t="s">
        <v>2916</v>
      </c>
      <c r="C2964" t="s">
        <v>1374</v>
      </c>
      <c r="D2964" t="s">
        <v>1313</v>
      </c>
      <c r="E2964" s="220">
        <v>6.8599999999999994E-2</v>
      </c>
    </row>
    <row r="2965" spans="1:5">
      <c r="A2965" t="s">
        <v>900</v>
      </c>
      <c r="B2965" t="s">
        <v>2916</v>
      </c>
      <c r="C2965" t="s">
        <v>1374</v>
      </c>
      <c r="D2965" t="s">
        <v>1313</v>
      </c>
      <c r="E2965" s="220">
        <v>6.8599999999999994E-2</v>
      </c>
    </row>
    <row r="2966" spans="1:5">
      <c r="A2966" t="s">
        <v>699</v>
      </c>
      <c r="B2966" t="s">
        <v>2916</v>
      </c>
      <c r="C2966" t="s">
        <v>1374</v>
      </c>
      <c r="D2966" t="s">
        <v>1313</v>
      </c>
      <c r="E2966" s="220">
        <v>6.8599999999999994E-2</v>
      </c>
    </row>
    <row r="2967" spans="1:5">
      <c r="A2967" t="s">
        <v>1160</v>
      </c>
      <c r="B2967" t="s">
        <v>2916</v>
      </c>
      <c r="C2967" t="s">
        <v>1374</v>
      </c>
      <c r="D2967" t="s">
        <v>1313</v>
      </c>
      <c r="E2967" s="220">
        <v>6.8599999999999994E-2</v>
      </c>
    </row>
    <row r="2968" spans="1:5">
      <c r="A2968" t="s">
        <v>915</v>
      </c>
      <c r="B2968" t="s">
        <v>2916</v>
      </c>
      <c r="C2968" t="s">
        <v>1374</v>
      </c>
      <c r="D2968" t="s">
        <v>1313</v>
      </c>
      <c r="E2968" s="220">
        <v>6.8599999999999994E-2</v>
      </c>
    </row>
    <row r="2969" spans="1:5">
      <c r="A2969" t="s">
        <v>927</v>
      </c>
      <c r="B2969" t="s">
        <v>2916</v>
      </c>
      <c r="C2969" t="s">
        <v>1374</v>
      </c>
      <c r="D2969" t="s">
        <v>1313</v>
      </c>
      <c r="E2969" s="220">
        <v>6.8599999999999994E-2</v>
      </c>
    </row>
    <row r="2970" spans="1:5">
      <c r="A2970" t="s">
        <v>933</v>
      </c>
      <c r="B2970" t="s">
        <v>2916</v>
      </c>
      <c r="C2970" t="s">
        <v>1374</v>
      </c>
      <c r="D2970" t="s">
        <v>1313</v>
      </c>
      <c r="E2970" s="220">
        <v>6.8599999999999994E-2</v>
      </c>
    </row>
    <row r="2971" spans="1:5">
      <c r="A2971" t="s">
        <v>939</v>
      </c>
      <c r="B2971" t="s">
        <v>2916</v>
      </c>
      <c r="C2971" t="s">
        <v>1374</v>
      </c>
      <c r="D2971" t="s">
        <v>1313</v>
      </c>
      <c r="E2971" s="220">
        <v>6.8599999999999994E-2</v>
      </c>
    </row>
    <row r="2972" spans="1:5">
      <c r="A2972" t="s">
        <v>1163</v>
      </c>
      <c r="B2972" t="s">
        <v>2916</v>
      </c>
      <c r="C2972" t="s">
        <v>1374</v>
      </c>
      <c r="D2972" t="s">
        <v>1313</v>
      </c>
      <c r="E2972" s="220">
        <v>6.8599999999999994E-2</v>
      </c>
    </row>
    <row r="2973" spans="1:5">
      <c r="A2973" t="s">
        <v>1157</v>
      </c>
      <c r="B2973" t="s">
        <v>2916</v>
      </c>
      <c r="C2973" t="s">
        <v>1374</v>
      </c>
      <c r="D2973" t="s">
        <v>1313</v>
      </c>
      <c r="E2973" s="220">
        <v>6.8599999999999994E-2</v>
      </c>
    </row>
    <row r="2974" spans="1:5">
      <c r="A2974" t="s">
        <v>954</v>
      </c>
      <c r="B2974" t="s">
        <v>2916</v>
      </c>
      <c r="C2974" t="s">
        <v>1374</v>
      </c>
      <c r="D2974" t="s">
        <v>1313</v>
      </c>
      <c r="E2974" s="220">
        <v>6.8599999999999994E-2</v>
      </c>
    </row>
    <row r="2975" spans="1:5">
      <c r="A2975" t="s">
        <v>957</v>
      </c>
      <c r="B2975" t="s">
        <v>2916</v>
      </c>
      <c r="C2975" t="s">
        <v>1374</v>
      </c>
      <c r="D2975" t="s">
        <v>1313</v>
      </c>
      <c r="E2975" s="220">
        <v>6.8599999999999994E-2</v>
      </c>
    </row>
    <row r="2976" spans="1:5">
      <c r="A2976" t="s">
        <v>936</v>
      </c>
      <c r="B2976" t="s">
        <v>2916</v>
      </c>
      <c r="C2976" t="s">
        <v>1374</v>
      </c>
      <c r="D2976" t="s">
        <v>1313</v>
      </c>
      <c r="E2976" s="220">
        <v>6.8599999999999994E-2</v>
      </c>
    </row>
    <row r="2977" spans="1:5">
      <c r="A2977" t="s">
        <v>1014</v>
      </c>
      <c r="B2977" t="s">
        <v>2916</v>
      </c>
      <c r="C2977" t="s">
        <v>1374</v>
      </c>
      <c r="D2977" t="s">
        <v>1313</v>
      </c>
      <c r="E2977" s="220">
        <v>6.8599999999999994E-2</v>
      </c>
    </row>
    <row r="2978" spans="1:5">
      <c r="A2978" t="s">
        <v>999</v>
      </c>
      <c r="B2978" t="s">
        <v>2916</v>
      </c>
      <c r="C2978" t="s">
        <v>1374</v>
      </c>
      <c r="D2978" t="s">
        <v>1313</v>
      </c>
      <c r="E2978" s="220">
        <v>6.8599999999999994E-2</v>
      </c>
    </row>
    <row r="2979" spans="1:5">
      <c r="A2979" t="s">
        <v>993</v>
      </c>
      <c r="B2979" t="s">
        <v>2916</v>
      </c>
      <c r="C2979" t="s">
        <v>1374</v>
      </c>
      <c r="D2979" t="s">
        <v>1313</v>
      </c>
      <c r="E2979" s="220">
        <v>6.8599999999999994E-2</v>
      </c>
    </row>
    <row r="2980" spans="1:5">
      <c r="A2980" t="s">
        <v>963</v>
      </c>
      <c r="B2980" t="s">
        <v>2916</v>
      </c>
      <c r="C2980" t="s">
        <v>1374</v>
      </c>
      <c r="D2980" t="s">
        <v>1313</v>
      </c>
      <c r="E2980" s="220">
        <v>6.8599999999999994E-2</v>
      </c>
    </row>
    <row r="2981" spans="1:5">
      <c r="A2981" t="s">
        <v>981</v>
      </c>
      <c r="B2981" t="s">
        <v>2916</v>
      </c>
      <c r="C2981" t="s">
        <v>1374</v>
      </c>
      <c r="D2981" t="s">
        <v>1313</v>
      </c>
      <c r="E2981" s="220">
        <v>6.8599999999999994E-2</v>
      </c>
    </row>
    <row r="2982" spans="1:5">
      <c r="A2982" t="s">
        <v>1020</v>
      </c>
      <c r="B2982" t="s">
        <v>2916</v>
      </c>
      <c r="C2982" t="s">
        <v>1374</v>
      </c>
      <c r="D2982" t="s">
        <v>1313</v>
      </c>
      <c r="E2982" s="220">
        <v>6.8599999999999994E-2</v>
      </c>
    </row>
    <row r="2983" spans="1:5">
      <c r="A2983" t="s">
        <v>972</v>
      </c>
      <c r="B2983" t="s">
        <v>2916</v>
      </c>
      <c r="C2983" t="s">
        <v>1374</v>
      </c>
      <c r="D2983" t="s">
        <v>1313</v>
      </c>
      <c r="E2983" s="220">
        <v>6.8599999999999994E-2</v>
      </c>
    </row>
    <row r="2984" spans="1:5">
      <c r="A2984" t="s">
        <v>1042</v>
      </c>
      <c r="B2984" t="s">
        <v>2916</v>
      </c>
      <c r="C2984" t="s">
        <v>1374</v>
      </c>
      <c r="D2984" t="s">
        <v>1313</v>
      </c>
      <c r="E2984" s="220">
        <v>6.8599999999999994E-2</v>
      </c>
    </row>
    <row r="2985" spans="1:5">
      <c r="A2985" t="s">
        <v>1032</v>
      </c>
      <c r="B2985" t="s">
        <v>2916</v>
      </c>
      <c r="C2985" t="s">
        <v>1374</v>
      </c>
      <c r="D2985" t="s">
        <v>1313</v>
      </c>
      <c r="E2985" s="220">
        <v>6.8599999999999994E-2</v>
      </c>
    </row>
    <row r="2986" spans="1:5">
      <c r="A2986" t="s">
        <v>1055</v>
      </c>
      <c r="B2986" t="s">
        <v>2916</v>
      </c>
      <c r="C2986" t="s">
        <v>1374</v>
      </c>
      <c r="D2986" t="s">
        <v>1313</v>
      </c>
      <c r="E2986" s="220">
        <v>6.8599999999999994E-2</v>
      </c>
    </row>
    <row r="2987" spans="1:5">
      <c r="A2987" t="s">
        <v>1029</v>
      </c>
      <c r="B2987" t="s">
        <v>2916</v>
      </c>
      <c r="C2987" t="s">
        <v>1374</v>
      </c>
      <c r="D2987" t="s">
        <v>1313</v>
      </c>
      <c r="E2987" s="220">
        <v>6.8599999999999994E-2</v>
      </c>
    </row>
    <row r="2988" spans="1:5">
      <c r="A2988" t="s">
        <v>1039</v>
      </c>
      <c r="B2988" t="s">
        <v>2916</v>
      </c>
      <c r="C2988" t="s">
        <v>1374</v>
      </c>
      <c r="D2988" t="s">
        <v>1313</v>
      </c>
      <c r="E2988" s="220">
        <v>6.8599999999999994E-2</v>
      </c>
    </row>
    <row r="2989" spans="1:5">
      <c r="A2989" t="s">
        <v>1058</v>
      </c>
      <c r="B2989" t="s">
        <v>2916</v>
      </c>
      <c r="C2989" t="s">
        <v>1374</v>
      </c>
      <c r="D2989" t="s">
        <v>1313</v>
      </c>
      <c r="E2989" s="220">
        <v>6.8599999999999994E-2</v>
      </c>
    </row>
    <row r="2990" spans="1:5">
      <c r="A2990" t="s">
        <v>1061</v>
      </c>
      <c r="B2990" t="s">
        <v>2916</v>
      </c>
      <c r="C2990" t="s">
        <v>1374</v>
      </c>
      <c r="D2990" t="s">
        <v>1313</v>
      </c>
      <c r="E2990" s="220">
        <v>6.8599999999999994E-2</v>
      </c>
    </row>
    <row r="2991" spans="1:5">
      <c r="A2991" t="s">
        <v>1067</v>
      </c>
      <c r="B2991" t="s">
        <v>2916</v>
      </c>
      <c r="C2991" t="s">
        <v>1374</v>
      </c>
      <c r="D2991" t="s">
        <v>1313</v>
      </c>
      <c r="E2991" s="220">
        <v>6.8599999999999994E-2</v>
      </c>
    </row>
    <row r="2992" spans="1:5">
      <c r="A2992" t="s">
        <v>1076</v>
      </c>
      <c r="B2992" t="s">
        <v>2916</v>
      </c>
      <c r="C2992" t="s">
        <v>1374</v>
      </c>
      <c r="D2992" t="s">
        <v>1313</v>
      </c>
      <c r="E2992" s="220">
        <v>6.8599999999999994E-2</v>
      </c>
    </row>
    <row r="2993" spans="1:5">
      <c r="A2993" t="s">
        <v>1079</v>
      </c>
      <c r="B2993" t="s">
        <v>2916</v>
      </c>
      <c r="C2993" t="s">
        <v>1374</v>
      </c>
      <c r="D2993" t="s">
        <v>1313</v>
      </c>
      <c r="E2993" s="220">
        <v>6.8599999999999994E-2</v>
      </c>
    </row>
    <row r="2994" spans="1:5">
      <c r="A2994" t="s">
        <v>1082</v>
      </c>
      <c r="B2994" t="s">
        <v>2916</v>
      </c>
      <c r="C2994" t="s">
        <v>1374</v>
      </c>
      <c r="D2994" t="s">
        <v>1313</v>
      </c>
      <c r="E2994" s="220">
        <v>6.8599999999999994E-2</v>
      </c>
    </row>
    <row r="2995" spans="1:5">
      <c r="A2995" t="s">
        <v>1085</v>
      </c>
      <c r="B2995" t="s">
        <v>2916</v>
      </c>
      <c r="C2995" t="s">
        <v>1374</v>
      </c>
      <c r="D2995" t="s">
        <v>1313</v>
      </c>
      <c r="E2995" s="220">
        <v>6.8599999999999994E-2</v>
      </c>
    </row>
    <row r="2996" spans="1:5">
      <c r="A2996" t="s">
        <v>1073</v>
      </c>
      <c r="B2996" t="s">
        <v>2916</v>
      </c>
      <c r="C2996" t="s">
        <v>1374</v>
      </c>
      <c r="D2996" t="s">
        <v>1313</v>
      </c>
      <c r="E2996" s="220">
        <v>6.8599999999999994E-2</v>
      </c>
    </row>
    <row r="2997" spans="1:5">
      <c r="A2997" t="s">
        <v>1264</v>
      </c>
      <c r="B2997" t="s">
        <v>2916</v>
      </c>
      <c r="C2997" t="s">
        <v>1374</v>
      </c>
      <c r="D2997" t="s">
        <v>1313</v>
      </c>
      <c r="E2997" s="220">
        <v>6.8599999999999994E-2</v>
      </c>
    </row>
    <row r="2998" spans="1:5">
      <c r="A2998" t="s">
        <v>1091</v>
      </c>
      <c r="B2998" t="s">
        <v>2916</v>
      </c>
      <c r="C2998" t="s">
        <v>1374</v>
      </c>
      <c r="D2998" t="s">
        <v>1313</v>
      </c>
      <c r="E2998" s="220">
        <v>6.8599999999999994E-2</v>
      </c>
    </row>
    <row r="2999" spans="1:5">
      <c r="A2999" t="s">
        <v>1094</v>
      </c>
      <c r="B2999" t="s">
        <v>2916</v>
      </c>
      <c r="C2999" t="s">
        <v>1374</v>
      </c>
      <c r="D2999" t="s">
        <v>1313</v>
      </c>
      <c r="E2999" s="220">
        <v>6.8599999999999994E-2</v>
      </c>
    </row>
    <row r="3000" spans="1:5">
      <c r="A3000" t="s">
        <v>1097</v>
      </c>
      <c r="B3000" t="s">
        <v>2916</v>
      </c>
      <c r="C3000" t="s">
        <v>1374</v>
      </c>
      <c r="D3000" t="s">
        <v>1313</v>
      </c>
      <c r="E3000" s="220">
        <v>6.8599999999999994E-2</v>
      </c>
    </row>
    <row r="3001" spans="1:5">
      <c r="A3001" t="s">
        <v>1113</v>
      </c>
      <c r="B3001" t="s">
        <v>2916</v>
      </c>
      <c r="C3001" t="s">
        <v>1374</v>
      </c>
      <c r="D3001" t="s">
        <v>1313</v>
      </c>
      <c r="E3001" s="220">
        <v>6.8599999999999994E-2</v>
      </c>
    </row>
    <row r="3002" spans="1:5">
      <c r="A3002" t="s">
        <v>1173</v>
      </c>
      <c r="B3002" t="s">
        <v>2916</v>
      </c>
      <c r="C3002" t="s">
        <v>1374</v>
      </c>
      <c r="D3002" t="s">
        <v>1313</v>
      </c>
      <c r="E3002" s="220">
        <v>6.8599999999999994E-2</v>
      </c>
    </row>
    <row r="3003" spans="1:5">
      <c r="A3003" t="s">
        <v>1128</v>
      </c>
      <c r="B3003" t="s">
        <v>2916</v>
      </c>
      <c r="C3003" t="s">
        <v>1374</v>
      </c>
      <c r="D3003" t="s">
        <v>1313</v>
      </c>
      <c r="E3003" s="220">
        <v>6.8599999999999994E-2</v>
      </c>
    </row>
    <row r="3004" spans="1:5">
      <c r="A3004" t="s">
        <v>779</v>
      </c>
      <c r="B3004" t="s">
        <v>2916</v>
      </c>
      <c r="C3004" t="s">
        <v>1374</v>
      </c>
      <c r="D3004" t="s">
        <v>1313</v>
      </c>
      <c r="E3004" s="220">
        <v>6.8599999999999994E-2</v>
      </c>
    </row>
    <row r="3005" spans="1:5">
      <c r="A3005" t="s">
        <v>1119</v>
      </c>
      <c r="B3005" t="s">
        <v>2916</v>
      </c>
      <c r="C3005" t="s">
        <v>1374</v>
      </c>
      <c r="D3005" t="s">
        <v>1313</v>
      </c>
      <c r="E3005" s="220">
        <v>6.8599999999999994E-2</v>
      </c>
    </row>
    <row r="3006" spans="1:5">
      <c r="A3006" t="s">
        <v>1176</v>
      </c>
      <c r="B3006" t="s">
        <v>2916</v>
      </c>
      <c r="C3006" t="s">
        <v>1374</v>
      </c>
      <c r="D3006" t="s">
        <v>1313</v>
      </c>
      <c r="E3006" s="220">
        <v>6.8599999999999994E-2</v>
      </c>
    </row>
    <row r="3007" spans="1:5">
      <c r="A3007" t="s">
        <v>1135</v>
      </c>
      <c r="B3007" t="s">
        <v>2916</v>
      </c>
      <c r="C3007" t="s">
        <v>1374</v>
      </c>
      <c r="D3007" t="s">
        <v>1313</v>
      </c>
      <c r="E3007" s="220">
        <v>6.8599999999999994E-2</v>
      </c>
    </row>
    <row r="3008" spans="1:5">
      <c r="A3008" t="s">
        <v>1139</v>
      </c>
      <c r="B3008" t="s">
        <v>2916</v>
      </c>
      <c r="C3008" t="s">
        <v>1374</v>
      </c>
      <c r="D3008" t="s">
        <v>1313</v>
      </c>
      <c r="E3008" s="220">
        <v>6.8599999999999994E-2</v>
      </c>
    </row>
    <row r="3009" spans="1:5">
      <c r="A3009" t="s">
        <v>1179</v>
      </c>
      <c r="B3009" t="s">
        <v>2916</v>
      </c>
      <c r="C3009" t="s">
        <v>1374</v>
      </c>
      <c r="D3009" t="s">
        <v>1313</v>
      </c>
      <c r="E3009" s="220">
        <v>6.8599999999999994E-2</v>
      </c>
    </row>
    <row r="3010" spans="1:5">
      <c r="A3010" t="s">
        <v>1185</v>
      </c>
      <c r="B3010" t="s">
        <v>2916</v>
      </c>
      <c r="C3010" t="s">
        <v>1374</v>
      </c>
      <c r="D3010" t="s">
        <v>1313</v>
      </c>
      <c r="E3010" s="220">
        <v>6.8599999999999994E-2</v>
      </c>
    </row>
    <row r="3011" spans="1:5">
      <c r="A3011" t="s">
        <v>1198</v>
      </c>
      <c r="B3011" t="s">
        <v>2916</v>
      </c>
      <c r="C3011" t="s">
        <v>1374</v>
      </c>
      <c r="D3011" t="s">
        <v>1313</v>
      </c>
      <c r="E3011" s="220">
        <v>6.8599999999999994E-2</v>
      </c>
    </row>
    <row r="3012" spans="1:5">
      <c r="A3012" t="s">
        <v>1192</v>
      </c>
      <c r="B3012" t="s">
        <v>2916</v>
      </c>
      <c r="C3012" t="s">
        <v>1374</v>
      </c>
      <c r="D3012" t="s">
        <v>1313</v>
      </c>
      <c r="E3012" s="220">
        <v>6.8599999999999994E-2</v>
      </c>
    </row>
    <row r="3013" spans="1:5">
      <c r="A3013" t="s">
        <v>1219</v>
      </c>
      <c r="B3013" t="s">
        <v>2916</v>
      </c>
      <c r="C3013" t="s">
        <v>1374</v>
      </c>
      <c r="D3013" t="s">
        <v>1313</v>
      </c>
      <c r="E3013" s="220">
        <v>6.8599999999999994E-2</v>
      </c>
    </row>
    <row r="3014" spans="1:5">
      <c r="A3014" t="s">
        <v>1210</v>
      </c>
      <c r="B3014" t="s">
        <v>2916</v>
      </c>
      <c r="C3014" t="s">
        <v>1374</v>
      </c>
      <c r="D3014" t="s">
        <v>1313</v>
      </c>
      <c r="E3014" s="220">
        <v>6.8599999999999994E-2</v>
      </c>
    </row>
    <row r="3015" spans="1:5">
      <c r="A3015" t="s">
        <v>1213</v>
      </c>
      <c r="B3015" t="s">
        <v>2916</v>
      </c>
      <c r="C3015" t="s">
        <v>1374</v>
      </c>
      <c r="D3015" t="s">
        <v>1313</v>
      </c>
      <c r="E3015" s="220">
        <v>6.8599999999999994E-2</v>
      </c>
    </row>
    <row r="3016" spans="1:5">
      <c r="A3016" t="s">
        <v>1216</v>
      </c>
      <c r="B3016" t="s">
        <v>2916</v>
      </c>
      <c r="C3016" t="s">
        <v>1374</v>
      </c>
      <c r="D3016" t="s">
        <v>1313</v>
      </c>
      <c r="E3016" s="220">
        <v>6.8599999999999994E-2</v>
      </c>
    </row>
    <row r="3017" spans="1:5">
      <c r="A3017" t="s">
        <v>1189</v>
      </c>
      <c r="B3017" t="s">
        <v>2916</v>
      </c>
      <c r="C3017" t="s">
        <v>1374</v>
      </c>
      <c r="D3017" t="s">
        <v>1313</v>
      </c>
      <c r="E3017" s="220">
        <v>6.8599999999999994E-2</v>
      </c>
    </row>
    <row r="3018" spans="1:5">
      <c r="A3018" t="s">
        <v>1232</v>
      </c>
      <c r="B3018" t="s">
        <v>2916</v>
      </c>
      <c r="C3018" t="s">
        <v>1374</v>
      </c>
      <c r="D3018" t="s">
        <v>1313</v>
      </c>
      <c r="E3018" s="220">
        <v>6.8599999999999994E-2</v>
      </c>
    </row>
    <row r="3019" spans="1:5">
      <c r="A3019" t="s">
        <v>1244</v>
      </c>
      <c r="B3019" t="s">
        <v>2916</v>
      </c>
      <c r="C3019" t="s">
        <v>1374</v>
      </c>
      <c r="D3019" t="s">
        <v>1313</v>
      </c>
      <c r="E3019" s="220">
        <v>6.8599999999999994E-2</v>
      </c>
    </row>
    <row r="3020" spans="1:5">
      <c r="A3020" t="s">
        <v>1241</v>
      </c>
      <c r="B3020" t="s">
        <v>2916</v>
      </c>
      <c r="C3020" t="s">
        <v>1374</v>
      </c>
      <c r="D3020" t="s">
        <v>1313</v>
      </c>
      <c r="E3020" s="220">
        <v>6.8599999999999994E-2</v>
      </c>
    </row>
    <row r="3021" spans="1:5">
      <c r="A3021" t="s">
        <v>1247</v>
      </c>
      <c r="B3021" t="s">
        <v>2916</v>
      </c>
      <c r="C3021" t="s">
        <v>1374</v>
      </c>
      <c r="D3021" t="s">
        <v>1313</v>
      </c>
      <c r="E3021" s="220">
        <v>6.8599999999999994E-2</v>
      </c>
    </row>
    <row r="3022" spans="1:5">
      <c r="A3022" t="s">
        <v>1170</v>
      </c>
      <c r="B3022" t="s">
        <v>2916</v>
      </c>
      <c r="C3022" t="s">
        <v>1374</v>
      </c>
      <c r="D3022" t="s">
        <v>1313</v>
      </c>
      <c r="E3022" s="220">
        <v>6.8599999999999994E-2</v>
      </c>
    </row>
    <row r="3023" spans="1:5">
      <c r="A3023" t="s">
        <v>1253</v>
      </c>
      <c r="B3023" t="s">
        <v>2916</v>
      </c>
      <c r="C3023" t="s">
        <v>1374</v>
      </c>
      <c r="D3023" t="s">
        <v>1313</v>
      </c>
      <c r="E3023" s="220">
        <v>6.8599999999999994E-2</v>
      </c>
    </row>
    <row r="3024" spans="1:5">
      <c r="A3024" t="s">
        <v>1257</v>
      </c>
      <c r="B3024" t="s">
        <v>2916</v>
      </c>
      <c r="C3024" t="s">
        <v>1374</v>
      </c>
      <c r="D3024" t="s">
        <v>1313</v>
      </c>
      <c r="E3024" s="220">
        <v>6.8599999999999994E-2</v>
      </c>
    </row>
    <row r="3025" spans="1:5">
      <c r="A3025" t="s">
        <v>1268</v>
      </c>
      <c r="B3025" t="s">
        <v>2916</v>
      </c>
      <c r="C3025" t="s">
        <v>1374</v>
      </c>
      <c r="D3025" t="s">
        <v>1313</v>
      </c>
      <c r="E3025" s="220">
        <v>6.8599999999999994E-2</v>
      </c>
    </row>
    <row r="3026" spans="1:5">
      <c r="A3026" t="s">
        <v>1148</v>
      </c>
      <c r="B3026" t="s">
        <v>2916</v>
      </c>
      <c r="C3026" t="s">
        <v>1374</v>
      </c>
      <c r="D3026" t="s">
        <v>1313</v>
      </c>
      <c r="E3026" s="220">
        <v>6.8599999999999994E-2</v>
      </c>
    </row>
    <row r="3027" spans="1:5">
      <c r="A3027" t="s">
        <v>580</v>
      </c>
      <c r="B3027" t="s">
        <v>2916</v>
      </c>
      <c r="C3027" t="s">
        <v>1374</v>
      </c>
      <c r="D3027" t="s">
        <v>1315</v>
      </c>
      <c r="E3027" s="220">
        <v>5.5799999999999995E-2</v>
      </c>
    </row>
    <row r="3028" spans="1:5">
      <c r="A3028" t="s">
        <v>587</v>
      </c>
      <c r="B3028" t="s">
        <v>2916</v>
      </c>
      <c r="C3028" t="s">
        <v>1374</v>
      </c>
      <c r="D3028" t="s">
        <v>1315</v>
      </c>
      <c r="E3028" s="220">
        <v>5.5799999999999995E-2</v>
      </c>
    </row>
    <row r="3029" spans="1:5">
      <c r="A3029" t="s">
        <v>1235</v>
      </c>
      <c r="B3029" t="s">
        <v>2916</v>
      </c>
      <c r="C3029" t="s">
        <v>1374</v>
      </c>
      <c r="D3029" t="s">
        <v>1315</v>
      </c>
      <c r="E3029" s="220">
        <v>5.5799999999999995E-2</v>
      </c>
    </row>
    <row r="3030" spans="1:5">
      <c r="A3030" t="s">
        <v>617</v>
      </c>
      <c r="B3030" t="s">
        <v>2916</v>
      </c>
      <c r="C3030" t="s">
        <v>1374</v>
      </c>
      <c r="D3030" t="s">
        <v>1315</v>
      </c>
      <c r="E3030" s="220">
        <v>5.5799999999999995E-2</v>
      </c>
    </row>
    <row r="3031" spans="1:5">
      <c r="A3031" t="s">
        <v>620</v>
      </c>
      <c r="B3031" t="s">
        <v>2916</v>
      </c>
      <c r="C3031" t="s">
        <v>1374</v>
      </c>
      <c r="D3031" t="s">
        <v>1315</v>
      </c>
      <c r="E3031" s="220">
        <v>5.5799999999999995E-2</v>
      </c>
    </row>
    <row r="3032" spans="1:5">
      <c r="A3032" t="s">
        <v>614</v>
      </c>
      <c r="B3032" t="s">
        <v>2916</v>
      </c>
      <c r="C3032" t="s">
        <v>1374</v>
      </c>
      <c r="D3032" t="s">
        <v>1315</v>
      </c>
      <c r="E3032" s="220">
        <v>5.5799999999999995E-2</v>
      </c>
    </row>
    <row r="3033" spans="1:5">
      <c r="A3033" t="s">
        <v>626</v>
      </c>
      <c r="B3033" t="s">
        <v>2916</v>
      </c>
      <c r="C3033" t="s">
        <v>1374</v>
      </c>
      <c r="D3033" t="s">
        <v>1315</v>
      </c>
      <c r="E3033" s="220">
        <v>5.5799999999999995E-2</v>
      </c>
    </row>
    <row r="3034" spans="1:5">
      <c r="A3034" t="s">
        <v>629</v>
      </c>
      <c r="B3034" t="s">
        <v>2916</v>
      </c>
      <c r="C3034" t="s">
        <v>1374</v>
      </c>
      <c r="D3034" t="s">
        <v>1315</v>
      </c>
      <c r="E3034" s="220">
        <v>5.5799999999999995E-2</v>
      </c>
    </row>
    <row r="3035" spans="1:5">
      <c r="A3035" t="s">
        <v>632</v>
      </c>
      <c r="B3035" t="s">
        <v>2916</v>
      </c>
      <c r="C3035" t="s">
        <v>1374</v>
      </c>
      <c r="D3035" t="s">
        <v>1315</v>
      </c>
      <c r="E3035" s="220">
        <v>5.5799999999999995E-2</v>
      </c>
    </row>
    <row r="3036" spans="1:5">
      <c r="A3036" t="s">
        <v>650</v>
      </c>
      <c r="B3036" t="s">
        <v>2916</v>
      </c>
      <c r="C3036" t="s">
        <v>1374</v>
      </c>
      <c r="D3036" t="s">
        <v>1315</v>
      </c>
      <c r="E3036" s="220">
        <v>5.5799999999999995E-2</v>
      </c>
    </row>
    <row r="3037" spans="1:5">
      <c r="A3037" t="s">
        <v>641</v>
      </c>
      <c r="B3037" t="s">
        <v>2916</v>
      </c>
      <c r="C3037" t="s">
        <v>1374</v>
      </c>
      <c r="D3037" t="s">
        <v>1315</v>
      </c>
      <c r="E3037" s="220">
        <v>5.5799999999999995E-2</v>
      </c>
    </row>
    <row r="3038" spans="1:5">
      <c r="A3038" t="s">
        <v>687</v>
      </c>
      <c r="B3038" t="s">
        <v>2916</v>
      </c>
      <c r="C3038" t="s">
        <v>1374</v>
      </c>
      <c r="D3038" t="s">
        <v>1315</v>
      </c>
      <c r="E3038" s="220">
        <v>5.5799999999999995E-2</v>
      </c>
    </row>
    <row r="3039" spans="1:5">
      <c r="A3039" t="s">
        <v>638</v>
      </c>
      <c r="B3039" t="s">
        <v>2916</v>
      </c>
      <c r="C3039" t="s">
        <v>1374</v>
      </c>
      <c r="D3039" t="s">
        <v>1315</v>
      </c>
      <c r="E3039" s="220">
        <v>5.5799999999999995E-2</v>
      </c>
    </row>
    <row r="3040" spans="1:5">
      <c r="A3040" t="s">
        <v>635</v>
      </c>
      <c r="B3040" t="s">
        <v>2916</v>
      </c>
      <c r="C3040" t="s">
        <v>1374</v>
      </c>
      <c r="D3040" t="s">
        <v>1315</v>
      </c>
      <c r="E3040" s="220">
        <v>5.5799999999999995E-2</v>
      </c>
    </row>
    <row r="3041" spans="1:5">
      <c r="A3041" t="s">
        <v>670</v>
      </c>
      <c r="B3041" t="s">
        <v>2916</v>
      </c>
      <c r="C3041" t="s">
        <v>1374</v>
      </c>
      <c r="D3041" t="s">
        <v>1315</v>
      </c>
      <c r="E3041" s="220">
        <v>5.5799999999999995E-2</v>
      </c>
    </row>
    <row r="3042" spans="1:5">
      <c r="A3042" t="s">
        <v>647</v>
      </c>
      <c r="B3042" t="s">
        <v>2916</v>
      </c>
      <c r="C3042" t="s">
        <v>1374</v>
      </c>
      <c r="D3042" t="s">
        <v>1315</v>
      </c>
      <c r="E3042" s="220">
        <v>5.5799999999999995E-2</v>
      </c>
    </row>
    <row r="3043" spans="1:5">
      <c r="A3043" t="s">
        <v>653</v>
      </c>
      <c r="B3043" t="s">
        <v>2916</v>
      </c>
      <c r="C3043" t="s">
        <v>1374</v>
      </c>
      <c r="D3043" t="s">
        <v>1315</v>
      </c>
      <c r="E3043" s="220">
        <v>5.5799999999999995E-2</v>
      </c>
    </row>
    <row r="3044" spans="1:5">
      <c r="A3044" t="s">
        <v>659</v>
      </c>
      <c r="B3044" t="s">
        <v>2916</v>
      </c>
      <c r="C3044" t="s">
        <v>1374</v>
      </c>
      <c r="D3044" t="s">
        <v>1315</v>
      </c>
      <c r="E3044" s="220">
        <v>5.5799999999999995E-2</v>
      </c>
    </row>
    <row r="3045" spans="1:5">
      <c r="A3045" t="s">
        <v>667</v>
      </c>
      <c r="B3045" t="s">
        <v>2916</v>
      </c>
      <c r="C3045" t="s">
        <v>1374</v>
      </c>
      <c r="D3045" t="s">
        <v>1315</v>
      </c>
      <c r="E3045" s="220">
        <v>5.5799999999999995E-2</v>
      </c>
    </row>
    <row r="3046" spans="1:5">
      <c r="A3046" t="s">
        <v>676</v>
      </c>
      <c r="B3046" t="s">
        <v>2916</v>
      </c>
      <c r="C3046" t="s">
        <v>1374</v>
      </c>
      <c r="D3046" t="s">
        <v>1315</v>
      </c>
      <c r="E3046" s="220">
        <v>5.5799999999999995E-2</v>
      </c>
    </row>
    <row r="3047" spans="1:5">
      <c r="A3047" t="s">
        <v>644</v>
      </c>
      <c r="B3047" t="s">
        <v>2916</v>
      </c>
      <c r="C3047" t="s">
        <v>1374</v>
      </c>
      <c r="D3047" t="s">
        <v>1315</v>
      </c>
      <c r="E3047" s="220">
        <v>5.5799999999999995E-2</v>
      </c>
    </row>
    <row r="3048" spans="1:5">
      <c r="A3048" t="s">
        <v>684</v>
      </c>
      <c r="B3048" t="s">
        <v>2916</v>
      </c>
      <c r="C3048" t="s">
        <v>1374</v>
      </c>
      <c r="D3048" t="s">
        <v>1315</v>
      </c>
      <c r="E3048" s="220">
        <v>5.5799999999999995E-2</v>
      </c>
    </row>
    <row r="3049" spans="1:5">
      <c r="A3049" t="s">
        <v>664</v>
      </c>
      <c r="B3049" t="s">
        <v>2916</v>
      </c>
      <c r="C3049" t="s">
        <v>1374</v>
      </c>
      <c r="D3049" t="s">
        <v>1315</v>
      </c>
      <c r="E3049" s="220">
        <v>5.5799999999999995E-2</v>
      </c>
    </row>
    <row r="3050" spans="1:5">
      <c r="A3050" t="s">
        <v>705</v>
      </c>
      <c r="B3050" t="s">
        <v>2916</v>
      </c>
      <c r="C3050" t="s">
        <v>1374</v>
      </c>
      <c r="D3050" t="s">
        <v>1315</v>
      </c>
      <c r="E3050" s="220">
        <v>5.5799999999999995E-2</v>
      </c>
    </row>
    <row r="3051" spans="1:5">
      <c r="A3051" t="s">
        <v>1182</v>
      </c>
      <c r="B3051" t="s">
        <v>2916</v>
      </c>
      <c r="C3051" t="s">
        <v>1374</v>
      </c>
      <c r="D3051" t="s">
        <v>1315</v>
      </c>
      <c r="E3051" s="220">
        <v>5.5799999999999995E-2</v>
      </c>
    </row>
    <row r="3052" spans="1:5">
      <c r="A3052" t="s">
        <v>720</v>
      </c>
      <c r="B3052" t="s">
        <v>2916</v>
      </c>
      <c r="C3052" t="s">
        <v>1374</v>
      </c>
      <c r="D3052" t="s">
        <v>1315</v>
      </c>
      <c r="E3052" s="220">
        <v>5.5799999999999995E-2</v>
      </c>
    </row>
    <row r="3053" spans="1:5">
      <c r="A3053" t="s">
        <v>723</v>
      </c>
      <c r="B3053" t="s">
        <v>2916</v>
      </c>
      <c r="C3053" t="s">
        <v>1374</v>
      </c>
      <c r="D3053" t="s">
        <v>1315</v>
      </c>
      <c r="E3053" s="220">
        <v>5.5799999999999995E-2</v>
      </c>
    </row>
    <row r="3054" spans="1:5">
      <c r="A3054" t="s">
        <v>726</v>
      </c>
      <c r="B3054" t="s">
        <v>2916</v>
      </c>
      <c r="C3054" t="s">
        <v>1374</v>
      </c>
      <c r="D3054" t="s">
        <v>1315</v>
      </c>
      <c r="E3054" s="220">
        <v>5.5799999999999995E-2</v>
      </c>
    </row>
    <row r="3055" spans="1:5">
      <c r="A3055" t="s">
        <v>738</v>
      </c>
      <c r="B3055" t="s">
        <v>2916</v>
      </c>
      <c r="C3055" t="s">
        <v>1374</v>
      </c>
      <c r="D3055" t="s">
        <v>1315</v>
      </c>
      <c r="E3055" s="220">
        <v>5.5799999999999995E-2</v>
      </c>
    </row>
    <row r="3056" spans="1:5">
      <c r="A3056" t="s">
        <v>747</v>
      </c>
      <c r="B3056" t="s">
        <v>2916</v>
      </c>
      <c r="C3056" t="s">
        <v>1374</v>
      </c>
      <c r="D3056" t="s">
        <v>1315</v>
      </c>
      <c r="E3056" s="220">
        <v>5.5799999999999995E-2</v>
      </c>
    </row>
    <row r="3057" spans="1:5">
      <c r="A3057" t="s">
        <v>754</v>
      </c>
      <c r="B3057" t="s">
        <v>2916</v>
      </c>
      <c r="C3057" t="s">
        <v>1374</v>
      </c>
      <c r="D3057" t="s">
        <v>1315</v>
      </c>
      <c r="E3057" s="220">
        <v>5.5799999999999995E-2</v>
      </c>
    </row>
    <row r="3058" spans="1:5">
      <c r="A3058" t="s">
        <v>757</v>
      </c>
      <c r="B3058" t="s">
        <v>2916</v>
      </c>
      <c r="C3058" t="s">
        <v>1374</v>
      </c>
      <c r="D3058" t="s">
        <v>1315</v>
      </c>
      <c r="E3058" s="220">
        <v>5.5799999999999995E-2</v>
      </c>
    </row>
    <row r="3059" spans="1:5">
      <c r="A3059" t="s">
        <v>823</v>
      </c>
      <c r="B3059" t="s">
        <v>2916</v>
      </c>
      <c r="C3059" t="s">
        <v>1374</v>
      </c>
      <c r="D3059" t="s">
        <v>1315</v>
      </c>
      <c r="E3059" s="220">
        <v>5.5799999999999995E-2</v>
      </c>
    </row>
    <row r="3060" spans="1:5">
      <c r="A3060" t="s">
        <v>767</v>
      </c>
      <c r="B3060" t="s">
        <v>2916</v>
      </c>
      <c r="C3060" t="s">
        <v>1374</v>
      </c>
      <c r="D3060" t="s">
        <v>1315</v>
      </c>
      <c r="E3060" s="220">
        <v>5.5799999999999995E-2</v>
      </c>
    </row>
    <row r="3061" spans="1:5">
      <c r="A3061" t="s">
        <v>761</v>
      </c>
      <c r="B3061" t="s">
        <v>2916</v>
      </c>
      <c r="C3061" t="s">
        <v>1374</v>
      </c>
      <c r="D3061" t="s">
        <v>1315</v>
      </c>
      <c r="E3061" s="220">
        <v>5.5799999999999995E-2</v>
      </c>
    </row>
    <row r="3062" spans="1:5">
      <c r="A3062" t="s">
        <v>770</v>
      </c>
      <c r="B3062" t="s">
        <v>2916</v>
      </c>
      <c r="C3062" t="s">
        <v>1374</v>
      </c>
      <c r="D3062" t="s">
        <v>1315</v>
      </c>
      <c r="E3062" s="220">
        <v>5.5799999999999995E-2</v>
      </c>
    </row>
    <row r="3063" spans="1:5">
      <c r="A3063" t="s">
        <v>592</v>
      </c>
      <c r="B3063" t="s">
        <v>2916</v>
      </c>
      <c r="C3063" t="s">
        <v>1374</v>
      </c>
      <c r="D3063" t="s">
        <v>1315</v>
      </c>
      <c r="E3063" s="220">
        <v>5.5799999999999995E-2</v>
      </c>
    </row>
    <row r="3064" spans="1:5">
      <c r="A3064" t="s">
        <v>773</v>
      </c>
      <c r="B3064" t="s">
        <v>2916</v>
      </c>
      <c r="C3064" t="s">
        <v>1374</v>
      </c>
      <c r="D3064" t="s">
        <v>1315</v>
      </c>
      <c r="E3064" s="220">
        <v>5.5799999999999995E-2</v>
      </c>
    </row>
    <row r="3065" spans="1:5">
      <c r="A3065" t="s">
        <v>776</v>
      </c>
      <c r="B3065" t="s">
        <v>2916</v>
      </c>
      <c r="C3065" t="s">
        <v>1374</v>
      </c>
      <c r="D3065" t="s">
        <v>1315</v>
      </c>
      <c r="E3065" s="220">
        <v>5.5799999999999995E-2</v>
      </c>
    </row>
    <row r="3066" spans="1:5">
      <c r="A3066" t="s">
        <v>1154</v>
      </c>
      <c r="B3066" t="s">
        <v>2916</v>
      </c>
      <c r="C3066" t="s">
        <v>1374</v>
      </c>
      <c r="D3066" t="s">
        <v>1315</v>
      </c>
      <c r="E3066" s="220">
        <v>5.5799999999999995E-2</v>
      </c>
    </row>
    <row r="3067" spans="1:5">
      <c r="A3067" t="s">
        <v>788</v>
      </c>
      <c r="B3067" t="s">
        <v>2916</v>
      </c>
      <c r="C3067" t="s">
        <v>1374</v>
      </c>
      <c r="D3067" t="s">
        <v>1315</v>
      </c>
      <c r="E3067" s="220">
        <v>5.5799999999999995E-2</v>
      </c>
    </row>
    <row r="3068" spans="1:5">
      <c r="A3068" t="s">
        <v>805</v>
      </c>
      <c r="B3068" t="s">
        <v>2916</v>
      </c>
      <c r="C3068" t="s">
        <v>1374</v>
      </c>
      <c r="D3068" t="s">
        <v>1315</v>
      </c>
      <c r="E3068" s="220">
        <v>5.5799999999999995E-2</v>
      </c>
    </row>
    <row r="3069" spans="1:5">
      <c r="A3069" t="s">
        <v>808</v>
      </c>
      <c r="B3069" t="s">
        <v>2916</v>
      </c>
      <c r="C3069" t="s">
        <v>1374</v>
      </c>
      <c r="D3069" t="s">
        <v>1315</v>
      </c>
      <c r="E3069" s="220">
        <v>5.6777000000000001E-2</v>
      </c>
    </row>
    <row r="3070" spans="1:5">
      <c r="A3070" t="s">
        <v>1238</v>
      </c>
      <c r="B3070" t="s">
        <v>2916</v>
      </c>
      <c r="C3070" t="s">
        <v>1374</v>
      </c>
      <c r="D3070" t="s">
        <v>1315</v>
      </c>
      <c r="E3070" s="220">
        <v>5.5799999999999995E-2</v>
      </c>
    </row>
    <row r="3071" spans="1:5">
      <c r="A3071" t="s">
        <v>820</v>
      </c>
      <c r="B3071" t="s">
        <v>2916</v>
      </c>
      <c r="C3071" t="s">
        <v>1374</v>
      </c>
      <c r="D3071" t="s">
        <v>1315</v>
      </c>
      <c r="E3071" s="220">
        <v>5.5799999999999995E-2</v>
      </c>
    </row>
    <row r="3072" spans="1:5">
      <c r="A3072" t="s">
        <v>833</v>
      </c>
      <c r="B3072" t="s">
        <v>2916</v>
      </c>
      <c r="C3072" t="s">
        <v>1374</v>
      </c>
      <c r="D3072" t="s">
        <v>1315</v>
      </c>
      <c r="E3072" s="220">
        <v>5.5799999999999995E-2</v>
      </c>
    </row>
    <row r="3073" spans="1:5">
      <c r="A3073" t="s">
        <v>839</v>
      </c>
      <c r="B3073" t="s">
        <v>2916</v>
      </c>
      <c r="C3073" t="s">
        <v>1374</v>
      </c>
      <c r="D3073" t="s">
        <v>1315</v>
      </c>
      <c r="E3073" s="220">
        <v>5.5799999999999995E-2</v>
      </c>
    </row>
    <row r="3074" spans="1:5">
      <c r="A3074" t="s">
        <v>845</v>
      </c>
      <c r="B3074" t="s">
        <v>2916</v>
      </c>
      <c r="C3074" t="s">
        <v>1374</v>
      </c>
      <c r="D3074" t="s">
        <v>1315</v>
      </c>
      <c r="E3074" s="220">
        <v>5.5799999999999995E-2</v>
      </c>
    </row>
    <row r="3075" spans="1:5">
      <c r="A3075" t="s">
        <v>854</v>
      </c>
      <c r="B3075" t="s">
        <v>2916</v>
      </c>
      <c r="C3075" t="s">
        <v>1374</v>
      </c>
      <c r="D3075" t="s">
        <v>1315</v>
      </c>
      <c r="E3075" s="220">
        <v>5.5799999999999995E-2</v>
      </c>
    </row>
    <row r="3076" spans="1:5">
      <c r="A3076" t="s">
        <v>863</v>
      </c>
      <c r="B3076" t="s">
        <v>2916</v>
      </c>
      <c r="C3076" t="s">
        <v>1374</v>
      </c>
      <c r="D3076" t="s">
        <v>1315</v>
      </c>
      <c r="E3076" s="220">
        <v>5.5799999999999995E-2</v>
      </c>
    </row>
    <row r="3077" spans="1:5">
      <c r="A3077" t="s">
        <v>860</v>
      </c>
      <c r="B3077" t="s">
        <v>2916</v>
      </c>
      <c r="C3077" t="s">
        <v>1374</v>
      </c>
      <c r="D3077" t="s">
        <v>1315</v>
      </c>
      <c r="E3077" s="220">
        <v>5.5799999999999995E-2</v>
      </c>
    </row>
    <row r="3078" spans="1:5">
      <c r="A3078" t="s">
        <v>744</v>
      </c>
      <c r="B3078" t="s">
        <v>2916</v>
      </c>
      <c r="C3078" t="s">
        <v>1374</v>
      </c>
      <c r="D3078" t="s">
        <v>1315</v>
      </c>
      <c r="E3078" s="220">
        <v>5.5799999999999995E-2</v>
      </c>
    </row>
    <row r="3079" spans="1:5">
      <c r="A3079" t="s">
        <v>857</v>
      </c>
      <c r="B3079" t="s">
        <v>2916</v>
      </c>
      <c r="C3079" t="s">
        <v>1374</v>
      </c>
      <c r="D3079" t="s">
        <v>1315</v>
      </c>
      <c r="E3079" s="220">
        <v>5.5799999999999995E-2</v>
      </c>
    </row>
    <row r="3080" spans="1:5">
      <c r="A3080" t="s">
        <v>866</v>
      </c>
      <c r="B3080" t="s">
        <v>2916</v>
      </c>
      <c r="C3080" t="s">
        <v>1374</v>
      </c>
      <c r="D3080" t="s">
        <v>1315</v>
      </c>
      <c r="E3080" s="220">
        <v>5.5799999999999995E-2</v>
      </c>
    </row>
    <row r="3081" spans="1:5">
      <c r="A3081" t="s">
        <v>875</v>
      </c>
      <c r="B3081" t="s">
        <v>2916</v>
      </c>
      <c r="C3081" t="s">
        <v>1374</v>
      </c>
      <c r="D3081" t="s">
        <v>1315</v>
      </c>
      <c r="E3081" s="220">
        <v>5.5799999999999995E-2</v>
      </c>
    </row>
    <row r="3082" spans="1:5">
      <c r="A3082" t="s">
        <v>872</v>
      </c>
      <c r="B3082" t="s">
        <v>2916</v>
      </c>
      <c r="C3082" t="s">
        <v>1374</v>
      </c>
      <c r="D3082" t="s">
        <v>1315</v>
      </c>
      <c r="E3082" s="220">
        <v>5.5799999999999995E-2</v>
      </c>
    </row>
    <row r="3083" spans="1:5">
      <c r="A3083" t="s">
        <v>884</v>
      </c>
      <c r="B3083" t="s">
        <v>2916</v>
      </c>
      <c r="C3083" t="s">
        <v>1374</v>
      </c>
      <c r="D3083" t="s">
        <v>1315</v>
      </c>
      <c r="E3083" s="220">
        <v>5.5799999999999995E-2</v>
      </c>
    </row>
    <row r="3084" spans="1:5">
      <c r="A3084" t="s">
        <v>878</v>
      </c>
      <c r="B3084" t="s">
        <v>2916</v>
      </c>
      <c r="C3084" t="s">
        <v>1374</v>
      </c>
      <c r="D3084" t="s">
        <v>1315</v>
      </c>
      <c r="E3084" s="220">
        <v>5.5799999999999995E-2</v>
      </c>
    </row>
    <row r="3085" spans="1:5">
      <c r="A3085" t="s">
        <v>881</v>
      </c>
      <c r="B3085" t="s">
        <v>2916</v>
      </c>
      <c r="C3085" t="s">
        <v>1374</v>
      </c>
      <c r="D3085" t="s">
        <v>1315</v>
      </c>
      <c r="E3085" s="220">
        <v>5.5799999999999995E-2</v>
      </c>
    </row>
    <row r="3086" spans="1:5">
      <c r="A3086" t="s">
        <v>891</v>
      </c>
      <c r="B3086" t="s">
        <v>2916</v>
      </c>
      <c r="C3086" t="s">
        <v>1374</v>
      </c>
      <c r="D3086" t="s">
        <v>1315</v>
      </c>
      <c r="E3086" s="220">
        <v>5.5799999999999995E-2</v>
      </c>
    </row>
    <row r="3087" spans="1:5">
      <c r="A3087" t="s">
        <v>894</v>
      </c>
      <c r="B3087" t="s">
        <v>2916</v>
      </c>
      <c r="C3087" t="s">
        <v>1374</v>
      </c>
      <c r="D3087" t="s">
        <v>1315</v>
      </c>
      <c r="E3087" s="220">
        <v>5.5799999999999995E-2</v>
      </c>
    </row>
    <row r="3088" spans="1:5">
      <c r="A3088" t="s">
        <v>897</v>
      </c>
      <c r="B3088" t="s">
        <v>2916</v>
      </c>
      <c r="C3088" t="s">
        <v>1374</v>
      </c>
      <c r="D3088" t="s">
        <v>1315</v>
      </c>
      <c r="E3088" s="220">
        <v>5.5799999999999995E-2</v>
      </c>
    </row>
    <row r="3089" spans="1:5">
      <c r="A3089" t="s">
        <v>903</v>
      </c>
      <c r="B3089" t="s">
        <v>2916</v>
      </c>
      <c r="C3089" t="s">
        <v>1374</v>
      </c>
      <c r="D3089" t="s">
        <v>1315</v>
      </c>
      <c r="E3089" s="220">
        <v>5.5799999999999995E-2</v>
      </c>
    </row>
    <row r="3090" spans="1:5">
      <c r="A3090" t="s">
        <v>900</v>
      </c>
      <c r="B3090" t="s">
        <v>2916</v>
      </c>
      <c r="C3090" t="s">
        <v>1374</v>
      </c>
      <c r="D3090" t="s">
        <v>1315</v>
      </c>
      <c r="E3090" s="220">
        <v>5.5799999999999995E-2</v>
      </c>
    </row>
    <row r="3091" spans="1:5">
      <c r="A3091" t="s">
        <v>906</v>
      </c>
      <c r="B3091" t="s">
        <v>2916</v>
      </c>
      <c r="C3091" t="s">
        <v>1374</v>
      </c>
      <c r="D3091" t="s">
        <v>1315</v>
      </c>
      <c r="E3091" s="220">
        <v>5.5799999999999995E-2</v>
      </c>
    </row>
    <row r="3092" spans="1:5">
      <c r="A3092" t="s">
        <v>930</v>
      </c>
      <c r="B3092" t="s">
        <v>2916</v>
      </c>
      <c r="C3092" t="s">
        <v>1374</v>
      </c>
      <c r="D3092" t="s">
        <v>1315</v>
      </c>
      <c r="E3092" s="220">
        <v>5.5799999999999995E-2</v>
      </c>
    </row>
    <row r="3093" spans="1:5">
      <c r="A3093" t="s">
        <v>1160</v>
      </c>
      <c r="B3093" t="s">
        <v>2916</v>
      </c>
      <c r="C3093" t="s">
        <v>1374</v>
      </c>
      <c r="D3093" t="s">
        <v>1315</v>
      </c>
      <c r="E3093" s="220">
        <v>5.5799999999999995E-2</v>
      </c>
    </row>
    <row r="3094" spans="1:5">
      <c r="A3094" t="s">
        <v>915</v>
      </c>
      <c r="B3094" t="s">
        <v>2916</v>
      </c>
      <c r="C3094" t="s">
        <v>1374</v>
      </c>
      <c r="D3094" t="s">
        <v>1315</v>
      </c>
      <c r="E3094" s="220">
        <v>5.5799999999999995E-2</v>
      </c>
    </row>
    <row r="3095" spans="1:5">
      <c r="A3095" t="s">
        <v>927</v>
      </c>
      <c r="B3095" t="s">
        <v>2916</v>
      </c>
      <c r="C3095" t="s">
        <v>1374</v>
      </c>
      <c r="D3095" t="s">
        <v>1315</v>
      </c>
      <c r="E3095" s="220">
        <v>5.5799999999999995E-2</v>
      </c>
    </row>
    <row r="3096" spans="1:5">
      <c r="A3096" t="s">
        <v>933</v>
      </c>
      <c r="B3096" t="s">
        <v>2916</v>
      </c>
      <c r="C3096" t="s">
        <v>1374</v>
      </c>
      <c r="D3096" t="s">
        <v>1315</v>
      </c>
      <c r="E3096" s="220">
        <v>5.5799999999999995E-2</v>
      </c>
    </row>
    <row r="3097" spans="1:5">
      <c r="A3097" t="s">
        <v>939</v>
      </c>
      <c r="B3097" t="s">
        <v>2916</v>
      </c>
      <c r="C3097" t="s">
        <v>1374</v>
      </c>
      <c r="D3097" t="s">
        <v>1315</v>
      </c>
      <c r="E3097" s="220">
        <v>5.5799999999999995E-2</v>
      </c>
    </row>
    <row r="3098" spans="1:5">
      <c r="A3098" t="s">
        <v>1163</v>
      </c>
      <c r="B3098" t="s">
        <v>2916</v>
      </c>
      <c r="C3098" t="s">
        <v>1374</v>
      </c>
      <c r="D3098" t="s">
        <v>1315</v>
      </c>
      <c r="E3098" s="220">
        <v>5.5799999999999995E-2</v>
      </c>
    </row>
    <row r="3099" spans="1:5">
      <c r="A3099" t="s">
        <v>954</v>
      </c>
      <c r="B3099" t="s">
        <v>2916</v>
      </c>
      <c r="C3099" t="s">
        <v>1374</v>
      </c>
      <c r="D3099" t="s">
        <v>1315</v>
      </c>
      <c r="E3099" s="220">
        <v>5.5799999999999995E-2</v>
      </c>
    </row>
    <row r="3100" spans="1:5">
      <c r="A3100" t="s">
        <v>957</v>
      </c>
      <c r="B3100" t="s">
        <v>2916</v>
      </c>
      <c r="C3100" t="s">
        <v>1374</v>
      </c>
      <c r="D3100" t="s">
        <v>1315</v>
      </c>
      <c r="E3100" s="220">
        <v>5.5799999999999995E-2</v>
      </c>
    </row>
    <row r="3101" spans="1:5">
      <c r="A3101" t="s">
        <v>936</v>
      </c>
      <c r="B3101" t="s">
        <v>2916</v>
      </c>
      <c r="C3101" t="s">
        <v>1374</v>
      </c>
      <c r="D3101" t="s">
        <v>1315</v>
      </c>
      <c r="E3101" s="220">
        <v>5.5799999999999995E-2</v>
      </c>
    </row>
    <row r="3102" spans="1:5">
      <c r="A3102" t="s">
        <v>1014</v>
      </c>
      <c r="B3102" t="s">
        <v>2916</v>
      </c>
      <c r="C3102" t="s">
        <v>1374</v>
      </c>
      <c r="D3102" t="s">
        <v>1315</v>
      </c>
      <c r="E3102" s="220">
        <v>5.5799999999999995E-2</v>
      </c>
    </row>
    <row r="3103" spans="1:5">
      <c r="A3103" t="s">
        <v>999</v>
      </c>
      <c r="B3103" t="s">
        <v>2916</v>
      </c>
      <c r="C3103" t="s">
        <v>1374</v>
      </c>
      <c r="D3103" t="s">
        <v>1315</v>
      </c>
      <c r="E3103" s="220">
        <v>5.5799999999999995E-2</v>
      </c>
    </row>
    <row r="3104" spans="1:5">
      <c r="A3104" t="s">
        <v>993</v>
      </c>
      <c r="B3104" t="s">
        <v>2916</v>
      </c>
      <c r="C3104" t="s">
        <v>1374</v>
      </c>
      <c r="D3104" t="s">
        <v>1315</v>
      </c>
      <c r="E3104" s="220">
        <v>5.5799999999999995E-2</v>
      </c>
    </row>
    <row r="3105" spans="1:5">
      <c r="A3105" t="s">
        <v>963</v>
      </c>
      <c r="B3105" t="s">
        <v>2916</v>
      </c>
      <c r="C3105" t="s">
        <v>1374</v>
      </c>
      <c r="D3105" t="s">
        <v>1315</v>
      </c>
      <c r="E3105" s="220">
        <v>5.5799999999999995E-2</v>
      </c>
    </row>
    <row r="3106" spans="1:5">
      <c r="A3106" t="s">
        <v>981</v>
      </c>
      <c r="B3106" t="s">
        <v>2916</v>
      </c>
      <c r="C3106" t="s">
        <v>1374</v>
      </c>
      <c r="D3106" t="s">
        <v>1315</v>
      </c>
      <c r="E3106" s="220">
        <v>5.5799999999999995E-2</v>
      </c>
    </row>
    <row r="3107" spans="1:5">
      <c r="A3107" t="s">
        <v>1020</v>
      </c>
      <c r="B3107" t="s">
        <v>2916</v>
      </c>
      <c r="C3107" t="s">
        <v>1374</v>
      </c>
      <c r="D3107" t="s">
        <v>1315</v>
      </c>
      <c r="E3107" s="220">
        <v>5.5799999999999995E-2</v>
      </c>
    </row>
    <row r="3108" spans="1:5">
      <c r="A3108" t="s">
        <v>972</v>
      </c>
      <c r="B3108" t="s">
        <v>2916</v>
      </c>
      <c r="C3108" t="s">
        <v>1374</v>
      </c>
      <c r="D3108" t="s">
        <v>1315</v>
      </c>
      <c r="E3108" s="220">
        <v>5.5799999999999995E-2</v>
      </c>
    </row>
    <row r="3109" spans="1:5">
      <c r="A3109" t="s">
        <v>1042</v>
      </c>
      <c r="B3109" t="s">
        <v>2916</v>
      </c>
      <c r="C3109" t="s">
        <v>1374</v>
      </c>
      <c r="D3109" t="s">
        <v>1315</v>
      </c>
      <c r="E3109" s="220">
        <v>5.5799999999999995E-2</v>
      </c>
    </row>
    <row r="3110" spans="1:5">
      <c r="A3110" t="s">
        <v>1032</v>
      </c>
      <c r="B3110" t="s">
        <v>2916</v>
      </c>
      <c r="C3110" t="s">
        <v>1374</v>
      </c>
      <c r="D3110" t="s">
        <v>1315</v>
      </c>
      <c r="E3110" s="220">
        <v>5.5799999999999995E-2</v>
      </c>
    </row>
    <row r="3111" spans="1:5">
      <c r="A3111" t="s">
        <v>1055</v>
      </c>
      <c r="B3111" t="s">
        <v>2916</v>
      </c>
      <c r="C3111" t="s">
        <v>1374</v>
      </c>
      <c r="D3111" t="s">
        <v>1315</v>
      </c>
      <c r="E3111" s="220">
        <v>5.5799999999999995E-2</v>
      </c>
    </row>
    <row r="3112" spans="1:5">
      <c r="A3112" t="s">
        <v>1039</v>
      </c>
      <c r="B3112" t="s">
        <v>2916</v>
      </c>
      <c r="C3112" t="s">
        <v>1374</v>
      </c>
      <c r="D3112" t="s">
        <v>1315</v>
      </c>
      <c r="E3112" s="220">
        <v>5.5799999999999995E-2</v>
      </c>
    </row>
    <row r="3113" spans="1:5">
      <c r="A3113" t="s">
        <v>1058</v>
      </c>
      <c r="B3113" t="s">
        <v>2916</v>
      </c>
      <c r="C3113" t="s">
        <v>1374</v>
      </c>
      <c r="D3113" t="s">
        <v>1315</v>
      </c>
      <c r="E3113" s="220">
        <v>5.5799999999999995E-2</v>
      </c>
    </row>
    <row r="3114" spans="1:5">
      <c r="A3114" t="s">
        <v>1061</v>
      </c>
      <c r="B3114" t="s">
        <v>2916</v>
      </c>
      <c r="C3114" t="s">
        <v>1374</v>
      </c>
      <c r="D3114" t="s">
        <v>1315</v>
      </c>
      <c r="E3114" s="220">
        <v>5.5799999999999995E-2</v>
      </c>
    </row>
    <row r="3115" spans="1:5">
      <c r="A3115" t="s">
        <v>1067</v>
      </c>
      <c r="B3115" t="s">
        <v>2916</v>
      </c>
      <c r="C3115" t="s">
        <v>1374</v>
      </c>
      <c r="D3115" t="s">
        <v>1315</v>
      </c>
      <c r="E3115" s="220">
        <v>5.5799999999999995E-2</v>
      </c>
    </row>
    <row r="3116" spans="1:5">
      <c r="A3116" t="s">
        <v>1076</v>
      </c>
      <c r="B3116" t="s">
        <v>2916</v>
      </c>
      <c r="C3116" t="s">
        <v>1374</v>
      </c>
      <c r="D3116" t="s">
        <v>1315</v>
      </c>
      <c r="E3116" s="220">
        <v>5.5799999999999995E-2</v>
      </c>
    </row>
    <row r="3117" spans="1:5">
      <c r="A3117" t="s">
        <v>1079</v>
      </c>
      <c r="B3117" t="s">
        <v>2916</v>
      </c>
      <c r="C3117" t="s">
        <v>1374</v>
      </c>
      <c r="D3117" t="s">
        <v>1315</v>
      </c>
      <c r="E3117" s="220">
        <v>5.5799999999999995E-2</v>
      </c>
    </row>
    <row r="3118" spans="1:5">
      <c r="A3118" t="s">
        <v>1082</v>
      </c>
      <c r="B3118" t="s">
        <v>2916</v>
      </c>
      <c r="C3118" t="s">
        <v>1374</v>
      </c>
      <c r="D3118" t="s">
        <v>1315</v>
      </c>
      <c r="E3118" s="220">
        <v>5.5799999999999995E-2</v>
      </c>
    </row>
    <row r="3119" spans="1:5">
      <c r="A3119" t="s">
        <v>919</v>
      </c>
      <c r="B3119" t="s">
        <v>2916</v>
      </c>
      <c r="C3119" t="s">
        <v>1374</v>
      </c>
      <c r="D3119" t="s">
        <v>1315</v>
      </c>
      <c r="E3119" s="220">
        <v>5.5799999999999995E-2</v>
      </c>
    </row>
    <row r="3120" spans="1:5">
      <c r="A3120" t="s">
        <v>1085</v>
      </c>
      <c r="B3120" t="s">
        <v>2916</v>
      </c>
      <c r="C3120" t="s">
        <v>1374</v>
      </c>
      <c r="D3120" t="s">
        <v>1315</v>
      </c>
      <c r="E3120" s="220">
        <v>5.5799999999999995E-2</v>
      </c>
    </row>
    <row r="3121" spans="1:5">
      <c r="A3121" t="s">
        <v>1264</v>
      </c>
      <c r="B3121" t="s">
        <v>2916</v>
      </c>
      <c r="C3121" t="s">
        <v>1374</v>
      </c>
      <c r="D3121" t="s">
        <v>1315</v>
      </c>
      <c r="E3121" s="220">
        <v>5.5799999999999995E-2</v>
      </c>
    </row>
    <row r="3122" spans="1:5">
      <c r="A3122" t="s">
        <v>1091</v>
      </c>
      <c r="B3122" t="s">
        <v>2916</v>
      </c>
      <c r="C3122" t="s">
        <v>1374</v>
      </c>
      <c r="D3122" t="s">
        <v>1315</v>
      </c>
      <c r="E3122" s="220">
        <v>5.5799999999999995E-2</v>
      </c>
    </row>
    <row r="3123" spans="1:5">
      <c r="A3123" t="s">
        <v>1094</v>
      </c>
      <c r="B3123" t="s">
        <v>2916</v>
      </c>
      <c r="C3123" t="s">
        <v>1374</v>
      </c>
      <c r="D3123" t="s">
        <v>1315</v>
      </c>
      <c r="E3123" s="220">
        <v>5.5799999999999995E-2</v>
      </c>
    </row>
    <row r="3124" spans="1:5">
      <c r="A3124" t="s">
        <v>1097</v>
      </c>
      <c r="B3124" t="s">
        <v>2916</v>
      </c>
      <c r="C3124" t="s">
        <v>1374</v>
      </c>
      <c r="D3124" t="s">
        <v>1315</v>
      </c>
      <c r="E3124" s="220">
        <v>5.5799999999999995E-2</v>
      </c>
    </row>
    <row r="3125" spans="1:5">
      <c r="A3125" t="s">
        <v>1113</v>
      </c>
      <c r="B3125" t="s">
        <v>2916</v>
      </c>
      <c r="C3125" t="s">
        <v>1374</v>
      </c>
      <c r="D3125" t="s">
        <v>1315</v>
      </c>
      <c r="E3125" s="220">
        <v>5.5799999999999995E-2</v>
      </c>
    </row>
    <row r="3126" spans="1:5">
      <c r="A3126" t="s">
        <v>1173</v>
      </c>
      <c r="B3126" t="s">
        <v>2916</v>
      </c>
      <c r="C3126" t="s">
        <v>1374</v>
      </c>
      <c r="D3126" t="s">
        <v>1315</v>
      </c>
      <c r="E3126" s="220">
        <v>5.5799999999999995E-2</v>
      </c>
    </row>
    <row r="3127" spans="1:5">
      <c r="A3127" t="s">
        <v>1128</v>
      </c>
      <c r="B3127" t="s">
        <v>2916</v>
      </c>
      <c r="C3127" t="s">
        <v>1374</v>
      </c>
      <c r="D3127" t="s">
        <v>1315</v>
      </c>
      <c r="E3127" s="220">
        <v>5.5799999999999995E-2</v>
      </c>
    </row>
    <row r="3128" spans="1:5">
      <c r="A3128" t="s">
        <v>779</v>
      </c>
      <c r="B3128" t="s">
        <v>2916</v>
      </c>
      <c r="C3128" t="s">
        <v>1374</v>
      </c>
      <c r="D3128" t="s">
        <v>1315</v>
      </c>
      <c r="E3128" s="220">
        <v>5.5799999999999995E-2</v>
      </c>
    </row>
    <row r="3129" spans="1:5">
      <c r="A3129" t="s">
        <v>1119</v>
      </c>
      <c r="B3129" t="s">
        <v>2916</v>
      </c>
      <c r="C3129" t="s">
        <v>1374</v>
      </c>
      <c r="D3129" t="s">
        <v>1315</v>
      </c>
      <c r="E3129" s="220">
        <v>5.5799999999999995E-2</v>
      </c>
    </row>
    <row r="3130" spans="1:5">
      <c r="A3130" t="s">
        <v>1176</v>
      </c>
      <c r="B3130" t="s">
        <v>2916</v>
      </c>
      <c r="C3130" t="s">
        <v>1374</v>
      </c>
      <c r="D3130" t="s">
        <v>1315</v>
      </c>
      <c r="E3130" s="220">
        <v>5.5799999999999995E-2</v>
      </c>
    </row>
    <row r="3131" spans="1:5">
      <c r="A3131" t="s">
        <v>1135</v>
      </c>
      <c r="B3131" t="s">
        <v>2916</v>
      </c>
      <c r="C3131" t="s">
        <v>1374</v>
      </c>
      <c r="D3131" t="s">
        <v>1315</v>
      </c>
      <c r="E3131" s="220">
        <v>5.5799999999999995E-2</v>
      </c>
    </row>
    <row r="3132" spans="1:5">
      <c r="A3132" t="s">
        <v>1139</v>
      </c>
      <c r="B3132" t="s">
        <v>2916</v>
      </c>
      <c r="C3132" t="s">
        <v>1374</v>
      </c>
      <c r="D3132" t="s">
        <v>1315</v>
      </c>
      <c r="E3132" s="220">
        <v>5.5799999999999995E-2</v>
      </c>
    </row>
    <row r="3133" spans="1:5">
      <c r="A3133" t="s">
        <v>1179</v>
      </c>
      <c r="B3133" t="s">
        <v>2916</v>
      </c>
      <c r="C3133" t="s">
        <v>1374</v>
      </c>
      <c r="D3133" t="s">
        <v>1315</v>
      </c>
      <c r="E3133" s="220">
        <v>5.5799999999999995E-2</v>
      </c>
    </row>
    <row r="3134" spans="1:5">
      <c r="A3134" t="s">
        <v>1185</v>
      </c>
      <c r="B3134" t="s">
        <v>2916</v>
      </c>
      <c r="C3134" t="s">
        <v>1374</v>
      </c>
      <c r="D3134" t="s">
        <v>1315</v>
      </c>
      <c r="E3134" s="220">
        <v>5.5799999999999995E-2</v>
      </c>
    </row>
    <row r="3135" spans="1:5">
      <c r="A3135" t="s">
        <v>1198</v>
      </c>
      <c r="B3135" t="s">
        <v>2916</v>
      </c>
      <c r="C3135" t="s">
        <v>1374</v>
      </c>
      <c r="D3135" t="s">
        <v>1315</v>
      </c>
      <c r="E3135" s="220">
        <v>5.5799999999999995E-2</v>
      </c>
    </row>
    <row r="3136" spans="1:5">
      <c r="A3136" t="s">
        <v>1192</v>
      </c>
      <c r="B3136" t="s">
        <v>2916</v>
      </c>
      <c r="C3136" t="s">
        <v>1374</v>
      </c>
      <c r="D3136" t="s">
        <v>1315</v>
      </c>
      <c r="E3136" s="220">
        <v>5.5799999999999995E-2</v>
      </c>
    </row>
    <row r="3137" spans="1:5">
      <c r="A3137" t="s">
        <v>1219</v>
      </c>
      <c r="B3137" t="s">
        <v>2916</v>
      </c>
      <c r="C3137" t="s">
        <v>1374</v>
      </c>
      <c r="D3137" t="s">
        <v>1315</v>
      </c>
      <c r="E3137" s="220">
        <v>5.5799999999999995E-2</v>
      </c>
    </row>
    <row r="3138" spans="1:5">
      <c r="A3138" t="s">
        <v>1210</v>
      </c>
      <c r="B3138" t="s">
        <v>2916</v>
      </c>
      <c r="C3138" t="s">
        <v>1374</v>
      </c>
      <c r="D3138" t="s">
        <v>1315</v>
      </c>
      <c r="E3138" s="220">
        <v>5.5799999999999995E-2</v>
      </c>
    </row>
    <row r="3139" spans="1:5">
      <c r="A3139" t="s">
        <v>1213</v>
      </c>
      <c r="B3139" t="s">
        <v>2916</v>
      </c>
      <c r="C3139" t="s">
        <v>1374</v>
      </c>
      <c r="D3139" t="s">
        <v>1315</v>
      </c>
      <c r="E3139" s="220">
        <v>5.5799999999999995E-2</v>
      </c>
    </row>
    <row r="3140" spans="1:5">
      <c r="A3140" t="s">
        <v>1216</v>
      </c>
      <c r="B3140" t="s">
        <v>2916</v>
      </c>
      <c r="C3140" t="s">
        <v>1374</v>
      </c>
      <c r="D3140" t="s">
        <v>1315</v>
      </c>
      <c r="E3140" s="220">
        <v>5.5799999999999995E-2</v>
      </c>
    </row>
    <row r="3141" spans="1:5">
      <c r="A3141" t="s">
        <v>1189</v>
      </c>
      <c r="B3141" t="s">
        <v>2916</v>
      </c>
      <c r="C3141" t="s">
        <v>1374</v>
      </c>
      <c r="D3141" t="s">
        <v>1315</v>
      </c>
      <c r="E3141" s="220">
        <v>5.5799999999999995E-2</v>
      </c>
    </row>
    <row r="3142" spans="1:5">
      <c r="A3142" t="s">
        <v>1232</v>
      </c>
      <c r="B3142" t="s">
        <v>2916</v>
      </c>
      <c r="C3142" t="s">
        <v>1374</v>
      </c>
      <c r="D3142" t="s">
        <v>1315</v>
      </c>
      <c r="E3142" s="220">
        <v>5.5799999999999995E-2</v>
      </c>
    </row>
    <row r="3143" spans="1:5">
      <c r="A3143" t="s">
        <v>1244</v>
      </c>
      <c r="B3143" t="s">
        <v>2916</v>
      </c>
      <c r="C3143" t="s">
        <v>1374</v>
      </c>
      <c r="D3143" t="s">
        <v>1315</v>
      </c>
      <c r="E3143" s="220">
        <v>5.5799999999999995E-2</v>
      </c>
    </row>
    <row r="3144" spans="1:5">
      <c r="A3144" t="s">
        <v>1241</v>
      </c>
      <c r="B3144" t="s">
        <v>2916</v>
      </c>
      <c r="C3144" t="s">
        <v>1374</v>
      </c>
      <c r="D3144" t="s">
        <v>1315</v>
      </c>
      <c r="E3144" s="220">
        <v>5.5799999999999995E-2</v>
      </c>
    </row>
    <row r="3145" spans="1:5">
      <c r="A3145" t="s">
        <v>1247</v>
      </c>
      <c r="B3145" t="s">
        <v>2916</v>
      </c>
      <c r="C3145" t="s">
        <v>1374</v>
      </c>
      <c r="D3145" t="s">
        <v>1315</v>
      </c>
      <c r="E3145" s="220">
        <v>5.5799999999999995E-2</v>
      </c>
    </row>
    <row r="3146" spans="1:5">
      <c r="A3146" t="s">
        <v>1170</v>
      </c>
      <c r="B3146" t="s">
        <v>2916</v>
      </c>
      <c r="C3146" t="s">
        <v>1374</v>
      </c>
      <c r="D3146" t="s">
        <v>1315</v>
      </c>
      <c r="E3146" s="220">
        <v>5.5799999999999995E-2</v>
      </c>
    </row>
    <row r="3147" spans="1:5">
      <c r="A3147" t="s">
        <v>1253</v>
      </c>
      <c r="B3147" t="s">
        <v>2916</v>
      </c>
      <c r="C3147" t="s">
        <v>1374</v>
      </c>
      <c r="D3147" t="s">
        <v>1315</v>
      </c>
      <c r="E3147" s="220">
        <v>5.5799999999999995E-2</v>
      </c>
    </row>
    <row r="3148" spans="1:5">
      <c r="A3148" t="s">
        <v>1257</v>
      </c>
      <c r="B3148" t="s">
        <v>2916</v>
      </c>
      <c r="C3148" t="s">
        <v>1374</v>
      </c>
      <c r="D3148" t="s">
        <v>1315</v>
      </c>
      <c r="E3148" s="220">
        <v>5.5799999999999995E-2</v>
      </c>
    </row>
    <row r="3149" spans="1:5">
      <c r="A3149" t="s">
        <v>1268</v>
      </c>
      <c r="B3149" t="s">
        <v>2916</v>
      </c>
      <c r="C3149" t="s">
        <v>1374</v>
      </c>
      <c r="D3149" t="s">
        <v>1315</v>
      </c>
      <c r="E3149" s="220">
        <v>5.5799999999999995E-2</v>
      </c>
    </row>
    <row r="3150" spans="1:5">
      <c r="A3150" t="s">
        <v>1148</v>
      </c>
      <c r="B3150" t="s">
        <v>2916</v>
      </c>
      <c r="C3150" t="s">
        <v>1374</v>
      </c>
      <c r="D3150" t="s">
        <v>1315</v>
      </c>
      <c r="E3150" s="220">
        <v>5.5799999999999995E-2</v>
      </c>
    </row>
    <row r="3151" spans="1:5">
      <c r="A3151" t="s">
        <v>580</v>
      </c>
      <c r="B3151" t="s">
        <v>2916</v>
      </c>
      <c r="C3151" t="s">
        <v>1374</v>
      </c>
      <c r="D3151" t="s">
        <v>1319</v>
      </c>
      <c r="E3151" s="220">
        <v>7.6700000000000004E-2</v>
      </c>
    </row>
    <row r="3152" spans="1:5">
      <c r="A3152" t="s">
        <v>587</v>
      </c>
      <c r="B3152" t="s">
        <v>2916</v>
      </c>
      <c r="C3152" t="s">
        <v>1374</v>
      </c>
      <c r="D3152" t="s">
        <v>1319</v>
      </c>
      <c r="E3152" s="220">
        <v>7.6700000000000004E-2</v>
      </c>
    </row>
    <row r="3153" spans="1:5">
      <c r="A3153" t="s">
        <v>1235</v>
      </c>
      <c r="B3153" t="s">
        <v>2916</v>
      </c>
      <c r="C3153" t="s">
        <v>1374</v>
      </c>
      <c r="D3153" t="s">
        <v>1319</v>
      </c>
      <c r="E3153" s="220">
        <v>7.6700000000000004E-2</v>
      </c>
    </row>
    <row r="3154" spans="1:5">
      <c r="A3154" t="s">
        <v>617</v>
      </c>
      <c r="B3154" t="s">
        <v>2916</v>
      </c>
      <c r="C3154" t="s">
        <v>1374</v>
      </c>
      <c r="D3154" t="s">
        <v>1319</v>
      </c>
      <c r="E3154" s="220">
        <v>7.6700000000000004E-2</v>
      </c>
    </row>
    <row r="3155" spans="1:5">
      <c r="A3155" t="s">
        <v>614</v>
      </c>
      <c r="B3155" t="s">
        <v>2916</v>
      </c>
      <c r="C3155" t="s">
        <v>1374</v>
      </c>
      <c r="D3155" t="s">
        <v>1319</v>
      </c>
      <c r="E3155" s="220">
        <v>7.6700000000000004E-2</v>
      </c>
    </row>
    <row r="3156" spans="1:5">
      <c r="A3156" t="s">
        <v>626</v>
      </c>
      <c r="B3156" t="s">
        <v>2916</v>
      </c>
      <c r="C3156" t="s">
        <v>1374</v>
      </c>
      <c r="D3156" t="s">
        <v>1319</v>
      </c>
      <c r="E3156" s="220">
        <v>7.6700000000000004E-2</v>
      </c>
    </row>
    <row r="3157" spans="1:5">
      <c r="A3157" t="s">
        <v>629</v>
      </c>
      <c r="B3157" t="s">
        <v>2916</v>
      </c>
      <c r="C3157" t="s">
        <v>1374</v>
      </c>
      <c r="D3157" t="s">
        <v>1319</v>
      </c>
      <c r="E3157" s="220">
        <v>7.6700000000000004E-2</v>
      </c>
    </row>
    <row r="3158" spans="1:5">
      <c r="A3158" t="s">
        <v>632</v>
      </c>
      <c r="B3158" t="s">
        <v>2916</v>
      </c>
      <c r="C3158" t="s">
        <v>1374</v>
      </c>
      <c r="D3158" t="s">
        <v>1319</v>
      </c>
      <c r="E3158" s="220">
        <v>7.6700000000000004E-2</v>
      </c>
    </row>
    <row r="3159" spans="1:5">
      <c r="A3159" t="s">
        <v>650</v>
      </c>
      <c r="B3159" t="s">
        <v>2916</v>
      </c>
      <c r="C3159" t="s">
        <v>1374</v>
      </c>
      <c r="D3159" t="s">
        <v>1319</v>
      </c>
      <c r="E3159" s="220">
        <v>7.6700000000000004E-2</v>
      </c>
    </row>
    <row r="3160" spans="1:5">
      <c r="A3160" t="s">
        <v>641</v>
      </c>
      <c r="B3160" t="s">
        <v>2916</v>
      </c>
      <c r="C3160" t="s">
        <v>1374</v>
      </c>
      <c r="D3160" t="s">
        <v>1319</v>
      </c>
      <c r="E3160" s="220">
        <v>7.6700000000000004E-2</v>
      </c>
    </row>
    <row r="3161" spans="1:5">
      <c r="A3161" t="s">
        <v>687</v>
      </c>
      <c r="B3161" t="s">
        <v>2916</v>
      </c>
      <c r="C3161" t="s">
        <v>1374</v>
      </c>
      <c r="D3161" t="s">
        <v>1319</v>
      </c>
      <c r="E3161" s="220">
        <v>7.6700000000000004E-2</v>
      </c>
    </row>
    <row r="3162" spans="1:5">
      <c r="A3162" t="s">
        <v>638</v>
      </c>
      <c r="B3162" t="s">
        <v>2916</v>
      </c>
      <c r="C3162" t="s">
        <v>1374</v>
      </c>
      <c r="D3162" t="s">
        <v>1319</v>
      </c>
      <c r="E3162" s="220">
        <v>7.6700000000000004E-2</v>
      </c>
    </row>
    <row r="3163" spans="1:5">
      <c r="A3163" t="s">
        <v>635</v>
      </c>
      <c r="B3163" t="s">
        <v>2916</v>
      </c>
      <c r="C3163" t="s">
        <v>1374</v>
      </c>
      <c r="D3163" t="s">
        <v>1319</v>
      </c>
      <c r="E3163" s="220">
        <v>7.6700000000000004E-2</v>
      </c>
    </row>
    <row r="3164" spans="1:5">
      <c r="A3164" t="s">
        <v>670</v>
      </c>
      <c r="B3164" t="s">
        <v>2916</v>
      </c>
      <c r="C3164" t="s">
        <v>1374</v>
      </c>
      <c r="D3164" t="s">
        <v>1319</v>
      </c>
      <c r="E3164" s="220">
        <v>7.6700000000000004E-2</v>
      </c>
    </row>
    <row r="3165" spans="1:5">
      <c r="A3165" t="s">
        <v>647</v>
      </c>
      <c r="B3165" t="s">
        <v>2916</v>
      </c>
      <c r="C3165" t="s">
        <v>1374</v>
      </c>
      <c r="D3165" t="s">
        <v>1319</v>
      </c>
      <c r="E3165" s="220">
        <v>7.6700000000000004E-2</v>
      </c>
    </row>
    <row r="3166" spans="1:5">
      <c r="A3166" t="s">
        <v>653</v>
      </c>
      <c r="B3166" t="s">
        <v>2916</v>
      </c>
      <c r="C3166" t="s">
        <v>1374</v>
      </c>
      <c r="D3166" t="s">
        <v>1319</v>
      </c>
      <c r="E3166" s="220">
        <v>7.6700000000000004E-2</v>
      </c>
    </row>
    <row r="3167" spans="1:5">
      <c r="A3167" t="s">
        <v>659</v>
      </c>
      <c r="B3167" t="s">
        <v>2916</v>
      </c>
      <c r="C3167" t="s">
        <v>1374</v>
      </c>
      <c r="D3167" t="s">
        <v>1319</v>
      </c>
      <c r="E3167" s="220">
        <v>7.6700000000000004E-2</v>
      </c>
    </row>
    <row r="3168" spans="1:5">
      <c r="A3168" t="s">
        <v>667</v>
      </c>
      <c r="B3168" t="s">
        <v>2916</v>
      </c>
      <c r="C3168" t="s">
        <v>1374</v>
      </c>
      <c r="D3168" t="s">
        <v>1319</v>
      </c>
      <c r="E3168" s="220">
        <v>7.6700000000000004E-2</v>
      </c>
    </row>
    <row r="3169" spans="1:5">
      <c r="A3169" t="s">
        <v>676</v>
      </c>
      <c r="B3169" t="s">
        <v>2916</v>
      </c>
      <c r="C3169" t="s">
        <v>1374</v>
      </c>
      <c r="D3169" t="s">
        <v>1319</v>
      </c>
      <c r="E3169" s="220">
        <v>7.6700000000000004E-2</v>
      </c>
    </row>
    <row r="3170" spans="1:5">
      <c r="A3170" t="s">
        <v>644</v>
      </c>
      <c r="B3170" t="s">
        <v>2916</v>
      </c>
      <c r="C3170" t="s">
        <v>1374</v>
      </c>
      <c r="D3170" t="s">
        <v>1319</v>
      </c>
      <c r="E3170" s="220">
        <v>7.6700000000000004E-2</v>
      </c>
    </row>
    <row r="3171" spans="1:5">
      <c r="A3171" t="s">
        <v>664</v>
      </c>
      <c r="B3171" t="s">
        <v>2916</v>
      </c>
      <c r="C3171" t="s">
        <v>1374</v>
      </c>
      <c r="D3171" t="s">
        <v>1319</v>
      </c>
      <c r="E3171" s="220">
        <v>7.6700000000000004E-2</v>
      </c>
    </row>
    <row r="3172" spans="1:5">
      <c r="A3172" t="s">
        <v>705</v>
      </c>
      <c r="B3172" t="s">
        <v>2916</v>
      </c>
      <c r="C3172" t="s">
        <v>1374</v>
      </c>
      <c r="D3172" t="s">
        <v>1319</v>
      </c>
      <c r="E3172" s="220">
        <v>7.6700000000000004E-2</v>
      </c>
    </row>
    <row r="3173" spans="1:5">
      <c r="A3173" t="s">
        <v>1182</v>
      </c>
      <c r="B3173" t="s">
        <v>2916</v>
      </c>
      <c r="C3173" t="s">
        <v>1374</v>
      </c>
      <c r="D3173" t="s">
        <v>1319</v>
      </c>
      <c r="E3173" s="220">
        <v>7.6700000000000004E-2</v>
      </c>
    </row>
    <row r="3174" spans="1:5">
      <c r="A3174" t="s">
        <v>720</v>
      </c>
      <c r="B3174" t="s">
        <v>2916</v>
      </c>
      <c r="C3174" t="s">
        <v>1374</v>
      </c>
      <c r="D3174" t="s">
        <v>1319</v>
      </c>
      <c r="E3174" s="220">
        <v>7.6700000000000004E-2</v>
      </c>
    </row>
    <row r="3175" spans="1:5">
      <c r="A3175" t="s">
        <v>723</v>
      </c>
      <c r="B3175" t="s">
        <v>2916</v>
      </c>
      <c r="C3175" t="s">
        <v>1374</v>
      </c>
      <c r="D3175" t="s">
        <v>1319</v>
      </c>
      <c r="E3175" s="220">
        <v>7.6700000000000004E-2</v>
      </c>
    </row>
    <row r="3176" spans="1:5">
      <c r="A3176" t="s">
        <v>726</v>
      </c>
      <c r="B3176" t="s">
        <v>2916</v>
      </c>
      <c r="C3176" t="s">
        <v>1374</v>
      </c>
      <c r="D3176" t="s">
        <v>1319</v>
      </c>
      <c r="E3176" s="220">
        <v>7.6700000000000004E-2</v>
      </c>
    </row>
    <row r="3177" spans="1:5">
      <c r="A3177" t="s">
        <v>738</v>
      </c>
      <c r="B3177" t="s">
        <v>2916</v>
      </c>
      <c r="C3177" t="s">
        <v>1374</v>
      </c>
      <c r="D3177" t="s">
        <v>1319</v>
      </c>
      <c r="E3177" s="220">
        <v>7.6700000000000004E-2</v>
      </c>
    </row>
    <row r="3178" spans="1:5">
      <c r="A3178" t="s">
        <v>747</v>
      </c>
      <c r="B3178" t="s">
        <v>2916</v>
      </c>
      <c r="C3178" t="s">
        <v>1374</v>
      </c>
      <c r="D3178" t="s">
        <v>1319</v>
      </c>
      <c r="E3178" s="220">
        <v>7.6700000000000004E-2</v>
      </c>
    </row>
    <row r="3179" spans="1:5">
      <c r="A3179" t="s">
        <v>754</v>
      </c>
      <c r="B3179" t="s">
        <v>2916</v>
      </c>
      <c r="C3179" t="s">
        <v>1374</v>
      </c>
      <c r="D3179" t="s">
        <v>1319</v>
      </c>
      <c r="E3179" s="220">
        <v>7.6700000000000004E-2</v>
      </c>
    </row>
    <row r="3180" spans="1:5">
      <c r="A3180" t="s">
        <v>757</v>
      </c>
      <c r="B3180" t="s">
        <v>2916</v>
      </c>
      <c r="C3180" t="s">
        <v>1374</v>
      </c>
      <c r="D3180" t="s">
        <v>1319</v>
      </c>
      <c r="E3180" s="220">
        <v>7.6700000000000004E-2</v>
      </c>
    </row>
    <row r="3181" spans="1:5">
      <c r="A3181" t="s">
        <v>823</v>
      </c>
      <c r="B3181" t="s">
        <v>2916</v>
      </c>
      <c r="C3181" t="s">
        <v>1374</v>
      </c>
      <c r="D3181" t="s">
        <v>1319</v>
      </c>
      <c r="E3181" s="220">
        <v>7.6700000000000004E-2</v>
      </c>
    </row>
    <row r="3182" spans="1:5">
      <c r="A3182" t="s">
        <v>767</v>
      </c>
      <c r="B3182" t="s">
        <v>2916</v>
      </c>
      <c r="C3182" t="s">
        <v>1374</v>
      </c>
      <c r="D3182" t="s">
        <v>1319</v>
      </c>
      <c r="E3182" s="220">
        <v>7.6700000000000004E-2</v>
      </c>
    </row>
    <row r="3183" spans="1:5">
      <c r="A3183" t="s">
        <v>761</v>
      </c>
      <c r="B3183" t="s">
        <v>2916</v>
      </c>
      <c r="C3183" t="s">
        <v>1374</v>
      </c>
      <c r="D3183" t="s">
        <v>1319</v>
      </c>
      <c r="E3183" s="220">
        <v>7.6700000000000004E-2</v>
      </c>
    </row>
    <row r="3184" spans="1:5">
      <c r="A3184" t="s">
        <v>770</v>
      </c>
      <c r="B3184" t="s">
        <v>2916</v>
      </c>
      <c r="C3184" t="s">
        <v>1374</v>
      </c>
      <c r="D3184" t="s">
        <v>1319</v>
      </c>
      <c r="E3184" s="220">
        <v>7.6700000000000004E-2</v>
      </c>
    </row>
    <row r="3185" spans="1:5">
      <c r="A3185" t="s">
        <v>592</v>
      </c>
      <c r="B3185" t="s">
        <v>2916</v>
      </c>
      <c r="C3185" t="s">
        <v>1374</v>
      </c>
      <c r="D3185" t="s">
        <v>1319</v>
      </c>
      <c r="E3185" s="220">
        <v>7.6700000000000004E-2</v>
      </c>
    </row>
    <row r="3186" spans="1:5">
      <c r="A3186" t="s">
        <v>773</v>
      </c>
      <c r="B3186" t="s">
        <v>2916</v>
      </c>
      <c r="C3186" t="s">
        <v>1374</v>
      </c>
      <c r="D3186" t="s">
        <v>1319</v>
      </c>
      <c r="E3186" s="220">
        <v>7.6700000000000004E-2</v>
      </c>
    </row>
    <row r="3187" spans="1:5">
      <c r="A3187" t="s">
        <v>776</v>
      </c>
      <c r="B3187" t="s">
        <v>2916</v>
      </c>
      <c r="C3187" t="s">
        <v>1374</v>
      </c>
      <c r="D3187" t="s">
        <v>1319</v>
      </c>
      <c r="E3187" s="220">
        <v>7.6700000000000004E-2</v>
      </c>
    </row>
    <row r="3188" spans="1:5">
      <c r="A3188" t="s">
        <v>1154</v>
      </c>
      <c r="B3188" t="s">
        <v>2916</v>
      </c>
      <c r="C3188" t="s">
        <v>1374</v>
      </c>
      <c r="D3188" t="s">
        <v>1319</v>
      </c>
      <c r="E3188" s="220">
        <v>7.6700000000000004E-2</v>
      </c>
    </row>
    <row r="3189" spans="1:5">
      <c r="A3189" t="s">
        <v>788</v>
      </c>
      <c r="B3189" t="s">
        <v>2916</v>
      </c>
      <c r="C3189" t="s">
        <v>1374</v>
      </c>
      <c r="D3189" t="s">
        <v>1319</v>
      </c>
      <c r="E3189" s="220">
        <v>7.6700000000000004E-2</v>
      </c>
    </row>
    <row r="3190" spans="1:5">
      <c r="A3190" t="s">
        <v>805</v>
      </c>
      <c r="B3190" t="s">
        <v>2916</v>
      </c>
      <c r="C3190" t="s">
        <v>1374</v>
      </c>
      <c r="D3190" t="s">
        <v>1319</v>
      </c>
      <c r="E3190" s="220">
        <v>7.6700000000000004E-2</v>
      </c>
    </row>
    <row r="3191" spans="1:5">
      <c r="A3191" t="s">
        <v>808</v>
      </c>
      <c r="B3191" t="s">
        <v>2916</v>
      </c>
      <c r="C3191" t="s">
        <v>1374</v>
      </c>
      <c r="D3191" t="s">
        <v>1319</v>
      </c>
      <c r="E3191" s="220">
        <v>7.7978999999999993E-2</v>
      </c>
    </row>
    <row r="3192" spans="1:5">
      <c r="A3192" t="s">
        <v>1238</v>
      </c>
      <c r="B3192" t="s">
        <v>2916</v>
      </c>
      <c r="C3192" t="s">
        <v>1374</v>
      </c>
      <c r="D3192" t="s">
        <v>1319</v>
      </c>
      <c r="E3192" s="220">
        <v>7.6700000000000004E-2</v>
      </c>
    </row>
    <row r="3193" spans="1:5">
      <c r="A3193" t="s">
        <v>820</v>
      </c>
      <c r="B3193" t="s">
        <v>2916</v>
      </c>
      <c r="C3193" t="s">
        <v>1374</v>
      </c>
      <c r="D3193" t="s">
        <v>1319</v>
      </c>
      <c r="E3193" s="220">
        <v>7.6700000000000004E-2</v>
      </c>
    </row>
    <row r="3194" spans="1:5">
      <c r="A3194" t="s">
        <v>833</v>
      </c>
      <c r="B3194" t="s">
        <v>2916</v>
      </c>
      <c r="C3194" t="s">
        <v>1374</v>
      </c>
      <c r="D3194" t="s">
        <v>1319</v>
      </c>
      <c r="E3194" s="220">
        <v>7.6700000000000004E-2</v>
      </c>
    </row>
    <row r="3195" spans="1:5">
      <c r="A3195" t="s">
        <v>839</v>
      </c>
      <c r="B3195" t="s">
        <v>2916</v>
      </c>
      <c r="C3195" t="s">
        <v>1374</v>
      </c>
      <c r="D3195" t="s">
        <v>1319</v>
      </c>
      <c r="E3195" s="220">
        <v>7.6700000000000004E-2</v>
      </c>
    </row>
    <row r="3196" spans="1:5">
      <c r="A3196" t="s">
        <v>845</v>
      </c>
      <c r="B3196" t="s">
        <v>2916</v>
      </c>
      <c r="C3196" t="s">
        <v>1374</v>
      </c>
      <c r="D3196" t="s">
        <v>1319</v>
      </c>
      <c r="E3196" s="220">
        <v>7.6700000000000004E-2</v>
      </c>
    </row>
    <row r="3197" spans="1:5">
      <c r="A3197" t="s">
        <v>854</v>
      </c>
      <c r="B3197" t="s">
        <v>2916</v>
      </c>
      <c r="C3197" t="s">
        <v>1374</v>
      </c>
      <c r="D3197" t="s">
        <v>1319</v>
      </c>
      <c r="E3197" s="220">
        <v>7.6700000000000004E-2</v>
      </c>
    </row>
    <row r="3198" spans="1:5">
      <c r="A3198" t="s">
        <v>863</v>
      </c>
      <c r="B3198" t="s">
        <v>2916</v>
      </c>
      <c r="C3198" t="s">
        <v>1374</v>
      </c>
      <c r="D3198" t="s">
        <v>1319</v>
      </c>
      <c r="E3198" s="220">
        <v>7.6700000000000004E-2</v>
      </c>
    </row>
    <row r="3199" spans="1:5">
      <c r="A3199" t="s">
        <v>860</v>
      </c>
      <c r="B3199" t="s">
        <v>2916</v>
      </c>
      <c r="C3199" t="s">
        <v>1374</v>
      </c>
      <c r="D3199" t="s">
        <v>1319</v>
      </c>
      <c r="E3199" s="220">
        <v>7.6700000000000004E-2</v>
      </c>
    </row>
    <row r="3200" spans="1:5">
      <c r="A3200" t="s">
        <v>744</v>
      </c>
      <c r="B3200" t="s">
        <v>2916</v>
      </c>
      <c r="C3200" t="s">
        <v>1374</v>
      </c>
      <c r="D3200" t="s">
        <v>1319</v>
      </c>
      <c r="E3200" s="220">
        <v>7.6700000000000004E-2</v>
      </c>
    </row>
    <row r="3201" spans="1:5">
      <c r="A3201" t="s">
        <v>857</v>
      </c>
      <c r="B3201" t="s">
        <v>2916</v>
      </c>
      <c r="C3201" t="s">
        <v>1374</v>
      </c>
      <c r="D3201" t="s">
        <v>1319</v>
      </c>
      <c r="E3201" s="220">
        <v>7.6700000000000004E-2</v>
      </c>
    </row>
    <row r="3202" spans="1:5">
      <c r="A3202" t="s">
        <v>866</v>
      </c>
      <c r="B3202" t="s">
        <v>2916</v>
      </c>
      <c r="C3202" t="s">
        <v>1374</v>
      </c>
      <c r="D3202" t="s">
        <v>1319</v>
      </c>
      <c r="E3202" s="220">
        <v>7.6700000000000004E-2</v>
      </c>
    </row>
    <row r="3203" spans="1:5">
      <c r="A3203" t="s">
        <v>875</v>
      </c>
      <c r="B3203" t="s">
        <v>2916</v>
      </c>
      <c r="C3203" t="s">
        <v>1374</v>
      </c>
      <c r="D3203" t="s">
        <v>1319</v>
      </c>
      <c r="E3203" s="220">
        <v>7.6700000000000004E-2</v>
      </c>
    </row>
    <row r="3204" spans="1:5">
      <c r="A3204" t="s">
        <v>872</v>
      </c>
      <c r="B3204" t="s">
        <v>2916</v>
      </c>
      <c r="C3204" t="s">
        <v>1374</v>
      </c>
      <c r="D3204" t="s">
        <v>1319</v>
      </c>
      <c r="E3204" s="220">
        <v>7.6700000000000004E-2</v>
      </c>
    </row>
    <row r="3205" spans="1:5">
      <c r="A3205" t="s">
        <v>884</v>
      </c>
      <c r="B3205" t="s">
        <v>2916</v>
      </c>
      <c r="C3205" t="s">
        <v>1374</v>
      </c>
      <c r="D3205" t="s">
        <v>1319</v>
      </c>
      <c r="E3205" s="220">
        <v>7.6700000000000004E-2</v>
      </c>
    </row>
    <row r="3206" spans="1:5">
      <c r="A3206" t="s">
        <v>878</v>
      </c>
      <c r="B3206" t="s">
        <v>2916</v>
      </c>
      <c r="C3206" t="s">
        <v>1374</v>
      </c>
      <c r="D3206" t="s">
        <v>1319</v>
      </c>
      <c r="E3206" s="220">
        <v>7.6700000000000004E-2</v>
      </c>
    </row>
    <row r="3207" spans="1:5">
      <c r="A3207" t="s">
        <v>881</v>
      </c>
      <c r="B3207" t="s">
        <v>2916</v>
      </c>
      <c r="C3207" t="s">
        <v>1374</v>
      </c>
      <c r="D3207" t="s">
        <v>1319</v>
      </c>
      <c r="E3207" s="220">
        <v>7.6700000000000004E-2</v>
      </c>
    </row>
    <row r="3208" spans="1:5">
      <c r="A3208" t="s">
        <v>869</v>
      </c>
      <c r="B3208" t="s">
        <v>2916</v>
      </c>
      <c r="C3208" t="s">
        <v>1374</v>
      </c>
      <c r="D3208" t="s">
        <v>1319</v>
      </c>
      <c r="E3208" s="220">
        <v>7.6700000000000004E-2</v>
      </c>
    </row>
    <row r="3209" spans="1:5">
      <c r="A3209" t="s">
        <v>891</v>
      </c>
      <c r="B3209" t="s">
        <v>2916</v>
      </c>
      <c r="C3209" t="s">
        <v>1374</v>
      </c>
      <c r="D3209" t="s">
        <v>1319</v>
      </c>
      <c r="E3209" s="220">
        <v>7.6700000000000004E-2</v>
      </c>
    </row>
    <row r="3210" spans="1:5">
      <c r="A3210" t="s">
        <v>894</v>
      </c>
      <c r="B3210" t="s">
        <v>2916</v>
      </c>
      <c r="C3210" t="s">
        <v>1374</v>
      </c>
      <c r="D3210" t="s">
        <v>1319</v>
      </c>
      <c r="E3210" s="220">
        <v>7.6700000000000004E-2</v>
      </c>
    </row>
    <row r="3211" spans="1:5">
      <c r="A3211" t="s">
        <v>897</v>
      </c>
      <c r="B3211" t="s">
        <v>2916</v>
      </c>
      <c r="C3211" t="s">
        <v>1374</v>
      </c>
      <c r="D3211" t="s">
        <v>1319</v>
      </c>
      <c r="E3211" s="220">
        <v>7.6700000000000004E-2</v>
      </c>
    </row>
    <row r="3212" spans="1:5">
      <c r="A3212" t="s">
        <v>903</v>
      </c>
      <c r="B3212" t="s">
        <v>2916</v>
      </c>
      <c r="C3212" t="s">
        <v>1374</v>
      </c>
      <c r="D3212" t="s">
        <v>1319</v>
      </c>
      <c r="E3212" s="220">
        <v>7.6700000000000004E-2</v>
      </c>
    </row>
    <row r="3213" spans="1:5">
      <c r="A3213" t="s">
        <v>900</v>
      </c>
      <c r="B3213" t="s">
        <v>2916</v>
      </c>
      <c r="C3213" t="s">
        <v>1374</v>
      </c>
      <c r="D3213" t="s">
        <v>1319</v>
      </c>
      <c r="E3213" s="220">
        <v>7.6700000000000004E-2</v>
      </c>
    </row>
    <row r="3214" spans="1:5">
      <c r="A3214" t="s">
        <v>906</v>
      </c>
      <c r="B3214" t="s">
        <v>2916</v>
      </c>
      <c r="C3214" t="s">
        <v>1374</v>
      </c>
      <c r="D3214" t="s">
        <v>1319</v>
      </c>
      <c r="E3214" s="220">
        <v>7.6700000000000004E-2</v>
      </c>
    </row>
    <row r="3215" spans="1:5">
      <c r="A3215" t="s">
        <v>930</v>
      </c>
      <c r="B3215" t="s">
        <v>2916</v>
      </c>
      <c r="C3215" t="s">
        <v>1374</v>
      </c>
      <c r="D3215" t="s">
        <v>1319</v>
      </c>
      <c r="E3215" s="220">
        <v>7.6700000000000004E-2</v>
      </c>
    </row>
    <row r="3216" spans="1:5">
      <c r="A3216" t="s">
        <v>699</v>
      </c>
      <c r="B3216" t="s">
        <v>2916</v>
      </c>
      <c r="C3216" t="s">
        <v>1374</v>
      </c>
      <c r="D3216" t="s">
        <v>1319</v>
      </c>
      <c r="E3216" s="220">
        <v>7.6700000000000004E-2</v>
      </c>
    </row>
    <row r="3217" spans="1:5">
      <c r="A3217" t="s">
        <v>1160</v>
      </c>
      <c r="B3217" t="s">
        <v>2916</v>
      </c>
      <c r="C3217" t="s">
        <v>1374</v>
      </c>
      <c r="D3217" t="s">
        <v>1319</v>
      </c>
      <c r="E3217" s="220">
        <v>7.6700000000000004E-2</v>
      </c>
    </row>
    <row r="3218" spans="1:5">
      <c r="A3218" t="s">
        <v>915</v>
      </c>
      <c r="B3218" t="s">
        <v>2916</v>
      </c>
      <c r="C3218" t="s">
        <v>1374</v>
      </c>
      <c r="D3218" t="s">
        <v>1319</v>
      </c>
      <c r="E3218" s="220">
        <v>7.6700000000000004E-2</v>
      </c>
    </row>
    <row r="3219" spans="1:5">
      <c r="A3219" t="s">
        <v>927</v>
      </c>
      <c r="B3219" t="s">
        <v>2916</v>
      </c>
      <c r="C3219" t="s">
        <v>1374</v>
      </c>
      <c r="D3219" t="s">
        <v>1319</v>
      </c>
      <c r="E3219" s="220">
        <v>7.6700000000000004E-2</v>
      </c>
    </row>
    <row r="3220" spans="1:5">
      <c r="A3220" t="s">
        <v>933</v>
      </c>
      <c r="B3220" t="s">
        <v>2916</v>
      </c>
      <c r="C3220" t="s">
        <v>1374</v>
      </c>
      <c r="D3220" t="s">
        <v>1319</v>
      </c>
      <c r="E3220" s="220">
        <v>7.6700000000000004E-2</v>
      </c>
    </row>
    <row r="3221" spans="1:5">
      <c r="A3221" t="s">
        <v>939</v>
      </c>
      <c r="B3221" t="s">
        <v>2916</v>
      </c>
      <c r="C3221" t="s">
        <v>1374</v>
      </c>
      <c r="D3221" t="s">
        <v>1319</v>
      </c>
      <c r="E3221" s="220">
        <v>7.6700000000000004E-2</v>
      </c>
    </row>
    <row r="3222" spans="1:5">
      <c r="A3222" t="s">
        <v>1163</v>
      </c>
      <c r="B3222" t="s">
        <v>2916</v>
      </c>
      <c r="C3222" t="s">
        <v>1374</v>
      </c>
      <c r="D3222" t="s">
        <v>1319</v>
      </c>
      <c r="E3222" s="220">
        <v>7.6700000000000004E-2</v>
      </c>
    </row>
    <row r="3223" spans="1:5">
      <c r="A3223" t="s">
        <v>1157</v>
      </c>
      <c r="B3223" t="s">
        <v>2916</v>
      </c>
      <c r="C3223" t="s">
        <v>1374</v>
      </c>
      <c r="D3223" t="s">
        <v>1319</v>
      </c>
      <c r="E3223" s="220">
        <v>7.6700000000000004E-2</v>
      </c>
    </row>
    <row r="3224" spans="1:5">
      <c r="A3224" t="s">
        <v>954</v>
      </c>
      <c r="B3224" t="s">
        <v>2916</v>
      </c>
      <c r="C3224" t="s">
        <v>1374</v>
      </c>
      <c r="D3224" t="s">
        <v>1319</v>
      </c>
      <c r="E3224" s="220">
        <v>7.6700000000000004E-2</v>
      </c>
    </row>
    <row r="3225" spans="1:5">
      <c r="A3225" t="s">
        <v>957</v>
      </c>
      <c r="B3225" t="s">
        <v>2916</v>
      </c>
      <c r="C3225" t="s">
        <v>1374</v>
      </c>
      <c r="D3225" t="s">
        <v>1319</v>
      </c>
      <c r="E3225" s="220">
        <v>7.6700000000000004E-2</v>
      </c>
    </row>
    <row r="3226" spans="1:5">
      <c r="A3226" t="s">
        <v>936</v>
      </c>
      <c r="B3226" t="s">
        <v>2916</v>
      </c>
      <c r="C3226" t="s">
        <v>1374</v>
      </c>
      <c r="D3226" t="s">
        <v>1319</v>
      </c>
      <c r="E3226" s="220">
        <v>7.6700000000000004E-2</v>
      </c>
    </row>
    <row r="3227" spans="1:5">
      <c r="A3227" t="s">
        <v>1014</v>
      </c>
      <c r="B3227" t="s">
        <v>2916</v>
      </c>
      <c r="C3227" t="s">
        <v>1374</v>
      </c>
      <c r="D3227" t="s">
        <v>1319</v>
      </c>
      <c r="E3227" s="220">
        <v>7.6700000000000004E-2</v>
      </c>
    </row>
    <row r="3228" spans="1:5">
      <c r="A3228" t="s">
        <v>999</v>
      </c>
      <c r="B3228" t="s">
        <v>2916</v>
      </c>
      <c r="C3228" t="s">
        <v>1374</v>
      </c>
      <c r="D3228" t="s">
        <v>1319</v>
      </c>
      <c r="E3228" s="220">
        <v>7.6700000000000004E-2</v>
      </c>
    </row>
    <row r="3229" spans="1:5">
      <c r="A3229" t="s">
        <v>993</v>
      </c>
      <c r="B3229" t="s">
        <v>2916</v>
      </c>
      <c r="C3229" t="s">
        <v>1374</v>
      </c>
      <c r="D3229" t="s">
        <v>1319</v>
      </c>
      <c r="E3229" s="220">
        <v>7.6700000000000004E-2</v>
      </c>
    </row>
    <row r="3230" spans="1:5">
      <c r="A3230" t="s">
        <v>963</v>
      </c>
      <c r="B3230" t="s">
        <v>2916</v>
      </c>
      <c r="C3230" t="s">
        <v>1374</v>
      </c>
      <c r="D3230" t="s">
        <v>1319</v>
      </c>
      <c r="E3230" s="220">
        <v>7.6700000000000004E-2</v>
      </c>
    </row>
    <row r="3231" spans="1:5">
      <c r="A3231" t="s">
        <v>981</v>
      </c>
      <c r="B3231" t="s">
        <v>2916</v>
      </c>
      <c r="C3231" t="s">
        <v>1374</v>
      </c>
      <c r="D3231" t="s">
        <v>1319</v>
      </c>
      <c r="E3231" s="220">
        <v>7.6700000000000004E-2</v>
      </c>
    </row>
    <row r="3232" spans="1:5">
      <c r="A3232" t="s">
        <v>1020</v>
      </c>
      <c r="B3232" t="s">
        <v>2916</v>
      </c>
      <c r="C3232" t="s">
        <v>1374</v>
      </c>
      <c r="D3232" t="s">
        <v>1319</v>
      </c>
      <c r="E3232" s="220">
        <v>7.6700000000000004E-2</v>
      </c>
    </row>
    <row r="3233" spans="1:5">
      <c r="A3233" t="s">
        <v>1006</v>
      </c>
      <c r="B3233" t="s">
        <v>2916</v>
      </c>
      <c r="C3233" t="s">
        <v>1374</v>
      </c>
      <c r="D3233" t="s">
        <v>1319</v>
      </c>
      <c r="E3233" s="220">
        <v>7.6700000000000004E-2</v>
      </c>
    </row>
    <row r="3234" spans="1:5">
      <c r="A3234" t="s">
        <v>972</v>
      </c>
      <c r="B3234" t="s">
        <v>2916</v>
      </c>
      <c r="C3234" t="s">
        <v>1374</v>
      </c>
      <c r="D3234" t="s">
        <v>1319</v>
      </c>
      <c r="E3234" s="220">
        <v>7.6700000000000004E-2</v>
      </c>
    </row>
    <row r="3235" spans="1:5">
      <c r="A3235" t="s">
        <v>1042</v>
      </c>
      <c r="B3235" t="s">
        <v>2916</v>
      </c>
      <c r="C3235" t="s">
        <v>1374</v>
      </c>
      <c r="D3235" t="s">
        <v>1319</v>
      </c>
      <c r="E3235" s="220">
        <v>7.6700000000000004E-2</v>
      </c>
    </row>
    <row r="3236" spans="1:5">
      <c r="A3236" t="s">
        <v>1032</v>
      </c>
      <c r="B3236" t="s">
        <v>2916</v>
      </c>
      <c r="C3236" t="s">
        <v>1374</v>
      </c>
      <c r="D3236" t="s">
        <v>1319</v>
      </c>
      <c r="E3236" s="220">
        <v>7.6700000000000004E-2</v>
      </c>
    </row>
    <row r="3237" spans="1:5">
      <c r="A3237" t="s">
        <v>1055</v>
      </c>
      <c r="B3237" t="s">
        <v>2916</v>
      </c>
      <c r="C3237" t="s">
        <v>1374</v>
      </c>
      <c r="D3237" t="s">
        <v>1319</v>
      </c>
      <c r="E3237" s="220">
        <v>7.6700000000000004E-2</v>
      </c>
    </row>
    <row r="3238" spans="1:5">
      <c r="A3238" t="s">
        <v>1039</v>
      </c>
      <c r="B3238" t="s">
        <v>2916</v>
      </c>
      <c r="C3238" t="s">
        <v>1374</v>
      </c>
      <c r="D3238" t="s">
        <v>1319</v>
      </c>
      <c r="E3238" s="220">
        <v>7.6700000000000004E-2</v>
      </c>
    </row>
    <row r="3239" spans="1:5">
      <c r="A3239" t="s">
        <v>1058</v>
      </c>
      <c r="B3239" t="s">
        <v>2916</v>
      </c>
      <c r="C3239" t="s">
        <v>1374</v>
      </c>
      <c r="D3239" t="s">
        <v>1319</v>
      </c>
      <c r="E3239" s="220">
        <v>7.6700000000000004E-2</v>
      </c>
    </row>
    <row r="3240" spans="1:5">
      <c r="A3240" t="s">
        <v>1061</v>
      </c>
      <c r="B3240" t="s">
        <v>2916</v>
      </c>
      <c r="C3240" t="s">
        <v>1374</v>
      </c>
      <c r="D3240" t="s">
        <v>1319</v>
      </c>
      <c r="E3240" s="220">
        <v>7.6700000000000004E-2</v>
      </c>
    </row>
    <row r="3241" spans="1:5">
      <c r="A3241" t="s">
        <v>1067</v>
      </c>
      <c r="B3241" t="s">
        <v>2916</v>
      </c>
      <c r="C3241" t="s">
        <v>1374</v>
      </c>
      <c r="D3241" t="s">
        <v>1319</v>
      </c>
      <c r="E3241" s="220">
        <v>7.6700000000000004E-2</v>
      </c>
    </row>
    <row r="3242" spans="1:5">
      <c r="A3242" t="s">
        <v>1076</v>
      </c>
      <c r="B3242" t="s">
        <v>2916</v>
      </c>
      <c r="C3242" t="s">
        <v>1374</v>
      </c>
      <c r="D3242" t="s">
        <v>1319</v>
      </c>
      <c r="E3242" s="220">
        <v>7.6700000000000004E-2</v>
      </c>
    </row>
    <row r="3243" spans="1:5">
      <c r="A3243" t="s">
        <v>1079</v>
      </c>
      <c r="B3243" t="s">
        <v>2916</v>
      </c>
      <c r="C3243" t="s">
        <v>1374</v>
      </c>
      <c r="D3243" t="s">
        <v>1319</v>
      </c>
      <c r="E3243" s="220">
        <v>7.6700000000000004E-2</v>
      </c>
    </row>
    <row r="3244" spans="1:5">
      <c r="A3244" t="s">
        <v>1082</v>
      </c>
      <c r="B3244" t="s">
        <v>2916</v>
      </c>
      <c r="C3244" t="s">
        <v>1374</v>
      </c>
      <c r="D3244" t="s">
        <v>1319</v>
      </c>
      <c r="E3244" s="220">
        <v>7.6700000000000004E-2</v>
      </c>
    </row>
    <row r="3245" spans="1:5">
      <c r="A3245" t="s">
        <v>919</v>
      </c>
      <c r="B3245" t="s">
        <v>2916</v>
      </c>
      <c r="C3245" t="s">
        <v>1374</v>
      </c>
      <c r="D3245" t="s">
        <v>1319</v>
      </c>
      <c r="E3245" s="220">
        <v>7.6700000000000004E-2</v>
      </c>
    </row>
    <row r="3246" spans="1:5">
      <c r="A3246" t="s">
        <v>1085</v>
      </c>
      <c r="B3246" t="s">
        <v>2916</v>
      </c>
      <c r="C3246" t="s">
        <v>1374</v>
      </c>
      <c r="D3246" t="s">
        <v>1319</v>
      </c>
      <c r="E3246" s="220">
        <v>7.6700000000000004E-2</v>
      </c>
    </row>
    <row r="3247" spans="1:5">
      <c r="A3247" t="s">
        <v>1264</v>
      </c>
      <c r="B3247" t="s">
        <v>2916</v>
      </c>
      <c r="C3247" t="s">
        <v>1374</v>
      </c>
      <c r="D3247" t="s">
        <v>1319</v>
      </c>
      <c r="E3247" s="220">
        <v>7.6700000000000004E-2</v>
      </c>
    </row>
    <row r="3248" spans="1:5">
      <c r="A3248" t="s">
        <v>1091</v>
      </c>
      <c r="B3248" t="s">
        <v>2916</v>
      </c>
      <c r="C3248" t="s">
        <v>1374</v>
      </c>
      <c r="D3248" t="s">
        <v>1319</v>
      </c>
      <c r="E3248" s="220">
        <v>7.6700000000000004E-2</v>
      </c>
    </row>
    <row r="3249" spans="1:5">
      <c r="A3249" t="s">
        <v>1094</v>
      </c>
      <c r="B3249" t="s">
        <v>2916</v>
      </c>
      <c r="C3249" t="s">
        <v>1374</v>
      </c>
      <c r="D3249" t="s">
        <v>1319</v>
      </c>
      <c r="E3249" s="220">
        <v>7.6700000000000004E-2</v>
      </c>
    </row>
    <row r="3250" spans="1:5">
      <c r="A3250" t="s">
        <v>1097</v>
      </c>
      <c r="B3250" t="s">
        <v>2916</v>
      </c>
      <c r="C3250" t="s">
        <v>1374</v>
      </c>
      <c r="D3250" t="s">
        <v>1319</v>
      </c>
      <c r="E3250" s="220">
        <v>7.6700000000000004E-2</v>
      </c>
    </row>
    <row r="3251" spans="1:5">
      <c r="A3251" t="s">
        <v>1113</v>
      </c>
      <c r="B3251" t="s">
        <v>2916</v>
      </c>
      <c r="C3251" t="s">
        <v>1374</v>
      </c>
      <c r="D3251" t="s">
        <v>1319</v>
      </c>
      <c r="E3251" s="220">
        <v>7.6700000000000004E-2</v>
      </c>
    </row>
    <row r="3252" spans="1:5">
      <c r="A3252" t="s">
        <v>1173</v>
      </c>
      <c r="B3252" t="s">
        <v>2916</v>
      </c>
      <c r="C3252" t="s">
        <v>1374</v>
      </c>
      <c r="D3252" t="s">
        <v>1319</v>
      </c>
      <c r="E3252" s="220">
        <v>7.6700000000000004E-2</v>
      </c>
    </row>
    <row r="3253" spans="1:5">
      <c r="A3253" t="s">
        <v>1128</v>
      </c>
      <c r="B3253" t="s">
        <v>2916</v>
      </c>
      <c r="C3253" t="s">
        <v>1374</v>
      </c>
      <c r="D3253" t="s">
        <v>1319</v>
      </c>
      <c r="E3253" s="220">
        <v>7.6700000000000004E-2</v>
      </c>
    </row>
    <row r="3254" spans="1:5">
      <c r="A3254" t="s">
        <v>779</v>
      </c>
      <c r="B3254" t="s">
        <v>2916</v>
      </c>
      <c r="C3254" t="s">
        <v>1374</v>
      </c>
      <c r="D3254" t="s">
        <v>1319</v>
      </c>
      <c r="E3254" s="220">
        <v>7.6700000000000004E-2</v>
      </c>
    </row>
    <row r="3255" spans="1:5">
      <c r="A3255" t="s">
        <v>1119</v>
      </c>
      <c r="B3255" t="s">
        <v>2916</v>
      </c>
      <c r="C3255" t="s">
        <v>1374</v>
      </c>
      <c r="D3255" t="s">
        <v>1319</v>
      </c>
      <c r="E3255" s="220">
        <v>7.6700000000000004E-2</v>
      </c>
    </row>
    <row r="3256" spans="1:5">
      <c r="A3256" t="s">
        <v>1176</v>
      </c>
      <c r="B3256" t="s">
        <v>2916</v>
      </c>
      <c r="C3256" t="s">
        <v>1374</v>
      </c>
      <c r="D3256" t="s">
        <v>1319</v>
      </c>
      <c r="E3256" s="220">
        <v>7.6700000000000004E-2</v>
      </c>
    </row>
    <row r="3257" spans="1:5">
      <c r="A3257" t="s">
        <v>1135</v>
      </c>
      <c r="B3257" t="s">
        <v>2916</v>
      </c>
      <c r="C3257" t="s">
        <v>1374</v>
      </c>
      <c r="D3257" t="s">
        <v>1319</v>
      </c>
      <c r="E3257" s="220">
        <v>7.6700000000000004E-2</v>
      </c>
    </row>
    <row r="3258" spans="1:5">
      <c r="A3258" t="s">
        <v>1139</v>
      </c>
      <c r="B3258" t="s">
        <v>2916</v>
      </c>
      <c r="C3258" t="s">
        <v>1374</v>
      </c>
      <c r="D3258" t="s">
        <v>1319</v>
      </c>
      <c r="E3258" s="220">
        <v>7.6700000000000004E-2</v>
      </c>
    </row>
    <row r="3259" spans="1:5">
      <c r="A3259" t="s">
        <v>1179</v>
      </c>
      <c r="B3259" t="s">
        <v>2916</v>
      </c>
      <c r="C3259" t="s">
        <v>1374</v>
      </c>
      <c r="D3259" t="s">
        <v>1319</v>
      </c>
      <c r="E3259" s="220">
        <v>7.6700000000000004E-2</v>
      </c>
    </row>
    <row r="3260" spans="1:5">
      <c r="A3260" t="s">
        <v>1185</v>
      </c>
      <c r="B3260" t="s">
        <v>2916</v>
      </c>
      <c r="C3260" t="s">
        <v>1374</v>
      </c>
      <c r="D3260" t="s">
        <v>1319</v>
      </c>
      <c r="E3260" s="220">
        <v>7.6700000000000004E-2</v>
      </c>
    </row>
    <row r="3261" spans="1:5">
      <c r="A3261" t="s">
        <v>1198</v>
      </c>
      <c r="B3261" t="s">
        <v>2916</v>
      </c>
      <c r="C3261" t="s">
        <v>1374</v>
      </c>
      <c r="D3261" t="s">
        <v>1319</v>
      </c>
      <c r="E3261" s="220">
        <v>7.6700000000000004E-2</v>
      </c>
    </row>
    <row r="3262" spans="1:5">
      <c r="A3262" t="s">
        <v>1192</v>
      </c>
      <c r="B3262" t="s">
        <v>2916</v>
      </c>
      <c r="C3262" t="s">
        <v>1374</v>
      </c>
      <c r="D3262" t="s">
        <v>1319</v>
      </c>
      <c r="E3262" s="220">
        <v>7.6700000000000004E-2</v>
      </c>
    </row>
    <row r="3263" spans="1:5">
      <c r="A3263" t="s">
        <v>1219</v>
      </c>
      <c r="B3263" t="s">
        <v>2916</v>
      </c>
      <c r="C3263" t="s">
        <v>1374</v>
      </c>
      <c r="D3263" t="s">
        <v>1319</v>
      </c>
      <c r="E3263" s="220">
        <v>7.6700000000000004E-2</v>
      </c>
    </row>
    <row r="3264" spans="1:5">
      <c r="A3264" t="s">
        <v>1210</v>
      </c>
      <c r="B3264" t="s">
        <v>2916</v>
      </c>
      <c r="C3264" t="s">
        <v>1374</v>
      </c>
      <c r="D3264" t="s">
        <v>1319</v>
      </c>
      <c r="E3264" s="220">
        <v>7.6700000000000004E-2</v>
      </c>
    </row>
    <row r="3265" spans="1:5">
      <c r="A3265" t="s">
        <v>1213</v>
      </c>
      <c r="B3265" t="s">
        <v>2916</v>
      </c>
      <c r="C3265" t="s">
        <v>1374</v>
      </c>
      <c r="D3265" t="s">
        <v>1319</v>
      </c>
      <c r="E3265" s="220">
        <v>7.6700000000000004E-2</v>
      </c>
    </row>
    <row r="3266" spans="1:5">
      <c r="A3266" t="s">
        <v>1216</v>
      </c>
      <c r="B3266" t="s">
        <v>2916</v>
      </c>
      <c r="C3266" t="s">
        <v>1374</v>
      </c>
      <c r="D3266" t="s">
        <v>1319</v>
      </c>
      <c r="E3266" s="220">
        <v>7.6700000000000004E-2</v>
      </c>
    </row>
    <row r="3267" spans="1:5">
      <c r="A3267" t="s">
        <v>1189</v>
      </c>
      <c r="B3267" t="s">
        <v>2916</v>
      </c>
      <c r="C3267" t="s">
        <v>1374</v>
      </c>
      <c r="D3267" t="s">
        <v>1319</v>
      </c>
      <c r="E3267" s="220">
        <v>7.6700000000000004E-2</v>
      </c>
    </row>
    <row r="3268" spans="1:5">
      <c r="A3268" t="s">
        <v>1232</v>
      </c>
      <c r="B3268" t="s">
        <v>2916</v>
      </c>
      <c r="C3268" t="s">
        <v>1374</v>
      </c>
      <c r="D3268" t="s">
        <v>1319</v>
      </c>
      <c r="E3268" s="220">
        <v>7.6700000000000004E-2</v>
      </c>
    </row>
    <row r="3269" spans="1:5">
      <c r="A3269" t="s">
        <v>1244</v>
      </c>
      <c r="B3269" t="s">
        <v>2916</v>
      </c>
      <c r="C3269" t="s">
        <v>1374</v>
      </c>
      <c r="D3269" t="s">
        <v>1319</v>
      </c>
      <c r="E3269" s="220">
        <v>7.6700000000000004E-2</v>
      </c>
    </row>
    <row r="3270" spans="1:5">
      <c r="A3270" t="s">
        <v>1241</v>
      </c>
      <c r="B3270" t="s">
        <v>2916</v>
      </c>
      <c r="C3270" t="s">
        <v>1374</v>
      </c>
      <c r="D3270" t="s">
        <v>1319</v>
      </c>
      <c r="E3270" s="220">
        <v>7.6700000000000004E-2</v>
      </c>
    </row>
    <row r="3271" spans="1:5">
      <c r="A3271" t="s">
        <v>1247</v>
      </c>
      <c r="B3271" t="s">
        <v>2916</v>
      </c>
      <c r="C3271" t="s">
        <v>1374</v>
      </c>
      <c r="D3271" t="s">
        <v>1319</v>
      </c>
      <c r="E3271" s="220">
        <v>7.6700000000000004E-2</v>
      </c>
    </row>
    <row r="3272" spans="1:5">
      <c r="A3272" t="s">
        <v>1170</v>
      </c>
      <c r="B3272" t="s">
        <v>2916</v>
      </c>
      <c r="C3272" t="s">
        <v>1374</v>
      </c>
      <c r="D3272" t="s">
        <v>1319</v>
      </c>
      <c r="E3272" s="220">
        <v>7.6700000000000004E-2</v>
      </c>
    </row>
    <row r="3273" spans="1:5">
      <c r="A3273" t="s">
        <v>1253</v>
      </c>
      <c r="B3273" t="s">
        <v>2916</v>
      </c>
      <c r="C3273" t="s">
        <v>1374</v>
      </c>
      <c r="D3273" t="s">
        <v>1319</v>
      </c>
      <c r="E3273" s="220">
        <v>7.6700000000000004E-2</v>
      </c>
    </row>
    <row r="3274" spans="1:5">
      <c r="A3274" t="s">
        <v>1257</v>
      </c>
      <c r="B3274" t="s">
        <v>2916</v>
      </c>
      <c r="C3274" t="s">
        <v>1374</v>
      </c>
      <c r="D3274" t="s">
        <v>1319</v>
      </c>
      <c r="E3274" s="220">
        <v>7.6700000000000004E-2</v>
      </c>
    </row>
    <row r="3275" spans="1:5">
      <c r="A3275" t="s">
        <v>1268</v>
      </c>
      <c r="B3275" t="s">
        <v>2916</v>
      </c>
      <c r="C3275" t="s">
        <v>1374</v>
      </c>
      <c r="D3275" t="s">
        <v>1319</v>
      </c>
      <c r="E3275" s="220">
        <v>7.6700000000000004E-2</v>
      </c>
    </row>
    <row r="3276" spans="1:5">
      <c r="A3276" t="s">
        <v>1148</v>
      </c>
      <c r="B3276" t="s">
        <v>2916</v>
      </c>
      <c r="C3276" t="s">
        <v>1374</v>
      </c>
      <c r="D3276" t="s">
        <v>1319</v>
      </c>
      <c r="E3276" s="220">
        <v>7.6700000000000004E-2</v>
      </c>
    </row>
    <row r="3277" spans="1:5">
      <c r="A3277" t="s">
        <v>2849</v>
      </c>
      <c r="B3277" t="s">
        <v>2916</v>
      </c>
      <c r="C3277" t="s">
        <v>1333</v>
      </c>
      <c r="D3277" t="s">
        <v>1299</v>
      </c>
      <c r="E3277" s="220">
        <v>9.5073999999999992E-2</v>
      </c>
    </row>
    <row r="3278" spans="1:5">
      <c r="A3278" t="s">
        <v>2854</v>
      </c>
      <c r="B3278" t="s">
        <v>2916</v>
      </c>
      <c r="C3278" t="s">
        <v>1333</v>
      </c>
      <c r="D3278" t="s">
        <v>1299</v>
      </c>
      <c r="E3278" s="220">
        <v>9.4775999999999999E-2</v>
      </c>
    </row>
    <row r="3279" spans="1:5">
      <c r="A3279" t="s">
        <v>2853</v>
      </c>
      <c r="B3279" t="s">
        <v>2916</v>
      </c>
      <c r="C3279" t="s">
        <v>1333</v>
      </c>
      <c r="D3279" t="s">
        <v>1299</v>
      </c>
      <c r="E3279" s="220">
        <v>9.6593999999999999E-2</v>
      </c>
    </row>
    <row r="3280" spans="1:5">
      <c r="A3280" t="s">
        <v>2865</v>
      </c>
      <c r="B3280" t="s">
        <v>2916</v>
      </c>
      <c r="C3280" t="s">
        <v>1333</v>
      </c>
      <c r="D3280" t="s">
        <v>1299</v>
      </c>
      <c r="E3280" s="220">
        <v>9.8278999999999991E-2</v>
      </c>
    </row>
    <row r="3281" spans="1:5">
      <c r="A3281" t="s">
        <v>2871</v>
      </c>
      <c r="B3281" t="s">
        <v>2916</v>
      </c>
      <c r="C3281" t="s">
        <v>1333</v>
      </c>
      <c r="D3281" t="s">
        <v>1299</v>
      </c>
      <c r="E3281" s="220">
        <v>9.6096999999999988E-2</v>
      </c>
    </row>
    <row r="3282" spans="1:5">
      <c r="A3282" t="s">
        <v>2875</v>
      </c>
      <c r="B3282" t="s">
        <v>2916</v>
      </c>
      <c r="C3282" t="s">
        <v>1333</v>
      </c>
      <c r="D3282" t="s">
        <v>1299</v>
      </c>
      <c r="E3282" s="220">
        <v>9.7052000000000013E-2</v>
      </c>
    </row>
    <row r="3283" spans="1:5">
      <c r="A3283" t="s">
        <v>2882</v>
      </c>
      <c r="B3283" t="s">
        <v>2916</v>
      </c>
      <c r="C3283" t="s">
        <v>1333</v>
      </c>
      <c r="D3283" t="s">
        <v>1299</v>
      </c>
      <c r="E3283" s="220">
        <v>9.4421000000000005E-2</v>
      </c>
    </row>
    <row r="3284" spans="1:5">
      <c r="A3284" t="s">
        <v>2884</v>
      </c>
      <c r="B3284" t="s">
        <v>2916</v>
      </c>
      <c r="C3284" t="s">
        <v>1333</v>
      </c>
      <c r="D3284" t="s">
        <v>1299</v>
      </c>
      <c r="E3284" s="220">
        <v>9.6189999999999998E-2</v>
      </c>
    </row>
    <row r="3285" spans="1:5">
      <c r="A3285" t="s">
        <v>2849</v>
      </c>
      <c r="B3285" t="s">
        <v>2916</v>
      </c>
      <c r="C3285" t="s">
        <v>1361</v>
      </c>
      <c r="D3285" t="s">
        <v>1299</v>
      </c>
      <c r="E3285" s="220">
        <v>9.4772000000000009E-2</v>
      </c>
    </row>
    <row r="3286" spans="1:5">
      <c r="A3286" t="s">
        <v>2854</v>
      </c>
      <c r="B3286" t="s">
        <v>2916</v>
      </c>
      <c r="C3286" t="s">
        <v>1361</v>
      </c>
      <c r="D3286" t="s">
        <v>1299</v>
      </c>
      <c r="E3286" s="220">
        <v>9.4299999999999995E-2</v>
      </c>
    </row>
    <row r="3287" spans="1:5">
      <c r="A3287" t="s">
        <v>2853</v>
      </c>
      <c r="B3287" t="s">
        <v>2916</v>
      </c>
      <c r="C3287" t="s">
        <v>1361</v>
      </c>
      <c r="D3287" t="s">
        <v>1299</v>
      </c>
      <c r="E3287" s="220">
        <v>9.723699999999999E-2</v>
      </c>
    </row>
    <row r="3288" spans="1:5">
      <c r="A3288" t="s">
        <v>2865</v>
      </c>
      <c r="B3288" t="s">
        <v>2916</v>
      </c>
      <c r="C3288" t="s">
        <v>1361</v>
      </c>
      <c r="D3288" t="s">
        <v>1299</v>
      </c>
      <c r="E3288" s="220">
        <v>9.4333E-2</v>
      </c>
    </row>
    <row r="3289" spans="1:5">
      <c r="A3289" t="s">
        <v>2871</v>
      </c>
      <c r="B3289" t="s">
        <v>2916</v>
      </c>
      <c r="C3289" t="s">
        <v>1361</v>
      </c>
      <c r="D3289" t="s">
        <v>1299</v>
      </c>
      <c r="E3289" s="220">
        <v>9.4308000000000003E-2</v>
      </c>
    </row>
    <row r="3290" spans="1:5">
      <c r="A3290" t="s">
        <v>2875</v>
      </c>
      <c r="B3290" t="s">
        <v>2916</v>
      </c>
      <c r="C3290" t="s">
        <v>1361</v>
      </c>
      <c r="D3290" t="s">
        <v>1299</v>
      </c>
      <c r="E3290" s="220">
        <v>9.4742000000000007E-2</v>
      </c>
    </row>
    <row r="3291" spans="1:5">
      <c r="A3291" t="s">
        <v>2882</v>
      </c>
      <c r="B3291" t="s">
        <v>2916</v>
      </c>
      <c r="C3291" t="s">
        <v>1361</v>
      </c>
      <c r="D3291" t="s">
        <v>1299</v>
      </c>
      <c r="E3291" s="220">
        <v>9.4328999999999996E-2</v>
      </c>
    </row>
    <row r="3292" spans="1:5">
      <c r="A3292" t="s">
        <v>2884</v>
      </c>
      <c r="B3292" t="s">
        <v>2916</v>
      </c>
      <c r="C3292" t="s">
        <v>1361</v>
      </c>
      <c r="D3292" t="s">
        <v>1299</v>
      </c>
      <c r="E3292" s="220">
        <v>9.4299999999999995E-2</v>
      </c>
    </row>
    <row r="3293" spans="1:5">
      <c r="A3293" t="s">
        <v>2849</v>
      </c>
      <c r="B3293" t="s">
        <v>2916</v>
      </c>
      <c r="C3293" t="s">
        <v>1365</v>
      </c>
      <c r="D3293" t="s">
        <v>1299</v>
      </c>
      <c r="E3293" s="220">
        <v>9.5419000000000004E-2</v>
      </c>
    </row>
    <row r="3294" spans="1:5">
      <c r="A3294" t="s">
        <v>2853</v>
      </c>
      <c r="B3294" t="s">
        <v>2916</v>
      </c>
      <c r="C3294" t="s">
        <v>1365</v>
      </c>
      <c r="D3294" t="s">
        <v>1299</v>
      </c>
      <c r="E3294" s="220">
        <v>9.7200999999999996E-2</v>
      </c>
    </row>
    <row r="3295" spans="1:5">
      <c r="A3295" t="s">
        <v>2865</v>
      </c>
      <c r="B3295" t="s">
        <v>2916</v>
      </c>
      <c r="C3295" t="s">
        <v>1365</v>
      </c>
      <c r="D3295" t="s">
        <v>1299</v>
      </c>
      <c r="E3295" s="220">
        <v>9.4299999999999995E-2</v>
      </c>
    </row>
    <row r="3296" spans="1:5">
      <c r="A3296" t="s">
        <v>2871</v>
      </c>
      <c r="B3296" t="s">
        <v>2916</v>
      </c>
      <c r="C3296" t="s">
        <v>1365</v>
      </c>
      <c r="D3296" t="s">
        <v>1299</v>
      </c>
      <c r="E3296" s="220">
        <v>9.4299999999999995E-2</v>
      </c>
    </row>
    <row r="3297" spans="1:5">
      <c r="A3297" t="s">
        <v>2875</v>
      </c>
      <c r="B3297" t="s">
        <v>2916</v>
      </c>
      <c r="C3297" t="s">
        <v>1365</v>
      </c>
      <c r="D3297" t="s">
        <v>1299</v>
      </c>
      <c r="E3297" s="220">
        <v>9.9500000000000005E-2</v>
      </c>
    </row>
    <row r="3298" spans="1:5">
      <c r="A3298" t="s">
        <v>2882</v>
      </c>
      <c r="B3298" t="s">
        <v>2916</v>
      </c>
      <c r="C3298" t="s">
        <v>1365</v>
      </c>
      <c r="D3298" t="s">
        <v>1299</v>
      </c>
      <c r="E3298" s="220">
        <v>9.4367999999999994E-2</v>
      </c>
    </row>
    <row r="3299" spans="1:5">
      <c r="A3299" t="s">
        <v>2884</v>
      </c>
      <c r="B3299" t="s">
        <v>2916</v>
      </c>
      <c r="C3299" t="s">
        <v>1365</v>
      </c>
      <c r="D3299" t="s">
        <v>1299</v>
      </c>
      <c r="E3299" s="220">
        <v>9.4299999999999995E-2</v>
      </c>
    </row>
    <row r="3300" spans="1:5">
      <c r="A3300" t="s">
        <v>2849</v>
      </c>
      <c r="B3300" t="s">
        <v>2916</v>
      </c>
      <c r="C3300" t="s">
        <v>1333</v>
      </c>
      <c r="D3300" t="s">
        <v>1301</v>
      </c>
      <c r="E3300" s="220">
        <v>7.2912999999999992E-2</v>
      </c>
    </row>
    <row r="3301" spans="1:5">
      <c r="A3301" t="s">
        <v>2854</v>
      </c>
      <c r="B3301" t="s">
        <v>2916</v>
      </c>
      <c r="C3301" t="s">
        <v>1333</v>
      </c>
      <c r="D3301" t="s">
        <v>1301</v>
      </c>
      <c r="E3301" s="220">
        <v>7.3372000000000007E-2</v>
      </c>
    </row>
    <row r="3302" spans="1:5">
      <c r="A3302" t="s">
        <v>2853</v>
      </c>
      <c r="B3302" t="s">
        <v>2916</v>
      </c>
      <c r="C3302" t="s">
        <v>1333</v>
      </c>
      <c r="D3302" t="s">
        <v>1301</v>
      </c>
      <c r="E3302" s="220">
        <v>7.2081000000000006E-2</v>
      </c>
    </row>
    <row r="3303" spans="1:5">
      <c r="A3303" t="s">
        <v>2865</v>
      </c>
      <c r="B3303" t="s">
        <v>2916</v>
      </c>
      <c r="C3303" t="s">
        <v>1333</v>
      </c>
      <c r="D3303" t="s">
        <v>1301</v>
      </c>
      <c r="E3303" s="220">
        <v>7.2327000000000002E-2</v>
      </c>
    </row>
    <row r="3304" spans="1:5">
      <c r="A3304" t="s">
        <v>2871</v>
      </c>
      <c r="B3304" t="s">
        <v>2916</v>
      </c>
      <c r="C3304" t="s">
        <v>1333</v>
      </c>
      <c r="D3304" t="s">
        <v>1301</v>
      </c>
      <c r="E3304" s="220">
        <v>7.3090999999999989E-2</v>
      </c>
    </row>
    <row r="3305" spans="1:5">
      <c r="A3305" t="s">
        <v>2875</v>
      </c>
      <c r="B3305" t="s">
        <v>2916</v>
      </c>
      <c r="C3305" t="s">
        <v>1333</v>
      </c>
      <c r="D3305" t="s">
        <v>1301</v>
      </c>
      <c r="E3305" s="220">
        <v>7.2907E-2</v>
      </c>
    </row>
    <row r="3306" spans="1:5">
      <c r="A3306" t="s">
        <v>2882</v>
      </c>
      <c r="B3306" t="s">
        <v>2916</v>
      </c>
      <c r="C3306" t="s">
        <v>1333</v>
      </c>
      <c r="D3306" t="s">
        <v>1301</v>
      </c>
      <c r="E3306" s="220">
        <v>7.2989999999999999E-2</v>
      </c>
    </row>
    <row r="3307" spans="1:5">
      <c r="A3307" t="s">
        <v>2884</v>
      </c>
      <c r="B3307" t="s">
        <v>2916</v>
      </c>
      <c r="C3307" t="s">
        <v>1333</v>
      </c>
      <c r="D3307" t="s">
        <v>1301</v>
      </c>
      <c r="E3307" s="220">
        <v>7.1950999999999987E-2</v>
      </c>
    </row>
    <row r="3308" spans="1:5">
      <c r="A3308" t="s">
        <v>2849</v>
      </c>
      <c r="B3308" t="s">
        <v>2916</v>
      </c>
      <c r="C3308" t="s">
        <v>1361</v>
      </c>
      <c r="D3308" t="s">
        <v>1301</v>
      </c>
      <c r="E3308" s="220">
        <v>7.3400000000000007E-2</v>
      </c>
    </row>
    <row r="3309" spans="1:5">
      <c r="A3309" t="s">
        <v>2854</v>
      </c>
      <c r="B3309" t="s">
        <v>2916</v>
      </c>
      <c r="C3309" t="s">
        <v>1361</v>
      </c>
      <c r="D3309" t="s">
        <v>1301</v>
      </c>
      <c r="E3309" s="220">
        <v>7.3400000000000007E-2</v>
      </c>
    </row>
    <row r="3310" spans="1:5">
      <c r="A3310" t="s">
        <v>2853</v>
      </c>
      <c r="B3310" t="s">
        <v>2916</v>
      </c>
      <c r="C3310" t="s">
        <v>1361</v>
      </c>
      <c r="D3310" t="s">
        <v>1301</v>
      </c>
      <c r="E3310" s="220">
        <v>7.3400000000000007E-2</v>
      </c>
    </row>
    <row r="3311" spans="1:5">
      <c r="A3311" t="s">
        <v>2865</v>
      </c>
      <c r="B3311" t="s">
        <v>2916</v>
      </c>
      <c r="C3311" t="s">
        <v>1361</v>
      </c>
      <c r="D3311" t="s">
        <v>1301</v>
      </c>
      <c r="E3311" s="220">
        <v>7.3400000000000007E-2</v>
      </c>
    </row>
    <row r="3312" spans="1:5">
      <c r="A3312" t="s">
        <v>2871</v>
      </c>
      <c r="B3312" t="s">
        <v>2916</v>
      </c>
      <c r="C3312" t="s">
        <v>1361</v>
      </c>
      <c r="D3312" t="s">
        <v>1301</v>
      </c>
      <c r="E3312" s="220">
        <v>7.3400000000000007E-2</v>
      </c>
    </row>
    <row r="3313" spans="1:5">
      <c r="A3313" t="s">
        <v>2875</v>
      </c>
      <c r="B3313" t="s">
        <v>2916</v>
      </c>
      <c r="C3313" t="s">
        <v>1361</v>
      </c>
      <c r="D3313" t="s">
        <v>1301</v>
      </c>
      <c r="E3313" s="220">
        <v>7.3400000000000007E-2</v>
      </c>
    </row>
    <row r="3314" spans="1:5">
      <c r="A3314" t="s">
        <v>2882</v>
      </c>
      <c r="B3314" t="s">
        <v>2916</v>
      </c>
      <c r="C3314" t="s">
        <v>1361</v>
      </c>
      <c r="D3314" t="s">
        <v>1301</v>
      </c>
      <c r="E3314" s="220">
        <v>7.3400000000000007E-2</v>
      </c>
    </row>
    <row r="3315" spans="1:5">
      <c r="A3315" t="s">
        <v>2884</v>
      </c>
      <c r="B3315" t="s">
        <v>2916</v>
      </c>
      <c r="C3315" t="s">
        <v>1361</v>
      </c>
      <c r="D3315" t="s">
        <v>1301</v>
      </c>
      <c r="E3315" s="220">
        <v>7.3400000000000007E-2</v>
      </c>
    </row>
    <row r="3316" spans="1:5">
      <c r="A3316" t="s">
        <v>2849</v>
      </c>
      <c r="B3316" t="s">
        <v>2916</v>
      </c>
      <c r="C3316" t="s">
        <v>1365</v>
      </c>
      <c r="D3316" t="s">
        <v>1301</v>
      </c>
      <c r="E3316" s="220">
        <v>7.3400000000000007E-2</v>
      </c>
    </row>
    <row r="3317" spans="1:5">
      <c r="A3317" t="s">
        <v>2854</v>
      </c>
      <c r="B3317" t="s">
        <v>2916</v>
      </c>
      <c r="C3317" t="s">
        <v>1365</v>
      </c>
      <c r="D3317" t="s">
        <v>1301</v>
      </c>
      <c r="E3317" s="220">
        <v>7.3400000000000007E-2</v>
      </c>
    </row>
    <row r="3318" spans="1:5">
      <c r="A3318" t="s">
        <v>2853</v>
      </c>
      <c r="B3318" t="s">
        <v>2916</v>
      </c>
      <c r="C3318" t="s">
        <v>1365</v>
      </c>
      <c r="D3318" t="s">
        <v>1301</v>
      </c>
      <c r="E3318" s="220">
        <v>7.3453000000000004E-2</v>
      </c>
    </row>
    <row r="3319" spans="1:5">
      <c r="A3319" t="s">
        <v>2865</v>
      </c>
      <c r="B3319" t="s">
        <v>2916</v>
      </c>
      <c r="C3319" t="s">
        <v>1365</v>
      </c>
      <c r="D3319" t="s">
        <v>1301</v>
      </c>
      <c r="E3319" s="220">
        <v>7.3400000000000007E-2</v>
      </c>
    </row>
    <row r="3320" spans="1:5">
      <c r="A3320" t="s">
        <v>2871</v>
      </c>
      <c r="B3320" t="s">
        <v>2916</v>
      </c>
      <c r="C3320" t="s">
        <v>1365</v>
      </c>
      <c r="D3320" t="s">
        <v>1301</v>
      </c>
      <c r="E3320" s="220">
        <v>7.3400000000000007E-2</v>
      </c>
    </row>
    <row r="3321" spans="1:5">
      <c r="A3321" t="s">
        <v>2875</v>
      </c>
      <c r="B3321" t="s">
        <v>2916</v>
      </c>
      <c r="C3321" t="s">
        <v>1365</v>
      </c>
      <c r="D3321" t="s">
        <v>1301</v>
      </c>
      <c r="E3321" s="220">
        <v>7.3400000000000007E-2</v>
      </c>
    </row>
    <row r="3322" spans="1:5">
      <c r="A3322" t="s">
        <v>2884</v>
      </c>
      <c r="B3322" t="s">
        <v>2916</v>
      </c>
      <c r="C3322" t="s">
        <v>1365</v>
      </c>
      <c r="D3322" t="s">
        <v>1301</v>
      </c>
      <c r="E3322" s="220">
        <v>7.3400000000000007E-2</v>
      </c>
    </row>
    <row r="3323" spans="1:5">
      <c r="A3323" t="s">
        <v>2849</v>
      </c>
      <c r="B3323" t="s">
        <v>2916</v>
      </c>
      <c r="C3323" t="s">
        <v>1372</v>
      </c>
      <c r="D3323" t="s">
        <v>1301</v>
      </c>
      <c r="E3323" s="220">
        <v>7.2305000000000008E-2</v>
      </c>
    </row>
    <row r="3324" spans="1:5">
      <c r="A3324" t="s">
        <v>2854</v>
      </c>
      <c r="B3324" t="s">
        <v>2916</v>
      </c>
      <c r="C3324" t="s">
        <v>1372</v>
      </c>
      <c r="D3324" t="s">
        <v>1301</v>
      </c>
      <c r="E3324" s="220">
        <v>7.3290000000000008E-2</v>
      </c>
    </row>
    <row r="3325" spans="1:5">
      <c r="A3325" t="s">
        <v>2853</v>
      </c>
      <c r="B3325" t="s">
        <v>2916</v>
      </c>
      <c r="C3325" t="s">
        <v>1372</v>
      </c>
      <c r="D3325" t="s">
        <v>1301</v>
      </c>
      <c r="E3325" s="220">
        <v>7.0881E-2</v>
      </c>
    </row>
    <row r="3326" spans="1:5">
      <c r="A3326" t="s">
        <v>2865</v>
      </c>
      <c r="B3326" t="s">
        <v>2916</v>
      </c>
      <c r="C3326" t="s">
        <v>1372</v>
      </c>
      <c r="D3326" t="s">
        <v>1301</v>
      </c>
      <c r="E3326" s="220">
        <v>7.0688000000000001E-2</v>
      </c>
    </row>
    <row r="3327" spans="1:5">
      <c r="A3327" t="s">
        <v>2871</v>
      </c>
      <c r="B3327" t="s">
        <v>2916</v>
      </c>
      <c r="C3327" t="s">
        <v>1372</v>
      </c>
      <c r="D3327" t="s">
        <v>1301</v>
      </c>
      <c r="E3327" s="220">
        <v>7.2685E-2</v>
      </c>
    </row>
    <row r="3328" spans="1:5">
      <c r="A3328" t="s">
        <v>2875</v>
      </c>
      <c r="B3328" t="s">
        <v>2916</v>
      </c>
      <c r="C3328" t="s">
        <v>1372</v>
      </c>
      <c r="D3328" t="s">
        <v>1301</v>
      </c>
      <c r="E3328" s="220">
        <v>7.2138000000000008E-2</v>
      </c>
    </row>
    <row r="3329" spans="1:5">
      <c r="A3329" t="s">
        <v>2882</v>
      </c>
      <c r="B3329" t="s">
        <v>2916</v>
      </c>
      <c r="C3329" t="s">
        <v>1372</v>
      </c>
      <c r="D3329" t="s">
        <v>1301</v>
      </c>
      <c r="E3329" s="220">
        <v>7.2581999999999994E-2</v>
      </c>
    </row>
    <row r="3330" spans="1:5">
      <c r="A3330" t="s">
        <v>2884</v>
      </c>
      <c r="B3330" t="s">
        <v>2916</v>
      </c>
      <c r="C3330" t="s">
        <v>1372</v>
      </c>
      <c r="D3330" t="s">
        <v>1301</v>
      </c>
      <c r="E3330" s="220">
        <v>7.0808999999999997E-2</v>
      </c>
    </row>
    <row r="3331" spans="1:5">
      <c r="A3331" t="s">
        <v>2849</v>
      </c>
      <c r="B3331" t="s">
        <v>2916</v>
      </c>
      <c r="C3331" t="s">
        <v>1333</v>
      </c>
      <c r="D3331" t="s">
        <v>1305</v>
      </c>
      <c r="E3331" s="220">
        <v>6.8085999999999994E-2</v>
      </c>
    </row>
    <row r="3332" spans="1:5">
      <c r="A3332" t="s">
        <v>2854</v>
      </c>
      <c r="B3332" t="s">
        <v>2916</v>
      </c>
      <c r="C3332" t="s">
        <v>1333</v>
      </c>
      <c r="D3332" t="s">
        <v>1305</v>
      </c>
      <c r="E3332" s="220">
        <v>6.8573999999999996E-2</v>
      </c>
    </row>
    <row r="3333" spans="1:5">
      <c r="A3333" t="s">
        <v>2853</v>
      </c>
      <c r="B3333" t="s">
        <v>2916</v>
      </c>
      <c r="C3333" t="s">
        <v>1333</v>
      </c>
      <c r="D3333" t="s">
        <v>1305</v>
      </c>
      <c r="E3333" s="220">
        <v>6.7973000000000006E-2</v>
      </c>
    </row>
    <row r="3334" spans="1:5">
      <c r="A3334" t="s">
        <v>2865</v>
      </c>
      <c r="B3334" t="s">
        <v>2916</v>
      </c>
      <c r="C3334" t="s">
        <v>1333</v>
      </c>
      <c r="D3334" t="s">
        <v>1305</v>
      </c>
      <c r="E3334" s="220">
        <v>6.7572999999999994E-2</v>
      </c>
    </row>
    <row r="3335" spans="1:5">
      <c r="A3335" t="s">
        <v>2871</v>
      </c>
      <c r="B3335" t="s">
        <v>2916</v>
      </c>
      <c r="C3335" t="s">
        <v>1333</v>
      </c>
      <c r="D3335" t="s">
        <v>1305</v>
      </c>
      <c r="E3335" s="220">
        <v>6.8425E-2</v>
      </c>
    </row>
    <row r="3336" spans="1:5">
      <c r="A3336" t="s">
        <v>2875</v>
      </c>
      <c r="B3336" t="s">
        <v>2916</v>
      </c>
      <c r="C3336" t="s">
        <v>1333</v>
      </c>
      <c r="D3336" t="s">
        <v>1305</v>
      </c>
      <c r="E3336" s="220">
        <v>6.7454E-2</v>
      </c>
    </row>
    <row r="3337" spans="1:5">
      <c r="A3337" t="s">
        <v>2882</v>
      </c>
      <c r="B3337" t="s">
        <v>2916</v>
      </c>
      <c r="C3337" t="s">
        <v>1333</v>
      </c>
      <c r="D3337" t="s">
        <v>1305</v>
      </c>
      <c r="E3337" s="220">
        <v>6.8275000000000002E-2</v>
      </c>
    </row>
    <row r="3338" spans="1:5">
      <c r="A3338" t="s">
        <v>2884</v>
      </c>
      <c r="B3338" t="s">
        <v>2916</v>
      </c>
      <c r="C3338" t="s">
        <v>1333</v>
      </c>
      <c r="D3338" t="s">
        <v>1305</v>
      </c>
      <c r="E3338" s="220">
        <v>6.8001999999999993E-2</v>
      </c>
    </row>
    <row r="3339" spans="1:5">
      <c r="A3339" t="s">
        <v>2849</v>
      </c>
      <c r="B3339" t="s">
        <v>2916</v>
      </c>
      <c r="C3339" t="s">
        <v>1361</v>
      </c>
      <c r="D3339" t="s">
        <v>1305</v>
      </c>
      <c r="E3339" s="220">
        <v>6.8599999999999994E-2</v>
      </c>
    </row>
    <row r="3340" spans="1:5">
      <c r="A3340" t="s">
        <v>2854</v>
      </c>
      <c r="B3340" t="s">
        <v>2916</v>
      </c>
      <c r="C3340" t="s">
        <v>1361</v>
      </c>
      <c r="D3340" t="s">
        <v>1305</v>
      </c>
      <c r="E3340" s="220">
        <v>6.8599999999999994E-2</v>
      </c>
    </row>
    <row r="3341" spans="1:5">
      <c r="A3341" t="s">
        <v>2853</v>
      </c>
      <c r="B3341" t="s">
        <v>2916</v>
      </c>
      <c r="C3341" t="s">
        <v>1361</v>
      </c>
      <c r="D3341" t="s">
        <v>1305</v>
      </c>
      <c r="E3341" s="220">
        <v>6.8599999999999994E-2</v>
      </c>
    </row>
    <row r="3342" spans="1:5">
      <c r="A3342" t="s">
        <v>2865</v>
      </c>
      <c r="B3342" t="s">
        <v>2916</v>
      </c>
      <c r="C3342" t="s">
        <v>1361</v>
      </c>
      <c r="D3342" t="s">
        <v>1305</v>
      </c>
      <c r="E3342" s="220">
        <v>6.8599999999999994E-2</v>
      </c>
    </row>
    <row r="3343" spans="1:5">
      <c r="A3343" t="s">
        <v>2875</v>
      </c>
      <c r="B3343" t="s">
        <v>2916</v>
      </c>
      <c r="C3343" t="s">
        <v>1361</v>
      </c>
      <c r="D3343" t="s">
        <v>1305</v>
      </c>
      <c r="E3343" s="220">
        <v>6.8599999999999994E-2</v>
      </c>
    </row>
    <row r="3344" spans="1:5">
      <c r="A3344" t="s">
        <v>2882</v>
      </c>
      <c r="B3344" t="s">
        <v>2916</v>
      </c>
      <c r="C3344" t="s">
        <v>1361</v>
      </c>
      <c r="D3344" t="s">
        <v>1305</v>
      </c>
      <c r="E3344" s="220">
        <v>6.8599999999999994E-2</v>
      </c>
    </row>
    <row r="3345" spans="1:5">
      <c r="A3345" t="s">
        <v>2849</v>
      </c>
      <c r="B3345" t="s">
        <v>2916</v>
      </c>
      <c r="C3345" t="s">
        <v>1365</v>
      </c>
      <c r="D3345" t="s">
        <v>1305</v>
      </c>
      <c r="E3345" s="220">
        <v>6.7905000000000007E-2</v>
      </c>
    </row>
    <row r="3346" spans="1:5">
      <c r="A3346" t="s">
        <v>2854</v>
      </c>
      <c r="B3346" t="s">
        <v>2916</v>
      </c>
      <c r="C3346" t="s">
        <v>1365</v>
      </c>
      <c r="D3346" t="s">
        <v>1305</v>
      </c>
      <c r="E3346" s="220">
        <v>6.8599999999999994E-2</v>
      </c>
    </row>
    <row r="3347" spans="1:5">
      <c r="A3347" t="s">
        <v>2853</v>
      </c>
      <c r="B3347" t="s">
        <v>2916</v>
      </c>
      <c r="C3347" t="s">
        <v>1365</v>
      </c>
      <c r="D3347" t="s">
        <v>1305</v>
      </c>
      <c r="E3347" s="220">
        <v>6.88E-2</v>
      </c>
    </row>
    <row r="3348" spans="1:5">
      <c r="A3348" t="s">
        <v>2865</v>
      </c>
      <c r="B3348" t="s">
        <v>2916</v>
      </c>
      <c r="C3348" t="s">
        <v>1365</v>
      </c>
      <c r="D3348" t="s">
        <v>1305</v>
      </c>
      <c r="E3348" s="220">
        <v>6.8134E-2</v>
      </c>
    </row>
    <row r="3349" spans="1:5">
      <c r="A3349" t="s">
        <v>2871</v>
      </c>
      <c r="B3349" t="s">
        <v>2916</v>
      </c>
      <c r="C3349" t="s">
        <v>1365</v>
      </c>
      <c r="D3349" t="s">
        <v>1305</v>
      </c>
      <c r="E3349" s="220">
        <v>6.8555000000000005E-2</v>
      </c>
    </row>
    <row r="3350" spans="1:5">
      <c r="A3350" t="s">
        <v>2875</v>
      </c>
      <c r="B3350" t="s">
        <v>2916</v>
      </c>
      <c r="C3350" t="s">
        <v>1365</v>
      </c>
      <c r="D3350" t="s">
        <v>1305</v>
      </c>
      <c r="E3350" s="220">
        <v>6.8551000000000001E-2</v>
      </c>
    </row>
    <row r="3351" spans="1:5">
      <c r="A3351" t="s">
        <v>2882</v>
      </c>
      <c r="B3351" t="s">
        <v>2916</v>
      </c>
      <c r="C3351" t="s">
        <v>1365</v>
      </c>
      <c r="D3351" t="s">
        <v>1305</v>
      </c>
      <c r="E3351" s="220">
        <v>6.7516999999999994E-2</v>
      </c>
    </row>
    <row r="3352" spans="1:5">
      <c r="A3352" t="s">
        <v>2884</v>
      </c>
      <c r="B3352" t="s">
        <v>2916</v>
      </c>
      <c r="C3352" t="s">
        <v>1365</v>
      </c>
      <c r="D3352" t="s">
        <v>1305</v>
      </c>
      <c r="E3352" s="220">
        <v>6.8227999999999997E-2</v>
      </c>
    </row>
    <row r="3353" spans="1:5">
      <c r="A3353" t="s">
        <v>2849</v>
      </c>
      <c r="B3353" t="s">
        <v>2916</v>
      </c>
      <c r="C3353" t="s">
        <v>1372</v>
      </c>
      <c r="D3353" t="s">
        <v>1305</v>
      </c>
      <c r="E3353" s="220">
        <v>6.7512000000000003E-2</v>
      </c>
    </row>
    <row r="3354" spans="1:5">
      <c r="A3354" t="s">
        <v>2854</v>
      </c>
      <c r="B3354" t="s">
        <v>2916</v>
      </c>
      <c r="C3354" t="s">
        <v>1372</v>
      </c>
      <c r="D3354" t="s">
        <v>1305</v>
      </c>
      <c r="E3354" s="220">
        <v>6.8497000000000002E-2</v>
      </c>
    </row>
    <row r="3355" spans="1:5">
      <c r="A3355" t="s">
        <v>2853</v>
      </c>
      <c r="B3355" t="s">
        <v>2916</v>
      </c>
      <c r="C3355" t="s">
        <v>1372</v>
      </c>
      <c r="D3355" t="s">
        <v>1305</v>
      </c>
      <c r="E3355" s="220">
        <v>6.6998000000000002E-2</v>
      </c>
    </row>
    <row r="3356" spans="1:5">
      <c r="A3356" t="s">
        <v>2865</v>
      </c>
      <c r="B3356" t="s">
        <v>2916</v>
      </c>
      <c r="C3356" t="s">
        <v>1372</v>
      </c>
      <c r="D3356" t="s">
        <v>1305</v>
      </c>
      <c r="E3356" s="220">
        <v>6.5541000000000002E-2</v>
      </c>
    </row>
    <row r="3357" spans="1:5">
      <c r="A3357" t="s">
        <v>2871</v>
      </c>
      <c r="B3357" t="s">
        <v>2916</v>
      </c>
      <c r="C3357" t="s">
        <v>1372</v>
      </c>
      <c r="D3357" t="s">
        <v>1305</v>
      </c>
      <c r="E3357" s="220">
        <v>6.8007999999999999E-2</v>
      </c>
    </row>
    <row r="3358" spans="1:5">
      <c r="A3358" t="s">
        <v>2875</v>
      </c>
      <c r="B3358" t="s">
        <v>2916</v>
      </c>
      <c r="C3358" t="s">
        <v>1372</v>
      </c>
      <c r="D3358" t="s">
        <v>1305</v>
      </c>
      <c r="E3358" s="220">
        <v>6.5705E-2</v>
      </c>
    </row>
    <row r="3359" spans="1:5">
      <c r="A3359" t="s">
        <v>2882</v>
      </c>
      <c r="B3359" t="s">
        <v>2916</v>
      </c>
      <c r="C3359" t="s">
        <v>1372</v>
      </c>
      <c r="D3359" t="s">
        <v>1305</v>
      </c>
      <c r="E3359" s="220">
        <v>6.7835999999999994E-2</v>
      </c>
    </row>
    <row r="3360" spans="1:5">
      <c r="A3360" t="s">
        <v>2884</v>
      </c>
      <c r="B3360" t="s">
        <v>2916</v>
      </c>
      <c r="C3360" t="s">
        <v>1372</v>
      </c>
      <c r="D3360" t="s">
        <v>1305</v>
      </c>
      <c r="E3360" s="220">
        <v>6.6178000000000001E-2</v>
      </c>
    </row>
    <row r="3361" spans="1:5">
      <c r="A3361" t="s">
        <v>2849</v>
      </c>
      <c r="B3361" t="s">
        <v>2916</v>
      </c>
      <c r="C3361" t="s">
        <v>1368</v>
      </c>
      <c r="D3361" t="s">
        <v>1309</v>
      </c>
      <c r="E3361" s="220">
        <v>6.8479999999999999E-2</v>
      </c>
    </row>
    <row r="3362" spans="1:5">
      <c r="A3362" t="s">
        <v>2854</v>
      </c>
      <c r="B3362" t="s">
        <v>2916</v>
      </c>
      <c r="C3362" t="s">
        <v>1368</v>
      </c>
      <c r="D3362" t="s">
        <v>1309</v>
      </c>
      <c r="E3362" s="220">
        <v>6.8599999999999994E-2</v>
      </c>
    </row>
    <row r="3363" spans="1:5">
      <c r="A3363" t="s">
        <v>2853</v>
      </c>
      <c r="B3363" t="s">
        <v>2916</v>
      </c>
      <c r="C3363" t="s">
        <v>1368</v>
      </c>
      <c r="D3363" t="s">
        <v>1309</v>
      </c>
      <c r="E3363" s="220">
        <v>6.8695999999999993E-2</v>
      </c>
    </row>
    <row r="3364" spans="1:5">
      <c r="A3364" t="s">
        <v>2865</v>
      </c>
      <c r="B3364" t="s">
        <v>2916</v>
      </c>
      <c r="C3364" t="s">
        <v>1368</v>
      </c>
      <c r="D3364" t="s">
        <v>1309</v>
      </c>
      <c r="E3364" s="220">
        <v>6.8599999999999994E-2</v>
      </c>
    </row>
    <row r="3365" spans="1:5">
      <c r="A3365" t="s">
        <v>2871</v>
      </c>
      <c r="B3365" t="s">
        <v>2916</v>
      </c>
      <c r="C3365" t="s">
        <v>1368</v>
      </c>
      <c r="D3365" t="s">
        <v>1309</v>
      </c>
      <c r="E3365" s="220">
        <v>6.8599999999999994E-2</v>
      </c>
    </row>
    <row r="3366" spans="1:5">
      <c r="A3366" t="s">
        <v>2875</v>
      </c>
      <c r="B3366" t="s">
        <v>2916</v>
      </c>
      <c r="C3366" t="s">
        <v>1368</v>
      </c>
      <c r="D3366" t="s">
        <v>1309</v>
      </c>
      <c r="E3366" s="220">
        <v>6.8599999999999994E-2</v>
      </c>
    </row>
    <row r="3367" spans="1:5">
      <c r="A3367" t="s">
        <v>2882</v>
      </c>
      <c r="B3367" t="s">
        <v>2916</v>
      </c>
      <c r="C3367" t="s">
        <v>1368</v>
      </c>
      <c r="D3367" t="s">
        <v>1309</v>
      </c>
      <c r="E3367" s="220">
        <v>6.8599999999999994E-2</v>
      </c>
    </row>
    <row r="3368" spans="1:5">
      <c r="A3368" t="s">
        <v>2884</v>
      </c>
      <c r="B3368" t="s">
        <v>2916</v>
      </c>
      <c r="C3368" t="s">
        <v>1368</v>
      </c>
      <c r="D3368" t="s">
        <v>1309</v>
      </c>
      <c r="E3368" s="220">
        <v>6.8599999999999994E-2</v>
      </c>
    </row>
    <row r="3369" spans="1:5">
      <c r="A3369" t="s">
        <v>2849</v>
      </c>
      <c r="B3369" t="s">
        <v>2916</v>
      </c>
      <c r="C3369" t="s">
        <v>1333</v>
      </c>
      <c r="D3369" t="s">
        <v>1311</v>
      </c>
      <c r="E3369" s="220">
        <v>6.8085999999999994E-2</v>
      </c>
    </row>
    <row r="3370" spans="1:5">
      <c r="A3370" t="s">
        <v>2854</v>
      </c>
      <c r="B3370" t="s">
        <v>2916</v>
      </c>
      <c r="C3370" t="s">
        <v>1333</v>
      </c>
      <c r="D3370" t="s">
        <v>1311</v>
      </c>
      <c r="E3370" s="220">
        <v>6.8573999999999996E-2</v>
      </c>
    </row>
    <row r="3371" spans="1:5">
      <c r="A3371" t="s">
        <v>2853</v>
      </c>
      <c r="B3371" t="s">
        <v>2916</v>
      </c>
      <c r="C3371" t="s">
        <v>1333</v>
      </c>
      <c r="D3371" t="s">
        <v>1311</v>
      </c>
      <c r="E3371" s="220">
        <v>6.7973000000000006E-2</v>
      </c>
    </row>
    <row r="3372" spans="1:5">
      <c r="A3372" t="s">
        <v>2865</v>
      </c>
      <c r="B3372" t="s">
        <v>2916</v>
      </c>
      <c r="C3372" t="s">
        <v>1333</v>
      </c>
      <c r="D3372" t="s">
        <v>1311</v>
      </c>
      <c r="E3372" s="220">
        <v>6.7572999999999994E-2</v>
      </c>
    </row>
    <row r="3373" spans="1:5">
      <c r="A3373" t="s">
        <v>2871</v>
      </c>
      <c r="B3373" t="s">
        <v>2916</v>
      </c>
      <c r="C3373" t="s">
        <v>1333</v>
      </c>
      <c r="D3373" t="s">
        <v>1311</v>
      </c>
      <c r="E3373" s="220">
        <v>6.8425E-2</v>
      </c>
    </row>
    <row r="3374" spans="1:5">
      <c r="A3374" t="s">
        <v>2875</v>
      </c>
      <c r="B3374" t="s">
        <v>2916</v>
      </c>
      <c r="C3374" t="s">
        <v>1333</v>
      </c>
      <c r="D3374" t="s">
        <v>1311</v>
      </c>
      <c r="E3374" s="220">
        <v>6.7454E-2</v>
      </c>
    </row>
    <row r="3375" spans="1:5">
      <c r="A3375" t="s">
        <v>2882</v>
      </c>
      <c r="B3375" t="s">
        <v>2916</v>
      </c>
      <c r="C3375" t="s">
        <v>1333</v>
      </c>
      <c r="D3375" t="s">
        <v>1311</v>
      </c>
      <c r="E3375" s="220">
        <v>6.8275000000000002E-2</v>
      </c>
    </row>
    <row r="3376" spans="1:5">
      <c r="A3376" t="s">
        <v>2884</v>
      </c>
      <c r="B3376" t="s">
        <v>2916</v>
      </c>
      <c r="C3376" t="s">
        <v>1333</v>
      </c>
      <c r="D3376" t="s">
        <v>1311</v>
      </c>
      <c r="E3376" s="220">
        <v>6.8001999999999993E-2</v>
      </c>
    </row>
    <row r="3377" spans="1:5">
      <c r="A3377" t="s">
        <v>2849</v>
      </c>
      <c r="B3377" t="s">
        <v>2916</v>
      </c>
      <c r="C3377" t="s">
        <v>1365</v>
      </c>
      <c r="D3377" t="s">
        <v>1311</v>
      </c>
      <c r="E3377" s="220">
        <v>6.7905000000000007E-2</v>
      </c>
    </row>
    <row r="3378" spans="1:5">
      <c r="A3378" t="s">
        <v>2854</v>
      </c>
      <c r="B3378" t="s">
        <v>2916</v>
      </c>
      <c r="C3378" t="s">
        <v>1365</v>
      </c>
      <c r="D3378" t="s">
        <v>1311</v>
      </c>
      <c r="E3378" s="220">
        <v>6.8599999999999994E-2</v>
      </c>
    </row>
    <row r="3379" spans="1:5">
      <c r="A3379" t="s">
        <v>2853</v>
      </c>
      <c r="B3379" t="s">
        <v>2916</v>
      </c>
      <c r="C3379" t="s">
        <v>1365</v>
      </c>
      <c r="D3379" t="s">
        <v>1311</v>
      </c>
      <c r="E3379" s="220">
        <v>6.88E-2</v>
      </c>
    </row>
    <row r="3380" spans="1:5">
      <c r="A3380" t="s">
        <v>2865</v>
      </c>
      <c r="B3380" t="s">
        <v>2916</v>
      </c>
      <c r="C3380" t="s">
        <v>1365</v>
      </c>
      <c r="D3380" t="s">
        <v>1311</v>
      </c>
      <c r="E3380" s="220">
        <v>6.8134E-2</v>
      </c>
    </row>
    <row r="3381" spans="1:5">
      <c r="A3381" t="s">
        <v>2871</v>
      </c>
      <c r="B3381" t="s">
        <v>2916</v>
      </c>
      <c r="C3381" t="s">
        <v>1365</v>
      </c>
      <c r="D3381" t="s">
        <v>1311</v>
      </c>
      <c r="E3381" s="220">
        <v>6.8555000000000005E-2</v>
      </c>
    </row>
    <row r="3382" spans="1:5">
      <c r="A3382" t="s">
        <v>2875</v>
      </c>
      <c r="B3382" t="s">
        <v>2916</v>
      </c>
      <c r="C3382" t="s">
        <v>1365</v>
      </c>
      <c r="D3382" t="s">
        <v>1311</v>
      </c>
      <c r="E3382" s="220">
        <v>6.8551000000000001E-2</v>
      </c>
    </row>
    <row r="3383" spans="1:5">
      <c r="A3383" t="s">
        <v>2882</v>
      </c>
      <c r="B3383" t="s">
        <v>2916</v>
      </c>
      <c r="C3383" t="s">
        <v>1365</v>
      </c>
      <c r="D3383" t="s">
        <v>1311</v>
      </c>
      <c r="E3383" s="220">
        <v>6.7516999999999994E-2</v>
      </c>
    </row>
    <row r="3384" spans="1:5">
      <c r="A3384" t="s">
        <v>2884</v>
      </c>
      <c r="B3384" t="s">
        <v>2916</v>
      </c>
      <c r="C3384" t="s">
        <v>1365</v>
      </c>
      <c r="D3384" t="s">
        <v>1311</v>
      </c>
      <c r="E3384" s="220">
        <v>6.8227999999999997E-2</v>
      </c>
    </row>
    <row r="3385" spans="1:5">
      <c r="A3385" t="s">
        <v>2849</v>
      </c>
      <c r="B3385" t="s">
        <v>2916</v>
      </c>
      <c r="C3385" t="s">
        <v>1333</v>
      </c>
      <c r="D3385" t="s">
        <v>1313</v>
      </c>
      <c r="E3385" s="220">
        <v>6.8599999999999994E-2</v>
      </c>
    </row>
    <row r="3386" spans="1:5">
      <c r="A3386" t="s">
        <v>2854</v>
      </c>
      <c r="B3386" t="s">
        <v>2916</v>
      </c>
      <c r="C3386" t="s">
        <v>1333</v>
      </c>
      <c r="D3386" t="s">
        <v>1313</v>
      </c>
      <c r="E3386" s="220">
        <v>6.8599999999999994E-2</v>
      </c>
    </row>
    <row r="3387" spans="1:5">
      <c r="A3387" t="s">
        <v>2853</v>
      </c>
      <c r="B3387" t="s">
        <v>2916</v>
      </c>
      <c r="C3387" t="s">
        <v>1333</v>
      </c>
      <c r="D3387" t="s">
        <v>1313</v>
      </c>
      <c r="E3387" s="220">
        <v>6.8477999999999997E-2</v>
      </c>
    </row>
    <row r="3388" spans="1:5">
      <c r="A3388" t="s">
        <v>2865</v>
      </c>
      <c r="B3388" t="s">
        <v>2916</v>
      </c>
      <c r="C3388" t="s">
        <v>1333</v>
      </c>
      <c r="D3388" t="s">
        <v>1313</v>
      </c>
      <c r="E3388" s="220">
        <v>6.8599999999999994E-2</v>
      </c>
    </row>
    <row r="3389" spans="1:5">
      <c r="A3389" t="s">
        <v>2871</v>
      </c>
      <c r="B3389" t="s">
        <v>2916</v>
      </c>
      <c r="C3389" t="s">
        <v>1333</v>
      </c>
      <c r="D3389" t="s">
        <v>1313</v>
      </c>
      <c r="E3389" s="220">
        <v>6.8599999999999994E-2</v>
      </c>
    </row>
    <row r="3390" spans="1:5">
      <c r="A3390" t="s">
        <v>2875</v>
      </c>
      <c r="B3390" t="s">
        <v>2916</v>
      </c>
      <c r="C3390" t="s">
        <v>1333</v>
      </c>
      <c r="D3390" t="s">
        <v>1313</v>
      </c>
      <c r="E3390" s="220">
        <v>6.8599999999999994E-2</v>
      </c>
    </row>
    <row r="3391" spans="1:5">
      <c r="A3391" t="s">
        <v>2882</v>
      </c>
      <c r="B3391" t="s">
        <v>2916</v>
      </c>
      <c r="C3391" t="s">
        <v>1333</v>
      </c>
      <c r="D3391" t="s">
        <v>1313</v>
      </c>
      <c r="E3391" s="220">
        <v>6.8599999999999994E-2</v>
      </c>
    </row>
    <row r="3392" spans="1:5">
      <c r="A3392" t="s">
        <v>2884</v>
      </c>
      <c r="B3392" t="s">
        <v>2916</v>
      </c>
      <c r="C3392" t="s">
        <v>1333</v>
      </c>
      <c r="D3392" t="s">
        <v>1313</v>
      </c>
      <c r="E3392" s="220">
        <v>6.8599999999999994E-2</v>
      </c>
    </row>
    <row r="3393" spans="1:5">
      <c r="A3393" t="s">
        <v>2849</v>
      </c>
      <c r="B3393" t="s">
        <v>2916</v>
      </c>
      <c r="C3393" t="s">
        <v>1365</v>
      </c>
      <c r="D3393" t="s">
        <v>1313</v>
      </c>
      <c r="E3393" s="220">
        <v>6.8599999999999994E-2</v>
      </c>
    </row>
    <row r="3394" spans="1:5">
      <c r="A3394" t="s">
        <v>2854</v>
      </c>
      <c r="B3394" t="s">
        <v>2916</v>
      </c>
      <c r="C3394" t="s">
        <v>1365</v>
      </c>
      <c r="D3394" t="s">
        <v>1313</v>
      </c>
      <c r="E3394" s="220">
        <v>6.8599999999999994E-2</v>
      </c>
    </row>
    <row r="3395" spans="1:5">
      <c r="A3395" t="s">
        <v>2853</v>
      </c>
      <c r="B3395" t="s">
        <v>2916</v>
      </c>
      <c r="C3395" t="s">
        <v>1365</v>
      </c>
      <c r="D3395" t="s">
        <v>1313</v>
      </c>
      <c r="E3395" s="220">
        <v>6.8467E-2</v>
      </c>
    </row>
    <row r="3396" spans="1:5">
      <c r="A3396" t="s">
        <v>2865</v>
      </c>
      <c r="B3396" t="s">
        <v>2916</v>
      </c>
      <c r="C3396" t="s">
        <v>1365</v>
      </c>
      <c r="D3396" t="s">
        <v>1313</v>
      </c>
      <c r="E3396" s="220">
        <v>6.8599999999999994E-2</v>
      </c>
    </row>
    <row r="3397" spans="1:5">
      <c r="A3397" t="s">
        <v>2871</v>
      </c>
      <c r="B3397" t="s">
        <v>2916</v>
      </c>
      <c r="C3397" t="s">
        <v>1365</v>
      </c>
      <c r="D3397" t="s">
        <v>1313</v>
      </c>
      <c r="E3397" s="220">
        <v>6.8599999999999994E-2</v>
      </c>
    </row>
    <row r="3398" spans="1:5">
      <c r="A3398" t="s">
        <v>2875</v>
      </c>
      <c r="B3398" t="s">
        <v>2916</v>
      </c>
      <c r="C3398" t="s">
        <v>1365</v>
      </c>
      <c r="D3398" t="s">
        <v>1313</v>
      </c>
      <c r="E3398" s="220">
        <v>6.8599999999999994E-2</v>
      </c>
    </row>
    <row r="3399" spans="1:5">
      <c r="A3399" t="s">
        <v>2882</v>
      </c>
      <c r="B3399" t="s">
        <v>2916</v>
      </c>
      <c r="C3399" t="s">
        <v>1365</v>
      </c>
      <c r="D3399" t="s">
        <v>1313</v>
      </c>
      <c r="E3399" s="220">
        <v>6.8599999999999994E-2</v>
      </c>
    </row>
    <row r="3400" spans="1:5">
      <c r="A3400" t="s">
        <v>2884</v>
      </c>
      <c r="B3400" t="s">
        <v>2916</v>
      </c>
      <c r="C3400" t="s">
        <v>1365</v>
      </c>
      <c r="D3400" t="s">
        <v>1313</v>
      </c>
      <c r="E3400" s="220">
        <v>6.8599999999999994E-2</v>
      </c>
    </row>
    <row r="3401" spans="1:5">
      <c r="A3401" t="s">
        <v>2849</v>
      </c>
      <c r="B3401" t="s">
        <v>2916</v>
      </c>
      <c r="C3401" t="s">
        <v>1372</v>
      </c>
      <c r="D3401" t="s">
        <v>1313</v>
      </c>
      <c r="E3401" s="220">
        <v>6.8599999999999994E-2</v>
      </c>
    </row>
    <row r="3402" spans="1:5">
      <c r="A3402" t="s">
        <v>2854</v>
      </c>
      <c r="B3402" t="s">
        <v>2916</v>
      </c>
      <c r="C3402" t="s">
        <v>1372</v>
      </c>
      <c r="D3402" t="s">
        <v>1313</v>
      </c>
      <c r="E3402" s="220">
        <v>6.8599999999999994E-2</v>
      </c>
    </row>
    <row r="3403" spans="1:5">
      <c r="A3403" t="s">
        <v>2853</v>
      </c>
      <c r="B3403" t="s">
        <v>2916</v>
      </c>
      <c r="C3403" t="s">
        <v>1372</v>
      </c>
      <c r="D3403" t="s">
        <v>1313</v>
      </c>
      <c r="E3403" s="220">
        <v>6.8489999999999995E-2</v>
      </c>
    </row>
    <row r="3404" spans="1:5">
      <c r="A3404" t="s">
        <v>2865</v>
      </c>
      <c r="B3404" t="s">
        <v>2916</v>
      </c>
      <c r="C3404" t="s">
        <v>1372</v>
      </c>
      <c r="D3404" t="s">
        <v>1313</v>
      </c>
      <c r="E3404" s="220">
        <v>6.8599999999999994E-2</v>
      </c>
    </row>
    <row r="3405" spans="1:5">
      <c r="A3405" t="s">
        <v>2871</v>
      </c>
      <c r="B3405" t="s">
        <v>2916</v>
      </c>
      <c r="C3405" t="s">
        <v>1372</v>
      </c>
      <c r="D3405" t="s">
        <v>1313</v>
      </c>
      <c r="E3405" s="220">
        <v>6.8599999999999994E-2</v>
      </c>
    </row>
    <row r="3406" spans="1:5">
      <c r="A3406" t="s">
        <v>2875</v>
      </c>
      <c r="B3406" t="s">
        <v>2916</v>
      </c>
      <c r="C3406" t="s">
        <v>1372</v>
      </c>
      <c r="D3406" t="s">
        <v>1313</v>
      </c>
      <c r="E3406" s="220">
        <v>6.8599999999999994E-2</v>
      </c>
    </row>
    <row r="3407" spans="1:5">
      <c r="A3407" t="s">
        <v>2882</v>
      </c>
      <c r="B3407" t="s">
        <v>2916</v>
      </c>
      <c r="C3407" t="s">
        <v>1372</v>
      </c>
      <c r="D3407" t="s">
        <v>1313</v>
      </c>
      <c r="E3407" s="220">
        <v>6.8599999999999994E-2</v>
      </c>
    </row>
    <row r="3408" spans="1:5">
      <c r="A3408" t="s">
        <v>2884</v>
      </c>
      <c r="B3408" t="s">
        <v>2916</v>
      </c>
      <c r="C3408" t="s">
        <v>1372</v>
      </c>
      <c r="D3408" t="s">
        <v>1313</v>
      </c>
      <c r="E3408" s="220">
        <v>6.8599999999999994E-2</v>
      </c>
    </row>
    <row r="3409" spans="1:5">
      <c r="A3409" t="s">
        <v>2849</v>
      </c>
      <c r="B3409" t="s">
        <v>2916</v>
      </c>
      <c r="C3409" t="s">
        <v>1333</v>
      </c>
      <c r="D3409" t="s">
        <v>1315</v>
      </c>
      <c r="E3409" s="220">
        <v>5.5799999999999995E-2</v>
      </c>
    </row>
    <row r="3410" spans="1:5">
      <c r="A3410" t="s">
        <v>2854</v>
      </c>
      <c r="B3410" t="s">
        <v>2916</v>
      </c>
      <c r="C3410" t="s">
        <v>1333</v>
      </c>
      <c r="D3410" t="s">
        <v>1315</v>
      </c>
      <c r="E3410" s="220">
        <v>5.5799999999999995E-2</v>
      </c>
    </row>
    <row r="3411" spans="1:5">
      <c r="A3411" t="s">
        <v>2853</v>
      </c>
      <c r="B3411" t="s">
        <v>2916</v>
      </c>
      <c r="C3411" t="s">
        <v>1333</v>
      </c>
      <c r="D3411" t="s">
        <v>1315</v>
      </c>
      <c r="E3411" s="220">
        <v>5.5828000000000003E-2</v>
      </c>
    </row>
    <row r="3412" spans="1:5">
      <c r="A3412" t="s">
        <v>2865</v>
      </c>
      <c r="B3412" t="s">
        <v>2916</v>
      </c>
      <c r="C3412" t="s">
        <v>1333</v>
      </c>
      <c r="D3412" t="s">
        <v>1315</v>
      </c>
      <c r="E3412" s="220">
        <v>5.5799999999999995E-2</v>
      </c>
    </row>
    <row r="3413" spans="1:5">
      <c r="A3413" t="s">
        <v>2871</v>
      </c>
      <c r="B3413" t="s">
        <v>2916</v>
      </c>
      <c r="C3413" t="s">
        <v>1333</v>
      </c>
      <c r="D3413" t="s">
        <v>1315</v>
      </c>
      <c r="E3413" s="220">
        <v>5.5799999999999995E-2</v>
      </c>
    </row>
    <row r="3414" spans="1:5">
      <c r="A3414" t="s">
        <v>2875</v>
      </c>
      <c r="B3414" t="s">
        <v>2916</v>
      </c>
      <c r="C3414" t="s">
        <v>1333</v>
      </c>
      <c r="D3414" t="s">
        <v>1315</v>
      </c>
      <c r="E3414" s="220">
        <v>5.5799999999999995E-2</v>
      </c>
    </row>
    <row r="3415" spans="1:5">
      <c r="A3415" t="s">
        <v>2882</v>
      </c>
      <c r="B3415" t="s">
        <v>2916</v>
      </c>
      <c r="C3415" t="s">
        <v>1333</v>
      </c>
      <c r="D3415" t="s">
        <v>1315</v>
      </c>
      <c r="E3415" s="220">
        <v>5.5799999999999995E-2</v>
      </c>
    </row>
    <row r="3416" spans="1:5">
      <c r="A3416" t="s">
        <v>2884</v>
      </c>
      <c r="B3416" t="s">
        <v>2916</v>
      </c>
      <c r="C3416" t="s">
        <v>1333</v>
      </c>
      <c r="D3416" t="s">
        <v>1315</v>
      </c>
      <c r="E3416" s="220">
        <v>5.5799999999999995E-2</v>
      </c>
    </row>
    <row r="3417" spans="1:5">
      <c r="A3417" t="s">
        <v>2849</v>
      </c>
      <c r="B3417" t="s">
        <v>2916</v>
      </c>
      <c r="C3417" t="s">
        <v>1361</v>
      </c>
      <c r="D3417" t="s">
        <v>1315</v>
      </c>
      <c r="E3417" s="220">
        <v>5.5799999999999995E-2</v>
      </c>
    </row>
    <row r="3418" spans="1:5">
      <c r="A3418" t="s">
        <v>2854</v>
      </c>
      <c r="B3418" t="s">
        <v>2916</v>
      </c>
      <c r="C3418" t="s">
        <v>1361</v>
      </c>
      <c r="D3418" t="s">
        <v>1315</v>
      </c>
      <c r="E3418" s="220">
        <v>5.5799999999999995E-2</v>
      </c>
    </row>
    <row r="3419" spans="1:5">
      <c r="A3419" t="s">
        <v>2853</v>
      </c>
      <c r="B3419" t="s">
        <v>2916</v>
      </c>
      <c r="C3419" t="s">
        <v>1361</v>
      </c>
      <c r="D3419" t="s">
        <v>1315</v>
      </c>
      <c r="E3419" s="220">
        <v>5.5807000000000002E-2</v>
      </c>
    </row>
    <row r="3420" spans="1:5">
      <c r="A3420" t="s">
        <v>2865</v>
      </c>
      <c r="B3420" t="s">
        <v>2916</v>
      </c>
      <c r="C3420" t="s">
        <v>1361</v>
      </c>
      <c r="D3420" t="s">
        <v>1315</v>
      </c>
      <c r="E3420" s="220">
        <v>5.5799999999999995E-2</v>
      </c>
    </row>
    <row r="3421" spans="1:5">
      <c r="A3421" t="s">
        <v>2871</v>
      </c>
      <c r="B3421" t="s">
        <v>2916</v>
      </c>
      <c r="C3421" t="s">
        <v>1361</v>
      </c>
      <c r="D3421" t="s">
        <v>1315</v>
      </c>
      <c r="E3421" s="220">
        <v>5.5799999999999995E-2</v>
      </c>
    </row>
    <row r="3422" spans="1:5">
      <c r="A3422" t="s">
        <v>2875</v>
      </c>
      <c r="B3422" t="s">
        <v>2916</v>
      </c>
      <c r="C3422" t="s">
        <v>1361</v>
      </c>
      <c r="D3422" t="s">
        <v>1315</v>
      </c>
      <c r="E3422" s="220">
        <v>5.5799999999999995E-2</v>
      </c>
    </row>
    <row r="3423" spans="1:5">
      <c r="A3423" t="s">
        <v>2882</v>
      </c>
      <c r="B3423" t="s">
        <v>2916</v>
      </c>
      <c r="C3423" t="s">
        <v>1361</v>
      </c>
      <c r="D3423" t="s">
        <v>1315</v>
      </c>
      <c r="E3423" s="220">
        <v>5.5799999999999995E-2</v>
      </c>
    </row>
    <row r="3424" spans="1:5">
      <c r="A3424" t="s">
        <v>2884</v>
      </c>
      <c r="B3424" t="s">
        <v>2916</v>
      </c>
      <c r="C3424" t="s">
        <v>1361</v>
      </c>
      <c r="D3424" t="s">
        <v>1315</v>
      </c>
      <c r="E3424" s="220">
        <v>5.5799999999999995E-2</v>
      </c>
    </row>
    <row r="3425" spans="1:5">
      <c r="A3425" t="s">
        <v>2849</v>
      </c>
      <c r="B3425" t="s">
        <v>2916</v>
      </c>
      <c r="C3425" t="s">
        <v>1365</v>
      </c>
      <c r="D3425" t="s">
        <v>1315</v>
      </c>
      <c r="E3425" s="220">
        <v>5.5799999999999995E-2</v>
      </c>
    </row>
    <row r="3426" spans="1:5">
      <c r="A3426" t="s">
        <v>2854</v>
      </c>
      <c r="B3426" t="s">
        <v>2916</v>
      </c>
      <c r="C3426" t="s">
        <v>1365</v>
      </c>
      <c r="D3426" t="s">
        <v>1315</v>
      </c>
      <c r="E3426" s="220">
        <v>5.5799999999999995E-2</v>
      </c>
    </row>
    <row r="3427" spans="1:5">
      <c r="A3427" t="s">
        <v>2853</v>
      </c>
      <c r="B3427" t="s">
        <v>2916</v>
      </c>
      <c r="C3427" t="s">
        <v>1365</v>
      </c>
      <c r="D3427" t="s">
        <v>1315</v>
      </c>
      <c r="E3427" s="220">
        <v>5.5828000000000003E-2</v>
      </c>
    </row>
    <row r="3428" spans="1:5">
      <c r="A3428" t="s">
        <v>2865</v>
      </c>
      <c r="B3428" t="s">
        <v>2916</v>
      </c>
      <c r="C3428" t="s">
        <v>1365</v>
      </c>
      <c r="D3428" t="s">
        <v>1315</v>
      </c>
      <c r="E3428" s="220">
        <v>5.5799999999999995E-2</v>
      </c>
    </row>
    <row r="3429" spans="1:5">
      <c r="A3429" t="s">
        <v>2871</v>
      </c>
      <c r="B3429" t="s">
        <v>2916</v>
      </c>
      <c r="C3429" t="s">
        <v>1365</v>
      </c>
      <c r="D3429" t="s">
        <v>1315</v>
      </c>
      <c r="E3429" s="220">
        <v>5.5799999999999995E-2</v>
      </c>
    </row>
    <row r="3430" spans="1:5">
      <c r="A3430" t="s">
        <v>2875</v>
      </c>
      <c r="B3430" t="s">
        <v>2916</v>
      </c>
      <c r="C3430" t="s">
        <v>1365</v>
      </c>
      <c r="D3430" t="s">
        <v>1315</v>
      </c>
      <c r="E3430" s="220">
        <v>5.5799999999999995E-2</v>
      </c>
    </row>
    <row r="3431" spans="1:5">
      <c r="A3431" t="s">
        <v>2882</v>
      </c>
      <c r="B3431" t="s">
        <v>2916</v>
      </c>
      <c r="C3431" t="s">
        <v>1365</v>
      </c>
      <c r="D3431" t="s">
        <v>1315</v>
      </c>
      <c r="E3431" s="220">
        <v>5.5799999999999995E-2</v>
      </c>
    </row>
    <row r="3432" spans="1:5">
      <c r="A3432" t="s">
        <v>2884</v>
      </c>
      <c r="B3432" t="s">
        <v>2916</v>
      </c>
      <c r="C3432" t="s">
        <v>1365</v>
      </c>
      <c r="D3432" t="s">
        <v>1315</v>
      </c>
      <c r="E3432" s="220">
        <v>5.5799999999999995E-2</v>
      </c>
    </row>
    <row r="3433" spans="1:5">
      <c r="A3433" t="s">
        <v>2849</v>
      </c>
      <c r="B3433" t="s">
        <v>2916</v>
      </c>
      <c r="C3433" t="s">
        <v>1372</v>
      </c>
      <c r="D3433" t="s">
        <v>1315</v>
      </c>
      <c r="E3433" s="220">
        <v>5.5799999999999995E-2</v>
      </c>
    </row>
    <row r="3434" spans="1:5">
      <c r="A3434" t="s">
        <v>2853</v>
      </c>
      <c r="B3434" t="s">
        <v>2916</v>
      </c>
      <c r="C3434" t="s">
        <v>1372</v>
      </c>
      <c r="D3434" t="s">
        <v>1315</v>
      </c>
      <c r="E3434" s="220">
        <v>5.5829000000000004E-2</v>
      </c>
    </row>
    <row r="3435" spans="1:5">
      <c r="A3435" t="s">
        <v>2865</v>
      </c>
      <c r="B3435" t="s">
        <v>2916</v>
      </c>
      <c r="C3435" t="s">
        <v>1372</v>
      </c>
      <c r="D3435" t="s">
        <v>1315</v>
      </c>
      <c r="E3435" s="220">
        <v>5.5799999999999995E-2</v>
      </c>
    </row>
    <row r="3436" spans="1:5">
      <c r="A3436" t="s">
        <v>2871</v>
      </c>
      <c r="B3436" t="s">
        <v>2916</v>
      </c>
      <c r="C3436" t="s">
        <v>1372</v>
      </c>
      <c r="D3436" t="s">
        <v>1315</v>
      </c>
      <c r="E3436" s="220">
        <v>5.5799999999999995E-2</v>
      </c>
    </row>
    <row r="3437" spans="1:5">
      <c r="A3437" t="s">
        <v>2875</v>
      </c>
      <c r="B3437" t="s">
        <v>2916</v>
      </c>
      <c r="C3437" t="s">
        <v>1372</v>
      </c>
      <c r="D3437" t="s">
        <v>1315</v>
      </c>
      <c r="E3437" s="220">
        <v>5.5799999999999995E-2</v>
      </c>
    </row>
    <row r="3438" spans="1:5">
      <c r="A3438" t="s">
        <v>2882</v>
      </c>
      <c r="B3438" t="s">
        <v>2916</v>
      </c>
      <c r="C3438" t="s">
        <v>1372</v>
      </c>
      <c r="D3438" t="s">
        <v>1315</v>
      </c>
      <c r="E3438" s="220">
        <v>5.5799999999999995E-2</v>
      </c>
    </row>
    <row r="3439" spans="1:5">
      <c r="A3439" t="s">
        <v>2884</v>
      </c>
      <c r="B3439" t="s">
        <v>2916</v>
      </c>
      <c r="C3439" t="s">
        <v>1372</v>
      </c>
      <c r="D3439" t="s">
        <v>1315</v>
      </c>
      <c r="E3439" s="220">
        <v>5.5799999999999995E-2</v>
      </c>
    </row>
    <row r="3440" spans="1:5">
      <c r="A3440" t="s">
        <v>2849</v>
      </c>
      <c r="B3440" t="s">
        <v>2916</v>
      </c>
      <c r="C3440" t="s">
        <v>1333</v>
      </c>
      <c r="D3440" t="s">
        <v>1319</v>
      </c>
      <c r="E3440" s="220">
        <v>7.6700000000000004E-2</v>
      </c>
    </row>
    <row r="3441" spans="1:5">
      <c r="A3441" t="s">
        <v>2854</v>
      </c>
      <c r="B3441" t="s">
        <v>2916</v>
      </c>
      <c r="C3441" t="s">
        <v>1333</v>
      </c>
      <c r="D3441" t="s">
        <v>1319</v>
      </c>
      <c r="E3441" s="220">
        <v>7.6700000000000004E-2</v>
      </c>
    </row>
    <row r="3442" spans="1:5">
      <c r="A3442" t="s">
        <v>2853</v>
      </c>
      <c r="B3442" t="s">
        <v>2916</v>
      </c>
      <c r="C3442" t="s">
        <v>1333</v>
      </c>
      <c r="D3442" t="s">
        <v>1319</v>
      </c>
      <c r="E3442" s="220">
        <v>7.6735999999999999E-2</v>
      </c>
    </row>
    <row r="3443" spans="1:5">
      <c r="A3443" t="s">
        <v>2865</v>
      </c>
      <c r="B3443" t="s">
        <v>2916</v>
      </c>
      <c r="C3443" t="s">
        <v>1333</v>
      </c>
      <c r="D3443" t="s">
        <v>1319</v>
      </c>
      <c r="E3443" s="220">
        <v>7.6700000000000004E-2</v>
      </c>
    </row>
    <row r="3444" spans="1:5">
      <c r="A3444" t="s">
        <v>2871</v>
      </c>
      <c r="B3444" t="s">
        <v>2916</v>
      </c>
      <c r="C3444" t="s">
        <v>1333</v>
      </c>
      <c r="D3444" t="s">
        <v>1319</v>
      </c>
      <c r="E3444" s="220">
        <v>7.6700000000000004E-2</v>
      </c>
    </row>
    <row r="3445" spans="1:5">
      <c r="A3445" t="s">
        <v>2875</v>
      </c>
      <c r="B3445" t="s">
        <v>2916</v>
      </c>
      <c r="C3445" t="s">
        <v>1333</v>
      </c>
      <c r="D3445" t="s">
        <v>1319</v>
      </c>
      <c r="E3445" s="220">
        <v>7.6700000000000004E-2</v>
      </c>
    </row>
    <row r="3446" spans="1:5">
      <c r="A3446" t="s">
        <v>2882</v>
      </c>
      <c r="B3446" t="s">
        <v>2916</v>
      </c>
      <c r="C3446" t="s">
        <v>1333</v>
      </c>
      <c r="D3446" t="s">
        <v>1319</v>
      </c>
      <c r="E3446" s="220">
        <v>7.6700000000000004E-2</v>
      </c>
    </row>
    <row r="3447" spans="1:5">
      <c r="A3447" t="s">
        <v>2884</v>
      </c>
      <c r="B3447" t="s">
        <v>2916</v>
      </c>
      <c r="C3447" t="s">
        <v>1333</v>
      </c>
      <c r="D3447" t="s">
        <v>1319</v>
      </c>
      <c r="E3447" s="220">
        <v>7.6700000000000004E-2</v>
      </c>
    </row>
    <row r="3448" spans="1:5">
      <c r="A3448" t="s">
        <v>2849</v>
      </c>
      <c r="B3448" t="s">
        <v>2916</v>
      </c>
      <c r="C3448" t="s">
        <v>1361</v>
      </c>
      <c r="D3448" t="s">
        <v>1319</v>
      </c>
      <c r="E3448" s="220">
        <v>7.6700000000000004E-2</v>
      </c>
    </row>
    <row r="3449" spans="1:5">
      <c r="A3449" t="s">
        <v>2854</v>
      </c>
      <c r="B3449" t="s">
        <v>2916</v>
      </c>
      <c r="C3449" t="s">
        <v>1361</v>
      </c>
      <c r="D3449" t="s">
        <v>1319</v>
      </c>
      <c r="E3449" s="220">
        <v>7.6700000000000004E-2</v>
      </c>
    </row>
    <row r="3450" spans="1:5">
      <c r="A3450" t="s">
        <v>2853</v>
      </c>
      <c r="B3450" t="s">
        <v>2916</v>
      </c>
      <c r="C3450" t="s">
        <v>1361</v>
      </c>
      <c r="D3450" t="s">
        <v>1319</v>
      </c>
      <c r="E3450" s="220">
        <v>7.6745999999999995E-2</v>
      </c>
    </row>
    <row r="3451" spans="1:5">
      <c r="A3451" t="s">
        <v>2865</v>
      </c>
      <c r="B3451" t="s">
        <v>2916</v>
      </c>
      <c r="C3451" t="s">
        <v>1361</v>
      </c>
      <c r="D3451" t="s">
        <v>1319</v>
      </c>
      <c r="E3451" s="220">
        <v>7.6700000000000004E-2</v>
      </c>
    </row>
    <row r="3452" spans="1:5">
      <c r="A3452" t="s">
        <v>2871</v>
      </c>
      <c r="B3452" t="s">
        <v>2916</v>
      </c>
      <c r="C3452" t="s">
        <v>1361</v>
      </c>
      <c r="D3452" t="s">
        <v>1319</v>
      </c>
      <c r="E3452" s="220">
        <v>7.6700000000000004E-2</v>
      </c>
    </row>
    <row r="3453" spans="1:5">
      <c r="A3453" t="s">
        <v>2875</v>
      </c>
      <c r="B3453" t="s">
        <v>2916</v>
      </c>
      <c r="C3453" t="s">
        <v>1361</v>
      </c>
      <c r="D3453" t="s">
        <v>1319</v>
      </c>
      <c r="E3453" s="220">
        <v>7.6700000000000004E-2</v>
      </c>
    </row>
    <row r="3454" spans="1:5">
      <c r="A3454" t="s">
        <v>2882</v>
      </c>
      <c r="B3454" t="s">
        <v>2916</v>
      </c>
      <c r="C3454" t="s">
        <v>1361</v>
      </c>
      <c r="D3454" t="s">
        <v>1319</v>
      </c>
      <c r="E3454" s="220">
        <v>7.6700000000000004E-2</v>
      </c>
    </row>
    <row r="3455" spans="1:5">
      <c r="A3455" t="s">
        <v>2884</v>
      </c>
      <c r="B3455" t="s">
        <v>2916</v>
      </c>
      <c r="C3455" t="s">
        <v>1361</v>
      </c>
      <c r="D3455" t="s">
        <v>1319</v>
      </c>
      <c r="E3455" s="220">
        <v>7.6700000000000004E-2</v>
      </c>
    </row>
    <row r="3456" spans="1:5">
      <c r="A3456" t="s">
        <v>2849</v>
      </c>
      <c r="B3456" t="s">
        <v>2916</v>
      </c>
      <c r="C3456" t="s">
        <v>1365</v>
      </c>
      <c r="D3456" t="s">
        <v>1319</v>
      </c>
      <c r="E3456" s="220">
        <v>7.6700000000000004E-2</v>
      </c>
    </row>
    <row r="3457" spans="1:5">
      <c r="A3457" t="s">
        <v>2854</v>
      </c>
      <c r="B3457" t="s">
        <v>2916</v>
      </c>
      <c r="C3457" t="s">
        <v>1365</v>
      </c>
      <c r="D3457" t="s">
        <v>1319</v>
      </c>
      <c r="E3457" s="220">
        <v>7.6700000000000004E-2</v>
      </c>
    </row>
    <row r="3458" spans="1:5">
      <c r="A3458" t="s">
        <v>2853</v>
      </c>
      <c r="B3458" t="s">
        <v>2916</v>
      </c>
      <c r="C3458" t="s">
        <v>1365</v>
      </c>
      <c r="D3458" t="s">
        <v>1319</v>
      </c>
      <c r="E3458" s="220">
        <v>7.6748000000000011E-2</v>
      </c>
    </row>
    <row r="3459" spans="1:5">
      <c r="A3459" t="s">
        <v>2865</v>
      </c>
      <c r="B3459" t="s">
        <v>2916</v>
      </c>
      <c r="C3459" t="s">
        <v>1365</v>
      </c>
      <c r="D3459" t="s">
        <v>1319</v>
      </c>
      <c r="E3459" s="220">
        <v>7.6700000000000004E-2</v>
      </c>
    </row>
    <row r="3460" spans="1:5">
      <c r="A3460" t="s">
        <v>2871</v>
      </c>
      <c r="B3460" t="s">
        <v>2916</v>
      </c>
      <c r="C3460" t="s">
        <v>1365</v>
      </c>
      <c r="D3460" t="s">
        <v>1319</v>
      </c>
      <c r="E3460" s="220">
        <v>7.6700000000000004E-2</v>
      </c>
    </row>
    <row r="3461" spans="1:5">
      <c r="A3461" t="s">
        <v>2875</v>
      </c>
      <c r="B3461" t="s">
        <v>2916</v>
      </c>
      <c r="C3461" t="s">
        <v>1365</v>
      </c>
      <c r="D3461" t="s">
        <v>1319</v>
      </c>
      <c r="E3461" s="220">
        <v>7.6700000000000004E-2</v>
      </c>
    </row>
    <row r="3462" spans="1:5">
      <c r="A3462" t="s">
        <v>2882</v>
      </c>
      <c r="B3462" t="s">
        <v>2916</v>
      </c>
      <c r="C3462" t="s">
        <v>1365</v>
      </c>
      <c r="D3462" t="s">
        <v>1319</v>
      </c>
      <c r="E3462" s="220">
        <v>7.6700000000000004E-2</v>
      </c>
    </row>
    <row r="3463" spans="1:5">
      <c r="A3463" t="s">
        <v>2884</v>
      </c>
      <c r="B3463" t="s">
        <v>2916</v>
      </c>
      <c r="C3463" t="s">
        <v>1365</v>
      </c>
      <c r="D3463" t="s">
        <v>1319</v>
      </c>
      <c r="E3463" s="220">
        <v>7.6700000000000004E-2</v>
      </c>
    </row>
    <row r="3464" spans="1:5">
      <c r="A3464" t="s">
        <v>2849</v>
      </c>
      <c r="B3464" t="s">
        <v>2916</v>
      </c>
      <c r="C3464" t="s">
        <v>1374</v>
      </c>
      <c r="D3464" t="s">
        <v>1299</v>
      </c>
      <c r="E3464" s="220">
        <v>9.5087999999999992E-2</v>
      </c>
    </row>
    <row r="3465" spans="1:5">
      <c r="A3465" t="s">
        <v>2854</v>
      </c>
      <c r="B3465" t="s">
        <v>2916</v>
      </c>
      <c r="C3465" t="s">
        <v>1374</v>
      </c>
      <c r="D3465" t="s">
        <v>1299</v>
      </c>
      <c r="E3465" s="220">
        <v>9.4537999999999997E-2</v>
      </c>
    </row>
    <row r="3466" spans="1:5">
      <c r="A3466" t="s">
        <v>2853</v>
      </c>
      <c r="B3466" t="s">
        <v>2916</v>
      </c>
      <c r="C3466" t="s">
        <v>1374</v>
      </c>
      <c r="D3466" t="s">
        <v>1299</v>
      </c>
      <c r="E3466" s="220">
        <v>9.7009999999999999E-2</v>
      </c>
    </row>
    <row r="3467" spans="1:5">
      <c r="A3467" t="s">
        <v>2865</v>
      </c>
      <c r="B3467" t="s">
        <v>2916</v>
      </c>
      <c r="C3467" t="s">
        <v>1374</v>
      </c>
      <c r="D3467" t="s">
        <v>1299</v>
      </c>
      <c r="E3467" s="220">
        <v>9.5637E-2</v>
      </c>
    </row>
    <row r="3468" spans="1:5">
      <c r="A3468" t="s">
        <v>2871</v>
      </c>
      <c r="B3468" t="s">
        <v>2916</v>
      </c>
      <c r="C3468" t="s">
        <v>1374</v>
      </c>
      <c r="D3468" t="s">
        <v>1299</v>
      </c>
      <c r="E3468" s="220">
        <v>9.4902E-2</v>
      </c>
    </row>
    <row r="3469" spans="1:5">
      <c r="A3469" t="s">
        <v>2875</v>
      </c>
      <c r="B3469" t="s">
        <v>2916</v>
      </c>
      <c r="C3469" t="s">
        <v>1374</v>
      </c>
      <c r="D3469" t="s">
        <v>1299</v>
      </c>
      <c r="E3469" s="220">
        <v>9.7098000000000004E-2</v>
      </c>
    </row>
    <row r="3470" spans="1:5">
      <c r="A3470" t="s">
        <v>2882</v>
      </c>
      <c r="B3470" t="s">
        <v>2916</v>
      </c>
      <c r="C3470" t="s">
        <v>1374</v>
      </c>
      <c r="D3470" t="s">
        <v>1299</v>
      </c>
      <c r="E3470" s="220">
        <v>9.4372999999999999E-2</v>
      </c>
    </row>
    <row r="3471" spans="1:5">
      <c r="A3471" t="s">
        <v>2884</v>
      </c>
      <c r="B3471" t="s">
        <v>2916</v>
      </c>
      <c r="C3471" t="s">
        <v>1374</v>
      </c>
      <c r="D3471" t="s">
        <v>1299</v>
      </c>
      <c r="E3471" s="220">
        <v>9.493E-2</v>
      </c>
    </row>
    <row r="3472" spans="1:5">
      <c r="A3472" t="s">
        <v>2849</v>
      </c>
      <c r="B3472" t="s">
        <v>2916</v>
      </c>
      <c r="C3472" t="s">
        <v>1374</v>
      </c>
      <c r="D3472" t="s">
        <v>1301</v>
      </c>
      <c r="E3472" s="220">
        <v>7.3005E-2</v>
      </c>
    </row>
    <row r="3473" spans="1:5">
      <c r="A3473" t="s">
        <v>2854</v>
      </c>
      <c r="B3473" t="s">
        <v>2916</v>
      </c>
      <c r="C3473" t="s">
        <v>1374</v>
      </c>
      <c r="D3473" t="s">
        <v>1301</v>
      </c>
      <c r="E3473" s="220">
        <v>7.3366000000000001E-2</v>
      </c>
    </row>
    <row r="3474" spans="1:5">
      <c r="A3474" t="s">
        <v>2853</v>
      </c>
      <c r="B3474" t="s">
        <v>2916</v>
      </c>
      <c r="C3474" t="s">
        <v>1374</v>
      </c>
      <c r="D3474" t="s">
        <v>1301</v>
      </c>
      <c r="E3474" s="220">
        <v>7.2453999999999991E-2</v>
      </c>
    </row>
    <row r="3475" spans="1:5">
      <c r="A3475" t="s">
        <v>2865</v>
      </c>
      <c r="B3475" t="s">
        <v>2916</v>
      </c>
      <c r="C3475" t="s">
        <v>1374</v>
      </c>
      <c r="D3475" t="s">
        <v>1301</v>
      </c>
      <c r="E3475" s="220">
        <v>7.2453999999999991E-2</v>
      </c>
    </row>
    <row r="3476" spans="1:5">
      <c r="A3476" t="s">
        <v>2871</v>
      </c>
      <c r="B3476" t="s">
        <v>2916</v>
      </c>
      <c r="C3476" t="s">
        <v>1374</v>
      </c>
      <c r="D3476" t="s">
        <v>1301</v>
      </c>
      <c r="E3476" s="220">
        <v>7.3144000000000001E-2</v>
      </c>
    </row>
    <row r="3477" spans="1:5">
      <c r="A3477" t="s">
        <v>2875</v>
      </c>
      <c r="B3477" t="s">
        <v>2916</v>
      </c>
      <c r="C3477" t="s">
        <v>1374</v>
      </c>
      <c r="D3477" t="s">
        <v>1301</v>
      </c>
      <c r="E3477" s="220">
        <v>7.2960999999999998E-2</v>
      </c>
    </row>
    <row r="3478" spans="1:5">
      <c r="A3478" t="s">
        <v>2882</v>
      </c>
      <c r="B3478" t="s">
        <v>2916</v>
      </c>
      <c r="C3478" t="s">
        <v>1374</v>
      </c>
      <c r="D3478" t="s">
        <v>1301</v>
      </c>
      <c r="E3478" s="220">
        <v>7.2991E-2</v>
      </c>
    </row>
    <row r="3479" spans="1:5">
      <c r="A3479" t="s">
        <v>2884</v>
      </c>
      <c r="B3479" t="s">
        <v>2916</v>
      </c>
      <c r="C3479" t="s">
        <v>1374</v>
      </c>
      <c r="D3479" t="s">
        <v>1301</v>
      </c>
      <c r="E3479" s="220">
        <v>7.2389999999999996E-2</v>
      </c>
    </row>
    <row r="3480" spans="1:5">
      <c r="A3480" t="s">
        <v>2849</v>
      </c>
      <c r="B3480" t="s">
        <v>2916</v>
      </c>
      <c r="C3480" t="s">
        <v>1374</v>
      </c>
      <c r="D3480" t="s">
        <v>1305</v>
      </c>
      <c r="E3480" s="220">
        <v>6.8026000000000003E-2</v>
      </c>
    </row>
    <row r="3481" spans="1:5">
      <c r="A3481" t="s">
        <v>2854</v>
      </c>
      <c r="B3481" t="s">
        <v>2916</v>
      </c>
      <c r="C3481" t="s">
        <v>1374</v>
      </c>
      <c r="D3481" t="s">
        <v>1305</v>
      </c>
      <c r="E3481" s="220">
        <v>6.8568000000000004E-2</v>
      </c>
    </row>
    <row r="3482" spans="1:5">
      <c r="A3482" t="s">
        <v>2853</v>
      </c>
      <c r="B3482" t="s">
        <v>2916</v>
      </c>
      <c r="C3482" t="s">
        <v>1374</v>
      </c>
      <c r="D3482" t="s">
        <v>1305</v>
      </c>
      <c r="E3482" s="220">
        <v>6.8093000000000001E-2</v>
      </c>
    </row>
    <row r="3483" spans="1:5">
      <c r="A3483" t="s">
        <v>2865</v>
      </c>
      <c r="B3483" t="s">
        <v>2916</v>
      </c>
      <c r="C3483" t="s">
        <v>1374</v>
      </c>
      <c r="D3483" t="s">
        <v>1305</v>
      </c>
      <c r="E3483" s="220">
        <v>6.7462000000000008E-2</v>
      </c>
    </row>
    <row r="3484" spans="1:5">
      <c r="A3484" t="s">
        <v>2871</v>
      </c>
      <c r="B3484" t="s">
        <v>2916</v>
      </c>
      <c r="C3484" t="s">
        <v>1374</v>
      </c>
      <c r="D3484" t="s">
        <v>1305</v>
      </c>
      <c r="E3484" s="220">
        <v>6.8330000000000002E-2</v>
      </c>
    </row>
    <row r="3485" spans="1:5">
      <c r="A3485" t="s">
        <v>2875</v>
      </c>
      <c r="B3485" t="s">
        <v>2916</v>
      </c>
      <c r="C3485" t="s">
        <v>1374</v>
      </c>
      <c r="D3485" t="s">
        <v>1305</v>
      </c>
      <c r="E3485" s="220">
        <v>6.7576999999999998E-2</v>
      </c>
    </row>
    <row r="3486" spans="1:5">
      <c r="A3486" t="s">
        <v>2882</v>
      </c>
      <c r="B3486" t="s">
        <v>2916</v>
      </c>
      <c r="C3486" t="s">
        <v>1374</v>
      </c>
      <c r="D3486" t="s">
        <v>1305</v>
      </c>
      <c r="E3486" s="220">
        <v>6.8057000000000006E-2</v>
      </c>
    </row>
    <row r="3487" spans="1:5">
      <c r="A3487" t="s">
        <v>2884</v>
      </c>
      <c r="B3487" t="s">
        <v>2916</v>
      </c>
      <c r="C3487" t="s">
        <v>1374</v>
      </c>
      <c r="D3487" t="s">
        <v>1305</v>
      </c>
      <c r="E3487" s="220">
        <v>6.7470000000000002E-2</v>
      </c>
    </row>
    <row r="3488" spans="1:5">
      <c r="A3488" t="s">
        <v>2849</v>
      </c>
      <c r="B3488" t="s">
        <v>2916</v>
      </c>
      <c r="C3488" t="s">
        <v>1374</v>
      </c>
      <c r="D3488" t="s">
        <v>1309</v>
      </c>
      <c r="E3488" s="220">
        <v>6.8479999999999999E-2</v>
      </c>
    </row>
    <row r="3489" spans="1:5">
      <c r="A3489" t="s">
        <v>2854</v>
      </c>
      <c r="B3489" t="s">
        <v>2916</v>
      </c>
      <c r="C3489" t="s">
        <v>1374</v>
      </c>
      <c r="D3489" t="s">
        <v>1309</v>
      </c>
      <c r="E3489" s="220">
        <v>6.8599999999999994E-2</v>
      </c>
    </row>
    <row r="3490" spans="1:5">
      <c r="A3490" t="s">
        <v>2853</v>
      </c>
      <c r="B3490" t="s">
        <v>2916</v>
      </c>
      <c r="C3490" t="s">
        <v>1374</v>
      </c>
      <c r="D3490" t="s">
        <v>1309</v>
      </c>
      <c r="E3490" s="220">
        <v>6.8695999999999993E-2</v>
      </c>
    </row>
    <row r="3491" spans="1:5">
      <c r="A3491" t="s">
        <v>2865</v>
      </c>
      <c r="B3491" t="s">
        <v>2916</v>
      </c>
      <c r="C3491" t="s">
        <v>1374</v>
      </c>
      <c r="D3491" t="s">
        <v>1309</v>
      </c>
      <c r="E3491" s="220">
        <v>6.8599999999999994E-2</v>
      </c>
    </row>
    <row r="3492" spans="1:5">
      <c r="A3492" t="s">
        <v>2871</v>
      </c>
      <c r="B3492" t="s">
        <v>2916</v>
      </c>
      <c r="C3492" t="s">
        <v>1374</v>
      </c>
      <c r="D3492" t="s">
        <v>1309</v>
      </c>
      <c r="E3492" s="220">
        <v>6.8599999999999994E-2</v>
      </c>
    </row>
    <row r="3493" spans="1:5">
      <c r="A3493" t="s">
        <v>2875</v>
      </c>
      <c r="B3493" t="s">
        <v>2916</v>
      </c>
      <c r="C3493" t="s">
        <v>1374</v>
      </c>
      <c r="D3493" t="s">
        <v>1309</v>
      </c>
      <c r="E3493" s="220">
        <v>6.8599999999999994E-2</v>
      </c>
    </row>
    <row r="3494" spans="1:5">
      <c r="A3494" t="s">
        <v>2882</v>
      </c>
      <c r="B3494" t="s">
        <v>2916</v>
      </c>
      <c r="C3494" t="s">
        <v>1374</v>
      </c>
      <c r="D3494" t="s">
        <v>1309</v>
      </c>
      <c r="E3494" s="220">
        <v>6.8599999999999994E-2</v>
      </c>
    </row>
    <row r="3495" spans="1:5">
      <c r="A3495" t="s">
        <v>2884</v>
      </c>
      <c r="B3495" t="s">
        <v>2916</v>
      </c>
      <c r="C3495" t="s">
        <v>1374</v>
      </c>
      <c r="D3495" t="s">
        <v>1309</v>
      </c>
      <c r="E3495" s="220">
        <v>6.8599999999999994E-2</v>
      </c>
    </row>
    <row r="3496" spans="1:5">
      <c r="A3496" t="s">
        <v>2849</v>
      </c>
      <c r="B3496" t="s">
        <v>2916</v>
      </c>
      <c r="C3496" t="s">
        <v>1374</v>
      </c>
      <c r="D3496" t="s">
        <v>1311</v>
      </c>
      <c r="E3496" s="220">
        <v>6.7996000000000001E-2</v>
      </c>
    </row>
    <row r="3497" spans="1:5">
      <c r="A3497" t="s">
        <v>2854</v>
      </c>
      <c r="B3497" t="s">
        <v>2916</v>
      </c>
      <c r="C3497" t="s">
        <v>1374</v>
      </c>
      <c r="D3497" t="s">
        <v>1311</v>
      </c>
      <c r="E3497" s="220">
        <v>6.8587000000000009E-2</v>
      </c>
    </row>
    <row r="3498" spans="1:5">
      <c r="A3498" t="s">
        <v>2853</v>
      </c>
      <c r="B3498" t="s">
        <v>2916</v>
      </c>
      <c r="C3498" t="s">
        <v>1374</v>
      </c>
      <c r="D3498" t="s">
        <v>1311</v>
      </c>
      <c r="E3498" s="220">
        <v>6.8386000000000002E-2</v>
      </c>
    </row>
    <row r="3499" spans="1:5">
      <c r="A3499" t="s">
        <v>2865</v>
      </c>
      <c r="B3499" t="s">
        <v>2916</v>
      </c>
      <c r="C3499" t="s">
        <v>1374</v>
      </c>
      <c r="D3499" t="s">
        <v>1311</v>
      </c>
      <c r="E3499" s="220">
        <v>6.7852999999999997E-2</v>
      </c>
    </row>
    <row r="3500" spans="1:5">
      <c r="A3500" t="s">
        <v>2871</v>
      </c>
      <c r="B3500" t="s">
        <v>2916</v>
      </c>
      <c r="C3500" t="s">
        <v>1374</v>
      </c>
      <c r="D3500" t="s">
        <v>1311</v>
      </c>
      <c r="E3500" s="220">
        <v>6.8489999999999995E-2</v>
      </c>
    </row>
    <row r="3501" spans="1:5">
      <c r="A3501" t="s">
        <v>2875</v>
      </c>
      <c r="B3501" t="s">
        <v>2916</v>
      </c>
      <c r="C3501" t="s">
        <v>1374</v>
      </c>
      <c r="D3501" t="s">
        <v>1311</v>
      </c>
      <c r="E3501" s="220">
        <v>6.8001999999999993E-2</v>
      </c>
    </row>
    <row r="3502" spans="1:5">
      <c r="A3502" t="s">
        <v>2882</v>
      </c>
      <c r="B3502" t="s">
        <v>2916</v>
      </c>
      <c r="C3502" t="s">
        <v>1374</v>
      </c>
      <c r="D3502" t="s">
        <v>1311</v>
      </c>
      <c r="E3502" s="220">
        <v>6.7895999999999998E-2</v>
      </c>
    </row>
    <row r="3503" spans="1:5">
      <c r="A3503" t="s">
        <v>2884</v>
      </c>
      <c r="B3503" t="s">
        <v>2916</v>
      </c>
      <c r="C3503" t="s">
        <v>1374</v>
      </c>
      <c r="D3503" t="s">
        <v>1311</v>
      </c>
      <c r="E3503" s="220">
        <v>6.8114999999999995E-2</v>
      </c>
    </row>
    <row r="3504" spans="1:5">
      <c r="A3504" t="s">
        <v>2849</v>
      </c>
      <c r="B3504" t="s">
        <v>2916</v>
      </c>
      <c r="C3504" t="s">
        <v>1374</v>
      </c>
      <c r="D3504" t="s">
        <v>1313</v>
      </c>
      <c r="E3504" s="220">
        <v>6.8599999999999994E-2</v>
      </c>
    </row>
    <row r="3505" spans="1:5">
      <c r="A3505" t="s">
        <v>2854</v>
      </c>
      <c r="B3505" t="s">
        <v>2916</v>
      </c>
      <c r="C3505" t="s">
        <v>1374</v>
      </c>
      <c r="D3505" t="s">
        <v>1313</v>
      </c>
      <c r="E3505" s="220">
        <v>6.8599999999999994E-2</v>
      </c>
    </row>
    <row r="3506" spans="1:5">
      <c r="A3506" t="s">
        <v>2853</v>
      </c>
      <c r="B3506" t="s">
        <v>2916</v>
      </c>
      <c r="C3506" t="s">
        <v>1374</v>
      </c>
      <c r="D3506" t="s">
        <v>1313</v>
      </c>
      <c r="E3506" s="220">
        <v>6.8477999999999997E-2</v>
      </c>
    </row>
    <row r="3507" spans="1:5">
      <c r="A3507" t="s">
        <v>2865</v>
      </c>
      <c r="B3507" t="s">
        <v>2916</v>
      </c>
      <c r="C3507" t="s">
        <v>1374</v>
      </c>
      <c r="D3507" t="s">
        <v>1313</v>
      </c>
      <c r="E3507" s="220">
        <v>6.8599999999999994E-2</v>
      </c>
    </row>
    <row r="3508" spans="1:5">
      <c r="A3508" t="s">
        <v>2871</v>
      </c>
      <c r="B3508" t="s">
        <v>2916</v>
      </c>
      <c r="C3508" t="s">
        <v>1374</v>
      </c>
      <c r="D3508" t="s">
        <v>1313</v>
      </c>
      <c r="E3508" s="220">
        <v>6.8599999999999994E-2</v>
      </c>
    </row>
    <row r="3509" spans="1:5">
      <c r="A3509" t="s">
        <v>2875</v>
      </c>
      <c r="B3509" t="s">
        <v>2916</v>
      </c>
      <c r="C3509" t="s">
        <v>1374</v>
      </c>
      <c r="D3509" t="s">
        <v>1313</v>
      </c>
      <c r="E3509" s="220">
        <v>6.8599999999999994E-2</v>
      </c>
    </row>
    <row r="3510" spans="1:5">
      <c r="A3510" t="s">
        <v>2882</v>
      </c>
      <c r="B3510" t="s">
        <v>2916</v>
      </c>
      <c r="C3510" t="s">
        <v>1374</v>
      </c>
      <c r="D3510" t="s">
        <v>1313</v>
      </c>
      <c r="E3510" s="220">
        <v>6.8599999999999994E-2</v>
      </c>
    </row>
    <row r="3511" spans="1:5">
      <c r="A3511" t="s">
        <v>2884</v>
      </c>
      <c r="B3511" t="s">
        <v>2916</v>
      </c>
      <c r="C3511" t="s">
        <v>1374</v>
      </c>
      <c r="D3511" t="s">
        <v>1313</v>
      </c>
      <c r="E3511" s="220">
        <v>6.8599999999999994E-2</v>
      </c>
    </row>
    <row r="3512" spans="1:5">
      <c r="A3512" t="s">
        <v>2849</v>
      </c>
      <c r="B3512" t="s">
        <v>2916</v>
      </c>
      <c r="C3512" t="s">
        <v>1374</v>
      </c>
      <c r="D3512" t="s">
        <v>1315</v>
      </c>
      <c r="E3512" s="220">
        <v>5.5799999999999995E-2</v>
      </c>
    </row>
    <row r="3513" spans="1:5">
      <c r="A3513" t="s">
        <v>2854</v>
      </c>
      <c r="B3513" t="s">
        <v>2916</v>
      </c>
      <c r="C3513" t="s">
        <v>1374</v>
      </c>
      <c r="D3513" t="s">
        <v>1315</v>
      </c>
      <c r="E3513" s="220">
        <v>5.5799999999999995E-2</v>
      </c>
    </row>
    <row r="3514" spans="1:5">
      <c r="A3514" t="s">
        <v>2853</v>
      </c>
      <c r="B3514" t="s">
        <v>2916</v>
      </c>
      <c r="C3514" t="s">
        <v>1374</v>
      </c>
      <c r="D3514" t="s">
        <v>1315</v>
      </c>
      <c r="E3514" s="220">
        <v>5.5822999999999998E-2</v>
      </c>
    </row>
    <row r="3515" spans="1:5">
      <c r="A3515" t="s">
        <v>2865</v>
      </c>
      <c r="B3515" t="s">
        <v>2916</v>
      </c>
      <c r="C3515" t="s">
        <v>1374</v>
      </c>
      <c r="D3515" t="s">
        <v>1315</v>
      </c>
      <c r="E3515" s="220">
        <v>5.5799999999999995E-2</v>
      </c>
    </row>
    <row r="3516" spans="1:5">
      <c r="A3516" t="s">
        <v>2871</v>
      </c>
      <c r="B3516" t="s">
        <v>2916</v>
      </c>
      <c r="C3516" t="s">
        <v>1374</v>
      </c>
      <c r="D3516" t="s">
        <v>1315</v>
      </c>
      <c r="E3516" s="220">
        <v>5.5799999999999995E-2</v>
      </c>
    </row>
    <row r="3517" spans="1:5">
      <c r="A3517" t="s">
        <v>2875</v>
      </c>
      <c r="B3517" t="s">
        <v>2916</v>
      </c>
      <c r="C3517" t="s">
        <v>1374</v>
      </c>
      <c r="D3517" t="s">
        <v>1315</v>
      </c>
      <c r="E3517" s="220">
        <v>5.5799999999999995E-2</v>
      </c>
    </row>
    <row r="3518" spans="1:5">
      <c r="A3518" t="s">
        <v>2882</v>
      </c>
      <c r="B3518" t="s">
        <v>2916</v>
      </c>
      <c r="C3518" t="s">
        <v>1374</v>
      </c>
      <c r="D3518" t="s">
        <v>1315</v>
      </c>
      <c r="E3518" s="220">
        <v>5.5799999999999995E-2</v>
      </c>
    </row>
    <row r="3519" spans="1:5">
      <c r="A3519" t="s">
        <v>2884</v>
      </c>
      <c r="B3519" t="s">
        <v>2916</v>
      </c>
      <c r="C3519" t="s">
        <v>1374</v>
      </c>
      <c r="D3519" t="s">
        <v>1315</v>
      </c>
      <c r="E3519" s="220">
        <v>5.5799999999999995E-2</v>
      </c>
    </row>
    <row r="3520" spans="1:5">
      <c r="A3520" t="s">
        <v>2849</v>
      </c>
      <c r="B3520" t="s">
        <v>2916</v>
      </c>
      <c r="C3520" t="s">
        <v>1374</v>
      </c>
      <c r="D3520" t="s">
        <v>1319</v>
      </c>
      <c r="E3520" s="220">
        <v>7.6700000000000004E-2</v>
      </c>
    </row>
    <row r="3521" spans="1:5">
      <c r="A3521" t="s">
        <v>2854</v>
      </c>
      <c r="B3521" t="s">
        <v>2916</v>
      </c>
      <c r="C3521" t="s">
        <v>1374</v>
      </c>
      <c r="D3521" t="s">
        <v>1319</v>
      </c>
      <c r="E3521" s="220">
        <v>7.6700000000000004E-2</v>
      </c>
    </row>
    <row r="3522" spans="1:5">
      <c r="A3522" t="s">
        <v>2853</v>
      </c>
      <c r="B3522" t="s">
        <v>2916</v>
      </c>
      <c r="C3522" t="s">
        <v>1374</v>
      </c>
      <c r="D3522" t="s">
        <v>1319</v>
      </c>
      <c r="E3522" s="220">
        <v>7.6742999999999992E-2</v>
      </c>
    </row>
    <row r="3523" spans="1:5">
      <c r="A3523" t="s">
        <v>2865</v>
      </c>
      <c r="B3523" t="s">
        <v>2916</v>
      </c>
      <c r="C3523" t="s">
        <v>1374</v>
      </c>
      <c r="D3523" t="s">
        <v>1319</v>
      </c>
      <c r="E3523" s="220">
        <v>7.6700000000000004E-2</v>
      </c>
    </row>
    <row r="3524" spans="1:5">
      <c r="A3524" t="s">
        <v>2871</v>
      </c>
      <c r="B3524" t="s">
        <v>2916</v>
      </c>
      <c r="C3524" t="s">
        <v>1374</v>
      </c>
      <c r="D3524" t="s">
        <v>1319</v>
      </c>
      <c r="E3524" s="220">
        <v>7.6700000000000004E-2</v>
      </c>
    </row>
    <row r="3525" spans="1:5">
      <c r="A3525" t="s">
        <v>2875</v>
      </c>
      <c r="B3525" t="s">
        <v>2916</v>
      </c>
      <c r="C3525" t="s">
        <v>1374</v>
      </c>
      <c r="D3525" t="s">
        <v>1319</v>
      </c>
      <c r="E3525" s="220">
        <v>7.6700000000000004E-2</v>
      </c>
    </row>
    <row r="3526" spans="1:5">
      <c r="A3526" t="s">
        <v>2882</v>
      </c>
      <c r="B3526" t="s">
        <v>2916</v>
      </c>
      <c r="C3526" t="s">
        <v>1374</v>
      </c>
      <c r="D3526" t="s">
        <v>1319</v>
      </c>
      <c r="E3526" s="220">
        <v>7.6700000000000004E-2</v>
      </c>
    </row>
    <row r="3527" spans="1:5">
      <c r="A3527" t="s">
        <v>2884</v>
      </c>
      <c r="B3527" t="s">
        <v>2916</v>
      </c>
      <c r="C3527" t="s">
        <v>1374</v>
      </c>
      <c r="D3527" t="s">
        <v>1319</v>
      </c>
      <c r="E3527" s="220">
        <v>7.6700000000000004E-2</v>
      </c>
    </row>
    <row r="3528" spans="1:5">
      <c r="A3528" t="s">
        <v>2917</v>
      </c>
      <c r="B3528" t="s">
        <v>2916</v>
      </c>
      <c r="C3528" t="s">
        <v>1333</v>
      </c>
      <c r="D3528" t="s">
        <v>1299</v>
      </c>
      <c r="E3528" s="220">
        <v>9.6683999999999992E-2</v>
      </c>
    </row>
    <row r="3529" spans="1:5">
      <c r="A3529" t="s">
        <v>2917</v>
      </c>
      <c r="B3529" t="s">
        <v>2916</v>
      </c>
      <c r="C3529" t="s">
        <v>1361</v>
      </c>
      <c r="D3529" t="s">
        <v>1299</v>
      </c>
      <c r="E3529" s="220">
        <v>9.5505999999999994E-2</v>
      </c>
    </row>
    <row r="3530" spans="1:5">
      <c r="A3530" t="s">
        <v>2917</v>
      </c>
      <c r="B3530" t="s">
        <v>2916</v>
      </c>
      <c r="C3530" t="s">
        <v>1365</v>
      </c>
      <c r="D3530" t="s">
        <v>1299</v>
      </c>
      <c r="E3530" s="220">
        <v>9.6743999999999997E-2</v>
      </c>
    </row>
    <row r="3531" spans="1:5">
      <c r="A3531" t="s">
        <v>2917</v>
      </c>
      <c r="B3531" t="s">
        <v>2916</v>
      </c>
      <c r="C3531" t="s">
        <v>1333</v>
      </c>
      <c r="D3531" t="s">
        <v>1301</v>
      </c>
      <c r="E3531" s="220">
        <v>7.2410000000000002E-2</v>
      </c>
    </row>
    <row r="3532" spans="1:5">
      <c r="A3532" t="s">
        <v>2917</v>
      </c>
      <c r="B3532" t="s">
        <v>2916</v>
      </c>
      <c r="C3532" t="s">
        <v>1361</v>
      </c>
      <c r="D3532" t="s">
        <v>1301</v>
      </c>
      <c r="E3532" s="220">
        <v>7.3400000000000007E-2</v>
      </c>
    </row>
    <row r="3533" spans="1:5">
      <c r="A3533" t="s">
        <v>2917</v>
      </c>
      <c r="B3533" t="s">
        <v>2916</v>
      </c>
      <c r="C3533" t="s">
        <v>1365</v>
      </c>
      <c r="D3533" t="s">
        <v>1301</v>
      </c>
      <c r="E3533" s="220">
        <v>7.3423000000000002E-2</v>
      </c>
    </row>
    <row r="3534" spans="1:5">
      <c r="A3534" t="s">
        <v>2917</v>
      </c>
      <c r="B3534" t="s">
        <v>2916</v>
      </c>
      <c r="C3534" t="s">
        <v>1372</v>
      </c>
      <c r="D3534" t="s">
        <v>1301</v>
      </c>
      <c r="E3534" s="220">
        <v>7.1423E-2</v>
      </c>
    </row>
    <row r="3535" spans="1:5">
      <c r="A3535" t="s">
        <v>2917</v>
      </c>
      <c r="B3535" t="s">
        <v>2916</v>
      </c>
      <c r="C3535" t="s">
        <v>1333</v>
      </c>
      <c r="D3535" t="s">
        <v>1305</v>
      </c>
      <c r="E3535" s="220">
        <v>6.7849000000000007E-2</v>
      </c>
    </row>
    <row r="3536" spans="1:5">
      <c r="A3536" t="s">
        <v>2917</v>
      </c>
      <c r="B3536" t="s">
        <v>2916</v>
      </c>
      <c r="C3536" t="s">
        <v>1361</v>
      </c>
      <c r="D3536" t="s">
        <v>1305</v>
      </c>
      <c r="E3536" s="220">
        <v>6.8599999999999994E-2</v>
      </c>
    </row>
    <row r="3537" spans="1:5">
      <c r="A3537" t="s">
        <v>2917</v>
      </c>
      <c r="B3537" t="s">
        <v>2916</v>
      </c>
      <c r="C3537" t="s">
        <v>1365</v>
      </c>
      <c r="D3537" t="s">
        <v>1305</v>
      </c>
      <c r="E3537" s="220">
        <v>6.8311999999999998E-2</v>
      </c>
    </row>
    <row r="3538" spans="1:5">
      <c r="A3538" t="s">
        <v>2917</v>
      </c>
      <c r="B3538" t="s">
        <v>2916</v>
      </c>
      <c r="C3538" t="s">
        <v>1372</v>
      </c>
      <c r="D3538" t="s">
        <v>1305</v>
      </c>
      <c r="E3538" s="220">
        <v>6.6852999999999996E-2</v>
      </c>
    </row>
    <row r="3539" spans="1:5">
      <c r="A3539" t="s">
        <v>2917</v>
      </c>
      <c r="B3539" t="s">
        <v>2916</v>
      </c>
      <c r="C3539" t="s">
        <v>1368</v>
      </c>
      <c r="D3539" t="s">
        <v>1309</v>
      </c>
      <c r="E3539" s="220">
        <v>6.8615999999999996E-2</v>
      </c>
    </row>
    <row r="3540" spans="1:5">
      <c r="A3540" t="s">
        <v>2917</v>
      </c>
      <c r="B3540" t="s">
        <v>2916</v>
      </c>
      <c r="C3540" t="s">
        <v>1333</v>
      </c>
      <c r="D3540" t="s">
        <v>1311</v>
      </c>
      <c r="E3540" s="220">
        <v>6.7849000000000007E-2</v>
      </c>
    </row>
    <row r="3541" spans="1:5">
      <c r="A3541" t="s">
        <v>2917</v>
      </c>
      <c r="B3541" t="s">
        <v>2916</v>
      </c>
      <c r="C3541" t="s">
        <v>1365</v>
      </c>
      <c r="D3541" t="s">
        <v>1311</v>
      </c>
      <c r="E3541" s="220">
        <v>6.8311999999999998E-2</v>
      </c>
    </row>
    <row r="3542" spans="1:5">
      <c r="A3542" t="s">
        <v>2917</v>
      </c>
      <c r="B3542" t="s">
        <v>2916</v>
      </c>
      <c r="C3542" t="s">
        <v>1333</v>
      </c>
      <c r="D3542" t="s">
        <v>1313</v>
      </c>
      <c r="E3542" s="220">
        <v>6.8559999999999996E-2</v>
      </c>
    </row>
    <row r="3543" spans="1:5">
      <c r="A3543" t="s">
        <v>2917</v>
      </c>
      <c r="B3543" t="s">
        <v>2916</v>
      </c>
      <c r="C3543" t="s">
        <v>1365</v>
      </c>
      <c r="D3543" t="s">
        <v>1313</v>
      </c>
      <c r="E3543" s="220">
        <v>6.8559999999999996E-2</v>
      </c>
    </row>
    <row r="3544" spans="1:5">
      <c r="A3544" t="s">
        <v>2917</v>
      </c>
      <c r="B3544" t="s">
        <v>2916</v>
      </c>
      <c r="C3544" t="s">
        <v>1372</v>
      </c>
      <c r="D3544" t="s">
        <v>1313</v>
      </c>
      <c r="E3544" s="220">
        <v>6.8544999999999995E-2</v>
      </c>
    </row>
    <row r="3545" spans="1:5">
      <c r="A3545" t="s">
        <v>2917</v>
      </c>
      <c r="B3545" t="s">
        <v>2916</v>
      </c>
      <c r="C3545" t="s">
        <v>1333</v>
      </c>
      <c r="D3545" t="s">
        <v>1315</v>
      </c>
      <c r="E3545" s="220">
        <v>5.5810000000000005E-2</v>
      </c>
    </row>
    <row r="3546" spans="1:5">
      <c r="A3546" t="s">
        <v>2917</v>
      </c>
      <c r="B3546" t="s">
        <v>2916</v>
      </c>
      <c r="C3546" t="s">
        <v>1361</v>
      </c>
      <c r="D3546" t="s">
        <v>1315</v>
      </c>
      <c r="E3546" s="220">
        <v>5.5802999999999998E-2</v>
      </c>
    </row>
    <row r="3547" spans="1:5">
      <c r="A3547" t="s">
        <v>2917</v>
      </c>
      <c r="B3547" t="s">
        <v>2916</v>
      </c>
      <c r="C3547" t="s">
        <v>1365</v>
      </c>
      <c r="D3547" t="s">
        <v>1315</v>
      </c>
      <c r="E3547" s="220">
        <v>5.5813000000000001E-2</v>
      </c>
    </row>
    <row r="3548" spans="1:5">
      <c r="A3548" t="s">
        <v>2917</v>
      </c>
      <c r="B3548" t="s">
        <v>2916</v>
      </c>
      <c r="C3548" t="s">
        <v>1372</v>
      </c>
      <c r="D3548" t="s">
        <v>1315</v>
      </c>
      <c r="E3548" s="220">
        <v>5.5818E-2</v>
      </c>
    </row>
    <row r="3549" spans="1:5">
      <c r="A3549" t="s">
        <v>2917</v>
      </c>
      <c r="B3549" t="s">
        <v>2916</v>
      </c>
      <c r="C3549" t="s">
        <v>1333</v>
      </c>
      <c r="D3549" t="s">
        <v>1319</v>
      </c>
      <c r="E3549" s="220">
        <v>7.671E-2</v>
      </c>
    </row>
    <row r="3550" spans="1:5">
      <c r="A3550" t="s">
        <v>2917</v>
      </c>
      <c r="B3550" t="s">
        <v>2916</v>
      </c>
      <c r="C3550" t="s">
        <v>1361</v>
      </c>
      <c r="D3550" t="s">
        <v>1319</v>
      </c>
      <c r="E3550" s="220">
        <v>7.6712000000000002E-2</v>
      </c>
    </row>
    <row r="3551" spans="1:5">
      <c r="A3551" t="s">
        <v>2917</v>
      </c>
      <c r="B3551" t="s">
        <v>2916</v>
      </c>
      <c r="C3551" t="s">
        <v>1365</v>
      </c>
      <c r="D3551" t="s">
        <v>1319</v>
      </c>
      <c r="E3551" s="220">
        <v>7.6718999999999996E-2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1D416-6710-4AB6-82E0-ECF1CFE41137}">
  <dimension ref="A1:B5"/>
  <sheetViews>
    <sheetView workbookViewId="0">
      <selection activeCell="I29" sqref="I29"/>
    </sheetView>
  </sheetViews>
  <sheetFormatPr defaultColWidth="9.28515625" defaultRowHeight="15"/>
  <cols>
    <col min="1" max="1" width="11.5703125" customWidth="1"/>
    <col min="2" max="2" width="14.42578125" customWidth="1"/>
  </cols>
  <sheetData>
    <row r="1" spans="1:2" ht="19.899999999999999" customHeight="1" thickBot="1">
      <c r="A1" s="25" t="s">
        <v>2195</v>
      </c>
      <c r="B1" s="26" t="s">
        <v>2196</v>
      </c>
    </row>
    <row r="2" spans="1:2" ht="19.899999999999999" customHeight="1" thickBot="1">
      <c r="A2" s="27" t="s">
        <v>1314</v>
      </c>
      <c r="B2" s="28">
        <v>0.57999999999999996</v>
      </c>
    </row>
    <row r="3" spans="1:2" ht="19.899999999999999" customHeight="1" thickBot="1">
      <c r="A3" s="29" t="s">
        <v>1312</v>
      </c>
      <c r="B3" s="30">
        <v>0.56000000000000005</v>
      </c>
    </row>
    <row r="4" spans="1:2" ht="19.899999999999999" customHeight="1" thickBot="1">
      <c r="A4" s="27" t="s">
        <v>1310</v>
      </c>
      <c r="B4" s="28">
        <v>0.45</v>
      </c>
    </row>
    <row r="5" spans="1:2" ht="19.899999999999999" customHeight="1" thickBot="1">
      <c r="A5" s="29" t="s">
        <v>1290</v>
      </c>
      <c r="B5" s="30">
        <v>0.2</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0941-2847-4C69-86B1-925AC62EA770}">
  <dimension ref="A1:B5"/>
  <sheetViews>
    <sheetView workbookViewId="0">
      <selection sqref="A1:XFD1"/>
    </sheetView>
  </sheetViews>
  <sheetFormatPr defaultColWidth="9.28515625" defaultRowHeight="15"/>
  <sheetData>
    <row r="1" spans="1:2" ht="28.5">
      <c r="A1" s="62" t="s">
        <v>2237</v>
      </c>
      <c r="B1" s="63" t="s">
        <v>2238</v>
      </c>
    </row>
    <row r="2" spans="1:2">
      <c r="A2" s="64" t="s">
        <v>601</v>
      </c>
      <c r="B2" s="65">
        <v>7.4999999999999997E-2</v>
      </c>
    </row>
    <row r="3" spans="1:2">
      <c r="A3" s="64" t="s">
        <v>588</v>
      </c>
      <c r="B3" s="65">
        <v>0.1</v>
      </c>
    </row>
    <row r="4" spans="1:2">
      <c r="A4" s="64" t="s">
        <v>606</v>
      </c>
      <c r="B4" s="65">
        <v>0.125</v>
      </c>
    </row>
    <row r="5" spans="1:2">
      <c r="A5" s="64" t="s">
        <v>581</v>
      </c>
      <c r="B5" s="65">
        <v>0.15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989D0-5379-48A7-B03B-74A35BEFE454}">
  <dimension ref="A1:H14"/>
  <sheetViews>
    <sheetView workbookViewId="0">
      <selection sqref="A1:XFD1"/>
    </sheetView>
  </sheetViews>
  <sheetFormatPr defaultColWidth="9.28515625" defaultRowHeight="15"/>
  <cols>
    <col min="2" max="2" width="14.7109375" customWidth="1"/>
    <col min="3" max="3" width="21.7109375" customWidth="1"/>
    <col min="4" max="4" width="14.7109375" customWidth="1"/>
    <col min="5" max="5" width="17.7109375" customWidth="1"/>
  </cols>
  <sheetData>
    <row r="1" spans="1:8" ht="75" customHeight="1" thickBot="1">
      <c r="A1" s="31"/>
      <c r="B1" s="32" t="s">
        <v>2239</v>
      </c>
      <c r="C1" s="32" t="s">
        <v>2240</v>
      </c>
      <c r="D1" s="32" t="s">
        <v>2241</v>
      </c>
      <c r="E1" s="33" t="s">
        <v>2242</v>
      </c>
    </row>
    <row r="2" spans="1:8" ht="58.9" customHeight="1">
      <c r="A2" s="260" t="s">
        <v>2243</v>
      </c>
      <c r="B2" s="280" t="s">
        <v>2244</v>
      </c>
      <c r="C2" s="281"/>
      <c r="D2" s="263" t="s">
        <v>2245</v>
      </c>
      <c r="E2" s="269" t="s">
        <v>2246</v>
      </c>
    </row>
    <row r="3" spans="1:8">
      <c r="A3" s="261"/>
      <c r="B3" s="282"/>
      <c r="C3" s="283"/>
      <c r="D3" s="264"/>
      <c r="E3" s="270"/>
    </row>
    <row r="4" spans="1:8" ht="15.75" thickBot="1">
      <c r="A4" s="272"/>
      <c r="B4" s="284"/>
      <c r="C4" s="285"/>
      <c r="D4" s="275"/>
      <c r="E4" s="276"/>
    </row>
    <row r="5" spans="1:8">
      <c r="A5" s="260" t="s">
        <v>2247</v>
      </c>
      <c r="B5" s="273" t="s">
        <v>2248</v>
      </c>
      <c r="C5" s="274"/>
      <c r="D5" s="263" t="s">
        <v>2249</v>
      </c>
      <c r="E5" s="269" t="s">
        <v>2249</v>
      </c>
    </row>
    <row r="6" spans="1:8" ht="48" customHeight="1" thickBot="1">
      <c r="A6" s="272"/>
      <c r="B6" s="277" t="s">
        <v>2250</v>
      </c>
      <c r="C6" s="278"/>
      <c r="D6" s="275"/>
      <c r="E6" s="276"/>
    </row>
    <row r="7" spans="1:8" ht="24" customHeight="1">
      <c r="A7" s="260" t="s">
        <v>2251</v>
      </c>
      <c r="B7" s="273" t="s">
        <v>2252</v>
      </c>
      <c r="C7" s="274"/>
      <c r="D7" s="263" t="s">
        <v>2249</v>
      </c>
      <c r="E7" s="269" t="s">
        <v>2249</v>
      </c>
    </row>
    <row r="8" spans="1:8" ht="48" customHeight="1" thickBot="1">
      <c r="A8" s="272"/>
      <c r="B8" s="277" t="s">
        <v>2250</v>
      </c>
      <c r="C8" s="278"/>
      <c r="D8" s="275"/>
      <c r="E8" s="276"/>
      <c r="H8" s="34" t="s">
        <v>2253</v>
      </c>
    </row>
    <row r="9" spans="1:8" ht="57" customHeight="1">
      <c r="A9" s="260" t="s">
        <v>2254</v>
      </c>
      <c r="B9" s="263" t="s">
        <v>2255</v>
      </c>
      <c r="C9" s="266"/>
      <c r="D9" s="263" t="s">
        <v>2256</v>
      </c>
      <c r="E9" s="269" t="s">
        <v>2257</v>
      </c>
    </row>
    <row r="10" spans="1:8">
      <c r="A10" s="261"/>
      <c r="B10" s="264"/>
      <c r="C10" s="267"/>
      <c r="D10" s="264"/>
      <c r="E10" s="270"/>
    </row>
    <row r="11" spans="1:8" ht="15.75" thickBot="1">
      <c r="A11" s="272"/>
      <c r="B11" s="275"/>
      <c r="C11" s="279"/>
      <c r="D11" s="275"/>
      <c r="E11" s="276"/>
    </row>
    <row r="12" spans="1:8" ht="67.150000000000006" customHeight="1">
      <c r="A12" s="260" t="s">
        <v>2258</v>
      </c>
      <c r="B12" s="263" t="s">
        <v>2259</v>
      </c>
      <c r="C12" s="266"/>
      <c r="D12" s="263" t="s">
        <v>2260</v>
      </c>
      <c r="E12" s="269" t="s">
        <v>2257</v>
      </c>
    </row>
    <row r="13" spans="1:8">
      <c r="A13" s="261"/>
      <c r="B13" s="264"/>
      <c r="C13" s="267"/>
      <c r="D13" s="264"/>
      <c r="E13" s="270"/>
    </row>
    <row r="14" spans="1:8">
      <c r="A14" s="262"/>
      <c r="B14" s="265"/>
      <c r="C14" s="268"/>
      <c r="D14" s="265"/>
      <c r="E14" s="271"/>
    </row>
  </sheetData>
  <mergeCells count="24">
    <mergeCell ref="A2:A4"/>
    <mergeCell ref="B2:C4"/>
    <mergeCell ref="D2:D4"/>
    <mergeCell ref="E2:E4"/>
    <mergeCell ref="A5:A6"/>
    <mergeCell ref="B5:C5"/>
    <mergeCell ref="D5:D6"/>
    <mergeCell ref="E5:E6"/>
    <mergeCell ref="B6:C6"/>
    <mergeCell ref="A9:A11"/>
    <mergeCell ref="B9:B11"/>
    <mergeCell ref="C9:C11"/>
    <mergeCell ref="D9:D11"/>
    <mergeCell ref="E9:E11"/>
    <mergeCell ref="A7:A8"/>
    <mergeCell ref="B7:C7"/>
    <mergeCell ref="D7:D8"/>
    <mergeCell ref="E7:E8"/>
    <mergeCell ref="B8:C8"/>
    <mergeCell ref="A12:A14"/>
    <mergeCell ref="B12:B14"/>
    <mergeCell ref="C12:C14"/>
    <mergeCell ref="D12:D14"/>
    <mergeCell ref="E12:E14"/>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CB00-1CB3-4CF1-A8DF-84D691988445}">
  <dimension ref="A1:B6"/>
  <sheetViews>
    <sheetView workbookViewId="0">
      <selection sqref="A1:XFD1"/>
    </sheetView>
  </sheetViews>
  <sheetFormatPr defaultRowHeight="15"/>
  <cols>
    <col min="1" max="1" width="21" bestFit="1" customWidth="1"/>
    <col min="2" max="2" width="33.7109375" bestFit="1" customWidth="1"/>
  </cols>
  <sheetData>
    <row r="1" spans="1:2">
      <c r="A1" t="s">
        <v>2414</v>
      </c>
      <c r="B1" t="s">
        <v>2415</v>
      </c>
    </row>
    <row r="2" spans="1:2">
      <c r="A2" t="s">
        <v>1290</v>
      </c>
      <c r="B2">
        <v>4</v>
      </c>
    </row>
    <row r="3" spans="1:2">
      <c r="A3" t="s">
        <v>2416</v>
      </c>
      <c r="B3">
        <v>1.5</v>
      </c>
    </row>
    <row r="4" spans="1:2">
      <c r="A4" t="s">
        <v>2417</v>
      </c>
      <c r="B4">
        <v>4.5</v>
      </c>
    </row>
    <row r="5" spans="1:2">
      <c r="A5" t="s">
        <v>2418</v>
      </c>
      <c r="B5">
        <v>4.5</v>
      </c>
    </row>
    <row r="6" spans="1:2">
      <c r="A6" t="s">
        <v>2419</v>
      </c>
      <c r="B6">
        <v>2</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15B99-406E-42E1-B3CD-DBC6BFAD5564}">
  <dimension ref="A1:F5"/>
  <sheetViews>
    <sheetView workbookViewId="0">
      <selection sqref="A1:XFD1"/>
    </sheetView>
  </sheetViews>
  <sheetFormatPr defaultRowHeight="15"/>
  <sheetData>
    <row r="1" spans="1:6" ht="24">
      <c r="A1" s="222" t="s">
        <v>2420</v>
      </c>
      <c r="B1" s="223" t="s">
        <v>1290</v>
      </c>
      <c r="C1" s="223" t="s">
        <v>2421</v>
      </c>
      <c r="D1" s="223" t="s">
        <v>2418</v>
      </c>
      <c r="E1" s="223" t="s">
        <v>1324</v>
      </c>
      <c r="F1" s="223" t="s">
        <v>1326</v>
      </c>
    </row>
    <row r="2" spans="1:6">
      <c r="A2" s="222" t="s">
        <v>2422</v>
      </c>
      <c r="B2" s="224">
        <v>0.02</v>
      </c>
      <c r="C2" s="224">
        <v>0.02</v>
      </c>
      <c r="D2" s="224">
        <v>0</v>
      </c>
      <c r="E2" s="224">
        <v>0.1</v>
      </c>
      <c r="F2" s="224">
        <v>0.02</v>
      </c>
    </row>
    <row r="3" spans="1:6">
      <c r="A3" s="222" t="s">
        <v>2423</v>
      </c>
      <c r="B3" s="224">
        <v>0.05</v>
      </c>
      <c r="C3" s="224">
        <v>0.05</v>
      </c>
      <c r="D3" s="224">
        <v>0.01</v>
      </c>
      <c r="E3" s="224">
        <v>0.2</v>
      </c>
      <c r="F3" s="224">
        <v>0.05</v>
      </c>
    </row>
    <row r="4" spans="1:6">
      <c r="A4" s="222" t="s">
        <v>2424</v>
      </c>
      <c r="B4" s="225">
        <v>7.4999999999999997E-2</v>
      </c>
      <c r="C4" s="225">
        <v>7.4999999999999997E-2</v>
      </c>
      <c r="D4" s="224">
        <v>0.02</v>
      </c>
      <c r="E4" s="224">
        <v>0.23</v>
      </c>
      <c r="F4" s="225">
        <v>7.4999999999999997E-2</v>
      </c>
    </row>
    <row r="5" spans="1:6">
      <c r="A5" s="222" t="s">
        <v>2425</v>
      </c>
      <c r="B5" s="224">
        <v>0.1</v>
      </c>
      <c r="C5" s="224">
        <v>0.1</v>
      </c>
      <c r="D5" s="224">
        <v>0.05</v>
      </c>
      <c r="E5" s="224">
        <v>0.25</v>
      </c>
      <c r="F5" s="224">
        <v>0.1</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D0CD6-CB4B-408C-9D14-BE84A9F91B58}">
  <dimension ref="A1:S172"/>
  <sheetViews>
    <sheetView workbookViewId="0">
      <selection sqref="A1:XFD1"/>
    </sheetView>
  </sheetViews>
  <sheetFormatPr defaultRowHeight="15.75"/>
  <cols>
    <col min="1" max="1" width="30.28515625" style="13" customWidth="1"/>
    <col min="2" max="2" width="95.28515625" style="13" customWidth="1"/>
    <col min="3" max="3" width="35.42578125" style="14" customWidth="1"/>
    <col min="4" max="5" width="9.28515625" style="13"/>
    <col min="6" max="6" width="27.7109375" style="13" customWidth="1"/>
    <col min="7" max="7" width="83.7109375" style="13" customWidth="1"/>
    <col min="8" max="8" width="11.7109375" style="13" customWidth="1"/>
    <col min="9" max="9" width="32.28515625" style="13" customWidth="1"/>
    <col min="10" max="10" width="41.28515625" style="13" customWidth="1"/>
    <col min="11" max="11" width="49.7109375" style="13" customWidth="1"/>
    <col min="12" max="12" width="28.7109375" style="13" customWidth="1"/>
    <col min="13" max="13" width="14" style="13" customWidth="1"/>
    <col min="14" max="14" width="10.5703125" style="178" customWidth="1"/>
    <col min="15" max="19" width="9.28515625" style="13"/>
  </cols>
  <sheetData>
    <row r="1" spans="1:19">
      <c r="A1" s="133" t="s">
        <v>62</v>
      </c>
      <c r="B1" s="133" t="s">
        <v>1488</v>
      </c>
      <c r="C1" s="134" t="s">
        <v>64</v>
      </c>
      <c r="D1" s="133" t="s">
        <v>2483</v>
      </c>
      <c r="E1" s="133" t="s">
        <v>66</v>
      </c>
      <c r="F1" s="133" t="s">
        <v>2484</v>
      </c>
      <c r="G1" s="133" t="s">
        <v>2485</v>
      </c>
      <c r="H1" s="133" t="s">
        <v>2486</v>
      </c>
      <c r="I1" s="135" t="s">
        <v>25</v>
      </c>
      <c r="J1" s="133" t="s">
        <v>2487</v>
      </c>
      <c r="K1" s="133" t="s">
        <v>2488</v>
      </c>
      <c r="L1" s="133" t="s">
        <v>2489</v>
      </c>
      <c r="M1" s="133" t="s">
        <v>1395</v>
      </c>
      <c r="N1" s="136" t="s">
        <v>1378</v>
      </c>
      <c r="O1" s="137"/>
      <c r="P1" s="137"/>
      <c r="Q1" s="137"/>
      <c r="R1" s="137"/>
      <c r="S1" s="137"/>
    </row>
    <row r="2" spans="1:19">
      <c r="A2" s="138" t="s">
        <v>145</v>
      </c>
      <c r="B2" s="138" t="s">
        <v>146</v>
      </c>
      <c r="C2" s="139" t="s">
        <v>147</v>
      </c>
      <c r="D2" s="138" t="s">
        <v>73</v>
      </c>
      <c r="E2" s="138">
        <v>1</v>
      </c>
      <c r="F2" s="138" t="s">
        <v>74</v>
      </c>
      <c r="G2" s="138" t="s">
        <v>148</v>
      </c>
      <c r="H2" s="138"/>
      <c r="I2" s="140" t="s">
        <v>2490</v>
      </c>
      <c r="J2" s="138" t="s">
        <v>1374</v>
      </c>
      <c r="K2" s="138" t="s">
        <v>2491</v>
      </c>
      <c r="L2" s="138"/>
      <c r="M2" s="138"/>
      <c r="N2" s="141"/>
      <c r="O2" s="142"/>
      <c r="P2" s="142"/>
      <c r="Q2" s="142"/>
      <c r="R2" s="142"/>
      <c r="S2" s="142"/>
    </row>
    <row r="3" spans="1:19">
      <c r="A3" s="138" t="s">
        <v>150</v>
      </c>
      <c r="B3" s="138" t="s">
        <v>151</v>
      </c>
      <c r="C3" s="143" t="s">
        <v>152</v>
      </c>
      <c r="D3" s="138" t="s">
        <v>73</v>
      </c>
      <c r="E3" s="138">
        <v>1</v>
      </c>
      <c r="F3" s="138" t="s">
        <v>74</v>
      </c>
      <c r="G3" s="138" t="s">
        <v>148</v>
      </c>
      <c r="H3" s="138"/>
      <c r="I3" s="144" t="s">
        <v>2492</v>
      </c>
      <c r="J3" s="138" t="s">
        <v>2493</v>
      </c>
      <c r="K3" s="138" t="s">
        <v>2494</v>
      </c>
      <c r="L3" s="138"/>
      <c r="M3" s="138"/>
      <c r="N3" s="141"/>
      <c r="O3" s="142"/>
      <c r="P3" s="142"/>
      <c r="Q3" s="142"/>
      <c r="R3" s="142"/>
      <c r="S3" s="142"/>
    </row>
    <row r="4" spans="1:19">
      <c r="A4" s="138" t="s">
        <v>210</v>
      </c>
      <c r="B4" s="138" t="s">
        <v>211</v>
      </c>
      <c r="C4" s="143" t="s">
        <v>212</v>
      </c>
      <c r="D4" s="138" t="s">
        <v>73</v>
      </c>
      <c r="E4" s="138">
        <v>2</v>
      </c>
      <c r="F4" s="138" t="s">
        <v>74</v>
      </c>
      <c r="G4" s="138" t="s">
        <v>213</v>
      </c>
      <c r="H4" s="138"/>
      <c r="I4" s="144"/>
      <c r="J4" s="138"/>
      <c r="K4" s="138" t="s">
        <v>2495</v>
      </c>
      <c r="L4" s="138"/>
      <c r="M4" s="138"/>
      <c r="N4" s="141"/>
      <c r="O4" s="142"/>
      <c r="P4" s="142"/>
      <c r="Q4" s="142"/>
      <c r="R4" s="142"/>
      <c r="S4" s="142"/>
    </row>
    <row r="5" spans="1:19">
      <c r="A5" s="138" t="s">
        <v>214</v>
      </c>
      <c r="B5" s="138" t="s">
        <v>215</v>
      </c>
      <c r="C5" s="143" t="s">
        <v>216</v>
      </c>
      <c r="D5" s="138" t="s">
        <v>73</v>
      </c>
      <c r="E5" s="138">
        <v>2</v>
      </c>
      <c r="F5" s="138" t="s">
        <v>74</v>
      </c>
      <c r="G5" s="138" t="s">
        <v>213</v>
      </c>
      <c r="H5" s="138"/>
      <c r="I5" s="144"/>
      <c r="J5" s="142"/>
      <c r="K5" s="142" t="s">
        <v>2496</v>
      </c>
      <c r="L5" s="142"/>
      <c r="M5" s="142"/>
      <c r="N5" s="145"/>
      <c r="O5" s="142"/>
      <c r="P5" s="142"/>
      <c r="Q5" s="142"/>
      <c r="R5" s="142"/>
      <c r="S5" s="142"/>
    </row>
    <row r="6" spans="1:19">
      <c r="A6" s="138" t="s">
        <v>220</v>
      </c>
      <c r="B6" s="138" t="s">
        <v>221</v>
      </c>
      <c r="C6" s="143" t="s">
        <v>222</v>
      </c>
      <c r="D6" s="138" t="s">
        <v>73</v>
      </c>
      <c r="E6" s="138">
        <v>2</v>
      </c>
      <c r="F6" s="138" t="s">
        <v>74</v>
      </c>
      <c r="G6" s="138" t="s">
        <v>213</v>
      </c>
      <c r="H6" s="142"/>
      <c r="I6" s="140"/>
      <c r="J6" s="138" t="s">
        <v>1365</v>
      </c>
      <c r="K6" s="138" t="s">
        <v>2497</v>
      </c>
      <c r="L6" s="138"/>
      <c r="M6" s="138"/>
      <c r="N6" s="141"/>
      <c r="O6" s="142"/>
      <c r="P6" s="142"/>
      <c r="Q6" s="142"/>
      <c r="R6" s="142"/>
      <c r="S6" s="142"/>
    </row>
    <row r="7" spans="1:19">
      <c r="A7" s="138" t="s">
        <v>224</v>
      </c>
      <c r="B7" s="138" t="s">
        <v>225</v>
      </c>
      <c r="C7" s="143" t="s">
        <v>226</v>
      </c>
      <c r="D7" s="138" t="s">
        <v>73</v>
      </c>
      <c r="E7" s="138">
        <v>2</v>
      </c>
      <c r="F7" s="138" t="s">
        <v>74</v>
      </c>
      <c r="G7" s="138" t="s">
        <v>213</v>
      </c>
      <c r="H7" s="138"/>
      <c r="I7" s="144"/>
      <c r="J7" s="138"/>
      <c r="K7" s="146" t="s">
        <v>2498</v>
      </c>
      <c r="L7" s="138"/>
      <c r="M7" s="138"/>
      <c r="N7" s="141"/>
      <c r="O7" s="142"/>
      <c r="P7" s="142"/>
      <c r="Q7" s="142"/>
      <c r="R7" s="142"/>
      <c r="S7" s="142"/>
    </row>
    <row r="8" spans="1:19">
      <c r="A8" s="138" t="s">
        <v>227</v>
      </c>
      <c r="B8" s="138" t="s">
        <v>228</v>
      </c>
      <c r="C8" s="143" t="s">
        <v>229</v>
      </c>
      <c r="D8" s="138" t="s">
        <v>73</v>
      </c>
      <c r="E8" s="138">
        <v>2</v>
      </c>
      <c r="F8" s="138" t="s">
        <v>74</v>
      </c>
      <c r="G8" s="138" t="s">
        <v>213</v>
      </c>
      <c r="H8" s="138"/>
      <c r="I8" s="144"/>
      <c r="J8" s="138"/>
      <c r="K8" s="138" t="s">
        <v>2498</v>
      </c>
      <c r="L8" s="138"/>
      <c r="M8" s="138"/>
      <c r="N8" s="141"/>
      <c r="O8" s="142"/>
      <c r="P8" s="142"/>
      <c r="Q8" s="142"/>
      <c r="R8" s="142"/>
      <c r="S8" s="142"/>
    </row>
    <row r="9" spans="1:19">
      <c r="A9" s="138" t="s">
        <v>230</v>
      </c>
      <c r="B9" s="138" t="s">
        <v>231</v>
      </c>
      <c r="C9" s="143" t="s">
        <v>232</v>
      </c>
      <c r="D9" s="138" t="s">
        <v>73</v>
      </c>
      <c r="E9" s="138">
        <v>2</v>
      </c>
      <c r="F9" s="138" t="s">
        <v>74</v>
      </c>
      <c r="G9" s="138" t="s">
        <v>213</v>
      </c>
      <c r="H9" s="138"/>
      <c r="I9" s="144"/>
      <c r="J9" s="138"/>
      <c r="K9" s="138" t="s">
        <v>2498</v>
      </c>
      <c r="L9" s="138"/>
      <c r="M9" s="138"/>
      <c r="N9" s="141"/>
      <c r="O9" s="142"/>
      <c r="P9" s="142"/>
      <c r="Q9" s="142"/>
      <c r="R9" s="142"/>
      <c r="S9" s="142"/>
    </row>
    <row r="10" spans="1:19">
      <c r="A10" s="138" t="s">
        <v>247</v>
      </c>
      <c r="B10" s="138" t="s">
        <v>248</v>
      </c>
      <c r="C10" s="143" t="s">
        <v>249</v>
      </c>
      <c r="D10" s="138" t="s">
        <v>73</v>
      </c>
      <c r="E10" s="138">
        <v>2</v>
      </c>
      <c r="F10" s="138" t="s">
        <v>74</v>
      </c>
      <c r="G10" s="138" t="s">
        <v>213</v>
      </c>
      <c r="H10" s="138"/>
      <c r="I10" s="144"/>
      <c r="J10" s="138" t="s">
        <v>1361</v>
      </c>
      <c r="K10" s="138" t="s">
        <v>2499</v>
      </c>
      <c r="L10" s="138"/>
      <c r="M10" s="138"/>
      <c r="N10" s="141"/>
      <c r="O10" s="142"/>
      <c r="P10" s="142"/>
      <c r="Q10" s="142"/>
      <c r="R10" s="142"/>
      <c r="S10" s="142"/>
    </row>
    <row r="11" spans="1:19">
      <c r="A11" s="138" t="s">
        <v>388</v>
      </c>
      <c r="B11" s="138" t="s">
        <v>389</v>
      </c>
      <c r="C11" s="143" t="s">
        <v>390</v>
      </c>
      <c r="D11" s="138" t="s">
        <v>73</v>
      </c>
      <c r="E11" s="138">
        <v>2</v>
      </c>
      <c r="F11" s="138" t="s">
        <v>74</v>
      </c>
      <c r="G11" s="138" t="s">
        <v>213</v>
      </c>
      <c r="H11" s="138"/>
      <c r="I11" s="140" t="s">
        <v>2500</v>
      </c>
      <c r="J11" s="138" t="s">
        <v>1361</v>
      </c>
      <c r="K11" s="146" t="s">
        <v>2501</v>
      </c>
      <c r="L11" s="138"/>
      <c r="M11" s="138"/>
      <c r="N11" s="141"/>
      <c r="O11" s="142"/>
      <c r="P11" s="142"/>
      <c r="Q11" s="142"/>
      <c r="R11" s="142"/>
      <c r="S11" s="142"/>
    </row>
    <row r="12" spans="1:19">
      <c r="A12" s="138" t="s">
        <v>538</v>
      </c>
      <c r="B12" s="138" t="s">
        <v>539</v>
      </c>
      <c r="C12" s="143" t="s">
        <v>538</v>
      </c>
      <c r="D12" s="147" t="s">
        <v>73</v>
      </c>
      <c r="E12" s="147">
        <v>2</v>
      </c>
      <c r="F12" s="138" t="s">
        <v>74</v>
      </c>
      <c r="G12" s="138" t="s">
        <v>213</v>
      </c>
      <c r="H12" s="138"/>
      <c r="I12" s="140" t="s">
        <v>2502</v>
      </c>
      <c r="J12" s="138"/>
      <c r="K12" s="138"/>
      <c r="L12" s="138"/>
      <c r="M12" s="138"/>
      <c r="N12" s="141"/>
      <c r="O12" s="142"/>
      <c r="P12" s="142"/>
      <c r="Q12" s="142"/>
      <c r="R12" s="142"/>
      <c r="S12" s="142"/>
    </row>
    <row r="13" spans="1:19">
      <c r="A13" s="138" t="s">
        <v>260</v>
      </c>
      <c r="B13" s="138" t="s">
        <v>261</v>
      </c>
      <c r="C13" s="143" t="s">
        <v>262</v>
      </c>
      <c r="D13" s="142" t="s">
        <v>73</v>
      </c>
      <c r="E13" s="142">
        <v>3</v>
      </c>
      <c r="F13" s="138" t="s">
        <v>74</v>
      </c>
      <c r="G13" s="138" t="s">
        <v>263</v>
      </c>
      <c r="H13" s="142"/>
      <c r="I13" s="140" t="s">
        <v>2503</v>
      </c>
      <c r="J13" s="142"/>
      <c r="K13" s="142"/>
      <c r="L13" s="142"/>
      <c r="M13" s="142"/>
      <c r="N13" s="145"/>
      <c r="O13" s="142"/>
      <c r="P13" s="142"/>
      <c r="Q13" s="142"/>
      <c r="R13" s="142"/>
      <c r="S13" s="142"/>
    </row>
    <row r="14" spans="1:19">
      <c r="A14" s="138" t="s">
        <v>312</v>
      </c>
      <c r="B14" s="138" t="s">
        <v>313</v>
      </c>
      <c r="C14" s="143" t="s">
        <v>314</v>
      </c>
      <c r="D14" s="138" t="s">
        <v>73</v>
      </c>
      <c r="E14" s="138">
        <v>3</v>
      </c>
      <c r="F14" s="138" t="s">
        <v>74</v>
      </c>
      <c r="G14" s="138" t="s">
        <v>263</v>
      </c>
      <c r="H14" s="138"/>
      <c r="I14" s="140" t="s">
        <v>2504</v>
      </c>
      <c r="J14" s="138"/>
      <c r="K14" s="138"/>
      <c r="L14" s="138"/>
      <c r="M14" s="138"/>
      <c r="N14" s="141"/>
      <c r="O14" s="142"/>
      <c r="P14" s="142"/>
      <c r="Q14" s="142"/>
      <c r="R14" s="142"/>
      <c r="S14" s="142"/>
    </row>
    <row r="15" spans="1:19">
      <c r="A15" s="138" t="s">
        <v>327</v>
      </c>
      <c r="B15" s="138" t="s">
        <v>2505</v>
      </c>
      <c r="C15" s="143" t="s">
        <v>329</v>
      </c>
      <c r="D15" s="138" t="s">
        <v>73</v>
      </c>
      <c r="E15" s="138">
        <v>3</v>
      </c>
      <c r="F15" s="138" t="s">
        <v>74</v>
      </c>
      <c r="G15" s="138" t="s">
        <v>263</v>
      </c>
      <c r="H15" s="138"/>
      <c r="I15" s="140" t="s">
        <v>2506</v>
      </c>
      <c r="J15" s="138"/>
      <c r="K15" s="138"/>
      <c r="L15" s="138"/>
      <c r="M15" s="138"/>
      <c r="N15" s="141"/>
      <c r="O15" s="142"/>
      <c r="P15" s="142"/>
      <c r="Q15" s="142"/>
      <c r="R15" s="142"/>
      <c r="S15" s="142"/>
    </row>
    <row r="16" spans="1:19">
      <c r="A16" s="138" t="s">
        <v>355</v>
      </c>
      <c r="B16" s="138" t="s">
        <v>356</v>
      </c>
      <c r="C16" s="143" t="s">
        <v>357</v>
      </c>
      <c r="D16" s="138" t="s">
        <v>73</v>
      </c>
      <c r="E16" s="138">
        <v>3</v>
      </c>
      <c r="F16" s="138" t="s">
        <v>74</v>
      </c>
      <c r="G16" s="138" t="s">
        <v>263</v>
      </c>
      <c r="H16" s="139"/>
      <c r="I16" s="148" t="s">
        <v>2507</v>
      </c>
      <c r="J16" s="138"/>
      <c r="K16" s="138"/>
      <c r="L16" s="138"/>
      <c r="M16" s="138"/>
      <c r="N16" s="141"/>
      <c r="O16" s="142"/>
      <c r="P16" s="142"/>
      <c r="Q16" s="142"/>
      <c r="R16" s="142"/>
      <c r="S16" s="142"/>
    </row>
    <row r="17" spans="1:19">
      <c r="A17" s="138" t="s">
        <v>358</v>
      </c>
      <c r="B17" s="138" t="s">
        <v>359</v>
      </c>
      <c r="C17" s="143" t="s">
        <v>360</v>
      </c>
      <c r="D17" s="138" t="s">
        <v>73</v>
      </c>
      <c r="E17" s="138">
        <v>3</v>
      </c>
      <c r="F17" s="138" t="s">
        <v>74</v>
      </c>
      <c r="G17" s="138" t="s">
        <v>263</v>
      </c>
      <c r="H17" s="138"/>
      <c r="I17" s="144" t="s">
        <v>2507</v>
      </c>
      <c r="J17" s="138"/>
      <c r="K17" s="138"/>
      <c r="L17" s="138"/>
      <c r="M17" s="138"/>
      <c r="N17" s="141"/>
      <c r="O17" s="142"/>
      <c r="P17" s="142"/>
      <c r="Q17" s="142"/>
      <c r="R17" s="142"/>
      <c r="S17" s="142"/>
    </row>
    <row r="18" spans="1:19">
      <c r="A18" s="138" t="s">
        <v>391</v>
      </c>
      <c r="B18" s="138" t="s">
        <v>392</v>
      </c>
      <c r="C18" s="143" t="s">
        <v>393</v>
      </c>
      <c r="D18" s="138" t="s">
        <v>73</v>
      </c>
      <c r="E18" s="138">
        <v>3</v>
      </c>
      <c r="F18" s="138" t="s">
        <v>74</v>
      </c>
      <c r="G18" s="138" t="s">
        <v>263</v>
      </c>
      <c r="H18" s="138"/>
      <c r="I18" s="144" t="s">
        <v>2506</v>
      </c>
      <c r="J18" s="138"/>
      <c r="K18" s="138"/>
      <c r="L18" s="138"/>
      <c r="M18" s="138"/>
      <c r="N18" s="141"/>
      <c r="O18" s="142"/>
      <c r="P18" s="142"/>
      <c r="Q18" s="142"/>
      <c r="R18" s="142"/>
      <c r="S18" s="142"/>
    </row>
    <row r="19" spans="1:19">
      <c r="A19" s="138" t="s">
        <v>394</v>
      </c>
      <c r="B19" s="138" t="s">
        <v>395</v>
      </c>
      <c r="C19" s="143" t="s">
        <v>396</v>
      </c>
      <c r="D19" s="138" t="s">
        <v>73</v>
      </c>
      <c r="E19" s="138">
        <v>3</v>
      </c>
      <c r="F19" s="138" t="s">
        <v>74</v>
      </c>
      <c r="G19" s="138" t="s">
        <v>263</v>
      </c>
      <c r="H19" s="138"/>
      <c r="I19" s="144" t="s">
        <v>2508</v>
      </c>
      <c r="J19" s="138"/>
      <c r="K19" s="138"/>
      <c r="L19" s="138"/>
      <c r="M19" s="138"/>
      <c r="N19" s="141"/>
      <c r="O19" s="142"/>
      <c r="P19" s="142"/>
      <c r="Q19" s="142"/>
      <c r="R19" s="142"/>
      <c r="S19" s="142"/>
    </row>
    <row r="20" spans="1:19">
      <c r="A20" s="138" t="s">
        <v>397</v>
      </c>
      <c r="B20" s="138" t="s">
        <v>398</v>
      </c>
      <c r="C20" s="143" t="s">
        <v>399</v>
      </c>
      <c r="D20" s="138" t="s">
        <v>73</v>
      </c>
      <c r="E20" s="138">
        <v>3</v>
      </c>
      <c r="F20" s="138" t="s">
        <v>74</v>
      </c>
      <c r="G20" s="138" t="s">
        <v>263</v>
      </c>
      <c r="H20" s="138"/>
      <c r="I20" s="144" t="s">
        <v>2506</v>
      </c>
      <c r="J20" s="138"/>
      <c r="K20" s="138"/>
      <c r="L20" s="138"/>
      <c r="M20" s="138"/>
      <c r="N20" s="141"/>
      <c r="O20" s="142"/>
      <c r="P20" s="142"/>
      <c r="Q20" s="142"/>
      <c r="R20" s="142"/>
      <c r="S20" s="142"/>
    </row>
    <row r="21" spans="1:19">
      <c r="A21" s="138" t="s">
        <v>400</v>
      </c>
      <c r="B21" s="138" t="s">
        <v>401</v>
      </c>
      <c r="C21" s="143" t="s">
        <v>402</v>
      </c>
      <c r="D21" s="138" t="s">
        <v>73</v>
      </c>
      <c r="E21" s="138">
        <v>3</v>
      </c>
      <c r="F21" s="138" t="s">
        <v>74</v>
      </c>
      <c r="G21" s="138" t="s">
        <v>263</v>
      </c>
      <c r="H21" s="138"/>
      <c r="I21" s="144" t="s">
        <v>2509</v>
      </c>
      <c r="J21" s="138"/>
      <c r="K21" s="138"/>
      <c r="L21" s="138"/>
      <c r="M21" s="138"/>
      <c r="N21" s="141"/>
      <c r="O21" s="142"/>
      <c r="P21" s="142"/>
      <c r="Q21" s="142"/>
      <c r="R21" s="142"/>
      <c r="S21" s="142"/>
    </row>
    <row r="22" spans="1:19">
      <c r="A22" s="138" t="s">
        <v>403</v>
      </c>
      <c r="B22" s="138" t="s">
        <v>313</v>
      </c>
      <c r="C22" s="143" t="s">
        <v>404</v>
      </c>
      <c r="D22" s="138" t="s">
        <v>73</v>
      </c>
      <c r="E22" s="138">
        <v>3</v>
      </c>
      <c r="F22" s="138" t="s">
        <v>74</v>
      </c>
      <c r="G22" s="138" t="s">
        <v>263</v>
      </c>
      <c r="H22" s="138"/>
      <c r="I22" s="144" t="s">
        <v>2504</v>
      </c>
      <c r="J22" s="138"/>
      <c r="K22" s="138"/>
      <c r="L22" s="138"/>
      <c r="M22" s="138"/>
      <c r="N22" s="141"/>
      <c r="O22" s="142"/>
      <c r="P22" s="142"/>
      <c r="Q22" s="142"/>
      <c r="R22" s="142"/>
      <c r="S22" s="142"/>
    </row>
    <row r="23" spans="1:19">
      <c r="A23" s="138" t="s">
        <v>405</v>
      </c>
      <c r="B23" s="138" t="s">
        <v>401</v>
      </c>
      <c r="C23" s="143" t="s">
        <v>406</v>
      </c>
      <c r="D23" s="138" t="s">
        <v>73</v>
      </c>
      <c r="E23" s="138">
        <v>3</v>
      </c>
      <c r="F23" s="138" t="s">
        <v>74</v>
      </c>
      <c r="G23" s="138" t="s">
        <v>263</v>
      </c>
      <c r="H23" s="138"/>
      <c r="I23" s="144" t="s">
        <v>2510</v>
      </c>
      <c r="J23" s="138"/>
      <c r="K23" s="138"/>
      <c r="L23" s="138"/>
      <c r="M23" s="138"/>
      <c r="N23" s="141"/>
      <c r="O23" s="142"/>
      <c r="P23" s="142"/>
      <c r="Q23" s="142"/>
      <c r="R23" s="142"/>
      <c r="S23" s="142"/>
    </row>
    <row r="24" spans="1:19">
      <c r="A24" s="138" t="s">
        <v>435</v>
      </c>
      <c r="B24" s="138" t="s">
        <v>436</v>
      </c>
      <c r="C24" s="143" t="s">
        <v>437</v>
      </c>
      <c r="D24" s="138" t="s">
        <v>73</v>
      </c>
      <c r="E24" s="138">
        <v>3</v>
      </c>
      <c r="F24" s="138" t="s">
        <v>74</v>
      </c>
      <c r="G24" s="138" t="s">
        <v>263</v>
      </c>
      <c r="H24" s="138"/>
      <c r="I24" s="140" t="s">
        <v>2502</v>
      </c>
      <c r="J24" s="138"/>
      <c r="K24" s="138"/>
      <c r="L24" s="138"/>
      <c r="M24" s="138"/>
      <c r="N24" s="141"/>
      <c r="O24" s="142"/>
      <c r="P24" s="142"/>
      <c r="Q24" s="142"/>
      <c r="R24" s="142"/>
      <c r="S24" s="142"/>
    </row>
    <row r="25" spans="1:19">
      <c r="A25" s="138" t="s">
        <v>438</v>
      </c>
      <c r="B25" s="138" t="s">
        <v>439</v>
      </c>
      <c r="C25" s="143" t="s">
        <v>440</v>
      </c>
      <c r="D25" s="138" t="s">
        <v>73</v>
      </c>
      <c r="E25" s="138">
        <v>3</v>
      </c>
      <c r="F25" s="138" t="s">
        <v>74</v>
      </c>
      <c r="G25" s="138" t="s">
        <v>263</v>
      </c>
      <c r="H25" s="138"/>
      <c r="I25" s="140" t="s">
        <v>2502</v>
      </c>
      <c r="J25" s="138"/>
      <c r="K25" s="138"/>
      <c r="L25" s="138"/>
      <c r="M25" s="138"/>
      <c r="N25" s="141"/>
      <c r="O25" s="142"/>
      <c r="P25" s="142"/>
      <c r="Q25" s="142"/>
      <c r="R25" s="142"/>
      <c r="S25" s="142"/>
    </row>
    <row r="26" spans="1:19">
      <c r="A26" s="138" t="s">
        <v>516</v>
      </c>
      <c r="B26" s="138" t="s">
        <v>517</v>
      </c>
      <c r="C26" s="143" t="s">
        <v>518</v>
      </c>
      <c r="D26" s="138" t="s">
        <v>73</v>
      </c>
      <c r="E26" s="138">
        <v>3</v>
      </c>
      <c r="F26" s="138" t="s">
        <v>74</v>
      </c>
      <c r="G26" s="138" t="s">
        <v>263</v>
      </c>
      <c r="H26" s="138"/>
      <c r="I26" s="140" t="s">
        <v>2504</v>
      </c>
      <c r="J26" s="138"/>
      <c r="K26" s="138"/>
      <c r="L26" s="138"/>
      <c r="M26" s="138"/>
      <c r="N26" s="141"/>
      <c r="O26" s="142"/>
      <c r="P26" s="142"/>
      <c r="Q26" s="142"/>
      <c r="R26" s="142"/>
      <c r="S26" s="142"/>
    </row>
    <row r="27" spans="1:19">
      <c r="A27" s="138" t="s">
        <v>157</v>
      </c>
      <c r="B27" s="138" t="s">
        <v>158</v>
      </c>
      <c r="C27" s="143" t="s">
        <v>159</v>
      </c>
      <c r="D27" s="138" t="s">
        <v>73</v>
      </c>
      <c r="E27" s="138">
        <v>6</v>
      </c>
      <c r="F27" s="138" t="s">
        <v>74</v>
      </c>
      <c r="G27" s="138" t="s">
        <v>156</v>
      </c>
      <c r="H27" s="138"/>
      <c r="I27" s="140" t="str">
        <f>"$/GJ"</f>
        <v>$/GJ</v>
      </c>
      <c r="J27" s="138" t="s">
        <v>2511</v>
      </c>
      <c r="K27" s="138" t="s">
        <v>2512</v>
      </c>
      <c r="L27" s="138"/>
      <c r="M27" s="138"/>
      <c r="N27" s="141"/>
      <c r="O27" s="142"/>
      <c r="P27" s="142"/>
      <c r="Q27" s="142"/>
      <c r="R27" s="142"/>
      <c r="S27" s="142"/>
    </row>
    <row r="28" spans="1:19">
      <c r="A28" s="138" t="s">
        <v>450</v>
      </c>
      <c r="B28" s="138" t="s">
        <v>451</v>
      </c>
      <c r="C28" s="143" t="s">
        <v>452</v>
      </c>
      <c r="D28" s="138" t="s">
        <v>73</v>
      </c>
      <c r="E28" s="138">
        <v>6</v>
      </c>
      <c r="F28" s="138" t="s">
        <v>74</v>
      </c>
      <c r="G28" s="138" t="s">
        <v>453</v>
      </c>
      <c r="H28" s="138"/>
      <c r="I28" s="140" t="str">
        <f>"$/GJ"</f>
        <v>$/GJ</v>
      </c>
      <c r="J28" s="138" t="s">
        <v>2511</v>
      </c>
      <c r="K28" s="138" t="s">
        <v>2512</v>
      </c>
      <c r="L28" s="138"/>
      <c r="M28" s="138"/>
      <c r="N28" s="141"/>
      <c r="O28" s="142"/>
      <c r="P28" s="142"/>
      <c r="Q28" s="142"/>
      <c r="R28" s="142"/>
      <c r="S28" s="142"/>
    </row>
    <row r="29" spans="1:19">
      <c r="A29" s="138" t="s">
        <v>493</v>
      </c>
      <c r="B29" s="138" t="s">
        <v>494</v>
      </c>
      <c r="C29" s="143" t="s">
        <v>495</v>
      </c>
      <c r="D29" s="138" t="s">
        <v>73</v>
      </c>
      <c r="E29" s="138">
        <v>6</v>
      </c>
      <c r="F29" s="138" t="s">
        <v>74</v>
      </c>
      <c r="G29" s="138" t="s">
        <v>453</v>
      </c>
      <c r="H29" s="138"/>
      <c r="I29" s="140" t="str">
        <f>"$/GJ"</f>
        <v>$/GJ</v>
      </c>
      <c r="J29" s="138" t="s">
        <v>2511</v>
      </c>
      <c r="K29" s="138" t="s">
        <v>2512</v>
      </c>
      <c r="L29" s="138"/>
      <c r="M29" s="138"/>
      <c r="N29" s="141"/>
      <c r="O29" s="142"/>
      <c r="P29" s="142"/>
      <c r="Q29" s="142"/>
      <c r="R29" s="142"/>
      <c r="S29" s="142"/>
    </row>
    <row r="30" spans="1:19">
      <c r="A30" s="138" t="s">
        <v>510</v>
      </c>
      <c r="B30" s="138" t="s">
        <v>511</v>
      </c>
      <c r="C30" s="143" t="s">
        <v>512</v>
      </c>
      <c r="D30" s="138" t="s">
        <v>73</v>
      </c>
      <c r="E30" s="138">
        <v>6</v>
      </c>
      <c r="F30" s="138" t="s">
        <v>74</v>
      </c>
      <c r="G30" s="138" t="s">
        <v>453</v>
      </c>
      <c r="H30" s="138"/>
      <c r="I30" s="144" t="s">
        <v>2513</v>
      </c>
      <c r="J30" s="138" t="s">
        <v>2511</v>
      </c>
      <c r="K30" s="138" t="s">
        <v>2512</v>
      </c>
      <c r="L30" s="138"/>
      <c r="M30" s="138"/>
      <c r="N30" s="141"/>
      <c r="O30" s="142"/>
      <c r="P30" s="142"/>
      <c r="Q30" s="142"/>
      <c r="R30" s="142"/>
      <c r="S30" s="142"/>
    </row>
    <row r="31" spans="1:19">
      <c r="A31" s="138" t="s">
        <v>549</v>
      </c>
      <c r="B31" s="138" t="s">
        <v>550</v>
      </c>
      <c r="C31" s="148" t="s">
        <v>551</v>
      </c>
      <c r="D31" s="138" t="s">
        <v>73</v>
      </c>
      <c r="E31" s="138">
        <v>6</v>
      </c>
      <c r="F31" s="138" t="s">
        <v>74</v>
      </c>
      <c r="G31" s="138" t="s">
        <v>453</v>
      </c>
      <c r="H31" s="138"/>
      <c r="I31" s="140" t="str">
        <f>"$/GJ"</f>
        <v>$/GJ</v>
      </c>
      <c r="J31" s="138" t="s">
        <v>2511</v>
      </c>
      <c r="K31" s="138" t="s">
        <v>2512</v>
      </c>
      <c r="L31" s="138"/>
      <c r="M31" s="138"/>
      <c r="N31" s="141"/>
      <c r="O31" s="142"/>
      <c r="P31" s="142"/>
      <c r="Q31" s="142"/>
      <c r="R31" s="142"/>
      <c r="S31" s="142"/>
    </row>
    <row r="32" spans="1:19">
      <c r="A32" s="138" t="s">
        <v>553</v>
      </c>
      <c r="B32" s="138" t="s">
        <v>554</v>
      </c>
      <c r="C32" s="143" t="s">
        <v>555</v>
      </c>
      <c r="D32" s="138" t="s">
        <v>73</v>
      </c>
      <c r="E32" s="138">
        <v>6</v>
      </c>
      <c r="F32" s="138" t="s">
        <v>74</v>
      </c>
      <c r="G32" s="138" t="s">
        <v>453</v>
      </c>
      <c r="H32" s="138"/>
      <c r="I32" s="140" t="str">
        <f>"$/GJ"</f>
        <v>$/GJ</v>
      </c>
      <c r="J32" s="138" t="s">
        <v>2511</v>
      </c>
      <c r="K32" s="138" t="s">
        <v>2512</v>
      </c>
      <c r="L32" s="138"/>
      <c r="M32" s="138"/>
      <c r="N32" s="141"/>
      <c r="O32" s="142"/>
      <c r="P32" s="142"/>
      <c r="Q32" s="142"/>
      <c r="R32" s="142"/>
      <c r="S32" s="142"/>
    </row>
    <row r="33" spans="1:19">
      <c r="A33" s="138" t="s">
        <v>206</v>
      </c>
      <c r="B33" s="138" t="s">
        <v>207</v>
      </c>
      <c r="C33" s="143" t="s">
        <v>208</v>
      </c>
      <c r="D33" s="138" t="s">
        <v>73</v>
      </c>
      <c r="E33" s="138">
        <v>8</v>
      </c>
      <c r="F33" s="138" t="s">
        <v>74</v>
      </c>
      <c r="G33" s="138" t="s">
        <v>209</v>
      </c>
      <c r="H33" s="138"/>
      <c r="I33" s="149" t="s">
        <v>2514</v>
      </c>
      <c r="J33" s="138" t="s">
        <v>2511</v>
      </c>
      <c r="K33" s="146" t="s">
        <v>2515</v>
      </c>
      <c r="L33" s="138"/>
      <c r="M33" s="138"/>
      <c r="N33" s="141"/>
      <c r="O33" s="142"/>
      <c r="P33" s="142"/>
      <c r="Q33" s="142"/>
      <c r="R33" s="142"/>
      <c r="S33" s="142"/>
    </row>
    <row r="34" spans="1:19">
      <c r="A34" s="138" t="s">
        <v>349</v>
      </c>
      <c r="B34" s="138" t="s">
        <v>350</v>
      </c>
      <c r="C34" s="143" t="s">
        <v>351</v>
      </c>
      <c r="D34" s="138" t="s">
        <v>73</v>
      </c>
      <c r="E34" s="138">
        <v>8</v>
      </c>
      <c r="F34" s="138" t="s">
        <v>74</v>
      </c>
      <c r="G34" s="138" t="s">
        <v>209</v>
      </c>
      <c r="H34" s="138"/>
      <c r="I34" s="144"/>
      <c r="J34" s="138"/>
      <c r="K34" s="138"/>
      <c r="L34" s="146" t="s">
        <v>2516</v>
      </c>
      <c r="M34" s="138"/>
      <c r="N34" s="141"/>
      <c r="O34" s="142"/>
      <c r="P34" s="142"/>
      <c r="Q34" s="142"/>
      <c r="R34" s="142"/>
      <c r="S34" s="142"/>
    </row>
    <row r="35" spans="1:19" ht="31.5">
      <c r="A35" s="138" t="s">
        <v>70</v>
      </c>
      <c r="B35" s="138" t="s">
        <v>71</v>
      </c>
      <c r="C35" s="143" t="s">
        <v>72</v>
      </c>
      <c r="D35" s="138" t="s">
        <v>73</v>
      </c>
      <c r="E35" s="138">
        <v>9</v>
      </c>
      <c r="F35" s="138" t="s">
        <v>74</v>
      </c>
      <c r="G35" s="138" t="s">
        <v>75</v>
      </c>
      <c r="H35" s="138"/>
      <c r="I35" s="150" t="s">
        <v>2517</v>
      </c>
      <c r="J35" s="146" t="s">
        <v>2518</v>
      </c>
      <c r="K35" s="146" t="s">
        <v>2515</v>
      </c>
      <c r="L35" s="146" t="s">
        <v>2519</v>
      </c>
      <c r="M35" s="146"/>
      <c r="N35" s="151"/>
      <c r="O35" s="142"/>
      <c r="P35" s="142"/>
      <c r="Q35" s="142"/>
      <c r="R35" s="142"/>
      <c r="S35" s="142"/>
    </row>
    <row r="36" spans="1:19">
      <c r="A36" s="138" t="s">
        <v>163</v>
      </c>
      <c r="B36" s="138" t="s">
        <v>164</v>
      </c>
      <c r="C36" s="143" t="s">
        <v>165</v>
      </c>
      <c r="D36" s="138" t="s">
        <v>73</v>
      </c>
      <c r="E36" s="138">
        <v>10</v>
      </c>
      <c r="F36" s="138" t="s">
        <v>74</v>
      </c>
      <c r="G36" s="138" t="s">
        <v>156</v>
      </c>
      <c r="H36" s="138"/>
      <c r="I36" s="149" t="s">
        <v>2513</v>
      </c>
      <c r="J36" s="138" t="s">
        <v>2511</v>
      </c>
      <c r="K36" s="138" t="s">
        <v>2520</v>
      </c>
      <c r="L36" s="138"/>
      <c r="M36" s="138"/>
      <c r="N36" s="141"/>
      <c r="O36" s="142"/>
      <c r="P36" s="142"/>
      <c r="Q36" s="142"/>
      <c r="R36" s="142"/>
      <c r="S36" s="142"/>
    </row>
    <row r="37" spans="1:19">
      <c r="A37" s="138" t="s">
        <v>186</v>
      </c>
      <c r="B37" s="138" t="s">
        <v>187</v>
      </c>
      <c r="C37" s="139" t="s">
        <v>188</v>
      </c>
      <c r="D37" s="138" t="s">
        <v>73</v>
      </c>
      <c r="E37" s="138">
        <v>10</v>
      </c>
      <c r="F37" s="138" t="s">
        <v>74</v>
      </c>
      <c r="G37" s="138" t="s">
        <v>189</v>
      </c>
      <c r="H37" s="139"/>
      <c r="I37" s="148" t="s">
        <v>2502</v>
      </c>
      <c r="J37" s="138"/>
      <c r="K37" s="138" t="s">
        <v>2521</v>
      </c>
      <c r="L37" s="138"/>
      <c r="M37" s="138"/>
      <c r="N37" s="141"/>
      <c r="O37" s="142"/>
      <c r="P37" s="142"/>
      <c r="Q37" s="142"/>
      <c r="R37" s="142"/>
      <c r="S37" s="142"/>
    </row>
    <row r="38" spans="1:19">
      <c r="A38" s="138" t="s">
        <v>190</v>
      </c>
      <c r="B38" s="138" t="s">
        <v>191</v>
      </c>
      <c r="C38" s="143" t="s">
        <v>192</v>
      </c>
      <c r="D38" s="138" t="s">
        <v>73</v>
      </c>
      <c r="E38" s="138">
        <v>10</v>
      </c>
      <c r="F38" s="138" t="s">
        <v>74</v>
      </c>
      <c r="G38" s="138" t="s">
        <v>189</v>
      </c>
      <c r="H38" s="138"/>
      <c r="I38" s="140" t="s">
        <v>2522</v>
      </c>
      <c r="J38" s="138" t="s">
        <v>1374</v>
      </c>
      <c r="K38" s="138"/>
      <c r="L38" s="138"/>
      <c r="M38" s="138"/>
      <c r="N38" s="141"/>
      <c r="O38" s="142"/>
      <c r="P38" s="142"/>
      <c r="Q38" s="142"/>
      <c r="R38" s="142"/>
      <c r="S38" s="142"/>
    </row>
    <row r="39" spans="1:19">
      <c r="A39" s="138" t="s">
        <v>193</v>
      </c>
      <c r="B39" s="138" t="s">
        <v>194</v>
      </c>
      <c r="C39" s="139" t="s">
        <v>195</v>
      </c>
      <c r="D39" s="138" t="s">
        <v>73</v>
      </c>
      <c r="E39" s="138">
        <v>10</v>
      </c>
      <c r="F39" s="138" t="s">
        <v>74</v>
      </c>
      <c r="G39" s="138" t="s">
        <v>189</v>
      </c>
      <c r="H39" s="138"/>
      <c r="I39" s="144" t="s">
        <v>2502</v>
      </c>
      <c r="J39" s="138" t="s">
        <v>2523</v>
      </c>
      <c r="K39" s="138"/>
      <c r="L39" s="138"/>
      <c r="M39" s="138"/>
      <c r="N39" s="141"/>
      <c r="O39" s="142"/>
      <c r="P39" s="142"/>
      <c r="Q39" s="142"/>
      <c r="R39" s="142"/>
      <c r="S39" s="142"/>
    </row>
    <row r="40" spans="1:19">
      <c r="A40" s="138" t="s">
        <v>196</v>
      </c>
      <c r="B40" s="138" t="s">
        <v>197</v>
      </c>
      <c r="C40" s="143" t="s">
        <v>198</v>
      </c>
      <c r="D40" s="138" t="s">
        <v>73</v>
      </c>
      <c r="E40" s="138">
        <v>10</v>
      </c>
      <c r="F40" s="138" t="s">
        <v>74</v>
      </c>
      <c r="G40" s="138" t="s">
        <v>189</v>
      </c>
      <c r="H40" s="138"/>
      <c r="I40" s="144" t="s">
        <v>2502</v>
      </c>
      <c r="J40" s="138"/>
      <c r="K40" s="138" t="s">
        <v>2520</v>
      </c>
      <c r="L40" s="138"/>
      <c r="M40" s="138"/>
      <c r="N40" s="141"/>
      <c r="O40" s="142"/>
      <c r="P40" s="142"/>
      <c r="Q40" s="142"/>
      <c r="R40" s="142"/>
      <c r="S40" s="142"/>
    </row>
    <row r="41" spans="1:19">
      <c r="A41" s="138" t="s">
        <v>199</v>
      </c>
      <c r="B41" s="138" t="s">
        <v>200</v>
      </c>
      <c r="C41" s="143" t="s">
        <v>201</v>
      </c>
      <c r="D41" s="138" t="s">
        <v>73</v>
      </c>
      <c r="E41" s="138">
        <v>10</v>
      </c>
      <c r="F41" s="138" t="s">
        <v>74</v>
      </c>
      <c r="G41" s="138" t="s">
        <v>189</v>
      </c>
      <c r="H41" s="138"/>
      <c r="I41" s="140" t="s">
        <v>2522</v>
      </c>
      <c r="J41" s="138"/>
      <c r="K41" s="138"/>
      <c r="L41" s="138"/>
      <c r="M41" s="138"/>
      <c r="N41" s="141"/>
      <c r="O41" s="142"/>
      <c r="P41" s="142"/>
      <c r="Q41" s="142"/>
      <c r="R41" s="142"/>
      <c r="S41" s="142"/>
    </row>
    <row r="42" spans="1:19">
      <c r="A42" s="138" t="s">
        <v>202</v>
      </c>
      <c r="B42" s="138" t="s">
        <v>203</v>
      </c>
      <c r="C42" s="143" t="s">
        <v>204</v>
      </c>
      <c r="D42" s="138" t="s">
        <v>73</v>
      </c>
      <c r="E42" s="138">
        <v>10</v>
      </c>
      <c r="F42" s="138" t="s">
        <v>74</v>
      </c>
      <c r="G42" s="138" t="s">
        <v>189</v>
      </c>
      <c r="H42" s="138"/>
      <c r="I42" s="144" t="s">
        <v>2502</v>
      </c>
      <c r="J42" s="138" t="s">
        <v>2524</v>
      </c>
      <c r="K42" s="138"/>
      <c r="L42" s="138"/>
      <c r="M42" s="138"/>
      <c r="N42" s="141"/>
      <c r="O42" s="142"/>
      <c r="P42" s="142"/>
      <c r="Q42" s="142"/>
      <c r="R42" s="142"/>
      <c r="S42" s="142"/>
    </row>
    <row r="43" spans="1:19">
      <c r="A43" s="138" t="s">
        <v>287</v>
      </c>
      <c r="B43" s="138" t="s">
        <v>288</v>
      </c>
      <c r="C43" s="143" t="s">
        <v>289</v>
      </c>
      <c r="D43" s="138" t="s">
        <v>73</v>
      </c>
      <c r="E43" s="138">
        <v>10</v>
      </c>
      <c r="F43" s="138" t="s">
        <v>74</v>
      </c>
      <c r="G43" s="138" t="s">
        <v>189</v>
      </c>
      <c r="H43" s="138"/>
      <c r="I43" s="144" t="s">
        <v>2525</v>
      </c>
      <c r="J43" s="138" t="s">
        <v>2511</v>
      </c>
      <c r="K43" s="138" t="s">
        <v>2526</v>
      </c>
      <c r="L43" s="138"/>
      <c r="M43" s="138"/>
      <c r="N43" s="141"/>
      <c r="O43" s="142"/>
      <c r="P43" s="142"/>
      <c r="Q43" s="142"/>
      <c r="R43" s="142"/>
      <c r="S43" s="142"/>
    </row>
    <row r="44" spans="1:19">
      <c r="A44" s="152" t="s">
        <v>306</v>
      </c>
      <c r="B44" s="152" t="s">
        <v>307</v>
      </c>
      <c r="C44" s="153" t="s">
        <v>308</v>
      </c>
      <c r="D44" s="152" t="s">
        <v>73</v>
      </c>
      <c r="E44" s="152">
        <v>11</v>
      </c>
      <c r="F44" s="152" t="s">
        <v>74</v>
      </c>
      <c r="G44" s="152" t="s">
        <v>307</v>
      </c>
      <c r="H44" s="152"/>
      <c r="I44" s="154"/>
      <c r="J44" s="152" t="s">
        <v>2527</v>
      </c>
      <c r="K44" s="152"/>
      <c r="L44" s="138"/>
      <c r="M44" s="138"/>
      <c r="N44" s="141"/>
      <c r="O44" s="142"/>
      <c r="P44" s="142"/>
      <c r="Q44" s="142"/>
      <c r="R44" s="142"/>
      <c r="S44" s="142"/>
    </row>
    <row r="45" spans="1:19">
      <c r="A45" s="155" t="s">
        <v>153</v>
      </c>
      <c r="B45" s="155" t="s">
        <v>154</v>
      </c>
      <c r="C45" s="156" t="s">
        <v>155</v>
      </c>
      <c r="D45" s="155" t="s">
        <v>87</v>
      </c>
      <c r="E45" s="155">
        <v>1</v>
      </c>
      <c r="F45" s="155" t="s">
        <v>112</v>
      </c>
      <c r="G45" s="155" t="s">
        <v>156</v>
      </c>
      <c r="H45" s="155"/>
      <c r="I45" s="157" t="s">
        <v>2528</v>
      </c>
      <c r="J45" s="155"/>
      <c r="K45" s="155"/>
      <c r="L45" s="138"/>
      <c r="M45" s="138"/>
      <c r="N45" s="141" t="s">
        <v>2529</v>
      </c>
      <c r="O45" s="142"/>
      <c r="P45" s="142"/>
      <c r="Q45" s="142"/>
      <c r="R45" s="142"/>
      <c r="S45" s="142"/>
    </row>
    <row r="46" spans="1:19">
      <c r="A46" s="138" t="s">
        <v>168</v>
      </c>
      <c r="B46" s="138" t="s">
        <v>169</v>
      </c>
      <c r="C46" s="143" t="s">
        <v>170</v>
      </c>
      <c r="D46" s="138" t="s">
        <v>87</v>
      </c>
      <c r="E46" s="138">
        <v>1</v>
      </c>
      <c r="F46" s="138" t="s">
        <v>112</v>
      </c>
      <c r="G46" s="138" t="s">
        <v>156</v>
      </c>
      <c r="H46" s="138"/>
      <c r="I46" s="140" t="s">
        <v>2530</v>
      </c>
      <c r="J46" s="138" t="s">
        <v>2531</v>
      </c>
      <c r="K46" s="138" t="s">
        <v>2532</v>
      </c>
      <c r="L46" s="138"/>
      <c r="M46" s="138"/>
      <c r="N46" s="141" t="s">
        <v>2529</v>
      </c>
      <c r="O46" s="142"/>
      <c r="P46" s="142"/>
      <c r="Q46" s="142"/>
      <c r="R46" s="142"/>
      <c r="S46" s="142"/>
    </row>
    <row r="47" spans="1:19" ht="31.5">
      <c r="A47" s="138" t="s">
        <v>202</v>
      </c>
      <c r="B47" s="138" t="s">
        <v>205</v>
      </c>
      <c r="C47" s="143" t="s">
        <v>204</v>
      </c>
      <c r="D47" s="138" t="s">
        <v>87</v>
      </c>
      <c r="E47" s="138">
        <v>1</v>
      </c>
      <c r="F47" s="138" t="s">
        <v>112</v>
      </c>
      <c r="G47" s="138" t="s">
        <v>156</v>
      </c>
      <c r="H47" s="138"/>
      <c r="I47" s="144" t="s">
        <v>2533</v>
      </c>
      <c r="J47" s="146" t="s">
        <v>2534</v>
      </c>
      <c r="K47" s="138"/>
      <c r="L47" s="138"/>
      <c r="M47" s="138"/>
      <c r="N47" s="141"/>
      <c r="O47" s="142"/>
      <c r="P47" s="142"/>
      <c r="Q47" s="142"/>
      <c r="R47" s="142"/>
      <c r="S47" s="142"/>
    </row>
    <row r="48" spans="1:19">
      <c r="A48" s="138" t="s">
        <v>321</v>
      </c>
      <c r="B48" s="138" t="s">
        <v>322</v>
      </c>
      <c r="C48" s="143" t="s">
        <v>323</v>
      </c>
      <c r="D48" s="138" t="s">
        <v>87</v>
      </c>
      <c r="E48" s="138">
        <v>1</v>
      </c>
      <c r="F48" s="138" t="s">
        <v>112</v>
      </c>
      <c r="G48" s="138" t="s">
        <v>156</v>
      </c>
      <c r="H48" s="138"/>
      <c r="I48" s="140" t="s">
        <v>2535</v>
      </c>
      <c r="J48" s="138"/>
      <c r="K48" s="138"/>
      <c r="L48" s="138"/>
      <c r="M48" s="138" t="s">
        <v>2536</v>
      </c>
      <c r="N48" s="141" t="s">
        <v>2529</v>
      </c>
      <c r="O48" s="142"/>
      <c r="P48" s="142"/>
      <c r="Q48" s="142"/>
      <c r="R48" s="142"/>
      <c r="S48" s="142"/>
    </row>
    <row r="49" spans="1:19">
      <c r="A49" s="138" t="s">
        <v>324</v>
      </c>
      <c r="B49" s="138" t="s">
        <v>325</v>
      </c>
      <c r="C49" s="143" t="s">
        <v>326</v>
      </c>
      <c r="D49" s="138" t="s">
        <v>87</v>
      </c>
      <c r="E49" s="138">
        <v>1</v>
      </c>
      <c r="F49" s="138" t="s">
        <v>112</v>
      </c>
      <c r="G49" s="138" t="s">
        <v>156</v>
      </c>
      <c r="H49" s="138"/>
      <c r="I49" s="144" t="s">
        <v>2504</v>
      </c>
      <c r="J49" s="138"/>
      <c r="K49" s="138"/>
      <c r="L49" s="138"/>
      <c r="M49" s="138" t="s">
        <v>2537</v>
      </c>
      <c r="N49" s="141" t="s">
        <v>2529</v>
      </c>
      <c r="O49" s="142"/>
      <c r="P49" s="142"/>
      <c r="Q49" s="142"/>
      <c r="R49" s="142"/>
      <c r="S49" s="142"/>
    </row>
    <row r="50" spans="1:19">
      <c r="A50" s="138" t="s">
        <v>352</v>
      </c>
      <c r="B50" s="138" t="s">
        <v>353</v>
      </c>
      <c r="C50" s="143" t="s">
        <v>354</v>
      </c>
      <c r="D50" s="138" t="s">
        <v>87</v>
      </c>
      <c r="E50" s="138">
        <v>1</v>
      </c>
      <c r="F50" s="138" t="s">
        <v>112</v>
      </c>
      <c r="G50" s="138" t="s">
        <v>156</v>
      </c>
      <c r="H50" s="138"/>
      <c r="I50" s="144"/>
      <c r="J50" s="146"/>
      <c r="K50" s="146"/>
      <c r="L50" s="138"/>
      <c r="M50" s="138"/>
      <c r="N50" s="141" t="s">
        <v>2529</v>
      </c>
      <c r="O50" s="142"/>
      <c r="P50" s="142"/>
      <c r="Q50" s="142"/>
      <c r="R50" s="142"/>
      <c r="S50" s="142"/>
    </row>
    <row r="51" spans="1:19">
      <c r="A51" s="138" t="s">
        <v>471</v>
      </c>
      <c r="B51" s="138" t="s">
        <v>472</v>
      </c>
      <c r="C51" s="143" t="s">
        <v>473</v>
      </c>
      <c r="D51" s="138" t="s">
        <v>87</v>
      </c>
      <c r="E51" s="138">
        <v>1</v>
      </c>
      <c r="F51" s="138" t="s">
        <v>112</v>
      </c>
      <c r="G51" s="138" t="s">
        <v>156</v>
      </c>
      <c r="H51" s="138"/>
      <c r="I51" s="144" t="s">
        <v>2502</v>
      </c>
      <c r="J51" s="138" t="s">
        <v>2538</v>
      </c>
      <c r="K51" s="138"/>
      <c r="L51" s="138"/>
      <c r="M51" s="138"/>
      <c r="N51" s="141" t="s">
        <v>2529</v>
      </c>
      <c r="O51" s="142"/>
      <c r="P51" s="142"/>
      <c r="Q51" s="142"/>
      <c r="R51" s="142"/>
      <c r="S51" s="142"/>
    </row>
    <row r="52" spans="1:19">
      <c r="A52" s="138" t="s">
        <v>493</v>
      </c>
      <c r="B52" s="138" t="s">
        <v>496</v>
      </c>
      <c r="C52" s="143" t="s">
        <v>497</v>
      </c>
      <c r="D52" s="138" t="s">
        <v>87</v>
      </c>
      <c r="E52" s="138">
        <v>1</v>
      </c>
      <c r="F52" s="138" t="s">
        <v>112</v>
      </c>
      <c r="G52" s="138" t="s">
        <v>156</v>
      </c>
      <c r="H52" s="138"/>
      <c r="I52" s="144" t="s">
        <v>2539</v>
      </c>
      <c r="J52" s="138" t="s">
        <v>2511</v>
      </c>
      <c r="K52" s="138" t="s">
        <v>2512</v>
      </c>
      <c r="L52" s="138"/>
      <c r="M52" s="138" t="s">
        <v>2540</v>
      </c>
      <c r="N52" s="141" t="s">
        <v>2529</v>
      </c>
      <c r="O52" s="142"/>
      <c r="P52" s="142"/>
      <c r="Q52" s="142"/>
      <c r="R52" s="142"/>
      <c r="S52" s="142"/>
    </row>
    <row r="53" spans="1:19">
      <c r="A53" s="138" t="s">
        <v>504</v>
      </c>
      <c r="B53" s="138" t="s">
        <v>505</v>
      </c>
      <c r="C53" s="143" t="s">
        <v>506</v>
      </c>
      <c r="D53" s="138" t="s">
        <v>87</v>
      </c>
      <c r="E53" s="138">
        <v>1</v>
      </c>
      <c r="F53" s="138" t="s">
        <v>112</v>
      </c>
      <c r="G53" s="138" t="s">
        <v>156</v>
      </c>
      <c r="H53" s="138"/>
      <c r="I53" s="140" t="s">
        <v>2541</v>
      </c>
      <c r="J53" s="138" t="s">
        <v>2531</v>
      </c>
      <c r="K53" s="138" t="s">
        <v>2532</v>
      </c>
      <c r="L53" s="138"/>
      <c r="M53" s="138"/>
      <c r="N53" s="141" t="s">
        <v>2529</v>
      </c>
      <c r="O53" s="142"/>
      <c r="P53" s="142"/>
      <c r="Q53" s="142"/>
      <c r="R53" s="142"/>
      <c r="S53" s="142"/>
    </row>
    <row r="54" spans="1:19" ht="31.5">
      <c r="A54" s="138" t="s">
        <v>519</v>
      </c>
      <c r="B54" s="138" t="s">
        <v>520</v>
      </c>
      <c r="C54" s="143" t="s">
        <v>521</v>
      </c>
      <c r="D54" s="138" t="s">
        <v>87</v>
      </c>
      <c r="E54" s="138">
        <v>1</v>
      </c>
      <c r="F54" s="138" t="s">
        <v>112</v>
      </c>
      <c r="G54" s="138" t="s">
        <v>156</v>
      </c>
      <c r="H54" s="138"/>
      <c r="I54" s="144" t="s">
        <v>520</v>
      </c>
      <c r="J54" s="146" t="s">
        <v>2542</v>
      </c>
      <c r="K54" s="146"/>
      <c r="L54" s="138"/>
      <c r="M54" s="138"/>
      <c r="N54" s="141" t="s">
        <v>2529</v>
      </c>
      <c r="O54" s="142"/>
      <c r="P54" s="142"/>
      <c r="Q54" s="142"/>
      <c r="R54" s="142"/>
      <c r="S54" s="142"/>
    </row>
    <row r="55" spans="1:19">
      <c r="A55" s="138" t="s">
        <v>528</v>
      </c>
      <c r="B55" s="138" t="s">
        <v>529</v>
      </c>
      <c r="C55" s="143" t="s">
        <v>530</v>
      </c>
      <c r="D55" s="138" t="s">
        <v>87</v>
      </c>
      <c r="E55" s="138">
        <v>1</v>
      </c>
      <c r="F55" s="138" t="s">
        <v>531</v>
      </c>
      <c r="G55" s="138" t="s">
        <v>156</v>
      </c>
      <c r="H55" s="138"/>
      <c r="I55" s="144" t="s">
        <v>2533</v>
      </c>
      <c r="J55" s="138"/>
      <c r="K55" s="138" t="s">
        <v>2543</v>
      </c>
      <c r="L55" s="138"/>
      <c r="M55" s="138"/>
      <c r="N55" s="141" t="s">
        <v>2529</v>
      </c>
      <c r="O55" s="142"/>
      <c r="P55" s="142"/>
      <c r="Q55" s="142"/>
      <c r="R55" s="142"/>
      <c r="S55" s="142"/>
    </row>
    <row r="56" spans="1:19">
      <c r="A56" s="138" t="s">
        <v>157</v>
      </c>
      <c r="B56" s="138" t="s">
        <v>161</v>
      </c>
      <c r="C56" s="143" t="s">
        <v>162</v>
      </c>
      <c r="D56" s="138" t="s">
        <v>87</v>
      </c>
      <c r="E56" s="138">
        <v>2</v>
      </c>
      <c r="F56" s="138" t="s">
        <v>112</v>
      </c>
      <c r="G56" s="138" t="s">
        <v>156</v>
      </c>
      <c r="H56" s="138"/>
      <c r="I56" s="144" t="s">
        <v>2513</v>
      </c>
      <c r="J56" s="138" t="s">
        <v>2511</v>
      </c>
      <c r="K56" s="138" t="s">
        <v>2512</v>
      </c>
      <c r="L56" s="138"/>
      <c r="M56" s="138" t="s">
        <v>1402</v>
      </c>
      <c r="N56" s="141" t="s">
        <v>2529</v>
      </c>
      <c r="O56" s="142"/>
      <c r="P56" s="142"/>
      <c r="Q56" s="142"/>
      <c r="R56" s="142"/>
      <c r="S56" s="142"/>
    </row>
    <row r="57" spans="1:19">
      <c r="A57" s="138" t="s">
        <v>163</v>
      </c>
      <c r="B57" s="138" t="s">
        <v>166</v>
      </c>
      <c r="C57" s="143" t="s">
        <v>167</v>
      </c>
      <c r="D57" s="138" t="s">
        <v>87</v>
      </c>
      <c r="E57" s="138">
        <v>2</v>
      </c>
      <c r="F57" s="138" t="s">
        <v>112</v>
      </c>
      <c r="G57" s="138" t="s">
        <v>156</v>
      </c>
      <c r="H57" s="138"/>
      <c r="I57" s="144" t="s">
        <v>2513</v>
      </c>
      <c r="J57" s="138" t="s">
        <v>2511</v>
      </c>
      <c r="K57" s="138" t="s">
        <v>2512</v>
      </c>
      <c r="L57" s="138"/>
      <c r="M57" s="138" t="s">
        <v>1402</v>
      </c>
      <c r="N57" s="141" t="s">
        <v>2529</v>
      </c>
      <c r="O57" s="142"/>
      <c r="P57" s="142"/>
      <c r="Q57" s="142"/>
      <c r="R57" s="142"/>
      <c r="S57" s="142"/>
    </row>
    <row r="58" spans="1:19">
      <c r="A58" s="138" t="s">
        <v>168</v>
      </c>
      <c r="B58" s="138" t="s">
        <v>171</v>
      </c>
      <c r="C58" s="143" t="s">
        <v>172</v>
      </c>
      <c r="D58" s="138" t="s">
        <v>87</v>
      </c>
      <c r="E58" s="138">
        <v>2</v>
      </c>
      <c r="F58" s="138" t="s">
        <v>112</v>
      </c>
      <c r="G58" s="138" t="s">
        <v>156</v>
      </c>
      <c r="H58" s="138"/>
      <c r="I58" s="144" t="s">
        <v>2513</v>
      </c>
      <c r="J58" s="138" t="s">
        <v>2511</v>
      </c>
      <c r="K58" s="138" t="s">
        <v>2512</v>
      </c>
      <c r="L58" s="138"/>
      <c r="M58" s="138" t="s">
        <v>1402</v>
      </c>
      <c r="N58" s="141" t="s">
        <v>2529</v>
      </c>
      <c r="O58" s="142"/>
      <c r="P58" s="142"/>
      <c r="Q58" s="142"/>
      <c r="R58" s="142"/>
      <c r="S58" s="142"/>
    </row>
    <row r="59" spans="1:19">
      <c r="A59" s="138" t="s">
        <v>287</v>
      </c>
      <c r="B59" s="138" t="s">
        <v>290</v>
      </c>
      <c r="C59" s="143" t="s">
        <v>291</v>
      </c>
      <c r="D59" s="138" t="s">
        <v>87</v>
      </c>
      <c r="E59" s="138">
        <v>2</v>
      </c>
      <c r="F59" s="138" t="s">
        <v>112</v>
      </c>
      <c r="G59" s="138" t="s">
        <v>292</v>
      </c>
      <c r="H59" s="138"/>
      <c r="I59" s="144" t="s">
        <v>2513</v>
      </c>
      <c r="J59" s="138" t="s">
        <v>2511</v>
      </c>
      <c r="K59" s="138" t="s">
        <v>2512</v>
      </c>
      <c r="L59" s="138"/>
      <c r="M59" s="138" t="s">
        <v>1402</v>
      </c>
      <c r="N59" s="141" t="s">
        <v>2529</v>
      </c>
      <c r="O59" s="142"/>
      <c r="P59" s="142"/>
      <c r="Q59" s="142"/>
      <c r="R59" s="142"/>
      <c r="S59" s="142"/>
    </row>
    <row r="60" spans="1:19">
      <c r="A60" s="138" t="s">
        <v>297</v>
      </c>
      <c r="B60" s="138" t="s">
        <v>298</v>
      </c>
      <c r="C60" s="143" t="s">
        <v>299</v>
      </c>
      <c r="D60" s="138" t="s">
        <v>87</v>
      </c>
      <c r="E60" s="138">
        <v>2</v>
      </c>
      <c r="F60" s="138" t="s">
        <v>112</v>
      </c>
      <c r="G60" s="138" t="s">
        <v>292</v>
      </c>
      <c r="H60" s="138"/>
      <c r="I60" s="144" t="s">
        <v>2513</v>
      </c>
      <c r="J60" s="138" t="s">
        <v>2511</v>
      </c>
      <c r="K60" s="138" t="s">
        <v>2512</v>
      </c>
      <c r="L60" s="138"/>
      <c r="M60" s="138" t="s">
        <v>1402</v>
      </c>
      <c r="N60" s="141" t="s">
        <v>2529</v>
      </c>
      <c r="O60" s="142"/>
      <c r="P60" s="142"/>
      <c r="Q60" s="142"/>
      <c r="R60" s="142"/>
      <c r="S60" s="142"/>
    </row>
    <row r="61" spans="1:19">
      <c r="A61" s="138" t="s">
        <v>376</v>
      </c>
      <c r="B61" s="138" t="s">
        <v>377</v>
      </c>
      <c r="C61" s="143" t="s">
        <v>378</v>
      </c>
      <c r="D61" s="138" t="s">
        <v>87</v>
      </c>
      <c r="E61" s="138">
        <v>2</v>
      </c>
      <c r="F61" s="138" t="s">
        <v>112</v>
      </c>
      <c r="G61" s="138" t="s">
        <v>292</v>
      </c>
      <c r="H61" s="138"/>
      <c r="I61" s="144" t="s">
        <v>2513</v>
      </c>
      <c r="J61" s="138" t="s">
        <v>2511</v>
      </c>
      <c r="K61" s="138" t="s">
        <v>2512</v>
      </c>
      <c r="L61" s="138"/>
      <c r="M61" s="138" t="s">
        <v>1402</v>
      </c>
      <c r="N61" s="141" t="s">
        <v>2529</v>
      </c>
      <c r="O61" s="142"/>
      <c r="P61" s="142"/>
      <c r="Q61" s="142"/>
      <c r="R61" s="142"/>
      <c r="S61" s="142"/>
    </row>
    <row r="62" spans="1:19">
      <c r="A62" s="138" t="s">
        <v>416</v>
      </c>
      <c r="B62" s="138" t="s">
        <v>417</v>
      </c>
      <c r="C62" s="143" t="s">
        <v>418</v>
      </c>
      <c r="D62" s="138" t="s">
        <v>87</v>
      </c>
      <c r="E62" s="138">
        <v>2</v>
      </c>
      <c r="F62" s="138" t="s">
        <v>112</v>
      </c>
      <c r="G62" s="138" t="s">
        <v>292</v>
      </c>
      <c r="H62" s="138"/>
      <c r="I62" s="144" t="s">
        <v>2513</v>
      </c>
      <c r="J62" s="138" t="s">
        <v>2511</v>
      </c>
      <c r="K62" s="138" t="s">
        <v>2512</v>
      </c>
      <c r="L62" s="138"/>
      <c r="M62" s="138" t="s">
        <v>1402</v>
      </c>
      <c r="N62" s="141" t="s">
        <v>2529</v>
      </c>
      <c r="O62" s="142"/>
      <c r="P62" s="142"/>
      <c r="Q62" s="142"/>
      <c r="R62" s="142"/>
      <c r="S62" s="142"/>
    </row>
    <row r="63" spans="1:19">
      <c r="A63" s="138" t="s">
        <v>427</v>
      </c>
      <c r="B63" s="138" t="s">
        <v>428</v>
      </c>
      <c r="C63" s="143" t="s">
        <v>429</v>
      </c>
      <c r="D63" s="138" t="s">
        <v>87</v>
      </c>
      <c r="E63" s="138">
        <v>2</v>
      </c>
      <c r="F63" s="138" t="s">
        <v>112</v>
      </c>
      <c r="G63" s="138" t="s">
        <v>292</v>
      </c>
      <c r="H63" s="138"/>
      <c r="I63" s="144" t="s">
        <v>2513</v>
      </c>
      <c r="J63" s="138" t="s">
        <v>2511</v>
      </c>
      <c r="K63" s="138" t="s">
        <v>2512</v>
      </c>
      <c r="L63" s="138"/>
      <c r="M63" s="138" t="s">
        <v>1402</v>
      </c>
      <c r="N63" s="141" t="s">
        <v>2529</v>
      </c>
      <c r="O63" s="142"/>
      <c r="P63" s="142"/>
      <c r="Q63" s="142"/>
      <c r="R63" s="142"/>
      <c r="S63" s="142"/>
    </row>
    <row r="64" spans="1:19">
      <c r="A64" s="138" t="s">
        <v>450</v>
      </c>
      <c r="B64" s="138" t="s">
        <v>451</v>
      </c>
      <c r="C64" s="143" t="s">
        <v>454</v>
      </c>
      <c r="D64" s="138" t="s">
        <v>87</v>
      </c>
      <c r="E64" s="138">
        <v>2</v>
      </c>
      <c r="F64" s="138" t="s">
        <v>112</v>
      </c>
      <c r="G64" s="138" t="s">
        <v>292</v>
      </c>
      <c r="H64" s="138"/>
      <c r="I64" s="144" t="s">
        <v>2513</v>
      </c>
      <c r="J64" s="138" t="s">
        <v>2511</v>
      </c>
      <c r="K64" s="138" t="s">
        <v>2512</v>
      </c>
      <c r="L64" s="138"/>
      <c r="M64" s="138" t="s">
        <v>1402</v>
      </c>
      <c r="N64" s="141" t="s">
        <v>2529</v>
      </c>
      <c r="O64" s="142"/>
      <c r="P64" s="142"/>
      <c r="Q64" s="142"/>
      <c r="R64" s="142"/>
      <c r="S64" s="142"/>
    </row>
    <row r="65" spans="1:19">
      <c r="A65" s="138" t="s">
        <v>493</v>
      </c>
      <c r="B65" s="138" t="s">
        <v>498</v>
      </c>
      <c r="C65" s="143" t="s">
        <v>499</v>
      </c>
      <c r="D65" s="138" t="s">
        <v>87</v>
      </c>
      <c r="E65" s="138">
        <v>2</v>
      </c>
      <c r="F65" s="138" t="s">
        <v>112</v>
      </c>
      <c r="G65" s="138" t="s">
        <v>292</v>
      </c>
      <c r="H65" s="138"/>
      <c r="I65" s="144" t="s">
        <v>2525</v>
      </c>
      <c r="J65" s="138" t="s">
        <v>2511</v>
      </c>
      <c r="K65" s="138" t="s">
        <v>2512</v>
      </c>
      <c r="L65" s="138"/>
      <c r="M65" s="138" t="s">
        <v>1402</v>
      </c>
      <c r="N65" s="141" t="s">
        <v>2529</v>
      </c>
      <c r="O65" s="142"/>
      <c r="P65" s="142"/>
      <c r="Q65" s="142"/>
      <c r="R65" s="142"/>
      <c r="S65" s="142"/>
    </row>
    <row r="66" spans="1:19">
      <c r="A66" s="138" t="s">
        <v>510</v>
      </c>
      <c r="B66" s="138" t="s">
        <v>511</v>
      </c>
      <c r="C66" s="143" t="s">
        <v>513</v>
      </c>
      <c r="D66" s="138" t="s">
        <v>87</v>
      </c>
      <c r="E66" s="138">
        <v>2</v>
      </c>
      <c r="F66" s="138" t="s">
        <v>112</v>
      </c>
      <c r="G66" s="138" t="s">
        <v>292</v>
      </c>
      <c r="H66" s="138"/>
      <c r="I66" s="144" t="s">
        <v>2513</v>
      </c>
      <c r="J66" s="138" t="s">
        <v>2511</v>
      </c>
      <c r="K66" s="138" t="s">
        <v>2512</v>
      </c>
      <c r="L66" s="138"/>
      <c r="M66" s="138" t="s">
        <v>1402</v>
      </c>
      <c r="N66" s="141" t="s">
        <v>2529</v>
      </c>
      <c r="O66" s="142"/>
      <c r="P66" s="142"/>
      <c r="Q66" s="142"/>
      <c r="R66" s="142"/>
      <c r="S66" s="142"/>
    </row>
    <row r="67" spans="1:19">
      <c r="A67" s="138" t="s">
        <v>549</v>
      </c>
      <c r="B67" s="138" t="s">
        <v>550</v>
      </c>
      <c r="C67" s="143" t="s">
        <v>552</v>
      </c>
      <c r="D67" s="138" t="s">
        <v>87</v>
      </c>
      <c r="E67" s="138">
        <v>2</v>
      </c>
      <c r="F67" s="138" t="s">
        <v>112</v>
      </c>
      <c r="G67" s="138" t="s">
        <v>292</v>
      </c>
      <c r="H67" s="138"/>
      <c r="I67" s="144" t="s">
        <v>2513</v>
      </c>
      <c r="J67" s="138" t="s">
        <v>2511</v>
      </c>
      <c r="K67" s="138" t="s">
        <v>2512</v>
      </c>
      <c r="L67" s="138"/>
      <c r="M67" s="138" t="s">
        <v>1402</v>
      </c>
      <c r="N67" s="141" t="s">
        <v>2529</v>
      </c>
      <c r="O67" s="142"/>
      <c r="P67" s="142"/>
      <c r="Q67" s="142"/>
      <c r="R67" s="142"/>
      <c r="S67" s="142"/>
    </row>
    <row r="68" spans="1:19">
      <c r="A68" s="138" t="s">
        <v>553</v>
      </c>
      <c r="B68" s="138" t="s">
        <v>556</v>
      </c>
      <c r="C68" s="143" t="s">
        <v>557</v>
      </c>
      <c r="D68" s="138" t="s">
        <v>87</v>
      </c>
      <c r="E68" s="138">
        <v>2</v>
      </c>
      <c r="F68" s="138" t="s">
        <v>112</v>
      </c>
      <c r="G68" s="138" t="s">
        <v>292</v>
      </c>
      <c r="H68" s="138"/>
      <c r="I68" s="144" t="s">
        <v>2513</v>
      </c>
      <c r="J68" s="138" t="s">
        <v>2511</v>
      </c>
      <c r="K68" s="138" t="s">
        <v>2512</v>
      </c>
      <c r="L68" s="138"/>
      <c r="M68" s="138" t="s">
        <v>1402</v>
      </c>
      <c r="N68" s="141" t="s">
        <v>2529</v>
      </c>
      <c r="O68" s="142"/>
      <c r="P68" s="142"/>
      <c r="Q68" s="142"/>
      <c r="R68" s="142"/>
      <c r="S68" s="142"/>
    </row>
    <row r="69" spans="1:19">
      <c r="A69" s="138" t="s">
        <v>177</v>
      </c>
      <c r="B69" s="138" t="s">
        <v>178</v>
      </c>
      <c r="C69" s="143" t="s">
        <v>179</v>
      </c>
      <c r="D69" s="138" t="s">
        <v>87</v>
      </c>
      <c r="E69" s="138">
        <v>3</v>
      </c>
      <c r="F69" s="138" t="s">
        <v>112</v>
      </c>
      <c r="G69" s="138" t="s">
        <v>156</v>
      </c>
      <c r="H69" s="142"/>
      <c r="I69" s="140" t="s">
        <v>1423</v>
      </c>
      <c r="J69" s="138"/>
      <c r="K69" s="138" t="s">
        <v>1376</v>
      </c>
      <c r="L69" s="138"/>
      <c r="M69" s="138"/>
      <c r="N69" s="141" t="s">
        <v>2529</v>
      </c>
      <c r="O69" s="142"/>
      <c r="P69" s="142"/>
      <c r="Q69" s="142"/>
      <c r="R69" s="142"/>
      <c r="S69" s="142"/>
    </row>
    <row r="70" spans="1:19">
      <c r="A70" s="138" t="s">
        <v>233</v>
      </c>
      <c r="B70" s="142" t="s">
        <v>234</v>
      </c>
      <c r="C70" s="143" t="s">
        <v>235</v>
      </c>
      <c r="D70" s="138" t="s">
        <v>87</v>
      </c>
      <c r="E70" s="138">
        <v>3</v>
      </c>
      <c r="F70" s="138" t="s">
        <v>112</v>
      </c>
      <c r="G70" s="138" t="s">
        <v>236</v>
      </c>
      <c r="H70" s="138"/>
      <c r="I70" s="144" t="s">
        <v>1421</v>
      </c>
      <c r="J70" s="146" t="s">
        <v>2544</v>
      </c>
      <c r="K70" s="138" t="s">
        <v>1303</v>
      </c>
      <c r="L70" s="138"/>
      <c r="M70" s="138" t="s">
        <v>1398</v>
      </c>
      <c r="N70" s="141" t="s">
        <v>2529</v>
      </c>
      <c r="O70" s="142"/>
      <c r="P70" s="142"/>
      <c r="Q70" s="142"/>
      <c r="R70" s="142"/>
      <c r="S70" s="142"/>
    </row>
    <row r="71" spans="1:19">
      <c r="A71" s="138" t="s">
        <v>244</v>
      </c>
      <c r="B71" s="142" t="s">
        <v>245</v>
      </c>
      <c r="C71" s="143" t="s">
        <v>246</v>
      </c>
      <c r="D71" s="138" t="s">
        <v>87</v>
      </c>
      <c r="E71" s="138">
        <v>3</v>
      </c>
      <c r="F71" s="138" t="s">
        <v>112</v>
      </c>
      <c r="G71" s="138" t="s">
        <v>236</v>
      </c>
      <c r="H71" s="138"/>
      <c r="I71" s="144" t="s">
        <v>1423</v>
      </c>
      <c r="J71" s="146"/>
      <c r="K71" s="138" t="s">
        <v>2545</v>
      </c>
      <c r="L71" s="138"/>
      <c r="M71" s="138" t="s">
        <v>1398</v>
      </c>
      <c r="N71" s="141" t="s">
        <v>2529</v>
      </c>
      <c r="O71" s="142"/>
      <c r="P71" s="142"/>
      <c r="Q71" s="142"/>
      <c r="R71" s="142"/>
      <c r="S71" s="142"/>
    </row>
    <row r="72" spans="1:19" ht="31.5">
      <c r="A72" s="138" t="s">
        <v>265</v>
      </c>
      <c r="B72" s="138" t="s">
        <v>266</v>
      </c>
      <c r="C72" s="158" t="s">
        <v>267</v>
      </c>
      <c r="D72" s="138" t="s">
        <v>87</v>
      </c>
      <c r="E72" s="138">
        <v>3</v>
      </c>
      <c r="F72" s="138" t="s">
        <v>112</v>
      </c>
      <c r="G72" s="138" t="s">
        <v>236</v>
      </c>
      <c r="H72" s="138"/>
      <c r="I72" s="144" t="s">
        <v>1423</v>
      </c>
      <c r="J72" s="146" t="s">
        <v>1361</v>
      </c>
      <c r="K72" s="146" t="s">
        <v>2546</v>
      </c>
      <c r="L72" s="138"/>
      <c r="M72" s="138" t="s">
        <v>1398</v>
      </c>
      <c r="N72" s="141" t="s">
        <v>2529</v>
      </c>
      <c r="O72" s="142"/>
      <c r="P72" s="142"/>
      <c r="Q72" s="142"/>
      <c r="R72" s="142"/>
      <c r="S72" s="142"/>
    </row>
    <row r="73" spans="1:19">
      <c r="A73" s="138" t="s">
        <v>376</v>
      </c>
      <c r="B73" s="138" t="s">
        <v>379</v>
      </c>
      <c r="C73" s="143" t="s">
        <v>380</v>
      </c>
      <c r="D73" s="138" t="s">
        <v>87</v>
      </c>
      <c r="E73" s="138">
        <v>3</v>
      </c>
      <c r="F73" s="138" t="s">
        <v>112</v>
      </c>
      <c r="G73" s="138" t="s">
        <v>236</v>
      </c>
      <c r="H73" s="138"/>
      <c r="I73" s="159" t="s">
        <v>2547</v>
      </c>
      <c r="J73" s="138" t="s">
        <v>2548</v>
      </c>
      <c r="K73" s="138" t="s">
        <v>1323</v>
      </c>
      <c r="L73" s="138"/>
      <c r="M73" s="138"/>
      <c r="N73" s="141" t="s">
        <v>2529</v>
      </c>
      <c r="O73" s="142"/>
      <c r="P73" s="142"/>
      <c r="Q73" s="142"/>
      <c r="R73" s="142"/>
      <c r="S73" s="142"/>
    </row>
    <row r="74" spans="1:19">
      <c r="A74" s="138" t="s">
        <v>427</v>
      </c>
      <c r="B74" s="138" t="s">
        <v>430</v>
      </c>
      <c r="C74" s="143" t="s">
        <v>431</v>
      </c>
      <c r="D74" s="138" t="s">
        <v>87</v>
      </c>
      <c r="E74" s="138">
        <v>3</v>
      </c>
      <c r="F74" s="138" t="s">
        <v>112</v>
      </c>
      <c r="G74" s="138" t="s">
        <v>236</v>
      </c>
      <c r="H74" s="138"/>
      <c r="I74" s="159" t="s">
        <v>2547</v>
      </c>
      <c r="J74" s="138" t="s">
        <v>2548</v>
      </c>
      <c r="K74" s="138" t="s">
        <v>1323</v>
      </c>
      <c r="L74" s="138"/>
      <c r="M74" s="138"/>
      <c r="N74" s="141" t="s">
        <v>2529</v>
      </c>
      <c r="O74" s="142"/>
      <c r="P74" s="142"/>
      <c r="Q74" s="142"/>
      <c r="R74" s="142"/>
      <c r="S74" s="142"/>
    </row>
    <row r="75" spans="1:19">
      <c r="A75" s="138" t="s">
        <v>441</v>
      </c>
      <c r="B75" s="142" t="s">
        <v>442</v>
      </c>
      <c r="C75" s="143" t="s">
        <v>443</v>
      </c>
      <c r="D75" s="138" t="s">
        <v>87</v>
      </c>
      <c r="E75" s="138">
        <v>3</v>
      </c>
      <c r="F75" s="138" t="s">
        <v>112</v>
      </c>
      <c r="G75" s="138" t="s">
        <v>236</v>
      </c>
      <c r="H75" s="138"/>
      <c r="I75" s="159" t="s">
        <v>2547</v>
      </c>
      <c r="J75" s="146"/>
      <c r="K75" s="138"/>
      <c r="L75" s="138"/>
      <c r="M75" s="138"/>
      <c r="N75" s="141"/>
      <c r="O75" s="142"/>
      <c r="P75" s="142"/>
      <c r="Q75" s="142"/>
      <c r="R75" s="142"/>
      <c r="S75" s="142"/>
    </row>
    <row r="76" spans="1:19">
      <c r="A76" s="138" t="s">
        <v>458</v>
      </c>
      <c r="B76" s="142" t="s">
        <v>459</v>
      </c>
      <c r="C76" s="143" t="s">
        <v>460</v>
      </c>
      <c r="D76" s="138" t="s">
        <v>87</v>
      </c>
      <c r="E76" s="138">
        <v>3</v>
      </c>
      <c r="F76" s="138" t="s">
        <v>112</v>
      </c>
      <c r="G76" s="138" t="s">
        <v>236</v>
      </c>
      <c r="H76" s="138"/>
      <c r="I76" s="160" t="s">
        <v>2549</v>
      </c>
      <c r="J76" s="146"/>
      <c r="K76" s="138" t="s">
        <v>1303</v>
      </c>
      <c r="L76" s="138"/>
      <c r="M76" s="138"/>
      <c r="N76" s="141"/>
      <c r="O76" s="142"/>
      <c r="P76" s="142"/>
      <c r="Q76" s="142"/>
      <c r="R76" s="142"/>
      <c r="S76" s="142"/>
    </row>
    <row r="77" spans="1:19">
      <c r="A77" s="138" t="s">
        <v>84</v>
      </c>
      <c r="B77" s="138" t="s">
        <v>85</v>
      </c>
      <c r="C77" s="158" t="s">
        <v>86</v>
      </c>
      <c r="D77" s="138" t="s">
        <v>87</v>
      </c>
      <c r="E77" s="138">
        <v>4</v>
      </c>
      <c r="F77" s="138" t="s">
        <v>88</v>
      </c>
      <c r="G77" s="138" t="s">
        <v>89</v>
      </c>
      <c r="H77" s="141"/>
      <c r="I77" s="161" t="s">
        <v>2550</v>
      </c>
      <c r="J77" s="146" t="s">
        <v>1361</v>
      </c>
      <c r="K77" s="146" t="s">
        <v>2551</v>
      </c>
      <c r="L77" s="146"/>
      <c r="M77" s="146" t="s">
        <v>1396</v>
      </c>
      <c r="N77" s="141" t="s">
        <v>2529</v>
      </c>
      <c r="O77" s="142"/>
      <c r="P77" s="142"/>
      <c r="Q77" s="142"/>
      <c r="R77" s="142"/>
      <c r="S77" s="142"/>
    </row>
    <row r="78" spans="1:19">
      <c r="A78" s="138" t="s">
        <v>122</v>
      </c>
      <c r="B78" s="138" t="s">
        <v>123</v>
      </c>
      <c r="C78" s="143" t="s">
        <v>124</v>
      </c>
      <c r="D78" s="138" t="s">
        <v>87</v>
      </c>
      <c r="E78" s="138">
        <v>4</v>
      </c>
      <c r="F78" s="138" t="s">
        <v>112</v>
      </c>
      <c r="G78" s="138" t="s">
        <v>125</v>
      </c>
      <c r="H78" s="139"/>
      <c r="I78" s="140" t="s">
        <v>2552</v>
      </c>
      <c r="J78" s="138" t="s">
        <v>1361</v>
      </c>
      <c r="K78" s="146" t="s">
        <v>2553</v>
      </c>
      <c r="L78" s="138"/>
      <c r="M78" s="138" t="s">
        <v>1396</v>
      </c>
      <c r="N78" s="141" t="s">
        <v>2529</v>
      </c>
      <c r="O78" s="142"/>
      <c r="P78" s="142"/>
      <c r="Q78" s="142"/>
      <c r="R78" s="142"/>
      <c r="S78" s="142"/>
    </row>
    <row r="79" spans="1:19">
      <c r="A79" s="162" t="s">
        <v>173</v>
      </c>
      <c r="B79" s="138" t="s">
        <v>174</v>
      </c>
      <c r="C79" s="139" t="s">
        <v>175</v>
      </c>
      <c r="D79" s="138" t="s">
        <v>87</v>
      </c>
      <c r="E79" s="138">
        <v>4</v>
      </c>
      <c r="F79" s="138" t="s">
        <v>112</v>
      </c>
      <c r="G79" s="138" t="s">
        <v>156</v>
      </c>
      <c r="H79" s="138" t="s">
        <v>2554</v>
      </c>
      <c r="I79" s="163" t="s">
        <v>2555</v>
      </c>
      <c r="J79" s="138" t="s">
        <v>1361</v>
      </c>
      <c r="K79" s="146" t="s">
        <v>2556</v>
      </c>
      <c r="L79" s="138"/>
      <c r="M79" s="138" t="s">
        <v>1396</v>
      </c>
      <c r="N79" s="141" t="s">
        <v>2529</v>
      </c>
      <c r="O79" s="142"/>
      <c r="P79" s="142"/>
      <c r="Q79" s="142"/>
      <c r="R79" s="142"/>
      <c r="S79" s="142"/>
    </row>
    <row r="80" spans="1:19">
      <c r="A80" s="138" t="s">
        <v>217</v>
      </c>
      <c r="B80" s="138" t="s">
        <v>218</v>
      </c>
      <c r="C80" s="143" t="s">
        <v>219</v>
      </c>
      <c r="D80" s="138" t="s">
        <v>87</v>
      </c>
      <c r="E80" s="138">
        <v>4</v>
      </c>
      <c r="F80" s="138" t="s">
        <v>112</v>
      </c>
      <c r="G80" s="138" t="s">
        <v>125</v>
      </c>
      <c r="H80" s="138" t="s">
        <v>2557</v>
      </c>
      <c r="I80" s="140" t="s">
        <v>2552</v>
      </c>
      <c r="J80" s="138" t="s">
        <v>1361</v>
      </c>
      <c r="K80" s="146" t="s">
        <v>2553</v>
      </c>
      <c r="L80" s="138"/>
      <c r="M80" s="138" t="s">
        <v>1396</v>
      </c>
      <c r="N80" s="141" t="s">
        <v>2529</v>
      </c>
      <c r="O80" s="142"/>
      <c r="P80" s="142"/>
      <c r="Q80" s="142"/>
      <c r="R80" s="142"/>
      <c r="S80" s="142"/>
    </row>
    <row r="81" spans="1:19">
      <c r="A81" s="138" t="s">
        <v>233</v>
      </c>
      <c r="B81" s="138" t="s">
        <v>237</v>
      </c>
      <c r="C81" s="143" t="s">
        <v>238</v>
      </c>
      <c r="D81" s="138" t="s">
        <v>87</v>
      </c>
      <c r="E81" s="138">
        <v>4</v>
      </c>
      <c r="F81" s="138" t="s">
        <v>112</v>
      </c>
      <c r="G81" s="138" t="s">
        <v>125</v>
      </c>
      <c r="H81" s="138" t="s">
        <v>2558</v>
      </c>
      <c r="I81" s="144" t="s">
        <v>1421</v>
      </c>
      <c r="J81" s="146" t="s">
        <v>2559</v>
      </c>
      <c r="K81" s="138" t="s">
        <v>1303</v>
      </c>
      <c r="L81" s="138"/>
      <c r="M81" s="138" t="s">
        <v>1396</v>
      </c>
      <c r="N81" s="141" t="s">
        <v>2529</v>
      </c>
      <c r="O81" s="142"/>
      <c r="P81" s="142"/>
      <c r="Q81" s="142"/>
      <c r="R81" s="142"/>
      <c r="S81" s="142"/>
    </row>
    <row r="82" spans="1:19" ht="31.5">
      <c r="A82" s="138" t="s">
        <v>265</v>
      </c>
      <c r="B82" s="138" t="s">
        <v>268</v>
      </c>
      <c r="C82" s="143" t="s">
        <v>269</v>
      </c>
      <c r="D82" s="138" t="s">
        <v>87</v>
      </c>
      <c r="E82" s="138">
        <v>4</v>
      </c>
      <c r="F82" s="138" t="s">
        <v>112</v>
      </c>
      <c r="G82" s="138" t="s">
        <v>125</v>
      </c>
      <c r="H82" s="138" t="s">
        <v>2560</v>
      </c>
      <c r="I82" s="144" t="s">
        <v>1423</v>
      </c>
      <c r="J82" s="146" t="s">
        <v>2561</v>
      </c>
      <c r="K82" s="138" t="s">
        <v>1303</v>
      </c>
      <c r="L82" s="138"/>
      <c r="M82" s="138" t="s">
        <v>1396</v>
      </c>
      <c r="N82" s="141" t="s">
        <v>2529</v>
      </c>
      <c r="O82" s="142"/>
      <c r="P82" s="142"/>
      <c r="Q82" s="142"/>
      <c r="R82" s="142"/>
      <c r="S82" s="142"/>
    </row>
    <row r="83" spans="1:19">
      <c r="A83" s="138" t="s">
        <v>265</v>
      </c>
      <c r="B83" s="138" t="s">
        <v>270</v>
      </c>
      <c r="C83" s="143" t="s">
        <v>271</v>
      </c>
      <c r="D83" s="138" t="s">
        <v>87</v>
      </c>
      <c r="E83" s="138">
        <v>4</v>
      </c>
      <c r="F83" s="138" t="s">
        <v>112</v>
      </c>
      <c r="G83" s="138" t="s">
        <v>125</v>
      </c>
      <c r="H83" s="138" t="s">
        <v>2562</v>
      </c>
      <c r="I83" s="144" t="s">
        <v>1423</v>
      </c>
      <c r="J83" s="146" t="s">
        <v>1361</v>
      </c>
      <c r="K83" s="146" t="s">
        <v>2556</v>
      </c>
      <c r="L83" s="138"/>
      <c r="M83" s="138" t="s">
        <v>1396</v>
      </c>
      <c r="N83" s="141" t="s">
        <v>2529</v>
      </c>
      <c r="O83" s="142"/>
      <c r="P83" s="142"/>
      <c r="Q83" s="142"/>
      <c r="R83" s="142"/>
      <c r="S83" s="142"/>
    </row>
    <row r="84" spans="1:19">
      <c r="A84" s="138" t="s">
        <v>281</v>
      </c>
      <c r="B84" s="138" t="s">
        <v>282</v>
      </c>
      <c r="C84" s="143" t="s">
        <v>283</v>
      </c>
      <c r="D84" s="138" t="s">
        <v>87</v>
      </c>
      <c r="E84" s="138">
        <v>4</v>
      </c>
      <c r="F84" s="138" t="s">
        <v>112</v>
      </c>
      <c r="G84" s="138" t="s">
        <v>125</v>
      </c>
      <c r="H84" s="138" t="s">
        <v>2563</v>
      </c>
      <c r="I84" s="144" t="s">
        <v>2502</v>
      </c>
      <c r="J84" s="138"/>
      <c r="K84" s="138" t="s">
        <v>1303</v>
      </c>
      <c r="L84" s="138"/>
      <c r="M84" s="138" t="s">
        <v>1396</v>
      </c>
      <c r="N84" s="141" t="s">
        <v>2529</v>
      </c>
      <c r="O84" s="142"/>
      <c r="P84" s="142"/>
      <c r="Q84" s="142"/>
      <c r="R84" s="142"/>
      <c r="S84" s="142"/>
    </row>
    <row r="85" spans="1:19">
      <c r="A85" s="138" t="s">
        <v>300</v>
      </c>
      <c r="B85" s="138" t="s">
        <v>301</v>
      </c>
      <c r="C85" s="143" t="s">
        <v>302</v>
      </c>
      <c r="D85" s="138" t="s">
        <v>87</v>
      </c>
      <c r="E85" s="138">
        <v>4</v>
      </c>
      <c r="F85" s="138" t="s">
        <v>112</v>
      </c>
      <c r="G85" s="138" t="s">
        <v>125</v>
      </c>
      <c r="H85" s="138" t="s">
        <v>2564</v>
      </c>
      <c r="I85" s="163" t="s">
        <v>2555</v>
      </c>
      <c r="J85" s="138" t="s">
        <v>1361</v>
      </c>
      <c r="K85" s="146" t="s">
        <v>2556</v>
      </c>
      <c r="L85" s="138"/>
      <c r="M85" s="138" t="s">
        <v>1396</v>
      </c>
      <c r="N85" s="141" t="s">
        <v>2529</v>
      </c>
      <c r="O85" s="142"/>
      <c r="P85" s="142"/>
      <c r="Q85" s="142"/>
      <c r="R85" s="142"/>
      <c r="S85" s="142"/>
    </row>
    <row r="86" spans="1:19">
      <c r="A86" s="138" t="s">
        <v>309</v>
      </c>
      <c r="B86" s="138" t="s">
        <v>310</v>
      </c>
      <c r="C86" s="143" t="s">
        <v>311</v>
      </c>
      <c r="D86" s="138" t="s">
        <v>87</v>
      </c>
      <c r="E86" s="138">
        <v>4</v>
      </c>
      <c r="F86" s="138" t="s">
        <v>112</v>
      </c>
      <c r="G86" s="138" t="s">
        <v>125</v>
      </c>
      <c r="H86" s="138" t="s">
        <v>2565</v>
      </c>
      <c r="I86" s="163" t="s">
        <v>2555</v>
      </c>
      <c r="J86" s="138" t="s">
        <v>1361</v>
      </c>
      <c r="K86" s="146" t="s">
        <v>2556</v>
      </c>
      <c r="L86" s="138"/>
      <c r="M86" s="138" t="s">
        <v>1396</v>
      </c>
      <c r="N86" s="141" t="s">
        <v>2529</v>
      </c>
      <c r="O86" s="142"/>
      <c r="P86" s="142"/>
      <c r="Q86" s="142"/>
      <c r="R86" s="142"/>
      <c r="S86" s="142"/>
    </row>
    <row r="87" spans="1:19">
      <c r="A87" s="138" t="s">
        <v>330</v>
      </c>
      <c r="B87" s="138" t="s">
        <v>331</v>
      </c>
      <c r="C87" s="143" t="s">
        <v>332</v>
      </c>
      <c r="D87" s="138" t="s">
        <v>87</v>
      </c>
      <c r="E87" s="138">
        <v>4</v>
      </c>
      <c r="F87" s="138" t="s">
        <v>112</v>
      </c>
      <c r="G87" s="138" t="s">
        <v>125</v>
      </c>
      <c r="H87" s="138" t="s">
        <v>2566</v>
      </c>
      <c r="I87" s="144" t="s">
        <v>1421</v>
      </c>
      <c r="J87" s="138" t="s">
        <v>1361</v>
      </c>
      <c r="K87" s="146" t="s">
        <v>2553</v>
      </c>
      <c r="L87" s="138"/>
      <c r="M87" s="138" t="s">
        <v>1396</v>
      </c>
      <c r="N87" s="141" t="s">
        <v>2529</v>
      </c>
      <c r="O87" s="142"/>
      <c r="P87" s="142"/>
      <c r="Q87" s="142"/>
      <c r="R87" s="142"/>
      <c r="S87" s="142"/>
    </row>
    <row r="88" spans="1:19">
      <c r="A88" s="138" t="s">
        <v>333</v>
      </c>
      <c r="B88" s="138" t="s">
        <v>334</v>
      </c>
      <c r="C88" s="143" t="s">
        <v>335</v>
      </c>
      <c r="D88" s="138" t="s">
        <v>87</v>
      </c>
      <c r="E88" s="138">
        <v>4</v>
      </c>
      <c r="F88" s="138" t="s">
        <v>112</v>
      </c>
      <c r="G88" s="138" t="s">
        <v>125</v>
      </c>
      <c r="H88" s="138" t="s">
        <v>2567</v>
      </c>
      <c r="I88" s="144" t="s">
        <v>1423</v>
      </c>
      <c r="J88" s="138" t="s">
        <v>1361</v>
      </c>
      <c r="K88" s="146" t="s">
        <v>2553</v>
      </c>
      <c r="L88" s="138"/>
      <c r="M88" s="138" t="s">
        <v>1396</v>
      </c>
      <c r="N88" s="141" t="s">
        <v>2529</v>
      </c>
      <c r="O88" s="142"/>
      <c r="P88" s="142"/>
      <c r="Q88" s="142"/>
      <c r="R88" s="142"/>
      <c r="S88" s="142"/>
    </row>
    <row r="89" spans="1:19">
      <c r="A89" s="138" t="s">
        <v>336</v>
      </c>
      <c r="B89" s="138" t="s">
        <v>337</v>
      </c>
      <c r="C89" s="143" t="s">
        <v>338</v>
      </c>
      <c r="D89" s="138" t="s">
        <v>87</v>
      </c>
      <c r="E89" s="138">
        <v>4</v>
      </c>
      <c r="F89" s="138" t="s">
        <v>112</v>
      </c>
      <c r="G89" s="138" t="s">
        <v>125</v>
      </c>
      <c r="H89" s="138" t="s">
        <v>2568</v>
      </c>
      <c r="I89" s="144" t="s">
        <v>2569</v>
      </c>
      <c r="J89" s="138" t="s">
        <v>1361</v>
      </c>
      <c r="K89" s="146" t="s">
        <v>2553</v>
      </c>
      <c r="L89" s="138"/>
      <c r="M89" s="138" t="s">
        <v>1396</v>
      </c>
      <c r="N89" s="141" t="s">
        <v>2529</v>
      </c>
      <c r="O89" s="142"/>
      <c r="P89" s="142"/>
      <c r="Q89" s="142"/>
      <c r="R89" s="142"/>
      <c r="S89" s="142"/>
    </row>
    <row r="90" spans="1:19">
      <c r="A90" s="162" t="s">
        <v>342</v>
      </c>
      <c r="B90" s="138" t="s">
        <v>343</v>
      </c>
      <c r="C90" s="139" t="s">
        <v>344</v>
      </c>
      <c r="D90" s="138" t="s">
        <v>87</v>
      </c>
      <c r="E90" s="138">
        <v>4</v>
      </c>
      <c r="F90" s="138" t="s">
        <v>112</v>
      </c>
      <c r="G90" s="138" t="s">
        <v>125</v>
      </c>
      <c r="H90" s="138" t="s">
        <v>2570</v>
      </c>
      <c r="I90" s="163" t="s">
        <v>2555</v>
      </c>
      <c r="J90" s="138" t="s">
        <v>1361</v>
      </c>
      <c r="K90" s="146" t="s">
        <v>2556</v>
      </c>
      <c r="L90" s="138"/>
      <c r="M90" s="138" t="s">
        <v>1396</v>
      </c>
      <c r="N90" s="141" t="s">
        <v>2529</v>
      </c>
      <c r="O90" s="142"/>
      <c r="P90" s="142"/>
      <c r="Q90" s="142"/>
      <c r="R90" s="142"/>
      <c r="S90" s="142"/>
    </row>
    <row r="91" spans="1:19">
      <c r="A91" s="138" t="s">
        <v>361</v>
      </c>
      <c r="B91" s="138" t="s">
        <v>362</v>
      </c>
      <c r="C91" s="143" t="s">
        <v>363</v>
      </c>
      <c r="D91" s="138" t="s">
        <v>87</v>
      </c>
      <c r="E91" s="138">
        <v>4</v>
      </c>
      <c r="F91" s="138" t="s">
        <v>112</v>
      </c>
      <c r="G91" s="138" t="s">
        <v>125</v>
      </c>
      <c r="H91" s="138" t="s">
        <v>2571</v>
      </c>
      <c r="I91" s="140" t="s">
        <v>2552</v>
      </c>
      <c r="J91" s="138" t="s">
        <v>1361</v>
      </c>
      <c r="K91" s="146" t="s">
        <v>2553</v>
      </c>
      <c r="L91" s="138"/>
      <c r="M91" s="138" t="s">
        <v>1396</v>
      </c>
      <c r="N91" s="141" t="s">
        <v>2529</v>
      </c>
      <c r="O91" s="142"/>
      <c r="P91" s="142"/>
      <c r="Q91" s="142"/>
      <c r="R91" s="142"/>
      <c r="S91" s="142"/>
    </row>
    <row r="92" spans="1:19">
      <c r="A92" s="138" t="s">
        <v>364</v>
      </c>
      <c r="B92" s="138" t="s">
        <v>365</v>
      </c>
      <c r="C92" s="143" t="s">
        <v>366</v>
      </c>
      <c r="D92" s="138" t="s">
        <v>87</v>
      </c>
      <c r="E92" s="138">
        <v>4</v>
      </c>
      <c r="F92" s="138" t="s">
        <v>112</v>
      </c>
      <c r="G92" s="138" t="s">
        <v>125</v>
      </c>
      <c r="H92" s="138" t="s">
        <v>2572</v>
      </c>
      <c r="I92" s="163" t="s">
        <v>2555</v>
      </c>
      <c r="J92" s="138" t="s">
        <v>1361</v>
      </c>
      <c r="K92" s="146" t="s">
        <v>2556</v>
      </c>
      <c r="L92" s="138"/>
      <c r="M92" s="138" t="s">
        <v>1396</v>
      </c>
      <c r="N92" s="141" t="s">
        <v>2529</v>
      </c>
      <c r="O92" s="142"/>
      <c r="P92" s="142"/>
      <c r="Q92" s="142"/>
      <c r="R92" s="142"/>
      <c r="S92" s="142"/>
    </row>
    <row r="93" spans="1:19">
      <c r="A93" s="138" t="s">
        <v>364</v>
      </c>
      <c r="B93" s="138" t="s">
        <v>367</v>
      </c>
      <c r="C93" s="143" t="s">
        <v>366</v>
      </c>
      <c r="D93" s="138" t="s">
        <v>87</v>
      </c>
      <c r="E93" s="138">
        <v>4</v>
      </c>
      <c r="F93" s="138" t="s">
        <v>112</v>
      </c>
      <c r="G93" s="138" t="s">
        <v>125</v>
      </c>
      <c r="H93" s="138" t="s">
        <v>2573</v>
      </c>
      <c r="I93" s="163" t="s">
        <v>2555</v>
      </c>
      <c r="J93" s="138" t="s">
        <v>1361</v>
      </c>
      <c r="K93" s="146" t="s">
        <v>2556</v>
      </c>
      <c r="L93" s="138"/>
      <c r="M93" s="138" t="s">
        <v>1396</v>
      </c>
      <c r="N93" s="141" t="s">
        <v>2529</v>
      </c>
      <c r="O93" s="142"/>
      <c r="P93" s="142"/>
      <c r="Q93" s="142"/>
      <c r="R93" s="142"/>
      <c r="S93" s="142"/>
    </row>
    <row r="94" spans="1:19">
      <c r="A94" s="138" t="s">
        <v>364</v>
      </c>
      <c r="B94" s="138" t="s">
        <v>368</v>
      </c>
      <c r="C94" s="143" t="s">
        <v>366</v>
      </c>
      <c r="D94" s="138" t="s">
        <v>87</v>
      </c>
      <c r="E94" s="138">
        <v>4</v>
      </c>
      <c r="F94" s="138" t="s">
        <v>112</v>
      </c>
      <c r="G94" s="138" t="s">
        <v>125</v>
      </c>
      <c r="H94" s="138" t="s">
        <v>2574</v>
      </c>
      <c r="I94" s="163" t="s">
        <v>2555</v>
      </c>
      <c r="J94" s="138" t="s">
        <v>1361</v>
      </c>
      <c r="K94" s="146" t="s">
        <v>2556</v>
      </c>
      <c r="L94" s="138"/>
      <c r="M94" s="138" t="s">
        <v>1396</v>
      </c>
      <c r="N94" s="141" t="s">
        <v>2529</v>
      </c>
      <c r="O94" s="142"/>
      <c r="P94" s="142"/>
      <c r="Q94" s="142"/>
      <c r="R94" s="142"/>
      <c r="S94" s="142"/>
    </row>
    <row r="95" spans="1:19">
      <c r="A95" s="138" t="s">
        <v>385</v>
      </c>
      <c r="B95" s="138" t="s">
        <v>386</v>
      </c>
      <c r="C95" s="143" t="s">
        <v>387</v>
      </c>
      <c r="D95" s="138" t="s">
        <v>87</v>
      </c>
      <c r="E95" s="138">
        <v>4</v>
      </c>
      <c r="F95" s="138" t="s">
        <v>112</v>
      </c>
      <c r="G95" s="138" t="s">
        <v>125</v>
      </c>
      <c r="H95" s="138" t="s">
        <v>2575</v>
      </c>
      <c r="I95" s="140" t="s">
        <v>2552</v>
      </c>
      <c r="J95" s="138" t="s">
        <v>1361</v>
      </c>
      <c r="K95" s="146" t="s">
        <v>2553</v>
      </c>
      <c r="L95" s="138"/>
      <c r="M95" s="138" t="s">
        <v>1396</v>
      </c>
      <c r="N95" s="141" t="s">
        <v>2529</v>
      </c>
      <c r="O95" s="142"/>
      <c r="P95" s="142"/>
      <c r="Q95" s="142"/>
      <c r="R95" s="142"/>
      <c r="S95" s="142"/>
    </row>
    <row r="96" spans="1:19">
      <c r="A96" s="138" t="s">
        <v>407</v>
      </c>
      <c r="B96" s="138" t="s">
        <v>408</v>
      </c>
      <c r="C96" s="143" t="s">
        <v>409</v>
      </c>
      <c r="D96" s="138" t="s">
        <v>87</v>
      </c>
      <c r="E96" s="138">
        <v>4</v>
      </c>
      <c r="F96" s="138" t="s">
        <v>112</v>
      </c>
      <c r="G96" s="138" t="s">
        <v>125</v>
      </c>
      <c r="H96" s="138" t="s">
        <v>2576</v>
      </c>
      <c r="I96" s="140" t="s">
        <v>2552</v>
      </c>
      <c r="J96" s="138" t="s">
        <v>1361</v>
      </c>
      <c r="K96" s="146" t="s">
        <v>2553</v>
      </c>
      <c r="L96" s="138"/>
      <c r="M96" s="138" t="s">
        <v>1396</v>
      </c>
      <c r="N96" s="141" t="s">
        <v>2529</v>
      </c>
      <c r="O96" s="142"/>
      <c r="P96" s="142"/>
      <c r="Q96" s="142"/>
      <c r="R96" s="142"/>
      <c r="S96" s="142"/>
    </row>
    <row r="97" spans="1:19">
      <c r="A97" s="138" t="s">
        <v>410</v>
      </c>
      <c r="B97" s="138" t="s">
        <v>411</v>
      </c>
      <c r="C97" s="143" t="s">
        <v>412</v>
      </c>
      <c r="D97" s="138" t="s">
        <v>87</v>
      </c>
      <c r="E97" s="138">
        <v>4</v>
      </c>
      <c r="F97" s="138" t="s">
        <v>112</v>
      </c>
      <c r="G97" s="138" t="s">
        <v>125</v>
      </c>
      <c r="H97" s="138" t="s">
        <v>2577</v>
      </c>
      <c r="I97" s="140" t="s">
        <v>2552</v>
      </c>
      <c r="J97" s="138" t="s">
        <v>1361</v>
      </c>
      <c r="K97" s="146" t="s">
        <v>2553</v>
      </c>
      <c r="L97" s="138"/>
      <c r="M97" s="138" t="s">
        <v>1396</v>
      </c>
      <c r="N97" s="141" t="s">
        <v>2529</v>
      </c>
      <c r="O97" s="142"/>
      <c r="P97" s="142"/>
      <c r="Q97" s="142"/>
      <c r="R97" s="142"/>
      <c r="S97" s="142"/>
    </row>
    <row r="98" spans="1:19">
      <c r="A98" s="138" t="s">
        <v>419</v>
      </c>
      <c r="B98" s="138" t="s">
        <v>420</v>
      </c>
      <c r="C98" s="143" t="s">
        <v>421</v>
      </c>
      <c r="D98" s="138" t="s">
        <v>87</v>
      </c>
      <c r="E98" s="138">
        <v>4</v>
      </c>
      <c r="F98" s="138" t="s">
        <v>112</v>
      </c>
      <c r="G98" s="138" t="s">
        <v>125</v>
      </c>
      <c r="H98" s="138" t="s">
        <v>2563</v>
      </c>
      <c r="I98" s="144" t="s">
        <v>2502</v>
      </c>
      <c r="J98" s="138"/>
      <c r="K98" s="138" t="s">
        <v>1303</v>
      </c>
      <c r="L98" s="138"/>
      <c r="M98" s="138" t="s">
        <v>1396</v>
      </c>
      <c r="N98" s="141" t="s">
        <v>2529</v>
      </c>
      <c r="O98" s="142"/>
      <c r="P98" s="142"/>
      <c r="Q98" s="142"/>
      <c r="R98" s="142"/>
      <c r="S98" s="142"/>
    </row>
    <row r="99" spans="1:19">
      <c r="A99" s="162" t="s">
        <v>432</v>
      </c>
      <c r="B99" s="138" t="s">
        <v>433</v>
      </c>
      <c r="C99" s="139" t="s">
        <v>434</v>
      </c>
      <c r="D99" s="138" t="s">
        <v>87</v>
      </c>
      <c r="E99" s="138">
        <v>4</v>
      </c>
      <c r="F99" s="138" t="s">
        <v>112</v>
      </c>
      <c r="G99" s="138" t="s">
        <v>125</v>
      </c>
      <c r="H99" s="138" t="s">
        <v>2578</v>
      </c>
      <c r="I99" s="163" t="s">
        <v>2555</v>
      </c>
      <c r="J99" s="138" t="s">
        <v>1361</v>
      </c>
      <c r="K99" s="146" t="s">
        <v>2556</v>
      </c>
      <c r="L99" s="138"/>
      <c r="M99" s="138" t="s">
        <v>1396</v>
      </c>
      <c r="N99" s="141" t="s">
        <v>2529</v>
      </c>
      <c r="O99" s="142"/>
      <c r="P99" s="142"/>
      <c r="Q99" s="142"/>
      <c r="R99" s="142"/>
      <c r="S99" s="142"/>
    </row>
    <row r="100" spans="1:19">
      <c r="A100" s="138" t="s">
        <v>444</v>
      </c>
      <c r="B100" s="138" t="s">
        <v>445</v>
      </c>
      <c r="C100" s="143" t="s">
        <v>446</v>
      </c>
      <c r="D100" s="138" t="s">
        <v>87</v>
      </c>
      <c r="E100" s="138">
        <v>4</v>
      </c>
      <c r="F100" s="138" t="s">
        <v>112</v>
      </c>
      <c r="G100" s="138" t="s">
        <v>125</v>
      </c>
      <c r="H100" s="138" t="s">
        <v>2579</v>
      </c>
      <c r="I100" s="164" t="s">
        <v>2502</v>
      </c>
      <c r="J100" s="138" t="s">
        <v>1361</v>
      </c>
      <c r="K100" s="146" t="s">
        <v>2553</v>
      </c>
      <c r="L100" s="138"/>
      <c r="M100" s="138" t="s">
        <v>1396</v>
      </c>
      <c r="N100" s="141" t="s">
        <v>2529</v>
      </c>
      <c r="O100" s="142"/>
      <c r="P100" s="142"/>
      <c r="Q100" s="142"/>
      <c r="R100" s="142"/>
      <c r="S100" s="142"/>
    </row>
    <row r="101" spans="1:19">
      <c r="A101" s="138" t="s">
        <v>461</v>
      </c>
      <c r="B101" s="138" t="s">
        <v>462</v>
      </c>
      <c r="C101" s="143" t="s">
        <v>463</v>
      </c>
      <c r="D101" s="138" t="s">
        <v>87</v>
      </c>
      <c r="E101" s="138">
        <v>4</v>
      </c>
      <c r="F101" s="138" t="s">
        <v>112</v>
      </c>
      <c r="G101" s="138" t="s">
        <v>125</v>
      </c>
      <c r="H101" s="138" t="s">
        <v>2580</v>
      </c>
      <c r="I101" s="140" t="s">
        <v>2552</v>
      </c>
      <c r="J101" s="138" t="s">
        <v>1361</v>
      </c>
      <c r="K101" s="146" t="s">
        <v>2553</v>
      </c>
      <c r="L101" s="138"/>
      <c r="M101" s="138" t="s">
        <v>1396</v>
      </c>
      <c r="N101" s="141" t="s">
        <v>2529</v>
      </c>
      <c r="O101" s="142"/>
      <c r="P101" s="142"/>
      <c r="Q101" s="142"/>
      <c r="R101" s="142"/>
      <c r="S101" s="142"/>
    </row>
    <row r="102" spans="1:19">
      <c r="A102" s="138" t="s">
        <v>464</v>
      </c>
      <c r="B102" s="138" t="s">
        <v>465</v>
      </c>
      <c r="C102" s="143" t="s">
        <v>466</v>
      </c>
      <c r="D102" s="138" t="s">
        <v>87</v>
      </c>
      <c r="E102" s="138">
        <v>4</v>
      </c>
      <c r="F102" s="138" t="s">
        <v>112</v>
      </c>
      <c r="G102" s="138" t="s">
        <v>125</v>
      </c>
      <c r="H102" s="138" t="s">
        <v>2581</v>
      </c>
      <c r="I102" s="140" t="s">
        <v>2552</v>
      </c>
      <c r="J102" s="138" t="s">
        <v>1361</v>
      </c>
      <c r="K102" s="146" t="s">
        <v>2553</v>
      </c>
      <c r="L102" s="138"/>
      <c r="M102" s="138" t="s">
        <v>1396</v>
      </c>
      <c r="N102" s="141" t="s">
        <v>2529</v>
      </c>
      <c r="O102" s="142"/>
      <c r="P102" s="142"/>
      <c r="Q102" s="142"/>
      <c r="R102" s="142"/>
      <c r="S102" s="142"/>
    </row>
    <row r="103" spans="1:19">
      <c r="A103" s="138" t="s">
        <v>490</v>
      </c>
      <c r="B103" s="138" t="s">
        <v>491</v>
      </c>
      <c r="C103" s="143" t="s">
        <v>492</v>
      </c>
      <c r="D103" s="138" t="s">
        <v>87</v>
      </c>
      <c r="E103" s="138">
        <v>4</v>
      </c>
      <c r="F103" s="138" t="s">
        <v>112</v>
      </c>
      <c r="G103" s="138" t="s">
        <v>125</v>
      </c>
      <c r="H103" s="138" t="s">
        <v>2582</v>
      </c>
      <c r="I103" s="163" t="s">
        <v>2555</v>
      </c>
      <c r="J103" s="138" t="s">
        <v>1361</v>
      </c>
      <c r="K103" s="146" t="s">
        <v>2556</v>
      </c>
      <c r="L103" s="138"/>
      <c r="M103" s="138" t="s">
        <v>1396</v>
      </c>
      <c r="N103" s="141" t="s">
        <v>2529</v>
      </c>
      <c r="O103" s="142"/>
      <c r="P103" s="142"/>
      <c r="Q103" s="142"/>
      <c r="R103" s="142"/>
      <c r="S103" s="142"/>
    </row>
    <row r="104" spans="1:19">
      <c r="A104" s="138" t="s">
        <v>501</v>
      </c>
      <c r="B104" s="138" t="s">
        <v>502</v>
      </c>
      <c r="C104" s="143" t="s">
        <v>503</v>
      </c>
      <c r="D104" s="138" t="s">
        <v>87</v>
      </c>
      <c r="E104" s="138">
        <v>4</v>
      </c>
      <c r="F104" s="138" t="s">
        <v>112</v>
      </c>
      <c r="G104" s="138" t="s">
        <v>125</v>
      </c>
      <c r="H104" s="138" t="s">
        <v>2583</v>
      </c>
      <c r="I104" s="163" t="s">
        <v>2584</v>
      </c>
      <c r="J104" s="138"/>
      <c r="K104" s="138"/>
      <c r="L104" s="138"/>
      <c r="M104" s="138"/>
      <c r="N104" s="141"/>
      <c r="O104" s="142"/>
      <c r="P104" s="142"/>
      <c r="Q104" s="142"/>
      <c r="R104" s="142"/>
      <c r="S104" s="142"/>
    </row>
    <row r="105" spans="1:19">
      <c r="A105" s="162" t="s">
        <v>532</v>
      </c>
      <c r="B105" s="138" t="s">
        <v>533</v>
      </c>
      <c r="C105" s="139" t="s">
        <v>534</v>
      </c>
      <c r="D105" s="138" t="s">
        <v>87</v>
      </c>
      <c r="E105" s="138">
        <v>4</v>
      </c>
      <c r="F105" s="138" t="s">
        <v>112</v>
      </c>
      <c r="G105" s="138" t="s">
        <v>125</v>
      </c>
      <c r="H105" s="138" t="s">
        <v>2585</v>
      </c>
      <c r="I105" s="163" t="s">
        <v>2555</v>
      </c>
      <c r="J105" s="138" t="s">
        <v>1361</v>
      </c>
      <c r="K105" s="146" t="s">
        <v>2556</v>
      </c>
      <c r="L105" s="138"/>
      <c r="M105" s="138" t="s">
        <v>1396</v>
      </c>
      <c r="N105" s="141" t="s">
        <v>2529</v>
      </c>
      <c r="O105" s="142"/>
      <c r="P105" s="142"/>
      <c r="Q105" s="142"/>
      <c r="R105" s="142"/>
      <c r="S105" s="142"/>
    </row>
    <row r="106" spans="1:19">
      <c r="A106" s="138" t="s">
        <v>540</v>
      </c>
      <c r="B106" s="138" t="s">
        <v>541</v>
      </c>
      <c r="C106" s="143" t="s">
        <v>542</v>
      </c>
      <c r="D106" s="138" t="s">
        <v>87</v>
      </c>
      <c r="E106" s="138">
        <v>4</v>
      </c>
      <c r="F106" s="138" t="s">
        <v>112</v>
      </c>
      <c r="G106" s="138" t="s">
        <v>125</v>
      </c>
      <c r="H106" s="138" t="s">
        <v>2586</v>
      </c>
      <c r="I106" s="163" t="s">
        <v>2555</v>
      </c>
      <c r="J106" s="138" t="s">
        <v>1361</v>
      </c>
      <c r="K106" s="146" t="s">
        <v>2553</v>
      </c>
      <c r="L106" s="138"/>
      <c r="M106" s="138" t="s">
        <v>2587</v>
      </c>
      <c r="N106" s="141" t="s">
        <v>2529</v>
      </c>
      <c r="O106" s="142"/>
      <c r="P106" s="142"/>
      <c r="Q106" s="142"/>
      <c r="R106" s="142"/>
      <c r="S106" s="142"/>
    </row>
    <row r="107" spans="1:19">
      <c r="A107" s="138" t="s">
        <v>543</v>
      </c>
      <c r="B107" s="138" t="s">
        <v>544</v>
      </c>
      <c r="C107" s="143" t="s">
        <v>545</v>
      </c>
      <c r="D107" s="138" t="s">
        <v>87</v>
      </c>
      <c r="E107" s="138">
        <v>4</v>
      </c>
      <c r="F107" s="138" t="s">
        <v>112</v>
      </c>
      <c r="G107" s="138" t="s">
        <v>125</v>
      </c>
      <c r="H107" s="138" t="s">
        <v>2563</v>
      </c>
      <c r="I107" s="163" t="s">
        <v>2502</v>
      </c>
      <c r="J107" s="138"/>
      <c r="K107" s="138" t="s">
        <v>1303</v>
      </c>
      <c r="L107" s="138"/>
      <c r="M107" s="138" t="s">
        <v>1396</v>
      </c>
      <c r="N107" s="141" t="s">
        <v>2529</v>
      </c>
      <c r="O107" s="142"/>
      <c r="P107" s="142"/>
      <c r="Q107" s="142"/>
      <c r="R107" s="142"/>
      <c r="S107" s="142"/>
    </row>
    <row r="108" spans="1:19">
      <c r="A108" s="138" t="s">
        <v>546</v>
      </c>
      <c r="B108" s="138" t="s">
        <v>547</v>
      </c>
      <c r="C108" s="143" t="s">
        <v>548</v>
      </c>
      <c r="D108" s="138" t="s">
        <v>87</v>
      </c>
      <c r="E108" s="138">
        <v>4</v>
      </c>
      <c r="F108" s="138" t="s">
        <v>112</v>
      </c>
      <c r="G108" s="138" t="s">
        <v>125</v>
      </c>
      <c r="H108" s="138" t="s">
        <v>2588</v>
      </c>
      <c r="I108" s="163" t="s">
        <v>2555</v>
      </c>
      <c r="J108" s="138" t="s">
        <v>1361</v>
      </c>
      <c r="K108" s="146" t="s">
        <v>2556</v>
      </c>
      <c r="L108" s="138"/>
      <c r="M108" s="138" t="s">
        <v>1396</v>
      </c>
      <c r="N108" s="141" t="s">
        <v>2529</v>
      </c>
      <c r="O108" s="142"/>
      <c r="P108" s="142"/>
      <c r="Q108" s="142"/>
      <c r="R108" s="142"/>
      <c r="S108" s="142"/>
    </row>
    <row r="109" spans="1:19">
      <c r="A109" s="162" t="s">
        <v>558</v>
      </c>
      <c r="B109" s="138" t="s">
        <v>559</v>
      </c>
      <c r="C109" s="139" t="s">
        <v>560</v>
      </c>
      <c r="D109" s="138" t="s">
        <v>87</v>
      </c>
      <c r="E109" s="138">
        <v>4</v>
      </c>
      <c r="F109" s="138" t="s">
        <v>112</v>
      </c>
      <c r="G109" s="138" t="s">
        <v>125</v>
      </c>
      <c r="H109" s="142" t="s">
        <v>2589</v>
      </c>
      <c r="I109" s="163" t="s">
        <v>2555</v>
      </c>
      <c r="J109" s="138" t="s">
        <v>1361</v>
      </c>
      <c r="K109" s="146" t="s">
        <v>2556</v>
      </c>
      <c r="L109" s="138"/>
      <c r="M109" s="138" t="s">
        <v>1396</v>
      </c>
      <c r="N109" s="141" t="s">
        <v>2529</v>
      </c>
      <c r="O109" s="142"/>
      <c r="P109" s="142"/>
      <c r="Q109" s="142"/>
      <c r="R109" s="142"/>
      <c r="S109" s="142"/>
    </row>
    <row r="110" spans="1:19">
      <c r="A110" s="162" t="s">
        <v>564</v>
      </c>
      <c r="B110" s="138" t="s">
        <v>565</v>
      </c>
      <c r="C110" s="143" t="s">
        <v>566</v>
      </c>
      <c r="D110" s="138" t="s">
        <v>87</v>
      </c>
      <c r="E110" s="138">
        <v>4</v>
      </c>
      <c r="F110" s="138" t="s">
        <v>112</v>
      </c>
      <c r="G110" s="138" t="s">
        <v>125</v>
      </c>
      <c r="H110" s="138" t="s">
        <v>2590</v>
      </c>
      <c r="I110" s="163" t="s">
        <v>2555</v>
      </c>
      <c r="J110" s="138" t="s">
        <v>1361</v>
      </c>
      <c r="K110" s="146" t="s">
        <v>2556</v>
      </c>
      <c r="L110" s="138"/>
      <c r="M110" s="138" t="s">
        <v>1396</v>
      </c>
      <c r="N110" s="141" t="s">
        <v>2529</v>
      </c>
      <c r="O110" s="142"/>
      <c r="P110" s="142"/>
      <c r="Q110" s="142"/>
      <c r="R110" s="142"/>
      <c r="S110" s="142"/>
    </row>
    <row r="111" spans="1:19">
      <c r="A111" s="138" t="s">
        <v>570</v>
      </c>
      <c r="B111" s="138" t="s">
        <v>571</v>
      </c>
      <c r="C111" s="143" t="s">
        <v>572</v>
      </c>
      <c r="D111" s="138" t="s">
        <v>87</v>
      </c>
      <c r="E111" s="138">
        <v>4</v>
      </c>
      <c r="F111" s="138" t="s">
        <v>112</v>
      </c>
      <c r="G111" s="138" t="s">
        <v>125</v>
      </c>
      <c r="H111" s="138" t="s">
        <v>2591</v>
      </c>
      <c r="I111" s="163" t="s">
        <v>2555</v>
      </c>
      <c r="J111" s="138" t="s">
        <v>1361</v>
      </c>
      <c r="K111" s="146" t="s">
        <v>2556</v>
      </c>
      <c r="L111" s="138"/>
      <c r="M111" s="138" t="s">
        <v>1396</v>
      </c>
      <c r="N111" s="141" t="s">
        <v>2529</v>
      </c>
      <c r="O111" s="142"/>
      <c r="P111" s="142"/>
      <c r="Q111" s="142"/>
      <c r="R111" s="142"/>
      <c r="S111" s="142"/>
    </row>
    <row r="112" spans="1:19">
      <c r="A112" s="138" t="s">
        <v>84</v>
      </c>
      <c r="B112" s="138" t="s">
        <v>91</v>
      </c>
      <c r="C112" s="158" t="s">
        <v>92</v>
      </c>
      <c r="D112" s="138" t="s">
        <v>87</v>
      </c>
      <c r="E112" s="138">
        <v>5</v>
      </c>
      <c r="F112" s="138" t="s">
        <v>88</v>
      </c>
      <c r="G112" s="138" t="s">
        <v>93</v>
      </c>
      <c r="H112" s="141"/>
      <c r="I112" s="161" t="s">
        <v>2550</v>
      </c>
      <c r="J112" s="139" t="s">
        <v>2592</v>
      </c>
      <c r="K112" s="146" t="s">
        <v>2593</v>
      </c>
      <c r="L112" s="146"/>
      <c r="M112" s="146" t="s">
        <v>1398</v>
      </c>
      <c r="N112" s="141" t="s">
        <v>2529</v>
      </c>
      <c r="O112" s="142"/>
      <c r="P112" s="142"/>
      <c r="Q112" s="142"/>
      <c r="R112" s="142"/>
      <c r="S112" s="142"/>
    </row>
    <row r="113" spans="1:19" ht="31.5">
      <c r="A113" s="138" t="s">
        <v>265</v>
      </c>
      <c r="B113" s="138" t="s">
        <v>272</v>
      </c>
      <c r="C113" s="143" t="s">
        <v>273</v>
      </c>
      <c r="D113" s="138" t="s">
        <v>87</v>
      </c>
      <c r="E113" s="138">
        <v>5</v>
      </c>
      <c r="F113" s="138" t="s">
        <v>112</v>
      </c>
      <c r="G113" s="138" t="s">
        <v>93</v>
      </c>
      <c r="H113" s="138"/>
      <c r="I113" s="144" t="s">
        <v>1423</v>
      </c>
      <c r="J113" s="139" t="s">
        <v>2592</v>
      </c>
      <c r="K113" s="146" t="s">
        <v>2594</v>
      </c>
      <c r="L113" s="138"/>
      <c r="M113" s="138" t="s">
        <v>1398</v>
      </c>
      <c r="N113" s="141" t="s">
        <v>2529</v>
      </c>
      <c r="O113" s="142"/>
      <c r="P113" s="142"/>
      <c r="Q113" s="142"/>
      <c r="R113" s="142"/>
      <c r="S113" s="142"/>
    </row>
    <row r="114" spans="1:19">
      <c r="A114" s="138" t="s">
        <v>84</v>
      </c>
      <c r="B114" s="138" t="s">
        <v>95</v>
      </c>
      <c r="C114" s="158" t="s">
        <v>96</v>
      </c>
      <c r="D114" s="138" t="s">
        <v>87</v>
      </c>
      <c r="E114" s="138">
        <v>6</v>
      </c>
      <c r="F114" s="138" t="s">
        <v>88</v>
      </c>
      <c r="G114" s="138" t="s">
        <v>97</v>
      </c>
      <c r="H114" s="141" t="s">
        <v>2595</v>
      </c>
      <c r="I114" s="161" t="s">
        <v>2550</v>
      </c>
      <c r="J114" s="146" t="s">
        <v>2596</v>
      </c>
      <c r="K114" s="146" t="s">
        <v>2551</v>
      </c>
      <c r="L114" s="146"/>
      <c r="M114" s="146" t="s">
        <v>1398</v>
      </c>
      <c r="N114" s="141" t="s">
        <v>2529</v>
      </c>
      <c r="O114" s="142"/>
      <c r="P114" s="142"/>
      <c r="Q114" s="142"/>
      <c r="R114" s="142"/>
      <c r="S114" s="142"/>
    </row>
    <row r="115" spans="1:19">
      <c r="A115" s="138" t="s">
        <v>265</v>
      </c>
      <c r="B115" s="138" t="s">
        <v>272</v>
      </c>
      <c r="C115" s="143" t="s">
        <v>274</v>
      </c>
      <c r="D115" s="138" t="s">
        <v>87</v>
      </c>
      <c r="E115" s="138">
        <v>6</v>
      </c>
      <c r="F115" s="138" t="s">
        <v>112</v>
      </c>
      <c r="G115" s="138" t="s">
        <v>97</v>
      </c>
      <c r="H115" s="138"/>
      <c r="I115" s="144" t="s">
        <v>1423</v>
      </c>
      <c r="J115" s="139" t="s">
        <v>2596</v>
      </c>
      <c r="K115" s="146" t="s">
        <v>2597</v>
      </c>
      <c r="L115" s="138"/>
      <c r="M115" s="138" t="s">
        <v>1398</v>
      </c>
      <c r="N115" s="141" t="s">
        <v>2529</v>
      </c>
      <c r="O115" s="142"/>
      <c r="P115" s="142"/>
      <c r="Q115" s="142"/>
      <c r="R115" s="142"/>
      <c r="S115" s="142"/>
    </row>
    <row r="116" spans="1:19">
      <c r="A116" s="138" t="s">
        <v>84</v>
      </c>
      <c r="B116" s="138" t="s">
        <v>98</v>
      </c>
      <c r="C116" s="158" t="s">
        <v>99</v>
      </c>
      <c r="D116" s="138" t="s">
        <v>87</v>
      </c>
      <c r="E116" s="138">
        <v>7</v>
      </c>
      <c r="F116" s="138" t="s">
        <v>88</v>
      </c>
      <c r="G116" s="138" t="s">
        <v>100</v>
      </c>
      <c r="H116" s="141"/>
      <c r="I116" s="161" t="s">
        <v>2550</v>
      </c>
      <c r="J116" s="146" t="s">
        <v>2598</v>
      </c>
      <c r="K116" s="146" t="s">
        <v>2551</v>
      </c>
      <c r="L116" s="146"/>
      <c r="M116" s="146" t="s">
        <v>1398</v>
      </c>
      <c r="N116" s="141" t="s">
        <v>2529</v>
      </c>
      <c r="O116" s="142"/>
      <c r="P116" s="142"/>
      <c r="Q116" s="142"/>
      <c r="R116" s="142"/>
      <c r="S116" s="142"/>
    </row>
    <row r="117" spans="1:19">
      <c r="A117" s="138" t="s">
        <v>265</v>
      </c>
      <c r="B117" s="138" t="s">
        <v>272</v>
      </c>
      <c r="C117" s="143" t="s">
        <v>275</v>
      </c>
      <c r="D117" s="138" t="s">
        <v>87</v>
      </c>
      <c r="E117" s="138">
        <v>7</v>
      </c>
      <c r="F117" s="138" t="s">
        <v>112</v>
      </c>
      <c r="G117" s="138" t="s">
        <v>100</v>
      </c>
      <c r="H117" s="138"/>
      <c r="I117" s="144" t="s">
        <v>1423</v>
      </c>
      <c r="J117" s="146" t="s">
        <v>2598</v>
      </c>
      <c r="K117" s="146" t="s">
        <v>2551</v>
      </c>
      <c r="L117" s="138"/>
      <c r="M117" s="138" t="s">
        <v>1398</v>
      </c>
      <c r="N117" s="141" t="s">
        <v>2529</v>
      </c>
      <c r="O117" s="142"/>
      <c r="P117" s="142"/>
      <c r="Q117" s="142"/>
      <c r="R117" s="142"/>
      <c r="S117" s="142"/>
    </row>
    <row r="118" spans="1:19">
      <c r="A118" s="138" t="s">
        <v>84</v>
      </c>
      <c r="B118" s="138" t="s">
        <v>91</v>
      </c>
      <c r="C118" s="158" t="s">
        <v>101</v>
      </c>
      <c r="D118" s="138" t="s">
        <v>87</v>
      </c>
      <c r="E118" s="138">
        <v>8</v>
      </c>
      <c r="F118" s="138" t="s">
        <v>88</v>
      </c>
      <c r="G118" s="138" t="s">
        <v>102</v>
      </c>
      <c r="H118" s="141"/>
      <c r="I118" s="161" t="s">
        <v>2550</v>
      </c>
      <c r="J118" s="146" t="s">
        <v>1353</v>
      </c>
      <c r="K118" s="146" t="s">
        <v>2551</v>
      </c>
      <c r="L118" s="146"/>
      <c r="M118" s="146" t="s">
        <v>1398</v>
      </c>
      <c r="N118" s="141" t="s">
        <v>2529</v>
      </c>
      <c r="O118" s="142"/>
      <c r="P118" s="142"/>
      <c r="Q118" s="142"/>
      <c r="R118" s="142"/>
      <c r="S118" s="142"/>
    </row>
    <row r="119" spans="1:19">
      <c r="A119" s="138" t="s">
        <v>265</v>
      </c>
      <c r="B119" s="138" t="s">
        <v>272</v>
      </c>
      <c r="C119" s="143" t="s">
        <v>276</v>
      </c>
      <c r="D119" s="138" t="s">
        <v>87</v>
      </c>
      <c r="E119" s="138">
        <v>8</v>
      </c>
      <c r="F119" s="138" t="s">
        <v>112</v>
      </c>
      <c r="G119" s="138" t="s">
        <v>277</v>
      </c>
      <c r="H119" s="138"/>
      <c r="I119" s="144" t="s">
        <v>1423</v>
      </c>
      <c r="J119" s="146" t="s">
        <v>1353</v>
      </c>
      <c r="K119" s="146" t="s">
        <v>2551</v>
      </c>
      <c r="L119" s="138"/>
      <c r="M119" s="138"/>
      <c r="N119" s="141"/>
      <c r="O119" s="142"/>
      <c r="P119" s="142"/>
      <c r="Q119" s="142"/>
      <c r="R119" s="142"/>
      <c r="S119" s="142"/>
    </row>
    <row r="120" spans="1:19">
      <c r="A120" s="138" t="s">
        <v>233</v>
      </c>
      <c r="B120" s="138" t="s">
        <v>239</v>
      </c>
      <c r="C120" s="143" t="s">
        <v>240</v>
      </c>
      <c r="D120" s="138" t="s">
        <v>87</v>
      </c>
      <c r="E120" s="138">
        <v>9</v>
      </c>
      <c r="F120" s="138" t="s">
        <v>112</v>
      </c>
      <c r="G120" s="138" t="s">
        <v>241</v>
      </c>
      <c r="H120" s="138"/>
      <c r="I120" s="144" t="s">
        <v>1421</v>
      </c>
      <c r="J120" s="146" t="s">
        <v>2599</v>
      </c>
      <c r="K120" s="138" t="s">
        <v>2600</v>
      </c>
      <c r="L120" s="138"/>
      <c r="M120" s="138" t="s">
        <v>2601</v>
      </c>
      <c r="N120" s="141" t="s">
        <v>2529</v>
      </c>
      <c r="O120" s="142"/>
      <c r="P120" s="142"/>
      <c r="Q120" s="142"/>
      <c r="R120" s="142"/>
      <c r="S120" s="142"/>
    </row>
    <row r="121" spans="1:19">
      <c r="A121" s="138" t="s">
        <v>233</v>
      </c>
      <c r="B121" s="142" t="s">
        <v>242</v>
      </c>
      <c r="C121" s="143" t="s">
        <v>243</v>
      </c>
      <c r="D121" s="138" t="s">
        <v>87</v>
      </c>
      <c r="E121" s="138">
        <v>9</v>
      </c>
      <c r="F121" s="138" t="s">
        <v>112</v>
      </c>
      <c r="G121" s="138" t="s">
        <v>241</v>
      </c>
      <c r="H121" s="138"/>
      <c r="I121" s="144" t="s">
        <v>1421</v>
      </c>
      <c r="J121" s="146" t="s">
        <v>2602</v>
      </c>
      <c r="K121" s="138" t="s">
        <v>1303</v>
      </c>
      <c r="L121" s="138"/>
      <c r="M121" s="138" t="s">
        <v>2601</v>
      </c>
      <c r="N121" s="141" t="s">
        <v>2529</v>
      </c>
      <c r="O121" s="142"/>
      <c r="P121" s="142"/>
      <c r="Q121" s="142"/>
      <c r="R121" s="142"/>
      <c r="S121" s="142"/>
    </row>
    <row r="122" spans="1:19">
      <c r="A122" s="138" t="s">
        <v>265</v>
      </c>
      <c r="B122" s="138" t="s">
        <v>272</v>
      </c>
      <c r="C122" s="158" t="s">
        <v>278</v>
      </c>
      <c r="D122" s="138" t="s">
        <v>87</v>
      </c>
      <c r="E122" s="138">
        <v>9</v>
      </c>
      <c r="F122" s="138" t="s">
        <v>112</v>
      </c>
      <c r="G122" s="138" t="s">
        <v>241</v>
      </c>
      <c r="H122" s="138"/>
      <c r="I122" s="144" t="s">
        <v>1423</v>
      </c>
      <c r="J122" s="146" t="s">
        <v>2603</v>
      </c>
      <c r="K122" s="146"/>
      <c r="L122" s="138"/>
      <c r="M122" s="138"/>
      <c r="N122" s="141"/>
      <c r="O122" s="142"/>
      <c r="P122" s="142"/>
      <c r="Q122" s="142"/>
      <c r="R122" s="142"/>
      <c r="S122" s="142"/>
    </row>
    <row r="123" spans="1:19" ht="31.5">
      <c r="A123" s="138" t="s">
        <v>135</v>
      </c>
      <c r="B123" s="138" t="s">
        <v>136</v>
      </c>
      <c r="C123" s="143" t="s">
        <v>137</v>
      </c>
      <c r="D123" s="138" t="s">
        <v>87</v>
      </c>
      <c r="E123" s="138">
        <v>10</v>
      </c>
      <c r="F123" s="138" t="s">
        <v>112</v>
      </c>
      <c r="G123" s="138" t="s">
        <v>138</v>
      </c>
      <c r="H123" s="138"/>
      <c r="I123" s="144" t="s">
        <v>2604</v>
      </c>
      <c r="J123" s="146" t="s">
        <v>2534</v>
      </c>
      <c r="K123" s="138" t="s">
        <v>2605</v>
      </c>
      <c r="L123" s="138"/>
      <c r="M123" s="138"/>
      <c r="N123" s="141" t="s">
        <v>2529</v>
      </c>
      <c r="O123" s="142"/>
      <c r="P123" s="142"/>
      <c r="Q123" s="142"/>
      <c r="R123" s="142"/>
      <c r="S123" s="142"/>
    </row>
    <row r="124" spans="1:19">
      <c r="A124" s="138" t="s">
        <v>250</v>
      </c>
      <c r="B124" s="138" t="s">
        <v>251</v>
      </c>
      <c r="C124" s="143" t="s">
        <v>252</v>
      </c>
      <c r="D124" s="138" t="s">
        <v>87</v>
      </c>
      <c r="E124" s="142">
        <v>11</v>
      </c>
      <c r="F124" s="138" t="s">
        <v>112</v>
      </c>
      <c r="G124" s="142" t="s">
        <v>253</v>
      </c>
      <c r="H124" s="138"/>
      <c r="I124" s="150" t="s">
        <v>2606</v>
      </c>
      <c r="J124" s="142" t="s">
        <v>2607</v>
      </c>
      <c r="K124" s="142" t="s">
        <v>2521</v>
      </c>
      <c r="L124" s="142" t="s">
        <v>2608</v>
      </c>
      <c r="M124" s="142"/>
      <c r="N124" s="141" t="s">
        <v>2529</v>
      </c>
      <c r="O124" s="142"/>
      <c r="P124" s="142"/>
      <c r="Q124" s="142"/>
      <c r="R124" s="142"/>
      <c r="S124" s="142"/>
    </row>
    <row r="125" spans="1:19">
      <c r="A125" s="138" t="s">
        <v>256</v>
      </c>
      <c r="B125" s="138" t="s">
        <v>257</v>
      </c>
      <c r="C125" s="143" t="s">
        <v>258</v>
      </c>
      <c r="D125" s="138" t="s">
        <v>87</v>
      </c>
      <c r="E125" s="142">
        <v>12</v>
      </c>
      <c r="F125" s="138" t="s">
        <v>112</v>
      </c>
      <c r="G125" s="142" t="s">
        <v>259</v>
      </c>
      <c r="H125" s="142"/>
      <c r="I125" s="165" t="s">
        <v>2609</v>
      </c>
      <c r="J125" s="142" t="s">
        <v>2610</v>
      </c>
      <c r="K125" s="142"/>
      <c r="L125" s="142" t="s">
        <v>2611</v>
      </c>
      <c r="M125" s="142"/>
      <c r="N125" s="141" t="s">
        <v>2529</v>
      </c>
      <c r="O125" s="142"/>
      <c r="P125" s="142"/>
      <c r="Q125" s="142"/>
      <c r="R125" s="142"/>
      <c r="S125" s="142"/>
    </row>
    <row r="126" spans="1:19">
      <c r="A126" s="138" t="s">
        <v>345</v>
      </c>
      <c r="B126" s="138" t="s">
        <v>346</v>
      </c>
      <c r="C126" s="143" t="s">
        <v>347</v>
      </c>
      <c r="D126" s="138" t="s">
        <v>87</v>
      </c>
      <c r="E126" s="138">
        <v>12</v>
      </c>
      <c r="F126" s="138" t="s">
        <v>112</v>
      </c>
      <c r="G126" s="138" t="s">
        <v>348</v>
      </c>
      <c r="H126" s="142"/>
      <c r="I126" s="165" t="s">
        <v>2609</v>
      </c>
      <c r="J126" s="138" t="s">
        <v>2610</v>
      </c>
      <c r="K126" s="138"/>
      <c r="L126" s="138"/>
      <c r="M126" s="138"/>
      <c r="N126" s="141" t="s">
        <v>2529</v>
      </c>
      <c r="O126" s="142"/>
      <c r="P126" s="142"/>
      <c r="Q126" s="142"/>
      <c r="R126" s="142"/>
      <c r="S126" s="142"/>
    </row>
    <row r="127" spans="1:19">
      <c r="A127" s="138" t="s">
        <v>109</v>
      </c>
      <c r="B127" s="138" t="s">
        <v>110</v>
      </c>
      <c r="C127" s="143" t="s">
        <v>111</v>
      </c>
      <c r="D127" s="138" t="s">
        <v>87</v>
      </c>
      <c r="E127" s="138">
        <v>13</v>
      </c>
      <c r="F127" s="138" t="s">
        <v>112</v>
      </c>
      <c r="G127" s="138" t="s">
        <v>113</v>
      </c>
      <c r="H127" s="141"/>
      <c r="I127" s="140" t="s">
        <v>2609</v>
      </c>
      <c r="J127" s="146" t="s">
        <v>2599</v>
      </c>
      <c r="K127" s="146"/>
      <c r="L127" s="138"/>
      <c r="M127" s="138"/>
      <c r="N127" s="141" t="s">
        <v>2529</v>
      </c>
      <c r="O127" s="142"/>
      <c r="P127" s="142"/>
      <c r="Q127" s="142"/>
      <c r="R127" s="142"/>
      <c r="S127" s="142"/>
    </row>
    <row r="128" spans="1:19">
      <c r="A128" s="138" t="s">
        <v>129</v>
      </c>
      <c r="B128" s="138" t="s">
        <v>130</v>
      </c>
      <c r="C128" s="143" t="s">
        <v>131</v>
      </c>
      <c r="D128" s="138" t="s">
        <v>87</v>
      </c>
      <c r="E128" s="138">
        <v>13</v>
      </c>
      <c r="F128" s="138" t="s">
        <v>112</v>
      </c>
      <c r="G128" s="138" t="s">
        <v>113</v>
      </c>
      <c r="H128" s="139"/>
      <c r="I128" s="144" t="s">
        <v>2604</v>
      </c>
      <c r="J128" s="138" t="s">
        <v>2599</v>
      </c>
      <c r="K128" s="146"/>
      <c r="L128" s="138"/>
      <c r="M128" s="138"/>
      <c r="N128" s="141" t="s">
        <v>2529</v>
      </c>
      <c r="O128" s="142"/>
      <c r="P128" s="142"/>
      <c r="Q128" s="142"/>
      <c r="R128" s="142"/>
      <c r="S128" s="142"/>
    </row>
    <row r="129" spans="1:19">
      <c r="A129" s="138" t="s">
        <v>132</v>
      </c>
      <c r="B129" s="138" t="s">
        <v>133</v>
      </c>
      <c r="C129" s="143" t="s">
        <v>134</v>
      </c>
      <c r="D129" s="138" t="s">
        <v>87</v>
      </c>
      <c r="E129" s="138">
        <v>13</v>
      </c>
      <c r="F129" s="138" t="s">
        <v>112</v>
      </c>
      <c r="G129" s="138" t="s">
        <v>113</v>
      </c>
      <c r="H129" s="138"/>
      <c r="I129" s="144" t="s">
        <v>2604</v>
      </c>
      <c r="J129" s="138" t="s">
        <v>2599</v>
      </c>
      <c r="K129" s="138"/>
      <c r="L129" s="138"/>
      <c r="M129" s="138"/>
      <c r="N129" s="141" t="s">
        <v>2529</v>
      </c>
      <c r="O129" s="142"/>
      <c r="P129" s="142"/>
      <c r="Q129" s="142"/>
      <c r="R129" s="142"/>
      <c r="S129" s="142"/>
    </row>
    <row r="130" spans="1:19">
      <c r="A130" s="138" t="s">
        <v>135</v>
      </c>
      <c r="B130" s="138" t="s">
        <v>139</v>
      </c>
      <c r="C130" s="143" t="s">
        <v>140</v>
      </c>
      <c r="D130" s="138" t="s">
        <v>87</v>
      </c>
      <c r="E130" s="138">
        <v>13</v>
      </c>
      <c r="F130" s="138" t="s">
        <v>112</v>
      </c>
      <c r="G130" s="138" t="s">
        <v>113</v>
      </c>
      <c r="H130" s="138"/>
      <c r="I130" s="144" t="s">
        <v>2604</v>
      </c>
      <c r="J130" s="146" t="s">
        <v>2599</v>
      </c>
      <c r="K130" s="138"/>
      <c r="L130" s="138"/>
      <c r="M130" s="138"/>
      <c r="N130" s="141" t="s">
        <v>2529</v>
      </c>
      <c r="O130" s="142"/>
      <c r="P130" s="142"/>
      <c r="Q130" s="142"/>
      <c r="R130" s="142"/>
      <c r="S130" s="142"/>
    </row>
    <row r="131" spans="1:19">
      <c r="A131" s="138" t="s">
        <v>303</v>
      </c>
      <c r="B131" s="138" t="s">
        <v>304</v>
      </c>
      <c r="C131" s="143" t="s">
        <v>305</v>
      </c>
      <c r="D131" s="138" t="s">
        <v>87</v>
      </c>
      <c r="E131" s="138">
        <v>13</v>
      </c>
      <c r="F131" s="138" t="s">
        <v>112</v>
      </c>
      <c r="G131" s="138" t="s">
        <v>113</v>
      </c>
      <c r="H131" s="138"/>
      <c r="I131" s="140" t="s">
        <v>2609</v>
      </c>
      <c r="J131" s="138" t="s">
        <v>2599</v>
      </c>
      <c r="K131" s="138"/>
      <c r="L131" s="138"/>
      <c r="M131" s="138"/>
      <c r="N131" s="141" t="s">
        <v>2529</v>
      </c>
      <c r="O131" s="142"/>
      <c r="P131" s="142"/>
      <c r="Q131" s="142"/>
      <c r="R131" s="142"/>
      <c r="S131" s="142"/>
    </row>
    <row r="132" spans="1:19">
      <c r="A132" s="138" t="s">
        <v>339</v>
      </c>
      <c r="B132" s="138" t="s">
        <v>340</v>
      </c>
      <c r="C132" s="143" t="s">
        <v>341</v>
      </c>
      <c r="D132" s="138" t="s">
        <v>87</v>
      </c>
      <c r="E132" s="142">
        <v>13</v>
      </c>
      <c r="F132" s="138" t="s">
        <v>112</v>
      </c>
      <c r="G132" s="138" t="s">
        <v>113</v>
      </c>
      <c r="H132" s="138"/>
      <c r="I132" s="165" t="s">
        <v>2609</v>
      </c>
      <c r="J132" s="138" t="s">
        <v>2612</v>
      </c>
      <c r="K132" s="138"/>
      <c r="L132" s="138" t="s">
        <v>2613</v>
      </c>
      <c r="M132" s="138"/>
      <c r="N132" s="141" t="s">
        <v>2529</v>
      </c>
      <c r="O132" s="142"/>
      <c r="P132" s="142"/>
      <c r="Q132" s="142"/>
      <c r="R132" s="142"/>
      <c r="S132" s="142"/>
    </row>
    <row r="133" spans="1:19">
      <c r="A133" s="138" t="s">
        <v>413</v>
      </c>
      <c r="B133" s="138" t="s">
        <v>414</v>
      </c>
      <c r="C133" s="143" t="s">
        <v>415</v>
      </c>
      <c r="D133" s="138" t="s">
        <v>87</v>
      </c>
      <c r="E133" s="138">
        <v>13</v>
      </c>
      <c r="F133" s="138" t="s">
        <v>112</v>
      </c>
      <c r="G133" s="138" t="s">
        <v>113</v>
      </c>
      <c r="H133" s="138"/>
      <c r="I133" s="165" t="s">
        <v>2609</v>
      </c>
      <c r="J133" s="138" t="s">
        <v>2599</v>
      </c>
      <c r="K133" s="146"/>
      <c r="L133" s="138"/>
      <c r="M133" s="138"/>
      <c r="N133" s="141" t="s">
        <v>2529</v>
      </c>
      <c r="O133" s="142"/>
      <c r="P133" s="142"/>
      <c r="Q133" s="142"/>
      <c r="R133" s="142"/>
      <c r="S133" s="142"/>
    </row>
    <row r="134" spans="1:19">
      <c r="A134" s="138" t="s">
        <v>422</v>
      </c>
      <c r="B134" s="138" t="s">
        <v>423</v>
      </c>
      <c r="C134" s="143" t="s">
        <v>424</v>
      </c>
      <c r="D134" s="138" t="s">
        <v>87</v>
      </c>
      <c r="E134" s="142">
        <v>13</v>
      </c>
      <c r="F134" s="138" t="s">
        <v>112</v>
      </c>
      <c r="G134" s="138" t="s">
        <v>113</v>
      </c>
      <c r="H134" s="138"/>
      <c r="I134" s="165" t="s">
        <v>2609</v>
      </c>
      <c r="J134" s="138" t="s">
        <v>2599</v>
      </c>
      <c r="K134" s="138"/>
      <c r="L134" s="138"/>
      <c r="M134" s="138"/>
      <c r="N134" s="141"/>
      <c r="O134" s="142"/>
      <c r="P134" s="142"/>
      <c r="Q134" s="142"/>
      <c r="R134" s="142"/>
      <c r="S134" s="142"/>
    </row>
    <row r="135" spans="1:19">
      <c r="A135" s="138" t="s">
        <v>422</v>
      </c>
      <c r="B135" s="138" t="s">
        <v>425</v>
      </c>
      <c r="C135" s="143" t="s">
        <v>426</v>
      </c>
      <c r="D135" s="138" t="s">
        <v>87</v>
      </c>
      <c r="E135" s="142">
        <v>13</v>
      </c>
      <c r="F135" s="138" t="s">
        <v>112</v>
      </c>
      <c r="G135" s="138" t="s">
        <v>113</v>
      </c>
      <c r="H135" s="138"/>
      <c r="I135" s="165" t="s">
        <v>2609</v>
      </c>
      <c r="J135" s="138" t="s">
        <v>2599</v>
      </c>
      <c r="K135" s="138"/>
      <c r="L135" s="138"/>
      <c r="M135" s="138"/>
      <c r="N135" s="141" t="s">
        <v>2529</v>
      </c>
      <c r="O135" s="142"/>
      <c r="P135" s="142"/>
      <c r="Q135" s="142"/>
      <c r="R135" s="142"/>
      <c r="S135" s="142"/>
    </row>
    <row r="136" spans="1:19">
      <c r="A136" s="138" t="s">
        <v>507</v>
      </c>
      <c r="B136" s="138" t="s">
        <v>508</v>
      </c>
      <c r="C136" s="143" t="s">
        <v>509</v>
      </c>
      <c r="D136" s="138" t="s">
        <v>87</v>
      </c>
      <c r="E136" s="138">
        <v>13</v>
      </c>
      <c r="F136" s="138" t="s">
        <v>112</v>
      </c>
      <c r="G136" s="138" t="s">
        <v>113</v>
      </c>
      <c r="H136" s="138"/>
      <c r="I136" s="165" t="s">
        <v>2609</v>
      </c>
      <c r="J136" s="138"/>
      <c r="K136" s="146" t="s">
        <v>2599</v>
      </c>
      <c r="L136" s="138"/>
      <c r="M136" s="138"/>
      <c r="N136" s="141" t="s">
        <v>2529</v>
      </c>
      <c r="O136" s="142"/>
      <c r="P136" s="142"/>
      <c r="Q136" s="142"/>
      <c r="R136" s="142"/>
      <c r="S136" s="142"/>
    </row>
    <row r="137" spans="1:19">
      <c r="A137" s="162" t="s">
        <v>561</v>
      </c>
      <c r="B137" s="138" t="s">
        <v>562</v>
      </c>
      <c r="C137" s="139" t="s">
        <v>563</v>
      </c>
      <c r="D137" s="138" t="s">
        <v>87</v>
      </c>
      <c r="E137" s="138">
        <v>13</v>
      </c>
      <c r="F137" s="138" t="s">
        <v>112</v>
      </c>
      <c r="G137" s="138" t="s">
        <v>113</v>
      </c>
      <c r="H137" s="138"/>
      <c r="I137" s="165" t="s">
        <v>2609</v>
      </c>
      <c r="J137" s="138"/>
      <c r="K137" s="146" t="s">
        <v>2599</v>
      </c>
      <c r="L137" s="138"/>
      <c r="M137" s="138"/>
      <c r="N137" s="141" t="s">
        <v>2529</v>
      </c>
      <c r="O137" s="142"/>
      <c r="P137" s="142"/>
      <c r="Q137" s="142"/>
      <c r="R137" s="142"/>
      <c r="S137" s="142"/>
    </row>
    <row r="138" spans="1:19">
      <c r="A138" s="138" t="s">
        <v>141</v>
      </c>
      <c r="B138" s="138" t="s">
        <v>142</v>
      </c>
      <c r="C138" s="143" t="s">
        <v>143</v>
      </c>
      <c r="D138" s="138" t="s">
        <v>87</v>
      </c>
      <c r="E138" s="138">
        <v>14</v>
      </c>
      <c r="F138" s="138" t="s">
        <v>112</v>
      </c>
      <c r="G138" s="138" t="s">
        <v>144</v>
      </c>
      <c r="H138" s="138"/>
      <c r="I138" s="140" t="s">
        <v>2614</v>
      </c>
      <c r="J138" s="138" t="s">
        <v>2610</v>
      </c>
      <c r="K138" s="138"/>
      <c r="L138" s="138"/>
      <c r="M138" s="138" t="s">
        <v>2615</v>
      </c>
      <c r="N138" s="141" t="s">
        <v>2529</v>
      </c>
      <c r="O138" s="142"/>
      <c r="P138" s="142"/>
      <c r="Q138" s="142"/>
      <c r="R138" s="142"/>
      <c r="S138" s="142"/>
    </row>
    <row r="139" spans="1:19">
      <c r="A139" s="138" t="s">
        <v>293</v>
      </c>
      <c r="B139" s="138" t="s">
        <v>294</v>
      </c>
      <c r="C139" s="143" t="s">
        <v>295</v>
      </c>
      <c r="D139" s="138" t="s">
        <v>87</v>
      </c>
      <c r="E139" s="138">
        <v>14</v>
      </c>
      <c r="F139" s="138" t="s">
        <v>112</v>
      </c>
      <c r="G139" s="138" t="s">
        <v>144</v>
      </c>
      <c r="H139" s="138"/>
      <c r="I139" s="140" t="e">
        <f>"real "&amp;_ResultsYear&amp; " US$bn"</f>
        <v>#NAME?</v>
      </c>
      <c r="J139" s="138" t="s">
        <v>2616</v>
      </c>
      <c r="K139" s="138" t="s">
        <v>2617</v>
      </c>
      <c r="L139" s="138"/>
      <c r="M139" s="138" t="s">
        <v>2618</v>
      </c>
      <c r="N139" s="141" t="s">
        <v>2529</v>
      </c>
      <c r="O139" s="142"/>
      <c r="P139" s="142"/>
      <c r="Q139" s="142"/>
      <c r="R139" s="142"/>
      <c r="S139" s="142"/>
    </row>
    <row r="140" spans="1:19">
      <c r="A140" s="138" t="s">
        <v>455</v>
      </c>
      <c r="B140" s="138" t="s">
        <v>456</v>
      </c>
      <c r="C140" s="143" t="s">
        <v>457</v>
      </c>
      <c r="D140" s="138" t="s">
        <v>87</v>
      </c>
      <c r="E140" s="138">
        <v>14</v>
      </c>
      <c r="F140" s="138" t="s">
        <v>112</v>
      </c>
      <c r="G140" s="138" t="s">
        <v>144</v>
      </c>
      <c r="H140" s="138"/>
      <c r="I140" s="140" t="e">
        <f>"bn US$"&amp;_ResultsYear&amp;" real"</f>
        <v>#NAME?</v>
      </c>
      <c r="J140" s="138"/>
      <c r="K140" s="138" t="s">
        <v>2619</v>
      </c>
      <c r="L140" s="138"/>
      <c r="M140" s="138" t="s">
        <v>2620</v>
      </c>
      <c r="N140" s="141" t="s">
        <v>2529</v>
      </c>
      <c r="O140" s="142"/>
      <c r="P140" s="142"/>
      <c r="Q140" s="142"/>
      <c r="R140" s="142"/>
      <c r="S140" s="142"/>
    </row>
    <row r="141" spans="1:19">
      <c r="A141" s="138" t="s">
        <v>474</v>
      </c>
      <c r="B141" s="138" t="s">
        <v>475</v>
      </c>
      <c r="C141" s="143" t="s">
        <v>476</v>
      </c>
      <c r="D141" s="138" t="s">
        <v>87</v>
      </c>
      <c r="E141" s="138">
        <v>14</v>
      </c>
      <c r="F141" s="138" t="s">
        <v>112</v>
      </c>
      <c r="G141" s="138" t="s">
        <v>144</v>
      </c>
      <c r="H141" s="138"/>
      <c r="I141" s="140" t="e">
        <f>"bn US$"&amp;_ResultsYear&amp;" real"</f>
        <v>#NAME?</v>
      </c>
      <c r="J141" s="138"/>
      <c r="K141" s="138" t="s">
        <v>2619</v>
      </c>
      <c r="L141" s="138"/>
      <c r="M141" s="138" t="s">
        <v>2620</v>
      </c>
      <c r="N141" s="141" t="s">
        <v>2529</v>
      </c>
      <c r="O141" s="142"/>
      <c r="P141" s="142"/>
      <c r="Q141" s="142"/>
      <c r="R141" s="142"/>
      <c r="S141" s="142"/>
    </row>
    <row r="142" spans="1:19">
      <c r="A142" s="138" t="s">
        <v>477</v>
      </c>
      <c r="B142" s="138" t="s">
        <v>478</v>
      </c>
      <c r="C142" s="143" t="s">
        <v>479</v>
      </c>
      <c r="D142" s="138" t="s">
        <v>87</v>
      </c>
      <c r="E142" s="138">
        <v>14</v>
      </c>
      <c r="F142" s="138" t="s">
        <v>112</v>
      </c>
      <c r="G142" s="138" t="s">
        <v>144</v>
      </c>
      <c r="H142" s="138"/>
      <c r="I142" s="140" t="e">
        <f>"bn US$"&amp;_ResultsYear&amp;" real"</f>
        <v>#NAME?</v>
      </c>
      <c r="J142" s="138"/>
      <c r="K142" s="138" t="s">
        <v>2619</v>
      </c>
      <c r="L142" s="138"/>
      <c r="M142" s="138" t="s">
        <v>2620</v>
      </c>
      <c r="N142" s="141" t="s">
        <v>2529</v>
      </c>
      <c r="O142" s="142"/>
      <c r="P142" s="142"/>
      <c r="Q142" s="142"/>
      <c r="R142" s="142"/>
      <c r="S142" s="142"/>
    </row>
    <row r="143" spans="1:19">
      <c r="A143" s="138" t="s">
        <v>482</v>
      </c>
      <c r="B143" s="138" t="s">
        <v>483</v>
      </c>
      <c r="C143" s="143" t="s">
        <v>484</v>
      </c>
      <c r="D143" s="138" t="s">
        <v>87</v>
      </c>
      <c r="E143" s="138">
        <v>14</v>
      </c>
      <c r="F143" s="138" t="s">
        <v>112</v>
      </c>
      <c r="G143" s="138" t="s">
        <v>144</v>
      </c>
      <c r="H143" s="138"/>
      <c r="I143" s="140" t="e">
        <f>"bn US$"&amp;_ResultsYear&amp;" real"</f>
        <v>#NAME?</v>
      </c>
      <c r="J143" s="138"/>
      <c r="K143" s="138" t="s">
        <v>2621</v>
      </c>
      <c r="L143" s="138"/>
      <c r="M143" s="138" t="s">
        <v>2618</v>
      </c>
      <c r="N143" s="141" t="s">
        <v>2529</v>
      </c>
      <c r="O143" s="142"/>
      <c r="P143" s="142"/>
      <c r="Q143" s="142"/>
      <c r="R143" s="142"/>
      <c r="S143" s="142"/>
    </row>
    <row r="144" spans="1:19">
      <c r="A144" s="138" t="s">
        <v>486</v>
      </c>
      <c r="B144" s="138" t="s">
        <v>487</v>
      </c>
      <c r="C144" s="143" t="s">
        <v>488</v>
      </c>
      <c r="D144" s="138" t="s">
        <v>87</v>
      </c>
      <c r="E144" s="138">
        <v>14</v>
      </c>
      <c r="F144" s="138" t="s">
        <v>112</v>
      </c>
      <c r="G144" s="138" t="s">
        <v>144</v>
      </c>
      <c r="H144" s="138"/>
      <c r="I144" s="140" t="e">
        <f>"bn US$"&amp;_ResultsYear&amp;" real"</f>
        <v>#NAME?</v>
      </c>
      <c r="J144" s="138"/>
      <c r="K144" s="138" t="s">
        <v>2619</v>
      </c>
      <c r="L144" s="138"/>
      <c r="M144" s="138" t="s">
        <v>2620</v>
      </c>
      <c r="N144" s="141" t="s">
        <v>2529</v>
      </c>
      <c r="O144" s="142"/>
      <c r="P144" s="142"/>
      <c r="Q144" s="142"/>
      <c r="R144" s="142"/>
      <c r="S144" s="142"/>
    </row>
    <row r="145" spans="1:19">
      <c r="A145" s="138" t="s">
        <v>522</v>
      </c>
      <c r="B145" s="138" t="s">
        <v>523</v>
      </c>
      <c r="C145" s="143" t="s">
        <v>524</v>
      </c>
      <c r="D145" s="138" t="s">
        <v>87</v>
      </c>
      <c r="E145" s="138">
        <v>14</v>
      </c>
      <c r="F145" s="138" t="s">
        <v>112</v>
      </c>
      <c r="G145" s="138" t="s">
        <v>144</v>
      </c>
      <c r="H145" s="138"/>
      <c r="I145" s="144" t="s">
        <v>2622</v>
      </c>
      <c r="J145" s="138" t="s">
        <v>2623</v>
      </c>
      <c r="K145" s="138"/>
      <c r="L145" s="138" t="s">
        <v>2618</v>
      </c>
      <c r="M145" s="138"/>
      <c r="N145" s="141" t="s">
        <v>2529</v>
      </c>
      <c r="O145" s="142"/>
      <c r="P145" s="142"/>
      <c r="Q145" s="142"/>
      <c r="R145" s="142"/>
      <c r="S145" s="142"/>
    </row>
    <row r="146" spans="1:19">
      <c r="A146" s="138" t="s">
        <v>525</v>
      </c>
      <c r="B146" s="138" t="s">
        <v>526</v>
      </c>
      <c r="C146" s="143" t="s">
        <v>527</v>
      </c>
      <c r="D146" s="138" t="s">
        <v>87</v>
      </c>
      <c r="E146" s="138">
        <v>14</v>
      </c>
      <c r="F146" s="138" t="s">
        <v>112</v>
      </c>
      <c r="G146" s="138" t="s">
        <v>144</v>
      </c>
      <c r="H146" s="138"/>
      <c r="I146" s="144" t="s">
        <v>2622</v>
      </c>
      <c r="J146" s="138" t="s">
        <v>1323</v>
      </c>
      <c r="K146" s="138"/>
      <c r="L146" s="138" t="s">
        <v>2620</v>
      </c>
      <c r="M146" s="138"/>
      <c r="N146" s="141" t="s">
        <v>2529</v>
      </c>
      <c r="O146" s="142"/>
      <c r="P146" s="142"/>
      <c r="Q146" s="142"/>
      <c r="R146" s="142"/>
      <c r="S146" s="142"/>
    </row>
    <row r="147" spans="1:19">
      <c r="A147" s="138" t="s">
        <v>315</v>
      </c>
      <c r="B147" s="138" t="s">
        <v>316</v>
      </c>
      <c r="C147" s="143" t="s">
        <v>317</v>
      </c>
      <c r="D147" s="138" t="s">
        <v>87</v>
      </c>
      <c r="E147" s="138">
        <v>15</v>
      </c>
      <c r="F147" s="138" t="s">
        <v>112</v>
      </c>
      <c r="G147" s="138" t="s">
        <v>318</v>
      </c>
      <c r="H147" s="138"/>
      <c r="I147" s="144" t="s">
        <v>2502</v>
      </c>
      <c r="J147" s="138" t="s">
        <v>2624</v>
      </c>
      <c r="K147" s="138"/>
      <c r="L147" s="138"/>
      <c r="M147" s="138" t="s">
        <v>2625</v>
      </c>
      <c r="N147" s="141" t="s">
        <v>2529</v>
      </c>
      <c r="O147" s="142"/>
      <c r="P147" s="142"/>
      <c r="Q147" s="142"/>
      <c r="R147" s="142"/>
      <c r="S147" s="142"/>
    </row>
    <row r="148" spans="1:19">
      <c r="A148" s="152" t="s">
        <v>315</v>
      </c>
      <c r="B148" s="152" t="s">
        <v>319</v>
      </c>
      <c r="C148" s="153" t="s">
        <v>320</v>
      </c>
      <c r="D148" s="152" t="s">
        <v>87</v>
      </c>
      <c r="E148" s="152">
        <v>15</v>
      </c>
      <c r="F148" s="152" t="s">
        <v>112</v>
      </c>
      <c r="G148" s="152" t="s">
        <v>318</v>
      </c>
      <c r="H148" s="152"/>
      <c r="I148" s="154" t="s">
        <v>2502</v>
      </c>
      <c r="J148" s="152" t="s">
        <v>2626</v>
      </c>
      <c r="K148" s="152"/>
      <c r="L148" s="152"/>
      <c r="M148" s="152" t="s">
        <v>2625</v>
      </c>
      <c r="N148" s="166" t="s">
        <v>2529</v>
      </c>
      <c r="O148" s="142"/>
      <c r="P148" s="142"/>
      <c r="Q148" s="142"/>
      <c r="R148" s="142"/>
      <c r="S148" s="142"/>
    </row>
    <row r="149" spans="1:19" ht="31.5">
      <c r="A149" s="155" t="s">
        <v>84</v>
      </c>
      <c r="B149" s="155" t="s">
        <v>103</v>
      </c>
      <c r="C149" s="156" t="s">
        <v>104</v>
      </c>
      <c r="D149" s="155" t="s">
        <v>105</v>
      </c>
      <c r="E149" s="155">
        <v>1</v>
      </c>
      <c r="F149" s="155" t="s">
        <v>106</v>
      </c>
      <c r="G149" s="155" t="s">
        <v>107</v>
      </c>
      <c r="H149" s="167"/>
      <c r="I149" s="168"/>
      <c r="J149" s="169" t="s">
        <v>2627</v>
      </c>
      <c r="K149" s="169" t="s">
        <v>2628</v>
      </c>
      <c r="L149" s="155"/>
      <c r="M149" s="155" t="s">
        <v>2625</v>
      </c>
      <c r="N149" s="167" t="s">
        <v>2529</v>
      </c>
      <c r="O149" s="142"/>
      <c r="P149" s="142"/>
      <c r="Q149" s="142"/>
      <c r="R149" s="142"/>
      <c r="S149" s="142"/>
    </row>
    <row r="150" spans="1:19" ht="31.5">
      <c r="A150" s="138" t="s">
        <v>265</v>
      </c>
      <c r="B150" s="138" t="s">
        <v>279</v>
      </c>
      <c r="C150" s="143" t="s">
        <v>280</v>
      </c>
      <c r="D150" s="138" t="s">
        <v>105</v>
      </c>
      <c r="E150" s="138">
        <v>1</v>
      </c>
      <c r="F150" s="138" t="s">
        <v>106</v>
      </c>
      <c r="G150" s="138" t="s">
        <v>107</v>
      </c>
      <c r="H150" s="141"/>
      <c r="I150" s="140" t="s">
        <v>1423</v>
      </c>
      <c r="J150" s="146" t="s">
        <v>2627</v>
      </c>
      <c r="K150" s="146" t="s">
        <v>2628</v>
      </c>
      <c r="L150" s="138"/>
      <c r="M150" s="138" t="s">
        <v>1398</v>
      </c>
      <c r="N150" s="141" t="s">
        <v>2629</v>
      </c>
      <c r="O150" s="142"/>
      <c r="P150" s="142"/>
      <c r="Q150" s="142"/>
      <c r="R150" s="142"/>
      <c r="S150" s="142"/>
    </row>
    <row r="151" spans="1:19">
      <c r="A151" s="138" t="s">
        <v>293</v>
      </c>
      <c r="B151" s="138" t="s">
        <v>296</v>
      </c>
      <c r="C151" s="143" t="s">
        <v>295</v>
      </c>
      <c r="D151" s="138" t="s">
        <v>105</v>
      </c>
      <c r="E151" s="138">
        <v>1</v>
      </c>
      <c r="F151" s="138" t="s">
        <v>106</v>
      </c>
      <c r="G151" s="138" t="s">
        <v>107</v>
      </c>
      <c r="H151" s="138"/>
      <c r="I151" s="140" t="e">
        <f>"real "&amp;_ResultsYear&amp; " US$bn"</f>
        <v>#NAME?</v>
      </c>
      <c r="J151" s="138"/>
      <c r="K151" s="138" t="s">
        <v>2630</v>
      </c>
      <c r="L151" s="138"/>
      <c r="M151" s="138"/>
      <c r="N151" s="141"/>
      <c r="O151" s="142"/>
      <c r="P151" s="142"/>
      <c r="Q151" s="142"/>
      <c r="R151" s="142"/>
      <c r="S151" s="142"/>
    </row>
    <row r="152" spans="1:19">
      <c r="A152" s="138" t="s">
        <v>250</v>
      </c>
      <c r="B152" s="138" t="s">
        <v>251</v>
      </c>
      <c r="C152" s="143" t="s">
        <v>254</v>
      </c>
      <c r="D152" s="138" t="s">
        <v>105</v>
      </c>
      <c r="E152" s="142">
        <v>3</v>
      </c>
      <c r="F152" s="138" t="s">
        <v>106</v>
      </c>
      <c r="G152" s="142" t="s">
        <v>255</v>
      </c>
      <c r="H152" s="138"/>
      <c r="I152" s="150" t="s">
        <v>2606</v>
      </c>
      <c r="J152" s="142" t="s">
        <v>2631</v>
      </c>
      <c r="K152" s="142" t="s">
        <v>2521</v>
      </c>
      <c r="L152" s="142" t="s">
        <v>2632</v>
      </c>
      <c r="M152" s="142"/>
      <c r="N152" s="141" t="s">
        <v>2633</v>
      </c>
      <c r="O152" s="142"/>
      <c r="P152" s="142"/>
      <c r="Q152" s="142"/>
      <c r="R152" s="142"/>
      <c r="S152" s="142"/>
    </row>
    <row r="153" spans="1:19">
      <c r="A153" s="152" t="s">
        <v>284</v>
      </c>
      <c r="B153" s="152" t="s">
        <v>285</v>
      </c>
      <c r="C153" s="153" t="s">
        <v>286</v>
      </c>
      <c r="D153" s="152" t="s">
        <v>105</v>
      </c>
      <c r="E153" s="152">
        <v>3</v>
      </c>
      <c r="F153" s="152" t="s">
        <v>106</v>
      </c>
      <c r="G153" s="170" t="s">
        <v>255</v>
      </c>
      <c r="H153" s="152"/>
      <c r="I153" s="154" t="s">
        <v>2502</v>
      </c>
      <c r="J153" s="152" t="s">
        <v>2634</v>
      </c>
      <c r="K153" s="152"/>
      <c r="L153" s="152" t="s">
        <v>2635</v>
      </c>
      <c r="M153" s="152"/>
      <c r="N153" s="166" t="s">
        <v>2633</v>
      </c>
      <c r="O153" s="142"/>
      <c r="P153" s="142"/>
      <c r="Q153" s="142"/>
      <c r="R153" s="142"/>
      <c r="S153" s="142"/>
    </row>
    <row r="154" spans="1:19">
      <c r="A154" s="155" t="s">
        <v>381</v>
      </c>
      <c r="B154" s="171" t="s">
        <v>382</v>
      </c>
      <c r="C154" s="156" t="s">
        <v>383</v>
      </c>
      <c r="D154" s="155" t="s">
        <v>80</v>
      </c>
      <c r="E154" s="155">
        <v>4</v>
      </c>
      <c r="F154" s="172" t="s">
        <v>81</v>
      </c>
      <c r="G154" s="155" t="s">
        <v>384</v>
      </c>
      <c r="H154" s="155"/>
      <c r="I154" s="157" t="s">
        <v>2636</v>
      </c>
      <c r="J154" s="155" t="s">
        <v>190</v>
      </c>
      <c r="K154" s="155"/>
      <c r="L154" s="155"/>
      <c r="M154" s="155"/>
      <c r="N154" s="167" t="s">
        <v>2629</v>
      </c>
      <c r="O154" s="142"/>
      <c r="P154" s="142"/>
      <c r="Q154" s="142"/>
      <c r="R154" s="142"/>
      <c r="S154" s="142"/>
    </row>
    <row r="155" spans="1:19">
      <c r="A155" s="138" t="s">
        <v>447</v>
      </c>
      <c r="B155" s="140" t="s">
        <v>448</v>
      </c>
      <c r="C155" s="143" t="s">
        <v>449</v>
      </c>
      <c r="D155" s="138" t="s">
        <v>80</v>
      </c>
      <c r="E155" s="138">
        <v>4</v>
      </c>
      <c r="F155" s="138" t="s">
        <v>81</v>
      </c>
      <c r="G155" s="138" t="s">
        <v>384</v>
      </c>
      <c r="H155" s="138"/>
      <c r="I155" s="140" t="s">
        <v>2549</v>
      </c>
      <c r="J155" s="138" t="s">
        <v>1376</v>
      </c>
      <c r="K155" s="138"/>
      <c r="L155" s="138"/>
      <c r="M155" s="138" t="s">
        <v>1402</v>
      </c>
      <c r="N155" s="141" t="s">
        <v>2629</v>
      </c>
      <c r="O155" s="142"/>
      <c r="P155" s="142"/>
      <c r="Q155" s="142"/>
      <c r="R155" s="142"/>
      <c r="S155" s="142"/>
    </row>
    <row r="156" spans="1:19">
      <c r="A156" s="138" t="s">
        <v>467</v>
      </c>
      <c r="B156" s="138" t="s">
        <v>468</v>
      </c>
      <c r="C156" s="143" t="s">
        <v>469</v>
      </c>
      <c r="D156" s="138" t="s">
        <v>80</v>
      </c>
      <c r="E156" s="138">
        <v>9</v>
      </c>
      <c r="F156" s="138" t="s">
        <v>81</v>
      </c>
      <c r="G156" s="138" t="s">
        <v>470</v>
      </c>
      <c r="H156" s="138"/>
      <c r="I156" s="173" t="e">
        <f>"real "&amp;_ResultsYear&amp; " US$bn"</f>
        <v>#NAME?</v>
      </c>
      <c r="J156" s="138" t="s">
        <v>2637</v>
      </c>
      <c r="K156" s="138"/>
      <c r="L156" s="138"/>
      <c r="M156" s="138" t="s">
        <v>2620</v>
      </c>
      <c r="N156" s="141" t="s">
        <v>2529</v>
      </c>
      <c r="O156" s="142"/>
      <c r="P156" s="142"/>
      <c r="Q156" s="142"/>
      <c r="R156" s="142"/>
      <c r="S156" s="142"/>
    </row>
    <row r="157" spans="1:19">
      <c r="A157" s="138" t="s">
        <v>477</v>
      </c>
      <c r="B157" s="138" t="s">
        <v>480</v>
      </c>
      <c r="C157" s="143" t="s">
        <v>481</v>
      </c>
      <c r="D157" s="138" t="s">
        <v>80</v>
      </c>
      <c r="E157" s="138">
        <v>9</v>
      </c>
      <c r="F157" s="138" t="s">
        <v>81</v>
      </c>
      <c r="G157" s="138" t="s">
        <v>470</v>
      </c>
      <c r="H157" s="138"/>
      <c r="I157" s="140" t="s">
        <v>2638</v>
      </c>
      <c r="J157" s="138"/>
      <c r="K157" s="138"/>
      <c r="L157" s="138"/>
      <c r="M157" s="138"/>
      <c r="N157" s="141"/>
      <c r="O157" s="142"/>
      <c r="P157" s="142"/>
      <c r="Q157" s="142"/>
      <c r="R157" s="142"/>
      <c r="S157" s="142"/>
    </row>
    <row r="158" spans="1:19">
      <c r="A158" s="138" t="s">
        <v>482</v>
      </c>
      <c r="B158" s="138" t="s">
        <v>485</v>
      </c>
      <c r="C158" s="143" t="s">
        <v>484</v>
      </c>
      <c r="D158" s="138" t="s">
        <v>80</v>
      </c>
      <c r="E158" s="138">
        <v>9</v>
      </c>
      <c r="F158" s="138" t="s">
        <v>81</v>
      </c>
      <c r="G158" s="138" t="s">
        <v>470</v>
      </c>
      <c r="H158" s="138"/>
      <c r="I158" s="140" t="s">
        <v>2639</v>
      </c>
      <c r="J158" s="138"/>
      <c r="K158" s="138" t="s">
        <v>2621</v>
      </c>
      <c r="L158" s="138"/>
      <c r="M158" s="138" t="s">
        <v>2618</v>
      </c>
      <c r="N158" s="141" t="s">
        <v>2529</v>
      </c>
      <c r="O158" s="142"/>
      <c r="P158" s="142"/>
      <c r="Q158" s="142"/>
      <c r="R158" s="142"/>
      <c r="S158" s="142"/>
    </row>
    <row r="159" spans="1:19">
      <c r="A159" s="138" t="s">
        <v>486</v>
      </c>
      <c r="B159" s="138" t="s">
        <v>489</v>
      </c>
      <c r="C159" s="143" t="s">
        <v>488</v>
      </c>
      <c r="D159" s="138" t="s">
        <v>80</v>
      </c>
      <c r="E159" s="138">
        <v>9</v>
      </c>
      <c r="F159" s="138" t="s">
        <v>81</v>
      </c>
      <c r="G159" s="138" t="s">
        <v>470</v>
      </c>
      <c r="H159" s="138"/>
      <c r="I159" s="140" t="e">
        <f>"bn US$"&amp;_ResultsYear&amp;" real"</f>
        <v>#NAME?</v>
      </c>
      <c r="J159" s="138"/>
      <c r="K159" s="138" t="s">
        <v>2619</v>
      </c>
      <c r="L159" s="138"/>
      <c r="M159" s="138"/>
      <c r="N159" s="141"/>
      <c r="O159" s="142"/>
      <c r="P159" s="142"/>
      <c r="Q159" s="142"/>
      <c r="R159" s="142"/>
      <c r="S159" s="142"/>
    </row>
    <row r="160" spans="1:19">
      <c r="A160" s="138" t="s">
        <v>77</v>
      </c>
      <c r="B160" s="138" t="s">
        <v>78</v>
      </c>
      <c r="C160" s="143" t="s">
        <v>79</v>
      </c>
      <c r="D160" s="138" t="s">
        <v>80</v>
      </c>
      <c r="E160" s="138">
        <v>10</v>
      </c>
      <c r="F160" s="139" t="s">
        <v>81</v>
      </c>
      <c r="G160" s="138" t="s">
        <v>82</v>
      </c>
      <c r="H160" s="138"/>
      <c r="I160" s="144" t="s">
        <v>2492</v>
      </c>
      <c r="J160" s="138" t="s">
        <v>2640</v>
      </c>
      <c r="K160" s="146" t="s">
        <v>2605</v>
      </c>
      <c r="L160" s="138" t="s">
        <v>2641</v>
      </c>
      <c r="M160" s="138"/>
      <c r="N160" s="141" t="s">
        <v>2633</v>
      </c>
      <c r="O160" s="142"/>
      <c r="P160" s="142"/>
      <c r="Q160" s="142"/>
      <c r="R160" s="142"/>
      <c r="S160" s="142"/>
    </row>
    <row r="161" spans="1:19">
      <c r="A161" s="138" t="s">
        <v>126</v>
      </c>
      <c r="B161" s="138" t="s">
        <v>127</v>
      </c>
      <c r="C161" s="143" t="s">
        <v>128</v>
      </c>
      <c r="D161" s="138" t="s">
        <v>80</v>
      </c>
      <c r="E161" s="138">
        <v>10</v>
      </c>
      <c r="F161" s="139" t="s">
        <v>81</v>
      </c>
      <c r="G161" s="138" t="s">
        <v>82</v>
      </c>
      <c r="H161" s="139"/>
      <c r="I161" s="140" t="s">
        <v>2642</v>
      </c>
      <c r="J161" s="138"/>
      <c r="K161" s="138" t="s">
        <v>2605</v>
      </c>
      <c r="L161" s="138"/>
      <c r="M161" s="138"/>
      <c r="N161" s="141" t="s">
        <v>2633</v>
      </c>
      <c r="O161" s="142"/>
      <c r="P161" s="142"/>
      <c r="Q161" s="142"/>
      <c r="R161" s="142"/>
      <c r="S161" s="142"/>
    </row>
    <row r="162" spans="1:19">
      <c r="A162" s="138" t="s">
        <v>535</v>
      </c>
      <c r="B162" s="138" t="s">
        <v>536</v>
      </c>
      <c r="C162" s="143" t="s">
        <v>537</v>
      </c>
      <c r="D162" s="138" t="s">
        <v>80</v>
      </c>
      <c r="E162" s="138">
        <v>10</v>
      </c>
      <c r="F162" s="139" t="s">
        <v>81</v>
      </c>
      <c r="G162" s="138" t="s">
        <v>82</v>
      </c>
      <c r="H162" s="142"/>
      <c r="I162" s="140" t="s">
        <v>2490</v>
      </c>
      <c r="J162" s="138" t="s">
        <v>2643</v>
      </c>
      <c r="K162" s="138" t="s">
        <v>2491</v>
      </c>
      <c r="L162" s="138" t="s">
        <v>2641</v>
      </c>
      <c r="M162" s="138"/>
      <c r="N162" s="141" t="s">
        <v>2633</v>
      </c>
      <c r="O162" s="142"/>
      <c r="P162" s="142"/>
      <c r="Q162" s="142"/>
      <c r="R162" s="142"/>
      <c r="S162" s="142"/>
    </row>
    <row r="163" spans="1:19">
      <c r="A163" s="140" t="s">
        <v>567</v>
      </c>
      <c r="B163" s="140" t="s">
        <v>568</v>
      </c>
      <c r="C163" s="148" t="s">
        <v>569</v>
      </c>
      <c r="D163" s="138" t="s">
        <v>80</v>
      </c>
      <c r="E163" s="142">
        <v>10</v>
      </c>
      <c r="F163" s="139" t="s">
        <v>81</v>
      </c>
      <c r="G163" s="138" t="s">
        <v>82</v>
      </c>
      <c r="H163" s="140"/>
      <c r="I163" s="140" t="e">
        <f>"real US$"&amp;_ResultsYear</f>
        <v>#NAME?</v>
      </c>
      <c r="J163" s="140" t="s">
        <v>2644</v>
      </c>
      <c r="K163" s="140"/>
      <c r="L163" s="140"/>
      <c r="M163" s="140" t="s">
        <v>2618</v>
      </c>
      <c r="N163" s="174"/>
      <c r="O163" s="142"/>
      <c r="P163" s="142"/>
      <c r="Q163" s="142"/>
      <c r="R163" s="142"/>
      <c r="S163" s="142"/>
    </row>
    <row r="164" spans="1:19">
      <c r="A164" s="139" t="s">
        <v>114</v>
      </c>
      <c r="B164" s="139" t="s">
        <v>115</v>
      </c>
      <c r="C164" s="139" t="s">
        <v>116</v>
      </c>
      <c r="D164" s="139" t="s">
        <v>80</v>
      </c>
      <c r="E164" s="139">
        <v>11</v>
      </c>
      <c r="F164" s="139" t="s">
        <v>81</v>
      </c>
      <c r="G164" s="139" t="s">
        <v>117</v>
      </c>
      <c r="H164" s="138"/>
      <c r="I164" s="144"/>
      <c r="J164" s="139"/>
      <c r="K164" s="146"/>
      <c r="L164" s="139"/>
      <c r="M164" s="139"/>
      <c r="N164" s="175"/>
      <c r="O164" s="142"/>
      <c r="P164" s="142"/>
      <c r="Q164" s="142"/>
      <c r="R164" s="142"/>
      <c r="S164" s="142"/>
    </row>
    <row r="165" spans="1:19">
      <c r="A165" s="139" t="s">
        <v>119</v>
      </c>
      <c r="B165" s="139" t="s">
        <v>120</v>
      </c>
      <c r="C165" s="139" t="s">
        <v>121</v>
      </c>
      <c r="D165" s="139" t="s">
        <v>80</v>
      </c>
      <c r="E165" s="139">
        <v>11</v>
      </c>
      <c r="F165" s="139" t="s">
        <v>81</v>
      </c>
      <c r="G165" s="139" t="s">
        <v>117</v>
      </c>
      <c r="H165" s="139"/>
      <c r="I165" s="148"/>
      <c r="J165" s="139"/>
      <c r="K165" s="139"/>
      <c r="L165" s="139"/>
      <c r="M165" s="139"/>
      <c r="N165" s="175"/>
      <c r="O165" s="142"/>
      <c r="P165" s="142"/>
      <c r="Q165" s="142"/>
      <c r="R165" s="142"/>
      <c r="S165" s="142"/>
    </row>
    <row r="166" spans="1:19" ht="31.5">
      <c r="A166" s="139" t="s">
        <v>180</v>
      </c>
      <c r="B166" s="139" t="s">
        <v>181</v>
      </c>
      <c r="C166" s="139" t="s">
        <v>182</v>
      </c>
      <c r="D166" s="139" t="s">
        <v>183</v>
      </c>
      <c r="E166" s="139">
        <v>1</v>
      </c>
      <c r="F166" s="139" t="s">
        <v>184</v>
      </c>
      <c r="G166" s="139" t="s">
        <v>185</v>
      </c>
      <c r="H166" s="138"/>
      <c r="I166" s="144"/>
      <c r="J166" s="139"/>
      <c r="K166" s="176" t="s">
        <v>2645</v>
      </c>
      <c r="L166" s="139"/>
      <c r="M166" s="139">
        <v>2019</v>
      </c>
      <c r="N166" s="141" t="s">
        <v>2529</v>
      </c>
      <c r="O166" s="142"/>
      <c r="P166" s="142"/>
      <c r="Q166" s="142"/>
      <c r="R166" s="142"/>
      <c r="S166" s="142"/>
    </row>
    <row r="167" spans="1:19">
      <c r="A167" s="139" t="s">
        <v>369</v>
      </c>
      <c r="B167" s="139" t="s">
        <v>370</v>
      </c>
      <c r="C167" s="143" t="s">
        <v>371</v>
      </c>
      <c r="D167" s="139" t="s">
        <v>183</v>
      </c>
      <c r="E167" s="139">
        <v>1</v>
      </c>
      <c r="F167" s="139" t="s">
        <v>184</v>
      </c>
      <c r="G167" s="139" t="s">
        <v>372</v>
      </c>
      <c r="H167" s="138"/>
      <c r="I167" s="144"/>
      <c r="J167" s="139" t="s">
        <v>2511</v>
      </c>
      <c r="K167" s="176" t="s">
        <v>2532</v>
      </c>
      <c r="L167" s="139"/>
      <c r="M167" s="139"/>
      <c r="N167" s="141" t="s">
        <v>2633</v>
      </c>
      <c r="O167" s="142"/>
      <c r="P167" s="142"/>
      <c r="Q167" s="142"/>
      <c r="R167" s="142"/>
      <c r="S167" s="142"/>
    </row>
    <row r="168" spans="1:19">
      <c r="A168" s="139" t="s">
        <v>373</v>
      </c>
      <c r="B168" s="139" t="s">
        <v>374</v>
      </c>
      <c r="C168" s="139" t="s">
        <v>375</v>
      </c>
      <c r="D168" s="139" t="s">
        <v>183</v>
      </c>
      <c r="E168" s="139">
        <v>1</v>
      </c>
      <c r="F168" s="139" t="s">
        <v>184</v>
      </c>
      <c r="G168" s="139" t="s">
        <v>372</v>
      </c>
      <c r="H168" s="138"/>
      <c r="I168" s="144"/>
      <c r="J168" s="139" t="s">
        <v>2511</v>
      </c>
      <c r="K168" s="176" t="s">
        <v>2532</v>
      </c>
      <c r="L168" s="139"/>
      <c r="M168" s="139"/>
      <c r="N168" s="141" t="s">
        <v>2633</v>
      </c>
      <c r="O168" s="142"/>
      <c r="P168" s="142"/>
      <c r="Q168" s="142"/>
      <c r="R168" s="142"/>
      <c r="S168" s="142"/>
    </row>
    <row r="169" spans="1:19">
      <c r="A169" s="139" t="s">
        <v>493</v>
      </c>
      <c r="B169" s="139" t="s">
        <v>498</v>
      </c>
      <c r="C169" s="139" t="s">
        <v>500</v>
      </c>
      <c r="D169" s="139" t="s">
        <v>183</v>
      </c>
      <c r="E169" s="139">
        <v>1</v>
      </c>
      <c r="F169" s="139" t="s">
        <v>184</v>
      </c>
      <c r="G169" s="139" t="s">
        <v>372</v>
      </c>
      <c r="H169" s="138"/>
      <c r="I169" s="144"/>
      <c r="J169" s="139" t="s">
        <v>2511</v>
      </c>
      <c r="K169" s="176" t="s">
        <v>2532</v>
      </c>
      <c r="L169" s="139"/>
      <c r="M169" s="139"/>
      <c r="N169" s="141"/>
      <c r="O169" s="140"/>
      <c r="P169" s="140"/>
      <c r="Q169" s="140"/>
      <c r="R169" s="140"/>
      <c r="S169" s="140"/>
    </row>
    <row r="170" spans="1:19">
      <c r="A170" s="139" t="s">
        <v>510</v>
      </c>
      <c r="B170" s="139" t="s">
        <v>514</v>
      </c>
      <c r="C170" s="139" t="s">
        <v>515</v>
      </c>
      <c r="D170" s="139" t="s">
        <v>183</v>
      </c>
      <c r="E170" s="139">
        <v>1</v>
      </c>
      <c r="F170" s="139" t="s">
        <v>184</v>
      </c>
      <c r="G170" s="139" t="s">
        <v>372</v>
      </c>
      <c r="H170" s="138"/>
      <c r="I170" s="144"/>
      <c r="J170" s="139" t="s">
        <v>2511</v>
      </c>
      <c r="K170" s="176" t="s">
        <v>2532</v>
      </c>
      <c r="L170" s="139"/>
      <c r="M170" s="139"/>
      <c r="N170" s="141"/>
      <c r="O170" s="140"/>
      <c r="P170" s="140"/>
      <c r="Q170" s="140"/>
      <c r="R170" s="140"/>
      <c r="S170" s="140"/>
    </row>
    <row r="171" spans="1:19">
      <c r="A171" s="15"/>
      <c r="B171" s="15"/>
      <c r="C171" s="16"/>
      <c r="D171" s="15"/>
      <c r="E171" s="15"/>
      <c r="F171" s="15"/>
      <c r="G171" s="15"/>
      <c r="H171" s="15"/>
      <c r="I171" s="15"/>
      <c r="J171" s="15"/>
      <c r="K171" s="15"/>
      <c r="L171" s="15"/>
      <c r="M171" s="15"/>
      <c r="N171" s="177"/>
      <c r="O171" s="15"/>
      <c r="P171" s="15"/>
      <c r="Q171" s="15"/>
      <c r="R171" s="15"/>
      <c r="S171" s="15"/>
    </row>
    <row r="172" spans="1:19">
      <c r="A172" s="15"/>
      <c r="B172" s="15"/>
      <c r="C172" s="16"/>
      <c r="D172" s="15"/>
      <c r="E172" s="15"/>
      <c r="F172" s="15"/>
      <c r="G172" s="15"/>
      <c r="H172" s="15"/>
      <c r="I172" s="15"/>
      <c r="J172" s="15"/>
      <c r="K172" s="15"/>
      <c r="L172" s="15"/>
      <c r="M172" s="15"/>
      <c r="N172" s="177"/>
      <c r="O172" s="15"/>
      <c r="P172" s="15"/>
      <c r="Q172" s="15"/>
      <c r="R172" s="15"/>
      <c r="S172" s="1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AFF3B-BD4E-40B4-9884-2E0DC6FF0FBE}">
  <dimension ref="A2:Z38"/>
  <sheetViews>
    <sheetView workbookViewId="0">
      <selection activeCell="G31" sqref="G31"/>
    </sheetView>
  </sheetViews>
  <sheetFormatPr defaultRowHeight="15"/>
  <cols>
    <col min="3" max="3" width="17.28515625" customWidth="1"/>
    <col min="4" max="4" width="4.42578125" customWidth="1"/>
    <col min="5" max="5" width="13.5703125" customWidth="1"/>
    <col min="7" max="7" width="22" bestFit="1" customWidth="1"/>
    <col min="12" max="12" width="24.28515625" customWidth="1"/>
    <col min="13" max="13" width="18" customWidth="1"/>
  </cols>
  <sheetData>
    <row r="2" spans="1:26">
      <c r="E2" t="s">
        <v>2988</v>
      </c>
    </row>
    <row r="5" spans="1:26">
      <c r="A5" s="195"/>
      <c r="B5" s="195"/>
      <c r="C5" s="195"/>
      <c r="D5" s="195"/>
      <c r="E5" s="195"/>
      <c r="F5" s="195"/>
      <c r="G5" s="195"/>
      <c r="H5" s="195"/>
      <c r="I5" s="195"/>
      <c r="J5" s="195"/>
      <c r="K5" s="195"/>
      <c r="L5" s="195"/>
      <c r="M5" s="195"/>
      <c r="N5" s="195"/>
      <c r="O5" s="195"/>
      <c r="P5" s="195"/>
      <c r="Q5" s="195"/>
      <c r="R5" s="195"/>
      <c r="S5" s="195"/>
      <c r="T5" s="195"/>
      <c r="U5" s="195"/>
      <c r="V5" s="195"/>
      <c r="W5" s="195"/>
      <c r="X5" s="195"/>
      <c r="Y5" s="195"/>
      <c r="Z5" s="195"/>
    </row>
    <row r="6" spans="1:26" ht="15.75">
      <c r="A6" s="195"/>
      <c r="B6" s="195"/>
      <c r="C6" s="196" t="s">
        <v>2823</v>
      </c>
      <c r="D6" s="195"/>
      <c r="E6" s="195"/>
      <c r="F6" s="195"/>
      <c r="G6" s="197" t="s">
        <v>2824</v>
      </c>
      <c r="H6" s="286" t="s">
        <v>2825</v>
      </c>
      <c r="I6" s="287"/>
      <c r="J6" s="195"/>
      <c r="K6" s="195"/>
      <c r="L6" s="195"/>
      <c r="M6" s="195"/>
      <c r="N6" s="195"/>
      <c r="O6" s="195"/>
      <c r="P6" s="195"/>
      <c r="Q6" s="195"/>
      <c r="R6" s="195"/>
      <c r="S6" s="195"/>
      <c r="T6" s="195"/>
      <c r="U6" s="195"/>
      <c r="V6" s="195"/>
      <c r="W6" s="195"/>
      <c r="X6" s="195"/>
      <c r="Y6" s="195"/>
      <c r="Z6" s="195"/>
    </row>
    <row r="7" spans="1:26">
      <c r="A7" s="195"/>
      <c r="B7" s="195"/>
      <c r="C7" s="195"/>
      <c r="D7" s="195"/>
      <c r="E7" s="195"/>
      <c r="F7" s="195"/>
      <c r="G7" s="195"/>
      <c r="H7" s="195"/>
      <c r="I7" s="195"/>
      <c r="J7" s="195"/>
      <c r="K7" s="195"/>
      <c r="L7" s="195"/>
      <c r="M7" s="195"/>
      <c r="N7" s="195"/>
      <c r="O7" s="195"/>
      <c r="P7" s="195"/>
      <c r="Q7" s="195"/>
      <c r="R7" s="195"/>
      <c r="S7" s="195"/>
      <c r="T7" s="195"/>
      <c r="U7" s="195"/>
      <c r="V7" s="195"/>
      <c r="W7" s="195"/>
      <c r="X7" s="195"/>
      <c r="Y7" s="195"/>
      <c r="Z7" s="195"/>
    </row>
    <row r="8" spans="1:26">
      <c r="A8" s="195"/>
      <c r="B8" s="195"/>
      <c r="C8" s="195"/>
      <c r="D8" s="195"/>
      <c r="E8" s="198"/>
      <c r="F8" s="195"/>
      <c r="G8" s="197" t="s">
        <v>2826</v>
      </c>
      <c r="H8" s="195"/>
      <c r="I8" s="195"/>
      <c r="J8" s="195"/>
      <c r="K8" s="195"/>
      <c r="L8" s="195"/>
      <c r="M8" s="195"/>
      <c r="N8" s="195"/>
      <c r="O8" s="195"/>
      <c r="P8" s="195"/>
      <c r="Q8" s="195"/>
      <c r="R8" s="195"/>
      <c r="S8" s="195"/>
      <c r="T8" s="195"/>
      <c r="U8" s="195"/>
      <c r="V8" s="195"/>
      <c r="W8" s="195"/>
      <c r="X8" s="195"/>
      <c r="Y8" s="195"/>
      <c r="Z8" s="195"/>
    </row>
    <row r="9" spans="1:26">
      <c r="A9" s="195"/>
      <c r="B9" s="195"/>
      <c r="C9" s="195"/>
      <c r="D9" s="195"/>
      <c r="E9" s="198"/>
      <c r="F9" s="195"/>
      <c r="G9" s="199" t="str">
        <f>"["&amp;_xlfn.TEXTJOIN(",",TRUE, $G$12:$G$1006)&amp;"]"</f>
        <v>[1,4,7,10,13,16,19,22,25,28,31,34,37]</v>
      </c>
      <c r="H9" s="199" t="str">
        <f>"["&amp;_xlfn.TEXTJOIN(",",TRUE, $G$12:$G$1006)&amp;"]"</f>
        <v>[1,4,7,10,13,16,19,22,25,28,31,34,37]</v>
      </c>
      <c r="I9" s="199" t="str">
        <f>"["&amp;_xlfn.TEXTJOIN(",",TRUE, $G$12:$G$1006)&amp;"]"</f>
        <v>[1,4,7,10,13,16,19,22,25,28,31,34,37]</v>
      </c>
      <c r="J9" s="199" t="str">
        <f>"["&amp;_xlfn.TEXTJOIN(",",TRUE, $G$12:$G$1006)&amp;"]"</f>
        <v>[1,4,7,10,13,16,19,22,25,28,31,34,37]</v>
      </c>
      <c r="K9" s="195"/>
      <c r="L9" s="195"/>
      <c r="M9" s="195"/>
      <c r="N9" s="195"/>
      <c r="O9" s="195"/>
      <c r="P9" s="195"/>
      <c r="Q9" s="195"/>
      <c r="R9" s="195"/>
      <c r="S9" s="195"/>
      <c r="T9" s="195"/>
      <c r="U9" s="195"/>
      <c r="V9" s="195"/>
      <c r="W9" s="195"/>
      <c r="X9" s="195"/>
      <c r="Y9" s="195"/>
      <c r="Z9" s="195"/>
    </row>
    <row r="10" spans="1:26">
      <c r="A10" s="195"/>
      <c r="B10" s="195"/>
      <c r="C10" s="195"/>
      <c r="D10" s="195"/>
      <c r="E10" s="198"/>
      <c r="F10" s="195"/>
      <c r="G10" s="195"/>
      <c r="H10" s="195"/>
      <c r="I10" s="195"/>
      <c r="J10" s="195"/>
      <c r="K10" s="195"/>
      <c r="L10" s="195"/>
      <c r="M10" s="195"/>
      <c r="N10" s="195"/>
      <c r="O10" s="195"/>
      <c r="P10" s="195"/>
      <c r="Q10" s="195"/>
      <c r="R10" s="195"/>
      <c r="S10" s="195"/>
      <c r="T10" s="195"/>
      <c r="U10" s="195"/>
      <c r="V10" s="195"/>
      <c r="W10" s="195"/>
      <c r="X10" s="195"/>
      <c r="Y10" s="195"/>
      <c r="Z10" s="195"/>
    </row>
    <row r="11" spans="1:26">
      <c r="A11" s="195"/>
      <c r="B11" s="195"/>
      <c r="C11" s="196" t="s">
        <v>2827</v>
      </c>
      <c r="D11" s="195"/>
      <c r="E11" s="200" t="s">
        <v>2828</v>
      </c>
      <c r="F11" s="195"/>
      <c r="G11" s="197" t="s">
        <v>2829</v>
      </c>
      <c r="H11" s="197" t="s">
        <v>73</v>
      </c>
      <c r="I11" s="197" t="s">
        <v>2830</v>
      </c>
      <c r="J11" s="197" t="s">
        <v>2831</v>
      </c>
      <c r="K11" s="195"/>
      <c r="L11" s="200" t="s">
        <v>2828</v>
      </c>
      <c r="M11" s="195"/>
      <c r="N11" s="195"/>
      <c r="O11" s="195"/>
      <c r="P11" s="195"/>
      <c r="Q11" s="195"/>
      <c r="R11" s="195"/>
      <c r="S11" s="195"/>
      <c r="T11" s="195"/>
      <c r="U11" s="195"/>
      <c r="V11" s="195"/>
      <c r="W11" s="195"/>
      <c r="X11" s="195"/>
      <c r="Y11" s="195"/>
      <c r="Z11" s="195"/>
    </row>
    <row r="12" spans="1:26">
      <c r="A12" s="195"/>
      <c r="B12" s="195"/>
      <c r="C12" s="201">
        <v>10</v>
      </c>
      <c r="D12" s="195"/>
      <c r="E12" s="202" t="str">
        <f>"["&amp;_xlfn.TEXTJOIN(",",TRUE, $C$12:$C$1006)&amp;"]"</f>
        <v>[10,14,16,39,75,51,15,15,4,5,6,7,4,4]</v>
      </c>
      <c r="F12" s="195"/>
      <c r="G12" s="203">
        <v>1</v>
      </c>
      <c r="H12" s="203">
        <v>2</v>
      </c>
      <c r="I12" s="203">
        <v>3</v>
      </c>
      <c r="J12" s="203">
        <v>4</v>
      </c>
      <c r="K12" s="195"/>
      <c r="L12" s="204" t="str">
        <f>"["&amp;_xlfn.TEXTJOIN(",",TRUE, $G$9:$J$9)&amp;"]"</f>
        <v>[[1,4,7,10,13,16,19,22,25,28,31,34,37],[1,4,7,10,13,16,19,22,25,28,31,34,37],[1,4,7,10,13,16,19,22,25,28,31,34,37],[1,4,7,10,13,16,19,22,25,28,31,34,37]]</v>
      </c>
      <c r="M12" s="195"/>
      <c r="N12" s="195"/>
      <c r="O12" s="195"/>
      <c r="P12" s="195"/>
      <c r="Q12" s="195"/>
      <c r="R12" s="195"/>
      <c r="S12" s="195"/>
      <c r="T12" s="195"/>
      <c r="U12" s="195"/>
      <c r="V12" s="195"/>
      <c r="W12" s="195"/>
      <c r="X12" s="195"/>
      <c r="Y12" s="195"/>
      <c r="Z12" s="195"/>
    </row>
    <row r="13" spans="1:26">
      <c r="A13" s="195"/>
      <c r="B13" s="195"/>
      <c r="C13" s="201">
        <v>14</v>
      </c>
      <c r="D13" s="195"/>
      <c r="F13" s="195"/>
      <c r="G13" s="203">
        <f t="shared" ref="G13:J24" si="0">G12+3</f>
        <v>4</v>
      </c>
      <c r="H13" s="203">
        <f t="shared" si="0"/>
        <v>5</v>
      </c>
      <c r="I13" s="203">
        <f t="shared" si="0"/>
        <v>6</v>
      </c>
      <c r="J13" s="203">
        <f t="shared" si="0"/>
        <v>7</v>
      </c>
      <c r="K13" s="195"/>
      <c r="L13" s="195"/>
      <c r="M13" s="195"/>
      <c r="N13" s="195"/>
      <c r="O13" s="195"/>
      <c r="P13" s="195"/>
      <c r="Q13" s="195"/>
      <c r="R13" s="195"/>
      <c r="S13" s="195"/>
      <c r="T13" s="195"/>
      <c r="U13" s="195"/>
      <c r="V13" s="195"/>
      <c r="W13" s="195"/>
      <c r="X13" s="195"/>
      <c r="Y13" s="195"/>
      <c r="Z13" s="195"/>
    </row>
    <row r="14" spans="1:26">
      <c r="A14" s="195"/>
      <c r="B14" s="195"/>
      <c r="C14" s="201">
        <v>16</v>
      </c>
      <c r="D14" s="195"/>
      <c r="E14" s="195"/>
      <c r="F14" s="195"/>
      <c r="G14" s="203">
        <f t="shared" si="0"/>
        <v>7</v>
      </c>
      <c r="H14" s="203">
        <f t="shared" si="0"/>
        <v>8</v>
      </c>
      <c r="I14" s="203">
        <f t="shared" si="0"/>
        <v>9</v>
      </c>
      <c r="J14" s="203">
        <f t="shared" si="0"/>
        <v>10</v>
      </c>
      <c r="K14" s="195"/>
      <c r="L14" s="195"/>
      <c r="M14" s="195"/>
      <c r="N14" s="195"/>
      <c r="O14" s="195"/>
      <c r="P14" s="195"/>
      <c r="Q14" s="195"/>
      <c r="R14" s="195"/>
      <c r="S14" s="195"/>
      <c r="T14" s="195"/>
      <c r="U14" s="195"/>
      <c r="V14" s="195"/>
      <c r="W14" s="195"/>
      <c r="X14" s="195"/>
      <c r="Y14" s="195"/>
      <c r="Z14" s="195"/>
    </row>
    <row r="15" spans="1:26">
      <c r="A15" s="195"/>
      <c r="B15" s="195"/>
      <c r="C15" s="201">
        <v>39</v>
      </c>
      <c r="D15" s="195"/>
      <c r="E15" s="195"/>
      <c r="F15" s="195"/>
      <c r="G15" s="203">
        <f t="shared" si="0"/>
        <v>10</v>
      </c>
      <c r="H15" s="203">
        <f t="shared" si="0"/>
        <v>11</v>
      </c>
      <c r="I15" s="203">
        <f t="shared" si="0"/>
        <v>12</v>
      </c>
      <c r="J15" s="203">
        <f t="shared" si="0"/>
        <v>13</v>
      </c>
      <c r="K15" s="195"/>
      <c r="L15" s="195"/>
      <c r="M15" s="195"/>
      <c r="N15" s="195"/>
      <c r="O15" s="195"/>
      <c r="P15" s="195"/>
      <c r="Q15" s="195"/>
      <c r="R15" s="195"/>
      <c r="S15" s="195"/>
      <c r="T15" s="195"/>
      <c r="U15" s="195"/>
      <c r="V15" s="195"/>
      <c r="W15" s="195"/>
      <c r="X15" s="195"/>
      <c r="Y15" s="195"/>
      <c r="Z15" s="195"/>
    </row>
    <row r="16" spans="1:26">
      <c r="A16" s="195"/>
      <c r="B16" s="195"/>
      <c r="C16" s="201">
        <v>75</v>
      </c>
      <c r="D16" s="195"/>
      <c r="E16" s="195"/>
      <c r="F16" s="195"/>
      <c r="G16" s="203">
        <f t="shared" si="0"/>
        <v>13</v>
      </c>
      <c r="H16" s="203">
        <f t="shared" si="0"/>
        <v>14</v>
      </c>
      <c r="I16" s="203">
        <f t="shared" si="0"/>
        <v>15</v>
      </c>
      <c r="J16" s="203">
        <f t="shared" si="0"/>
        <v>16</v>
      </c>
      <c r="K16" s="195"/>
      <c r="L16" s="195"/>
      <c r="M16" s="195"/>
      <c r="N16" s="195"/>
      <c r="O16" s="195"/>
      <c r="P16" s="195"/>
      <c r="Q16" s="195"/>
      <c r="R16" s="195"/>
      <c r="S16" s="195"/>
      <c r="T16" s="195"/>
      <c r="U16" s="195"/>
      <c r="V16" s="195"/>
      <c r="W16" s="195"/>
      <c r="X16" s="195"/>
      <c r="Y16" s="195"/>
      <c r="Z16" s="195"/>
    </row>
    <row r="17" spans="1:26">
      <c r="A17" s="195"/>
      <c r="B17" s="195"/>
      <c r="C17" s="205">
        <v>51</v>
      </c>
      <c r="D17" s="195"/>
      <c r="E17" s="195"/>
      <c r="F17" s="195"/>
      <c r="G17" s="203">
        <f t="shared" si="0"/>
        <v>16</v>
      </c>
      <c r="H17" s="203">
        <f t="shared" si="0"/>
        <v>17</v>
      </c>
      <c r="I17" s="203">
        <f t="shared" si="0"/>
        <v>18</v>
      </c>
      <c r="J17" s="203">
        <f t="shared" si="0"/>
        <v>19</v>
      </c>
      <c r="K17" s="195"/>
      <c r="L17" s="195"/>
      <c r="M17" s="195"/>
      <c r="N17" s="195"/>
      <c r="O17" s="195"/>
      <c r="P17" s="195"/>
      <c r="Q17" s="195"/>
      <c r="R17" s="195"/>
      <c r="S17" s="195"/>
      <c r="T17" s="195"/>
      <c r="U17" s="195"/>
      <c r="V17" s="195"/>
      <c r="W17" s="195"/>
      <c r="X17" s="195"/>
      <c r="Y17" s="195"/>
      <c r="Z17" s="195"/>
    </row>
    <row r="18" spans="1:26">
      <c r="A18" s="195"/>
      <c r="B18" s="195"/>
      <c r="C18" s="205">
        <v>15</v>
      </c>
      <c r="D18" s="195"/>
      <c r="E18" s="195"/>
      <c r="F18" s="195"/>
      <c r="G18" s="203">
        <f t="shared" si="0"/>
        <v>19</v>
      </c>
      <c r="H18" s="203">
        <f t="shared" si="0"/>
        <v>20</v>
      </c>
      <c r="I18" s="203">
        <f t="shared" si="0"/>
        <v>21</v>
      </c>
      <c r="J18" s="203">
        <f t="shared" si="0"/>
        <v>22</v>
      </c>
      <c r="K18" s="195"/>
      <c r="L18" s="195"/>
      <c r="M18" s="195"/>
      <c r="N18" s="195"/>
      <c r="O18" s="195"/>
      <c r="P18" s="195"/>
      <c r="Q18" s="195"/>
      <c r="R18" s="195"/>
      <c r="S18" s="195"/>
      <c r="T18" s="195"/>
      <c r="U18" s="195"/>
      <c r="V18" s="195"/>
      <c r="W18" s="195"/>
      <c r="X18" s="195"/>
      <c r="Y18" s="195"/>
      <c r="Z18" s="195"/>
    </row>
    <row r="19" spans="1:26">
      <c r="A19" s="195"/>
      <c r="B19" s="195"/>
      <c r="C19" s="205">
        <v>15</v>
      </c>
      <c r="D19" s="195"/>
      <c r="E19" s="195"/>
      <c r="F19" s="195"/>
      <c r="G19" s="203">
        <f t="shared" si="0"/>
        <v>22</v>
      </c>
      <c r="H19" s="203">
        <f t="shared" si="0"/>
        <v>23</v>
      </c>
      <c r="I19" s="203">
        <f t="shared" si="0"/>
        <v>24</v>
      </c>
      <c r="J19" s="203">
        <f t="shared" si="0"/>
        <v>25</v>
      </c>
      <c r="K19" s="195"/>
      <c r="L19" s="195"/>
      <c r="M19" s="195"/>
      <c r="N19" s="195"/>
      <c r="O19" s="195"/>
      <c r="P19" s="195"/>
      <c r="Q19" s="195"/>
      <c r="R19" s="195"/>
      <c r="S19" s="195"/>
      <c r="T19" s="195"/>
      <c r="U19" s="195"/>
      <c r="V19" s="195"/>
      <c r="W19" s="195"/>
      <c r="X19" s="195"/>
      <c r="Y19" s="195"/>
      <c r="Z19" s="195"/>
    </row>
    <row r="20" spans="1:26">
      <c r="A20" s="195"/>
      <c r="B20" s="195"/>
      <c r="C20" s="205">
        <v>4</v>
      </c>
      <c r="D20" s="195"/>
      <c r="E20" s="195"/>
      <c r="F20" s="195"/>
      <c r="G20" s="203">
        <f t="shared" si="0"/>
        <v>25</v>
      </c>
      <c r="H20" s="203">
        <f t="shared" si="0"/>
        <v>26</v>
      </c>
      <c r="I20" s="203">
        <f t="shared" si="0"/>
        <v>27</v>
      </c>
      <c r="J20" s="203">
        <f t="shared" si="0"/>
        <v>28</v>
      </c>
      <c r="K20" s="195"/>
      <c r="L20" s="195"/>
      <c r="M20" s="195"/>
      <c r="N20" s="195"/>
      <c r="O20" s="195"/>
      <c r="P20" s="195"/>
      <c r="Q20" s="195"/>
      <c r="R20" s="195"/>
      <c r="S20" s="195"/>
      <c r="T20" s="195"/>
      <c r="U20" s="195"/>
      <c r="V20" s="195"/>
      <c r="W20" s="195"/>
      <c r="X20" s="195"/>
      <c r="Y20" s="195"/>
      <c r="Z20" s="195"/>
    </row>
    <row r="21" spans="1:26">
      <c r="A21" s="195"/>
      <c r="B21" s="195"/>
      <c r="C21" s="205">
        <v>5</v>
      </c>
      <c r="D21" s="195"/>
      <c r="E21" s="195"/>
      <c r="F21" s="195"/>
      <c r="G21" s="203">
        <f t="shared" si="0"/>
        <v>28</v>
      </c>
      <c r="H21" s="203">
        <f t="shared" si="0"/>
        <v>29</v>
      </c>
      <c r="I21" s="203">
        <f t="shared" si="0"/>
        <v>30</v>
      </c>
      <c r="J21" s="203">
        <f t="shared" si="0"/>
        <v>31</v>
      </c>
      <c r="K21" s="195"/>
      <c r="L21" s="195"/>
      <c r="M21" s="195"/>
      <c r="N21" s="195"/>
      <c r="O21" s="195"/>
      <c r="P21" s="195"/>
      <c r="Q21" s="195"/>
      <c r="R21" s="195"/>
      <c r="S21" s="195"/>
      <c r="T21" s="195"/>
      <c r="U21" s="195"/>
      <c r="V21" s="195"/>
      <c r="W21" s="195"/>
      <c r="X21" s="195"/>
      <c r="Y21" s="195"/>
      <c r="Z21" s="195"/>
    </row>
    <row r="22" spans="1:26">
      <c r="A22" s="195"/>
      <c r="B22" s="195"/>
      <c r="C22" s="205">
        <v>6</v>
      </c>
      <c r="D22" s="195"/>
      <c r="E22" s="195"/>
      <c r="F22" s="195"/>
      <c r="G22" s="203">
        <f t="shared" si="0"/>
        <v>31</v>
      </c>
      <c r="H22" s="203">
        <f t="shared" si="0"/>
        <v>32</v>
      </c>
      <c r="I22" s="203">
        <f t="shared" si="0"/>
        <v>33</v>
      </c>
      <c r="J22" s="203">
        <f t="shared" si="0"/>
        <v>34</v>
      </c>
      <c r="K22" s="195"/>
      <c r="L22" s="195"/>
      <c r="M22" s="195"/>
      <c r="N22" s="195"/>
      <c r="O22" s="195"/>
      <c r="P22" s="195"/>
      <c r="Q22" s="195"/>
      <c r="R22" s="195"/>
      <c r="S22" s="195"/>
      <c r="T22" s="195"/>
      <c r="U22" s="195"/>
      <c r="V22" s="195"/>
      <c r="W22" s="195"/>
      <c r="X22" s="195"/>
      <c r="Y22" s="195"/>
      <c r="Z22" s="195"/>
    </row>
    <row r="23" spans="1:26">
      <c r="A23" s="195"/>
      <c r="B23" s="195"/>
      <c r="C23" s="195">
        <v>7</v>
      </c>
      <c r="D23" s="195"/>
      <c r="E23" s="195"/>
      <c r="F23" s="195"/>
      <c r="G23" s="203">
        <f t="shared" si="0"/>
        <v>34</v>
      </c>
      <c r="H23" s="203">
        <f t="shared" si="0"/>
        <v>35</v>
      </c>
      <c r="I23" s="203">
        <f t="shared" si="0"/>
        <v>36</v>
      </c>
      <c r="J23" s="203">
        <f t="shared" si="0"/>
        <v>37</v>
      </c>
      <c r="K23" s="195"/>
      <c r="L23" s="195"/>
      <c r="M23" s="195"/>
      <c r="N23" s="195"/>
      <c r="O23" s="195"/>
      <c r="P23" s="195"/>
      <c r="Q23" s="195"/>
      <c r="R23" s="195"/>
      <c r="S23" s="195"/>
      <c r="T23" s="195"/>
      <c r="U23" s="195"/>
      <c r="V23" s="195"/>
      <c r="W23" s="195"/>
      <c r="X23" s="195"/>
      <c r="Y23" s="195"/>
      <c r="Z23" s="195"/>
    </row>
    <row r="24" spans="1:26">
      <c r="A24" s="195"/>
      <c r="B24" s="195"/>
      <c r="C24" s="195">
        <v>4</v>
      </c>
      <c r="D24" s="195"/>
      <c r="E24" s="195"/>
      <c r="F24" s="195"/>
      <c r="G24" s="203">
        <f t="shared" si="0"/>
        <v>37</v>
      </c>
      <c r="H24" s="203">
        <f t="shared" si="0"/>
        <v>38</v>
      </c>
      <c r="I24" s="203">
        <f t="shared" si="0"/>
        <v>39</v>
      </c>
      <c r="J24" s="203">
        <f t="shared" si="0"/>
        <v>40</v>
      </c>
      <c r="K24" s="195"/>
      <c r="L24" s="195"/>
      <c r="M24" s="195"/>
      <c r="N24" s="195"/>
      <c r="O24" s="195"/>
      <c r="P24" s="195"/>
      <c r="Q24" s="195"/>
      <c r="R24" s="195"/>
      <c r="S24" s="195"/>
      <c r="T24" s="195"/>
      <c r="U24" s="195"/>
      <c r="V24" s="195"/>
      <c r="W24" s="195"/>
      <c r="X24" s="195"/>
      <c r="Y24" s="195"/>
      <c r="Z24" s="195"/>
    </row>
    <row r="25" spans="1:26">
      <c r="A25" s="195"/>
      <c r="B25" s="195"/>
      <c r="C25" s="195">
        <v>4</v>
      </c>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spans="1:26">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row>
    <row r="27" spans="1:26">
      <c r="A27" s="195"/>
      <c r="B27" s="195"/>
      <c r="C27" s="195"/>
      <c r="D27" s="195"/>
      <c r="Z27" s="195"/>
    </row>
    <row r="28" spans="1:26" ht="15.75">
      <c r="A28" s="195"/>
      <c r="B28" s="195"/>
      <c r="C28" s="195"/>
      <c r="D28" s="195"/>
      <c r="H28" s="206" t="s">
        <v>2832</v>
      </c>
      <c r="I28" s="206"/>
      <c r="K28" t="s">
        <v>2833</v>
      </c>
      <c r="Z28" s="195"/>
    </row>
    <row r="29" spans="1:26" ht="15.75">
      <c r="A29" s="195"/>
      <c r="B29" s="195"/>
      <c r="C29" s="195"/>
      <c r="D29" s="195"/>
      <c r="H29" s="206" t="s">
        <v>2834</v>
      </c>
      <c r="I29" s="206">
        <v>2019</v>
      </c>
      <c r="K29">
        <v>100</v>
      </c>
      <c r="Z29" s="195"/>
    </row>
    <row r="30" spans="1:26" ht="15.75">
      <c r="A30" s="195"/>
      <c r="B30" s="195"/>
      <c r="C30" s="195"/>
      <c r="D30" s="195"/>
      <c r="H30" s="206" t="s">
        <v>2835</v>
      </c>
      <c r="I30" s="206">
        <v>2025</v>
      </c>
      <c r="K30">
        <v>200</v>
      </c>
      <c r="N30" s="207" t="s">
        <v>2836</v>
      </c>
      <c r="Z30" s="195"/>
    </row>
    <row r="31" spans="1:26">
      <c r="A31" s="195"/>
      <c r="B31" s="195"/>
      <c r="C31" s="195"/>
      <c r="D31" s="195"/>
      <c r="Z31" s="195"/>
    </row>
    <row r="32" spans="1:26">
      <c r="A32" s="195"/>
      <c r="B32" s="195"/>
      <c r="C32" s="195"/>
      <c r="D32" s="195"/>
      <c r="N32" s="207" t="s">
        <v>2837</v>
      </c>
      <c r="Z32" s="195"/>
    </row>
    <row r="33" spans="1:26">
      <c r="A33" s="195"/>
      <c r="B33" s="195"/>
      <c r="C33" s="195"/>
      <c r="D33" s="195"/>
      <c r="Z33" s="195"/>
    </row>
    <row r="34" spans="1:26">
      <c r="A34" s="195"/>
      <c r="B34" s="195"/>
      <c r="C34" s="195"/>
      <c r="D34" s="195"/>
      <c r="Z34" s="195"/>
    </row>
    <row r="35" spans="1:26">
      <c r="A35" s="195"/>
      <c r="B35" s="195"/>
      <c r="C35" s="195"/>
      <c r="D35" s="195"/>
      <c r="Z35" s="195"/>
    </row>
    <row r="36" spans="1:26">
      <c r="A36" s="195"/>
      <c r="B36" s="195"/>
      <c r="C36" s="195"/>
      <c r="D36" s="195"/>
      <c r="Z36" s="195"/>
    </row>
    <row r="37" spans="1:26">
      <c r="A37" s="195"/>
      <c r="B37" s="195"/>
      <c r="C37" s="195"/>
      <c r="D37" s="195"/>
      <c r="Z37" s="195"/>
    </row>
    <row r="38" spans="1:26">
      <c r="A38" s="195"/>
      <c r="B38" s="195"/>
      <c r="C38" s="195"/>
      <c r="D38" s="195"/>
      <c r="Z38" s="195"/>
    </row>
  </sheetData>
  <mergeCells count="1">
    <mergeCell ref="H6:I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9D74C-4FA2-46DC-8107-6CA229855463}">
  <sheetPr>
    <tabColor theme="9"/>
  </sheetPr>
  <dimension ref="B2:O52"/>
  <sheetViews>
    <sheetView workbookViewId="0">
      <selection activeCell="H8" sqref="C8:H24"/>
    </sheetView>
  </sheetViews>
  <sheetFormatPr defaultColWidth="9.28515625" defaultRowHeight="15"/>
  <cols>
    <col min="2" max="2" width="6.28515625" customWidth="1"/>
    <col min="3" max="8" width="17.28515625" customWidth="1"/>
    <col min="9" max="9" width="6.28515625" customWidth="1"/>
  </cols>
  <sheetData>
    <row r="2" spans="2:9" ht="18">
      <c r="B2" s="226" t="s">
        <v>0</v>
      </c>
      <c r="C2" s="227"/>
      <c r="D2" s="116"/>
      <c r="E2" s="116"/>
      <c r="F2" s="116"/>
      <c r="G2" s="116"/>
      <c r="H2" s="116"/>
      <c r="I2" s="117"/>
    </row>
    <row r="3" spans="2:9" ht="18">
      <c r="B3" s="228" t="s">
        <v>1</v>
      </c>
      <c r="C3" s="229"/>
      <c r="D3" s="118"/>
      <c r="E3" s="118"/>
      <c r="F3" s="118"/>
      <c r="G3" s="118"/>
      <c r="H3" s="119"/>
      <c r="I3" s="120"/>
    </row>
    <row r="4" spans="2:9" ht="18">
      <c r="B4" s="230" t="s">
        <v>2</v>
      </c>
      <c r="C4" s="231"/>
      <c r="D4" s="121"/>
      <c r="E4" s="121"/>
      <c r="F4" s="121"/>
      <c r="G4" s="121"/>
      <c r="H4" s="122"/>
      <c r="I4" s="123"/>
    </row>
    <row r="5" spans="2:9" ht="18.75">
      <c r="B5" s="233" t="s">
        <v>3</v>
      </c>
      <c r="C5" s="232"/>
      <c r="D5" s="125"/>
      <c r="E5" s="125"/>
      <c r="F5" s="125"/>
      <c r="G5" s="125"/>
      <c r="H5" s="124"/>
      <c r="I5" s="126"/>
    </row>
    <row r="6" spans="2:9" ht="15.75" thickBot="1">
      <c r="B6" s="6"/>
      <c r="I6" s="5"/>
    </row>
    <row r="7" spans="2:9" ht="45">
      <c r="B7" s="6"/>
      <c r="C7" s="10" t="s">
        <v>4</v>
      </c>
      <c r="D7" s="11" t="s">
        <v>5</v>
      </c>
      <c r="E7" s="11" t="s">
        <v>6</v>
      </c>
      <c r="F7" s="11" t="s">
        <v>7</v>
      </c>
      <c r="G7" s="11" t="s">
        <v>8</v>
      </c>
      <c r="H7" s="12" t="s">
        <v>9</v>
      </c>
      <c r="I7" s="5"/>
    </row>
    <row r="8" spans="2:9" ht="30">
      <c r="B8" s="6"/>
      <c r="C8" s="238" t="s">
        <v>10</v>
      </c>
      <c r="D8" s="239" t="s">
        <v>10</v>
      </c>
      <c r="E8" s="239" t="s">
        <v>11</v>
      </c>
      <c r="F8" s="239" t="s">
        <v>12</v>
      </c>
      <c r="G8" s="239" t="s">
        <v>13</v>
      </c>
      <c r="H8" s="240" t="s">
        <v>14</v>
      </c>
      <c r="I8" s="5"/>
    </row>
    <row r="9" spans="2:9" ht="30">
      <c r="B9" s="6"/>
      <c r="C9" s="238" t="s">
        <v>15</v>
      </c>
      <c r="D9" s="239" t="s">
        <v>16</v>
      </c>
      <c r="E9" s="239" t="s">
        <v>17</v>
      </c>
      <c r="F9" s="239" t="s">
        <v>18</v>
      </c>
      <c r="G9" s="239" t="s">
        <v>19</v>
      </c>
      <c r="H9" s="240" t="s">
        <v>20</v>
      </c>
      <c r="I9" s="5"/>
    </row>
    <row r="10" spans="2:9" ht="30">
      <c r="B10" s="6"/>
      <c r="C10" s="238" t="s">
        <v>21</v>
      </c>
      <c r="D10" s="239" t="s">
        <v>21</v>
      </c>
      <c r="E10" s="239" t="s">
        <v>21</v>
      </c>
      <c r="F10" s="239" t="s">
        <v>22</v>
      </c>
      <c r="G10" s="239" t="s">
        <v>23</v>
      </c>
      <c r="H10" s="240" t="s">
        <v>24</v>
      </c>
      <c r="I10" s="5"/>
    </row>
    <row r="11" spans="2:9" ht="78" customHeight="1">
      <c r="B11" s="6"/>
      <c r="C11" s="238" t="s">
        <v>25</v>
      </c>
      <c r="D11" s="239" t="s">
        <v>25</v>
      </c>
      <c r="E11" s="239" t="s">
        <v>26</v>
      </c>
      <c r="F11" s="239" t="s">
        <v>27</v>
      </c>
      <c r="G11" s="239"/>
      <c r="H11" s="240" t="s">
        <v>28</v>
      </c>
      <c r="I11" s="5"/>
    </row>
    <row r="12" spans="2:9" ht="64.150000000000006" customHeight="1">
      <c r="B12" s="6"/>
      <c r="C12" s="288" t="s">
        <v>29</v>
      </c>
      <c r="D12" s="239" t="s">
        <v>30</v>
      </c>
      <c r="E12" s="239" t="s">
        <v>11</v>
      </c>
      <c r="F12" s="239" t="s">
        <v>31</v>
      </c>
      <c r="G12" s="239" t="s">
        <v>19</v>
      </c>
      <c r="H12" s="240" t="s">
        <v>32</v>
      </c>
      <c r="I12" s="5"/>
    </row>
    <row r="13" spans="2:9" ht="38.25" customHeight="1">
      <c r="B13" s="6"/>
      <c r="C13" s="288"/>
      <c r="D13" s="239" t="s">
        <v>29</v>
      </c>
      <c r="E13" s="239" t="s">
        <v>11</v>
      </c>
      <c r="F13" s="239"/>
      <c r="G13" s="239" t="s">
        <v>19</v>
      </c>
      <c r="H13" s="240" t="s">
        <v>33</v>
      </c>
      <c r="I13" s="5"/>
    </row>
    <row r="14" spans="2:9" ht="30">
      <c r="B14" s="6"/>
      <c r="C14" s="238" t="s">
        <v>34</v>
      </c>
      <c r="D14" s="239" t="s">
        <v>35</v>
      </c>
      <c r="E14" s="239" t="s">
        <v>11</v>
      </c>
      <c r="F14" s="239" t="s">
        <v>36</v>
      </c>
      <c r="G14" s="239" t="s">
        <v>19</v>
      </c>
      <c r="H14" s="240" t="s">
        <v>37</v>
      </c>
      <c r="I14" s="5"/>
    </row>
    <row r="15" spans="2:9" ht="60">
      <c r="B15" s="6"/>
      <c r="C15" s="238"/>
      <c r="D15" s="239" t="s">
        <v>38</v>
      </c>
      <c r="E15" s="239" t="s">
        <v>11</v>
      </c>
      <c r="F15" s="239" t="s">
        <v>39</v>
      </c>
      <c r="G15" s="239" t="s">
        <v>40</v>
      </c>
      <c r="H15" s="240" t="s">
        <v>41</v>
      </c>
      <c r="I15" s="5"/>
    </row>
    <row r="16" spans="2:9" ht="90">
      <c r="B16" s="6"/>
      <c r="C16" s="238" t="s">
        <v>42</v>
      </c>
      <c r="D16" s="239" t="s">
        <v>42</v>
      </c>
      <c r="E16" s="239" t="s">
        <v>11</v>
      </c>
      <c r="F16" s="239" t="s">
        <v>43</v>
      </c>
      <c r="G16" s="239" t="s">
        <v>44</v>
      </c>
      <c r="H16" s="240" t="s">
        <v>45</v>
      </c>
      <c r="I16" s="5"/>
    </row>
    <row r="17" spans="2:9" ht="75">
      <c r="B17" s="6"/>
      <c r="C17" s="238" t="s">
        <v>46</v>
      </c>
      <c r="D17" s="239" t="s">
        <v>47</v>
      </c>
      <c r="E17" s="239" t="s">
        <v>11</v>
      </c>
      <c r="F17" s="239" t="s">
        <v>48</v>
      </c>
      <c r="G17" s="239" t="s">
        <v>49</v>
      </c>
      <c r="H17" s="240" t="s">
        <v>50</v>
      </c>
      <c r="I17" s="5"/>
    </row>
    <row r="18" spans="2:9" ht="45">
      <c r="B18" s="6"/>
      <c r="C18" s="238" t="s">
        <v>51</v>
      </c>
      <c r="D18" s="239" t="s">
        <v>51</v>
      </c>
      <c r="E18" s="239" t="s">
        <v>11</v>
      </c>
      <c r="F18" s="239" t="s">
        <v>52</v>
      </c>
      <c r="G18" s="239" t="s">
        <v>53</v>
      </c>
      <c r="H18" s="240" t="s">
        <v>54</v>
      </c>
      <c r="I18" s="5"/>
    </row>
    <row r="19" spans="2:9" ht="30">
      <c r="B19" s="6"/>
      <c r="C19" s="238"/>
      <c r="D19" s="239" t="s">
        <v>55</v>
      </c>
      <c r="E19" s="239" t="s">
        <v>11</v>
      </c>
      <c r="F19" s="239" t="s">
        <v>52</v>
      </c>
      <c r="G19" s="239" t="s">
        <v>53</v>
      </c>
      <c r="H19" s="240" t="s">
        <v>56</v>
      </c>
      <c r="I19" s="5"/>
    </row>
    <row r="20" spans="2:9" ht="30">
      <c r="B20" s="6"/>
      <c r="C20" s="238"/>
      <c r="D20" s="239" t="s">
        <v>57</v>
      </c>
      <c r="E20" s="239" t="s">
        <v>11</v>
      </c>
      <c r="F20" s="239" t="s">
        <v>52</v>
      </c>
      <c r="G20" s="239" t="s">
        <v>53</v>
      </c>
      <c r="H20" s="240" t="s">
        <v>56</v>
      </c>
      <c r="I20" s="5"/>
    </row>
    <row r="21" spans="2:9" ht="30">
      <c r="B21" s="6"/>
      <c r="C21" s="238"/>
      <c r="D21" s="239" t="s">
        <v>58</v>
      </c>
      <c r="E21" s="239" t="s">
        <v>11</v>
      </c>
      <c r="F21" s="239" t="s">
        <v>52</v>
      </c>
      <c r="G21" s="239" t="s">
        <v>53</v>
      </c>
      <c r="H21" s="240" t="s">
        <v>56</v>
      </c>
      <c r="I21" s="5"/>
    </row>
    <row r="22" spans="2:9" ht="60">
      <c r="B22" s="6"/>
      <c r="C22" s="238" t="s">
        <v>59</v>
      </c>
      <c r="D22" s="239" t="s">
        <v>59</v>
      </c>
      <c r="E22" s="239" t="s">
        <v>11</v>
      </c>
      <c r="F22" s="239" t="s">
        <v>60</v>
      </c>
      <c r="G22" s="239" t="s">
        <v>44</v>
      </c>
      <c r="H22" s="240" t="s">
        <v>61</v>
      </c>
      <c r="I22" s="5"/>
    </row>
    <row r="23" spans="2:9" ht="30">
      <c r="B23" s="6"/>
      <c r="C23" s="238" t="s">
        <v>2842</v>
      </c>
      <c r="D23" s="239"/>
      <c r="E23" s="239"/>
      <c r="F23" s="239"/>
      <c r="G23" s="239"/>
      <c r="H23" s="240"/>
      <c r="I23" s="5"/>
    </row>
    <row r="24" spans="2:9" ht="30">
      <c r="B24" s="6"/>
      <c r="C24" s="238" t="s">
        <v>2843</v>
      </c>
      <c r="D24" s="239"/>
      <c r="E24" s="239"/>
      <c r="F24" s="239"/>
      <c r="G24" s="239"/>
      <c r="H24" s="240"/>
      <c r="I24" s="5"/>
    </row>
    <row r="25" spans="2:9">
      <c r="B25" s="6"/>
      <c r="C25" s="8"/>
      <c r="D25" s="7"/>
      <c r="E25" s="7"/>
      <c r="F25" s="7"/>
      <c r="G25" s="7"/>
      <c r="H25" s="9"/>
      <c r="I25" s="5"/>
    </row>
    <row r="28" spans="2:9">
      <c r="C28" s="194" t="s">
        <v>2798</v>
      </c>
      <c r="D28" s="194" t="s">
        <v>2799</v>
      </c>
      <c r="E28" s="194" t="s">
        <v>2800</v>
      </c>
      <c r="F28" s="194" t="s">
        <v>2801</v>
      </c>
      <c r="G28" s="194" t="s">
        <v>2802</v>
      </c>
      <c r="H28" s="194" t="s">
        <v>2803</v>
      </c>
      <c r="I28" s="194" t="s">
        <v>2804</v>
      </c>
    </row>
    <row r="29" spans="2:9">
      <c r="C29" t="s">
        <v>35</v>
      </c>
      <c r="D29" t="s">
        <v>2805</v>
      </c>
      <c r="E29" t="s">
        <v>1303</v>
      </c>
      <c r="F29" t="s">
        <v>1299</v>
      </c>
    </row>
    <row r="30" spans="2:9">
      <c r="C30" t="s">
        <v>30</v>
      </c>
      <c r="D30" t="s">
        <v>2805</v>
      </c>
      <c r="E30" t="s">
        <v>1333</v>
      </c>
      <c r="F30" t="s">
        <v>1288</v>
      </c>
      <c r="G30" t="s">
        <v>1365</v>
      </c>
      <c r="H30" t="s">
        <v>1361</v>
      </c>
    </row>
    <row r="31" spans="2:9">
      <c r="C31" t="s">
        <v>29</v>
      </c>
      <c r="D31" t="s">
        <v>2805</v>
      </c>
      <c r="E31" t="s">
        <v>1339</v>
      </c>
      <c r="F31" t="s">
        <v>1365</v>
      </c>
      <c r="G31" t="s">
        <v>1372</v>
      </c>
      <c r="H31" t="s">
        <v>1368</v>
      </c>
    </row>
    <row r="32" spans="2:9">
      <c r="C32" t="s">
        <v>10</v>
      </c>
      <c r="D32" t="s">
        <v>2805</v>
      </c>
      <c r="E32" t="s">
        <v>617</v>
      </c>
      <c r="F32" t="s">
        <v>650</v>
      </c>
    </row>
    <row r="33" spans="3:15">
      <c r="C33" t="s">
        <v>59</v>
      </c>
      <c r="D33" t="s">
        <v>44</v>
      </c>
      <c r="E33" s="82" t="s">
        <v>2806</v>
      </c>
      <c r="F33" t="s">
        <v>2807</v>
      </c>
      <c r="G33" s="82" t="s">
        <v>2808</v>
      </c>
    </row>
    <row r="34" spans="3:15">
      <c r="C34" t="s">
        <v>2809</v>
      </c>
      <c r="D34" t="s">
        <v>44</v>
      </c>
      <c r="E34">
        <v>1</v>
      </c>
      <c r="F34">
        <v>2</v>
      </c>
      <c r="G34">
        <v>3</v>
      </c>
    </row>
    <row r="35" spans="3:15">
      <c r="C35" t="s">
        <v>2810</v>
      </c>
      <c r="D35" t="s">
        <v>2805</v>
      </c>
      <c r="E35" t="s">
        <v>2811</v>
      </c>
      <c r="F35" t="s">
        <v>2812</v>
      </c>
      <c r="G35" t="s">
        <v>2807</v>
      </c>
      <c r="H35" t="s">
        <v>2813</v>
      </c>
      <c r="I35" t="s">
        <v>2814</v>
      </c>
    </row>
    <row r="36" spans="3:15">
      <c r="C36" t="s">
        <v>2815</v>
      </c>
      <c r="D36" t="s">
        <v>2816</v>
      </c>
      <c r="E36" s="82" t="s">
        <v>2817</v>
      </c>
    </row>
    <row r="37" spans="3:15">
      <c r="C37" t="s">
        <v>51</v>
      </c>
      <c r="D37" t="s">
        <v>2805</v>
      </c>
      <c r="E37" t="s">
        <v>135</v>
      </c>
    </row>
    <row r="38" spans="3:15">
      <c r="C38" t="s">
        <v>21</v>
      </c>
      <c r="D38" t="s">
        <v>2805</v>
      </c>
      <c r="E38" t="s">
        <v>2818</v>
      </c>
      <c r="F38" t="s">
        <v>2807</v>
      </c>
    </row>
    <row r="39" spans="3:15">
      <c r="C39" t="s">
        <v>16</v>
      </c>
      <c r="D39" t="s">
        <v>2805</v>
      </c>
      <c r="E39" t="s">
        <v>1283</v>
      </c>
    </row>
    <row r="40" spans="3:15">
      <c r="C40" t="s">
        <v>25</v>
      </c>
      <c r="D40" t="s">
        <v>2805</v>
      </c>
      <c r="E40" t="s">
        <v>2819</v>
      </c>
      <c r="F40" t="s">
        <v>2820</v>
      </c>
      <c r="G40" t="s">
        <v>2821</v>
      </c>
      <c r="H40" t="s">
        <v>1421</v>
      </c>
      <c r="I40" t="s">
        <v>2822</v>
      </c>
    </row>
    <row r="45" spans="3:15">
      <c r="C45" s="194" t="s">
        <v>2798</v>
      </c>
      <c r="D45" s="194" t="s">
        <v>35</v>
      </c>
      <c r="E45" s="194" t="s">
        <v>30</v>
      </c>
      <c r="F45" s="194" t="s">
        <v>29</v>
      </c>
      <c r="G45" s="194" t="s">
        <v>10</v>
      </c>
      <c r="H45" s="194" t="s">
        <v>59</v>
      </c>
      <c r="I45" s="194" t="s">
        <v>2809</v>
      </c>
      <c r="J45" s="194" t="s">
        <v>2810</v>
      </c>
      <c r="K45" s="194" t="s">
        <v>2815</v>
      </c>
      <c r="L45" s="194" t="s">
        <v>51</v>
      </c>
      <c r="M45" s="194" t="s">
        <v>21</v>
      </c>
      <c r="N45" s="194" t="s">
        <v>16</v>
      </c>
      <c r="O45" s="194" t="s">
        <v>25</v>
      </c>
    </row>
    <row r="46" spans="3:15">
      <c r="C46" s="194" t="s">
        <v>2650</v>
      </c>
    </row>
    <row r="47" spans="3:15">
      <c r="C47" s="194" t="s">
        <v>2799</v>
      </c>
      <c r="D47" t="s">
        <v>2805</v>
      </c>
      <c r="E47" t="s">
        <v>2805</v>
      </c>
      <c r="F47" t="s">
        <v>2805</v>
      </c>
      <c r="G47" t="s">
        <v>2805</v>
      </c>
      <c r="H47" t="s">
        <v>44</v>
      </c>
      <c r="I47" t="s">
        <v>44</v>
      </c>
      <c r="J47" t="s">
        <v>2805</v>
      </c>
      <c r="K47" t="s">
        <v>2816</v>
      </c>
      <c r="L47" t="s">
        <v>2805</v>
      </c>
      <c r="M47" t="s">
        <v>2805</v>
      </c>
      <c r="N47" t="s">
        <v>2805</v>
      </c>
      <c r="O47" t="s">
        <v>2805</v>
      </c>
    </row>
    <row r="48" spans="3:15">
      <c r="C48" s="194" t="s">
        <v>2800</v>
      </c>
      <c r="D48" t="s">
        <v>1303</v>
      </c>
      <c r="E48" t="s">
        <v>1333</v>
      </c>
      <c r="F48" t="s">
        <v>1339</v>
      </c>
      <c r="G48" t="s">
        <v>617</v>
      </c>
      <c r="H48" s="82" t="s">
        <v>2806</v>
      </c>
      <c r="I48">
        <v>1</v>
      </c>
      <c r="J48" t="s">
        <v>2811</v>
      </c>
      <c r="K48" s="82" t="s">
        <v>2817</v>
      </c>
      <c r="L48" t="s">
        <v>135</v>
      </c>
      <c r="M48" t="s">
        <v>2818</v>
      </c>
      <c r="N48" t="s">
        <v>1283</v>
      </c>
      <c r="O48" t="s">
        <v>2819</v>
      </c>
    </row>
    <row r="49" spans="3:15">
      <c r="C49" s="194" t="s">
        <v>2801</v>
      </c>
      <c r="D49" t="s">
        <v>1299</v>
      </c>
      <c r="E49" t="s">
        <v>1288</v>
      </c>
      <c r="F49" t="s">
        <v>1365</v>
      </c>
      <c r="G49" t="s">
        <v>650</v>
      </c>
      <c r="H49" t="s">
        <v>2807</v>
      </c>
      <c r="I49">
        <v>2</v>
      </c>
      <c r="J49" t="s">
        <v>2812</v>
      </c>
      <c r="M49" t="s">
        <v>2807</v>
      </c>
      <c r="O49" t="s">
        <v>2820</v>
      </c>
    </row>
    <row r="50" spans="3:15">
      <c r="C50" s="194" t="s">
        <v>2802</v>
      </c>
      <c r="E50" t="s">
        <v>1365</v>
      </c>
      <c r="F50" t="s">
        <v>1372</v>
      </c>
      <c r="H50" s="82" t="s">
        <v>2808</v>
      </c>
      <c r="I50">
        <v>3</v>
      </c>
      <c r="J50" t="s">
        <v>2807</v>
      </c>
      <c r="O50" t="s">
        <v>2821</v>
      </c>
    </row>
    <row r="51" spans="3:15">
      <c r="C51" s="194" t="s">
        <v>2803</v>
      </c>
      <c r="E51" t="s">
        <v>1361</v>
      </c>
      <c r="F51" t="s">
        <v>1368</v>
      </c>
      <c r="J51" t="s">
        <v>2813</v>
      </c>
      <c r="O51" t="s">
        <v>1421</v>
      </c>
    </row>
    <row r="52" spans="3:15">
      <c r="C52" s="194" t="s">
        <v>2804</v>
      </c>
      <c r="J52" t="s">
        <v>2814</v>
      </c>
      <c r="O52" t="s">
        <v>2822</v>
      </c>
    </row>
  </sheetData>
  <mergeCells count="1">
    <mergeCell ref="C12:C13"/>
  </mergeCells>
  <hyperlinks>
    <hyperlink ref="C8" location="CountryCode!A1" display="Country" xr:uid="{FE18F33B-6384-4C98-AB4C-7A1F1A71C804}"/>
    <hyperlink ref="C22" location="Year!A1" display="Year" xr:uid="{49459CD6-9F8B-4CD0-852F-602102F0F4EE}"/>
    <hyperlink ref="C14" location="FuelType!A1" display="Fuel type" xr:uid="{A133DE38-E379-41D8-AC73-9A0ED77B347E}"/>
    <hyperlink ref="C12" location="Sector!A1" display="Sector" xr:uid="{5ECF74CE-A45D-41EC-AD23-AA95D5335E15}"/>
    <hyperlink ref="C16" location="Scenario!A1" display="Scenario" xr:uid="{38895F7F-E193-4423-841D-FC0729D0C8EA}"/>
    <hyperlink ref="C10" location="Variable!A1" display="Variable" xr:uid="{D222CB80-BFBD-4CA5-A192-2DA195655D9F}"/>
    <hyperlink ref="C11" location="Unit!A1" display="Unit" xr:uid="{C678A900-A8A6-4159-9001-24F89D9C6C20}"/>
    <hyperlink ref="C18" location="Pollutant!A1" display="Pollutant" xr:uid="{6077DDFB-FE85-4E08-8B50-B350FE540FFD}"/>
    <hyperlink ref="C23" location="FlowSectorGroupMapEC!A1" display="Sector group for EC" xr:uid="{766663B3-A03E-4BF1-937E-963FC25C81DA}"/>
    <hyperlink ref="C24" location="FlowSectorMapFilterEB!A1" display="Sector group for EB" xr:uid="{B54D9263-0144-4180-B3CE-4DB7536A48E8}"/>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126D-D2C1-4094-BEF3-0A6A7F4ED902}">
  <dimension ref="A1:H295"/>
  <sheetViews>
    <sheetView topLeftCell="A21" workbookViewId="0">
      <selection activeCell="A225" sqref="A225:D287"/>
    </sheetView>
  </sheetViews>
  <sheetFormatPr defaultColWidth="9.28515625" defaultRowHeight="15"/>
  <cols>
    <col min="1" max="1" width="12.28515625" bestFit="1" customWidth="1"/>
    <col min="2" max="2" width="19.42578125" bestFit="1" customWidth="1"/>
    <col min="3" max="3" width="29.42578125" customWidth="1"/>
    <col min="4" max="4" width="24" bestFit="1" customWidth="1"/>
    <col min="5" max="5" width="12.5703125" customWidth="1"/>
    <col min="7" max="7" width="23.5703125" customWidth="1"/>
    <col min="8" max="8" width="21" customWidth="1"/>
  </cols>
  <sheetData>
    <row r="1" spans="1:8">
      <c r="A1" s="1" t="s">
        <v>10</v>
      </c>
      <c r="B1" s="1" t="s">
        <v>573</v>
      </c>
      <c r="C1" s="1" t="s">
        <v>574</v>
      </c>
      <c r="D1" s="1" t="s">
        <v>575</v>
      </c>
      <c r="E1" s="1" t="s">
        <v>576</v>
      </c>
      <c r="F1" s="1" t="s">
        <v>577</v>
      </c>
      <c r="G1" s="1" t="s">
        <v>578</v>
      </c>
      <c r="H1" s="1" t="s">
        <v>579</v>
      </c>
    </row>
    <row r="2" spans="1:8">
      <c r="A2" t="s">
        <v>580</v>
      </c>
      <c r="B2" t="s">
        <v>581</v>
      </c>
      <c r="C2" t="s">
        <v>582</v>
      </c>
      <c r="D2" t="s">
        <v>583</v>
      </c>
      <c r="E2" t="s">
        <v>584</v>
      </c>
      <c r="F2" t="s">
        <v>585</v>
      </c>
      <c r="H2" t="s">
        <v>586</v>
      </c>
    </row>
    <row r="3" spans="1:8">
      <c r="A3" t="s">
        <v>587</v>
      </c>
      <c r="B3" t="s">
        <v>588</v>
      </c>
      <c r="C3" t="s">
        <v>589</v>
      </c>
      <c r="D3" t="s">
        <v>590</v>
      </c>
      <c r="E3" t="s">
        <v>584</v>
      </c>
      <c r="H3" t="s">
        <v>591</v>
      </c>
    </row>
    <row r="4" spans="1:8">
      <c r="A4" t="s">
        <v>592</v>
      </c>
      <c r="B4" t="s">
        <v>588</v>
      </c>
      <c r="C4" t="s">
        <v>593</v>
      </c>
      <c r="D4" t="s">
        <v>594</v>
      </c>
      <c r="E4" t="s">
        <v>584</v>
      </c>
      <c r="F4" t="s">
        <v>585</v>
      </c>
      <c r="H4" t="s">
        <v>595</v>
      </c>
    </row>
    <row r="5" spans="1:8">
      <c r="A5" t="s">
        <v>596</v>
      </c>
      <c r="B5" t="s">
        <v>588</v>
      </c>
      <c r="C5" t="s">
        <v>597</v>
      </c>
      <c r="D5" t="s">
        <v>598</v>
      </c>
      <c r="E5" t="s">
        <v>584</v>
      </c>
      <c r="F5" t="s">
        <v>585</v>
      </c>
      <c r="H5" t="s">
        <v>599</v>
      </c>
    </row>
    <row r="6" spans="1:8">
      <c r="A6" t="s">
        <v>600</v>
      </c>
      <c r="B6" t="s">
        <v>601</v>
      </c>
      <c r="C6" t="s">
        <v>602</v>
      </c>
      <c r="D6" t="s">
        <v>590</v>
      </c>
      <c r="E6" t="s">
        <v>603</v>
      </c>
      <c r="F6" t="s">
        <v>585</v>
      </c>
      <c r="H6" t="s">
        <v>604</v>
      </c>
    </row>
    <row r="7" spans="1:8">
      <c r="A7" t="s">
        <v>605</v>
      </c>
      <c r="B7" t="s">
        <v>606</v>
      </c>
      <c r="C7" t="s">
        <v>607</v>
      </c>
      <c r="D7" t="s">
        <v>608</v>
      </c>
      <c r="E7" t="s">
        <v>584</v>
      </c>
      <c r="F7" t="s">
        <v>585</v>
      </c>
      <c r="H7" t="s">
        <v>609</v>
      </c>
    </row>
    <row r="8" spans="1:8" s="81" customFormat="1">
      <c r="A8" t="s">
        <v>610</v>
      </c>
      <c r="B8" t="s">
        <v>588</v>
      </c>
      <c r="C8" t="s">
        <v>611</v>
      </c>
      <c r="D8" t="s">
        <v>612</v>
      </c>
      <c r="E8" t="s">
        <v>613</v>
      </c>
      <c r="F8" s="81" t="s">
        <v>585</v>
      </c>
      <c r="H8"/>
    </row>
    <row r="9" spans="1:8">
      <c r="A9" t="s">
        <v>614</v>
      </c>
      <c r="B9" t="s">
        <v>601</v>
      </c>
      <c r="C9" t="s">
        <v>615</v>
      </c>
      <c r="D9" t="s">
        <v>612</v>
      </c>
      <c r="E9" t="s">
        <v>584</v>
      </c>
      <c r="F9" t="s">
        <v>585</v>
      </c>
      <c r="H9" t="s">
        <v>616</v>
      </c>
    </row>
    <row r="10" spans="1:8">
      <c r="A10" t="s">
        <v>617</v>
      </c>
      <c r="B10" t="s">
        <v>601</v>
      </c>
      <c r="C10" t="s">
        <v>618</v>
      </c>
      <c r="D10" t="s">
        <v>612</v>
      </c>
      <c r="E10" t="s">
        <v>584</v>
      </c>
      <c r="F10" t="s">
        <v>584</v>
      </c>
      <c r="G10" t="s">
        <v>618</v>
      </c>
      <c r="H10" t="s">
        <v>619</v>
      </c>
    </row>
    <row r="11" spans="1:8">
      <c r="A11" t="s">
        <v>620</v>
      </c>
      <c r="B11" t="s">
        <v>588</v>
      </c>
      <c r="C11" t="s">
        <v>621</v>
      </c>
      <c r="D11" t="s">
        <v>590</v>
      </c>
      <c r="E11" t="s">
        <v>584</v>
      </c>
      <c r="F11" t="s">
        <v>585</v>
      </c>
      <c r="H11" t="s">
        <v>622</v>
      </c>
    </row>
    <row r="12" spans="1:8">
      <c r="A12" t="s">
        <v>623</v>
      </c>
      <c r="B12" t="s">
        <v>601</v>
      </c>
      <c r="C12" t="s">
        <v>624</v>
      </c>
      <c r="D12" t="s">
        <v>612</v>
      </c>
      <c r="E12" t="s">
        <v>584</v>
      </c>
      <c r="F12" t="s">
        <v>585</v>
      </c>
      <c r="H12" t="s">
        <v>625</v>
      </c>
    </row>
    <row r="13" spans="1:8">
      <c r="A13" t="s">
        <v>626</v>
      </c>
      <c r="B13" t="s">
        <v>601</v>
      </c>
      <c r="C13" t="s">
        <v>627</v>
      </c>
      <c r="D13" t="s">
        <v>598</v>
      </c>
      <c r="E13" t="s">
        <v>584</v>
      </c>
      <c r="F13" t="s">
        <v>585</v>
      </c>
      <c r="G13" t="s">
        <v>627</v>
      </c>
      <c r="H13" t="s">
        <v>628</v>
      </c>
    </row>
    <row r="14" spans="1:8">
      <c r="A14" t="s">
        <v>629</v>
      </c>
      <c r="B14" t="s">
        <v>601</v>
      </c>
      <c r="C14" t="s">
        <v>630</v>
      </c>
      <c r="D14" t="s">
        <v>590</v>
      </c>
      <c r="E14" t="s">
        <v>584</v>
      </c>
      <c r="F14" t="s">
        <v>584</v>
      </c>
      <c r="G14" t="s">
        <v>630</v>
      </c>
      <c r="H14" t="s">
        <v>631</v>
      </c>
    </row>
    <row r="15" spans="1:8">
      <c r="A15" t="s">
        <v>632</v>
      </c>
      <c r="B15" t="s">
        <v>588</v>
      </c>
      <c r="C15" t="s">
        <v>633</v>
      </c>
      <c r="D15" t="s">
        <v>590</v>
      </c>
      <c r="E15" t="s">
        <v>584</v>
      </c>
      <c r="F15" t="s">
        <v>585</v>
      </c>
      <c r="H15" t="s">
        <v>634</v>
      </c>
    </row>
    <row r="16" spans="1:8">
      <c r="A16" t="s">
        <v>635</v>
      </c>
      <c r="B16" t="s">
        <v>601</v>
      </c>
      <c r="C16" t="s">
        <v>636</v>
      </c>
      <c r="D16" t="s">
        <v>612</v>
      </c>
      <c r="E16" t="s">
        <v>584</v>
      </c>
      <c r="F16" t="s">
        <v>585</v>
      </c>
      <c r="H16" t="s">
        <v>637</v>
      </c>
    </row>
    <row r="17" spans="1:8">
      <c r="A17" t="s">
        <v>638</v>
      </c>
      <c r="B17" t="s">
        <v>601</v>
      </c>
      <c r="C17" t="s">
        <v>639</v>
      </c>
      <c r="D17" t="s">
        <v>594</v>
      </c>
      <c r="E17" t="s">
        <v>584</v>
      </c>
      <c r="F17" t="s">
        <v>585</v>
      </c>
      <c r="H17" t="s">
        <v>640</v>
      </c>
    </row>
    <row r="18" spans="1:8">
      <c r="A18" t="s">
        <v>641</v>
      </c>
      <c r="B18" t="s">
        <v>606</v>
      </c>
      <c r="C18" t="s">
        <v>642</v>
      </c>
      <c r="D18" t="s">
        <v>583</v>
      </c>
      <c r="E18" t="s">
        <v>584</v>
      </c>
      <c r="F18" t="s">
        <v>584</v>
      </c>
      <c r="H18" t="s">
        <v>643</v>
      </c>
    </row>
    <row r="19" spans="1:8">
      <c r="A19" t="s">
        <v>644</v>
      </c>
      <c r="B19" t="s">
        <v>601</v>
      </c>
      <c r="C19" t="s">
        <v>645</v>
      </c>
      <c r="D19" t="s">
        <v>612</v>
      </c>
      <c r="E19" t="s">
        <v>584</v>
      </c>
      <c r="F19" t="s">
        <v>585</v>
      </c>
      <c r="H19" t="s">
        <v>646</v>
      </c>
    </row>
    <row r="20" spans="1:8">
      <c r="A20" t="s">
        <v>647</v>
      </c>
      <c r="B20" t="s">
        <v>588</v>
      </c>
      <c r="C20" t="s">
        <v>648</v>
      </c>
      <c r="D20" t="s">
        <v>590</v>
      </c>
      <c r="E20" t="s">
        <v>584</v>
      </c>
      <c r="F20" t="s">
        <v>585</v>
      </c>
      <c r="H20" t="s">
        <v>649</v>
      </c>
    </row>
    <row r="21" spans="1:8">
      <c r="A21" t="s">
        <v>650</v>
      </c>
      <c r="B21" t="s">
        <v>601</v>
      </c>
      <c r="C21" t="s">
        <v>651</v>
      </c>
      <c r="D21" t="s">
        <v>590</v>
      </c>
      <c r="E21" t="s">
        <v>584</v>
      </c>
      <c r="F21" t="s">
        <v>584</v>
      </c>
      <c r="G21" t="s">
        <v>651</v>
      </c>
      <c r="H21" t="s">
        <v>652</v>
      </c>
    </row>
    <row r="22" spans="1:8">
      <c r="A22" t="s">
        <v>653</v>
      </c>
      <c r="B22" t="s">
        <v>588</v>
      </c>
      <c r="C22" t="s">
        <v>654</v>
      </c>
      <c r="D22" t="s">
        <v>612</v>
      </c>
      <c r="E22" t="s">
        <v>584</v>
      </c>
      <c r="F22" t="s">
        <v>585</v>
      </c>
      <c r="H22" t="s">
        <v>655</v>
      </c>
    </row>
    <row r="23" spans="1:8">
      <c r="A23" t="s">
        <v>656</v>
      </c>
      <c r="B23" t="s">
        <v>581</v>
      </c>
      <c r="C23" t="s">
        <v>657</v>
      </c>
      <c r="D23" t="s">
        <v>608</v>
      </c>
      <c r="E23" t="s">
        <v>584</v>
      </c>
      <c r="F23" t="s">
        <v>585</v>
      </c>
      <c r="H23" t="s">
        <v>658</v>
      </c>
    </row>
    <row r="24" spans="1:8">
      <c r="A24" t="s">
        <v>659</v>
      </c>
      <c r="B24" t="s">
        <v>601</v>
      </c>
      <c r="C24" t="s">
        <v>660</v>
      </c>
      <c r="D24" t="s">
        <v>661</v>
      </c>
      <c r="E24" t="s">
        <v>662</v>
      </c>
      <c r="F24" t="s">
        <v>585</v>
      </c>
      <c r="H24" t="s">
        <v>663</v>
      </c>
    </row>
    <row r="25" spans="1:8">
      <c r="A25" t="s">
        <v>664</v>
      </c>
      <c r="B25" t="s">
        <v>606</v>
      </c>
      <c r="C25" t="s">
        <v>665</v>
      </c>
      <c r="D25" t="s">
        <v>583</v>
      </c>
      <c r="E25" t="s">
        <v>584</v>
      </c>
      <c r="F25" t="s">
        <v>585</v>
      </c>
      <c r="H25" t="s">
        <v>666</v>
      </c>
    </row>
    <row r="26" spans="1:8">
      <c r="A26" t="s">
        <v>667</v>
      </c>
      <c r="B26" t="s">
        <v>606</v>
      </c>
      <c r="C26" t="s">
        <v>668</v>
      </c>
      <c r="D26" t="s">
        <v>612</v>
      </c>
      <c r="E26" t="s">
        <v>584</v>
      </c>
      <c r="F26" t="s">
        <v>584</v>
      </c>
      <c r="H26" t="s">
        <v>669</v>
      </c>
    </row>
    <row r="27" spans="1:8">
      <c r="A27" t="s">
        <v>670</v>
      </c>
      <c r="B27" t="s">
        <v>588</v>
      </c>
      <c r="C27" t="s">
        <v>671</v>
      </c>
      <c r="D27" t="s">
        <v>590</v>
      </c>
      <c r="E27" t="s">
        <v>584</v>
      </c>
      <c r="F27" t="s">
        <v>585</v>
      </c>
      <c r="H27" t="s">
        <v>672</v>
      </c>
    </row>
    <row r="28" spans="1:8">
      <c r="A28" t="s">
        <v>673</v>
      </c>
      <c r="B28" t="s">
        <v>588</v>
      </c>
      <c r="C28" t="s">
        <v>674</v>
      </c>
      <c r="D28" t="s">
        <v>608</v>
      </c>
      <c r="E28" t="s">
        <v>584</v>
      </c>
      <c r="F28" t="s">
        <v>585</v>
      </c>
      <c r="H28" t="s">
        <v>675</v>
      </c>
    </row>
    <row r="29" spans="1:8">
      <c r="A29" t="s">
        <v>676</v>
      </c>
      <c r="B29" t="s">
        <v>588</v>
      </c>
      <c r="C29" t="s">
        <v>677</v>
      </c>
      <c r="D29" t="s">
        <v>612</v>
      </c>
      <c r="E29" t="s">
        <v>584</v>
      </c>
      <c r="F29" t="s">
        <v>584</v>
      </c>
      <c r="G29" t="s">
        <v>678</v>
      </c>
      <c r="H29" t="s">
        <v>679</v>
      </c>
    </row>
    <row r="30" spans="1:8">
      <c r="A30" t="s">
        <v>680</v>
      </c>
      <c r="B30" t="s">
        <v>601</v>
      </c>
      <c r="C30" t="s">
        <v>681</v>
      </c>
      <c r="D30" t="s">
        <v>612</v>
      </c>
      <c r="E30" t="s">
        <v>682</v>
      </c>
      <c r="F30" t="s">
        <v>585</v>
      </c>
      <c r="H30" t="s">
        <v>683</v>
      </c>
    </row>
    <row r="31" spans="1:8">
      <c r="A31" t="s">
        <v>684</v>
      </c>
      <c r="B31" t="s">
        <v>601</v>
      </c>
      <c r="C31" t="s">
        <v>685</v>
      </c>
      <c r="D31" t="s">
        <v>598</v>
      </c>
      <c r="E31" t="s">
        <v>584</v>
      </c>
      <c r="F31" t="s">
        <v>585</v>
      </c>
      <c r="H31" t="s">
        <v>686</v>
      </c>
    </row>
    <row r="32" spans="1:8">
      <c r="A32" t="s">
        <v>687</v>
      </c>
      <c r="B32" t="s">
        <v>588</v>
      </c>
      <c r="C32" t="s">
        <v>688</v>
      </c>
      <c r="D32" t="s">
        <v>590</v>
      </c>
      <c r="E32" t="s">
        <v>584</v>
      </c>
      <c r="F32" t="s">
        <v>584</v>
      </c>
      <c r="G32" t="s">
        <v>688</v>
      </c>
      <c r="H32" t="s">
        <v>689</v>
      </c>
    </row>
    <row r="33" spans="1:8">
      <c r="A33" t="s">
        <v>690</v>
      </c>
      <c r="B33" t="s">
        <v>581</v>
      </c>
      <c r="C33" t="s">
        <v>691</v>
      </c>
      <c r="D33" t="s">
        <v>608</v>
      </c>
      <c r="E33" t="s">
        <v>584</v>
      </c>
      <c r="F33" t="s">
        <v>585</v>
      </c>
      <c r="H33" t="s">
        <v>692</v>
      </c>
    </row>
    <row r="34" spans="1:8">
      <c r="A34" t="s">
        <v>693</v>
      </c>
      <c r="B34" t="s">
        <v>581</v>
      </c>
      <c r="C34" t="s">
        <v>694</v>
      </c>
      <c r="D34" t="s">
        <v>608</v>
      </c>
      <c r="E34" t="s">
        <v>584</v>
      </c>
      <c r="F34" t="s">
        <v>585</v>
      </c>
      <c r="H34" t="s">
        <v>695</v>
      </c>
    </row>
    <row r="35" spans="1:8">
      <c r="A35" t="s">
        <v>696</v>
      </c>
      <c r="B35" t="s">
        <v>606</v>
      </c>
      <c r="C35" t="s">
        <v>697</v>
      </c>
      <c r="D35" t="s">
        <v>608</v>
      </c>
      <c r="E35" t="s">
        <v>584</v>
      </c>
      <c r="F35" t="s">
        <v>585</v>
      </c>
      <c r="H35" t="s">
        <v>698</v>
      </c>
    </row>
    <row r="36" spans="1:8">
      <c r="A36" t="s">
        <v>699</v>
      </c>
      <c r="B36" t="s">
        <v>606</v>
      </c>
      <c r="C36" t="s">
        <v>700</v>
      </c>
      <c r="D36" t="s">
        <v>598</v>
      </c>
      <c r="E36" t="s">
        <v>584</v>
      </c>
      <c r="F36" t="s">
        <v>585</v>
      </c>
      <c r="H36" t="s">
        <v>701</v>
      </c>
    </row>
    <row r="37" spans="1:8">
      <c r="A37" t="s">
        <v>702</v>
      </c>
      <c r="B37" t="s">
        <v>606</v>
      </c>
      <c r="C37" t="s">
        <v>703</v>
      </c>
      <c r="D37" t="s">
        <v>608</v>
      </c>
      <c r="E37" t="s">
        <v>584</v>
      </c>
      <c r="F37" t="s">
        <v>585</v>
      </c>
      <c r="H37" t="s">
        <v>704</v>
      </c>
    </row>
    <row r="38" spans="1:8">
      <c r="A38" t="s">
        <v>705</v>
      </c>
      <c r="B38" t="s">
        <v>601</v>
      </c>
      <c r="C38" t="s">
        <v>706</v>
      </c>
      <c r="D38" t="s">
        <v>661</v>
      </c>
      <c r="E38" t="s">
        <v>584</v>
      </c>
      <c r="F38" t="s">
        <v>584</v>
      </c>
      <c r="G38" t="s">
        <v>706</v>
      </c>
      <c r="H38" t="s">
        <v>707</v>
      </c>
    </row>
    <row r="39" spans="1:8">
      <c r="A39" t="s">
        <v>708</v>
      </c>
      <c r="B39" t="s">
        <v>601</v>
      </c>
      <c r="C39" t="s">
        <v>709</v>
      </c>
      <c r="D39" t="s">
        <v>612</v>
      </c>
      <c r="E39" t="s">
        <v>584</v>
      </c>
      <c r="F39" t="s">
        <v>585</v>
      </c>
      <c r="H39" t="s">
        <v>710</v>
      </c>
    </row>
    <row r="40" spans="1:8">
      <c r="A40" t="s">
        <v>711</v>
      </c>
      <c r="B40" t="s">
        <v>581</v>
      </c>
      <c r="C40" t="s">
        <v>712</v>
      </c>
      <c r="D40" t="s">
        <v>608</v>
      </c>
      <c r="E40" t="s">
        <v>584</v>
      </c>
      <c r="F40" t="s">
        <v>585</v>
      </c>
      <c r="H40" t="s">
        <v>713</v>
      </c>
    </row>
    <row r="41" spans="1:8">
      <c r="A41" t="s">
        <v>714</v>
      </c>
      <c r="B41" t="s">
        <v>581</v>
      </c>
      <c r="C41" t="s">
        <v>715</v>
      </c>
      <c r="D41" t="s">
        <v>608</v>
      </c>
      <c r="E41" t="s">
        <v>584</v>
      </c>
      <c r="F41" t="s">
        <v>585</v>
      </c>
      <c r="H41" t="s">
        <v>716</v>
      </c>
    </row>
    <row r="42" spans="1:8">
      <c r="A42" t="s">
        <v>717</v>
      </c>
      <c r="B42" t="s">
        <v>601</v>
      </c>
      <c r="C42" t="s">
        <v>718</v>
      </c>
      <c r="D42" t="s">
        <v>590</v>
      </c>
      <c r="E42" t="s">
        <v>719</v>
      </c>
      <c r="F42" t="s">
        <v>585</v>
      </c>
    </row>
    <row r="43" spans="1:8">
      <c r="A43" t="s">
        <v>720</v>
      </c>
      <c r="B43" t="s">
        <v>601</v>
      </c>
      <c r="C43" t="s">
        <v>721</v>
      </c>
      <c r="D43" t="s">
        <v>612</v>
      </c>
      <c r="E43" t="s">
        <v>584</v>
      </c>
      <c r="F43" t="s">
        <v>584</v>
      </c>
      <c r="G43" t="s">
        <v>721</v>
      </c>
      <c r="H43" t="s">
        <v>722</v>
      </c>
    </row>
    <row r="44" spans="1:8">
      <c r="A44" t="s">
        <v>723</v>
      </c>
      <c r="B44" t="s">
        <v>588</v>
      </c>
      <c r="C44" t="s">
        <v>724</v>
      </c>
      <c r="D44" t="s">
        <v>598</v>
      </c>
      <c r="E44" t="s">
        <v>584</v>
      </c>
      <c r="F44" t="s">
        <v>584</v>
      </c>
      <c r="G44" t="s">
        <v>724</v>
      </c>
      <c r="H44" t="s">
        <v>725</v>
      </c>
    </row>
    <row r="45" spans="1:8">
      <c r="A45" t="s">
        <v>726</v>
      </c>
      <c r="B45" t="s">
        <v>588</v>
      </c>
      <c r="C45" t="s">
        <v>727</v>
      </c>
      <c r="D45" t="s">
        <v>612</v>
      </c>
      <c r="E45" t="s">
        <v>584</v>
      </c>
      <c r="F45" t="s">
        <v>584</v>
      </c>
      <c r="H45" t="s">
        <v>728</v>
      </c>
    </row>
    <row r="46" spans="1:8">
      <c r="A46" t="s">
        <v>729</v>
      </c>
      <c r="B46" t="s">
        <v>581</v>
      </c>
      <c r="C46" t="s">
        <v>730</v>
      </c>
      <c r="D46" t="s">
        <v>608</v>
      </c>
      <c r="E46" t="s">
        <v>584</v>
      </c>
      <c r="F46" t="s">
        <v>585</v>
      </c>
      <c r="H46" t="s">
        <v>731</v>
      </c>
    </row>
    <row r="47" spans="1:8">
      <c r="A47" t="s">
        <v>732</v>
      </c>
      <c r="B47" t="s">
        <v>581</v>
      </c>
      <c r="C47" t="s">
        <v>733</v>
      </c>
      <c r="D47" t="s">
        <v>608</v>
      </c>
      <c r="E47" t="s">
        <v>584</v>
      </c>
      <c r="F47" t="s">
        <v>585</v>
      </c>
      <c r="H47" t="s">
        <v>734</v>
      </c>
    </row>
    <row r="48" spans="1:8">
      <c r="A48" t="s">
        <v>735</v>
      </c>
      <c r="B48" t="s">
        <v>606</v>
      </c>
      <c r="C48" t="s">
        <v>736</v>
      </c>
      <c r="D48" t="s">
        <v>608</v>
      </c>
      <c r="E48" t="s">
        <v>584</v>
      </c>
      <c r="F48" t="s">
        <v>585</v>
      </c>
      <c r="H48" t="s">
        <v>737</v>
      </c>
    </row>
    <row r="49" spans="1:8">
      <c r="A49" t="s">
        <v>738</v>
      </c>
      <c r="B49" t="s">
        <v>588</v>
      </c>
      <c r="C49" t="s">
        <v>739</v>
      </c>
      <c r="D49" t="s">
        <v>612</v>
      </c>
      <c r="E49" t="s">
        <v>584</v>
      </c>
      <c r="F49" t="s">
        <v>584</v>
      </c>
      <c r="H49" t="s">
        <v>740</v>
      </c>
    </row>
    <row r="50" spans="1:8">
      <c r="A50" t="s">
        <v>741</v>
      </c>
      <c r="B50" t="s">
        <v>606</v>
      </c>
      <c r="C50" t="s">
        <v>742</v>
      </c>
      <c r="D50" t="s">
        <v>608</v>
      </c>
      <c r="E50" t="s">
        <v>584</v>
      </c>
      <c r="F50" t="s">
        <v>584</v>
      </c>
      <c r="H50" t="s">
        <v>743</v>
      </c>
    </row>
    <row r="51" spans="1:8">
      <c r="A51" t="s">
        <v>744</v>
      </c>
      <c r="B51" t="s">
        <v>601</v>
      </c>
      <c r="C51" t="s">
        <v>745</v>
      </c>
      <c r="D51" t="s">
        <v>590</v>
      </c>
      <c r="E51" t="s">
        <v>584</v>
      </c>
      <c r="F51" t="s">
        <v>584</v>
      </c>
      <c r="G51" t="s">
        <v>745</v>
      </c>
      <c r="H51" t="s">
        <v>746</v>
      </c>
    </row>
    <row r="52" spans="1:8">
      <c r="A52" t="s">
        <v>747</v>
      </c>
      <c r="B52" t="s">
        <v>588</v>
      </c>
      <c r="C52" t="s">
        <v>748</v>
      </c>
      <c r="D52" t="s">
        <v>612</v>
      </c>
      <c r="E52" t="s">
        <v>584</v>
      </c>
      <c r="F52" t="s">
        <v>585</v>
      </c>
      <c r="H52" t="s">
        <v>749</v>
      </c>
    </row>
    <row r="53" spans="1:8">
      <c r="A53" t="s">
        <v>750</v>
      </c>
      <c r="B53" t="s">
        <v>601</v>
      </c>
      <c r="C53" t="s">
        <v>751</v>
      </c>
      <c r="D53" t="s">
        <v>612</v>
      </c>
      <c r="E53" t="s">
        <v>752</v>
      </c>
      <c r="F53" t="s">
        <v>585</v>
      </c>
      <c r="H53" t="s">
        <v>753</v>
      </c>
    </row>
    <row r="54" spans="1:8">
      <c r="A54" t="s">
        <v>754</v>
      </c>
      <c r="B54" t="s">
        <v>601</v>
      </c>
      <c r="C54" t="s">
        <v>755</v>
      </c>
      <c r="D54" t="s">
        <v>590</v>
      </c>
      <c r="E54" t="s">
        <v>584</v>
      </c>
      <c r="F54" t="s">
        <v>584</v>
      </c>
      <c r="H54" t="s">
        <v>756</v>
      </c>
    </row>
    <row r="55" spans="1:8">
      <c r="A55" t="s">
        <v>757</v>
      </c>
      <c r="B55" t="s">
        <v>601</v>
      </c>
      <c r="C55" t="s">
        <v>758</v>
      </c>
      <c r="D55" t="s">
        <v>590</v>
      </c>
      <c r="E55" t="s">
        <v>584</v>
      </c>
      <c r="F55" t="s">
        <v>584</v>
      </c>
      <c r="G55" t="s">
        <v>759</v>
      </c>
      <c r="H55" t="s">
        <v>760</v>
      </c>
    </row>
    <row r="56" spans="1:8">
      <c r="A56" t="s">
        <v>761</v>
      </c>
      <c r="B56" t="s">
        <v>601</v>
      </c>
      <c r="C56" t="s">
        <v>762</v>
      </c>
      <c r="D56" t="s">
        <v>590</v>
      </c>
      <c r="E56" t="s">
        <v>584</v>
      </c>
      <c r="F56" t="s">
        <v>584</v>
      </c>
      <c r="G56" t="s">
        <v>762</v>
      </c>
      <c r="H56" t="s">
        <v>763</v>
      </c>
    </row>
    <row r="57" spans="1:8">
      <c r="A57" t="s">
        <v>764</v>
      </c>
      <c r="B57" t="s">
        <v>606</v>
      </c>
      <c r="C57" t="s">
        <v>765</v>
      </c>
      <c r="D57" t="s">
        <v>594</v>
      </c>
      <c r="E57" t="s">
        <v>584</v>
      </c>
      <c r="F57" t="s">
        <v>585</v>
      </c>
      <c r="H57" t="s">
        <v>766</v>
      </c>
    </row>
    <row r="58" spans="1:8">
      <c r="A58" t="s">
        <v>767</v>
      </c>
      <c r="B58" t="s">
        <v>588</v>
      </c>
      <c r="C58" t="s">
        <v>768</v>
      </c>
      <c r="D58" t="s">
        <v>612</v>
      </c>
      <c r="E58" t="s">
        <v>584</v>
      </c>
      <c r="F58" t="s">
        <v>585</v>
      </c>
      <c r="H58" t="s">
        <v>769</v>
      </c>
    </row>
    <row r="59" spans="1:8">
      <c r="A59" t="s">
        <v>770</v>
      </c>
      <c r="B59" t="s">
        <v>588</v>
      </c>
      <c r="C59" t="s">
        <v>771</v>
      </c>
      <c r="D59" t="s">
        <v>612</v>
      </c>
      <c r="E59" t="s">
        <v>584</v>
      </c>
      <c r="F59" t="s">
        <v>584</v>
      </c>
      <c r="H59" t="s">
        <v>772</v>
      </c>
    </row>
    <row r="60" spans="1:8">
      <c r="A60" t="s">
        <v>773</v>
      </c>
      <c r="B60" t="s">
        <v>588</v>
      </c>
      <c r="C60" t="s">
        <v>774</v>
      </c>
      <c r="D60" t="s">
        <v>612</v>
      </c>
      <c r="E60" t="s">
        <v>584</v>
      </c>
      <c r="F60" t="s">
        <v>584</v>
      </c>
      <c r="H60" t="s">
        <v>775</v>
      </c>
    </row>
    <row r="61" spans="1:8">
      <c r="A61" t="s">
        <v>776</v>
      </c>
      <c r="B61" t="s">
        <v>606</v>
      </c>
      <c r="C61" t="s">
        <v>777</v>
      </c>
      <c r="D61" t="s">
        <v>594</v>
      </c>
      <c r="E61" t="s">
        <v>584</v>
      </c>
      <c r="F61" t="s">
        <v>585</v>
      </c>
      <c r="G61" t="s">
        <v>777</v>
      </c>
      <c r="H61" t="s">
        <v>778</v>
      </c>
    </row>
    <row r="62" spans="1:8">
      <c r="A62" t="s">
        <v>779</v>
      </c>
      <c r="B62" t="s">
        <v>606</v>
      </c>
      <c r="C62" t="s">
        <v>780</v>
      </c>
      <c r="D62" t="s">
        <v>612</v>
      </c>
      <c r="E62" t="s">
        <v>584</v>
      </c>
      <c r="F62" t="s">
        <v>585</v>
      </c>
      <c r="H62" t="s">
        <v>781</v>
      </c>
    </row>
    <row r="63" spans="1:8">
      <c r="A63" t="s">
        <v>782</v>
      </c>
      <c r="B63" t="s">
        <v>588</v>
      </c>
      <c r="C63" t="s">
        <v>783</v>
      </c>
      <c r="D63" t="s">
        <v>608</v>
      </c>
      <c r="E63" t="s">
        <v>584</v>
      </c>
      <c r="F63" t="s">
        <v>585</v>
      </c>
      <c r="H63" t="s">
        <v>784</v>
      </c>
    </row>
    <row r="64" spans="1:8">
      <c r="A64" t="s">
        <v>785</v>
      </c>
      <c r="B64" t="s">
        <v>581</v>
      </c>
      <c r="C64" t="s">
        <v>786</v>
      </c>
      <c r="D64" t="s">
        <v>608</v>
      </c>
      <c r="E64" t="s">
        <v>584</v>
      </c>
      <c r="F64" t="s">
        <v>585</v>
      </c>
      <c r="H64" t="s">
        <v>787</v>
      </c>
    </row>
    <row r="65" spans="1:8">
      <c r="A65" t="s">
        <v>788</v>
      </c>
      <c r="B65" t="s">
        <v>601</v>
      </c>
      <c r="C65" t="s">
        <v>789</v>
      </c>
      <c r="D65" t="s">
        <v>590</v>
      </c>
      <c r="E65" t="s">
        <v>584</v>
      </c>
      <c r="F65" t="s">
        <v>584</v>
      </c>
      <c r="H65" t="s">
        <v>790</v>
      </c>
    </row>
    <row r="66" spans="1:8">
      <c r="A66" t="s">
        <v>791</v>
      </c>
      <c r="B66" t="s">
        <v>606</v>
      </c>
      <c r="C66" t="s">
        <v>792</v>
      </c>
      <c r="D66" t="s">
        <v>608</v>
      </c>
      <c r="E66" t="s">
        <v>793</v>
      </c>
      <c r="F66" t="s">
        <v>585</v>
      </c>
      <c r="H66" t="s">
        <v>794</v>
      </c>
    </row>
    <row r="67" spans="1:8">
      <c r="A67" t="s">
        <v>795</v>
      </c>
      <c r="B67" t="s">
        <v>581</v>
      </c>
      <c r="C67" t="s">
        <v>796</v>
      </c>
      <c r="D67" t="s">
        <v>608</v>
      </c>
      <c r="E67" t="s">
        <v>584</v>
      </c>
      <c r="F67" t="s">
        <v>585</v>
      </c>
      <c r="H67" t="s">
        <v>797</v>
      </c>
    </row>
    <row r="68" spans="1:8">
      <c r="A68" t="s">
        <v>798</v>
      </c>
      <c r="B68" t="s">
        <v>601</v>
      </c>
      <c r="C68" t="s">
        <v>799</v>
      </c>
      <c r="D68" t="s">
        <v>590</v>
      </c>
      <c r="E68" t="s">
        <v>800</v>
      </c>
      <c r="F68" t="s">
        <v>585</v>
      </c>
      <c r="H68" t="s">
        <v>801</v>
      </c>
    </row>
    <row r="69" spans="1:8">
      <c r="A69" t="s">
        <v>802</v>
      </c>
      <c r="B69" t="s">
        <v>588</v>
      </c>
      <c r="C69" t="s">
        <v>803</v>
      </c>
      <c r="D69" t="s">
        <v>598</v>
      </c>
      <c r="E69" t="s">
        <v>584</v>
      </c>
      <c r="F69" t="s">
        <v>585</v>
      </c>
      <c r="H69" t="s">
        <v>804</v>
      </c>
    </row>
    <row r="70" spans="1:8">
      <c r="A70" t="s">
        <v>805</v>
      </c>
      <c r="B70" t="s">
        <v>601</v>
      </c>
      <c r="C70" t="s">
        <v>806</v>
      </c>
      <c r="D70" t="s">
        <v>590</v>
      </c>
      <c r="E70" t="s">
        <v>584</v>
      </c>
      <c r="F70" t="s">
        <v>584</v>
      </c>
      <c r="G70" t="s">
        <v>806</v>
      </c>
      <c r="H70" t="s">
        <v>807</v>
      </c>
    </row>
    <row r="71" spans="1:8">
      <c r="A71" t="s">
        <v>808</v>
      </c>
      <c r="B71" t="s">
        <v>601</v>
      </c>
      <c r="C71" t="s">
        <v>809</v>
      </c>
      <c r="D71" t="s">
        <v>590</v>
      </c>
      <c r="E71" t="s">
        <v>584</v>
      </c>
      <c r="F71" t="s">
        <v>584</v>
      </c>
      <c r="G71" t="s">
        <v>809</v>
      </c>
      <c r="H71" t="s">
        <v>810</v>
      </c>
    </row>
    <row r="72" spans="1:8">
      <c r="A72" t="s">
        <v>811</v>
      </c>
      <c r="B72" t="s">
        <v>601</v>
      </c>
      <c r="C72" t="s">
        <v>812</v>
      </c>
      <c r="D72" t="s">
        <v>598</v>
      </c>
      <c r="E72" t="s">
        <v>793</v>
      </c>
      <c r="F72" t="s">
        <v>585</v>
      </c>
      <c r="H72" t="s">
        <v>813</v>
      </c>
    </row>
    <row r="73" spans="1:8">
      <c r="A73" t="s">
        <v>814</v>
      </c>
      <c r="B73" t="s">
        <v>588</v>
      </c>
      <c r="C73" t="s">
        <v>815</v>
      </c>
      <c r="D73" t="s">
        <v>608</v>
      </c>
      <c r="E73" t="s">
        <v>584</v>
      </c>
      <c r="F73" t="s">
        <v>585</v>
      </c>
      <c r="H73" t="s">
        <v>816</v>
      </c>
    </row>
    <row r="74" spans="1:8">
      <c r="A74" t="s">
        <v>817</v>
      </c>
      <c r="B74" t="s">
        <v>581</v>
      </c>
      <c r="C74" t="s">
        <v>818</v>
      </c>
      <c r="D74" t="s">
        <v>608</v>
      </c>
      <c r="E74" t="s">
        <v>584</v>
      </c>
      <c r="F74" t="s">
        <v>585</v>
      </c>
      <c r="H74" t="s">
        <v>819</v>
      </c>
    </row>
    <row r="75" spans="1:8">
      <c r="A75" t="s">
        <v>820</v>
      </c>
      <c r="B75" t="s">
        <v>606</v>
      </c>
      <c r="C75" t="s">
        <v>821</v>
      </c>
      <c r="D75" t="s">
        <v>590</v>
      </c>
      <c r="E75" t="s">
        <v>584</v>
      </c>
      <c r="F75" t="s">
        <v>585</v>
      </c>
      <c r="H75" t="s">
        <v>822</v>
      </c>
    </row>
    <row r="76" spans="1:8">
      <c r="A76" t="s">
        <v>823</v>
      </c>
      <c r="B76" t="s">
        <v>601</v>
      </c>
      <c r="C76" t="s">
        <v>824</v>
      </c>
      <c r="D76" t="s">
        <v>590</v>
      </c>
      <c r="E76" t="s">
        <v>584</v>
      </c>
      <c r="F76" t="s">
        <v>584</v>
      </c>
      <c r="G76" t="s">
        <v>824</v>
      </c>
      <c r="H76" t="s">
        <v>825</v>
      </c>
    </row>
    <row r="77" spans="1:8">
      <c r="A77" t="s">
        <v>826</v>
      </c>
      <c r="B77" t="s">
        <v>606</v>
      </c>
      <c r="C77" t="s">
        <v>827</v>
      </c>
      <c r="D77" t="s">
        <v>608</v>
      </c>
      <c r="E77" t="s">
        <v>584</v>
      </c>
      <c r="F77" t="s">
        <v>584</v>
      </c>
      <c r="H77" t="s">
        <v>828</v>
      </c>
    </row>
    <row r="78" spans="1:8">
      <c r="A78" t="s">
        <v>829</v>
      </c>
      <c r="B78" t="s">
        <v>601</v>
      </c>
      <c r="C78" t="s">
        <v>830</v>
      </c>
      <c r="D78" t="s">
        <v>590</v>
      </c>
      <c r="E78" t="s">
        <v>831</v>
      </c>
      <c r="F78" t="s">
        <v>585</v>
      </c>
      <c r="H78" t="s">
        <v>832</v>
      </c>
    </row>
    <row r="79" spans="1:8">
      <c r="A79" t="s">
        <v>833</v>
      </c>
      <c r="B79" t="s">
        <v>601</v>
      </c>
      <c r="C79" t="s">
        <v>834</v>
      </c>
      <c r="D79" t="s">
        <v>590</v>
      </c>
      <c r="E79" t="s">
        <v>584</v>
      </c>
      <c r="F79" t="s">
        <v>584</v>
      </c>
      <c r="G79" t="s">
        <v>834</v>
      </c>
      <c r="H79" t="s">
        <v>835</v>
      </c>
    </row>
    <row r="80" spans="1:8">
      <c r="A80" t="s">
        <v>836</v>
      </c>
      <c r="B80" t="s">
        <v>601</v>
      </c>
      <c r="C80" t="s">
        <v>837</v>
      </c>
      <c r="D80" t="s">
        <v>590</v>
      </c>
      <c r="E80" t="s">
        <v>584</v>
      </c>
      <c r="F80" t="s">
        <v>585</v>
      </c>
      <c r="H80" t="s">
        <v>838</v>
      </c>
    </row>
    <row r="81" spans="1:8">
      <c r="A81" t="s">
        <v>839</v>
      </c>
      <c r="B81" t="s">
        <v>588</v>
      </c>
      <c r="C81" t="s">
        <v>840</v>
      </c>
      <c r="D81" t="s">
        <v>612</v>
      </c>
      <c r="E81" t="s">
        <v>584</v>
      </c>
      <c r="F81" t="s">
        <v>585</v>
      </c>
      <c r="H81" t="s">
        <v>841</v>
      </c>
    </row>
    <row r="82" spans="1:8">
      <c r="A82" t="s">
        <v>842</v>
      </c>
      <c r="B82" t="s">
        <v>601</v>
      </c>
      <c r="C82" t="s">
        <v>843</v>
      </c>
      <c r="D82" t="s">
        <v>598</v>
      </c>
      <c r="E82" t="s">
        <v>793</v>
      </c>
      <c r="F82" t="s">
        <v>585</v>
      </c>
      <c r="H82" t="s">
        <v>844</v>
      </c>
    </row>
    <row r="83" spans="1:8">
      <c r="A83" t="s">
        <v>845</v>
      </c>
      <c r="B83" t="s">
        <v>588</v>
      </c>
      <c r="C83" t="s">
        <v>846</v>
      </c>
      <c r="D83" t="s">
        <v>612</v>
      </c>
      <c r="E83" t="s">
        <v>584</v>
      </c>
      <c r="F83" t="s">
        <v>585</v>
      </c>
      <c r="H83" t="s">
        <v>847</v>
      </c>
    </row>
    <row r="84" spans="1:8">
      <c r="A84" t="s">
        <v>848</v>
      </c>
      <c r="B84" t="s">
        <v>581</v>
      </c>
      <c r="C84" t="s">
        <v>849</v>
      </c>
      <c r="D84" t="s">
        <v>608</v>
      </c>
      <c r="E84" t="s">
        <v>584</v>
      </c>
      <c r="F84" t="s">
        <v>585</v>
      </c>
      <c r="H84" t="s">
        <v>850</v>
      </c>
    </row>
    <row r="85" spans="1:8">
      <c r="A85" t="s">
        <v>851</v>
      </c>
      <c r="B85" t="s">
        <v>581</v>
      </c>
      <c r="C85" t="s">
        <v>852</v>
      </c>
      <c r="D85" t="s">
        <v>608</v>
      </c>
      <c r="E85" t="s">
        <v>584</v>
      </c>
      <c r="F85" t="s">
        <v>585</v>
      </c>
      <c r="H85" t="s">
        <v>853</v>
      </c>
    </row>
    <row r="86" spans="1:8">
      <c r="A86" t="s">
        <v>854</v>
      </c>
      <c r="B86" t="s">
        <v>588</v>
      </c>
      <c r="C86" t="s">
        <v>855</v>
      </c>
      <c r="D86" t="s">
        <v>612</v>
      </c>
      <c r="E86" t="s">
        <v>584</v>
      </c>
      <c r="F86" t="s">
        <v>585</v>
      </c>
      <c r="H86" t="s">
        <v>856</v>
      </c>
    </row>
    <row r="87" spans="1:8">
      <c r="A87" t="s">
        <v>857</v>
      </c>
      <c r="B87" t="s">
        <v>581</v>
      </c>
      <c r="C87" t="s">
        <v>858</v>
      </c>
      <c r="D87" t="s">
        <v>612</v>
      </c>
      <c r="E87" t="s">
        <v>584</v>
      </c>
      <c r="F87" t="s">
        <v>585</v>
      </c>
      <c r="H87" t="s">
        <v>859</v>
      </c>
    </row>
    <row r="88" spans="1:8">
      <c r="A88" t="s">
        <v>860</v>
      </c>
      <c r="B88" t="s">
        <v>606</v>
      </c>
      <c r="C88" t="s">
        <v>861</v>
      </c>
      <c r="D88" t="s">
        <v>612</v>
      </c>
      <c r="E88" t="s">
        <v>584</v>
      </c>
      <c r="F88" t="s">
        <v>584</v>
      </c>
      <c r="H88" t="s">
        <v>862</v>
      </c>
    </row>
    <row r="89" spans="1:8">
      <c r="A89" t="s">
        <v>863</v>
      </c>
      <c r="B89" t="s">
        <v>601</v>
      </c>
      <c r="C89" t="s">
        <v>864</v>
      </c>
      <c r="D89" t="s">
        <v>598</v>
      </c>
      <c r="E89" t="s">
        <v>584</v>
      </c>
      <c r="F89" t="s">
        <v>585</v>
      </c>
      <c r="H89" t="s">
        <v>865</v>
      </c>
    </row>
    <row r="90" spans="1:8">
      <c r="A90" t="s">
        <v>866</v>
      </c>
      <c r="B90" t="s">
        <v>601</v>
      </c>
      <c r="C90" t="s">
        <v>867</v>
      </c>
      <c r="D90" t="s">
        <v>590</v>
      </c>
      <c r="E90" t="s">
        <v>584</v>
      </c>
      <c r="F90" t="s">
        <v>584</v>
      </c>
      <c r="G90" t="s">
        <v>867</v>
      </c>
      <c r="H90" t="s">
        <v>868</v>
      </c>
    </row>
    <row r="91" spans="1:8">
      <c r="A91" t="s">
        <v>869</v>
      </c>
      <c r="B91" t="s">
        <v>601</v>
      </c>
      <c r="C91" t="s">
        <v>870</v>
      </c>
      <c r="D91" t="s">
        <v>590</v>
      </c>
      <c r="E91" t="s">
        <v>584</v>
      </c>
      <c r="F91" t="s">
        <v>585</v>
      </c>
      <c r="H91" t="s">
        <v>871</v>
      </c>
    </row>
    <row r="92" spans="1:8">
      <c r="A92" t="s">
        <v>872</v>
      </c>
      <c r="B92" t="s">
        <v>606</v>
      </c>
      <c r="C92" t="s">
        <v>873</v>
      </c>
      <c r="D92" t="s">
        <v>583</v>
      </c>
      <c r="E92" t="s">
        <v>584</v>
      </c>
      <c r="F92" t="s">
        <v>584</v>
      </c>
      <c r="G92" t="s">
        <v>873</v>
      </c>
      <c r="H92" t="s">
        <v>874</v>
      </c>
    </row>
    <row r="93" spans="1:8">
      <c r="A93" t="s">
        <v>875</v>
      </c>
      <c r="B93" t="s">
        <v>606</v>
      </c>
      <c r="C93" t="s">
        <v>876</v>
      </c>
      <c r="D93" t="s">
        <v>598</v>
      </c>
      <c r="E93" t="s">
        <v>584</v>
      </c>
      <c r="F93" t="s">
        <v>584</v>
      </c>
      <c r="G93" t="s">
        <v>876</v>
      </c>
      <c r="H93" t="s">
        <v>877</v>
      </c>
    </row>
    <row r="94" spans="1:8">
      <c r="A94" t="s">
        <v>878</v>
      </c>
      <c r="B94" t="s">
        <v>588</v>
      </c>
      <c r="C94" t="s">
        <v>879</v>
      </c>
      <c r="D94" t="s">
        <v>594</v>
      </c>
      <c r="E94" t="s">
        <v>584</v>
      </c>
      <c r="F94" t="s">
        <v>585</v>
      </c>
      <c r="H94" t="s">
        <v>880</v>
      </c>
    </row>
    <row r="95" spans="1:8">
      <c r="A95" t="s">
        <v>881</v>
      </c>
      <c r="B95" t="s">
        <v>588</v>
      </c>
      <c r="C95" t="s">
        <v>882</v>
      </c>
      <c r="D95" t="s">
        <v>594</v>
      </c>
      <c r="E95" t="s">
        <v>584</v>
      </c>
      <c r="F95" t="s">
        <v>585</v>
      </c>
      <c r="H95" t="s">
        <v>883</v>
      </c>
    </row>
    <row r="96" spans="1:8">
      <c r="A96" t="s">
        <v>884</v>
      </c>
      <c r="B96" t="s">
        <v>601</v>
      </c>
      <c r="C96" t="s">
        <v>885</v>
      </c>
      <c r="D96" t="s">
        <v>590</v>
      </c>
      <c r="E96" t="s">
        <v>584</v>
      </c>
      <c r="F96" t="s">
        <v>584</v>
      </c>
      <c r="G96" t="s">
        <v>885</v>
      </c>
      <c r="H96" t="s">
        <v>886</v>
      </c>
    </row>
    <row r="97" spans="1:8">
      <c r="A97" t="s">
        <v>887</v>
      </c>
      <c r="B97" t="s">
        <v>601</v>
      </c>
      <c r="C97" t="s">
        <v>888</v>
      </c>
      <c r="D97" t="s">
        <v>590</v>
      </c>
      <c r="E97" t="s">
        <v>889</v>
      </c>
      <c r="F97" t="s">
        <v>585</v>
      </c>
      <c r="H97" t="s">
        <v>890</v>
      </c>
    </row>
    <row r="98" spans="1:8">
      <c r="A98" t="s">
        <v>891</v>
      </c>
      <c r="B98" t="s">
        <v>601</v>
      </c>
      <c r="C98" t="s">
        <v>892</v>
      </c>
      <c r="D98" t="s">
        <v>594</v>
      </c>
      <c r="E98" t="s">
        <v>584</v>
      </c>
      <c r="F98" t="s">
        <v>585</v>
      </c>
      <c r="H98" t="s">
        <v>893</v>
      </c>
    </row>
    <row r="99" spans="1:8">
      <c r="A99" t="s">
        <v>894</v>
      </c>
      <c r="B99" t="s">
        <v>601</v>
      </c>
      <c r="C99" t="s">
        <v>895</v>
      </c>
      <c r="D99" t="s">
        <v>590</v>
      </c>
      <c r="E99" t="s">
        <v>584</v>
      </c>
      <c r="F99" t="s">
        <v>584</v>
      </c>
      <c r="G99" t="s">
        <v>895</v>
      </c>
      <c r="H99" t="s">
        <v>896</v>
      </c>
    </row>
    <row r="100" spans="1:8">
      <c r="A100" t="s">
        <v>897</v>
      </c>
      <c r="B100" t="s">
        <v>588</v>
      </c>
      <c r="C100" t="s">
        <v>898</v>
      </c>
      <c r="D100" t="s">
        <v>612</v>
      </c>
      <c r="E100" t="s">
        <v>584</v>
      </c>
      <c r="F100" t="s">
        <v>585</v>
      </c>
      <c r="H100" t="s">
        <v>899</v>
      </c>
    </row>
    <row r="101" spans="1:8">
      <c r="A101" t="s">
        <v>900</v>
      </c>
      <c r="B101" t="s">
        <v>601</v>
      </c>
      <c r="C101" t="s">
        <v>901</v>
      </c>
      <c r="D101" t="s">
        <v>598</v>
      </c>
      <c r="E101" t="s">
        <v>584</v>
      </c>
      <c r="F101" t="s">
        <v>585</v>
      </c>
      <c r="G101" t="s">
        <v>901</v>
      </c>
      <c r="H101" t="s">
        <v>902</v>
      </c>
    </row>
    <row r="102" spans="1:8">
      <c r="A102" t="s">
        <v>903</v>
      </c>
      <c r="B102" t="s">
        <v>588</v>
      </c>
      <c r="C102" t="s">
        <v>904</v>
      </c>
      <c r="D102" t="s">
        <v>594</v>
      </c>
      <c r="E102" t="s">
        <v>584</v>
      </c>
      <c r="F102" t="s">
        <v>585</v>
      </c>
      <c r="H102" t="s">
        <v>905</v>
      </c>
    </row>
    <row r="103" spans="1:8">
      <c r="A103" t="s">
        <v>906</v>
      </c>
      <c r="B103" t="s">
        <v>588</v>
      </c>
      <c r="C103" t="s">
        <v>907</v>
      </c>
      <c r="D103" t="s">
        <v>590</v>
      </c>
      <c r="E103" t="s">
        <v>584</v>
      </c>
      <c r="F103" t="s">
        <v>584</v>
      </c>
      <c r="H103" t="s">
        <v>908</v>
      </c>
    </row>
    <row r="104" spans="1:8">
      <c r="A104" t="s">
        <v>909</v>
      </c>
      <c r="B104" t="s">
        <v>606</v>
      </c>
      <c r="C104" t="s">
        <v>910</v>
      </c>
      <c r="D104" t="s">
        <v>608</v>
      </c>
      <c r="E104" t="s">
        <v>584</v>
      </c>
      <c r="F104" t="s">
        <v>585</v>
      </c>
      <c r="H104" t="s">
        <v>911</v>
      </c>
    </row>
    <row r="105" spans="1:8">
      <c r="A105" t="s">
        <v>912</v>
      </c>
      <c r="B105" t="s">
        <v>606</v>
      </c>
      <c r="C105" t="s">
        <v>913</v>
      </c>
      <c r="D105" t="s">
        <v>598</v>
      </c>
      <c r="E105" t="s">
        <v>584</v>
      </c>
      <c r="F105" t="s">
        <v>585</v>
      </c>
      <c r="H105" t="s">
        <v>914</v>
      </c>
    </row>
    <row r="106" spans="1:8">
      <c r="A106" t="s">
        <v>915</v>
      </c>
      <c r="B106" t="s">
        <v>601</v>
      </c>
      <c r="C106" t="s">
        <v>916</v>
      </c>
      <c r="D106" t="s">
        <v>598</v>
      </c>
      <c r="E106" t="s">
        <v>584</v>
      </c>
      <c r="F106" t="s">
        <v>585</v>
      </c>
      <c r="G106" t="s">
        <v>917</v>
      </c>
      <c r="H106" t="s">
        <v>918</v>
      </c>
    </row>
    <row r="107" spans="1:8">
      <c r="A107" t="s">
        <v>919</v>
      </c>
      <c r="B107" t="s">
        <v>581</v>
      </c>
      <c r="C107" t="s">
        <v>920</v>
      </c>
      <c r="D107" t="s">
        <v>598</v>
      </c>
      <c r="E107" t="s">
        <v>921</v>
      </c>
      <c r="F107" t="s">
        <v>585</v>
      </c>
      <c r="H107" t="s">
        <v>922</v>
      </c>
    </row>
    <row r="108" spans="1:8">
      <c r="A108" t="s">
        <v>923</v>
      </c>
      <c r="B108" t="s">
        <v>606</v>
      </c>
      <c r="C108" t="s">
        <v>924</v>
      </c>
      <c r="D108" t="s">
        <v>590</v>
      </c>
      <c r="E108" t="s">
        <v>925</v>
      </c>
      <c r="F108" t="s">
        <v>585</v>
      </c>
      <c r="H108" t="s">
        <v>926</v>
      </c>
    </row>
    <row r="109" spans="1:8">
      <c r="A109" t="s">
        <v>927</v>
      </c>
      <c r="B109" t="s">
        <v>601</v>
      </c>
      <c r="C109" t="s">
        <v>928</v>
      </c>
      <c r="D109" t="s">
        <v>594</v>
      </c>
      <c r="E109" t="s">
        <v>584</v>
      </c>
      <c r="F109" t="s">
        <v>585</v>
      </c>
      <c r="H109" t="s">
        <v>929</v>
      </c>
    </row>
    <row r="110" spans="1:8">
      <c r="A110" t="s">
        <v>930</v>
      </c>
      <c r="B110" t="s">
        <v>606</v>
      </c>
      <c r="C110" t="s">
        <v>931</v>
      </c>
      <c r="D110" t="s">
        <v>590</v>
      </c>
      <c r="E110" t="s">
        <v>584</v>
      </c>
      <c r="F110" t="s">
        <v>585</v>
      </c>
      <c r="H110" t="s">
        <v>932</v>
      </c>
    </row>
    <row r="111" spans="1:8">
      <c r="A111" t="s">
        <v>933</v>
      </c>
      <c r="B111" t="s">
        <v>606</v>
      </c>
      <c r="C111" t="s">
        <v>934</v>
      </c>
      <c r="D111" t="s">
        <v>598</v>
      </c>
      <c r="E111" t="s">
        <v>584</v>
      </c>
      <c r="F111" t="s">
        <v>585</v>
      </c>
      <c r="H111" t="s">
        <v>935</v>
      </c>
    </row>
    <row r="112" spans="1:8">
      <c r="A112" t="s">
        <v>936</v>
      </c>
      <c r="B112" t="s">
        <v>601</v>
      </c>
      <c r="C112" t="s">
        <v>937</v>
      </c>
      <c r="D112" t="s">
        <v>590</v>
      </c>
      <c r="E112" t="s">
        <v>584</v>
      </c>
      <c r="F112" t="s">
        <v>584</v>
      </c>
      <c r="H112" t="s">
        <v>938</v>
      </c>
    </row>
    <row r="113" spans="1:8">
      <c r="A113" t="s">
        <v>939</v>
      </c>
      <c r="B113" t="s">
        <v>588</v>
      </c>
      <c r="C113" t="s">
        <v>940</v>
      </c>
      <c r="D113" t="s">
        <v>594</v>
      </c>
      <c r="E113" t="s">
        <v>584</v>
      </c>
      <c r="F113" t="s">
        <v>585</v>
      </c>
      <c r="H113" t="s">
        <v>941</v>
      </c>
    </row>
    <row r="114" spans="1:8">
      <c r="A114" t="s">
        <v>942</v>
      </c>
      <c r="B114" t="s">
        <v>606</v>
      </c>
      <c r="C114" t="s">
        <v>943</v>
      </c>
      <c r="D114" t="s">
        <v>608</v>
      </c>
      <c r="E114" t="s">
        <v>584</v>
      </c>
      <c r="F114" t="s">
        <v>585</v>
      </c>
      <c r="H114" t="s">
        <v>944</v>
      </c>
    </row>
    <row r="115" spans="1:8">
      <c r="A115" t="s">
        <v>945</v>
      </c>
      <c r="B115" t="s">
        <v>581</v>
      </c>
      <c r="C115" t="s">
        <v>946</v>
      </c>
      <c r="D115" t="s">
        <v>608</v>
      </c>
      <c r="E115" t="s">
        <v>584</v>
      </c>
      <c r="F115" t="s">
        <v>585</v>
      </c>
      <c r="H115" t="s">
        <v>947</v>
      </c>
    </row>
    <row r="116" spans="1:8">
      <c r="A116" t="s">
        <v>948</v>
      </c>
      <c r="B116" t="s">
        <v>588</v>
      </c>
      <c r="C116" t="s">
        <v>949</v>
      </c>
      <c r="D116" t="s">
        <v>594</v>
      </c>
      <c r="E116" t="s">
        <v>584</v>
      </c>
      <c r="F116" t="s">
        <v>585</v>
      </c>
      <c r="H116" t="s">
        <v>950</v>
      </c>
    </row>
    <row r="117" spans="1:8">
      <c r="A117" t="s">
        <v>951</v>
      </c>
      <c r="B117" t="s">
        <v>601</v>
      </c>
      <c r="C117" t="s">
        <v>952</v>
      </c>
      <c r="D117" t="s">
        <v>590</v>
      </c>
      <c r="E117" t="s">
        <v>921</v>
      </c>
      <c r="F117" t="s">
        <v>585</v>
      </c>
      <c r="H117" t="s">
        <v>953</v>
      </c>
    </row>
    <row r="118" spans="1:8">
      <c r="A118" t="s">
        <v>954</v>
      </c>
      <c r="B118" t="s">
        <v>601</v>
      </c>
      <c r="C118" t="s">
        <v>955</v>
      </c>
      <c r="D118" t="s">
        <v>590</v>
      </c>
      <c r="E118" t="s">
        <v>584</v>
      </c>
      <c r="F118" t="s">
        <v>584</v>
      </c>
      <c r="H118" t="s">
        <v>956</v>
      </c>
    </row>
    <row r="119" spans="1:8">
      <c r="A119" t="s">
        <v>957</v>
      </c>
      <c r="B119" t="s">
        <v>601</v>
      </c>
      <c r="C119" t="s">
        <v>958</v>
      </c>
      <c r="D119" t="s">
        <v>590</v>
      </c>
      <c r="E119" t="s">
        <v>584</v>
      </c>
      <c r="F119" t="s">
        <v>585</v>
      </c>
      <c r="H119" t="s">
        <v>959</v>
      </c>
    </row>
    <row r="120" spans="1:8">
      <c r="A120" t="s">
        <v>960</v>
      </c>
      <c r="B120" t="s">
        <v>601</v>
      </c>
      <c r="C120" t="s">
        <v>961</v>
      </c>
      <c r="D120" t="s">
        <v>598</v>
      </c>
      <c r="E120" t="s">
        <v>584</v>
      </c>
      <c r="F120" t="s">
        <v>585</v>
      </c>
      <c r="H120" t="s">
        <v>962</v>
      </c>
    </row>
    <row r="121" spans="1:8">
      <c r="A121" t="s">
        <v>963</v>
      </c>
      <c r="B121" t="s">
        <v>588</v>
      </c>
      <c r="C121" t="s">
        <v>964</v>
      </c>
      <c r="D121" t="s">
        <v>590</v>
      </c>
      <c r="E121" t="s">
        <v>584</v>
      </c>
      <c r="F121" t="s">
        <v>584</v>
      </c>
      <c r="H121" t="s">
        <v>965</v>
      </c>
    </row>
    <row r="122" spans="1:8">
      <c r="A122" t="s">
        <v>966</v>
      </c>
      <c r="B122" t="s">
        <v>581</v>
      </c>
      <c r="C122" t="s">
        <v>967</v>
      </c>
      <c r="D122" t="s">
        <v>608</v>
      </c>
      <c r="E122" t="s">
        <v>584</v>
      </c>
      <c r="F122" t="s">
        <v>584</v>
      </c>
      <c r="H122" t="s">
        <v>968</v>
      </c>
    </row>
    <row r="123" spans="1:8">
      <c r="A123" t="s">
        <v>969</v>
      </c>
      <c r="B123" t="s">
        <v>581</v>
      </c>
      <c r="C123" t="s">
        <v>970</v>
      </c>
      <c r="D123" t="s">
        <v>608</v>
      </c>
      <c r="E123" t="s">
        <v>584</v>
      </c>
      <c r="F123" t="s">
        <v>585</v>
      </c>
      <c r="H123" t="s">
        <v>971</v>
      </c>
    </row>
    <row r="124" spans="1:8">
      <c r="A124" t="s">
        <v>972</v>
      </c>
      <c r="B124" t="s">
        <v>588</v>
      </c>
      <c r="C124" t="s">
        <v>973</v>
      </c>
      <c r="D124" t="s">
        <v>598</v>
      </c>
      <c r="E124" t="s">
        <v>584</v>
      </c>
      <c r="F124" t="s">
        <v>585</v>
      </c>
      <c r="G124" t="s">
        <v>973</v>
      </c>
      <c r="H124" t="s">
        <v>974</v>
      </c>
    </row>
    <row r="125" spans="1:8">
      <c r="A125" t="s">
        <v>975</v>
      </c>
      <c r="B125" t="s">
        <v>588</v>
      </c>
      <c r="C125" t="s">
        <v>976</v>
      </c>
      <c r="D125" t="s">
        <v>583</v>
      </c>
      <c r="E125" t="s">
        <v>584</v>
      </c>
      <c r="F125" t="s">
        <v>585</v>
      </c>
      <c r="H125" t="s">
        <v>977</v>
      </c>
    </row>
    <row r="126" spans="1:8">
      <c r="A126" t="s">
        <v>978</v>
      </c>
      <c r="B126" t="s">
        <v>581</v>
      </c>
      <c r="C126" t="s">
        <v>979</v>
      </c>
      <c r="D126" t="s">
        <v>608</v>
      </c>
      <c r="E126" t="s">
        <v>584</v>
      </c>
      <c r="F126" t="s">
        <v>584</v>
      </c>
      <c r="H126" t="s">
        <v>980</v>
      </c>
    </row>
    <row r="127" spans="1:8">
      <c r="A127" t="s">
        <v>981</v>
      </c>
      <c r="B127" t="s">
        <v>601</v>
      </c>
      <c r="C127" t="s">
        <v>982</v>
      </c>
      <c r="D127" t="s">
        <v>594</v>
      </c>
      <c r="E127" t="s">
        <v>584</v>
      </c>
      <c r="F127" t="s">
        <v>584</v>
      </c>
      <c r="H127" t="s">
        <v>983</v>
      </c>
    </row>
    <row r="128" spans="1:8">
      <c r="A128" t="s">
        <v>984</v>
      </c>
      <c r="B128" t="s">
        <v>588</v>
      </c>
      <c r="C128" t="s">
        <v>985</v>
      </c>
      <c r="D128" t="s">
        <v>598</v>
      </c>
      <c r="E128" t="s">
        <v>925</v>
      </c>
      <c r="F128" t="s">
        <v>585</v>
      </c>
      <c r="H128" t="s">
        <v>986</v>
      </c>
    </row>
    <row r="129" spans="1:8">
      <c r="A129" t="s">
        <v>987</v>
      </c>
      <c r="B129" t="s">
        <v>606</v>
      </c>
      <c r="C129" t="s">
        <v>988</v>
      </c>
      <c r="D129" t="s">
        <v>608</v>
      </c>
      <c r="E129" t="s">
        <v>584</v>
      </c>
      <c r="F129" t="s">
        <v>585</v>
      </c>
      <c r="H129" t="s">
        <v>989</v>
      </c>
    </row>
    <row r="130" spans="1:8">
      <c r="A130" t="s">
        <v>990</v>
      </c>
      <c r="B130" t="s">
        <v>588</v>
      </c>
      <c r="C130" t="s">
        <v>991</v>
      </c>
      <c r="D130" t="s">
        <v>608</v>
      </c>
      <c r="E130" t="s">
        <v>584</v>
      </c>
      <c r="F130" t="s">
        <v>585</v>
      </c>
      <c r="H130" t="s">
        <v>992</v>
      </c>
    </row>
    <row r="131" spans="1:8">
      <c r="A131" t="s">
        <v>993</v>
      </c>
      <c r="B131" t="s">
        <v>588</v>
      </c>
      <c r="C131" t="s">
        <v>994</v>
      </c>
      <c r="D131" t="s">
        <v>612</v>
      </c>
      <c r="E131" t="s">
        <v>584</v>
      </c>
      <c r="G131" t="s">
        <v>994</v>
      </c>
      <c r="H131" t="s">
        <v>995</v>
      </c>
    </row>
    <row r="132" spans="1:8">
      <c r="A132" t="s">
        <v>996</v>
      </c>
      <c r="B132" t="s">
        <v>606</v>
      </c>
      <c r="C132" t="s">
        <v>997</v>
      </c>
      <c r="D132" t="s">
        <v>598</v>
      </c>
      <c r="E132" t="s">
        <v>584</v>
      </c>
      <c r="F132" t="s">
        <v>585</v>
      </c>
      <c r="H132" t="s">
        <v>998</v>
      </c>
    </row>
    <row r="133" spans="1:8">
      <c r="A133" t="s">
        <v>999</v>
      </c>
      <c r="B133" t="s">
        <v>606</v>
      </c>
      <c r="C133" t="s">
        <v>1000</v>
      </c>
      <c r="D133" t="s">
        <v>590</v>
      </c>
      <c r="E133" t="s">
        <v>584</v>
      </c>
      <c r="F133" t="s">
        <v>585</v>
      </c>
      <c r="H133" t="s">
        <v>1001</v>
      </c>
    </row>
    <row r="134" spans="1:8">
      <c r="A134" t="s">
        <v>1002</v>
      </c>
      <c r="B134" t="s">
        <v>601</v>
      </c>
      <c r="C134" t="s">
        <v>1003</v>
      </c>
      <c r="D134" t="s">
        <v>590</v>
      </c>
      <c r="E134" t="s">
        <v>1004</v>
      </c>
      <c r="F134" t="s">
        <v>585</v>
      </c>
      <c r="H134" t="s">
        <v>1005</v>
      </c>
    </row>
    <row r="135" spans="1:8">
      <c r="A135" t="s">
        <v>1006</v>
      </c>
      <c r="B135" t="s">
        <v>606</v>
      </c>
      <c r="C135" t="s">
        <v>1007</v>
      </c>
      <c r="D135" t="s">
        <v>598</v>
      </c>
      <c r="E135" t="s">
        <v>584</v>
      </c>
      <c r="F135" t="s">
        <v>585</v>
      </c>
      <c r="H135" t="s">
        <v>1008</v>
      </c>
    </row>
    <row r="136" spans="1:8">
      <c r="A136" t="s">
        <v>1009</v>
      </c>
      <c r="B136" t="s">
        <v>588</v>
      </c>
      <c r="C136" t="s">
        <v>1010</v>
      </c>
      <c r="D136" t="s">
        <v>590</v>
      </c>
      <c r="E136" s="115" t="s">
        <v>925</v>
      </c>
      <c r="F136" t="s">
        <v>585</v>
      </c>
      <c r="H136" t="s">
        <v>1011</v>
      </c>
    </row>
    <row r="137" spans="1:8">
      <c r="A137" t="s">
        <v>1012</v>
      </c>
      <c r="B137" t="s">
        <v>588</v>
      </c>
      <c r="C137" t="s">
        <v>1013</v>
      </c>
      <c r="D137" t="s">
        <v>612</v>
      </c>
      <c r="E137" s="115" t="s">
        <v>925</v>
      </c>
      <c r="F137" t="s">
        <v>585</v>
      </c>
    </row>
    <row r="138" spans="1:8">
      <c r="A138" t="s">
        <v>1014</v>
      </c>
      <c r="B138" t="s">
        <v>606</v>
      </c>
      <c r="C138" t="s">
        <v>1015</v>
      </c>
      <c r="D138" t="s">
        <v>594</v>
      </c>
      <c r="E138" t="s">
        <v>584</v>
      </c>
      <c r="F138" t="s">
        <v>585</v>
      </c>
      <c r="H138" t="s">
        <v>1016</v>
      </c>
    </row>
    <row r="139" spans="1:8">
      <c r="A139" t="s">
        <v>1017</v>
      </c>
      <c r="B139" t="s">
        <v>581</v>
      </c>
      <c r="C139" t="s">
        <v>1018</v>
      </c>
      <c r="D139" t="s">
        <v>608</v>
      </c>
      <c r="E139" t="s">
        <v>584</v>
      </c>
      <c r="F139" t="s">
        <v>585</v>
      </c>
      <c r="H139" t="s">
        <v>1019</v>
      </c>
    </row>
    <row r="140" spans="1:8">
      <c r="A140" t="s">
        <v>1020</v>
      </c>
      <c r="B140" t="s">
        <v>606</v>
      </c>
      <c r="C140" t="s">
        <v>1021</v>
      </c>
      <c r="D140" t="s">
        <v>598</v>
      </c>
      <c r="E140" t="s">
        <v>584</v>
      </c>
      <c r="F140" t="s">
        <v>585</v>
      </c>
      <c r="H140" t="s">
        <v>1022</v>
      </c>
    </row>
    <row r="141" spans="1:8">
      <c r="A141" t="s">
        <v>1023</v>
      </c>
      <c r="B141" t="s">
        <v>588</v>
      </c>
      <c r="C141" t="s">
        <v>1024</v>
      </c>
      <c r="D141" t="s">
        <v>608</v>
      </c>
      <c r="E141" t="s">
        <v>584</v>
      </c>
      <c r="F141" t="s">
        <v>585</v>
      </c>
      <c r="H141" t="s">
        <v>1025</v>
      </c>
    </row>
    <row r="142" spans="1:8">
      <c r="A142" t="s">
        <v>1026</v>
      </c>
      <c r="B142" t="s">
        <v>588</v>
      </c>
      <c r="C142" t="s">
        <v>1027</v>
      </c>
      <c r="D142" t="s">
        <v>598</v>
      </c>
      <c r="E142" t="s">
        <v>584</v>
      </c>
      <c r="F142" t="s">
        <v>585</v>
      </c>
      <c r="H142" t="s">
        <v>1028</v>
      </c>
    </row>
    <row r="143" spans="1:8">
      <c r="A143" t="s">
        <v>1029</v>
      </c>
      <c r="B143" t="s">
        <v>581</v>
      </c>
      <c r="C143" t="s">
        <v>1030</v>
      </c>
      <c r="D143" t="s">
        <v>583</v>
      </c>
      <c r="E143" t="s">
        <v>584</v>
      </c>
      <c r="F143" t="s">
        <v>584</v>
      </c>
      <c r="H143" t="s">
        <v>1031</v>
      </c>
    </row>
    <row r="144" spans="1:8">
      <c r="A144" t="s">
        <v>1032</v>
      </c>
      <c r="B144" t="s">
        <v>601</v>
      </c>
      <c r="C144" t="s">
        <v>1033</v>
      </c>
      <c r="D144" t="s">
        <v>590</v>
      </c>
      <c r="E144" t="s">
        <v>584</v>
      </c>
      <c r="F144" t="s">
        <v>584</v>
      </c>
      <c r="G144" t="s">
        <v>1033</v>
      </c>
      <c r="H144" t="s">
        <v>1034</v>
      </c>
    </row>
    <row r="145" spans="1:8">
      <c r="A145" t="s">
        <v>1035</v>
      </c>
      <c r="B145" t="s">
        <v>601</v>
      </c>
      <c r="C145" t="s">
        <v>1036</v>
      </c>
      <c r="D145" t="s">
        <v>598</v>
      </c>
      <c r="E145" t="s">
        <v>1037</v>
      </c>
      <c r="F145" t="s">
        <v>585</v>
      </c>
      <c r="H145" t="s">
        <v>1038</v>
      </c>
    </row>
    <row r="146" spans="1:8">
      <c r="A146" t="s">
        <v>1039</v>
      </c>
      <c r="B146" t="s">
        <v>601</v>
      </c>
      <c r="C146" t="s">
        <v>1040</v>
      </c>
      <c r="D146" t="s">
        <v>598</v>
      </c>
      <c r="E146" t="s">
        <v>584</v>
      </c>
      <c r="F146" t="s">
        <v>585</v>
      </c>
      <c r="H146" t="s">
        <v>1041</v>
      </c>
    </row>
    <row r="147" spans="1:8">
      <c r="A147" t="s">
        <v>1042</v>
      </c>
      <c r="B147" t="s">
        <v>606</v>
      </c>
      <c r="C147" t="s">
        <v>1043</v>
      </c>
      <c r="D147" t="s">
        <v>612</v>
      </c>
      <c r="E147" t="s">
        <v>584</v>
      </c>
      <c r="F147" t="s">
        <v>585</v>
      </c>
      <c r="H147" t="s">
        <v>1044</v>
      </c>
    </row>
    <row r="148" spans="1:8">
      <c r="A148" t="s">
        <v>1045</v>
      </c>
      <c r="B148" t="s">
        <v>581</v>
      </c>
      <c r="C148" t="s">
        <v>1046</v>
      </c>
      <c r="D148" t="s">
        <v>608</v>
      </c>
      <c r="E148" t="s">
        <v>584</v>
      </c>
      <c r="F148" t="s">
        <v>585</v>
      </c>
      <c r="H148" t="s">
        <v>1047</v>
      </c>
    </row>
    <row r="149" spans="1:8">
      <c r="A149" t="s">
        <v>1048</v>
      </c>
      <c r="B149" t="s">
        <v>606</v>
      </c>
      <c r="C149" t="s">
        <v>1049</v>
      </c>
      <c r="D149" t="s">
        <v>608</v>
      </c>
      <c r="E149" t="s">
        <v>584</v>
      </c>
      <c r="F149" t="s">
        <v>585</v>
      </c>
      <c r="H149" t="s">
        <v>1050</v>
      </c>
    </row>
    <row r="150" spans="1:8">
      <c r="A150" t="s">
        <v>1051</v>
      </c>
      <c r="B150" t="s">
        <v>601</v>
      </c>
      <c r="C150" t="s">
        <v>1052</v>
      </c>
      <c r="D150" t="s">
        <v>598</v>
      </c>
      <c r="E150" t="s">
        <v>1053</v>
      </c>
      <c r="F150" t="s">
        <v>585</v>
      </c>
      <c r="H150" t="s">
        <v>1054</v>
      </c>
    </row>
    <row r="151" spans="1:8">
      <c r="A151" t="s">
        <v>1055</v>
      </c>
      <c r="B151" t="s">
        <v>601</v>
      </c>
      <c r="C151" t="s">
        <v>1056</v>
      </c>
      <c r="D151" t="s">
        <v>590</v>
      </c>
      <c r="E151" t="s">
        <v>584</v>
      </c>
      <c r="F151" t="s">
        <v>585</v>
      </c>
      <c r="G151" t="s">
        <v>1056</v>
      </c>
      <c r="H151" t="s">
        <v>1057</v>
      </c>
    </row>
    <row r="152" spans="1:8">
      <c r="A152" t="s">
        <v>1058</v>
      </c>
      <c r="B152" t="s">
        <v>601</v>
      </c>
      <c r="C152" t="s">
        <v>1059</v>
      </c>
      <c r="D152" t="s">
        <v>594</v>
      </c>
      <c r="E152" t="s">
        <v>584</v>
      </c>
      <c r="F152" t="s">
        <v>585</v>
      </c>
      <c r="H152" t="s">
        <v>1060</v>
      </c>
    </row>
    <row r="153" spans="1:8">
      <c r="A153" t="s">
        <v>1061</v>
      </c>
      <c r="B153" t="s">
        <v>606</v>
      </c>
      <c r="C153" t="s">
        <v>1062</v>
      </c>
      <c r="D153" t="s">
        <v>583</v>
      </c>
      <c r="E153" t="s">
        <v>584</v>
      </c>
      <c r="F153" t="s">
        <v>584</v>
      </c>
      <c r="H153" t="s">
        <v>1063</v>
      </c>
    </row>
    <row r="154" spans="1:8">
      <c r="A154" t="s">
        <v>1064</v>
      </c>
      <c r="B154" t="s">
        <v>601</v>
      </c>
      <c r="C154" t="s">
        <v>1065</v>
      </c>
      <c r="D154" t="s">
        <v>598</v>
      </c>
      <c r="E154" t="s">
        <v>584</v>
      </c>
      <c r="F154" t="s">
        <v>585</v>
      </c>
      <c r="H154" t="s">
        <v>1066</v>
      </c>
    </row>
    <row r="155" spans="1:8">
      <c r="A155" t="s">
        <v>1067</v>
      </c>
      <c r="B155" t="s">
        <v>601</v>
      </c>
      <c r="C155" t="s">
        <v>1068</v>
      </c>
      <c r="D155" t="s">
        <v>612</v>
      </c>
      <c r="E155" t="s">
        <v>584</v>
      </c>
      <c r="F155" t="s">
        <v>585</v>
      </c>
      <c r="H155" t="s">
        <v>1069</v>
      </c>
    </row>
    <row r="156" spans="1:8">
      <c r="A156" t="s">
        <v>1070</v>
      </c>
      <c r="B156" t="s">
        <v>606</v>
      </c>
      <c r="C156" t="s">
        <v>1071</v>
      </c>
      <c r="D156" t="s">
        <v>598</v>
      </c>
      <c r="E156" t="s">
        <v>584</v>
      </c>
      <c r="F156" t="s">
        <v>585</v>
      </c>
      <c r="H156" t="s">
        <v>1072</v>
      </c>
    </row>
    <row r="157" spans="1:8">
      <c r="A157" t="s">
        <v>1073</v>
      </c>
      <c r="B157" t="s">
        <v>588</v>
      </c>
      <c r="C157" t="s">
        <v>1074</v>
      </c>
      <c r="D157" t="s">
        <v>612</v>
      </c>
      <c r="E157" t="s">
        <v>584</v>
      </c>
      <c r="F157" t="s">
        <v>585</v>
      </c>
      <c r="H157" t="s">
        <v>1075</v>
      </c>
    </row>
    <row r="158" spans="1:8">
      <c r="A158" t="s">
        <v>1076</v>
      </c>
      <c r="B158" t="s">
        <v>588</v>
      </c>
      <c r="C158" t="s">
        <v>1077</v>
      </c>
      <c r="D158" t="s">
        <v>612</v>
      </c>
      <c r="E158" t="s">
        <v>584</v>
      </c>
      <c r="F158" t="s">
        <v>584</v>
      </c>
      <c r="H158" t="s">
        <v>1078</v>
      </c>
    </row>
    <row r="159" spans="1:8">
      <c r="A159" t="s">
        <v>1079</v>
      </c>
      <c r="B159" t="s">
        <v>606</v>
      </c>
      <c r="C159" t="s">
        <v>1080</v>
      </c>
      <c r="D159" t="s">
        <v>598</v>
      </c>
      <c r="E159" t="s">
        <v>584</v>
      </c>
      <c r="F159" t="s">
        <v>584</v>
      </c>
      <c r="H159" t="s">
        <v>1081</v>
      </c>
    </row>
    <row r="160" spans="1:8">
      <c r="A160" t="s">
        <v>1082</v>
      </c>
      <c r="B160" t="s">
        <v>601</v>
      </c>
      <c r="C160" t="s">
        <v>1083</v>
      </c>
      <c r="D160" t="s">
        <v>590</v>
      </c>
      <c r="E160" t="s">
        <v>584</v>
      </c>
      <c r="F160" t="s">
        <v>584</v>
      </c>
      <c r="G160" t="s">
        <v>1083</v>
      </c>
      <c r="H160" t="s">
        <v>1084</v>
      </c>
    </row>
    <row r="161" spans="1:8">
      <c r="A161" t="s">
        <v>1085</v>
      </c>
      <c r="B161" t="s">
        <v>601</v>
      </c>
      <c r="C161" t="s">
        <v>1086</v>
      </c>
      <c r="D161" t="s">
        <v>590</v>
      </c>
      <c r="E161" t="s">
        <v>584</v>
      </c>
      <c r="F161" t="s">
        <v>584</v>
      </c>
      <c r="G161" t="s">
        <v>1086</v>
      </c>
      <c r="H161" t="s">
        <v>1087</v>
      </c>
    </row>
    <row r="162" spans="1:8">
      <c r="A162" t="s">
        <v>1088</v>
      </c>
      <c r="B162" t="s">
        <v>601</v>
      </c>
      <c r="C162" t="s">
        <v>1089</v>
      </c>
      <c r="D162" t="s">
        <v>612</v>
      </c>
      <c r="E162" t="s">
        <v>584</v>
      </c>
      <c r="F162" t="s">
        <v>585</v>
      </c>
      <c r="H162" t="s">
        <v>1090</v>
      </c>
    </row>
    <row r="163" spans="1:8">
      <c r="A163" t="s">
        <v>1091</v>
      </c>
      <c r="B163" t="s">
        <v>601</v>
      </c>
      <c r="C163" t="s">
        <v>1092</v>
      </c>
      <c r="D163" t="s">
        <v>594</v>
      </c>
      <c r="E163" t="s">
        <v>584</v>
      </c>
      <c r="F163" t="s">
        <v>585</v>
      </c>
      <c r="H163" t="s">
        <v>1093</v>
      </c>
    </row>
    <row r="164" spans="1:8">
      <c r="A164" t="s">
        <v>1094</v>
      </c>
      <c r="B164" t="s">
        <v>588</v>
      </c>
      <c r="C164" t="s">
        <v>1095</v>
      </c>
      <c r="D164" t="s">
        <v>590</v>
      </c>
      <c r="E164" t="s">
        <v>584</v>
      </c>
      <c r="F164" t="s">
        <v>584</v>
      </c>
      <c r="G164" t="s">
        <v>1095</v>
      </c>
      <c r="H164" t="s">
        <v>1096</v>
      </c>
    </row>
    <row r="165" spans="1:8">
      <c r="A165" t="s">
        <v>1097</v>
      </c>
      <c r="B165" t="s">
        <v>588</v>
      </c>
      <c r="C165" t="s">
        <v>1098</v>
      </c>
      <c r="D165" t="s">
        <v>590</v>
      </c>
      <c r="E165" t="s">
        <v>584</v>
      </c>
      <c r="F165" t="s">
        <v>585</v>
      </c>
      <c r="G165" t="s">
        <v>1098</v>
      </c>
      <c r="H165" t="s">
        <v>1099</v>
      </c>
    </row>
    <row r="166" spans="1:8">
      <c r="A166" t="s">
        <v>1100</v>
      </c>
      <c r="B166" t="s">
        <v>581</v>
      </c>
      <c r="C166" t="s">
        <v>1101</v>
      </c>
      <c r="D166" t="s">
        <v>608</v>
      </c>
      <c r="E166" t="s">
        <v>584</v>
      </c>
      <c r="F166" t="s">
        <v>584</v>
      </c>
      <c r="H166" t="s">
        <v>1102</v>
      </c>
    </row>
    <row r="167" spans="1:8">
      <c r="A167" t="s">
        <v>1103</v>
      </c>
      <c r="B167" t="s">
        <v>588</v>
      </c>
      <c r="C167" t="s">
        <v>1104</v>
      </c>
      <c r="D167" t="s">
        <v>598</v>
      </c>
      <c r="E167" t="s">
        <v>584</v>
      </c>
      <c r="F167" t="s">
        <v>585</v>
      </c>
      <c r="H167" t="s">
        <v>1105</v>
      </c>
    </row>
    <row r="168" spans="1:8">
      <c r="A168" t="s">
        <v>1106</v>
      </c>
      <c r="B168" t="s">
        <v>601</v>
      </c>
      <c r="C168" t="s">
        <v>1107</v>
      </c>
      <c r="D168" t="s">
        <v>590</v>
      </c>
      <c r="E168" t="s">
        <v>1108</v>
      </c>
      <c r="F168" t="s">
        <v>585</v>
      </c>
      <c r="H168" t="s">
        <v>1109</v>
      </c>
    </row>
    <row r="169" spans="1:8">
      <c r="A169" t="s">
        <v>1110</v>
      </c>
      <c r="B169" t="s">
        <v>606</v>
      </c>
      <c r="C169" t="s">
        <v>1111</v>
      </c>
      <c r="D169" t="s">
        <v>608</v>
      </c>
      <c r="E169" t="s">
        <v>584</v>
      </c>
      <c r="F169" t="s">
        <v>585</v>
      </c>
      <c r="H169" t="s">
        <v>1112</v>
      </c>
    </row>
    <row r="170" spans="1:8">
      <c r="A170" t="s">
        <v>1113</v>
      </c>
      <c r="B170" t="s">
        <v>601</v>
      </c>
      <c r="C170" t="s">
        <v>1114</v>
      </c>
      <c r="D170" t="s">
        <v>594</v>
      </c>
      <c r="E170" t="s">
        <v>584</v>
      </c>
      <c r="F170" t="s">
        <v>585</v>
      </c>
      <c r="G170" t="s">
        <v>1114</v>
      </c>
      <c r="H170" t="s">
        <v>1115</v>
      </c>
    </row>
    <row r="171" spans="1:8">
      <c r="A171" t="s">
        <v>1116</v>
      </c>
      <c r="B171" t="s">
        <v>581</v>
      </c>
      <c r="C171" t="s">
        <v>1117</v>
      </c>
      <c r="D171" t="s">
        <v>608</v>
      </c>
      <c r="E171" t="s">
        <v>584</v>
      </c>
      <c r="F171" t="s">
        <v>585</v>
      </c>
      <c r="H171" t="s">
        <v>1118</v>
      </c>
    </row>
    <row r="172" spans="1:8">
      <c r="A172" t="s">
        <v>1119</v>
      </c>
      <c r="B172" t="s">
        <v>588</v>
      </c>
      <c r="C172" t="s">
        <v>1120</v>
      </c>
      <c r="D172" t="s">
        <v>590</v>
      </c>
      <c r="E172" t="s">
        <v>584</v>
      </c>
      <c r="F172" t="s">
        <v>584</v>
      </c>
      <c r="H172" t="s">
        <v>1121</v>
      </c>
    </row>
    <row r="173" spans="1:8">
      <c r="A173" t="s">
        <v>1122</v>
      </c>
      <c r="B173" t="s">
        <v>601</v>
      </c>
      <c r="C173" t="s">
        <v>1123</v>
      </c>
      <c r="D173" t="s">
        <v>608</v>
      </c>
      <c r="E173" t="s">
        <v>584</v>
      </c>
      <c r="F173" t="s">
        <v>585</v>
      </c>
      <c r="H173" t="s">
        <v>1124</v>
      </c>
    </row>
    <row r="174" spans="1:8">
      <c r="A174" t="s">
        <v>1125</v>
      </c>
      <c r="B174" t="s">
        <v>581</v>
      </c>
      <c r="C174" t="s">
        <v>1126</v>
      </c>
      <c r="D174" t="s">
        <v>608</v>
      </c>
      <c r="E174" t="s">
        <v>584</v>
      </c>
      <c r="F174" t="s">
        <v>585</v>
      </c>
      <c r="H174" t="s">
        <v>1127</v>
      </c>
    </row>
    <row r="175" spans="1:8">
      <c r="A175" t="s">
        <v>1128</v>
      </c>
      <c r="B175" t="s">
        <v>601</v>
      </c>
      <c r="C175" t="s">
        <v>1129</v>
      </c>
      <c r="D175" t="s">
        <v>598</v>
      </c>
      <c r="E175" t="s">
        <v>584</v>
      </c>
      <c r="F175" t="s">
        <v>585</v>
      </c>
      <c r="H175" t="s">
        <v>1130</v>
      </c>
    </row>
    <row r="176" spans="1:8">
      <c r="A176" t="s">
        <v>1131</v>
      </c>
      <c r="B176" t="s">
        <v>601</v>
      </c>
      <c r="C176" t="s">
        <v>1132</v>
      </c>
      <c r="D176" t="s">
        <v>612</v>
      </c>
      <c r="E176" t="s">
        <v>1133</v>
      </c>
      <c r="F176" t="s">
        <v>585</v>
      </c>
      <c r="H176" t="s">
        <v>1134</v>
      </c>
    </row>
    <row r="177" spans="1:8">
      <c r="A177" t="s">
        <v>1135</v>
      </c>
      <c r="B177" t="s">
        <v>601</v>
      </c>
      <c r="C177" t="s">
        <v>1136</v>
      </c>
      <c r="D177" t="s">
        <v>590</v>
      </c>
      <c r="E177" t="s">
        <v>584</v>
      </c>
      <c r="F177" t="s">
        <v>584</v>
      </c>
      <c r="G177" t="s">
        <v>1137</v>
      </c>
      <c r="H177" t="s">
        <v>1138</v>
      </c>
    </row>
    <row r="178" spans="1:8">
      <c r="A178" t="s">
        <v>1139</v>
      </c>
      <c r="B178" t="s">
        <v>601</v>
      </c>
      <c r="C178" t="s">
        <v>1140</v>
      </c>
      <c r="D178" t="s">
        <v>590</v>
      </c>
      <c r="E178" t="s">
        <v>584</v>
      </c>
      <c r="F178" t="s">
        <v>584</v>
      </c>
      <c r="G178" t="s">
        <v>1140</v>
      </c>
      <c r="H178" t="s">
        <v>1141</v>
      </c>
    </row>
    <row r="179" spans="1:8">
      <c r="A179" t="s">
        <v>1142</v>
      </c>
      <c r="B179" t="s">
        <v>606</v>
      </c>
      <c r="C179" t="s">
        <v>1143</v>
      </c>
      <c r="D179" t="s">
        <v>598</v>
      </c>
      <c r="E179" t="s">
        <v>584</v>
      </c>
      <c r="F179" t="s">
        <v>585</v>
      </c>
      <c r="H179" t="s">
        <v>1144</v>
      </c>
    </row>
    <row r="180" spans="1:8">
      <c r="A180" t="s">
        <v>1145</v>
      </c>
      <c r="B180" t="s">
        <v>581</v>
      </c>
      <c r="C180" t="s">
        <v>1146</v>
      </c>
      <c r="D180" t="s">
        <v>608</v>
      </c>
      <c r="E180" t="s">
        <v>584</v>
      </c>
      <c r="F180" t="s">
        <v>585</v>
      </c>
      <c r="H180" t="s">
        <v>1147</v>
      </c>
    </row>
    <row r="181" spans="1:8">
      <c r="A181" t="s">
        <v>1148</v>
      </c>
      <c r="B181" t="s">
        <v>588</v>
      </c>
      <c r="C181" t="s">
        <v>1149</v>
      </c>
      <c r="D181" t="s">
        <v>608</v>
      </c>
      <c r="E181" t="s">
        <v>584</v>
      </c>
      <c r="F181" t="s">
        <v>585</v>
      </c>
      <c r="G181" t="s">
        <v>1149</v>
      </c>
      <c r="H181" t="s">
        <v>1150</v>
      </c>
    </row>
    <row r="182" spans="1:8">
      <c r="A182" t="s">
        <v>1151</v>
      </c>
      <c r="B182" t="s">
        <v>581</v>
      </c>
      <c r="C182" t="s">
        <v>1152</v>
      </c>
      <c r="D182" t="s">
        <v>608</v>
      </c>
      <c r="E182" s="115" t="s">
        <v>1108</v>
      </c>
      <c r="F182" t="s">
        <v>585</v>
      </c>
      <c r="H182" t="s">
        <v>1153</v>
      </c>
    </row>
    <row r="183" spans="1:8">
      <c r="A183" t="s">
        <v>1154</v>
      </c>
      <c r="B183" t="s">
        <v>601</v>
      </c>
      <c r="C183" t="s">
        <v>1155</v>
      </c>
      <c r="D183" t="s">
        <v>590</v>
      </c>
      <c r="E183" t="s">
        <v>584</v>
      </c>
      <c r="F183" t="s">
        <v>584</v>
      </c>
      <c r="G183" t="s">
        <v>1155</v>
      </c>
      <c r="H183" t="s">
        <v>1156</v>
      </c>
    </row>
    <row r="184" spans="1:8">
      <c r="A184" t="s">
        <v>1157</v>
      </c>
      <c r="B184" t="s">
        <v>606</v>
      </c>
      <c r="C184" t="s">
        <v>1158</v>
      </c>
      <c r="D184" t="s">
        <v>583</v>
      </c>
      <c r="E184" t="s">
        <v>584</v>
      </c>
      <c r="F184" t="s">
        <v>584</v>
      </c>
      <c r="H184" t="s">
        <v>1159</v>
      </c>
    </row>
    <row r="185" spans="1:8">
      <c r="A185" t="s">
        <v>1160</v>
      </c>
      <c r="B185" t="s">
        <v>601</v>
      </c>
      <c r="C185" t="s">
        <v>1161</v>
      </c>
      <c r="D185" t="s">
        <v>612</v>
      </c>
      <c r="E185" t="s">
        <v>584</v>
      </c>
      <c r="F185" t="s">
        <v>585</v>
      </c>
      <c r="H185" t="s">
        <v>1162</v>
      </c>
    </row>
    <row r="186" spans="1:8">
      <c r="A186" t="s">
        <v>1163</v>
      </c>
      <c r="B186" t="s">
        <v>588</v>
      </c>
      <c r="C186" t="s">
        <v>1164</v>
      </c>
      <c r="D186" t="s">
        <v>612</v>
      </c>
      <c r="E186" t="s">
        <v>584</v>
      </c>
      <c r="F186" t="s">
        <v>585</v>
      </c>
      <c r="H186" t="s">
        <v>1165</v>
      </c>
    </row>
    <row r="187" spans="1:8">
      <c r="A187" t="s">
        <v>1166</v>
      </c>
      <c r="B187" t="s">
        <v>601</v>
      </c>
      <c r="C187" t="s">
        <v>1167</v>
      </c>
      <c r="D187" t="s">
        <v>612</v>
      </c>
      <c r="E187" t="s">
        <v>1168</v>
      </c>
      <c r="F187" t="s">
        <v>585</v>
      </c>
      <c r="H187" t="s">
        <v>1169</v>
      </c>
    </row>
    <row r="188" spans="1:8">
      <c r="A188" t="s">
        <v>1170</v>
      </c>
      <c r="B188" t="s">
        <v>588</v>
      </c>
      <c r="C188" t="s">
        <v>1171</v>
      </c>
      <c r="D188" t="s">
        <v>612</v>
      </c>
      <c r="E188" t="s">
        <v>584</v>
      </c>
      <c r="F188" t="s">
        <v>585</v>
      </c>
      <c r="H188" t="s">
        <v>1172</v>
      </c>
    </row>
    <row r="189" spans="1:8">
      <c r="A189" t="s">
        <v>1173</v>
      </c>
      <c r="B189" t="s">
        <v>606</v>
      </c>
      <c r="C189" t="s">
        <v>1174</v>
      </c>
      <c r="D189" t="s">
        <v>608</v>
      </c>
      <c r="E189" t="s">
        <v>584</v>
      </c>
      <c r="F189" t="s">
        <v>585</v>
      </c>
      <c r="H189" t="s">
        <v>1175</v>
      </c>
    </row>
    <row r="190" spans="1:8">
      <c r="A190" t="s">
        <v>1176</v>
      </c>
      <c r="B190" t="s">
        <v>588</v>
      </c>
      <c r="C190" t="s">
        <v>1177</v>
      </c>
      <c r="D190" t="s">
        <v>612</v>
      </c>
      <c r="E190" t="s">
        <v>584</v>
      </c>
      <c r="F190" t="s">
        <v>585</v>
      </c>
      <c r="H190" t="s">
        <v>1178</v>
      </c>
    </row>
    <row r="191" spans="1:8">
      <c r="A191" t="s">
        <v>1179</v>
      </c>
      <c r="B191" t="s">
        <v>601</v>
      </c>
      <c r="C191" t="s">
        <v>1180</v>
      </c>
      <c r="D191" t="s">
        <v>590</v>
      </c>
      <c r="E191" t="s">
        <v>584</v>
      </c>
      <c r="F191" t="s">
        <v>584</v>
      </c>
      <c r="G191" t="s">
        <v>1180</v>
      </c>
      <c r="H191" t="s">
        <v>1181</v>
      </c>
    </row>
    <row r="192" spans="1:8">
      <c r="A192" t="s">
        <v>1182</v>
      </c>
      <c r="B192" t="s">
        <v>601</v>
      </c>
      <c r="C192" t="s">
        <v>1183</v>
      </c>
      <c r="D192" t="s">
        <v>590</v>
      </c>
      <c r="E192" t="s">
        <v>584</v>
      </c>
      <c r="F192" t="s">
        <v>585</v>
      </c>
      <c r="G192" t="s">
        <v>1183</v>
      </c>
      <c r="H192" t="s">
        <v>1184</v>
      </c>
    </row>
    <row r="193" spans="1:8">
      <c r="A193" t="s">
        <v>1185</v>
      </c>
      <c r="B193" t="s">
        <v>581</v>
      </c>
      <c r="C193" t="s">
        <v>1186</v>
      </c>
      <c r="D193" t="s">
        <v>594</v>
      </c>
      <c r="E193" t="s">
        <v>1187</v>
      </c>
      <c r="F193" t="s">
        <v>585</v>
      </c>
      <c r="H193" t="s">
        <v>1188</v>
      </c>
    </row>
    <row r="194" spans="1:8">
      <c r="A194" t="s">
        <v>1189</v>
      </c>
      <c r="B194" t="s">
        <v>601</v>
      </c>
      <c r="C194" t="s">
        <v>1190</v>
      </c>
      <c r="D194" t="s">
        <v>598</v>
      </c>
      <c r="E194" t="s">
        <v>584</v>
      </c>
      <c r="F194" t="s">
        <v>585</v>
      </c>
      <c r="H194" t="s">
        <v>1191</v>
      </c>
    </row>
    <row r="195" spans="1:8">
      <c r="A195" t="s">
        <v>1192</v>
      </c>
      <c r="B195" t="s">
        <v>581</v>
      </c>
      <c r="C195" t="s">
        <v>1193</v>
      </c>
      <c r="D195" t="s">
        <v>590</v>
      </c>
      <c r="E195" t="s">
        <v>584</v>
      </c>
      <c r="F195" t="s">
        <v>585</v>
      </c>
      <c r="H195" t="s">
        <v>1194</v>
      </c>
    </row>
    <row r="196" spans="1:8">
      <c r="A196" t="s">
        <v>1195</v>
      </c>
      <c r="B196" t="s">
        <v>581</v>
      </c>
      <c r="C196" t="s">
        <v>1196</v>
      </c>
      <c r="D196" t="s">
        <v>608</v>
      </c>
      <c r="E196" t="s">
        <v>584</v>
      </c>
      <c r="F196" t="s">
        <v>585</v>
      </c>
      <c r="H196" t="s">
        <v>1197</v>
      </c>
    </row>
    <row r="197" spans="1:8">
      <c r="A197" t="s">
        <v>1198</v>
      </c>
      <c r="B197" t="s">
        <v>588</v>
      </c>
      <c r="C197" t="s">
        <v>1199</v>
      </c>
      <c r="D197" t="s">
        <v>598</v>
      </c>
      <c r="E197" t="s">
        <v>584</v>
      </c>
      <c r="F197" t="s">
        <v>585</v>
      </c>
      <c r="G197" t="s">
        <v>1199</v>
      </c>
      <c r="H197" t="s">
        <v>1200</v>
      </c>
    </row>
    <row r="198" spans="1:8">
      <c r="A198" t="s">
        <v>1201</v>
      </c>
      <c r="B198" t="s">
        <v>606</v>
      </c>
      <c r="C198" t="s">
        <v>1202</v>
      </c>
      <c r="D198" t="s">
        <v>598</v>
      </c>
      <c r="E198" t="s">
        <v>584</v>
      </c>
      <c r="F198" t="s">
        <v>585</v>
      </c>
      <c r="H198" t="s">
        <v>1203</v>
      </c>
    </row>
    <row r="199" spans="1:8">
      <c r="A199" t="s">
        <v>1204</v>
      </c>
      <c r="B199" t="s">
        <v>581</v>
      </c>
      <c r="C199" t="s">
        <v>1205</v>
      </c>
      <c r="D199" t="s">
        <v>608</v>
      </c>
      <c r="E199" t="s">
        <v>584</v>
      </c>
      <c r="F199" t="s">
        <v>585</v>
      </c>
      <c r="H199" t="s">
        <v>1206</v>
      </c>
    </row>
    <row r="200" spans="1:8">
      <c r="A200" t="s">
        <v>1207</v>
      </c>
      <c r="B200" t="s">
        <v>588</v>
      </c>
      <c r="C200" t="s">
        <v>1208</v>
      </c>
      <c r="D200" t="s">
        <v>598</v>
      </c>
      <c r="E200" t="s">
        <v>584</v>
      </c>
      <c r="F200" t="s">
        <v>585</v>
      </c>
      <c r="H200" t="s">
        <v>1209</v>
      </c>
    </row>
    <row r="201" spans="1:8">
      <c r="A201" t="s">
        <v>1210</v>
      </c>
      <c r="B201" t="s">
        <v>601</v>
      </c>
      <c r="C201" t="s">
        <v>1211</v>
      </c>
      <c r="D201" t="s">
        <v>612</v>
      </c>
      <c r="E201" t="s">
        <v>584</v>
      </c>
      <c r="F201" t="s">
        <v>585</v>
      </c>
      <c r="H201" t="s">
        <v>1212</v>
      </c>
    </row>
    <row r="202" spans="1:8">
      <c r="A202" t="s">
        <v>1213</v>
      </c>
      <c r="B202" t="s">
        <v>606</v>
      </c>
      <c r="C202" t="s">
        <v>1214</v>
      </c>
      <c r="D202" t="s">
        <v>594</v>
      </c>
      <c r="E202" t="s">
        <v>584</v>
      </c>
      <c r="F202" t="s">
        <v>585</v>
      </c>
      <c r="H202" t="s">
        <v>1215</v>
      </c>
    </row>
    <row r="203" spans="1:8">
      <c r="A203" t="s">
        <v>1216</v>
      </c>
      <c r="B203" t="s">
        <v>588</v>
      </c>
      <c r="C203" t="s">
        <v>1217</v>
      </c>
      <c r="D203" t="s">
        <v>590</v>
      </c>
      <c r="E203" t="s">
        <v>584</v>
      </c>
      <c r="F203" t="s">
        <v>584</v>
      </c>
      <c r="G203" t="s">
        <v>1217</v>
      </c>
      <c r="H203" t="s">
        <v>1218</v>
      </c>
    </row>
    <row r="204" spans="1:8">
      <c r="A204" t="s">
        <v>1219</v>
      </c>
      <c r="B204" t="s">
        <v>588</v>
      </c>
      <c r="C204" t="s">
        <v>1220</v>
      </c>
      <c r="D204" t="s">
        <v>590</v>
      </c>
      <c r="E204" t="s">
        <v>584</v>
      </c>
      <c r="F204" t="s">
        <v>585</v>
      </c>
      <c r="H204" t="s">
        <v>1221</v>
      </c>
    </row>
    <row r="205" spans="1:8">
      <c r="A205" t="s">
        <v>1222</v>
      </c>
      <c r="B205" t="s">
        <v>601</v>
      </c>
      <c r="C205" t="s">
        <v>1223</v>
      </c>
      <c r="D205" t="s">
        <v>612</v>
      </c>
      <c r="E205" t="s">
        <v>584</v>
      </c>
      <c r="F205" t="s">
        <v>585</v>
      </c>
      <c r="H205" t="s">
        <v>1224</v>
      </c>
    </row>
    <row r="206" spans="1:8">
      <c r="A206" t="s">
        <v>1225</v>
      </c>
      <c r="B206" t="s">
        <v>588</v>
      </c>
      <c r="C206" t="s">
        <v>1226</v>
      </c>
      <c r="D206" t="s">
        <v>598</v>
      </c>
      <c r="E206" t="s">
        <v>1227</v>
      </c>
      <c r="F206" t="s">
        <v>585</v>
      </c>
      <c r="H206" t="s">
        <v>1228</v>
      </c>
    </row>
    <row r="207" spans="1:8">
      <c r="A207" t="s">
        <v>1229</v>
      </c>
      <c r="B207" t="s">
        <v>581</v>
      </c>
      <c r="C207" t="s">
        <v>1230</v>
      </c>
      <c r="D207" t="s">
        <v>608</v>
      </c>
      <c r="E207" t="s">
        <v>584</v>
      </c>
      <c r="F207" t="s">
        <v>585</v>
      </c>
      <c r="H207" t="s">
        <v>1231</v>
      </c>
    </row>
    <row r="208" spans="1:8">
      <c r="A208" t="s">
        <v>1232</v>
      </c>
      <c r="B208" t="s">
        <v>606</v>
      </c>
      <c r="C208" t="s">
        <v>1233</v>
      </c>
      <c r="D208" t="s">
        <v>590</v>
      </c>
      <c r="E208" t="s">
        <v>584</v>
      </c>
      <c r="F208" t="s">
        <v>584</v>
      </c>
      <c r="G208" t="s">
        <v>1233</v>
      </c>
      <c r="H208" t="s">
        <v>1234</v>
      </c>
    </row>
    <row r="209" spans="1:8">
      <c r="A209" t="s">
        <v>1235</v>
      </c>
      <c r="B209" t="s">
        <v>601</v>
      </c>
      <c r="C209" t="s">
        <v>1236</v>
      </c>
      <c r="D209" t="s">
        <v>594</v>
      </c>
      <c r="E209" t="s">
        <v>584</v>
      </c>
      <c r="F209" t="s">
        <v>585</v>
      </c>
      <c r="H209" t="s">
        <v>1237</v>
      </c>
    </row>
    <row r="210" spans="1:8">
      <c r="A210" t="s">
        <v>1238</v>
      </c>
      <c r="B210" t="s">
        <v>601</v>
      </c>
      <c r="C210" t="s">
        <v>1239</v>
      </c>
      <c r="D210" t="s">
        <v>590</v>
      </c>
      <c r="E210" t="s">
        <v>584</v>
      </c>
      <c r="F210" t="s">
        <v>584</v>
      </c>
      <c r="G210" t="s">
        <v>1239</v>
      </c>
      <c r="H210" t="s">
        <v>1240</v>
      </c>
    </row>
    <row r="211" spans="1:8">
      <c r="A211" t="s">
        <v>1241</v>
      </c>
      <c r="B211" t="s">
        <v>601</v>
      </c>
      <c r="C211" t="s">
        <v>1242</v>
      </c>
      <c r="D211" t="s">
        <v>661</v>
      </c>
      <c r="E211" t="s">
        <v>584</v>
      </c>
      <c r="F211" t="s">
        <v>584</v>
      </c>
      <c r="G211" t="s">
        <v>1242</v>
      </c>
      <c r="H211" t="s">
        <v>1243</v>
      </c>
    </row>
    <row r="212" spans="1:8">
      <c r="A212" t="s">
        <v>1244</v>
      </c>
      <c r="B212" t="s">
        <v>601</v>
      </c>
      <c r="C212" t="s">
        <v>1245</v>
      </c>
      <c r="D212" t="s">
        <v>612</v>
      </c>
      <c r="E212" t="s">
        <v>584</v>
      </c>
      <c r="F212" t="s">
        <v>584</v>
      </c>
      <c r="H212" t="s">
        <v>1246</v>
      </c>
    </row>
    <row r="213" spans="1:8">
      <c r="A213" t="s">
        <v>1247</v>
      </c>
      <c r="B213" t="s">
        <v>606</v>
      </c>
      <c r="C213" t="s">
        <v>1248</v>
      </c>
      <c r="D213" t="s">
        <v>590</v>
      </c>
      <c r="E213" t="s">
        <v>584</v>
      </c>
      <c r="F213" t="s">
        <v>585</v>
      </c>
      <c r="H213" t="s">
        <v>1249</v>
      </c>
    </row>
    <row r="214" spans="1:8">
      <c r="A214" t="s">
        <v>1250</v>
      </c>
      <c r="B214" t="s">
        <v>606</v>
      </c>
      <c r="C214" t="s">
        <v>1251</v>
      </c>
      <c r="D214" t="s">
        <v>598</v>
      </c>
      <c r="E214" t="s">
        <v>584</v>
      </c>
      <c r="F214" t="s">
        <v>585</v>
      </c>
      <c r="H214" t="s">
        <v>1252</v>
      </c>
    </row>
    <row r="215" spans="1:8">
      <c r="A215" t="s">
        <v>1253</v>
      </c>
      <c r="B215" t="s">
        <v>588</v>
      </c>
      <c r="C215" t="s">
        <v>1254</v>
      </c>
      <c r="D215" t="s">
        <v>612</v>
      </c>
      <c r="E215" t="s">
        <v>1255</v>
      </c>
      <c r="F215" t="s">
        <v>585</v>
      </c>
      <c r="H215" t="s">
        <v>1256</v>
      </c>
    </row>
    <row r="216" spans="1:8">
      <c r="A216" t="s">
        <v>1257</v>
      </c>
      <c r="B216" t="s">
        <v>606</v>
      </c>
      <c r="C216" t="s">
        <v>1258</v>
      </c>
      <c r="D216" t="s">
        <v>598</v>
      </c>
      <c r="E216" t="s">
        <v>584</v>
      </c>
      <c r="F216" t="s">
        <v>584</v>
      </c>
      <c r="G216" t="s">
        <v>1258</v>
      </c>
      <c r="H216" t="s">
        <v>1259</v>
      </c>
    </row>
    <row r="217" spans="1:8">
      <c r="A217" t="s">
        <v>1260</v>
      </c>
      <c r="B217" t="s">
        <v>601</v>
      </c>
      <c r="C217" t="s">
        <v>1261</v>
      </c>
      <c r="D217" t="s">
        <v>612</v>
      </c>
      <c r="E217" t="s">
        <v>1262</v>
      </c>
      <c r="F217" t="s">
        <v>585</v>
      </c>
      <c r="H217" t="s">
        <v>1263</v>
      </c>
    </row>
    <row r="218" spans="1:8">
      <c r="A218" t="s">
        <v>1264</v>
      </c>
      <c r="B218" t="s">
        <v>606</v>
      </c>
      <c r="C218" t="s">
        <v>1265</v>
      </c>
      <c r="D218" t="s">
        <v>594</v>
      </c>
      <c r="E218" t="s">
        <v>1266</v>
      </c>
      <c r="F218" t="s">
        <v>585</v>
      </c>
      <c r="H218" t="s">
        <v>1267</v>
      </c>
    </row>
    <row r="219" spans="1:8">
      <c r="A219" t="s">
        <v>1268</v>
      </c>
      <c r="B219" t="s">
        <v>581</v>
      </c>
      <c r="C219" t="s">
        <v>1269</v>
      </c>
      <c r="D219" t="s">
        <v>594</v>
      </c>
      <c r="E219" t="s">
        <v>584</v>
      </c>
      <c r="F219" t="s">
        <v>585</v>
      </c>
      <c r="H219" t="s">
        <v>1270</v>
      </c>
    </row>
    <row r="220" spans="1:8">
      <c r="A220" t="s">
        <v>1271</v>
      </c>
      <c r="B220" t="s">
        <v>606</v>
      </c>
      <c r="C220" t="s">
        <v>1272</v>
      </c>
      <c r="D220" t="s">
        <v>608</v>
      </c>
      <c r="E220" t="s">
        <v>584</v>
      </c>
      <c r="F220" t="s">
        <v>585</v>
      </c>
      <c r="H220" t="s">
        <v>1273</v>
      </c>
    </row>
    <row r="221" spans="1:8">
      <c r="A221" t="s">
        <v>1274</v>
      </c>
      <c r="B221" t="s">
        <v>581</v>
      </c>
      <c r="C221" t="s">
        <v>1275</v>
      </c>
      <c r="D221" t="s">
        <v>608</v>
      </c>
      <c r="E221" t="s">
        <v>584</v>
      </c>
      <c r="F221" t="s">
        <v>585</v>
      </c>
      <c r="H221" t="s">
        <v>1276</v>
      </c>
    </row>
    <row r="222" spans="1:8">
      <c r="A222" t="s">
        <v>1277</v>
      </c>
      <c r="B222" t="s">
        <v>1278</v>
      </c>
      <c r="C222" t="s">
        <v>1279</v>
      </c>
      <c r="D222" t="s">
        <v>1279</v>
      </c>
      <c r="E222" t="s">
        <v>584</v>
      </c>
      <c r="F222" t="s">
        <v>585</v>
      </c>
    </row>
    <row r="223" spans="1:8">
      <c r="A223" t="s">
        <v>1280</v>
      </c>
      <c r="B223" t="s">
        <v>1278</v>
      </c>
      <c r="C223" t="s">
        <v>1281</v>
      </c>
      <c r="D223" t="s">
        <v>1281</v>
      </c>
      <c r="E223" t="s">
        <v>584</v>
      </c>
      <c r="F223" t="s">
        <v>585</v>
      </c>
    </row>
    <row r="225" spans="1:4">
      <c r="A225" t="s">
        <v>10</v>
      </c>
      <c r="B225" t="s">
        <v>6</v>
      </c>
      <c r="C225" t="s">
        <v>573</v>
      </c>
      <c r="D225" t="s">
        <v>2844</v>
      </c>
    </row>
    <row r="226" spans="1:4">
      <c r="A226" t="s">
        <v>2845</v>
      </c>
      <c r="B226" t="s">
        <v>575</v>
      </c>
      <c r="D226" t="s">
        <v>80</v>
      </c>
    </row>
    <row r="227" spans="1:4">
      <c r="A227" t="s">
        <v>2846</v>
      </c>
      <c r="B227" t="s">
        <v>575</v>
      </c>
      <c r="D227" t="s">
        <v>80</v>
      </c>
    </row>
    <row r="228" spans="1:4">
      <c r="A228" t="s">
        <v>2847</v>
      </c>
      <c r="B228" t="s">
        <v>575</v>
      </c>
      <c r="D228" t="s">
        <v>80</v>
      </c>
    </row>
    <row r="229" spans="1:4">
      <c r="A229" t="s">
        <v>2848</v>
      </c>
      <c r="B229" t="s">
        <v>575</v>
      </c>
      <c r="D229" t="s">
        <v>80</v>
      </c>
    </row>
    <row r="230" spans="1:4">
      <c r="A230" t="s">
        <v>2849</v>
      </c>
      <c r="B230" t="s">
        <v>575</v>
      </c>
      <c r="D230" t="s">
        <v>80</v>
      </c>
    </row>
    <row r="231" spans="1:4">
      <c r="A231" t="s">
        <v>2850</v>
      </c>
      <c r="B231" t="s">
        <v>575</v>
      </c>
      <c r="D231" t="s">
        <v>80</v>
      </c>
    </row>
    <row r="232" spans="1:4">
      <c r="A232" t="s">
        <v>2851</v>
      </c>
      <c r="B232" t="s">
        <v>575</v>
      </c>
      <c r="D232" t="s">
        <v>80</v>
      </c>
    </row>
    <row r="233" spans="1:4">
      <c r="A233" t="s">
        <v>2852</v>
      </c>
      <c r="B233" t="s">
        <v>575</v>
      </c>
      <c r="D233" t="s">
        <v>80</v>
      </c>
    </row>
    <row r="234" spans="1:4">
      <c r="A234" t="s">
        <v>2853</v>
      </c>
      <c r="B234" t="s">
        <v>575</v>
      </c>
      <c r="D234" t="s">
        <v>80</v>
      </c>
    </row>
    <row r="235" spans="1:4">
      <c r="A235" t="s">
        <v>2854</v>
      </c>
      <c r="B235" t="s">
        <v>575</v>
      </c>
      <c r="D235" t="s">
        <v>80</v>
      </c>
    </row>
    <row r="236" spans="1:4">
      <c r="A236" t="s">
        <v>2855</v>
      </c>
      <c r="B236" t="s">
        <v>575</v>
      </c>
      <c r="D236" t="s">
        <v>80</v>
      </c>
    </row>
    <row r="237" spans="1:4">
      <c r="A237" t="s">
        <v>2856</v>
      </c>
      <c r="B237" t="s">
        <v>575</v>
      </c>
      <c r="D237" t="s">
        <v>80</v>
      </c>
    </row>
    <row r="238" spans="1:4">
      <c r="A238" t="s">
        <v>2857</v>
      </c>
      <c r="B238" t="s">
        <v>575</v>
      </c>
      <c r="D238" t="s">
        <v>80</v>
      </c>
    </row>
    <row r="239" spans="1:4">
      <c r="A239" t="s">
        <v>2858</v>
      </c>
      <c r="B239" t="s">
        <v>575</v>
      </c>
      <c r="D239" t="s">
        <v>80</v>
      </c>
    </row>
    <row r="240" spans="1:4">
      <c r="A240" t="s">
        <v>601</v>
      </c>
      <c r="B240" t="s">
        <v>575</v>
      </c>
      <c r="D240" t="s">
        <v>80</v>
      </c>
    </row>
    <row r="241" spans="1:4">
      <c r="A241" t="s">
        <v>2859</v>
      </c>
      <c r="B241" t="s">
        <v>575</v>
      </c>
      <c r="D241" t="s">
        <v>80</v>
      </c>
    </row>
    <row r="242" spans="1:4">
      <c r="A242" t="s">
        <v>2860</v>
      </c>
      <c r="B242" t="s">
        <v>575</v>
      </c>
      <c r="D242" t="s">
        <v>80</v>
      </c>
    </row>
    <row r="243" spans="1:4">
      <c r="A243" t="s">
        <v>2861</v>
      </c>
      <c r="B243" t="s">
        <v>575</v>
      </c>
      <c r="D243" t="s">
        <v>80</v>
      </c>
    </row>
    <row r="244" spans="1:4">
      <c r="A244" t="s">
        <v>2862</v>
      </c>
      <c r="B244" t="s">
        <v>575</v>
      </c>
      <c r="D244" t="s">
        <v>80</v>
      </c>
    </row>
    <row r="245" spans="1:4">
      <c r="A245" t="s">
        <v>2863</v>
      </c>
      <c r="B245" t="s">
        <v>575</v>
      </c>
      <c r="D245" t="s">
        <v>80</v>
      </c>
    </row>
    <row r="246" spans="1:4">
      <c r="A246" t="s">
        <v>2864</v>
      </c>
      <c r="B246" t="s">
        <v>575</v>
      </c>
      <c r="D246" t="s">
        <v>80</v>
      </c>
    </row>
    <row r="247" spans="1:4">
      <c r="A247" t="s">
        <v>2865</v>
      </c>
      <c r="B247" t="s">
        <v>575</v>
      </c>
      <c r="D247" t="s">
        <v>80</v>
      </c>
    </row>
    <row r="248" spans="1:4">
      <c r="A248" t="s">
        <v>2866</v>
      </c>
      <c r="B248" t="s">
        <v>575</v>
      </c>
      <c r="D248" t="s">
        <v>80</v>
      </c>
    </row>
    <row r="249" spans="1:4">
      <c r="A249" t="s">
        <v>2867</v>
      </c>
      <c r="B249" t="s">
        <v>575</v>
      </c>
      <c r="D249" t="s">
        <v>80</v>
      </c>
    </row>
    <row r="250" spans="1:4">
      <c r="A250" t="s">
        <v>2868</v>
      </c>
      <c r="B250" t="s">
        <v>575</v>
      </c>
      <c r="D250" t="s">
        <v>80</v>
      </c>
    </row>
    <row r="251" spans="1:4">
      <c r="A251" t="s">
        <v>2869</v>
      </c>
      <c r="B251" t="s">
        <v>575</v>
      </c>
      <c r="D251" t="s">
        <v>80</v>
      </c>
    </row>
    <row r="252" spans="1:4">
      <c r="A252" t="s">
        <v>581</v>
      </c>
      <c r="B252" t="s">
        <v>575</v>
      </c>
      <c r="D252" t="s">
        <v>80</v>
      </c>
    </row>
    <row r="253" spans="1:4">
      <c r="A253" t="s">
        <v>2870</v>
      </c>
      <c r="B253" t="s">
        <v>575</v>
      </c>
      <c r="D253" t="s">
        <v>80</v>
      </c>
    </row>
    <row r="254" spans="1:4">
      <c r="A254" t="s">
        <v>2871</v>
      </c>
      <c r="B254" t="s">
        <v>575</v>
      </c>
      <c r="D254" t="s">
        <v>80</v>
      </c>
    </row>
    <row r="255" spans="1:4">
      <c r="A255" t="s">
        <v>2872</v>
      </c>
      <c r="B255" t="s">
        <v>575</v>
      </c>
      <c r="D255" t="s">
        <v>80</v>
      </c>
    </row>
    <row r="256" spans="1:4">
      <c r="A256" t="s">
        <v>2873</v>
      </c>
      <c r="B256" t="s">
        <v>575</v>
      </c>
      <c r="D256" t="s">
        <v>80</v>
      </c>
    </row>
    <row r="257" spans="1:4">
      <c r="A257" t="s">
        <v>2874</v>
      </c>
      <c r="B257" t="s">
        <v>575</v>
      </c>
      <c r="D257" t="s">
        <v>80</v>
      </c>
    </row>
    <row r="258" spans="1:4">
      <c r="A258" t="s">
        <v>2875</v>
      </c>
      <c r="B258" t="s">
        <v>575</v>
      </c>
      <c r="D258" t="s">
        <v>80</v>
      </c>
    </row>
    <row r="259" spans="1:4">
      <c r="A259" t="s">
        <v>2876</v>
      </c>
      <c r="B259" t="s">
        <v>575</v>
      </c>
      <c r="D259" t="s">
        <v>80</v>
      </c>
    </row>
    <row r="260" spans="1:4">
      <c r="A260" t="s">
        <v>2877</v>
      </c>
      <c r="B260" t="s">
        <v>575</v>
      </c>
      <c r="D260" t="s">
        <v>80</v>
      </c>
    </row>
    <row r="261" spans="1:4">
      <c r="A261" t="s">
        <v>2878</v>
      </c>
      <c r="B261" t="s">
        <v>575</v>
      </c>
      <c r="D261" t="s">
        <v>80</v>
      </c>
    </row>
    <row r="262" spans="1:4">
      <c r="A262" t="s">
        <v>2879</v>
      </c>
      <c r="B262" t="s">
        <v>575</v>
      </c>
      <c r="D262" t="s">
        <v>80</v>
      </c>
    </row>
    <row r="263" spans="1:4">
      <c r="A263" t="s">
        <v>2880</v>
      </c>
      <c r="B263" t="s">
        <v>575</v>
      </c>
      <c r="D263" t="s">
        <v>80</v>
      </c>
    </row>
    <row r="264" spans="1:4">
      <c r="A264" t="s">
        <v>2881</v>
      </c>
      <c r="B264" t="s">
        <v>575</v>
      </c>
      <c r="D264" t="s">
        <v>80</v>
      </c>
    </row>
    <row r="265" spans="1:4">
      <c r="A265" t="s">
        <v>2882</v>
      </c>
      <c r="B265" t="s">
        <v>575</v>
      </c>
      <c r="D265" t="s">
        <v>80</v>
      </c>
    </row>
    <row r="266" spans="1:4">
      <c r="A266" t="s">
        <v>2883</v>
      </c>
      <c r="B266" t="s">
        <v>575</v>
      </c>
      <c r="D266" t="s">
        <v>80</v>
      </c>
    </row>
    <row r="267" spans="1:4">
      <c r="A267" t="s">
        <v>2884</v>
      </c>
      <c r="B267" t="s">
        <v>575</v>
      </c>
      <c r="D267" t="s">
        <v>80</v>
      </c>
    </row>
    <row r="268" spans="1:4">
      <c r="A268" t="s">
        <v>2885</v>
      </c>
      <c r="B268" t="s">
        <v>575</v>
      </c>
      <c r="D268" t="s">
        <v>80</v>
      </c>
    </row>
    <row r="269" spans="1:4">
      <c r="A269" t="s">
        <v>2886</v>
      </c>
      <c r="B269" t="s">
        <v>575</v>
      </c>
      <c r="D269" t="s">
        <v>80</v>
      </c>
    </row>
    <row r="270" spans="1:4">
      <c r="A270" t="s">
        <v>2887</v>
      </c>
      <c r="B270" t="s">
        <v>575</v>
      </c>
      <c r="D270" t="s">
        <v>80</v>
      </c>
    </row>
    <row r="271" spans="1:4">
      <c r="A271" t="s">
        <v>2888</v>
      </c>
      <c r="B271" t="s">
        <v>575</v>
      </c>
      <c r="D271" t="s">
        <v>80</v>
      </c>
    </row>
    <row r="272" spans="1:4">
      <c r="A272" t="s">
        <v>2889</v>
      </c>
      <c r="B272" t="s">
        <v>2890</v>
      </c>
      <c r="D272" t="s">
        <v>80</v>
      </c>
    </row>
    <row r="273" spans="1:4">
      <c r="A273" t="s">
        <v>2891</v>
      </c>
      <c r="B273" t="s">
        <v>2890</v>
      </c>
      <c r="D273" t="s">
        <v>80</v>
      </c>
    </row>
    <row r="274" spans="1:4">
      <c r="A274" t="s">
        <v>2892</v>
      </c>
      <c r="B274" t="s">
        <v>2890</v>
      </c>
      <c r="D274" t="s">
        <v>80</v>
      </c>
    </row>
    <row r="275" spans="1:4">
      <c r="A275" t="s">
        <v>2893</v>
      </c>
      <c r="B275" t="s">
        <v>2890</v>
      </c>
      <c r="D275" t="s">
        <v>80</v>
      </c>
    </row>
    <row r="276" spans="1:4">
      <c r="A276" t="s">
        <v>2894</v>
      </c>
      <c r="B276" t="s">
        <v>2890</v>
      </c>
      <c r="D276" t="s">
        <v>80</v>
      </c>
    </row>
    <row r="277" spans="1:4">
      <c r="A277" t="s">
        <v>2895</v>
      </c>
      <c r="B277" t="s">
        <v>2890</v>
      </c>
      <c r="D277" t="s">
        <v>80</v>
      </c>
    </row>
    <row r="278" spans="1:4">
      <c r="A278" t="s">
        <v>2896</v>
      </c>
      <c r="B278" t="s">
        <v>2890</v>
      </c>
      <c r="D278" t="s">
        <v>80</v>
      </c>
    </row>
    <row r="279" spans="1:4">
      <c r="A279" t="s">
        <v>2897</v>
      </c>
      <c r="B279" t="s">
        <v>2890</v>
      </c>
      <c r="D279" t="s">
        <v>80</v>
      </c>
    </row>
    <row r="280" spans="1:4">
      <c r="A280" t="s">
        <v>2898</v>
      </c>
      <c r="B280" t="s">
        <v>2890</v>
      </c>
      <c r="D280" t="s">
        <v>80</v>
      </c>
    </row>
    <row r="281" spans="1:4">
      <c r="A281" t="s">
        <v>2899</v>
      </c>
      <c r="B281" t="s">
        <v>2890</v>
      </c>
      <c r="D281" t="s">
        <v>80</v>
      </c>
    </row>
    <row r="282" spans="1:4">
      <c r="A282" t="s">
        <v>2900</v>
      </c>
      <c r="B282" t="s">
        <v>2890</v>
      </c>
      <c r="D282" t="s">
        <v>80</v>
      </c>
    </row>
    <row r="283" spans="1:4">
      <c r="A283" t="s">
        <v>2901</v>
      </c>
      <c r="B283" t="s">
        <v>2890</v>
      </c>
      <c r="D283" t="s">
        <v>80</v>
      </c>
    </row>
    <row r="284" spans="1:4">
      <c r="A284" t="s">
        <v>2902</v>
      </c>
      <c r="B284" t="s">
        <v>2890</v>
      </c>
      <c r="D284" t="s">
        <v>80</v>
      </c>
    </row>
    <row r="285" spans="1:4">
      <c r="A285" t="s">
        <v>2903</v>
      </c>
      <c r="B285" t="s">
        <v>2890</v>
      </c>
      <c r="D285" t="s">
        <v>80</v>
      </c>
    </row>
    <row r="286" spans="1:4">
      <c r="A286" t="s">
        <v>2904</v>
      </c>
      <c r="B286" t="s">
        <v>2890</v>
      </c>
      <c r="D286" t="s">
        <v>80</v>
      </c>
    </row>
    <row r="287" spans="1:4">
      <c r="A287" t="s">
        <v>2905</v>
      </c>
      <c r="B287" t="s">
        <v>2890</v>
      </c>
      <c r="D287" t="s">
        <v>80</v>
      </c>
    </row>
    <row r="288" spans="1:4">
      <c r="A288" t="s">
        <v>2906</v>
      </c>
      <c r="B288" t="s">
        <v>2890</v>
      </c>
      <c r="D288" t="s">
        <v>80</v>
      </c>
    </row>
    <row r="289" spans="1:4">
      <c r="A289" t="s">
        <v>2907</v>
      </c>
      <c r="B289" t="s">
        <v>2890</v>
      </c>
      <c r="D289" t="s">
        <v>80</v>
      </c>
    </row>
    <row r="290" spans="1:4">
      <c r="A290" t="s">
        <v>2908</v>
      </c>
      <c r="B290" t="s">
        <v>2890</v>
      </c>
      <c r="D290" t="s">
        <v>80</v>
      </c>
    </row>
    <row r="291" spans="1:4">
      <c r="A291" t="s">
        <v>2909</v>
      </c>
      <c r="B291" t="s">
        <v>2890</v>
      </c>
      <c r="D291" t="s">
        <v>80</v>
      </c>
    </row>
    <row r="292" spans="1:4">
      <c r="A292" t="s">
        <v>2910</v>
      </c>
      <c r="B292" t="s">
        <v>2890</v>
      </c>
      <c r="D292" t="s">
        <v>80</v>
      </c>
    </row>
    <row r="293" spans="1:4">
      <c r="A293" t="s">
        <v>2911</v>
      </c>
      <c r="B293" t="s">
        <v>2890</v>
      </c>
      <c r="D293" t="s">
        <v>80</v>
      </c>
    </row>
    <row r="294" spans="1:4">
      <c r="A294" t="s">
        <v>2912</v>
      </c>
      <c r="B294" t="s">
        <v>2890</v>
      </c>
      <c r="D294" t="s">
        <v>80</v>
      </c>
    </row>
    <row r="295" spans="1:4">
      <c r="A295" t="s">
        <v>2913</v>
      </c>
      <c r="B295" t="s">
        <v>2890</v>
      </c>
      <c r="D295" t="s">
        <v>80</v>
      </c>
    </row>
  </sheetData>
  <autoFilter ref="A1:F223" xr:uid="{23FA126D-D2C1-4094-BEF3-0A6A7F4ED902}"/>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4D4B-521F-4148-A409-F110A42732B7}">
  <dimension ref="A1:B5"/>
  <sheetViews>
    <sheetView workbookViewId="0">
      <selection activeCell="G15" sqref="G15"/>
    </sheetView>
  </sheetViews>
  <sheetFormatPr defaultColWidth="9.28515625" defaultRowHeight="15"/>
  <cols>
    <col min="2" max="2" width="13.7109375" customWidth="1"/>
  </cols>
  <sheetData>
    <row r="1" spans="1:2">
      <c r="A1" s="241" t="s">
        <v>1282</v>
      </c>
      <c r="B1" s="241" t="s">
        <v>15</v>
      </c>
    </row>
    <row r="2" spans="1:2">
      <c r="A2" s="242" t="s">
        <v>1283</v>
      </c>
      <c r="B2" s="242" t="s">
        <v>1284</v>
      </c>
    </row>
    <row r="3" spans="1:2">
      <c r="A3" s="242" t="s">
        <v>1285</v>
      </c>
      <c r="B3" s="242" t="s">
        <v>1286</v>
      </c>
    </row>
    <row r="4" spans="1:2">
      <c r="A4" s="242" t="s">
        <v>1287</v>
      </c>
      <c r="B4" s="242" t="s">
        <v>577</v>
      </c>
    </row>
    <row r="5" spans="1:2">
      <c r="A5" s="242" t="s">
        <v>1288</v>
      </c>
      <c r="B5" s="242" t="s">
        <v>1289</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5B099-AB55-4349-BEC6-79AF53A1FD12}">
  <dimension ref="A1:H189"/>
  <sheetViews>
    <sheetView tabSelected="1" zoomScale="80" zoomScaleNormal="80" workbookViewId="0">
      <pane xSplit="2" ySplit="1" topLeftCell="C118" activePane="bottomRight" state="frozen"/>
      <selection pane="topRight" activeCell="C1" sqref="C1"/>
      <selection pane="bottomLeft" activeCell="A2" sqref="A2"/>
      <selection pane="bottomRight" activeCell="L135" sqref="L135"/>
    </sheetView>
  </sheetViews>
  <sheetFormatPr defaultColWidth="8.7109375" defaultRowHeight="15.75"/>
  <cols>
    <col min="1" max="1" width="20.5703125" style="13" customWidth="1"/>
    <col min="2" max="2" width="85.7109375" style="13" customWidth="1"/>
    <col min="3" max="3" width="35.42578125" style="14" customWidth="1"/>
    <col min="4" max="5" width="8.7109375" style="13"/>
    <col min="6" max="6" width="27.7109375" style="13" customWidth="1"/>
    <col min="7" max="7" width="65.7109375" style="13" customWidth="1"/>
    <col min="8" max="16384" width="8.7109375" style="13"/>
  </cols>
  <sheetData>
    <row r="1" spans="1:8" s="37" customFormat="1" ht="14.65" customHeight="1">
      <c r="A1" s="35" t="s">
        <v>62</v>
      </c>
      <c r="B1" s="35" t="s">
        <v>63</v>
      </c>
      <c r="C1" s="36" t="s">
        <v>64</v>
      </c>
      <c r="D1" s="35" t="s">
        <v>65</v>
      </c>
      <c r="E1" s="35" t="s">
        <v>66</v>
      </c>
      <c r="F1" s="35" t="s">
        <v>67</v>
      </c>
      <c r="G1" s="35" t="s">
        <v>68</v>
      </c>
      <c r="H1" s="37" t="s">
        <v>69</v>
      </c>
    </row>
    <row r="2" spans="1:8" s="40" customFormat="1" ht="14.65" customHeight="1">
      <c r="A2" s="38" t="s">
        <v>70</v>
      </c>
      <c r="B2" s="38" t="s">
        <v>71</v>
      </c>
      <c r="C2" s="39" t="s">
        <v>72</v>
      </c>
      <c r="D2" s="38" t="s">
        <v>73</v>
      </c>
      <c r="E2" s="38">
        <v>9</v>
      </c>
      <c r="F2" s="38" t="s">
        <v>74</v>
      </c>
      <c r="G2" s="38" t="s">
        <v>75</v>
      </c>
      <c r="H2" s="40" t="s">
        <v>76</v>
      </c>
    </row>
    <row r="3" spans="1:8" s="40" customFormat="1" ht="14.65" customHeight="1">
      <c r="A3" s="38" t="s">
        <v>77</v>
      </c>
      <c r="B3" s="38" t="s">
        <v>78</v>
      </c>
      <c r="C3" s="39" t="s">
        <v>79</v>
      </c>
      <c r="D3" s="38" t="s">
        <v>80</v>
      </c>
      <c r="E3" s="38">
        <v>10</v>
      </c>
      <c r="F3" s="41" t="s">
        <v>81</v>
      </c>
      <c r="G3" s="38" t="s">
        <v>82</v>
      </c>
      <c r="H3" s="40" t="s">
        <v>83</v>
      </c>
    </row>
    <row r="4" spans="1:8" s="40" customFormat="1" ht="14.65" customHeight="1">
      <c r="A4" s="38" t="s">
        <v>84</v>
      </c>
      <c r="B4" s="38" t="s">
        <v>85</v>
      </c>
      <c r="C4" s="42" t="s">
        <v>86</v>
      </c>
      <c r="D4" s="38" t="s">
        <v>87</v>
      </c>
      <c r="E4" s="38">
        <v>4</v>
      </c>
      <c r="F4" s="38" t="s">
        <v>88</v>
      </c>
      <c r="G4" s="38" t="s">
        <v>89</v>
      </c>
      <c r="H4" s="40" t="s">
        <v>90</v>
      </c>
    </row>
    <row r="5" spans="1:8" s="40" customFormat="1" ht="14.65" customHeight="1">
      <c r="A5" s="38" t="s">
        <v>84</v>
      </c>
      <c r="B5" s="38" t="s">
        <v>91</v>
      </c>
      <c r="C5" s="42" t="s">
        <v>92</v>
      </c>
      <c r="D5" s="38" t="s">
        <v>87</v>
      </c>
      <c r="E5" s="38">
        <v>5</v>
      </c>
      <c r="F5" s="38" t="s">
        <v>88</v>
      </c>
      <c r="G5" s="38" t="s">
        <v>93</v>
      </c>
      <c r="H5" s="40" t="s">
        <v>94</v>
      </c>
    </row>
    <row r="6" spans="1:8" s="40" customFormat="1" ht="14.65" customHeight="1">
      <c r="A6" s="38" t="s">
        <v>84</v>
      </c>
      <c r="B6" s="38" t="s">
        <v>95</v>
      </c>
      <c r="C6" s="42" t="s">
        <v>96</v>
      </c>
      <c r="D6" s="38" t="s">
        <v>87</v>
      </c>
      <c r="E6" s="38">
        <v>6</v>
      </c>
      <c r="F6" s="38" t="s">
        <v>88</v>
      </c>
      <c r="G6" s="38" t="s">
        <v>97</v>
      </c>
      <c r="H6" s="40" t="s">
        <v>94</v>
      </c>
    </row>
    <row r="7" spans="1:8" s="40" customFormat="1" ht="14.65" customHeight="1">
      <c r="A7" s="38" t="s">
        <v>84</v>
      </c>
      <c r="B7" s="38" t="s">
        <v>98</v>
      </c>
      <c r="C7" s="42" t="s">
        <v>99</v>
      </c>
      <c r="D7" s="38" t="s">
        <v>87</v>
      </c>
      <c r="E7" s="38">
        <v>7</v>
      </c>
      <c r="F7" s="38" t="s">
        <v>88</v>
      </c>
      <c r="G7" s="38" t="s">
        <v>100</v>
      </c>
      <c r="H7" s="40" t="s">
        <v>94</v>
      </c>
    </row>
    <row r="8" spans="1:8" s="40" customFormat="1" ht="14.65" customHeight="1">
      <c r="A8" s="38" t="s">
        <v>84</v>
      </c>
      <c r="B8" s="38" t="s">
        <v>91</v>
      </c>
      <c r="C8" s="42" t="s">
        <v>101</v>
      </c>
      <c r="D8" s="38" t="s">
        <v>87</v>
      </c>
      <c r="E8" s="38">
        <v>8</v>
      </c>
      <c r="F8" s="38" t="s">
        <v>88</v>
      </c>
      <c r="G8" s="38" t="s">
        <v>102</v>
      </c>
      <c r="H8" s="40" t="s">
        <v>94</v>
      </c>
    </row>
    <row r="9" spans="1:8" s="40" customFormat="1" ht="14.65" customHeight="1">
      <c r="A9" s="38" t="s">
        <v>84</v>
      </c>
      <c r="B9" s="38" t="s">
        <v>103</v>
      </c>
      <c r="C9" s="39" t="s">
        <v>104</v>
      </c>
      <c r="D9" s="38" t="s">
        <v>105</v>
      </c>
      <c r="E9" s="38">
        <v>1</v>
      </c>
      <c r="F9" s="38" t="s">
        <v>106</v>
      </c>
      <c r="G9" s="38" t="s">
        <v>107</v>
      </c>
      <c r="H9" s="40" t="s">
        <v>108</v>
      </c>
    </row>
    <row r="10" spans="1:8" s="40" customFormat="1" ht="14.65" customHeight="1">
      <c r="A10" s="38" t="s">
        <v>109</v>
      </c>
      <c r="B10" s="38" t="s">
        <v>110</v>
      </c>
      <c r="C10" s="39" t="s">
        <v>111</v>
      </c>
      <c r="D10" s="38" t="s">
        <v>87</v>
      </c>
      <c r="E10" s="38">
        <v>13</v>
      </c>
      <c r="F10" s="38" t="s">
        <v>112</v>
      </c>
      <c r="G10" s="38" t="s">
        <v>113</v>
      </c>
      <c r="H10" s="40" t="s">
        <v>76</v>
      </c>
    </row>
    <row r="11" spans="1:8" s="40" customFormat="1" ht="14.65" customHeight="1">
      <c r="A11" s="41" t="s">
        <v>114</v>
      </c>
      <c r="B11" s="41" t="s">
        <v>115</v>
      </c>
      <c r="C11" s="41" t="s">
        <v>116</v>
      </c>
      <c r="D11" s="41" t="s">
        <v>80</v>
      </c>
      <c r="E11" s="41">
        <v>11</v>
      </c>
      <c r="F11" s="41" t="s">
        <v>81</v>
      </c>
      <c r="G11" s="41" t="s">
        <v>117</v>
      </c>
      <c r="H11" s="40" t="s">
        <v>118</v>
      </c>
    </row>
    <row r="12" spans="1:8" s="40" customFormat="1" ht="14.65" customHeight="1">
      <c r="A12" s="41" t="s">
        <v>119</v>
      </c>
      <c r="B12" s="41" t="s">
        <v>120</v>
      </c>
      <c r="C12" s="41" t="s">
        <v>121</v>
      </c>
      <c r="D12" s="41" t="s">
        <v>80</v>
      </c>
      <c r="E12" s="41">
        <v>11</v>
      </c>
      <c r="F12" s="41" t="s">
        <v>81</v>
      </c>
      <c r="G12" s="41" t="s">
        <v>117</v>
      </c>
      <c r="H12" s="40" t="s">
        <v>118</v>
      </c>
    </row>
    <row r="13" spans="1:8" s="40" customFormat="1" ht="14.65" customHeight="1">
      <c r="A13" s="38" t="s">
        <v>122</v>
      </c>
      <c r="B13" s="38" t="s">
        <v>123</v>
      </c>
      <c r="C13" s="39" t="s">
        <v>124</v>
      </c>
      <c r="D13" s="38" t="s">
        <v>87</v>
      </c>
      <c r="E13" s="38">
        <v>4</v>
      </c>
      <c r="F13" s="38" t="s">
        <v>112</v>
      </c>
      <c r="G13" s="38" t="s">
        <v>125</v>
      </c>
      <c r="H13" s="40" t="s">
        <v>90</v>
      </c>
    </row>
    <row r="14" spans="1:8" s="40" customFormat="1" ht="14.65" customHeight="1">
      <c r="A14" s="38" t="s">
        <v>126</v>
      </c>
      <c r="B14" s="38" t="s">
        <v>127</v>
      </c>
      <c r="C14" s="39" t="s">
        <v>128</v>
      </c>
      <c r="D14" s="38" t="s">
        <v>80</v>
      </c>
      <c r="E14" s="38">
        <v>10</v>
      </c>
      <c r="F14" s="41" t="s">
        <v>81</v>
      </c>
      <c r="G14" s="38" t="s">
        <v>82</v>
      </c>
      <c r="H14" s="40" t="s">
        <v>83</v>
      </c>
    </row>
    <row r="15" spans="1:8" s="40" customFormat="1" ht="14.65" customHeight="1">
      <c r="A15" s="38" t="s">
        <v>129</v>
      </c>
      <c r="B15" s="38" t="s">
        <v>130</v>
      </c>
      <c r="C15" s="39" t="s">
        <v>131</v>
      </c>
      <c r="D15" s="38" t="s">
        <v>87</v>
      </c>
      <c r="E15" s="38">
        <v>13</v>
      </c>
      <c r="F15" s="38" t="s">
        <v>112</v>
      </c>
      <c r="G15" s="38" t="s">
        <v>113</v>
      </c>
      <c r="H15" s="40" t="s">
        <v>76</v>
      </c>
    </row>
    <row r="16" spans="1:8" s="40" customFormat="1" ht="14.65" customHeight="1">
      <c r="A16" s="38" t="s">
        <v>132</v>
      </c>
      <c r="B16" s="38" t="s">
        <v>133</v>
      </c>
      <c r="C16" s="39" t="s">
        <v>134</v>
      </c>
      <c r="D16" s="38" t="s">
        <v>87</v>
      </c>
      <c r="E16" s="38">
        <v>13</v>
      </c>
      <c r="F16" s="38" t="s">
        <v>112</v>
      </c>
      <c r="G16" s="38" t="s">
        <v>113</v>
      </c>
      <c r="H16" s="40" t="s">
        <v>76</v>
      </c>
    </row>
    <row r="17" spans="1:8" s="40" customFormat="1" ht="14.65" customHeight="1">
      <c r="A17" s="38" t="s">
        <v>135</v>
      </c>
      <c r="B17" s="38" t="s">
        <v>136</v>
      </c>
      <c r="C17" s="39" t="s">
        <v>137</v>
      </c>
      <c r="D17" s="38" t="s">
        <v>87</v>
      </c>
      <c r="E17" s="38">
        <v>10</v>
      </c>
      <c r="F17" s="38" t="s">
        <v>112</v>
      </c>
      <c r="G17" s="38" t="s">
        <v>138</v>
      </c>
      <c r="H17" s="40" t="s">
        <v>76</v>
      </c>
    </row>
    <row r="18" spans="1:8" s="40" customFormat="1" ht="14.65" customHeight="1">
      <c r="A18" s="38" t="s">
        <v>135</v>
      </c>
      <c r="B18" s="38" t="s">
        <v>139</v>
      </c>
      <c r="C18" s="39" t="s">
        <v>140</v>
      </c>
      <c r="D18" s="38" t="s">
        <v>87</v>
      </c>
      <c r="E18" s="38">
        <v>13</v>
      </c>
      <c r="F18" s="38" t="s">
        <v>112</v>
      </c>
      <c r="G18" s="38" t="s">
        <v>113</v>
      </c>
      <c r="H18" s="40" t="s">
        <v>76</v>
      </c>
    </row>
    <row r="19" spans="1:8" s="40" customFormat="1" ht="14.65" customHeight="1">
      <c r="A19" s="38" t="s">
        <v>141</v>
      </c>
      <c r="B19" s="38" t="s">
        <v>142</v>
      </c>
      <c r="C19" s="39" t="s">
        <v>143</v>
      </c>
      <c r="D19" s="38" t="s">
        <v>87</v>
      </c>
      <c r="E19" s="38">
        <v>14</v>
      </c>
      <c r="F19" s="38" t="s">
        <v>112</v>
      </c>
      <c r="G19" s="38" t="s">
        <v>144</v>
      </c>
      <c r="H19" s="40" t="s">
        <v>83</v>
      </c>
    </row>
    <row r="20" spans="1:8" s="40" customFormat="1" ht="14.65" customHeight="1">
      <c r="A20" s="38" t="s">
        <v>145</v>
      </c>
      <c r="B20" s="38" t="s">
        <v>146</v>
      </c>
      <c r="C20" s="41" t="s">
        <v>147</v>
      </c>
      <c r="D20" s="38" t="s">
        <v>73</v>
      </c>
      <c r="E20" s="38">
        <v>1</v>
      </c>
      <c r="F20" s="38" t="s">
        <v>74</v>
      </c>
      <c r="G20" s="38" t="s">
        <v>148</v>
      </c>
      <c r="H20" s="40" t="s">
        <v>149</v>
      </c>
    </row>
    <row r="21" spans="1:8" s="40" customFormat="1" ht="14.65" customHeight="1">
      <c r="A21" s="38" t="s">
        <v>150</v>
      </c>
      <c r="B21" s="38" t="s">
        <v>151</v>
      </c>
      <c r="C21" s="39" t="s">
        <v>152</v>
      </c>
      <c r="D21" s="38" t="s">
        <v>73</v>
      </c>
      <c r="E21" s="38">
        <v>1</v>
      </c>
      <c r="F21" s="38" t="s">
        <v>74</v>
      </c>
      <c r="G21" s="38" t="s">
        <v>148</v>
      </c>
      <c r="H21" s="40" t="s">
        <v>149</v>
      </c>
    </row>
    <row r="22" spans="1:8" s="40" customFormat="1" ht="14.65" customHeight="1">
      <c r="A22" s="38" t="s">
        <v>153</v>
      </c>
      <c r="B22" s="38" t="s">
        <v>154</v>
      </c>
      <c r="C22" s="39" t="s">
        <v>155</v>
      </c>
      <c r="D22" s="38" t="s">
        <v>87</v>
      </c>
      <c r="E22" s="38">
        <v>1</v>
      </c>
      <c r="F22" s="38" t="s">
        <v>112</v>
      </c>
      <c r="G22" s="38" t="s">
        <v>156</v>
      </c>
      <c r="H22" s="40" t="s">
        <v>149</v>
      </c>
    </row>
    <row r="23" spans="1:8" s="40" customFormat="1" ht="14.65" customHeight="1">
      <c r="A23" s="38" t="s">
        <v>157</v>
      </c>
      <c r="B23" s="38" t="s">
        <v>158</v>
      </c>
      <c r="C23" s="39" t="s">
        <v>159</v>
      </c>
      <c r="D23" s="38" t="s">
        <v>73</v>
      </c>
      <c r="E23" s="38">
        <v>6</v>
      </c>
      <c r="F23" s="38" t="s">
        <v>74</v>
      </c>
      <c r="G23" s="38" t="s">
        <v>156</v>
      </c>
      <c r="H23" s="40" t="s">
        <v>160</v>
      </c>
    </row>
    <row r="24" spans="1:8" s="40" customFormat="1" ht="14.65" customHeight="1">
      <c r="A24" s="38" t="s">
        <v>157</v>
      </c>
      <c r="B24" s="38" t="s">
        <v>161</v>
      </c>
      <c r="C24" s="39" t="s">
        <v>162</v>
      </c>
      <c r="D24" s="38" t="s">
        <v>87</v>
      </c>
      <c r="E24" s="38">
        <v>2</v>
      </c>
      <c r="F24" s="38" t="s">
        <v>112</v>
      </c>
      <c r="G24" s="38" t="s">
        <v>156</v>
      </c>
      <c r="H24" s="40" t="s">
        <v>160</v>
      </c>
    </row>
    <row r="25" spans="1:8" s="40" customFormat="1" ht="14.65" customHeight="1">
      <c r="A25" s="38" t="s">
        <v>163</v>
      </c>
      <c r="B25" s="38" t="s">
        <v>164</v>
      </c>
      <c r="C25" s="39" t="s">
        <v>165</v>
      </c>
      <c r="D25" s="38" t="s">
        <v>73</v>
      </c>
      <c r="E25" s="38">
        <v>10</v>
      </c>
      <c r="F25" s="38" t="s">
        <v>74</v>
      </c>
      <c r="G25" s="38" t="s">
        <v>156</v>
      </c>
      <c r="H25" s="40" t="s">
        <v>160</v>
      </c>
    </row>
    <row r="26" spans="1:8" s="40" customFormat="1" ht="14.65" customHeight="1">
      <c r="A26" s="38" t="s">
        <v>163</v>
      </c>
      <c r="B26" s="38" t="s">
        <v>166</v>
      </c>
      <c r="C26" s="39" t="s">
        <v>167</v>
      </c>
      <c r="D26" s="38" t="s">
        <v>87</v>
      </c>
      <c r="E26" s="38">
        <v>2</v>
      </c>
      <c r="F26" s="38" t="s">
        <v>112</v>
      </c>
      <c r="G26" s="38" t="s">
        <v>156</v>
      </c>
      <c r="H26" s="40" t="s">
        <v>160</v>
      </c>
    </row>
    <row r="27" spans="1:8" s="40" customFormat="1" ht="14.65" customHeight="1">
      <c r="A27" s="38" t="s">
        <v>168</v>
      </c>
      <c r="B27" s="38" t="s">
        <v>169</v>
      </c>
      <c r="C27" s="39" t="s">
        <v>170</v>
      </c>
      <c r="D27" s="38" t="s">
        <v>87</v>
      </c>
      <c r="E27" s="38">
        <v>1</v>
      </c>
      <c r="F27" s="38" t="s">
        <v>112</v>
      </c>
      <c r="G27" s="38" t="s">
        <v>156</v>
      </c>
      <c r="H27" s="40" t="s">
        <v>160</v>
      </c>
    </row>
    <row r="28" spans="1:8" s="40" customFormat="1" ht="14.65" customHeight="1">
      <c r="A28" s="38" t="s">
        <v>168</v>
      </c>
      <c r="B28" s="38" t="s">
        <v>171</v>
      </c>
      <c r="C28" s="39" t="s">
        <v>172</v>
      </c>
      <c r="D28" s="38" t="s">
        <v>87</v>
      </c>
      <c r="E28" s="38">
        <v>2</v>
      </c>
      <c r="F28" s="38" t="s">
        <v>112</v>
      </c>
      <c r="G28" s="38" t="s">
        <v>156</v>
      </c>
      <c r="H28" s="40" t="s">
        <v>160</v>
      </c>
    </row>
    <row r="29" spans="1:8" s="40" customFormat="1" ht="14.65" customHeight="1">
      <c r="A29" s="43" t="s">
        <v>173</v>
      </c>
      <c r="B29" s="38" t="s">
        <v>174</v>
      </c>
      <c r="C29" s="41" t="s">
        <v>175</v>
      </c>
      <c r="D29" s="38" t="s">
        <v>87</v>
      </c>
      <c r="E29" s="38">
        <v>4</v>
      </c>
      <c r="F29" s="38" t="s">
        <v>112</v>
      </c>
      <c r="G29" s="38" t="s">
        <v>156</v>
      </c>
      <c r="H29" s="40" t="s">
        <v>176</v>
      </c>
    </row>
    <row r="30" spans="1:8" s="40" customFormat="1" ht="14.65" customHeight="1">
      <c r="A30" s="38" t="s">
        <v>177</v>
      </c>
      <c r="B30" s="38" t="s">
        <v>178</v>
      </c>
      <c r="C30" s="39" t="s">
        <v>179</v>
      </c>
      <c r="D30" s="38" t="s">
        <v>87</v>
      </c>
      <c r="E30" s="38">
        <v>3</v>
      </c>
      <c r="F30" s="38" t="s">
        <v>112</v>
      </c>
      <c r="G30" s="38" t="s">
        <v>156</v>
      </c>
      <c r="H30" s="40" t="s">
        <v>90</v>
      </c>
    </row>
    <row r="31" spans="1:8" s="40" customFormat="1" ht="14.65" customHeight="1">
      <c r="A31" s="41" t="s">
        <v>180</v>
      </c>
      <c r="B31" s="41" t="s">
        <v>181</v>
      </c>
      <c r="C31" s="41" t="s">
        <v>182</v>
      </c>
      <c r="D31" s="41" t="s">
        <v>183</v>
      </c>
      <c r="E31" s="41">
        <v>1</v>
      </c>
      <c r="F31" s="41" t="s">
        <v>184</v>
      </c>
      <c r="G31" s="41" t="s">
        <v>185</v>
      </c>
      <c r="H31" s="40" t="s">
        <v>90</v>
      </c>
    </row>
    <row r="32" spans="1:8" s="40" customFormat="1" ht="14.65" customHeight="1">
      <c r="A32" s="38" t="s">
        <v>186</v>
      </c>
      <c r="B32" s="38" t="s">
        <v>187</v>
      </c>
      <c r="C32" s="41" t="s">
        <v>188</v>
      </c>
      <c r="D32" s="38" t="s">
        <v>73</v>
      </c>
      <c r="E32" s="38">
        <v>10</v>
      </c>
      <c r="F32" s="38" t="s">
        <v>74</v>
      </c>
      <c r="G32" s="38" t="s">
        <v>189</v>
      </c>
      <c r="H32" s="40" t="s">
        <v>149</v>
      </c>
    </row>
    <row r="33" spans="1:8" s="40" customFormat="1" ht="14.65" customHeight="1">
      <c r="A33" s="38" t="s">
        <v>190</v>
      </c>
      <c r="B33" s="38" t="s">
        <v>191</v>
      </c>
      <c r="C33" s="39" t="s">
        <v>192</v>
      </c>
      <c r="D33" s="38" t="s">
        <v>73</v>
      </c>
      <c r="E33" s="38">
        <v>10</v>
      </c>
      <c r="F33" s="38" t="s">
        <v>74</v>
      </c>
      <c r="G33" s="38" t="s">
        <v>189</v>
      </c>
      <c r="H33" s="40" t="s">
        <v>149</v>
      </c>
    </row>
    <row r="34" spans="1:8" s="40" customFormat="1" ht="14.65" customHeight="1">
      <c r="A34" s="38" t="s">
        <v>193</v>
      </c>
      <c r="B34" s="38" t="s">
        <v>194</v>
      </c>
      <c r="C34" s="41" t="s">
        <v>195</v>
      </c>
      <c r="D34" s="38" t="s">
        <v>73</v>
      </c>
      <c r="E34" s="38">
        <v>10</v>
      </c>
      <c r="F34" s="38" t="s">
        <v>74</v>
      </c>
      <c r="G34" s="38" t="s">
        <v>189</v>
      </c>
      <c r="H34" s="40" t="s">
        <v>149</v>
      </c>
    </row>
    <row r="35" spans="1:8" s="40" customFormat="1" ht="14.65" customHeight="1">
      <c r="A35" s="38" t="s">
        <v>196</v>
      </c>
      <c r="B35" s="38" t="s">
        <v>197</v>
      </c>
      <c r="C35" s="39" t="s">
        <v>198</v>
      </c>
      <c r="D35" s="38" t="s">
        <v>73</v>
      </c>
      <c r="E35" s="38">
        <v>10</v>
      </c>
      <c r="F35" s="38" t="s">
        <v>74</v>
      </c>
      <c r="G35" s="38" t="s">
        <v>189</v>
      </c>
      <c r="H35" s="40" t="s">
        <v>149</v>
      </c>
    </row>
    <row r="36" spans="1:8" s="40" customFormat="1" ht="14.65" customHeight="1">
      <c r="A36" s="38" t="s">
        <v>199</v>
      </c>
      <c r="B36" s="38" t="s">
        <v>200</v>
      </c>
      <c r="C36" s="39" t="s">
        <v>201</v>
      </c>
      <c r="D36" s="38" t="s">
        <v>73</v>
      </c>
      <c r="E36" s="38">
        <v>10</v>
      </c>
      <c r="F36" s="38" t="s">
        <v>74</v>
      </c>
      <c r="G36" s="38" t="s">
        <v>189</v>
      </c>
      <c r="H36" s="40" t="s">
        <v>149</v>
      </c>
    </row>
    <row r="37" spans="1:8" s="40" customFormat="1" ht="14.65" customHeight="1">
      <c r="A37" s="38" t="s">
        <v>202</v>
      </c>
      <c r="B37" s="38" t="s">
        <v>203</v>
      </c>
      <c r="C37" s="39" t="s">
        <v>204</v>
      </c>
      <c r="D37" s="38" t="s">
        <v>73</v>
      </c>
      <c r="E37" s="38">
        <v>10</v>
      </c>
      <c r="F37" s="38" t="s">
        <v>74</v>
      </c>
      <c r="G37" s="38" t="s">
        <v>189</v>
      </c>
      <c r="H37" s="40" t="s">
        <v>149</v>
      </c>
    </row>
    <row r="38" spans="1:8" s="40" customFormat="1" ht="14.65" customHeight="1">
      <c r="A38" s="38" t="s">
        <v>202</v>
      </c>
      <c r="B38" s="38" t="s">
        <v>205</v>
      </c>
      <c r="C38" s="39" t="s">
        <v>204</v>
      </c>
      <c r="D38" s="38" t="s">
        <v>87</v>
      </c>
      <c r="E38" s="38">
        <v>1</v>
      </c>
      <c r="F38" s="38" t="s">
        <v>112</v>
      </c>
      <c r="G38" s="38" t="s">
        <v>156</v>
      </c>
      <c r="H38" s="40" t="s">
        <v>149</v>
      </c>
    </row>
    <row r="39" spans="1:8" s="40" customFormat="1" ht="14.65" customHeight="1">
      <c r="A39" s="38" t="s">
        <v>206</v>
      </c>
      <c r="B39" s="38" t="s">
        <v>207</v>
      </c>
      <c r="C39" s="39" t="s">
        <v>208</v>
      </c>
      <c r="D39" s="38" t="s">
        <v>73</v>
      </c>
      <c r="E39" s="38">
        <v>8</v>
      </c>
      <c r="F39" s="38" t="s">
        <v>74</v>
      </c>
      <c r="G39" s="38" t="s">
        <v>209</v>
      </c>
      <c r="H39" s="40" t="s">
        <v>76</v>
      </c>
    </row>
    <row r="40" spans="1:8" s="40" customFormat="1" ht="14.65" customHeight="1">
      <c r="A40" s="38" t="s">
        <v>210</v>
      </c>
      <c r="B40" s="38" t="s">
        <v>211</v>
      </c>
      <c r="C40" s="39" t="s">
        <v>212</v>
      </c>
      <c r="D40" s="38" t="s">
        <v>73</v>
      </c>
      <c r="E40" s="38">
        <v>2</v>
      </c>
      <c r="F40" s="38" t="s">
        <v>74</v>
      </c>
      <c r="G40" s="38" t="s">
        <v>213</v>
      </c>
      <c r="H40" s="40" t="s">
        <v>94</v>
      </c>
    </row>
    <row r="41" spans="1:8" s="40" customFormat="1" ht="14.65" customHeight="1">
      <c r="A41" s="38" t="s">
        <v>214</v>
      </c>
      <c r="B41" s="38" t="s">
        <v>215</v>
      </c>
      <c r="C41" s="39" t="s">
        <v>216</v>
      </c>
      <c r="D41" s="38" t="s">
        <v>73</v>
      </c>
      <c r="E41" s="38">
        <v>2</v>
      </c>
      <c r="F41" s="38" t="s">
        <v>74</v>
      </c>
      <c r="G41" s="38" t="s">
        <v>213</v>
      </c>
      <c r="H41" s="40" t="s">
        <v>90</v>
      </c>
    </row>
    <row r="42" spans="1:8" s="40" customFormat="1" ht="14.65" customHeight="1">
      <c r="A42" s="38" t="s">
        <v>217</v>
      </c>
      <c r="B42" s="38" t="s">
        <v>218</v>
      </c>
      <c r="C42" s="39" t="s">
        <v>219</v>
      </c>
      <c r="D42" s="38" t="s">
        <v>87</v>
      </c>
      <c r="E42" s="38">
        <v>4</v>
      </c>
      <c r="F42" s="38" t="s">
        <v>112</v>
      </c>
      <c r="G42" s="38" t="s">
        <v>125</v>
      </c>
      <c r="H42" s="40" t="s">
        <v>90</v>
      </c>
    </row>
    <row r="43" spans="1:8" s="80" customFormat="1" ht="14.65" customHeight="1">
      <c r="A43" s="78" t="s">
        <v>220</v>
      </c>
      <c r="B43" s="78" t="s">
        <v>221</v>
      </c>
      <c r="C43" s="79" t="s">
        <v>222</v>
      </c>
      <c r="D43" s="78" t="s">
        <v>73</v>
      </c>
      <c r="E43" s="78">
        <v>2</v>
      </c>
      <c r="F43" s="78" t="s">
        <v>74</v>
      </c>
      <c r="G43" s="78" t="s">
        <v>213</v>
      </c>
      <c r="H43" s="80" t="s">
        <v>223</v>
      </c>
    </row>
    <row r="44" spans="1:8" s="40" customFormat="1" ht="14.65" customHeight="1" thickBot="1">
      <c r="A44" s="44" t="s">
        <v>224</v>
      </c>
      <c r="B44" s="44" t="s">
        <v>225</v>
      </c>
      <c r="C44" s="45" t="s">
        <v>226</v>
      </c>
      <c r="D44" s="44" t="s">
        <v>73</v>
      </c>
      <c r="E44" s="44">
        <v>2</v>
      </c>
      <c r="F44" s="44" t="s">
        <v>74</v>
      </c>
      <c r="G44" s="44" t="s">
        <v>213</v>
      </c>
      <c r="H44" s="40" t="s">
        <v>94</v>
      </c>
    </row>
    <row r="45" spans="1:8" s="40" customFormat="1" ht="14.65" customHeight="1">
      <c r="A45" s="46" t="s">
        <v>227</v>
      </c>
      <c r="B45" s="46" t="s">
        <v>228</v>
      </c>
      <c r="C45" s="47" t="s">
        <v>229</v>
      </c>
      <c r="D45" s="46" t="s">
        <v>73</v>
      </c>
      <c r="E45" s="46">
        <v>2</v>
      </c>
      <c r="F45" s="46" t="s">
        <v>74</v>
      </c>
      <c r="G45" s="46" t="s">
        <v>213</v>
      </c>
      <c r="H45" s="40" t="s">
        <v>94</v>
      </c>
    </row>
    <row r="46" spans="1:8" s="40" customFormat="1" ht="14.65" customHeight="1">
      <c r="A46" s="38" t="s">
        <v>230</v>
      </c>
      <c r="B46" s="38" t="s">
        <v>231</v>
      </c>
      <c r="C46" s="39" t="s">
        <v>232</v>
      </c>
      <c r="D46" s="38" t="s">
        <v>73</v>
      </c>
      <c r="E46" s="38">
        <v>2</v>
      </c>
      <c r="F46" s="38" t="s">
        <v>74</v>
      </c>
      <c r="G46" s="38" t="s">
        <v>213</v>
      </c>
      <c r="H46" s="40" t="s">
        <v>94</v>
      </c>
    </row>
    <row r="47" spans="1:8" s="40" customFormat="1" ht="14.65" customHeight="1">
      <c r="A47" s="38" t="s">
        <v>233</v>
      </c>
      <c r="B47" s="40" t="s">
        <v>234</v>
      </c>
      <c r="C47" s="39" t="s">
        <v>235</v>
      </c>
      <c r="D47" s="38" t="s">
        <v>87</v>
      </c>
      <c r="E47" s="38">
        <v>3</v>
      </c>
      <c r="F47" s="38" t="s">
        <v>112</v>
      </c>
      <c r="G47" s="38" t="s">
        <v>236</v>
      </c>
      <c r="H47" s="40" t="s">
        <v>90</v>
      </c>
    </row>
    <row r="48" spans="1:8" s="40" customFormat="1" ht="14.65" customHeight="1">
      <c r="A48" s="38" t="s">
        <v>233</v>
      </c>
      <c r="B48" s="38" t="s">
        <v>237</v>
      </c>
      <c r="C48" s="39" t="s">
        <v>238</v>
      </c>
      <c r="D48" s="38" t="s">
        <v>87</v>
      </c>
      <c r="E48" s="38">
        <v>4</v>
      </c>
      <c r="F48" s="38" t="s">
        <v>112</v>
      </c>
      <c r="G48" s="38" t="s">
        <v>125</v>
      </c>
      <c r="H48" s="40" t="s">
        <v>90</v>
      </c>
    </row>
    <row r="49" spans="1:8" s="40" customFormat="1" ht="14.65" customHeight="1">
      <c r="A49" s="38" t="s">
        <v>233</v>
      </c>
      <c r="B49" s="38" t="s">
        <v>239</v>
      </c>
      <c r="C49" s="39" t="s">
        <v>240</v>
      </c>
      <c r="D49" s="38" t="s">
        <v>87</v>
      </c>
      <c r="E49" s="38">
        <v>9</v>
      </c>
      <c r="F49" s="38" t="s">
        <v>112</v>
      </c>
      <c r="G49" s="38" t="s">
        <v>241</v>
      </c>
      <c r="H49" s="40" t="s">
        <v>90</v>
      </c>
    </row>
    <row r="50" spans="1:8" s="40" customFormat="1" ht="14.65" customHeight="1">
      <c r="A50" s="38" t="s">
        <v>233</v>
      </c>
      <c r="B50" s="40" t="s">
        <v>242</v>
      </c>
      <c r="C50" s="39" t="s">
        <v>243</v>
      </c>
      <c r="D50" s="38" t="s">
        <v>87</v>
      </c>
      <c r="E50" s="38">
        <v>9</v>
      </c>
      <c r="F50" s="38" t="s">
        <v>112</v>
      </c>
      <c r="G50" s="38" t="s">
        <v>241</v>
      </c>
      <c r="H50" s="40" t="s">
        <v>90</v>
      </c>
    </row>
    <row r="51" spans="1:8" s="40" customFormat="1" ht="14.65" customHeight="1">
      <c r="A51" s="38" t="s">
        <v>244</v>
      </c>
      <c r="B51" s="40" t="s">
        <v>245</v>
      </c>
      <c r="C51" s="39" t="s">
        <v>246</v>
      </c>
      <c r="D51" s="38" t="s">
        <v>87</v>
      </c>
      <c r="E51" s="38">
        <v>3</v>
      </c>
      <c r="F51" s="38" t="s">
        <v>112</v>
      </c>
      <c r="G51" s="38" t="s">
        <v>236</v>
      </c>
      <c r="H51" s="40" t="s">
        <v>90</v>
      </c>
    </row>
    <row r="52" spans="1:8" s="40" customFormat="1" ht="14.65" customHeight="1">
      <c r="A52" s="38" t="s">
        <v>247</v>
      </c>
      <c r="B52" s="38" t="s">
        <v>248</v>
      </c>
      <c r="C52" s="39" t="s">
        <v>249</v>
      </c>
      <c r="D52" s="38" t="s">
        <v>73</v>
      </c>
      <c r="E52" s="38">
        <v>2</v>
      </c>
      <c r="F52" s="38" t="s">
        <v>74</v>
      </c>
      <c r="G52" s="38" t="s">
        <v>213</v>
      </c>
      <c r="H52" s="40" t="s">
        <v>90</v>
      </c>
    </row>
    <row r="53" spans="1:8" s="40" customFormat="1" ht="14.65" customHeight="1">
      <c r="A53" s="38" t="s">
        <v>250</v>
      </c>
      <c r="B53" s="38" t="s">
        <v>251</v>
      </c>
      <c r="C53" s="39" t="s">
        <v>252</v>
      </c>
      <c r="D53" s="38" t="s">
        <v>87</v>
      </c>
      <c r="E53" s="40">
        <v>11</v>
      </c>
      <c r="F53" s="38" t="s">
        <v>112</v>
      </c>
      <c r="G53" s="40" t="s">
        <v>253</v>
      </c>
      <c r="H53" s="40" t="s">
        <v>76</v>
      </c>
    </row>
    <row r="54" spans="1:8" s="40" customFormat="1" ht="14.65" customHeight="1">
      <c r="A54" s="38" t="s">
        <v>250</v>
      </c>
      <c r="B54" s="38" t="s">
        <v>251</v>
      </c>
      <c r="C54" s="39" t="s">
        <v>254</v>
      </c>
      <c r="D54" s="38" t="s">
        <v>105</v>
      </c>
      <c r="E54" s="40">
        <v>3</v>
      </c>
      <c r="F54" s="38" t="s">
        <v>106</v>
      </c>
      <c r="G54" s="40" t="s">
        <v>255</v>
      </c>
      <c r="H54" s="40" t="s">
        <v>76</v>
      </c>
    </row>
    <row r="55" spans="1:8" s="40" customFormat="1" ht="14.65" customHeight="1">
      <c r="A55" s="38" t="s">
        <v>256</v>
      </c>
      <c r="B55" s="38" t="s">
        <v>257</v>
      </c>
      <c r="C55" s="39" t="s">
        <v>258</v>
      </c>
      <c r="D55" s="38" t="s">
        <v>87</v>
      </c>
      <c r="E55" s="40">
        <v>12</v>
      </c>
      <c r="F55" s="38" t="s">
        <v>112</v>
      </c>
      <c r="G55" s="40" t="s">
        <v>259</v>
      </c>
      <c r="H55" s="40" t="s">
        <v>83</v>
      </c>
    </row>
    <row r="56" spans="1:8" s="40" customFormat="1" ht="14.65" customHeight="1">
      <c r="A56" s="38" t="s">
        <v>260</v>
      </c>
      <c r="B56" s="38" t="s">
        <v>261</v>
      </c>
      <c r="C56" s="39" t="s">
        <v>262</v>
      </c>
      <c r="D56" s="40" t="s">
        <v>73</v>
      </c>
      <c r="E56" s="40">
        <v>3</v>
      </c>
      <c r="F56" s="38" t="s">
        <v>74</v>
      </c>
      <c r="G56" s="38" t="s">
        <v>263</v>
      </c>
      <c r="H56" s="40" t="s">
        <v>264</v>
      </c>
    </row>
    <row r="57" spans="1:8" s="40" customFormat="1" ht="14.65" customHeight="1">
      <c r="A57" s="38" t="s">
        <v>265</v>
      </c>
      <c r="B57" s="38" t="s">
        <v>266</v>
      </c>
      <c r="C57" s="42" t="s">
        <v>267</v>
      </c>
      <c r="D57" s="38" t="s">
        <v>87</v>
      </c>
      <c r="E57" s="38">
        <v>3</v>
      </c>
      <c r="F57" s="38" t="s">
        <v>112</v>
      </c>
      <c r="G57" s="38" t="s">
        <v>236</v>
      </c>
      <c r="H57" s="40" t="s">
        <v>90</v>
      </c>
    </row>
    <row r="58" spans="1:8" s="40" customFormat="1" ht="14.65" customHeight="1">
      <c r="A58" s="38" t="s">
        <v>265</v>
      </c>
      <c r="B58" s="38" t="s">
        <v>268</v>
      </c>
      <c r="C58" s="39" t="s">
        <v>269</v>
      </c>
      <c r="D58" s="38" t="s">
        <v>87</v>
      </c>
      <c r="E58" s="38">
        <v>4</v>
      </c>
      <c r="F58" s="38" t="s">
        <v>112</v>
      </c>
      <c r="G58" s="38" t="s">
        <v>125</v>
      </c>
      <c r="H58" s="40" t="s">
        <v>90</v>
      </c>
    </row>
    <row r="59" spans="1:8" s="40" customFormat="1" ht="14.65" customHeight="1">
      <c r="A59" s="38" t="s">
        <v>265</v>
      </c>
      <c r="B59" s="38" t="s">
        <v>270</v>
      </c>
      <c r="C59" s="39" t="s">
        <v>271</v>
      </c>
      <c r="D59" s="38" t="s">
        <v>87</v>
      </c>
      <c r="E59" s="38">
        <v>4</v>
      </c>
      <c r="F59" s="38" t="s">
        <v>112</v>
      </c>
      <c r="G59" s="38" t="s">
        <v>125</v>
      </c>
      <c r="H59" s="40" t="s">
        <v>90</v>
      </c>
    </row>
    <row r="60" spans="1:8" s="40" customFormat="1" ht="14.65" customHeight="1">
      <c r="A60" s="38" t="s">
        <v>265</v>
      </c>
      <c r="B60" s="38" t="s">
        <v>272</v>
      </c>
      <c r="C60" s="39" t="s">
        <v>273</v>
      </c>
      <c r="D60" s="38" t="s">
        <v>87</v>
      </c>
      <c r="E60" s="38">
        <v>5</v>
      </c>
      <c r="F60" s="38" t="s">
        <v>112</v>
      </c>
      <c r="G60" s="38" t="s">
        <v>93</v>
      </c>
      <c r="H60" s="40" t="s">
        <v>94</v>
      </c>
    </row>
    <row r="61" spans="1:8" s="40" customFormat="1" ht="14.65" customHeight="1">
      <c r="A61" s="38" t="s">
        <v>265</v>
      </c>
      <c r="B61" s="38" t="s">
        <v>272</v>
      </c>
      <c r="C61" s="39" t="s">
        <v>274</v>
      </c>
      <c r="D61" s="38" t="s">
        <v>87</v>
      </c>
      <c r="E61" s="38">
        <v>6</v>
      </c>
      <c r="F61" s="38" t="s">
        <v>112</v>
      </c>
      <c r="G61" s="38" t="s">
        <v>97</v>
      </c>
      <c r="H61" s="40" t="s">
        <v>94</v>
      </c>
    </row>
    <row r="62" spans="1:8" s="40" customFormat="1" ht="14.65" customHeight="1">
      <c r="A62" s="38" t="s">
        <v>265</v>
      </c>
      <c r="B62" s="38" t="s">
        <v>272</v>
      </c>
      <c r="C62" s="39" t="s">
        <v>275</v>
      </c>
      <c r="D62" s="38" t="s">
        <v>87</v>
      </c>
      <c r="E62" s="38">
        <v>7</v>
      </c>
      <c r="F62" s="38" t="s">
        <v>112</v>
      </c>
      <c r="G62" s="38" t="s">
        <v>100</v>
      </c>
      <c r="H62" s="40" t="s">
        <v>94</v>
      </c>
    </row>
    <row r="63" spans="1:8" s="40" customFormat="1" ht="14.65" customHeight="1">
      <c r="A63" s="38" t="s">
        <v>265</v>
      </c>
      <c r="B63" s="38" t="s">
        <v>272</v>
      </c>
      <c r="C63" s="39" t="s">
        <v>276</v>
      </c>
      <c r="D63" s="38" t="s">
        <v>87</v>
      </c>
      <c r="E63" s="38">
        <v>8</v>
      </c>
      <c r="F63" s="38" t="s">
        <v>112</v>
      </c>
      <c r="G63" s="38" t="s">
        <v>277</v>
      </c>
      <c r="H63" s="40" t="s">
        <v>94</v>
      </c>
    </row>
    <row r="64" spans="1:8" s="40" customFormat="1" ht="14.65" customHeight="1">
      <c r="A64" s="38" t="s">
        <v>265</v>
      </c>
      <c r="B64" s="38" t="s">
        <v>272</v>
      </c>
      <c r="C64" s="42" t="s">
        <v>278</v>
      </c>
      <c r="D64" s="38" t="s">
        <v>87</v>
      </c>
      <c r="E64" s="38">
        <v>9</v>
      </c>
      <c r="F64" s="38" t="s">
        <v>112</v>
      </c>
      <c r="G64" s="38" t="s">
        <v>241</v>
      </c>
      <c r="H64" s="40" t="s">
        <v>94</v>
      </c>
    </row>
    <row r="65" spans="1:8" s="40" customFormat="1" ht="14.65" customHeight="1">
      <c r="A65" s="38" t="s">
        <v>265</v>
      </c>
      <c r="B65" s="38" t="s">
        <v>279</v>
      </c>
      <c r="C65" s="39" t="s">
        <v>280</v>
      </c>
      <c r="D65" s="38" t="s">
        <v>105</v>
      </c>
      <c r="E65" s="38">
        <v>1</v>
      </c>
      <c r="F65" s="38" t="s">
        <v>106</v>
      </c>
      <c r="G65" s="38" t="s">
        <v>107</v>
      </c>
      <c r="H65" s="40" t="s">
        <v>108</v>
      </c>
    </row>
    <row r="66" spans="1:8" s="40" customFormat="1" ht="14.65" customHeight="1">
      <c r="A66" s="38" t="s">
        <v>281</v>
      </c>
      <c r="B66" s="38" t="s">
        <v>282</v>
      </c>
      <c r="C66" s="39" t="s">
        <v>283</v>
      </c>
      <c r="D66" s="38" t="s">
        <v>87</v>
      </c>
      <c r="E66" s="38">
        <v>4</v>
      </c>
      <c r="F66" s="38" t="s">
        <v>112</v>
      </c>
      <c r="G66" s="38" t="s">
        <v>125</v>
      </c>
      <c r="H66" s="40" t="s">
        <v>90</v>
      </c>
    </row>
    <row r="67" spans="1:8" s="40" customFormat="1" ht="14.65" customHeight="1">
      <c r="A67" s="38" t="s">
        <v>284</v>
      </c>
      <c r="B67" s="38" t="s">
        <v>285</v>
      </c>
      <c r="C67" s="39" t="s">
        <v>286</v>
      </c>
      <c r="D67" s="38" t="s">
        <v>105</v>
      </c>
      <c r="E67" s="38">
        <v>3</v>
      </c>
      <c r="F67" s="38" t="s">
        <v>106</v>
      </c>
      <c r="G67" s="40" t="s">
        <v>255</v>
      </c>
      <c r="H67" s="40" t="s">
        <v>108</v>
      </c>
    </row>
    <row r="68" spans="1:8" s="40" customFormat="1" ht="14.65" customHeight="1">
      <c r="A68" s="38" t="s">
        <v>287</v>
      </c>
      <c r="B68" s="38" t="s">
        <v>288</v>
      </c>
      <c r="C68" s="39" t="s">
        <v>289</v>
      </c>
      <c r="D68" s="38" t="s">
        <v>73</v>
      </c>
      <c r="E68" s="38">
        <v>10</v>
      </c>
      <c r="F68" s="38" t="s">
        <v>74</v>
      </c>
      <c r="G68" s="38" t="s">
        <v>189</v>
      </c>
      <c r="H68" s="40" t="s">
        <v>160</v>
      </c>
    </row>
    <row r="69" spans="1:8" s="40" customFormat="1" ht="14.65" customHeight="1">
      <c r="A69" s="38" t="s">
        <v>287</v>
      </c>
      <c r="B69" s="38" t="s">
        <v>290</v>
      </c>
      <c r="C69" s="39" t="s">
        <v>291</v>
      </c>
      <c r="D69" s="38" t="s">
        <v>87</v>
      </c>
      <c r="E69" s="38">
        <v>2</v>
      </c>
      <c r="F69" s="38" t="s">
        <v>112</v>
      </c>
      <c r="G69" s="38" t="s">
        <v>292</v>
      </c>
      <c r="H69" s="40" t="s">
        <v>160</v>
      </c>
    </row>
    <row r="70" spans="1:8" s="40" customFormat="1" ht="14.65" customHeight="1">
      <c r="A70" s="38" t="s">
        <v>293</v>
      </c>
      <c r="B70" s="38" t="s">
        <v>294</v>
      </c>
      <c r="C70" s="39" t="s">
        <v>295</v>
      </c>
      <c r="D70" s="38" t="s">
        <v>87</v>
      </c>
      <c r="E70" s="38">
        <v>14</v>
      </c>
      <c r="F70" s="38" t="s">
        <v>112</v>
      </c>
      <c r="G70" s="38" t="s">
        <v>144</v>
      </c>
      <c r="H70" s="40" t="s">
        <v>83</v>
      </c>
    </row>
    <row r="71" spans="1:8" s="40" customFormat="1" ht="14.65" customHeight="1">
      <c r="A71" s="38" t="s">
        <v>293</v>
      </c>
      <c r="B71" s="38" t="s">
        <v>296</v>
      </c>
      <c r="C71" s="39" t="s">
        <v>295</v>
      </c>
      <c r="D71" s="38" t="s">
        <v>105</v>
      </c>
      <c r="E71" s="38">
        <v>1</v>
      </c>
      <c r="F71" s="38" t="s">
        <v>106</v>
      </c>
      <c r="G71" s="38" t="s">
        <v>107</v>
      </c>
      <c r="H71" s="40" t="s">
        <v>108</v>
      </c>
    </row>
    <row r="72" spans="1:8" s="40" customFormat="1" ht="14.65" customHeight="1">
      <c r="A72" s="38" t="s">
        <v>297</v>
      </c>
      <c r="B72" s="38" t="s">
        <v>298</v>
      </c>
      <c r="C72" s="39" t="s">
        <v>299</v>
      </c>
      <c r="D72" s="38" t="s">
        <v>87</v>
      </c>
      <c r="E72" s="38">
        <v>2</v>
      </c>
      <c r="F72" s="38" t="s">
        <v>112</v>
      </c>
      <c r="G72" s="38" t="s">
        <v>292</v>
      </c>
      <c r="H72" s="40" t="s">
        <v>160</v>
      </c>
    </row>
    <row r="73" spans="1:8" s="40" customFormat="1" ht="14.65" customHeight="1">
      <c r="A73" s="38" t="s">
        <v>300</v>
      </c>
      <c r="B73" s="38" t="s">
        <v>301</v>
      </c>
      <c r="C73" s="39" t="s">
        <v>302</v>
      </c>
      <c r="D73" s="38" t="s">
        <v>87</v>
      </c>
      <c r="E73" s="38">
        <v>4</v>
      </c>
      <c r="F73" s="38" t="s">
        <v>112</v>
      </c>
      <c r="G73" s="38" t="s">
        <v>125</v>
      </c>
      <c r="H73" s="40" t="s">
        <v>90</v>
      </c>
    </row>
    <row r="74" spans="1:8" s="40" customFormat="1" ht="14.65" customHeight="1">
      <c r="A74" s="38" t="s">
        <v>303</v>
      </c>
      <c r="B74" s="38" t="s">
        <v>304</v>
      </c>
      <c r="C74" s="39" t="s">
        <v>305</v>
      </c>
      <c r="D74" s="38" t="s">
        <v>87</v>
      </c>
      <c r="E74" s="38">
        <v>13</v>
      </c>
      <c r="F74" s="38" t="s">
        <v>112</v>
      </c>
      <c r="G74" s="38" t="s">
        <v>113</v>
      </c>
      <c r="H74" s="40" t="s">
        <v>76</v>
      </c>
    </row>
    <row r="75" spans="1:8" s="40" customFormat="1" ht="14.65" customHeight="1">
      <c r="A75" s="38" t="s">
        <v>306</v>
      </c>
      <c r="B75" s="38" t="s">
        <v>307</v>
      </c>
      <c r="C75" s="39" t="s">
        <v>308</v>
      </c>
      <c r="D75" s="38" t="s">
        <v>73</v>
      </c>
      <c r="E75" s="38">
        <v>11</v>
      </c>
      <c r="F75" s="38" t="s">
        <v>74</v>
      </c>
      <c r="G75" s="38" t="s">
        <v>307</v>
      </c>
      <c r="H75" s="40" t="s">
        <v>83</v>
      </c>
    </row>
    <row r="76" spans="1:8" s="40" customFormat="1" ht="14.65" customHeight="1">
      <c r="A76" s="38" t="s">
        <v>309</v>
      </c>
      <c r="B76" s="38" t="s">
        <v>310</v>
      </c>
      <c r="C76" s="39" t="s">
        <v>311</v>
      </c>
      <c r="D76" s="38" t="s">
        <v>87</v>
      </c>
      <c r="E76" s="38">
        <v>4</v>
      </c>
      <c r="F76" s="38" t="s">
        <v>112</v>
      </c>
      <c r="G76" s="38" t="s">
        <v>125</v>
      </c>
      <c r="H76" s="40" t="s">
        <v>90</v>
      </c>
    </row>
    <row r="77" spans="1:8" s="40" customFormat="1" ht="14.65" customHeight="1">
      <c r="A77" s="38" t="s">
        <v>312</v>
      </c>
      <c r="B77" s="38" t="s">
        <v>313</v>
      </c>
      <c r="C77" s="39" t="s">
        <v>314</v>
      </c>
      <c r="D77" s="38" t="s">
        <v>73</v>
      </c>
      <c r="E77" s="38">
        <v>3</v>
      </c>
      <c r="F77" s="38" t="s">
        <v>74</v>
      </c>
      <c r="G77" s="38" t="s">
        <v>263</v>
      </c>
      <c r="H77" s="40" t="s">
        <v>264</v>
      </c>
    </row>
    <row r="78" spans="1:8" s="40" customFormat="1" ht="14.65" customHeight="1">
      <c r="A78" s="38" t="s">
        <v>315</v>
      </c>
      <c r="B78" s="38" t="s">
        <v>316</v>
      </c>
      <c r="C78" s="39" t="s">
        <v>317</v>
      </c>
      <c r="D78" s="38" t="s">
        <v>87</v>
      </c>
      <c r="E78" s="38">
        <v>15</v>
      </c>
      <c r="F78" s="38" t="s">
        <v>112</v>
      </c>
      <c r="G78" s="38" t="s">
        <v>318</v>
      </c>
      <c r="H78" s="40" t="s">
        <v>83</v>
      </c>
    </row>
    <row r="79" spans="1:8" s="40" customFormat="1" ht="14.65" customHeight="1">
      <c r="A79" s="38" t="s">
        <v>315</v>
      </c>
      <c r="B79" s="38" t="s">
        <v>319</v>
      </c>
      <c r="C79" s="39" t="s">
        <v>320</v>
      </c>
      <c r="D79" s="38" t="s">
        <v>87</v>
      </c>
      <c r="E79" s="38">
        <v>15</v>
      </c>
      <c r="F79" s="38" t="s">
        <v>112</v>
      </c>
      <c r="G79" s="38" t="s">
        <v>318</v>
      </c>
      <c r="H79" s="40" t="s">
        <v>83</v>
      </c>
    </row>
    <row r="80" spans="1:8" s="40" customFormat="1" ht="14.65" customHeight="1">
      <c r="A80" s="38" t="s">
        <v>321</v>
      </c>
      <c r="B80" s="38" t="s">
        <v>322</v>
      </c>
      <c r="C80" s="39" t="s">
        <v>323</v>
      </c>
      <c r="D80" s="38" t="s">
        <v>87</v>
      </c>
      <c r="E80" s="38">
        <v>1</v>
      </c>
      <c r="F80" s="38" t="s">
        <v>112</v>
      </c>
      <c r="G80" s="38" t="s">
        <v>156</v>
      </c>
      <c r="H80" s="40" t="s">
        <v>83</v>
      </c>
    </row>
    <row r="81" spans="1:8" s="40" customFormat="1" ht="14.65" customHeight="1">
      <c r="A81" s="38" t="s">
        <v>324</v>
      </c>
      <c r="B81" s="38" t="s">
        <v>325</v>
      </c>
      <c r="C81" s="39" t="s">
        <v>326</v>
      </c>
      <c r="D81" s="38" t="s">
        <v>87</v>
      </c>
      <c r="E81" s="38">
        <v>1</v>
      </c>
      <c r="F81" s="38" t="s">
        <v>112</v>
      </c>
      <c r="G81" s="38" t="s">
        <v>156</v>
      </c>
      <c r="H81" s="40" t="s">
        <v>83</v>
      </c>
    </row>
    <row r="82" spans="1:8" s="40" customFormat="1" ht="14.65" customHeight="1">
      <c r="A82" s="38" t="s">
        <v>327</v>
      </c>
      <c r="B82" s="38" t="s">
        <v>328</v>
      </c>
      <c r="C82" s="39" t="s">
        <v>329</v>
      </c>
      <c r="D82" s="38" t="s">
        <v>73</v>
      </c>
      <c r="E82" s="38">
        <v>3</v>
      </c>
      <c r="F82" s="38" t="s">
        <v>74</v>
      </c>
      <c r="G82" s="38" t="s">
        <v>263</v>
      </c>
      <c r="H82" s="40" t="s">
        <v>264</v>
      </c>
    </row>
    <row r="83" spans="1:8" s="40" customFormat="1" ht="14.65" customHeight="1">
      <c r="A83" s="38" t="s">
        <v>330</v>
      </c>
      <c r="B83" s="38" t="s">
        <v>331</v>
      </c>
      <c r="C83" s="39" t="s">
        <v>332</v>
      </c>
      <c r="D83" s="38" t="s">
        <v>87</v>
      </c>
      <c r="E83" s="38">
        <v>4</v>
      </c>
      <c r="F83" s="38" t="s">
        <v>112</v>
      </c>
      <c r="G83" s="38" t="s">
        <v>125</v>
      </c>
      <c r="H83" s="40" t="s">
        <v>90</v>
      </c>
    </row>
    <row r="84" spans="1:8" s="40" customFormat="1" ht="14.65" customHeight="1">
      <c r="A84" s="38" t="s">
        <v>333</v>
      </c>
      <c r="B84" s="38" t="s">
        <v>334</v>
      </c>
      <c r="C84" s="39" t="s">
        <v>335</v>
      </c>
      <c r="D84" s="38" t="s">
        <v>87</v>
      </c>
      <c r="E84" s="38">
        <v>4</v>
      </c>
      <c r="F84" s="38" t="s">
        <v>112</v>
      </c>
      <c r="G84" s="38" t="s">
        <v>125</v>
      </c>
      <c r="H84" s="40" t="s">
        <v>90</v>
      </c>
    </row>
    <row r="85" spans="1:8" s="40" customFormat="1" ht="14.65" customHeight="1">
      <c r="A85" s="38" t="s">
        <v>336</v>
      </c>
      <c r="B85" s="38" t="s">
        <v>337</v>
      </c>
      <c r="C85" s="39" t="s">
        <v>338</v>
      </c>
      <c r="D85" s="38" t="s">
        <v>87</v>
      </c>
      <c r="E85" s="38">
        <v>4</v>
      </c>
      <c r="F85" s="38" t="s">
        <v>112</v>
      </c>
      <c r="G85" s="38" t="s">
        <v>125</v>
      </c>
      <c r="H85" s="40" t="s">
        <v>90</v>
      </c>
    </row>
    <row r="86" spans="1:8" s="40" customFormat="1" ht="14.65" customHeight="1">
      <c r="A86" s="38" t="s">
        <v>339</v>
      </c>
      <c r="B86" s="38" t="s">
        <v>340</v>
      </c>
      <c r="C86" s="39" t="s">
        <v>341</v>
      </c>
      <c r="D86" s="38" t="s">
        <v>87</v>
      </c>
      <c r="E86" s="40">
        <v>13</v>
      </c>
      <c r="F86" s="38" t="s">
        <v>112</v>
      </c>
      <c r="G86" s="38" t="s">
        <v>113</v>
      </c>
      <c r="H86" s="40" t="s">
        <v>76</v>
      </c>
    </row>
    <row r="87" spans="1:8" s="40" customFormat="1" ht="14.65" customHeight="1">
      <c r="A87" s="43" t="s">
        <v>342</v>
      </c>
      <c r="B87" s="38" t="s">
        <v>343</v>
      </c>
      <c r="C87" s="41" t="s">
        <v>344</v>
      </c>
      <c r="D87" s="38" t="s">
        <v>87</v>
      </c>
      <c r="E87" s="38">
        <v>4</v>
      </c>
      <c r="F87" s="38" t="s">
        <v>112</v>
      </c>
      <c r="G87" s="38" t="s">
        <v>125</v>
      </c>
      <c r="H87" s="40" t="s">
        <v>90</v>
      </c>
    </row>
    <row r="88" spans="1:8" s="40" customFormat="1" ht="14.65" customHeight="1">
      <c r="A88" s="38" t="s">
        <v>345</v>
      </c>
      <c r="B88" s="38" t="s">
        <v>346</v>
      </c>
      <c r="C88" s="39" t="s">
        <v>347</v>
      </c>
      <c r="D88" s="38" t="s">
        <v>87</v>
      </c>
      <c r="E88" s="38">
        <v>12</v>
      </c>
      <c r="F88" s="38" t="s">
        <v>112</v>
      </c>
      <c r="G88" s="38" t="s">
        <v>348</v>
      </c>
      <c r="H88" s="40" t="s">
        <v>83</v>
      </c>
    </row>
    <row r="89" spans="1:8" s="40" customFormat="1" ht="14.65" customHeight="1">
      <c r="A89" s="38" t="s">
        <v>349</v>
      </c>
      <c r="B89" s="38" t="s">
        <v>350</v>
      </c>
      <c r="C89" s="39" t="s">
        <v>351</v>
      </c>
      <c r="D89" s="38" t="s">
        <v>73</v>
      </c>
      <c r="E89" s="38">
        <v>8</v>
      </c>
      <c r="F89" s="38" t="s">
        <v>74</v>
      </c>
      <c r="G89" s="38" t="s">
        <v>209</v>
      </c>
      <c r="H89" s="40" t="s">
        <v>83</v>
      </c>
    </row>
    <row r="90" spans="1:8" s="40" customFormat="1" ht="14.65" customHeight="1">
      <c r="A90" s="38" t="s">
        <v>352</v>
      </c>
      <c r="B90" s="38" t="s">
        <v>353</v>
      </c>
      <c r="C90" s="39" t="s">
        <v>354</v>
      </c>
      <c r="D90" s="38" t="s">
        <v>87</v>
      </c>
      <c r="E90" s="38">
        <v>1</v>
      </c>
      <c r="F90" s="38" t="s">
        <v>112</v>
      </c>
      <c r="G90" s="38" t="s">
        <v>156</v>
      </c>
      <c r="H90" s="40" t="s">
        <v>76</v>
      </c>
    </row>
    <row r="91" spans="1:8" s="40" customFormat="1" ht="14.65" customHeight="1">
      <c r="A91" s="38" t="s">
        <v>355</v>
      </c>
      <c r="B91" s="38" t="s">
        <v>356</v>
      </c>
      <c r="C91" s="39" t="s">
        <v>357</v>
      </c>
      <c r="D91" s="38" t="s">
        <v>73</v>
      </c>
      <c r="E91" s="38">
        <v>3</v>
      </c>
      <c r="F91" s="38" t="s">
        <v>74</v>
      </c>
      <c r="G91" s="38" t="s">
        <v>263</v>
      </c>
      <c r="H91" s="40" t="s">
        <v>264</v>
      </c>
    </row>
    <row r="92" spans="1:8" s="40" customFormat="1" ht="14.65" customHeight="1">
      <c r="A92" s="38" t="s">
        <v>358</v>
      </c>
      <c r="B92" s="38" t="s">
        <v>359</v>
      </c>
      <c r="C92" s="39" t="s">
        <v>360</v>
      </c>
      <c r="D92" s="38" t="s">
        <v>73</v>
      </c>
      <c r="E92" s="38">
        <v>3</v>
      </c>
      <c r="F92" s="38" t="s">
        <v>74</v>
      </c>
      <c r="G92" s="38" t="s">
        <v>263</v>
      </c>
      <c r="H92" s="40" t="s">
        <v>264</v>
      </c>
    </row>
    <row r="93" spans="1:8" s="40" customFormat="1" ht="14.65" customHeight="1">
      <c r="A93" s="38" t="s">
        <v>361</v>
      </c>
      <c r="B93" s="38" t="s">
        <v>362</v>
      </c>
      <c r="C93" s="39" t="s">
        <v>363</v>
      </c>
      <c r="D93" s="38" t="s">
        <v>87</v>
      </c>
      <c r="E93" s="38">
        <v>4</v>
      </c>
      <c r="F93" s="38" t="s">
        <v>112</v>
      </c>
      <c r="G93" s="38" t="s">
        <v>125</v>
      </c>
      <c r="H93" s="40" t="s">
        <v>90</v>
      </c>
    </row>
    <row r="94" spans="1:8" s="40" customFormat="1" ht="14.65" customHeight="1">
      <c r="A94" s="38" t="s">
        <v>364</v>
      </c>
      <c r="B94" s="38" t="s">
        <v>365</v>
      </c>
      <c r="C94" s="39" t="s">
        <v>366</v>
      </c>
      <c r="D94" s="38" t="s">
        <v>87</v>
      </c>
      <c r="E94" s="38">
        <v>4</v>
      </c>
      <c r="F94" s="38" t="s">
        <v>112</v>
      </c>
      <c r="G94" s="38" t="s">
        <v>125</v>
      </c>
      <c r="H94" s="40" t="s">
        <v>90</v>
      </c>
    </row>
    <row r="95" spans="1:8" s="40" customFormat="1" ht="14.65" customHeight="1">
      <c r="A95" s="38" t="s">
        <v>364</v>
      </c>
      <c r="B95" s="38" t="s">
        <v>367</v>
      </c>
      <c r="C95" s="39" t="s">
        <v>366</v>
      </c>
      <c r="D95" s="38" t="s">
        <v>87</v>
      </c>
      <c r="E95" s="38">
        <v>4</v>
      </c>
      <c r="F95" s="38" t="s">
        <v>112</v>
      </c>
      <c r="G95" s="38" t="s">
        <v>125</v>
      </c>
      <c r="H95" s="40" t="s">
        <v>90</v>
      </c>
    </row>
    <row r="96" spans="1:8" s="40" customFormat="1" ht="14.65" customHeight="1">
      <c r="A96" s="38" t="s">
        <v>364</v>
      </c>
      <c r="B96" s="38" t="s">
        <v>368</v>
      </c>
      <c r="C96" s="39" t="s">
        <v>366</v>
      </c>
      <c r="D96" s="38" t="s">
        <v>87</v>
      </c>
      <c r="E96" s="38">
        <v>4</v>
      </c>
      <c r="F96" s="38" t="s">
        <v>112</v>
      </c>
      <c r="G96" s="38" t="s">
        <v>125</v>
      </c>
      <c r="H96" s="40" t="s">
        <v>90</v>
      </c>
    </row>
    <row r="97" spans="1:8" s="40" customFormat="1" ht="14.65" customHeight="1">
      <c r="A97" s="41" t="s">
        <v>369</v>
      </c>
      <c r="B97" s="41" t="s">
        <v>370</v>
      </c>
      <c r="C97" s="39" t="s">
        <v>371</v>
      </c>
      <c r="D97" s="41" t="s">
        <v>183</v>
      </c>
      <c r="E97" s="41">
        <v>1</v>
      </c>
      <c r="F97" s="41" t="s">
        <v>184</v>
      </c>
      <c r="G97" s="41" t="s">
        <v>372</v>
      </c>
      <c r="H97" s="40" t="s">
        <v>90</v>
      </c>
    </row>
    <row r="98" spans="1:8" s="40" customFormat="1" ht="14.65" customHeight="1">
      <c r="A98" s="41" t="s">
        <v>373</v>
      </c>
      <c r="B98" s="41" t="s">
        <v>374</v>
      </c>
      <c r="C98" s="41" t="s">
        <v>375</v>
      </c>
      <c r="D98" s="41" t="s">
        <v>183</v>
      </c>
      <c r="E98" s="41">
        <v>1</v>
      </c>
      <c r="F98" s="41" t="s">
        <v>184</v>
      </c>
      <c r="G98" s="41" t="s">
        <v>372</v>
      </c>
      <c r="H98" s="40" t="s">
        <v>90</v>
      </c>
    </row>
    <row r="99" spans="1:8" s="40" customFormat="1" ht="14.65" customHeight="1">
      <c r="A99" s="38" t="s">
        <v>376</v>
      </c>
      <c r="B99" s="38" t="s">
        <v>377</v>
      </c>
      <c r="C99" s="39" t="s">
        <v>378</v>
      </c>
      <c r="D99" s="38" t="s">
        <v>87</v>
      </c>
      <c r="E99" s="38">
        <v>2</v>
      </c>
      <c r="F99" s="38" t="s">
        <v>112</v>
      </c>
      <c r="G99" s="38" t="s">
        <v>292</v>
      </c>
      <c r="H99" s="40" t="s">
        <v>160</v>
      </c>
    </row>
    <row r="100" spans="1:8" s="40" customFormat="1" ht="14.65" customHeight="1">
      <c r="A100" s="38" t="s">
        <v>376</v>
      </c>
      <c r="B100" s="38" t="s">
        <v>379</v>
      </c>
      <c r="C100" s="39" t="s">
        <v>380</v>
      </c>
      <c r="D100" s="38" t="s">
        <v>87</v>
      </c>
      <c r="E100" s="38">
        <v>3</v>
      </c>
      <c r="F100" s="38" t="s">
        <v>112</v>
      </c>
      <c r="G100" s="38" t="s">
        <v>236</v>
      </c>
      <c r="H100" s="40" t="s">
        <v>90</v>
      </c>
    </row>
    <row r="101" spans="1:8" s="40" customFormat="1" ht="14.65" customHeight="1">
      <c r="A101" s="38" t="s">
        <v>381</v>
      </c>
      <c r="B101" s="48" t="s">
        <v>382</v>
      </c>
      <c r="C101" s="39" t="s">
        <v>383</v>
      </c>
      <c r="D101" s="38" t="s">
        <v>80</v>
      </c>
      <c r="E101" s="38">
        <v>4</v>
      </c>
      <c r="F101" s="41" t="s">
        <v>81</v>
      </c>
      <c r="G101" s="38" t="s">
        <v>384</v>
      </c>
      <c r="H101" s="40" t="s">
        <v>160</v>
      </c>
    </row>
    <row r="102" spans="1:8" s="40" customFormat="1" ht="14.65" customHeight="1">
      <c r="A102" s="38" t="s">
        <v>385</v>
      </c>
      <c r="B102" s="38" t="s">
        <v>386</v>
      </c>
      <c r="C102" s="39" t="s">
        <v>387</v>
      </c>
      <c r="D102" s="38" t="s">
        <v>87</v>
      </c>
      <c r="E102" s="38">
        <v>4</v>
      </c>
      <c r="F102" s="38" t="s">
        <v>112</v>
      </c>
      <c r="G102" s="38" t="s">
        <v>125</v>
      </c>
      <c r="H102" s="40" t="s">
        <v>90</v>
      </c>
    </row>
    <row r="103" spans="1:8" s="40" customFormat="1" ht="14.65" customHeight="1">
      <c r="A103" s="38" t="s">
        <v>388</v>
      </c>
      <c r="B103" s="38" t="s">
        <v>389</v>
      </c>
      <c r="C103" s="39" t="s">
        <v>390</v>
      </c>
      <c r="D103" s="38" t="s">
        <v>73</v>
      </c>
      <c r="E103" s="38">
        <v>2</v>
      </c>
      <c r="F103" s="38" t="s">
        <v>74</v>
      </c>
      <c r="G103" s="38" t="s">
        <v>213</v>
      </c>
      <c r="H103" s="40" t="s">
        <v>90</v>
      </c>
    </row>
    <row r="104" spans="1:8" s="40" customFormat="1" ht="14.65" customHeight="1">
      <c r="A104" s="38" t="s">
        <v>391</v>
      </c>
      <c r="B104" s="38" t="s">
        <v>392</v>
      </c>
      <c r="C104" s="39" t="s">
        <v>393</v>
      </c>
      <c r="D104" s="38" t="s">
        <v>73</v>
      </c>
      <c r="E104" s="38">
        <v>3</v>
      </c>
      <c r="F104" s="38" t="s">
        <v>74</v>
      </c>
      <c r="G104" s="38" t="s">
        <v>263</v>
      </c>
      <c r="H104" s="40" t="s">
        <v>264</v>
      </c>
    </row>
    <row r="105" spans="1:8" s="40" customFormat="1" ht="14.65" customHeight="1">
      <c r="A105" s="38" t="s">
        <v>394</v>
      </c>
      <c r="B105" s="38" t="s">
        <v>395</v>
      </c>
      <c r="C105" s="39" t="s">
        <v>396</v>
      </c>
      <c r="D105" s="38" t="s">
        <v>73</v>
      </c>
      <c r="E105" s="38">
        <v>3</v>
      </c>
      <c r="F105" s="38" t="s">
        <v>74</v>
      </c>
      <c r="G105" s="38" t="s">
        <v>263</v>
      </c>
      <c r="H105" s="40" t="s">
        <v>264</v>
      </c>
    </row>
    <row r="106" spans="1:8" s="40" customFormat="1" ht="14.65" customHeight="1">
      <c r="A106" s="38" t="s">
        <v>397</v>
      </c>
      <c r="B106" s="38" t="s">
        <v>398</v>
      </c>
      <c r="C106" s="39" t="s">
        <v>399</v>
      </c>
      <c r="D106" s="38" t="s">
        <v>73</v>
      </c>
      <c r="E106" s="38">
        <v>3</v>
      </c>
      <c r="F106" s="38" t="s">
        <v>74</v>
      </c>
      <c r="G106" s="38" t="s">
        <v>263</v>
      </c>
      <c r="H106" s="40" t="s">
        <v>264</v>
      </c>
    </row>
    <row r="107" spans="1:8" s="40" customFormat="1" ht="14.65" customHeight="1">
      <c r="A107" s="38" t="s">
        <v>400</v>
      </c>
      <c r="B107" s="38" t="s">
        <v>401</v>
      </c>
      <c r="C107" s="39" t="s">
        <v>402</v>
      </c>
      <c r="D107" s="38" t="s">
        <v>73</v>
      </c>
      <c r="E107" s="38">
        <v>3</v>
      </c>
      <c r="F107" s="38" t="s">
        <v>74</v>
      </c>
      <c r="G107" s="38" t="s">
        <v>263</v>
      </c>
      <c r="H107" s="40" t="s">
        <v>264</v>
      </c>
    </row>
    <row r="108" spans="1:8" s="40" customFormat="1" ht="14.65" customHeight="1">
      <c r="A108" s="38" t="s">
        <v>403</v>
      </c>
      <c r="B108" s="38" t="s">
        <v>313</v>
      </c>
      <c r="C108" s="39" t="s">
        <v>404</v>
      </c>
      <c r="D108" s="38" t="s">
        <v>73</v>
      </c>
      <c r="E108" s="38">
        <v>3</v>
      </c>
      <c r="F108" s="38" t="s">
        <v>74</v>
      </c>
      <c r="G108" s="38" t="s">
        <v>263</v>
      </c>
      <c r="H108" s="40" t="s">
        <v>264</v>
      </c>
    </row>
    <row r="109" spans="1:8" s="40" customFormat="1" ht="14.65" customHeight="1">
      <c r="A109" s="38" t="s">
        <v>405</v>
      </c>
      <c r="B109" s="38" t="s">
        <v>401</v>
      </c>
      <c r="C109" s="39" t="s">
        <v>406</v>
      </c>
      <c r="D109" s="38" t="s">
        <v>73</v>
      </c>
      <c r="E109" s="38">
        <v>3</v>
      </c>
      <c r="F109" s="38" t="s">
        <v>74</v>
      </c>
      <c r="G109" s="38" t="s">
        <v>263</v>
      </c>
      <c r="H109" s="40" t="s">
        <v>264</v>
      </c>
    </row>
    <row r="110" spans="1:8" s="40" customFormat="1" ht="14.65" customHeight="1">
      <c r="A110" s="38" t="s">
        <v>407</v>
      </c>
      <c r="B110" s="38" t="s">
        <v>408</v>
      </c>
      <c r="C110" s="39" t="s">
        <v>409</v>
      </c>
      <c r="D110" s="38" t="s">
        <v>87</v>
      </c>
      <c r="E110" s="38">
        <v>4</v>
      </c>
      <c r="F110" s="38" t="s">
        <v>112</v>
      </c>
      <c r="G110" s="38" t="s">
        <v>125</v>
      </c>
      <c r="H110" s="40" t="s">
        <v>90</v>
      </c>
    </row>
    <row r="111" spans="1:8" s="40" customFormat="1" ht="14.65" customHeight="1">
      <c r="A111" s="38" t="s">
        <v>410</v>
      </c>
      <c r="B111" s="38" t="s">
        <v>411</v>
      </c>
      <c r="C111" s="39" t="s">
        <v>412</v>
      </c>
      <c r="D111" s="38" t="s">
        <v>87</v>
      </c>
      <c r="E111" s="38">
        <v>4</v>
      </c>
      <c r="F111" s="38" t="s">
        <v>112</v>
      </c>
      <c r="G111" s="38" t="s">
        <v>125</v>
      </c>
      <c r="H111" s="40" t="s">
        <v>90</v>
      </c>
    </row>
    <row r="112" spans="1:8" s="40" customFormat="1" ht="14.65" customHeight="1">
      <c r="A112" s="38" t="s">
        <v>413</v>
      </c>
      <c r="B112" s="38" t="s">
        <v>414</v>
      </c>
      <c r="C112" s="39" t="s">
        <v>415</v>
      </c>
      <c r="D112" s="38" t="s">
        <v>87</v>
      </c>
      <c r="E112" s="38">
        <v>13</v>
      </c>
      <c r="F112" s="38" t="s">
        <v>112</v>
      </c>
      <c r="G112" s="38" t="s">
        <v>113</v>
      </c>
      <c r="H112" s="40" t="s">
        <v>76</v>
      </c>
    </row>
    <row r="113" spans="1:8" s="40" customFormat="1" ht="14.65" customHeight="1">
      <c r="A113" s="38" t="s">
        <v>416</v>
      </c>
      <c r="B113" s="38" t="s">
        <v>417</v>
      </c>
      <c r="C113" s="39" t="s">
        <v>418</v>
      </c>
      <c r="D113" s="38" t="s">
        <v>87</v>
      </c>
      <c r="E113" s="38">
        <v>2</v>
      </c>
      <c r="F113" s="38" t="s">
        <v>112</v>
      </c>
      <c r="G113" s="38" t="s">
        <v>292</v>
      </c>
      <c r="H113" s="40" t="s">
        <v>160</v>
      </c>
    </row>
    <row r="114" spans="1:8" s="40" customFormat="1" ht="14.65" customHeight="1">
      <c r="A114" s="38" t="s">
        <v>419</v>
      </c>
      <c r="B114" s="38" t="s">
        <v>420</v>
      </c>
      <c r="C114" s="39" t="s">
        <v>421</v>
      </c>
      <c r="D114" s="38" t="s">
        <v>87</v>
      </c>
      <c r="E114" s="38">
        <v>4</v>
      </c>
      <c r="F114" s="38" t="s">
        <v>112</v>
      </c>
      <c r="G114" s="38" t="s">
        <v>125</v>
      </c>
      <c r="H114" s="40" t="s">
        <v>90</v>
      </c>
    </row>
    <row r="115" spans="1:8" s="40" customFormat="1" ht="14.65" customHeight="1">
      <c r="A115" s="38" t="s">
        <v>422</v>
      </c>
      <c r="B115" s="38" t="s">
        <v>423</v>
      </c>
      <c r="C115" s="39" t="s">
        <v>424</v>
      </c>
      <c r="D115" s="38" t="s">
        <v>87</v>
      </c>
      <c r="E115" s="40">
        <v>13</v>
      </c>
      <c r="F115" s="38" t="s">
        <v>112</v>
      </c>
      <c r="G115" s="38" t="s">
        <v>113</v>
      </c>
      <c r="H115" s="40" t="s">
        <v>76</v>
      </c>
    </row>
    <row r="116" spans="1:8" s="40" customFormat="1" ht="14.65" customHeight="1">
      <c r="A116" s="38" t="s">
        <v>422</v>
      </c>
      <c r="B116" s="38" t="s">
        <v>425</v>
      </c>
      <c r="C116" s="39" t="s">
        <v>426</v>
      </c>
      <c r="D116" s="38" t="s">
        <v>87</v>
      </c>
      <c r="E116" s="40">
        <v>13</v>
      </c>
      <c r="F116" s="38" t="s">
        <v>112</v>
      </c>
      <c r="G116" s="38" t="s">
        <v>113</v>
      </c>
      <c r="H116" s="40" t="s">
        <v>76</v>
      </c>
    </row>
    <row r="117" spans="1:8" s="40" customFormat="1" ht="14.65" customHeight="1">
      <c r="A117" s="38" t="s">
        <v>427</v>
      </c>
      <c r="B117" s="38" t="s">
        <v>428</v>
      </c>
      <c r="C117" s="39" t="s">
        <v>429</v>
      </c>
      <c r="D117" s="38" t="s">
        <v>87</v>
      </c>
      <c r="E117" s="38">
        <v>2</v>
      </c>
      <c r="F117" s="38" t="s">
        <v>112</v>
      </c>
      <c r="G117" s="38" t="s">
        <v>292</v>
      </c>
      <c r="H117" s="40" t="s">
        <v>160</v>
      </c>
    </row>
    <row r="118" spans="1:8" s="40" customFormat="1" ht="14.65" customHeight="1">
      <c r="A118" s="38" t="s">
        <v>427</v>
      </c>
      <c r="B118" s="38" t="s">
        <v>430</v>
      </c>
      <c r="C118" s="39" t="s">
        <v>431</v>
      </c>
      <c r="D118" s="38" t="s">
        <v>87</v>
      </c>
      <c r="E118" s="38">
        <v>3</v>
      </c>
      <c r="F118" s="38" t="s">
        <v>112</v>
      </c>
      <c r="G118" s="38" t="s">
        <v>236</v>
      </c>
      <c r="H118" s="40" t="s">
        <v>90</v>
      </c>
    </row>
    <row r="119" spans="1:8" s="40" customFormat="1" ht="14.65" customHeight="1">
      <c r="A119" s="43" t="s">
        <v>432</v>
      </c>
      <c r="B119" s="38" t="s">
        <v>433</v>
      </c>
      <c r="C119" s="41" t="s">
        <v>434</v>
      </c>
      <c r="D119" s="38" t="s">
        <v>87</v>
      </c>
      <c r="E119" s="38">
        <v>4</v>
      </c>
      <c r="F119" s="38" t="s">
        <v>112</v>
      </c>
      <c r="G119" s="38" t="s">
        <v>125</v>
      </c>
      <c r="H119" s="40" t="s">
        <v>90</v>
      </c>
    </row>
    <row r="120" spans="1:8" s="40" customFormat="1" ht="14.65" customHeight="1">
      <c r="A120" s="38" t="s">
        <v>435</v>
      </c>
      <c r="B120" s="38" t="s">
        <v>436</v>
      </c>
      <c r="C120" s="39" t="s">
        <v>437</v>
      </c>
      <c r="D120" s="38" t="s">
        <v>73</v>
      </c>
      <c r="E120" s="38">
        <v>3</v>
      </c>
      <c r="F120" s="38" t="s">
        <v>74</v>
      </c>
      <c r="G120" s="38" t="s">
        <v>263</v>
      </c>
      <c r="H120" s="40" t="s">
        <v>264</v>
      </c>
    </row>
    <row r="121" spans="1:8" s="40" customFormat="1" ht="14.65" customHeight="1">
      <c r="A121" s="38" t="s">
        <v>438</v>
      </c>
      <c r="B121" s="38" t="s">
        <v>439</v>
      </c>
      <c r="C121" s="39" t="s">
        <v>440</v>
      </c>
      <c r="D121" s="38" t="s">
        <v>73</v>
      </c>
      <c r="E121" s="38">
        <v>3</v>
      </c>
      <c r="F121" s="38" t="s">
        <v>74</v>
      </c>
      <c r="G121" s="38" t="s">
        <v>263</v>
      </c>
      <c r="H121" s="40" t="s">
        <v>264</v>
      </c>
    </row>
    <row r="122" spans="1:8" s="40" customFormat="1" ht="14.65" customHeight="1">
      <c r="A122" s="38" t="s">
        <v>441</v>
      </c>
      <c r="B122" s="40" t="s">
        <v>442</v>
      </c>
      <c r="C122" s="39" t="s">
        <v>443</v>
      </c>
      <c r="D122" s="38" t="s">
        <v>87</v>
      </c>
      <c r="E122" s="38">
        <v>3</v>
      </c>
      <c r="F122" s="38" t="s">
        <v>112</v>
      </c>
      <c r="G122" s="38" t="s">
        <v>236</v>
      </c>
      <c r="H122" s="40" t="s">
        <v>90</v>
      </c>
    </row>
    <row r="123" spans="1:8" s="40" customFormat="1" ht="14.65" customHeight="1">
      <c r="A123" s="38" t="s">
        <v>444</v>
      </c>
      <c r="B123" s="38" t="s">
        <v>445</v>
      </c>
      <c r="C123" s="39" t="s">
        <v>446</v>
      </c>
      <c r="D123" s="38" t="s">
        <v>87</v>
      </c>
      <c r="E123" s="38">
        <v>4</v>
      </c>
      <c r="F123" s="38" t="s">
        <v>112</v>
      </c>
      <c r="G123" s="38" t="s">
        <v>125</v>
      </c>
      <c r="H123" s="40" t="s">
        <v>90</v>
      </c>
    </row>
    <row r="124" spans="1:8" s="40" customFormat="1" ht="14.65" customHeight="1">
      <c r="A124" s="38" t="s">
        <v>447</v>
      </c>
      <c r="B124" s="49" t="s">
        <v>448</v>
      </c>
      <c r="C124" s="39" t="s">
        <v>449</v>
      </c>
      <c r="D124" s="38" t="s">
        <v>80</v>
      </c>
      <c r="E124" s="38">
        <v>4</v>
      </c>
      <c r="F124" s="38" t="s">
        <v>81</v>
      </c>
      <c r="G124" s="38" t="s">
        <v>384</v>
      </c>
      <c r="H124" s="40" t="s">
        <v>160</v>
      </c>
    </row>
    <row r="125" spans="1:8" s="40" customFormat="1" ht="14.65" customHeight="1">
      <c r="A125" s="38" t="s">
        <v>450</v>
      </c>
      <c r="B125" s="38" t="s">
        <v>451</v>
      </c>
      <c r="C125" s="39" t="s">
        <v>452</v>
      </c>
      <c r="D125" s="38" t="s">
        <v>73</v>
      </c>
      <c r="E125" s="38">
        <v>6</v>
      </c>
      <c r="F125" s="38" t="s">
        <v>74</v>
      </c>
      <c r="G125" s="38" t="s">
        <v>453</v>
      </c>
      <c r="H125" s="40" t="s">
        <v>160</v>
      </c>
    </row>
    <row r="126" spans="1:8" s="40" customFormat="1" ht="14.65" customHeight="1">
      <c r="A126" s="38" t="s">
        <v>450</v>
      </c>
      <c r="B126" s="38" t="s">
        <v>451</v>
      </c>
      <c r="C126" s="39" t="s">
        <v>454</v>
      </c>
      <c r="D126" s="38" t="s">
        <v>87</v>
      </c>
      <c r="E126" s="38">
        <v>2</v>
      </c>
      <c r="F126" s="38" t="s">
        <v>112</v>
      </c>
      <c r="G126" s="38" t="s">
        <v>292</v>
      </c>
      <c r="H126" s="40" t="s">
        <v>160</v>
      </c>
    </row>
    <row r="127" spans="1:8" s="40" customFormat="1" ht="14.65" customHeight="1">
      <c r="A127" s="38" t="s">
        <v>455</v>
      </c>
      <c r="B127" s="38" t="s">
        <v>456</v>
      </c>
      <c r="C127" s="39" t="s">
        <v>457</v>
      </c>
      <c r="D127" s="38" t="s">
        <v>87</v>
      </c>
      <c r="E127" s="38">
        <v>14</v>
      </c>
      <c r="F127" s="38" t="s">
        <v>112</v>
      </c>
      <c r="G127" s="38" t="s">
        <v>144</v>
      </c>
      <c r="H127" s="40" t="s">
        <v>83</v>
      </c>
    </row>
    <row r="128" spans="1:8" s="40" customFormat="1" ht="14.65" customHeight="1">
      <c r="A128" s="38" t="s">
        <v>458</v>
      </c>
      <c r="B128" s="40" t="s">
        <v>459</v>
      </c>
      <c r="C128" s="39" t="s">
        <v>460</v>
      </c>
      <c r="D128" s="38" t="s">
        <v>87</v>
      </c>
      <c r="E128" s="38">
        <v>3</v>
      </c>
      <c r="F128" s="38" t="s">
        <v>112</v>
      </c>
      <c r="G128" s="38" t="s">
        <v>236</v>
      </c>
      <c r="H128" s="40" t="s">
        <v>90</v>
      </c>
    </row>
    <row r="129" spans="1:8" s="40" customFormat="1" ht="14.65" customHeight="1">
      <c r="A129" s="38" t="s">
        <v>461</v>
      </c>
      <c r="B129" s="38" t="s">
        <v>462</v>
      </c>
      <c r="C129" s="39" t="s">
        <v>463</v>
      </c>
      <c r="D129" s="38" t="s">
        <v>87</v>
      </c>
      <c r="E129" s="38">
        <v>4</v>
      </c>
      <c r="F129" s="38" t="s">
        <v>112</v>
      </c>
      <c r="G129" s="38" t="s">
        <v>125</v>
      </c>
      <c r="H129" s="40" t="s">
        <v>90</v>
      </c>
    </row>
    <row r="130" spans="1:8" s="40" customFormat="1" ht="14.65" customHeight="1">
      <c r="A130" s="38" t="s">
        <v>464</v>
      </c>
      <c r="B130" s="38" t="s">
        <v>465</v>
      </c>
      <c r="C130" s="39" t="s">
        <v>466</v>
      </c>
      <c r="D130" s="38" t="s">
        <v>87</v>
      </c>
      <c r="E130" s="38">
        <v>4</v>
      </c>
      <c r="F130" s="38" t="s">
        <v>112</v>
      </c>
      <c r="G130" s="38" t="s">
        <v>125</v>
      </c>
      <c r="H130" s="40" t="s">
        <v>90</v>
      </c>
    </row>
    <row r="131" spans="1:8" s="40" customFormat="1" ht="14.65" customHeight="1">
      <c r="A131" s="38" t="s">
        <v>467</v>
      </c>
      <c r="B131" s="38" t="s">
        <v>468</v>
      </c>
      <c r="C131" s="39" t="s">
        <v>469</v>
      </c>
      <c r="D131" s="38" t="s">
        <v>80</v>
      </c>
      <c r="E131" s="38">
        <v>9</v>
      </c>
      <c r="F131" s="38" t="s">
        <v>81</v>
      </c>
      <c r="G131" s="38" t="s">
        <v>470</v>
      </c>
      <c r="H131" s="40" t="s">
        <v>83</v>
      </c>
    </row>
    <row r="132" spans="1:8" s="40" customFormat="1" ht="14.65" customHeight="1">
      <c r="A132" s="38" t="s">
        <v>471</v>
      </c>
      <c r="B132" s="38" t="s">
        <v>472</v>
      </c>
      <c r="C132" s="39" t="s">
        <v>473</v>
      </c>
      <c r="D132" s="38" t="s">
        <v>87</v>
      </c>
      <c r="E132" s="38">
        <v>1</v>
      </c>
      <c r="F132" s="38" t="s">
        <v>112</v>
      </c>
      <c r="G132" s="38" t="s">
        <v>156</v>
      </c>
      <c r="H132" s="40" t="s">
        <v>83</v>
      </c>
    </row>
    <row r="133" spans="1:8" s="40" customFormat="1" ht="14.65" customHeight="1">
      <c r="A133" s="38" t="s">
        <v>474</v>
      </c>
      <c r="B133" s="38" t="s">
        <v>475</v>
      </c>
      <c r="C133" s="39" t="s">
        <v>476</v>
      </c>
      <c r="D133" s="38" t="s">
        <v>87</v>
      </c>
      <c r="E133" s="38">
        <v>14</v>
      </c>
      <c r="F133" s="38" t="s">
        <v>112</v>
      </c>
      <c r="G133" s="38" t="s">
        <v>144</v>
      </c>
      <c r="H133" s="40" t="s">
        <v>83</v>
      </c>
    </row>
    <row r="134" spans="1:8" s="40" customFormat="1" ht="14.65" customHeight="1">
      <c r="A134" s="38" t="s">
        <v>477</v>
      </c>
      <c r="B134" s="38" t="s">
        <v>478</v>
      </c>
      <c r="C134" s="39" t="s">
        <v>479</v>
      </c>
      <c r="D134" s="38" t="s">
        <v>87</v>
      </c>
      <c r="E134" s="38">
        <v>14</v>
      </c>
      <c r="F134" s="38" t="s">
        <v>112</v>
      </c>
      <c r="G134" s="38" t="s">
        <v>144</v>
      </c>
      <c r="H134" s="40" t="s">
        <v>83</v>
      </c>
    </row>
    <row r="135" spans="1:8" s="40" customFormat="1" ht="14.65" customHeight="1">
      <c r="A135" s="38" t="s">
        <v>477</v>
      </c>
      <c r="B135" s="38" t="s">
        <v>480</v>
      </c>
      <c r="C135" s="39" t="s">
        <v>481</v>
      </c>
      <c r="D135" s="38" t="s">
        <v>80</v>
      </c>
      <c r="E135" s="38">
        <v>9</v>
      </c>
      <c r="F135" s="38" t="s">
        <v>81</v>
      </c>
      <c r="G135" s="38" t="s">
        <v>470</v>
      </c>
      <c r="H135" s="40" t="s">
        <v>83</v>
      </c>
    </row>
    <row r="136" spans="1:8" s="40" customFormat="1" ht="14.65" customHeight="1">
      <c r="A136" s="38" t="s">
        <v>482</v>
      </c>
      <c r="B136" s="38" t="s">
        <v>483</v>
      </c>
      <c r="C136" s="39" t="s">
        <v>484</v>
      </c>
      <c r="D136" s="38" t="s">
        <v>87</v>
      </c>
      <c r="E136" s="38">
        <v>14</v>
      </c>
      <c r="F136" s="38" t="s">
        <v>112</v>
      </c>
      <c r="G136" s="38" t="s">
        <v>144</v>
      </c>
      <c r="H136" s="40" t="s">
        <v>83</v>
      </c>
    </row>
    <row r="137" spans="1:8" s="40" customFormat="1" ht="14.65" customHeight="1">
      <c r="A137" s="38" t="s">
        <v>482</v>
      </c>
      <c r="B137" s="38" t="s">
        <v>485</v>
      </c>
      <c r="C137" s="39" t="s">
        <v>484</v>
      </c>
      <c r="D137" s="38" t="s">
        <v>80</v>
      </c>
      <c r="E137" s="38">
        <v>9</v>
      </c>
      <c r="F137" s="38" t="s">
        <v>81</v>
      </c>
      <c r="G137" s="38" t="s">
        <v>470</v>
      </c>
      <c r="H137" s="40" t="s">
        <v>83</v>
      </c>
    </row>
    <row r="138" spans="1:8" s="40" customFormat="1" ht="14.65" customHeight="1">
      <c r="A138" s="38" t="s">
        <v>486</v>
      </c>
      <c r="B138" s="38" t="s">
        <v>487</v>
      </c>
      <c r="C138" s="39" t="s">
        <v>488</v>
      </c>
      <c r="D138" s="38" t="s">
        <v>87</v>
      </c>
      <c r="E138" s="38">
        <v>14</v>
      </c>
      <c r="F138" s="38" t="s">
        <v>112</v>
      </c>
      <c r="G138" s="38" t="s">
        <v>144</v>
      </c>
      <c r="H138" s="40" t="s">
        <v>83</v>
      </c>
    </row>
    <row r="139" spans="1:8" s="40" customFormat="1" ht="14.65" customHeight="1">
      <c r="A139" s="38" t="s">
        <v>486</v>
      </c>
      <c r="B139" s="38" t="s">
        <v>489</v>
      </c>
      <c r="C139" s="39" t="s">
        <v>488</v>
      </c>
      <c r="D139" s="38" t="s">
        <v>80</v>
      </c>
      <c r="E139" s="38">
        <v>9</v>
      </c>
      <c r="F139" s="38" t="s">
        <v>81</v>
      </c>
      <c r="G139" s="38" t="s">
        <v>470</v>
      </c>
      <c r="H139" s="40" t="s">
        <v>83</v>
      </c>
    </row>
    <row r="140" spans="1:8" s="40" customFormat="1" ht="14.65" customHeight="1">
      <c r="A140" s="38" t="s">
        <v>490</v>
      </c>
      <c r="B140" s="38" t="s">
        <v>491</v>
      </c>
      <c r="C140" s="39" t="s">
        <v>492</v>
      </c>
      <c r="D140" s="38" t="s">
        <v>87</v>
      </c>
      <c r="E140" s="38">
        <v>4</v>
      </c>
      <c r="F140" s="38" t="s">
        <v>112</v>
      </c>
      <c r="G140" s="38" t="s">
        <v>125</v>
      </c>
      <c r="H140" s="40" t="s">
        <v>90</v>
      </c>
    </row>
    <row r="141" spans="1:8" s="40" customFormat="1" ht="14.65" customHeight="1">
      <c r="A141" s="38" t="s">
        <v>493</v>
      </c>
      <c r="B141" s="38" t="s">
        <v>494</v>
      </c>
      <c r="C141" s="39" t="s">
        <v>495</v>
      </c>
      <c r="D141" s="38" t="s">
        <v>73</v>
      </c>
      <c r="E141" s="38">
        <v>6</v>
      </c>
      <c r="F141" s="38" t="s">
        <v>74</v>
      </c>
      <c r="G141" s="38" t="s">
        <v>453</v>
      </c>
      <c r="H141" s="40" t="s">
        <v>160</v>
      </c>
    </row>
    <row r="142" spans="1:8" s="40" customFormat="1" ht="14.65" customHeight="1">
      <c r="A142" s="38" t="s">
        <v>493</v>
      </c>
      <c r="B142" s="38" t="s">
        <v>496</v>
      </c>
      <c r="C142" s="39" t="s">
        <v>497</v>
      </c>
      <c r="D142" s="38" t="s">
        <v>87</v>
      </c>
      <c r="E142" s="38">
        <v>1</v>
      </c>
      <c r="F142" s="38" t="s">
        <v>112</v>
      </c>
      <c r="G142" s="38" t="s">
        <v>156</v>
      </c>
      <c r="H142" s="40" t="s">
        <v>160</v>
      </c>
    </row>
    <row r="143" spans="1:8" s="40" customFormat="1" ht="14.65" customHeight="1">
      <c r="A143" s="38" t="s">
        <v>493</v>
      </c>
      <c r="B143" s="38" t="s">
        <v>498</v>
      </c>
      <c r="C143" s="39" t="s">
        <v>499</v>
      </c>
      <c r="D143" s="38" t="s">
        <v>87</v>
      </c>
      <c r="E143" s="38">
        <v>2</v>
      </c>
      <c r="F143" s="38" t="s">
        <v>112</v>
      </c>
      <c r="G143" s="38" t="s">
        <v>292</v>
      </c>
      <c r="H143" s="40" t="s">
        <v>160</v>
      </c>
    </row>
    <row r="144" spans="1:8" s="40" customFormat="1" ht="14.65" customHeight="1">
      <c r="A144" s="41" t="s">
        <v>493</v>
      </c>
      <c r="B144" s="41" t="s">
        <v>498</v>
      </c>
      <c r="C144" s="41" t="s">
        <v>500</v>
      </c>
      <c r="D144" s="41" t="s">
        <v>183</v>
      </c>
      <c r="E144" s="41">
        <v>1</v>
      </c>
      <c r="F144" s="41" t="s">
        <v>184</v>
      </c>
      <c r="G144" s="41" t="s">
        <v>372</v>
      </c>
      <c r="H144" s="40" t="s">
        <v>160</v>
      </c>
    </row>
    <row r="145" spans="1:8" s="40" customFormat="1" ht="14.65" customHeight="1">
      <c r="A145" s="38" t="s">
        <v>501</v>
      </c>
      <c r="B145" s="38" t="s">
        <v>502</v>
      </c>
      <c r="C145" s="39" t="s">
        <v>503</v>
      </c>
      <c r="D145" s="38" t="s">
        <v>87</v>
      </c>
      <c r="E145" s="38">
        <v>4</v>
      </c>
      <c r="F145" s="38" t="s">
        <v>112</v>
      </c>
      <c r="G145" s="38" t="s">
        <v>125</v>
      </c>
      <c r="H145" s="40" t="s">
        <v>90</v>
      </c>
    </row>
    <row r="146" spans="1:8" s="40" customFormat="1" ht="14.65" customHeight="1">
      <c r="A146" s="38" t="s">
        <v>504</v>
      </c>
      <c r="B146" s="38" t="s">
        <v>505</v>
      </c>
      <c r="C146" s="39" t="s">
        <v>506</v>
      </c>
      <c r="D146" s="38" t="s">
        <v>87</v>
      </c>
      <c r="E146" s="38">
        <v>1</v>
      </c>
      <c r="F146" s="38" t="s">
        <v>112</v>
      </c>
      <c r="G146" s="38" t="s">
        <v>156</v>
      </c>
      <c r="H146" s="40" t="s">
        <v>94</v>
      </c>
    </row>
    <row r="147" spans="1:8" s="40" customFormat="1" ht="14.65" customHeight="1">
      <c r="A147" s="38" t="s">
        <v>507</v>
      </c>
      <c r="B147" s="38" t="s">
        <v>508</v>
      </c>
      <c r="C147" s="39" t="s">
        <v>509</v>
      </c>
      <c r="D147" s="38" t="s">
        <v>87</v>
      </c>
      <c r="E147" s="38">
        <v>13</v>
      </c>
      <c r="F147" s="38" t="s">
        <v>112</v>
      </c>
      <c r="G147" s="38" t="s">
        <v>113</v>
      </c>
      <c r="H147" s="40" t="s">
        <v>76</v>
      </c>
    </row>
    <row r="148" spans="1:8" s="40" customFormat="1" ht="14.65" customHeight="1" thickBot="1">
      <c r="A148" s="44" t="s">
        <v>510</v>
      </c>
      <c r="B148" s="44" t="s">
        <v>511</v>
      </c>
      <c r="C148" s="45" t="s">
        <v>512</v>
      </c>
      <c r="D148" s="44" t="s">
        <v>73</v>
      </c>
      <c r="E148" s="44">
        <v>6</v>
      </c>
      <c r="F148" s="44" t="s">
        <v>74</v>
      </c>
      <c r="G148" s="44" t="s">
        <v>453</v>
      </c>
      <c r="H148" s="40" t="s">
        <v>160</v>
      </c>
    </row>
    <row r="149" spans="1:8" s="40" customFormat="1" ht="14.65" customHeight="1">
      <c r="A149" s="46" t="s">
        <v>510</v>
      </c>
      <c r="B149" s="46" t="s">
        <v>511</v>
      </c>
      <c r="C149" s="47" t="s">
        <v>513</v>
      </c>
      <c r="D149" s="46" t="s">
        <v>87</v>
      </c>
      <c r="E149" s="46">
        <v>2</v>
      </c>
      <c r="F149" s="46" t="s">
        <v>112</v>
      </c>
      <c r="G149" s="46" t="s">
        <v>292</v>
      </c>
      <c r="H149" s="40" t="s">
        <v>160</v>
      </c>
    </row>
    <row r="150" spans="1:8" s="40" customFormat="1" ht="14.65" customHeight="1">
      <c r="A150" s="41" t="s">
        <v>510</v>
      </c>
      <c r="B150" s="41" t="s">
        <v>514</v>
      </c>
      <c r="C150" s="41" t="s">
        <v>515</v>
      </c>
      <c r="D150" s="41" t="s">
        <v>183</v>
      </c>
      <c r="E150" s="41">
        <v>1</v>
      </c>
      <c r="F150" s="41" t="s">
        <v>184</v>
      </c>
      <c r="G150" s="41" t="s">
        <v>372</v>
      </c>
      <c r="H150" s="40" t="s">
        <v>160</v>
      </c>
    </row>
    <row r="151" spans="1:8" s="40" customFormat="1" ht="14.65" customHeight="1">
      <c r="A151" s="38" t="s">
        <v>516</v>
      </c>
      <c r="B151" s="38" t="s">
        <v>517</v>
      </c>
      <c r="C151" s="39" t="s">
        <v>518</v>
      </c>
      <c r="D151" s="38" t="s">
        <v>73</v>
      </c>
      <c r="E151" s="38">
        <v>3</v>
      </c>
      <c r="F151" s="38" t="s">
        <v>74</v>
      </c>
      <c r="G151" s="38" t="s">
        <v>263</v>
      </c>
      <c r="H151" s="40" t="s">
        <v>264</v>
      </c>
    </row>
    <row r="152" spans="1:8" s="40" customFormat="1" ht="14.65" customHeight="1">
      <c r="A152" s="38" t="s">
        <v>519</v>
      </c>
      <c r="B152" s="38" t="s">
        <v>520</v>
      </c>
      <c r="C152" s="39" t="s">
        <v>521</v>
      </c>
      <c r="D152" s="38" t="s">
        <v>87</v>
      </c>
      <c r="E152" s="38">
        <v>1</v>
      </c>
      <c r="F152" s="38" t="s">
        <v>112</v>
      </c>
      <c r="G152" s="38" t="s">
        <v>156</v>
      </c>
      <c r="H152" s="40" t="s">
        <v>94</v>
      </c>
    </row>
    <row r="153" spans="1:8" s="40" customFormat="1" ht="14.65" customHeight="1" thickBot="1">
      <c r="A153" s="44" t="s">
        <v>522</v>
      </c>
      <c r="B153" s="44" t="s">
        <v>523</v>
      </c>
      <c r="C153" s="45" t="s">
        <v>524</v>
      </c>
      <c r="D153" s="44" t="s">
        <v>87</v>
      </c>
      <c r="E153" s="44">
        <v>14</v>
      </c>
      <c r="F153" s="44" t="s">
        <v>112</v>
      </c>
      <c r="G153" s="44" t="s">
        <v>144</v>
      </c>
      <c r="H153" s="40" t="s">
        <v>83</v>
      </c>
    </row>
    <row r="154" spans="1:8" s="40" customFormat="1" ht="14.65" customHeight="1">
      <c r="A154" s="46" t="s">
        <v>525</v>
      </c>
      <c r="B154" s="46" t="s">
        <v>526</v>
      </c>
      <c r="C154" s="47" t="s">
        <v>527</v>
      </c>
      <c r="D154" s="46" t="s">
        <v>87</v>
      </c>
      <c r="E154" s="46">
        <v>14</v>
      </c>
      <c r="F154" s="46" t="s">
        <v>112</v>
      </c>
      <c r="G154" s="46" t="s">
        <v>144</v>
      </c>
      <c r="H154" s="40" t="s">
        <v>83</v>
      </c>
    </row>
    <row r="155" spans="1:8" s="40" customFormat="1" ht="14.65" customHeight="1">
      <c r="A155" s="38" t="s">
        <v>528</v>
      </c>
      <c r="B155" s="38" t="s">
        <v>529</v>
      </c>
      <c r="C155" s="39" t="s">
        <v>530</v>
      </c>
      <c r="D155" s="38" t="s">
        <v>87</v>
      </c>
      <c r="E155" s="38">
        <v>1</v>
      </c>
      <c r="F155" s="38" t="s">
        <v>531</v>
      </c>
      <c r="G155" s="38" t="s">
        <v>156</v>
      </c>
      <c r="H155" s="40" t="s">
        <v>160</v>
      </c>
    </row>
    <row r="156" spans="1:8" s="40" customFormat="1" ht="14.65" customHeight="1">
      <c r="A156" s="43" t="s">
        <v>532</v>
      </c>
      <c r="B156" s="38" t="s">
        <v>533</v>
      </c>
      <c r="C156" s="41" t="s">
        <v>534</v>
      </c>
      <c r="D156" s="38" t="s">
        <v>87</v>
      </c>
      <c r="E156" s="38">
        <v>4</v>
      </c>
      <c r="F156" s="38" t="s">
        <v>112</v>
      </c>
      <c r="G156" s="38" t="s">
        <v>125</v>
      </c>
      <c r="H156" s="40" t="s">
        <v>90</v>
      </c>
    </row>
    <row r="157" spans="1:8" s="40" customFormat="1" ht="14.65" customHeight="1">
      <c r="A157" s="38" t="s">
        <v>535</v>
      </c>
      <c r="B157" s="38" t="s">
        <v>536</v>
      </c>
      <c r="C157" s="39" t="s">
        <v>537</v>
      </c>
      <c r="D157" s="38" t="s">
        <v>80</v>
      </c>
      <c r="E157" s="38">
        <v>10</v>
      </c>
      <c r="F157" s="41" t="s">
        <v>81</v>
      </c>
      <c r="G157" s="38" t="s">
        <v>82</v>
      </c>
      <c r="H157" s="40" t="s">
        <v>83</v>
      </c>
    </row>
    <row r="158" spans="1:8" s="40" customFormat="1" ht="14.65" customHeight="1">
      <c r="A158" s="38" t="s">
        <v>538</v>
      </c>
      <c r="B158" s="38" t="s">
        <v>539</v>
      </c>
      <c r="C158" s="39" t="s">
        <v>538</v>
      </c>
      <c r="D158" s="50" t="s">
        <v>73</v>
      </c>
      <c r="E158" s="50">
        <v>2</v>
      </c>
      <c r="F158" s="38" t="s">
        <v>74</v>
      </c>
      <c r="G158" s="38" t="s">
        <v>213</v>
      </c>
      <c r="H158" s="40" t="s">
        <v>90</v>
      </c>
    </row>
    <row r="159" spans="1:8" s="40" customFormat="1" ht="14.65" customHeight="1">
      <c r="A159" s="38" t="s">
        <v>540</v>
      </c>
      <c r="B159" s="38" t="s">
        <v>541</v>
      </c>
      <c r="C159" s="39" t="s">
        <v>542</v>
      </c>
      <c r="D159" s="38" t="s">
        <v>87</v>
      </c>
      <c r="E159" s="38">
        <v>4</v>
      </c>
      <c r="F159" s="38" t="s">
        <v>112</v>
      </c>
      <c r="G159" s="38" t="s">
        <v>125</v>
      </c>
      <c r="H159" s="40" t="s">
        <v>90</v>
      </c>
    </row>
    <row r="160" spans="1:8" s="40" customFormat="1" ht="14.65" customHeight="1">
      <c r="A160" s="38" t="s">
        <v>543</v>
      </c>
      <c r="B160" s="38" t="s">
        <v>544</v>
      </c>
      <c r="C160" s="39" t="s">
        <v>545</v>
      </c>
      <c r="D160" s="38" t="s">
        <v>87</v>
      </c>
      <c r="E160" s="38">
        <v>4</v>
      </c>
      <c r="F160" s="38" t="s">
        <v>112</v>
      </c>
      <c r="G160" s="38" t="s">
        <v>125</v>
      </c>
      <c r="H160" s="40" t="s">
        <v>90</v>
      </c>
    </row>
    <row r="161" spans="1:8" s="40" customFormat="1" ht="14.65" customHeight="1">
      <c r="A161" s="38" t="s">
        <v>546</v>
      </c>
      <c r="B161" s="38" t="s">
        <v>547</v>
      </c>
      <c r="C161" s="39" t="s">
        <v>548</v>
      </c>
      <c r="D161" s="38" t="s">
        <v>87</v>
      </c>
      <c r="E161" s="38">
        <v>4</v>
      </c>
      <c r="F161" s="38" t="s">
        <v>112</v>
      </c>
      <c r="G161" s="38" t="s">
        <v>125</v>
      </c>
      <c r="H161" s="40" t="s">
        <v>90</v>
      </c>
    </row>
    <row r="162" spans="1:8" s="40" customFormat="1" ht="14.65" customHeight="1">
      <c r="A162" s="38" t="s">
        <v>549</v>
      </c>
      <c r="B162" s="38" t="s">
        <v>550</v>
      </c>
      <c r="C162" s="51" t="s">
        <v>551</v>
      </c>
      <c r="D162" s="38" t="s">
        <v>73</v>
      </c>
      <c r="E162" s="38">
        <v>6</v>
      </c>
      <c r="F162" s="38" t="s">
        <v>74</v>
      </c>
      <c r="G162" s="38" t="s">
        <v>453</v>
      </c>
      <c r="H162" s="40" t="s">
        <v>160</v>
      </c>
    </row>
    <row r="163" spans="1:8" s="40" customFormat="1" ht="14.65" customHeight="1">
      <c r="A163" s="38" t="s">
        <v>549</v>
      </c>
      <c r="B163" s="38" t="s">
        <v>550</v>
      </c>
      <c r="C163" s="39" t="s">
        <v>552</v>
      </c>
      <c r="D163" s="38" t="s">
        <v>87</v>
      </c>
      <c r="E163" s="38">
        <v>2</v>
      </c>
      <c r="F163" s="38" t="s">
        <v>112</v>
      </c>
      <c r="G163" s="38" t="s">
        <v>292</v>
      </c>
      <c r="H163" s="40" t="s">
        <v>160</v>
      </c>
    </row>
    <row r="164" spans="1:8" s="40" customFormat="1" ht="14.65" customHeight="1">
      <c r="A164" s="38" t="s">
        <v>553</v>
      </c>
      <c r="B164" s="38" t="s">
        <v>554</v>
      </c>
      <c r="C164" s="39" t="s">
        <v>555</v>
      </c>
      <c r="D164" s="38" t="s">
        <v>73</v>
      </c>
      <c r="E164" s="38">
        <v>6</v>
      </c>
      <c r="F164" s="38" t="s">
        <v>74</v>
      </c>
      <c r="G164" s="38" t="s">
        <v>453</v>
      </c>
      <c r="H164" s="40" t="s">
        <v>160</v>
      </c>
    </row>
    <row r="165" spans="1:8" s="40" customFormat="1" ht="14.65" customHeight="1">
      <c r="A165" s="38" t="s">
        <v>553</v>
      </c>
      <c r="B165" s="38" t="s">
        <v>556</v>
      </c>
      <c r="C165" s="39" t="s">
        <v>557</v>
      </c>
      <c r="D165" s="38" t="s">
        <v>87</v>
      </c>
      <c r="E165" s="38">
        <v>2</v>
      </c>
      <c r="F165" s="38" t="s">
        <v>112</v>
      </c>
      <c r="G165" s="38" t="s">
        <v>292</v>
      </c>
      <c r="H165" s="40" t="s">
        <v>160</v>
      </c>
    </row>
    <row r="166" spans="1:8" s="40" customFormat="1" ht="14.65" customHeight="1">
      <c r="A166" s="43" t="s">
        <v>558</v>
      </c>
      <c r="B166" s="38" t="s">
        <v>559</v>
      </c>
      <c r="C166" s="41" t="s">
        <v>560</v>
      </c>
      <c r="D166" s="38" t="s">
        <v>87</v>
      </c>
      <c r="E166" s="38">
        <v>4</v>
      </c>
      <c r="F166" s="38" t="s">
        <v>112</v>
      </c>
      <c r="G166" s="38" t="s">
        <v>125</v>
      </c>
      <c r="H166" s="40" t="s">
        <v>90</v>
      </c>
    </row>
    <row r="167" spans="1:8" s="40" customFormat="1" ht="14.65" customHeight="1">
      <c r="A167" s="43" t="s">
        <v>561</v>
      </c>
      <c r="B167" s="38" t="s">
        <v>562</v>
      </c>
      <c r="C167" s="41" t="s">
        <v>563</v>
      </c>
      <c r="D167" s="38" t="s">
        <v>87</v>
      </c>
      <c r="E167" s="38">
        <v>13</v>
      </c>
      <c r="F167" s="38" t="s">
        <v>112</v>
      </c>
      <c r="G167" s="38" t="s">
        <v>113</v>
      </c>
      <c r="H167" s="40" t="s">
        <v>76</v>
      </c>
    </row>
    <row r="168" spans="1:8" s="40" customFormat="1" ht="14.65" customHeight="1">
      <c r="A168" s="43" t="s">
        <v>564</v>
      </c>
      <c r="B168" s="38" t="s">
        <v>565</v>
      </c>
      <c r="C168" s="39" t="s">
        <v>566</v>
      </c>
      <c r="D168" s="38" t="s">
        <v>87</v>
      </c>
      <c r="E168" s="38">
        <v>4</v>
      </c>
      <c r="F168" s="38" t="s">
        <v>112</v>
      </c>
      <c r="G168" s="38" t="s">
        <v>125</v>
      </c>
      <c r="H168" s="40" t="s">
        <v>90</v>
      </c>
    </row>
    <row r="169" spans="1:8" s="49" customFormat="1" ht="14.65" customHeight="1">
      <c r="A169" s="49" t="s">
        <v>567</v>
      </c>
      <c r="B169" s="49" t="s">
        <v>568</v>
      </c>
      <c r="C169" s="51" t="s">
        <v>569</v>
      </c>
      <c r="D169" s="38" t="s">
        <v>80</v>
      </c>
      <c r="E169" s="40">
        <v>10</v>
      </c>
      <c r="F169" s="41" t="s">
        <v>81</v>
      </c>
      <c r="G169" s="38" t="s">
        <v>82</v>
      </c>
      <c r="H169" s="49" t="s">
        <v>83</v>
      </c>
    </row>
    <row r="170" spans="1:8" s="49" customFormat="1" ht="14.65" customHeight="1">
      <c r="A170" s="38" t="s">
        <v>570</v>
      </c>
      <c r="B170" s="38" t="s">
        <v>571</v>
      </c>
      <c r="C170" s="39" t="s">
        <v>572</v>
      </c>
      <c r="D170" s="38" t="s">
        <v>87</v>
      </c>
      <c r="E170" s="38">
        <v>4</v>
      </c>
      <c r="F170" s="38" t="s">
        <v>112</v>
      </c>
      <c r="G170" s="38" t="s">
        <v>125</v>
      </c>
      <c r="H170" s="49" t="s">
        <v>90</v>
      </c>
    </row>
    <row r="171" spans="1:8" s="15" customFormat="1">
      <c r="C171" s="16"/>
    </row>
    <row r="172" spans="1:8" s="15" customFormat="1">
      <c r="C172" s="16"/>
    </row>
    <row r="189" spans="2:2">
      <c r="B189" s="17"/>
    </row>
  </sheetData>
  <sortState xmlns:xlrd2="http://schemas.microsoft.com/office/spreadsheetml/2017/richdata2" ref="A2:G189">
    <sortCondition ref="A1:A189"/>
  </sortState>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C1B6-AE52-4492-A81A-7A24F56F6431}">
  <dimension ref="A1:H21"/>
  <sheetViews>
    <sheetView workbookViewId="0">
      <selection sqref="A1:E21"/>
    </sheetView>
  </sheetViews>
  <sheetFormatPr defaultColWidth="9.28515625" defaultRowHeight="15"/>
  <cols>
    <col min="2" max="2" width="47.28515625" bestFit="1" customWidth="1"/>
    <col min="3" max="3" width="13.7109375" bestFit="1" customWidth="1"/>
    <col min="4" max="4" width="21.42578125" bestFit="1" customWidth="1"/>
    <col min="5" max="5" width="23" bestFit="1" customWidth="1"/>
  </cols>
  <sheetData>
    <row r="1" spans="1:8">
      <c r="A1" s="243" t="s">
        <v>35</v>
      </c>
      <c r="B1" s="243" t="s">
        <v>2991</v>
      </c>
      <c r="C1" s="243" t="s">
        <v>2980</v>
      </c>
      <c r="D1" s="243" t="s">
        <v>2981</v>
      </c>
      <c r="E1" s="243" t="s">
        <v>2982</v>
      </c>
      <c r="F1" s="1"/>
    </row>
    <row r="2" spans="1:8">
      <c r="A2" s="244" t="s">
        <v>1291</v>
      </c>
      <c r="B2" s="244" t="s">
        <v>1290</v>
      </c>
      <c r="C2" s="244" t="s">
        <v>2979</v>
      </c>
      <c r="D2" s="244" t="s">
        <v>2979</v>
      </c>
      <c r="E2" s="244"/>
    </row>
    <row r="3" spans="1:8">
      <c r="A3" s="244" t="s">
        <v>1293</v>
      </c>
      <c r="B3" s="245" t="s">
        <v>1292</v>
      </c>
      <c r="C3" s="244"/>
      <c r="D3" s="245"/>
      <c r="E3" s="244" t="s">
        <v>2979</v>
      </c>
      <c r="F3" s="2"/>
    </row>
    <row r="4" spans="1:8">
      <c r="A4" s="244" t="s">
        <v>1295</v>
      </c>
      <c r="B4" s="245" t="s">
        <v>1294</v>
      </c>
      <c r="C4" s="244"/>
      <c r="D4" s="244"/>
      <c r="E4" s="244" t="s">
        <v>2979</v>
      </c>
    </row>
    <row r="5" spans="1:8">
      <c r="A5" s="244" t="s">
        <v>1297</v>
      </c>
      <c r="B5" s="245" t="s">
        <v>1296</v>
      </c>
      <c r="C5" s="244"/>
      <c r="D5" s="244"/>
      <c r="E5" s="244" t="s">
        <v>2979</v>
      </c>
    </row>
    <row r="6" spans="1:8">
      <c r="A6" s="244" t="s">
        <v>1299</v>
      </c>
      <c r="B6" s="244" t="s">
        <v>1298</v>
      </c>
      <c r="C6" s="244" t="s">
        <v>2979</v>
      </c>
      <c r="D6" s="244" t="s">
        <v>2979</v>
      </c>
      <c r="E6" s="244"/>
      <c r="H6" s="3"/>
    </row>
    <row r="7" spans="1:8">
      <c r="A7" s="244" t="s">
        <v>1301</v>
      </c>
      <c r="B7" s="244" t="s">
        <v>1300</v>
      </c>
      <c r="C7" s="244" t="s">
        <v>2979</v>
      </c>
      <c r="D7" s="244"/>
      <c r="E7" s="244"/>
    </row>
    <row r="8" spans="1:8">
      <c r="A8" s="244" t="s">
        <v>1303</v>
      </c>
      <c r="B8" s="244" t="s">
        <v>1302</v>
      </c>
      <c r="C8" s="244" t="s">
        <v>2979</v>
      </c>
      <c r="D8" s="244"/>
      <c r="E8" s="244"/>
    </row>
    <row r="9" spans="1:8">
      <c r="A9" s="244" t="s">
        <v>1305</v>
      </c>
      <c r="B9" s="244" t="s">
        <v>1304</v>
      </c>
      <c r="C9" s="244" t="s">
        <v>2979</v>
      </c>
      <c r="D9" s="244"/>
      <c r="E9" s="244"/>
    </row>
    <row r="10" spans="1:8">
      <c r="A10" s="244" t="s">
        <v>1307</v>
      </c>
      <c r="B10" s="244" t="s">
        <v>1306</v>
      </c>
      <c r="C10" s="244"/>
      <c r="D10" s="244" t="s">
        <v>2979</v>
      </c>
      <c r="E10" s="244"/>
    </row>
    <row r="11" spans="1:8">
      <c r="A11" s="244" t="s">
        <v>1309</v>
      </c>
      <c r="B11" s="244" t="s">
        <v>1308</v>
      </c>
      <c r="C11" s="244"/>
      <c r="D11" s="244"/>
      <c r="E11" s="244" t="s">
        <v>2979</v>
      </c>
    </row>
    <row r="12" spans="1:8">
      <c r="A12" s="244" t="s">
        <v>1311</v>
      </c>
      <c r="B12" s="244" t="s">
        <v>1310</v>
      </c>
      <c r="C12" s="244" t="s">
        <v>2979</v>
      </c>
      <c r="D12" s="244"/>
      <c r="E12" s="244"/>
    </row>
    <row r="13" spans="1:8">
      <c r="A13" s="244" t="s">
        <v>1313</v>
      </c>
      <c r="B13" s="244" t="s">
        <v>1312</v>
      </c>
      <c r="C13" s="244" t="s">
        <v>2979</v>
      </c>
      <c r="D13" s="244"/>
      <c r="E13" s="244"/>
    </row>
    <row r="14" spans="1:8">
      <c r="A14" s="244" t="s">
        <v>1315</v>
      </c>
      <c r="B14" s="244" t="s">
        <v>1314</v>
      </c>
      <c r="C14" s="244" t="s">
        <v>2979</v>
      </c>
      <c r="D14" s="244" t="s">
        <v>2979</v>
      </c>
      <c r="E14" s="244"/>
    </row>
    <row r="15" spans="1:8">
      <c r="A15" s="244" t="s">
        <v>1317</v>
      </c>
      <c r="B15" s="244" t="s">
        <v>1316</v>
      </c>
      <c r="C15" s="244"/>
      <c r="D15" s="244" t="s">
        <v>2979</v>
      </c>
      <c r="E15" s="244"/>
    </row>
    <row r="16" spans="1:8">
      <c r="A16" s="244" t="s">
        <v>1319</v>
      </c>
      <c r="B16" s="244" t="s">
        <v>1318</v>
      </c>
      <c r="C16" s="244" t="s">
        <v>2979</v>
      </c>
      <c r="D16" s="244" t="s">
        <v>2979</v>
      </c>
      <c r="E16" s="244"/>
    </row>
    <row r="17" spans="1:5">
      <c r="A17" s="244" t="s">
        <v>1321</v>
      </c>
      <c r="B17" s="244" t="s">
        <v>1320</v>
      </c>
      <c r="C17" s="244"/>
      <c r="D17" s="244" t="s">
        <v>2979</v>
      </c>
      <c r="E17" s="244"/>
    </row>
    <row r="18" spans="1:5">
      <c r="A18" s="244" t="s">
        <v>1323</v>
      </c>
      <c r="B18" s="244" t="s">
        <v>1322</v>
      </c>
      <c r="C18" s="244"/>
      <c r="D18" s="244"/>
      <c r="E18" s="244" t="s">
        <v>2979</v>
      </c>
    </row>
    <row r="19" spans="1:5">
      <c r="A19" s="244" t="s">
        <v>1325</v>
      </c>
      <c r="B19" s="244" t="s">
        <v>1324</v>
      </c>
      <c r="C19" s="244"/>
      <c r="D19" s="244" t="s">
        <v>2979</v>
      </c>
      <c r="E19" s="244"/>
    </row>
    <row r="20" spans="1:5">
      <c r="A20" s="244" t="s">
        <v>1327</v>
      </c>
      <c r="B20" s="244" t="s">
        <v>1326</v>
      </c>
      <c r="C20" s="244"/>
      <c r="D20" s="244" t="s">
        <v>2979</v>
      </c>
      <c r="E20" s="244"/>
    </row>
    <row r="21" spans="1:5">
      <c r="A21" s="244" t="s">
        <v>2952</v>
      </c>
      <c r="B21" s="244" t="s">
        <v>2953</v>
      </c>
      <c r="C21" s="244"/>
      <c r="D21" s="244"/>
      <c r="E21" s="244" t="s">
        <v>2979</v>
      </c>
    </row>
  </sheetData>
  <sortState xmlns:xlrd2="http://schemas.microsoft.com/office/spreadsheetml/2017/richdata2" ref="D2:E19">
    <sortCondition ref="E5:E19"/>
  </sortState>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B3EE7-C609-4AE4-81F5-3316B4C7E6D6}">
  <dimension ref="A1:B10"/>
  <sheetViews>
    <sheetView workbookViewId="0">
      <selection activeCell="B2" sqref="B2"/>
    </sheetView>
  </sheetViews>
  <sheetFormatPr defaultColWidth="11.42578125" defaultRowHeight="15"/>
  <sheetData>
    <row r="1" spans="1:2">
      <c r="A1" s="1" t="s">
        <v>2261</v>
      </c>
      <c r="B1" s="1" t="s">
        <v>2983</v>
      </c>
    </row>
    <row r="2" spans="1:2">
      <c r="A2" t="s">
        <v>2262</v>
      </c>
      <c r="B2" t="s">
        <v>2263</v>
      </c>
    </row>
    <row r="3" spans="1:2">
      <c r="A3" t="s">
        <v>2264</v>
      </c>
      <c r="B3" t="s">
        <v>2265</v>
      </c>
    </row>
    <row r="4" spans="1:2">
      <c r="A4" t="s">
        <v>2266</v>
      </c>
      <c r="B4" t="s">
        <v>2267</v>
      </c>
    </row>
    <row r="5" spans="1:2">
      <c r="A5" t="s">
        <v>2268</v>
      </c>
      <c r="B5" t="s">
        <v>2269</v>
      </c>
    </row>
    <row r="6" spans="1:2">
      <c r="A6" t="s">
        <v>2270</v>
      </c>
      <c r="B6" t="s">
        <v>2271</v>
      </c>
    </row>
    <row r="7" spans="1:2">
      <c r="A7" t="s">
        <v>2272</v>
      </c>
      <c r="B7" t="s">
        <v>1373</v>
      </c>
    </row>
    <row r="8" spans="1:2">
      <c r="A8" t="s">
        <v>2273</v>
      </c>
      <c r="B8" t="s">
        <v>2274</v>
      </c>
    </row>
    <row r="9" spans="1:2">
      <c r="A9" t="s">
        <v>2275</v>
      </c>
      <c r="B9" t="s">
        <v>2276</v>
      </c>
    </row>
    <row r="10" spans="1:2">
      <c r="A10" t="s">
        <v>2277</v>
      </c>
      <c r="B10" t="s">
        <v>2278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5F208-CB2C-46E1-A228-6BB895D0C5FE}">
  <dimension ref="A1:D24"/>
  <sheetViews>
    <sheetView workbookViewId="0">
      <selection activeCell="E30" sqref="E30"/>
    </sheetView>
  </sheetViews>
  <sheetFormatPr defaultColWidth="9.28515625" defaultRowHeight="15"/>
  <cols>
    <col min="1" max="1" width="16.5703125" bestFit="1" customWidth="1"/>
    <col min="2" max="2" width="16.28515625" bestFit="1" customWidth="1"/>
    <col min="3" max="3" width="17" bestFit="1" customWidth="1"/>
    <col min="4" max="4" width="14.28515625" customWidth="1"/>
  </cols>
  <sheetData>
    <row r="1" spans="1:4">
      <c r="A1" s="1" t="s">
        <v>1328</v>
      </c>
      <c r="B1" s="1" t="s">
        <v>1329</v>
      </c>
      <c r="C1" s="1" t="s">
        <v>1330</v>
      </c>
      <c r="D1" s="1" t="s">
        <v>1331</v>
      </c>
    </row>
    <row r="2" spans="1:4">
      <c r="A2" t="s">
        <v>1332</v>
      </c>
      <c r="B2" t="s">
        <v>1333</v>
      </c>
      <c r="C2" t="s">
        <v>1334</v>
      </c>
      <c r="D2" t="s">
        <v>1335</v>
      </c>
    </row>
    <row r="3" spans="1:4">
      <c r="A3" t="s">
        <v>1332</v>
      </c>
      <c r="B3" t="s">
        <v>1333</v>
      </c>
      <c r="C3" t="s">
        <v>1336</v>
      </c>
      <c r="D3" t="s">
        <v>1337</v>
      </c>
    </row>
    <row r="4" spans="1:4">
      <c r="A4" t="s">
        <v>1332</v>
      </c>
      <c r="B4" t="s">
        <v>1333</v>
      </c>
      <c r="C4" t="s">
        <v>1338</v>
      </c>
      <c r="D4" t="s">
        <v>1339</v>
      </c>
    </row>
    <row r="5" spans="1:4">
      <c r="A5" t="s">
        <v>1332</v>
      </c>
      <c r="B5" t="s">
        <v>1333</v>
      </c>
      <c r="C5" t="s">
        <v>1340</v>
      </c>
      <c r="D5" t="s">
        <v>1341</v>
      </c>
    </row>
    <row r="6" spans="1:4">
      <c r="A6" t="s">
        <v>1332</v>
      </c>
      <c r="B6" t="s">
        <v>1333</v>
      </c>
      <c r="C6" t="s">
        <v>1342</v>
      </c>
      <c r="D6" t="s">
        <v>1343</v>
      </c>
    </row>
    <row r="7" spans="1:4">
      <c r="A7" t="s">
        <v>1332</v>
      </c>
      <c r="B7" t="s">
        <v>1333</v>
      </c>
      <c r="C7" t="s">
        <v>1344</v>
      </c>
      <c r="D7" t="s">
        <v>1345</v>
      </c>
    </row>
    <row r="8" spans="1:4">
      <c r="A8" t="s">
        <v>1332</v>
      </c>
      <c r="B8" t="s">
        <v>1333</v>
      </c>
      <c r="C8" t="s">
        <v>1346</v>
      </c>
      <c r="D8" t="s">
        <v>1347</v>
      </c>
    </row>
    <row r="9" spans="1:4">
      <c r="A9" t="s">
        <v>1332</v>
      </c>
      <c r="B9" t="s">
        <v>1333</v>
      </c>
      <c r="C9" t="s">
        <v>1348</v>
      </c>
      <c r="D9" t="s">
        <v>1349</v>
      </c>
    </row>
    <row r="10" spans="1:4">
      <c r="A10" t="s">
        <v>1332</v>
      </c>
      <c r="B10" t="s">
        <v>1333</v>
      </c>
      <c r="C10" t="s">
        <v>1350</v>
      </c>
      <c r="D10" t="s">
        <v>1351</v>
      </c>
    </row>
    <row r="11" spans="1:4">
      <c r="A11" t="s">
        <v>1332</v>
      </c>
      <c r="B11" t="s">
        <v>1333</v>
      </c>
      <c r="C11" t="s">
        <v>1352</v>
      </c>
      <c r="D11" t="s">
        <v>1353</v>
      </c>
    </row>
    <row r="12" spans="1:4">
      <c r="A12" t="s">
        <v>1332</v>
      </c>
      <c r="B12" t="s">
        <v>1333</v>
      </c>
      <c r="C12" t="s">
        <v>1354</v>
      </c>
      <c r="D12" t="s">
        <v>1355</v>
      </c>
    </row>
    <row r="13" spans="1:4">
      <c r="A13" t="s">
        <v>1332</v>
      </c>
      <c r="B13" t="s">
        <v>1333</v>
      </c>
      <c r="C13" t="s">
        <v>1356</v>
      </c>
      <c r="D13" t="s">
        <v>1357</v>
      </c>
    </row>
    <row r="14" spans="1:4">
      <c r="A14" t="s">
        <v>1332</v>
      </c>
      <c r="B14" t="s">
        <v>1333</v>
      </c>
      <c r="C14" t="s">
        <v>1358</v>
      </c>
      <c r="D14" t="s">
        <v>1359</v>
      </c>
    </row>
    <row r="15" spans="1:4">
      <c r="A15" t="s">
        <v>1360</v>
      </c>
      <c r="B15" t="s">
        <v>1361</v>
      </c>
      <c r="C15" t="s">
        <v>1360</v>
      </c>
      <c r="D15" t="s">
        <v>1361</v>
      </c>
    </row>
    <row r="16" spans="1:4">
      <c r="A16" t="s">
        <v>1362</v>
      </c>
      <c r="B16" t="s">
        <v>1363</v>
      </c>
      <c r="C16" t="s">
        <v>1364</v>
      </c>
      <c r="D16" t="s">
        <v>1365</v>
      </c>
    </row>
    <row r="17" spans="1:4">
      <c r="A17" t="s">
        <v>1362</v>
      </c>
      <c r="B17" t="s">
        <v>1363</v>
      </c>
      <c r="C17" t="s">
        <v>1338</v>
      </c>
      <c r="D17" t="s">
        <v>1339</v>
      </c>
    </row>
    <row r="18" spans="1:4">
      <c r="A18" t="s">
        <v>1362</v>
      </c>
      <c r="B18" t="s">
        <v>1363</v>
      </c>
      <c r="C18" t="s">
        <v>1356</v>
      </c>
      <c r="D18" t="s">
        <v>1357</v>
      </c>
    </row>
    <row r="19" spans="1:4">
      <c r="A19" t="s">
        <v>1366</v>
      </c>
      <c r="B19" t="s">
        <v>1288</v>
      </c>
      <c r="C19" t="s">
        <v>1367</v>
      </c>
      <c r="D19" t="s">
        <v>1368</v>
      </c>
    </row>
    <row r="20" spans="1:4">
      <c r="A20" t="s">
        <v>1366</v>
      </c>
      <c r="B20" t="s">
        <v>1288</v>
      </c>
      <c r="C20" t="s">
        <v>1369</v>
      </c>
      <c r="D20" t="s">
        <v>1370</v>
      </c>
    </row>
    <row r="21" spans="1:4">
      <c r="A21" t="s">
        <v>1366</v>
      </c>
      <c r="B21" t="s">
        <v>1288</v>
      </c>
      <c r="C21" t="s">
        <v>1371</v>
      </c>
      <c r="D21" t="s">
        <v>1372</v>
      </c>
    </row>
    <row r="22" spans="1:4">
      <c r="A22" t="s">
        <v>1352</v>
      </c>
      <c r="B22" t="s">
        <v>1373</v>
      </c>
      <c r="C22" t="s">
        <v>1352</v>
      </c>
      <c r="D22" t="s">
        <v>1373</v>
      </c>
    </row>
    <row r="23" spans="1:4">
      <c r="A23" t="s">
        <v>1374</v>
      </c>
      <c r="B23" t="s">
        <v>1374</v>
      </c>
    </row>
    <row r="24" spans="1:4">
      <c r="A24" t="s">
        <v>1375</v>
      </c>
      <c r="B24" t="s">
        <v>1376</v>
      </c>
    </row>
  </sheetData>
  <sortState xmlns:xlrd2="http://schemas.microsoft.com/office/spreadsheetml/2017/richdata2" ref="A2:D21">
    <sortCondition ref="A2:A21"/>
    <sortCondition ref="D2:D21"/>
  </sortState>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1C474-119A-41F6-B40E-494A0C650623}">
  <dimension ref="A1:B5"/>
  <sheetViews>
    <sheetView workbookViewId="0">
      <selection activeCell="C8" sqref="C8"/>
    </sheetView>
  </sheetViews>
  <sheetFormatPr defaultColWidth="9.28515625" defaultRowHeight="15"/>
  <cols>
    <col min="1" max="1" width="12.7109375" customWidth="1"/>
    <col min="2" max="2" width="22" customWidth="1"/>
  </cols>
  <sheetData>
    <row r="1" spans="1:2">
      <c r="A1" s="1" t="s">
        <v>1394</v>
      </c>
      <c r="B1" s="1" t="s">
        <v>1395</v>
      </c>
    </row>
    <row r="2" spans="1:2">
      <c r="A2" t="s">
        <v>1396</v>
      </c>
      <c r="B2" t="s">
        <v>1397</v>
      </c>
    </row>
    <row r="3" spans="1:2">
      <c r="A3" t="s">
        <v>1398</v>
      </c>
      <c r="B3" t="s">
        <v>1399</v>
      </c>
    </row>
    <row r="4" spans="1:2">
      <c r="A4" t="s">
        <v>1400</v>
      </c>
      <c r="B4" t="s">
        <v>1401</v>
      </c>
    </row>
    <row r="5" spans="1:2">
      <c r="A5" t="s">
        <v>1402</v>
      </c>
      <c r="B5" t="s">
        <v>1403</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EE80-5CE7-4DEA-961B-60D4E5088531}">
  <dimension ref="A1:C10"/>
  <sheetViews>
    <sheetView workbookViewId="0"/>
  </sheetViews>
  <sheetFormatPr defaultColWidth="9.28515625" defaultRowHeight="15"/>
  <cols>
    <col min="1" max="1" width="30.5703125" customWidth="1"/>
  </cols>
  <sheetData>
    <row r="1" spans="1:3">
      <c r="A1" s="1" t="s">
        <v>51</v>
      </c>
      <c r="B1" s="1" t="s">
        <v>62</v>
      </c>
      <c r="C1" s="1" t="s">
        <v>1404</v>
      </c>
    </row>
    <row r="2" spans="1:3">
      <c r="A2" s="4" t="s">
        <v>1405</v>
      </c>
      <c r="B2" t="s">
        <v>109</v>
      </c>
    </row>
    <row r="3" spans="1:3">
      <c r="A3" s="4" t="s">
        <v>1406</v>
      </c>
      <c r="B3" t="s">
        <v>422</v>
      </c>
    </row>
    <row r="4" spans="1:3">
      <c r="A4" t="s">
        <v>1407</v>
      </c>
      <c r="B4" t="s">
        <v>1408</v>
      </c>
      <c r="C4" t="s">
        <v>1409</v>
      </c>
    </row>
    <row r="5" spans="1:3">
      <c r="A5" s="4" t="s">
        <v>1410</v>
      </c>
      <c r="B5" t="s">
        <v>413</v>
      </c>
    </row>
    <row r="6" spans="1:3">
      <c r="A6" s="4" t="s">
        <v>1411</v>
      </c>
      <c r="B6" t="s">
        <v>507</v>
      </c>
    </row>
    <row r="7" spans="1:3">
      <c r="A7" s="4" t="s">
        <v>1412</v>
      </c>
      <c r="B7" t="s">
        <v>561</v>
      </c>
    </row>
    <row r="8" spans="1:3">
      <c r="A8" s="4" t="s">
        <v>1413</v>
      </c>
      <c r="B8" t="s">
        <v>132</v>
      </c>
    </row>
    <row r="9" spans="1:3">
      <c r="A9" s="4" t="s">
        <v>1414</v>
      </c>
      <c r="B9" t="s">
        <v>129</v>
      </c>
    </row>
    <row r="10" spans="1:3">
      <c r="A10" s="4" t="s">
        <v>1415</v>
      </c>
      <c r="B10" t="s">
        <v>1416</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700A-645B-4C89-9574-1056EEF2BD46}">
  <dimension ref="A1:B4"/>
  <sheetViews>
    <sheetView workbookViewId="0">
      <selection activeCell="D10" sqref="D10"/>
    </sheetView>
  </sheetViews>
  <sheetFormatPr defaultColWidth="9.28515625" defaultRowHeight="15"/>
  <sheetData>
    <row r="1" spans="1:2">
      <c r="A1" s="1" t="s">
        <v>1417</v>
      </c>
      <c r="B1" s="1" t="s">
        <v>1418</v>
      </c>
    </row>
    <row r="2" spans="1:2">
      <c r="A2" t="s">
        <v>1419</v>
      </c>
      <c r="B2" t="s">
        <v>1420</v>
      </c>
    </row>
    <row r="3" spans="1:2">
      <c r="A3" t="s">
        <v>1421</v>
      </c>
      <c r="B3" t="s">
        <v>1422</v>
      </c>
    </row>
    <row r="4" spans="1:2">
      <c r="A4" t="s">
        <v>1423</v>
      </c>
      <c r="B4" t="s">
        <v>1424</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E200-2731-4205-B559-3C4BAD65F6FB}">
  <dimension ref="A1:C16"/>
  <sheetViews>
    <sheetView workbookViewId="0">
      <selection activeCell="H44" sqref="H44"/>
    </sheetView>
  </sheetViews>
  <sheetFormatPr defaultColWidth="9.28515625" defaultRowHeight="15"/>
  <cols>
    <col min="1" max="1" width="27.42578125" bestFit="1" customWidth="1"/>
    <col min="2" max="2" width="29.28515625" customWidth="1"/>
  </cols>
  <sheetData>
    <row r="1" spans="1:3">
      <c r="A1" t="s">
        <v>1377</v>
      </c>
      <c r="B1" s="1" t="s">
        <v>1378</v>
      </c>
      <c r="C1" s="1" t="s">
        <v>1379</v>
      </c>
    </row>
    <row r="2" spans="1:3">
      <c r="B2" t="s">
        <v>88</v>
      </c>
      <c r="C2">
        <v>1</v>
      </c>
    </row>
    <row r="3" spans="1:3">
      <c r="A3" t="s">
        <v>1380</v>
      </c>
    </row>
    <row r="4" spans="1:3">
      <c r="B4" t="s">
        <v>1381</v>
      </c>
      <c r="C4">
        <v>2</v>
      </c>
    </row>
    <row r="5" spans="1:3">
      <c r="B5" t="s">
        <v>1382</v>
      </c>
      <c r="C5">
        <v>3</v>
      </c>
    </row>
    <row r="6" spans="1:3">
      <c r="A6" t="s">
        <v>1383</v>
      </c>
    </row>
    <row r="7" spans="1:3">
      <c r="B7" t="s">
        <v>1384</v>
      </c>
      <c r="C7">
        <v>4</v>
      </c>
    </row>
    <row r="8" spans="1:3">
      <c r="B8" t="s">
        <v>1385</v>
      </c>
      <c r="C8">
        <v>5</v>
      </c>
    </row>
    <row r="9" spans="1:3">
      <c r="B9" t="s">
        <v>1386</v>
      </c>
      <c r="C9">
        <v>6</v>
      </c>
    </row>
    <row r="10" spans="1:3">
      <c r="B10" t="s">
        <v>1387</v>
      </c>
      <c r="C10">
        <v>7</v>
      </c>
    </row>
    <row r="11" spans="1:3">
      <c r="B11" t="s">
        <v>1388</v>
      </c>
      <c r="C11">
        <v>8</v>
      </c>
    </row>
    <row r="12" spans="1:3">
      <c r="B12" t="s">
        <v>1389</v>
      </c>
      <c r="C12">
        <v>9</v>
      </c>
    </row>
    <row r="13" spans="1:3">
      <c r="B13" t="s">
        <v>1390</v>
      </c>
      <c r="C13">
        <v>10</v>
      </c>
    </row>
    <row r="14" spans="1:3">
      <c r="B14" t="s">
        <v>1391</v>
      </c>
      <c r="C14">
        <v>11</v>
      </c>
    </row>
    <row r="15" spans="1:3">
      <c r="B15" t="s">
        <v>1392</v>
      </c>
      <c r="C15">
        <v>12</v>
      </c>
    </row>
    <row r="16" spans="1:3">
      <c r="B16" t="s">
        <v>1393</v>
      </c>
      <c r="C16">
        <v>13</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4A39-E5A7-4669-9FC5-B6ED60CC5C16}">
  <dimension ref="B1:I4"/>
  <sheetViews>
    <sheetView workbookViewId="0">
      <selection activeCell="C8" sqref="C8"/>
    </sheetView>
  </sheetViews>
  <sheetFormatPr defaultColWidth="9.28515625" defaultRowHeight="15"/>
  <sheetData>
    <row r="1" spans="2:9" ht="15.75" thickBot="1"/>
    <row r="2" spans="2:9">
      <c r="B2" s="292" t="s">
        <v>1425</v>
      </c>
      <c r="C2" s="293"/>
      <c r="D2" s="293"/>
      <c r="E2" s="293"/>
      <c r="F2" s="293"/>
      <c r="G2" s="293"/>
      <c r="H2" s="293"/>
      <c r="I2" s="294"/>
    </row>
    <row r="3" spans="2:9">
      <c r="B3" s="295"/>
      <c r="C3" s="296"/>
      <c r="D3" s="296"/>
      <c r="E3" s="296"/>
      <c r="F3" s="296"/>
      <c r="G3" s="296"/>
      <c r="H3" s="296"/>
      <c r="I3" s="297"/>
    </row>
    <row r="4" spans="2:9" ht="15.75" thickBot="1">
      <c r="B4" s="289" t="s">
        <v>1426</v>
      </c>
      <c r="C4" s="290"/>
      <c r="D4" s="290"/>
      <c r="E4" s="290"/>
      <c r="F4" s="290"/>
      <c r="G4" s="290"/>
      <c r="H4" s="290"/>
      <c r="I4" s="291"/>
    </row>
  </sheetData>
  <mergeCells count="2">
    <mergeCell ref="B4:I4"/>
    <mergeCell ref="B2:I3"/>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6307-563B-4F00-8E0D-F3604E1078D9}">
  <dimension ref="A1:D34"/>
  <sheetViews>
    <sheetView workbookViewId="0">
      <selection activeCell="I30" sqref="I30"/>
    </sheetView>
  </sheetViews>
  <sheetFormatPr defaultRowHeight="15"/>
  <cols>
    <col min="2" max="2" width="11.28515625" bestFit="1" customWidth="1"/>
    <col min="3" max="3" width="13.28515625" bestFit="1" customWidth="1"/>
    <col min="4" max="4" width="20.28515625" bestFit="1" customWidth="1"/>
  </cols>
  <sheetData>
    <row r="1" spans="1:4">
      <c r="A1" t="s">
        <v>2918</v>
      </c>
      <c r="B1" t="s">
        <v>1328</v>
      </c>
      <c r="C1" t="s">
        <v>2919</v>
      </c>
      <c r="D1" t="s">
        <v>2920</v>
      </c>
    </row>
    <row r="2" spans="1:4">
      <c r="A2" t="s">
        <v>1299</v>
      </c>
      <c r="B2" t="s">
        <v>1361</v>
      </c>
      <c r="D2" t="s">
        <v>2921</v>
      </c>
    </row>
    <row r="3" spans="1:4">
      <c r="A3" t="s">
        <v>1315</v>
      </c>
      <c r="B3" t="s">
        <v>1361</v>
      </c>
      <c r="D3" t="s">
        <v>2922</v>
      </c>
    </row>
    <row r="4" spans="1:4">
      <c r="A4" t="s">
        <v>1305</v>
      </c>
      <c r="B4" t="s">
        <v>1361</v>
      </c>
      <c r="D4" t="s">
        <v>2923</v>
      </c>
    </row>
    <row r="5" spans="1:4">
      <c r="A5" t="s">
        <v>1301</v>
      </c>
      <c r="B5" t="s">
        <v>1361</v>
      </c>
      <c r="D5" t="s">
        <v>2924</v>
      </c>
    </row>
    <row r="6" spans="1:4">
      <c r="A6" t="s">
        <v>1313</v>
      </c>
      <c r="B6" t="s">
        <v>1361</v>
      </c>
      <c r="C6" t="s">
        <v>2925</v>
      </c>
      <c r="D6" t="s">
        <v>2925</v>
      </c>
    </row>
    <row r="7" spans="1:4">
      <c r="A7" t="s">
        <v>1311</v>
      </c>
      <c r="B7" t="s">
        <v>1361</v>
      </c>
      <c r="C7" t="s">
        <v>2926</v>
      </c>
      <c r="D7" t="s">
        <v>2926</v>
      </c>
    </row>
    <row r="8" spans="1:4">
      <c r="A8" t="s">
        <v>1319</v>
      </c>
      <c r="B8" t="s">
        <v>1361</v>
      </c>
      <c r="D8" t="s">
        <v>2927</v>
      </c>
    </row>
    <row r="9" spans="1:4">
      <c r="A9" t="s">
        <v>1299</v>
      </c>
      <c r="B9" t="s">
        <v>1372</v>
      </c>
      <c r="C9" t="s">
        <v>2928</v>
      </c>
      <c r="D9" t="s">
        <v>2928</v>
      </c>
    </row>
    <row r="10" spans="1:4">
      <c r="A10" t="s">
        <v>1315</v>
      </c>
      <c r="B10" t="s">
        <v>1372</v>
      </c>
      <c r="D10" t="s">
        <v>2929</v>
      </c>
    </row>
    <row r="11" spans="1:4">
      <c r="A11" t="s">
        <v>1305</v>
      </c>
      <c r="B11" t="s">
        <v>1372</v>
      </c>
      <c r="D11" t="s">
        <v>2930</v>
      </c>
    </row>
    <row r="12" spans="1:4">
      <c r="A12" t="s">
        <v>1301</v>
      </c>
      <c r="B12" t="s">
        <v>1372</v>
      </c>
      <c r="D12" t="s">
        <v>2931</v>
      </c>
    </row>
    <row r="13" spans="1:4">
      <c r="A13" t="s">
        <v>1313</v>
      </c>
      <c r="B13" t="s">
        <v>1372</v>
      </c>
      <c r="C13" t="s">
        <v>2932</v>
      </c>
      <c r="D13" t="s">
        <v>2932</v>
      </c>
    </row>
    <row r="14" spans="1:4">
      <c r="A14" t="s">
        <v>1311</v>
      </c>
      <c r="B14" t="s">
        <v>1372</v>
      </c>
      <c r="C14" t="s">
        <v>2926</v>
      </c>
      <c r="D14" t="s">
        <v>2926</v>
      </c>
    </row>
    <row r="15" spans="1:4">
      <c r="A15" t="s">
        <v>1319</v>
      </c>
      <c r="B15" t="s">
        <v>1372</v>
      </c>
      <c r="C15" t="s">
        <v>2933</v>
      </c>
      <c r="D15" t="s">
        <v>2933</v>
      </c>
    </row>
    <row r="16" spans="1:4">
      <c r="A16" t="s">
        <v>1299</v>
      </c>
      <c r="B16" t="s">
        <v>1365</v>
      </c>
      <c r="D16" t="s">
        <v>2934</v>
      </c>
    </row>
    <row r="17" spans="1:4">
      <c r="A17" t="s">
        <v>1315</v>
      </c>
      <c r="B17" t="s">
        <v>1365</v>
      </c>
      <c r="D17" t="s">
        <v>2935</v>
      </c>
    </row>
    <row r="18" spans="1:4">
      <c r="A18" t="s">
        <v>1305</v>
      </c>
      <c r="B18" t="s">
        <v>1365</v>
      </c>
      <c r="D18" t="s">
        <v>2936</v>
      </c>
    </row>
    <row r="19" spans="1:4">
      <c r="A19" t="s">
        <v>1301</v>
      </c>
      <c r="B19" t="s">
        <v>1365</v>
      </c>
      <c r="D19" t="s">
        <v>2937</v>
      </c>
    </row>
    <row r="20" spans="1:4">
      <c r="A20" t="s">
        <v>1313</v>
      </c>
      <c r="B20" t="s">
        <v>1365</v>
      </c>
      <c r="D20" t="s">
        <v>2938</v>
      </c>
    </row>
    <row r="21" spans="1:4">
      <c r="A21" t="s">
        <v>1311</v>
      </c>
      <c r="B21" t="s">
        <v>1365</v>
      </c>
      <c r="D21" t="s">
        <v>2939</v>
      </c>
    </row>
    <row r="22" spans="1:4">
      <c r="A22" t="s">
        <v>1319</v>
      </c>
      <c r="B22" t="s">
        <v>1365</v>
      </c>
      <c r="D22" t="s">
        <v>2940</v>
      </c>
    </row>
    <row r="23" spans="1:4">
      <c r="A23" t="s">
        <v>1299</v>
      </c>
      <c r="B23" t="s">
        <v>1333</v>
      </c>
      <c r="D23" t="s">
        <v>2941</v>
      </c>
    </row>
    <row r="24" spans="1:4">
      <c r="A24" t="s">
        <v>1315</v>
      </c>
      <c r="B24" t="s">
        <v>1333</v>
      </c>
      <c r="D24" t="s">
        <v>2942</v>
      </c>
    </row>
    <row r="25" spans="1:4">
      <c r="A25" t="s">
        <v>1305</v>
      </c>
      <c r="B25" t="s">
        <v>1333</v>
      </c>
      <c r="D25" t="s">
        <v>2943</v>
      </c>
    </row>
    <row r="26" spans="1:4">
      <c r="A26" t="s">
        <v>1301</v>
      </c>
      <c r="B26" t="s">
        <v>1333</v>
      </c>
      <c r="D26" t="s">
        <v>2944</v>
      </c>
    </row>
    <row r="27" spans="1:4">
      <c r="A27" t="s">
        <v>1313</v>
      </c>
      <c r="B27" t="s">
        <v>1333</v>
      </c>
      <c r="D27" t="s">
        <v>2945</v>
      </c>
    </row>
    <row r="28" spans="1:4">
      <c r="A28" t="s">
        <v>1311</v>
      </c>
      <c r="B28" t="s">
        <v>1333</v>
      </c>
      <c r="D28" t="s">
        <v>2946</v>
      </c>
    </row>
    <row r="29" spans="1:4">
      <c r="A29" t="s">
        <v>1319</v>
      </c>
      <c r="B29" t="s">
        <v>1333</v>
      </c>
      <c r="D29" t="s">
        <v>2947</v>
      </c>
    </row>
    <row r="30" spans="1:4">
      <c r="A30" t="s">
        <v>1319</v>
      </c>
      <c r="B30" t="s">
        <v>1374</v>
      </c>
      <c r="D30" t="s">
        <v>2948</v>
      </c>
    </row>
    <row r="31" spans="1:4">
      <c r="A31" t="s">
        <v>1291</v>
      </c>
      <c r="B31" t="s">
        <v>1374</v>
      </c>
      <c r="D31" t="s">
        <v>2949</v>
      </c>
    </row>
    <row r="32" spans="1:4">
      <c r="A32" t="s">
        <v>1309</v>
      </c>
      <c r="B32" t="s">
        <v>1368</v>
      </c>
      <c r="D32" t="s">
        <v>2950</v>
      </c>
    </row>
    <row r="33" spans="1:4">
      <c r="A33" t="s">
        <v>1309</v>
      </c>
      <c r="B33" t="s">
        <v>1374</v>
      </c>
      <c r="D33" t="s">
        <v>2951</v>
      </c>
    </row>
    <row r="34" spans="1:4">
      <c r="A34" t="s">
        <v>1319</v>
      </c>
      <c r="B34" t="s">
        <v>1374</v>
      </c>
      <c r="D34" t="s">
        <v>2948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1A493-992F-4E84-8BD4-7B7698F6FFAB}">
  <dimension ref="A1:C41"/>
  <sheetViews>
    <sheetView workbookViewId="0"/>
  </sheetViews>
  <sheetFormatPr defaultRowHeight="15"/>
  <cols>
    <col min="1" max="1" width="15.42578125" bestFit="1" customWidth="1"/>
  </cols>
  <sheetData>
    <row r="1" spans="1:3">
      <c r="A1" t="s">
        <v>2954</v>
      </c>
      <c r="B1" t="s">
        <v>1328</v>
      </c>
      <c r="C1" t="s">
        <v>2915</v>
      </c>
    </row>
    <row r="2" spans="1:3">
      <c r="A2" t="s">
        <v>1375</v>
      </c>
      <c r="B2" t="s">
        <v>1376</v>
      </c>
      <c r="C2" t="s">
        <v>1376</v>
      </c>
    </row>
    <row r="3" spans="1:3">
      <c r="A3" t="s">
        <v>1360</v>
      </c>
      <c r="B3" t="s">
        <v>1361</v>
      </c>
      <c r="C3" t="s">
        <v>1361</v>
      </c>
    </row>
    <row r="4" spans="1:3">
      <c r="A4" t="s">
        <v>1371</v>
      </c>
      <c r="B4" t="s">
        <v>1288</v>
      </c>
      <c r="C4" t="s">
        <v>1372</v>
      </c>
    </row>
    <row r="5" spans="1:3">
      <c r="A5" t="s">
        <v>2955</v>
      </c>
      <c r="B5" t="s">
        <v>1288</v>
      </c>
      <c r="C5" t="s">
        <v>2956</v>
      </c>
    </row>
    <row r="6" spans="1:3">
      <c r="A6" t="s">
        <v>1367</v>
      </c>
      <c r="B6" t="s">
        <v>1288</v>
      </c>
      <c r="C6" t="s">
        <v>1368</v>
      </c>
    </row>
    <row r="7" spans="1:3">
      <c r="A7" t="s">
        <v>1369</v>
      </c>
      <c r="B7" t="s">
        <v>1288</v>
      </c>
      <c r="C7" t="s">
        <v>1370</v>
      </c>
    </row>
    <row r="8" spans="1:3">
      <c r="A8" t="s">
        <v>2957</v>
      </c>
      <c r="B8" t="s">
        <v>1365</v>
      </c>
      <c r="C8" t="s">
        <v>1365</v>
      </c>
    </row>
    <row r="9" spans="1:3">
      <c r="A9" t="s">
        <v>1338</v>
      </c>
      <c r="B9" t="s">
        <v>1333</v>
      </c>
      <c r="C9" t="s">
        <v>1339</v>
      </c>
    </row>
    <row r="10" spans="1:3">
      <c r="A10" t="s">
        <v>1356</v>
      </c>
      <c r="B10" t="s">
        <v>1333</v>
      </c>
      <c r="C10" t="s">
        <v>1357</v>
      </c>
    </row>
    <row r="11" spans="1:3">
      <c r="A11" t="s">
        <v>1346</v>
      </c>
      <c r="B11" t="s">
        <v>1333</v>
      </c>
      <c r="C11" t="s">
        <v>1347</v>
      </c>
    </row>
    <row r="12" spans="1:3">
      <c r="A12" t="s">
        <v>1342</v>
      </c>
      <c r="B12" t="s">
        <v>1333</v>
      </c>
      <c r="C12" t="s">
        <v>1343</v>
      </c>
    </row>
    <row r="13" spans="1:3">
      <c r="A13" t="s">
        <v>1350</v>
      </c>
      <c r="B13" t="s">
        <v>1333</v>
      </c>
      <c r="C13" t="s">
        <v>1351</v>
      </c>
    </row>
    <row r="14" spans="1:3">
      <c r="A14" t="s">
        <v>1344</v>
      </c>
      <c r="B14" t="s">
        <v>1333</v>
      </c>
      <c r="C14" t="s">
        <v>1345</v>
      </c>
    </row>
    <row r="15" spans="1:3">
      <c r="A15" t="s">
        <v>1334</v>
      </c>
      <c r="B15" t="s">
        <v>1333</v>
      </c>
      <c r="C15" t="s">
        <v>1335</v>
      </c>
    </row>
    <row r="16" spans="1:3">
      <c r="A16" t="s">
        <v>1354</v>
      </c>
      <c r="B16" t="s">
        <v>1333</v>
      </c>
      <c r="C16" t="s">
        <v>1355</v>
      </c>
    </row>
    <row r="17" spans="1:3">
      <c r="A17" t="s">
        <v>1336</v>
      </c>
      <c r="B17" t="s">
        <v>1333</v>
      </c>
      <c r="C17" t="s">
        <v>1337</v>
      </c>
    </row>
    <row r="18" spans="1:3">
      <c r="A18" t="s">
        <v>1340</v>
      </c>
      <c r="B18" t="s">
        <v>1333</v>
      </c>
      <c r="C18" t="s">
        <v>1341</v>
      </c>
    </row>
    <row r="19" spans="1:3">
      <c r="A19" t="s">
        <v>1352</v>
      </c>
      <c r="B19" t="s">
        <v>1333</v>
      </c>
      <c r="C19" t="s">
        <v>1353</v>
      </c>
    </row>
    <row r="20" spans="1:3">
      <c r="A20" t="s">
        <v>1358</v>
      </c>
      <c r="B20" t="s">
        <v>1373</v>
      </c>
      <c r="C20" t="s">
        <v>1359</v>
      </c>
    </row>
    <row r="21" spans="1:3">
      <c r="A21" t="s">
        <v>1348</v>
      </c>
      <c r="B21" t="s">
        <v>1373</v>
      </c>
      <c r="C21" t="s">
        <v>1349</v>
      </c>
    </row>
    <row r="22" spans="1:3">
      <c r="B22" t="s">
        <v>1374</v>
      </c>
      <c r="C22" t="s">
        <v>1376</v>
      </c>
    </row>
    <row r="23" spans="1:3">
      <c r="B23" t="s">
        <v>1374</v>
      </c>
      <c r="C23" t="s">
        <v>1361</v>
      </c>
    </row>
    <row r="24" spans="1:3">
      <c r="B24" t="s">
        <v>1374</v>
      </c>
      <c r="C24" t="s">
        <v>1372</v>
      </c>
    </row>
    <row r="25" spans="1:3">
      <c r="B25" t="s">
        <v>1374</v>
      </c>
      <c r="C25" t="s">
        <v>2956</v>
      </c>
    </row>
    <row r="26" spans="1:3">
      <c r="B26" t="s">
        <v>1374</v>
      </c>
      <c r="C26" t="s">
        <v>1368</v>
      </c>
    </row>
    <row r="27" spans="1:3">
      <c r="B27" t="s">
        <v>1374</v>
      </c>
      <c r="C27" t="s">
        <v>1370</v>
      </c>
    </row>
    <row r="28" spans="1:3">
      <c r="B28" t="s">
        <v>1374</v>
      </c>
      <c r="C28" t="s">
        <v>1365</v>
      </c>
    </row>
    <row r="29" spans="1:3">
      <c r="B29" t="s">
        <v>1374</v>
      </c>
      <c r="C29" t="s">
        <v>1339</v>
      </c>
    </row>
    <row r="30" spans="1:3">
      <c r="B30" t="s">
        <v>1374</v>
      </c>
      <c r="C30" t="s">
        <v>1357</v>
      </c>
    </row>
    <row r="31" spans="1:3">
      <c r="B31" t="s">
        <v>1374</v>
      </c>
      <c r="C31" t="s">
        <v>1347</v>
      </c>
    </row>
    <row r="32" spans="1:3">
      <c r="B32" t="s">
        <v>1374</v>
      </c>
      <c r="C32" t="s">
        <v>1343</v>
      </c>
    </row>
    <row r="33" spans="2:3">
      <c r="B33" t="s">
        <v>1374</v>
      </c>
      <c r="C33" t="s">
        <v>1351</v>
      </c>
    </row>
    <row r="34" spans="2:3">
      <c r="B34" t="s">
        <v>1374</v>
      </c>
      <c r="C34" t="s">
        <v>1345</v>
      </c>
    </row>
    <row r="35" spans="2:3">
      <c r="B35" t="s">
        <v>1374</v>
      </c>
      <c r="C35" t="s">
        <v>1335</v>
      </c>
    </row>
    <row r="36" spans="2:3">
      <c r="B36" t="s">
        <v>1374</v>
      </c>
      <c r="C36" t="s">
        <v>1355</v>
      </c>
    </row>
    <row r="37" spans="2:3">
      <c r="B37" t="s">
        <v>1374</v>
      </c>
      <c r="C37" t="s">
        <v>1337</v>
      </c>
    </row>
    <row r="38" spans="2:3">
      <c r="B38" t="s">
        <v>1374</v>
      </c>
      <c r="C38" t="s">
        <v>1341</v>
      </c>
    </row>
    <row r="39" spans="2:3">
      <c r="B39" t="s">
        <v>1374</v>
      </c>
      <c r="C39" t="s">
        <v>1353</v>
      </c>
    </row>
    <row r="40" spans="2:3">
      <c r="B40" t="s">
        <v>1374</v>
      </c>
      <c r="C40" t="s">
        <v>1359</v>
      </c>
    </row>
    <row r="41" spans="2:3">
      <c r="B41" t="s">
        <v>1374</v>
      </c>
      <c r="C41" t="s">
        <v>1349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BB3F8-037B-4592-8820-A1D4E8F7242C}">
  <dimension ref="A1:F33"/>
  <sheetViews>
    <sheetView workbookViewId="0"/>
  </sheetViews>
  <sheetFormatPr defaultRowHeight="15"/>
  <sheetData>
    <row r="1" spans="1:6">
      <c r="A1" t="s">
        <v>2954</v>
      </c>
      <c r="B1" t="s">
        <v>1328</v>
      </c>
      <c r="C1" t="s">
        <v>2915</v>
      </c>
      <c r="D1" t="s">
        <v>2958</v>
      </c>
      <c r="E1" t="s">
        <v>2959</v>
      </c>
      <c r="F1" t="s">
        <v>2960</v>
      </c>
    </row>
    <row r="2" spans="1:6">
      <c r="A2" t="s">
        <v>2961</v>
      </c>
      <c r="B2" t="s">
        <v>1025</v>
      </c>
      <c r="C2" t="s">
        <v>1025</v>
      </c>
      <c r="D2" t="b">
        <v>0</v>
      </c>
      <c r="E2">
        <v>0</v>
      </c>
      <c r="F2">
        <v>1</v>
      </c>
    </row>
    <row r="3" spans="1:6">
      <c r="A3" t="s">
        <v>2962</v>
      </c>
      <c r="B3" t="s">
        <v>1025</v>
      </c>
      <c r="C3" t="s">
        <v>1025</v>
      </c>
      <c r="D3" t="b">
        <v>0</v>
      </c>
      <c r="E3">
        <v>0</v>
      </c>
      <c r="F3">
        <v>2</v>
      </c>
    </row>
    <row r="4" spans="1:6">
      <c r="A4" t="s">
        <v>2963</v>
      </c>
      <c r="B4" t="s">
        <v>1025</v>
      </c>
      <c r="C4" t="s">
        <v>1025</v>
      </c>
      <c r="D4" t="b">
        <v>0</v>
      </c>
      <c r="E4">
        <v>0</v>
      </c>
      <c r="F4">
        <v>3</v>
      </c>
    </row>
    <row r="5" spans="1:6">
      <c r="A5" t="s">
        <v>2964</v>
      </c>
      <c r="B5" t="s">
        <v>1025</v>
      </c>
      <c r="C5" t="s">
        <v>1025</v>
      </c>
      <c r="D5" t="b">
        <v>0</v>
      </c>
      <c r="E5">
        <v>0</v>
      </c>
      <c r="F5">
        <v>4</v>
      </c>
    </row>
    <row r="6" spans="1:6">
      <c r="A6" t="s">
        <v>2965</v>
      </c>
      <c r="B6" t="s">
        <v>1025</v>
      </c>
      <c r="C6" t="s">
        <v>1025</v>
      </c>
      <c r="D6" t="b">
        <v>0</v>
      </c>
      <c r="E6">
        <v>0</v>
      </c>
      <c r="F6">
        <v>5</v>
      </c>
    </row>
    <row r="7" spans="1:6">
      <c r="A7" t="s">
        <v>2966</v>
      </c>
      <c r="B7" t="s">
        <v>1333</v>
      </c>
      <c r="C7" t="s">
        <v>1341</v>
      </c>
      <c r="D7" t="b">
        <v>1</v>
      </c>
      <c r="E7">
        <v>1</v>
      </c>
      <c r="F7">
        <v>6</v>
      </c>
    </row>
    <row r="8" spans="1:6">
      <c r="A8" t="s">
        <v>2967</v>
      </c>
      <c r="B8" t="s">
        <v>1333</v>
      </c>
      <c r="C8" t="s">
        <v>1341</v>
      </c>
      <c r="D8" t="b">
        <v>1</v>
      </c>
      <c r="E8">
        <v>1</v>
      </c>
      <c r="F8">
        <v>7</v>
      </c>
    </row>
    <row r="9" spans="1:6">
      <c r="A9" t="s">
        <v>2968</v>
      </c>
      <c r="B9" t="s">
        <v>1333</v>
      </c>
      <c r="C9" t="s">
        <v>1341</v>
      </c>
      <c r="D9" t="b">
        <v>1</v>
      </c>
      <c r="E9">
        <v>1</v>
      </c>
      <c r="F9">
        <v>8</v>
      </c>
    </row>
    <row r="10" spans="1:6">
      <c r="A10" t="s">
        <v>2969</v>
      </c>
      <c r="B10" t="s">
        <v>1333</v>
      </c>
      <c r="C10" t="s">
        <v>1341</v>
      </c>
      <c r="D10" t="b">
        <v>1</v>
      </c>
      <c r="E10">
        <v>1</v>
      </c>
      <c r="F10">
        <v>9</v>
      </c>
    </row>
    <row r="11" spans="1:6">
      <c r="A11" t="s">
        <v>2970</v>
      </c>
      <c r="B11" t="s">
        <v>1333</v>
      </c>
      <c r="C11" t="s">
        <v>1341</v>
      </c>
      <c r="D11" t="b">
        <v>1</v>
      </c>
      <c r="E11">
        <v>1</v>
      </c>
      <c r="F11">
        <v>10</v>
      </c>
    </row>
    <row r="12" spans="1:6">
      <c r="A12" t="s">
        <v>1360</v>
      </c>
      <c r="B12" t="s">
        <v>1361</v>
      </c>
      <c r="C12" t="s">
        <v>1361</v>
      </c>
      <c r="D12" t="b">
        <v>1</v>
      </c>
      <c r="E12">
        <v>-1</v>
      </c>
      <c r="F12">
        <v>11</v>
      </c>
    </row>
    <row r="13" spans="1:6">
      <c r="A13" t="s">
        <v>2971</v>
      </c>
      <c r="B13" t="s">
        <v>1025</v>
      </c>
      <c r="C13" t="s">
        <v>1025</v>
      </c>
      <c r="D13" t="b">
        <v>1</v>
      </c>
      <c r="E13">
        <v>0</v>
      </c>
      <c r="F13">
        <v>12</v>
      </c>
    </row>
    <row r="14" spans="1:6">
      <c r="A14" t="s">
        <v>1375</v>
      </c>
      <c r="B14" t="s">
        <v>1376</v>
      </c>
      <c r="C14" t="s">
        <v>1376</v>
      </c>
      <c r="D14" t="b">
        <v>1</v>
      </c>
      <c r="E14">
        <v>1</v>
      </c>
      <c r="F14">
        <v>13</v>
      </c>
    </row>
    <row r="15" spans="1:6">
      <c r="A15" t="s">
        <v>1371</v>
      </c>
      <c r="B15" t="s">
        <v>1288</v>
      </c>
      <c r="C15" t="s">
        <v>1372</v>
      </c>
      <c r="D15" t="b">
        <v>1</v>
      </c>
      <c r="E15">
        <v>0</v>
      </c>
      <c r="F15">
        <v>14</v>
      </c>
    </row>
    <row r="16" spans="1:6">
      <c r="A16" t="s">
        <v>2955</v>
      </c>
      <c r="B16" t="s">
        <v>1288</v>
      </c>
      <c r="C16" t="s">
        <v>2956</v>
      </c>
      <c r="D16" t="b">
        <v>1</v>
      </c>
      <c r="E16">
        <v>0</v>
      </c>
      <c r="F16">
        <v>15</v>
      </c>
    </row>
    <row r="17" spans="1:6">
      <c r="A17" t="s">
        <v>1367</v>
      </c>
      <c r="B17" t="s">
        <v>1288</v>
      </c>
      <c r="C17" t="s">
        <v>1368</v>
      </c>
      <c r="D17" t="b">
        <v>1</v>
      </c>
      <c r="E17">
        <v>0</v>
      </c>
      <c r="F17">
        <v>16</v>
      </c>
    </row>
    <row r="18" spans="1:6">
      <c r="A18" t="s">
        <v>2957</v>
      </c>
      <c r="B18" t="s">
        <v>1365</v>
      </c>
      <c r="C18" t="s">
        <v>1365</v>
      </c>
      <c r="D18" t="b">
        <v>1</v>
      </c>
      <c r="E18">
        <v>0</v>
      </c>
      <c r="F18">
        <v>17</v>
      </c>
    </row>
    <row r="19" spans="1:6">
      <c r="A19" t="s">
        <v>1338</v>
      </c>
      <c r="B19" t="s">
        <v>1333</v>
      </c>
      <c r="C19" t="s">
        <v>1339</v>
      </c>
      <c r="D19" t="b">
        <v>1</v>
      </c>
      <c r="E19">
        <v>0</v>
      </c>
      <c r="F19">
        <v>18</v>
      </c>
    </row>
    <row r="20" spans="1:6">
      <c r="A20" t="s">
        <v>1356</v>
      </c>
      <c r="B20" t="s">
        <v>1333</v>
      </c>
      <c r="C20" t="s">
        <v>1357</v>
      </c>
      <c r="D20" t="b">
        <v>1</v>
      </c>
      <c r="E20">
        <v>0</v>
      </c>
      <c r="F20">
        <v>19</v>
      </c>
    </row>
    <row r="21" spans="1:6">
      <c r="A21" t="s">
        <v>1346</v>
      </c>
      <c r="B21" t="s">
        <v>1333</v>
      </c>
      <c r="C21" t="s">
        <v>1347</v>
      </c>
      <c r="D21" t="b">
        <v>1</v>
      </c>
      <c r="E21">
        <v>0</v>
      </c>
      <c r="F21">
        <v>20</v>
      </c>
    </row>
    <row r="22" spans="1:6">
      <c r="A22" t="s">
        <v>1342</v>
      </c>
      <c r="B22" t="s">
        <v>1333</v>
      </c>
      <c r="C22" t="s">
        <v>1343</v>
      </c>
      <c r="D22" t="b">
        <v>1</v>
      </c>
      <c r="E22">
        <v>0</v>
      </c>
      <c r="F22">
        <v>21</v>
      </c>
    </row>
    <row r="23" spans="1:6">
      <c r="A23" t="s">
        <v>1350</v>
      </c>
      <c r="B23" t="s">
        <v>1333</v>
      </c>
      <c r="C23" t="s">
        <v>1351</v>
      </c>
      <c r="D23" t="b">
        <v>1</v>
      </c>
      <c r="E23">
        <v>0</v>
      </c>
      <c r="F23">
        <v>22</v>
      </c>
    </row>
    <row r="24" spans="1:6">
      <c r="A24" t="s">
        <v>1344</v>
      </c>
      <c r="B24" t="s">
        <v>1333</v>
      </c>
      <c r="C24" t="s">
        <v>1345</v>
      </c>
      <c r="D24" t="b">
        <v>1</v>
      </c>
      <c r="E24">
        <v>0</v>
      </c>
      <c r="F24">
        <v>23</v>
      </c>
    </row>
    <row r="25" spans="1:6">
      <c r="A25" t="s">
        <v>1334</v>
      </c>
      <c r="B25" t="s">
        <v>1333</v>
      </c>
      <c r="C25" t="s">
        <v>1335</v>
      </c>
      <c r="D25" t="b">
        <v>1</v>
      </c>
      <c r="E25">
        <v>0</v>
      </c>
      <c r="F25">
        <v>24</v>
      </c>
    </row>
    <row r="26" spans="1:6">
      <c r="A26" t="s">
        <v>1354</v>
      </c>
      <c r="B26" t="s">
        <v>1333</v>
      </c>
      <c r="C26" t="s">
        <v>1355</v>
      </c>
      <c r="D26" t="b">
        <v>1</v>
      </c>
      <c r="E26">
        <v>0</v>
      </c>
      <c r="F26">
        <v>25</v>
      </c>
    </row>
    <row r="27" spans="1:6">
      <c r="A27" t="s">
        <v>1336</v>
      </c>
      <c r="B27" t="s">
        <v>1333</v>
      </c>
      <c r="C27" t="s">
        <v>1337</v>
      </c>
      <c r="D27" t="b">
        <v>1</v>
      </c>
      <c r="E27">
        <v>0</v>
      </c>
      <c r="F27">
        <v>26</v>
      </c>
    </row>
    <row r="28" spans="1:6">
      <c r="A28" t="s">
        <v>1340</v>
      </c>
      <c r="B28" t="s">
        <v>1333</v>
      </c>
      <c r="C28" t="s">
        <v>1341</v>
      </c>
      <c r="D28" t="b">
        <v>1</v>
      </c>
      <c r="E28">
        <v>0</v>
      </c>
      <c r="F28">
        <v>27</v>
      </c>
    </row>
    <row r="29" spans="1:6">
      <c r="A29" t="s">
        <v>2972</v>
      </c>
      <c r="B29" t="s">
        <v>1333</v>
      </c>
      <c r="C29" t="s">
        <v>1353</v>
      </c>
      <c r="D29" t="b">
        <v>1</v>
      </c>
      <c r="E29">
        <v>0</v>
      </c>
      <c r="F29">
        <v>28</v>
      </c>
    </row>
    <row r="30" spans="1:6">
      <c r="A30" t="s">
        <v>2973</v>
      </c>
      <c r="B30" t="s">
        <v>1333</v>
      </c>
      <c r="C30" t="s">
        <v>1341</v>
      </c>
      <c r="D30" t="b">
        <v>1</v>
      </c>
      <c r="E30">
        <v>1</v>
      </c>
      <c r="F30">
        <v>29</v>
      </c>
    </row>
    <row r="31" spans="1:6">
      <c r="A31" t="s">
        <v>1369</v>
      </c>
      <c r="B31" t="s">
        <v>1288</v>
      </c>
      <c r="C31" t="s">
        <v>1370</v>
      </c>
      <c r="D31" t="b">
        <v>1</v>
      </c>
      <c r="E31">
        <v>1</v>
      </c>
      <c r="F31">
        <v>30</v>
      </c>
    </row>
    <row r="32" spans="1:6">
      <c r="A32" t="s">
        <v>1348</v>
      </c>
      <c r="B32" t="s">
        <v>1373</v>
      </c>
      <c r="C32" t="s">
        <v>1349</v>
      </c>
      <c r="D32" t="b">
        <v>1</v>
      </c>
      <c r="E32">
        <v>1</v>
      </c>
      <c r="F32">
        <v>31</v>
      </c>
    </row>
    <row r="33" spans="1:6">
      <c r="A33" t="s">
        <v>1358</v>
      </c>
      <c r="B33" t="s">
        <v>1373</v>
      </c>
      <c r="C33" t="s">
        <v>1359</v>
      </c>
      <c r="D33" t="b">
        <v>1</v>
      </c>
      <c r="E33">
        <v>1</v>
      </c>
      <c r="F33">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cf63818ad6e0a144442808a09ea620c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0f9366726d434a63f039a304b7836bef"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SharedWithUsers xmlns="76cbe74e-7cd4-4bc0-a35c-d3ee6e5e8f9f">
      <UserInfo>
        <DisplayName>Pravesh Raghoo</DisplayName>
        <AccountId>152</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54E74D2-75E0-4FA8-A19C-3E803C88FB4D}"/>
</file>

<file path=customXml/itemProps2.xml><?xml version="1.0" encoding="utf-8"?>
<ds:datastoreItem xmlns:ds="http://schemas.openxmlformats.org/officeDocument/2006/customXml" ds:itemID="{9BF023B6-DE85-4F73-958F-71B4EB491525}"/>
</file>

<file path=customXml/itemProps3.xml><?xml version="1.0" encoding="utf-8"?>
<ds:datastoreItem xmlns:ds="http://schemas.openxmlformats.org/officeDocument/2006/customXml" ds:itemID="{45FA2F20-E11A-475D-B3B3-9BB7900049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Cover</vt:lpstr>
      <vt:lpstr>Processes&gt;&gt;&gt;</vt:lpstr>
      <vt:lpstr>MitigationProcesses</vt:lpstr>
      <vt:lpstr>Repos</vt:lpstr>
      <vt:lpstr>DataTables</vt:lpstr>
      <vt:lpstr>DataSources</vt:lpstr>
      <vt:lpstr>PowerDataSources</vt:lpstr>
      <vt:lpstr>MacroData</vt:lpstr>
      <vt:lpstr>Scripts</vt:lpstr>
      <vt:lpstr>Defaults&gt;&gt;</vt:lpstr>
      <vt:lpstr>GenSettings</vt:lpstr>
      <vt:lpstr>EmSettings</vt:lpstr>
      <vt:lpstr>PowerSettings</vt:lpstr>
      <vt:lpstr>MainDefaults</vt:lpstr>
      <vt:lpstr>CompFuels</vt:lpstr>
      <vt:lpstr>EmissionFactorsCountry</vt:lpstr>
      <vt:lpstr>Elasticity</vt:lpstr>
      <vt:lpstr>WACC</vt:lpstr>
      <vt:lpstr>LCOE</vt:lpstr>
      <vt:lpstr>Construc</vt:lpstr>
      <vt:lpstr>LR</vt:lpstr>
      <vt:lpstr>Variables_01</vt:lpstr>
      <vt:lpstr>JSON-eg1</vt:lpstr>
      <vt:lpstr>CodesAndLookups&gt;&gt;</vt:lpstr>
      <vt:lpstr>CountryCode</vt:lpstr>
      <vt:lpstr>Tab</vt:lpstr>
      <vt:lpstr>Variables</vt:lpstr>
      <vt:lpstr>FuelType</vt:lpstr>
      <vt:lpstr>UNFCCSector</vt:lpstr>
      <vt:lpstr>Sector</vt:lpstr>
      <vt:lpstr>Submodel</vt:lpstr>
      <vt:lpstr>Pollutant</vt:lpstr>
      <vt:lpstr>Unit</vt:lpstr>
      <vt:lpstr>Policy</vt:lpstr>
      <vt:lpstr>Year</vt:lpstr>
      <vt:lpstr>EFCompleting</vt:lpstr>
      <vt:lpstr>FlowSectorGroupMapEC</vt:lpstr>
      <vt:lpstr>FlowSectorMapFilterEB</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2022-03-23T15:23:25Z</dcterms:created>
  <dcterms:modified xsi:type="dcterms:W3CDTF">2023-06-06T14:05:02Z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0x010100E78033965C425B4096B45C738AFDD784</vt:lpwstr>
  </property>
  <property fmtid="{D5CDD505-2E9C-101B-9397-08002B2CF9AE}" pid="3" name="Order">
    <vt:r8>59452500</vt:r8>
  </property>
  <property fmtid="{D5CDD505-2E9C-101B-9397-08002B2CF9AE}" pid="4" name="_ExtendedDescription">
    <vt:lpwstr/>
  </property>
  <property fmtid="{D5CDD505-2E9C-101B-9397-08002B2CF9AE}" pid="5" name="MediaServiceImageTags">
    <vt:lpwstr/>
  </property>
</Properties>
</file>