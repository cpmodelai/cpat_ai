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Override PartName="/xl/drawings/drawing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UserGuide" sheetId="1" state="visible" r:id="rId1"/>
    <sheet xmlns:r="http://schemas.openxmlformats.org/officeDocument/2006/relationships" name="Settings" sheetId="2" state="visible" r:id="rId2"/>
    <sheet xmlns:r="http://schemas.openxmlformats.org/officeDocument/2006/relationships" name="StoredScenarios" sheetId="3" state="visible" r:id="rId3"/>
    <sheet xmlns:r="http://schemas.openxmlformats.org/officeDocument/2006/relationships" name="CompareStored" sheetId="4" state="visible" r:id="rId4"/>
  </sheets>
  <definedNames>
    <definedName name="ModTable">UserGuide!$A$22:$G$24</definedName>
    <definedName name="DataSource">Settings!$C$5</definedName>
    <definedName name="DataRows">Settings!$C$6</definedName>
    <definedName name="DataSrcTable">Settings!$F$5:$H$9</definedName>
    <definedName name="SSAll">StoredScenarios!$A$1:$HV$1186</definedName>
    <definedName name="SSStem">StoredScenarios!$A$1:$A$1186</definedName>
    <definedName name="SSUnit">StoredScenarios!$I$1:$I$1186</definedName>
    <definedName name="SSDesc">StoredScenarios!$H$1:$H$1186</definedName>
    <definedName name="SSScen">StoredScenarios!$A$5:$HV$5</definedName>
    <definedName name="SSName">StoredScenarios!$A$4:$HV$4</definedName>
    <definedName name="SCYear">StoredScenarios!$L$1:$AE$1</definedName>
    <definedName name="CSCatStem">CompareStored!$A$105:$A$200</definedName>
    <definedName name="CSCatLab">CompareStored!$B$105:$B$200</definedName>
    <definedName name="CSCatUnit">CompareStored!$C$105:$C$200</definedName>
    <definedName name="SCYc">CompareStored!$C$10</definedName>
  </definedNames>
  <calcPr calcId="191029" calcMode="manual" calcOnSave="0"/>
</workbook>
</file>

<file path=xl/styles.xml><?xml version="1.0" encoding="utf-8"?>
<styleSheet xmlns="http://schemas.openxmlformats.org/spreadsheetml/2006/main">
  <numFmts count="6">
    <numFmt numFmtId="164" formatCode="#,##0.0"/>
    <numFmt numFmtId="165" formatCode="0.0%"/>
    <numFmt numFmtId="166" formatCode="0.0000"/>
    <numFmt numFmtId="167" formatCode="0.000"/>
    <numFmt numFmtId="168" formatCode="#,##0.000"/>
    <numFmt numFmtId="169" formatCode="0;-0;;@"/>
  </numFmts>
  <fonts count="10">
    <font>
      <name val="Calibri"/>
      <family val="2"/>
      <color theme="1"/>
      <sz val="11"/>
      <scheme val="minor"/>
    </font>
    <font>
      <name val="Arial"/>
      <b val="1"/>
      <color rgb="00FFFFFF"/>
      <sz val="14"/>
    </font>
    <font>
      <name val="Arial"/>
      <sz val="10"/>
    </font>
    <font>
      <name val="Arial"/>
      <b val="1"/>
      <color rgb="00FFFFFF"/>
      <sz val="11"/>
    </font>
    <font>
      <name val="Arial"/>
      <b val="1"/>
      <sz val="10"/>
    </font>
    <font>
      <name val="Calibri"/>
      <family val="2"/>
      <color theme="10"/>
      <sz val="12"/>
      <scheme val="minor"/>
    </font>
    <font>
      <name val="Arial"/>
      <color rgb="00595959"/>
      <sz val="10"/>
    </font>
    <font>
      <name val="Arial"/>
      <b val="1"/>
      <color rgb="00FFFFFF"/>
      <sz val="12"/>
    </font>
    <font>
      <name val="Arial"/>
      <i val="1"/>
      <sz val="10"/>
    </font>
    <font>
      <name val="Arial"/>
      <color rgb="00BFBFBF"/>
      <sz val="10"/>
    </font>
  </fonts>
  <fills count="7">
    <fill>
      <patternFill/>
    </fill>
    <fill>
      <patternFill patternType="gray125"/>
    </fill>
    <fill>
      <patternFill patternType="solid">
        <fgColor rgb="0000AE49"/>
        <bgColor rgb="0000AE49"/>
      </patternFill>
    </fill>
    <fill>
      <patternFill patternType="solid">
        <fgColor rgb="0092D050"/>
        <bgColor rgb="0092D050"/>
      </patternFill>
    </fill>
    <fill>
      <patternFill patternType="solid">
        <fgColor rgb="00EBF1DE"/>
        <bgColor rgb="00EBF1DE"/>
      </patternFill>
    </fill>
    <fill>
      <patternFill patternType="solid">
        <fgColor rgb="00DDD9C4"/>
        <bgColor rgb="00DDD9C4"/>
      </patternFill>
    </fill>
    <fill>
      <patternFill patternType="solid">
        <fgColor rgb="00DCE6F1"/>
        <bgColor rgb="00DCE6F1"/>
      </patternFill>
    </fill>
  </fills>
  <borders count="2">
    <border>
      <left/>
      <right/>
      <top/>
      <bottom/>
      <diagonal/>
    </border>
    <border>
      <bottom style="thin">
        <color rgb="00000000"/>
      </bottom>
    </border>
  </borders>
  <cellStyleXfs count="2">
    <xf numFmtId="0" fontId="0" fillId="0" borderId="0"/>
    <xf numFmtId="0" fontId="5" fillId="0" borderId="0"/>
  </cellStyleXfs>
  <cellXfs count="50">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3" fillId="3" borderId="0" pivotButton="0" quotePrefix="0" xfId="0"/>
    <xf numFmtId="0" fontId="0" fillId="3" borderId="0" pivotButton="0" quotePrefix="0" xfId="0"/>
    <xf numFmtId="0" fontId="4" fillId="0" borderId="0" applyAlignment="1" pivotButton="0" quotePrefix="0" xfId="0">
      <alignment vertical="center"/>
    </xf>
    <xf numFmtId="0" fontId="4" fillId="0" borderId="0" applyAlignment="1" pivotButton="0" quotePrefix="0" xfId="0">
      <alignment vertical="top"/>
    </xf>
    <xf numFmtId="0" fontId="2" fillId="0" borderId="0" applyAlignment="1" pivotButton="0" quotePrefix="0" xfId="0">
      <alignment vertical="top" wrapText="1"/>
    </xf>
    <xf numFmtId="0" fontId="4" fillId="0" borderId="1" applyAlignment="1" pivotButton="0" quotePrefix="0" xfId="0">
      <alignment vertical="top" wrapText="1"/>
    </xf>
    <xf numFmtId="0" fontId="5" fillId="0" borderId="0" applyAlignment="1" pivotButton="0" quotePrefix="0" xfId="1">
      <alignment vertical="top" wrapText="1"/>
    </xf>
    <xf numFmtId="0" fontId="2" fillId="0" borderId="0" applyAlignment="1" pivotButton="0" quotePrefix="0" xfId="0">
      <alignment vertical="top"/>
    </xf>
    <xf numFmtId="0" fontId="4" fillId="0" borderId="0" pivotButton="0" quotePrefix="0" xfId="0"/>
    <xf numFmtId="0" fontId="4" fillId="4" borderId="0" pivotButton="0" quotePrefix="0" xfId="0"/>
    <xf numFmtId="0" fontId="6" fillId="0" borderId="0" pivotButton="0" quotePrefix="0" xfId="0"/>
    <xf numFmtId="0" fontId="2" fillId="4" borderId="0" pivotButton="0" quotePrefix="0" xfId="0"/>
    <xf numFmtId="1" fontId="4" fillId="5" borderId="0" pivotButton="0" quotePrefix="0" xfId="0"/>
    <xf numFmtId="1" fontId="4" fillId="0" borderId="0" pivotButton="0" quotePrefix="0" xfId="0"/>
    <xf numFmtId="0" fontId="7" fillId="3" borderId="0" pivotButton="0" quotePrefix="0" xfId="0"/>
    <xf numFmtId="0" fontId="8" fillId="0" borderId="0" pivotButton="0" quotePrefix="0" xfId="0"/>
    <xf numFmtId="0" fontId="8" fillId="6" borderId="0" pivotButton="0" quotePrefix="0" xfId="0"/>
    <xf numFmtId="2" fontId="2" fillId="0" borderId="0" pivotButton="0" quotePrefix="0" xfId="0"/>
    <xf numFmtId="164" fontId="2" fillId="0" borderId="0" pivotButton="0" quotePrefix="0" xfId="0"/>
    <xf numFmtId="3" fontId="2" fillId="0" borderId="0" pivotButton="0" quotePrefix="0" xfId="0"/>
    <xf numFmtId="10" fontId="2" fillId="0" borderId="0" pivotButton="0" quotePrefix="0" xfId="0"/>
    <xf numFmtId="165" fontId="2" fillId="0" borderId="0" pivotButton="0" quotePrefix="0" xfId="0"/>
    <xf numFmtId="166" fontId="2" fillId="0" borderId="0" pivotButton="0" quotePrefix="0" xfId="0"/>
    <xf numFmtId="4" fontId="2" fillId="0" borderId="0" pivotButton="0" quotePrefix="0" xfId="0"/>
    <xf numFmtId="167" fontId="2" fillId="0" borderId="0" pivotButton="0" quotePrefix="0" xfId="0"/>
    <xf numFmtId="9" fontId="2" fillId="0" borderId="0" pivotButton="0" quotePrefix="0" xfId="0"/>
    <xf numFmtId="168" fontId="2" fillId="0" borderId="0" pivotButton="0" quotePrefix="0" xfId="0"/>
    <xf numFmtId="1" fontId="4" fillId="4" borderId="0" pivotButton="0" quotePrefix="0" xfId="0"/>
    <xf numFmtId="0" fontId="9" fillId="0" borderId="0" pivotButton="0" quotePrefix="0" xfId="0"/>
    <xf numFmtId="1" fontId="9" fillId="0" borderId="0" pivotButton="0" quotePrefix="0" xfId="0"/>
    <xf numFmtId="169" fontId="4" fillId="5" borderId="0" pivotButton="0" quotePrefix="0" xfId="0"/>
    <xf numFmtId="169" fontId="4" fillId="0" borderId="0" pivotButton="0" quotePrefix="0" xfId="0"/>
    <xf numFmtId="0" fontId="4" fillId="5" borderId="0" pivotButton="0" quotePrefix="0" xfId="0"/>
    <xf numFmtId="164" fontId="4" fillId="5" borderId="0" pivotButton="0" quotePrefix="0" xfId="0"/>
    <xf numFmtId="164" fontId="4" fillId="0" borderId="0" pivotButton="0" quotePrefix="0" xfId="0"/>
    <xf numFmtId="164" fontId="2" fillId="5" borderId="0" pivotButton="0" quotePrefix="0" xfId="0"/>
    <xf numFmtId="0" fontId="2" fillId="0" borderId="1" pivotButton="0" quotePrefix="0" xfId="0"/>
    <xf numFmtId="165" fontId="2" fillId="5" borderId="1" pivotButton="0" quotePrefix="0" xfId="0"/>
    <xf numFmtId="165" fontId="2" fillId="0" borderId="1" pivotButton="0" quotePrefix="0" xfId="0"/>
    <xf numFmtId="10" fontId="4" fillId="5" borderId="0" pivotButton="0" quotePrefix="0" xfId="0"/>
    <xf numFmtId="10" fontId="4" fillId="0" borderId="0" pivotButton="0" quotePrefix="0" xfId="0"/>
    <xf numFmtId="10" fontId="2" fillId="5" borderId="0" pivotButton="0" quotePrefix="0" xfId="0"/>
    <xf numFmtId="0" fontId="0" fillId="0" borderId="1" pivotButton="0" quotePrefix="0" xfId="0"/>
    <xf numFmtId="0" fontId="4" fillId="0" borderId="1" pivotButton="0" quotePrefix="0" xfId="0"/>
    <xf numFmtId="1" fontId="4" fillId="5" borderId="1" pivotButton="0" quotePrefix="0" xfId="0"/>
    <xf numFmtId="1" fontId="4" fillId="0" borderId="1" pivotButton="0" quotePrefix="0" xfId="0"/>
  </cellXfs>
  <cellStyles count="2">
    <cellStyle name="Normal" xfId="0" builtinId="0" hidden="0"/>
    <cellStyle name="Hyperlink" xfId="1" builtinId="8"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Energy CO2 emissions</a:t>
            </a:r>
          </a:p>
        </rich>
      </tx>
    </title>
    <plotArea>
      <lineChart>
        <grouping val="standard"/>
        <ser>
          <idx val="0"/>
          <order val="0"/>
          <tx>
            <strRef>
              <f>'CompareStored'!$C$37</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'CompareStored'!$D$36:$W$36</f>
            </numRef>
          </cat>
          <val>
            <numRef>
              <f>'CompareStored'!$D$37:$W$37</f>
            </numRef>
          </val>
          <smooth val="0"/>
        </ser>
        <ser>
          <idx val="1"/>
          <order val="1"/>
          <tx>
            <strRef>
              <f>'CompareStored'!$C$38</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'CompareStored'!$D$36:$W$36</f>
            </numRef>
          </cat>
          <val>
            <numRef>
              <f>'CompareStored'!$D$38:$W$38</f>
            </numRef>
          </val>
          <smooth val="0"/>
        </ser>
        <ser>
          <idx val="2"/>
          <order val="2"/>
          <tx>
            <strRef>
              <f>'CompareStored'!$C$39</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'CompareStored'!$D$36:$W$36</f>
            </numRef>
          </cat>
          <val>
            <numRef>
              <f>'CompareStored'!$D$39:$W$39</f>
            </numRef>
          </val>
          <smooth val="0"/>
        </ser>
        <ser>
          <idx val="3"/>
          <order val="3"/>
          <tx>
            <strRef>
              <f>'CompareStored'!$C$40</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'CompareStored'!$D$36:$W$36</f>
            </numRef>
          </cat>
          <val>
            <numRef>
              <f>'CompareStored'!$D$40:$W$40</f>
            </numRef>
          </val>
          <smooth val="0"/>
        </ser>
        <ser>
          <idx val="4"/>
          <order val="4"/>
          <tx>
            <strRef>
              <f>'CompareStored'!$C$41</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'CompareStored'!$D$36:$W$36</f>
            </numRef>
          </cat>
          <val>
            <numRef>
              <f>'CompareStored'!$D$41:$W$41</f>
            </numRef>
          </val>
          <smooth val="0"/>
        </ser>
        <ser>
          <idx val="5"/>
          <order val="5"/>
          <tx>
            <strRef>
              <f>'CompareStored'!$C$42</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'CompareStored'!$D$36:$W$36</f>
            </numRef>
          </cat>
          <val>
            <numRef>
              <f>'CompareStored'!$D$42:$W$42</f>
            </numRef>
          </val>
          <smooth val="0"/>
        </ser>
        <ser>
          <idx val="6"/>
          <order val="6"/>
          <tx>
            <strRef>
              <f>'CompareStored'!$C$43</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'CompareStored'!$D$36:$W$36</f>
            </numRef>
          </cat>
          <val>
            <numRef>
              <f>'CompareStored'!$D$43:$W$43</f>
            </numRef>
          </val>
          <smooth val="0"/>
        </ser>
        <ser>
          <idx val="7"/>
          <order val="7"/>
          <tx>
            <strRef>
              <f>'CompareStored'!$C$44</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'CompareStored'!$D$36:$W$36</f>
            </numRef>
          </cat>
          <val>
            <numRef>
              <f>'CompareStored'!$D$44:$W$44</f>
            </numRef>
          </val>
          <smooth val="0"/>
        </ser>
        <ser>
          <idx val="8"/>
          <order val="8"/>
          <tx>
            <strRef>
              <f>'CompareStored'!$C$45</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'CompareStored'!$D$36:$W$36</f>
            </numRef>
          </cat>
          <val>
            <numRef>
              <f>'CompareStored'!$D$45:$W$45</f>
            </numRef>
          </val>
          <smooth val="0"/>
        </ser>
        <ser>
          <idx val="9"/>
          <order val="9"/>
          <tx>
            <strRef>
              <f>'CompareStored'!$C$46</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'CompareStored'!$D$36:$W$36</f>
            </numRef>
          </cat>
          <val>
            <numRef>
              <f>'CompareStored'!$D$46:$W$46</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mit.ghg.tot.tot</a:t>
            </a:r>
          </a:p>
        </rich>
      </tx>
    </title>
    <plotArea>
      <lineChart>
        <grouping val="standard"/>
        <ser>
          <idx val="0"/>
          <order val="0"/>
          <tx>
            <strRef>
              <f>'CompareStored'!$C$54</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'CompareStored'!$D$53:$W$53</f>
            </numRef>
          </cat>
          <val>
            <numRef>
              <f>'CompareStored'!$D$54:$W$54</f>
            </numRef>
          </val>
          <smooth val="0"/>
        </ser>
        <ser>
          <idx val="1"/>
          <order val="1"/>
          <tx>
            <strRef>
              <f>'CompareStored'!$C$55</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'CompareStored'!$D$53:$W$53</f>
            </numRef>
          </cat>
          <val>
            <numRef>
              <f>'CompareStored'!$D$55:$W$55</f>
            </numRef>
          </val>
          <smooth val="0"/>
        </ser>
        <ser>
          <idx val="2"/>
          <order val="2"/>
          <tx>
            <strRef>
              <f>'CompareStored'!$C$56</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'CompareStored'!$D$53:$W$53</f>
            </numRef>
          </cat>
          <val>
            <numRef>
              <f>'CompareStored'!$D$56:$W$56</f>
            </numRef>
          </val>
          <smooth val="0"/>
        </ser>
        <ser>
          <idx val="3"/>
          <order val="3"/>
          <tx>
            <strRef>
              <f>'CompareStored'!$C$57</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'CompareStored'!$D$53:$W$53</f>
            </numRef>
          </cat>
          <val>
            <numRef>
              <f>'CompareStored'!$D$57:$W$57</f>
            </numRef>
          </val>
          <smooth val="0"/>
        </ser>
        <ser>
          <idx val="4"/>
          <order val="4"/>
          <tx>
            <strRef>
              <f>'CompareStored'!$C$58</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'CompareStored'!$D$53:$W$53</f>
            </numRef>
          </cat>
          <val>
            <numRef>
              <f>'CompareStored'!$D$58:$W$58</f>
            </numRef>
          </val>
          <smooth val="0"/>
        </ser>
        <ser>
          <idx val="5"/>
          <order val="5"/>
          <tx>
            <strRef>
              <f>'CompareStored'!$C$59</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'CompareStored'!$D$53:$W$53</f>
            </numRef>
          </cat>
          <val>
            <numRef>
              <f>'CompareStored'!$D$59:$W$59</f>
            </numRef>
          </val>
          <smooth val="0"/>
        </ser>
        <ser>
          <idx val="6"/>
          <order val="6"/>
          <tx>
            <strRef>
              <f>'CompareStored'!$C$60</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'CompareStored'!$D$53:$W$53</f>
            </numRef>
          </cat>
          <val>
            <numRef>
              <f>'CompareStored'!$D$60:$W$60</f>
            </numRef>
          </val>
          <smooth val="0"/>
        </ser>
        <ser>
          <idx val="7"/>
          <order val="7"/>
          <tx>
            <strRef>
              <f>'CompareStored'!$C$61</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'CompareStored'!$D$53:$W$53</f>
            </numRef>
          </cat>
          <val>
            <numRef>
              <f>'CompareStored'!$D$61:$W$61</f>
            </numRef>
          </val>
          <smooth val="0"/>
        </ser>
        <ser>
          <idx val="8"/>
          <order val="8"/>
          <tx>
            <strRef>
              <f>'CompareStored'!$C$62</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'CompareStored'!$D$53:$W$53</f>
            </numRef>
          </cat>
          <val>
            <numRef>
              <f>'CompareStored'!$D$62:$W$62</f>
            </numRef>
          </val>
          <smooth val="0"/>
        </ser>
        <ser>
          <idx val="9"/>
          <order val="9"/>
          <tx>
            <strRef>
              <f>'CompareStored'!$C$63</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'CompareStored'!$D$53:$W$53</f>
            </numRef>
          </cat>
          <val>
            <numRef>
              <f>'CompareStored'!$D$63:$W$63</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mit.rpct.all.tot</a:t>
            </a:r>
          </a:p>
        </rich>
      </tx>
    </title>
    <plotArea>
      <lineChart>
        <grouping val="standard"/>
        <ser>
          <idx val="0"/>
          <order val="0"/>
          <tx>
            <strRef>
              <f>'CompareStored'!$C$71</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'CompareStored'!$D$70:$W$70</f>
            </numRef>
          </cat>
          <val>
            <numRef>
              <f>'CompareStored'!$D$71:$W$71</f>
            </numRef>
          </val>
          <smooth val="0"/>
        </ser>
        <ser>
          <idx val="1"/>
          <order val="1"/>
          <tx>
            <strRef>
              <f>'CompareStored'!$C$72</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'CompareStored'!$D$70:$W$70</f>
            </numRef>
          </cat>
          <val>
            <numRef>
              <f>'CompareStored'!$D$72:$W$72</f>
            </numRef>
          </val>
          <smooth val="0"/>
        </ser>
        <ser>
          <idx val="2"/>
          <order val="2"/>
          <tx>
            <strRef>
              <f>'CompareStored'!$C$73</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'CompareStored'!$D$70:$W$70</f>
            </numRef>
          </cat>
          <val>
            <numRef>
              <f>'CompareStored'!$D$73:$W$73</f>
            </numRef>
          </val>
          <smooth val="0"/>
        </ser>
        <ser>
          <idx val="3"/>
          <order val="3"/>
          <tx>
            <strRef>
              <f>'CompareStored'!$C$74</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'CompareStored'!$D$70:$W$70</f>
            </numRef>
          </cat>
          <val>
            <numRef>
              <f>'CompareStored'!$D$74:$W$74</f>
            </numRef>
          </val>
          <smooth val="0"/>
        </ser>
        <ser>
          <idx val="4"/>
          <order val="4"/>
          <tx>
            <strRef>
              <f>'CompareStored'!$C$75</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'CompareStored'!$D$70:$W$70</f>
            </numRef>
          </cat>
          <val>
            <numRef>
              <f>'CompareStored'!$D$75:$W$75</f>
            </numRef>
          </val>
          <smooth val="0"/>
        </ser>
        <ser>
          <idx val="5"/>
          <order val="5"/>
          <tx>
            <strRef>
              <f>'CompareStored'!$C$76</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'CompareStored'!$D$70:$W$70</f>
            </numRef>
          </cat>
          <val>
            <numRef>
              <f>'CompareStored'!$D$76:$W$76</f>
            </numRef>
          </val>
          <smooth val="0"/>
        </ser>
        <ser>
          <idx val="6"/>
          <order val="6"/>
          <tx>
            <strRef>
              <f>'CompareStored'!$C$77</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'CompareStored'!$D$70:$W$70</f>
            </numRef>
          </cat>
          <val>
            <numRef>
              <f>'CompareStored'!$D$77:$W$77</f>
            </numRef>
          </val>
          <smooth val="0"/>
        </ser>
        <ser>
          <idx val="7"/>
          <order val="7"/>
          <tx>
            <strRef>
              <f>'CompareStored'!$C$78</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'CompareStored'!$D$70:$W$70</f>
            </numRef>
          </cat>
          <val>
            <numRef>
              <f>'CompareStored'!$D$78:$W$78</f>
            </numRef>
          </val>
          <smooth val="0"/>
        </ser>
        <ser>
          <idx val="8"/>
          <order val="8"/>
          <tx>
            <strRef>
              <f>'CompareStored'!$C$79</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'CompareStored'!$D$70:$W$70</f>
            </numRef>
          </cat>
          <val>
            <numRef>
              <f>'CompareStored'!$D$79:$W$79</f>
            </numRef>
          </val>
          <smooth val="0"/>
        </ser>
        <ser>
          <idx val="9"/>
          <order val="9"/>
          <tx>
            <strRef>
              <f>'CompareStored'!$C$80</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'CompareStored'!$D$70:$W$70</f>
            </numRef>
          </cat>
          <val>
            <numRef>
              <f>'CompareStored'!$D$80:$W$80</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mit.gdp.eff.tot.tot</a:t>
            </a:r>
          </a:p>
        </rich>
      </tx>
    </title>
    <plotArea>
      <lineChart>
        <grouping val="standard"/>
        <ser>
          <idx val="0"/>
          <order val="0"/>
          <tx>
            <strRef>
              <f>'CompareStored'!$C$88</f>
            </strRef>
          </tx>
          <spPr>
            <a:ln xmlns:a="http://schemas.openxmlformats.org/drawingml/2006/main">
              <a:solidFill>
                <a:srgbClr val="404040"/>
              </a:solidFill>
              <a:prstDash val="solid"/>
            </a:ln>
          </spPr>
          <marker>
            <symbol val="none"/>
            <spPr>
              <a:ln xmlns:a="http://schemas.openxmlformats.org/drawingml/2006/main">
                <a:prstDash val="solid"/>
              </a:ln>
            </spPr>
          </marker>
          <cat>
            <numRef>
              <f>'CompareStored'!$D$87:$W$87</f>
            </numRef>
          </cat>
          <val>
            <numRef>
              <f>'CompareStored'!$D$88:$W$88</f>
            </numRef>
          </val>
          <smooth val="0"/>
        </ser>
        <ser>
          <idx val="1"/>
          <order val="1"/>
          <tx>
            <strRef>
              <f>'CompareStored'!$C$89</f>
            </strRef>
          </tx>
          <spPr>
            <a:ln xmlns:a="http://schemas.openxmlformats.org/drawingml/2006/main">
              <a:solidFill>
                <a:srgbClr val="1F77B4"/>
              </a:solidFill>
              <a:prstDash val="solid"/>
            </a:ln>
          </spPr>
          <marker>
            <symbol val="none"/>
            <spPr>
              <a:ln xmlns:a="http://schemas.openxmlformats.org/drawingml/2006/main">
                <a:prstDash val="solid"/>
              </a:ln>
            </spPr>
          </marker>
          <cat>
            <numRef>
              <f>'CompareStored'!$D$87:$W$87</f>
            </numRef>
          </cat>
          <val>
            <numRef>
              <f>'CompareStored'!$D$89:$W$89</f>
            </numRef>
          </val>
          <smooth val="0"/>
        </ser>
        <ser>
          <idx val="2"/>
          <order val="2"/>
          <tx>
            <strRef>
              <f>'CompareStored'!$C$90</f>
            </strRef>
          </tx>
          <spPr>
            <a:ln xmlns:a="http://schemas.openxmlformats.org/drawingml/2006/main">
              <a:solidFill>
                <a:srgbClr val="FF7F0E"/>
              </a:solidFill>
              <a:prstDash val="solid"/>
            </a:ln>
          </spPr>
          <marker>
            <symbol val="none"/>
            <spPr>
              <a:ln xmlns:a="http://schemas.openxmlformats.org/drawingml/2006/main">
                <a:prstDash val="solid"/>
              </a:ln>
            </spPr>
          </marker>
          <cat>
            <numRef>
              <f>'CompareStored'!$D$87:$W$87</f>
            </numRef>
          </cat>
          <val>
            <numRef>
              <f>'CompareStored'!$D$90:$W$90</f>
            </numRef>
          </val>
          <smooth val="0"/>
        </ser>
        <ser>
          <idx val="3"/>
          <order val="3"/>
          <tx>
            <strRef>
              <f>'CompareStored'!$C$91</f>
            </strRef>
          </tx>
          <spPr>
            <a:ln xmlns:a="http://schemas.openxmlformats.org/drawingml/2006/main">
              <a:solidFill>
                <a:srgbClr val="2CA02C"/>
              </a:solidFill>
              <a:prstDash val="solid"/>
            </a:ln>
          </spPr>
          <marker>
            <symbol val="none"/>
            <spPr>
              <a:ln xmlns:a="http://schemas.openxmlformats.org/drawingml/2006/main">
                <a:prstDash val="solid"/>
              </a:ln>
            </spPr>
          </marker>
          <cat>
            <numRef>
              <f>'CompareStored'!$D$87:$W$87</f>
            </numRef>
          </cat>
          <val>
            <numRef>
              <f>'CompareStored'!$D$91:$W$91</f>
            </numRef>
          </val>
          <smooth val="0"/>
        </ser>
        <ser>
          <idx val="4"/>
          <order val="4"/>
          <tx>
            <strRef>
              <f>'CompareStored'!$C$92</f>
            </strRef>
          </tx>
          <spPr>
            <a:ln xmlns:a="http://schemas.openxmlformats.org/drawingml/2006/main">
              <a:solidFill>
                <a:srgbClr val="D62728"/>
              </a:solidFill>
              <a:prstDash val="solid"/>
            </a:ln>
          </spPr>
          <marker>
            <symbol val="none"/>
            <spPr>
              <a:ln xmlns:a="http://schemas.openxmlformats.org/drawingml/2006/main">
                <a:prstDash val="solid"/>
              </a:ln>
            </spPr>
          </marker>
          <cat>
            <numRef>
              <f>'CompareStored'!$D$87:$W$87</f>
            </numRef>
          </cat>
          <val>
            <numRef>
              <f>'CompareStored'!$D$92:$W$92</f>
            </numRef>
          </val>
          <smooth val="0"/>
        </ser>
        <ser>
          <idx val="5"/>
          <order val="5"/>
          <tx>
            <strRef>
              <f>'CompareStored'!$C$93</f>
            </strRef>
          </tx>
          <spPr>
            <a:ln xmlns:a="http://schemas.openxmlformats.org/drawingml/2006/main">
              <a:solidFill>
                <a:srgbClr val="9467BD"/>
              </a:solidFill>
              <a:prstDash val="solid"/>
            </a:ln>
          </spPr>
          <marker>
            <symbol val="none"/>
            <spPr>
              <a:ln xmlns:a="http://schemas.openxmlformats.org/drawingml/2006/main">
                <a:prstDash val="solid"/>
              </a:ln>
            </spPr>
          </marker>
          <cat>
            <numRef>
              <f>'CompareStored'!$D$87:$W$87</f>
            </numRef>
          </cat>
          <val>
            <numRef>
              <f>'CompareStored'!$D$93:$W$93</f>
            </numRef>
          </val>
          <smooth val="0"/>
        </ser>
        <ser>
          <idx val="6"/>
          <order val="6"/>
          <tx>
            <strRef>
              <f>'CompareStored'!$C$94</f>
            </strRef>
          </tx>
          <spPr>
            <a:ln xmlns:a="http://schemas.openxmlformats.org/drawingml/2006/main">
              <a:solidFill>
                <a:srgbClr val="8C564B"/>
              </a:solidFill>
              <a:prstDash val="solid"/>
            </a:ln>
          </spPr>
          <marker>
            <symbol val="none"/>
            <spPr>
              <a:ln xmlns:a="http://schemas.openxmlformats.org/drawingml/2006/main">
                <a:prstDash val="solid"/>
              </a:ln>
            </spPr>
          </marker>
          <cat>
            <numRef>
              <f>'CompareStored'!$D$87:$W$87</f>
            </numRef>
          </cat>
          <val>
            <numRef>
              <f>'CompareStored'!$D$94:$W$94</f>
            </numRef>
          </val>
          <smooth val="0"/>
        </ser>
        <ser>
          <idx val="7"/>
          <order val="7"/>
          <tx>
            <strRef>
              <f>'CompareStored'!$C$95</f>
            </strRef>
          </tx>
          <spPr>
            <a:ln xmlns:a="http://schemas.openxmlformats.org/drawingml/2006/main">
              <a:solidFill>
                <a:srgbClr val="E377C2"/>
              </a:solidFill>
              <a:prstDash val="solid"/>
            </a:ln>
          </spPr>
          <marker>
            <symbol val="none"/>
            <spPr>
              <a:ln xmlns:a="http://schemas.openxmlformats.org/drawingml/2006/main">
                <a:prstDash val="solid"/>
              </a:ln>
            </spPr>
          </marker>
          <cat>
            <numRef>
              <f>'CompareStored'!$D$87:$W$87</f>
            </numRef>
          </cat>
          <val>
            <numRef>
              <f>'CompareStored'!$D$95:$W$95</f>
            </numRef>
          </val>
          <smooth val="0"/>
        </ser>
        <ser>
          <idx val="8"/>
          <order val="8"/>
          <tx>
            <strRef>
              <f>'CompareStored'!$C$96</f>
            </strRef>
          </tx>
          <spPr>
            <a:ln xmlns:a="http://schemas.openxmlformats.org/drawingml/2006/main">
              <a:solidFill>
                <a:srgbClr val="17BECF"/>
              </a:solidFill>
              <a:prstDash val="solid"/>
            </a:ln>
          </spPr>
          <marker>
            <symbol val="none"/>
            <spPr>
              <a:ln xmlns:a="http://schemas.openxmlformats.org/drawingml/2006/main">
                <a:prstDash val="solid"/>
              </a:ln>
            </spPr>
          </marker>
          <cat>
            <numRef>
              <f>'CompareStored'!$D$87:$W$87</f>
            </numRef>
          </cat>
          <val>
            <numRef>
              <f>'CompareStored'!$D$96:$W$96</f>
            </numRef>
          </val>
          <smooth val="0"/>
        </ser>
        <ser>
          <idx val="9"/>
          <order val="9"/>
          <tx>
            <strRef>
              <f>'CompareStored'!$C$97</f>
            </strRef>
          </tx>
          <spPr>
            <a:ln xmlns:a="http://schemas.openxmlformats.org/drawingml/2006/main">
              <a:solidFill>
                <a:srgbClr val="BCBD22"/>
              </a:solidFill>
              <a:prstDash val="solid"/>
            </a:ln>
          </spPr>
          <marker>
            <symbol val="none"/>
            <spPr>
              <a:ln xmlns:a="http://schemas.openxmlformats.org/drawingml/2006/main">
                <a:prstDash val="solid"/>
              </a:ln>
            </spPr>
          </marker>
          <cat>
            <numRef>
              <f>'CompareStored'!$D$87:$W$87</f>
            </numRef>
          </cat>
          <val>
            <numRef>
              <f>'CompareStored'!$D$97:$W$97</f>
            </numRef>
          </val>
          <smooth val="0"/>
        </ser>
        <axId val="10"/>
        <axId val="100"/>
      </lineChart>
      <catAx>
        <axId val="10"/>
        <scaling>
          <orientation val="minMax"/>
        </scaling>
        <delete val="0"/>
        <axPos val="l"/>
        <majorTickMark val="none"/>
        <minorTickMark val="none"/>
        <crossAx val="100"/>
        <lblOffset val="100"/>
      </catAx>
      <valAx>
        <axId val="100"/>
        <scaling>
          <orientation val="minMax"/>
        </scaling>
        <delete val="0"/>
        <axPos val="l"/>
        <majorGridlines/>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drawing1.xml><?xml version="1.0" encoding="utf-8"?>
<wsDr xmlns="http://schemas.openxmlformats.org/drawingml/2006/spreadsheetDrawing">
  <oneCellAnchor>
    <from>
      <col>24</col>
      <colOff>0</colOff>
      <row>34</row>
      <rowOff>0</rowOff>
    </from>
    <ext cx="576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24</col>
      <colOff>0</colOff>
      <row>51</row>
      <rowOff>0</rowOff>
    </from>
    <ext cx="576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24</col>
      <colOff>0</colOff>
      <row>68</row>
      <rowOff>0</rowOff>
    </from>
    <ext cx="576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24</col>
      <colOff>0</colOff>
      <row>85</row>
      <rowOff>0</rowOff>
    </from>
    <ext cx="576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wsDr>
</file>

<file path=xl/drawings/drawing2.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1</xdr:col>
      <xdr:colOff>38100</xdr:colOff>
      <xdr:row>5</xdr:row>
      <xdr:rowOff>19050</xdr:rowOff>
    </xdr:from>
    <xdr:to>
      <xdr:col>3</xdr:col>
      <xdr:colOff>0</xdr:colOff>
      <xdr:row>7</xdr:row>
      <xdr:rowOff>0</xdr:rowOff>
    </xdr:to>
    <xdr:sp macro="[0]!ActivateAll" textlink="">
      <xdr:nvSpPr>
        <xdr:cNvPr id="1001" name="btnActivateAll"/>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Activate all modules</a:t>
          </a:r>
        </a:p>
      </xdr:txBody>
    </xdr:sp>
    <xdr:clientData/>
  </xdr:twoCellAnchor>
  <xdr:twoCellAnchor xmlns:xdr="http://schemas.openxmlformats.org/drawingml/2006/spreadsheetDrawing" xmlns:a="http://schemas.openxmlformats.org/drawingml/2006/main" editAs="absolute">
    <xdr:from>
      <xdr:col>3</xdr:col>
      <xdr:colOff>38100</xdr:colOff>
      <xdr:row>5</xdr:row>
      <xdr:rowOff>19050</xdr:rowOff>
    </xdr:from>
    <xdr:to>
      <xdr:col>5</xdr:col>
      <xdr:colOff>0</xdr:colOff>
      <xdr:row>7</xdr:row>
      <xdr:rowOff>0</xdr:rowOff>
    </xdr:to>
    <xdr:sp macro="[0]!ActivateMitigation" textlink="">
      <xdr:nvSpPr>
        <xdr:cNvPr id="1002" name="btnActivate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Mitigation only</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7</xdr:col>
      <xdr:colOff>0</xdr:colOff>
      <xdr:row>7</xdr:row>
      <xdr:rowOff>0</xdr:rowOff>
    </xdr:to>
    <xdr:sp macro="[0]!ActivateDistribution" textlink="">
      <xdr:nvSpPr>
        <xdr:cNvPr id="1003" name="btnActivateDistribution"/>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Distribution only</a:t>
          </a:r>
        </a:p>
      </xdr:txBody>
    </xdr:sp>
    <xdr:clientData/>
  </xdr:twoCellAnchor>
  <xdr:twoCellAnchor xmlns:xdr="http://schemas.openxmlformats.org/drawingml/2006/spreadsheetDrawing" xmlns:a="http://schemas.openxmlformats.org/drawingml/2006/main" editAs="absolute">
    <xdr:from>
      <xdr:col>7</xdr:col>
      <xdr:colOff>38100</xdr:colOff>
      <xdr:row>5</xdr:row>
      <xdr:rowOff>19050</xdr:rowOff>
    </xdr:from>
    <xdr:to>
      <xdr:col>9</xdr:col>
      <xdr:colOff>0</xdr:colOff>
      <xdr:row>7</xdr:row>
      <xdr:rowOff>0</xdr:rowOff>
    </xdr:to>
    <xdr:sp macro="[0]!ActivateAirPollution" textlink="">
      <xdr:nvSpPr>
        <xdr:cNvPr id="1004" name="btnActivateAirPollution"/>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Air pollution only</a:t>
          </a:r>
        </a:p>
      </xdr:txBody>
    </xdr:sp>
    <xdr:clientData/>
  </xdr:twoCellAnchor>
  <xdr:twoCellAnchor xmlns:xdr="http://schemas.openxmlformats.org/drawingml/2006/spreadsheetDrawing" xmlns:a="http://schemas.openxmlformats.org/drawingml/2006/main" editAs="absolute">
    <xdr:from>
      <xdr:col>1</xdr:col>
      <xdr:colOff>38100</xdr:colOff>
      <xdr:row>7</xdr:row>
      <xdr:rowOff>19050</xdr:rowOff>
    </xdr:from>
    <xdr:to>
      <xdr:col>3</xdr:col>
      <xdr:colOff>0</xdr:colOff>
      <xdr:row>9</xdr:row>
      <xdr:rowOff>0</xdr:rowOff>
    </xdr:to>
    <xdr:sp macro="[0]!UpdateDataTables" textlink="">
      <xdr:nvSpPr>
        <xdr:cNvPr id="1001" name="btnUpdateDataTables"/>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Data tables</a:t>
          </a:r>
        </a:p>
      </xdr:txBody>
    </xdr:sp>
    <xdr:clientData/>
  </xdr:twoCellAnchor>
  <xdr:twoCellAnchor xmlns:xdr="http://schemas.openxmlformats.org/drawingml/2006/spreadsheetDrawing" xmlns:a="http://schemas.openxmlformats.org/drawingml/2006/main" editAs="absolute">
    <xdr:from>
      <xdr:col>3</xdr:col>
      <xdr:colOff>38100</xdr:colOff>
      <xdr:row>7</xdr:row>
      <xdr:rowOff>19050</xdr:rowOff>
    </xdr:from>
    <xdr:to>
      <xdr:col>5</xdr:col>
      <xdr:colOff>0</xdr:colOff>
      <xdr:row>9</xdr:row>
      <xdr:rowOff>0</xdr:rowOff>
    </xdr:to>
    <xdr:sp macro="[0]!UpdateDistributionFromMitigation" textlink="">
      <xdr:nvSpPr>
        <xdr:cNvPr id="1002" name="btnUpdateDistribution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Distribution from Mitigation</a:t>
          </a:r>
        </a:p>
      </xdr:txBody>
    </xdr:sp>
    <xdr:clientData/>
  </xdr:twoCellAnchor>
  <xdr:twoCellAnchor xmlns:xdr="http://schemas.openxmlformats.org/drawingml/2006/spreadsheetDrawing" xmlns:a="http://schemas.openxmlformats.org/drawingml/2006/main" editAs="absolute">
    <xdr:from>
      <xdr:col>1</xdr:col>
      <xdr:colOff>38100</xdr:colOff>
      <xdr:row>9</xdr:row>
      <xdr:rowOff>19050</xdr:rowOff>
    </xdr:from>
    <xdr:to>
      <xdr:col>3</xdr:col>
      <xdr:colOff>0</xdr:colOff>
      <xdr:row>11</xdr:row>
      <xdr:rowOff>0</xdr:rowOff>
    </xdr:to>
    <xdr:sp macro="[0]!StoreLiveScenarios" textlink="">
      <xdr:nvSpPr>
        <xdr:cNvPr id="1001" name="btnStoreLiveScenarios"/>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Store live scenarios</a:t>
          </a:r>
        </a:p>
      </xdr:txBody>
    </xdr:sp>
    <xdr:clientData/>
  </xdr:twoCellAnchor>
  <xdr:twoCellAnchor xmlns:xdr="http://schemas.openxmlformats.org/drawingml/2006/spreadsheetDrawing" xmlns:a="http://schemas.openxmlformats.org/drawingml/2006/main" editAs="absolute">
    <xdr:from>
      <xdr:col>3</xdr:col>
      <xdr:colOff>38100</xdr:colOff>
      <xdr:row>9</xdr:row>
      <xdr:rowOff>19050</xdr:rowOff>
    </xdr:from>
    <xdr:to>
      <xdr:col>5</xdr:col>
      <xdr:colOff>0</xdr:colOff>
      <xdr:row>11</xdr:row>
      <xdr:rowOff>0</xdr:rowOff>
    </xdr:to>
    <xdr:sp macro="[0]!RunStoredScenarios" textlink="">
      <xdr:nvSpPr>
        <xdr:cNvPr id="1002" name="btnRunStoredScenarios"/>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Run stored scenarios</a:t>
          </a:r>
        </a:p>
      </xdr:txBody>
    </xdr:sp>
    <xdr:clientData/>
  </xdr:twoCellAnchor>
  <xdr:twoCellAnchor xmlns:xdr="http://schemas.openxmlformats.org/drawingml/2006/spreadsheetDrawing" xmlns:a="http://schemas.openxmlformats.org/drawingml/2006/main" editAs="absolute">
    <xdr:from>
      <xdr:col>5</xdr:col>
      <xdr:colOff>38100</xdr:colOff>
      <xdr:row>9</xdr:row>
      <xdr:rowOff>19050</xdr:rowOff>
    </xdr:from>
    <xdr:to>
      <xdr:col>7</xdr:col>
      <xdr:colOff>0</xdr:colOff>
      <xdr:row>11</xdr:row>
      <xdr:rowOff>0</xdr:rowOff>
    </xdr:to>
    <xdr:sp macro="[0]!ClearStoredScenarios" textlink="">
      <xdr:nvSpPr>
        <xdr:cNvPr id="1003" name="btnClearStoredScenarios"/>
        <xdr:cNvSpPr/>
      </xdr:nvSpPr>
      <xdr:spPr>
        <a:prstGeom prst="roundRect">
          <a:avLst/>
        </a:prstGeom>
        <a:solidFill>
          <a:srgbClr val="00B050"/>
        </a:solidFill>
        <a:ln>
          <a:noFill/>
        </a:ln>
      </xdr:spPr>
      <xdr:txBody>
        <a:bodyPr vertOverflow="clip" horzOverflow="clip" lIns="0" tIns="0" rIns="0" bIns="0" rtlCol="0" anchor="ctr"/>
        <a:lstStyle/>
        <a:p>
          <a:pPr algn="ctr"/>
          <a:r>
            <a:rPr lang="en-GB" sz="800" b="1">
              <a:solidFill>
                <a:srgbClr val="FFFFFF"/>
              </a:solidFill>
              <a:latin typeface="Arial"/>
            </a:rPr>
            <a:t>Clear stored scenarios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github.com/cpmodelai/cpat_ai/raw/main/excel_ai/mitigation/CPAT-AI-Mitigation_latest.xlsx" TargetMode="External" Id="rId1"/><Relationship Type="http://schemas.openxmlformats.org/officeDocument/2006/relationships/hyperlink" Target="https://github.com/cpmodelai/cpat_ai/raw/main/excel_ai/distribution/CPAT-AI-Distribution_latest.xlsx" TargetMode="External" Id="rId2"/><Relationship Type="http://schemas.openxmlformats.org/officeDocument/2006/relationships/hyperlink" Target="https://github.com/cpmodelai/cpat_ai/raw/main/excel_ai/air_pollution/CPAT-AI-AirPollution_latest.xlsx" TargetMode="External" Id="rId3"/><Relationship Id="rIdBtn1" Type="http://schemas.openxmlformats.org/officeDocument/2006/relationships/drawing" Target="../drawings/drawing2.x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I32"/>
  <sheetViews>
    <sheetView tabSelected="1" zoomScale="80" workbookViewId="0">
      <selection activeCell="A1" sqref="A1"/>
    </sheetView>
  </sheetViews>
  <sheetFormatPr baseColWidth="8" defaultColWidth="10.14" defaultRowHeight="15"/>
  <cols>
    <col width="16" customWidth="1" min="1" max="1"/>
    <col width="13" customWidth="1" min="2" max="2"/>
    <col width="13" customWidth="1" min="3" max="3"/>
    <col width="13" customWidth="1" min="4" max="4"/>
    <col width="13" customWidth="1" min="5" max="5"/>
    <col width="13" customWidth="1" min="6" max="6"/>
    <col width="13" customWidth="1" min="7" max="7"/>
    <col width="13" customWidth="1" min="8" max="8"/>
    <col width="13" customWidth="1" min="9" max="9"/>
  </cols>
  <sheetData>
    <row r="2">
      <c r="A2" s="1" t="inlineStr">
        <is>
          <t>CPAT-AI-Master_UserGuide v1.2.1: the CPAT-AI workbooks, their macros and the stored scenarios</t>
        </is>
      </c>
      <c r="B2" s="2" t="n"/>
      <c r="C2" s="2" t="n"/>
      <c r="D2" s="2" t="n"/>
      <c r="E2" s="2" t="n"/>
      <c r="F2" s="2" t="n"/>
      <c r="G2" s="2" t="n"/>
      <c r="H2" s="2" t="n"/>
      <c r="I2" s="2" t="n"/>
    </row>
    <row r="3">
      <c r="A3" s="3" t="inlineStr">
        <is>
          <t>One workbook per module, without macros; this Master activates them, feeds them and stores their results. Start with 1, then 2 when you need it, then 3.</t>
        </is>
      </c>
    </row>
    <row r="5">
      <c r="A5" s="4" t="inlineStr">
        <is>
          <t>Actions</t>
        </is>
      </c>
      <c r="B5" s="5" t="n"/>
      <c r="C5" s="5" t="n"/>
      <c r="D5" s="5" t="n"/>
      <c r="E5" s="5" t="n"/>
      <c r="F5" s="5" t="n"/>
      <c r="G5" s="5" t="n"/>
      <c r="H5" s="5" t="n"/>
      <c r="I5" s="5" t="n"/>
    </row>
    <row r="6">
      <c r="A6" s="6" t="inlineStr">
        <is>
          <t>1. Activate</t>
        </is>
      </c>
    </row>
    <row r="7"/>
    <row r="8">
      <c r="A8" s="6" t="inlineStr">
        <is>
          <t>2. Update</t>
        </is>
      </c>
    </row>
    <row r="9"/>
    <row r="10">
      <c r="A10" s="6" t="inlineStr">
        <is>
          <t>3. Scenarios</t>
        </is>
      </c>
    </row>
    <row r="11"/>
    <row r="13">
      <c r="A13" s="4" t="inlineStr">
        <is>
          <t>How to use it</t>
        </is>
      </c>
      <c r="B13" s="5" t="n"/>
      <c r="C13" s="5" t="n"/>
      <c r="D13" s="5" t="n"/>
      <c r="E13" s="5" t="n"/>
      <c r="F13" s="5" t="n"/>
      <c r="G13" s="5" t="n"/>
      <c r="H13" s="5" t="n"/>
      <c r="I13" s="5" t="n"/>
    </row>
    <row r="14" ht="30" customHeight="1">
      <c r="A14" s="7" t="inlineStr">
        <is>
          <t>1.</t>
        </is>
      </c>
      <c r="B14" s="8" t="inlineStr">
        <is>
          <t>Keep this workbook in excel_ai/active_workbooks of the repository (git clone or the SyncRepo script); the modules are then found locally, else downloaded from GitHub (the links below).</t>
        </is>
      </c>
    </row>
    <row r="15" ht="30" customHeight="1">
      <c r="A15" s="7" t="inlineStr">
        <is>
          <t>2.</t>
        </is>
      </c>
      <c r="B15" s="8" t="inlineStr">
        <is>
          <t>Activate: each module ships with formulas to 2035 (smaller, faster to open). Activation copies the 2035 column across to 2041, recalculates and saves the module as .xlsb next to this workbook. Work in the .xlsb.</t>
        </is>
      </c>
    </row>
    <row r="16" ht="30" customHeight="1">
      <c r="A16" s="7" t="inlineStr">
        <is>
          <t>3.</t>
        </is>
      </c>
      <c r="B16" s="8" t="inlineStr">
        <is>
          <t>Scenarios: in the mitigation workbook, tab Scenarios: G = baseline, H = the live policy scenario, I onwards = definitions (Run? = Yes for the batch run). Results: Outputs (scenarios side by side) and ScenarioCompare. F9 recalculates.</t>
        </is>
      </c>
    </row>
    <row r="17" ht="30" customHeight="1">
      <c r="A17" s="7" t="inlineStr">
        <is>
          <t>4.</t>
        </is>
      </c>
      <c r="B17" s="8" t="inlineStr">
        <is>
          <t>Update: Data tables loads the linked data tabs (tab Settings here: the source; one country or all countries). Distribution from Mitigation copies the exports of Mitigation (section 19a) into the distribution workbook.</t>
        </is>
      </c>
    </row>
    <row r="18" ht="30" customHeight="1">
      <c r="A18" s="7" t="inlineStr">
        <is>
          <t>5.</t>
        </is>
      </c>
      <c r="B18" s="8" t="inlineStr">
        <is>
          <t>Store: Store live scenarios copies the scenario groups of Outputs into StoredScenarios (values); Run stored scenarios runs every definition through the live column and stores each; CompareStored compares them.</t>
        </is>
      </c>
    </row>
    <row r="20">
      <c r="A20" s="4" t="inlineStr">
        <is>
          <t>The modules: latest version and where to find them</t>
        </is>
      </c>
      <c r="B20" s="5" t="n"/>
      <c r="C20" s="5" t="n"/>
      <c r="D20" s="5" t="n"/>
      <c r="E20" s="5" t="n"/>
      <c r="F20" s="5" t="n"/>
      <c r="G20" s="5" t="n"/>
      <c r="H20" s="5" t="n"/>
      <c r="I20" s="5" t="n"/>
    </row>
    <row r="21" ht="42" customHeight="1">
      <c r="A21" s="9" t="inlineStr">
        <is>
          <t>Module</t>
        </is>
      </c>
      <c r="B21" s="9" t="inlineStr">
        <is>
          <t>Latest version</t>
        </is>
      </c>
      <c r="C21" s="9" t="inlineStr">
        <is>
          <t>Unactivated workbook (.xlsx, in the repository, relative to excel_ai)</t>
        </is>
      </c>
      <c r="D21" s="9" t="inlineStr">
        <is>
          <t>GitHub link (the same file)</t>
        </is>
      </c>
      <c r="E21" s="9" t="inlineStr">
        <is>
          <t>Activated workbook (.xlsb, next to this workbook)</t>
        </is>
      </c>
      <c r="F21" s="9" t="inlineStr">
        <is>
          <t>Filled on activation (sheets)</t>
        </is>
      </c>
      <c r="G21" s="9" t="inlineStr">
        <is>
          <t>Last activated (here)</t>
        </is>
      </c>
    </row>
    <row r="22" ht="54" customHeight="1">
      <c r="A22" s="8" t="inlineStr">
        <is>
          <t>Mitigation</t>
        </is>
      </c>
      <c r="B22" s="8" t="inlineStr">
        <is>
          <t>1.2.1</t>
        </is>
      </c>
      <c r="C22" s="8" t="inlineStr">
        <is>
          <t>mitigation/CPAT-AI-Mitigation_latest.xlsx</t>
        </is>
      </c>
      <c r="D22" s="10" t="inlineStr">
        <is>
          <t>https://github.com/cpmodelai/cpat_ai/raw/main/excel_ai/mitigation/CPAT-AI-Mitigation_latest.xlsx</t>
        </is>
      </c>
      <c r="E22" s="8" t="inlineStr">
        <is>
          <t>CPAT-AI-Mitigation_latest.xlsb</t>
        </is>
      </c>
      <c r="F22" s="8" t="inlineStr">
        <is>
          <t>Mitigation,Outputs</t>
        </is>
      </c>
      <c r="G22" s="8" t="inlineStr"/>
    </row>
    <row r="23" ht="54" customHeight="1">
      <c r="A23" s="8" t="inlineStr">
        <is>
          <t>Distribution</t>
        </is>
      </c>
      <c r="B23" s="8" t="inlineStr">
        <is>
          <t>1.2.1</t>
        </is>
      </c>
      <c r="C23" s="8" t="inlineStr">
        <is>
          <t>distribution/CPAT-AI-Distribution_latest.xlsx</t>
        </is>
      </c>
      <c r="D23" s="10" t="inlineStr">
        <is>
          <t>https://github.com/cpmodelai/cpat_ai/raw/main/excel_ai/distribution/CPAT-AI-Distribution_latest.xlsx</t>
        </is>
      </c>
      <c r="E23" s="8" t="inlineStr">
        <is>
          <t>CPAT-AI-Distribution_latest.xlsb</t>
        </is>
      </c>
      <c r="F23" s="8" t="inlineStr"/>
      <c r="G23" s="8" t="inlineStr"/>
    </row>
    <row r="24" ht="54" customHeight="1">
      <c r="A24" s="8" t="inlineStr">
        <is>
          <t>Air pollution</t>
        </is>
      </c>
      <c r="B24" s="8" t="inlineStr">
        <is>
          <t>0.3</t>
        </is>
      </c>
      <c r="C24" s="8" t="inlineStr">
        <is>
          <t>air_pollution/CPAT-AI-AirPollution_latest.xlsx</t>
        </is>
      </c>
      <c r="D24" s="10" t="inlineStr">
        <is>
          <t>https://github.com/cpmodelai/cpat_ai/raw/main/excel_ai/air_pollution/CPAT-AI-AirPollution_latest.xlsx</t>
        </is>
      </c>
      <c r="E24" s="8" t="inlineStr">
        <is>
          <t>CPAT-AI-AirPollution_latest.xlsb</t>
        </is>
      </c>
      <c r="F24" s="8" t="inlineStr"/>
      <c r="G24" s="8" t="inlineStr"/>
    </row>
    <row r="26">
      <c r="A26" s="4" t="inlineStr">
        <is>
          <t>Storage (NORMS 5a)</t>
        </is>
      </c>
      <c r="B26" s="5" t="n"/>
      <c r="C26" s="5" t="n"/>
      <c r="D26" s="5" t="n"/>
      <c r="E26" s="5" t="n"/>
      <c r="F26" s="5" t="n"/>
      <c r="G26" s="5" t="n"/>
      <c r="H26" s="5" t="n"/>
      <c r="I26" s="5" t="n"/>
    </row>
    <row r="27" ht="30" customHeight="1">
      <c r="A27" s="8" t="inlineStr">
        <is>
          <t>excel_ai/&lt;module&gt;/&lt;name&gt;_latest.xlsx: the latest unactivated module (versions in &lt;module&gt;/releases/).</t>
        </is>
      </c>
    </row>
    <row r="28" ht="30" customHeight="1">
      <c r="A28" s="8" t="inlineStr">
        <is>
          <t>excel_ai/active_workbooks/: this Master (.xlsm) and the activated modules (&lt;name&gt;_latest.xlsb), generated files: on a git conflict take either side and activate again; never merge them.</t>
        </is>
      </c>
    </row>
    <row r="30">
      <c r="A30" s="4" t="inlineStr">
        <is>
          <t>Version log</t>
        </is>
      </c>
      <c r="B30" s="5" t="n"/>
      <c r="C30" s="5" t="n"/>
      <c r="D30" s="5" t="n"/>
      <c r="E30" s="5" t="n"/>
      <c r="F30" s="5" t="n"/>
      <c r="G30" s="5" t="n"/>
      <c r="H30" s="5" t="n"/>
      <c r="I30" s="5" t="n"/>
    </row>
    <row r="31" ht="54" customHeight="1">
      <c r="A31" s="11" t="inlineStr">
        <is>
          <t>1.2.0 (2026-10-31)</t>
        </is>
      </c>
      <c r="B31" s="8" t="inlineStr">
        <is>
          <t>First version (user 2026-10-31): user guide, module table, activation (fill 2035 across to 2041, recalculate, save as .xlsb), every macro of CPAT-AI (data tables, distribution from mitigation, batch runs), stored scenarios (ten slots) and their comparison.</t>
        </is>
      </c>
    </row>
    <row r="32" ht="54" customHeight="1">
      <c r="A32" s="11" t="inlineStr">
        <is>
          <t>1.2.1 (2026-10-31)</t>
        </is>
      </c>
      <c r="B32" s="8" t="inlineStr">
        <is>
          <t>A compact action area at the top (three rows of small buttons: activate, update, scenarios); narrower columns; the module tabs renamed (Scenarios, Outputs).</t>
        </is>
      </c>
    </row>
  </sheetData>
  <mergeCells count="12">
    <mergeCell ref="B18:I18"/>
    <mergeCell ref="A8:A9"/>
    <mergeCell ref="B15:I15"/>
    <mergeCell ref="B31:I31"/>
    <mergeCell ref="A28:I28"/>
    <mergeCell ref="B16:I16"/>
    <mergeCell ref="A27:I27"/>
    <mergeCell ref="B14:I14"/>
    <mergeCell ref="A6:A7"/>
    <mergeCell ref="A10:A11"/>
    <mergeCell ref="B32:I32"/>
    <mergeCell ref="B17:I17"/>
  </mergeCells>
  <hyperlinks>
    <hyperlink xmlns:r="http://schemas.openxmlformats.org/officeDocument/2006/relationships" ref="D22" r:id="rId1"/>
    <hyperlink xmlns:r="http://schemas.openxmlformats.org/officeDocument/2006/relationships" ref="D23" r:id="rId2"/>
    <hyperlink xmlns:r="http://schemas.openxmlformats.org/officeDocument/2006/relationships" ref="D24" r:id="rId3"/>
  </hyperlinks>
  <pageMargins left="0.75" right="0.75" top="1" bottom="1" header="0.5" footer="0.5"/>
  <drawing r:id="rIdBtn1"/>
</worksheet>
</file>

<file path=xl/worksheets/sheet2.xml><?xml version="1.0" encoding="utf-8"?>
<worksheet xmlns="http://schemas.openxmlformats.org/spreadsheetml/2006/main">
  <sheetPr codeName="Sheet2">
    <tabColor rgb="0092D050"/>
    <outlinePr summaryBelow="1" summaryRight="1"/>
    <pageSetUpPr/>
  </sheetPr>
  <dimension ref="A2:H9"/>
  <sheetViews>
    <sheetView tabSelected="0" zoomScale="80" workbookViewId="0">
      <selection activeCell="A1" sqref="A1"/>
    </sheetView>
  </sheetViews>
  <sheetFormatPr baseColWidth="8" defaultColWidth="10.14" defaultRowHeight="15"/>
  <cols>
    <col width="4" customWidth="1" min="1" max="1"/>
    <col width="16" customWidth="1" min="2" max="2"/>
    <col width="40" customWidth="1" min="3" max="3"/>
    <col width="4" customWidth="1" min="4" max="4"/>
    <col width="4" customWidth="1" min="5" max="5"/>
    <col width="40" customWidth="1" min="6" max="6"/>
    <col width="8" customWidth="1" min="7" max="7"/>
    <col width="100" customWidth="1" min="8" max="8"/>
  </cols>
  <sheetData>
    <row r="2">
      <c r="A2" s="1" t="inlineStr">
        <is>
          <t>Settings: the data source of the linked data tables of the modules</t>
        </is>
      </c>
      <c r="B2" s="2" t="n"/>
      <c r="C2" s="2" t="n"/>
      <c r="D2" s="2" t="n"/>
      <c r="E2" s="2" t="n"/>
      <c r="F2" s="2" t="n"/>
      <c r="G2" s="2" t="n"/>
      <c r="H2" s="2" t="n"/>
    </row>
    <row r="3">
      <c r="A3" s="3" t="inlineStr">
        <is>
          <t>Update data tables (UserGuide) loads the linked tabs of the activated mitigation workbook from this source and writes it on the module's tab FromMaster.</t>
        </is>
      </c>
    </row>
    <row r="4">
      <c r="F4" s="12" t="inlineStr">
        <is>
          <t>Source</t>
        </is>
      </c>
      <c r="G4" s="12" t="inlineStr">
        <is>
          <t>Kind</t>
        </is>
      </c>
      <c r="H4" s="12" t="inlineStr">
        <is>
          <t>Path or URL (file: blank = CPAT_LegacyData.xlsx in &lt;repo&gt;/data/Public01/legacy_xlsx/; web: the raw file address; SharePoint: File &gt; Info &gt; Copy path)</t>
        </is>
      </c>
    </row>
    <row r="5">
      <c r="B5" s="12" t="inlineStr">
        <is>
          <t>Data source</t>
        </is>
      </c>
      <c r="C5" s="13" t="inlineStr">
        <is>
          <t>Embedded (shipped data, no update)</t>
        </is>
      </c>
      <c r="F5" s="3" t="inlineStr">
        <is>
          <t>Embedded (shipped data, no update)</t>
        </is>
      </c>
      <c r="G5" s="3" t="inlineStr">
        <is>
          <t>none</t>
        </is>
      </c>
      <c r="H5" s="3" t="inlineStr"/>
    </row>
    <row r="6">
      <c r="B6" s="12" t="inlineStr">
        <is>
          <t>Rows to load</t>
        </is>
      </c>
      <c r="C6" s="13" t="inlineStr">
        <is>
          <t>Country</t>
        </is>
      </c>
      <c r="D6" s="14" t="inlineStr">
        <is>
          <t>Country: the rows of the country of the module (MTInputs, Model settings); All countries: every row of every linked table (larger, slower)</t>
        </is>
      </c>
      <c r="F6" s="3" t="inlineStr">
        <is>
          <t>Public01 - GitHub (public repository)</t>
        </is>
      </c>
      <c r="G6" s="3" t="inlineStr">
        <is>
          <t>web</t>
        </is>
      </c>
      <c r="H6" s="15" t="inlineStr">
        <is>
          <t>https://raw.githubusercontent.com/cpmodelai/cpat_ai/main/data/Public01/legacy_xlsx/CPAT_LegacyData.xlsx</t>
        </is>
      </c>
    </row>
    <row r="7">
      <c r="F7" s="3" t="inlineStr">
        <is>
          <t>Public01 - local file</t>
        </is>
      </c>
      <c r="G7" s="3" t="inlineStr">
        <is>
          <t>file</t>
        </is>
      </c>
      <c r="H7" s="15" t="inlineStr"/>
    </row>
    <row r="8">
      <c r="F8" s="3" t="inlineStr">
        <is>
          <t>Data repository (type its URL)</t>
        </is>
      </c>
      <c r="G8" s="3" t="inlineStr">
        <is>
          <t>web</t>
        </is>
      </c>
      <c r="H8" s="15" t="inlineStr"/>
    </row>
    <row r="9">
      <c r="F9" s="3" t="inlineStr">
        <is>
          <t>SharePoint (type its URL)</t>
        </is>
      </c>
      <c r="G9" s="3" t="inlineStr">
        <is>
          <t>web</t>
        </is>
      </c>
      <c r="H9" s="15" t="inlineStr"/>
    </row>
  </sheetData>
  <dataValidations count="2">
    <dataValidation sqref="C5" showDropDown="0" showInputMessage="0" showErrorMessage="0" allowBlank="0" type="list">
      <formula1>=$F$5:$F$9</formula1>
    </dataValidation>
    <dataValidation sqref="C6" showDropDown="0" showInputMessage="0" showErrorMessage="0" allowBlank="0" type="list">
      <formula1>"Country,All countries"</formula1>
    </dataValidation>
  </dataValidations>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HV1186"/>
  <sheetViews>
    <sheetView tabSelected="0" zoomScale="80" workbookViewId="0">
      <pane xSplit="11" ySplit="6" topLeftCell="L7" activePane="bottomRight" state="frozen"/>
      <selection pane="topRight"/>
      <selection pane="bottomLeft"/>
      <selection pane="bottomRight" activeCell="A1" sqref="A1"/>
    </sheetView>
  </sheetViews>
  <sheetFormatPr baseColWidth="8" defaultColWidth="10.14" defaultRowHeight="15"/>
  <cols>
    <col width="26" customWidth="1" min="1" max="1"/>
    <col width="7" customWidth="1" min="2" max="2"/>
    <col width="22" customWidth="1" min="3" max="3"/>
    <col width="4" customWidth="1" min="4" max="4"/>
    <col width="4" customWidth="1" min="5" max="5"/>
    <col width="4" customWidth="1" min="6" max="6"/>
    <col width="4" customWidth="1" min="7" max="7"/>
    <col width="52" customWidth="1" min="8" max="8"/>
    <col width="14" customWidth="1" min="9" max="9"/>
    <col width="4" customWidth="1" min="10" max="10"/>
    <col width="26"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3" customWidth="1" min="32" max="32"/>
    <col width="26"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width="9" customWidth="1" min="41" max="41"/>
    <col width="9" customWidth="1" min="42" max="42"/>
    <col width="9" customWidth="1" min="43" max="43"/>
    <col width="9" customWidth="1" min="44" max="44"/>
    <col width="9" customWidth="1" min="45" max="45"/>
    <col width="9" customWidth="1" min="46" max="46"/>
    <col width="9" customWidth="1" min="47" max="47"/>
    <col width="9" customWidth="1" min="48" max="48"/>
    <col width="9" customWidth="1" min="49" max="49"/>
    <col width="9" customWidth="1" min="50" max="50"/>
    <col width="9" customWidth="1" min="51" max="51"/>
    <col width="9" customWidth="1" min="52" max="52"/>
    <col width="9" customWidth="1" min="53" max="53"/>
    <col width="3" customWidth="1" min="54" max="54"/>
    <col width="26" customWidth="1" min="55" max="55"/>
    <col width="9" customWidth="1" min="56" max="56"/>
    <col width="9" customWidth="1" min="57" max="57"/>
    <col width="9" customWidth="1" min="58" max="58"/>
    <col width="9" customWidth="1" min="59" max="59"/>
    <col width="9" customWidth="1" min="60" max="60"/>
    <col width="9" customWidth="1" min="61" max="61"/>
    <col width="9" customWidth="1" min="62" max="62"/>
    <col width="9" customWidth="1" min="63" max="63"/>
    <col width="9" customWidth="1" min="64" max="64"/>
    <col width="9" customWidth="1" min="65" max="65"/>
    <col width="9" customWidth="1" min="66" max="66"/>
    <col width="9" customWidth="1" min="67" max="67"/>
    <col width="9" customWidth="1" min="68" max="68"/>
    <col width="9" customWidth="1" min="69" max="69"/>
    <col width="9" customWidth="1" min="70" max="70"/>
    <col width="9" customWidth="1" min="71" max="71"/>
    <col width="9" customWidth="1" min="72" max="72"/>
    <col width="9" customWidth="1" min="73" max="73"/>
    <col width="9" customWidth="1" min="74" max="74"/>
    <col width="9" customWidth="1" min="75" max="75"/>
    <col width="3" customWidth="1" min="76" max="76"/>
    <col width="26" customWidth="1" min="77" max="77"/>
    <col width="9" customWidth="1" min="78" max="78"/>
    <col width="9" customWidth="1" min="79" max="79"/>
    <col width="9" customWidth="1" min="80" max="80"/>
    <col width="9" customWidth="1" min="81" max="81"/>
    <col width="9" customWidth="1" min="82" max="82"/>
    <col width="9" customWidth="1" min="83" max="83"/>
    <col width="9" customWidth="1" min="84" max="84"/>
    <col width="9" customWidth="1" min="85" max="85"/>
    <col width="9" customWidth="1" min="86" max="86"/>
    <col width="9" customWidth="1" min="87" max="87"/>
    <col width="9" customWidth="1" min="88" max="88"/>
    <col width="9" customWidth="1" min="89" max="89"/>
    <col width="9" customWidth="1" min="90" max="90"/>
    <col width="9" customWidth="1" min="91" max="91"/>
    <col width="9" customWidth="1" min="92" max="92"/>
    <col width="9" customWidth="1" min="93" max="93"/>
    <col width="9" customWidth="1" min="94" max="94"/>
    <col width="9" customWidth="1" min="95" max="95"/>
    <col width="9" customWidth="1" min="96" max="96"/>
    <col width="9" customWidth="1" min="97" max="97"/>
    <col width="3" customWidth="1" min="98" max="98"/>
    <col width="26" customWidth="1" min="99" max="99"/>
    <col width="9" customWidth="1" min="100" max="100"/>
    <col width="9" customWidth="1" min="101" max="101"/>
    <col width="9" customWidth="1" min="102" max="102"/>
    <col width="9" customWidth="1" min="103" max="103"/>
    <col width="9" customWidth="1" min="104" max="104"/>
    <col width="9" customWidth="1" min="105" max="105"/>
    <col width="9" customWidth="1" min="106" max="106"/>
    <col width="9" customWidth="1" min="107" max="107"/>
    <col width="9" customWidth="1" min="108" max="108"/>
    <col width="9" customWidth="1" min="109" max="109"/>
    <col width="9" customWidth="1" min="110" max="110"/>
    <col width="9" customWidth="1" min="111" max="111"/>
    <col width="9" customWidth="1" min="112" max="112"/>
    <col width="9" customWidth="1" min="113" max="113"/>
    <col width="9" customWidth="1" min="114" max="114"/>
    <col width="9" customWidth="1" min="115" max="115"/>
    <col width="9" customWidth="1" min="116" max="116"/>
    <col width="9" customWidth="1" min="117" max="117"/>
    <col width="9" customWidth="1" min="118" max="118"/>
    <col width="9" customWidth="1" min="119" max="119"/>
    <col width="3" customWidth="1" min="120" max="120"/>
    <col width="26" customWidth="1" min="121" max="121"/>
    <col width="9" customWidth="1" min="122" max="122"/>
    <col width="9" customWidth="1" min="123" max="123"/>
    <col width="9" customWidth="1" min="124" max="124"/>
    <col width="9" customWidth="1" min="125" max="125"/>
    <col width="9" customWidth="1" min="126" max="126"/>
    <col width="9" customWidth="1" min="127" max="127"/>
    <col width="9" customWidth="1" min="128" max="128"/>
    <col width="9" customWidth="1" min="129" max="129"/>
    <col width="9" customWidth="1" min="130" max="130"/>
    <col width="9" customWidth="1" min="131" max="131"/>
    <col width="9" customWidth="1" min="132" max="132"/>
    <col width="9" customWidth="1" min="133" max="133"/>
    <col width="9" customWidth="1" min="134" max="134"/>
    <col width="9" customWidth="1" min="135" max="135"/>
    <col width="9" customWidth="1" min="136" max="136"/>
    <col width="9" customWidth="1" min="137" max="137"/>
    <col width="9" customWidth="1" min="138" max="138"/>
    <col width="9" customWidth="1" min="139" max="139"/>
    <col width="9" customWidth="1" min="140" max="140"/>
    <col width="9" customWidth="1" min="141" max="141"/>
    <col width="3" customWidth="1" min="142" max="142"/>
    <col width="26" customWidth="1" min="143" max="143"/>
    <col width="9" customWidth="1" min="144" max="144"/>
    <col width="9" customWidth="1" min="145" max="145"/>
    <col width="9" customWidth="1" min="146" max="146"/>
    <col width="9" customWidth="1" min="147" max="147"/>
    <col width="9" customWidth="1" min="148" max="148"/>
    <col width="9" customWidth="1" min="149" max="149"/>
    <col width="9" customWidth="1" min="150" max="150"/>
    <col width="9" customWidth="1" min="151" max="151"/>
    <col width="9" customWidth="1" min="152" max="152"/>
    <col width="9" customWidth="1" min="153" max="153"/>
    <col width="9" customWidth="1" min="154" max="154"/>
    <col width="9" customWidth="1" min="155" max="155"/>
    <col width="9" customWidth="1" min="156" max="156"/>
    <col width="9" customWidth="1" min="157" max="157"/>
    <col width="9" customWidth="1" min="158" max="158"/>
    <col width="9" customWidth="1" min="159" max="159"/>
    <col width="9" customWidth="1" min="160" max="160"/>
    <col width="9" customWidth="1" min="161" max="161"/>
    <col width="9" customWidth="1" min="162" max="162"/>
    <col width="9" customWidth="1" min="163" max="163"/>
    <col width="3" customWidth="1" min="164" max="164"/>
    <col width="26" customWidth="1" min="165" max="165"/>
    <col width="9" customWidth="1" min="166" max="166"/>
    <col width="9" customWidth="1" min="167" max="167"/>
    <col width="9" customWidth="1" min="168" max="168"/>
    <col width="9" customWidth="1" min="169" max="169"/>
    <col width="9" customWidth="1" min="170" max="170"/>
    <col width="9" customWidth="1" min="171" max="171"/>
    <col width="9" customWidth="1" min="172" max="172"/>
    <col width="9" customWidth="1" min="173" max="173"/>
    <col width="9" customWidth="1" min="174" max="174"/>
    <col width="9" customWidth="1" min="175" max="175"/>
    <col width="9" customWidth="1" min="176" max="176"/>
    <col width="9" customWidth="1" min="177" max="177"/>
    <col width="9" customWidth="1" min="178" max="178"/>
    <col width="9" customWidth="1" min="179" max="179"/>
    <col width="9" customWidth="1" min="180" max="180"/>
    <col width="9" customWidth="1" min="181" max="181"/>
    <col width="9" customWidth="1" min="182" max="182"/>
    <col width="9" customWidth="1" min="183" max="183"/>
    <col width="9" customWidth="1" min="184" max="184"/>
    <col width="9" customWidth="1" min="185" max="185"/>
    <col width="3" customWidth="1" min="186" max="186"/>
    <col width="26" customWidth="1" min="187" max="187"/>
    <col width="9" customWidth="1" min="188" max="188"/>
    <col width="9" customWidth="1" min="189" max="189"/>
    <col width="9" customWidth="1" min="190" max="190"/>
    <col width="9" customWidth="1" min="191" max="191"/>
    <col width="9" customWidth="1" min="192" max="192"/>
    <col width="9" customWidth="1" min="193" max="193"/>
    <col width="9" customWidth="1" min="194" max="194"/>
    <col width="9" customWidth="1" min="195" max="195"/>
    <col width="9" customWidth="1" min="196" max="196"/>
    <col width="9" customWidth="1" min="197" max="197"/>
    <col width="9" customWidth="1" min="198" max="198"/>
    <col width="9" customWidth="1" min="199" max="199"/>
    <col width="9" customWidth="1" min="200" max="200"/>
    <col width="9" customWidth="1" min="201" max="201"/>
    <col width="9" customWidth="1" min="202" max="202"/>
    <col width="9" customWidth="1" min="203" max="203"/>
    <col width="9" customWidth="1" min="204" max="204"/>
    <col width="9" customWidth="1" min="205" max="205"/>
    <col width="9" customWidth="1" min="206" max="206"/>
    <col width="9" customWidth="1" min="207" max="207"/>
    <col width="3" customWidth="1" min="208" max="208"/>
    <col width="26" customWidth="1" min="209" max="209"/>
    <col width="9" customWidth="1" min="210" max="210"/>
    <col width="9" customWidth="1" min="211" max="211"/>
    <col width="9" customWidth="1" min="212" max="212"/>
    <col width="9" customWidth="1" min="213" max="213"/>
    <col width="9" customWidth="1" min="214" max="214"/>
    <col width="9" customWidth="1" min="215" max="215"/>
    <col width="9" customWidth="1" min="216" max="216"/>
    <col width="9" customWidth="1" min="217" max="217"/>
    <col width="9" customWidth="1" min="218" max="218"/>
    <col width="9" customWidth="1" min="219" max="219"/>
    <col width="9" customWidth="1" min="220" max="220"/>
    <col width="9" customWidth="1" min="221" max="221"/>
    <col width="9" customWidth="1" min="222" max="222"/>
    <col width="9" customWidth="1" min="223" max="223"/>
    <col width="9" customWidth="1" min="224" max="224"/>
    <col width="9" customWidth="1" min="225" max="225"/>
    <col width="9" customWidth="1" min="226" max="226"/>
    <col width="9" customWidth="1" min="227" max="227"/>
    <col width="9" customWidth="1" min="228" max="228"/>
    <col width="9" customWidth="1" min="229" max="229"/>
    <col width="3" customWidth="1" min="230" max="230"/>
  </cols>
  <sheetData>
    <row r="1">
      <c r="A1" s="12" t="inlineStr">
        <is>
          <t>Output code (from B and D:G)</t>
        </is>
      </c>
      <c r="B1" s="12" t="inlineStr">
        <is>
          <t>Module</t>
        </is>
      </c>
      <c r="C1" s="12" t="inlineStr">
        <is>
          <t>Legacy CPAT code</t>
        </is>
      </c>
      <c r="H1" s="12" t="inlineStr">
        <is>
          <t>Indicator</t>
        </is>
      </c>
      <c r="I1" s="12" t="inlineStr">
        <is>
          <t>Unit</t>
        </is>
      </c>
      <c r="K1" s="12" t="inlineStr">
        <is>
          <t>Slot 1: output code</t>
        </is>
      </c>
      <c r="L1" s="16" t="n">
        <v>2022</v>
      </c>
      <c r="M1" s="17" t="n">
        <v>2023</v>
      </c>
      <c r="N1" s="17" t="n">
        <v>2024</v>
      </c>
      <c r="O1" s="17" t="n">
        <v>2025</v>
      </c>
      <c r="P1" s="17" t="n">
        <v>2026</v>
      </c>
      <c r="Q1" s="17" t="n">
        <v>2027</v>
      </c>
      <c r="R1" s="17" t="n">
        <v>2028</v>
      </c>
      <c r="S1" s="17" t="n">
        <v>2029</v>
      </c>
      <c r="T1" s="17" t="n">
        <v>2030</v>
      </c>
      <c r="U1" s="17" t="n">
        <v>2031</v>
      </c>
      <c r="V1" s="17" t="n">
        <v>2032</v>
      </c>
      <c r="W1" s="17" t="n">
        <v>2033</v>
      </c>
      <c r="X1" s="17" t="n">
        <v>2034</v>
      </c>
      <c r="Y1" s="17" t="n">
        <v>2035</v>
      </c>
      <c r="Z1" s="17" t="n">
        <v>2036</v>
      </c>
      <c r="AA1" s="17" t="n">
        <v>2037</v>
      </c>
      <c r="AB1" s="17" t="n">
        <v>2038</v>
      </c>
      <c r="AC1" s="17" t="n">
        <v>2039</v>
      </c>
      <c r="AD1" s="17" t="n">
        <v>2040</v>
      </c>
      <c r="AE1" s="17" t="n">
        <v>2041</v>
      </c>
      <c r="AG1" s="12" t="inlineStr">
        <is>
          <t>Slot 2: output code</t>
        </is>
      </c>
      <c r="AH1" s="16" t="n">
        <v>2022</v>
      </c>
      <c r="AI1" s="17" t="n">
        <v>2023</v>
      </c>
      <c r="AJ1" s="17" t="n">
        <v>2024</v>
      </c>
      <c r="AK1" s="17" t="n">
        <v>2025</v>
      </c>
      <c r="AL1" s="17" t="n">
        <v>2026</v>
      </c>
      <c r="AM1" s="17" t="n">
        <v>2027</v>
      </c>
      <c r="AN1" s="17" t="n">
        <v>2028</v>
      </c>
      <c r="AO1" s="17" t="n">
        <v>2029</v>
      </c>
      <c r="AP1" s="17" t="n">
        <v>2030</v>
      </c>
      <c r="AQ1" s="17" t="n">
        <v>2031</v>
      </c>
      <c r="AR1" s="17" t="n">
        <v>2032</v>
      </c>
      <c r="AS1" s="17" t="n">
        <v>2033</v>
      </c>
      <c r="AT1" s="17" t="n">
        <v>2034</v>
      </c>
      <c r="AU1" s="17" t="n">
        <v>2035</v>
      </c>
      <c r="AV1" s="17" t="n">
        <v>2036</v>
      </c>
      <c r="AW1" s="17" t="n">
        <v>2037</v>
      </c>
      <c r="AX1" s="17" t="n">
        <v>2038</v>
      </c>
      <c r="AY1" s="17" t="n">
        <v>2039</v>
      </c>
      <c r="AZ1" s="17" t="n">
        <v>2040</v>
      </c>
      <c r="BA1" s="17" t="n">
        <v>2041</v>
      </c>
      <c r="BC1" s="12" t="inlineStr">
        <is>
          <t>Slot 3: output code</t>
        </is>
      </c>
      <c r="BD1" s="16" t="n">
        <v>2022</v>
      </c>
      <c r="BE1" s="17" t="n">
        <v>2023</v>
      </c>
      <c r="BF1" s="17" t="n">
        <v>2024</v>
      </c>
      <c r="BG1" s="17" t="n">
        <v>2025</v>
      </c>
      <c r="BH1" s="17" t="n">
        <v>2026</v>
      </c>
      <c r="BI1" s="17" t="n">
        <v>2027</v>
      </c>
      <c r="BJ1" s="17" t="n">
        <v>2028</v>
      </c>
      <c r="BK1" s="17" t="n">
        <v>2029</v>
      </c>
      <c r="BL1" s="17" t="n">
        <v>2030</v>
      </c>
      <c r="BM1" s="17" t="n">
        <v>2031</v>
      </c>
      <c r="BN1" s="17" t="n">
        <v>2032</v>
      </c>
      <c r="BO1" s="17" t="n">
        <v>2033</v>
      </c>
      <c r="BP1" s="17" t="n">
        <v>2034</v>
      </c>
      <c r="BQ1" s="17" t="n">
        <v>2035</v>
      </c>
      <c r="BR1" s="17" t="n">
        <v>2036</v>
      </c>
      <c r="BS1" s="17" t="n">
        <v>2037</v>
      </c>
      <c r="BT1" s="17" t="n">
        <v>2038</v>
      </c>
      <c r="BU1" s="17" t="n">
        <v>2039</v>
      </c>
      <c r="BV1" s="17" t="n">
        <v>2040</v>
      </c>
      <c r="BW1" s="17" t="n">
        <v>2041</v>
      </c>
      <c r="BY1" s="12" t="inlineStr">
        <is>
          <t>Slot 4: output code</t>
        </is>
      </c>
      <c r="BZ1" s="16" t="n">
        <v>2022</v>
      </c>
      <c r="CA1" s="17" t="n">
        <v>2023</v>
      </c>
      <c r="CB1" s="17" t="n">
        <v>2024</v>
      </c>
      <c r="CC1" s="17" t="n">
        <v>2025</v>
      </c>
      <c r="CD1" s="17" t="n">
        <v>2026</v>
      </c>
      <c r="CE1" s="17" t="n">
        <v>2027</v>
      </c>
      <c r="CF1" s="17" t="n">
        <v>2028</v>
      </c>
      <c r="CG1" s="17" t="n">
        <v>2029</v>
      </c>
      <c r="CH1" s="17" t="n">
        <v>2030</v>
      </c>
      <c r="CI1" s="17" t="n">
        <v>2031</v>
      </c>
      <c r="CJ1" s="17" t="n">
        <v>2032</v>
      </c>
      <c r="CK1" s="17" t="n">
        <v>2033</v>
      </c>
      <c r="CL1" s="17" t="n">
        <v>2034</v>
      </c>
      <c r="CM1" s="17" t="n">
        <v>2035</v>
      </c>
      <c r="CN1" s="17" t="n">
        <v>2036</v>
      </c>
      <c r="CO1" s="17" t="n">
        <v>2037</v>
      </c>
      <c r="CP1" s="17" t="n">
        <v>2038</v>
      </c>
      <c r="CQ1" s="17" t="n">
        <v>2039</v>
      </c>
      <c r="CR1" s="17" t="n">
        <v>2040</v>
      </c>
      <c r="CS1" s="17" t="n">
        <v>2041</v>
      </c>
      <c r="CU1" s="12" t="inlineStr">
        <is>
          <t>Slot 5: output code</t>
        </is>
      </c>
      <c r="CV1" s="16" t="n">
        <v>2022</v>
      </c>
      <c r="CW1" s="17" t="n">
        <v>2023</v>
      </c>
      <c r="CX1" s="17" t="n">
        <v>2024</v>
      </c>
      <c r="CY1" s="17" t="n">
        <v>2025</v>
      </c>
      <c r="CZ1" s="17" t="n">
        <v>2026</v>
      </c>
      <c r="DA1" s="17" t="n">
        <v>2027</v>
      </c>
      <c r="DB1" s="17" t="n">
        <v>2028</v>
      </c>
      <c r="DC1" s="17" t="n">
        <v>2029</v>
      </c>
      <c r="DD1" s="17" t="n">
        <v>2030</v>
      </c>
      <c r="DE1" s="17" t="n">
        <v>2031</v>
      </c>
      <c r="DF1" s="17" t="n">
        <v>2032</v>
      </c>
      <c r="DG1" s="17" t="n">
        <v>2033</v>
      </c>
      <c r="DH1" s="17" t="n">
        <v>2034</v>
      </c>
      <c r="DI1" s="17" t="n">
        <v>2035</v>
      </c>
      <c r="DJ1" s="17" t="n">
        <v>2036</v>
      </c>
      <c r="DK1" s="17" t="n">
        <v>2037</v>
      </c>
      <c r="DL1" s="17" t="n">
        <v>2038</v>
      </c>
      <c r="DM1" s="17" t="n">
        <v>2039</v>
      </c>
      <c r="DN1" s="17" t="n">
        <v>2040</v>
      </c>
      <c r="DO1" s="17" t="n">
        <v>2041</v>
      </c>
      <c r="DQ1" s="12" t="inlineStr">
        <is>
          <t>Slot 6: output code</t>
        </is>
      </c>
      <c r="DR1" s="16" t="n">
        <v>2022</v>
      </c>
      <c r="DS1" s="17" t="n">
        <v>2023</v>
      </c>
      <c r="DT1" s="17" t="n">
        <v>2024</v>
      </c>
      <c r="DU1" s="17" t="n">
        <v>2025</v>
      </c>
      <c r="DV1" s="17" t="n">
        <v>2026</v>
      </c>
      <c r="DW1" s="17" t="n">
        <v>2027</v>
      </c>
      <c r="DX1" s="17" t="n">
        <v>2028</v>
      </c>
      <c r="DY1" s="17" t="n">
        <v>2029</v>
      </c>
      <c r="DZ1" s="17" t="n">
        <v>2030</v>
      </c>
      <c r="EA1" s="17" t="n">
        <v>2031</v>
      </c>
      <c r="EB1" s="17" t="n">
        <v>2032</v>
      </c>
      <c r="EC1" s="17" t="n">
        <v>2033</v>
      </c>
      <c r="ED1" s="17" t="n">
        <v>2034</v>
      </c>
      <c r="EE1" s="17" t="n">
        <v>2035</v>
      </c>
      <c r="EF1" s="17" t="n">
        <v>2036</v>
      </c>
      <c r="EG1" s="17" t="n">
        <v>2037</v>
      </c>
      <c r="EH1" s="17" t="n">
        <v>2038</v>
      </c>
      <c r="EI1" s="17" t="n">
        <v>2039</v>
      </c>
      <c r="EJ1" s="17" t="n">
        <v>2040</v>
      </c>
      <c r="EK1" s="17" t="n">
        <v>2041</v>
      </c>
      <c r="EM1" s="12" t="inlineStr">
        <is>
          <t>Slot 7: output code</t>
        </is>
      </c>
      <c r="EN1" s="16" t="n">
        <v>2022</v>
      </c>
      <c r="EO1" s="17" t="n">
        <v>2023</v>
      </c>
      <c r="EP1" s="17" t="n">
        <v>2024</v>
      </c>
      <c r="EQ1" s="17" t="n">
        <v>2025</v>
      </c>
      <c r="ER1" s="17" t="n">
        <v>2026</v>
      </c>
      <c r="ES1" s="17" t="n">
        <v>2027</v>
      </c>
      <c r="ET1" s="17" t="n">
        <v>2028</v>
      </c>
      <c r="EU1" s="17" t="n">
        <v>2029</v>
      </c>
      <c r="EV1" s="17" t="n">
        <v>2030</v>
      </c>
      <c r="EW1" s="17" t="n">
        <v>2031</v>
      </c>
      <c r="EX1" s="17" t="n">
        <v>2032</v>
      </c>
      <c r="EY1" s="17" t="n">
        <v>2033</v>
      </c>
      <c r="EZ1" s="17" t="n">
        <v>2034</v>
      </c>
      <c r="FA1" s="17" t="n">
        <v>2035</v>
      </c>
      <c r="FB1" s="17" t="n">
        <v>2036</v>
      </c>
      <c r="FC1" s="17" t="n">
        <v>2037</v>
      </c>
      <c r="FD1" s="17" t="n">
        <v>2038</v>
      </c>
      <c r="FE1" s="17" t="n">
        <v>2039</v>
      </c>
      <c r="FF1" s="17" t="n">
        <v>2040</v>
      </c>
      <c r="FG1" s="17" t="n">
        <v>2041</v>
      </c>
      <c r="FI1" s="12" t="inlineStr">
        <is>
          <t>Slot 8: output code</t>
        </is>
      </c>
      <c r="FJ1" s="16" t="n">
        <v>2022</v>
      </c>
      <c r="FK1" s="17" t="n">
        <v>2023</v>
      </c>
      <c r="FL1" s="17" t="n">
        <v>2024</v>
      </c>
      <c r="FM1" s="17" t="n">
        <v>2025</v>
      </c>
      <c r="FN1" s="17" t="n">
        <v>2026</v>
      </c>
      <c r="FO1" s="17" t="n">
        <v>2027</v>
      </c>
      <c r="FP1" s="17" t="n">
        <v>2028</v>
      </c>
      <c r="FQ1" s="17" t="n">
        <v>2029</v>
      </c>
      <c r="FR1" s="17" t="n">
        <v>2030</v>
      </c>
      <c r="FS1" s="17" t="n">
        <v>2031</v>
      </c>
      <c r="FT1" s="17" t="n">
        <v>2032</v>
      </c>
      <c r="FU1" s="17" t="n">
        <v>2033</v>
      </c>
      <c r="FV1" s="17" t="n">
        <v>2034</v>
      </c>
      <c r="FW1" s="17" t="n">
        <v>2035</v>
      </c>
      <c r="FX1" s="17" t="n">
        <v>2036</v>
      </c>
      <c r="FY1" s="17" t="n">
        <v>2037</v>
      </c>
      <c r="FZ1" s="17" t="n">
        <v>2038</v>
      </c>
      <c r="GA1" s="17" t="n">
        <v>2039</v>
      </c>
      <c r="GB1" s="17" t="n">
        <v>2040</v>
      </c>
      <c r="GC1" s="17" t="n">
        <v>2041</v>
      </c>
      <c r="GE1" s="12" t="inlineStr">
        <is>
          <t>Slot 9: output code</t>
        </is>
      </c>
      <c r="GF1" s="16" t="n">
        <v>2022</v>
      </c>
      <c r="GG1" s="17" t="n">
        <v>2023</v>
      </c>
      <c r="GH1" s="17" t="n">
        <v>2024</v>
      </c>
      <c r="GI1" s="17" t="n">
        <v>2025</v>
      </c>
      <c r="GJ1" s="17" t="n">
        <v>2026</v>
      </c>
      <c r="GK1" s="17" t="n">
        <v>2027</v>
      </c>
      <c r="GL1" s="17" t="n">
        <v>2028</v>
      </c>
      <c r="GM1" s="17" t="n">
        <v>2029</v>
      </c>
      <c r="GN1" s="17" t="n">
        <v>2030</v>
      </c>
      <c r="GO1" s="17" t="n">
        <v>2031</v>
      </c>
      <c r="GP1" s="17" t="n">
        <v>2032</v>
      </c>
      <c r="GQ1" s="17" t="n">
        <v>2033</v>
      </c>
      <c r="GR1" s="17" t="n">
        <v>2034</v>
      </c>
      <c r="GS1" s="17" t="n">
        <v>2035</v>
      </c>
      <c r="GT1" s="17" t="n">
        <v>2036</v>
      </c>
      <c r="GU1" s="17" t="n">
        <v>2037</v>
      </c>
      <c r="GV1" s="17" t="n">
        <v>2038</v>
      </c>
      <c r="GW1" s="17" t="n">
        <v>2039</v>
      </c>
      <c r="GX1" s="17" t="n">
        <v>2040</v>
      </c>
      <c r="GY1" s="17" t="n">
        <v>2041</v>
      </c>
      <c r="HA1" s="12" t="inlineStr">
        <is>
          <t>Slot 10: output code</t>
        </is>
      </c>
      <c r="HB1" s="16" t="n">
        <v>2022</v>
      </c>
      <c r="HC1" s="17" t="n">
        <v>2023</v>
      </c>
      <c r="HD1" s="17" t="n">
        <v>2024</v>
      </c>
      <c r="HE1" s="17" t="n">
        <v>2025</v>
      </c>
      <c r="HF1" s="17" t="n">
        <v>2026</v>
      </c>
      <c r="HG1" s="17" t="n">
        <v>2027</v>
      </c>
      <c r="HH1" s="17" t="n">
        <v>2028</v>
      </c>
      <c r="HI1" s="17" t="n">
        <v>2029</v>
      </c>
      <c r="HJ1" s="17" t="n">
        <v>2030</v>
      </c>
      <c r="HK1" s="17" t="n">
        <v>2031</v>
      </c>
      <c r="HL1" s="17" t="n">
        <v>2032</v>
      </c>
      <c r="HM1" s="17" t="n">
        <v>2033</v>
      </c>
      <c r="HN1" s="17" t="n">
        <v>2034</v>
      </c>
      <c r="HO1" s="17" t="n">
        <v>2035</v>
      </c>
      <c r="HP1" s="17" t="n">
        <v>2036</v>
      </c>
      <c r="HQ1" s="17" t="n">
        <v>2037</v>
      </c>
      <c r="HR1" s="17" t="n">
        <v>2038</v>
      </c>
      <c r="HS1" s="17" t="n">
        <v>2039</v>
      </c>
      <c r="HT1" s="17" t="n">
        <v>2040</v>
      </c>
      <c r="HU1" s="17" t="n">
        <v>2041</v>
      </c>
    </row>
    <row r="2">
      <c r="A2" s="1" t="inlineStr">
        <is>
          <t>StoredScenarios: scenario results stored as values (the rows of Outputs; one slot per scenario)</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row>
    <row r="3">
      <c r="A3" s="3" t="inlineStr">
        <is>
          <t>Values only. Store live scenarios and Run stored scenarios (UserGuide) write the slots; row 5 the scenario ID, row 4 its name, row 6 when and from which file. CompareStored compares them.</t>
        </is>
      </c>
    </row>
    <row r="4">
      <c r="H4" s="12" t="inlineStr">
        <is>
          <t>Scenario name</t>
        </is>
      </c>
      <c r="L4" s="12" t="inlineStr">
        <is>
          <t>Baseline (no carbon price)</t>
        </is>
      </c>
      <c r="AH4" s="12" t="inlineStr">
        <is>
          <t>Carbon price $20/tCO2 from 2027</t>
        </is>
      </c>
      <c r="BD4" s="12" t="inlineStr">
        <is>
          <t>Package A: carbon tax to $50 by 2030 + feebates (transport, industry)</t>
        </is>
      </c>
      <c r="BZ4" s="12" t="inlineStr">
        <is>
          <t>Package B: ETS on power and industry (cap -5% 2027 to -20% 2035) + carbon tax $25 elsewhere</t>
        </is>
      </c>
      <c r="CV4" s="12" t="inlineStr">
        <is>
          <t>Carbon price $50/tCO2 from 2027</t>
        </is>
      </c>
    </row>
    <row r="5">
      <c r="H5" s="12" t="inlineStr">
        <is>
          <t>Scenario ID</t>
        </is>
      </c>
      <c r="K5" s="17" t="n">
        <v>1</v>
      </c>
      <c r="L5" s="17" t="n">
        <v>1</v>
      </c>
      <c r="M5" s="17" t="n">
        <v>1</v>
      </c>
      <c r="N5" s="17" t="n">
        <v>1</v>
      </c>
      <c r="O5" s="17" t="n">
        <v>1</v>
      </c>
      <c r="P5" s="17" t="n">
        <v>1</v>
      </c>
      <c r="Q5" s="17" t="n">
        <v>1</v>
      </c>
      <c r="R5" s="17" t="n">
        <v>1</v>
      </c>
      <c r="S5" s="17" t="n">
        <v>1</v>
      </c>
      <c r="T5" s="17" t="n">
        <v>1</v>
      </c>
      <c r="U5" s="17" t="n">
        <v>1</v>
      </c>
      <c r="V5" s="17" t="n">
        <v>1</v>
      </c>
      <c r="W5" s="17" t="n">
        <v>1</v>
      </c>
      <c r="X5" s="17" t="n">
        <v>1</v>
      </c>
      <c r="Y5" s="17" t="n">
        <v>1</v>
      </c>
      <c r="Z5" s="17" t="n">
        <v>1</v>
      </c>
      <c r="AA5" s="17" t="n">
        <v>1</v>
      </c>
      <c r="AB5" s="17" t="n">
        <v>1</v>
      </c>
      <c r="AC5" s="17" t="n">
        <v>1</v>
      </c>
      <c r="AD5" s="17" t="n">
        <v>1</v>
      </c>
      <c r="AE5" s="17" t="n">
        <v>1</v>
      </c>
      <c r="AG5" s="17" t="n">
        <v>3</v>
      </c>
      <c r="AH5" s="17" t="n">
        <v>3</v>
      </c>
      <c r="AI5" s="17" t="n">
        <v>3</v>
      </c>
      <c r="AJ5" s="17" t="n">
        <v>3</v>
      </c>
      <c r="AK5" s="17" t="n">
        <v>3</v>
      </c>
      <c r="AL5" s="17" t="n">
        <v>3</v>
      </c>
      <c r="AM5" s="17" t="n">
        <v>3</v>
      </c>
      <c r="AN5" s="17" t="n">
        <v>3</v>
      </c>
      <c r="AO5" s="17" t="n">
        <v>3</v>
      </c>
      <c r="AP5" s="17" t="n">
        <v>3</v>
      </c>
      <c r="AQ5" s="17" t="n">
        <v>3</v>
      </c>
      <c r="AR5" s="17" t="n">
        <v>3</v>
      </c>
      <c r="AS5" s="17" t="n">
        <v>3</v>
      </c>
      <c r="AT5" s="17" t="n">
        <v>3</v>
      </c>
      <c r="AU5" s="17" t="n">
        <v>3</v>
      </c>
      <c r="AV5" s="17" t="n">
        <v>3</v>
      </c>
      <c r="AW5" s="17" t="n">
        <v>3</v>
      </c>
      <c r="AX5" s="17" t="n">
        <v>3</v>
      </c>
      <c r="AY5" s="17" t="n">
        <v>3</v>
      </c>
      <c r="AZ5" s="17" t="n">
        <v>3</v>
      </c>
      <c r="BA5" s="17" t="n">
        <v>3</v>
      </c>
      <c r="BC5" s="17" t="n">
        <v>4</v>
      </c>
      <c r="BD5" s="17" t="n">
        <v>4</v>
      </c>
      <c r="BE5" s="17" t="n">
        <v>4</v>
      </c>
      <c r="BF5" s="17" t="n">
        <v>4</v>
      </c>
      <c r="BG5" s="17" t="n">
        <v>4</v>
      </c>
      <c r="BH5" s="17" t="n">
        <v>4</v>
      </c>
      <c r="BI5" s="17" t="n">
        <v>4</v>
      </c>
      <c r="BJ5" s="17" t="n">
        <v>4</v>
      </c>
      <c r="BK5" s="17" t="n">
        <v>4</v>
      </c>
      <c r="BL5" s="17" t="n">
        <v>4</v>
      </c>
      <c r="BM5" s="17" t="n">
        <v>4</v>
      </c>
      <c r="BN5" s="17" t="n">
        <v>4</v>
      </c>
      <c r="BO5" s="17" t="n">
        <v>4</v>
      </c>
      <c r="BP5" s="17" t="n">
        <v>4</v>
      </c>
      <c r="BQ5" s="17" t="n">
        <v>4</v>
      </c>
      <c r="BR5" s="17" t="n">
        <v>4</v>
      </c>
      <c r="BS5" s="17" t="n">
        <v>4</v>
      </c>
      <c r="BT5" s="17" t="n">
        <v>4</v>
      </c>
      <c r="BU5" s="17" t="n">
        <v>4</v>
      </c>
      <c r="BV5" s="17" t="n">
        <v>4</v>
      </c>
      <c r="BW5" s="17" t="n">
        <v>4</v>
      </c>
      <c r="BY5" s="17" t="n">
        <v>5</v>
      </c>
      <c r="BZ5" s="17" t="n">
        <v>5</v>
      </c>
      <c r="CA5" s="17" t="n">
        <v>5</v>
      </c>
      <c r="CB5" s="17" t="n">
        <v>5</v>
      </c>
      <c r="CC5" s="17" t="n">
        <v>5</v>
      </c>
      <c r="CD5" s="17" t="n">
        <v>5</v>
      </c>
      <c r="CE5" s="17" t="n">
        <v>5</v>
      </c>
      <c r="CF5" s="17" t="n">
        <v>5</v>
      </c>
      <c r="CG5" s="17" t="n">
        <v>5</v>
      </c>
      <c r="CH5" s="17" t="n">
        <v>5</v>
      </c>
      <c r="CI5" s="17" t="n">
        <v>5</v>
      </c>
      <c r="CJ5" s="17" t="n">
        <v>5</v>
      </c>
      <c r="CK5" s="17" t="n">
        <v>5</v>
      </c>
      <c r="CL5" s="17" t="n">
        <v>5</v>
      </c>
      <c r="CM5" s="17" t="n">
        <v>5</v>
      </c>
      <c r="CN5" s="17" t="n">
        <v>5</v>
      </c>
      <c r="CO5" s="17" t="n">
        <v>5</v>
      </c>
      <c r="CP5" s="17" t="n">
        <v>5</v>
      </c>
      <c r="CQ5" s="17" t="n">
        <v>5</v>
      </c>
      <c r="CR5" s="17" t="n">
        <v>5</v>
      </c>
      <c r="CS5" s="17" t="n">
        <v>5</v>
      </c>
      <c r="CU5" s="17" t="n">
        <v>6</v>
      </c>
      <c r="CV5" s="17" t="n">
        <v>6</v>
      </c>
      <c r="CW5" s="17" t="n">
        <v>6</v>
      </c>
      <c r="CX5" s="17" t="n">
        <v>6</v>
      </c>
      <c r="CY5" s="17" t="n">
        <v>6</v>
      </c>
      <c r="CZ5" s="17" t="n">
        <v>6</v>
      </c>
      <c r="DA5" s="17" t="n">
        <v>6</v>
      </c>
      <c r="DB5" s="17" t="n">
        <v>6</v>
      </c>
      <c r="DC5" s="17" t="n">
        <v>6</v>
      </c>
      <c r="DD5" s="17" t="n">
        <v>6</v>
      </c>
      <c r="DE5" s="17" t="n">
        <v>6</v>
      </c>
      <c r="DF5" s="17" t="n">
        <v>6</v>
      </c>
      <c r="DG5" s="17" t="n">
        <v>6</v>
      </c>
      <c r="DH5" s="17" t="n">
        <v>6</v>
      </c>
      <c r="DI5" s="17" t="n">
        <v>6</v>
      </c>
      <c r="DJ5" s="17" t="n">
        <v>6</v>
      </c>
      <c r="DK5" s="17" t="n">
        <v>6</v>
      </c>
      <c r="DL5" s="17" t="n">
        <v>6</v>
      </c>
      <c r="DM5" s="17" t="n">
        <v>6</v>
      </c>
      <c r="DN5" s="17" t="n">
        <v>6</v>
      </c>
      <c r="DO5" s="17" t="n">
        <v>6</v>
      </c>
    </row>
    <row r="6">
      <c r="H6" s="12" t="inlineStr">
        <is>
          <t>Stored</t>
        </is>
      </c>
      <c r="L6" s="14" t="inlineStr">
        <is>
          <t>stored by the build of mitigation v1.2.1 (Python emulation of the batch run), EGY</t>
        </is>
      </c>
      <c r="AH6" s="14" t="inlineStr">
        <is>
          <t>stored by the build of mitigation v1.2.1 (Python emulation of the batch run), EGY</t>
        </is>
      </c>
      <c r="BD6" s="14" t="inlineStr">
        <is>
          <t>stored by the build of mitigation v1.2.1 (Python emulation of the batch run), EGY</t>
        </is>
      </c>
      <c r="BZ6" s="14" t="inlineStr">
        <is>
          <t>stored by the build of mitigation v1.2.1 (Python emulation of the batch run), EGY</t>
        </is>
      </c>
      <c r="CV6" s="14" t="inlineStr">
        <is>
          <t>stored by the build of mitigation v1.2.1 (Python emulation of the batch run), EGY</t>
        </is>
      </c>
    </row>
    <row r="7">
      <c r="A7" s="5" t="n"/>
      <c r="B7" s="18" t="inlineStr">
        <is>
          <t>Policy characteristics</t>
        </is>
      </c>
      <c r="C7" s="5" t="n"/>
      <c r="D7" s="5" t="n"/>
      <c r="E7" s="5" t="n"/>
      <c r="F7" s="5" t="n"/>
      <c r="G7" s="5" t="n"/>
      <c r="H7" s="5" t="n"/>
      <c r="I7" s="5" t="n"/>
      <c r="J7" s="5" t="n"/>
      <c r="K7" s="5" t="n"/>
      <c r="L7" s="5" t="n"/>
      <c r="M7" s="5" t="n"/>
      <c r="N7" s="5" t="n"/>
      <c r="O7" s="5" t="n"/>
      <c r="P7" s="5" t="n"/>
      <c r="Q7" s="5" t="n"/>
      <c r="R7" s="5" t="n"/>
      <c r="S7" s="5" t="n"/>
      <c r="T7" s="5" t="n"/>
      <c r="U7" s="5" t="n"/>
      <c r="V7" s="5" t="n"/>
      <c r="W7" s="5" t="n"/>
      <c r="X7" s="5" t="n"/>
      <c r="Y7" s="5" t="n"/>
      <c r="Z7" s="5" t="n"/>
      <c r="AA7" s="5" t="n"/>
      <c r="AB7" s="5" t="n"/>
      <c r="AC7" s="5" t="n"/>
      <c r="AD7" s="5" t="n"/>
      <c r="AE7" s="5" t="n"/>
      <c r="AF7" s="5" t="n"/>
      <c r="AG7" s="5" t="n"/>
      <c r="AH7" s="5" t="n"/>
      <c r="AI7" s="5" t="n"/>
      <c r="AJ7" s="5" t="n"/>
      <c r="AK7" s="5" t="n"/>
      <c r="AL7" s="5" t="n"/>
      <c r="AM7" s="5" t="n"/>
      <c r="AN7" s="5" t="n"/>
      <c r="AO7" s="5" t="n"/>
      <c r="AP7" s="5" t="n"/>
      <c r="AQ7" s="5" t="n"/>
      <c r="AR7" s="5" t="n"/>
      <c r="AS7" s="5" t="n"/>
      <c r="AT7" s="5" t="n"/>
      <c r="AU7" s="5" t="n"/>
      <c r="AV7" s="5" t="n"/>
      <c r="AW7" s="5" t="n"/>
      <c r="AX7" s="5" t="n"/>
      <c r="AY7" s="5" t="n"/>
      <c r="AZ7" s="5" t="n"/>
      <c r="BA7" s="5" t="n"/>
      <c r="BB7" s="5" t="n"/>
      <c r="BC7" s="5" t="n"/>
      <c r="BD7" s="5" t="n"/>
      <c r="BE7" s="5" t="n"/>
      <c r="BF7" s="5" t="n"/>
      <c r="BG7" s="5" t="n"/>
      <c r="BH7" s="5" t="n"/>
      <c r="BI7" s="5" t="n"/>
      <c r="BJ7" s="5" t="n"/>
      <c r="BK7" s="5" t="n"/>
      <c r="BL7" s="5" t="n"/>
      <c r="BM7" s="5" t="n"/>
      <c r="BN7" s="5" t="n"/>
      <c r="BO7" s="5" t="n"/>
      <c r="BP7" s="5" t="n"/>
      <c r="BQ7" s="5" t="n"/>
      <c r="BR7" s="5" t="n"/>
      <c r="BS7" s="5" t="n"/>
      <c r="BT7" s="5" t="n"/>
      <c r="BU7" s="5" t="n"/>
      <c r="BV7" s="5" t="n"/>
      <c r="BW7" s="5" t="n"/>
      <c r="BX7" s="5" t="n"/>
      <c r="BY7" s="5" t="n"/>
      <c r="BZ7" s="5" t="n"/>
      <c r="CA7" s="5" t="n"/>
      <c r="CB7" s="5" t="n"/>
      <c r="CC7" s="5" t="n"/>
      <c r="CD7" s="5" t="n"/>
      <c r="CE7" s="5" t="n"/>
      <c r="CF7" s="5" t="n"/>
      <c r="CG7" s="5" t="n"/>
      <c r="CH7" s="5" t="n"/>
      <c r="CI7" s="5" t="n"/>
      <c r="CJ7" s="5" t="n"/>
      <c r="CK7" s="5" t="n"/>
      <c r="CL7" s="5" t="n"/>
      <c r="CM7" s="5" t="n"/>
      <c r="CN7" s="5" t="n"/>
      <c r="CO7" s="5" t="n"/>
      <c r="CP7" s="5" t="n"/>
      <c r="CQ7" s="5" t="n"/>
      <c r="CR7" s="5" t="n"/>
      <c r="CS7" s="5" t="n"/>
      <c r="CT7" s="5" t="n"/>
      <c r="CU7" s="5" t="n"/>
      <c r="CV7" s="5" t="n"/>
      <c r="CW7" s="5" t="n"/>
      <c r="CX7" s="5" t="n"/>
      <c r="CY7" s="5" t="n"/>
      <c r="CZ7" s="5" t="n"/>
      <c r="DA7" s="5" t="n"/>
      <c r="DB7" s="5" t="n"/>
      <c r="DC7" s="5" t="n"/>
      <c r="DD7" s="5" t="n"/>
      <c r="DE7" s="5" t="n"/>
      <c r="DF7" s="5" t="n"/>
      <c r="DG7" s="5" t="n"/>
      <c r="DH7" s="5" t="n"/>
      <c r="DI7" s="5" t="n"/>
      <c r="DJ7" s="5" t="n"/>
      <c r="DK7" s="5" t="n"/>
      <c r="DL7" s="5" t="n"/>
      <c r="DM7" s="5" t="n"/>
      <c r="DN7" s="5" t="n"/>
      <c r="DO7" s="5" t="n"/>
      <c r="DP7" s="5" t="n"/>
      <c r="DQ7" s="5" t="n"/>
      <c r="DR7" s="5" t="n"/>
      <c r="DS7" s="5" t="n"/>
      <c r="DT7" s="5" t="n"/>
      <c r="DU7" s="5" t="n"/>
      <c r="DV7" s="5" t="n"/>
      <c r="DW7" s="5" t="n"/>
      <c r="DX7" s="5" t="n"/>
      <c r="DY7" s="5" t="n"/>
      <c r="DZ7" s="5" t="n"/>
      <c r="EA7" s="5" t="n"/>
      <c r="EB7" s="5" t="n"/>
      <c r="EC7" s="5" t="n"/>
      <c r="ED7" s="5" t="n"/>
      <c r="EE7" s="5" t="n"/>
      <c r="EF7" s="5" t="n"/>
      <c r="EG7" s="5" t="n"/>
      <c r="EH7" s="5" t="n"/>
      <c r="EI7" s="5" t="n"/>
      <c r="EJ7" s="5" t="n"/>
      <c r="EK7" s="5" t="n"/>
      <c r="EL7" s="5" t="n"/>
      <c r="EM7" s="5" t="n"/>
      <c r="EN7" s="5" t="n"/>
      <c r="EO7" s="5" t="n"/>
      <c r="EP7" s="5" t="n"/>
      <c r="EQ7" s="5" t="n"/>
      <c r="ER7" s="5" t="n"/>
      <c r="ES7" s="5" t="n"/>
      <c r="ET7" s="5" t="n"/>
      <c r="EU7" s="5" t="n"/>
      <c r="EV7" s="5" t="n"/>
      <c r="EW7" s="5" t="n"/>
      <c r="EX7" s="5" t="n"/>
      <c r="EY7" s="5" t="n"/>
      <c r="EZ7" s="5" t="n"/>
      <c r="FA7" s="5" t="n"/>
      <c r="FB7" s="5" t="n"/>
      <c r="FC7" s="5" t="n"/>
      <c r="FD7" s="5" t="n"/>
      <c r="FE7" s="5" t="n"/>
      <c r="FF7" s="5" t="n"/>
      <c r="FG7" s="5" t="n"/>
      <c r="FH7" s="5" t="n"/>
      <c r="FI7" s="5" t="n"/>
      <c r="FJ7" s="5" t="n"/>
      <c r="FK7" s="5" t="n"/>
      <c r="FL7" s="5" t="n"/>
      <c r="FM7" s="5" t="n"/>
      <c r="FN7" s="5" t="n"/>
      <c r="FO7" s="5" t="n"/>
      <c r="FP7" s="5" t="n"/>
      <c r="FQ7" s="5" t="n"/>
      <c r="FR7" s="5" t="n"/>
      <c r="FS7" s="5" t="n"/>
      <c r="FT7" s="5" t="n"/>
      <c r="FU7" s="5" t="n"/>
      <c r="FV7" s="5" t="n"/>
      <c r="FW7" s="5" t="n"/>
      <c r="FX7" s="5" t="n"/>
      <c r="FY7" s="5" t="n"/>
      <c r="FZ7" s="5" t="n"/>
      <c r="GA7" s="5" t="n"/>
      <c r="GB7" s="5" t="n"/>
      <c r="GC7" s="5" t="n"/>
      <c r="GD7" s="5" t="n"/>
      <c r="GE7" s="5" t="n"/>
      <c r="GF7" s="5" t="n"/>
      <c r="GG7" s="5" t="n"/>
      <c r="GH7" s="5" t="n"/>
      <c r="GI7" s="5" t="n"/>
      <c r="GJ7" s="5" t="n"/>
      <c r="GK7" s="5" t="n"/>
      <c r="GL7" s="5" t="n"/>
      <c r="GM7" s="5" t="n"/>
      <c r="GN7" s="5" t="n"/>
      <c r="GO7" s="5" t="n"/>
      <c r="GP7" s="5" t="n"/>
      <c r="GQ7" s="5" t="n"/>
      <c r="GR7" s="5" t="n"/>
      <c r="GS7" s="5" t="n"/>
      <c r="GT7" s="5" t="n"/>
      <c r="GU7" s="5" t="n"/>
      <c r="GV7" s="5" t="n"/>
      <c r="GW7" s="5" t="n"/>
      <c r="GX7" s="5" t="n"/>
      <c r="GY7" s="5" t="n"/>
      <c r="GZ7" s="5" t="n"/>
      <c r="HA7" s="5" t="n"/>
      <c r="HB7" s="5" t="n"/>
      <c r="HC7" s="5" t="n"/>
      <c r="HD7" s="5" t="n"/>
      <c r="HE7" s="5" t="n"/>
      <c r="HF7" s="5" t="n"/>
      <c r="HG7" s="5" t="n"/>
      <c r="HH7" s="5" t="n"/>
      <c r="HI7" s="5" t="n"/>
      <c r="HJ7" s="5" t="n"/>
      <c r="HK7" s="5" t="n"/>
      <c r="HL7" s="5" t="n"/>
      <c r="HM7" s="5" t="n"/>
      <c r="HN7" s="5" t="n"/>
      <c r="HO7" s="5" t="n"/>
      <c r="HP7" s="5" t="n"/>
      <c r="HQ7" s="5" t="n"/>
      <c r="HR7" s="5" t="n"/>
      <c r="HS7" s="5" t="n"/>
      <c r="HT7" s="5" t="n"/>
      <c r="HU7" s="5" t="n"/>
      <c r="HV7" s="5" t="n"/>
    </row>
    <row r="8">
      <c r="A8" s="19" t="inlineStr">
        <is>
          <t>mit.cov.ct.all.all</t>
        </is>
      </c>
      <c r="B8" s="3" t="inlineStr">
        <is>
          <t>mit</t>
        </is>
      </c>
      <c r="C8" s="19" t="inlineStr">
        <is>
          <t>mit.co2cov</t>
        </is>
      </c>
      <c r="H8" s="3" t="inlineStr">
        <is>
          <t>Share of energy CO2 covered by the new carbon tax | All sectors | All fuels</t>
        </is>
      </c>
      <c r="I8" s="3" t="inlineStr">
        <is>
          <t>%</t>
        </is>
      </c>
      <c r="K8" s="20" t="inlineStr">
        <is>
          <t>egy.mit.cov.ct.all.all.1</t>
        </is>
      </c>
      <c r="L8" s="3" t="n">
        <v>0</v>
      </c>
      <c r="M8" s="3" t="n">
        <v>0</v>
      </c>
      <c r="N8" s="3" t="n">
        <v>0</v>
      </c>
      <c r="O8" s="3" t="n">
        <v>0</v>
      </c>
      <c r="P8" s="3" t="n">
        <v>0</v>
      </c>
      <c r="Q8" s="3" t="n">
        <v>0</v>
      </c>
      <c r="R8" s="3" t="n">
        <v>0</v>
      </c>
      <c r="S8" s="3" t="n">
        <v>0</v>
      </c>
      <c r="T8" s="3" t="n">
        <v>0</v>
      </c>
      <c r="U8" s="3" t="n">
        <v>0</v>
      </c>
      <c r="V8" s="3" t="n">
        <v>0</v>
      </c>
      <c r="W8" s="3" t="n">
        <v>0</v>
      </c>
      <c r="X8" s="3" t="n">
        <v>0</v>
      </c>
      <c r="Y8" s="3" t="n">
        <v>0</v>
      </c>
      <c r="Z8" s="3" t="n">
        <v>0</v>
      </c>
      <c r="AA8" s="3" t="n">
        <v>0</v>
      </c>
      <c r="AB8" s="3" t="n">
        <v>0</v>
      </c>
      <c r="AC8" s="3" t="n">
        <v>0</v>
      </c>
      <c r="AD8" s="3" t="n">
        <v>0</v>
      </c>
      <c r="AE8" s="3" t="n">
        <v>0</v>
      </c>
      <c r="AG8" s="20" t="inlineStr">
        <is>
          <t>egy.mit.cov.ct.all.all.3</t>
        </is>
      </c>
      <c r="AH8" s="3" t="n">
        <v>0</v>
      </c>
      <c r="AI8" s="3" t="n">
        <v>0</v>
      </c>
      <c r="AJ8" s="3" t="n">
        <v>0</v>
      </c>
      <c r="AK8" s="3" t="n">
        <v>0</v>
      </c>
      <c r="AL8" s="3" t="n">
        <v>0</v>
      </c>
      <c r="AM8" s="3" t="n">
        <v>0.9986485894168365</v>
      </c>
      <c r="AN8" s="3" t="n">
        <v>0.9985785049031624</v>
      </c>
      <c r="AO8" s="3" t="n">
        <v>0.9985782954440895</v>
      </c>
      <c r="AP8" s="3" t="n">
        <v>0.9985577500443255</v>
      </c>
      <c r="AQ8" s="3" t="n">
        <v>0.9985323169801408</v>
      </c>
      <c r="AR8" s="3" t="n">
        <v>0.9984978396738806</v>
      </c>
      <c r="AS8" s="3" t="n">
        <v>0.9984819411674822</v>
      </c>
      <c r="AT8" s="3" t="n">
        <v>0.998457891584001</v>
      </c>
      <c r="AU8" s="3" t="n">
        <v>0.9984387442306398</v>
      </c>
      <c r="AV8" s="3" t="n">
        <v>0.9984196669828516</v>
      </c>
      <c r="AW8" s="3" t="n">
        <v>0.9984010062249621</v>
      </c>
      <c r="AX8" s="3" t="n">
        <v>0.9983825756726381</v>
      </c>
      <c r="AY8" s="3" t="n">
        <v>0.9983645943528041</v>
      </c>
      <c r="AZ8" s="3" t="n">
        <v>0.9983468812734856</v>
      </c>
      <c r="BA8" s="3" t="n">
        <v>0.9983296585978623</v>
      </c>
      <c r="BC8" s="20" t="inlineStr">
        <is>
          <t>egy.mit.cov.ct.all.all.4</t>
        </is>
      </c>
      <c r="BD8" s="3" t="n">
        <v>0</v>
      </c>
      <c r="BE8" s="3" t="n">
        <v>0</v>
      </c>
      <c r="BF8" s="3" t="n">
        <v>0</v>
      </c>
      <c r="BG8" s="3" t="n">
        <v>0</v>
      </c>
      <c r="BH8" s="3" t="n">
        <v>0</v>
      </c>
      <c r="BI8" s="3" t="n">
        <v>0.9987178941747679</v>
      </c>
      <c r="BJ8" s="3" t="n">
        <v>0.9986283540210013</v>
      </c>
      <c r="BK8" s="3" t="n">
        <v>0.9985245933136466</v>
      </c>
      <c r="BL8" s="3" t="n">
        <v>0.9984443095603515</v>
      </c>
      <c r="BM8" s="3" t="n">
        <v>0.9983545648689101</v>
      </c>
      <c r="BN8" s="3" t="n">
        <v>0.9982362321080646</v>
      </c>
      <c r="BO8" s="3" t="n">
        <v>0.9981417424737666</v>
      </c>
      <c r="BP8" s="3" t="n">
        <v>0.9980239836582137</v>
      </c>
      <c r="BQ8" s="3" t="n">
        <v>0.9979202385923528</v>
      </c>
      <c r="BR8" s="3" t="n">
        <v>0.9977995382471755</v>
      </c>
      <c r="BS8" s="3" t="n">
        <v>0.9976909576435773</v>
      </c>
      <c r="BT8" s="3" t="n">
        <v>0.9975625885565632</v>
      </c>
      <c r="BU8" s="3" t="n">
        <v>0.9974519654088819</v>
      </c>
      <c r="BV8" s="3" t="n">
        <v>0.9973126020746835</v>
      </c>
      <c r="BW8" s="3" t="n">
        <v>0.9972064711000378</v>
      </c>
      <c r="BY8" s="20" t="inlineStr">
        <is>
          <t>egy.mit.cov.ct.all.all.5</t>
        </is>
      </c>
      <c r="BZ8" s="3" t="n">
        <v>0</v>
      </c>
      <c r="CA8" s="3" t="n">
        <v>0</v>
      </c>
      <c r="CB8" s="3" t="n">
        <v>0</v>
      </c>
      <c r="CC8" s="3" t="n">
        <v>0</v>
      </c>
      <c r="CD8" s="3" t="n">
        <v>0</v>
      </c>
      <c r="CE8" s="3" t="n">
        <v>0.5122239422008094</v>
      </c>
      <c r="CF8" s="3" t="n">
        <v>0.5136749888797147</v>
      </c>
      <c r="CG8" s="3" t="n">
        <v>0.5143439585757875</v>
      </c>
      <c r="CH8" s="3" t="n">
        <v>0.5168840404455469</v>
      </c>
      <c r="CI8" s="3" t="n">
        <v>0.5277645560067152</v>
      </c>
      <c r="CJ8" s="3" t="n">
        <v>0.5417168688611756</v>
      </c>
      <c r="CK8" s="3" t="n">
        <v>0.547511987507757</v>
      </c>
      <c r="CL8" s="3" t="n">
        <v>0.5622980671225037</v>
      </c>
      <c r="CM8" s="3" t="n">
        <v>0.5744676633833581</v>
      </c>
      <c r="CN8" s="3" t="n">
        <v>0.5857035495815278</v>
      </c>
      <c r="CO8" s="3" t="n">
        <v>0.5983466491679192</v>
      </c>
      <c r="CP8" s="3" t="n">
        <v>0.6097339734008839</v>
      </c>
      <c r="CQ8" s="3" t="n">
        <v>0.6205813440156517</v>
      </c>
      <c r="CR8" s="3" t="n">
        <v>0.6316962112525003</v>
      </c>
      <c r="CS8" s="3" t="n">
        <v>0.6418192594969923</v>
      </c>
      <c r="CU8" s="20" t="inlineStr">
        <is>
          <t>egy.mit.cov.ct.all.all.6</t>
        </is>
      </c>
      <c r="CV8" s="3" t="n">
        <v>0</v>
      </c>
      <c r="CW8" s="3" t="n">
        <v>0</v>
      </c>
      <c r="CX8" s="3" t="n">
        <v>0</v>
      </c>
      <c r="CY8" s="3" t="n">
        <v>0</v>
      </c>
      <c r="CZ8" s="3" t="n">
        <v>0</v>
      </c>
      <c r="DA8" s="3" t="n">
        <v>0.998515064762775</v>
      </c>
      <c r="DB8" s="3" t="n">
        <v>0.9983485791176666</v>
      </c>
      <c r="DC8" s="3" t="n">
        <v>0.9983524694348118</v>
      </c>
      <c r="DD8" s="3" t="n">
        <v>0.9983131344550937</v>
      </c>
      <c r="DE8" s="3" t="n">
        <v>0.998312294245451</v>
      </c>
      <c r="DF8" s="3" t="n">
        <v>0.9982505675045868</v>
      </c>
      <c r="DG8" s="3" t="n">
        <v>0.9982212178154009</v>
      </c>
      <c r="DH8" s="3" t="n">
        <v>0.9981669495165111</v>
      </c>
      <c r="DI8" s="3" t="n">
        <v>0.9981271812456534</v>
      </c>
      <c r="DJ8" s="3" t="n">
        <v>0.9980807497696328</v>
      </c>
      <c r="DK8" s="3" t="n">
        <v>0.9980411385557828</v>
      </c>
      <c r="DL8" s="3" t="n">
        <v>0.9979963680127404</v>
      </c>
      <c r="DM8" s="3" t="n">
        <v>0.9979591429105009</v>
      </c>
      <c r="DN8" s="3" t="n">
        <v>0.9979176447430764</v>
      </c>
      <c r="DO8" s="3" t="n">
        <v>0.9978830637691866</v>
      </c>
    </row>
    <row r="9">
      <c r="A9" s="19" t="inlineStr">
        <is>
          <t>mit.cptraj</t>
        </is>
      </c>
      <c r="B9" s="3" t="inlineStr">
        <is>
          <t>mit</t>
        </is>
      </c>
      <c r="C9" s="19" t="inlineStr">
        <is>
          <t>mit.cptraj</t>
        </is>
      </c>
      <c r="H9" s="3" t="inlineStr">
        <is>
          <t>Carbon price trajectory used</t>
        </is>
      </c>
      <c r="I9" s="3" t="inlineStr">
        <is>
          <t>USD/tCO2 real</t>
        </is>
      </c>
      <c r="K9" s="20" t="inlineStr">
        <is>
          <t>egy.mit.cptraj.1</t>
        </is>
      </c>
      <c r="L9" s="21" t="n">
        <v>0</v>
      </c>
      <c r="M9" s="21" t="n">
        <v>0</v>
      </c>
      <c r="N9" s="21" t="n">
        <v>0</v>
      </c>
      <c r="O9" s="21" t="n">
        <v>0</v>
      </c>
      <c r="P9" s="21" t="n">
        <v>0</v>
      </c>
      <c r="Q9" s="21" t="n">
        <v>0</v>
      </c>
      <c r="R9" s="21" t="n">
        <v>0</v>
      </c>
      <c r="S9" s="21" t="n">
        <v>0</v>
      </c>
      <c r="T9" s="21" t="n">
        <v>0</v>
      </c>
      <c r="U9" s="21" t="n">
        <v>0</v>
      </c>
      <c r="V9" s="21" t="n">
        <v>0</v>
      </c>
      <c r="W9" s="21" t="n">
        <v>0</v>
      </c>
      <c r="X9" s="21" t="n">
        <v>0</v>
      </c>
      <c r="Y9" s="21" t="n">
        <v>0</v>
      </c>
      <c r="Z9" s="21" t="n">
        <v>0</v>
      </c>
      <c r="AA9" s="21" t="n">
        <v>0</v>
      </c>
      <c r="AB9" s="21" t="n">
        <v>0</v>
      </c>
      <c r="AC9" s="21" t="n">
        <v>0</v>
      </c>
      <c r="AD9" s="21" t="n">
        <v>0</v>
      </c>
      <c r="AE9" s="21" t="n">
        <v>0</v>
      </c>
      <c r="AG9" s="20" t="inlineStr">
        <is>
          <t>egy.mit.cptraj.3</t>
        </is>
      </c>
      <c r="AH9" s="21" t="n">
        <v>0</v>
      </c>
      <c r="AI9" s="21" t="n">
        <v>0</v>
      </c>
      <c r="AJ9" s="21" t="n">
        <v>0</v>
      </c>
      <c r="AK9" s="21" t="n">
        <v>0</v>
      </c>
      <c r="AL9" s="21" t="n">
        <v>0</v>
      </c>
      <c r="AM9" s="21" t="n">
        <v>20</v>
      </c>
      <c r="AN9" s="21" t="n">
        <v>20</v>
      </c>
      <c r="AO9" s="21" t="n">
        <v>20</v>
      </c>
      <c r="AP9" s="21" t="n">
        <v>20</v>
      </c>
      <c r="AQ9" s="21" t="n">
        <v>20</v>
      </c>
      <c r="AR9" s="21" t="n">
        <v>20</v>
      </c>
      <c r="AS9" s="21" t="n">
        <v>20</v>
      </c>
      <c r="AT9" s="21" t="n">
        <v>20</v>
      </c>
      <c r="AU9" s="21" t="n">
        <v>20</v>
      </c>
      <c r="AV9" s="21" t="n">
        <v>20</v>
      </c>
      <c r="AW9" s="21" t="n">
        <v>20</v>
      </c>
      <c r="AX9" s="21" t="n">
        <v>20</v>
      </c>
      <c r="AY9" s="21" t="n">
        <v>20</v>
      </c>
      <c r="AZ9" s="21" t="n">
        <v>20</v>
      </c>
      <c r="BA9" s="21" t="n">
        <v>20</v>
      </c>
      <c r="BC9" s="20" t="inlineStr">
        <is>
          <t>egy.mit.cptraj.4</t>
        </is>
      </c>
      <c r="BD9" s="21" t="n">
        <v>0</v>
      </c>
      <c r="BE9" s="21" t="n">
        <v>0</v>
      </c>
      <c r="BF9" s="21" t="n">
        <v>0</v>
      </c>
      <c r="BG9" s="21" t="n">
        <v>0</v>
      </c>
      <c r="BH9" s="21" t="n">
        <v>0</v>
      </c>
      <c r="BI9" s="21" t="n">
        <v>10</v>
      </c>
      <c r="BJ9" s="21" t="n">
        <v>23.33333333333334</v>
      </c>
      <c r="BK9" s="21" t="n">
        <v>36.66666666666667</v>
      </c>
      <c r="BL9" s="21" t="n">
        <v>50</v>
      </c>
      <c r="BM9" s="21" t="n">
        <v>63.33333333333334</v>
      </c>
      <c r="BN9" s="21" t="n">
        <v>76.66666666666667</v>
      </c>
      <c r="BO9" s="21" t="n">
        <v>90</v>
      </c>
      <c r="BP9" s="21" t="n">
        <v>103.3333333333333</v>
      </c>
      <c r="BQ9" s="21" t="n">
        <v>116.6666666666667</v>
      </c>
      <c r="BR9" s="21" t="n">
        <v>130</v>
      </c>
      <c r="BS9" s="21" t="n">
        <v>143.3333333333333</v>
      </c>
      <c r="BT9" s="21" t="n">
        <v>156.6666666666667</v>
      </c>
      <c r="BU9" s="21" t="n">
        <v>170</v>
      </c>
      <c r="BV9" s="21" t="n">
        <v>183.3333333333333</v>
      </c>
      <c r="BW9" s="21" t="n">
        <v>196.6666666666667</v>
      </c>
      <c r="BY9" s="20" t="inlineStr">
        <is>
          <t>egy.mit.cptraj.5</t>
        </is>
      </c>
      <c r="BZ9" s="21" t="n">
        <v>0</v>
      </c>
      <c r="CA9" s="21" t="n">
        <v>0</v>
      </c>
      <c r="CB9" s="21" t="n">
        <v>0</v>
      </c>
      <c r="CC9" s="21" t="n">
        <v>0</v>
      </c>
      <c r="CD9" s="21" t="n">
        <v>0</v>
      </c>
      <c r="CE9" s="21" t="n">
        <v>25</v>
      </c>
      <c r="CF9" s="21" t="n">
        <v>25</v>
      </c>
      <c r="CG9" s="21" t="n">
        <v>25</v>
      </c>
      <c r="CH9" s="21" t="n">
        <v>25</v>
      </c>
      <c r="CI9" s="21" t="n">
        <v>25</v>
      </c>
      <c r="CJ9" s="21" t="n">
        <v>25</v>
      </c>
      <c r="CK9" s="21" t="n">
        <v>25</v>
      </c>
      <c r="CL9" s="21" t="n">
        <v>25</v>
      </c>
      <c r="CM9" s="21" t="n">
        <v>25</v>
      </c>
      <c r="CN9" s="21" t="n">
        <v>25</v>
      </c>
      <c r="CO9" s="21" t="n">
        <v>25</v>
      </c>
      <c r="CP9" s="21" t="n">
        <v>25</v>
      </c>
      <c r="CQ9" s="21" t="n">
        <v>25</v>
      </c>
      <c r="CR9" s="21" t="n">
        <v>25</v>
      </c>
      <c r="CS9" s="21" t="n">
        <v>25</v>
      </c>
      <c r="CU9" s="20" t="inlineStr">
        <is>
          <t>egy.mit.cptraj.6</t>
        </is>
      </c>
      <c r="CV9" s="21" t="n">
        <v>0</v>
      </c>
      <c r="CW9" s="21" t="n">
        <v>0</v>
      </c>
      <c r="CX9" s="21" t="n">
        <v>0</v>
      </c>
      <c r="CY9" s="21" t="n">
        <v>0</v>
      </c>
      <c r="CZ9" s="21" t="n">
        <v>0</v>
      </c>
      <c r="DA9" s="21" t="n">
        <v>50</v>
      </c>
      <c r="DB9" s="21" t="n">
        <v>50</v>
      </c>
      <c r="DC9" s="21" t="n">
        <v>50</v>
      </c>
      <c r="DD9" s="21" t="n">
        <v>50</v>
      </c>
      <c r="DE9" s="21" t="n">
        <v>50</v>
      </c>
      <c r="DF9" s="21" t="n">
        <v>50</v>
      </c>
      <c r="DG9" s="21" t="n">
        <v>50</v>
      </c>
      <c r="DH9" s="21" t="n">
        <v>50</v>
      </c>
      <c r="DI9" s="21" t="n">
        <v>50</v>
      </c>
      <c r="DJ9" s="21" t="n">
        <v>50</v>
      </c>
      <c r="DK9" s="21" t="n">
        <v>50</v>
      </c>
      <c r="DL9" s="21" t="n">
        <v>50</v>
      </c>
      <c r="DM9" s="21" t="n">
        <v>50</v>
      </c>
      <c r="DN9" s="21" t="n">
        <v>50</v>
      </c>
      <c r="DO9" s="21" t="n">
        <v>50</v>
      </c>
    </row>
    <row r="10">
      <c r="A10" s="19" t="inlineStr">
        <is>
          <t>mit.cpeff.all.all</t>
        </is>
      </c>
      <c r="B10" s="3" t="inlineStr">
        <is>
          <t>mit</t>
        </is>
      </c>
      <c r="C10" s="19" t="inlineStr">
        <is>
          <t>mit.eff.cptraj</t>
        </is>
      </c>
      <c r="H10" s="3" t="inlineStr">
        <is>
          <t>Effective carbon tax: carbon price x share of energy CO2 covered by it | All sectors | All fuels</t>
        </is>
      </c>
      <c r="I10" s="3" t="inlineStr">
        <is>
          <t>USD/tCO2</t>
        </is>
      </c>
      <c r="K10" s="20" t="inlineStr">
        <is>
          <t>egy.mit.cpeff.all.all.1</t>
        </is>
      </c>
      <c r="L10" s="22" t="n">
        <v>0</v>
      </c>
      <c r="M10" s="22" t="n">
        <v>0</v>
      </c>
      <c r="N10" s="22" t="n">
        <v>0</v>
      </c>
      <c r="O10" s="22" t="n">
        <v>0</v>
      </c>
      <c r="P10" s="22" t="n">
        <v>0</v>
      </c>
      <c r="Q10" s="22" t="n">
        <v>0</v>
      </c>
      <c r="R10" s="22" t="n">
        <v>0</v>
      </c>
      <c r="S10" s="22" t="n">
        <v>0</v>
      </c>
      <c r="T10" s="22" t="n">
        <v>0</v>
      </c>
      <c r="U10" s="22" t="n">
        <v>0</v>
      </c>
      <c r="V10" s="22" t="n">
        <v>0</v>
      </c>
      <c r="W10" s="22" t="n">
        <v>0</v>
      </c>
      <c r="X10" s="22" t="n">
        <v>0</v>
      </c>
      <c r="Y10" s="22" t="n">
        <v>0</v>
      </c>
      <c r="Z10" s="22" t="n">
        <v>0</v>
      </c>
      <c r="AA10" s="22" t="n">
        <v>0</v>
      </c>
      <c r="AB10" s="22" t="n">
        <v>0</v>
      </c>
      <c r="AC10" s="22" t="n">
        <v>0</v>
      </c>
      <c r="AD10" s="22" t="n">
        <v>0</v>
      </c>
      <c r="AE10" s="22" t="n">
        <v>0</v>
      </c>
      <c r="AG10" s="20" t="inlineStr">
        <is>
          <t>egy.mit.cpeff.all.all.3</t>
        </is>
      </c>
      <c r="AH10" s="22" t="n">
        <v>0</v>
      </c>
      <c r="AI10" s="22" t="n">
        <v>0</v>
      </c>
      <c r="AJ10" s="22" t="n">
        <v>0</v>
      </c>
      <c r="AK10" s="22" t="n">
        <v>0</v>
      </c>
      <c r="AL10" s="22" t="n">
        <v>0</v>
      </c>
      <c r="AM10" s="22" t="n">
        <v>19.97297178833673</v>
      </c>
      <c r="AN10" s="22" t="n">
        <v>19.97157009806325</v>
      </c>
      <c r="AO10" s="22" t="n">
        <v>19.97156590888179</v>
      </c>
      <c r="AP10" s="22" t="n">
        <v>19.97115500088651</v>
      </c>
      <c r="AQ10" s="22" t="n">
        <v>19.97064633960282</v>
      </c>
      <c r="AR10" s="22" t="n">
        <v>19.96995679347761</v>
      </c>
      <c r="AS10" s="22" t="n">
        <v>19.96963882334964</v>
      </c>
      <c r="AT10" s="22" t="n">
        <v>19.96915783168002</v>
      </c>
      <c r="AU10" s="22" t="n">
        <v>19.9687748846128</v>
      </c>
      <c r="AV10" s="22" t="n">
        <v>19.96839333965703</v>
      </c>
      <c r="AW10" s="22" t="n">
        <v>19.96802012449924</v>
      </c>
      <c r="AX10" s="22" t="n">
        <v>19.96765151345276</v>
      </c>
      <c r="AY10" s="22" t="n">
        <v>19.96729188705608</v>
      </c>
      <c r="AZ10" s="22" t="n">
        <v>19.96693762546971</v>
      </c>
      <c r="BA10" s="22" t="n">
        <v>19.96659317195725</v>
      </c>
      <c r="BC10" s="20" t="inlineStr">
        <is>
          <t>egy.mit.cpeff.all.all.4</t>
        </is>
      </c>
      <c r="BD10" s="22" t="n">
        <v>0</v>
      </c>
      <c r="BE10" s="22" t="n">
        <v>0</v>
      </c>
      <c r="BF10" s="22" t="n">
        <v>0</v>
      </c>
      <c r="BG10" s="22" t="n">
        <v>0</v>
      </c>
      <c r="BH10" s="22" t="n">
        <v>0</v>
      </c>
      <c r="BI10" s="22" t="n">
        <v>9.987178941747679</v>
      </c>
      <c r="BJ10" s="22" t="n">
        <v>23.30132826049003</v>
      </c>
      <c r="BK10" s="22" t="n">
        <v>36.61256842150038</v>
      </c>
      <c r="BL10" s="22" t="n">
        <v>49.92221547801757</v>
      </c>
      <c r="BM10" s="22" t="n">
        <v>63.22912244169764</v>
      </c>
      <c r="BN10" s="22" t="n">
        <v>76.53144446161829</v>
      </c>
      <c r="BO10" s="22" t="n">
        <v>89.832756822639</v>
      </c>
      <c r="BP10" s="22" t="n">
        <v>103.1291449780154</v>
      </c>
      <c r="BQ10" s="22" t="n">
        <v>116.4240278357745</v>
      </c>
      <c r="BR10" s="22" t="n">
        <v>129.7139399721328</v>
      </c>
      <c r="BS10" s="22" t="n">
        <v>143.0023705955794</v>
      </c>
      <c r="BT10" s="22" t="n">
        <v>156.2848055405283</v>
      </c>
      <c r="BU10" s="22" t="n">
        <v>169.5668341195099</v>
      </c>
      <c r="BV10" s="22" t="n">
        <v>182.840643713692</v>
      </c>
      <c r="BW10" s="22" t="n">
        <v>196.1172726496741</v>
      </c>
      <c r="BY10" s="20" t="inlineStr">
        <is>
          <t>egy.mit.cpeff.all.all.5</t>
        </is>
      </c>
      <c r="BZ10" s="22" t="n">
        <v>0</v>
      </c>
      <c r="CA10" s="22" t="n">
        <v>0</v>
      </c>
      <c r="CB10" s="22" t="n">
        <v>0</v>
      </c>
      <c r="CC10" s="22" t="n">
        <v>0</v>
      </c>
      <c r="CD10" s="22" t="n">
        <v>0</v>
      </c>
      <c r="CE10" s="22" t="n">
        <v>12.80559855502023</v>
      </c>
      <c r="CF10" s="22" t="n">
        <v>12.84187472199287</v>
      </c>
      <c r="CG10" s="22" t="n">
        <v>12.85859896439469</v>
      </c>
      <c r="CH10" s="22" t="n">
        <v>12.92210101113867</v>
      </c>
      <c r="CI10" s="22" t="n">
        <v>13.19411390016788</v>
      </c>
      <c r="CJ10" s="22" t="n">
        <v>13.54292172152939</v>
      </c>
      <c r="CK10" s="22" t="n">
        <v>13.68779968769392</v>
      </c>
      <c r="CL10" s="22" t="n">
        <v>14.05745167806259</v>
      </c>
      <c r="CM10" s="22" t="n">
        <v>14.36169158458395</v>
      </c>
      <c r="CN10" s="22" t="n">
        <v>14.6425887395382</v>
      </c>
      <c r="CO10" s="22" t="n">
        <v>14.95866622919798</v>
      </c>
      <c r="CP10" s="22" t="n">
        <v>15.2433493350221</v>
      </c>
      <c r="CQ10" s="22" t="n">
        <v>15.51453360039129</v>
      </c>
      <c r="CR10" s="22" t="n">
        <v>15.79240528131251</v>
      </c>
      <c r="CS10" s="22" t="n">
        <v>16.04548148742481</v>
      </c>
      <c r="CU10" s="20" t="inlineStr">
        <is>
          <t>egy.mit.cpeff.all.all.6</t>
        </is>
      </c>
      <c r="CV10" s="22" t="n">
        <v>0</v>
      </c>
      <c r="CW10" s="22" t="n">
        <v>0</v>
      </c>
      <c r="CX10" s="22" t="n">
        <v>0</v>
      </c>
      <c r="CY10" s="22" t="n">
        <v>0</v>
      </c>
      <c r="CZ10" s="22" t="n">
        <v>0</v>
      </c>
      <c r="DA10" s="22" t="n">
        <v>49.92575323813875</v>
      </c>
      <c r="DB10" s="22" t="n">
        <v>49.91742895588333</v>
      </c>
      <c r="DC10" s="22" t="n">
        <v>49.91762347174059</v>
      </c>
      <c r="DD10" s="22" t="n">
        <v>49.91565672275469</v>
      </c>
      <c r="DE10" s="22" t="n">
        <v>49.91561471227255</v>
      </c>
      <c r="DF10" s="22" t="n">
        <v>49.91252837522934</v>
      </c>
      <c r="DG10" s="22" t="n">
        <v>49.91106089077005</v>
      </c>
      <c r="DH10" s="22" t="n">
        <v>49.90834747582555</v>
      </c>
      <c r="DI10" s="22" t="n">
        <v>49.90635906228267</v>
      </c>
      <c r="DJ10" s="22" t="n">
        <v>49.90403748848164</v>
      </c>
      <c r="DK10" s="22" t="n">
        <v>49.90205692778914</v>
      </c>
      <c r="DL10" s="22" t="n">
        <v>49.89981840063702</v>
      </c>
      <c r="DM10" s="22" t="n">
        <v>49.89795714552505</v>
      </c>
      <c r="DN10" s="22" t="n">
        <v>49.89588223715382</v>
      </c>
      <c r="DO10" s="22" t="n">
        <v>49.89415318845933</v>
      </c>
    </row>
    <row r="11">
      <c r="A11" s="19" t="inlineStr">
        <is>
          <t>mit.ets.p</t>
        </is>
      </c>
      <c r="B11" s="3" t="inlineStr">
        <is>
          <t>mit</t>
        </is>
      </c>
      <c r="C11" s="19" t="inlineStr">
        <is>
          <t>mit.etstraj</t>
        </is>
      </c>
      <c r="H11" s="3" t="inlineStr">
        <is>
          <t>ETS permit price used</t>
        </is>
      </c>
      <c r="I11" s="3" t="inlineStr">
        <is>
          <t>USD/tCO2 real</t>
        </is>
      </c>
      <c r="K11" s="20" t="inlineStr">
        <is>
          <t>egy.mit.ets.p.1</t>
        </is>
      </c>
      <c r="L11" s="21" t="n">
        <v>0</v>
      </c>
      <c r="M11" s="21" t="n">
        <v>0</v>
      </c>
      <c r="N11" s="21" t="n">
        <v>0</v>
      </c>
      <c r="O11" s="21" t="n">
        <v>0</v>
      </c>
      <c r="P11" s="21" t="n">
        <v>0</v>
      </c>
      <c r="Q11" s="21" t="n">
        <v>0</v>
      </c>
      <c r="R11" s="21" t="n">
        <v>0</v>
      </c>
      <c r="S11" s="21" t="n">
        <v>0</v>
      </c>
      <c r="T11" s="21" t="n">
        <v>0</v>
      </c>
      <c r="U11" s="21" t="n">
        <v>0</v>
      </c>
      <c r="V11" s="21" t="n">
        <v>0</v>
      </c>
      <c r="W11" s="21" t="n">
        <v>0</v>
      </c>
      <c r="X11" s="21" t="n">
        <v>0</v>
      </c>
      <c r="Y11" s="21" t="n">
        <v>0</v>
      </c>
      <c r="Z11" s="21" t="n">
        <v>0</v>
      </c>
      <c r="AA11" s="21" t="n">
        <v>0</v>
      </c>
      <c r="AB11" s="21" t="n">
        <v>0</v>
      </c>
      <c r="AC11" s="21" t="n">
        <v>0</v>
      </c>
      <c r="AD11" s="21" t="n">
        <v>0</v>
      </c>
      <c r="AE11" s="21" t="n">
        <v>0</v>
      </c>
      <c r="AG11" s="20" t="inlineStr">
        <is>
          <t>egy.mit.ets.p.3</t>
        </is>
      </c>
      <c r="AH11" s="21" t="n">
        <v>0</v>
      </c>
      <c r="AI11" s="21" t="n">
        <v>0</v>
      </c>
      <c r="AJ11" s="21" t="n">
        <v>0</v>
      </c>
      <c r="AK11" s="21" t="n">
        <v>0</v>
      </c>
      <c r="AL11" s="21" t="n">
        <v>0</v>
      </c>
      <c r="AM11" s="21" t="n">
        <v>0</v>
      </c>
      <c r="AN11" s="21" t="n">
        <v>0</v>
      </c>
      <c r="AO11" s="21" t="n">
        <v>0</v>
      </c>
      <c r="AP11" s="21" t="n">
        <v>0</v>
      </c>
      <c r="AQ11" s="21" t="n">
        <v>0</v>
      </c>
      <c r="AR11" s="21" t="n">
        <v>0</v>
      </c>
      <c r="AS11" s="21" t="n">
        <v>0</v>
      </c>
      <c r="AT11" s="21" t="n">
        <v>0</v>
      </c>
      <c r="AU11" s="21" t="n">
        <v>0</v>
      </c>
      <c r="AV11" s="21" t="n">
        <v>0</v>
      </c>
      <c r="AW11" s="21" t="n">
        <v>0</v>
      </c>
      <c r="AX11" s="21" t="n">
        <v>0</v>
      </c>
      <c r="AY11" s="21" t="n">
        <v>0</v>
      </c>
      <c r="AZ11" s="21" t="n">
        <v>0</v>
      </c>
      <c r="BA11" s="21" t="n">
        <v>0</v>
      </c>
      <c r="BC11" s="20" t="inlineStr">
        <is>
          <t>egy.mit.ets.p.4</t>
        </is>
      </c>
      <c r="BD11" s="21" t="n">
        <v>0</v>
      </c>
      <c r="BE11" s="21" t="n">
        <v>0</v>
      </c>
      <c r="BF11" s="21" t="n">
        <v>0</v>
      </c>
      <c r="BG11" s="21" t="n">
        <v>0</v>
      </c>
      <c r="BH11" s="21" t="n">
        <v>0</v>
      </c>
      <c r="BI11" s="21" t="n">
        <v>0</v>
      </c>
      <c r="BJ11" s="21" t="n">
        <v>0</v>
      </c>
      <c r="BK11" s="21" t="n">
        <v>0</v>
      </c>
      <c r="BL11" s="21" t="n">
        <v>0</v>
      </c>
      <c r="BM11" s="21" t="n">
        <v>0</v>
      </c>
      <c r="BN11" s="21" t="n">
        <v>0</v>
      </c>
      <c r="BO11" s="21" t="n">
        <v>0</v>
      </c>
      <c r="BP11" s="21" t="n">
        <v>0</v>
      </c>
      <c r="BQ11" s="21" t="n">
        <v>0</v>
      </c>
      <c r="BR11" s="21" t="n">
        <v>0</v>
      </c>
      <c r="BS11" s="21" t="n">
        <v>0</v>
      </c>
      <c r="BT11" s="21" t="n">
        <v>0</v>
      </c>
      <c r="BU11" s="21" t="n">
        <v>0</v>
      </c>
      <c r="BV11" s="21" t="n">
        <v>0</v>
      </c>
      <c r="BW11" s="21" t="n">
        <v>0</v>
      </c>
      <c r="BY11" s="20" t="inlineStr">
        <is>
          <t>egy.mit.ets.p.5</t>
        </is>
      </c>
      <c r="BZ11" s="21" t="n">
        <v>0</v>
      </c>
      <c r="CA11" s="21" t="n">
        <v>0</v>
      </c>
      <c r="CB11" s="21" t="n">
        <v>0</v>
      </c>
      <c r="CC11" s="21" t="n">
        <v>0</v>
      </c>
      <c r="CD11" s="21" t="n">
        <v>0</v>
      </c>
      <c r="CE11" s="21" t="n">
        <v>35.85513860553348</v>
      </c>
      <c r="CF11" s="21" t="n">
        <v>49.73812004499954</v>
      </c>
      <c r="CG11" s="21" t="n">
        <v>63.89490692808521</v>
      </c>
      <c r="CH11" s="21" t="n">
        <v>78.26327905531828</v>
      </c>
      <c r="CI11" s="21" t="n">
        <v>92.62436879371099</v>
      </c>
      <c r="CJ11" s="21" t="n">
        <v>107.145935472941</v>
      </c>
      <c r="CK11" s="21" t="n">
        <v>122.1917353167337</v>
      </c>
      <c r="CL11" s="21" t="n">
        <v>137.4409329676996</v>
      </c>
      <c r="CM11" s="21" t="n">
        <v>153.0381881821849</v>
      </c>
      <c r="CN11" s="21" t="n">
        <v>160.5783559003207</v>
      </c>
      <c r="CO11" s="21" t="n">
        <v>168.337965955435</v>
      </c>
      <c r="CP11" s="21" t="n">
        <v>176.2326674642656</v>
      </c>
      <c r="CQ11" s="21" t="n">
        <v>184.2693497581946</v>
      </c>
      <c r="CR11" s="21" t="n">
        <v>192.4993109784843</v>
      </c>
      <c r="CS11" s="21" t="n">
        <v>200.9331551501827</v>
      </c>
      <c r="CU11" s="20" t="inlineStr">
        <is>
          <t>egy.mit.ets.p.6</t>
        </is>
      </c>
      <c r="CV11" s="21" t="n">
        <v>0</v>
      </c>
      <c r="CW11" s="21" t="n">
        <v>0</v>
      </c>
      <c r="CX11" s="21" t="n">
        <v>0</v>
      </c>
      <c r="CY11" s="21" t="n">
        <v>0</v>
      </c>
      <c r="CZ11" s="21" t="n">
        <v>0</v>
      </c>
      <c r="DA11" s="21" t="n">
        <v>0</v>
      </c>
      <c r="DB11" s="21" t="n">
        <v>0</v>
      </c>
      <c r="DC11" s="21" t="n">
        <v>0</v>
      </c>
      <c r="DD11" s="21" t="n">
        <v>0</v>
      </c>
      <c r="DE11" s="21" t="n">
        <v>0</v>
      </c>
      <c r="DF11" s="21" t="n">
        <v>0</v>
      </c>
      <c r="DG11" s="21" t="n">
        <v>0</v>
      </c>
      <c r="DH11" s="21" t="n">
        <v>0</v>
      </c>
      <c r="DI11" s="21" t="n">
        <v>0</v>
      </c>
      <c r="DJ11" s="21" t="n">
        <v>0</v>
      </c>
      <c r="DK11" s="21" t="n">
        <v>0</v>
      </c>
      <c r="DL11" s="21" t="n">
        <v>0</v>
      </c>
      <c r="DM11" s="21" t="n">
        <v>0</v>
      </c>
      <c r="DN11" s="21" t="n">
        <v>0</v>
      </c>
      <c r="DO11" s="21" t="n">
        <v>0</v>
      </c>
    </row>
    <row r="12">
      <c r="A12" s="19" t="inlineStr">
        <is>
          <t>mit.cov.ct.pow.all</t>
        </is>
      </c>
      <c r="B12" s="3" t="inlineStr">
        <is>
          <t>mit</t>
        </is>
      </c>
      <c r="C12" s="19" t="inlineStr">
        <is>
          <t>mit.co2cov.pow.cont</t>
        </is>
      </c>
      <c r="H12" s="3" t="inlineStr">
        <is>
          <t>Share of energy CO2 covered by the new carbon tax | Power | All fuels</t>
        </is>
      </c>
      <c r="I12" s="3" t="inlineStr">
        <is>
          <t>%</t>
        </is>
      </c>
      <c r="K12" s="20" t="inlineStr">
        <is>
          <t>egy.mit.cov.ct.pow.all.1</t>
        </is>
      </c>
      <c r="L12" s="3" t="n">
        <v>0</v>
      </c>
      <c r="M12" s="3" t="n">
        <v>0</v>
      </c>
      <c r="N12" s="3" t="n">
        <v>0</v>
      </c>
      <c r="O12" s="3" t="n">
        <v>0</v>
      </c>
      <c r="P12" s="3" t="n">
        <v>0</v>
      </c>
      <c r="Q12" s="3" t="n">
        <v>0</v>
      </c>
      <c r="R12" s="3" t="n">
        <v>0</v>
      </c>
      <c r="S12" s="3" t="n">
        <v>0</v>
      </c>
      <c r="T12" s="3" t="n">
        <v>0</v>
      </c>
      <c r="U12" s="3" t="n">
        <v>0</v>
      </c>
      <c r="V12" s="3" t="n">
        <v>0</v>
      </c>
      <c r="W12" s="3" t="n">
        <v>0</v>
      </c>
      <c r="X12" s="3" t="n">
        <v>0</v>
      </c>
      <c r="Y12" s="3" t="n">
        <v>0</v>
      </c>
      <c r="Z12" s="3" t="n">
        <v>0</v>
      </c>
      <c r="AA12" s="3" t="n">
        <v>0</v>
      </c>
      <c r="AB12" s="3" t="n">
        <v>0</v>
      </c>
      <c r="AC12" s="3" t="n">
        <v>0</v>
      </c>
      <c r="AD12" s="3" t="n">
        <v>0</v>
      </c>
      <c r="AE12" s="3" t="n">
        <v>0</v>
      </c>
      <c r="AG12" s="20" t="inlineStr">
        <is>
          <t>egy.mit.cov.ct.pow.all.3</t>
        </is>
      </c>
      <c r="AH12" s="3" t="n">
        <v>0</v>
      </c>
      <c r="AI12" s="3" t="n">
        <v>0</v>
      </c>
      <c r="AJ12" s="3" t="n">
        <v>0</v>
      </c>
      <c r="AK12" s="3" t="n">
        <v>0</v>
      </c>
      <c r="AL12" s="3" t="n">
        <v>0</v>
      </c>
      <c r="AM12" s="3" t="n">
        <v>0.4223342039414696</v>
      </c>
      <c r="AN12" s="3" t="n">
        <v>0.3976769682901597</v>
      </c>
      <c r="AO12" s="3" t="n">
        <v>0.4025579904675765</v>
      </c>
      <c r="AP12" s="3" t="n">
        <v>0.3984078439036884</v>
      </c>
      <c r="AQ12" s="3" t="n">
        <v>0.3923501123090258</v>
      </c>
      <c r="AR12" s="3" t="n">
        <v>0.3826479452751717</v>
      </c>
      <c r="AS12" s="3" t="n">
        <v>0.3807063510033649</v>
      </c>
      <c r="AT12" s="3" t="n">
        <v>0.3754806053986233</v>
      </c>
      <c r="AU12" s="3" t="n">
        <v>0.3722267622332695</v>
      </c>
      <c r="AV12" s="3" t="n">
        <v>0.3690109993970403</v>
      </c>
      <c r="AW12" s="3" t="n">
        <v>0.3659918564001564</v>
      </c>
      <c r="AX12" s="3" t="n">
        <v>0.3630146781857214</v>
      </c>
      <c r="AY12" s="3" t="n">
        <v>0.3601822388895856</v>
      </c>
      <c r="AZ12" s="3" t="n">
        <v>0.3573970896854661</v>
      </c>
      <c r="BA12" s="3" t="n">
        <v>0.354776638168792</v>
      </c>
      <c r="BC12" s="20" t="inlineStr">
        <is>
          <t>egy.mit.cov.ct.pow.all.4</t>
        </is>
      </c>
      <c r="BD12" s="3" t="n">
        <v>0</v>
      </c>
      <c r="BE12" s="3" t="n">
        <v>0</v>
      </c>
      <c r="BF12" s="3" t="n">
        <v>0</v>
      </c>
      <c r="BG12" s="3" t="n">
        <v>0</v>
      </c>
      <c r="BH12" s="3" t="n">
        <v>0</v>
      </c>
      <c r="BI12" s="3" t="n">
        <v>0.4086718365956038</v>
      </c>
      <c r="BJ12" s="3" t="n">
        <v>0.4206838605999154</v>
      </c>
      <c r="BK12" s="3" t="n">
        <v>0.4214115386383168</v>
      </c>
      <c r="BL12" s="3" t="n">
        <v>0.4278192405771254</v>
      </c>
      <c r="BM12" s="3" t="n">
        <v>0.4334707281802017</v>
      </c>
      <c r="BN12" s="3" t="n">
        <v>0.4285035536096157</v>
      </c>
      <c r="BO12" s="3" t="n">
        <v>0.4308587107566384</v>
      </c>
      <c r="BP12" s="3" t="n">
        <v>0.4258238596938544</v>
      </c>
      <c r="BQ12" s="3" t="n">
        <v>0.4248337974882739</v>
      </c>
      <c r="BR12" s="3" t="n">
        <v>0.4192031022159823</v>
      </c>
      <c r="BS12" s="3" t="n">
        <v>0.4169284046590064</v>
      </c>
      <c r="BT12" s="3" t="n">
        <v>0.40987620487106</v>
      </c>
      <c r="BU12" s="3" t="n">
        <v>0.407350433380305</v>
      </c>
      <c r="BV12" s="3" t="n">
        <v>0.3984204904958328</v>
      </c>
      <c r="BW12" s="3" t="n">
        <v>0.3971579034976386</v>
      </c>
      <c r="BY12" s="20" t="inlineStr">
        <is>
          <t>egy.mit.cov.ct.pow.all.5</t>
        </is>
      </c>
      <c r="BZ12" s="3" t="n">
        <v>0</v>
      </c>
      <c r="CA12" s="3" t="n">
        <v>0</v>
      </c>
      <c r="CB12" s="3" t="n">
        <v>0</v>
      </c>
      <c r="CC12" s="3" t="n">
        <v>0</v>
      </c>
      <c r="CD12" s="3" t="n">
        <v>0</v>
      </c>
      <c r="CE12" s="3" t="n">
        <v>0</v>
      </c>
      <c r="CF12" s="3" t="n">
        <v>0</v>
      </c>
      <c r="CG12" s="3" t="n">
        <v>0</v>
      </c>
      <c r="CH12" s="3" t="n">
        <v>0</v>
      </c>
      <c r="CI12" s="3" t="n">
        <v>0</v>
      </c>
      <c r="CJ12" s="3" t="n">
        <v>0</v>
      </c>
      <c r="CK12" s="3" t="n">
        <v>0</v>
      </c>
      <c r="CL12" s="3" t="n">
        <v>0</v>
      </c>
      <c r="CM12" s="3" t="n">
        <v>0</v>
      </c>
      <c r="CN12" s="3" t="n">
        <v>0</v>
      </c>
      <c r="CO12" s="3" t="n">
        <v>0</v>
      </c>
      <c r="CP12" s="3" t="n">
        <v>0</v>
      </c>
      <c r="CQ12" s="3" t="n">
        <v>0</v>
      </c>
      <c r="CR12" s="3" t="n">
        <v>0</v>
      </c>
      <c r="CS12" s="3" t="n">
        <v>0</v>
      </c>
      <c r="CU12" s="20" t="inlineStr">
        <is>
          <t>egy.mit.cov.ct.pow.all.6</t>
        </is>
      </c>
      <c r="CV12" s="3" t="n">
        <v>0</v>
      </c>
      <c r="CW12" s="3" t="n">
        <v>0</v>
      </c>
      <c r="CX12" s="3" t="n">
        <v>0</v>
      </c>
      <c r="CY12" s="3" t="n">
        <v>0</v>
      </c>
      <c r="CZ12" s="3" t="n">
        <v>0</v>
      </c>
      <c r="DA12" s="3" t="n">
        <v>0.4637516935262469</v>
      </c>
      <c r="DB12" s="3" t="n">
        <v>0.4088191465275373</v>
      </c>
      <c r="DC12" s="3" t="n">
        <v>0.4151214801715801</v>
      </c>
      <c r="DD12" s="3" t="n">
        <v>0.4054784043490554</v>
      </c>
      <c r="DE12" s="3" t="n">
        <v>0.4096386695844533</v>
      </c>
      <c r="DF12" s="3" t="n">
        <v>0.3924809829438742</v>
      </c>
      <c r="DG12" s="3" t="n">
        <v>0.3868877342513582</v>
      </c>
      <c r="DH12" s="3" t="n">
        <v>0.3728724256466309</v>
      </c>
      <c r="DI12" s="3" t="n">
        <v>0.3638938979040288</v>
      </c>
      <c r="DJ12" s="3" t="n">
        <v>0.3527776083736645</v>
      </c>
      <c r="DK12" s="3" t="n">
        <v>0.3441327620504057</v>
      </c>
      <c r="DL12" s="3" t="n">
        <v>0.3337538605155878</v>
      </c>
      <c r="DM12" s="3" t="n">
        <v>0.3259156386071116</v>
      </c>
      <c r="DN12" s="3" t="n">
        <v>0.316629046160865</v>
      </c>
      <c r="DO12" s="3" t="n">
        <v>0.3096426828661061</v>
      </c>
    </row>
    <row r="13">
      <c r="A13" s="19" t="inlineStr">
        <is>
          <t>mit.cov.ct.tra.all</t>
        </is>
      </c>
      <c r="B13" s="3" t="inlineStr">
        <is>
          <t>mit</t>
        </is>
      </c>
      <c r="C13" s="19" t="inlineStr">
        <is>
          <t>mit.co2cov.tra.cont</t>
        </is>
      </c>
      <c r="H13" s="3" t="inlineStr">
        <is>
          <t>Share of energy CO2 covered by the new carbon tax | Transport | All fuels</t>
        </is>
      </c>
      <c r="I13" s="3" t="inlineStr">
        <is>
          <t>%</t>
        </is>
      </c>
      <c r="K13" s="20" t="inlineStr">
        <is>
          <t>egy.mit.cov.ct.tra.all.1</t>
        </is>
      </c>
      <c r="L13" s="3" t="n">
        <v>0</v>
      </c>
      <c r="M13" s="3" t="n">
        <v>0</v>
      </c>
      <c r="N13" s="3" t="n">
        <v>0</v>
      </c>
      <c r="O13" s="3" t="n">
        <v>0</v>
      </c>
      <c r="P13" s="3" t="n">
        <v>0</v>
      </c>
      <c r="Q13" s="3" t="n">
        <v>0</v>
      </c>
      <c r="R13" s="3" t="n">
        <v>0</v>
      </c>
      <c r="S13" s="3" t="n">
        <v>0</v>
      </c>
      <c r="T13" s="3" t="n">
        <v>0</v>
      </c>
      <c r="U13" s="3" t="n">
        <v>0</v>
      </c>
      <c r="V13" s="3" t="n">
        <v>0</v>
      </c>
      <c r="W13" s="3" t="n">
        <v>0</v>
      </c>
      <c r="X13" s="3" t="n">
        <v>0</v>
      </c>
      <c r="Y13" s="3" t="n">
        <v>0</v>
      </c>
      <c r="Z13" s="3" t="n">
        <v>0</v>
      </c>
      <c r="AA13" s="3" t="n">
        <v>0</v>
      </c>
      <c r="AB13" s="3" t="n">
        <v>0</v>
      </c>
      <c r="AC13" s="3" t="n">
        <v>0</v>
      </c>
      <c r="AD13" s="3" t="n">
        <v>0</v>
      </c>
      <c r="AE13" s="3" t="n">
        <v>0</v>
      </c>
      <c r="AG13" s="20" t="inlineStr">
        <is>
          <t>egy.mit.cov.ct.tra.all.3</t>
        </is>
      </c>
      <c r="AH13" s="3" t="n">
        <v>0</v>
      </c>
      <c r="AI13" s="3" t="n">
        <v>0</v>
      </c>
      <c r="AJ13" s="3" t="n">
        <v>0</v>
      </c>
      <c r="AK13" s="3" t="n">
        <v>0</v>
      </c>
      <c r="AL13" s="3" t="n">
        <v>0</v>
      </c>
      <c r="AM13" s="3" t="n">
        <v>0.2603312289450853</v>
      </c>
      <c r="AN13" s="3" t="n">
        <v>0.2706839352948625</v>
      </c>
      <c r="AO13" s="3" t="n">
        <v>0.2677315945530518</v>
      </c>
      <c r="AP13" s="3" t="n">
        <v>0.2688431129663344</v>
      </c>
      <c r="AQ13" s="3" t="n">
        <v>0.2707780847049174</v>
      </c>
      <c r="AR13" s="3" t="n">
        <v>0.2743547502018245</v>
      </c>
      <c r="AS13" s="3" t="n">
        <v>0.2744510193692206</v>
      </c>
      <c r="AT13" s="3" t="n">
        <v>0.2759805466873018</v>
      </c>
      <c r="AU13" s="3" t="n">
        <v>0.2766212039390298</v>
      </c>
      <c r="AV13" s="3" t="n">
        <v>0.2772267614149544</v>
      </c>
      <c r="AW13" s="3" t="n">
        <v>0.2777255521123572</v>
      </c>
      <c r="AX13" s="3" t="n">
        <v>0.2781950419014111</v>
      </c>
      <c r="AY13" s="3" t="n">
        <v>0.2785893513231189</v>
      </c>
      <c r="AZ13" s="3" t="n">
        <v>0.2789552522382237</v>
      </c>
      <c r="BA13" s="3" t="n">
        <v>0.2792386945420484</v>
      </c>
      <c r="BC13" s="20" t="inlineStr">
        <is>
          <t>egy.mit.cov.ct.tra.all.4</t>
        </is>
      </c>
      <c r="BD13" s="3" t="n">
        <v>0</v>
      </c>
      <c r="BE13" s="3" t="n">
        <v>0</v>
      </c>
      <c r="BF13" s="3" t="n">
        <v>0</v>
      </c>
      <c r="BG13" s="3" t="n">
        <v>0</v>
      </c>
      <c r="BH13" s="3" t="n">
        <v>0</v>
      </c>
      <c r="BI13" s="3" t="n">
        <v>0.2598300919628002</v>
      </c>
      <c r="BJ13" s="3" t="n">
        <v>0.2605121696550791</v>
      </c>
      <c r="BK13" s="3" t="n">
        <v>0.2649727246443174</v>
      </c>
      <c r="BL13" s="3" t="n">
        <v>0.2659532660612454</v>
      </c>
      <c r="BM13" s="3" t="n">
        <v>0.2670901987524106</v>
      </c>
      <c r="BN13" s="3" t="n">
        <v>0.2726893932623552</v>
      </c>
      <c r="BO13" s="3" t="n">
        <v>0.2743488318098543</v>
      </c>
      <c r="BP13" s="3" t="n">
        <v>0.2791970918946319</v>
      </c>
      <c r="BQ13" s="3" t="n">
        <v>0.2817804423628658</v>
      </c>
      <c r="BR13" s="3" t="n">
        <v>0.2863835523694072</v>
      </c>
      <c r="BS13" s="3" t="n">
        <v>0.2891145860580446</v>
      </c>
      <c r="BT13" s="3" t="n">
        <v>0.2940294627381702</v>
      </c>
      <c r="BU13" s="3" t="n">
        <v>0.2965284528908697</v>
      </c>
      <c r="BV13" s="3" t="n">
        <v>0.3020962947697906</v>
      </c>
      <c r="BW13" s="3" t="n">
        <v>0.3036926959907614</v>
      </c>
      <c r="BY13" s="20" t="inlineStr">
        <is>
          <t>egy.mit.cov.ct.tra.all.5</t>
        </is>
      </c>
      <c r="BZ13" s="3" t="n">
        <v>0</v>
      </c>
      <c r="CA13" s="3" t="n">
        <v>0</v>
      </c>
      <c r="CB13" s="3" t="n">
        <v>0</v>
      </c>
      <c r="CC13" s="3" t="n">
        <v>0</v>
      </c>
      <c r="CD13" s="3" t="n">
        <v>0</v>
      </c>
      <c r="CE13" s="3" t="n">
        <v>0.2583459483838106</v>
      </c>
      <c r="CF13" s="3" t="n">
        <v>0.258512947596257</v>
      </c>
      <c r="CG13" s="3" t="n">
        <v>0.2582772847078306</v>
      </c>
      <c r="CH13" s="3" t="n">
        <v>0.2589842299462258</v>
      </c>
      <c r="CI13" s="3" t="n">
        <v>0.2638396684138528</v>
      </c>
      <c r="CJ13" s="3" t="n">
        <v>0.2701974993090082</v>
      </c>
      <c r="CK13" s="3" t="n">
        <v>0.2724487326557151</v>
      </c>
      <c r="CL13" s="3" t="n">
        <v>0.2791402180785049</v>
      </c>
      <c r="CM13" s="3" t="n">
        <v>0.2844927483233751</v>
      </c>
      <c r="CN13" s="3" t="n">
        <v>0.2893447844242823</v>
      </c>
      <c r="CO13" s="3" t="n">
        <v>0.2948519099356252</v>
      </c>
      <c r="CP13" s="3" t="n">
        <v>0.2997054023334381</v>
      </c>
      <c r="CQ13" s="3" t="n">
        <v>0.3042588341084469</v>
      </c>
      <c r="CR13" s="3" t="n">
        <v>0.30891221016438</v>
      </c>
      <c r="CS13" s="3" t="n">
        <v>0.3130465657183946</v>
      </c>
      <c r="CU13" s="20" t="inlineStr">
        <is>
          <t>egy.mit.cov.ct.tra.all.6</t>
        </is>
      </c>
      <c r="CV13" s="3" t="n">
        <v>0</v>
      </c>
      <c r="CW13" s="3" t="n">
        <v>0</v>
      </c>
      <c r="CX13" s="3" t="n">
        <v>0</v>
      </c>
      <c r="CY13" s="3" t="n">
        <v>0</v>
      </c>
      <c r="CZ13" s="3" t="n">
        <v>0</v>
      </c>
      <c r="DA13" s="3" t="n">
        <v>0.2538361654305329</v>
      </c>
      <c r="DB13" s="3" t="n">
        <v>0.2790574020463013</v>
      </c>
      <c r="DC13" s="3" t="n">
        <v>0.2753024512210296</v>
      </c>
      <c r="DD13" s="3" t="n">
        <v>0.2790835271592698</v>
      </c>
      <c r="DE13" s="3" t="n">
        <v>0.2763488534188631</v>
      </c>
      <c r="DF13" s="3" t="n">
        <v>0.2836131838994788</v>
      </c>
      <c r="DG13" s="3" t="n">
        <v>0.2854205515740866</v>
      </c>
      <c r="DH13" s="3" t="n">
        <v>0.2911054267634168</v>
      </c>
      <c r="DI13" s="3" t="n">
        <v>0.2944167278243032</v>
      </c>
      <c r="DJ13" s="3" t="n">
        <v>0.2986775951174585</v>
      </c>
      <c r="DK13" s="3" t="n">
        <v>0.3017516597065563</v>
      </c>
      <c r="DL13" s="3" t="n">
        <v>0.3055999206216891</v>
      </c>
      <c r="DM13" s="3" t="n">
        <v>0.3082555285839588</v>
      </c>
      <c r="DN13" s="3" t="n">
        <v>0.3115572877099798</v>
      </c>
      <c r="DO13" s="3" t="n">
        <v>0.3137859105373748</v>
      </c>
    </row>
    <row r="14">
      <c r="A14" s="19" t="inlineStr">
        <is>
          <t>mit.cov.ct.bld.all</t>
        </is>
      </c>
      <c r="B14" s="3" t="inlineStr">
        <is>
          <t>mit</t>
        </is>
      </c>
      <c r="C14" s="19" t="inlineStr">
        <is>
          <t>mit.co2cov.res.cont</t>
        </is>
      </c>
      <c r="H14" s="3" t="inlineStr">
        <is>
          <t>Share of energy CO2 covered by the new carbon tax | Buildings | All fuels</t>
        </is>
      </c>
      <c r="I14" s="3" t="inlineStr">
        <is>
          <t>%</t>
        </is>
      </c>
      <c r="K14" s="20" t="inlineStr">
        <is>
          <t>egy.mit.cov.ct.bld.all.1</t>
        </is>
      </c>
      <c r="L14" s="3" t="n">
        <v>0</v>
      </c>
      <c r="M14" s="3" t="n">
        <v>0</v>
      </c>
      <c r="N14" s="3" t="n">
        <v>0</v>
      </c>
      <c r="O14" s="3" t="n">
        <v>0</v>
      </c>
      <c r="P14" s="3" t="n">
        <v>0</v>
      </c>
      <c r="Q14" s="3" t="n">
        <v>0</v>
      </c>
      <c r="R14" s="3" t="n">
        <v>0</v>
      </c>
      <c r="S14" s="3" t="n">
        <v>0</v>
      </c>
      <c r="T14" s="3" t="n">
        <v>0</v>
      </c>
      <c r="U14" s="3" t="n">
        <v>0</v>
      </c>
      <c r="V14" s="3" t="n">
        <v>0</v>
      </c>
      <c r="W14" s="3" t="n">
        <v>0</v>
      </c>
      <c r="X14" s="3" t="n">
        <v>0</v>
      </c>
      <c r="Y14" s="3" t="n">
        <v>0</v>
      </c>
      <c r="Z14" s="3" t="n">
        <v>0</v>
      </c>
      <c r="AA14" s="3" t="n">
        <v>0</v>
      </c>
      <c r="AB14" s="3" t="n">
        <v>0</v>
      </c>
      <c r="AC14" s="3" t="n">
        <v>0</v>
      </c>
      <c r="AD14" s="3" t="n">
        <v>0</v>
      </c>
      <c r="AE14" s="3" t="n">
        <v>0</v>
      </c>
      <c r="AG14" s="20" t="inlineStr">
        <is>
          <t>egy.mit.cov.ct.bld.all.3</t>
        </is>
      </c>
      <c r="AH14" s="3" t="n">
        <v>0</v>
      </c>
      <c r="AI14" s="3" t="n">
        <v>0</v>
      </c>
      <c r="AJ14" s="3" t="n">
        <v>0</v>
      </c>
      <c r="AK14" s="3" t="n">
        <v>0</v>
      </c>
      <c r="AL14" s="3" t="n">
        <v>0</v>
      </c>
      <c r="AM14" s="3" t="n">
        <v>0.07120379521672887</v>
      </c>
      <c r="AN14" s="3" t="n">
        <v>0.07339118205335189</v>
      </c>
      <c r="AO14" s="3" t="n">
        <v>0.07200531741904537</v>
      </c>
      <c r="AP14" s="3" t="n">
        <v>0.07181372309526748</v>
      </c>
      <c r="AQ14" s="3" t="n">
        <v>0.07182999825104575</v>
      </c>
      <c r="AR14" s="3" t="n">
        <v>0.07229720779694829</v>
      </c>
      <c r="AS14" s="3" t="n">
        <v>0.07183651581556846</v>
      </c>
      <c r="AT14" s="3" t="n">
        <v>0.07175368021203422</v>
      </c>
      <c r="AU14" s="3" t="n">
        <v>0.07145377293248023</v>
      </c>
      <c r="AV14" s="3" t="n">
        <v>0.07115258738529263</v>
      </c>
      <c r="AW14" s="3" t="n">
        <v>0.07082736553634579</v>
      </c>
      <c r="AX14" s="3" t="n">
        <v>0.07051335618178267</v>
      </c>
      <c r="AY14" s="3" t="n">
        <v>0.0701951216969894</v>
      </c>
      <c r="AZ14" s="3" t="n">
        <v>0.0698891692781131</v>
      </c>
      <c r="BA14" s="3" t="n">
        <v>0.06957526035722207</v>
      </c>
      <c r="BC14" s="20" t="inlineStr">
        <is>
          <t>egy.mit.cov.ct.bld.all.4</t>
        </is>
      </c>
      <c r="BD14" s="3" t="n">
        <v>0</v>
      </c>
      <c r="BE14" s="3" t="n">
        <v>0</v>
      </c>
      <c r="BF14" s="3" t="n">
        <v>0</v>
      </c>
      <c r="BG14" s="3" t="n">
        <v>0</v>
      </c>
      <c r="BH14" s="3" t="n">
        <v>0</v>
      </c>
      <c r="BI14" s="3" t="n">
        <v>0.07659560224727641</v>
      </c>
      <c r="BJ14" s="3" t="n">
        <v>0.07189304362221775</v>
      </c>
      <c r="BK14" s="3" t="n">
        <v>0.06945002177174336</v>
      </c>
      <c r="BL14" s="3" t="n">
        <v>0.06685324984136112</v>
      </c>
      <c r="BM14" s="3" t="n">
        <v>0.06400630676277226</v>
      </c>
      <c r="BN14" s="3" t="n">
        <v>0.06270656391255633</v>
      </c>
      <c r="BO14" s="3" t="n">
        <v>0.06083387498166189</v>
      </c>
      <c r="BP14" s="3" t="n">
        <v>0.05992252323754543</v>
      </c>
      <c r="BQ14" s="3" t="n">
        <v>0.05871771265074021</v>
      </c>
      <c r="BR14" s="3" t="n">
        <v>0.05808866390540991</v>
      </c>
      <c r="BS14" s="3" t="n">
        <v>0.05720108834884811</v>
      </c>
      <c r="BT14" s="3" t="n">
        <v>0.05684707323251299</v>
      </c>
      <c r="BU14" s="3" t="n">
        <v>0.05611294749990288</v>
      </c>
      <c r="BV14" s="3" t="n">
        <v>0.05603568169630624</v>
      </c>
      <c r="BW14" s="3" t="n">
        <v>0.05529065992196263</v>
      </c>
      <c r="BY14" s="20" t="inlineStr">
        <is>
          <t>egy.mit.cov.ct.bld.all.5</t>
        </is>
      </c>
      <c r="BZ14" s="3" t="n">
        <v>0</v>
      </c>
      <c r="CA14" s="3" t="n">
        <v>0</v>
      </c>
      <c r="CB14" s="3" t="n">
        <v>0</v>
      </c>
      <c r="CC14" s="3" t="n">
        <v>0</v>
      </c>
      <c r="CD14" s="3" t="n">
        <v>0</v>
      </c>
      <c r="CE14" s="3" t="n">
        <v>0.06895458713761246</v>
      </c>
      <c r="CF14" s="3" t="n">
        <v>0.06840329259510769</v>
      </c>
      <c r="CG14" s="3" t="n">
        <v>0.06779530098789349</v>
      </c>
      <c r="CH14" s="3" t="n">
        <v>0.06752235323259896</v>
      </c>
      <c r="CI14" s="3" t="n">
        <v>0.06831241584661583</v>
      </c>
      <c r="CJ14" s="3" t="n">
        <v>0.06950045285074946</v>
      </c>
      <c r="CK14" s="3" t="n">
        <v>0.06961120372344257</v>
      </c>
      <c r="CL14" s="3" t="n">
        <v>0.07085387535828086</v>
      </c>
      <c r="CM14" s="3" t="n">
        <v>0.07175273123670696</v>
      </c>
      <c r="CN14" s="3" t="n">
        <v>0.07251878926682039</v>
      </c>
      <c r="CO14" s="3" t="n">
        <v>0.07343979934356233</v>
      </c>
      <c r="CP14" s="3" t="n">
        <v>0.0742021808730309</v>
      </c>
      <c r="CQ14" s="3" t="n">
        <v>0.07489059235484299</v>
      </c>
      <c r="CR14" s="3" t="n">
        <v>0.07561033167086978</v>
      </c>
      <c r="CS14" s="3" t="n">
        <v>0.07620214920150906</v>
      </c>
      <c r="CU14" s="20" t="inlineStr">
        <is>
          <t>egy.mit.cov.ct.bld.all.6</t>
        </is>
      </c>
      <c r="CV14" s="3" t="n">
        <v>0</v>
      </c>
      <c r="CW14" s="3" t="n">
        <v>0</v>
      </c>
      <c r="CX14" s="3" t="n">
        <v>0</v>
      </c>
      <c r="CY14" s="3" t="n">
        <v>0</v>
      </c>
      <c r="CZ14" s="3" t="n">
        <v>0</v>
      </c>
      <c r="DA14" s="3" t="n">
        <v>0.06166135627417624</v>
      </c>
      <c r="DB14" s="3" t="n">
        <v>0.0672173876233436</v>
      </c>
      <c r="DC14" s="3" t="n">
        <v>0.06578697301810112</v>
      </c>
      <c r="DD14" s="3" t="n">
        <v>0.06627537912874744</v>
      </c>
      <c r="DE14" s="3" t="n">
        <v>0.06518264951442868</v>
      </c>
      <c r="DF14" s="3" t="n">
        <v>0.06647877195644242</v>
      </c>
      <c r="DG14" s="3" t="n">
        <v>0.06645695877052053</v>
      </c>
      <c r="DH14" s="3" t="n">
        <v>0.06732556672021482</v>
      </c>
      <c r="DI14" s="3" t="n">
        <v>0.06765143915651761</v>
      </c>
      <c r="DJ14" s="3" t="n">
        <v>0.06819048390239671</v>
      </c>
      <c r="DK14" s="3" t="n">
        <v>0.06844468807236659</v>
      </c>
      <c r="DL14" s="3" t="n">
        <v>0.06889273733205717</v>
      </c>
      <c r="DM14" s="3" t="n">
        <v>0.06908215787257536</v>
      </c>
      <c r="DN14" s="3" t="n">
        <v>0.06943826615362583</v>
      </c>
      <c r="DO14" s="3" t="n">
        <v>0.06956372226725134</v>
      </c>
    </row>
    <row r="15">
      <c r="A15" s="19" t="inlineStr">
        <is>
          <t>mit.cov.ct.ind.all</t>
        </is>
      </c>
      <c r="B15" s="3" t="inlineStr">
        <is>
          <t>mit</t>
        </is>
      </c>
      <c r="C15" s="19" t="inlineStr">
        <is>
          <t>mit.co2cov.ind.cont</t>
        </is>
      </c>
      <c r="H15" s="3" t="inlineStr">
        <is>
          <t>Share of energy CO2 covered by the new carbon tax | Industry | All fuels</t>
        </is>
      </c>
      <c r="I15" s="3" t="inlineStr">
        <is>
          <t>%</t>
        </is>
      </c>
      <c r="K15" s="20" t="inlineStr">
        <is>
          <t>egy.mit.cov.ct.ind.all.1</t>
        </is>
      </c>
      <c r="L15" s="3" t="n">
        <v>0</v>
      </c>
      <c r="M15" s="3" t="n">
        <v>0</v>
      </c>
      <c r="N15" s="3" t="n">
        <v>0</v>
      </c>
      <c r="O15" s="3" t="n">
        <v>0</v>
      </c>
      <c r="P15" s="3" t="n">
        <v>0</v>
      </c>
      <c r="Q15" s="3" t="n">
        <v>0</v>
      </c>
      <c r="R15" s="3" t="n">
        <v>0</v>
      </c>
      <c r="S15" s="3" t="n">
        <v>0</v>
      </c>
      <c r="T15" s="3" t="n">
        <v>0</v>
      </c>
      <c r="U15" s="3" t="n">
        <v>0</v>
      </c>
      <c r="V15" s="3" t="n">
        <v>0</v>
      </c>
      <c r="W15" s="3" t="n">
        <v>0</v>
      </c>
      <c r="X15" s="3" t="n">
        <v>0</v>
      </c>
      <c r="Y15" s="3" t="n">
        <v>0</v>
      </c>
      <c r="Z15" s="3" t="n">
        <v>0</v>
      </c>
      <c r="AA15" s="3" t="n">
        <v>0</v>
      </c>
      <c r="AB15" s="3" t="n">
        <v>0</v>
      </c>
      <c r="AC15" s="3" t="n">
        <v>0</v>
      </c>
      <c r="AD15" s="3" t="n">
        <v>0</v>
      </c>
      <c r="AE15" s="3" t="n">
        <v>0</v>
      </c>
      <c r="AG15" s="20" t="inlineStr">
        <is>
          <t>egy.mit.cov.ct.ind.all.3</t>
        </is>
      </c>
      <c r="AH15" s="3" t="n">
        <v>0</v>
      </c>
      <c r="AI15" s="3" t="n">
        <v>0</v>
      </c>
      <c r="AJ15" s="3" t="n">
        <v>0</v>
      </c>
      <c r="AK15" s="3" t="n">
        <v>0</v>
      </c>
      <c r="AL15" s="3" t="n">
        <v>0</v>
      </c>
      <c r="AM15" s="3" t="n">
        <v>0.2447793613135528</v>
      </c>
      <c r="AN15" s="3" t="n">
        <v>0.2568264192647883</v>
      </c>
      <c r="AO15" s="3" t="n">
        <v>0.2562833930044159</v>
      </c>
      <c r="AP15" s="3" t="n">
        <v>0.2594930700790352</v>
      </c>
      <c r="AQ15" s="3" t="n">
        <v>0.2635741217151517</v>
      </c>
      <c r="AR15" s="3" t="n">
        <v>0.2691979363999359</v>
      </c>
      <c r="AS15" s="3" t="n">
        <v>0.2714880549793284</v>
      </c>
      <c r="AT15" s="3" t="n">
        <v>0.2752430592860418</v>
      </c>
      <c r="AU15" s="3" t="n">
        <v>0.2781370051258603</v>
      </c>
      <c r="AV15" s="3" t="n">
        <v>0.2810293187855642</v>
      </c>
      <c r="AW15" s="3" t="n">
        <v>0.2838562321761026</v>
      </c>
      <c r="AX15" s="3" t="n">
        <v>0.2866594994037228</v>
      </c>
      <c r="AY15" s="3" t="n">
        <v>0.2893978824431104</v>
      </c>
      <c r="AZ15" s="3" t="n">
        <v>0.2921053700716827</v>
      </c>
      <c r="BA15" s="3" t="n">
        <v>0.2947390655297998</v>
      </c>
      <c r="BC15" s="20" t="inlineStr">
        <is>
          <t>egy.mit.cov.ct.ind.all.4</t>
        </is>
      </c>
      <c r="BD15" s="3" t="n">
        <v>0</v>
      </c>
      <c r="BE15" s="3" t="n">
        <v>0</v>
      </c>
      <c r="BF15" s="3" t="n">
        <v>0</v>
      </c>
      <c r="BG15" s="3" t="n">
        <v>0</v>
      </c>
      <c r="BH15" s="3" t="n">
        <v>0</v>
      </c>
      <c r="BI15" s="3" t="n">
        <v>0.2536203633690875</v>
      </c>
      <c r="BJ15" s="3" t="n">
        <v>0.245539280143789</v>
      </c>
      <c r="BK15" s="3" t="n">
        <v>0.2426903082592691</v>
      </c>
      <c r="BL15" s="3" t="n">
        <v>0.2378185530806194</v>
      </c>
      <c r="BM15" s="3" t="n">
        <v>0.2337873311735254</v>
      </c>
      <c r="BN15" s="3" t="n">
        <v>0.2343367213235372</v>
      </c>
      <c r="BO15" s="3" t="n">
        <v>0.2321003249256121</v>
      </c>
      <c r="BP15" s="3" t="n">
        <v>0.233080508832182</v>
      </c>
      <c r="BQ15" s="3" t="n">
        <v>0.2325882860904728</v>
      </c>
      <c r="BR15" s="3" t="n">
        <v>0.234124219756376</v>
      </c>
      <c r="BS15" s="3" t="n">
        <v>0.2344468785776782</v>
      </c>
      <c r="BT15" s="3" t="n">
        <v>0.2368098477148201</v>
      </c>
      <c r="BU15" s="3" t="n">
        <v>0.2374601316378043</v>
      </c>
      <c r="BV15" s="3" t="n">
        <v>0.2407601351127537</v>
      </c>
      <c r="BW15" s="3" t="n">
        <v>0.241065211689675</v>
      </c>
      <c r="BY15" s="20" t="inlineStr">
        <is>
          <t>egy.mit.cov.ct.ind.all.5</t>
        </is>
      </c>
      <c r="BZ15" s="3" t="n">
        <v>0</v>
      </c>
      <c r="CA15" s="3" t="n">
        <v>0</v>
      </c>
      <c r="CB15" s="3" t="n">
        <v>0</v>
      </c>
      <c r="CC15" s="3" t="n">
        <v>0</v>
      </c>
      <c r="CD15" s="3" t="n">
        <v>0</v>
      </c>
      <c r="CE15" s="3" t="n">
        <v>0.1849234066793863</v>
      </c>
      <c r="CF15" s="3" t="n">
        <v>0.18675874868835</v>
      </c>
      <c r="CG15" s="3" t="n">
        <v>0.1882713728800635</v>
      </c>
      <c r="CH15" s="3" t="n">
        <v>0.1903774572667221</v>
      </c>
      <c r="CI15" s="3" t="n">
        <v>0.1956124717462466</v>
      </c>
      <c r="CJ15" s="3" t="n">
        <v>0.202018916701418</v>
      </c>
      <c r="CK15" s="3" t="n">
        <v>0.2054520511285994</v>
      </c>
      <c r="CL15" s="3" t="n">
        <v>0.212303973685718</v>
      </c>
      <c r="CM15" s="3" t="n">
        <v>0.218222183823276</v>
      </c>
      <c r="CN15" s="3" t="n">
        <v>0.2238399758904251</v>
      </c>
      <c r="CO15" s="3" t="n">
        <v>0.2300549398887318</v>
      </c>
      <c r="CP15" s="3" t="n">
        <v>0.2358263901944148</v>
      </c>
      <c r="CQ15" s="3" t="n">
        <v>0.2414319175523618</v>
      </c>
      <c r="CR15" s="3" t="n">
        <v>0.2471736694172506</v>
      </c>
      <c r="CS15" s="3" t="n">
        <v>0.2525705445770887</v>
      </c>
      <c r="CU15" s="20" t="inlineStr">
        <is>
          <t>egy.mit.cov.ct.ind.all.6</t>
        </is>
      </c>
      <c r="CV15" s="3" t="n">
        <v>0</v>
      </c>
      <c r="CW15" s="3" t="n">
        <v>0</v>
      </c>
      <c r="CX15" s="3" t="n">
        <v>0</v>
      </c>
      <c r="CY15" s="3" t="n">
        <v>0</v>
      </c>
      <c r="CZ15" s="3" t="n">
        <v>0</v>
      </c>
      <c r="DA15" s="3" t="n">
        <v>0.2192658495318188</v>
      </c>
      <c r="DB15" s="3" t="n">
        <v>0.2432546429204845</v>
      </c>
      <c r="DC15" s="3" t="n">
        <v>0.242141565024101</v>
      </c>
      <c r="DD15" s="3" t="n">
        <v>0.2474758238180211</v>
      </c>
      <c r="DE15" s="3" t="n">
        <v>0.2471421217277059</v>
      </c>
      <c r="DF15" s="3" t="n">
        <v>0.2556776287047913</v>
      </c>
      <c r="DG15" s="3" t="n">
        <v>0.2594559732194356</v>
      </c>
      <c r="DH15" s="3" t="n">
        <v>0.2668635303862486</v>
      </c>
      <c r="DI15" s="3" t="n">
        <v>0.2721651163608038</v>
      </c>
      <c r="DJ15" s="3" t="n">
        <v>0.2784350623761131</v>
      </c>
      <c r="DK15" s="3" t="n">
        <v>0.2837120287264543</v>
      </c>
      <c r="DL15" s="3" t="n">
        <v>0.2897498495434065</v>
      </c>
      <c r="DM15" s="3" t="n">
        <v>0.2947058178468552</v>
      </c>
      <c r="DN15" s="3" t="n">
        <v>0.3002930447186058</v>
      </c>
      <c r="DO15" s="3" t="n">
        <v>0.3048907480984544</v>
      </c>
    </row>
    <row r="16">
      <c r="A16" s="19" t="inlineStr">
        <is>
          <t>mit.cov.ct.oen.all</t>
        </is>
      </c>
      <c r="B16" s="3" t="inlineStr">
        <is>
          <t>mit</t>
        </is>
      </c>
      <c r="C16" s="19" t="inlineStr">
        <is>
          <t>mit.co2cov.oth.cont</t>
        </is>
      </c>
      <c r="H16" s="3" t="inlineStr">
        <is>
          <t>Share of energy CO2 covered by the new carbon tax | Other energy use | All fuels</t>
        </is>
      </c>
      <c r="I16" s="3" t="inlineStr">
        <is>
          <t>%</t>
        </is>
      </c>
      <c r="K16" s="20" t="inlineStr">
        <is>
          <t>egy.mit.cov.ct.oen.all.1</t>
        </is>
      </c>
      <c r="L16" s="3" t="n">
        <v>0</v>
      </c>
      <c r="M16" s="3" t="n">
        <v>0</v>
      </c>
      <c r="N16" s="3" t="n">
        <v>0</v>
      </c>
      <c r="O16" s="3" t="n">
        <v>0</v>
      </c>
      <c r="P16" s="3" t="n">
        <v>0</v>
      </c>
      <c r="Q16" s="3" t="n">
        <v>0</v>
      </c>
      <c r="R16" s="3" t="n">
        <v>0</v>
      </c>
      <c r="S16" s="3" t="n">
        <v>0</v>
      </c>
      <c r="T16" s="3" t="n">
        <v>0</v>
      </c>
      <c r="U16" s="3" t="n">
        <v>0</v>
      </c>
      <c r="V16" s="3" t="n">
        <v>0</v>
      </c>
      <c r="W16" s="3" t="n">
        <v>0</v>
      </c>
      <c r="X16" s="3" t="n">
        <v>0</v>
      </c>
      <c r="Y16" s="3" t="n">
        <v>0</v>
      </c>
      <c r="Z16" s="3" t="n">
        <v>0</v>
      </c>
      <c r="AA16" s="3" t="n">
        <v>0</v>
      </c>
      <c r="AB16" s="3" t="n">
        <v>0</v>
      </c>
      <c r="AC16" s="3" t="n">
        <v>0</v>
      </c>
      <c r="AD16" s="3" t="n">
        <v>0</v>
      </c>
      <c r="AE16" s="3" t="n">
        <v>0</v>
      </c>
      <c r="AG16" s="20" t="inlineStr">
        <is>
          <t>egy.mit.cov.ct.oen.all.3</t>
        </is>
      </c>
      <c r="AH16" s="3" t="n">
        <v>0</v>
      </c>
      <c r="AI16" s="3" t="n">
        <v>0</v>
      </c>
      <c r="AJ16" s="3" t="n">
        <v>0</v>
      </c>
      <c r="AK16" s="3" t="n">
        <v>0</v>
      </c>
      <c r="AL16" s="3" t="n">
        <v>0</v>
      </c>
      <c r="AM16" s="3" t="n">
        <v>0</v>
      </c>
      <c r="AN16" s="3" t="n">
        <v>0</v>
      </c>
      <c r="AO16" s="3" t="n">
        <v>0</v>
      </c>
      <c r="AP16" s="3" t="n">
        <v>0</v>
      </c>
      <c r="AQ16" s="3" t="n">
        <v>0</v>
      </c>
      <c r="AR16" s="3" t="n">
        <v>0</v>
      </c>
      <c r="AS16" s="3" t="n">
        <v>0</v>
      </c>
      <c r="AT16" s="3" t="n">
        <v>0</v>
      </c>
      <c r="AU16" s="3" t="n">
        <v>0</v>
      </c>
      <c r="AV16" s="3" t="n">
        <v>0</v>
      </c>
      <c r="AW16" s="3" t="n">
        <v>0</v>
      </c>
      <c r="AX16" s="3" t="n">
        <v>0</v>
      </c>
      <c r="AY16" s="3" t="n">
        <v>0</v>
      </c>
      <c r="AZ16" s="3" t="n">
        <v>0</v>
      </c>
      <c r="BA16" s="3" t="n">
        <v>0</v>
      </c>
      <c r="BC16" s="20" t="inlineStr">
        <is>
          <t>egy.mit.cov.ct.oen.all.4</t>
        </is>
      </c>
      <c r="BD16" s="3" t="n">
        <v>0</v>
      </c>
      <c r="BE16" s="3" t="n">
        <v>0</v>
      </c>
      <c r="BF16" s="3" t="n">
        <v>0</v>
      </c>
      <c r="BG16" s="3" t="n">
        <v>0</v>
      </c>
      <c r="BH16" s="3" t="n">
        <v>0</v>
      </c>
      <c r="BI16" s="3" t="n">
        <v>0</v>
      </c>
      <c r="BJ16" s="3" t="n">
        <v>0</v>
      </c>
      <c r="BK16" s="3" t="n">
        <v>0</v>
      </c>
      <c r="BL16" s="3" t="n">
        <v>0</v>
      </c>
      <c r="BM16" s="3" t="n">
        <v>0</v>
      </c>
      <c r="BN16" s="3" t="n">
        <v>0</v>
      </c>
      <c r="BO16" s="3" t="n">
        <v>0</v>
      </c>
      <c r="BP16" s="3" t="n">
        <v>0</v>
      </c>
      <c r="BQ16" s="3" t="n">
        <v>0</v>
      </c>
      <c r="BR16" s="3" t="n">
        <v>0</v>
      </c>
      <c r="BS16" s="3" t="n">
        <v>0</v>
      </c>
      <c r="BT16" s="3" t="n">
        <v>0</v>
      </c>
      <c r="BU16" s="3" t="n">
        <v>0</v>
      </c>
      <c r="BV16" s="3" t="n">
        <v>0</v>
      </c>
      <c r="BW16" s="3" t="n">
        <v>0</v>
      </c>
      <c r="BY16" s="20" t="inlineStr">
        <is>
          <t>egy.mit.cov.ct.oen.all.5</t>
        </is>
      </c>
      <c r="BZ16" s="3" t="n">
        <v>0</v>
      </c>
      <c r="CA16" s="3" t="n">
        <v>0</v>
      </c>
      <c r="CB16" s="3" t="n">
        <v>0</v>
      </c>
      <c r="CC16" s="3" t="n">
        <v>0</v>
      </c>
      <c r="CD16" s="3" t="n">
        <v>0</v>
      </c>
      <c r="CE16" s="3" t="n">
        <v>0</v>
      </c>
      <c r="CF16" s="3" t="n">
        <v>0</v>
      </c>
      <c r="CG16" s="3" t="n">
        <v>0</v>
      </c>
      <c r="CH16" s="3" t="n">
        <v>0</v>
      </c>
      <c r="CI16" s="3" t="n">
        <v>0</v>
      </c>
      <c r="CJ16" s="3" t="n">
        <v>0</v>
      </c>
      <c r="CK16" s="3" t="n">
        <v>0</v>
      </c>
      <c r="CL16" s="3" t="n">
        <v>0</v>
      </c>
      <c r="CM16" s="3" t="n">
        <v>0</v>
      </c>
      <c r="CN16" s="3" t="n">
        <v>0</v>
      </c>
      <c r="CO16" s="3" t="n">
        <v>0</v>
      </c>
      <c r="CP16" s="3" t="n">
        <v>0</v>
      </c>
      <c r="CQ16" s="3" t="n">
        <v>0</v>
      </c>
      <c r="CR16" s="3" t="n">
        <v>0</v>
      </c>
      <c r="CS16" s="3" t="n">
        <v>0</v>
      </c>
      <c r="CU16" s="20" t="inlineStr">
        <is>
          <t>egy.mit.cov.ct.oen.all.6</t>
        </is>
      </c>
      <c r="CV16" s="3" t="n">
        <v>0</v>
      </c>
      <c r="CW16" s="3" t="n">
        <v>0</v>
      </c>
      <c r="CX16" s="3" t="n">
        <v>0</v>
      </c>
      <c r="CY16" s="3" t="n">
        <v>0</v>
      </c>
      <c r="CZ16" s="3" t="n">
        <v>0</v>
      </c>
      <c r="DA16" s="3" t="n">
        <v>0</v>
      </c>
      <c r="DB16" s="3" t="n">
        <v>0</v>
      </c>
      <c r="DC16" s="3" t="n">
        <v>0</v>
      </c>
      <c r="DD16" s="3" t="n">
        <v>0</v>
      </c>
      <c r="DE16" s="3" t="n">
        <v>0</v>
      </c>
      <c r="DF16" s="3" t="n">
        <v>0</v>
      </c>
      <c r="DG16" s="3" t="n">
        <v>0</v>
      </c>
      <c r="DH16" s="3" t="n">
        <v>0</v>
      </c>
      <c r="DI16" s="3" t="n">
        <v>0</v>
      </c>
      <c r="DJ16" s="3" t="n">
        <v>0</v>
      </c>
      <c r="DK16" s="3" t="n">
        <v>0</v>
      </c>
      <c r="DL16" s="3" t="n">
        <v>0</v>
      </c>
      <c r="DM16" s="3" t="n">
        <v>0</v>
      </c>
      <c r="DN16" s="3" t="n">
        <v>0</v>
      </c>
      <c r="DO16" s="3" t="n">
        <v>0</v>
      </c>
    </row>
    <row r="17">
      <c r="A17" s="5" t="n"/>
      <c r="B17" s="18" t="inlineStr">
        <is>
          <t>Macro effects</t>
        </is>
      </c>
      <c r="C17" s="5" t="n"/>
      <c r="D17" s="5" t="n"/>
      <c r="E17" s="5" t="n"/>
      <c r="F17" s="5" t="n"/>
      <c r="G17" s="5" t="n"/>
      <c r="H17" s="5" t="n"/>
      <c r="I17" s="5" t="n"/>
      <c r="J17" s="5" t="n"/>
      <c r="K17" s="5" t="n"/>
      <c r="L17" s="5" t="n"/>
      <c r="M17" s="5" t="n"/>
      <c r="N17" s="5" t="n"/>
      <c r="O17" s="5" t="n"/>
      <c r="P17" s="5" t="n"/>
      <c r="Q17" s="5" t="n"/>
      <c r="R17" s="5" t="n"/>
      <c r="S17" s="5" t="n"/>
      <c r="T17" s="5" t="n"/>
      <c r="U17" s="5" t="n"/>
      <c r="V17" s="5" t="n"/>
      <c r="W17" s="5" t="n"/>
      <c r="X17" s="5" t="n"/>
      <c r="Y17" s="5" t="n"/>
      <c r="Z17" s="5" t="n"/>
      <c r="AA17" s="5" t="n"/>
      <c r="AB17" s="5" t="n"/>
      <c r="AC17" s="5" t="n"/>
      <c r="AD17" s="5" t="n"/>
      <c r="AE17" s="5" t="n"/>
      <c r="AF17" s="5" t="n"/>
      <c r="AG17" s="5" t="n"/>
      <c r="AH17" s="5" t="n"/>
      <c r="AI17" s="5" t="n"/>
      <c r="AJ17" s="5" t="n"/>
      <c r="AK17" s="5" t="n"/>
      <c r="AL17" s="5" t="n"/>
      <c r="AM17" s="5" t="n"/>
      <c r="AN17" s="5" t="n"/>
      <c r="AO17" s="5" t="n"/>
      <c r="AP17" s="5" t="n"/>
      <c r="AQ17" s="5" t="n"/>
      <c r="AR17" s="5" t="n"/>
      <c r="AS17" s="5" t="n"/>
      <c r="AT17" s="5" t="n"/>
      <c r="AU17" s="5" t="n"/>
      <c r="AV17" s="5" t="n"/>
      <c r="AW17" s="5" t="n"/>
      <c r="AX17" s="5" t="n"/>
      <c r="AY17" s="5" t="n"/>
      <c r="AZ17" s="5" t="n"/>
      <c r="BA17" s="5" t="n"/>
      <c r="BB17" s="5" t="n"/>
      <c r="BC17" s="5" t="n"/>
      <c r="BD17" s="5" t="n"/>
      <c r="BE17" s="5" t="n"/>
      <c r="BF17" s="5" t="n"/>
      <c r="BG17" s="5" t="n"/>
      <c r="BH17" s="5" t="n"/>
      <c r="BI17" s="5" t="n"/>
      <c r="BJ17" s="5" t="n"/>
      <c r="BK17" s="5" t="n"/>
      <c r="BL17" s="5" t="n"/>
      <c r="BM17" s="5" t="n"/>
      <c r="BN17" s="5" t="n"/>
      <c r="BO17" s="5" t="n"/>
      <c r="BP17" s="5" t="n"/>
      <c r="BQ17" s="5" t="n"/>
      <c r="BR17" s="5" t="n"/>
      <c r="BS17" s="5" t="n"/>
      <c r="BT17" s="5" t="n"/>
      <c r="BU17" s="5" t="n"/>
      <c r="BV17" s="5" t="n"/>
      <c r="BW17" s="5" t="n"/>
      <c r="BX17" s="5" t="n"/>
      <c r="BY17" s="5" t="n"/>
      <c r="BZ17" s="5" t="n"/>
      <c r="CA17" s="5" t="n"/>
      <c r="CB17" s="5" t="n"/>
      <c r="CC17" s="5" t="n"/>
      <c r="CD17" s="5" t="n"/>
      <c r="CE17" s="5" t="n"/>
      <c r="CF17" s="5" t="n"/>
      <c r="CG17" s="5" t="n"/>
      <c r="CH17" s="5" t="n"/>
      <c r="CI17" s="5" t="n"/>
      <c r="CJ17" s="5" t="n"/>
      <c r="CK17" s="5" t="n"/>
      <c r="CL17" s="5" t="n"/>
      <c r="CM17" s="5" t="n"/>
      <c r="CN17" s="5" t="n"/>
      <c r="CO17" s="5" t="n"/>
      <c r="CP17" s="5" t="n"/>
      <c r="CQ17" s="5" t="n"/>
      <c r="CR17" s="5" t="n"/>
      <c r="CS17" s="5" t="n"/>
      <c r="CT17" s="5" t="n"/>
      <c r="CU17" s="5" t="n"/>
      <c r="CV17" s="5" t="n"/>
      <c r="CW17" s="5" t="n"/>
      <c r="CX17" s="5" t="n"/>
      <c r="CY17" s="5" t="n"/>
      <c r="CZ17" s="5" t="n"/>
      <c r="DA17" s="5" t="n"/>
      <c r="DB17" s="5" t="n"/>
      <c r="DC17" s="5" t="n"/>
      <c r="DD17" s="5" t="n"/>
      <c r="DE17" s="5" t="n"/>
      <c r="DF17" s="5" t="n"/>
      <c r="DG17" s="5" t="n"/>
      <c r="DH17" s="5" t="n"/>
      <c r="DI17" s="5" t="n"/>
      <c r="DJ17" s="5" t="n"/>
      <c r="DK17" s="5" t="n"/>
      <c r="DL17" s="5" t="n"/>
      <c r="DM17" s="5" t="n"/>
      <c r="DN17" s="5" t="n"/>
      <c r="DO17" s="5" t="n"/>
      <c r="DP17" s="5" t="n"/>
      <c r="DQ17" s="5" t="n"/>
      <c r="DR17" s="5" t="n"/>
      <c r="DS17" s="5" t="n"/>
      <c r="DT17" s="5" t="n"/>
      <c r="DU17" s="5" t="n"/>
      <c r="DV17" s="5" t="n"/>
      <c r="DW17" s="5" t="n"/>
      <c r="DX17" s="5" t="n"/>
      <c r="DY17" s="5" t="n"/>
      <c r="DZ17" s="5" t="n"/>
      <c r="EA17" s="5" t="n"/>
      <c r="EB17" s="5" t="n"/>
      <c r="EC17" s="5" t="n"/>
      <c r="ED17" s="5" t="n"/>
      <c r="EE17" s="5" t="n"/>
      <c r="EF17" s="5" t="n"/>
      <c r="EG17" s="5" t="n"/>
      <c r="EH17" s="5" t="n"/>
      <c r="EI17" s="5" t="n"/>
      <c r="EJ17" s="5" t="n"/>
      <c r="EK17" s="5" t="n"/>
      <c r="EL17" s="5" t="n"/>
      <c r="EM17" s="5" t="n"/>
      <c r="EN17" s="5" t="n"/>
      <c r="EO17" s="5" t="n"/>
      <c r="EP17" s="5" t="n"/>
      <c r="EQ17" s="5" t="n"/>
      <c r="ER17" s="5" t="n"/>
      <c r="ES17" s="5" t="n"/>
      <c r="ET17" s="5" t="n"/>
      <c r="EU17" s="5" t="n"/>
      <c r="EV17" s="5" t="n"/>
      <c r="EW17" s="5" t="n"/>
      <c r="EX17" s="5" t="n"/>
      <c r="EY17" s="5" t="n"/>
      <c r="EZ17" s="5" t="n"/>
      <c r="FA17" s="5" t="n"/>
      <c r="FB17" s="5" t="n"/>
      <c r="FC17" s="5" t="n"/>
      <c r="FD17" s="5" t="n"/>
      <c r="FE17" s="5" t="n"/>
      <c r="FF17" s="5" t="n"/>
      <c r="FG17" s="5" t="n"/>
      <c r="FH17" s="5" t="n"/>
      <c r="FI17" s="5" t="n"/>
      <c r="FJ17" s="5" t="n"/>
      <c r="FK17" s="5" t="n"/>
      <c r="FL17" s="5" t="n"/>
      <c r="FM17" s="5" t="n"/>
      <c r="FN17" s="5" t="n"/>
      <c r="FO17" s="5" t="n"/>
      <c r="FP17" s="5" t="n"/>
      <c r="FQ17" s="5" t="n"/>
      <c r="FR17" s="5" t="n"/>
      <c r="FS17" s="5" t="n"/>
      <c r="FT17" s="5" t="n"/>
      <c r="FU17" s="5" t="n"/>
      <c r="FV17" s="5" t="n"/>
      <c r="FW17" s="5" t="n"/>
      <c r="FX17" s="5" t="n"/>
      <c r="FY17" s="5" t="n"/>
      <c r="FZ17" s="5" t="n"/>
      <c r="GA17" s="5" t="n"/>
      <c r="GB17" s="5" t="n"/>
      <c r="GC17" s="5" t="n"/>
      <c r="GD17" s="5" t="n"/>
      <c r="GE17" s="5" t="n"/>
      <c r="GF17" s="5" t="n"/>
      <c r="GG17" s="5" t="n"/>
      <c r="GH17" s="5" t="n"/>
      <c r="GI17" s="5" t="n"/>
      <c r="GJ17" s="5" t="n"/>
      <c r="GK17" s="5" t="n"/>
      <c r="GL17" s="5" t="n"/>
      <c r="GM17" s="5" t="n"/>
      <c r="GN17" s="5" t="n"/>
      <c r="GO17" s="5" t="n"/>
      <c r="GP17" s="5" t="n"/>
      <c r="GQ17" s="5" t="n"/>
      <c r="GR17" s="5" t="n"/>
      <c r="GS17" s="5" t="n"/>
      <c r="GT17" s="5" t="n"/>
      <c r="GU17" s="5" t="n"/>
      <c r="GV17" s="5" t="n"/>
      <c r="GW17" s="5" t="n"/>
      <c r="GX17" s="5" t="n"/>
      <c r="GY17" s="5" t="n"/>
      <c r="GZ17" s="5" t="n"/>
      <c r="HA17" s="5" t="n"/>
      <c r="HB17" s="5" t="n"/>
      <c r="HC17" s="5" t="n"/>
      <c r="HD17" s="5" t="n"/>
      <c r="HE17" s="5" t="n"/>
      <c r="HF17" s="5" t="n"/>
      <c r="HG17" s="5" t="n"/>
      <c r="HH17" s="5" t="n"/>
      <c r="HI17" s="5" t="n"/>
      <c r="HJ17" s="5" t="n"/>
      <c r="HK17" s="5" t="n"/>
      <c r="HL17" s="5" t="n"/>
      <c r="HM17" s="5" t="n"/>
      <c r="HN17" s="5" t="n"/>
      <c r="HO17" s="5" t="n"/>
      <c r="HP17" s="5" t="n"/>
      <c r="HQ17" s="5" t="n"/>
      <c r="HR17" s="5" t="n"/>
      <c r="HS17" s="5" t="n"/>
      <c r="HT17" s="5" t="n"/>
      <c r="HU17" s="5" t="n"/>
      <c r="HV17" s="5" t="n"/>
    </row>
    <row r="18">
      <c r="A18" s="19" t="inlineStr">
        <is>
          <t>mit.gdp.base.all.all</t>
        </is>
      </c>
      <c r="B18" s="3" t="inlineStr">
        <is>
          <t>mit</t>
        </is>
      </c>
      <c r="C18" s="19" t="inlineStr">
        <is>
          <t>mit.gdp.pre.pct</t>
        </is>
      </c>
      <c r="H18" s="3" t="inlineStr">
        <is>
          <t>Real GDP growth, baseline (before the GDP feedback) | All sectors | All fuels</t>
        </is>
      </c>
      <c r="I18" s="3" t="inlineStr">
        <is>
          <t>%</t>
        </is>
      </c>
      <c r="K18" s="20" t="inlineStr">
        <is>
          <t>egy.mit.gdp.base.all.all.1</t>
        </is>
      </c>
      <c r="L18" s="3" t="n">
        <v>0.06651345</v>
      </c>
      <c r="M18" s="3" t="n">
        <v>0.03760281</v>
      </c>
      <c r="N18" s="3" t="n">
        <v>0.02398801</v>
      </c>
      <c r="O18" s="3" t="n">
        <v>0.04392387</v>
      </c>
      <c r="P18" s="3" t="n">
        <v>0.04239706</v>
      </c>
      <c r="Q18" s="3" t="n">
        <v>0.04829218</v>
      </c>
      <c r="R18" s="3" t="n">
        <v>0.05535316</v>
      </c>
      <c r="S18" s="3" t="n">
        <v>0.05226606</v>
      </c>
      <c r="T18" s="3" t="n">
        <v>0.04841877</v>
      </c>
      <c r="U18" s="3" t="n">
        <v>0.04788736</v>
      </c>
      <c r="V18" s="3" t="n">
        <v>0.04735595000000001</v>
      </c>
      <c r="W18" s="3" t="n">
        <v>0.04682454000000001</v>
      </c>
      <c r="X18" s="3" t="n">
        <v>0.04629313000000002</v>
      </c>
      <c r="Y18" s="3" t="n">
        <v>0.04576172000000002</v>
      </c>
      <c r="Z18" s="3" t="n">
        <v>0.04523031000000002</v>
      </c>
      <c r="AA18" s="3" t="n">
        <v>0.04469890000000003</v>
      </c>
      <c r="AB18" s="3" t="n">
        <v>0.04416749000000003</v>
      </c>
      <c r="AC18" s="3" t="n">
        <v>0.04363608000000004</v>
      </c>
      <c r="AD18" s="3" t="n">
        <v>0.04310467000000004</v>
      </c>
      <c r="AE18" s="3" t="n">
        <v>0.04257326000000004</v>
      </c>
      <c r="AG18" s="20" t="inlineStr">
        <is>
          <t>egy.mit.gdp.base.all.all.3</t>
        </is>
      </c>
      <c r="AH18" s="3" t="n">
        <v>0.06651345</v>
      </c>
      <c r="AI18" s="3" t="n">
        <v>0.03760281</v>
      </c>
      <c r="AJ18" s="3" t="n">
        <v>0.02398801</v>
      </c>
      <c r="AK18" s="3" t="n">
        <v>0.04392387</v>
      </c>
      <c r="AL18" s="3" t="n">
        <v>0.04239706</v>
      </c>
      <c r="AM18" s="3" t="n">
        <v>0.04829218</v>
      </c>
      <c r="AN18" s="3" t="n">
        <v>0.05535316</v>
      </c>
      <c r="AO18" s="3" t="n">
        <v>0.05226606</v>
      </c>
      <c r="AP18" s="3" t="n">
        <v>0.04841877</v>
      </c>
      <c r="AQ18" s="3" t="n">
        <v>0.04788736</v>
      </c>
      <c r="AR18" s="3" t="n">
        <v>0.04735595000000001</v>
      </c>
      <c r="AS18" s="3" t="n">
        <v>0.04682454000000001</v>
      </c>
      <c r="AT18" s="3" t="n">
        <v>0.04629313000000002</v>
      </c>
      <c r="AU18" s="3" t="n">
        <v>0.04576172000000002</v>
      </c>
      <c r="AV18" s="3" t="n">
        <v>0.04523031000000002</v>
      </c>
      <c r="AW18" s="3" t="n">
        <v>0.04469890000000003</v>
      </c>
      <c r="AX18" s="3" t="n">
        <v>0.04416749000000003</v>
      </c>
      <c r="AY18" s="3" t="n">
        <v>0.04363608000000004</v>
      </c>
      <c r="AZ18" s="3" t="n">
        <v>0.04310467000000004</v>
      </c>
      <c r="BA18" s="3" t="n">
        <v>0.04257326000000004</v>
      </c>
      <c r="BC18" s="20" t="inlineStr">
        <is>
          <t>egy.mit.gdp.base.all.all.4</t>
        </is>
      </c>
      <c r="BD18" s="3" t="n">
        <v>0.06651345</v>
      </c>
      <c r="BE18" s="3" t="n">
        <v>0.03760281</v>
      </c>
      <c r="BF18" s="3" t="n">
        <v>0.02398801</v>
      </c>
      <c r="BG18" s="3" t="n">
        <v>0.04392387</v>
      </c>
      <c r="BH18" s="3" t="n">
        <v>0.04239706</v>
      </c>
      <c r="BI18" s="3" t="n">
        <v>0.04829218</v>
      </c>
      <c r="BJ18" s="3" t="n">
        <v>0.05535316</v>
      </c>
      <c r="BK18" s="3" t="n">
        <v>0.05226606</v>
      </c>
      <c r="BL18" s="3" t="n">
        <v>0.04841877</v>
      </c>
      <c r="BM18" s="3" t="n">
        <v>0.04788736</v>
      </c>
      <c r="BN18" s="3" t="n">
        <v>0.04735595000000001</v>
      </c>
      <c r="BO18" s="3" t="n">
        <v>0.04682454000000001</v>
      </c>
      <c r="BP18" s="3" t="n">
        <v>0.04629313000000002</v>
      </c>
      <c r="BQ18" s="3" t="n">
        <v>0.04576172000000002</v>
      </c>
      <c r="BR18" s="3" t="n">
        <v>0.04523031000000002</v>
      </c>
      <c r="BS18" s="3" t="n">
        <v>0.04469890000000003</v>
      </c>
      <c r="BT18" s="3" t="n">
        <v>0.04416749000000003</v>
      </c>
      <c r="BU18" s="3" t="n">
        <v>0.04363608000000004</v>
      </c>
      <c r="BV18" s="3" t="n">
        <v>0.04310467000000004</v>
      </c>
      <c r="BW18" s="3" t="n">
        <v>0.04257326000000004</v>
      </c>
      <c r="BY18" s="20" t="inlineStr">
        <is>
          <t>egy.mit.gdp.base.all.all.5</t>
        </is>
      </c>
      <c r="BZ18" s="3" t="n">
        <v>0.06651345</v>
      </c>
      <c r="CA18" s="3" t="n">
        <v>0.03760281</v>
      </c>
      <c r="CB18" s="3" t="n">
        <v>0.02398801</v>
      </c>
      <c r="CC18" s="3" t="n">
        <v>0.04392387</v>
      </c>
      <c r="CD18" s="3" t="n">
        <v>0.04239706</v>
      </c>
      <c r="CE18" s="3" t="n">
        <v>0.04829218</v>
      </c>
      <c r="CF18" s="3" t="n">
        <v>0.05535316</v>
      </c>
      <c r="CG18" s="3" t="n">
        <v>0.05226606</v>
      </c>
      <c r="CH18" s="3" t="n">
        <v>0.04841877</v>
      </c>
      <c r="CI18" s="3" t="n">
        <v>0.04788736</v>
      </c>
      <c r="CJ18" s="3" t="n">
        <v>0.04735595000000001</v>
      </c>
      <c r="CK18" s="3" t="n">
        <v>0.04682454000000001</v>
      </c>
      <c r="CL18" s="3" t="n">
        <v>0.04629313000000002</v>
      </c>
      <c r="CM18" s="3" t="n">
        <v>0.04576172000000002</v>
      </c>
      <c r="CN18" s="3" t="n">
        <v>0.04523031000000002</v>
      </c>
      <c r="CO18" s="3" t="n">
        <v>0.04469890000000003</v>
      </c>
      <c r="CP18" s="3" t="n">
        <v>0.04416749000000003</v>
      </c>
      <c r="CQ18" s="3" t="n">
        <v>0.04363608000000004</v>
      </c>
      <c r="CR18" s="3" t="n">
        <v>0.04310467000000004</v>
      </c>
      <c r="CS18" s="3" t="n">
        <v>0.04257326000000004</v>
      </c>
      <c r="CU18" s="20" t="inlineStr">
        <is>
          <t>egy.mit.gdp.base.all.all.6</t>
        </is>
      </c>
      <c r="CV18" s="3" t="n">
        <v>0.06651345</v>
      </c>
      <c r="CW18" s="3" t="n">
        <v>0.03760281</v>
      </c>
      <c r="CX18" s="3" t="n">
        <v>0.02398801</v>
      </c>
      <c r="CY18" s="3" t="n">
        <v>0.04392387</v>
      </c>
      <c r="CZ18" s="3" t="n">
        <v>0.04239706</v>
      </c>
      <c r="DA18" s="3" t="n">
        <v>0.04829218</v>
      </c>
      <c r="DB18" s="3" t="n">
        <v>0.05535316</v>
      </c>
      <c r="DC18" s="3" t="n">
        <v>0.05226606</v>
      </c>
      <c r="DD18" s="3" t="n">
        <v>0.04841877</v>
      </c>
      <c r="DE18" s="3" t="n">
        <v>0.04788736</v>
      </c>
      <c r="DF18" s="3" t="n">
        <v>0.04735595000000001</v>
      </c>
      <c r="DG18" s="3" t="n">
        <v>0.04682454000000001</v>
      </c>
      <c r="DH18" s="3" t="n">
        <v>0.04629313000000002</v>
      </c>
      <c r="DI18" s="3" t="n">
        <v>0.04576172000000002</v>
      </c>
      <c r="DJ18" s="3" t="n">
        <v>0.04523031000000002</v>
      </c>
      <c r="DK18" s="3" t="n">
        <v>0.04469890000000003</v>
      </c>
      <c r="DL18" s="3" t="n">
        <v>0.04416749000000003</v>
      </c>
      <c r="DM18" s="3" t="n">
        <v>0.04363608000000004</v>
      </c>
      <c r="DN18" s="3" t="n">
        <v>0.04310467000000004</v>
      </c>
      <c r="DO18" s="3" t="n">
        <v>0.04257326000000004</v>
      </c>
    </row>
    <row r="19">
      <c r="A19" s="19" t="inlineStr">
        <is>
          <t>mit.gdpg.all.exc</t>
        </is>
      </c>
      <c r="B19" s="3" t="inlineStr">
        <is>
          <t>mit</t>
        </is>
      </c>
      <c r="C19" s="19" t="inlineStr">
        <is>
          <t>mit.gdp.exc.pct</t>
        </is>
      </c>
      <c r="H19" s="3" t="inlineStr">
        <is>
          <t>Real GDP growth effect of a revenue use (memo) | All sectors | Revenue (energy tax increase)</t>
        </is>
      </c>
      <c r="I19" s="3" t="inlineStr">
        <is>
          <t>share</t>
        </is>
      </c>
      <c r="K19" s="20" t="inlineStr">
        <is>
          <t>egy.mit.gdpg.all.exc.1</t>
        </is>
      </c>
      <c r="L19" s="3" t="n">
        <v>0</v>
      </c>
      <c r="M19" s="3" t="n">
        <v>-0</v>
      </c>
      <c r="N19" s="3" t="n">
        <v>0</v>
      </c>
      <c r="O19" s="3" t="n">
        <v>0</v>
      </c>
      <c r="P19" s="3" t="n">
        <v>0</v>
      </c>
      <c r="Q19" s="3" t="n">
        <v>0</v>
      </c>
      <c r="R19" s="3" t="n">
        <v>0</v>
      </c>
      <c r="S19" s="3" t="n">
        <v>0</v>
      </c>
      <c r="T19" s="3" t="n">
        <v>0</v>
      </c>
      <c r="U19" s="3" t="n">
        <v>0</v>
      </c>
      <c r="V19" s="3" t="n">
        <v>0</v>
      </c>
      <c r="W19" s="3" t="n">
        <v>0</v>
      </c>
      <c r="X19" s="3" t="n">
        <v>0</v>
      </c>
      <c r="Y19" s="3" t="n">
        <v>0</v>
      </c>
      <c r="Z19" s="3" t="n">
        <v>0</v>
      </c>
      <c r="AA19" s="3" t="n">
        <v>0</v>
      </c>
      <c r="AB19" s="3" t="n">
        <v>0</v>
      </c>
      <c r="AC19" s="3" t="n">
        <v>0</v>
      </c>
      <c r="AD19" s="3" t="n">
        <v>0</v>
      </c>
      <c r="AE19" s="3" t="n">
        <v>0</v>
      </c>
      <c r="AG19" s="20" t="inlineStr">
        <is>
          <t>egy.mit.gdpg.all.exc.3</t>
        </is>
      </c>
      <c r="AH19" s="3" t="n">
        <v>0</v>
      </c>
      <c r="AI19" s="3" t="n">
        <v>-0</v>
      </c>
      <c r="AJ19" s="3" t="n">
        <v>0</v>
      </c>
      <c r="AK19" s="3" t="n">
        <v>0</v>
      </c>
      <c r="AL19" s="3" t="n">
        <v>0</v>
      </c>
      <c r="AM19" s="3" t="n">
        <v>6.206461292196894e-08</v>
      </c>
      <c r="AN19" s="3" t="n">
        <v>-2.018079602148645e-07</v>
      </c>
      <c r="AO19" s="3" t="n">
        <v>-0.004907516163597108</v>
      </c>
      <c r="AP19" s="3" t="n">
        <v>-0.003291932246288412</v>
      </c>
      <c r="AQ19" s="3" t="n">
        <v>0.0001608750077324198</v>
      </c>
      <c r="AR19" s="3" t="n">
        <v>-1.828125531127811e-05</v>
      </c>
      <c r="AS19" s="3" t="n">
        <v>0.000946265841798567</v>
      </c>
      <c r="AT19" s="3" t="n">
        <v>0.001033876256381962</v>
      </c>
      <c r="AU19" s="3" t="n">
        <v>0.0004921094101551541</v>
      </c>
      <c r="AV19" s="3" t="n">
        <v>0.0006872788875355825</v>
      </c>
      <c r="AW19" s="3" t="n">
        <v>0.0007298137186635058</v>
      </c>
      <c r="AX19" s="3" t="n">
        <v>0.0006074922862264997</v>
      </c>
      <c r="AY19" s="3" t="n">
        <v>0.0003489818820074575</v>
      </c>
      <c r="AZ19" s="3" t="n">
        <v>2.57561636369154e-05</v>
      </c>
      <c r="BA19" s="3" t="n">
        <v>-3.770413905559795e-05</v>
      </c>
      <c r="BC19" s="20" t="inlineStr">
        <is>
          <t>egy.mit.gdpg.all.exc.4</t>
        </is>
      </c>
      <c r="BD19" s="3" t="n">
        <v>0</v>
      </c>
      <c r="BE19" s="3" t="n">
        <v>-0</v>
      </c>
      <c r="BF19" s="3" t="n">
        <v>0</v>
      </c>
      <c r="BG19" s="3" t="n">
        <v>0</v>
      </c>
      <c r="BH19" s="3" t="n">
        <v>0</v>
      </c>
      <c r="BI19" s="3" t="n">
        <v>1.972098176015286e-07</v>
      </c>
      <c r="BJ19" s="3" t="n">
        <v>-6.434008473323505e-07</v>
      </c>
      <c r="BK19" s="3" t="n">
        <v>-0.002788436073353882</v>
      </c>
      <c r="BL19" s="3" t="n">
        <v>-0.004766657030575007</v>
      </c>
      <c r="BM19" s="3" t="n">
        <v>-0.004348908486901924</v>
      </c>
      <c r="BN19" s="3" t="n">
        <v>-0.003402287140793392</v>
      </c>
      <c r="BO19" s="3" t="n">
        <v>-0.002019714825790864</v>
      </c>
      <c r="BP19" s="3" t="n">
        <v>-0.00119021963578404</v>
      </c>
      <c r="BQ19" s="3" t="n">
        <v>-0.0009695635954412706</v>
      </c>
      <c r="BR19" s="3" t="n">
        <v>-0.0005599084451605002</v>
      </c>
      <c r="BS19" s="3" t="n">
        <v>-0.0001290784286757204</v>
      </c>
      <c r="BT19" s="3" t="n">
        <v>0.0002091841076490463</v>
      </c>
      <c r="BU19" s="3" t="n">
        <v>0.0003809140531592186</v>
      </c>
      <c r="BV19" s="3" t="n">
        <v>0.0003000283400603991</v>
      </c>
      <c r="BW19" s="3" t="n">
        <v>0.0001652740042464485</v>
      </c>
      <c r="BY19" s="20" t="inlineStr">
        <is>
          <t>egy.mit.gdpg.all.exc.5</t>
        </is>
      </c>
      <c r="BZ19" s="3" t="n">
        <v>0</v>
      </c>
      <c r="CA19" s="3" t="n">
        <v>-0</v>
      </c>
      <c r="CB19" s="3" t="n">
        <v>0</v>
      </c>
      <c r="CC19" s="3" t="n">
        <v>0</v>
      </c>
      <c r="CD19" s="3" t="n">
        <v>0</v>
      </c>
      <c r="CE19" s="3" t="n">
        <v>3.283773849152714e-07</v>
      </c>
      <c r="CF19" s="3" t="n">
        <v>-1.135864903196444e-06</v>
      </c>
      <c r="CG19" s="3" t="n">
        <v>-0.004184018777365125</v>
      </c>
      <c r="CH19" s="3" t="n">
        <v>-0.001852595644029443</v>
      </c>
      <c r="CI19" s="3" t="n">
        <v>0.0004757360127030585</v>
      </c>
      <c r="CJ19" s="3" t="n">
        <v>-0.0001068965513869637</v>
      </c>
      <c r="CK19" s="3" t="n">
        <v>0.0006528445311773871</v>
      </c>
      <c r="CL19" s="3" t="n">
        <v>0.0004406129154562796</v>
      </c>
      <c r="CM19" s="3" t="n">
        <v>0.0001565380916632816</v>
      </c>
      <c r="CN19" s="3" t="n">
        <v>0.0002777695489230355</v>
      </c>
      <c r="CO19" s="3" t="n">
        <v>0.0002526858264282353</v>
      </c>
      <c r="CP19" s="3" t="n">
        <v>0.0002552179045431904</v>
      </c>
      <c r="CQ19" s="3" t="n">
        <v>3.870746755897494e-05</v>
      </c>
      <c r="CR19" s="3" t="n">
        <v>-0.0001383820959809449</v>
      </c>
      <c r="CS19" s="3" t="n">
        <v>-7.879665216892749e-05</v>
      </c>
      <c r="CU19" s="20" t="inlineStr">
        <is>
          <t>egy.mit.gdpg.all.exc.6</t>
        </is>
      </c>
      <c r="CV19" s="3" t="n">
        <v>0</v>
      </c>
      <c r="CW19" s="3" t="n">
        <v>-0</v>
      </c>
      <c r="CX19" s="3" t="n">
        <v>0</v>
      </c>
      <c r="CY19" s="3" t="n">
        <v>0</v>
      </c>
      <c r="CZ19" s="3" t="n">
        <v>0</v>
      </c>
      <c r="DA19" s="3" t="n">
        <v>1.410181996429687e-07</v>
      </c>
      <c r="DB19" s="3" t="n">
        <v>-4.596498984679771e-07</v>
      </c>
      <c r="DC19" s="3" t="n">
        <v>-0.01050766508446197</v>
      </c>
      <c r="DD19" s="3" t="n">
        <v>-0.006668420046700721</v>
      </c>
      <c r="DE19" s="3" t="n">
        <v>0.0003555046857418132</v>
      </c>
      <c r="DF19" s="3" t="n">
        <v>-0.000120971993152857</v>
      </c>
      <c r="DG19" s="3" t="n">
        <v>0.002008364034644319</v>
      </c>
      <c r="DH19" s="3" t="n">
        <v>0.002079277741995569</v>
      </c>
      <c r="DI19" s="3" t="n">
        <v>0.000936238967853012</v>
      </c>
      <c r="DJ19" s="3" t="n">
        <v>0.001379796435124575</v>
      </c>
      <c r="DK19" s="3" t="n">
        <v>0.001486397278512635</v>
      </c>
      <c r="DL19" s="3" t="n">
        <v>0.001224548543947359</v>
      </c>
      <c r="DM19" s="3" t="n">
        <v>0.0007018354342840251</v>
      </c>
      <c r="DN19" s="3" t="n">
        <v>3.999256562597923e-05</v>
      </c>
      <c r="DO19" s="3" t="n">
        <v>-6.473077063356621e-05</v>
      </c>
    </row>
    <row r="20">
      <c r="A20" s="19" t="inlineStr">
        <is>
          <t>mit.gdpg.all.pit</t>
        </is>
      </c>
      <c r="B20" s="3" t="inlineStr">
        <is>
          <t>mit</t>
        </is>
      </c>
      <c r="C20" s="19" t="inlineStr">
        <is>
          <t>mit.gdp.pit.pct</t>
        </is>
      </c>
      <c r="H20" s="3" t="inlineStr">
        <is>
          <t>Real GDP growth effect of a revenue use (memo) | All sectors | Labour tax cuts</t>
        </is>
      </c>
      <c r="I20" s="3" t="inlineStr">
        <is>
          <t>share</t>
        </is>
      </c>
      <c r="K20" s="20" t="inlineStr">
        <is>
          <t>egy.mit.gdpg.all.pit.1</t>
        </is>
      </c>
      <c r="L20" s="3" t="n">
        <v>0</v>
      </c>
      <c r="M20" s="3" t="n">
        <v>0</v>
      </c>
      <c r="N20" s="3" t="n">
        <v>0</v>
      </c>
      <c r="O20" s="3" t="n">
        <v>0</v>
      </c>
      <c r="P20" s="3" t="n">
        <v>0</v>
      </c>
      <c r="Q20" s="3" t="n">
        <v>0</v>
      </c>
      <c r="R20" s="3" t="n">
        <v>0</v>
      </c>
      <c r="S20" s="3" t="n">
        <v>0</v>
      </c>
      <c r="T20" s="3" t="n">
        <v>0</v>
      </c>
      <c r="U20" s="3" t="n">
        <v>0</v>
      </c>
      <c r="V20" s="3" t="n">
        <v>0</v>
      </c>
      <c r="W20" s="3" t="n">
        <v>0</v>
      </c>
      <c r="X20" s="3" t="n">
        <v>0</v>
      </c>
      <c r="Y20" s="3" t="n">
        <v>0</v>
      </c>
      <c r="Z20" s="3" t="n">
        <v>0</v>
      </c>
      <c r="AA20" s="3" t="n">
        <v>0</v>
      </c>
      <c r="AB20" s="3" t="n">
        <v>0</v>
      </c>
      <c r="AC20" s="3" t="n">
        <v>0</v>
      </c>
      <c r="AD20" s="3" t="n">
        <v>0</v>
      </c>
      <c r="AE20" s="3" t="n">
        <v>0</v>
      </c>
      <c r="AG20" s="20" t="inlineStr">
        <is>
          <t>egy.mit.gdpg.all.pit.3</t>
        </is>
      </c>
      <c r="AH20" s="3" t="n">
        <v>0</v>
      </c>
      <c r="AI20" s="3" t="n">
        <v>0</v>
      </c>
      <c r="AJ20" s="3" t="n">
        <v>0</v>
      </c>
      <c r="AK20" s="3" t="n">
        <v>0</v>
      </c>
      <c r="AL20" s="3" t="n">
        <v>0</v>
      </c>
      <c r="AM20" s="3" t="n">
        <v>0</v>
      </c>
      <c r="AN20" s="3" t="n">
        <v>0</v>
      </c>
      <c r="AO20" s="3" t="n">
        <v>0.0009947450841283712</v>
      </c>
      <c r="AP20" s="3" t="n">
        <v>0.0002389562050728012</v>
      </c>
      <c r="AQ20" s="3" t="n">
        <v>-4.171882850210026e-05</v>
      </c>
      <c r="AR20" s="3" t="n">
        <v>-0.0001311590129329695</v>
      </c>
      <c r="AS20" s="3" t="n">
        <v>-9.84011803650004e-05</v>
      </c>
      <c r="AT20" s="3" t="n">
        <v>-7.638878774678918e-07</v>
      </c>
      <c r="AU20" s="3" t="n">
        <v>-3.296821137324217e-05</v>
      </c>
      <c r="AV20" s="3" t="n">
        <v>4.758772295773564e-05</v>
      </c>
      <c r="AW20" s="3" t="n">
        <v>-1.73592959022084e-05</v>
      </c>
      <c r="AX20" s="3" t="n">
        <v>-4.057452100176219e-05</v>
      </c>
      <c r="AY20" s="3" t="n">
        <v>-3.891217039201419e-05</v>
      </c>
      <c r="AZ20" s="3" t="n">
        <v>-3.207223246992722e-06</v>
      </c>
      <c r="BA20" s="3" t="n">
        <v>8.768540765455526e-06</v>
      </c>
      <c r="BC20" s="20" t="inlineStr">
        <is>
          <t>egy.mit.gdpg.all.pit.4</t>
        </is>
      </c>
      <c r="BD20" s="3" t="n">
        <v>0</v>
      </c>
      <c r="BE20" s="3" t="n">
        <v>0</v>
      </c>
      <c r="BF20" s="3" t="n">
        <v>0</v>
      </c>
      <c r="BG20" s="3" t="n">
        <v>0</v>
      </c>
      <c r="BH20" s="3" t="n">
        <v>0</v>
      </c>
      <c r="BI20" s="3" t="n">
        <v>0</v>
      </c>
      <c r="BJ20" s="3" t="n">
        <v>0</v>
      </c>
      <c r="BK20" s="3" t="n">
        <v>0.0005651543698032051</v>
      </c>
      <c r="BL20" s="3" t="n">
        <v>0.0007228184116211951</v>
      </c>
      <c r="BM20" s="3" t="n">
        <v>0.0006225337021145814</v>
      </c>
      <c r="BN20" s="3" t="n">
        <v>0.0003894815793102374</v>
      </c>
      <c r="BO20" s="3" t="n">
        <v>0.0002192295936221752</v>
      </c>
      <c r="BP20" s="3" t="n">
        <v>0.0002198399912770922</v>
      </c>
      <c r="BQ20" s="3" t="n">
        <v>0.0002271189707160937</v>
      </c>
      <c r="BR20" s="3" t="n">
        <v>0.000234856931805931</v>
      </c>
      <c r="BS20" s="3" t="n">
        <v>0.0002008424373422181</v>
      </c>
      <c r="BT20" s="3" t="n">
        <v>0.0001525483078320158</v>
      </c>
      <c r="BU20" s="3" t="n">
        <v>0.0001106502672950359</v>
      </c>
      <c r="BV20" s="3" t="n">
        <v>9.514882788277636e-05</v>
      </c>
      <c r="BW20" s="3" t="n">
        <v>9.872194717004306e-05</v>
      </c>
      <c r="BY20" s="20" t="inlineStr">
        <is>
          <t>egy.mit.gdpg.all.pit.5</t>
        </is>
      </c>
      <c r="BZ20" s="3" t="n">
        <v>0</v>
      </c>
      <c r="CA20" s="3" t="n">
        <v>0</v>
      </c>
      <c r="CB20" s="3" t="n">
        <v>0</v>
      </c>
      <c r="CC20" s="3" t="n">
        <v>0</v>
      </c>
      <c r="CD20" s="3" t="n">
        <v>0</v>
      </c>
      <c r="CE20" s="3" t="n">
        <v>0</v>
      </c>
      <c r="CF20" s="3" t="n">
        <v>0</v>
      </c>
      <c r="CG20" s="3" t="n">
        <v>0.0008479911175476909</v>
      </c>
      <c r="CH20" s="3" t="n">
        <v>1.038699782460098e-05</v>
      </c>
      <c r="CI20" s="3" t="n">
        <v>-2.054172131105116e-05</v>
      </c>
      <c r="CJ20" s="3" t="n">
        <v>-0.0001181158478608337</v>
      </c>
      <c r="CK20" s="3" t="n">
        <v>-1.424875472596831e-05</v>
      </c>
      <c r="CL20" s="3" t="n">
        <v>3.914258521580845e-05</v>
      </c>
      <c r="CM20" s="3" t="n">
        <v>-1.246961884658938e-05</v>
      </c>
      <c r="CN20" s="3" t="n">
        <v>8.577922342702832e-05</v>
      </c>
      <c r="CO20" s="3" t="n">
        <v>7.533863307230201e-06</v>
      </c>
      <c r="CP20" s="3" t="n">
        <v>-8.699071031992869e-07</v>
      </c>
      <c r="CQ20" s="3" t="n">
        <v>-2.041157003549726e-06</v>
      </c>
      <c r="CR20" s="3" t="n">
        <v>2.556730916153483e-05</v>
      </c>
      <c r="CS20" s="3" t="n">
        <v>2.499712037065989e-05</v>
      </c>
      <c r="CU20" s="20" t="inlineStr">
        <is>
          <t>egy.mit.gdpg.all.pit.6</t>
        </is>
      </c>
      <c r="CV20" s="3" t="n">
        <v>0</v>
      </c>
      <c r="CW20" s="3" t="n">
        <v>0</v>
      </c>
      <c r="CX20" s="3" t="n">
        <v>0</v>
      </c>
      <c r="CY20" s="3" t="n">
        <v>0</v>
      </c>
      <c r="CZ20" s="3" t="n">
        <v>0</v>
      </c>
      <c r="DA20" s="3" t="n">
        <v>0</v>
      </c>
      <c r="DB20" s="3" t="n">
        <v>0</v>
      </c>
      <c r="DC20" s="3" t="n">
        <v>0.002129882695836054</v>
      </c>
      <c r="DD20" s="3" t="n">
        <v>0.0004352203437668179</v>
      </c>
      <c r="DE20" s="3" t="n">
        <v>-5.860793922129566e-05</v>
      </c>
      <c r="DF20" s="3" t="n">
        <v>-0.0002849368099491798</v>
      </c>
      <c r="DG20" s="3" t="n">
        <v>-0.0001886945634492579</v>
      </c>
      <c r="DH20" s="3" t="n">
        <v>3.948495236843392e-06</v>
      </c>
      <c r="DI20" s="3" t="n">
        <v>-5.556650734770592e-05</v>
      </c>
      <c r="DJ20" s="3" t="n">
        <v>0.0001126642832508427</v>
      </c>
      <c r="DK20" s="3" t="n">
        <v>-3.795249012789015e-05</v>
      </c>
      <c r="DL20" s="3" t="n">
        <v>-7.553684062304883e-05</v>
      </c>
      <c r="DM20" s="3" t="n">
        <v>-7.923042142038355e-05</v>
      </c>
      <c r="DN20" s="3" t="n">
        <v>5.952500129682636e-07</v>
      </c>
      <c r="DO20" s="3" t="n">
        <v>1.675286137362679e-05</v>
      </c>
    </row>
    <row r="21">
      <c r="A21" s="19" t="inlineStr">
        <is>
          <t>mit.gdpg.all.capt</t>
        </is>
      </c>
      <c r="B21" s="3" t="inlineStr">
        <is>
          <t>mit</t>
        </is>
      </c>
      <c r="C21" s="19" t="inlineStr">
        <is>
          <t>mit.gdp.inv.pct</t>
        </is>
      </c>
      <c r="H21" s="3" t="inlineStr">
        <is>
          <t>Real GDP growth effect of a revenue use (memo) | All sectors | Public investment</t>
        </is>
      </c>
      <c r="I21" s="3" t="inlineStr">
        <is>
          <t>share</t>
        </is>
      </c>
      <c r="K21" s="20" t="inlineStr">
        <is>
          <t>egy.mit.gdpg.all.capt.1</t>
        </is>
      </c>
      <c r="L21" s="3" t="n">
        <v>0</v>
      </c>
      <c r="M21" s="3" t="n">
        <v>0</v>
      </c>
      <c r="N21" s="3" t="n">
        <v>0</v>
      </c>
      <c r="O21" s="3" t="n">
        <v>0</v>
      </c>
      <c r="P21" s="3" t="n">
        <v>0</v>
      </c>
      <c r="Q21" s="3" t="n">
        <v>0</v>
      </c>
      <c r="R21" s="3" t="n">
        <v>0</v>
      </c>
      <c r="S21" s="3" t="n">
        <v>0</v>
      </c>
      <c r="T21" s="3" t="n">
        <v>0</v>
      </c>
      <c r="U21" s="3" t="n">
        <v>0</v>
      </c>
      <c r="V21" s="3" t="n">
        <v>0</v>
      </c>
      <c r="W21" s="3" t="n">
        <v>0</v>
      </c>
      <c r="X21" s="3" t="n">
        <v>0</v>
      </c>
      <c r="Y21" s="3" t="n">
        <v>0</v>
      </c>
      <c r="Z21" s="3" t="n">
        <v>0</v>
      </c>
      <c r="AA21" s="3" t="n">
        <v>0</v>
      </c>
      <c r="AB21" s="3" t="n">
        <v>0</v>
      </c>
      <c r="AC21" s="3" t="n">
        <v>0</v>
      </c>
      <c r="AD21" s="3" t="n">
        <v>0</v>
      </c>
      <c r="AE21" s="3" t="n">
        <v>0</v>
      </c>
      <c r="AG21" s="20" t="inlineStr">
        <is>
          <t>egy.mit.gdpg.all.capt.3</t>
        </is>
      </c>
      <c r="AH21" s="3" t="n">
        <v>0</v>
      </c>
      <c r="AI21" s="3" t="n">
        <v>0</v>
      </c>
      <c r="AJ21" s="3" t="n">
        <v>0</v>
      </c>
      <c r="AK21" s="3" t="n">
        <v>0</v>
      </c>
      <c r="AL21" s="3" t="n">
        <v>0</v>
      </c>
      <c r="AM21" s="3" t="n">
        <v>0</v>
      </c>
      <c r="AN21" s="3" t="n">
        <v>0</v>
      </c>
      <c r="AO21" s="3" t="n">
        <v>0.004111613014397269</v>
      </c>
      <c r="AP21" s="3" t="n">
        <v>0.001251824689617729</v>
      </c>
      <c r="AQ21" s="3" t="n">
        <v>-7.693953883035264e-05</v>
      </c>
      <c r="AR21" s="3" t="n">
        <v>-0.0004082276415627733</v>
      </c>
      <c r="AS21" s="3" t="n">
        <v>-7.048681402435629e-05</v>
      </c>
      <c r="AT21" s="3" t="n">
        <v>0.0003274093624846674</v>
      </c>
      <c r="AU21" s="3" t="n">
        <v>0.0005575688395231666</v>
      </c>
      <c r="AV21" s="3" t="n">
        <v>0.0005239292534119996</v>
      </c>
      <c r="AW21" s="3" t="n">
        <v>0.001058167423918118</v>
      </c>
      <c r="AX21" s="3" t="n">
        <v>0.0007394070717616233</v>
      </c>
      <c r="AY21" s="3" t="n">
        <v>0.0006113953064249838</v>
      </c>
      <c r="AZ21" s="3" t="n">
        <v>0.0001905744560362116</v>
      </c>
      <c r="BA21" s="3" t="n">
        <v>5.802889689584038e-05</v>
      </c>
      <c r="BC21" s="20" t="inlineStr">
        <is>
          <t>egy.mit.gdpg.all.capt.4</t>
        </is>
      </c>
      <c r="BD21" s="3" t="n">
        <v>0</v>
      </c>
      <c r="BE21" s="3" t="n">
        <v>0</v>
      </c>
      <c r="BF21" s="3" t="n">
        <v>0</v>
      </c>
      <c r="BG21" s="3" t="n">
        <v>0</v>
      </c>
      <c r="BH21" s="3" t="n">
        <v>0</v>
      </c>
      <c r="BI21" s="3" t="n">
        <v>0</v>
      </c>
      <c r="BJ21" s="3" t="n">
        <v>0</v>
      </c>
      <c r="BK21" s="3" t="n">
        <v>0.002335971395186581</v>
      </c>
      <c r="BL21" s="3" t="n">
        <v>0.003137755776475654</v>
      </c>
      <c r="BM21" s="3" t="n">
        <v>0.002783883760106565</v>
      </c>
      <c r="BN21" s="3" t="n">
        <v>0.001877003560562567</v>
      </c>
      <c r="BO21" s="3" t="n">
        <v>0.001322998987010939</v>
      </c>
      <c r="BP21" s="3" t="n">
        <v>0.001475421050455248</v>
      </c>
      <c r="BQ21" s="3" t="n">
        <v>0.001855006193114697</v>
      </c>
      <c r="BR21" s="3" t="n">
        <v>0.002002680465939215</v>
      </c>
      <c r="BS21" s="3" t="n">
        <v>0.002368597929367663</v>
      </c>
      <c r="BT21" s="3" t="n">
        <v>0.002547892319120063</v>
      </c>
      <c r="BU21" s="3" t="n">
        <v>0.002619993059832963</v>
      </c>
      <c r="BV21" s="3" t="n">
        <v>0.002404248515923136</v>
      </c>
      <c r="BW21" s="3" t="n">
        <v>0.002117151213782264</v>
      </c>
      <c r="BY21" s="20" t="inlineStr">
        <is>
          <t>egy.mit.gdpg.all.capt.5</t>
        </is>
      </c>
      <c r="BZ21" s="3" t="n">
        <v>0</v>
      </c>
      <c r="CA21" s="3" t="n">
        <v>0</v>
      </c>
      <c r="CB21" s="3" t="n">
        <v>0</v>
      </c>
      <c r="CC21" s="3" t="n">
        <v>0</v>
      </c>
      <c r="CD21" s="3" t="n">
        <v>0</v>
      </c>
      <c r="CE21" s="3" t="n">
        <v>0</v>
      </c>
      <c r="CF21" s="3" t="n">
        <v>0</v>
      </c>
      <c r="CG21" s="3" t="n">
        <v>0.003505029952530456</v>
      </c>
      <c r="CH21" s="3" t="n">
        <v>0.0002681235135144833</v>
      </c>
      <c r="CI21" s="3" t="n">
        <v>-5.509055180982925e-05</v>
      </c>
      <c r="CJ21" s="3" t="n">
        <v>-0.0003762823376824884</v>
      </c>
      <c r="CK21" s="3" t="n">
        <v>0.0001996686507132203</v>
      </c>
      <c r="CL21" s="3" t="n">
        <v>0.0003977833164529578</v>
      </c>
      <c r="CM21" s="3" t="n">
        <v>0.0005015707644755536</v>
      </c>
      <c r="CN21" s="3" t="n">
        <v>0.0005219775697909029</v>
      </c>
      <c r="CO21" s="3" t="n">
        <v>0.0009968947465473677</v>
      </c>
      <c r="CP21" s="3" t="n">
        <v>0.0005874956063896755</v>
      </c>
      <c r="CQ21" s="3" t="n">
        <v>0.0005970751329658851</v>
      </c>
      <c r="CR21" s="3" t="n">
        <v>0.000213266993023983</v>
      </c>
      <c r="CS21" s="3" t="n">
        <v>0.0002167380941230621</v>
      </c>
      <c r="CU21" s="20" t="inlineStr">
        <is>
          <t>egy.mit.gdpg.all.capt.6</t>
        </is>
      </c>
      <c r="CV21" s="3" t="n">
        <v>0</v>
      </c>
      <c r="CW21" s="3" t="n">
        <v>0</v>
      </c>
      <c r="CX21" s="3" t="n">
        <v>0</v>
      </c>
      <c r="CY21" s="3" t="n">
        <v>0</v>
      </c>
      <c r="CZ21" s="3" t="n">
        <v>0</v>
      </c>
      <c r="DA21" s="3" t="n">
        <v>0</v>
      </c>
      <c r="DB21" s="3" t="n">
        <v>0</v>
      </c>
      <c r="DC21" s="3" t="n">
        <v>0.008803515142789025</v>
      </c>
      <c r="DD21" s="3" t="n">
        <v>0.002364086113892197</v>
      </c>
      <c r="DE21" s="3" t="n">
        <v>-5.79212609558637e-05</v>
      </c>
      <c r="DF21" s="3" t="n">
        <v>-0.0008851375348872369</v>
      </c>
      <c r="DG21" s="3" t="n">
        <v>-6.977273329282882e-05</v>
      </c>
      <c r="DH21" s="3" t="n">
        <v>0.0007083286582158354</v>
      </c>
      <c r="DI21" s="3" t="n">
        <v>0.001244711676375971</v>
      </c>
      <c r="DJ21" s="3" t="n">
        <v>0.001128922221977403</v>
      </c>
      <c r="DK21" s="3" t="n">
        <v>0.002266341044358308</v>
      </c>
      <c r="DL21" s="3" t="n">
        <v>0.001546858629272744</v>
      </c>
      <c r="DM21" s="3" t="n">
        <v>0.001317385514334994</v>
      </c>
      <c r="DN21" s="3" t="n">
        <v>0.0004154981560184244</v>
      </c>
      <c r="DO21" s="3" t="n">
        <v>0.0001605996335286229</v>
      </c>
    </row>
    <row r="22">
      <c r="A22" s="19" t="inlineStr">
        <is>
          <t>mit.gdpg.all.gnfs</t>
        </is>
      </c>
      <c r="B22" s="3" t="inlineStr">
        <is>
          <t>mit</t>
        </is>
      </c>
      <c r="C22" s="19" t="inlineStr">
        <is>
          <t>mit.gdp.cur.pct</t>
        </is>
      </c>
      <c r="H22" s="3" t="inlineStr">
        <is>
          <t>Real GDP growth effect of a revenue use (memo) | All sectors | Current spending</t>
        </is>
      </c>
      <c r="I22" s="3" t="inlineStr">
        <is>
          <t>share</t>
        </is>
      </c>
      <c r="K22" s="20" t="inlineStr">
        <is>
          <t>egy.mit.gdpg.all.gnfs.1</t>
        </is>
      </c>
      <c r="L22" s="3" t="n">
        <v>0</v>
      </c>
      <c r="M22" s="3" t="n">
        <v>0</v>
      </c>
      <c r="N22" s="3" t="n">
        <v>0</v>
      </c>
      <c r="O22" s="3" t="n">
        <v>0</v>
      </c>
      <c r="P22" s="3" t="n">
        <v>0</v>
      </c>
      <c r="Q22" s="3" t="n">
        <v>0</v>
      </c>
      <c r="R22" s="3" t="n">
        <v>0</v>
      </c>
      <c r="S22" s="3" t="n">
        <v>0</v>
      </c>
      <c r="T22" s="3" t="n">
        <v>0</v>
      </c>
      <c r="U22" s="3" t="n">
        <v>0</v>
      </c>
      <c r="V22" s="3" t="n">
        <v>0</v>
      </c>
      <c r="W22" s="3" t="n">
        <v>0</v>
      </c>
      <c r="X22" s="3" t="n">
        <v>0</v>
      </c>
      <c r="Y22" s="3" t="n">
        <v>0</v>
      </c>
      <c r="Z22" s="3" t="n">
        <v>0</v>
      </c>
      <c r="AA22" s="3" t="n">
        <v>0</v>
      </c>
      <c r="AB22" s="3" t="n">
        <v>0</v>
      </c>
      <c r="AC22" s="3" t="n">
        <v>0</v>
      </c>
      <c r="AD22" s="3" t="n">
        <v>0</v>
      </c>
      <c r="AE22" s="3" t="n">
        <v>0</v>
      </c>
      <c r="AG22" s="20" t="inlineStr">
        <is>
          <t>egy.mit.gdpg.all.gnfs.3</t>
        </is>
      </c>
      <c r="AH22" s="3" t="n">
        <v>0</v>
      </c>
      <c r="AI22" s="3" t="n">
        <v>0</v>
      </c>
      <c r="AJ22" s="3" t="n">
        <v>0</v>
      </c>
      <c r="AK22" s="3" t="n">
        <v>0</v>
      </c>
      <c r="AL22" s="3" t="n">
        <v>0</v>
      </c>
      <c r="AM22" s="3" t="n">
        <v>0</v>
      </c>
      <c r="AN22" s="3" t="n">
        <v>0</v>
      </c>
      <c r="AO22" s="3" t="n">
        <v>0</v>
      </c>
      <c r="AP22" s="3" t="n">
        <v>0</v>
      </c>
      <c r="AQ22" s="3" t="n">
        <v>0</v>
      </c>
      <c r="AR22" s="3" t="n">
        <v>0</v>
      </c>
      <c r="AS22" s="3" t="n">
        <v>0</v>
      </c>
      <c r="AT22" s="3" t="n">
        <v>0</v>
      </c>
      <c r="AU22" s="3" t="n">
        <v>0</v>
      </c>
      <c r="AV22" s="3" t="n">
        <v>0</v>
      </c>
      <c r="AW22" s="3" t="n">
        <v>0</v>
      </c>
      <c r="AX22" s="3" t="n">
        <v>0</v>
      </c>
      <c r="AY22" s="3" t="n">
        <v>0</v>
      </c>
      <c r="AZ22" s="3" t="n">
        <v>0</v>
      </c>
      <c r="BA22" s="3" t="n">
        <v>0</v>
      </c>
      <c r="BC22" s="20" t="inlineStr">
        <is>
          <t>egy.mit.gdpg.all.gnfs.4</t>
        </is>
      </c>
      <c r="BD22" s="3" t="n">
        <v>0</v>
      </c>
      <c r="BE22" s="3" t="n">
        <v>0</v>
      </c>
      <c r="BF22" s="3" t="n">
        <v>0</v>
      </c>
      <c r="BG22" s="3" t="n">
        <v>0</v>
      </c>
      <c r="BH22" s="3" t="n">
        <v>0</v>
      </c>
      <c r="BI22" s="3" t="n">
        <v>0</v>
      </c>
      <c r="BJ22" s="3" t="n">
        <v>0</v>
      </c>
      <c r="BK22" s="3" t="n">
        <v>0</v>
      </c>
      <c r="BL22" s="3" t="n">
        <v>0</v>
      </c>
      <c r="BM22" s="3" t="n">
        <v>0</v>
      </c>
      <c r="BN22" s="3" t="n">
        <v>0</v>
      </c>
      <c r="BO22" s="3" t="n">
        <v>0</v>
      </c>
      <c r="BP22" s="3" t="n">
        <v>0</v>
      </c>
      <c r="BQ22" s="3" t="n">
        <v>0</v>
      </c>
      <c r="BR22" s="3" t="n">
        <v>0</v>
      </c>
      <c r="BS22" s="3" t="n">
        <v>0</v>
      </c>
      <c r="BT22" s="3" t="n">
        <v>0</v>
      </c>
      <c r="BU22" s="3" t="n">
        <v>0</v>
      </c>
      <c r="BV22" s="3" t="n">
        <v>0</v>
      </c>
      <c r="BW22" s="3" t="n">
        <v>0</v>
      </c>
      <c r="BY22" s="20" t="inlineStr">
        <is>
          <t>egy.mit.gdpg.all.gnfs.5</t>
        </is>
      </c>
      <c r="BZ22" s="3" t="n">
        <v>0</v>
      </c>
      <c r="CA22" s="3" t="n">
        <v>0</v>
      </c>
      <c r="CB22" s="3" t="n">
        <v>0</v>
      </c>
      <c r="CC22" s="3" t="n">
        <v>0</v>
      </c>
      <c r="CD22" s="3" t="n">
        <v>0</v>
      </c>
      <c r="CE22" s="3" t="n">
        <v>0</v>
      </c>
      <c r="CF22" s="3" t="n">
        <v>0</v>
      </c>
      <c r="CG22" s="3" t="n">
        <v>0</v>
      </c>
      <c r="CH22" s="3" t="n">
        <v>0</v>
      </c>
      <c r="CI22" s="3" t="n">
        <v>0</v>
      </c>
      <c r="CJ22" s="3" t="n">
        <v>0</v>
      </c>
      <c r="CK22" s="3" t="n">
        <v>0</v>
      </c>
      <c r="CL22" s="3" t="n">
        <v>0</v>
      </c>
      <c r="CM22" s="3" t="n">
        <v>0</v>
      </c>
      <c r="CN22" s="3" t="n">
        <v>0</v>
      </c>
      <c r="CO22" s="3" t="n">
        <v>0</v>
      </c>
      <c r="CP22" s="3" t="n">
        <v>0</v>
      </c>
      <c r="CQ22" s="3" t="n">
        <v>0</v>
      </c>
      <c r="CR22" s="3" t="n">
        <v>0</v>
      </c>
      <c r="CS22" s="3" t="n">
        <v>0</v>
      </c>
      <c r="CU22" s="20" t="inlineStr">
        <is>
          <t>egy.mit.gdpg.all.gnfs.6</t>
        </is>
      </c>
      <c r="CV22" s="3" t="n">
        <v>0</v>
      </c>
      <c r="CW22" s="3" t="n">
        <v>0</v>
      </c>
      <c r="CX22" s="3" t="n">
        <v>0</v>
      </c>
      <c r="CY22" s="3" t="n">
        <v>0</v>
      </c>
      <c r="CZ22" s="3" t="n">
        <v>0</v>
      </c>
      <c r="DA22" s="3" t="n">
        <v>0</v>
      </c>
      <c r="DB22" s="3" t="n">
        <v>0</v>
      </c>
      <c r="DC22" s="3" t="n">
        <v>0</v>
      </c>
      <c r="DD22" s="3" t="n">
        <v>0</v>
      </c>
      <c r="DE22" s="3" t="n">
        <v>0</v>
      </c>
      <c r="DF22" s="3" t="n">
        <v>0</v>
      </c>
      <c r="DG22" s="3" t="n">
        <v>0</v>
      </c>
      <c r="DH22" s="3" t="n">
        <v>0</v>
      </c>
      <c r="DI22" s="3" t="n">
        <v>0</v>
      </c>
      <c r="DJ22" s="3" t="n">
        <v>0</v>
      </c>
      <c r="DK22" s="3" t="n">
        <v>0</v>
      </c>
      <c r="DL22" s="3" t="n">
        <v>0</v>
      </c>
      <c r="DM22" s="3" t="n">
        <v>0</v>
      </c>
      <c r="DN22" s="3" t="n">
        <v>0</v>
      </c>
      <c r="DO22" s="3" t="n">
        <v>0</v>
      </c>
    </row>
    <row r="23">
      <c r="A23" s="19" t="inlineStr">
        <is>
          <t>mit.gdpg.all.trns</t>
        </is>
      </c>
      <c r="B23" s="3" t="inlineStr">
        <is>
          <t>mit</t>
        </is>
      </c>
      <c r="C23" s="19" t="inlineStr">
        <is>
          <t>mit.gdp.tra.pct</t>
        </is>
      </c>
      <c r="H23" s="3" t="inlineStr">
        <is>
          <t>Real GDP growth effect of a revenue use (memo) | All sectors | Targeted transfers</t>
        </is>
      </c>
      <c r="I23" s="3" t="inlineStr">
        <is>
          <t>share</t>
        </is>
      </c>
      <c r="K23" s="20" t="inlineStr">
        <is>
          <t>egy.mit.gdpg.all.trns.1</t>
        </is>
      </c>
      <c r="L23" s="3" t="n">
        <v>0</v>
      </c>
      <c r="M23" s="3" t="n">
        <v>0</v>
      </c>
      <c r="N23" s="3" t="n">
        <v>0</v>
      </c>
      <c r="O23" s="3" t="n">
        <v>0</v>
      </c>
      <c r="P23" s="3" t="n">
        <v>0</v>
      </c>
      <c r="Q23" s="3" t="n">
        <v>0</v>
      </c>
      <c r="R23" s="3" t="n">
        <v>0</v>
      </c>
      <c r="S23" s="3" t="n">
        <v>0</v>
      </c>
      <c r="T23" s="3" t="n">
        <v>0</v>
      </c>
      <c r="U23" s="3" t="n">
        <v>0</v>
      </c>
      <c r="V23" s="3" t="n">
        <v>0</v>
      </c>
      <c r="W23" s="3" t="n">
        <v>0</v>
      </c>
      <c r="X23" s="3" t="n">
        <v>0</v>
      </c>
      <c r="Y23" s="3" t="n">
        <v>0</v>
      </c>
      <c r="Z23" s="3" t="n">
        <v>0</v>
      </c>
      <c r="AA23" s="3" t="n">
        <v>0</v>
      </c>
      <c r="AB23" s="3" t="n">
        <v>0</v>
      </c>
      <c r="AC23" s="3" t="n">
        <v>0</v>
      </c>
      <c r="AD23" s="3" t="n">
        <v>0</v>
      </c>
      <c r="AE23" s="3" t="n">
        <v>0</v>
      </c>
      <c r="AG23" s="20" t="inlineStr">
        <is>
          <t>egy.mit.gdpg.all.trns.3</t>
        </is>
      </c>
      <c r="AH23" s="3" t="n">
        <v>0</v>
      </c>
      <c r="AI23" s="3" t="n">
        <v>0</v>
      </c>
      <c r="AJ23" s="3" t="n">
        <v>0</v>
      </c>
      <c r="AK23" s="3" t="n">
        <v>0</v>
      </c>
      <c r="AL23" s="3" t="n">
        <v>0</v>
      </c>
      <c r="AM23" s="3" t="n">
        <v>0</v>
      </c>
      <c r="AN23" s="3" t="n">
        <v>0</v>
      </c>
      <c r="AO23" s="3" t="n">
        <v>0.0004244245692281052</v>
      </c>
      <c r="AP23" s="3" t="n">
        <v>0.0003925075936795611</v>
      </c>
      <c r="AQ23" s="3" t="n">
        <v>0.0002014517518946767</v>
      </c>
      <c r="AR23" s="3" t="n">
        <v>-5.830640537522622e-06</v>
      </c>
      <c r="AS23" s="3" t="n">
        <v>-3.741211802715398e-05</v>
      </c>
      <c r="AT23" s="3" t="n">
        <v>-2.953152097066308e-05</v>
      </c>
      <c r="AU23" s="3" t="n">
        <v>-3.179478321186449e-06</v>
      </c>
      <c r="AV23" s="3" t="n">
        <v>-1.450802308626498e-05</v>
      </c>
      <c r="AW23" s="3" t="n">
        <v>3.107699192973202e-05</v>
      </c>
      <c r="AX23" s="3" t="n">
        <v>-8.720084499763953e-05</v>
      </c>
      <c r="AY23" s="3" t="n">
        <v>-1.748786812528883e-05</v>
      </c>
      <c r="AZ23" s="3" t="n">
        <v>1.03608746250157e-05</v>
      </c>
      <c r="BA23" s="3" t="n">
        <v>4.15621819247856e-06</v>
      </c>
      <c r="BC23" s="20" t="inlineStr">
        <is>
          <t>egy.mit.gdpg.all.trns.4</t>
        </is>
      </c>
      <c r="BD23" s="3" t="n">
        <v>0</v>
      </c>
      <c r="BE23" s="3" t="n">
        <v>0</v>
      </c>
      <c r="BF23" s="3" t="n">
        <v>0</v>
      </c>
      <c r="BG23" s="3" t="n">
        <v>0</v>
      </c>
      <c r="BH23" s="3" t="n">
        <v>0</v>
      </c>
      <c r="BI23" s="3" t="n">
        <v>0</v>
      </c>
      <c r="BJ23" s="3" t="n">
        <v>0</v>
      </c>
      <c r="BK23" s="3" t="n">
        <v>0.0002411325311160342</v>
      </c>
      <c r="BL23" s="3" t="n">
        <v>0.0004735194982438949</v>
      </c>
      <c r="BM23" s="3" t="n">
        <v>0.000562273106745869</v>
      </c>
      <c r="BN23" s="3" t="n">
        <v>0.0004724553339879076</v>
      </c>
      <c r="BO23" s="3" t="n">
        <v>0.0003450991717846775</v>
      </c>
      <c r="BP23" s="3" t="n">
        <v>0.0002702940296400372</v>
      </c>
      <c r="BQ23" s="3" t="n">
        <v>0.0002552414188073738</v>
      </c>
      <c r="BR23" s="3" t="n">
        <v>0.000236365114598958</v>
      </c>
      <c r="BS23" s="3" t="n">
        <v>0.0002325266564544875</v>
      </c>
      <c r="BT23" s="3" t="n">
        <v>0.0001598786291899307</v>
      </c>
      <c r="BU23" s="3" t="n">
        <v>0.0001264005914418814</v>
      </c>
      <c r="BV23" s="3" t="n">
        <v>0.0001184439627809916</v>
      </c>
      <c r="BW23" s="3" t="n">
        <v>0.0001173944452058478</v>
      </c>
      <c r="BY23" s="20" t="inlineStr">
        <is>
          <t>egy.mit.gdpg.all.trns.5</t>
        </is>
      </c>
      <c r="BZ23" s="3" t="n">
        <v>0</v>
      </c>
      <c r="CA23" s="3" t="n">
        <v>0</v>
      </c>
      <c r="CB23" s="3" t="n">
        <v>0</v>
      </c>
      <c r="CC23" s="3" t="n">
        <v>0</v>
      </c>
      <c r="CD23" s="3" t="n">
        <v>0</v>
      </c>
      <c r="CE23" s="3" t="n">
        <v>0</v>
      </c>
      <c r="CF23" s="3" t="n">
        <v>0</v>
      </c>
      <c r="CG23" s="3" t="n">
        <v>0.0003618095434870148</v>
      </c>
      <c r="CH23" s="3" t="n">
        <v>0.0002521414338285752</v>
      </c>
      <c r="CI23" s="3" t="n">
        <v>0.0001213880652285443</v>
      </c>
      <c r="CJ23" s="3" t="n">
        <v>-3.234037381729903e-05</v>
      </c>
      <c r="CK23" s="3" t="n">
        <v>-6.938494791505984e-06</v>
      </c>
      <c r="CL23" s="3" t="n">
        <v>3.285210025157528e-06</v>
      </c>
      <c r="CM23" s="3" t="n">
        <v>2.457629115647103e-05</v>
      </c>
      <c r="CN23" s="3" t="n">
        <v>1.358853945782789e-05</v>
      </c>
      <c r="CO23" s="3" t="n">
        <v>6.059760234487113e-05</v>
      </c>
      <c r="CP23" s="3" t="n">
        <v>-5.257314050228936e-05</v>
      </c>
      <c r="CQ23" s="3" t="n">
        <v>3.176999031833758e-05</v>
      </c>
      <c r="CR23" s="3" t="n">
        <v>2.929248876536712e-05</v>
      </c>
      <c r="CS23" s="3" t="n">
        <v>2.591337790391657e-05</v>
      </c>
      <c r="CU23" s="20" t="inlineStr">
        <is>
          <t>egy.mit.gdpg.all.trns.6</t>
        </is>
      </c>
      <c r="CV23" s="3" t="n">
        <v>0</v>
      </c>
      <c r="CW23" s="3" t="n">
        <v>0</v>
      </c>
      <c r="CX23" s="3" t="n">
        <v>0</v>
      </c>
      <c r="CY23" s="3" t="n">
        <v>0</v>
      </c>
      <c r="CZ23" s="3" t="n">
        <v>0</v>
      </c>
      <c r="DA23" s="3" t="n">
        <v>0</v>
      </c>
      <c r="DB23" s="3" t="n">
        <v>0</v>
      </c>
      <c r="DC23" s="3" t="n">
        <v>0.0009087499502233833</v>
      </c>
      <c r="DD23" s="3" t="n">
        <v>0.0008073869089621269</v>
      </c>
      <c r="DE23" s="3" t="n">
        <v>0.0004224980639143193</v>
      </c>
      <c r="DF23" s="3" t="n">
        <v>-1.66143246932717e-05</v>
      </c>
      <c r="DG23" s="3" t="n">
        <v>-6.927416883883133e-05</v>
      </c>
      <c r="DH23" s="3" t="n">
        <v>-5.742858312974228e-05</v>
      </c>
      <c r="DI23" s="3" t="n">
        <v>4.989750716105955e-06</v>
      </c>
      <c r="DJ23" s="3" t="n">
        <v>-2.257252904571392e-05</v>
      </c>
      <c r="DK23" s="3" t="n">
        <v>7.510298083635121e-05</v>
      </c>
      <c r="DL23" s="3" t="n">
        <v>-0.0001828754468195824</v>
      </c>
      <c r="DM23" s="3" t="n">
        <v>-2.374808086084679e-05</v>
      </c>
      <c r="DN23" s="3" t="n">
        <v>2.296488715683917e-05</v>
      </c>
      <c r="DO23" s="3" t="n">
        <v>1.215827534392552e-05</v>
      </c>
    </row>
    <row r="24">
      <c r="A24" s="19" t="inlineStr">
        <is>
          <t>mit.gdp.pct.tot</t>
        </is>
      </c>
      <c r="B24" s="3" t="inlineStr">
        <is>
          <t>mit</t>
        </is>
      </c>
      <c r="C24" s="19" t="inlineStr">
        <is>
          <t>mit.gdp.tot.pct</t>
        </is>
      </c>
      <c r="H24" s="3" t="inlineStr">
        <is>
          <t>Real GDP growth effect of a revenue use (memo) | All sectors | All fuels</t>
        </is>
      </c>
      <c r="I24" s="3" t="inlineStr">
        <is>
          <t>share</t>
        </is>
      </c>
      <c r="K24" s="20" t="inlineStr">
        <is>
          <t>egy.mit.gdp.pct.tot.1</t>
        </is>
      </c>
      <c r="L24" s="3" t="n">
        <v>0</v>
      </c>
      <c r="M24" s="3" t="n">
        <v>0</v>
      </c>
      <c r="N24" s="3" t="n">
        <v>0</v>
      </c>
      <c r="O24" s="3" t="n">
        <v>0</v>
      </c>
      <c r="P24" s="3" t="n">
        <v>0</v>
      </c>
      <c r="Q24" s="3" t="n">
        <v>0</v>
      </c>
      <c r="R24" s="3" t="n">
        <v>0</v>
      </c>
      <c r="S24" s="3" t="n">
        <v>0</v>
      </c>
      <c r="T24" s="3" t="n">
        <v>0</v>
      </c>
      <c r="U24" s="3" t="n">
        <v>0</v>
      </c>
      <c r="V24" s="3" t="n">
        <v>0</v>
      </c>
      <c r="W24" s="3" t="n">
        <v>0</v>
      </c>
      <c r="X24" s="3" t="n">
        <v>0</v>
      </c>
      <c r="Y24" s="3" t="n">
        <v>0</v>
      </c>
      <c r="Z24" s="3" t="n">
        <v>0</v>
      </c>
      <c r="AA24" s="3" t="n">
        <v>0</v>
      </c>
      <c r="AB24" s="3" t="n">
        <v>0</v>
      </c>
      <c r="AC24" s="3" t="n">
        <v>0</v>
      </c>
      <c r="AD24" s="3" t="n">
        <v>0</v>
      </c>
      <c r="AE24" s="3" t="n">
        <v>0</v>
      </c>
      <c r="AG24" s="20" t="inlineStr">
        <is>
          <t>egy.mit.gdp.pct.tot.3</t>
        </is>
      </c>
      <c r="AH24" s="3" t="n">
        <v>0</v>
      </c>
      <c r="AI24" s="3" t="n">
        <v>0</v>
      </c>
      <c r="AJ24" s="3" t="n">
        <v>0</v>
      </c>
      <c r="AK24" s="3" t="n">
        <v>0</v>
      </c>
      <c r="AL24" s="3" t="n">
        <v>0</v>
      </c>
      <c r="AM24" s="3" t="n">
        <v>6.206461292196894e-08</v>
      </c>
      <c r="AN24" s="3" t="n">
        <v>-2.018079602148645e-07</v>
      </c>
      <c r="AO24" s="3" t="n">
        <v>0.0006232665041566376</v>
      </c>
      <c r="AP24" s="3" t="n">
        <v>-0.001408643757918321</v>
      </c>
      <c r="AQ24" s="3" t="n">
        <v>0.0002436683922946435</v>
      </c>
      <c r="AR24" s="3" t="n">
        <v>-0.0005634985503445434</v>
      </c>
      <c r="AS24" s="3" t="n">
        <v>0.0007399657293820563</v>
      </c>
      <c r="AT24" s="3" t="n">
        <v>0.001330990210018498</v>
      </c>
      <c r="AU24" s="3" t="n">
        <v>0.001013530559983892</v>
      </c>
      <c r="AV24" s="3" t="n">
        <v>0.001244287840819053</v>
      </c>
      <c r="AW24" s="3" t="n">
        <v>0.001801698838609148</v>
      </c>
      <c r="AX24" s="3" t="n">
        <v>0.001219123991988721</v>
      </c>
      <c r="AY24" s="3" t="n">
        <v>0.0009039771499151383</v>
      </c>
      <c r="AZ24" s="3" t="n">
        <v>0.0002234842710511505</v>
      </c>
      <c r="BA24" s="3" t="n">
        <v>3.324951679817629e-05</v>
      </c>
      <c r="BC24" s="20" t="inlineStr">
        <is>
          <t>egy.mit.gdp.pct.tot.4</t>
        </is>
      </c>
      <c r="BD24" s="3" t="n">
        <v>0</v>
      </c>
      <c r="BE24" s="3" t="n">
        <v>0</v>
      </c>
      <c r="BF24" s="3" t="n">
        <v>0</v>
      </c>
      <c r="BG24" s="3" t="n">
        <v>0</v>
      </c>
      <c r="BH24" s="3" t="n">
        <v>0</v>
      </c>
      <c r="BI24" s="3" t="n">
        <v>1.972098176015286e-07</v>
      </c>
      <c r="BJ24" s="3" t="n">
        <v>-6.434008473323505e-07</v>
      </c>
      <c r="BK24" s="3" t="n">
        <v>0.0003538222227519381</v>
      </c>
      <c r="BL24" s="3" t="n">
        <v>-0.0004325633442342633</v>
      </c>
      <c r="BM24" s="3" t="n">
        <v>-0.0003802179179349077</v>
      </c>
      <c r="BN24" s="3" t="n">
        <v>-0.0006633466669326803</v>
      </c>
      <c r="BO24" s="3" t="n">
        <v>-0.0001323870733730713</v>
      </c>
      <c r="BP24" s="3" t="n">
        <v>0.000775335435588338</v>
      </c>
      <c r="BQ24" s="3" t="n">
        <v>0.001367802987196894</v>
      </c>
      <c r="BR24" s="3" t="n">
        <v>0.001913994067183604</v>
      </c>
      <c r="BS24" s="3" t="n">
        <v>0.002672888594488648</v>
      </c>
      <c r="BT24" s="3" t="n">
        <v>0.003069503363791056</v>
      </c>
      <c r="BU24" s="3" t="n">
        <v>0.0032379579717291</v>
      </c>
      <c r="BV24" s="3" t="n">
        <v>0.002917869646647301</v>
      </c>
      <c r="BW24" s="3" t="n">
        <v>0.002498541610404605</v>
      </c>
      <c r="BY24" s="20" t="inlineStr">
        <is>
          <t>egy.mit.gdp.pct.tot.5</t>
        </is>
      </c>
      <c r="BZ24" s="3" t="n">
        <v>0</v>
      </c>
      <c r="CA24" s="3" t="n">
        <v>0</v>
      </c>
      <c r="CB24" s="3" t="n">
        <v>0</v>
      </c>
      <c r="CC24" s="3" t="n">
        <v>0</v>
      </c>
      <c r="CD24" s="3" t="n">
        <v>0</v>
      </c>
      <c r="CE24" s="3" t="n">
        <v>3.283773849152714e-07</v>
      </c>
      <c r="CF24" s="3" t="n">
        <v>-1.135864903196444e-06</v>
      </c>
      <c r="CG24" s="3" t="n">
        <v>0.0005308118362000367</v>
      </c>
      <c r="CH24" s="3" t="n">
        <v>-0.001321943698861783</v>
      </c>
      <c r="CI24" s="3" t="n">
        <v>0.0005214918048107224</v>
      </c>
      <c r="CJ24" s="3" t="n">
        <v>-0.0006336351107475849</v>
      </c>
      <c r="CK24" s="3" t="n">
        <v>0.0008313259323731331</v>
      </c>
      <c r="CL24" s="3" t="n">
        <v>0.0008808240271502034</v>
      </c>
      <c r="CM24" s="3" t="n">
        <v>0.0006702155284487169</v>
      </c>
      <c r="CN24" s="3" t="n">
        <v>0.0008991148815987948</v>
      </c>
      <c r="CO24" s="3" t="n">
        <v>0.001317712038627704</v>
      </c>
      <c r="CP24" s="3" t="n">
        <v>0.0007892704633273773</v>
      </c>
      <c r="CQ24" s="3" t="n">
        <v>0.0006655114338396477</v>
      </c>
      <c r="CR24" s="3" t="n">
        <v>0.0001297446949699396</v>
      </c>
      <c r="CS24" s="3" t="n">
        <v>0.0001888519402287112</v>
      </c>
      <c r="CU24" s="20" t="inlineStr">
        <is>
          <t>egy.mit.gdp.pct.tot.6</t>
        </is>
      </c>
      <c r="CV24" s="3" t="n">
        <v>0</v>
      </c>
      <c r="CW24" s="3" t="n">
        <v>0</v>
      </c>
      <c r="CX24" s="3" t="n">
        <v>0</v>
      </c>
      <c r="CY24" s="3" t="n">
        <v>0</v>
      </c>
      <c r="CZ24" s="3" t="n">
        <v>0</v>
      </c>
      <c r="DA24" s="3" t="n">
        <v>1.410181996429687e-07</v>
      </c>
      <c r="DB24" s="3" t="n">
        <v>-4.596498984679771e-07</v>
      </c>
      <c r="DC24" s="3" t="n">
        <v>0.001334482704386492</v>
      </c>
      <c r="DD24" s="3" t="n">
        <v>-0.003061726680079579</v>
      </c>
      <c r="DE24" s="3" t="n">
        <v>0.0006614735494789732</v>
      </c>
      <c r="DF24" s="3" t="n">
        <v>-0.001307660662682545</v>
      </c>
      <c r="DG24" s="3" t="n">
        <v>0.001680622569063402</v>
      </c>
      <c r="DH24" s="3" t="n">
        <v>0.002734126312318506</v>
      </c>
      <c r="DI24" s="3" t="n">
        <v>0.002130373887597384</v>
      </c>
      <c r="DJ24" s="3" t="n">
        <v>0.002598810411307107</v>
      </c>
      <c r="DK24" s="3" t="n">
        <v>0.003789888813579404</v>
      </c>
      <c r="DL24" s="3" t="n">
        <v>0.002512994885777472</v>
      </c>
      <c r="DM24" s="3" t="n">
        <v>0.001916242446337789</v>
      </c>
      <c r="DN24" s="3" t="n">
        <v>0.0004790508588142111</v>
      </c>
      <c r="DO24" s="3" t="n">
        <v>0.0001247799996126104</v>
      </c>
    </row>
    <row r="25">
      <c r="A25" s="19" t="inlineStr">
        <is>
          <t>mit.rev.usd.tot</t>
        </is>
      </c>
      <c r="B25" s="3" t="inlineStr">
        <is>
          <t>mit</t>
        </is>
      </c>
      <c r="C25" s="19" t="inlineStr">
        <is>
          <t>mit.rev.new.usd</t>
        </is>
      </c>
      <c r="H25" s="3" t="inlineStr">
        <is>
          <t>Total revenue (net existing + new policies + methane fee) | All sectors | All fuels</t>
        </is>
      </c>
      <c r="I25" s="3" t="inlineStr">
        <is>
          <t>USD m real</t>
        </is>
      </c>
      <c r="K25" s="20" t="inlineStr">
        <is>
          <t>egy.mit.rev.usd.tot.1</t>
        </is>
      </c>
      <c r="L25" s="23" t="n">
        <v>-45462.04912899274</v>
      </c>
      <c r="M25" s="23" t="n">
        <v>-41402.14461253794</v>
      </c>
      <c r="N25" s="23" t="n">
        <v>-47350.68492179624</v>
      </c>
      <c r="O25" s="23" t="n">
        <v>-45294.31313752134</v>
      </c>
      <c r="P25" s="23" t="n">
        <v>-50500.21568507566</v>
      </c>
      <c r="Q25" s="23" t="n">
        <v>-47953.30484696926</v>
      </c>
      <c r="R25" s="23" t="n">
        <v>-48307.86495811505</v>
      </c>
      <c r="S25" s="23" t="n">
        <v>-49182.4254804889</v>
      </c>
      <c r="T25" s="23" t="n">
        <v>-49790.0019412703</v>
      </c>
      <c r="U25" s="23" t="n">
        <v>-50021.60757726816</v>
      </c>
      <c r="V25" s="23" t="n">
        <v>-50816.73742767629</v>
      </c>
      <c r="W25" s="23" t="n">
        <v>-52231.83534094644</v>
      </c>
      <c r="X25" s="23" t="n">
        <v>-53583.38559531765</v>
      </c>
      <c r="Y25" s="23" t="n">
        <v>-55024.35302706048</v>
      </c>
      <c r="Z25" s="23" t="n">
        <v>-56488.61320946628</v>
      </c>
      <c r="AA25" s="23" t="n">
        <v>-57982.46372453726</v>
      </c>
      <c r="AB25" s="23" t="n">
        <v>-59503.7369692127</v>
      </c>
      <c r="AC25" s="23" t="n">
        <v>-61052.71662861393</v>
      </c>
      <c r="AD25" s="23" t="n">
        <v>-62631.45503742052</v>
      </c>
      <c r="AE25" s="23" t="n">
        <v>-64240.6277013928</v>
      </c>
      <c r="AG25" s="20" t="inlineStr">
        <is>
          <t>egy.mit.rev.usd.tot.3</t>
        </is>
      </c>
      <c r="AH25" s="23" t="n">
        <v>-45462.04912899274</v>
      </c>
      <c r="AI25" s="23" t="n">
        <v>-41395.41619103285</v>
      </c>
      <c r="AJ25" s="23" t="n">
        <v>-47342.94109229933</v>
      </c>
      <c r="AK25" s="23" t="n">
        <v>-45286.66638563104</v>
      </c>
      <c r="AL25" s="23" t="n">
        <v>-50492.1983370066</v>
      </c>
      <c r="AM25" s="23" t="n">
        <v>-39589.26652315646</v>
      </c>
      <c r="AN25" s="23" t="n">
        <v>-37816.41376147776</v>
      </c>
      <c r="AO25" s="23" t="n">
        <v>-38710.30145350129</v>
      </c>
      <c r="AP25" s="23" t="n">
        <v>-38955.49561921142</v>
      </c>
      <c r="AQ25" s="23" t="n">
        <v>-39399.29791011203</v>
      </c>
      <c r="AR25" s="23" t="n">
        <v>-40087.2864735232</v>
      </c>
      <c r="AS25" s="23" t="n">
        <v>-41372.00373191563</v>
      </c>
      <c r="AT25" s="23" t="n">
        <v>-42531.02337729436</v>
      </c>
      <c r="AU25" s="23" t="n">
        <v>-43802.30091544719</v>
      </c>
      <c r="AV25" s="23" t="n">
        <v>-45102.34664156412</v>
      </c>
      <c r="AW25" s="23" t="n">
        <v>-46446.32928492023</v>
      </c>
      <c r="AX25" s="23" t="n">
        <v>-47794.58241054398</v>
      </c>
      <c r="AY25" s="23" t="n">
        <v>-49159.34773460424</v>
      </c>
      <c r="AZ25" s="23" t="n">
        <v>-50523.17829669776</v>
      </c>
      <c r="BA25" s="23" t="n">
        <v>-51907.14783950022</v>
      </c>
      <c r="BC25" s="20" t="inlineStr">
        <is>
          <t>egy.mit.rev.usd.tot.4</t>
        </is>
      </c>
      <c r="BD25" s="23" t="n">
        <v>-45462.04912899274</v>
      </c>
      <c r="BE25" s="23" t="n">
        <v>-41378.90264449762</v>
      </c>
      <c r="BF25" s="23" t="n">
        <v>-47324.21593312803</v>
      </c>
      <c r="BG25" s="23" t="n">
        <v>-45268.15261218179</v>
      </c>
      <c r="BH25" s="23" t="n">
        <v>-50472.87409876537</v>
      </c>
      <c r="BI25" s="23" t="n">
        <v>-43178.57573720854</v>
      </c>
      <c r="BJ25" s="23" t="n">
        <v>-37099.57523977532</v>
      </c>
      <c r="BK25" s="23" t="n">
        <v>-31932.13975006547</v>
      </c>
      <c r="BL25" s="23" t="n">
        <v>-27546.07736272872</v>
      </c>
      <c r="BM25" s="23" t="n">
        <v>-23834.45795928872</v>
      </c>
      <c r="BN25" s="23" t="n">
        <v>-20616.06916375265</v>
      </c>
      <c r="BO25" s="23" t="n">
        <v>-17828.45513718623</v>
      </c>
      <c r="BP25" s="23" t="n">
        <v>-15182.72685525121</v>
      </c>
      <c r="BQ25" s="23" t="n">
        <v>-12781.59808036565</v>
      </c>
      <c r="BR25" s="23" t="n">
        <v>-10530.85849921231</v>
      </c>
      <c r="BS25" s="23" t="n">
        <v>-8442.201829619742</v>
      </c>
      <c r="BT25" s="23" t="n">
        <v>-6498.741981887735</v>
      </c>
      <c r="BU25" s="23" t="n">
        <v>-4650.61573572534</v>
      </c>
      <c r="BV25" s="23" t="n">
        <v>-2970.000086834989</v>
      </c>
      <c r="BW25" s="23" t="n">
        <v>-1291.318708472543</v>
      </c>
      <c r="BY25" s="20" t="inlineStr">
        <is>
          <t>egy.mit.rev.usd.tot.5</t>
        </is>
      </c>
      <c r="BZ25" s="23" t="n">
        <v>-45462.04912899274</v>
      </c>
      <c r="CA25" s="23" t="n">
        <v>-41362.68914093085</v>
      </c>
      <c r="CB25" s="23" t="n">
        <v>-47305.55558608528</v>
      </c>
      <c r="CC25" s="23" t="n">
        <v>-45249.69742928816</v>
      </c>
      <c r="CD25" s="23" t="n">
        <v>-50453.52886726175</v>
      </c>
      <c r="CE25" s="23" t="n">
        <v>-40783.35880705237</v>
      </c>
      <c r="CF25" s="23" t="n">
        <v>-41045.45227332726</v>
      </c>
      <c r="CG25" s="23" t="n">
        <v>-41795.87215739737</v>
      </c>
      <c r="CH25" s="23" t="n">
        <v>-42232.7161388637</v>
      </c>
      <c r="CI25" s="23" t="n">
        <v>-42240.79819436172</v>
      </c>
      <c r="CJ25" s="23" t="n">
        <v>-42578.58160656289</v>
      </c>
      <c r="CK25" s="23" t="n">
        <v>-43706.46904251756</v>
      </c>
      <c r="CL25" s="23" t="n">
        <v>-44365.92706380803</v>
      </c>
      <c r="CM25" s="23" t="n">
        <v>-45187.82999613722</v>
      </c>
      <c r="CN25" s="23" t="n">
        <v>-46115.29317636997</v>
      </c>
      <c r="CO25" s="23" t="n">
        <v>-46999.21578188222</v>
      </c>
      <c r="CP25" s="23" t="n">
        <v>-47953.02531955957</v>
      </c>
      <c r="CQ25" s="23" t="n">
        <v>-48956.41472875803</v>
      </c>
      <c r="CR25" s="23" t="n">
        <v>-49944.78981594834</v>
      </c>
      <c r="CS25" s="23" t="n">
        <v>-51000.76486996395</v>
      </c>
      <c r="CU25" s="20" t="inlineStr">
        <is>
          <t>egy.mit.rev.usd.tot.6</t>
        </is>
      </c>
      <c r="CV25" s="23" t="n">
        <v>-45462.04912899274</v>
      </c>
      <c r="CW25" s="23" t="n">
        <v>-41386.11454316262</v>
      </c>
      <c r="CX25" s="23" t="n">
        <v>-47332.34608945021</v>
      </c>
      <c r="CY25" s="23" t="n">
        <v>-45276.19487707072</v>
      </c>
      <c r="CZ25" s="23" t="n">
        <v>-50481.25357497008</v>
      </c>
      <c r="DA25" s="23" t="n">
        <v>-30042.98367567215</v>
      </c>
      <c r="DB25" s="23" t="n">
        <v>-26520.18627406217</v>
      </c>
      <c r="DC25" s="23" t="n">
        <v>-27148.10245192508</v>
      </c>
      <c r="DD25" s="23" t="n">
        <v>-27048.60218481228</v>
      </c>
      <c r="DE25" s="23" t="n">
        <v>-27618.53118400638</v>
      </c>
      <c r="DF25" s="23" t="n">
        <v>-28106.82916164383</v>
      </c>
      <c r="DG25" s="23" t="n">
        <v>-29067.0833575793</v>
      </c>
      <c r="DH25" s="23" t="n">
        <v>-29890.44246958244</v>
      </c>
      <c r="DI25" s="23" t="n">
        <v>-30899.18795065266</v>
      </c>
      <c r="DJ25" s="23" t="n">
        <v>-31887.35662559994</v>
      </c>
      <c r="DK25" s="23" t="n">
        <v>-32993.75595120003</v>
      </c>
      <c r="DL25" s="23" t="n">
        <v>-34046.5281328105</v>
      </c>
      <c r="DM25" s="23" t="n">
        <v>-35174.85338496236</v>
      </c>
      <c r="DN25" s="23" t="n">
        <v>-36241.92643434669</v>
      </c>
      <c r="DO25" s="23" t="n">
        <v>-37377.17798294048</v>
      </c>
    </row>
    <row r="26">
      <c r="A26" s="19" t="inlineStr">
        <is>
          <t>mit.rpct.all.tot</t>
        </is>
      </c>
      <c r="B26" s="3" t="inlineStr">
        <is>
          <t>mit</t>
        </is>
      </c>
      <c r="C26" s="19" t="inlineStr">
        <is>
          <t>mit.rev.new.pct</t>
        </is>
      </c>
      <c r="H26" s="3" t="inlineStr">
        <is>
          <t xml:space="preserve">Revenue as a share of baseline real GDP | All sectors | </t>
        </is>
      </c>
      <c r="I26" s="3" t="inlineStr">
        <is>
          <t>% of GDP</t>
        </is>
      </c>
      <c r="K26" s="20" t="inlineStr">
        <is>
          <t>egy.mit.rpct.all.tot.1</t>
        </is>
      </c>
      <c r="L26" s="24" t="n">
        <v>-0.08311602522971723</v>
      </c>
      <c r="M26" s="24" t="n">
        <v>-0.0729503631252417</v>
      </c>
      <c r="N26" s="24" t="n">
        <v>-0.0814771846416269</v>
      </c>
      <c r="O26" s="24" t="n">
        <v>-0.07465941775643155</v>
      </c>
      <c r="P26" s="24" t="n">
        <v>-0.07985479068393447</v>
      </c>
      <c r="Q26" s="24" t="n">
        <v>-0.07233424283975867</v>
      </c>
      <c r="R26" s="24" t="n">
        <v>-0.06904709721826534</v>
      </c>
      <c r="S26" s="24" t="n">
        <v>-0.06680546042421681</v>
      </c>
      <c r="T26" s="24" t="n">
        <v>-0.06450737574759043</v>
      </c>
      <c r="U26" s="24" t="n">
        <v>-0.06184580893084903</v>
      </c>
      <c r="V26" s="24" t="n">
        <v>-0.05998809961941984</v>
      </c>
      <c r="W26" s="24" t="n">
        <v>-0.05890059973027605</v>
      </c>
      <c r="X26" s="24" t="n">
        <v>-0.05775122583520455</v>
      </c>
      <c r="Y26" s="24" t="n">
        <v>-0.0567091660823769</v>
      </c>
      <c r="Z26" s="24" t="n">
        <v>-0.055698978958169</v>
      </c>
      <c r="AA26" s="24" t="n">
        <v>-0.05472576592903193</v>
      </c>
      <c r="AB26" s="24" t="n">
        <v>-0.05378600123290489</v>
      </c>
      <c r="AC26" s="24" t="n">
        <v>-0.05287871886647015</v>
      </c>
      <c r="AD26" s="24" t="n">
        <v>-0.05200445421485649</v>
      </c>
      <c r="AE26" s="24" t="n">
        <v>-0.05116243848784583</v>
      </c>
      <c r="AG26" s="20" t="inlineStr">
        <is>
          <t>egy.mit.rpct.all.tot.3</t>
        </is>
      </c>
      <c r="AH26" s="24" t="n">
        <v>-0.08311602522971723</v>
      </c>
      <c r="AI26" s="24" t="n">
        <v>-0.07293850768160105</v>
      </c>
      <c r="AJ26" s="24" t="n">
        <v>-0.081463859693386</v>
      </c>
      <c r="AK26" s="24" t="n">
        <v>-0.07464681347999348</v>
      </c>
      <c r="AL26" s="24" t="n">
        <v>-0.07984211304200346</v>
      </c>
      <c r="AM26" s="24" t="n">
        <v>-0.05971766967203965</v>
      </c>
      <c r="AN26" s="24" t="n">
        <v>-0.05405152141786535</v>
      </c>
      <c r="AO26" s="24" t="n">
        <v>-0.05258096741868283</v>
      </c>
      <c r="AP26" s="24" t="n">
        <v>-0.05047030920597653</v>
      </c>
      <c r="AQ26" s="24" t="n">
        <v>-0.04871257779539485</v>
      </c>
      <c r="AR26" s="24" t="n">
        <v>-0.04732220634723842</v>
      </c>
      <c r="AS26" s="24" t="n">
        <v>-0.04665422564507751</v>
      </c>
      <c r="AT26" s="24" t="n">
        <v>-0.04583918520219682</v>
      </c>
      <c r="AU26" s="24" t="n">
        <v>-0.04514350139078854</v>
      </c>
      <c r="AV26" s="24" t="n">
        <v>-0.04447187696460462</v>
      </c>
      <c r="AW26" s="24" t="n">
        <v>-0.04383758090696018</v>
      </c>
      <c r="AX26" s="24" t="n">
        <v>-0.04320198359625321</v>
      </c>
      <c r="AY26" s="24" t="n">
        <v>-0.04257768486093654</v>
      </c>
      <c r="AZ26" s="24" t="n">
        <v>-0.04195065100994116</v>
      </c>
      <c r="BA26" s="24" t="n">
        <v>-0.04133982424272563</v>
      </c>
      <c r="BC26" s="20" t="inlineStr">
        <is>
          <t>egy.mit.rpct.all.tot.4</t>
        </is>
      </c>
      <c r="BD26" s="24" t="n">
        <v>-0.08311602522971723</v>
      </c>
      <c r="BE26" s="24" t="n">
        <v>-0.07290941089863232</v>
      </c>
      <c r="BF26" s="24" t="n">
        <v>-0.08143163897147325</v>
      </c>
      <c r="BG26" s="24" t="n">
        <v>-0.07461629689964488</v>
      </c>
      <c r="BH26" s="24" t="n">
        <v>-0.07981155608340543</v>
      </c>
      <c r="BI26" s="24" t="n">
        <v>-0.06513189430462274</v>
      </c>
      <c r="BJ26" s="24" t="n">
        <v>-0.05302693423851679</v>
      </c>
      <c r="BK26" s="24" t="n">
        <v>-0.04337405643363064</v>
      </c>
      <c r="BL26" s="24" t="n">
        <v>-0.03568839312168948</v>
      </c>
      <c r="BM26" s="24" t="n">
        <v>-0.0294684918041378</v>
      </c>
      <c r="BN26" s="24" t="n">
        <v>-0.0243368400522795</v>
      </c>
      <c r="BO26" s="24" t="n">
        <v>-0.02010472526936791</v>
      </c>
      <c r="BP26" s="24" t="n">
        <v>-0.01636367462918316</v>
      </c>
      <c r="BQ26" s="24" t="n">
        <v>-0.0131729630329534</v>
      </c>
      <c r="BR26" s="24" t="n">
        <v>-0.01038365137030461</v>
      </c>
      <c r="BS26" s="24" t="n">
        <v>-0.007968029151853745</v>
      </c>
      <c r="BT26" s="24" t="n">
        <v>-0.005874275500226105</v>
      </c>
      <c r="BU26" s="24" t="n">
        <v>-0.004027971491282443</v>
      </c>
      <c r="BV26" s="24" t="n">
        <v>-0.002466064910062341</v>
      </c>
      <c r="BW26" s="24" t="n">
        <v>-0.00102843039295207</v>
      </c>
      <c r="BY26" s="20" t="inlineStr">
        <is>
          <t>egy.mit.rpct.all.tot.5</t>
        </is>
      </c>
      <c r="BZ26" s="24" t="n">
        <v>-0.08311602522971723</v>
      </c>
      <c r="CA26" s="24" t="n">
        <v>-0.07288084278981097</v>
      </c>
      <c r="CB26" s="24" t="n">
        <v>-0.08139952977296873</v>
      </c>
      <c r="CC26" s="24" t="n">
        <v>-0.07458587689514579</v>
      </c>
      <c r="CD26" s="24" t="n">
        <v>-0.07978096592866062</v>
      </c>
      <c r="CE26" s="24" t="n">
        <v>-0.0615188752721969</v>
      </c>
      <c r="CF26" s="24" t="n">
        <v>-0.05866683066911269</v>
      </c>
      <c r="CG26" s="24" t="n">
        <v>-0.05677215907975751</v>
      </c>
      <c r="CH26" s="24" t="n">
        <v>-0.05471623985924876</v>
      </c>
      <c r="CI26" s="24" t="n">
        <v>-0.0522257572426008</v>
      </c>
      <c r="CJ26" s="24" t="n">
        <v>-0.05026312833843982</v>
      </c>
      <c r="CK26" s="24" t="n">
        <v>-0.04928674671094531</v>
      </c>
      <c r="CL26" s="24" t="n">
        <v>-0.04781681196109576</v>
      </c>
      <c r="CM26" s="24" t="n">
        <v>-0.04657145455018639</v>
      </c>
      <c r="CN26" s="24" t="n">
        <v>-0.04547066387974253</v>
      </c>
      <c r="CO26" s="24" t="n">
        <v>-0.04435941345898503</v>
      </c>
      <c r="CP26" s="24" t="n">
        <v>-0.0433452016684907</v>
      </c>
      <c r="CQ26" s="24" t="n">
        <v>-0.04240192139032563</v>
      </c>
      <c r="CR26" s="24" t="n">
        <v>-0.04147040067490484</v>
      </c>
      <c r="CS26" s="24" t="n">
        <v>-0.04061796387827085</v>
      </c>
      <c r="CU26" s="20" t="inlineStr">
        <is>
          <t>egy.mit.rpct.all.tot.6</t>
        </is>
      </c>
      <c r="CV26" s="24" t="n">
        <v>-0.08311602522971723</v>
      </c>
      <c r="CW26" s="24" t="n">
        <v>-0.07292211822651008</v>
      </c>
      <c r="CX26" s="24" t="n">
        <v>-0.08144562867930792</v>
      </c>
      <c r="CY26" s="24" t="n">
        <v>-0.07462955310715659</v>
      </c>
      <c r="CZ26" s="24" t="n">
        <v>-0.07982480634994966</v>
      </c>
      <c r="DA26" s="24" t="n">
        <v>-0.04531776243080608</v>
      </c>
      <c r="DB26" s="24" t="n">
        <v>-0.03790566777271887</v>
      </c>
      <c r="DC26" s="24" t="n">
        <v>-0.03687580403419005</v>
      </c>
      <c r="DD26" s="24" t="n">
        <v>-0.03504386978415661</v>
      </c>
      <c r="DE26" s="24" t="n">
        <v>-0.03414705135012453</v>
      </c>
      <c r="DF26" s="24" t="n">
        <v>-0.03317952613810304</v>
      </c>
      <c r="DG26" s="24" t="n">
        <v>-0.03277825929331635</v>
      </c>
      <c r="DH26" s="24" t="n">
        <v>-0.03221539053937436</v>
      </c>
      <c r="DI26" s="24" t="n">
        <v>-0.03184530275971426</v>
      </c>
      <c r="DJ26" s="24" t="n">
        <v>-0.03144161459823706</v>
      </c>
      <c r="DK26" s="24" t="n">
        <v>-0.03114059750691263</v>
      </c>
      <c r="DL26" s="24" t="n">
        <v>-0.03077498485641255</v>
      </c>
      <c r="DM26" s="24" t="n">
        <v>-0.03046549418312032</v>
      </c>
      <c r="DN26" s="24" t="n">
        <v>-0.03009257253862456</v>
      </c>
      <c r="DO26" s="24" t="n">
        <v>-0.02976788424749462</v>
      </c>
    </row>
    <row r="27">
      <c r="A27" s="19" t="inlineStr">
        <is>
          <t>mit.rpct.all.be</t>
        </is>
      </c>
      <c r="B27" s="3" t="inlineStr">
        <is>
          <t>mit</t>
        </is>
      </c>
      <c r="C27" s="19" t="inlineStr">
        <is>
          <t>mit.ers</t>
        </is>
      </c>
      <c r="H27" s="3" t="inlineStr">
        <is>
          <t xml:space="preserve">Revenue as a share of baseline real GDP | All sectors | </t>
        </is>
      </c>
      <c r="I27" s="3" t="inlineStr">
        <is>
          <t>% of GDP</t>
        </is>
      </c>
      <c r="K27" s="20" t="inlineStr">
        <is>
          <t>egy.mit.rpct.all.be.1</t>
        </is>
      </c>
      <c r="L27" s="24" t="n">
        <v>0</v>
      </c>
      <c r="M27" s="24" t="n">
        <v>0</v>
      </c>
      <c r="N27" s="24" t="n">
        <v>0</v>
      </c>
      <c r="O27" s="24" t="n">
        <v>0</v>
      </c>
      <c r="P27" s="24" t="n">
        <v>0</v>
      </c>
      <c r="Q27" s="24" t="n">
        <v>0</v>
      </c>
      <c r="R27" s="24" t="n">
        <v>0</v>
      </c>
      <c r="S27" s="24" t="n">
        <v>0</v>
      </c>
      <c r="T27" s="24" t="n">
        <v>0</v>
      </c>
      <c r="U27" s="24" t="n">
        <v>0</v>
      </c>
      <c r="V27" s="24" t="n">
        <v>0</v>
      </c>
      <c r="W27" s="24" t="n">
        <v>0</v>
      </c>
      <c r="X27" s="24" t="n">
        <v>0</v>
      </c>
      <c r="Y27" s="24" t="n">
        <v>0</v>
      </c>
      <c r="Z27" s="24" t="n">
        <v>0</v>
      </c>
      <c r="AA27" s="24" t="n">
        <v>0</v>
      </c>
      <c r="AB27" s="24" t="n">
        <v>0</v>
      </c>
      <c r="AC27" s="24" t="n">
        <v>0</v>
      </c>
      <c r="AD27" s="24" t="n">
        <v>0</v>
      </c>
      <c r="AE27" s="24" t="n">
        <v>0</v>
      </c>
      <c r="AG27" s="20" t="inlineStr">
        <is>
          <t>egy.mit.rpct.all.be.3</t>
        </is>
      </c>
      <c r="AH27" s="24" t="n">
        <v>0</v>
      </c>
      <c r="AI27" s="24" t="n">
        <v>1.185544364064951e-05</v>
      </c>
      <c r="AJ27" s="24" t="n">
        <v>1.332494824089065e-05</v>
      </c>
      <c r="AK27" s="24" t="n">
        <v>1.26042764380686e-05</v>
      </c>
      <c r="AL27" s="24" t="n">
        <v>1.267764193102298e-05</v>
      </c>
      <c r="AM27" s="24" t="n">
        <v>0.005129502941850829</v>
      </c>
      <c r="AN27" s="24" t="n">
        <v>0.007977916391447888</v>
      </c>
      <c r="AO27" s="24" t="n">
        <v>0.007301996327538294</v>
      </c>
      <c r="AP27" s="24" t="n">
        <v>0.007312358504127106</v>
      </c>
      <c r="AQ27" s="24" t="n">
        <v>0.006613885104041236</v>
      </c>
      <c r="AR27" s="24" t="n">
        <v>0.006385459607762413</v>
      </c>
      <c r="AS27" s="24" t="n">
        <v>0.006112671084491181</v>
      </c>
      <c r="AT27" s="24" t="n">
        <v>0.005949909967759406</v>
      </c>
      <c r="AU27" s="24" t="n">
        <v>0.005751763684711765</v>
      </c>
      <c r="AV27" s="24" t="n">
        <v>0.005555395718516217</v>
      </c>
      <c r="AW27" s="24" t="n">
        <v>0.005350374675181401</v>
      </c>
      <c r="AX27" s="24" t="n">
        <v>0.005177366310619057</v>
      </c>
      <c r="AY27" s="24" t="n">
        <v>0.005021114860104817</v>
      </c>
      <c r="AZ27" s="24" t="n">
        <v>0.00489831143226358</v>
      </c>
      <c r="BA27" s="24" t="n">
        <v>0.004786807212976158</v>
      </c>
      <c r="BC27" s="20" t="inlineStr">
        <is>
          <t>egy.mit.rpct.all.be.4</t>
        </is>
      </c>
      <c r="BD27" s="24" t="n">
        <v>0</v>
      </c>
      <c r="BE27" s="24" t="n">
        <v>4.095222660938068e-05</v>
      </c>
      <c r="BF27" s="24" t="n">
        <v>4.554567015364838e-05</v>
      </c>
      <c r="BG27" s="24" t="n">
        <v>4.312085678666583e-05</v>
      </c>
      <c r="BH27" s="24" t="n">
        <v>4.323460052905092e-05</v>
      </c>
      <c r="BI27" s="24" t="n">
        <v>0.003337992757493429</v>
      </c>
      <c r="BJ27" s="24" t="n">
        <v>0.007918920384613008</v>
      </c>
      <c r="BK27" s="24" t="n">
        <v>0.01202317121941078</v>
      </c>
      <c r="BL27" s="24" t="n">
        <v>0.01457129507158448</v>
      </c>
      <c r="BM27" s="24" t="n">
        <v>0.01555274481256707</v>
      </c>
      <c r="BN27" s="24" t="n">
        <v>0.01692034943381515</v>
      </c>
      <c r="BO27" s="24" t="n">
        <v>0.01821215073977389</v>
      </c>
      <c r="BP27" s="24" t="n">
        <v>0.01945318234506678</v>
      </c>
      <c r="BQ27" s="24" t="n">
        <v>0.02030299108450173</v>
      </c>
      <c r="BR27" s="24" t="n">
        <v>0.02114437454540639</v>
      </c>
      <c r="BS27" s="24" t="n">
        <v>0.02165402545855195</v>
      </c>
      <c r="BT27" s="24" t="n">
        <v>0.02220933418416824</v>
      </c>
      <c r="BU27" s="24" t="n">
        <v>0.02246527744067281</v>
      </c>
      <c r="BV27" s="24" t="n">
        <v>0.02286072682971594</v>
      </c>
      <c r="BW27" s="24" t="n">
        <v>0.02291616963826651</v>
      </c>
      <c r="BY27" s="20" t="inlineStr">
        <is>
          <t>egy.mit.rpct.all.be.5</t>
        </is>
      </c>
      <c r="BZ27" s="24" t="n">
        <v>0</v>
      </c>
      <c r="CA27" s="24" t="n">
        <v>6.952033543072592e-05</v>
      </c>
      <c r="CB27" s="24" t="n">
        <v>7.765486865817061e-05</v>
      </c>
      <c r="CC27" s="24" t="n">
        <v>7.354086128576366e-05</v>
      </c>
      <c r="CD27" s="24" t="n">
        <v>7.382475527386976e-05</v>
      </c>
      <c r="CE27" s="24" t="n">
        <v>0.006083034420828611</v>
      </c>
      <c r="CF27" s="24" t="n">
        <v>0.005757810118115585</v>
      </c>
      <c r="CG27" s="24" t="n">
        <v>0.005513490792257031</v>
      </c>
      <c r="CH27" s="24" t="n">
        <v>0.00537221270850149</v>
      </c>
      <c r="CI27" s="24" t="n">
        <v>0.005294639743010307</v>
      </c>
      <c r="CJ27" s="24" t="n">
        <v>0.005493396883965035</v>
      </c>
      <c r="CK27" s="24" t="n">
        <v>0.005469678186707097</v>
      </c>
      <c r="CL27" s="24" t="n">
        <v>0.005875009716390777</v>
      </c>
      <c r="CM27" s="24" t="n">
        <v>0.00616115081686801</v>
      </c>
      <c r="CN27" s="24" t="n">
        <v>0.006331652944072049</v>
      </c>
      <c r="CO27" s="24" t="n">
        <v>0.006546291657373086</v>
      </c>
      <c r="CP27" s="24" t="n">
        <v>0.006696328049458311</v>
      </c>
      <c r="CQ27" s="24" t="n">
        <v>0.006805980648153364</v>
      </c>
      <c r="CR27" s="24" t="n">
        <v>0.006935908482225714</v>
      </c>
      <c r="CS27" s="24" t="n">
        <v>0.007016718912247083</v>
      </c>
      <c r="CU27" s="20" t="inlineStr">
        <is>
          <t>egy.mit.rpct.all.be.6</t>
        </is>
      </c>
      <c r="CV27" s="24" t="n">
        <v>0</v>
      </c>
      <c r="CW27" s="24" t="n">
        <v>2.824489873161118e-05</v>
      </c>
      <c r="CX27" s="24" t="n">
        <v>3.155596231897843e-05</v>
      </c>
      <c r="CY27" s="24" t="n">
        <v>2.986464927496437e-05</v>
      </c>
      <c r="CZ27" s="24" t="n">
        <v>2.998433398481247e-05</v>
      </c>
      <c r="DA27" s="24" t="n">
        <v>0.00998416642504125</v>
      </c>
      <c r="DB27" s="24" t="n">
        <v>0.01604341258530606</v>
      </c>
      <c r="DC27" s="24" t="n">
        <v>0.01499103559710087</v>
      </c>
      <c r="DD27" s="24" t="n">
        <v>0.01510317058474366</v>
      </c>
      <c r="DE27" s="24" t="n">
        <v>0.01353381474972584</v>
      </c>
      <c r="DF27" s="24" t="n">
        <v>0.01334269914381459</v>
      </c>
      <c r="DG27" s="24" t="n">
        <v>0.0130423426079675</v>
      </c>
      <c r="DH27" s="24" t="n">
        <v>0.01299019157641511</v>
      </c>
      <c r="DI27" s="24" t="n">
        <v>0.01273160264561974</v>
      </c>
      <c r="DJ27" s="24" t="n">
        <v>0.01255582674224977</v>
      </c>
      <c r="DK27" s="24" t="n">
        <v>0.01224259753840187</v>
      </c>
      <c r="DL27" s="24" t="n">
        <v>0.0120497325949829</v>
      </c>
      <c r="DM27" s="24" t="n">
        <v>0.01177968200016906</v>
      </c>
      <c r="DN27" s="24" t="n">
        <v>0.01162396639408215</v>
      </c>
      <c r="DO27" s="24" t="n">
        <v>0.01140615450674807</v>
      </c>
    </row>
    <row r="28">
      <c r="A28" s="14" t="n"/>
      <c r="B28" s="3" t="inlineStr"/>
      <c r="C28" s="19" t="inlineStr">
        <is>
          <t>mit.rcp</t>
        </is>
      </c>
      <c r="H28" s="14" t="inlineStr">
        <is>
          <t>Revenues - Carbon tax, % of GDP</t>
        </is>
      </c>
      <c r="I28" s="14" t="inlineStr"/>
    </row>
    <row r="29">
      <c r="A29" s="14" t="n"/>
      <c r="B29" s="3" t="inlineStr"/>
      <c r="C29" s="19" t="inlineStr">
        <is>
          <t>mit.rcp.pow</t>
        </is>
      </c>
      <c r="H29" s="14" t="inlineStr">
        <is>
          <t>Power sector carbon tax revenues</t>
        </is>
      </c>
      <c r="I29" s="14" t="inlineStr"/>
    </row>
    <row r="30">
      <c r="A30" s="14" t="n"/>
      <c r="B30" s="3" t="inlineStr"/>
      <c r="C30" s="19" t="inlineStr">
        <is>
          <t>mit.rcp.trs</t>
        </is>
      </c>
      <c r="H30" s="14" t="inlineStr">
        <is>
          <t>Transport sector carbon tax revenues</t>
        </is>
      </c>
      <c r="I30" s="14" t="inlineStr"/>
    </row>
    <row r="31">
      <c r="A31" s="14" t="n"/>
      <c r="B31" s="3" t="inlineStr"/>
      <c r="C31" s="19" t="inlineStr">
        <is>
          <t>mit.rcp.bld</t>
        </is>
      </c>
      <c r="H31" s="14" t="inlineStr">
        <is>
          <t>Buildings sector carbon tax revenues</t>
        </is>
      </c>
      <c r="I31" s="14" t="inlineStr"/>
    </row>
    <row r="32">
      <c r="A32" s="14" t="n"/>
      <c r="B32" s="3" t="inlineStr"/>
      <c r="C32" s="19" t="inlineStr">
        <is>
          <t>mit.rcp.ind</t>
        </is>
      </c>
      <c r="H32" s="14" t="inlineStr">
        <is>
          <t>Industry sector carbon tax revenues</t>
        </is>
      </c>
      <c r="I32" s="14" t="inlineStr"/>
    </row>
    <row r="33">
      <c r="A33" s="14" t="n"/>
      <c r="B33" s="3" t="inlineStr">
        <is>
          <t>mit</t>
        </is>
      </c>
      <c r="C33" s="19" t="inlineStr">
        <is>
          <t>mit.ln.gdppc</t>
        </is>
      </c>
      <c r="H33" s="14" t="inlineStr">
        <is>
          <t>Baseline ln(GDP per capita)</t>
        </is>
      </c>
      <c r="I33" s="14" t="inlineStr">
        <is>
          <t>unitless</t>
        </is>
      </c>
    </row>
    <row r="34">
      <c r="A34" s="19" t="inlineStr">
        <is>
          <t>mit.gdp.usd.all.all</t>
        </is>
      </c>
      <c r="B34" s="3" t="inlineStr">
        <is>
          <t>mit</t>
        </is>
      </c>
      <c r="C34" s="19" t="inlineStr">
        <is>
          <t>mit.gdp.pre.lvl</t>
        </is>
      </c>
      <c r="H34" s="3" t="inlineStr">
        <is>
          <t>Real GDP, baseline (USD bn, sheet WEO; legacy row 465): the basis of every % of GDP row (12d, 16); moved up from section 16 (v0.3.13)</t>
        </is>
      </c>
      <c r="I34" s="3" t="inlineStr">
        <is>
          <t>USD bn</t>
        </is>
      </c>
      <c r="K34" s="20" t="inlineStr">
        <is>
          <t>egy.mit.gdp.usd.all.all.1</t>
        </is>
      </c>
      <c r="L34" s="3" t="n">
        <v>546.9709241189541</v>
      </c>
      <c r="M34" s="3" t="n">
        <v>567.5385678541237</v>
      </c>
      <c r="N34" s="3" t="n">
        <v>581.1526886951941</v>
      </c>
      <c r="O34" s="3" t="n">
        <v>606.6791638435923</v>
      </c>
      <c r="P34" s="3" t="n">
        <v>632.400576753819</v>
      </c>
      <c r="Q34" s="3" t="n">
        <v>662.9405792385182</v>
      </c>
      <c r="R34" s="3" t="n">
        <v>699.6364351916005</v>
      </c>
      <c r="S34" s="3" t="n">
        <v>736.2036750915108</v>
      </c>
      <c r="T34" s="3" t="n">
        <v>771.8497515089215</v>
      </c>
      <c r="U34" s="3" t="n">
        <v>808.8115984253398</v>
      </c>
      <c r="V34" s="3" t="n">
        <v>847.1136400397902</v>
      </c>
      <c r="W34" s="3" t="n">
        <v>886.779346562379</v>
      </c>
      <c r="X34" s="3" t="n">
        <v>927.8311381341064</v>
      </c>
      <c r="Y34" s="3" t="n">
        <v>970.2902868846807</v>
      </c>
      <c r="Z34" s="3" t="n">
        <v>1014.176817350464</v>
      </c>
      <c r="AA34" s="3" t="n">
        <v>1059.50940549153</v>
      </c>
      <c r="AB34" s="3" t="n">
        <v>1106.305276563483</v>
      </c>
      <c r="AC34" s="3" t="n">
        <v>1154.58010211603</v>
      </c>
      <c r="AD34" s="3" t="n">
        <v>1204.347896406307</v>
      </c>
      <c r="AE34" s="3" t="n">
        <v>1255.620912530466</v>
      </c>
      <c r="AG34" s="20" t="inlineStr">
        <is>
          <t>egy.mit.gdp.usd.all.all.3</t>
        </is>
      </c>
      <c r="AH34" s="3" t="n">
        <v>546.9709241189541</v>
      </c>
      <c r="AI34" s="3" t="n">
        <v>567.5385678541237</v>
      </c>
      <c r="AJ34" s="3" t="n">
        <v>581.1526886951941</v>
      </c>
      <c r="AK34" s="3" t="n">
        <v>606.6791638435923</v>
      </c>
      <c r="AL34" s="3" t="n">
        <v>632.400576753819</v>
      </c>
      <c r="AM34" s="3" t="n">
        <v>662.9405792385182</v>
      </c>
      <c r="AN34" s="3" t="n">
        <v>699.6364351916005</v>
      </c>
      <c r="AO34" s="3" t="n">
        <v>736.2036750915108</v>
      </c>
      <c r="AP34" s="3" t="n">
        <v>771.8497515089215</v>
      </c>
      <c r="AQ34" s="3" t="n">
        <v>808.8115984253398</v>
      </c>
      <c r="AR34" s="3" t="n">
        <v>847.1136400397902</v>
      </c>
      <c r="AS34" s="3" t="n">
        <v>886.779346562379</v>
      </c>
      <c r="AT34" s="3" t="n">
        <v>927.8311381341064</v>
      </c>
      <c r="AU34" s="3" t="n">
        <v>970.2902868846807</v>
      </c>
      <c r="AV34" s="3" t="n">
        <v>1014.176817350464</v>
      </c>
      <c r="AW34" s="3" t="n">
        <v>1059.50940549153</v>
      </c>
      <c r="AX34" s="3" t="n">
        <v>1106.305276563483</v>
      </c>
      <c r="AY34" s="3" t="n">
        <v>1154.58010211603</v>
      </c>
      <c r="AZ34" s="3" t="n">
        <v>1204.347896406307</v>
      </c>
      <c r="BA34" s="3" t="n">
        <v>1255.620912530466</v>
      </c>
      <c r="BC34" s="20" t="inlineStr">
        <is>
          <t>egy.mit.gdp.usd.all.all.4</t>
        </is>
      </c>
      <c r="BD34" s="3" t="n">
        <v>546.9709241189541</v>
      </c>
      <c r="BE34" s="3" t="n">
        <v>567.5385678541237</v>
      </c>
      <c r="BF34" s="3" t="n">
        <v>581.1526886951941</v>
      </c>
      <c r="BG34" s="3" t="n">
        <v>606.6791638435923</v>
      </c>
      <c r="BH34" s="3" t="n">
        <v>632.400576753819</v>
      </c>
      <c r="BI34" s="3" t="n">
        <v>662.9405792385182</v>
      </c>
      <c r="BJ34" s="3" t="n">
        <v>699.6364351916005</v>
      </c>
      <c r="BK34" s="3" t="n">
        <v>736.2036750915108</v>
      </c>
      <c r="BL34" s="3" t="n">
        <v>771.8497515089215</v>
      </c>
      <c r="BM34" s="3" t="n">
        <v>808.8115984253398</v>
      </c>
      <c r="BN34" s="3" t="n">
        <v>847.1136400397902</v>
      </c>
      <c r="BO34" s="3" t="n">
        <v>886.779346562379</v>
      </c>
      <c r="BP34" s="3" t="n">
        <v>927.8311381341064</v>
      </c>
      <c r="BQ34" s="3" t="n">
        <v>970.2902868846807</v>
      </c>
      <c r="BR34" s="3" t="n">
        <v>1014.176817350464</v>
      </c>
      <c r="BS34" s="3" t="n">
        <v>1059.50940549153</v>
      </c>
      <c r="BT34" s="3" t="n">
        <v>1106.305276563483</v>
      </c>
      <c r="BU34" s="3" t="n">
        <v>1154.58010211603</v>
      </c>
      <c r="BV34" s="3" t="n">
        <v>1204.347896406307</v>
      </c>
      <c r="BW34" s="3" t="n">
        <v>1255.620912530466</v>
      </c>
      <c r="BY34" s="20" t="inlineStr">
        <is>
          <t>egy.mit.gdp.usd.all.all.5</t>
        </is>
      </c>
      <c r="BZ34" s="3" t="n">
        <v>546.9709241189541</v>
      </c>
      <c r="CA34" s="3" t="n">
        <v>567.5385678541237</v>
      </c>
      <c r="CB34" s="3" t="n">
        <v>581.1526886951941</v>
      </c>
      <c r="CC34" s="3" t="n">
        <v>606.6791638435923</v>
      </c>
      <c r="CD34" s="3" t="n">
        <v>632.400576753819</v>
      </c>
      <c r="CE34" s="3" t="n">
        <v>662.9405792385182</v>
      </c>
      <c r="CF34" s="3" t="n">
        <v>699.6364351916005</v>
      </c>
      <c r="CG34" s="3" t="n">
        <v>736.2036750915108</v>
      </c>
      <c r="CH34" s="3" t="n">
        <v>771.8497515089215</v>
      </c>
      <c r="CI34" s="3" t="n">
        <v>808.8115984253398</v>
      </c>
      <c r="CJ34" s="3" t="n">
        <v>847.1136400397902</v>
      </c>
      <c r="CK34" s="3" t="n">
        <v>886.779346562379</v>
      </c>
      <c r="CL34" s="3" t="n">
        <v>927.8311381341064</v>
      </c>
      <c r="CM34" s="3" t="n">
        <v>970.2902868846807</v>
      </c>
      <c r="CN34" s="3" t="n">
        <v>1014.176817350464</v>
      </c>
      <c r="CO34" s="3" t="n">
        <v>1059.50940549153</v>
      </c>
      <c r="CP34" s="3" t="n">
        <v>1106.305276563483</v>
      </c>
      <c r="CQ34" s="3" t="n">
        <v>1154.58010211603</v>
      </c>
      <c r="CR34" s="3" t="n">
        <v>1204.347896406307</v>
      </c>
      <c r="CS34" s="3" t="n">
        <v>1255.620912530466</v>
      </c>
      <c r="CU34" s="20" t="inlineStr">
        <is>
          <t>egy.mit.gdp.usd.all.all.6</t>
        </is>
      </c>
      <c r="CV34" s="3" t="n">
        <v>546.9709241189541</v>
      </c>
      <c r="CW34" s="3" t="n">
        <v>567.5385678541237</v>
      </c>
      <c r="CX34" s="3" t="n">
        <v>581.1526886951941</v>
      </c>
      <c r="CY34" s="3" t="n">
        <v>606.6791638435923</v>
      </c>
      <c r="CZ34" s="3" t="n">
        <v>632.400576753819</v>
      </c>
      <c r="DA34" s="3" t="n">
        <v>662.9405792385182</v>
      </c>
      <c r="DB34" s="3" t="n">
        <v>699.6364351916005</v>
      </c>
      <c r="DC34" s="3" t="n">
        <v>736.2036750915108</v>
      </c>
      <c r="DD34" s="3" t="n">
        <v>771.8497515089215</v>
      </c>
      <c r="DE34" s="3" t="n">
        <v>808.8115984253398</v>
      </c>
      <c r="DF34" s="3" t="n">
        <v>847.1136400397902</v>
      </c>
      <c r="DG34" s="3" t="n">
        <v>886.779346562379</v>
      </c>
      <c r="DH34" s="3" t="n">
        <v>927.8311381341064</v>
      </c>
      <c r="DI34" s="3" t="n">
        <v>970.2902868846807</v>
      </c>
      <c r="DJ34" s="3" t="n">
        <v>1014.176817350464</v>
      </c>
      <c r="DK34" s="3" t="n">
        <v>1059.50940549153</v>
      </c>
      <c r="DL34" s="3" t="n">
        <v>1106.305276563483</v>
      </c>
      <c r="DM34" s="3" t="n">
        <v>1154.58010211603</v>
      </c>
      <c r="DN34" s="3" t="n">
        <v>1204.347896406307</v>
      </c>
      <c r="DO34" s="3" t="n">
        <v>1255.620912530466</v>
      </c>
    </row>
    <row r="35">
      <c r="A35" s="19" t="inlineStr">
        <is>
          <t>mit.gdp.pos.usd.all.all</t>
        </is>
      </c>
      <c r="B35" s="3" t="inlineStr">
        <is>
          <t>mit</t>
        </is>
      </c>
      <c r="C35" s="19" t="inlineStr">
        <is>
          <t>mit.gdp.pst.lvl</t>
        </is>
      </c>
      <c r="H35" s="3" t="inlineStr">
        <is>
          <t>Real GDP after the feedback | All sectors | All fuels</t>
        </is>
      </c>
      <c r="I35" s="3" t="inlineStr">
        <is>
          <t>USD bn</t>
        </is>
      </c>
      <c r="K35" s="20" t="inlineStr">
        <is>
          <t>egy.mit.gdp.pos.usd.all.all.1</t>
        </is>
      </c>
      <c r="L35" s="22" t="n">
        <v>546.9709241189541</v>
      </c>
      <c r="M35" s="22" t="n">
        <v>567.5385678541237</v>
      </c>
      <c r="N35" s="22" t="n">
        <v>581.1526886951941</v>
      </c>
      <c r="O35" s="22" t="n">
        <v>606.6791638435923</v>
      </c>
      <c r="P35" s="22" t="n">
        <v>632.400576753819</v>
      </c>
      <c r="Q35" s="22" t="n">
        <v>662.9405792385182</v>
      </c>
      <c r="R35" s="22" t="n">
        <v>699.6364351916005</v>
      </c>
      <c r="S35" s="22" t="n">
        <v>736.2036750915108</v>
      </c>
      <c r="T35" s="22" t="n">
        <v>771.8497515089215</v>
      </c>
      <c r="U35" s="22" t="n">
        <v>808.8115984253398</v>
      </c>
      <c r="V35" s="22" t="n">
        <v>847.1136400397902</v>
      </c>
      <c r="W35" s="22" t="n">
        <v>886.779346562379</v>
      </c>
      <c r="X35" s="22" t="n">
        <v>927.8311381341064</v>
      </c>
      <c r="Y35" s="22" t="n">
        <v>970.2902868846807</v>
      </c>
      <c r="Z35" s="22" t="n">
        <v>1014.176817350464</v>
      </c>
      <c r="AA35" s="22" t="n">
        <v>1059.50940549153</v>
      </c>
      <c r="AB35" s="22" t="n">
        <v>1106.305276563483</v>
      </c>
      <c r="AC35" s="22" t="n">
        <v>1154.58010211603</v>
      </c>
      <c r="AD35" s="22" t="n">
        <v>1204.347896406307</v>
      </c>
      <c r="AE35" s="22" t="n">
        <v>1255.620912530466</v>
      </c>
      <c r="AG35" s="20" t="inlineStr">
        <is>
          <t>egy.mit.gdp.pos.usd.all.all.3</t>
        </is>
      </c>
      <c r="AH35" s="22" t="n">
        <v>546.9709241189541</v>
      </c>
      <c r="AI35" s="22" t="n">
        <v>567.5385678541237</v>
      </c>
      <c r="AJ35" s="22" t="n">
        <v>581.1526886951941</v>
      </c>
      <c r="AK35" s="22" t="n">
        <v>606.6791638435923</v>
      </c>
      <c r="AL35" s="22" t="n">
        <v>632.400576753819</v>
      </c>
      <c r="AM35" s="22" t="n">
        <v>662.9406184882153</v>
      </c>
      <c r="AN35" s="22" t="n">
        <v>699.6363428271984</v>
      </c>
      <c r="AO35" s="22" t="n">
        <v>736.63963779716</v>
      </c>
      <c r="AP35" s="22" t="n">
        <v>771.2691601649259</v>
      </c>
      <c r="AQ35" s="22" t="n">
        <v>808.3911380109253</v>
      </c>
      <c r="AR35" s="22" t="n">
        <v>846.2177410886331</v>
      </c>
      <c r="AS35" s="22" t="n">
        <v>886.4676696829483</v>
      </c>
      <c r="AT35" s="22" t="n">
        <v>928.684912546224</v>
      </c>
      <c r="AU35" s="22" t="n">
        <v>972.1243820218505</v>
      </c>
      <c r="AV35" s="22" t="n">
        <v>1017.303471727571</v>
      </c>
      <c r="AW35" s="22" t="n">
        <v>1064.608692363499</v>
      </c>
      <c r="AX35" s="22" t="n">
        <v>1112.927676136317</v>
      </c>
      <c r="AY35" s="22" t="n">
        <v>1162.497538435151</v>
      </c>
      <c r="AZ35" s="22" t="n">
        <v>1212.866411120186</v>
      </c>
      <c r="BA35" s="22" t="n">
        <v>1264.542415408183</v>
      </c>
      <c r="BC35" s="20" t="inlineStr">
        <is>
          <t>egy.mit.gdp.pos.usd.all.all.4</t>
        </is>
      </c>
      <c r="BD35" s="22" t="n">
        <v>546.9709241189541</v>
      </c>
      <c r="BE35" s="22" t="n">
        <v>567.5385678541237</v>
      </c>
      <c r="BF35" s="22" t="n">
        <v>581.1526886951941</v>
      </c>
      <c r="BG35" s="22" t="n">
        <v>606.6791638435923</v>
      </c>
      <c r="BH35" s="22" t="n">
        <v>632.400576753819</v>
      </c>
      <c r="BI35" s="22" t="n">
        <v>662.9407039541206</v>
      </c>
      <c r="BJ35" s="22" t="n">
        <v>699.636140273995</v>
      </c>
      <c r="BK35" s="22" t="n">
        <v>736.4509115739934</v>
      </c>
      <c r="BL35" s="22" t="n">
        <v>771.7903972086101</v>
      </c>
      <c r="BM35" s="22" t="n">
        <v>808.4559532663731</v>
      </c>
      <c r="BN35" s="22" t="n">
        <v>846.2048664044964</v>
      </c>
      <c r="BO35" s="22" t="n">
        <v>885.7159934339113</v>
      </c>
      <c r="BP35" s="22" t="n">
        <v>927.4052860566032</v>
      </c>
      <c r="BQ35" s="22" t="n">
        <v>971.1134548042558</v>
      </c>
      <c r="BR35" s="22" t="n">
        <v>1016.895922801281</v>
      </c>
      <c r="BS35" s="22" t="n">
        <v>1065.06810147882</v>
      </c>
      <c r="BT35" s="22" t="n">
        <v>1115.378716320361</v>
      </c>
      <c r="BU35" s="22" t="n">
        <v>1167.66102062202</v>
      </c>
      <c r="BV35" s="22" t="n">
        <v>1221.399746237441</v>
      </c>
      <c r="BW35" s="22" t="n">
        <v>1276.450433286854</v>
      </c>
      <c r="BY35" s="20" t="inlineStr">
        <is>
          <t>egy.mit.gdp.pos.usd.all.all.5</t>
        </is>
      </c>
      <c r="BZ35" s="22" t="n">
        <v>546.9709241189541</v>
      </c>
      <c r="CA35" s="22" t="n">
        <v>567.5385678541237</v>
      </c>
      <c r="CB35" s="22" t="n">
        <v>581.1526886951941</v>
      </c>
      <c r="CC35" s="22" t="n">
        <v>606.6791638435923</v>
      </c>
      <c r="CD35" s="22" t="n">
        <v>632.400576753819</v>
      </c>
      <c r="CE35" s="22" t="n">
        <v>662.9407869045659</v>
      </c>
      <c r="CF35" s="22" t="n">
        <v>699.6359013414474</v>
      </c>
      <c r="CG35" s="22" t="n">
        <v>736.574488356576</v>
      </c>
      <c r="CH35" s="22" t="n">
        <v>771.2648090925555</v>
      </c>
      <c r="CI35" s="22" t="n">
        <v>808.6008529381827</v>
      </c>
      <c r="CJ35" s="22" t="n">
        <v>846.3805566088785</v>
      </c>
      <c r="CK35" s="22" t="n">
        <v>886.7155549423987</v>
      </c>
      <c r="CL35" s="22" t="n">
        <v>928.5454337664105</v>
      </c>
      <c r="CM35" s="22" t="n">
        <v>971.6595954822877</v>
      </c>
      <c r="CN35" s="22" t="n">
        <v>1016.481693802573</v>
      </c>
      <c r="CO35" s="22" t="n">
        <v>1063.256737550653</v>
      </c>
      <c r="CP35" s="22" t="n">
        <v>1111.057316011736</v>
      </c>
      <c r="CQ35" s="22" t="n">
        <v>1160.278923285267</v>
      </c>
      <c r="CR35" s="22" t="n">
        <v>1210.442903416415</v>
      </c>
      <c r="CS35" s="22" t="n">
        <v>1262.203998349563</v>
      </c>
      <c r="CU35" s="20" t="inlineStr">
        <is>
          <t>egy.mit.gdp.pos.usd.all.all.6</t>
        </is>
      </c>
      <c r="CV35" s="22" t="n">
        <v>546.9709241189541</v>
      </c>
      <c r="CW35" s="22" t="n">
        <v>567.5385678541237</v>
      </c>
      <c r="CX35" s="22" t="n">
        <v>581.1526886951941</v>
      </c>
      <c r="CY35" s="22" t="n">
        <v>606.6791638435923</v>
      </c>
      <c r="CZ35" s="22" t="n">
        <v>632.400576753819</v>
      </c>
      <c r="DA35" s="22" t="n">
        <v>662.9406684185089</v>
      </c>
      <c r="DB35" s="22" t="n">
        <v>699.6362245873747</v>
      </c>
      <c r="DC35" s="22" t="n">
        <v>737.137105920906</v>
      </c>
      <c r="DD35" s="22" t="n">
        <v>770.5714655668814</v>
      </c>
      <c r="DE35" s="22" t="n">
        <v>807.981811386666</v>
      </c>
      <c r="DF35" s="22" t="n">
        <v>845.187991616689</v>
      </c>
      <c r="DG35" s="22" t="n">
        <v>886.1839725514767</v>
      </c>
      <c r="DH35" s="22" t="n">
        <v>929.6311413136266</v>
      </c>
      <c r="DI35" s="22" t="n">
        <v>974.1531232142531</v>
      </c>
      <c r="DJ35" s="22" t="n">
        <v>1020.746010243519</v>
      </c>
      <c r="DK35" s="22" t="n">
        <v>1070.24074796652</v>
      </c>
      <c r="DL35" s="22" t="n">
        <v>1120.200105026115</v>
      </c>
      <c r="DM35" s="22" t="n">
        <v>1171.227821414686</v>
      </c>
      <c r="DN35" s="22" t="n">
        <v>1222.2742878453</v>
      </c>
      <c r="DO35" s="22" t="n">
        <v>1274.463004278217</v>
      </c>
    </row>
    <row r="36">
      <c r="A36" s="19" t="inlineStr">
        <is>
          <t>mit.kaya.all.pop</t>
        </is>
      </c>
      <c r="B36" s="3" t="inlineStr">
        <is>
          <t>mit</t>
        </is>
      </c>
      <c r="C36" s="19" t="inlineStr">
        <is>
          <t>mit.pop.mn</t>
        </is>
      </c>
      <c r="H36" s="3" t="inlineStr">
        <is>
          <t xml:space="preserve">Kaya identity: population (mn), GDP per capita (thousand USD), total primary energy supply (ktoe), energy intensity (ktoe per USD bn), carbon intensity (ktCO2 per ktoe) | All sectors | </t>
        </is>
      </c>
      <c r="I36" s="3" t="inlineStr">
        <is>
          <t>mixed</t>
        </is>
      </c>
      <c r="K36" s="20" t="inlineStr">
        <is>
          <t>egy.mit.kaya.all.pop.1</t>
        </is>
      </c>
      <c r="L36" s="3" t="n">
        <v>111.743365</v>
      </c>
      <c r="M36" s="3" t="n">
        <v>113.493134</v>
      </c>
      <c r="N36" s="3" t="n">
        <v>116.538258</v>
      </c>
      <c r="O36" s="3" t="n">
        <v>118.365994</v>
      </c>
      <c r="P36" s="3" t="n">
        <v>120.101175</v>
      </c>
      <c r="Q36" s="3" t="n">
        <v>121.847617</v>
      </c>
      <c r="R36" s="3" t="n">
        <v>123.608457</v>
      </c>
      <c r="S36" s="3" t="n">
        <v>125.373049</v>
      </c>
      <c r="T36" s="3" t="n">
        <v>127.139321</v>
      </c>
      <c r="U36" s="3" t="n">
        <v>128.912252</v>
      </c>
      <c r="V36" s="3" t="n">
        <v>130.695078</v>
      </c>
      <c r="W36" s="3" t="n">
        <v>132.485605</v>
      </c>
      <c r="X36" s="3" t="n">
        <v>134.28784</v>
      </c>
      <c r="Y36" s="3" t="n">
        <v>136.097218</v>
      </c>
      <c r="Z36" s="3" t="n">
        <v>137.913263</v>
      </c>
      <c r="AA36" s="3" t="n">
        <v>139.738696</v>
      </c>
      <c r="AB36" s="3" t="n">
        <v>141.56583</v>
      </c>
      <c r="AC36" s="3" t="n">
        <v>143.393264</v>
      </c>
      <c r="AD36" s="3" t="n">
        <v>145.213654</v>
      </c>
      <c r="AE36" s="3" t="n">
        <v>147.018556</v>
      </c>
      <c r="AG36" s="20" t="inlineStr">
        <is>
          <t>egy.mit.kaya.all.pop.3</t>
        </is>
      </c>
      <c r="AH36" s="3" t="n">
        <v>111.743365</v>
      </c>
      <c r="AI36" s="3" t="n">
        <v>113.493134</v>
      </c>
      <c r="AJ36" s="3" t="n">
        <v>116.538258</v>
      </c>
      <c r="AK36" s="3" t="n">
        <v>118.365994</v>
      </c>
      <c r="AL36" s="3" t="n">
        <v>120.101175</v>
      </c>
      <c r="AM36" s="3" t="n">
        <v>121.847617</v>
      </c>
      <c r="AN36" s="3" t="n">
        <v>123.608457</v>
      </c>
      <c r="AO36" s="3" t="n">
        <v>125.373049</v>
      </c>
      <c r="AP36" s="3" t="n">
        <v>127.139321</v>
      </c>
      <c r="AQ36" s="3" t="n">
        <v>128.912252</v>
      </c>
      <c r="AR36" s="3" t="n">
        <v>130.695078</v>
      </c>
      <c r="AS36" s="3" t="n">
        <v>132.485605</v>
      </c>
      <c r="AT36" s="3" t="n">
        <v>134.28784</v>
      </c>
      <c r="AU36" s="3" t="n">
        <v>136.097218</v>
      </c>
      <c r="AV36" s="3" t="n">
        <v>137.913263</v>
      </c>
      <c r="AW36" s="3" t="n">
        <v>139.738696</v>
      </c>
      <c r="AX36" s="3" t="n">
        <v>141.56583</v>
      </c>
      <c r="AY36" s="3" t="n">
        <v>143.393264</v>
      </c>
      <c r="AZ36" s="3" t="n">
        <v>145.213654</v>
      </c>
      <c r="BA36" s="3" t="n">
        <v>147.018556</v>
      </c>
      <c r="BC36" s="20" t="inlineStr">
        <is>
          <t>egy.mit.kaya.all.pop.4</t>
        </is>
      </c>
      <c r="BD36" s="3" t="n">
        <v>111.743365</v>
      </c>
      <c r="BE36" s="3" t="n">
        <v>113.493134</v>
      </c>
      <c r="BF36" s="3" t="n">
        <v>116.538258</v>
      </c>
      <c r="BG36" s="3" t="n">
        <v>118.365994</v>
      </c>
      <c r="BH36" s="3" t="n">
        <v>120.101175</v>
      </c>
      <c r="BI36" s="3" t="n">
        <v>121.847617</v>
      </c>
      <c r="BJ36" s="3" t="n">
        <v>123.608457</v>
      </c>
      <c r="BK36" s="3" t="n">
        <v>125.373049</v>
      </c>
      <c r="BL36" s="3" t="n">
        <v>127.139321</v>
      </c>
      <c r="BM36" s="3" t="n">
        <v>128.912252</v>
      </c>
      <c r="BN36" s="3" t="n">
        <v>130.695078</v>
      </c>
      <c r="BO36" s="3" t="n">
        <v>132.485605</v>
      </c>
      <c r="BP36" s="3" t="n">
        <v>134.28784</v>
      </c>
      <c r="BQ36" s="3" t="n">
        <v>136.097218</v>
      </c>
      <c r="BR36" s="3" t="n">
        <v>137.913263</v>
      </c>
      <c r="BS36" s="3" t="n">
        <v>139.738696</v>
      </c>
      <c r="BT36" s="3" t="n">
        <v>141.56583</v>
      </c>
      <c r="BU36" s="3" t="n">
        <v>143.393264</v>
      </c>
      <c r="BV36" s="3" t="n">
        <v>145.213654</v>
      </c>
      <c r="BW36" s="3" t="n">
        <v>147.018556</v>
      </c>
      <c r="BY36" s="20" t="inlineStr">
        <is>
          <t>egy.mit.kaya.all.pop.5</t>
        </is>
      </c>
      <c r="BZ36" s="3" t="n">
        <v>111.743365</v>
      </c>
      <c r="CA36" s="3" t="n">
        <v>113.493134</v>
      </c>
      <c r="CB36" s="3" t="n">
        <v>116.538258</v>
      </c>
      <c r="CC36" s="3" t="n">
        <v>118.365994</v>
      </c>
      <c r="CD36" s="3" t="n">
        <v>120.101175</v>
      </c>
      <c r="CE36" s="3" t="n">
        <v>121.847617</v>
      </c>
      <c r="CF36" s="3" t="n">
        <v>123.608457</v>
      </c>
      <c r="CG36" s="3" t="n">
        <v>125.373049</v>
      </c>
      <c r="CH36" s="3" t="n">
        <v>127.139321</v>
      </c>
      <c r="CI36" s="3" t="n">
        <v>128.912252</v>
      </c>
      <c r="CJ36" s="3" t="n">
        <v>130.695078</v>
      </c>
      <c r="CK36" s="3" t="n">
        <v>132.485605</v>
      </c>
      <c r="CL36" s="3" t="n">
        <v>134.28784</v>
      </c>
      <c r="CM36" s="3" t="n">
        <v>136.097218</v>
      </c>
      <c r="CN36" s="3" t="n">
        <v>137.913263</v>
      </c>
      <c r="CO36" s="3" t="n">
        <v>139.738696</v>
      </c>
      <c r="CP36" s="3" t="n">
        <v>141.56583</v>
      </c>
      <c r="CQ36" s="3" t="n">
        <v>143.393264</v>
      </c>
      <c r="CR36" s="3" t="n">
        <v>145.213654</v>
      </c>
      <c r="CS36" s="3" t="n">
        <v>147.018556</v>
      </c>
      <c r="CU36" s="20" t="inlineStr">
        <is>
          <t>egy.mit.kaya.all.pop.6</t>
        </is>
      </c>
      <c r="CV36" s="3" t="n">
        <v>111.743365</v>
      </c>
      <c r="CW36" s="3" t="n">
        <v>113.493134</v>
      </c>
      <c r="CX36" s="3" t="n">
        <v>116.538258</v>
      </c>
      <c r="CY36" s="3" t="n">
        <v>118.365994</v>
      </c>
      <c r="CZ36" s="3" t="n">
        <v>120.101175</v>
      </c>
      <c r="DA36" s="3" t="n">
        <v>121.847617</v>
      </c>
      <c r="DB36" s="3" t="n">
        <v>123.608457</v>
      </c>
      <c r="DC36" s="3" t="n">
        <v>125.373049</v>
      </c>
      <c r="DD36" s="3" t="n">
        <v>127.139321</v>
      </c>
      <c r="DE36" s="3" t="n">
        <v>128.912252</v>
      </c>
      <c r="DF36" s="3" t="n">
        <v>130.695078</v>
      </c>
      <c r="DG36" s="3" t="n">
        <v>132.485605</v>
      </c>
      <c r="DH36" s="3" t="n">
        <v>134.28784</v>
      </c>
      <c r="DI36" s="3" t="n">
        <v>136.097218</v>
      </c>
      <c r="DJ36" s="3" t="n">
        <v>137.913263</v>
      </c>
      <c r="DK36" s="3" t="n">
        <v>139.738696</v>
      </c>
      <c r="DL36" s="3" t="n">
        <v>141.56583</v>
      </c>
      <c r="DM36" s="3" t="n">
        <v>143.393264</v>
      </c>
      <c r="DN36" s="3" t="n">
        <v>145.213654</v>
      </c>
      <c r="DO36" s="3" t="n">
        <v>147.018556</v>
      </c>
    </row>
    <row r="37">
      <c r="A37" s="5" t="n"/>
      <c r="B37" s="18" t="inlineStr">
        <is>
          <t>Emissions</t>
        </is>
      </c>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c r="AB37" s="5" t="n"/>
      <c r="AC37" s="5" t="n"/>
      <c r="AD37" s="5" t="n"/>
      <c r="AE37" s="5" t="n"/>
      <c r="AF37" s="5" t="n"/>
      <c r="AG37" s="5" t="n"/>
      <c r="AH37" s="5" t="n"/>
      <c r="AI37" s="5" t="n"/>
      <c r="AJ37" s="5" t="n"/>
      <c r="AK37" s="5" t="n"/>
      <c r="AL37" s="5" t="n"/>
      <c r="AM37" s="5" t="n"/>
      <c r="AN37" s="5" t="n"/>
      <c r="AO37" s="5" t="n"/>
      <c r="AP37" s="5" t="n"/>
      <c r="AQ37" s="5" t="n"/>
      <c r="AR37" s="5" t="n"/>
      <c r="AS37" s="5" t="n"/>
      <c r="AT37" s="5" t="n"/>
      <c r="AU37" s="5" t="n"/>
      <c r="AV37" s="5" t="n"/>
      <c r="AW37" s="5" t="n"/>
      <c r="AX37" s="5" t="n"/>
      <c r="AY37" s="5" t="n"/>
      <c r="AZ37" s="5" t="n"/>
      <c r="BA37" s="5" t="n"/>
      <c r="BB37" s="5" t="n"/>
      <c r="BC37" s="5" t="n"/>
      <c r="BD37" s="5" t="n"/>
      <c r="BE37" s="5" t="n"/>
      <c r="BF37" s="5" t="n"/>
      <c r="BG37" s="5" t="n"/>
      <c r="BH37" s="5" t="n"/>
      <c r="BI37" s="5" t="n"/>
      <c r="BJ37" s="5" t="n"/>
      <c r="BK37" s="5" t="n"/>
      <c r="BL37" s="5" t="n"/>
      <c r="BM37" s="5" t="n"/>
      <c r="BN37" s="5" t="n"/>
      <c r="BO37" s="5" t="n"/>
      <c r="BP37" s="5" t="n"/>
      <c r="BQ37" s="5" t="n"/>
      <c r="BR37" s="5" t="n"/>
      <c r="BS37" s="5" t="n"/>
      <c r="BT37" s="5" t="n"/>
      <c r="BU37" s="5" t="n"/>
      <c r="BV37" s="5" t="n"/>
      <c r="BW37" s="5" t="n"/>
      <c r="BX37" s="5" t="n"/>
      <c r="BY37" s="5" t="n"/>
      <c r="BZ37" s="5" t="n"/>
      <c r="CA37" s="5" t="n"/>
      <c r="CB37" s="5" t="n"/>
      <c r="CC37" s="5" t="n"/>
      <c r="CD37" s="5" t="n"/>
      <c r="CE37" s="5" t="n"/>
      <c r="CF37" s="5" t="n"/>
      <c r="CG37" s="5" t="n"/>
      <c r="CH37" s="5" t="n"/>
      <c r="CI37" s="5" t="n"/>
      <c r="CJ37" s="5" t="n"/>
      <c r="CK37" s="5" t="n"/>
      <c r="CL37" s="5" t="n"/>
      <c r="CM37" s="5" t="n"/>
      <c r="CN37" s="5" t="n"/>
      <c r="CO37" s="5" t="n"/>
      <c r="CP37" s="5" t="n"/>
      <c r="CQ37" s="5" t="n"/>
      <c r="CR37" s="5" t="n"/>
      <c r="CS37" s="5" t="n"/>
      <c r="CT37" s="5" t="n"/>
      <c r="CU37" s="5" t="n"/>
      <c r="CV37" s="5" t="n"/>
      <c r="CW37" s="5" t="n"/>
      <c r="CX37" s="5" t="n"/>
      <c r="CY37" s="5" t="n"/>
      <c r="CZ37" s="5" t="n"/>
      <c r="DA37" s="5" t="n"/>
      <c r="DB37" s="5" t="n"/>
      <c r="DC37" s="5" t="n"/>
      <c r="DD37" s="5" t="n"/>
      <c r="DE37" s="5" t="n"/>
      <c r="DF37" s="5" t="n"/>
      <c r="DG37" s="5" t="n"/>
      <c r="DH37" s="5" t="n"/>
      <c r="DI37" s="5" t="n"/>
      <c r="DJ37" s="5" t="n"/>
      <c r="DK37" s="5" t="n"/>
      <c r="DL37" s="5" t="n"/>
      <c r="DM37" s="5" t="n"/>
      <c r="DN37" s="5" t="n"/>
      <c r="DO37" s="5" t="n"/>
      <c r="DP37" s="5" t="n"/>
      <c r="DQ37" s="5" t="n"/>
      <c r="DR37" s="5" t="n"/>
      <c r="DS37" s="5" t="n"/>
      <c r="DT37" s="5" t="n"/>
      <c r="DU37" s="5" t="n"/>
      <c r="DV37" s="5" t="n"/>
      <c r="DW37" s="5" t="n"/>
      <c r="DX37" s="5" t="n"/>
      <c r="DY37" s="5" t="n"/>
      <c r="DZ37" s="5" t="n"/>
      <c r="EA37" s="5" t="n"/>
      <c r="EB37" s="5" t="n"/>
      <c r="EC37" s="5" t="n"/>
      <c r="ED37" s="5" t="n"/>
      <c r="EE37" s="5" t="n"/>
      <c r="EF37" s="5" t="n"/>
      <c r="EG37" s="5" t="n"/>
      <c r="EH37" s="5" t="n"/>
      <c r="EI37" s="5" t="n"/>
      <c r="EJ37" s="5" t="n"/>
      <c r="EK37" s="5" t="n"/>
      <c r="EL37" s="5" t="n"/>
      <c r="EM37" s="5" t="n"/>
      <c r="EN37" s="5" t="n"/>
      <c r="EO37" s="5" t="n"/>
      <c r="EP37" s="5" t="n"/>
      <c r="EQ37" s="5" t="n"/>
      <c r="ER37" s="5" t="n"/>
      <c r="ES37" s="5" t="n"/>
      <c r="ET37" s="5" t="n"/>
      <c r="EU37" s="5" t="n"/>
      <c r="EV37" s="5" t="n"/>
      <c r="EW37" s="5" t="n"/>
      <c r="EX37" s="5" t="n"/>
      <c r="EY37" s="5" t="n"/>
      <c r="EZ37" s="5" t="n"/>
      <c r="FA37" s="5" t="n"/>
      <c r="FB37" s="5" t="n"/>
      <c r="FC37" s="5" t="n"/>
      <c r="FD37" s="5" t="n"/>
      <c r="FE37" s="5" t="n"/>
      <c r="FF37" s="5" t="n"/>
      <c r="FG37" s="5" t="n"/>
      <c r="FH37" s="5" t="n"/>
      <c r="FI37" s="5" t="n"/>
      <c r="FJ37" s="5" t="n"/>
      <c r="FK37" s="5" t="n"/>
      <c r="FL37" s="5" t="n"/>
      <c r="FM37" s="5" t="n"/>
      <c r="FN37" s="5" t="n"/>
      <c r="FO37" s="5" t="n"/>
      <c r="FP37" s="5" t="n"/>
      <c r="FQ37" s="5" t="n"/>
      <c r="FR37" s="5" t="n"/>
      <c r="FS37" s="5" t="n"/>
      <c r="FT37" s="5" t="n"/>
      <c r="FU37" s="5" t="n"/>
      <c r="FV37" s="5" t="n"/>
      <c r="FW37" s="5" t="n"/>
      <c r="FX37" s="5" t="n"/>
      <c r="FY37" s="5" t="n"/>
      <c r="FZ37" s="5" t="n"/>
      <c r="GA37" s="5" t="n"/>
      <c r="GB37" s="5" t="n"/>
      <c r="GC37" s="5" t="n"/>
      <c r="GD37" s="5" t="n"/>
      <c r="GE37" s="5" t="n"/>
      <c r="GF37" s="5" t="n"/>
      <c r="GG37" s="5" t="n"/>
      <c r="GH37" s="5" t="n"/>
      <c r="GI37" s="5" t="n"/>
      <c r="GJ37" s="5" t="n"/>
      <c r="GK37" s="5" t="n"/>
      <c r="GL37" s="5" t="n"/>
      <c r="GM37" s="5" t="n"/>
      <c r="GN37" s="5" t="n"/>
      <c r="GO37" s="5" t="n"/>
      <c r="GP37" s="5" t="n"/>
      <c r="GQ37" s="5" t="n"/>
      <c r="GR37" s="5" t="n"/>
      <c r="GS37" s="5" t="n"/>
      <c r="GT37" s="5" t="n"/>
      <c r="GU37" s="5" t="n"/>
      <c r="GV37" s="5" t="n"/>
      <c r="GW37" s="5" t="n"/>
      <c r="GX37" s="5" t="n"/>
      <c r="GY37" s="5" t="n"/>
      <c r="GZ37" s="5" t="n"/>
      <c r="HA37" s="5" t="n"/>
      <c r="HB37" s="5" t="n"/>
      <c r="HC37" s="5" t="n"/>
      <c r="HD37" s="5" t="n"/>
      <c r="HE37" s="5" t="n"/>
      <c r="HF37" s="5" t="n"/>
      <c r="HG37" s="5" t="n"/>
      <c r="HH37" s="5" t="n"/>
      <c r="HI37" s="5" t="n"/>
      <c r="HJ37" s="5" t="n"/>
      <c r="HK37" s="5" t="n"/>
      <c r="HL37" s="5" t="n"/>
      <c r="HM37" s="5" t="n"/>
      <c r="HN37" s="5" t="n"/>
      <c r="HO37" s="5" t="n"/>
      <c r="HP37" s="5" t="n"/>
      <c r="HQ37" s="5" t="n"/>
      <c r="HR37" s="5" t="n"/>
      <c r="HS37" s="5" t="n"/>
      <c r="HT37" s="5" t="n"/>
      <c r="HU37" s="5" t="n"/>
      <c r="HV37" s="5" t="n"/>
    </row>
    <row r="38">
      <c r="A38" s="19" t="inlineStr">
        <is>
          <t>mit.ghg.tot.tot</t>
        </is>
      </c>
      <c r="B38" s="3" t="inlineStr">
        <is>
          <t>mit</t>
        </is>
      </c>
      <c r="C38" s="19" t="inlineStr">
        <is>
          <t>mit.ghg.tot.exc</t>
        </is>
      </c>
      <c r="H38" s="3" t="inlineStr">
        <is>
          <t>GHG emissions | All sectors | All fuels</t>
        </is>
      </c>
      <c r="I38" s="3" t="inlineStr">
        <is>
          <t>Mt CO2e</t>
        </is>
      </c>
      <c r="K38" s="20" t="inlineStr">
        <is>
          <t>egy.mit.ghg.tot.tot.1</t>
        </is>
      </c>
      <c r="L38" s="22" t="n">
        <v>400.907371962031</v>
      </c>
      <c r="M38" s="22" t="n">
        <v>411.8493739272828</v>
      </c>
      <c r="N38" s="22" t="n">
        <v>455.5912451195792</v>
      </c>
      <c r="O38" s="22" t="n">
        <v>477.367023582744</v>
      </c>
      <c r="P38" s="22" t="n">
        <v>487.8679324219555</v>
      </c>
      <c r="Q38" s="22" t="n">
        <v>498.9940506265089</v>
      </c>
      <c r="R38" s="22" t="n">
        <v>511.7327951028359</v>
      </c>
      <c r="S38" s="22" t="n">
        <v>524.3227321572509</v>
      </c>
      <c r="T38" s="22" t="n">
        <v>535.2750476722754</v>
      </c>
      <c r="U38" s="22" t="n">
        <v>543.0462666938312</v>
      </c>
      <c r="V38" s="22" t="n">
        <v>550.4542102915813</v>
      </c>
      <c r="W38" s="22" t="n">
        <v>560.8952017747755</v>
      </c>
      <c r="X38" s="22" t="n">
        <v>570.8122366465351</v>
      </c>
      <c r="Y38" s="22" t="n">
        <v>581.2828013793843</v>
      </c>
      <c r="Z38" s="22" t="n">
        <v>591.8481764587899</v>
      </c>
      <c r="AA38" s="22" t="n">
        <v>602.5664249221759</v>
      </c>
      <c r="AB38" s="22" t="n">
        <v>613.4122424790567</v>
      </c>
      <c r="AC38" s="22" t="n">
        <v>624.3849938342321</v>
      </c>
      <c r="AD38" s="22" t="n">
        <v>635.485818984637</v>
      </c>
      <c r="AE38" s="22" t="n">
        <v>646.7067249074234</v>
      </c>
      <c r="AG38" s="20" t="inlineStr">
        <is>
          <t>egy.mit.ghg.tot.tot.3</t>
        </is>
      </c>
      <c r="AH38" s="22" t="n">
        <v>400.907371962031</v>
      </c>
      <c r="AI38" s="22" t="n">
        <v>411.7956006169471</v>
      </c>
      <c r="AJ38" s="22" t="n">
        <v>455.5394140635099</v>
      </c>
      <c r="AK38" s="22" t="n">
        <v>477.3170921198081</v>
      </c>
      <c r="AL38" s="22" t="n">
        <v>487.8179842896306</v>
      </c>
      <c r="AM38" s="22" t="n">
        <v>465.6350389675748</v>
      </c>
      <c r="AN38" s="22" t="n">
        <v>467.1358148753246</v>
      </c>
      <c r="AO38" s="22" t="n">
        <v>480.7699538755503</v>
      </c>
      <c r="AP38" s="22" t="n">
        <v>489.4711104157711</v>
      </c>
      <c r="AQ38" s="22" t="n">
        <v>497.7223215289596</v>
      </c>
      <c r="AR38" s="22" t="n">
        <v>504.1723062846551</v>
      </c>
      <c r="AS38" s="22" t="n">
        <v>514.3541286568825</v>
      </c>
      <c r="AT38" s="22" t="n">
        <v>523.2774911148235</v>
      </c>
      <c r="AU38" s="22" t="n">
        <v>533.0707076923368</v>
      </c>
      <c r="AV38" s="22" t="n">
        <v>542.9986651461529</v>
      </c>
      <c r="AW38" s="22" t="n">
        <v>553.2201392707085</v>
      </c>
      <c r="AX38" s="22" t="n">
        <v>563.3816147250581</v>
      </c>
      <c r="AY38" s="22" t="n">
        <v>573.5878023652765</v>
      </c>
      <c r="AZ38" s="22" t="n">
        <v>583.6830150941757</v>
      </c>
      <c r="BA38" s="22" t="n">
        <v>593.8321313288295</v>
      </c>
      <c r="BC38" s="20" t="inlineStr">
        <is>
          <t>egy.mit.ghg.tot.tot.4</t>
        </is>
      </c>
      <c r="BD38" s="22" t="n">
        <v>400.907371962031</v>
      </c>
      <c r="BE38" s="22" t="n">
        <v>411.6632173116172</v>
      </c>
      <c r="BF38" s="22" t="n">
        <v>455.411820465865</v>
      </c>
      <c r="BG38" s="22" t="n">
        <v>477.1941827099729</v>
      </c>
      <c r="BH38" s="22" t="n">
        <v>487.6952785745893</v>
      </c>
      <c r="BI38" s="22" t="n">
        <v>477.3842824608626</v>
      </c>
      <c r="BJ38" s="22" t="n">
        <v>461.5762650335319</v>
      </c>
      <c r="BK38" s="22" t="n">
        <v>446.3051806914847</v>
      </c>
      <c r="BL38" s="22" t="n">
        <v>436.4654320931255</v>
      </c>
      <c r="BM38" s="22" t="n">
        <v>431.7653360672332</v>
      </c>
      <c r="BN38" s="22" t="n">
        <v>424.5121966912087</v>
      </c>
      <c r="BO38" s="22" t="n">
        <v>421.3257560530706</v>
      </c>
      <c r="BP38" s="22" t="n">
        <v>416.6451791808166</v>
      </c>
      <c r="BQ38" s="22" t="n">
        <v>414.3175462502157</v>
      </c>
      <c r="BR38" s="22" t="n">
        <v>411.1985030914877</v>
      </c>
      <c r="BS38" s="22" t="n">
        <v>409.9003763831107</v>
      </c>
      <c r="BT38" s="22" t="n">
        <v>407.6288936419126</v>
      </c>
      <c r="BU38" s="22" t="n">
        <v>407.2296890745994</v>
      </c>
      <c r="BV38" s="22" t="n">
        <v>405.2020111055302</v>
      </c>
      <c r="BW38" s="22" t="n">
        <v>405.6995104862749</v>
      </c>
      <c r="BY38" s="20" t="inlineStr">
        <is>
          <t>egy.mit.ghg.tot.tot.5</t>
        </is>
      </c>
      <c r="BZ38" s="22" t="n">
        <v>400.907371962031</v>
      </c>
      <c r="CA38" s="22" t="n">
        <v>411.533541238288</v>
      </c>
      <c r="CB38" s="22" t="n">
        <v>455.2866771930128</v>
      </c>
      <c r="CC38" s="22" t="n">
        <v>477.0734769530223</v>
      </c>
      <c r="CD38" s="22" t="n">
        <v>487.5744348994274</v>
      </c>
      <c r="CE38" s="22" t="n">
        <v>461.1542919400958</v>
      </c>
      <c r="CF38" s="22" t="n">
        <v>471.8942605186606</v>
      </c>
      <c r="CG38" s="22" t="n">
        <v>482.6886258643644</v>
      </c>
      <c r="CH38" s="22" t="n">
        <v>491.4911128557998</v>
      </c>
      <c r="CI38" s="22" t="n">
        <v>496.4429458853407</v>
      </c>
      <c r="CJ38" s="22" t="n">
        <v>499.6759088942968</v>
      </c>
      <c r="CK38" s="22" t="n">
        <v>507.334000037797</v>
      </c>
      <c r="CL38" s="22" t="n">
        <v>510.6401721126103</v>
      </c>
      <c r="CM38" s="22" t="n">
        <v>515.2724017979934</v>
      </c>
      <c r="CN38" s="22" t="n">
        <v>520.5830234919694</v>
      </c>
      <c r="CO38" s="22" t="n">
        <v>525.3949638740934</v>
      </c>
      <c r="CP38" s="22" t="n">
        <v>530.7190416509759</v>
      </c>
      <c r="CQ38" s="22" t="n">
        <v>536.2948578717206</v>
      </c>
      <c r="CR38" s="22" t="n">
        <v>541.6501813518774</v>
      </c>
      <c r="CS38" s="22" t="n">
        <v>547.4583201652976</v>
      </c>
      <c r="CU38" s="20" t="inlineStr">
        <is>
          <t>egy.mit.ghg.tot.tot.6</t>
        </is>
      </c>
      <c r="CV38" s="22" t="n">
        <v>400.907371962031</v>
      </c>
      <c r="CW38" s="22" t="n">
        <v>411.7211008389727</v>
      </c>
      <c r="CX38" s="22" t="n">
        <v>455.4676083773527</v>
      </c>
      <c r="CY38" s="22" t="n">
        <v>477.2479212253145</v>
      </c>
      <c r="CZ38" s="22" t="n">
        <v>487.7488866140341</v>
      </c>
      <c r="DA38" s="22" t="n">
        <v>433.3404904120414</v>
      </c>
      <c r="DB38" s="22" t="n">
        <v>422.4535012795561</v>
      </c>
      <c r="DC38" s="22" t="n">
        <v>435.1194442729055</v>
      </c>
      <c r="DD38" s="22" t="n">
        <v>440.4445836216061</v>
      </c>
      <c r="DE38" s="22" t="n">
        <v>451.7446179321894</v>
      </c>
      <c r="DF38" s="22" t="n">
        <v>454.431608725362</v>
      </c>
      <c r="DG38" s="22" t="n">
        <v>462.168951840351</v>
      </c>
      <c r="DH38" s="22" t="n">
        <v>466.9437712802242</v>
      </c>
      <c r="DI38" s="22" t="n">
        <v>473.5595349282738</v>
      </c>
      <c r="DJ38" s="22" t="n">
        <v>479.5064250321457</v>
      </c>
      <c r="DK38" s="22" t="n">
        <v>486.6560720461907</v>
      </c>
      <c r="DL38" s="22" t="n">
        <v>492.9430453771273</v>
      </c>
      <c r="DM38" s="22" t="n">
        <v>500.0742481041274</v>
      </c>
      <c r="DN38" s="22" t="n">
        <v>506.3820352706787</v>
      </c>
      <c r="DO38" s="22" t="n">
        <v>513.4526446539764</v>
      </c>
    </row>
    <row r="39">
      <c r="A39" s="19" t="inlineStr">
        <is>
          <t>mit.ghg.inc.all.all</t>
        </is>
      </c>
      <c r="B39" s="3" t="inlineStr">
        <is>
          <t>mit</t>
        </is>
      </c>
      <c r="C39" s="19" t="inlineStr">
        <is>
          <t>mit.ghg.tot.inc</t>
        </is>
      </c>
      <c r="H39" s="3" t="inlineStr">
        <is>
          <t>GHG emissions including LULUCF | All sectors | All fuels</t>
        </is>
      </c>
      <c r="I39" s="3" t="inlineStr">
        <is>
          <t>Mt CO2e</t>
        </is>
      </c>
      <c r="K39" s="20" t="inlineStr">
        <is>
          <t>egy.mit.ghg.inc.all.all.1</t>
        </is>
      </c>
      <c r="L39" s="3" t="n">
        <v>400.907371962031</v>
      </c>
      <c r="M39" s="3" t="n">
        <v>411.8493739272828</v>
      </c>
      <c r="N39" s="3" t="n">
        <v>455.5912451195792</v>
      </c>
      <c r="O39" s="3" t="n">
        <v>477.367023582744</v>
      </c>
      <c r="P39" s="3" t="n">
        <v>487.8679324219555</v>
      </c>
      <c r="Q39" s="3" t="n">
        <v>498.9940506265089</v>
      </c>
      <c r="R39" s="3" t="n">
        <v>511.7327951028359</v>
      </c>
      <c r="S39" s="3" t="n">
        <v>524.3227321572509</v>
      </c>
      <c r="T39" s="3" t="n">
        <v>535.2750476722754</v>
      </c>
      <c r="U39" s="3" t="n">
        <v>543.0462666938312</v>
      </c>
      <c r="V39" s="3" t="n">
        <v>550.4542102915813</v>
      </c>
      <c r="W39" s="3" t="n">
        <v>560.8952017747755</v>
      </c>
      <c r="X39" s="3" t="n">
        <v>570.8122366465351</v>
      </c>
      <c r="Y39" s="3" t="n">
        <v>581.2828013793843</v>
      </c>
      <c r="Z39" s="3" t="n">
        <v>591.8481764587899</v>
      </c>
      <c r="AA39" s="3" t="n">
        <v>602.5664249221759</v>
      </c>
      <c r="AB39" s="3" t="n">
        <v>613.4122424790567</v>
      </c>
      <c r="AC39" s="3" t="n">
        <v>624.3849938342321</v>
      </c>
      <c r="AD39" s="3" t="n">
        <v>635.485818984637</v>
      </c>
      <c r="AE39" s="3" t="n">
        <v>646.7067249074234</v>
      </c>
      <c r="AG39" s="20" t="inlineStr">
        <is>
          <t>egy.mit.ghg.inc.all.all.3</t>
        </is>
      </c>
      <c r="AH39" s="3" t="n">
        <v>400.907371962031</v>
      </c>
      <c r="AI39" s="3" t="n">
        <v>411.7956006169471</v>
      </c>
      <c r="AJ39" s="3" t="n">
        <v>455.5394140635099</v>
      </c>
      <c r="AK39" s="3" t="n">
        <v>477.3170921198081</v>
      </c>
      <c r="AL39" s="3" t="n">
        <v>487.8179842896306</v>
      </c>
      <c r="AM39" s="3" t="n">
        <v>465.6350389675748</v>
      </c>
      <c r="AN39" s="3" t="n">
        <v>467.1358148753246</v>
      </c>
      <c r="AO39" s="3" t="n">
        <v>480.7699538755503</v>
      </c>
      <c r="AP39" s="3" t="n">
        <v>489.4711104157711</v>
      </c>
      <c r="AQ39" s="3" t="n">
        <v>497.7223215289596</v>
      </c>
      <c r="AR39" s="3" t="n">
        <v>504.1723062846551</v>
      </c>
      <c r="AS39" s="3" t="n">
        <v>514.3541286568825</v>
      </c>
      <c r="AT39" s="3" t="n">
        <v>523.2774911148235</v>
      </c>
      <c r="AU39" s="3" t="n">
        <v>533.0707076923368</v>
      </c>
      <c r="AV39" s="3" t="n">
        <v>542.9986651461529</v>
      </c>
      <c r="AW39" s="3" t="n">
        <v>553.2201392707085</v>
      </c>
      <c r="AX39" s="3" t="n">
        <v>563.3816147250581</v>
      </c>
      <c r="AY39" s="3" t="n">
        <v>573.5878023652765</v>
      </c>
      <c r="AZ39" s="3" t="n">
        <v>583.6830150941757</v>
      </c>
      <c r="BA39" s="3" t="n">
        <v>593.8321313288295</v>
      </c>
      <c r="BC39" s="20" t="inlineStr">
        <is>
          <t>egy.mit.ghg.inc.all.all.4</t>
        </is>
      </c>
      <c r="BD39" s="3" t="n">
        <v>400.907371962031</v>
      </c>
      <c r="BE39" s="3" t="n">
        <v>411.6632173116172</v>
      </c>
      <c r="BF39" s="3" t="n">
        <v>455.411820465865</v>
      </c>
      <c r="BG39" s="3" t="n">
        <v>477.1941827099729</v>
      </c>
      <c r="BH39" s="3" t="n">
        <v>487.6952785745893</v>
      </c>
      <c r="BI39" s="3" t="n">
        <v>477.3842824608626</v>
      </c>
      <c r="BJ39" s="3" t="n">
        <v>461.5762650335319</v>
      </c>
      <c r="BK39" s="3" t="n">
        <v>446.3051806914847</v>
      </c>
      <c r="BL39" s="3" t="n">
        <v>436.4654320931255</v>
      </c>
      <c r="BM39" s="3" t="n">
        <v>431.7653360672332</v>
      </c>
      <c r="BN39" s="3" t="n">
        <v>424.5121966912087</v>
      </c>
      <c r="BO39" s="3" t="n">
        <v>421.3257560530706</v>
      </c>
      <c r="BP39" s="3" t="n">
        <v>416.6451791808166</v>
      </c>
      <c r="BQ39" s="3" t="n">
        <v>414.3175462502157</v>
      </c>
      <c r="BR39" s="3" t="n">
        <v>411.1985030914877</v>
      </c>
      <c r="BS39" s="3" t="n">
        <v>409.9003763831107</v>
      </c>
      <c r="BT39" s="3" t="n">
        <v>407.6288936419126</v>
      </c>
      <c r="BU39" s="3" t="n">
        <v>407.2296890745994</v>
      </c>
      <c r="BV39" s="3" t="n">
        <v>405.2020111055302</v>
      </c>
      <c r="BW39" s="3" t="n">
        <v>405.6995104862749</v>
      </c>
      <c r="BY39" s="20" t="inlineStr">
        <is>
          <t>egy.mit.ghg.inc.all.all.5</t>
        </is>
      </c>
      <c r="BZ39" s="3" t="n">
        <v>400.907371962031</v>
      </c>
      <c r="CA39" s="3" t="n">
        <v>411.533541238288</v>
      </c>
      <c r="CB39" s="3" t="n">
        <v>455.2866771930128</v>
      </c>
      <c r="CC39" s="3" t="n">
        <v>477.0734769530223</v>
      </c>
      <c r="CD39" s="3" t="n">
        <v>487.5744348994274</v>
      </c>
      <c r="CE39" s="3" t="n">
        <v>461.1542919400958</v>
      </c>
      <c r="CF39" s="3" t="n">
        <v>471.8942605186606</v>
      </c>
      <c r="CG39" s="3" t="n">
        <v>482.6886258643644</v>
      </c>
      <c r="CH39" s="3" t="n">
        <v>491.4911128557998</v>
      </c>
      <c r="CI39" s="3" t="n">
        <v>496.4429458853407</v>
      </c>
      <c r="CJ39" s="3" t="n">
        <v>499.6759088942968</v>
      </c>
      <c r="CK39" s="3" t="n">
        <v>507.334000037797</v>
      </c>
      <c r="CL39" s="3" t="n">
        <v>510.6401721126103</v>
      </c>
      <c r="CM39" s="3" t="n">
        <v>515.2724017979934</v>
      </c>
      <c r="CN39" s="3" t="n">
        <v>520.5830234919694</v>
      </c>
      <c r="CO39" s="3" t="n">
        <v>525.3949638740934</v>
      </c>
      <c r="CP39" s="3" t="n">
        <v>530.7190416509759</v>
      </c>
      <c r="CQ39" s="3" t="n">
        <v>536.2948578717206</v>
      </c>
      <c r="CR39" s="3" t="n">
        <v>541.6501813518774</v>
      </c>
      <c r="CS39" s="3" t="n">
        <v>547.4583201652976</v>
      </c>
      <c r="CU39" s="20" t="inlineStr">
        <is>
          <t>egy.mit.ghg.inc.all.all.6</t>
        </is>
      </c>
      <c r="CV39" s="3" t="n">
        <v>400.907371962031</v>
      </c>
      <c r="CW39" s="3" t="n">
        <v>411.7211008389727</v>
      </c>
      <c r="CX39" s="3" t="n">
        <v>455.4676083773527</v>
      </c>
      <c r="CY39" s="3" t="n">
        <v>477.2479212253145</v>
      </c>
      <c r="CZ39" s="3" t="n">
        <v>487.7488866140341</v>
      </c>
      <c r="DA39" s="3" t="n">
        <v>433.3404904120414</v>
      </c>
      <c r="DB39" s="3" t="n">
        <v>422.4535012795561</v>
      </c>
      <c r="DC39" s="3" t="n">
        <v>435.1194442729055</v>
      </c>
      <c r="DD39" s="3" t="n">
        <v>440.4445836216061</v>
      </c>
      <c r="DE39" s="3" t="n">
        <v>451.7446179321894</v>
      </c>
      <c r="DF39" s="3" t="n">
        <v>454.431608725362</v>
      </c>
      <c r="DG39" s="3" t="n">
        <v>462.168951840351</v>
      </c>
      <c r="DH39" s="3" t="n">
        <v>466.9437712802242</v>
      </c>
      <c r="DI39" s="3" t="n">
        <v>473.5595349282738</v>
      </c>
      <c r="DJ39" s="3" t="n">
        <v>479.5064250321457</v>
      </c>
      <c r="DK39" s="3" t="n">
        <v>486.6560720461907</v>
      </c>
      <c r="DL39" s="3" t="n">
        <v>492.9430453771273</v>
      </c>
      <c r="DM39" s="3" t="n">
        <v>500.0742481041274</v>
      </c>
      <c r="DN39" s="3" t="n">
        <v>506.3820352706787</v>
      </c>
      <c r="DO39" s="3" t="n">
        <v>513.4526446539764</v>
      </c>
    </row>
    <row r="40">
      <c r="A40" s="19" t="inlineStr">
        <is>
          <t>mit.ghg.enr.tot</t>
        </is>
      </c>
      <c r="B40" s="3" t="inlineStr">
        <is>
          <t>mit</t>
        </is>
      </c>
      <c r="C40" s="19" t="inlineStr">
        <is>
          <t>mit.ghg.enr.tot</t>
        </is>
      </c>
      <c r="H40" s="3" t="inlineStr">
        <is>
          <t>GHG emissions | Energy | All fuels</t>
        </is>
      </c>
      <c r="I40" s="3" t="inlineStr">
        <is>
          <t>Mt CO2e</t>
        </is>
      </c>
      <c r="K40" s="20" t="inlineStr">
        <is>
          <t>egy.mit.ghg.enr.tot.1</t>
        </is>
      </c>
      <c r="L40" s="3" t="n">
        <v>213.9344484914808</v>
      </c>
      <c r="M40" s="3" t="n">
        <v>209.8775647124818</v>
      </c>
      <c r="N40" s="3" t="n">
        <v>245.8886052351959</v>
      </c>
      <c r="O40" s="3" t="n">
        <v>261.0038413048077</v>
      </c>
      <c r="P40" s="3" t="n">
        <v>267.9380519194962</v>
      </c>
      <c r="Q40" s="3" t="n">
        <v>274.9553410271224</v>
      </c>
      <c r="R40" s="3" t="n">
        <v>283.0688541193112</v>
      </c>
      <c r="S40" s="3" t="n">
        <v>291.1257135823865</v>
      </c>
      <c r="T40" s="3" t="n">
        <v>297.6935145251741</v>
      </c>
      <c r="U40" s="3" t="n">
        <v>301.0433417918341</v>
      </c>
      <c r="V40" s="3" t="n">
        <v>304.0127351743987</v>
      </c>
      <c r="W40" s="3" t="n">
        <v>309.9702084064203</v>
      </c>
      <c r="X40" s="3" t="n">
        <v>315.354197564464</v>
      </c>
      <c r="Y40" s="3" t="n">
        <v>321.2481609871901</v>
      </c>
      <c r="Z40" s="3" t="n">
        <v>327.1943606033427</v>
      </c>
      <c r="AA40" s="3" t="n">
        <v>333.2479634747292</v>
      </c>
      <c r="AB40" s="3" t="n">
        <v>339.3935067295102</v>
      </c>
      <c r="AC40" s="3" t="n">
        <v>345.6325301723903</v>
      </c>
      <c r="AD40" s="3" t="n">
        <v>351.9756086942856</v>
      </c>
      <c r="AE40" s="3" t="n">
        <v>358.4255199071504</v>
      </c>
      <c r="AG40" s="20" t="inlineStr">
        <is>
          <t>egy.mit.ghg.enr.tot.3</t>
        </is>
      </c>
      <c r="AH40" s="3" t="n">
        <v>213.9344484914808</v>
      </c>
      <c r="AI40" s="3" t="n">
        <v>209.8237914021461</v>
      </c>
      <c r="AJ40" s="3" t="n">
        <v>245.8367741791266</v>
      </c>
      <c r="AK40" s="3" t="n">
        <v>260.9539098418718</v>
      </c>
      <c r="AL40" s="3" t="n">
        <v>267.8881037871713</v>
      </c>
      <c r="AM40" s="3" t="n">
        <v>251.6498938474348</v>
      </c>
      <c r="AN40" s="3" t="n">
        <v>248.904499663403</v>
      </c>
      <c r="AO40" s="3" t="n">
        <v>258.3437449828404</v>
      </c>
      <c r="AP40" s="3" t="n">
        <v>263.0745965038229</v>
      </c>
      <c r="AQ40" s="3" t="n">
        <v>267.2465221967668</v>
      </c>
      <c r="AR40" s="3" t="n">
        <v>269.6361761006812</v>
      </c>
      <c r="AS40" s="3" t="n">
        <v>275.6527992542797</v>
      </c>
      <c r="AT40" s="3" t="n">
        <v>280.3336095512961</v>
      </c>
      <c r="AU40" s="3" t="n">
        <v>285.8598634002955</v>
      </c>
      <c r="AV40" s="3" t="n">
        <v>291.4678261165421</v>
      </c>
      <c r="AW40" s="3" t="n">
        <v>297.2931078757471</v>
      </c>
      <c r="AX40" s="3" t="n">
        <v>303.0572133133974</v>
      </c>
      <c r="AY40" s="3" t="n">
        <v>308.8533720149169</v>
      </c>
      <c r="AZ40" s="3" t="n">
        <v>314.5599232987408</v>
      </c>
      <c r="BA40" s="3" t="n">
        <v>320.3240860616113</v>
      </c>
      <c r="BC40" s="20" t="inlineStr">
        <is>
          <t>egy.mit.ghg.enr.tot.4</t>
        </is>
      </c>
      <c r="BD40" s="3" t="n">
        <v>213.9344484914808</v>
      </c>
      <c r="BE40" s="3" t="n">
        <v>209.6914080968162</v>
      </c>
      <c r="BF40" s="3" t="n">
        <v>245.7091805814817</v>
      </c>
      <c r="BG40" s="3" t="n">
        <v>260.8310004320366</v>
      </c>
      <c r="BH40" s="3" t="n">
        <v>267.76539807213</v>
      </c>
      <c r="BI40" s="3" t="n">
        <v>259.7444745222663</v>
      </c>
      <c r="BJ40" s="3" t="n">
        <v>246.2952150064873</v>
      </c>
      <c r="BK40" s="3" t="n">
        <v>232.290809424998</v>
      </c>
      <c r="BL40" s="3" t="n">
        <v>223.0807089704733</v>
      </c>
      <c r="BM40" s="3" t="n">
        <v>217.9575208231914</v>
      </c>
      <c r="BN40" s="3" t="n">
        <v>209.9780398342164</v>
      </c>
      <c r="BO40" s="3" t="n">
        <v>205.7913660803955</v>
      </c>
      <c r="BP40" s="3" t="n">
        <v>199.8691779520264</v>
      </c>
      <c r="BQ40" s="3" t="n">
        <v>196.1134677850504</v>
      </c>
      <c r="BR40" s="3" t="n">
        <v>191.4107650317129</v>
      </c>
      <c r="BS40" s="3" t="n">
        <v>188.3849141188499</v>
      </c>
      <c r="BT40" s="3" t="n">
        <v>184.2808848862158</v>
      </c>
      <c r="BU40" s="3" t="n">
        <v>181.9675003245148</v>
      </c>
      <c r="BV40" s="3" t="n">
        <v>177.9805993706477</v>
      </c>
      <c r="BW40" s="3" t="n">
        <v>176.4964881803151</v>
      </c>
      <c r="BY40" s="20" t="inlineStr">
        <is>
          <t>egy.mit.ghg.enr.tot.5</t>
        </is>
      </c>
      <c r="BZ40" s="3" t="n">
        <v>213.9344484914808</v>
      </c>
      <c r="CA40" s="3" t="n">
        <v>209.561732023487</v>
      </c>
      <c r="CB40" s="3" t="n">
        <v>245.5840373086295</v>
      </c>
      <c r="CC40" s="3" t="n">
        <v>260.7102946750859</v>
      </c>
      <c r="CD40" s="3" t="n">
        <v>267.6445543969681</v>
      </c>
      <c r="CE40" s="3" t="n">
        <v>248.0923111874587</v>
      </c>
      <c r="CF40" s="3" t="n">
        <v>254.9775860231416</v>
      </c>
      <c r="CG40" s="3" t="n">
        <v>261.9590040603259</v>
      </c>
      <c r="CH40" s="3" t="n">
        <v>267.1478847461169</v>
      </c>
      <c r="CI40" s="3" t="n">
        <v>268.3568939086055</v>
      </c>
      <c r="CJ40" s="3" t="n">
        <v>267.8709433270737</v>
      </c>
      <c r="CK40" s="3" t="n">
        <v>271.699645067337</v>
      </c>
      <c r="CL40" s="3" t="n">
        <v>271.1237661396091</v>
      </c>
      <c r="CM40" s="3" t="n">
        <v>271.8441483372325</v>
      </c>
      <c r="CN40" s="3" t="n">
        <v>273.0717946871345</v>
      </c>
      <c r="CO40" s="3" t="n">
        <v>273.7416266799565</v>
      </c>
      <c r="CP40" s="3" t="n">
        <v>274.92486671007</v>
      </c>
      <c r="CQ40" s="3" t="n">
        <v>276.3420551286798</v>
      </c>
      <c r="CR40" s="3" t="n">
        <v>277.5562559231349</v>
      </c>
      <c r="CS40" s="3" t="n">
        <v>279.2174983954484</v>
      </c>
      <c r="CU40" s="20" t="inlineStr">
        <is>
          <t>egy.mit.ghg.enr.tot.6</t>
        </is>
      </c>
      <c r="CV40" s="3" t="n">
        <v>213.9344484914808</v>
      </c>
      <c r="CW40" s="3" t="n">
        <v>209.7492916241716</v>
      </c>
      <c r="CX40" s="3" t="n">
        <v>245.7649684929695</v>
      </c>
      <c r="CY40" s="3" t="n">
        <v>260.8847389473783</v>
      </c>
      <c r="CZ40" s="3" t="n">
        <v>267.8190061115748</v>
      </c>
      <c r="DA40" s="3" t="n">
        <v>229.074106976978</v>
      </c>
      <c r="DB40" s="3" t="n">
        <v>214.3063321981486</v>
      </c>
      <c r="DC40" s="3" t="n">
        <v>223.1075957153914</v>
      </c>
      <c r="DD40" s="3" t="n">
        <v>224.8527465851724</v>
      </c>
      <c r="DE40" s="3" t="n">
        <v>232.3985911468045</v>
      </c>
      <c r="DF40" s="3" t="n">
        <v>231.3908814385922</v>
      </c>
      <c r="DG40" s="3" t="n">
        <v>235.2729675757101</v>
      </c>
      <c r="DH40" s="3" t="n">
        <v>236.1030496839751</v>
      </c>
      <c r="DI40" s="3" t="n">
        <v>238.762849015546</v>
      </c>
      <c r="DJ40" s="3" t="n">
        <v>240.6945939026809</v>
      </c>
      <c r="DK40" s="3" t="n">
        <v>243.7292850915204</v>
      </c>
      <c r="DL40" s="3" t="n">
        <v>245.9305431463235</v>
      </c>
      <c r="DM40" s="3" t="n">
        <v>248.9773680169483</v>
      </c>
      <c r="DN40" s="3" t="n">
        <v>251.2589394566527</v>
      </c>
      <c r="DO40" s="3" t="n">
        <v>254.3188288467566</v>
      </c>
    </row>
    <row r="41">
      <c r="A41" s="19" t="inlineStr">
        <is>
          <t>mit.ghg.ipr.tot</t>
        </is>
      </c>
      <c r="B41" s="3" t="inlineStr">
        <is>
          <t>mit</t>
        </is>
      </c>
      <c r="C41" s="19" t="inlineStr">
        <is>
          <t>mit.ghg.ipr.tot</t>
        </is>
      </c>
      <c r="H41" s="3" t="inlineStr">
        <is>
          <t>GHG emissions | Industrial processes | All fuels</t>
        </is>
      </c>
      <c r="I41" s="3" t="inlineStr">
        <is>
          <t>Mt CO2e</t>
        </is>
      </c>
      <c r="K41" s="20" t="inlineStr">
        <is>
          <t>egy.mit.ghg.ipr.tot.1</t>
        </is>
      </c>
      <c r="L41" s="3" t="n">
        <v>52.2003497604766</v>
      </c>
      <c r="M41" s="3" t="n">
        <v>56.90343113080427</v>
      </c>
      <c r="N41" s="3" t="n">
        <v>57.17248983660097</v>
      </c>
      <c r="O41" s="3" t="n">
        <v>59.29741046954552</v>
      </c>
      <c r="P41" s="3" t="n">
        <v>60.72833931964806</v>
      </c>
      <c r="Q41" s="3" t="n">
        <v>62.65060369650476</v>
      </c>
      <c r="R41" s="3" t="n">
        <v>65.02535601678559</v>
      </c>
      <c r="S41" s="3" t="n">
        <v>67.32223520333773</v>
      </c>
      <c r="T41" s="3" t="n">
        <v>69.49348943207627</v>
      </c>
      <c r="U41" s="3" t="n">
        <v>71.69679920987517</v>
      </c>
      <c r="V41" s="3" t="n">
        <v>73.90857207163191</v>
      </c>
      <c r="W41" s="3" t="n">
        <v>76.15941511125433</v>
      </c>
      <c r="X41" s="3" t="n">
        <v>78.44908463148123</v>
      </c>
      <c r="Y41" s="3" t="n">
        <v>80.77731163432513</v>
      </c>
      <c r="Z41" s="3" t="n">
        <v>83.14380129317837</v>
      </c>
      <c r="AA41" s="3" t="n">
        <v>85.54823234381588</v>
      </c>
      <c r="AB41" s="3" t="n">
        <v>87.99025639104637</v>
      </c>
      <c r="AC41" s="3" t="n">
        <v>90.46949712789801</v>
      </c>
      <c r="AD41" s="3" t="n">
        <v>92.98554946434572</v>
      </c>
      <c r="AE41" s="3" t="n">
        <v>95.53797856270826</v>
      </c>
      <c r="AG41" s="20" t="inlineStr">
        <is>
          <t>egy.mit.ghg.ipr.tot.3</t>
        </is>
      </c>
      <c r="AH41" s="3" t="n">
        <v>52.2003497604766</v>
      </c>
      <c r="AI41" s="3" t="n">
        <v>56.90343113080427</v>
      </c>
      <c r="AJ41" s="3" t="n">
        <v>57.17248983660097</v>
      </c>
      <c r="AK41" s="3" t="n">
        <v>59.29741046954552</v>
      </c>
      <c r="AL41" s="3" t="n">
        <v>60.72833931964806</v>
      </c>
      <c r="AM41" s="3" t="n">
        <v>52.59703881667522</v>
      </c>
      <c r="AN41" s="3" t="n">
        <v>54.59273115363158</v>
      </c>
      <c r="AO41" s="3" t="n">
        <v>56.54728454022266</v>
      </c>
      <c r="AP41" s="3" t="n">
        <v>58.31381626055634</v>
      </c>
      <c r="AQ41" s="3" t="n">
        <v>60.17342553571166</v>
      </c>
      <c r="AR41" s="3" t="n">
        <v>62.01097963539859</v>
      </c>
      <c r="AS41" s="3" t="n">
        <v>63.9383660895002</v>
      </c>
      <c r="AT41" s="3" t="n">
        <v>65.92798117979838</v>
      </c>
      <c r="AU41" s="3" t="n">
        <v>67.93903971675162</v>
      </c>
      <c r="AV41" s="3" t="n">
        <v>69.99687796014462</v>
      </c>
      <c r="AW41" s="3" t="n">
        <v>72.11889963166236</v>
      </c>
      <c r="AX41" s="3" t="n">
        <v>74.24812350180545</v>
      </c>
      <c r="AY41" s="3" t="n">
        <v>76.39594818155949</v>
      </c>
      <c r="AZ41" s="3" t="n">
        <v>78.54037217207753</v>
      </c>
      <c r="BA41" s="3" t="n">
        <v>80.70569613252785</v>
      </c>
      <c r="BC41" s="20" t="inlineStr">
        <is>
          <t>egy.mit.ghg.ipr.tot.4</t>
        </is>
      </c>
      <c r="BD41" s="3" t="n">
        <v>52.2003497604766</v>
      </c>
      <c r="BE41" s="3" t="n">
        <v>56.90343113080427</v>
      </c>
      <c r="BF41" s="3" t="n">
        <v>57.17248983660097</v>
      </c>
      <c r="BG41" s="3" t="n">
        <v>59.29741046954552</v>
      </c>
      <c r="BH41" s="3" t="n">
        <v>60.72833931964806</v>
      </c>
      <c r="BI41" s="3" t="n">
        <v>56.25170076286556</v>
      </c>
      <c r="BJ41" s="3" t="n">
        <v>51.64246796096472</v>
      </c>
      <c r="BK41" s="3" t="n">
        <v>48.13723926958481</v>
      </c>
      <c r="BL41" s="3" t="n">
        <v>45.29722578294214</v>
      </c>
      <c r="BM41" s="3" t="n">
        <v>43.50486297327881</v>
      </c>
      <c r="BN41" s="3" t="n">
        <v>42.00911776796983</v>
      </c>
      <c r="BO41" s="3" t="n">
        <v>40.77773637950877</v>
      </c>
      <c r="BP41" s="3" t="n">
        <v>39.77051335435305</v>
      </c>
      <c r="BQ41" s="3" t="n">
        <v>38.94024988075334</v>
      </c>
      <c r="BR41" s="3" t="n">
        <v>38.25689478861451</v>
      </c>
      <c r="BS41" s="3" t="n">
        <v>37.70392332616257</v>
      </c>
      <c r="BT41" s="3" t="n">
        <v>37.25410123614866</v>
      </c>
      <c r="BU41" s="3" t="n">
        <v>36.88767407342818</v>
      </c>
      <c r="BV41" s="3" t="n">
        <v>36.58087878290481</v>
      </c>
      <c r="BW41" s="3" t="n">
        <v>36.32230887685634</v>
      </c>
      <c r="BY41" s="20" t="inlineStr">
        <is>
          <t>egy.mit.ghg.ipr.tot.5</t>
        </is>
      </c>
      <c r="BZ41" s="3" t="n">
        <v>52.2003497604766</v>
      </c>
      <c r="CA41" s="3" t="n">
        <v>56.90343113080427</v>
      </c>
      <c r="CB41" s="3" t="n">
        <v>57.17248983660097</v>
      </c>
      <c r="CC41" s="3" t="n">
        <v>59.29741046954552</v>
      </c>
      <c r="CD41" s="3" t="n">
        <v>60.72833931964806</v>
      </c>
      <c r="CE41" s="3" t="n">
        <v>51.67387273031335</v>
      </c>
      <c r="CF41" s="3" t="n">
        <v>53.27809477945865</v>
      </c>
      <c r="CG41" s="3" t="n">
        <v>54.85131613948717</v>
      </c>
      <c r="CH41" s="3" t="n">
        <v>56.26057053571675</v>
      </c>
      <c r="CI41" s="3" t="n">
        <v>57.78180662314779</v>
      </c>
      <c r="CJ41" s="3" t="n">
        <v>59.27840560589659</v>
      </c>
      <c r="CK41" s="3" t="n">
        <v>60.86931185633905</v>
      </c>
      <c r="CL41" s="3" t="n">
        <v>62.5016399562524</v>
      </c>
      <c r="CM41" s="3" t="n">
        <v>64.16011507188102</v>
      </c>
      <c r="CN41" s="3" t="n">
        <v>65.98355552389563</v>
      </c>
      <c r="CO41" s="3" t="n">
        <v>67.85523936235171</v>
      </c>
      <c r="CP41" s="3" t="n">
        <v>69.73137219443196</v>
      </c>
      <c r="CQ41" s="3" t="n">
        <v>71.62984461145805</v>
      </c>
      <c r="CR41" s="3" t="n">
        <v>73.52768809804807</v>
      </c>
      <c r="CS41" s="3" t="n">
        <v>75.45393492589031</v>
      </c>
      <c r="CU41" s="20" t="inlineStr">
        <is>
          <t>egy.mit.ghg.ipr.tot.6</t>
        </is>
      </c>
      <c r="CV41" s="3" t="n">
        <v>52.2003497604766</v>
      </c>
      <c r="CW41" s="3" t="n">
        <v>56.90343113080427</v>
      </c>
      <c r="CX41" s="3" t="n">
        <v>57.17248983660097</v>
      </c>
      <c r="CY41" s="3" t="n">
        <v>59.29741046954552</v>
      </c>
      <c r="CZ41" s="3" t="n">
        <v>60.72833931964806</v>
      </c>
      <c r="DA41" s="3" t="n">
        <v>42.87827662200957</v>
      </c>
      <c r="DB41" s="3" t="n">
        <v>44.50858618606409</v>
      </c>
      <c r="DC41" s="3" t="n">
        <v>46.1282015602969</v>
      </c>
      <c r="DD41" s="3" t="n">
        <v>47.51556825820435</v>
      </c>
      <c r="DE41" s="3" t="n">
        <v>49.04730712811919</v>
      </c>
      <c r="DF41" s="3" t="n">
        <v>50.52449610861326</v>
      </c>
      <c r="DG41" s="3" t="n">
        <v>52.13540182719064</v>
      </c>
      <c r="DH41" s="3" t="n">
        <v>53.81712944982903</v>
      </c>
      <c r="DI41" s="3" t="n">
        <v>55.50889626844381</v>
      </c>
      <c r="DJ41" s="3" t="n">
        <v>57.25157650135569</v>
      </c>
      <c r="DK41" s="3" t="n">
        <v>59.07697141980697</v>
      </c>
      <c r="DL41" s="3" t="n">
        <v>60.88401176534304</v>
      </c>
      <c r="DM41" s="3" t="n">
        <v>62.69755409020738</v>
      </c>
      <c r="DN41" s="3" t="n">
        <v>64.4766572578725</v>
      </c>
      <c r="DO41" s="3" t="n">
        <v>66.26613793251879</v>
      </c>
    </row>
    <row r="42">
      <c r="A42" s="19" t="inlineStr">
        <is>
          <t>mit.ghg.agr.tot</t>
        </is>
      </c>
      <c r="B42" s="3" t="inlineStr">
        <is>
          <t>mit</t>
        </is>
      </c>
      <c r="C42" s="19" t="inlineStr">
        <is>
          <t>mit.ghg.agr.tot</t>
        </is>
      </c>
      <c r="H42" s="3" t="inlineStr">
        <is>
          <t>GHG emissions | Agriculture | All fuels</t>
        </is>
      </c>
      <c r="I42" s="3" t="inlineStr">
        <is>
          <t>Mt CO2e</t>
        </is>
      </c>
      <c r="K42" s="20" t="inlineStr">
        <is>
          <t>egy.mit.ghg.agr.tot.1</t>
        </is>
      </c>
      <c r="L42" s="3" t="n">
        <v>41.5633095111876</v>
      </c>
      <c r="M42" s="3" t="n">
        <v>43.50463540504941</v>
      </c>
      <c r="N42" s="3" t="n">
        <v>42.31163223945402</v>
      </c>
      <c r="O42" s="3" t="n">
        <v>43.72375027205915</v>
      </c>
      <c r="P42" s="3" t="n">
        <v>44.39279714178178</v>
      </c>
      <c r="Q42" s="3" t="n">
        <v>45.10653373371767</v>
      </c>
      <c r="R42" s="3" t="n">
        <v>45.87510742675149</v>
      </c>
      <c r="S42" s="3" t="n">
        <v>46.63048059270319</v>
      </c>
      <c r="T42" s="3" t="n">
        <v>47.36594383143012</v>
      </c>
      <c r="U42" s="3" t="n">
        <v>48.1045078527049</v>
      </c>
      <c r="V42" s="3" t="n">
        <v>48.84697846108632</v>
      </c>
      <c r="W42" s="3" t="n">
        <v>49.59264069815327</v>
      </c>
      <c r="X42" s="3" t="n">
        <v>50.34251729395204</v>
      </c>
      <c r="Y42" s="3" t="n">
        <v>51.09522194366213</v>
      </c>
      <c r="Z42" s="3" t="n">
        <v>51.85051184855654</v>
      </c>
      <c r="AA42" s="3" t="n">
        <v>52.6090443066218</v>
      </c>
      <c r="AB42" s="3" t="n">
        <v>53.3685361565505</v>
      </c>
      <c r="AC42" s="3" t="n">
        <v>54.12847056591616</v>
      </c>
      <c r="AD42" s="3" t="n">
        <v>54.88664250059276</v>
      </c>
      <c r="AE42" s="3" t="n">
        <v>55.64052278180628</v>
      </c>
      <c r="AG42" s="20" t="inlineStr">
        <is>
          <t>egy.mit.ghg.agr.tot.3</t>
        </is>
      </c>
      <c r="AH42" s="3" t="n">
        <v>41.5633095111876</v>
      </c>
      <c r="AI42" s="3" t="n">
        <v>43.50463540504941</v>
      </c>
      <c r="AJ42" s="3" t="n">
        <v>42.31163223945402</v>
      </c>
      <c r="AK42" s="3" t="n">
        <v>43.72375027205915</v>
      </c>
      <c r="AL42" s="3" t="n">
        <v>44.39279714178178</v>
      </c>
      <c r="AM42" s="3" t="n">
        <v>45.10653413430056</v>
      </c>
      <c r="AN42" s="3" t="n">
        <v>45.87510651830242</v>
      </c>
      <c r="AO42" s="3" t="n">
        <v>46.63462157366376</v>
      </c>
      <c r="AP42" s="3" t="n">
        <v>47.36059776779693</v>
      </c>
      <c r="AQ42" s="3" t="n">
        <v>48.10075595706405</v>
      </c>
      <c r="AR42" s="3" t="n">
        <v>48.83922596411101</v>
      </c>
      <c r="AS42" s="3" t="n">
        <v>49.59002575415494</v>
      </c>
      <c r="AT42" s="3" t="n">
        <v>50.34946322709118</v>
      </c>
      <c r="AU42" s="3" t="n">
        <v>51.10969776108277</v>
      </c>
      <c r="AV42" s="3" t="n">
        <v>51.87445835575382</v>
      </c>
      <c r="AW42" s="3" t="n">
        <v>52.64694696629004</v>
      </c>
      <c r="AX42" s="3" t="n">
        <v>53.41633470790568</v>
      </c>
      <c r="AY42" s="3" t="n">
        <v>54.18398620077242</v>
      </c>
      <c r="AZ42" s="3" t="n">
        <v>54.94470129794446</v>
      </c>
      <c r="BA42" s="3" t="n">
        <v>55.69964547893179</v>
      </c>
      <c r="BC42" s="20" t="inlineStr">
        <is>
          <t>egy.mit.ghg.agr.tot.4</t>
        </is>
      </c>
      <c r="BD42" s="3" t="n">
        <v>41.5633095111876</v>
      </c>
      <c r="BE42" s="3" t="n">
        <v>43.50463540504941</v>
      </c>
      <c r="BF42" s="3" t="n">
        <v>42.31163223945402</v>
      </c>
      <c r="BG42" s="3" t="n">
        <v>43.72375027205915</v>
      </c>
      <c r="BH42" s="3" t="n">
        <v>44.39279714178178</v>
      </c>
      <c r="BI42" s="3" t="n">
        <v>45.1065350065666</v>
      </c>
      <c r="BJ42" s="3" t="n">
        <v>45.87510452609225</v>
      </c>
      <c r="BK42" s="3" t="n">
        <v>46.63282921807836</v>
      </c>
      <c r="BL42" s="3" t="n">
        <v>47.36539745611522</v>
      </c>
      <c r="BM42" s="3" t="n">
        <v>48.10133443134589</v>
      </c>
      <c r="BN42" s="3" t="n">
        <v>48.83911450455817</v>
      </c>
      <c r="BO42" s="3" t="n">
        <v>49.58371603421859</v>
      </c>
      <c r="BP42" s="3" t="n">
        <v>50.33905071779919</v>
      </c>
      <c r="BQ42" s="3" t="n">
        <v>51.10172177020508</v>
      </c>
      <c r="BR42" s="3" t="n">
        <v>51.87134055744796</v>
      </c>
      <c r="BS42" s="3" t="n">
        <v>52.65035414108914</v>
      </c>
      <c r="BT42" s="3" t="n">
        <v>53.43396431759861</v>
      </c>
      <c r="BU42" s="3" t="n">
        <v>54.22001870862875</v>
      </c>
      <c r="BV42" s="3" t="n">
        <v>55.00251462656481</v>
      </c>
      <c r="BW42" s="3" t="n">
        <v>55.77800977334491</v>
      </c>
      <c r="BY42" s="20" t="inlineStr">
        <is>
          <t>egy.mit.ghg.agr.tot.5</t>
        </is>
      </c>
      <c r="BZ42" s="3" t="n">
        <v>41.5633095111876</v>
      </c>
      <c r="CA42" s="3" t="n">
        <v>43.50463540504941</v>
      </c>
      <c r="CB42" s="3" t="n">
        <v>42.31163223945402</v>
      </c>
      <c r="CC42" s="3" t="n">
        <v>43.72375027205915</v>
      </c>
      <c r="CD42" s="3" t="n">
        <v>44.39279714178178</v>
      </c>
      <c r="CE42" s="3" t="n">
        <v>45.10653585315973</v>
      </c>
      <c r="CF42" s="3" t="n">
        <v>45.87510217607274</v>
      </c>
      <c r="CG42" s="3" t="n">
        <v>46.63400288572794</v>
      </c>
      <c r="CH42" s="3" t="n">
        <v>47.36055769037134</v>
      </c>
      <c r="CI42" s="3" t="n">
        <v>48.10262751417041</v>
      </c>
      <c r="CJ42" s="3" t="n">
        <v>48.84063537686224</v>
      </c>
      <c r="CK42" s="3" t="n">
        <v>49.59210555517333</v>
      </c>
      <c r="CL42" s="3" t="n">
        <v>50.34832886011103</v>
      </c>
      <c r="CM42" s="3" t="n">
        <v>51.10603157467305</v>
      </c>
      <c r="CN42" s="3" t="n">
        <v>51.86817056722703</v>
      </c>
      <c r="CO42" s="3" t="n">
        <v>52.63691303477604</v>
      </c>
      <c r="CP42" s="3" t="n">
        <v>53.40285954452442</v>
      </c>
      <c r="CQ42" s="3" t="n">
        <v>54.16846216355514</v>
      </c>
      <c r="CR42" s="3" t="n">
        <v>54.92821900528155</v>
      </c>
      <c r="CS42" s="3" t="n">
        <v>55.68418318820022</v>
      </c>
      <c r="CU42" s="20" t="inlineStr">
        <is>
          <t>egy.mit.ghg.agr.tot.6</t>
        </is>
      </c>
      <c r="CV42" s="3" t="n">
        <v>41.5633095111876</v>
      </c>
      <c r="CW42" s="3" t="n">
        <v>43.50463540504941</v>
      </c>
      <c r="CX42" s="3" t="n">
        <v>42.31163223945402</v>
      </c>
      <c r="CY42" s="3" t="n">
        <v>43.72375027205915</v>
      </c>
      <c r="CZ42" s="3" t="n">
        <v>44.39279714178178</v>
      </c>
      <c r="DA42" s="3" t="n">
        <v>45.10653464388974</v>
      </c>
      <c r="DB42" s="3" t="n">
        <v>45.87510535535578</v>
      </c>
      <c r="DC42" s="3" t="n">
        <v>46.63934421839376</v>
      </c>
      <c r="DD42" s="3" t="n">
        <v>47.35416889463441</v>
      </c>
      <c r="DE42" s="3" t="n">
        <v>48.09710181784872</v>
      </c>
      <c r="DF42" s="3" t="n">
        <v>48.83030659369224</v>
      </c>
      <c r="DG42" s="3" t="n">
        <v>49.58764487850269</v>
      </c>
      <c r="DH42" s="3" t="n">
        <v>50.35715498978221</v>
      </c>
      <c r="DI42" s="3" t="n">
        <v>51.1256828300771</v>
      </c>
      <c r="DJ42" s="3" t="n">
        <v>51.90075191439684</v>
      </c>
      <c r="DK42" s="3" t="n">
        <v>52.6886307378544</v>
      </c>
      <c r="DL42" s="3" t="n">
        <v>53.4685472635112</v>
      </c>
      <c r="DM42" s="3" t="n">
        <v>54.24483002894411</v>
      </c>
      <c r="DN42" s="3" t="n">
        <v>55.00842023074065</v>
      </c>
      <c r="DO42" s="3" t="n">
        <v>55.76497421894251</v>
      </c>
    </row>
    <row r="43">
      <c r="A43" s="19" t="inlineStr">
        <is>
          <t>mit.ghg.wst.tot</t>
        </is>
      </c>
      <c r="B43" s="3" t="inlineStr">
        <is>
          <t>mit</t>
        </is>
      </c>
      <c r="C43" s="19" t="inlineStr">
        <is>
          <t>mit.ghg.wst.tot</t>
        </is>
      </c>
      <c r="H43" s="3" t="inlineStr">
        <is>
          <t>GHG emissions | Waste | All fuels</t>
        </is>
      </c>
      <c r="I43" s="3" t="inlineStr">
        <is>
          <t>Mt CO2e</t>
        </is>
      </c>
      <c r="K43" s="20" t="inlineStr">
        <is>
          <t>egy.mit.ghg.wst.tot.1</t>
        </is>
      </c>
      <c r="L43" s="3" t="n">
        <v>37.25460473538601</v>
      </c>
      <c r="M43" s="3" t="n">
        <v>37.93254573043534</v>
      </c>
      <c r="N43" s="3" t="n">
        <v>38.62511666357189</v>
      </c>
      <c r="O43" s="3" t="n">
        <v>40.62578022834987</v>
      </c>
      <c r="P43" s="3" t="n">
        <v>41.0265222428317</v>
      </c>
      <c r="Q43" s="3" t="n">
        <v>41.42645186683691</v>
      </c>
      <c r="R43" s="3" t="n">
        <v>41.82661355421073</v>
      </c>
      <c r="S43" s="3" t="n">
        <v>42.22339012884888</v>
      </c>
      <c r="T43" s="3" t="n">
        <v>42.61610648849061</v>
      </c>
      <c r="U43" s="3" t="n">
        <v>43.00645284982252</v>
      </c>
      <c r="V43" s="3" t="n">
        <v>43.39550916655725</v>
      </c>
      <c r="W43" s="3" t="n">
        <v>43.78254072745602</v>
      </c>
      <c r="X43" s="3" t="n">
        <v>44.16886629040036</v>
      </c>
      <c r="Y43" s="3" t="n">
        <v>44.55297372626111</v>
      </c>
      <c r="Z43" s="3" t="n">
        <v>44.93471164002646</v>
      </c>
      <c r="AA43" s="3" t="n">
        <v>45.3149683710421</v>
      </c>
      <c r="AB43" s="3" t="n">
        <v>45.69125644175791</v>
      </c>
      <c r="AC43" s="3" t="n">
        <v>46.06315457344488</v>
      </c>
      <c r="AD43" s="3" t="n">
        <v>46.42834966434653</v>
      </c>
      <c r="AE43" s="3" t="n">
        <v>46.78422253146676</v>
      </c>
      <c r="AG43" s="20" t="inlineStr">
        <is>
          <t>egy.mit.ghg.wst.tot.3</t>
        </is>
      </c>
      <c r="AH43" s="3" t="n">
        <v>37.25460473538601</v>
      </c>
      <c r="AI43" s="3" t="n">
        <v>37.93254573043534</v>
      </c>
      <c r="AJ43" s="3" t="n">
        <v>38.62511666357189</v>
      </c>
      <c r="AK43" s="3" t="n">
        <v>40.62578022834987</v>
      </c>
      <c r="AL43" s="3" t="n">
        <v>41.0265222428317</v>
      </c>
      <c r="AM43" s="3" t="n">
        <v>41.42645186683691</v>
      </c>
      <c r="AN43" s="3" t="n">
        <v>41.82661355421073</v>
      </c>
      <c r="AO43" s="3" t="n">
        <v>42.22339012884888</v>
      </c>
      <c r="AP43" s="3" t="n">
        <v>42.61610648849061</v>
      </c>
      <c r="AQ43" s="3" t="n">
        <v>43.00645284982252</v>
      </c>
      <c r="AR43" s="3" t="n">
        <v>43.39550916655725</v>
      </c>
      <c r="AS43" s="3" t="n">
        <v>43.78254072745602</v>
      </c>
      <c r="AT43" s="3" t="n">
        <v>44.16886629040036</v>
      </c>
      <c r="AU43" s="3" t="n">
        <v>44.55297372626111</v>
      </c>
      <c r="AV43" s="3" t="n">
        <v>44.93471164002646</v>
      </c>
      <c r="AW43" s="3" t="n">
        <v>45.3149683710421</v>
      </c>
      <c r="AX43" s="3" t="n">
        <v>45.69125644175791</v>
      </c>
      <c r="AY43" s="3" t="n">
        <v>46.06315457344488</v>
      </c>
      <c r="AZ43" s="3" t="n">
        <v>46.42834966434653</v>
      </c>
      <c r="BA43" s="3" t="n">
        <v>46.78422253146676</v>
      </c>
      <c r="BC43" s="20" t="inlineStr">
        <is>
          <t>egy.mit.ghg.wst.tot.4</t>
        </is>
      </c>
      <c r="BD43" s="3" t="n">
        <v>37.25460473538601</v>
      </c>
      <c r="BE43" s="3" t="n">
        <v>37.93254573043534</v>
      </c>
      <c r="BF43" s="3" t="n">
        <v>38.62511666357189</v>
      </c>
      <c r="BG43" s="3" t="n">
        <v>40.62578022834987</v>
      </c>
      <c r="BH43" s="3" t="n">
        <v>41.0265222428317</v>
      </c>
      <c r="BI43" s="3" t="n">
        <v>41.42645186683691</v>
      </c>
      <c r="BJ43" s="3" t="n">
        <v>41.82661355421073</v>
      </c>
      <c r="BK43" s="3" t="n">
        <v>42.22339012884888</v>
      </c>
      <c r="BL43" s="3" t="n">
        <v>42.61610648849061</v>
      </c>
      <c r="BM43" s="3" t="n">
        <v>43.00645284982252</v>
      </c>
      <c r="BN43" s="3" t="n">
        <v>43.39550916655725</v>
      </c>
      <c r="BO43" s="3" t="n">
        <v>43.78254072745602</v>
      </c>
      <c r="BP43" s="3" t="n">
        <v>44.16886629040036</v>
      </c>
      <c r="BQ43" s="3" t="n">
        <v>44.55297372626111</v>
      </c>
      <c r="BR43" s="3" t="n">
        <v>44.93471164002646</v>
      </c>
      <c r="BS43" s="3" t="n">
        <v>45.3149683710421</v>
      </c>
      <c r="BT43" s="3" t="n">
        <v>45.69125644175791</v>
      </c>
      <c r="BU43" s="3" t="n">
        <v>46.06315457344488</v>
      </c>
      <c r="BV43" s="3" t="n">
        <v>46.42834966434653</v>
      </c>
      <c r="BW43" s="3" t="n">
        <v>46.78422253146676</v>
      </c>
      <c r="BY43" s="20" t="inlineStr">
        <is>
          <t>egy.mit.ghg.wst.tot.5</t>
        </is>
      </c>
      <c r="BZ43" s="3" t="n">
        <v>37.25460473538601</v>
      </c>
      <c r="CA43" s="3" t="n">
        <v>37.93254573043534</v>
      </c>
      <c r="CB43" s="3" t="n">
        <v>38.62511666357189</v>
      </c>
      <c r="CC43" s="3" t="n">
        <v>40.62578022834987</v>
      </c>
      <c r="CD43" s="3" t="n">
        <v>41.0265222428317</v>
      </c>
      <c r="CE43" s="3" t="n">
        <v>41.42645186683691</v>
      </c>
      <c r="CF43" s="3" t="n">
        <v>41.82661355421073</v>
      </c>
      <c r="CG43" s="3" t="n">
        <v>42.22339012884888</v>
      </c>
      <c r="CH43" s="3" t="n">
        <v>42.61610648849061</v>
      </c>
      <c r="CI43" s="3" t="n">
        <v>43.00645284982252</v>
      </c>
      <c r="CJ43" s="3" t="n">
        <v>43.39550916655725</v>
      </c>
      <c r="CK43" s="3" t="n">
        <v>43.78254072745602</v>
      </c>
      <c r="CL43" s="3" t="n">
        <v>44.16886629040036</v>
      </c>
      <c r="CM43" s="3" t="n">
        <v>44.55297372626111</v>
      </c>
      <c r="CN43" s="3" t="n">
        <v>44.93471164002646</v>
      </c>
      <c r="CO43" s="3" t="n">
        <v>45.3149683710421</v>
      </c>
      <c r="CP43" s="3" t="n">
        <v>45.69125644175791</v>
      </c>
      <c r="CQ43" s="3" t="n">
        <v>46.06315457344488</v>
      </c>
      <c r="CR43" s="3" t="n">
        <v>46.42834966434653</v>
      </c>
      <c r="CS43" s="3" t="n">
        <v>46.78422253146676</v>
      </c>
      <c r="CU43" s="20" t="inlineStr">
        <is>
          <t>egy.mit.ghg.wst.tot.6</t>
        </is>
      </c>
      <c r="CV43" s="3" t="n">
        <v>37.25460473538601</v>
      </c>
      <c r="CW43" s="3" t="n">
        <v>37.93254573043534</v>
      </c>
      <c r="CX43" s="3" t="n">
        <v>38.62511666357189</v>
      </c>
      <c r="CY43" s="3" t="n">
        <v>40.62578022834987</v>
      </c>
      <c r="CZ43" s="3" t="n">
        <v>41.0265222428317</v>
      </c>
      <c r="DA43" s="3" t="n">
        <v>41.42645186683691</v>
      </c>
      <c r="DB43" s="3" t="n">
        <v>41.82661355421073</v>
      </c>
      <c r="DC43" s="3" t="n">
        <v>42.22339012884888</v>
      </c>
      <c r="DD43" s="3" t="n">
        <v>42.61610648849061</v>
      </c>
      <c r="DE43" s="3" t="n">
        <v>43.00645284982252</v>
      </c>
      <c r="DF43" s="3" t="n">
        <v>43.39550916655725</v>
      </c>
      <c r="DG43" s="3" t="n">
        <v>43.78254072745602</v>
      </c>
      <c r="DH43" s="3" t="n">
        <v>44.16886629040036</v>
      </c>
      <c r="DI43" s="3" t="n">
        <v>44.55297372626111</v>
      </c>
      <c r="DJ43" s="3" t="n">
        <v>44.93471164002646</v>
      </c>
      <c r="DK43" s="3" t="n">
        <v>45.3149683710421</v>
      </c>
      <c r="DL43" s="3" t="n">
        <v>45.69125644175791</v>
      </c>
      <c r="DM43" s="3" t="n">
        <v>46.06315457344488</v>
      </c>
      <c r="DN43" s="3" t="n">
        <v>46.42834966434653</v>
      </c>
      <c r="DO43" s="3" t="n">
        <v>46.78422253146676</v>
      </c>
    </row>
    <row r="44">
      <c r="A44" s="19" t="inlineStr">
        <is>
          <t>mit.ghg.lucf.tot</t>
        </is>
      </c>
      <c r="B44" s="3" t="inlineStr">
        <is>
          <t>mit</t>
        </is>
      </c>
      <c r="C44" s="19" t="inlineStr">
        <is>
          <t>mit.ghg.lucf.tot</t>
        </is>
      </c>
      <c r="H44" s="3" t="inlineStr">
        <is>
          <t>GHG emissions | LULUCF | All fuels</t>
        </is>
      </c>
      <c r="I44" s="3" t="inlineStr">
        <is>
          <t>Mt CO2e</t>
        </is>
      </c>
      <c r="K44" s="20" t="inlineStr">
        <is>
          <t>egy.mit.ghg.lucf.tot.1</t>
        </is>
      </c>
      <c r="L44" s="3" t="n">
        <v>0</v>
      </c>
      <c r="M44" s="3" t="n">
        <v>0</v>
      </c>
      <c r="N44" s="3" t="n">
        <v>0</v>
      </c>
      <c r="O44" s="3" t="n">
        <v>0</v>
      </c>
      <c r="P44" s="3" t="n">
        <v>0</v>
      </c>
      <c r="Q44" s="3" t="n">
        <v>0</v>
      </c>
      <c r="R44" s="3" t="n">
        <v>0</v>
      </c>
      <c r="S44" s="3" t="n">
        <v>0</v>
      </c>
      <c r="T44" s="3" t="n">
        <v>0</v>
      </c>
      <c r="U44" s="3" t="n">
        <v>0</v>
      </c>
      <c r="V44" s="3" t="n">
        <v>0</v>
      </c>
      <c r="W44" s="3" t="n">
        <v>0</v>
      </c>
      <c r="X44" s="3" t="n">
        <v>0</v>
      </c>
      <c r="Y44" s="3" t="n">
        <v>0</v>
      </c>
      <c r="Z44" s="3" t="n">
        <v>0</v>
      </c>
      <c r="AA44" s="3" t="n">
        <v>0</v>
      </c>
      <c r="AB44" s="3" t="n">
        <v>0</v>
      </c>
      <c r="AC44" s="3" t="n">
        <v>0</v>
      </c>
      <c r="AD44" s="3" t="n">
        <v>0</v>
      </c>
      <c r="AE44" s="3" t="n">
        <v>0</v>
      </c>
      <c r="AG44" s="20" t="inlineStr">
        <is>
          <t>egy.mit.ghg.lucf.tot.3</t>
        </is>
      </c>
      <c r="AH44" s="3" t="n">
        <v>0</v>
      </c>
      <c r="AI44" s="3" t="n">
        <v>0</v>
      </c>
      <c r="AJ44" s="3" t="n">
        <v>0</v>
      </c>
      <c r="AK44" s="3" t="n">
        <v>0</v>
      </c>
      <c r="AL44" s="3" t="n">
        <v>0</v>
      </c>
      <c r="AM44" s="3" t="n">
        <v>0</v>
      </c>
      <c r="AN44" s="3" t="n">
        <v>0</v>
      </c>
      <c r="AO44" s="3" t="n">
        <v>0</v>
      </c>
      <c r="AP44" s="3" t="n">
        <v>0</v>
      </c>
      <c r="AQ44" s="3" t="n">
        <v>0</v>
      </c>
      <c r="AR44" s="3" t="n">
        <v>0</v>
      </c>
      <c r="AS44" s="3" t="n">
        <v>0</v>
      </c>
      <c r="AT44" s="3" t="n">
        <v>0</v>
      </c>
      <c r="AU44" s="3" t="n">
        <v>0</v>
      </c>
      <c r="AV44" s="3" t="n">
        <v>0</v>
      </c>
      <c r="AW44" s="3" t="n">
        <v>0</v>
      </c>
      <c r="AX44" s="3" t="n">
        <v>0</v>
      </c>
      <c r="AY44" s="3" t="n">
        <v>0</v>
      </c>
      <c r="AZ44" s="3" t="n">
        <v>0</v>
      </c>
      <c r="BA44" s="3" t="n">
        <v>0</v>
      </c>
      <c r="BC44" s="20" t="inlineStr">
        <is>
          <t>egy.mit.ghg.lucf.tot.4</t>
        </is>
      </c>
      <c r="BD44" s="3" t="n">
        <v>0</v>
      </c>
      <c r="BE44" s="3" t="n">
        <v>0</v>
      </c>
      <c r="BF44" s="3" t="n">
        <v>0</v>
      </c>
      <c r="BG44" s="3" t="n">
        <v>0</v>
      </c>
      <c r="BH44" s="3" t="n">
        <v>0</v>
      </c>
      <c r="BI44" s="3" t="n">
        <v>0</v>
      </c>
      <c r="BJ44" s="3" t="n">
        <v>0</v>
      </c>
      <c r="BK44" s="3" t="n">
        <v>0</v>
      </c>
      <c r="BL44" s="3" t="n">
        <v>0</v>
      </c>
      <c r="BM44" s="3" t="n">
        <v>0</v>
      </c>
      <c r="BN44" s="3" t="n">
        <v>0</v>
      </c>
      <c r="BO44" s="3" t="n">
        <v>0</v>
      </c>
      <c r="BP44" s="3" t="n">
        <v>0</v>
      </c>
      <c r="BQ44" s="3" t="n">
        <v>0</v>
      </c>
      <c r="BR44" s="3" t="n">
        <v>0</v>
      </c>
      <c r="BS44" s="3" t="n">
        <v>0</v>
      </c>
      <c r="BT44" s="3" t="n">
        <v>0</v>
      </c>
      <c r="BU44" s="3" t="n">
        <v>0</v>
      </c>
      <c r="BV44" s="3" t="n">
        <v>0</v>
      </c>
      <c r="BW44" s="3" t="n">
        <v>0</v>
      </c>
      <c r="BY44" s="20" t="inlineStr">
        <is>
          <t>egy.mit.ghg.lucf.tot.5</t>
        </is>
      </c>
      <c r="BZ44" s="3" t="n">
        <v>0</v>
      </c>
      <c r="CA44" s="3" t="n">
        <v>0</v>
      </c>
      <c r="CB44" s="3" t="n">
        <v>0</v>
      </c>
      <c r="CC44" s="3" t="n">
        <v>0</v>
      </c>
      <c r="CD44" s="3" t="n">
        <v>0</v>
      </c>
      <c r="CE44" s="3" t="n">
        <v>0</v>
      </c>
      <c r="CF44" s="3" t="n">
        <v>0</v>
      </c>
      <c r="CG44" s="3" t="n">
        <v>0</v>
      </c>
      <c r="CH44" s="3" t="n">
        <v>0</v>
      </c>
      <c r="CI44" s="3" t="n">
        <v>0</v>
      </c>
      <c r="CJ44" s="3" t="n">
        <v>0</v>
      </c>
      <c r="CK44" s="3" t="n">
        <v>0</v>
      </c>
      <c r="CL44" s="3" t="n">
        <v>0</v>
      </c>
      <c r="CM44" s="3" t="n">
        <v>0</v>
      </c>
      <c r="CN44" s="3" t="n">
        <v>0</v>
      </c>
      <c r="CO44" s="3" t="n">
        <v>0</v>
      </c>
      <c r="CP44" s="3" t="n">
        <v>0</v>
      </c>
      <c r="CQ44" s="3" t="n">
        <v>0</v>
      </c>
      <c r="CR44" s="3" t="n">
        <v>0</v>
      </c>
      <c r="CS44" s="3" t="n">
        <v>0</v>
      </c>
      <c r="CU44" s="20" t="inlineStr">
        <is>
          <t>egy.mit.ghg.lucf.tot.6</t>
        </is>
      </c>
      <c r="CV44" s="3" t="n">
        <v>0</v>
      </c>
      <c r="CW44" s="3" t="n">
        <v>0</v>
      </c>
      <c r="CX44" s="3" t="n">
        <v>0</v>
      </c>
      <c r="CY44" s="3" t="n">
        <v>0</v>
      </c>
      <c r="CZ44" s="3" t="n">
        <v>0</v>
      </c>
      <c r="DA44" s="3" t="n">
        <v>0</v>
      </c>
      <c r="DB44" s="3" t="n">
        <v>0</v>
      </c>
      <c r="DC44" s="3" t="n">
        <v>0</v>
      </c>
      <c r="DD44" s="3" t="n">
        <v>0</v>
      </c>
      <c r="DE44" s="3" t="n">
        <v>0</v>
      </c>
      <c r="DF44" s="3" t="n">
        <v>0</v>
      </c>
      <c r="DG44" s="3" t="n">
        <v>0</v>
      </c>
      <c r="DH44" s="3" t="n">
        <v>0</v>
      </c>
      <c r="DI44" s="3" t="n">
        <v>0</v>
      </c>
      <c r="DJ44" s="3" t="n">
        <v>0</v>
      </c>
      <c r="DK44" s="3" t="n">
        <v>0</v>
      </c>
      <c r="DL44" s="3" t="n">
        <v>0</v>
      </c>
      <c r="DM44" s="3" t="n">
        <v>0</v>
      </c>
      <c r="DN44" s="3" t="n">
        <v>0</v>
      </c>
      <c r="DO44" s="3" t="n">
        <v>0</v>
      </c>
    </row>
    <row r="45">
      <c r="A45" s="19" t="inlineStr">
        <is>
          <t>mit.co2.tot</t>
        </is>
      </c>
      <c r="B45" s="3" t="inlineStr">
        <is>
          <t>mit</t>
        </is>
      </c>
      <c r="C45" s="19" t="inlineStr">
        <is>
          <t>mit.co2.tot</t>
        </is>
      </c>
      <c r="H45" s="3" t="inlineStr">
        <is>
          <t>GHG emissions | All sectors | CO2</t>
        </is>
      </c>
      <c r="I45" s="3" t="inlineStr">
        <is>
          <t>Mt CO2e</t>
        </is>
      </c>
      <c r="K45" s="20" t="inlineStr">
        <is>
          <t>egy.mit.co2.tot.1</t>
        </is>
      </c>
      <c r="L45" s="3" t="n">
        <v>307.7744698552387</v>
      </c>
      <c r="M45" s="3" t="n">
        <v>315.5942703992997</v>
      </c>
      <c r="N45" s="3" t="n">
        <v>359.0826250960843</v>
      </c>
      <c r="O45" s="3" t="n">
        <v>376.8207384595293</v>
      </c>
      <c r="P45" s="3" t="n">
        <v>385.8859568405804</v>
      </c>
      <c r="Q45" s="3" t="n">
        <v>395.4201400305878</v>
      </c>
      <c r="R45" s="3" t="n">
        <v>406.396957546393</v>
      </c>
      <c r="S45" s="3" t="n">
        <v>417.2617300976103</v>
      </c>
      <c r="T45" s="3" t="n">
        <v>426.5610417614236</v>
      </c>
      <c r="U45" s="3" t="n">
        <v>432.676563276142</v>
      </c>
      <c r="V45" s="3" t="n">
        <v>438.4332065192046</v>
      </c>
      <c r="W45" s="3" t="n">
        <v>447.1776762877973</v>
      </c>
      <c r="X45" s="3" t="n">
        <v>455.3932040715682</v>
      </c>
      <c r="Y45" s="3" t="n">
        <v>464.1469873463262</v>
      </c>
      <c r="Z45" s="3" t="n">
        <v>472.9863166198361</v>
      </c>
      <c r="AA45" s="3" t="n">
        <v>481.96751660847</v>
      </c>
      <c r="AB45" s="3" t="n">
        <v>491.0698497560532</v>
      </c>
      <c r="AC45" s="3" t="n">
        <v>500.2936670234915</v>
      </c>
      <c r="AD45" s="3" t="n">
        <v>509.6445209830067</v>
      </c>
      <c r="AE45" s="3" t="n">
        <v>519.1195529171174</v>
      </c>
      <c r="AG45" s="20" t="inlineStr">
        <is>
          <t>egy.mit.co2.tot.3</t>
        </is>
      </c>
      <c r="AH45" s="3" t="n">
        <v>307.7744698552387</v>
      </c>
      <c r="AI45" s="3" t="n">
        <v>315.5408460881478</v>
      </c>
      <c r="AJ45" s="3" t="n">
        <v>359.0311302165983</v>
      </c>
      <c r="AK45" s="3" t="n">
        <v>376.771105830884</v>
      </c>
      <c r="AL45" s="3" t="n">
        <v>385.8363012604393</v>
      </c>
      <c r="AM45" s="3" t="n">
        <v>364.7321983988289</v>
      </c>
      <c r="AN45" s="3" t="n">
        <v>364.6884484115939</v>
      </c>
      <c r="AO45" s="3" t="n">
        <v>376.6266994425404</v>
      </c>
      <c r="AP45" s="3" t="n">
        <v>383.7976251824641</v>
      </c>
      <c r="AQ45" s="3" t="n">
        <v>390.4627185128495</v>
      </c>
      <c r="AR45" s="3" t="n">
        <v>395.360136114651</v>
      </c>
      <c r="AS45" s="3" t="n">
        <v>403.9158109775715</v>
      </c>
      <c r="AT45" s="3" t="n">
        <v>411.2072656862031</v>
      </c>
      <c r="AU45" s="3" t="n">
        <v>419.3552701385607</v>
      </c>
      <c r="AV45" s="3" t="n">
        <v>427.624515337096</v>
      </c>
      <c r="AW45" s="3" t="n">
        <v>436.1645149813084</v>
      </c>
      <c r="AX45" s="3" t="n">
        <v>444.6508539003021</v>
      </c>
      <c r="AY45" s="3" t="n">
        <v>453.1835823687318</v>
      </c>
      <c r="AZ45" s="3" t="n">
        <v>461.6209080774352</v>
      </c>
      <c r="BA45" s="3" t="n">
        <v>470.121812330003</v>
      </c>
      <c r="BC45" s="20" t="inlineStr">
        <is>
          <t>egy.mit.co2.tot.4</t>
        </is>
      </c>
      <c r="BD45" s="3" t="n">
        <v>307.7744698552387</v>
      </c>
      <c r="BE45" s="3" t="n">
        <v>315.4093355280462</v>
      </c>
      <c r="BF45" s="3" t="n">
        <v>358.9043773523</v>
      </c>
      <c r="BG45" s="3" t="n">
        <v>376.6489447187593</v>
      </c>
      <c r="BH45" s="3" t="n">
        <v>385.7143250978013</v>
      </c>
      <c r="BI45" s="3" t="n">
        <v>375.5138392220715</v>
      </c>
      <c r="BJ45" s="3" t="n">
        <v>359.8498481508529</v>
      </c>
      <c r="BK45" s="3" t="n">
        <v>344.4468228183401</v>
      </c>
      <c r="BL45" s="3" t="n">
        <v>334.2863988128527</v>
      </c>
      <c r="BM45" s="3" t="n">
        <v>328.9705488381967</v>
      </c>
      <c r="BN45" s="3" t="n">
        <v>321.0682276786538</v>
      </c>
      <c r="BO45" s="3" t="n">
        <v>317.1204099465305</v>
      </c>
      <c r="BP45" s="3" t="n">
        <v>311.6365552781759</v>
      </c>
      <c r="BQ45" s="3" t="n">
        <v>308.4334415126736</v>
      </c>
      <c r="BR45" s="3" t="n">
        <v>304.4113638621699</v>
      </c>
      <c r="BS45" s="3" t="n">
        <v>302.152615233767</v>
      </c>
      <c r="BT45" s="3" t="n">
        <v>298.9087651811447</v>
      </c>
      <c r="BU45" s="3" t="n">
        <v>297.4985446355649</v>
      </c>
      <c r="BV45" s="3" t="n">
        <v>294.4759839627362</v>
      </c>
      <c r="BW45" s="3" t="n">
        <v>293.9538002843918</v>
      </c>
      <c r="BY45" s="20" t="inlineStr">
        <is>
          <t>egy.mit.co2.tot.5</t>
        </is>
      </c>
      <c r="BZ45" s="3" t="n">
        <v>307.7744698552387</v>
      </c>
      <c r="CA45" s="3" t="n">
        <v>315.2805043462614</v>
      </c>
      <c r="CB45" s="3" t="n">
        <v>358.7800490162922</v>
      </c>
      <c r="CC45" s="3" t="n">
        <v>376.5289653515939</v>
      </c>
      <c r="CD45" s="3" t="n">
        <v>385.5941937682381</v>
      </c>
      <c r="CE45" s="3" t="n">
        <v>360.5102814399374</v>
      </c>
      <c r="CF45" s="3" t="n">
        <v>369.6833343764915</v>
      </c>
      <c r="CG45" s="3" t="n">
        <v>378.9313128965068</v>
      </c>
      <c r="CH45" s="3" t="n">
        <v>386.2839790420938</v>
      </c>
      <c r="CI45" s="3" t="n">
        <v>389.7614848347308</v>
      </c>
      <c r="CJ45" s="3" t="n">
        <v>391.555448924851</v>
      </c>
      <c r="CK45" s="3" t="n">
        <v>397.690799943617</v>
      </c>
      <c r="CL45" s="3" t="n">
        <v>399.513379065654</v>
      </c>
      <c r="CM45" s="3" t="n">
        <v>402.6417075528514</v>
      </c>
      <c r="CN45" s="3" t="n">
        <v>406.402082747214</v>
      </c>
      <c r="CO45" s="3" t="n">
        <v>409.6550653018367</v>
      </c>
      <c r="CP45" s="3" t="n">
        <v>413.4200930070454</v>
      </c>
      <c r="CQ45" s="3" t="n">
        <v>417.4339810432689</v>
      </c>
      <c r="CR45" s="3" t="n">
        <v>421.2426490806521</v>
      </c>
      <c r="CS45" s="3" t="n">
        <v>425.5055919502411</v>
      </c>
      <c r="CU45" s="20" t="inlineStr">
        <is>
          <t>egy.mit.co2.tot.6</t>
        </is>
      </c>
      <c r="CV45" s="3" t="n">
        <v>307.7744698552387</v>
      </c>
      <c r="CW45" s="3" t="n">
        <v>315.4668351919295</v>
      </c>
      <c r="CX45" s="3" t="n">
        <v>358.9597954714184</v>
      </c>
      <c r="CY45" s="3" t="n">
        <v>376.7023539428952</v>
      </c>
      <c r="CZ45" s="3" t="n">
        <v>385.7676125965821</v>
      </c>
      <c r="DA45" s="3" t="n">
        <v>334.9964012699256</v>
      </c>
      <c r="DB45" s="3" t="n">
        <v>322.7926562238391</v>
      </c>
      <c r="DC45" s="3" t="n">
        <v>333.843616710962</v>
      </c>
      <c r="DD45" s="3" t="n">
        <v>337.7436285780122</v>
      </c>
      <c r="DE45" s="3" t="n">
        <v>347.4916751544787</v>
      </c>
      <c r="DF45" s="3" t="n">
        <v>348.7558672244317</v>
      </c>
      <c r="DG45" s="3" t="n">
        <v>354.9603134487509</v>
      </c>
      <c r="DH45" s="3" t="n">
        <v>358.2113173379857</v>
      </c>
      <c r="DI45" s="3" t="n">
        <v>363.2826580413574</v>
      </c>
      <c r="DJ45" s="3" t="n">
        <v>367.6783033271557</v>
      </c>
      <c r="DK45" s="3" t="n">
        <v>373.2342095859635</v>
      </c>
      <c r="DL45" s="3" t="n">
        <v>377.9535327696263</v>
      </c>
      <c r="DM45" s="3" t="n">
        <v>383.5137111365995</v>
      </c>
      <c r="DN45" s="3" t="n">
        <v>388.2867823776847</v>
      </c>
      <c r="DO45" s="3" t="n">
        <v>393.8274285696324</v>
      </c>
    </row>
    <row r="46">
      <c r="A46" s="19" t="inlineStr">
        <is>
          <t>mit.co2.tot.tot</t>
        </is>
      </c>
      <c r="B46" s="3" t="inlineStr">
        <is>
          <t>mit</t>
        </is>
      </c>
      <c r="C46" s="19" t="inlineStr">
        <is>
          <t>mit.co2.enr.tot</t>
        </is>
      </c>
      <c r="H46" s="3" t="inlineStr">
        <is>
          <t>CO2 emissions from fuel combustion | All sectors | All fuels</t>
        </is>
      </c>
      <c r="I46" s="3" t="inlineStr">
        <is>
          <t>MtCO2</t>
        </is>
      </c>
      <c r="K46" s="20" t="inlineStr">
        <is>
          <t>egy.mit.co2.tot.tot.1</t>
        </is>
      </c>
      <c r="L46" s="22" t="n">
        <v>211.0535364</v>
      </c>
      <c r="M46" s="22" t="n">
        <v>207.0410283029422</v>
      </c>
      <c r="N46" s="22" t="n">
        <v>242.7147431157638</v>
      </c>
      <c r="O46" s="22" t="n">
        <v>257.689977489835</v>
      </c>
      <c r="P46" s="22" t="n">
        <v>264.5777375367369</v>
      </c>
      <c r="Q46" s="22" t="n">
        <v>271.5523149205187</v>
      </c>
      <c r="R46" s="22" t="n">
        <v>279.6146335040884</v>
      </c>
      <c r="S46" s="22" t="n">
        <v>287.6221812453862</v>
      </c>
      <c r="T46" s="22" t="n">
        <v>294.1593592216437</v>
      </c>
      <c r="U46" s="22" t="n">
        <v>297.4840868457081</v>
      </c>
      <c r="V46" s="22" t="n">
        <v>300.4372037896155</v>
      </c>
      <c r="W46" s="22" t="n">
        <v>306.3435105308475</v>
      </c>
      <c r="X46" s="22" t="n">
        <v>311.6839321014054</v>
      </c>
      <c r="Y46" s="22" t="n">
        <v>317.528715938791</v>
      </c>
      <c r="Z46" s="22" t="n">
        <v>323.4256765889039</v>
      </c>
      <c r="AA46" s="22" t="n">
        <v>329.4296921501582</v>
      </c>
      <c r="AB46" s="22" t="n">
        <v>335.5250807034126</v>
      </c>
      <c r="AC46" s="22" t="n">
        <v>341.7133561710508</v>
      </c>
      <c r="AD46" s="22" t="n">
        <v>348.0049577939575</v>
      </c>
      <c r="AE46" s="22" t="n">
        <v>354.4026223242067</v>
      </c>
      <c r="AG46" s="20" t="inlineStr">
        <is>
          <t>egy.mit.co2.tot.tot.3</t>
        </is>
      </c>
      <c r="AH46" s="22" t="n">
        <v>211.0535364</v>
      </c>
      <c r="AI46" s="22" t="n">
        <v>206.9876039917904</v>
      </c>
      <c r="AJ46" s="22" t="n">
        <v>242.6632482362779</v>
      </c>
      <c r="AK46" s="22" t="n">
        <v>257.6403448611898</v>
      </c>
      <c r="AL46" s="22" t="n">
        <v>264.5280819565958</v>
      </c>
      <c r="AM46" s="22" t="n">
        <v>248.5089585322797</v>
      </c>
      <c r="AN46" s="22" t="n">
        <v>245.8389413846545</v>
      </c>
      <c r="AO46" s="22" t="n">
        <v>255.1801225359139</v>
      </c>
      <c r="AP46" s="22" t="n">
        <v>259.8969914220162</v>
      </c>
      <c r="AQ46" s="22" t="n">
        <v>264.0325802203643</v>
      </c>
      <c r="AR46" s="22" t="n">
        <v>266.4111628397339</v>
      </c>
      <c r="AS46" s="22" t="n">
        <v>272.3744460889114</v>
      </c>
      <c r="AT46" s="22" t="n">
        <v>277.0186146664238</v>
      </c>
      <c r="AU46" s="22" t="n">
        <v>282.4985234951865</v>
      </c>
      <c r="AV46" s="22" t="n">
        <v>288.0597579298014</v>
      </c>
      <c r="AW46" s="22" t="n">
        <v>293.8368165939305</v>
      </c>
      <c r="AX46" s="22" t="n">
        <v>299.5537054829613</v>
      </c>
      <c r="AY46" s="22" t="n">
        <v>305.3026181986414</v>
      </c>
      <c r="AZ46" s="22" t="n">
        <v>310.9631779607115</v>
      </c>
      <c r="BA46" s="22" t="n">
        <v>316.6810220491903</v>
      </c>
      <c r="BC46" s="20" t="inlineStr">
        <is>
          <t>egy.mit.co2.tot.tot.4</t>
        </is>
      </c>
      <c r="BD46" s="22" t="n">
        <v>211.0535364</v>
      </c>
      <c r="BE46" s="22" t="n">
        <v>206.8560934316888</v>
      </c>
      <c r="BF46" s="22" t="n">
        <v>242.5364953719796</v>
      </c>
      <c r="BG46" s="22" t="n">
        <v>257.518183749065</v>
      </c>
      <c r="BH46" s="22" t="n">
        <v>264.4061057939579</v>
      </c>
      <c r="BI46" s="22" t="n">
        <v>256.511647265009</v>
      </c>
      <c r="BJ46" s="22" t="n">
        <v>243.2436786341405</v>
      </c>
      <c r="BK46" s="22" t="n">
        <v>229.3951852380417</v>
      </c>
      <c r="BL46" s="22" t="n">
        <v>220.283224145941</v>
      </c>
      <c r="BM46" s="22" t="n">
        <v>215.2149240392841</v>
      </c>
      <c r="BN46" s="22" t="n">
        <v>207.3283846519539</v>
      </c>
      <c r="BO46" s="22" t="n">
        <v>203.1902748215666</v>
      </c>
      <c r="BP46" s="22" t="n">
        <v>197.3380314605178</v>
      </c>
      <c r="BQ46" s="22" t="n">
        <v>193.627236833236</v>
      </c>
      <c r="BR46" s="22" t="n">
        <v>188.9813407358086</v>
      </c>
      <c r="BS46" s="22" t="n">
        <v>185.9934460035681</v>
      </c>
      <c r="BT46" s="22" t="n">
        <v>181.9407095740375</v>
      </c>
      <c r="BU46" s="22" t="n">
        <v>179.6578176908038</v>
      </c>
      <c r="BV46" s="22" t="n">
        <v>175.72158349542</v>
      </c>
      <c r="BW46" s="22" t="n">
        <v>174.2586952575411</v>
      </c>
      <c r="BY46" s="20" t="inlineStr">
        <is>
          <t>egy.mit.co2.tot.tot.5</t>
        </is>
      </c>
      <c r="BZ46" s="22" t="n">
        <v>211.0535364</v>
      </c>
      <c r="CA46" s="22" t="n">
        <v>206.7272622499039</v>
      </c>
      <c r="CB46" s="22" t="n">
        <v>242.4121670359718</v>
      </c>
      <c r="CC46" s="22" t="n">
        <v>257.3982043818996</v>
      </c>
      <c r="CD46" s="22" t="n">
        <v>264.2859744643947</v>
      </c>
      <c r="CE46" s="22" t="n">
        <v>244.9890036472554</v>
      </c>
      <c r="CF46" s="22" t="n">
        <v>251.8334579767699</v>
      </c>
      <c r="CG46" s="22" t="n">
        <v>258.7743474283282</v>
      </c>
      <c r="CH46" s="22" t="n">
        <v>263.9446050223305</v>
      </c>
      <c r="CI46" s="22" t="n">
        <v>265.1498333392173</v>
      </c>
      <c r="CJ46" s="22" t="n">
        <v>264.6842358917359</v>
      </c>
      <c r="CK46" s="22" t="n">
        <v>268.4830262851629</v>
      </c>
      <c r="CL46" s="22" t="n">
        <v>267.9301083330643</v>
      </c>
      <c r="CM46" s="22" t="n">
        <v>268.6585300536962</v>
      </c>
      <c r="CN46" s="22" t="n">
        <v>269.8892202171522</v>
      </c>
      <c r="CO46" s="22" t="n">
        <v>270.5697483353708</v>
      </c>
      <c r="CP46" s="22" t="n">
        <v>271.7578957205109</v>
      </c>
      <c r="CQ46" s="22" t="n">
        <v>273.1776456982765</v>
      </c>
      <c r="CR46" s="22" t="n">
        <v>274.3970792541219</v>
      </c>
      <c r="CS46" s="22" t="n">
        <v>276.0587174083745</v>
      </c>
      <c r="CU46" s="20" t="inlineStr">
        <is>
          <t>egy.mit.co2.tot.tot.6</t>
        </is>
      </c>
      <c r="CV46" s="22" t="n">
        <v>211.0535364</v>
      </c>
      <c r="CW46" s="22" t="n">
        <v>206.913593095572</v>
      </c>
      <c r="CX46" s="22" t="n">
        <v>242.591913491098</v>
      </c>
      <c r="CY46" s="22" t="n">
        <v>257.5715929732009</v>
      </c>
      <c r="CZ46" s="22" t="n">
        <v>264.4593932927386</v>
      </c>
      <c r="DA46" s="22" t="n">
        <v>226.1631675259696</v>
      </c>
      <c r="DB46" s="22" t="n">
        <v>211.6109871511082</v>
      </c>
      <c r="DC46" s="22" t="n">
        <v>220.3193947986333</v>
      </c>
      <c r="DD46" s="22" t="n">
        <v>222.0540513077268</v>
      </c>
      <c r="DE46" s="22" t="n">
        <v>229.5218044162605</v>
      </c>
      <c r="DF46" s="22" t="n">
        <v>228.5413631277631</v>
      </c>
      <c r="DG46" s="22" t="n">
        <v>232.3938355890091</v>
      </c>
      <c r="DH46" s="22" t="n">
        <v>233.2313114959745</v>
      </c>
      <c r="DI46" s="22" t="n">
        <v>235.877047858077</v>
      </c>
      <c r="DJ46" s="22" t="n">
        <v>237.8039580027475</v>
      </c>
      <c r="DK46" s="22" t="n">
        <v>240.8219263981445</v>
      </c>
      <c r="DL46" s="22" t="n">
        <v>243.0164063361314</v>
      </c>
      <c r="DM46" s="22" t="n">
        <v>246.0466416484756</v>
      </c>
      <c r="DN46" s="22" t="n">
        <v>248.3206249873394</v>
      </c>
      <c r="DO46" s="22" t="n">
        <v>251.3639350195868</v>
      </c>
    </row>
    <row r="47">
      <c r="A47" s="19" t="inlineStr">
        <is>
          <t>mit.co2.tot.coa</t>
        </is>
      </c>
      <c r="B47" s="3" t="inlineStr">
        <is>
          <t>mit</t>
        </is>
      </c>
      <c r="C47" s="19" t="inlineStr">
        <is>
          <t>mit.co2.coa</t>
        </is>
      </c>
      <c r="H47" s="3" t="inlineStr">
        <is>
          <t>CO2 emissions from fuel combustion | All sectors | Coal</t>
        </is>
      </c>
      <c r="I47" s="3" t="inlineStr">
        <is>
          <t>MtCO2</t>
        </is>
      </c>
      <c r="K47" s="20" t="inlineStr">
        <is>
          <t>egy.mit.co2.tot.coa.1</t>
        </is>
      </c>
      <c r="L47" s="3" t="n">
        <v>6.877632301818399</v>
      </c>
      <c r="M47" s="3" t="n">
        <v>6.388453552567907</v>
      </c>
      <c r="N47" s="3" t="n">
        <v>7.668395907162364</v>
      </c>
      <c r="O47" s="3" t="n">
        <v>8.301335317176092</v>
      </c>
      <c r="P47" s="3" t="n">
        <v>8.161839261155675</v>
      </c>
      <c r="Q47" s="3" t="n">
        <v>8.265490158012117</v>
      </c>
      <c r="R47" s="3" t="n">
        <v>8.489592936500763</v>
      </c>
      <c r="S47" s="3" t="n">
        <v>8.707065233759723</v>
      </c>
      <c r="T47" s="3" t="n">
        <v>8.914528589336147</v>
      </c>
      <c r="U47" s="3" t="n">
        <v>9.122351764875988</v>
      </c>
      <c r="V47" s="3" t="n">
        <v>9.29498165157573</v>
      </c>
      <c r="W47" s="3" t="n">
        <v>9.468046234379425</v>
      </c>
      <c r="X47" s="3" t="n">
        <v>9.641496196453033</v>
      </c>
      <c r="Y47" s="3" t="n">
        <v>9.81528265601272</v>
      </c>
      <c r="Z47" s="3" t="n">
        <v>9.98935712489099</v>
      </c>
      <c r="AA47" s="3" t="n">
        <v>10.16367146266019</v>
      </c>
      <c r="AB47" s="3" t="n">
        <v>10.33817782654142</v>
      </c>
      <c r="AC47" s="3" t="n">
        <v>10.51282861731234</v>
      </c>
      <c r="AD47" s="3" t="n">
        <v>10.68757642141276</v>
      </c>
      <c r="AE47" s="3" t="n">
        <v>10.86237394943233</v>
      </c>
      <c r="AG47" s="20" t="inlineStr">
        <is>
          <t>egy.mit.co2.tot.coa.3</t>
        </is>
      </c>
      <c r="AH47" s="3" t="n">
        <v>6.877632301818399</v>
      </c>
      <c r="AI47" s="3" t="n">
        <v>6.388453552567907</v>
      </c>
      <c r="AJ47" s="3" t="n">
        <v>7.668395907162364</v>
      </c>
      <c r="AK47" s="3" t="n">
        <v>8.301335317176092</v>
      </c>
      <c r="AL47" s="3" t="n">
        <v>8.161839261155675</v>
      </c>
      <c r="AM47" s="3" t="n">
        <v>7.190108432896883</v>
      </c>
      <c r="AN47" s="3" t="n">
        <v>7.37946192033785</v>
      </c>
      <c r="AO47" s="3" t="n">
        <v>7.564477395140391</v>
      </c>
      <c r="AP47" s="3" t="n">
        <v>7.732784724088711</v>
      </c>
      <c r="AQ47" s="3" t="n">
        <v>7.907066597505449</v>
      </c>
      <c r="AR47" s="3" t="n">
        <v>8.054611037677743</v>
      </c>
      <c r="AS47" s="3" t="n">
        <v>8.207356919349497</v>
      </c>
      <c r="AT47" s="3" t="n">
        <v>8.362791218980483</v>
      </c>
      <c r="AU47" s="3" t="n">
        <v>8.517462246318736</v>
      </c>
      <c r="AV47" s="3" t="n">
        <v>8.673429595560004</v>
      </c>
      <c r="AW47" s="3" t="n">
        <v>8.832009745922269</v>
      </c>
      <c r="AX47" s="3" t="n">
        <v>8.988625325136399</v>
      </c>
      <c r="AY47" s="3" t="n">
        <v>9.144225001113361</v>
      </c>
      <c r="AZ47" s="3" t="n">
        <v>9.297162410507374</v>
      </c>
      <c r="BA47" s="3" t="n">
        <v>9.449358194989788</v>
      </c>
      <c r="BC47" s="20" t="inlineStr">
        <is>
          <t>egy.mit.co2.tot.coa.4</t>
        </is>
      </c>
      <c r="BD47" s="3" t="n">
        <v>6.877632301818399</v>
      </c>
      <c r="BE47" s="3" t="n">
        <v>6.388453552567907</v>
      </c>
      <c r="BF47" s="3" t="n">
        <v>7.668395907162364</v>
      </c>
      <c r="BG47" s="3" t="n">
        <v>8.301335317176092</v>
      </c>
      <c r="BH47" s="3" t="n">
        <v>8.161839261155675</v>
      </c>
      <c r="BI47" s="3" t="n">
        <v>7.55318479146415</v>
      </c>
      <c r="BJ47" s="3" t="n">
        <v>7.00331443484892</v>
      </c>
      <c r="BK47" s="3" t="n">
        <v>6.580304528705646</v>
      </c>
      <c r="BL47" s="3" t="n">
        <v>6.235824680980985</v>
      </c>
      <c r="BM47" s="3" t="n">
        <v>6.024286237518182</v>
      </c>
      <c r="BN47" s="3" t="n">
        <v>5.833288880112693</v>
      </c>
      <c r="BO47" s="3" t="n">
        <v>5.671206816863492</v>
      </c>
      <c r="BP47" s="3" t="n">
        <v>5.533510145354523</v>
      </c>
      <c r="BQ47" s="3" t="n">
        <v>5.415232396971664</v>
      </c>
      <c r="BR47" s="3" t="n">
        <v>5.313095766988184</v>
      </c>
      <c r="BS47" s="3" t="n">
        <v>5.225137283397456</v>
      </c>
      <c r="BT47" s="3" t="n">
        <v>5.148530239095598</v>
      </c>
      <c r="BU47" s="3" t="n">
        <v>5.081193511811064</v>
      </c>
      <c r="BV47" s="3" t="n">
        <v>5.020769749901044</v>
      </c>
      <c r="BW47" s="3" t="n">
        <v>4.966044925356668</v>
      </c>
      <c r="BY47" s="20" t="inlineStr">
        <is>
          <t>egy.mit.co2.tot.coa.5</t>
        </is>
      </c>
      <c r="BZ47" s="3" t="n">
        <v>6.877632301818399</v>
      </c>
      <c r="CA47" s="3" t="n">
        <v>6.388453552567907</v>
      </c>
      <c r="CB47" s="3" t="n">
        <v>7.668395907162364</v>
      </c>
      <c r="CC47" s="3" t="n">
        <v>8.301335317176092</v>
      </c>
      <c r="CD47" s="3" t="n">
        <v>8.161839261155675</v>
      </c>
      <c r="CE47" s="3" t="n">
        <v>7.459002937628253</v>
      </c>
      <c r="CF47" s="3" t="n">
        <v>7.419464475369915</v>
      </c>
      <c r="CG47" s="3" t="n">
        <v>7.38874548372766</v>
      </c>
      <c r="CH47" s="3" t="n">
        <v>7.354223239380146</v>
      </c>
      <c r="CI47" s="3" t="n">
        <v>7.338466669691115</v>
      </c>
      <c r="CJ47" s="3" t="n">
        <v>7.307076602235686</v>
      </c>
      <c r="CK47" s="3" t="n">
        <v>7.285670179659417</v>
      </c>
      <c r="CL47" s="3" t="n">
        <v>7.271856841794191</v>
      </c>
      <c r="CM47" s="3" t="n">
        <v>7.262338212729726</v>
      </c>
      <c r="CN47" s="3" t="n">
        <v>7.328260286484026</v>
      </c>
      <c r="CO47" s="3" t="n">
        <v>7.394327906164255</v>
      </c>
      <c r="CP47" s="3" t="n">
        <v>7.458091965248663</v>
      </c>
      <c r="CQ47" s="3" t="n">
        <v>7.520821485983831</v>
      </c>
      <c r="CR47" s="3" t="n">
        <v>7.580678361450614</v>
      </c>
      <c r="CS47" s="3" t="n">
        <v>7.639617185907868</v>
      </c>
      <c r="CU47" s="20" t="inlineStr">
        <is>
          <t>egy.mit.co2.tot.coa.6</t>
        </is>
      </c>
      <c r="CV47" s="3" t="n">
        <v>6.877632301818399</v>
      </c>
      <c r="CW47" s="3" t="n">
        <v>6.388453552567907</v>
      </c>
      <c r="CX47" s="3" t="n">
        <v>7.668395907162364</v>
      </c>
      <c r="CY47" s="3" t="n">
        <v>8.301335317176092</v>
      </c>
      <c r="CZ47" s="3" t="n">
        <v>8.161839261155675</v>
      </c>
      <c r="DA47" s="3" t="n">
        <v>6.119616149800501</v>
      </c>
      <c r="DB47" s="3" t="n">
        <v>6.276533918426631</v>
      </c>
      <c r="DC47" s="3" t="n">
        <v>6.431323768334182</v>
      </c>
      <c r="DD47" s="3" t="n">
        <v>6.56419791913116</v>
      </c>
      <c r="DE47" s="3" t="n">
        <v>6.70826790863071</v>
      </c>
      <c r="DF47" s="3" t="n">
        <v>6.831104358974091</v>
      </c>
      <c r="DG47" s="3" t="n">
        <v>6.963640122480323</v>
      </c>
      <c r="DH47" s="3" t="n">
        <v>7.100060587224795</v>
      </c>
      <c r="DI47" s="3" t="n">
        <v>7.235054868111296</v>
      </c>
      <c r="DJ47" s="3" t="n">
        <v>7.372076504153147</v>
      </c>
      <c r="DK47" s="3" t="n">
        <v>7.51363707618076</v>
      </c>
      <c r="DL47" s="3" t="n">
        <v>7.651361752229038</v>
      </c>
      <c r="DM47" s="3" t="n">
        <v>7.787383327229103</v>
      </c>
      <c r="DN47" s="3" t="n">
        <v>7.918542197304484</v>
      </c>
      <c r="DO47" s="3" t="n">
        <v>8.048500583230137</v>
      </c>
    </row>
    <row r="48">
      <c r="A48" s="19" t="inlineStr">
        <is>
          <t>mit.co2.tot.nga</t>
        </is>
      </c>
      <c r="B48" s="3" t="inlineStr">
        <is>
          <t>mit</t>
        </is>
      </c>
      <c r="C48" s="19" t="inlineStr">
        <is>
          <t>mit.co2.nga</t>
        </is>
      </c>
      <c r="H48" s="3" t="inlineStr">
        <is>
          <t>CO2 emissions from fuel combustion | All sectors | Natural gas</t>
        </is>
      </c>
      <c r="I48" s="3" t="inlineStr">
        <is>
          <t>MtCO2</t>
        </is>
      </c>
      <c r="K48" s="20" t="inlineStr">
        <is>
          <t>egy.mit.co2.tot.nga.1</t>
        </is>
      </c>
      <c r="L48" s="3" t="n">
        <v>97.18323839095733</v>
      </c>
      <c r="M48" s="3" t="n">
        <v>89.36053491225641</v>
      </c>
      <c r="N48" s="3" t="n">
        <v>106.8527874943606</v>
      </c>
      <c r="O48" s="3" t="n">
        <v>115.6328115265618</v>
      </c>
      <c r="P48" s="3" t="n">
        <v>116.9960773144173</v>
      </c>
      <c r="Q48" s="3" t="n">
        <v>117.5379244630708</v>
      </c>
      <c r="R48" s="3" t="n">
        <v>118.2622078761131</v>
      </c>
      <c r="S48" s="3" t="n">
        <v>118.8837678869908</v>
      </c>
      <c r="T48" s="3" t="n">
        <v>118.0429365075662</v>
      </c>
      <c r="U48" s="3" t="n">
        <v>118.9316772521488</v>
      </c>
      <c r="V48" s="3" t="n">
        <v>119.423684616833</v>
      </c>
      <c r="W48" s="3" t="n">
        <v>122.8168501668198</v>
      </c>
      <c r="X48" s="3" t="n">
        <v>125.5599591117169</v>
      </c>
      <c r="Y48" s="3" t="n">
        <v>128.7769862424066</v>
      </c>
      <c r="Z48" s="3" t="n">
        <v>131.9984005666642</v>
      </c>
      <c r="AA48" s="3" t="n">
        <v>135.2843002943561</v>
      </c>
      <c r="AB48" s="3" t="n">
        <v>138.6203934154086</v>
      </c>
      <c r="AC48" s="3" t="n">
        <v>142.0099843181241</v>
      </c>
      <c r="AD48" s="3" t="n">
        <v>145.4656623442261</v>
      </c>
      <c r="AE48" s="3" t="n">
        <v>148.9919470586058</v>
      </c>
      <c r="AG48" s="20" t="inlineStr">
        <is>
          <t>egy.mit.co2.tot.nga.3</t>
        </is>
      </c>
      <c r="AH48" s="3" t="n">
        <v>97.18323839095733</v>
      </c>
      <c r="AI48" s="3" t="n">
        <v>89.31140069563841</v>
      </c>
      <c r="AJ48" s="3" t="n">
        <v>106.805460135279</v>
      </c>
      <c r="AK48" s="3" t="n">
        <v>115.5872342911032</v>
      </c>
      <c r="AL48" s="3" t="n">
        <v>116.9503754079857</v>
      </c>
      <c r="AM48" s="3" t="n">
        <v>110.9308956203725</v>
      </c>
      <c r="AN48" s="3" t="n">
        <v>101.4109290607944</v>
      </c>
      <c r="AO48" s="3" t="n">
        <v>108.3152796969114</v>
      </c>
      <c r="AP48" s="3" t="n">
        <v>106.5585494043058</v>
      </c>
      <c r="AQ48" s="3" t="n">
        <v>108.5569695418872</v>
      </c>
      <c r="AR48" s="3" t="n">
        <v>108.8197060326274</v>
      </c>
      <c r="AS48" s="3" t="n">
        <v>112.5412748890504</v>
      </c>
      <c r="AT48" s="3" t="n">
        <v>114.829297513763</v>
      </c>
      <c r="AU48" s="3" t="n">
        <v>117.9423415956226</v>
      </c>
      <c r="AV48" s="3" t="n">
        <v>121.0726378547804</v>
      </c>
      <c r="AW48" s="3" t="n">
        <v>124.3306656075866</v>
      </c>
      <c r="AX48" s="3" t="n">
        <v>127.5347674925857</v>
      </c>
      <c r="AY48" s="3" t="n">
        <v>130.7595562158567</v>
      </c>
      <c r="AZ48" s="3" t="n">
        <v>133.9197042456445</v>
      </c>
      <c r="BA48" s="3" t="n">
        <v>137.1224631215105</v>
      </c>
      <c r="BC48" s="20" t="inlineStr">
        <is>
          <t>egy.mit.co2.tot.nga.4</t>
        </is>
      </c>
      <c r="BD48" s="3" t="n">
        <v>97.18323839095733</v>
      </c>
      <c r="BE48" s="3" t="n">
        <v>89.18842952732477</v>
      </c>
      <c r="BF48" s="3" t="n">
        <v>106.6870026801461</v>
      </c>
      <c r="BG48" s="3" t="n">
        <v>115.4731486117785</v>
      </c>
      <c r="BH48" s="3" t="n">
        <v>116.8362786560698</v>
      </c>
      <c r="BI48" s="3" t="n">
        <v>113.2709980637282</v>
      </c>
      <c r="BJ48" s="3" t="n">
        <v>104.4869876975661</v>
      </c>
      <c r="BK48" s="3" t="n">
        <v>97.62148503121998</v>
      </c>
      <c r="BL48" s="3" t="n">
        <v>94.39756738754511</v>
      </c>
      <c r="BM48" s="3" t="n">
        <v>93.17946420962831</v>
      </c>
      <c r="BN48" s="3" t="n">
        <v>88.64206986584064</v>
      </c>
      <c r="BO48" s="3" t="n">
        <v>87.40291825234286</v>
      </c>
      <c r="BP48" s="3" t="n">
        <v>84.05877090150196</v>
      </c>
      <c r="BQ48" s="3" t="n">
        <v>82.54382351186021</v>
      </c>
      <c r="BR48" s="3" t="n">
        <v>79.82996777189069</v>
      </c>
      <c r="BS48" s="3" t="n">
        <v>78.53655751982424</v>
      </c>
      <c r="BT48" s="3" t="n">
        <v>75.98762981164347</v>
      </c>
      <c r="BU48" s="3" t="n">
        <v>75.05238518765252</v>
      </c>
      <c r="BV48" s="3" t="n">
        <v>72.34975338090304</v>
      </c>
      <c r="BW48" s="3" t="n">
        <v>72.02643428575061</v>
      </c>
      <c r="BY48" s="20" t="inlineStr">
        <is>
          <t>egy.mit.co2.tot.nga.5</t>
        </is>
      </c>
      <c r="BZ48" s="3" t="n">
        <v>97.18323839095733</v>
      </c>
      <c r="CA48" s="3" t="n">
        <v>89.06945626734482</v>
      </c>
      <c r="CB48" s="3" t="n">
        <v>106.5722506110345</v>
      </c>
      <c r="CC48" s="3" t="n">
        <v>115.3624823966666</v>
      </c>
      <c r="CD48" s="3" t="n">
        <v>116.725215769532</v>
      </c>
      <c r="CE48" s="3" t="n">
        <v>110.2368038959551</v>
      </c>
      <c r="CF48" s="3" t="n">
        <v>110.5504533890045</v>
      </c>
      <c r="CG48" s="3" t="n">
        <v>110.8374077793359</v>
      </c>
      <c r="CH48" s="3" t="n">
        <v>109.4401170916399</v>
      </c>
      <c r="CI48" s="3" t="n">
        <v>108.9228171987886</v>
      </c>
      <c r="CJ48" s="3" t="n">
        <v>106.7779128310405</v>
      </c>
      <c r="CK48" s="3" t="n">
        <v>108.7384819033623</v>
      </c>
      <c r="CL48" s="3" t="n">
        <v>106.2868241928389</v>
      </c>
      <c r="CM48" s="3" t="n">
        <v>105.0796166315261</v>
      </c>
      <c r="CN48" s="3" t="n">
        <v>104.2363721320637</v>
      </c>
      <c r="CO48" s="3" t="n">
        <v>102.7658802972926</v>
      </c>
      <c r="CP48" s="3" t="n">
        <v>101.8016063056323</v>
      </c>
      <c r="CQ48" s="3" t="n">
        <v>101.0381982863019</v>
      </c>
      <c r="CR48" s="3" t="n">
        <v>100.0812029418947</v>
      </c>
      <c r="CS48" s="3" t="n">
        <v>99.52602855407814</v>
      </c>
      <c r="CU48" s="20" t="inlineStr">
        <is>
          <t>egy.mit.co2.tot.nga.6</t>
        </is>
      </c>
      <c r="CV48" s="3" t="n">
        <v>97.18323839095733</v>
      </c>
      <c r="CW48" s="3" t="n">
        <v>89.2425330623069</v>
      </c>
      <c r="CX48" s="3" t="n">
        <v>106.7391217026178</v>
      </c>
      <c r="CY48" s="3" t="n">
        <v>115.5233455609503</v>
      </c>
      <c r="CZ48" s="3" t="n">
        <v>116.8864305062966</v>
      </c>
      <c r="DA48" s="3" t="n">
        <v>105.1837551124704</v>
      </c>
      <c r="DB48" s="3" t="n">
        <v>84.26982952481137</v>
      </c>
      <c r="DC48" s="3" t="n">
        <v>90.97116008125137</v>
      </c>
      <c r="DD48" s="3" t="n">
        <v>91.12730418319452</v>
      </c>
      <c r="DE48" s="3" t="n">
        <v>96.76767396285301</v>
      </c>
      <c r="DF48" s="3" t="n">
        <v>94.04324877870036</v>
      </c>
      <c r="DG48" s="3" t="n">
        <v>95.92943897512642</v>
      </c>
      <c r="DH48" s="3" t="n">
        <v>94.68215973416464</v>
      </c>
      <c r="DI48" s="3" t="n">
        <v>95.24267776699597</v>
      </c>
      <c r="DJ48" s="3" t="n">
        <v>95.01011586039624</v>
      </c>
      <c r="DK48" s="3" t="n">
        <v>95.7446713730686</v>
      </c>
      <c r="DL48" s="3" t="n">
        <v>95.70442982209376</v>
      </c>
      <c r="DM48" s="3" t="n">
        <v>96.50752572618467</v>
      </c>
      <c r="DN48" s="3" t="n">
        <v>96.62826673144207</v>
      </c>
      <c r="DO48" s="3" t="n">
        <v>97.51791372921747</v>
      </c>
    </row>
    <row r="49">
      <c r="A49" s="19" t="inlineStr">
        <is>
          <t>mit.co2.tot.oop</t>
        </is>
      </c>
      <c r="B49" s="3" t="inlineStr">
        <is>
          <t>mit</t>
        </is>
      </c>
      <c r="C49" s="19" t="inlineStr">
        <is>
          <t>mit.co2.oil</t>
        </is>
      </c>
      <c r="H49" s="3" t="inlineStr">
        <is>
          <t>CO2 emissions from fuel combustion | All sectors | Other oil products</t>
        </is>
      </c>
      <c r="I49" s="3" t="inlineStr">
        <is>
          <t>MtCO2</t>
        </is>
      </c>
      <c r="K49" s="20" t="inlineStr">
        <is>
          <t>egy.mit.co2.tot.oop.1</t>
        </is>
      </c>
      <c r="L49" s="3" t="n">
        <v>24.15761624734803</v>
      </c>
      <c r="M49" s="3" t="n">
        <v>22.52442130269188</v>
      </c>
      <c r="N49" s="3" t="n">
        <v>23.282076476035</v>
      </c>
      <c r="O49" s="3" t="n">
        <v>26.51638565826678</v>
      </c>
      <c r="P49" s="3" t="n">
        <v>29.92627242830304</v>
      </c>
      <c r="Q49" s="3" t="n">
        <v>33.58435273266361</v>
      </c>
      <c r="R49" s="3" t="n">
        <v>37.519048210288</v>
      </c>
      <c r="S49" s="3" t="n">
        <v>41.66895296303406</v>
      </c>
      <c r="T49" s="3" t="n">
        <v>46.0444102737013</v>
      </c>
      <c r="U49" s="3" t="n">
        <v>45.46852573753183</v>
      </c>
      <c r="V49" s="3" t="n">
        <v>44.93362107772774</v>
      </c>
      <c r="W49" s="3" t="n">
        <v>44.43186215507935</v>
      </c>
      <c r="X49" s="3" t="n">
        <v>43.99632584407319</v>
      </c>
      <c r="Y49" s="3" t="n">
        <v>43.57422445367536</v>
      </c>
      <c r="Z49" s="3" t="n">
        <v>43.18384618230964</v>
      </c>
      <c r="AA49" s="3" t="n">
        <v>42.82091706907838</v>
      </c>
      <c r="AB49" s="3" t="n">
        <v>42.48499743981708</v>
      </c>
      <c r="AC49" s="3" t="n">
        <v>42.17525184098058</v>
      </c>
      <c r="AD49" s="3" t="n">
        <v>41.89049075104329</v>
      </c>
      <c r="AE49" s="3" t="n">
        <v>41.62989838665758</v>
      </c>
      <c r="AG49" s="20" t="inlineStr">
        <is>
          <t>egy.mit.co2.tot.oop.3</t>
        </is>
      </c>
      <c r="AH49" s="3" t="n">
        <v>24.15761624734803</v>
      </c>
      <c r="AI49" s="3" t="n">
        <v>22.52013120815804</v>
      </c>
      <c r="AJ49" s="3" t="n">
        <v>23.27790895563069</v>
      </c>
      <c r="AK49" s="3" t="n">
        <v>26.51233026508017</v>
      </c>
      <c r="AL49" s="3" t="n">
        <v>29.92231875459354</v>
      </c>
      <c r="AM49" s="3" t="n">
        <v>31.83004449571673</v>
      </c>
      <c r="AN49" s="3" t="n">
        <v>35.69435336790661</v>
      </c>
      <c r="AO49" s="3" t="n">
        <v>35.25452574199613</v>
      </c>
      <c r="AP49" s="3" t="n">
        <v>39.18767139030466</v>
      </c>
      <c r="AQ49" s="3" t="n">
        <v>38.67197454840014</v>
      </c>
      <c r="AR49" s="3" t="n">
        <v>38.19521202291229</v>
      </c>
      <c r="AS49" s="3" t="n">
        <v>37.74059079544892</v>
      </c>
      <c r="AT49" s="3" t="n">
        <v>37.34149487726399</v>
      </c>
      <c r="AU49" s="3" t="n">
        <v>36.95695905262635</v>
      </c>
      <c r="AV49" s="3" t="n">
        <v>36.60278331653936</v>
      </c>
      <c r="AW49" s="3" t="n">
        <v>36.27854446148512</v>
      </c>
      <c r="AX49" s="3" t="n">
        <v>35.97427942609854</v>
      </c>
      <c r="AY49" s="3" t="n">
        <v>35.69047495556821</v>
      </c>
      <c r="AZ49" s="3" t="n">
        <v>35.42314321822691</v>
      </c>
      <c r="BA49" s="3" t="n">
        <v>35.17534611790435</v>
      </c>
      <c r="BC49" s="20" t="inlineStr">
        <is>
          <t>egy.mit.co2.tot.oop.4</t>
        </is>
      </c>
      <c r="BD49" s="3" t="n">
        <v>24.15761624734803</v>
      </c>
      <c r="BE49" s="3" t="n">
        <v>22.5115918163701</v>
      </c>
      <c r="BF49" s="3" t="n">
        <v>23.26961354646527</v>
      </c>
      <c r="BG49" s="3" t="n">
        <v>26.50425483228005</v>
      </c>
      <c r="BH49" s="3" t="n">
        <v>29.91443934387143</v>
      </c>
      <c r="BI49" s="3" t="n">
        <v>32.43780050096422</v>
      </c>
      <c r="BJ49" s="3" t="n">
        <v>35.19834154869375</v>
      </c>
      <c r="BK49" s="3" t="n">
        <v>33.89068996022786</v>
      </c>
      <c r="BL49" s="3" t="n">
        <v>32.72064343294618</v>
      </c>
      <c r="BM49" s="3" t="n">
        <v>31.74411222247193</v>
      </c>
      <c r="BN49" s="3" t="n">
        <v>30.84140473490387</v>
      </c>
      <c r="BO49" s="3" t="n">
        <v>30.00110746260518</v>
      </c>
      <c r="BP49" s="3" t="n">
        <v>29.21674221969186</v>
      </c>
      <c r="BQ49" s="3" t="n">
        <v>28.47875255609412</v>
      </c>
      <c r="BR49" s="3" t="n">
        <v>27.78208168221161</v>
      </c>
      <c r="BS49" s="3" t="n">
        <v>27.12318589144991</v>
      </c>
      <c r="BT49" s="3" t="n">
        <v>26.4973888068481</v>
      </c>
      <c r="BU49" s="3" t="n">
        <v>25.90077748652257</v>
      </c>
      <c r="BV49" s="3" t="n">
        <v>25.32918067360185</v>
      </c>
      <c r="BW49" s="3" t="n">
        <v>24.78015312605072</v>
      </c>
      <c r="BY49" s="20" t="inlineStr">
        <is>
          <t>egy.mit.co2.tot.oop.5</t>
        </is>
      </c>
      <c r="BZ49" s="3" t="n">
        <v>24.15761624734803</v>
      </c>
      <c r="CA49" s="3" t="n">
        <v>22.50173389456518</v>
      </c>
      <c r="CB49" s="3" t="n">
        <v>23.26003727956906</v>
      </c>
      <c r="CC49" s="3" t="n">
        <v>26.49494168022667</v>
      </c>
      <c r="CD49" s="3" t="n">
        <v>29.90537090084608</v>
      </c>
      <c r="CE49" s="3" t="n">
        <v>31.49046022780221</v>
      </c>
      <c r="CF49" s="3" t="n">
        <v>35.34211797845544</v>
      </c>
      <c r="CG49" s="3" t="n">
        <v>39.41525960037175</v>
      </c>
      <c r="CH49" s="3" t="n">
        <v>43.70630570325825</v>
      </c>
      <c r="CI49" s="3" t="n">
        <v>43.01835713181559</v>
      </c>
      <c r="CJ49" s="3" t="n">
        <v>42.35612543777032</v>
      </c>
      <c r="CK49" s="3" t="n">
        <v>41.73706104872087</v>
      </c>
      <c r="CL49" s="3" t="n">
        <v>41.15069664334816</v>
      </c>
      <c r="CM49" s="3" t="n">
        <v>40.59425040237675</v>
      </c>
      <c r="CN49" s="3" t="n">
        <v>40.07027946833962</v>
      </c>
      <c r="CO49" s="3" t="n">
        <v>39.57972764374227</v>
      </c>
      <c r="CP49" s="3" t="n">
        <v>39.11416688454548</v>
      </c>
      <c r="CQ49" s="3" t="n">
        <v>38.67598119025876</v>
      </c>
      <c r="CR49" s="3" t="n">
        <v>38.26067667254001</v>
      </c>
      <c r="CS49" s="3" t="n">
        <v>37.87259612942709</v>
      </c>
      <c r="CU49" s="20" t="inlineStr">
        <is>
          <t>egy.mit.co2.tot.oop.6</t>
        </is>
      </c>
      <c r="CV49" s="3" t="n">
        <v>24.15761624734803</v>
      </c>
      <c r="CW49" s="3" t="n">
        <v>22.51498794527119</v>
      </c>
      <c r="CX49" s="3" t="n">
        <v>23.27291264311204</v>
      </c>
      <c r="CY49" s="3" t="n">
        <v>26.50746710724425</v>
      </c>
      <c r="CZ49" s="3" t="n">
        <v>29.91757499242542</v>
      </c>
      <c r="DA49" s="3" t="n">
        <v>30.27728367189254</v>
      </c>
      <c r="DB49" s="3" t="n">
        <v>34.07938346643176</v>
      </c>
      <c r="DC49" s="3" t="n">
        <v>33.58267486181178</v>
      </c>
      <c r="DD49" s="3" t="n">
        <v>33.07753453205915</v>
      </c>
      <c r="DE49" s="3" t="n">
        <v>32.61147229692241</v>
      </c>
      <c r="DF49" s="3" t="n">
        <v>32.17461904877106</v>
      </c>
      <c r="DG49" s="3" t="n">
        <v>31.77385562053761</v>
      </c>
      <c r="DH49" s="3" t="n">
        <v>31.41091066363473</v>
      </c>
      <c r="DI49" s="3" t="n">
        <v>31.06573815941925</v>
      </c>
      <c r="DJ49" s="3" t="n">
        <v>30.74813250621671</v>
      </c>
      <c r="DK49" s="3" t="n">
        <v>30.46037610007126</v>
      </c>
      <c r="DL49" s="3" t="n">
        <v>30.18654218073635</v>
      </c>
      <c r="DM49" s="3" t="n">
        <v>29.92844096334786</v>
      </c>
      <c r="DN49" s="3" t="n">
        <v>29.68016137157953</v>
      </c>
      <c r="DO49" s="3" t="n">
        <v>29.44744789573697</v>
      </c>
    </row>
    <row r="50">
      <c r="A50" s="19" t="inlineStr">
        <is>
          <t>mit.co2.tot.gso</t>
        </is>
      </c>
      <c r="B50" s="3" t="inlineStr">
        <is>
          <t>mit</t>
        </is>
      </c>
      <c r="C50" s="19" t="inlineStr">
        <is>
          <t>mit.co2.gso</t>
        </is>
      </c>
      <c r="H50" s="3" t="inlineStr">
        <is>
          <t>CO2 emissions from fuel combustion | All sectors | Gasoline</t>
        </is>
      </c>
      <c r="I50" s="3" t="inlineStr">
        <is>
          <t>MtCO2</t>
        </is>
      </c>
      <c r="K50" s="20" t="inlineStr">
        <is>
          <t>egy.mit.co2.tot.gso.1</t>
        </is>
      </c>
      <c r="L50" s="3" t="n">
        <v>20.21604027957443</v>
      </c>
      <c r="M50" s="3" t="n">
        <v>22.06129923218099</v>
      </c>
      <c r="N50" s="3" t="n">
        <v>27.94338853822439</v>
      </c>
      <c r="O50" s="3" t="n">
        <v>28.64052365882774</v>
      </c>
      <c r="P50" s="3" t="n">
        <v>29.31623224610943</v>
      </c>
      <c r="Q50" s="3" t="n">
        <v>30.12060167430747</v>
      </c>
      <c r="R50" s="3" t="n">
        <v>31.08253290696445</v>
      </c>
      <c r="S50" s="3" t="n">
        <v>31.9971918107087</v>
      </c>
      <c r="T50" s="3" t="n">
        <v>32.84469030921964</v>
      </c>
      <c r="U50" s="3" t="n">
        <v>33.69639030346216</v>
      </c>
      <c r="V50" s="3" t="n">
        <v>34.55545492093798</v>
      </c>
      <c r="W50" s="3" t="n">
        <v>35.42157736849956</v>
      </c>
      <c r="X50" s="3" t="n">
        <v>36.29444812795701</v>
      </c>
      <c r="Y50" s="3" t="n">
        <v>37.17375497621671</v>
      </c>
      <c r="Z50" s="3" t="n">
        <v>38.05918296948149</v>
      </c>
      <c r="AA50" s="3" t="n">
        <v>38.95041439213377</v>
      </c>
      <c r="AB50" s="3" t="n">
        <v>39.84712867096321</v>
      </c>
      <c r="AC50" s="3" t="n">
        <v>40.74900225543092</v>
      </c>
      <c r="AD50" s="3" t="n">
        <v>41.65570846468194</v>
      </c>
      <c r="AE50" s="3" t="n">
        <v>42.56691730203067</v>
      </c>
      <c r="AG50" s="20" t="inlineStr">
        <is>
          <t>egy.mit.co2.tot.gso.3</t>
        </is>
      </c>
      <c r="AH50" s="3" t="n">
        <v>20.21604027957443</v>
      </c>
      <c r="AI50" s="3" t="n">
        <v>22.06129923218099</v>
      </c>
      <c r="AJ50" s="3" t="n">
        <v>27.94338853822439</v>
      </c>
      <c r="AK50" s="3" t="n">
        <v>28.64052365882774</v>
      </c>
      <c r="AL50" s="3" t="n">
        <v>29.31623224610943</v>
      </c>
      <c r="AM50" s="3" t="n">
        <v>27.63442965985511</v>
      </c>
      <c r="AN50" s="3" t="n">
        <v>28.51695874181803</v>
      </c>
      <c r="AO50" s="3" t="n">
        <v>29.36805601725998</v>
      </c>
      <c r="AP50" s="3" t="n">
        <v>30.11840361513348</v>
      </c>
      <c r="AQ50" s="3" t="n">
        <v>30.90425722254763</v>
      </c>
      <c r="AR50" s="3" t="n">
        <v>31.68065992928338</v>
      </c>
      <c r="AS50" s="3" t="n">
        <v>32.49013777575828</v>
      </c>
      <c r="AT50" s="3" t="n">
        <v>33.31913332603838</v>
      </c>
      <c r="AU50" s="3" t="n">
        <v>34.14846096972109</v>
      </c>
      <c r="AV50" s="3" t="n">
        <v>34.98958884638431</v>
      </c>
      <c r="AW50" s="3" t="n">
        <v>35.85004897345805</v>
      </c>
      <c r="AX50" s="3" t="n">
        <v>36.70384691197548</v>
      </c>
      <c r="AY50" s="3" t="n">
        <v>37.55615547549628</v>
      </c>
      <c r="AZ50" s="3" t="n">
        <v>38.39727043270398</v>
      </c>
      <c r="BA50" s="3" t="n">
        <v>39.23803036133474</v>
      </c>
      <c r="BC50" s="20" t="inlineStr">
        <is>
          <t>egy.mit.co2.tot.gso.4</t>
        </is>
      </c>
      <c r="BD50" s="3" t="n">
        <v>20.21604027957443</v>
      </c>
      <c r="BE50" s="3" t="n">
        <v>22.06129923218099</v>
      </c>
      <c r="BF50" s="3" t="n">
        <v>27.94338853822439</v>
      </c>
      <c r="BG50" s="3" t="n">
        <v>28.64052365882774</v>
      </c>
      <c r="BH50" s="3" t="n">
        <v>29.31623224610943</v>
      </c>
      <c r="BI50" s="3" t="n">
        <v>28.36279436679603</v>
      </c>
      <c r="BJ50" s="3" t="n">
        <v>27.24680536245986</v>
      </c>
      <c r="BK50" s="3" t="n">
        <v>26.31971427308602</v>
      </c>
      <c r="BL50" s="3" t="n">
        <v>25.49462680623817</v>
      </c>
      <c r="BM50" s="3" t="n">
        <v>25.1156093458651</v>
      </c>
      <c r="BN50" s="3" t="n">
        <v>24.78701927108344</v>
      </c>
      <c r="BO50" s="3" t="n">
        <v>24.51325410642526</v>
      </c>
      <c r="BP50" s="3" t="n">
        <v>24.29296840082812</v>
      </c>
      <c r="BQ50" s="3" t="n">
        <v>24.11531496320968</v>
      </c>
      <c r="BR50" s="3" t="n">
        <v>23.97481484865907</v>
      </c>
      <c r="BS50" s="3" t="n">
        <v>23.87077344585071</v>
      </c>
      <c r="BT50" s="3" t="n">
        <v>23.79441707303243</v>
      </c>
      <c r="BU50" s="3" t="n">
        <v>23.7396164126323</v>
      </c>
      <c r="BV50" s="3" t="n">
        <v>23.69677948835646</v>
      </c>
      <c r="BW50" s="3" t="n">
        <v>23.66251922180539</v>
      </c>
      <c r="BY50" s="20" t="inlineStr">
        <is>
          <t>egy.mit.co2.tot.gso.5</t>
        </is>
      </c>
      <c r="BZ50" s="3" t="n">
        <v>20.21604027957443</v>
      </c>
      <c r="CA50" s="3" t="n">
        <v>22.06129923218099</v>
      </c>
      <c r="CB50" s="3" t="n">
        <v>27.94338853822439</v>
      </c>
      <c r="CC50" s="3" t="n">
        <v>28.64052365882774</v>
      </c>
      <c r="CD50" s="3" t="n">
        <v>29.31623224610943</v>
      </c>
      <c r="CE50" s="3" t="n">
        <v>27.09158479860638</v>
      </c>
      <c r="CF50" s="3" t="n">
        <v>27.95676048691996</v>
      </c>
      <c r="CG50" s="3" t="n">
        <v>28.78940297254578</v>
      </c>
      <c r="CH50" s="3" t="n">
        <v>29.52662651920511</v>
      </c>
      <c r="CI50" s="3" t="n">
        <v>30.30245936227671</v>
      </c>
      <c r="CJ50" s="3" t="n">
        <v>31.0623421893331</v>
      </c>
      <c r="CK50" s="3" t="n">
        <v>31.85788667906684</v>
      </c>
      <c r="CL50" s="3" t="n">
        <v>32.66134544974761</v>
      </c>
      <c r="CM50" s="3" t="n">
        <v>33.4669617853272</v>
      </c>
      <c r="CN50" s="3" t="n">
        <v>34.28375776243538</v>
      </c>
      <c r="CO50" s="3" t="n">
        <v>35.11604209120603</v>
      </c>
      <c r="CP50" s="3" t="n">
        <v>35.94253095496421</v>
      </c>
      <c r="CQ50" s="3" t="n">
        <v>36.77158731021954</v>
      </c>
      <c r="CR50" s="3" t="n">
        <v>37.59289160055635</v>
      </c>
      <c r="CS50" s="3" t="n">
        <v>38.41983520225871</v>
      </c>
      <c r="CU50" s="20" t="inlineStr">
        <is>
          <t>egy.mit.co2.tot.gso.6</t>
        </is>
      </c>
      <c r="CV50" s="3" t="n">
        <v>20.21604027957443</v>
      </c>
      <c r="CW50" s="3" t="n">
        <v>22.06129923218099</v>
      </c>
      <c r="CX50" s="3" t="n">
        <v>27.94338853822439</v>
      </c>
      <c r="CY50" s="3" t="n">
        <v>28.64052365882774</v>
      </c>
      <c r="CZ50" s="3" t="n">
        <v>29.31623224610943</v>
      </c>
      <c r="DA50" s="3" t="n">
        <v>24.73749246441794</v>
      </c>
      <c r="DB50" s="3" t="n">
        <v>25.52750105574089</v>
      </c>
      <c r="DC50" s="3" t="n">
        <v>26.30156605000809</v>
      </c>
      <c r="DD50" s="3" t="n">
        <v>26.9446349960475</v>
      </c>
      <c r="DE50" s="3" t="n">
        <v>27.65511609267016</v>
      </c>
      <c r="DF50" s="3" t="n">
        <v>28.33632341834477</v>
      </c>
      <c r="DG50" s="3" t="n">
        <v>29.07786793447319</v>
      </c>
      <c r="DH50" s="3" t="n">
        <v>29.84654637710421</v>
      </c>
      <c r="DI50" s="3" t="n">
        <v>30.6112509098165</v>
      </c>
      <c r="DJ50" s="3" t="n">
        <v>31.39232819979955</v>
      </c>
      <c r="DK50" s="3" t="n">
        <v>32.2050008895677</v>
      </c>
      <c r="DL50" s="3" t="n">
        <v>32.99911207856845</v>
      </c>
      <c r="DM50" s="3" t="n">
        <v>33.7871093242055</v>
      </c>
      <c r="DN50" s="3" t="n">
        <v>34.54942134105642</v>
      </c>
      <c r="DO50" s="3" t="n">
        <v>35.30797995309192</v>
      </c>
    </row>
    <row r="51">
      <c r="A51" s="19" t="inlineStr">
        <is>
          <t>mit.co2.tot.die</t>
        </is>
      </c>
      <c r="B51" s="3" t="inlineStr">
        <is>
          <t>mit</t>
        </is>
      </c>
      <c r="C51" s="19" t="inlineStr">
        <is>
          <t>mit.co2.die</t>
        </is>
      </c>
      <c r="H51" s="3" t="inlineStr">
        <is>
          <t>CO2 emissions from fuel combustion | All sectors | Diesel</t>
        </is>
      </c>
      <c r="I51" s="3" t="inlineStr">
        <is>
          <t>MtCO2</t>
        </is>
      </c>
      <c r="K51" s="20" t="inlineStr">
        <is>
          <t>egy.mit.co2.tot.die.1</t>
        </is>
      </c>
      <c r="L51" s="3" t="n">
        <v>45.63991353344753</v>
      </c>
      <c r="M51" s="3" t="n">
        <v>47.88025944928324</v>
      </c>
      <c r="N51" s="3" t="n">
        <v>57.8966826031124</v>
      </c>
      <c r="O51" s="3" t="n">
        <v>59.05012484586062</v>
      </c>
      <c r="P51" s="3" t="n">
        <v>60.16299609342645</v>
      </c>
      <c r="Q51" s="3" t="n">
        <v>61.48053929412544</v>
      </c>
      <c r="R51" s="3" t="n">
        <v>63.04635491405529</v>
      </c>
      <c r="S51" s="3" t="n">
        <v>64.5265674990559</v>
      </c>
      <c r="T51" s="3" t="n">
        <v>65.89097737587798</v>
      </c>
      <c r="U51" s="3" t="n">
        <v>67.2551929479326</v>
      </c>
      <c r="V51" s="3" t="n">
        <v>68.62434326809385</v>
      </c>
      <c r="W51" s="3" t="n">
        <v>69.99798117757388</v>
      </c>
      <c r="X51" s="3" t="n">
        <v>71.37566270369339</v>
      </c>
      <c r="Y51" s="3" t="n">
        <v>72.7569468592614</v>
      </c>
      <c r="Z51" s="3" t="n">
        <v>74.14139539626913</v>
      </c>
      <c r="AA51" s="3" t="n">
        <v>75.52857251596646</v>
      </c>
      <c r="AB51" s="3" t="n">
        <v>76.91804453731093</v>
      </c>
      <c r="AC51" s="3" t="n">
        <v>78.30937952569623</v>
      </c>
      <c r="AD51" s="3" t="n">
        <v>79.70214688377365</v>
      </c>
      <c r="AE51" s="3" t="n">
        <v>81.09591690608754</v>
      </c>
      <c r="AG51" s="20" t="inlineStr">
        <is>
          <t>egy.mit.co2.tot.die.3</t>
        </is>
      </c>
      <c r="AH51" s="3" t="n">
        <v>45.63991353344753</v>
      </c>
      <c r="AI51" s="3" t="n">
        <v>47.88025944928324</v>
      </c>
      <c r="AJ51" s="3" t="n">
        <v>57.8966826031124</v>
      </c>
      <c r="AK51" s="3" t="n">
        <v>59.05012484586062</v>
      </c>
      <c r="AL51" s="3" t="n">
        <v>60.16299609342645</v>
      </c>
      <c r="AM51" s="3" t="n">
        <v>53.52974105010601</v>
      </c>
      <c r="AN51" s="3" t="n">
        <v>54.89288031135636</v>
      </c>
      <c r="AO51" s="3" t="n">
        <v>56.19929414684677</v>
      </c>
      <c r="AP51" s="3" t="n">
        <v>57.34433867417744</v>
      </c>
      <c r="AQ51" s="3" t="n">
        <v>58.53753062394249</v>
      </c>
      <c r="AR51" s="3" t="n">
        <v>59.71031125973512</v>
      </c>
      <c r="AS51" s="3" t="n">
        <v>60.92700170013113</v>
      </c>
      <c r="AT51" s="3" t="n">
        <v>62.16675647012227</v>
      </c>
      <c r="AU51" s="3" t="n">
        <v>63.40077532407544</v>
      </c>
      <c r="AV51" s="3" t="n">
        <v>64.64621633726084</v>
      </c>
      <c r="AW51" s="3" t="n">
        <v>65.91410096026907</v>
      </c>
      <c r="AX51" s="3" t="n">
        <v>67.16607718623716</v>
      </c>
      <c r="AY51" s="3" t="n">
        <v>68.41000810991549</v>
      </c>
      <c r="AZ51" s="3" t="n">
        <v>69.6319879075907</v>
      </c>
      <c r="BA51" s="3" t="n">
        <v>70.84806757419274</v>
      </c>
      <c r="BC51" s="20" t="inlineStr">
        <is>
          <t>egy.mit.co2.tot.die.4</t>
        </is>
      </c>
      <c r="BD51" s="3" t="n">
        <v>45.63991353344753</v>
      </c>
      <c r="BE51" s="3" t="n">
        <v>47.88025944928324</v>
      </c>
      <c r="BF51" s="3" t="n">
        <v>57.8966826031124</v>
      </c>
      <c r="BG51" s="3" t="n">
        <v>59.05012484586062</v>
      </c>
      <c r="BH51" s="3" t="n">
        <v>60.16299609342645</v>
      </c>
      <c r="BI51" s="3" t="n">
        <v>56.20762478899607</v>
      </c>
      <c r="BJ51" s="3" t="n">
        <v>51.99787780305925</v>
      </c>
      <c r="BK51" s="3" t="n">
        <v>48.70300723029132</v>
      </c>
      <c r="BL51" s="3" t="n">
        <v>45.98504041658183</v>
      </c>
      <c r="BM51" s="3" t="n">
        <v>44.30195799631094</v>
      </c>
      <c r="BN51" s="3" t="n">
        <v>42.86721607306718</v>
      </c>
      <c r="BO51" s="3" t="n">
        <v>41.64736993989534</v>
      </c>
      <c r="BP51" s="3" t="n">
        <v>40.61092378087194</v>
      </c>
      <c r="BQ51" s="3" t="n">
        <v>39.72082816235417</v>
      </c>
      <c r="BR51" s="3" t="n">
        <v>38.95285955229154</v>
      </c>
      <c r="BS51" s="3" t="n">
        <v>38.29294233025326</v>
      </c>
      <c r="BT51" s="3" t="n">
        <v>37.7192144597291</v>
      </c>
      <c r="BU51" s="3" t="n">
        <v>37.21562341972698</v>
      </c>
      <c r="BV51" s="3" t="n">
        <v>36.76349528437566</v>
      </c>
      <c r="BW51" s="3" t="n">
        <v>36.35349410888095</v>
      </c>
      <c r="BY51" s="20" t="inlineStr">
        <is>
          <t>egy.mit.co2.tot.die.5</t>
        </is>
      </c>
      <c r="BZ51" s="3" t="n">
        <v>45.63991353344753</v>
      </c>
      <c r="CA51" s="3" t="n">
        <v>47.88025944928324</v>
      </c>
      <c r="CB51" s="3" t="n">
        <v>57.8966826031124</v>
      </c>
      <c r="CC51" s="3" t="n">
        <v>59.05012484586062</v>
      </c>
      <c r="CD51" s="3" t="n">
        <v>60.16299609342645</v>
      </c>
      <c r="CE51" s="3" t="n">
        <v>51.92141418052896</v>
      </c>
      <c r="CF51" s="3" t="n">
        <v>53.24353359387024</v>
      </c>
      <c r="CG51" s="3" t="n">
        <v>54.50793030309334</v>
      </c>
      <c r="CH51" s="3" t="n">
        <v>55.62070765433652</v>
      </c>
      <c r="CI51" s="3" t="n">
        <v>56.78588651586289</v>
      </c>
      <c r="CJ51" s="3" t="n">
        <v>57.92112834802641</v>
      </c>
      <c r="CK51" s="3" t="n">
        <v>59.10380174679166</v>
      </c>
      <c r="CL51" s="3" t="n">
        <v>60.29218443053585</v>
      </c>
      <c r="CM51" s="3" t="n">
        <v>61.47779641822571</v>
      </c>
      <c r="CN51" s="3" t="n">
        <v>62.67399589799528</v>
      </c>
      <c r="CO51" s="3" t="n">
        <v>63.88700203936272</v>
      </c>
      <c r="CP51" s="3" t="n">
        <v>65.08574331115065</v>
      </c>
      <c r="CQ51" s="3" t="n">
        <v>66.28259250440252</v>
      </c>
      <c r="CR51" s="3" t="n">
        <v>67.46280077951135</v>
      </c>
      <c r="CS51" s="3" t="n">
        <v>68.64585368814768</v>
      </c>
      <c r="CU51" s="20" t="inlineStr">
        <is>
          <t>egy.mit.co2.tot.die.6</t>
        </is>
      </c>
      <c r="CV51" s="3" t="n">
        <v>45.63991353344753</v>
      </c>
      <c r="CW51" s="3" t="n">
        <v>47.88025944928324</v>
      </c>
      <c r="CX51" s="3" t="n">
        <v>57.8966826031124</v>
      </c>
      <c r="CY51" s="3" t="n">
        <v>59.05012484586062</v>
      </c>
      <c r="CZ51" s="3" t="n">
        <v>60.16299609342645</v>
      </c>
      <c r="DA51" s="3" t="n">
        <v>45.40276628155964</v>
      </c>
      <c r="DB51" s="3" t="n">
        <v>46.55876939001241</v>
      </c>
      <c r="DC51" s="3" t="n">
        <v>47.68405209854016</v>
      </c>
      <c r="DD51" s="3" t="n">
        <v>48.61205377921599</v>
      </c>
      <c r="DE51" s="3" t="n">
        <v>49.63290603641424</v>
      </c>
      <c r="DF51" s="3" t="n">
        <v>50.60612319055926</v>
      </c>
      <c r="DG51" s="3" t="n">
        <v>51.66080827664631</v>
      </c>
      <c r="DH51" s="3" t="n">
        <v>52.74849064598109</v>
      </c>
      <c r="DI51" s="3" t="n">
        <v>53.82466545172897</v>
      </c>
      <c r="DJ51" s="3" t="n">
        <v>54.91827041762551</v>
      </c>
      <c r="DK51" s="3" t="n">
        <v>56.05046726054802</v>
      </c>
      <c r="DL51" s="3" t="n">
        <v>57.15076914648141</v>
      </c>
      <c r="DM51" s="3" t="n">
        <v>58.23700952507559</v>
      </c>
      <c r="DN51" s="3" t="n">
        <v>59.28240980647814</v>
      </c>
      <c r="DO51" s="3" t="n">
        <v>60.31777216263738</v>
      </c>
    </row>
    <row r="52">
      <c r="A52" s="19" t="inlineStr">
        <is>
          <t>mit.co2.tot.lpg</t>
        </is>
      </c>
      <c r="B52" s="3" t="inlineStr">
        <is>
          <t>mit</t>
        </is>
      </c>
      <c r="C52" s="19" t="inlineStr">
        <is>
          <t>mit.co2.lpg</t>
        </is>
      </c>
      <c r="H52" s="3" t="inlineStr">
        <is>
          <t>CO2 emissions from fuel combustion | All sectors | LPG</t>
        </is>
      </c>
      <c r="I52" s="3" t="inlineStr">
        <is>
          <t>MtCO2</t>
        </is>
      </c>
      <c r="K52" s="20" t="inlineStr">
        <is>
          <t>egy.mit.co2.tot.lpg.1</t>
        </is>
      </c>
      <c r="L52" s="3" t="n">
        <v>15.067830731043</v>
      </c>
      <c r="M52" s="3" t="n">
        <v>16.83451331941939</v>
      </c>
      <c r="N52" s="3" t="n">
        <v>16.91054176917917</v>
      </c>
      <c r="O52" s="3" t="n">
        <v>17.32654807173232</v>
      </c>
      <c r="P52" s="3" t="n">
        <v>17.73239781951456</v>
      </c>
      <c r="Q52" s="3" t="n">
        <v>18.21015935104445</v>
      </c>
      <c r="R52" s="3" t="n">
        <v>18.77596439506683</v>
      </c>
      <c r="S52" s="3" t="n">
        <v>19.31791030704055</v>
      </c>
      <c r="T52" s="3" t="n">
        <v>19.82504313614799</v>
      </c>
      <c r="U52" s="3" t="n">
        <v>20.33648497353158</v>
      </c>
      <c r="V52" s="3" t="n">
        <v>20.85403497312818</v>
      </c>
      <c r="W52" s="3" t="n">
        <v>21.37758925717691</v>
      </c>
      <c r="X52" s="3" t="n">
        <v>21.90704127715424</v>
      </c>
      <c r="Y52" s="3" t="n">
        <v>22.44228174302523</v>
      </c>
      <c r="Z52" s="3" t="n">
        <v>22.98319853475797</v>
      </c>
      <c r="AA52" s="3" t="n">
        <v>23.52967659602556</v>
      </c>
      <c r="AB52" s="3" t="n">
        <v>24.08159781002988</v>
      </c>
      <c r="AC52" s="3" t="n">
        <v>24.63884085738821</v>
      </c>
      <c r="AD52" s="3" t="n">
        <v>25.20128105602696</v>
      </c>
      <c r="AE52" s="3" t="n">
        <v>25.7687901830284</v>
      </c>
      <c r="AG52" s="20" t="inlineStr">
        <is>
          <t>egy.mit.co2.tot.lpg.3</t>
        </is>
      </c>
      <c r="AH52" s="3" t="n">
        <v>15.067830731043</v>
      </c>
      <c r="AI52" s="3" t="n">
        <v>16.83451331941939</v>
      </c>
      <c r="AJ52" s="3" t="n">
        <v>16.91054176917917</v>
      </c>
      <c r="AK52" s="3" t="n">
        <v>17.32654807173232</v>
      </c>
      <c r="AL52" s="3" t="n">
        <v>17.73239781951456</v>
      </c>
      <c r="AM52" s="3" t="n">
        <v>15.27788928698293</v>
      </c>
      <c r="AN52" s="3" t="n">
        <v>15.75146801057399</v>
      </c>
      <c r="AO52" s="3" t="n">
        <v>16.21100677763416</v>
      </c>
      <c r="AP52" s="3" t="n">
        <v>16.62178708352477</v>
      </c>
      <c r="AQ52" s="3" t="n">
        <v>17.05198130342504</v>
      </c>
      <c r="AR52" s="3" t="n">
        <v>17.47912379065787</v>
      </c>
      <c r="AS52" s="3" t="n">
        <v>17.92462690178042</v>
      </c>
      <c r="AT52" s="3" t="n">
        <v>18.38177638092207</v>
      </c>
      <c r="AU52" s="3" t="n">
        <v>18.84097587728069</v>
      </c>
      <c r="AV52" s="3" t="n">
        <v>19.30806434537084</v>
      </c>
      <c r="AW52" s="3" t="n">
        <v>19.78692709981752</v>
      </c>
      <c r="AX52" s="3" t="n">
        <v>20.26446438801986</v>
      </c>
      <c r="AY52" s="3" t="n">
        <v>20.74332545611468</v>
      </c>
      <c r="AZ52" s="3" t="n">
        <v>21.2185987707433</v>
      </c>
      <c r="BA52" s="3" t="n">
        <v>21.69581811433636</v>
      </c>
      <c r="BC52" s="20" t="inlineStr">
        <is>
          <t>egy.mit.co2.tot.lpg.4</t>
        </is>
      </c>
      <c r="BD52" s="3" t="n">
        <v>15.067830731043</v>
      </c>
      <c r="BE52" s="3" t="n">
        <v>16.83451331941939</v>
      </c>
      <c r="BF52" s="3" t="n">
        <v>16.91054176917917</v>
      </c>
      <c r="BG52" s="3" t="n">
        <v>17.32654807173232</v>
      </c>
      <c r="BH52" s="3" t="n">
        <v>17.73239781951456</v>
      </c>
      <c r="BI52" s="3" t="n">
        <v>16.45340832541505</v>
      </c>
      <c r="BJ52" s="3" t="n">
        <v>15.15248076127896</v>
      </c>
      <c r="BK52" s="3" t="n">
        <v>14.17881253168217</v>
      </c>
      <c r="BL52" s="3" t="n">
        <v>13.39995994859828</v>
      </c>
      <c r="BM52" s="3" t="n">
        <v>12.8420315560352</v>
      </c>
      <c r="BN52" s="3" t="n">
        <v>12.38483344719396</v>
      </c>
      <c r="BO52" s="3" t="n">
        <v>12.0098673468863</v>
      </c>
      <c r="BP52" s="3" t="n">
        <v>11.70226862855911</v>
      </c>
      <c r="BQ52" s="3" t="n">
        <v>11.44717487609859</v>
      </c>
      <c r="BR52" s="3" t="n">
        <v>11.23492963977933</v>
      </c>
      <c r="BS52" s="3" t="n">
        <v>11.05980875042808</v>
      </c>
      <c r="BT52" s="3" t="n">
        <v>10.91400107546941</v>
      </c>
      <c r="BU52" s="3" t="n">
        <v>10.7918258352753</v>
      </c>
      <c r="BV52" s="3" t="n">
        <v>10.68690741169372</v>
      </c>
      <c r="BW52" s="3" t="n">
        <v>10.59598693458334</v>
      </c>
      <c r="BY52" s="20" t="inlineStr">
        <is>
          <t>egy.mit.co2.tot.lpg.5</t>
        </is>
      </c>
      <c r="BZ52" s="3" t="n">
        <v>15.067830731043</v>
      </c>
      <c r="CA52" s="3" t="n">
        <v>16.83451331941939</v>
      </c>
      <c r="CB52" s="3" t="n">
        <v>16.91054176917917</v>
      </c>
      <c r="CC52" s="3" t="n">
        <v>17.32654807173232</v>
      </c>
      <c r="CD52" s="3" t="n">
        <v>17.73239781951456</v>
      </c>
      <c r="CE52" s="3" t="n">
        <v>14.72364360075204</v>
      </c>
      <c r="CF52" s="3" t="n">
        <v>15.17980738103937</v>
      </c>
      <c r="CG52" s="3" t="n">
        <v>15.62159447428023</v>
      </c>
      <c r="CH52" s="3" t="n">
        <v>16.01805405904824</v>
      </c>
      <c r="CI52" s="3" t="n">
        <v>16.43508401268796</v>
      </c>
      <c r="CJ52" s="3" t="n">
        <v>16.84587716455614</v>
      </c>
      <c r="CK52" s="3" t="n">
        <v>17.27594810626691</v>
      </c>
      <c r="CL52" s="3" t="n">
        <v>17.71167898389704</v>
      </c>
      <c r="CM52" s="3" t="n">
        <v>18.15027180410874</v>
      </c>
      <c r="CN52" s="3" t="n">
        <v>18.59625129364174</v>
      </c>
      <c r="CO52" s="3" t="n">
        <v>19.05182749524985</v>
      </c>
      <c r="CP52" s="3" t="n">
        <v>19.50646645409994</v>
      </c>
      <c r="CQ52" s="3" t="n">
        <v>19.96436552040292</v>
      </c>
      <c r="CR52" s="3" t="n">
        <v>20.42040150085595</v>
      </c>
      <c r="CS52" s="3" t="n">
        <v>20.88130093087648</v>
      </c>
      <c r="CU52" s="20" t="inlineStr">
        <is>
          <t>egy.mit.co2.tot.lpg.6</t>
        </is>
      </c>
      <c r="CV52" s="3" t="n">
        <v>15.067830731043</v>
      </c>
      <c r="CW52" s="3" t="n">
        <v>16.83451331941939</v>
      </c>
      <c r="CX52" s="3" t="n">
        <v>16.91054176917917</v>
      </c>
      <c r="CY52" s="3" t="n">
        <v>17.32654807173232</v>
      </c>
      <c r="CZ52" s="3" t="n">
        <v>17.73239781951456</v>
      </c>
      <c r="DA52" s="3" t="n">
        <v>12.58439336442468</v>
      </c>
      <c r="DB52" s="3" t="n">
        <v>12.97346409682553</v>
      </c>
      <c r="DC52" s="3" t="n">
        <v>13.35656193928051</v>
      </c>
      <c r="DD52" s="3" t="n">
        <v>13.68081971779585</v>
      </c>
      <c r="DE52" s="3" t="n">
        <v>14.03736916528553</v>
      </c>
      <c r="DF52" s="3" t="n">
        <v>14.38179758643864</v>
      </c>
      <c r="DG52" s="3" t="n">
        <v>14.75545348353252</v>
      </c>
      <c r="DH52" s="3" t="n">
        <v>15.14314087804478</v>
      </c>
      <c r="DI52" s="3" t="n">
        <v>15.53054537651889</v>
      </c>
      <c r="DJ52" s="3" t="n">
        <v>15.9271322314811</v>
      </c>
      <c r="DK52" s="3" t="n">
        <v>16.34004767819161</v>
      </c>
      <c r="DL52" s="3" t="n">
        <v>16.7460542277732</v>
      </c>
      <c r="DM52" s="3" t="n">
        <v>17.15094535071163</v>
      </c>
      <c r="DN52" s="3" t="n">
        <v>17.54559306347001</v>
      </c>
      <c r="DO52" s="3" t="n">
        <v>17.94022585710236</v>
      </c>
    </row>
    <row r="53">
      <c r="A53" s="19" t="inlineStr">
        <is>
          <t>mit.co2.tot.ker</t>
        </is>
      </c>
      <c r="B53" s="3" t="inlineStr">
        <is>
          <t>mit</t>
        </is>
      </c>
      <c r="C53" s="19" t="inlineStr">
        <is>
          <t>mit.co2.ker</t>
        </is>
      </c>
      <c r="H53" s="3" t="inlineStr">
        <is>
          <t>CO2 emissions from fuel combustion | All sectors | Kerosene</t>
        </is>
      </c>
      <c r="I53" s="3" t="inlineStr">
        <is>
          <t>MtCO2</t>
        </is>
      </c>
      <c r="K53" s="20" t="inlineStr">
        <is>
          <t>egy.mit.co2.tot.ker.1</t>
        </is>
      </c>
      <c r="L53" s="3" t="n">
        <v>0.01959213329321419</v>
      </c>
      <c r="M53" s="3" t="n">
        <v>0.02073037228167628</v>
      </c>
      <c r="N53" s="3" t="n">
        <v>0.0224888068398473</v>
      </c>
      <c r="O53" s="3" t="n">
        <v>0.02310179615548184</v>
      </c>
      <c r="P53" s="3" t="n">
        <v>0.02370162989720741</v>
      </c>
      <c r="Q53" s="3" t="n">
        <v>0.02440804306330217</v>
      </c>
      <c r="R53" s="3" t="n">
        <v>0.02524542259003197</v>
      </c>
      <c r="S53" s="3" t="n">
        <v>0.02605038000537028</v>
      </c>
      <c r="T53" s="3" t="n">
        <v>0.02680644191552883</v>
      </c>
      <c r="U53" s="3" t="n">
        <v>0.02757092680923473</v>
      </c>
      <c r="V53" s="3" t="n">
        <v>0.02834649513977978</v>
      </c>
      <c r="W53" s="3" t="n">
        <v>0.02913301008613097</v>
      </c>
      <c r="X53" s="3" t="n">
        <v>0.02993032913080611</v>
      </c>
      <c r="Y53" s="3" t="n">
        <v>0.03073830397017342</v>
      </c>
      <c r="Z53" s="3" t="n">
        <v>0.03155678039664298</v>
      </c>
      <c r="AA53" s="3" t="n">
        <v>0.0323855981523047</v>
      </c>
      <c r="AB53" s="3" t="n">
        <v>0.03322459075360304</v>
      </c>
      <c r="AC53" s="3" t="n">
        <v>0.03407358528667024</v>
      </c>
      <c r="AD53" s="3" t="n">
        <v>0.03493240217296398</v>
      </c>
      <c r="AE53" s="3" t="n">
        <v>0.03580085490487683</v>
      </c>
      <c r="AG53" s="20" t="inlineStr">
        <is>
          <t>egy.mit.co2.tot.ker.3</t>
        </is>
      </c>
      <c r="AH53" s="3" t="n">
        <v>0.01959213329321419</v>
      </c>
      <c r="AI53" s="3" t="n">
        <v>0.02073037228167628</v>
      </c>
      <c r="AJ53" s="3" t="n">
        <v>0.0224888068398473</v>
      </c>
      <c r="AK53" s="3" t="n">
        <v>0.02310179615548184</v>
      </c>
      <c r="AL53" s="3" t="n">
        <v>0.02370162989720741</v>
      </c>
      <c r="AM53" s="3" t="n">
        <v>0.02190223867111618</v>
      </c>
      <c r="AN53" s="3" t="n">
        <v>0.02265282050415858</v>
      </c>
      <c r="AO53" s="3" t="n">
        <v>0.02338370564165251</v>
      </c>
      <c r="AP53" s="3" t="n">
        <v>0.02403990599937152</v>
      </c>
      <c r="AQ53" s="3" t="n">
        <v>0.0247285638838249</v>
      </c>
      <c r="AR53" s="3" t="n">
        <v>0.02541426441018758</v>
      </c>
      <c r="AS53" s="3" t="n">
        <v>0.02613093779442903</v>
      </c>
      <c r="AT53" s="3" t="n">
        <v>0.02686805983277263</v>
      </c>
      <c r="AU53" s="3" t="n">
        <v>0.0276104049085456</v>
      </c>
      <c r="AV53" s="3" t="n">
        <v>0.02836729049820063</v>
      </c>
      <c r="AW53" s="3" t="n">
        <v>0.02914498748475658</v>
      </c>
      <c r="AX53" s="3" t="n">
        <v>0.02992253518741857</v>
      </c>
      <c r="AY53" s="3" t="n">
        <v>0.03070414250403292</v>
      </c>
      <c r="AZ53" s="3" t="n">
        <v>0.0314818588762964</v>
      </c>
      <c r="BA53" s="3" t="n">
        <v>0.03226455590981927</v>
      </c>
      <c r="BC53" s="20" t="inlineStr">
        <is>
          <t>egy.mit.co2.tot.ker.4</t>
        </is>
      </c>
      <c r="BD53" s="3" t="n">
        <v>0.01959213329321419</v>
      </c>
      <c r="BE53" s="3" t="n">
        <v>0.02073037228167628</v>
      </c>
      <c r="BF53" s="3" t="n">
        <v>0.0224888068398473</v>
      </c>
      <c r="BG53" s="3" t="n">
        <v>0.02310179615548184</v>
      </c>
      <c r="BH53" s="3" t="n">
        <v>0.02370162989720741</v>
      </c>
      <c r="BI53" s="3" t="n">
        <v>0.02292922836142346</v>
      </c>
      <c r="BJ53" s="3" t="n">
        <v>0.02201500078345634</v>
      </c>
      <c r="BK53" s="3" t="n">
        <v>0.0212638414619651</v>
      </c>
      <c r="BL53" s="3" t="n">
        <v>0.02060390602567089</v>
      </c>
      <c r="BM53" s="3" t="n">
        <v>0.02015674470897805</v>
      </c>
      <c r="BN53" s="3" t="n">
        <v>0.01978123223062984</v>
      </c>
      <c r="BO53" s="3" t="n">
        <v>0.01947381071619074</v>
      </c>
      <c r="BP53" s="3" t="n">
        <v>0.01922821007288495</v>
      </c>
      <c r="BQ53" s="3" t="n">
        <v>0.01903205138386556</v>
      </c>
      <c r="BR53" s="3" t="n">
        <v>0.01887813972804591</v>
      </c>
      <c r="BS53" s="3" t="n">
        <v>0.01876370596680833</v>
      </c>
      <c r="BT53" s="3" t="n">
        <v>0.01868017986068167</v>
      </c>
      <c r="BU53" s="3" t="n">
        <v>0.01862143352766243</v>
      </c>
      <c r="BV53" s="3" t="n">
        <v>0.01857890829496817</v>
      </c>
      <c r="BW53" s="3" t="n">
        <v>0.01854908589566468</v>
      </c>
      <c r="BY53" s="20" t="inlineStr">
        <is>
          <t>egy.mit.co2.tot.ker.5</t>
        </is>
      </c>
      <c r="BZ53" s="3" t="n">
        <v>0.01959213329321419</v>
      </c>
      <c r="CA53" s="3" t="n">
        <v>0.02073037228167628</v>
      </c>
      <c r="CB53" s="3" t="n">
        <v>0.0224888068398473</v>
      </c>
      <c r="CC53" s="3" t="n">
        <v>0.02310179615548184</v>
      </c>
      <c r="CD53" s="3" t="n">
        <v>0.02370162989720741</v>
      </c>
      <c r="CE53" s="3" t="n">
        <v>0.02137534407935873</v>
      </c>
      <c r="CF53" s="3" t="n">
        <v>0.0221076723788715</v>
      </c>
      <c r="CG53" s="3" t="n">
        <v>0.02281943077622933</v>
      </c>
      <c r="CH53" s="3" t="n">
        <v>0.02346093726244016</v>
      </c>
      <c r="CI53" s="3" t="n">
        <v>0.02413711737843279</v>
      </c>
      <c r="CJ53" s="3" t="n">
        <v>0.02480514576130926</v>
      </c>
      <c r="CK53" s="3" t="n">
        <v>0.02550595594874861</v>
      </c>
      <c r="CL53" s="3" t="n">
        <v>0.02621776767941426</v>
      </c>
      <c r="CM53" s="3" t="n">
        <v>0.02693608068754983</v>
      </c>
      <c r="CN53" s="3" t="n">
        <v>0.02766821540368934</v>
      </c>
      <c r="CO53" s="3" t="n">
        <v>0.02841780035565804</v>
      </c>
      <c r="CP53" s="3" t="n">
        <v>0.0291677581731895</v>
      </c>
      <c r="CQ53" s="3" t="n">
        <v>0.02992488342158567</v>
      </c>
      <c r="CR53" s="3" t="n">
        <v>0.03068079974575428</v>
      </c>
      <c r="CS53" s="3" t="n">
        <v>0.03144646549207934</v>
      </c>
      <c r="CU53" s="20" t="inlineStr">
        <is>
          <t>egy.mit.co2.tot.ker.6</t>
        </is>
      </c>
      <c r="CV53" s="3" t="n">
        <v>0.01959213329321419</v>
      </c>
      <c r="CW53" s="3" t="n">
        <v>0.02073037228167628</v>
      </c>
      <c r="CX53" s="3" t="n">
        <v>0.0224888068398473</v>
      </c>
      <c r="CY53" s="3" t="n">
        <v>0.02310179615548184</v>
      </c>
      <c r="CZ53" s="3" t="n">
        <v>0.02370162989720741</v>
      </c>
      <c r="DA53" s="3" t="n">
        <v>0.01916528068039841</v>
      </c>
      <c r="DB53" s="3" t="n">
        <v>0.01982115374482204</v>
      </c>
      <c r="DC53" s="3" t="n">
        <v>0.02046915079882661</v>
      </c>
      <c r="DD53" s="3" t="n">
        <v>0.02102046672249123</v>
      </c>
      <c r="DE53" s="3" t="n">
        <v>0.02162752943680955</v>
      </c>
      <c r="DF53" s="3" t="n">
        <v>0.0222158576556251</v>
      </c>
      <c r="DG53" s="3" t="n">
        <v>0.02285511219683298</v>
      </c>
      <c r="DH53" s="3" t="n">
        <v>0.02351988231574471</v>
      </c>
      <c r="DI53" s="3" t="n">
        <v>0.02418600142927384</v>
      </c>
      <c r="DJ53" s="3" t="n">
        <v>0.02486953000419453</v>
      </c>
      <c r="DK53" s="3" t="n">
        <v>0.02558272613194975</v>
      </c>
      <c r="DL53" s="3" t="n">
        <v>0.02628601758272616</v>
      </c>
      <c r="DM53" s="3" t="n">
        <v>0.02698920840537961</v>
      </c>
      <c r="DN53" s="3" t="n">
        <v>0.02767657421373435</v>
      </c>
      <c r="DO53" s="3" t="n">
        <v>0.0283655670081751</v>
      </c>
    </row>
    <row r="54">
      <c r="A54" s="19" t="inlineStr">
        <is>
          <t>mit.co2.pow.tot</t>
        </is>
      </c>
      <c r="B54" s="3" t="inlineStr">
        <is>
          <t>mit</t>
        </is>
      </c>
      <c r="C54" s="19" t="inlineStr">
        <is>
          <t>mit.co2.pow</t>
        </is>
      </c>
      <c r="H54" s="3" t="inlineStr">
        <is>
          <t>CO2 emissions from fuel combustion | Power | All fuels</t>
        </is>
      </c>
      <c r="I54" s="3" t="inlineStr">
        <is>
          <t>MtCO2</t>
        </is>
      </c>
      <c r="K54" s="20" t="inlineStr">
        <is>
          <t>egy.mit.co2.pow.tot.1</t>
        </is>
      </c>
      <c r="L54" s="22" t="n">
        <v>81.3199580388397</v>
      </c>
      <c r="M54" s="22" t="n">
        <v>77.20653392882141</v>
      </c>
      <c r="N54" s="22" t="n">
        <v>88.11266803704939</v>
      </c>
      <c r="O54" s="22" t="n">
        <v>98.82871468255865</v>
      </c>
      <c r="P54" s="22" t="n">
        <v>102.3253499061277</v>
      </c>
      <c r="Q54" s="22" t="n">
        <v>105.0046936976205</v>
      </c>
      <c r="R54" s="22" t="n">
        <v>107.8396746145152</v>
      </c>
      <c r="S54" s="22" t="n">
        <v>110.846926263396</v>
      </c>
      <c r="T54" s="22" t="n">
        <v>112.7165806866704</v>
      </c>
      <c r="U54" s="22" t="n">
        <v>111.3348607790458</v>
      </c>
      <c r="V54" s="22" t="n">
        <v>109.561518083676</v>
      </c>
      <c r="W54" s="22" t="n">
        <v>110.6866845664146</v>
      </c>
      <c r="X54" s="22" t="n">
        <v>111.192322554483</v>
      </c>
      <c r="Y54" s="22" t="n">
        <v>112.1497455258402</v>
      </c>
      <c r="Z54" s="22" t="n">
        <v>113.1078636934526</v>
      </c>
      <c r="AA54" s="22" t="n">
        <v>114.1226815014539</v>
      </c>
      <c r="AB54" s="22" t="n">
        <v>115.1796752789207</v>
      </c>
      <c r="AC54" s="22" t="n">
        <v>116.281550495627</v>
      </c>
      <c r="AD54" s="22" t="n">
        <v>117.4399728094749</v>
      </c>
      <c r="AE54" s="22" t="n">
        <v>118.6589420043022</v>
      </c>
      <c r="AG54" s="20" t="inlineStr">
        <is>
          <t>egy.mit.co2.pow.tot.3</t>
        </is>
      </c>
      <c r="AH54" s="22" t="n">
        <v>81.3199580388397</v>
      </c>
      <c r="AI54" s="22" t="n">
        <v>77.15310961766957</v>
      </c>
      <c r="AJ54" s="22" t="n">
        <v>88.06117315756347</v>
      </c>
      <c r="AK54" s="22" t="n">
        <v>98.77908205391338</v>
      </c>
      <c r="AL54" s="22" t="n">
        <v>102.2756943259865</v>
      </c>
      <c r="AM54" s="22" t="n">
        <v>104.953833174054</v>
      </c>
      <c r="AN54" s="22" t="n">
        <v>97.76448489751169</v>
      </c>
      <c r="AO54" s="22" t="n">
        <v>102.7247973353274</v>
      </c>
      <c r="AP54" s="22" t="n">
        <v>103.5449999895009</v>
      </c>
      <c r="AQ54" s="22" t="n">
        <v>103.5932125027018</v>
      </c>
      <c r="AR54" s="22" t="n">
        <v>101.9416840589933</v>
      </c>
      <c r="AS54" s="22" t="n">
        <v>103.6946814770722</v>
      </c>
      <c r="AT54" s="22" t="n">
        <v>104.0151171416368</v>
      </c>
      <c r="AU54" s="22" t="n">
        <v>105.1535107362925</v>
      </c>
      <c r="AV54" s="22" t="n">
        <v>106.2972191597455</v>
      </c>
      <c r="AW54" s="22" t="n">
        <v>107.5418819839249</v>
      </c>
      <c r="AX54" s="22" t="n">
        <v>108.7423919952376</v>
      </c>
      <c r="AY54" s="22" t="n">
        <v>109.964580561639</v>
      </c>
      <c r="AZ54" s="22" t="n">
        <v>111.137334802502</v>
      </c>
      <c r="BA54" s="22" t="n">
        <v>112.3510283744688</v>
      </c>
      <c r="BC54" s="20" t="inlineStr">
        <is>
          <t>egy.mit.co2.pow.tot.4</t>
        </is>
      </c>
      <c r="BD54" s="22" t="n">
        <v>81.3199580388397</v>
      </c>
      <c r="BE54" s="22" t="n">
        <v>77.02159905756798</v>
      </c>
      <c r="BF54" s="22" t="n">
        <v>87.93442029326513</v>
      </c>
      <c r="BG54" s="22" t="n">
        <v>98.6569209417886</v>
      </c>
      <c r="BH54" s="22" t="n">
        <v>102.1537181633486</v>
      </c>
      <c r="BI54" s="22" t="n">
        <v>104.8290859959549</v>
      </c>
      <c r="BJ54" s="22" t="n">
        <v>102.3286897943353</v>
      </c>
      <c r="BK54" s="22" t="n">
        <v>96.66977796738483</v>
      </c>
      <c r="BL54" s="22" t="n">
        <v>94.24140166599717</v>
      </c>
      <c r="BM54" s="22" t="n">
        <v>93.28936983855527</v>
      </c>
      <c r="BN54" s="22" t="n">
        <v>88.84094958750353</v>
      </c>
      <c r="BO54" s="22" t="n">
        <v>87.54629984790721</v>
      </c>
      <c r="BP54" s="22" t="n">
        <v>84.03124222090494</v>
      </c>
      <c r="BQ54" s="22" t="n">
        <v>82.25939432102504</v>
      </c>
      <c r="BR54" s="22" t="n">
        <v>79.22156429738655</v>
      </c>
      <c r="BS54" s="22" t="n">
        <v>77.5459507192987</v>
      </c>
      <c r="BT54" s="22" t="n">
        <v>74.57316755175422</v>
      </c>
      <c r="BU54" s="22" t="n">
        <v>73.18368989650875</v>
      </c>
      <c r="BV54" s="22" t="n">
        <v>70.0110794869497</v>
      </c>
      <c r="BW54" s="22" t="n">
        <v>69.20821807471894</v>
      </c>
      <c r="BY54" s="20" t="inlineStr">
        <is>
          <t>egy.mit.co2.pow.tot.5</t>
        </is>
      </c>
      <c r="BZ54" s="22" t="n">
        <v>81.3199580388397</v>
      </c>
      <c r="CA54" s="22" t="n">
        <v>76.89276787578312</v>
      </c>
      <c r="CB54" s="22" t="n">
        <v>87.81009195725736</v>
      </c>
      <c r="CC54" s="22" t="n">
        <v>98.5369415746233</v>
      </c>
      <c r="CD54" s="22" t="n">
        <v>102.0335868337854</v>
      </c>
      <c r="CE54" s="22" t="n">
        <v>104.7059356554633</v>
      </c>
      <c r="CF54" s="22" t="n">
        <v>107.5380287115628</v>
      </c>
      <c r="CG54" s="22" t="n">
        <v>110.5953658861139</v>
      </c>
      <c r="CH54" s="22" t="n">
        <v>112.3232840691918</v>
      </c>
      <c r="CI54" s="22" t="n">
        <v>109.8659851601382</v>
      </c>
      <c r="CJ54" s="22" t="n">
        <v>105.8142503171125</v>
      </c>
      <c r="CK54" s="22" t="n">
        <v>105.835203844253</v>
      </c>
      <c r="CL54" s="22" t="n">
        <v>101.444212184893</v>
      </c>
      <c r="CM54" s="22" t="n">
        <v>98.30638450246994</v>
      </c>
      <c r="CN54" s="22" t="n">
        <v>95.45946849873143</v>
      </c>
      <c r="CO54" s="22" t="n">
        <v>91.97538884804774</v>
      </c>
      <c r="CP54" s="22" t="n">
        <v>89.01549936450914</v>
      </c>
      <c r="CQ54" s="22" t="n">
        <v>86.26212330221178</v>
      </c>
      <c r="CR54" s="22" t="n">
        <v>83.33522702888573</v>
      </c>
      <c r="CS54" s="22" t="n">
        <v>80.81052790848952</v>
      </c>
      <c r="CU54" s="20" t="inlineStr">
        <is>
          <t>egy.mit.co2.pow.tot.6</t>
        </is>
      </c>
      <c r="CV54" s="22" t="n">
        <v>81.3199580388397</v>
      </c>
      <c r="CW54" s="22" t="n">
        <v>77.07909872145122</v>
      </c>
      <c r="CX54" s="22" t="n">
        <v>87.98983841238358</v>
      </c>
      <c r="CY54" s="22" t="n">
        <v>98.71033016592463</v>
      </c>
      <c r="CZ54" s="22" t="n">
        <v>102.2070056621294</v>
      </c>
      <c r="DA54" s="22" t="n">
        <v>104.8835519534287</v>
      </c>
      <c r="DB54" s="22" t="n">
        <v>86.5106231629657</v>
      </c>
      <c r="DC54" s="22" t="n">
        <v>91.4593132793154</v>
      </c>
      <c r="DD54" s="22" t="n">
        <v>90.03812240350035</v>
      </c>
      <c r="DE54" s="22" t="n">
        <v>94.02100660170004</v>
      </c>
      <c r="DF54" s="22" t="n">
        <v>89.69813884371737</v>
      </c>
      <c r="DG54" s="22" t="n">
        <v>89.91032450501439</v>
      </c>
      <c r="DH54" s="22" t="n">
        <v>86.96552485424897</v>
      </c>
      <c r="DI54" s="22" t="n">
        <v>85.83421837117078</v>
      </c>
      <c r="DJ54" s="22" t="n">
        <v>83.89191156600062</v>
      </c>
      <c r="DK54" s="22" t="n">
        <v>82.87471469369298</v>
      </c>
      <c r="DL54" s="22" t="n">
        <v>81.10766378330858</v>
      </c>
      <c r="DM54" s="22" t="n">
        <v>80.19044833999807</v>
      </c>
      <c r="DN54" s="22" t="n">
        <v>78.62552263181112</v>
      </c>
      <c r="DO54" s="22" t="n">
        <v>77.83300321524642</v>
      </c>
    </row>
    <row r="55">
      <c r="A55" s="19" t="inlineStr">
        <is>
          <t>mit.co2.tra.tot</t>
        </is>
      </c>
      <c r="B55" s="3" t="inlineStr">
        <is>
          <t>mit</t>
        </is>
      </c>
      <c r="C55" s="19" t="inlineStr">
        <is>
          <t>mit.co2.tra</t>
        </is>
      </c>
      <c r="H55" s="3" t="inlineStr">
        <is>
          <t>CO2 emissions from fuel combustion | Transport | All fuels</t>
        </is>
      </c>
      <c r="I55" s="3" t="inlineStr">
        <is>
          <t>MtCO2</t>
        </is>
      </c>
      <c r="K55" s="20" t="inlineStr">
        <is>
          <t>egy.mit.co2.tra.tot.1</t>
        </is>
      </c>
      <c r="L55" s="22" t="n">
        <v>53.78638770478126</v>
      </c>
      <c r="M55" s="22" t="n">
        <v>55.01046727292897</v>
      </c>
      <c r="N55" s="22" t="n">
        <v>66.84371445761704</v>
      </c>
      <c r="O55" s="22" t="n">
        <v>68.31895251760649</v>
      </c>
      <c r="P55" s="22" t="n">
        <v>69.74191853242051</v>
      </c>
      <c r="Q55" s="22" t="n">
        <v>71.44265386628155</v>
      </c>
      <c r="R55" s="22" t="n">
        <v>73.4823037924178</v>
      </c>
      <c r="S55" s="22" t="n">
        <v>75.41090526791696</v>
      </c>
      <c r="T55" s="22" t="n">
        <v>77.18617019085862</v>
      </c>
      <c r="U55" s="22" t="n">
        <v>78.96437590834277</v>
      </c>
      <c r="V55" s="22" t="n">
        <v>80.75242669767076</v>
      </c>
      <c r="W55" s="22" t="n">
        <v>82.54965667926982</v>
      </c>
      <c r="X55" s="22" t="n">
        <v>84.35539955107733</v>
      </c>
      <c r="Y55" s="22" t="n">
        <v>86.1689885129185</v>
      </c>
      <c r="Z55" s="22" t="n">
        <v>87.9897561193587</v>
      </c>
      <c r="AA55" s="22" t="n">
        <v>89.8170340632424</v>
      </c>
      <c r="AB55" s="22" t="n">
        <v>91.65015289213376</v>
      </c>
      <c r="AC55" s="22" t="n">
        <v>93.48844165986301</v>
      </c>
      <c r="AD55" s="22" t="n">
        <v>95.33122751535167</v>
      </c>
      <c r="AE55" s="22" t="n">
        <v>97.17783523084998</v>
      </c>
      <c r="AG55" s="20" t="inlineStr">
        <is>
          <t>egy.mit.co2.tra.tot.3</t>
        </is>
      </c>
      <c r="AH55" s="22" t="n">
        <v>53.78638770478126</v>
      </c>
      <c r="AI55" s="22" t="n">
        <v>55.01046727292897</v>
      </c>
      <c r="AJ55" s="22" t="n">
        <v>66.84371445761704</v>
      </c>
      <c r="AK55" s="22" t="n">
        <v>68.31895251760649</v>
      </c>
      <c r="AL55" s="22" t="n">
        <v>69.74191853242051</v>
      </c>
      <c r="AM55" s="22" t="n">
        <v>64.69464257857162</v>
      </c>
      <c r="AN55" s="22" t="n">
        <v>66.54465210272132</v>
      </c>
      <c r="AO55" s="22" t="n">
        <v>68.31978110478336</v>
      </c>
      <c r="AP55" s="22" t="n">
        <v>69.87151622447954</v>
      </c>
      <c r="AQ55" s="22" t="n">
        <v>71.49423637176768</v>
      </c>
      <c r="AR55" s="22" t="n">
        <v>73.09116803187281</v>
      </c>
      <c r="AS55" s="22" t="n">
        <v>74.75344437922853</v>
      </c>
      <c r="AT55" s="22" t="n">
        <v>76.45174871819864</v>
      </c>
      <c r="AU55" s="22" t="n">
        <v>78.1450816802368</v>
      </c>
      <c r="AV55" s="22" t="n">
        <v>79.85787378485459</v>
      </c>
      <c r="AW55" s="22" t="n">
        <v>81.60599211948679</v>
      </c>
      <c r="AX55" s="22" t="n">
        <v>83.33435564855539</v>
      </c>
      <c r="AY55" s="22" t="n">
        <v>85.05405836120931</v>
      </c>
      <c r="AZ55" s="22" t="n">
        <v>86.7448117448299</v>
      </c>
      <c r="BA55" s="22" t="n">
        <v>88.42959518325756</v>
      </c>
      <c r="BC55" s="20" t="inlineStr">
        <is>
          <t>egy.mit.co2.tra.tot.4</t>
        </is>
      </c>
      <c r="BD55" s="22" t="n">
        <v>53.78638770478126</v>
      </c>
      <c r="BE55" s="22" t="n">
        <v>55.01046727292897</v>
      </c>
      <c r="BF55" s="22" t="n">
        <v>66.84371445761704</v>
      </c>
      <c r="BG55" s="22" t="n">
        <v>68.31895251760649</v>
      </c>
      <c r="BH55" s="22" t="n">
        <v>69.74191853242051</v>
      </c>
      <c r="BI55" s="22" t="n">
        <v>66.64944489839664</v>
      </c>
      <c r="BJ55" s="22" t="n">
        <v>63.36793847586274</v>
      </c>
      <c r="BK55" s="22" t="n">
        <v>60.78346725281179</v>
      </c>
      <c r="BL55" s="22" t="n">
        <v>58.5850429201144</v>
      </c>
      <c r="BM55" s="22" t="n">
        <v>57.48179683613735</v>
      </c>
      <c r="BN55" s="22" t="n">
        <v>56.5362514168055</v>
      </c>
      <c r="BO55" s="22" t="n">
        <v>55.74501453242003</v>
      </c>
      <c r="BP55" s="22" t="n">
        <v>55.09620450398793</v>
      </c>
      <c r="BQ55" s="22" t="n">
        <v>54.56036844836863</v>
      </c>
      <c r="BR55" s="22" t="n">
        <v>54.12114769145423</v>
      </c>
      <c r="BS55" s="22" t="n">
        <v>53.77341815083086</v>
      </c>
      <c r="BT55" s="22" t="n">
        <v>53.4959290862557</v>
      </c>
      <c r="BU55" s="22" t="n">
        <v>53.27365472960396</v>
      </c>
      <c r="BV55" s="22" t="n">
        <v>53.08483928504679</v>
      </c>
      <c r="BW55" s="22" t="n">
        <v>52.92109296259517</v>
      </c>
      <c r="BY55" s="20" t="inlineStr">
        <is>
          <t>egy.mit.co2.tra.tot.5</t>
        </is>
      </c>
      <c r="BZ55" s="22" t="n">
        <v>53.78638770478126</v>
      </c>
      <c r="CA55" s="22" t="n">
        <v>55.01046727292897</v>
      </c>
      <c r="CB55" s="22" t="n">
        <v>66.84371445761704</v>
      </c>
      <c r="CC55" s="22" t="n">
        <v>68.31895251760649</v>
      </c>
      <c r="CD55" s="22" t="n">
        <v>69.74191853242051</v>
      </c>
      <c r="CE55" s="22" t="n">
        <v>63.29191649085504</v>
      </c>
      <c r="CF55" s="22" t="n">
        <v>65.1022095249329</v>
      </c>
      <c r="CG55" s="22" t="n">
        <v>66.83553580582939</v>
      </c>
      <c r="CH55" s="22" t="n">
        <v>68.357490280169</v>
      </c>
      <c r="CI55" s="22" t="n">
        <v>69.95704410820743</v>
      </c>
      <c r="CJ55" s="22" t="n">
        <v>71.51701864446268</v>
      </c>
      <c r="CK55" s="22" t="n">
        <v>73.14786025096366</v>
      </c>
      <c r="CL55" s="22" t="n">
        <v>74.790068869889</v>
      </c>
      <c r="CM55" s="22" t="n">
        <v>76.43140357549409</v>
      </c>
      <c r="CN55" s="22" t="n">
        <v>78.09103824216956</v>
      </c>
      <c r="CO55" s="22" t="n">
        <v>79.7780070674855</v>
      </c>
      <c r="CP55" s="22" t="n">
        <v>81.44730947420422</v>
      </c>
      <c r="CQ55" s="22" t="n">
        <v>83.11671198464801</v>
      </c>
      <c r="CR55" s="22" t="n">
        <v>84.76460821504135</v>
      </c>
      <c r="CS55" s="22" t="n">
        <v>86.41923342131643</v>
      </c>
      <c r="CU55" s="20" t="inlineStr">
        <is>
          <t>egy.mit.co2.tra.tot.6</t>
        </is>
      </c>
      <c r="CV55" s="22" t="n">
        <v>53.78638770478126</v>
      </c>
      <c r="CW55" s="22" t="n">
        <v>55.01046727292897</v>
      </c>
      <c r="CX55" s="22" t="n">
        <v>66.84371445761704</v>
      </c>
      <c r="CY55" s="22" t="n">
        <v>68.31895251760649</v>
      </c>
      <c r="CZ55" s="22" t="n">
        <v>69.74191853242051</v>
      </c>
      <c r="DA55" s="22" t="n">
        <v>57.40839120641535</v>
      </c>
      <c r="DB55" s="22" t="n">
        <v>59.05161231884149</v>
      </c>
      <c r="DC55" s="22" t="n">
        <v>60.65446943959751</v>
      </c>
      <c r="DD55" s="22" t="n">
        <v>61.97162785896587</v>
      </c>
      <c r="DE55" s="22" t="n">
        <v>63.42808748506214</v>
      </c>
      <c r="DF55" s="22" t="n">
        <v>64.81734364939184</v>
      </c>
      <c r="DG55" s="22" t="n">
        <v>66.32997673623258</v>
      </c>
      <c r="DH55" s="22" t="n">
        <v>67.89490046762707</v>
      </c>
      <c r="DI55" s="22" t="n">
        <v>69.44614859923159</v>
      </c>
      <c r="DJ55" s="22" t="n">
        <v>71.02671428567372</v>
      </c>
      <c r="DK55" s="22" t="n">
        <v>72.66841598437024</v>
      </c>
      <c r="DL55" s="22" t="n">
        <v>74.26579448608986</v>
      </c>
      <c r="DM55" s="22" t="n">
        <v>75.84523757765875</v>
      </c>
      <c r="DN55" s="22" t="n">
        <v>77.36610040350249</v>
      </c>
      <c r="DO55" s="22" t="n">
        <v>78.87446122637857</v>
      </c>
    </row>
    <row r="56">
      <c r="A56" s="19" t="inlineStr">
        <is>
          <t>mit.co2.bld.tot</t>
        </is>
      </c>
      <c r="B56" s="3" t="inlineStr">
        <is>
          <t>mit</t>
        </is>
      </c>
      <c r="C56" s="19" t="inlineStr">
        <is>
          <t>mit.co2.res</t>
        </is>
      </c>
      <c r="H56" s="3" t="inlineStr">
        <is>
          <t>CO2 emissions from fuel combustion | Buildings | All fuels</t>
        </is>
      </c>
      <c r="I56" s="3" t="inlineStr">
        <is>
          <t>MtCO2</t>
        </is>
      </c>
      <c r="K56" s="20" t="inlineStr">
        <is>
          <t>egy.mit.co2.bld.tot.1</t>
        </is>
      </c>
      <c r="L56" s="22" t="n">
        <v>15.7288008210566</v>
      </c>
      <c r="M56" s="22" t="n">
        <v>17.98659958509233</v>
      </c>
      <c r="N56" s="22" t="n">
        <v>21.33214789030157</v>
      </c>
      <c r="O56" s="22" t="n">
        <v>21.64866430116274</v>
      </c>
      <c r="P56" s="22" t="n">
        <v>21.95217851806998</v>
      </c>
      <c r="Q56" s="22" t="n">
        <v>22.31205235046091</v>
      </c>
      <c r="R56" s="22" t="n">
        <v>22.73965506464394</v>
      </c>
      <c r="S56" s="22" t="n">
        <v>23.14178485454548</v>
      </c>
      <c r="T56" s="22" t="n">
        <v>23.51049936796375</v>
      </c>
      <c r="U56" s="22" t="n">
        <v>23.87793772597962</v>
      </c>
      <c r="V56" s="22" t="n">
        <v>24.24552586694308</v>
      </c>
      <c r="W56" s="22" t="n">
        <v>24.61320208827409</v>
      </c>
      <c r="X56" s="22" t="n">
        <v>24.98087919222911</v>
      </c>
      <c r="Y56" s="22" t="n">
        <v>25.34847113062727</v>
      </c>
      <c r="Z56" s="22" t="n">
        <v>25.71589288274841</v>
      </c>
      <c r="AA56" s="22" t="n">
        <v>26.08306032618981</v>
      </c>
      <c r="AB56" s="22" t="n">
        <v>26.44989010110426</v>
      </c>
      <c r="AC56" s="22" t="n">
        <v>26.81629946820517</v>
      </c>
      <c r="AD56" s="22" t="n">
        <v>27.18220616088692</v>
      </c>
      <c r="AE56" s="22" t="n">
        <v>27.54752823177419</v>
      </c>
      <c r="AG56" s="20" t="inlineStr">
        <is>
          <t>egy.mit.co2.bld.tot.3</t>
        </is>
      </c>
      <c r="AH56" s="22" t="n">
        <v>15.7288008210566</v>
      </c>
      <c r="AI56" s="22" t="n">
        <v>17.98659958509233</v>
      </c>
      <c r="AJ56" s="22" t="n">
        <v>21.33214789030157</v>
      </c>
      <c r="AK56" s="22" t="n">
        <v>21.64866430116274</v>
      </c>
      <c r="AL56" s="22" t="n">
        <v>21.95217851806998</v>
      </c>
      <c r="AM56" s="22" t="n">
        <v>17.69478099285501</v>
      </c>
      <c r="AN56" s="22" t="n">
        <v>18.04241050296449</v>
      </c>
      <c r="AO56" s="22" t="n">
        <v>18.37432572222937</v>
      </c>
      <c r="AP56" s="22" t="n">
        <v>18.66417057527378</v>
      </c>
      <c r="AQ56" s="22" t="n">
        <v>18.96545977544786</v>
      </c>
      <c r="AR56" s="22" t="n">
        <v>19.26078319925087</v>
      </c>
      <c r="AS56" s="22" t="n">
        <v>19.56643120422278</v>
      </c>
      <c r="AT56" s="22" t="n">
        <v>19.87710508955531</v>
      </c>
      <c r="AU56" s="22" t="n">
        <v>20.18558535158599</v>
      </c>
      <c r="AV56" s="22" t="n">
        <v>20.49619709828643</v>
      </c>
      <c r="AW56" s="22" t="n">
        <v>20.81168761693451</v>
      </c>
      <c r="AX56" s="22" t="n">
        <v>21.12253713029288</v>
      </c>
      <c r="AY56" s="22" t="n">
        <v>21.43075443886312</v>
      </c>
      <c r="AZ56" s="22" t="n">
        <v>21.73295818375617</v>
      </c>
      <c r="BA56" s="22" t="n">
        <v>22.0331645592636</v>
      </c>
      <c r="BC56" s="20" t="inlineStr">
        <is>
          <t>egy.mit.co2.bld.tot.4</t>
        </is>
      </c>
      <c r="BD56" s="22" t="n">
        <v>15.7288008210566</v>
      </c>
      <c r="BE56" s="22" t="n">
        <v>17.98659958509233</v>
      </c>
      <c r="BF56" s="22" t="n">
        <v>21.33214789030157</v>
      </c>
      <c r="BG56" s="22" t="n">
        <v>21.64866430116274</v>
      </c>
      <c r="BH56" s="22" t="n">
        <v>21.95217851806998</v>
      </c>
      <c r="BI56" s="22" t="n">
        <v>19.6476641057043</v>
      </c>
      <c r="BJ56" s="22" t="n">
        <v>17.48752839887297</v>
      </c>
      <c r="BK56" s="22" t="n">
        <v>15.9315006091151</v>
      </c>
      <c r="BL56" s="22" t="n">
        <v>14.72664941968915</v>
      </c>
      <c r="BM56" s="22" t="n">
        <v>13.77511244798515</v>
      </c>
      <c r="BN56" s="22" t="n">
        <v>13.00085060306481</v>
      </c>
      <c r="BO56" s="22" t="n">
        <v>12.3608517759847</v>
      </c>
      <c r="BP56" s="22" t="n">
        <v>11.82499277584435</v>
      </c>
      <c r="BQ56" s="22" t="n">
        <v>11.36934845373077</v>
      </c>
      <c r="BR56" s="22" t="n">
        <v>10.97767358639613</v>
      </c>
      <c r="BS56" s="22" t="n">
        <v>10.63902753715681</v>
      </c>
      <c r="BT56" s="22" t="n">
        <v>10.34279684113069</v>
      </c>
      <c r="BU56" s="22" t="n">
        <v>10.0811296920312</v>
      </c>
      <c r="BV56" s="22" t="n">
        <v>9.846678719920259</v>
      </c>
      <c r="BW56" s="22" t="n">
        <v>9.63487825792963</v>
      </c>
      <c r="BY56" s="20" t="inlineStr">
        <is>
          <t>egy.mit.co2.bld.tot.5</t>
        </is>
      </c>
      <c r="BZ56" s="22" t="n">
        <v>15.7288008210566</v>
      </c>
      <c r="CA56" s="22" t="n">
        <v>17.98659958509233</v>
      </c>
      <c r="CB56" s="22" t="n">
        <v>21.33214789030157</v>
      </c>
      <c r="CC56" s="22" t="n">
        <v>21.64866430116274</v>
      </c>
      <c r="CD56" s="22" t="n">
        <v>21.95217851806998</v>
      </c>
      <c r="CE56" s="22" t="n">
        <v>16.89311559975153</v>
      </c>
      <c r="CF56" s="22" t="n">
        <v>17.22623771122274</v>
      </c>
      <c r="CG56" s="22" t="n">
        <v>17.54368477184923</v>
      </c>
      <c r="CH56" s="22" t="n">
        <v>17.82216085415661</v>
      </c>
      <c r="CI56" s="22" t="n">
        <v>18.1130256767295</v>
      </c>
      <c r="CJ56" s="22" t="n">
        <v>18.39567425693023</v>
      </c>
      <c r="CK56" s="22" t="n">
        <v>18.68942663902286</v>
      </c>
      <c r="CL56" s="22" t="n">
        <v>18.98388650056162</v>
      </c>
      <c r="CM56" s="22" t="n">
        <v>19.27698330139162</v>
      </c>
      <c r="CN56" s="22" t="n">
        <v>19.57203948631414</v>
      </c>
      <c r="CO56" s="22" t="n">
        <v>19.87058802618779</v>
      </c>
      <c r="CP56" s="22" t="n">
        <v>20.16502853192762</v>
      </c>
      <c r="CQ56" s="22" t="n">
        <v>20.45843570444536</v>
      </c>
      <c r="CR56" s="22" t="n">
        <v>20.7472541719221</v>
      </c>
      <c r="CS56" s="22" t="n">
        <v>21.03626757233018</v>
      </c>
      <c r="CU56" s="20" t="inlineStr">
        <is>
          <t>egy.mit.co2.bld.tot.6</t>
        </is>
      </c>
      <c r="CV56" s="22" t="n">
        <v>15.7288008210566</v>
      </c>
      <c r="CW56" s="22" t="n">
        <v>17.98659958509233</v>
      </c>
      <c r="CX56" s="22" t="n">
        <v>21.33214789030157</v>
      </c>
      <c r="CY56" s="22" t="n">
        <v>21.64866430116274</v>
      </c>
      <c r="CZ56" s="22" t="n">
        <v>21.95217851806998</v>
      </c>
      <c r="DA56" s="22" t="n">
        <v>13.94552764891502</v>
      </c>
      <c r="DB56" s="22" t="n">
        <v>14.22393774869442</v>
      </c>
      <c r="DC56" s="22" t="n">
        <v>14.49414608098206</v>
      </c>
      <c r="DD56" s="22" t="n">
        <v>14.71671643749393</v>
      </c>
      <c r="DE56" s="22" t="n">
        <v>14.96083933318436</v>
      </c>
      <c r="DF56" s="22" t="n">
        <v>15.19314916198506</v>
      </c>
      <c r="DG56" s="22" t="n">
        <v>15.4441875502619</v>
      </c>
      <c r="DH56" s="22" t="n">
        <v>15.70243022336544</v>
      </c>
      <c r="DI56" s="22" t="n">
        <v>15.95742175158969</v>
      </c>
      <c r="DJ56" s="22" t="n">
        <v>16.21596697011258</v>
      </c>
      <c r="DK56" s="22" t="n">
        <v>16.48298163330742</v>
      </c>
      <c r="DL56" s="22" t="n">
        <v>16.74206544909557</v>
      </c>
      <c r="DM56" s="22" t="n">
        <v>16.99743294237697</v>
      </c>
      <c r="DN56" s="22" t="n">
        <v>17.24295364930558</v>
      </c>
      <c r="DO56" s="22" t="n">
        <v>17.48581096370595</v>
      </c>
    </row>
    <row r="57">
      <c r="A57" s="19" t="inlineStr">
        <is>
          <t>mit.co2.ind.tot</t>
        </is>
      </c>
      <c r="B57" s="3" t="inlineStr">
        <is>
          <t>mit</t>
        </is>
      </c>
      <c r="C57" s="19" t="inlineStr">
        <is>
          <t>mit.co2.ind</t>
        </is>
      </c>
      <c r="H57" s="3" t="inlineStr">
        <is>
          <t>CO2 emissions from fuel combustion | Industry | All fuels</t>
        </is>
      </c>
      <c r="I57" s="3" t="inlineStr">
        <is>
          <t>MtCO2</t>
        </is>
      </c>
      <c r="K57" s="20" t="inlineStr">
        <is>
          <t>egy.mit.co2.ind.tot.1</t>
        </is>
      </c>
      <c r="L57" s="22" t="n">
        <v>59.91206688646763</v>
      </c>
      <c r="M57" s="22" t="n">
        <v>56.57157683546897</v>
      </c>
      <c r="N57" s="22" t="n">
        <v>66.12149406380868</v>
      </c>
      <c r="O57" s="22" t="n">
        <v>68.57902088166925</v>
      </c>
      <c r="P57" s="22" t="n">
        <v>70.23392787869173</v>
      </c>
      <c r="Q57" s="22" t="n">
        <v>72.45707738550281</v>
      </c>
      <c r="R57" s="22" t="n">
        <v>75.2035411462597</v>
      </c>
      <c r="S57" s="22" t="n">
        <v>77.85994257171706</v>
      </c>
      <c r="T57" s="22" t="n">
        <v>80.37105541649376</v>
      </c>
      <c r="U57" s="22" t="n">
        <v>82.91924135014528</v>
      </c>
      <c r="V57" s="22" t="n">
        <v>85.47721506385116</v>
      </c>
      <c r="W57" s="22" t="n">
        <v>88.08037446985769</v>
      </c>
      <c r="X57" s="22" t="n">
        <v>90.72843772584771</v>
      </c>
      <c r="Y57" s="22" t="n">
        <v>93.42109372854621</v>
      </c>
      <c r="Z57" s="22" t="n">
        <v>96.15800150319687</v>
      </c>
      <c r="AA57" s="22" t="n">
        <v>98.93878949924083</v>
      </c>
      <c r="AB57" s="22" t="n">
        <v>101.7630547884404</v>
      </c>
      <c r="AC57" s="22" t="n">
        <v>104.6303621618468</v>
      </c>
      <c r="AD57" s="22" t="n">
        <v>107.5402431221501</v>
      </c>
      <c r="AE57" s="22" t="n">
        <v>110.4921947680906</v>
      </c>
      <c r="AG57" s="20" t="inlineStr">
        <is>
          <t>egy.mit.co2.ind.tot.3</t>
        </is>
      </c>
      <c r="AH57" s="22" t="n">
        <v>59.91206688646763</v>
      </c>
      <c r="AI57" s="22" t="n">
        <v>56.57157683546897</v>
      </c>
      <c r="AJ57" s="22" t="n">
        <v>66.12149406380868</v>
      </c>
      <c r="AK57" s="22" t="n">
        <v>68.57902088166925</v>
      </c>
      <c r="AL57" s="22" t="n">
        <v>70.23392787869173</v>
      </c>
      <c r="AM57" s="22" t="n">
        <v>60.82986415022759</v>
      </c>
      <c r="AN57" s="22" t="n">
        <v>63.137935031667</v>
      </c>
      <c r="AO57" s="22" t="n">
        <v>65.39842763078663</v>
      </c>
      <c r="AP57" s="22" t="n">
        <v>67.44146820840366</v>
      </c>
      <c r="AQ57" s="22" t="n">
        <v>69.59215543576785</v>
      </c>
      <c r="AR57" s="22" t="n">
        <v>71.71733527036365</v>
      </c>
      <c r="AS57" s="22" t="n">
        <v>73.94640859475048</v>
      </c>
      <c r="AT57" s="22" t="n">
        <v>76.24745097996764</v>
      </c>
      <c r="AU57" s="22" t="n">
        <v>78.57329327742865</v>
      </c>
      <c r="AV57" s="22" t="n">
        <v>80.9532375405466</v>
      </c>
      <c r="AW57" s="22" t="n">
        <v>83.40741163297362</v>
      </c>
      <c r="AX57" s="22" t="n">
        <v>85.86991525827588</v>
      </c>
      <c r="AY57" s="22" t="n">
        <v>88.35393121102422</v>
      </c>
      <c r="AZ57" s="22" t="n">
        <v>90.83401417688017</v>
      </c>
      <c r="BA57" s="22" t="n">
        <v>93.33826850980029</v>
      </c>
      <c r="BC57" s="20" t="inlineStr">
        <is>
          <t>egy.mit.co2.ind.tot.4</t>
        </is>
      </c>
      <c r="BD57" s="22" t="n">
        <v>59.91206688646763</v>
      </c>
      <c r="BE57" s="22" t="n">
        <v>56.57157683546897</v>
      </c>
      <c r="BF57" s="22" t="n">
        <v>66.12149406380868</v>
      </c>
      <c r="BG57" s="22" t="n">
        <v>68.57902088166925</v>
      </c>
      <c r="BH57" s="22" t="n">
        <v>70.23392787869173</v>
      </c>
      <c r="BI57" s="22" t="n">
        <v>65.05657718775478</v>
      </c>
      <c r="BJ57" s="22" t="n">
        <v>59.72587775135401</v>
      </c>
      <c r="BK57" s="22" t="n">
        <v>55.67198821861247</v>
      </c>
      <c r="BL57" s="22" t="n">
        <v>52.38743763432145</v>
      </c>
      <c r="BM57" s="22" t="n">
        <v>50.31452271985722</v>
      </c>
      <c r="BN57" s="22" t="n">
        <v>48.58465389664404</v>
      </c>
      <c r="BO57" s="22" t="n">
        <v>47.16052880781001</v>
      </c>
      <c r="BP57" s="22" t="n">
        <v>45.99564878475861</v>
      </c>
      <c r="BQ57" s="22" t="n">
        <v>45.03542715547642</v>
      </c>
      <c r="BR57" s="22" t="n">
        <v>44.24510894828502</v>
      </c>
      <c r="BS57" s="22" t="n">
        <v>43.60558285144247</v>
      </c>
      <c r="BT57" s="22" t="n">
        <v>43.08535172735412</v>
      </c>
      <c r="BU57" s="22" t="n">
        <v>42.66156903861892</v>
      </c>
      <c r="BV57" s="22" t="n">
        <v>42.30675218458437</v>
      </c>
      <c r="BW57" s="22" t="n">
        <v>42.00770926102573</v>
      </c>
      <c r="BY57" s="20" t="inlineStr">
        <is>
          <t>egy.mit.co2.ind.tot.5</t>
        </is>
      </c>
      <c r="BZ57" s="22" t="n">
        <v>59.91206688646763</v>
      </c>
      <c r="CA57" s="22" t="n">
        <v>56.57157683546897</v>
      </c>
      <c r="CB57" s="22" t="n">
        <v>66.12149406380868</v>
      </c>
      <c r="CC57" s="22" t="n">
        <v>68.57902088166925</v>
      </c>
      <c r="CD57" s="22" t="n">
        <v>70.23392787869173</v>
      </c>
      <c r="CE57" s="22" t="n">
        <v>59.76219819630917</v>
      </c>
      <c r="CF57" s="22" t="n">
        <v>61.61752335361385</v>
      </c>
      <c r="CG57" s="22" t="n">
        <v>63.43699539542072</v>
      </c>
      <c r="CH57" s="22" t="n">
        <v>65.0668353142524</v>
      </c>
      <c r="CI57" s="22" t="n">
        <v>66.82618501569446</v>
      </c>
      <c r="CJ57" s="22" t="n">
        <v>68.5570412550597</v>
      </c>
      <c r="CK57" s="22" t="n">
        <v>70.3969663395776</v>
      </c>
      <c r="CL57" s="22" t="n">
        <v>72.28479688670052</v>
      </c>
      <c r="CM57" s="22" t="n">
        <v>74.20286714787724</v>
      </c>
      <c r="CN57" s="22" t="n">
        <v>76.31172417628683</v>
      </c>
      <c r="CO57" s="22" t="n">
        <v>78.47637595492202</v>
      </c>
      <c r="CP57" s="22" t="n">
        <v>80.64617311215363</v>
      </c>
      <c r="CQ57" s="22" t="n">
        <v>82.84180658922382</v>
      </c>
      <c r="CR57" s="22" t="n">
        <v>85.03671269163857</v>
      </c>
      <c r="CS57" s="22" t="n">
        <v>87.26446800816605</v>
      </c>
      <c r="CU57" s="20" t="inlineStr">
        <is>
          <t>egy.mit.co2.ind.tot.6</t>
        </is>
      </c>
      <c r="CV57" s="22" t="n">
        <v>59.91206688646763</v>
      </c>
      <c r="CW57" s="22" t="n">
        <v>56.57157683546897</v>
      </c>
      <c r="CX57" s="22" t="n">
        <v>66.12149406380868</v>
      </c>
      <c r="CY57" s="22" t="n">
        <v>68.57902088166925</v>
      </c>
      <c r="CZ57" s="22" t="n">
        <v>70.23392787869173</v>
      </c>
      <c r="DA57" s="22" t="n">
        <v>49.58985906038879</v>
      </c>
      <c r="DB57" s="22" t="n">
        <v>51.47535511749405</v>
      </c>
      <c r="DC57" s="22" t="n">
        <v>53.34848306170385</v>
      </c>
      <c r="DD57" s="22" t="n">
        <v>54.95300927950881</v>
      </c>
      <c r="DE57" s="22" t="n">
        <v>56.72450572620615</v>
      </c>
      <c r="DF57" s="22" t="n">
        <v>58.43291378546709</v>
      </c>
      <c r="DG57" s="22" t="n">
        <v>60.29596878294387</v>
      </c>
      <c r="DH57" s="22" t="n">
        <v>62.24093118243061</v>
      </c>
      <c r="DI57" s="22" t="n">
        <v>64.19750417713641</v>
      </c>
      <c r="DJ57" s="22" t="n">
        <v>66.21295987978158</v>
      </c>
      <c r="DK57" s="22" t="n">
        <v>68.32407730023043</v>
      </c>
      <c r="DL57" s="22" t="n">
        <v>70.41396717247339</v>
      </c>
      <c r="DM57" s="22" t="n">
        <v>72.51137675548611</v>
      </c>
      <c r="DN57" s="22" t="n">
        <v>74.56895654387523</v>
      </c>
      <c r="DO57" s="22" t="n">
        <v>76.63853819309311</v>
      </c>
    </row>
    <row r="58">
      <c r="A58" s="19" t="inlineStr">
        <is>
          <t>mit.co2.oen.tot</t>
        </is>
      </c>
      <c r="B58" s="3" t="inlineStr">
        <is>
          <t>mit</t>
        </is>
      </c>
      <c r="C58" s="19" t="inlineStr">
        <is>
          <t>mit.co2.oth</t>
        </is>
      </c>
      <c r="H58" s="3" t="inlineStr">
        <is>
          <t>CO2 emissions from fuel combustion | Other energy use | All fuels</t>
        </is>
      </c>
      <c r="I58" s="3" t="inlineStr">
        <is>
          <t>MtCO2</t>
        </is>
      </c>
      <c r="K58" s="20" t="inlineStr">
        <is>
          <t>egy.mit.co2.oen.tot.1</t>
        </is>
      </c>
      <c r="L58" s="3" t="n">
        <v>0.3063229488548281</v>
      </c>
      <c r="M58" s="3" t="n">
        <v>0.265850680630523</v>
      </c>
      <c r="N58" s="3" t="n">
        <v>0.3047186669871256</v>
      </c>
      <c r="O58" s="3" t="n">
        <v>0.3146251068378721</v>
      </c>
      <c r="P58" s="3" t="n">
        <v>0.3243627014270662</v>
      </c>
      <c r="Q58" s="3" t="n">
        <v>0.3358376206528708</v>
      </c>
      <c r="R58" s="3" t="n">
        <v>0.3494588862517897</v>
      </c>
      <c r="S58" s="3" t="n">
        <v>0.3626222878107423</v>
      </c>
      <c r="T58" s="3" t="n">
        <v>0.375053559657168</v>
      </c>
      <c r="U58" s="3" t="n">
        <v>0.3876710821946238</v>
      </c>
      <c r="V58" s="3" t="n">
        <v>0.4005180774744628</v>
      </c>
      <c r="W58" s="3" t="n">
        <v>0.4135927270313211</v>
      </c>
      <c r="X58" s="3" t="n">
        <v>0.4268930777682688</v>
      </c>
      <c r="Y58" s="3" t="n">
        <v>0.4404170408588691</v>
      </c>
      <c r="Z58" s="3" t="n">
        <v>0.4541623901473024</v>
      </c>
      <c r="AA58" s="3" t="n">
        <v>0.4681267600312733</v>
      </c>
      <c r="AB58" s="3" t="n">
        <v>0.4823076428135258</v>
      </c>
      <c r="AC58" s="3" t="n">
        <v>0.4967023855088037</v>
      </c>
      <c r="AD58" s="3" t="n">
        <v>0.5113081860939609</v>
      </c>
      <c r="AE58" s="3" t="n">
        <v>0.5261220891897347</v>
      </c>
      <c r="AG58" s="20" t="inlineStr">
        <is>
          <t>egy.mit.co2.oen.tot.3</t>
        </is>
      </c>
      <c r="AH58" s="3" t="n">
        <v>0.3063229488548281</v>
      </c>
      <c r="AI58" s="3" t="n">
        <v>0.265850680630523</v>
      </c>
      <c r="AJ58" s="3" t="n">
        <v>0.3047186669871256</v>
      </c>
      <c r="AK58" s="3" t="n">
        <v>0.3146251068378721</v>
      </c>
      <c r="AL58" s="3" t="n">
        <v>0.3243627014270662</v>
      </c>
      <c r="AM58" s="3" t="n">
        <v>0.3358376365714446</v>
      </c>
      <c r="AN58" s="3" t="n">
        <v>0.3494588497900442</v>
      </c>
      <c r="AO58" s="3" t="n">
        <v>0.3627907427871055</v>
      </c>
      <c r="AP58" s="3" t="n">
        <v>0.3748364243583803</v>
      </c>
      <c r="AQ58" s="3" t="n">
        <v>0.3875161346790923</v>
      </c>
      <c r="AR58" s="3" t="n">
        <v>0.4001922792532302</v>
      </c>
      <c r="AS58" s="3" t="n">
        <v>0.4134804336373853</v>
      </c>
      <c r="AT58" s="3" t="n">
        <v>0.4271927370654859</v>
      </c>
      <c r="AU58" s="3" t="n">
        <v>0.4410524496425876</v>
      </c>
      <c r="AV58" s="3" t="n">
        <v>0.4552303463682559</v>
      </c>
      <c r="AW58" s="3" t="n">
        <v>0.4698432406106973</v>
      </c>
      <c r="AX58" s="3" t="n">
        <v>0.48450545059957</v>
      </c>
      <c r="AY58" s="3" t="n">
        <v>0.4992936259057384</v>
      </c>
      <c r="AZ58" s="3" t="n">
        <v>0.5140590527432806</v>
      </c>
      <c r="BA58" s="3" t="n">
        <v>0.5289654224000604</v>
      </c>
      <c r="BC58" s="20" t="inlineStr">
        <is>
          <t>egy.mit.co2.oen.tot.4</t>
        </is>
      </c>
      <c r="BD58" s="3" t="n">
        <v>0.3063229488548281</v>
      </c>
      <c r="BE58" s="3" t="n">
        <v>0.265850680630523</v>
      </c>
      <c r="BF58" s="3" t="n">
        <v>0.3047186669871256</v>
      </c>
      <c r="BG58" s="3" t="n">
        <v>0.3146251068378721</v>
      </c>
      <c r="BH58" s="3" t="n">
        <v>0.3243627014270662</v>
      </c>
      <c r="BI58" s="3" t="n">
        <v>0.3288750771983753</v>
      </c>
      <c r="BJ58" s="3" t="n">
        <v>0.3336442137153996</v>
      </c>
      <c r="BK58" s="3" t="n">
        <v>0.3384511901175071</v>
      </c>
      <c r="BL58" s="3" t="n">
        <v>0.3426925058188151</v>
      </c>
      <c r="BM58" s="3" t="n">
        <v>0.3541221967490954</v>
      </c>
      <c r="BN58" s="3" t="n">
        <v>0.365679147935991</v>
      </c>
      <c r="BO58" s="3" t="n">
        <v>0.3775798574446252</v>
      </c>
      <c r="BP58" s="3" t="n">
        <v>0.3899431750219287</v>
      </c>
      <c r="BQ58" s="3" t="n">
        <v>0.4026984546351524</v>
      </c>
      <c r="BR58" s="3" t="n">
        <v>0.4158462122866438</v>
      </c>
      <c r="BS58" s="3" t="n">
        <v>0.4294667448392607</v>
      </c>
      <c r="BT58" s="3" t="n">
        <v>0.4434643675427483</v>
      </c>
      <c r="BU58" s="3" t="n">
        <v>0.4577743340409589</v>
      </c>
      <c r="BV58" s="3" t="n">
        <v>0.4722338189189327</v>
      </c>
      <c r="BW58" s="3" t="n">
        <v>0.4867967012716747</v>
      </c>
      <c r="BY58" s="20" t="inlineStr">
        <is>
          <t>egy.mit.co2.oen.tot.5</t>
        </is>
      </c>
      <c r="BZ58" s="3" t="n">
        <v>0.3063229488548281</v>
      </c>
      <c r="CA58" s="3" t="n">
        <v>0.265850680630523</v>
      </c>
      <c r="CB58" s="3" t="n">
        <v>0.3047186669871256</v>
      </c>
      <c r="CC58" s="3" t="n">
        <v>0.3146251068378721</v>
      </c>
      <c r="CD58" s="3" t="n">
        <v>0.3243627014270662</v>
      </c>
      <c r="CE58" s="3" t="n">
        <v>0.3358377048763799</v>
      </c>
      <c r="CF58" s="3" t="n">
        <v>0.3494586754375544</v>
      </c>
      <c r="CG58" s="3" t="n">
        <v>0.362765569114967</v>
      </c>
      <c r="CH58" s="3" t="n">
        <v>0.3748345045606881</v>
      </c>
      <c r="CI58" s="3" t="n">
        <v>0.3875933784477487</v>
      </c>
      <c r="CJ58" s="3" t="n">
        <v>0.4002514181707721</v>
      </c>
      <c r="CK58" s="3" t="n">
        <v>0.413569211345709</v>
      </c>
      <c r="CL58" s="3" t="n">
        <v>0.4271438910200877</v>
      </c>
      <c r="CM58" s="3" t="n">
        <v>0.4408915264632557</v>
      </c>
      <c r="CN58" s="3" t="n">
        <v>0.4549498136502781</v>
      </c>
      <c r="CO58" s="3" t="n">
        <v>0.4693884387277201</v>
      </c>
      <c r="CP58" s="3" t="n">
        <v>0.4838852377163031</v>
      </c>
      <c r="CQ58" s="3" t="n">
        <v>0.4985681177475659</v>
      </c>
      <c r="CR58" s="3" t="n">
        <v>0.5132771466341984</v>
      </c>
      <c r="CS58" s="3" t="n">
        <v>0.5282204980723709</v>
      </c>
      <c r="CU58" s="20" t="inlineStr">
        <is>
          <t>egy.mit.co2.oen.tot.6</t>
        </is>
      </c>
      <c r="CV58" s="3" t="n">
        <v>0.3063229488548281</v>
      </c>
      <c r="CW58" s="3" t="n">
        <v>0.265850680630523</v>
      </c>
      <c r="CX58" s="3" t="n">
        <v>0.3047186669871256</v>
      </c>
      <c r="CY58" s="3" t="n">
        <v>0.3146251068378721</v>
      </c>
      <c r="CZ58" s="3" t="n">
        <v>0.3243627014270662</v>
      </c>
      <c r="DA58" s="3" t="n">
        <v>0.3358376568217679</v>
      </c>
      <c r="DB58" s="3" t="n">
        <v>0.3494588031125462</v>
      </c>
      <c r="DC58" s="3" t="n">
        <v>0.3629829370344858</v>
      </c>
      <c r="DD58" s="3" t="n">
        <v>0.3745753282578664</v>
      </c>
      <c r="DE58" s="3" t="n">
        <v>0.3873652701077962</v>
      </c>
      <c r="DF58" s="3" t="n">
        <v>0.3998176872017501</v>
      </c>
      <c r="DG58" s="3" t="n">
        <v>0.413378014556375</v>
      </c>
      <c r="DH58" s="3" t="n">
        <v>0.4275247683024525</v>
      </c>
      <c r="DI58" s="3" t="n">
        <v>0.4417549589485436</v>
      </c>
      <c r="DJ58" s="3" t="n">
        <v>0.4564053011790145</v>
      </c>
      <c r="DK58" s="3" t="n">
        <v>0.471736786543449</v>
      </c>
      <c r="DL58" s="3" t="n">
        <v>0.4869154451639349</v>
      </c>
      <c r="DM58" s="3" t="n">
        <v>0.5021460329556846</v>
      </c>
      <c r="DN58" s="3" t="n">
        <v>0.5170917588449387</v>
      </c>
      <c r="DO58" s="3" t="n">
        <v>0.5321214211627899</v>
      </c>
    </row>
    <row r="59">
      <c r="A59" s="19" t="inlineStr">
        <is>
          <t>mit.co2.pct.all.all</t>
        </is>
      </c>
      <c r="B59" s="3" t="inlineStr">
        <is>
          <t>mit</t>
        </is>
      </c>
      <c r="C59" s="19" t="inlineStr">
        <is>
          <t>mit.co2.tot.red.pct</t>
        </is>
      </c>
      <c r="H59" s="3" t="inlineStr">
        <is>
          <t>Change in CO2 emissions vs scenario 1 | All sectors | All fuels</t>
        </is>
      </c>
      <c r="I59" s="3" t="inlineStr">
        <is>
          <t>%</t>
        </is>
      </c>
      <c r="K59" s="20" t="inlineStr">
        <is>
          <t>egy.mit.co2.pct.all.all.1</t>
        </is>
      </c>
      <c r="L59" s="25" t="n">
        <v>0</v>
      </c>
      <c r="M59" s="25" t="n">
        <v>0</v>
      </c>
      <c r="N59" s="25" t="n">
        <v>0</v>
      </c>
      <c r="O59" s="25" t="n">
        <v>0</v>
      </c>
      <c r="P59" s="25" t="n">
        <v>0</v>
      </c>
      <c r="Q59" s="25" t="n">
        <v>0</v>
      </c>
      <c r="R59" s="25" t="n">
        <v>0</v>
      </c>
      <c r="S59" s="25" t="n">
        <v>0</v>
      </c>
      <c r="T59" s="25" t="n">
        <v>0</v>
      </c>
      <c r="U59" s="25" t="n">
        <v>0</v>
      </c>
      <c r="V59" s="25" t="n">
        <v>0</v>
      </c>
      <c r="W59" s="25" t="n">
        <v>0</v>
      </c>
      <c r="X59" s="25" t="n">
        <v>0</v>
      </c>
      <c r="Y59" s="25" t="n">
        <v>0</v>
      </c>
      <c r="Z59" s="25" t="n">
        <v>0</v>
      </c>
      <c r="AA59" s="25" t="n">
        <v>0</v>
      </c>
      <c r="AB59" s="25" t="n">
        <v>0</v>
      </c>
      <c r="AC59" s="25" t="n">
        <v>0</v>
      </c>
      <c r="AD59" s="25" t="n">
        <v>0</v>
      </c>
      <c r="AE59" s="25" t="n">
        <v>0</v>
      </c>
      <c r="AG59" s="20" t="inlineStr">
        <is>
          <t>egy.mit.co2.pct.all.all.3</t>
        </is>
      </c>
      <c r="AH59" s="25" t="n">
        <v>0</v>
      </c>
      <c r="AI59" s="25" t="n">
        <v>-0.0002580373155491866</v>
      </c>
      <c r="AJ59" s="25" t="n">
        <v>-0.0002121621407289442</v>
      </c>
      <c r="AK59" s="25" t="n">
        <v>-0.0001926059722178186</v>
      </c>
      <c r="AL59" s="25" t="n">
        <v>-0.0001876786029066935</v>
      </c>
      <c r="AM59" s="25" t="n">
        <v>-0.08485788970343922</v>
      </c>
      <c r="AN59" s="25" t="n">
        <v>-0.1207937213305399</v>
      </c>
      <c r="AO59" s="25" t="n">
        <v>-0.1127940083376056</v>
      </c>
      <c r="AP59" s="25" t="n">
        <v>-0.1164755318011536</v>
      </c>
      <c r="AQ59" s="25" t="n">
        <v>-0.1124480538775631</v>
      </c>
      <c r="AR59" s="25" t="n">
        <v>-0.1132550846589184</v>
      </c>
      <c r="AS59" s="25" t="n">
        <v>-0.1108855362500509</v>
      </c>
      <c r="AT59" s="25" t="n">
        <v>-0.1112194562012371</v>
      </c>
      <c r="AU59" s="25" t="n">
        <v>-0.1103213368908567</v>
      </c>
      <c r="AV59" s="25" t="n">
        <v>-0.1093479003649267</v>
      </c>
      <c r="AW59" s="25" t="n">
        <v>-0.10804392076475</v>
      </c>
      <c r="AX59" s="25" t="n">
        <v>-0.1072091992200376</v>
      </c>
      <c r="AY59" s="25" t="n">
        <v>-0.1065534528131917</v>
      </c>
      <c r="AZ59" s="25" t="n">
        <v>-0.1064403796660198</v>
      </c>
      <c r="BA59" s="25" t="n">
        <v>-0.106437136462576</v>
      </c>
      <c r="BC59" s="20" t="inlineStr">
        <is>
          <t>egy.mit.co2.pct.all.all.4</t>
        </is>
      </c>
      <c r="BD59" s="25" t="n">
        <v>0</v>
      </c>
      <c r="BE59" s="25" t="n">
        <v>-0.0008932281334249614</v>
      </c>
      <c r="BF59" s="25" t="n">
        <v>-0.0007343919100095686</v>
      </c>
      <c r="BG59" s="25" t="n">
        <v>-0.0006666683060142509</v>
      </c>
      <c r="BH59" s="25" t="n">
        <v>-0.0006487006215148972</v>
      </c>
      <c r="BI59" s="25" t="n">
        <v>-0.055387734992839</v>
      </c>
      <c r="BJ59" s="25" t="n">
        <v>-0.1300752911754033</v>
      </c>
      <c r="BK59" s="25" t="n">
        <v>-0.2024426480434341</v>
      </c>
      <c r="BL59" s="25" t="n">
        <v>-0.2511432417828948</v>
      </c>
      <c r="BM59" s="25" t="n">
        <v>-0.2765497935662468</v>
      </c>
      <c r="BN59" s="25" t="n">
        <v>-0.3099110827927362</v>
      </c>
      <c r="BO59" s="25" t="n">
        <v>-0.33672407661103</v>
      </c>
      <c r="BP59" s="25" t="n">
        <v>-0.3668649194392402</v>
      </c>
      <c r="BQ59" s="25" t="n">
        <v>-0.390205587356827</v>
      </c>
      <c r="BR59" s="25" t="n">
        <v>-0.4156885046080717</v>
      </c>
      <c r="BS59" s="25" t="n">
        <v>-0.4354077654943441</v>
      </c>
      <c r="BT59" s="25" t="n">
        <v>-0.4577433401026019</v>
      </c>
      <c r="BU59" s="25" t="n">
        <v>-0.4742440866113737</v>
      </c>
      <c r="BV59" s="25" t="n">
        <v>-0.4950601146335992</v>
      </c>
      <c r="BW59" s="25" t="n">
        <v>-0.5083030308445922</v>
      </c>
      <c r="BY59" s="20" t="inlineStr">
        <is>
          <t>egy.mit.co2.pct.all.all.5</t>
        </is>
      </c>
      <c r="BZ59" s="25" t="n">
        <v>0</v>
      </c>
      <c r="CA59" s="25" t="n">
        <v>-0.001515477659718711</v>
      </c>
      <c r="CB59" s="25" t="n">
        <v>-0.00124663247031398</v>
      </c>
      <c r="CC59" s="25" t="n">
        <v>-0.001132264090274337</v>
      </c>
      <c r="CD59" s="25" t="n">
        <v>-0.001102749895205091</v>
      </c>
      <c r="CE59" s="25" t="n">
        <v>-0.09782023504766701</v>
      </c>
      <c r="CF59" s="25" t="n">
        <v>-0.09935522751141124</v>
      </c>
      <c r="CG59" s="25" t="n">
        <v>-0.1002976672110221</v>
      </c>
      <c r="CH59" s="25" t="n">
        <v>-0.1027155970126619</v>
      </c>
      <c r="CI59" s="25" t="n">
        <v>-0.1086923803196946</v>
      </c>
      <c r="CJ59" s="25" t="n">
        <v>-0.1190031309268744</v>
      </c>
      <c r="CK59" s="25" t="n">
        <v>-0.123588334481374</v>
      </c>
      <c r="CL59" s="25" t="n">
        <v>-0.140378823744132</v>
      </c>
      <c r="CM59" s="25" t="n">
        <v>-0.1539079252741204</v>
      </c>
      <c r="CN59" s="25" t="n">
        <v>-0.1655293943770585</v>
      </c>
      <c r="CO59" s="25" t="n">
        <v>-0.1786722484868131</v>
      </c>
      <c r="CP59" s="25" t="n">
        <v>-0.1900519175771207</v>
      </c>
      <c r="CQ59" s="25" t="n">
        <v>-0.2005649156963811</v>
      </c>
      <c r="CR59" s="25" t="n">
        <v>-0.2115138790161043</v>
      </c>
      <c r="CS59" s="25" t="n">
        <v>-0.2210590440952306</v>
      </c>
      <c r="CU59" s="20" t="inlineStr">
        <is>
          <t>egy.mit.co2.pct.all.all.6</t>
        </is>
      </c>
      <c r="CV59" s="25" t="n">
        <v>0</v>
      </c>
      <c r="CW59" s="25" t="n">
        <v>-0.0006155070249347361</v>
      </c>
      <c r="CX59" s="25" t="n">
        <v>-0.0005060657753583886</v>
      </c>
      <c r="CY59" s="25" t="n">
        <v>-0.0004594067560842463</v>
      </c>
      <c r="CZ59" s="25" t="n">
        <v>-0.0004472947916938086</v>
      </c>
      <c r="DA59" s="25" t="n">
        <v>-0.1671469727954044</v>
      </c>
      <c r="DB59" s="25" t="n">
        <v>-0.243204890605219</v>
      </c>
      <c r="DC59" s="25" t="n">
        <v>-0.2339972047890605</v>
      </c>
      <c r="DD59" s="25" t="n">
        <v>-0.245123283191499</v>
      </c>
      <c r="DE59" s="25" t="n">
        <v>-0.2284568668867879</v>
      </c>
      <c r="DF59" s="25" t="n">
        <v>-0.2393040534094381</v>
      </c>
      <c r="DG59" s="25" t="n">
        <v>-0.2413946187849538</v>
      </c>
      <c r="DH59" s="25" t="n">
        <v>-0.2517056945364338</v>
      </c>
      <c r="DI59" s="25" t="n">
        <v>-0.2571473507185214</v>
      </c>
      <c r="DJ59" s="25" t="n">
        <v>-0.2647338315534775</v>
      </c>
      <c r="DK59" s="25" t="n">
        <v>-0.2689732220968872</v>
      </c>
      <c r="DL59" s="25" t="n">
        <v>-0.2757131424373438</v>
      </c>
      <c r="DM59" s="25" t="n">
        <v>-0.2799618826566659</v>
      </c>
      <c r="DN59" s="25" t="n">
        <v>-0.2864451513522346</v>
      </c>
      <c r="DO59" s="25" t="n">
        <v>-0.2907390657238431</v>
      </c>
    </row>
    <row r="60">
      <c r="A60" s="19" t="inlineStr">
        <is>
          <t>mit.ch4.tot</t>
        </is>
      </c>
      <c r="B60" s="3" t="inlineStr">
        <is>
          <t>mit</t>
        </is>
      </c>
      <c r="C60" s="19" t="inlineStr">
        <is>
          <t>mit.ch4.tot</t>
        </is>
      </c>
      <c r="H60" s="3" t="inlineStr">
        <is>
          <t>GHG emissions | All sectors | CH4</t>
        </is>
      </c>
      <c r="I60" s="3" t="inlineStr">
        <is>
          <t>Mt CO2e</t>
        </is>
      </c>
      <c r="K60" s="20" t="inlineStr">
        <is>
          <t>egy.mit.ch4.tot.1</t>
        </is>
      </c>
      <c r="L60" s="22" t="n">
        <v>52.94536186530953</v>
      </c>
      <c r="M60" s="22" t="n">
        <v>55.45282204338682</v>
      </c>
      <c r="N60" s="22" t="n">
        <v>55.86902802889644</v>
      </c>
      <c r="O60" s="22" t="n">
        <v>58.86187412005188</v>
      </c>
      <c r="P60" s="22" t="n">
        <v>59.47478512145509</v>
      </c>
      <c r="Q60" s="22" t="n">
        <v>60.10086751173842</v>
      </c>
      <c r="R60" s="22" t="n">
        <v>60.75229323552946</v>
      </c>
      <c r="S60" s="22" t="n">
        <v>61.39130345769374</v>
      </c>
      <c r="T60" s="22" t="n">
        <v>62.0046145261101</v>
      </c>
      <c r="U60" s="22" t="n">
        <v>62.62550653936977</v>
      </c>
      <c r="V60" s="22" t="n">
        <v>63.23791912795107</v>
      </c>
      <c r="W60" s="22" t="n">
        <v>63.86823322131266</v>
      </c>
      <c r="X60" s="22" t="n">
        <v>64.49299695998907</v>
      </c>
      <c r="Y60" s="22" t="n">
        <v>65.11813181223337</v>
      </c>
      <c r="Z60" s="22" t="n">
        <v>65.74007090415125</v>
      </c>
      <c r="AA60" s="22" t="n">
        <v>66.3599288297967</v>
      </c>
      <c r="AB60" s="22" t="n">
        <v>66.97472942792398</v>
      </c>
      <c r="AC60" s="22" t="n">
        <v>67.58388738920587</v>
      </c>
      <c r="AD60" s="22" t="n">
        <v>68.18442808236875</v>
      </c>
      <c r="AE60" s="22" t="n">
        <v>68.77291505481368</v>
      </c>
      <c r="AG60" s="20" t="inlineStr">
        <is>
          <t>egy.mit.ch4.tot.3</t>
        </is>
      </c>
      <c r="AH60" s="22" t="n">
        <v>52.94536186530953</v>
      </c>
      <c r="AI60" s="22" t="n">
        <v>55.45247304420293</v>
      </c>
      <c r="AJ60" s="22" t="n">
        <v>55.86869185231309</v>
      </c>
      <c r="AK60" s="22" t="n">
        <v>58.86155038489241</v>
      </c>
      <c r="AL60" s="22" t="n">
        <v>59.47446056111416</v>
      </c>
      <c r="AM60" s="22" t="n">
        <v>59.9231526565529</v>
      </c>
      <c r="AN60" s="22" t="n">
        <v>60.49992753827668</v>
      </c>
      <c r="AO60" s="22" t="n">
        <v>61.18179512591622</v>
      </c>
      <c r="AP60" s="22" t="n">
        <v>61.7823961949488</v>
      </c>
      <c r="AQ60" s="22" t="n">
        <v>62.41017279989981</v>
      </c>
      <c r="AR60" s="22" t="n">
        <v>63.0175075810651</v>
      </c>
      <c r="AS60" s="22" t="n">
        <v>63.65085865123692</v>
      </c>
      <c r="AT60" s="22" t="n">
        <v>64.27512628018593</v>
      </c>
      <c r="AU60" s="22" t="n">
        <v>64.9013284875402</v>
      </c>
      <c r="AV60" s="22" t="n">
        <v>65.52530221511292</v>
      </c>
      <c r="AW60" s="22" t="n">
        <v>66.14965567910932</v>
      </c>
      <c r="AX60" s="22" t="n">
        <v>66.76638434820821</v>
      </c>
      <c r="AY60" s="22" t="n">
        <v>67.37626261984504</v>
      </c>
      <c r="AZ60" s="22" t="n">
        <v>67.97429747731923</v>
      </c>
      <c r="BA60" s="22" t="n">
        <v>68.55944022704</v>
      </c>
      <c r="BC60" s="20" t="inlineStr">
        <is>
          <t>egy.mit.ch4.tot.4</t>
        </is>
      </c>
      <c r="BD60" s="22" t="n">
        <v>52.94536186530953</v>
      </c>
      <c r="BE60" s="22" t="n">
        <v>55.4516002989746</v>
      </c>
      <c r="BF60" s="22" t="n">
        <v>55.86785111896653</v>
      </c>
      <c r="BG60" s="22" t="n">
        <v>58.86074071052179</v>
      </c>
      <c r="BH60" s="22" t="n">
        <v>59.47365093120101</v>
      </c>
      <c r="BI60" s="22" t="n">
        <v>59.98545493262773</v>
      </c>
      <c r="BJ60" s="22" t="n">
        <v>60.48953107523005</v>
      </c>
      <c r="BK60" s="22" t="n">
        <v>61.01545090148068</v>
      </c>
      <c r="BL60" s="22" t="n">
        <v>61.56160047331413</v>
      </c>
      <c r="BM60" s="22" t="n">
        <v>62.13131031434398</v>
      </c>
      <c r="BN60" s="22" t="n">
        <v>62.67541174635616</v>
      </c>
      <c r="BO60" s="22" t="n">
        <v>63.24509613476506</v>
      </c>
      <c r="BP60" s="22" t="n">
        <v>63.80430197463456</v>
      </c>
      <c r="BQ60" s="22" t="n">
        <v>64.37740717131774</v>
      </c>
      <c r="BR60" s="22" t="n">
        <v>64.94229267887259</v>
      </c>
      <c r="BS60" s="22" t="n">
        <v>65.51863230382102</v>
      </c>
      <c r="BT60" s="22" t="n">
        <v>66.08332353481555</v>
      </c>
      <c r="BU60" s="22" t="n">
        <v>66.65516507725972</v>
      </c>
      <c r="BV60" s="22" t="n">
        <v>67.20546420319137</v>
      </c>
      <c r="BW60" s="22" t="n">
        <v>67.75958610203365</v>
      </c>
      <c r="BY60" s="20" t="inlineStr">
        <is>
          <t>egy.mit.ch4.tot.5</t>
        </is>
      </c>
      <c r="BZ60" s="22" t="n">
        <v>52.94536186530953</v>
      </c>
      <c r="CA60" s="22" t="n">
        <v>55.45075540743029</v>
      </c>
      <c r="CB60" s="22" t="n">
        <v>55.86703618212214</v>
      </c>
      <c r="CC60" s="22" t="n">
        <v>58.85995482217792</v>
      </c>
      <c r="CD60" s="22" t="n">
        <v>59.47286237388245</v>
      </c>
      <c r="CE60" s="22" t="n">
        <v>59.89898316093109</v>
      </c>
      <c r="CF60" s="22" t="n">
        <v>60.54376800898185</v>
      </c>
      <c r="CG60" s="22" t="n">
        <v>61.17856545564812</v>
      </c>
      <c r="CH60" s="22" t="n">
        <v>61.78073965168603</v>
      </c>
      <c r="CI60" s="22" t="n">
        <v>62.39022980843071</v>
      </c>
      <c r="CJ60" s="22" t="n">
        <v>62.97901595862677</v>
      </c>
      <c r="CK60" s="22" t="n">
        <v>63.59890696257489</v>
      </c>
      <c r="CL60" s="22" t="n">
        <v>64.18691561323909</v>
      </c>
      <c r="CM60" s="22" t="n">
        <v>64.7801645821216</v>
      </c>
      <c r="CN60" s="22" t="n">
        <v>65.37402794567798</v>
      </c>
      <c r="CO60" s="22" t="n">
        <v>65.9624206957785</v>
      </c>
      <c r="CP60" s="22" t="n">
        <v>66.54729813735337</v>
      </c>
      <c r="CQ60" s="22" t="n">
        <v>67.12722759516426</v>
      </c>
      <c r="CR60" s="22" t="n">
        <v>67.69489713028761</v>
      </c>
      <c r="CS60" s="22" t="n">
        <v>68.25308789565899</v>
      </c>
      <c r="CU60" s="20" t="inlineStr">
        <is>
          <t>egy.mit.ch4.tot.6</t>
        </is>
      </c>
      <c r="CV60" s="22" t="n">
        <v>52.94536186530953</v>
      </c>
      <c r="CW60" s="22" t="n">
        <v>55.45198416244683</v>
      </c>
      <c r="CX60" s="22" t="n">
        <v>55.86822091133585</v>
      </c>
      <c r="CY60" s="22" t="n">
        <v>58.86109685085876</v>
      </c>
      <c r="CZ60" s="22" t="n">
        <v>59.47400670164403</v>
      </c>
      <c r="DA60" s="22" t="n">
        <v>59.77501449443795</v>
      </c>
      <c r="DB60" s="22" t="n">
        <v>60.26924342251434</v>
      </c>
      <c r="DC60" s="22" t="n">
        <v>60.9499797348522</v>
      </c>
      <c r="DD60" s="22" t="n">
        <v>61.55616175390666</v>
      </c>
      <c r="DE60" s="22" t="n">
        <v>62.20940293461446</v>
      </c>
      <c r="DF60" s="22" t="n">
        <v>62.79181482573468</v>
      </c>
      <c r="DG60" s="22" t="n">
        <v>63.41360462915065</v>
      </c>
      <c r="DH60" s="22" t="n">
        <v>64.01582399748084</v>
      </c>
      <c r="DI60" s="22" t="n">
        <v>64.62615028754242</v>
      </c>
      <c r="DJ60" s="22" t="n">
        <v>65.22939427509908</v>
      </c>
      <c r="DK60" s="22" t="n">
        <v>65.84115155180473</v>
      </c>
      <c r="DL60" s="22" t="n">
        <v>66.43806725450797</v>
      </c>
      <c r="DM60" s="22" t="n">
        <v>67.03312695275896</v>
      </c>
      <c r="DN60" s="22" t="n">
        <v>67.60950105372535</v>
      </c>
      <c r="DO60" s="22" t="n">
        <v>68.17758942185857</v>
      </c>
    </row>
    <row r="61">
      <c r="A61" s="19" t="inlineStr">
        <is>
          <t>mit.n2o.tot</t>
        </is>
      </c>
      <c r="B61" s="3" t="inlineStr">
        <is>
          <t>mit</t>
        </is>
      </c>
      <c r="C61" s="19" t="inlineStr">
        <is>
          <t>mit.nox.tot</t>
        </is>
      </c>
      <c r="H61" s="3" t="inlineStr">
        <is>
          <t>GHG emissions | All sectors | N2O</t>
        </is>
      </c>
      <c r="I61" s="3" t="inlineStr">
        <is>
          <t>Mt CO2e</t>
        </is>
      </c>
      <c r="K61" s="20" t="inlineStr">
        <is>
          <t>egy.mit.n2o.tot.1</t>
        </is>
      </c>
      <c r="L61" s="22" t="n">
        <v>28.48838948366082</v>
      </c>
      <c r="M61" s="22" t="n">
        <v>28.57724069747005</v>
      </c>
      <c r="N61" s="22" t="n">
        <v>28.03379934356778</v>
      </c>
      <c r="O61" s="22" t="n">
        <v>28.61010090649793</v>
      </c>
      <c r="P61" s="22" t="n">
        <v>29.11737910671844</v>
      </c>
      <c r="Q61" s="22" t="n">
        <v>29.6593973619625</v>
      </c>
      <c r="R61" s="22" t="n">
        <v>30.24629650557873</v>
      </c>
      <c r="S61" s="22" t="n">
        <v>30.8260187097009</v>
      </c>
      <c r="T61" s="22" t="n">
        <v>31.38697808979838</v>
      </c>
      <c r="U61" s="22" t="n">
        <v>31.93598234777659</v>
      </c>
      <c r="V61" s="22" t="n">
        <v>32.48720287801169</v>
      </c>
      <c r="W61" s="22" t="n">
        <v>33.05712879578576</v>
      </c>
      <c r="X61" s="22" t="n">
        <v>33.62902970612329</v>
      </c>
      <c r="Y61" s="22" t="n">
        <v>34.20733244805493</v>
      </c>
      <c r="Z61" s="22" t="n">
        <v>34.78965887862064</v>
      </c>
      <c r="AA61" s="22" t="n">
        <v>35.3767035594144</v>
      </c>
      <c r="AB61" s="22" t="n">
        <v>35.96695273399288</v>
      </c>
      <c r="AC61" s="22" t="n">
        <v>36.56008842638518</v>
      </c>
      <c r="AD61" s="22" t="n">
        <v>37.15476200967564</v>
      </c>
      <c r="AE61" s="22" t="n">
        <v>37.74937150716659</v>
      </c>
      <c r="AG61" s="20" t="inlineStr">
        <is>
          <t>egy.mit.n2o.tot.3</t>
        </is>
      </c>
      <c r="AH61" s="22" t="n">
        <v>28.48838948366082</v>
      </c>
      <c r="AI61" s="22" t="n">
        <v>28.57724069747005</v>
      </c>
      <c r="AJ61" s="22" t="n">
        <v>28.03379934356778</v>
      </c>
      <c r="AK61" s="22" t="n">
        <v>28.61012580736664</v>
      </c>
      <c r="AL61" s="22" t="n">
        <v>29.11741111487563</v>
      </c>
      <c r="AM61" s="22" t="n">
        <v>29.38272288100126</v>
      </c>
      <c r="AN61" s="22" t="n">
        <v>29.91044961218505</v>
      </c>
      <c r="AO61" s="22" t="n">
        <v>30.4935163168526</v>
      </c>
      <c r="AP61" s="22" t="n">
        <v>31.03364871047031</v>
      </c>
      <c r="AQ61" s="22" t="n">
        <v>31.58197015677769</v>
      </c>
      <c r="AR61" s="22" t="n">
        <v>32.12204567816222</v>
      </c>
      <c r="AS61" s="22" t="n">
        <v>32.68987839666441</v>
      </c>
      <c r="AT61" s="22" t="n">
        <v>33.25883418903176</v>
      </c>
      <c r="AU61" s="22" t="n">
        <v>33.83443177691073</v>
      </c>
      <c r="AV61" s="22" t="n">
        <v>34.41544365602053</v>
      </c>
      <c r="AW61" s="22" t="n">
        <v>35.00468641013678</v>
      </c>
      <c r="AX61" s="22" t="n">
        <v>35.59362802275733</v>
      </c>
      <c r="AY61" s="22" t="n">
        <v>36.18364143195112</v>
      </c>
      <c r="AZ61" s="22" t="n">
        <v>36.77067591159454</v>
      </c>
      <c r="BA61" s="22" t="n">
        <v>37.35631928852192</v>
      </c>
      <c r="BC61" s="20" t="inlineStr">
        <is>
          <t>egy.mit.n2o.tot.4</t>
        </is>
      </c>
      <c r="BD61" s="22" t="n">
        <v>28.48838948366082</v>
      </c>
      <c r="BE61" s="22" t="n">
        <v>28.57724069747005</v>
      </c>
      <c r="BF61" s="22" t="n">
        <v>28.03379934356778</v>
      </c>
      <c r="BG61" s="22" t="n">
        <v>28.61018718402689</v>
      </c>
      <c r="BH61" s="22" t="n">
        <v>29.11749119238543</v>
      </c>
      <c r="BI61" s="22" t="n">
        <v>29.48221770598299</v>
      </c>
      <c r="BJ61" s="22" t="n">
        <v>29.85039127198336</v>
      </c>
      <c r="BK61" s="22" t="n">
        <v>30.22926991020831</v>
      </c>
      <c r="BL61" s="22" t="n">
        <v>30.62998189274044</v>
      </c>
      <c r="BM61" s="22" t="n">
        <v>31.07121875836548</v>
      </c>
      <c r="BN61" s="22" t="n">
        <v>31.50609153225511</v>
      </c>
      <c r="BO61" s="22" t="n">
        <v>31.96928786661583</v>
      </c>
      <c r="BP61" s="22" t="n">
        <v>32.43543943919288</v>
      </c>
      <c r="BQ61" s="22" t="n">
        <v>32.92087740728061</v>
      </c>
      <c r="BR61" s="22" t="n">
        <v>33.40969732822536</v>
      </c>
      <c r="BS61" s="22" t="n">
        <v>33.91590266037066</v>
      </c>
      <c r="BT61" s="22" t="n">
        <v>34.42275867878757</v>
      </c>
      <c r="BU61" s="22" t="n">
        <v>34.94272555251435</v>
      </c>
      <c r="BV61" s="22" t="n">
        <v>35.45495351367595</v>
      </c>
      <c r="BW61" s="22" t="n">
        <v>35.97752598532027</v>
      </c>
      <c r="BY61" s="20" t="inlineStr">
        <is>
          <t>egy.mit.n2o.tot.5</t>
        </is>
      </c>
      <c r="BZ61" s="22" t="n">
        <v>28.48838948366082</v>
      </c>
      <c r="CA61" s="22" t="n">
        <v>28.57724069747005</v>
      </c>
      <c r="CB61" s="22" t="n">
        <v>28.03379934356778</v>
      </c>
      <c r="CC61" s="22" t="n">
        <v>28.61024668258545</v>
      </c>
      <c r="CD61" s="22" t="n">
        <v>29.11756740410533</v>
      </c>
      <c r="CE61" s="22" t="n">
        <v>29.35160845934724</v>
      </c>
      <c r="CF61" s="22" t="n">
        <v>29.92002909348151</v>
      </c>
      <c r="CG61" s="22" t="n">
        <v>30.48474356264117</v>
      </c>
      <c r="CH61" s="22" t="n">
        <v>31.02166789194057</v>
      </c>
      <c r="CI61" s="22" t="n">
        <v>31.55109214074986</v>
      </c>
      <c r="CJ61" s="22" t="n">
        <v>32.07132424015182</v>
      </c>
      <c r="CK61" s="22" t="n">
        <v>32.62339916205963</v>
      </c>
      <c r="CL61" s="22" t="n">
        <v>33.15907628460412</v>
      </c>
      <c r="CM61" s="22" t="n">
        <v>33.70405625642371</v>
      </c>
      <c r="CN61" s="22" t="n">
        <v>34.25839441743592</v>
      </c>
      <c r="CO61" s="22" t="n">
        <v>34.81627747865561</v>
      </c>
      <c r="CP61" s="22" t="n">
        <v>35.37678714716954</v>
      </c>
      <c r="CQ61" s="22" t="n">
        <v>35.94019732349261</v>
      </c>
      <c r="CR61" s="22" t="n">
        <v>36.50073335176139</v>
      </c>
      <c r="CS61" s="22" t="n">
        <v>37.06302608240079</v>
      </c>
      <c r="CU61" s="20" t="inlineStr">
        <is>
          <t>egy.mit.n2o.tot.6</t>
        </is>
      </c>
      <c r="CV61" s="22" t="n">
        <v>28.48838948366082</v>
      </c>
      <c r="CW61" s="22" t="n">
        <v>28.57724069747005</v>
      </c>
      <c r="CX61" s="22" t="n">
        <v>28.03379934356778</v>
      </c>
      <c r="CY61" s="22" t="n">
        <v>28.61016033489554</v>
      </c>
      <c r="CZ61" s="22" t="n">
        <v>29.11745596260642</v>
      </c>
      <c r="DA61" s="22" t="n">
        <v>29.11497065683572</v>
      </c>
      <c r="DB61" s="22" t="n">
        <v>29.57803552377526</v>
      </c>
      <c r="DC61" s="22" t="n">
        <v>30.15517752926219</v>
      </c>
      <c r="DD61" s="22" t="n">
        <v>30.66822662500842</v>
      </c>
      <c r="DE61" s="22" t="n">
        <v>31.22924461971981</v>
      </c>
      <c r="DF61" s="22" t="n">
        <v>31.74393043638839</v>
      </c>
      <c r="DG61" s="22" t="n">
        <v>32.29985370137404</v>
      </c>
      <c r="DH61" s="22" t="n">
        <v>32.8506507499191</v>
      </c>
      <c r="DI61" s="22" t="n">
        <v>33.41173475823823</v>
      </c>
      <c r="DJ61" s="22" t="n">
        <v>33.97549719480174</v>
      </c>
      <c r="DK61" s="22" t="n">
        <v>34.55500476378302</v>
      </c>
      <c r="DL61" s="22" t="n">
        <v>35.12731024412652</v>
      </c>
      <c r="DM61" s="22" t="n">
        <v>35.70341233954495</v>
      </c>
      <c r="DN61" s="22" t="n">
        <v>36.26948498527575</v>
      </c>
      <c r="DO61" s="22" t="n">
        <v>36.8368025239999</v>
      </c>
    </row>
    <row r="62">
      <c r="A62" s="19" t="inlineStr">
        <is>
          <t>mit.fga.tot</t>
        </is>
      </c>
      <c r="B62" s="3" t="inlineStr">
        <is>
          <t>mit</t>
        </is>
      </c>
      <c r="C62" s="19" t="inlineStr">
        <is>
          <t>mit.fga.tot</t>
        </is>
      </c>
      <c r="H62" s="3" t="inlineStr">
        <is>
          <t>GHG emissions | All sectors | F-gases</t>
        </is>
      </c>
      <c r="I62" s="3" t="inlineStr">
        <is>
          <t>Mt CO2e</t>
        </is>
      </c>
      <c r="K62" s="20" t="inlineStr">
        <is>
          <t>egy.mit.fga.tot.1</t>
        </is>
      </c>
      <c r="L62" s="3" t="n">
        <v>11.6991507578219</v>
      </c>
      <c r="M62" s="3" t="n">
        <v>12.2250407871263</v>
      </c>
      <c r="N62" s="3" t="n">
        <v>12.6057926510307</v>
      </c>
      <c r="O62" s="3" t="n">
        <v>13.07431009666498</v>
      </c>
      <c r="P62" s="3" t="n">
        <v>13.38981135320152</v>
      </c>
      <c r="Q62" s="3" t="n">
        <v>13.81364572222012</v>
      </c>
      <c r="R62" s="3" t="n">
        <v>14.33724781533467</v>
      </c>
      <c r="S62" s="3" t="n">
        <v>14.84367989224604</v>
      </c>
      <c r="T62" s="3" t="n">
        <v>15.32241329494332</v>
      </c>
      <c r="U62" s="3" t="n">
        <v>15.80821453054284</v>
      </c>
      <c r="V62" s="3" t="n">
        <v>16.29588176641391</v>
      </c>
      <c r="W62" s="3" t="n">
        <v>16.79216346987982</v>
      </c>
      <c r="X62" s="3" t="n">
        <v>17.29700590885451</v>
      </c>
      <c r="Y62" s="3" t="n">
        <v>17.81034977276985</v>
      </c>
      <c r="Z62" s="3" t="n">
        <v>18.33213005618186</v>
      </c>
      <c r="AA62" s="3" t="n">
        <v>18.86227592449478</v>
      </c>
      <c r="AB62" s="3" t="n">
        <v>19.40071056108658</v>
      </c>
      <c r="AC62" s="3" t="n">
        <v>19.94735099514955</v>
      </c>
      <c r="AD62" s="3" t="n">
        <v>20.50210790958598</v>
      </c>
      <c r="AE62" s="3" t="n">
        <v>21.06488542832572</v>
      </c>
      <c r="AG62" s="20" t="inlineStr">
        <is>
          <t>egy.mit.fga.tot.3</t>
        </is>
      </c>
      <c r="AH62" s="3" t="n">
        <v>11.6991507578219</v>
      </c>
      <c r="AI62" s="3" t="n">
        <v>12.2250407871263</v>
      </c>
      <c r="AJ62" s="3" t="n">
        <v>12.6057926510307</v>
      </c>
      <c r="AK62" s="3" t="n">
        <v>13.07431009666498</v>
      </c>
      <c r="AL62" s="3" t="n">
        <v>13.38981135320152</v>
      </c>
      <c r="AM62" s="3" t="n">
        <v>11.59696503119164</v>
      </c>
      <c r="AN62" s="3" t="n">
        <v>12.03698931326895</v>
      </c>
      <c r="AO62" s="3" t="n">
        <v>12.46794299024112</v>
      </c>
      <c r="AP62" s="3" t="n">
        <v>12.85744032788792</v>
      </c>
      <c r="AQ62" s="3" t="n">
        <v>13.26746005943255</v>
      </c>
      <c r="AR62" s="3" t="n">
        <v>13.67261691077674</v>
      </c>
      <c r="AS62" s="3" t="n">
        <v>14.09758063140967</v>
      </c>
      <c r="AT62" s="3" t="n">
        <v>14.53626495940275</v>
      </c>
      <c r="AU62" s="3" t="n">
        <v>14.97967728932525</v>
      </c>
      <c r="AV62" s="3" t="n">
        <v>15.43340393792341</v>
      </c>
      <c r="AW62" s="3" t="n">
        <v>15.90128220015402</v>
      </c>
      <c r="AX62" s="3" t="n">
        <v>16.37074845379033</v>
      </c>
      <c r="AY62" s="3" t="n">
        <v>16.84431594474842</v>
      </c>
      <c r="AZ62" s="3" t="n">
        <v>17.31713362782683</v>
      </c>
      <c r="BA62" s="3" t="n">
        <v>17.79455948326459</v>
      </c>
      <c r="BC62" s="20" t="inlineStr">
        <is>
          <t>egy.mit.fga.tot.4</t>
        </is>
      </c>
      <c r="BD62" s="3" t="n">
        <v>11.6991507578219</v>
      </c>
      <c r="BE62" s="3" t="n">
        <v>12.2250407871263</v>
      </c>
      <c r="BF62" s="3" t="n">
        <v>12.6057926510307</v>
      </c>
      <c r="BG62" s="3" t="n">
        <v>13.07431009666498</v>
      </c>
      <c r="BH62" s="3" t="n">
        <v>13.38981135320152</v>
      </c>
      <c r="BI62" s="3" t="n">
        <v>12.40277060018042</v>
      </c>
      <c r="BJ62" s="3" t="n">
        <v>11.38649453546556</v>
      </c>
      <c r="BK62" s="3" t="n">
        <v>10.61363706145555</v>
      </c>
      <c r="BL62" s="3" t="n">
        <v>9.987450914218186</v>
      </c>
      <c r="BM62" s="3" t="n">
        <v>9.592258156326956</v>
      </c>
      <c r="BN62" s="3" t="n">
        <v>9.262465733943635</v>
      </c>
      <c r="BO62" s="3" t="n">
        <v>8.990962105159202</v>
      </c>
      <c r="BP62" s="3" t="n">
        <v>8.768882488813219</v>
      </c>
      <c r="BQ62" s="3" t="n">
        <v>8.585820158943825</v>
      </c>
      <c r="BR62" s="3" t="n">
        <v>8.435149222219755</v>
      </c>
      <c r="BS62" s="3" t="n">
        <v>8.313226185151954</v>
      </c>
      <c r="BT62" s="3" t="n">
        <v>8.214046247164744</v>
      </c>
      <c r="BU62" s="3" t="n">
        <v>8.133253809260406</v>
      </c>
      <c r="BV62" s="3" t="n">
        <v>8.065609425926684</v>
      </c>
      <c r="BW62" s="3" t="n">
        <v>8.008598114529208</v>
      </c>
      <c r="BY62" s="20" t="inlineStr">
        <is>
          <t>egy.mit.fga.tot.5</t>
        </is>
      </c>
      <c r="BZ62" s="3" t="n">
        <v>11.6991507578219</v>
      </c>
      <c r="CA62" s="3" t="n">
        <v>12.2250407871263</v>
      </c>
      <c r="CB62" s="3" t="n">
        <v>12.6057926510307</v>
      </c>
      <c r="CC62" s="3" t="n">
        <v>13.07431009666498</v>
      </c>
      <c r="CD62" s="3" t="n">
        <v>13.38981135320152</v>
      </c>
      <c r="CE62" s="3" t="n">
        <v>11.39341887988005</v>
      </c>
      <c r="CF62" s="3" t="n">
        <v>11.74712903970575</v>
      </c>
      <c r="CG62" s="3" t="n">
        <v>12.09400394956836</v>
      </c>
      <c r="CH62" s="3" t="n">
        <v>12.40472627007942</v>
      </c>
      <c r="CI62" s="3" t="n">
        <v>12.74013910142937</v>
      </c>
      <c r="CJ62" s="3" t="n">
        <v>13.07011977066721</v>
      </c>
      <c r="CK62" s="3" t="n">
        <v>13.42089396954542</v>
      </c>
      <c r="CL62" s="3" t="n">
        <v>13.7808011491132</v>
      </c>
      <c r="CM62" s="3" t="n">
        <v>14.14647340659681</v>
      </c>
      <c r="CN62" s="3" t="n">
        <v>14.54851838164148</v>
      </c>
      <c r="CO62" s="3" t="n">
        <v>14.96120039782259</v>
      </c>
      <c r="CP62" s="3" t="n">
        <v>15.37486335940755</v>
      </c>
      <c r="CQ62" s="3" t="n">
        <v>15.79345190979479</v>
      </c>
      <c r="CR62" s="3" t="n">
        <v>16.21190178917625</v>
      </c>
      <c r="CS62" s="3" t="n">
        <v>16.63661423699656</v>
      </c>
      <c r="CU62" s="20" t="inlineStr">
        <is>
          <t>egy.mit.fga.tot.6</t>
        </is>
      </c>
      <c r="CV62" s="3" t="n">
        <v>11.6991507578219</v>
      </c>
      <c r="CW62" s="3" t="n">
        <v>12.2250407871263</v>
      </c>
      <c r="CX62" s="3" t="n">
        <v>12.6057926510307</v>
      </c>
      <c r="CY62" s="3" t="n">
        <v>13.07431009666498</v>
      </c>
      <c r="CZ62" s="3" t="n">
        <v>13.38981135320152</v>
      </c>
      <c r="DA62" s="3" t="n">
        <v>9.454103990842119</v>
      </c>
      <c r="DB62" s="3" t="n">
        <v>9.813566109427461</v>
      </c>
      <c r="DC62" s="3" t="n">
        <v>10.1706702978291</v>
      </c>
      <c r="DD62" s="3" t="n">
        <v>10.47656666467878</v>
      </c>
      <c r="DE62" s="3" t="n">
        <v>10.81429522337642</v>
      </c>
      <c r="DF62" s="3" t="n">
        <v>11.13999623880735</v>
      </c>
      <c r="DG62" s="3" t="n">
        <v>11.49518006107542</v>
      </c>
      <c r="DH62" s="3" t="n">
        <v>11.8659791948385</v>
      </c>
      <c r="DI62" s="3" t="n">
        <v>12.23899184113573</v>
      </c>
      <c r="DJ62" s="3" t="n">
        <v>12.6232302350892</v>
      </c>
      <c r="DK62" s="3" t="n">
        <v>13.02570614463952</v>
      </c>
      <c r="DL62" s="3" t="n">
        <v>13.4241351088665</v>
      </c>
      <c r="DM62" s="3" t="n">
        <v>13.82399767522394</v>
      </c>
      <c r="DN62" s="3" t="n">
        <v>14.21626685399287</v>
      </c>
      <c r="DO62" s="3" t="n">
        <v>14.6108241384856</v>
      </c>
    </row>
    <row r="63">
      <c r="A63" s="14" t="n"/>
      <c r="B63" s="3" t="inlineStr">
        <is>
          <t>mit</t>
        </is>
      </c>
      <c r="C63" s="19" t="inlineStr">
        <is>
          <t>mit.ghg.tot.inc.ch4</t>
        </is>
      </c>
      <c r="H63" s="14" t="inlineStr">
        <is>
          <t>Total methane, incl. LULUCF (baseline)</t>
        </is>
      </c>
      <c r="I63" s="14" t="inlineStr">
        <is>
          <t>mtco2e</t>
        </is>
      </c>
    </row>
    <row r="64">
      <c r="A64" s="19" t="inlineStr">
        <is>
          <t>mit.ghg.enr.ch4</t>
        </is>
      </c>
      <c r="B64" s="3" t="inlineStr">
        <is>
          <t>mit</t>
        </is>
      </c>
      <c r="C64" s="19" t="inlineStr">
        <is>
          <t>mit.ghg.enr.ch4</t>
        </is>
      </c>
      <c r="H64" s="3" t="inlineStr">
        <is>
          <t>GHG emissions | Energy | CH4</t>
        </is>
      </c>
      <c r="I64" s="3" t="inlineStr">
        <is>
          <t>Mt CO2e</t>
        </is>
      </c>
      <c r="K64" s="20" t="inlineStr">
        <is>
          <t>egy.mit.ghg.enr.ch4.1</t>
        </is>
      </c>
      <c r="L64" s="3" t="n">
        <v>1.776082236756628</v>
      </c>
      <c r="M64" s="3" t="n">
        <v>1.698295226288005</v>
      </c>
      <c r="N64" s="3" t="n">
        <v>1.9748123586723</v>
      </c>
      <c r="O64" s="3" t="n">
        <v>2.040833994481005</v>
      </c>
      <c r="P64" s="3" t="n">
        <v>2.053257922886598</v>
      </c>
      <c r="Q64" s="3" t="n">
        <v>2.061514115781198</v>
      </c>
      <c r="R64" s="3" t="n">
        <v>2.072879477457227</v>
      </c>
      <c r="S64" s="3" t="n">
        <v>2.082632629037432</v>
      </c>
      <c r="T64" s="3" t="n">
        <v>2.080960887846683</v>
      </c>
      <c r="U64" s="3" t="n">
        <v>2.089635842715973</v>
      </c>
      <c r="V64" s="3" t="n">
        <v>2.091323410010716</v>
      </c>
      <c r="W64" s="3" t="n">
        <v>2.113311798167837</v>
      </c>
      <c r="X64" s="3" t="n">
        <v>2.130496846528293</v>
      </c>
      <c r="Y64" s="3" t="n">
        <v>2.150802262249226</v>
      </c>
      <c r="Z64" s="3" t="n">
        <v>2.170909296845678</v>
      </c>
      <c r="AA64" s="3" t="n">
        <v>2.190835807102671</v>
      </c>
      <c r="AB64" s="3" t="n">
        <v>2.210878311517982</v>
      </c>
      <c r="AC64" s="3" t="n">
        <v>2.231055213393089</v>
      </c>
      <c r="AD64" s="3" t="n">
        <v>2.251450591235084</v>
      </c>
      <c r="AE64" s="3" t="n">
        <v>2.272091784930012</v>
      </c>
      <c r="AG64" s="20" t="inlineStr">
        <is>
          <t>egy.mit.ghg.enr.ch4.3</t>
        </is>
      </c>
      <c r="AH64" s="3" t="n">
        <v>1.776082236756628</v>
      </c>
      <c r="AI64" s="3" t="n">
        <v>1.697946227104104</v>
      </c>
      <c r="AJ64" s="3" t="n">
        <v>1.974476182088958</v>
      </c>
      <c r="AK64" s="3" t="n">
        <v>2.040510259321533</v>
      </c>
      <c r="AL64" s="3" t="n">
        <v>2.052933362545671</v>
      </c>
      <c r="AM64" s="3" t="n">
        <v>1.913000679644778</v>
      </c>
      <c r="AN64" s="3" t="n">
        <v>1.850816755278517</v>
      </c>
      <c r="AO64" s="3" t="n">
        <v>1.902724197598699</v>
      </c>
      <c r="AP64" s="3" t="n">
        <v>1.893399798758217</v>
      </c>
      <c r="AQ64" s="3" t="n">
        <v>1.909301885877843</v>
      </c>
      <c r="AR64" s="3" t="n">
        <v>1.908620097217443</v>
      </c>
      <c r="AS64" s="3" t="n">
        <v>1.932494174385198</v>
      </c>
      <c r="AT64" s="3" t="n">
        <v>1.94618808756791</v>
      </c>
      <c r="AU64" s="3" t="n">
        <v>1.965455734457538</v>
      </c>
      <c r="AV64" s="3" t="n">
        <v>1.984704795948566</v>
      </c>
      <c r="AW64" s="3" t="n">
        <v>2.004382238316502</v>
      </c>
      <c r="AX64" s="3" t="n">
        <v>2.023350445646157</v>
      </c>
      <c r="AY64" s="3" t="n">
        <v>2.0421898537839</v>
      </c>
      <c r="AZ64" s="3" t="n">
        <v>2.060211368221803</v>
      </c>
      <c r="BA64" s="3" t="n">
        <v>2.078276981483727</v>
      </c>
      <c r="BC64" s="20" t="inlineStr">
        <is>
          <t>egy.mit.ghg.enr.ch4.4</t>
        </is>
      </c>
      <c r="BD64" s="3" t="n">
        <v>1.776082236756628</v>
      </c>
      <c r="BE64" s="3" t="n">
        <v>1.697073481875778</v>
      </c>
      <c r="BF64" s="3" t="n">
        <v>1.973635448742402</v>
      </c>
      <c r="BG64" s="3" t="n">
        <v>2.039700584950915</v>
      </c>
      <c r="BH64" s="3" t="n">
        <v>2.052123732632519</v>
      </c>
      <c r="BI64" s="3" t="n">
        <v>1.964687265321379</v>
      </c>
      <c r="BJ64" s="3" t="n">
        <v>1.848990445288501</v>
      </c>
      <c r="BK64" s="3" t="n">
        <v>1.761542317927723</v>
      </c>
      <c r="BL64" s="3" t="n">
        <v>1.708450587410633</v>
      </c>
      <c r="BM64" s="3" t="n">
        <v>1.678619163609617</v>
      </c>
      <c r="BN64" s="3" t="n">
        <v>1.624666964986772</v>
      </c>
      <c r="BO64" s="3" t="n">
        <v>1.596560991992879</v>
      </c>
      <c r="BP64" s="3" t="n">
        <v>1.555548493159475</v>
      </c>
      <c r="BQ64" s="3" t="n">
        <v>1.528978346818293</v>
      </c>
      <c r="BR64" s="3" t="n">
        <v>1.495140030561938</v>
      </c>
      <c r="BS64" s="3" t="n">
        <v>1.471955377244477</v>
      </c>
      <c r="BT64" s="3" t="n">
        <v>1.440698456323571</v>
      </c>
      <c r="BU64" s="3" t="n">
        <v>1.421491918369876</v>
      </c>
      <c r="BV64" s="3" t="n">
        <v>1.390285079363919</v>
      </c>
      <c r="BW64" s="3" t="n">
        <v>1.376294340721848</v>
      </c>
      <c r="BY64" s="20" t="inlineStr">
        <is>
          <t>egy.mit.ghg.enr.ch4.5</t>
        </is>
      </c>
      <c r="BZ64" s="3" t="n">
        <v>1.776082236756628</v>
      </c>
      <c r="CA64" s="3" t="n">
        <v>1.696228590331476</v>
      </c>
      <c r="CB64" s="3" t="n">
        <v>1.972820511898005</v>
      </c>
      <c r="CC64" s="3" t="n">
        <v>2.038914696607039</v>
      </c>
      <c r="CD64" s="3" t="n">
        <v>2.051335175313955</v>
      </c>
      <c r="CE64" s="3" t="n">
        <v>1.8915119038546</v>
      </c>
      <c r="CF64" s="3" t="n">
        <v>1.898477503205972</v>
      </c>
      <c r="CG64" s="3" t="n">
        <v>1.904674182401168</v>
      </c>
      <c r="CH64" s="3" t="n">
        <v>1.897723491293731</v>
      </c>
      <c r="CI64" s="3" t="n">
        <v>1.895542883959095</v>
      </c>
      <c r="CJ64" s="3" t="n">
        <v>1.877492746968803</v>
      </c>
      <c r="CK64" s="3" t="n">
        <v>1.888614035665217</v>
      </c>
      <c r="CL64" s="3" t="n">
        <v>1.868387972834608</v>
      </c>
      <c r="CM64" s="3" t="n">
        <v>1.856745438060932</v>
      </c>
      <c r="CN64" s="3" t="n">
        <v>1.847614228960196</v>
      </c>
      <c r="CO64" s="3" t="n">
        <v>1.833551989200291</v>
      </c>
      <c r="CP64" s="3" t="n">
        <v>1.822767669104892</v>
      </c>
      <c r="CQ64" s="3" t="n">
        <v>1.813183562805532</v>
      </c>
      <c r="CR64" s="3" t="n">
        <v>1.80191908472674</v>
      </c>
      <c r="CS64" s="3" t="n">
        <v>1.793304397711796</v>
      </c>
      <c r="CU64" s="20" t="inlineStr">
        <is>
          <t>egy.mit.ghg.enr.ch4.6</t>
        </is>
      </c>
      <c r="CV64" s="3" t="n">
        <v>1.776082236756628</v>
      </c>
      <c r="CW64" s="3" t="n">
        <v>1.697457345348011</v>
      </c>
      <c r="CX64" s="3" t="n">
        <v>1.974005241111715</v>
      </c>
      <c r="CY64" s="3" t="n">
        <v>2.04005672528789</v>
      </c>
      <c r="CZ64" s="3" t="n">
        <v>2.052479503075532</v>
      </c>
      <c r="DA64" s="3" t="n">
        <v>1.793091423791962</v>
      </c>
      <c r="DB64" s="3" t="n">
        <v>1.649423524487359</v>
      </c>
      <c r="DC64" s="3" t="n">
        <v>1.699236681213892</v>
      </c>
      <c r="DD64" s="3" t="n">
        <v>1.701157221602583</v>
      </c>
      <c r="DE64" s="3" t="n">
        <v>1.742338097388899</v>
      </c>
      <c r="DF64" s="3" t="n">
        <v>1.719915667284646</v>
      </c>
      <c r="DG64" s="3" t="n">
        <v>1.730487875052669</v>
      </c>
      <c r="DH64" s="3" t="n">
        <v>1.718954716258021</v>
      </c>
      <c r="DI64" s="3" t="n">
        <v>1.71994070592791</v>
      </c>
      <c r="DJ64" s="3" t="n">
        <v>1.715251383411222</v>
      </c>
      <c r="DK64" s="3" t="n">
        <v>1.717057380038806</v>
      </c>
      <c r="DL64" s="3" t="n">
        <v>1.712988924903238</v>
      </c>
      <c r="DM64" s="3" t="n">
        <v>1.714601055148234</v>
      </c>
      <c r="DN64" s="3" t="n">
        <v>1.710949625622001</v>
      </c>
      <c r="DO64" s="3" t="n">
        <v>1.712486931525572</v>
      </c>
    </row>
    <row r="65">
      <c r="A65" s="19" t="inlineStr">
        <is>
          <t>mit.ghg.ipr.ch4</t>
        </is>
      </c>
      <c r="B65" s="3" t="inlineStr">
        <is>
          <t>mit</t>
        </is>
      </c>
      <c r="C65" s="19" t="inlineStr">
        <is>
          <t>mit.ghg.ipr.ch4</t>
        </is>
      </c>
      <c r="H65" s="3" t="inlineStr">
        <is>
          <t>GHG emissions | Industrial processes | CH4</t>
        </is>
      </c>
      <c r="I65" s="3" t="inlineStr">
        <is>
          <t>Mt CO2e</t>
        </is>
      </c>
      <c r="K65" s="20" t="inlineStr">
        <is>
          <t>egy.mit.ghg.ipr.ch4.1</t>
        </is>
      </c>
      <c r="L65" s="3" t="n">
        <v>0.1657182072</v>
      </c>
      <c r="M65" s="3" t="n">
        <v>0.165889424880574</v>
      </c>
      <c r="N65" s="3" t="n">
        <v>0.166063211590471</v>
      </c>
      <c r="O65" s="3" t="n">
        <v>0.1722352559721331</v>
      </c>
      <c r="P65" s="3" t="n">
        <v>0.1763915318503504</v>
      </c>
      <c r="Q65" s="3" t="n">
        <v>0.1819749408790476</v>
      </c>
      <c r="R65" s="3" t="n">
        <v>0.1888726463693077</v>
      </c>
      <c r="S65" s="3" t="n">
        <v>0.1955441615585932</v>
      </c>
      <c r="T65" s="3" t="n">
        <v>0.2018507865006625</v>
      </c>
      <c r="U65" s="3" t="n">
        <v>0.2082505199891932</v>
      </c>
      <c r="V65" s="3" t="n">
        <v>0.2146748353510341</v>
      </c>
      <c r="W65" s="3" t="n">
        <v>0.2212126339498712</v>
      </c>
      <c r="X65" s="3" t="n">
        <v>0.2278632079426497</v>
      </c>
      <c r="Y65" s="3" t="n">
        <v>0.2346257759978264</v>
      </c>
      <c r="Z65" s="3" t="n">
        <v>0.2414994817620491</v>
      </c>
      <c r="AA65" s="3" t="n">
        <v>0.248483392091263</v>
      </c>
      <c r="AB65" s="3" t="n">
        <v>0.2555764950368101</v>
      </c>
      <c r="AC65" s="3" t="n">
        <v>0.2627776975774757</v>
      </c>
      <c r="AD65" s="3" t="n">
        <v>0.2700858230887899</v>
      </c>
      <c r="AE65" s="3" t="n">
        <v>0.2774996085412419</v>
      </c>
      <c r="AG65" s="20" t="inlineStr">
        <is>
          <t>egy.mit.ghg.ipr.ch4.3</t>
        </is>
      </c>
      <c r="AH65" s="3" t="n">
        <v>0.1657182072</v>
      </c>
      <c r="AI65" s="3" t="n">
        <v>0.165889424880574</v>
      </c>
      <c r="AJ65" s="3" t="n">
        <v>0.166063211590471</v>
      </c>
      <c r="AK65" s="3" t="n">
        <v>0.1722352559721331</v>
      </c>
      <c r="AL65" s="3" t="n">
        <v>0.1763915318503504</v>
      </c>
      <c r="AM65" s="3" t="n">
        <v>0.1527733567491773</v>
      </c>
      <c r="AN65" s="3" t="n">
        <v>0.1585700446277118</v>
      </c>
      <c r="AO65" s="3" t="n">
        <v>0.1642472403127344</v>
      </c>
      <c r="AP65" s="3" t="n">
        <v>0.169378308273802</v>
      </c>
      <c r="AQ65" s="3" t="n">
        <v>0.1747797292967155</v>
      </c>
      <c r="AR65" s="3" t="n">
        <v>0.180117088857885</v>
      </c>
      <c r="AS65" s="3" t="n">
        <v>0.1857153754719337</v>
      </c>
      <c r="AT65" s="3" t="n">
        <v>0.1914944113800789</v>
      </c>
      <c r="AU65" s="3" t="n">
        <v>0.1973357319224824</v>
      </c>
      <c r="AV65" s="3" t="n">
        <v>0.203312928798256</v>
      </c>
      <c r="AW65" s="3" t="n">
        <v>0.2094765528566789</v>
      </c>
      <c r="AX65" s="3" t="n">
        <v>0.2156610964209282</v>
      </c>
      <c r="AY65" s="3" t="n">
        <v>0.2218996678959961</v>
      </c>
      <c r="AZ65" s="3" t="n">
        <v>0.2281283617292512</v>
      </c>
      <c r="BA65" s="3" t="n">
        <v>0.2344177616142984</v>
      </c>
      <c r="BC65" s="20" t="inlineStr">
        <is>
          <t>egy.mit.ghg.ipr.ch4.4</t>
        </is>
      </c>
      <c r="BD65" s="3" t="n">
        <v>0.1657182072</v>
      </c>
      <c r="BE65" s="3" t="n">
        <v>0.165889424880574</v>
      </c>
      <c r="BF65" s="3" t="n">
        <v>0.166063211590471</v>
      </c>
      <c r="BG65" s="3" t="n">
        <v>0.1722352559721331</v>
      </c>
      <c r="BH65" s="3" t="n">
        <v>0.1763915318503504</v>
      </c>
      <c r="BI65" s="3" t="n">
        <v>0.1633886876853738</v>
      </c>
      <c r="BJ65" s="3" t="n">
        <v>0.1500007102815668</v>
      </c>
      <c r="BK65" s="3" t="n">
        <v>0.1398194231710487</v>
      </c>
      <c r="BL65" s="3" t="n">
        <v>0.1315703201164148</v>
      </c>
      <c r="BM65" s="3" t="n">
        <v>0.1263642231743596</v>
      </c>
      <c r="BN65" s="3" t="n">
        <v>0.1220196817135179</v>
      </c>
      <c r="BO65" s="3" t="n">
        <v>0.1184430113840465</v>
      </c>
      <c r="BP65" s="3" t="n">
        <v>0.1155174314272655</v>
      </c>
      <c r="BQ65" s="3" t="n">
        <v>0.1131058481765399</v>
      </c>
      <c r="BR65" s="3" t="n">
        <v>0.111120975004467</v>
      </c>
      <c r="BS65" s="3" t="n">
        <v>0.1095148141177347</v>
      </c>
      <c r="BT65" s="3" t="n">
        <v>0.1082082608938759</v>
      </c>
      <c r="BU65" s="3" t="n">
        <v>0.1071439365723489</v>
      </c>
      <c r="BV65" s="3" t="n">
        <v>0.106252818984314</v>
      </c>
      <c r="BW65" s="3" t="n">
        <v>0.1055017768460098</v>
      </c>
      <c r="BY65" s="20" t="inlineStr">
        <is>
          <t>egy.mit.ghg.ipr.ch4.5</t>
        </is>
      </c>
      <c r="BZ65" s="3" t="n">
        <v>0.1657182072</v>
      </c>
      <c r="CA65" s="3" t="n">
        <v>0.165889424880574</v>
      </c>
      <c r="CB65" s="3" t="n">
        <v>0.166063211590471</v>
      </c>
      <c r="CC65" s="3" t="n">
        <v>0.1722352559721331</v>
      </c>
      <c r="CD65" s="3" t="n">
        <v>0.1763915318503504</v>
      </c>
      <c r="CE65" s="3" t="n">
        <v>0.1500919285733046</v>
      </c>
      <c r="CF65" s="3" t="n">
        <v>0.1547515518702205</v>
      </c>
      <c r="CG65" s="3" t="n">
        <v>0.1593211305668231</v>
      </c>
      <c r="CH65" s="3" t="n">
        <v>0.1634144508272267</v>
      </c>
      <c r="CI65" s="3" t="n">
        <v>0.1678330331032149</v>
      </c>
      <c r="CJ65" s="3" t="n">
        <v>0.1721800544459725</v>
      </c>
      <c r="CK65" s="3" t="n">
        <v>0.1768010006745326</v>
      </c>
      <c r="CL65" s="3" t="n">
        <v>0.181542260805335</v>
      </c>
      <c r="CM65" s="3" t="n">
        <v>0.1863594675568915</v>
      </c>
      <c r="CN65" s="3" t="n">
        <v>0.1916558326176216</v>
      </c>
      <c r="CO65" s="3" t="n">
        <v>0.1970923254165939</v>
      </c>
      <c r="CP65" s="3" t="n">
        <v>0.202541740762261</v>
      </c>
      <c r="CQ65" s="3" t="n">
        <v>0.2080560436654284</v>
      </c>
      <c r="CR65" s="3" t="n">
        <v>0.2135685197772775</v>
      </c>
      <c r="CS65" s="3" t="n">
        <v>0.2191634962329409</v>
      </c>
      <c r="CU65" s="20" t="inlineStr">
        <is>
          <t>egy.mit.ghg.ipr.ch4.6</t>
        </is>
      </c>
      <c r="CV65" s="3" t="n">
        <v>0.1657182072</v>
      </c>
      <c r="CW65" s="3" t="n">
        <v>0.165889424880574</v>
      </c>
      <c r="CX65" s="3" t="n">
        <v>0.166063211590471</v>
      </c>
      <c r="CY65" s="3" t="n">
        <v>0.1722352559721331</v>
      </c>
      <c r="CZ65" s="3" t="n">
        <v>0.1763915318503504</v>
      </c>
      <c r="DA65" s="3" t="n">
        <v>0.1245442404846445</v>
      </c>
      <c r="DB65" s="3" t="n">
        <v>0.1292796375762756</v>
      </c>
      <c r="DC65" s="3" t="n">
        <v>0.1339839723245976</v>
      </c>
      <c r="DD65" s="3" t="n">
        <v>0.1380137175773692</v>
      </c>
      <c r="DE65" s="3" t="n">
        <v>0.142462806234921</v>
      </c>
      <c r="DF65" s="3" t="n">
        <v>0.1467534492859406</v>
      </c>
      <c r="DG65" s="3" t="n">
        <v>0.1514324859688096</v>
      </c>
      <c r="DH65" s="3" t="n">
        <v>0.1563172319512551</v>
      </c>
      <c r="DI65" s="3" t="n">
        <v>0.161231137781914</v>
      </c>
      <c r="DJ65" s="3" t="n">
        <v>0.166292926713613</v>
      </c>
      <c r="DK65" s="3" t="n">
        <v>0.1715949687174735</v>
      </c>
      <c r="DL65" s="3" t="n">
        <v>0.1768436980296114</v>
      </c>
      <c r="DM65" s="3" t="n">
        <v>0.1821113129906345</v>
      </c>
      <c r="DN65" s="3" t="n">
        <v>0.1872788959770958</v>
      </c>
      <c r="DO65" s="3" t="n">
        <v>0.192476621469901</v>
      </c>
    </row>
    <row r="66">
      <c r="A66" s="19" t="inlineStr">
        <is>
          <t>mit.ghg.agr.ch4</t>
        </is>
      </c>
      <c r="B66" s="3" t="inlineStr">
        <is>
          <t>mit</t>
        </is>
      </c>
      <c r="C66" s="19" t="inlineStr">
        <is>
          <t>mit.ghg.agr.ch4</t>
        </is>
      </c>
      <c r="H66" s="3" t="inlineStr">
        <is>
          <t>GHG emissions | Agriculture | CH4</t>
        </is>
      </c>
      <c r="I66" s="3" t="inlineStr">
        <is>
          <t>Mt CO2e</t>
        </is>
      </c>
      <c r="K66" s="20" t="inlineStr">
        <is>
          <t>egy.mit.ghg.agr.ch4.1</t>
        </is>
      </c>
      <c r="L66" s="3" t="n">
        <v>15.7883507129642</v>
      </c>
      <c r="M66" s="3" t="n">
        <v>17.7094450059996</v>
      </c>
      <c r="N66" s="3" t="n">
        <v>17.1665620578909</v>
      </c>
      <c r="O66" s="3" t="n">
        <v>18.11891436396014</v>
      </c>
      <c r="P66" s="3" t="n">
        <v>18.34522774833547</v>
      </c>
      <c r="Q66" s="3" t="n">
        <v>18.58846491134409</v>
      </c>
      <c r="R66" s="3" t="n">
        <v>18.85264482257509</v>
      </c>
      <c r="S66" s="3" t="n">
        <v>19.10969918143904</v>
      </c>
      <c r="T66" s="3" t="n">
        <v>19.35693413208933</v>
      </c>
      <c r="U66" s="3" t="n">
        <v>19.60379813124664</v>
      </c>
      <c r="V66" s="3" t="n">
        <v>19.85061076537344</v>
      </c>
      <c r="W66" s="3" t="n">
        <v>20.09707171652244</v>
      </c>
      <c r="X66" s="3" t="n">
        <v>20.34358618722453</v>
      </c>
      <c r="Y66" s="3" t="n">
        <v>20.58958401723435</v>
      </c>
      <c r="Z66" s="3" t="n">
        <v>20.83496090404383</v>
      </c>
      <c r="AA66" s="3" t="n">
        <v>21.07997435907804</v>
      </c>
      <c r="AB66" s="3" t="n">
        <v>21.32370407948291</v>
      </c>
      <c r="AC66" s="3" t="n">
        <v>21.56594391707342</v>
      </c>
      <c r="AD66" s="3" t="n">
        <v>21.80581940129237</v>
      </c>
      <c r="AE66" s="3" t="n">
        <v>22.04233766898039</v>
      </c>
      <c r="AG66" s="20" t="inlineStr">
        <is>
          <t>egy.mit.ghg.agr.ch4.3</t>
        </is>
      </c>
      <c r="AH66" s="3" t="n">
        <v>15.7883507129642</v>
      </c>
      <c r="AI66" s="3" t="n">
        <v>17.7094450059996</v>
      </c>
      <c r="AJ66" s="3" t="n">
        <v>17.1665620578909</v>
      </c>
      <c r="AK66" s="3" t="n">
        <v>18.11891436396014</v>
      </c>
      <c r="AL66" s="3" t="n">
        <v>18.34522774833547</v>
      </c>
      <c r="AM66" s="3" t="n">
        <v>18.58846507642486</v>
      </c>
      <c r="AN66" s="3" t="n">
        <v>18.8526444492426</v>
      </c>
      <c r="AO66" s="3" t="n">
        <v>19.11139620234612</v>
      </c>
      <c r="AP66" s="3" t="n">
        <v>19.35474936824336</v>
      </c>
      <c r="AQ66" s="3" t="n">
        <v>19.60226913930729</v>
      </c>
      <c r="AR66" s="3" t="n">
        <v>19.8474602777739</v>
      </c>
      <c r="AS66" s="3" t="n">
        <v>20.09601202870729</v>
      </c>
      <c r="AT66" s="3" t="n">
        <v>20.34639306294434</v>
      </c>
      <c r="AU66" s="3" t="n">
        <v>20.5954172644082</v>
      </c>
      <c r="AV66" s="3" t="n">
        <v>20.84458326886639</v>
      </c>
      <c r="AW66" s="3" t="n">
        <v>21.09516161641141</v>
      </c>
      <c r="AX66" s="3" t="n">
        <v>21.34280226425485</v>
      </c>
      <c r="AY66" s="3" t="n">
        <v>21.58806253700325</v>
      </c>
      <c r="AZ66" s="3" t="n">
        <v>21.82888548061566</v>
      </c>
      <c r="BA66" s="3" t="n">
        <v>22.06575949157994</v>
      </c>
      <c r="BC66" s="20" t="inlineStr">
        <is>
          <t>egy.mit.ghg.agr.ch4.4</t>
        </is>
      </c>
      <c r="BD66" s="3" t="n">
        <v>15.7883507129642</v>
      </c>
      <c r="BE66" s="3" t="n">
        <v>17.7094450059996</v>
      </c>
      <c r="BF66" s="3" t="n">
        <v>17.1665620578909</v>
      </c>
      <c r="BG66" s="3" t="n">
        <v>18.11891436396014</v>
      </c>
      <c r="BH66" s="3" t="n">
        <v>18.34522774833547</v>
      </c>
      <c r="BI66" s="3" t="n">
        <v>18.5884654358869</v>
      </c>
      <c r="BJ66" s="3" t="n">
        <v>18.85264363053214</v>
      </c>
      <c r="BK66" s="3" t="n">
        <v>19.11066167472324</v>
      </c>
      <c r="BL66" s="3" t="n">
        <v>19.35671084611366</v>
      </c>
      <c r="BM66" s="3" t="n">
        <v>19.60250488214204</v>
      </c>
      <c r="BN66" s="3" t="n">
        <v>19.84741498243999</v>
      </c>
      <c r="BO66" s="3" t="n">
        <v>20.09345505871563</v>
      </c>
      <c r="BP66" s="3" t="n">
        <v>20.34218533175422</v>
      </c>
      <c r="BQ66" s="3" t="n">
        <v>20.59220321957094</v>
      </c>
      <c r="BR66" s="3" t="n">
        <v>20.84333045180648</v>
      </c>
      <c r="BS66" s="3" t="n">
        <v>21.09652684093408</v>
      </c>
      <c r="BT66" s="3" t="n">
        <v>21.34984627571183</v>
      </c>
      <c r="BU66" s="3" t="n">
        <v>21.60241866115561</v>
      </c>
      <c r="BV66" s="3" t="n">
        <v>21.85185403809063</v>
      </c>
      <c r="BW66" s="3" t="n">
        <v>22.09680399210376</v>
      </c>
      <c r="BY66" s="20" t="inlineStr">
        <is>
          <t>egy.mit.ghg.agr.ch4.5</t>
        </is>
      </c>
      <c r="BZ66" s="3" t="n">
        <v>15.7883507129642</v>
      </c>
      <c r="CA66" s="3" t="n">
        <v>17.7094450059996</v>
      </c>
      <c r="CB66" s="3" t="n">
        <v>17.1665620578909</v>
      </c>
      <c r="CC66" s="3" t="n">
        <v>18.11891436396014</v>
      </c>
      <c r="CD66" s="3" t="n">
        <v>18.34522774833547</v>
      </c>
      <c r="CE66" s="3" t="n">
        <v>18.5884657847691</v>
      </c>
      <c r="CF66" s="3" t="n">
        <v>18.85264266477781</v>
      </c>
      <c r="CG66" s="3" t="n">
        <v>19.11114265702146</v>
      </c>
      <c r="CH66" s="3" t="n">
        <v>19.35473298989164</v>
      </c>
      <c r="CI66" s="3" t="n">
        <v>19.60303184595044</v>
      </c>
      <c r="CJ66" s="3" t="n">
        <v>19.84803303999612</v>
      </c>
      <c r="CK66" s="3" t="n">
        <v>20.09685485356263</v>
      </c>
      <c r="CL66" s="3" t="n">
        <v>20.34593466130555</v>
      </c>
      <c r="CM66" s="3" t="n">
        <v>20.59393991975181</v>
      </c>
      <c r="CN66" s="3" t="n">
        <v>20.84205666260046</v>
      </c>
      <c r="CO66" s="3" t="n">
        <v>21.09114110963689</v>
      </c>
      <c r="CP66" s="3" t="n">
        <v>21.33741818559994</v>
      </c>
      <c r="CQ66" s="3" t="n">
        <v>21.5818774275314</v>
      </c>
      <c r="CR66" s="3" t="n">
        <v>21.82233725903109</v>
      </c>
      <c r="CS66" s="3" t="n">
        <v>22.05963400935222</v>
      </c>
      <c r="CU66" s="20" t="inlineStr">
        <is>
          <t>egy.mit.ghg.agr.ch4.6</t>
        </is>
      </c>
      <c r="CV66" s="3" t="n">
        <v>15.7883507129642</v>
      </c>
      <c r="CW66" s="3" t="n">
        <v>17.7094450059996</v>
      </c>
      <c r="CX66" s="3" t="n">
        <v>17.1665620578909</v>
      </c>
      <c r="CY66" s="3" t="n">
        <v>18.11891436396014</v>
      </c>
      <c r="CZ66" s="3" t="n">
        <v>18.34522774833547</v>
      </c>
      <c r="DA66" s="3" t="n">
        <v>18.58846528642726</v>
      </c>
      <c r="DB66" s="3" t="n">
        <v>18.85264397132286</v>
      </c>
      <c r="DC66" s="3" t="n">
        <v>19.11333159565504</v>
      </c>
      <c r="DD66" s="3" t="n">
        <v>19.35212209505329</v>
      </c>
      <c r="DE66" s="3" t="n">
        <v>19.60077998557268</v>
      </c>
      <c r="DF66" s="3" t="n">
        <v>19.84383559194821</v>
      </c>
      <c r="DG66" s="3" t="n">
        <v>20.09504719545668</v>
      </c>
      <c r="DH66" s="3" t="n">
        <v>20.34950133097796</v>
      </c>
      <c r="DI66" s="3" t="n">
        <v>20.60185868708062</v>
      </c>
      <c r="DJ66" s="3" t="n">
        <v>20.85514874347454</v>
      </c>
      <c r="DK66" s="3" t="n">
        <v>21.11186393152371</v>
      </c>
      <c r="DL66" s="3" t="n">
        <v>21.36366408968885</v>
      </c>
      <c r="DM66" s="3" t="n">
        <v>21.6123040234582</v>
      </c>
      <c r="DN66" s="3" t="n">
        <v>21.85420026537375</v>
      </c>
      <c r="DO66" s="3" t="n">
        <v>22.09163987650106</v>
      </c>
    </row>
    <row r="67">
      <c r="A67" s="19" t="inlineStr">
        <is>
          <t>mit.ghg.lucf.ch4</t>
        </is>
      </c>
      <c r="B67" s="3" t="inlineStr">
        <is>
          <t>mit</t>
        </is>
      </c>
      <c r="C67" s="19" t="inlineStr">
        <is>
          <t>mit.ghg.lucf.ch4</t>
        </is>
      </c>
      <c r="H67" s="3" t="inlineStr">
        <is>
          <t>GHG emissions | LULUCF | CH4</t>
        </is>
      </c>
      <c r="I67" s="3" t="inlineStr">
        <is>
          <t>Mt CO2e</t>
        </is>
      </c>
      <c r="K67" s="20" t="inlineStr">
        <is>
          <t>egy.mit.ghg.lucf.ch4.1</t>
        </is>
      </c>
      <c r="L67" s="3" t="n">
        <v>0</v>
      </c>
      <c r="M67" s="3" t="n">
        <v>0</v>
      </c>
      <c r="N67" s="3" t="n">
        <v>0</v>
      </c>
      <c r="O67" s="3" t="n">
        <v>0</v>
      </c>
      <c r="P67" s="3" t="n">
        <v>0</v>
      </c>
      <c r="Q67" s="3" t="n">
        <v>0</v>
      </c>
      <c r="R67" s="3" t="n">
        <v>0</v>
      </c>
      <c r="S67" s="3" t="n">
        <v>0</v>
      </c>
      <c r="T67" s="3" t="n">
        <v>0</v>
      </c>
      <c r="U67" s="3" t="n">
        <v>0</v>
      </c>
      <c r="V67" s="3" t="n">
        <v>0</v>
      </c>
      <c r="W67" s="3" t="n">
        <v>0</v>
      </c>
      <c r="X67" s="3" t="n">
        <v>0</v>
      </c>
      <c r="Y67" s="3" t="n">
        <v>0</v>
      </c>
      <c r="Z67" s="3" t="n">
        <v>0</v>
      </c>
      <c r="AA67" s="3" t="n">
        <v>0</v>
      </c>
      <c r="AB67" s="3" t="n">
        <v>0</v>
      </c>
      <c r="AC67" s="3" t="n">
        <v>0</v>
      </c>
      <c r="AD67" s="3" t="n">
        <v>0</v>
      </c>
      <c r="AE67" s="3" t="n">
        <v>0</v>
      </c>
      <c r="AG67" s="20" t="inlineStr">
        <is>
          <t>egy.mit.ghg.lucf.ch4.3</t>
        </is>
      </c>
      <c r="AH67" s="3" t="n">
        <v>0</v>
      </c>
      <c r="AI67" s="3" t="n">
        <v>0</v>
      </c>
      <c r="AJ67" s="3" t="n">
        <v>0</v>
      </c>
      <c r="AK67" s="3" t="n">
        <v>0</v>
      </c>
      <c r="AL67" s="3" t="n">
        <v>0</v>
      </c>
      <c r="AM67" s="3" t="n">
        <v>0</v>
      </c>
      <c r="AN67" s="3" t="n">
        <v>0</v>
      </c>
      <c r="AO67" s="3" t="n">
        <v>0</v>
      </c>
      <c r="AP67" s="3" t="n">
        <v>0</v>
      </c>
      <c r="AQ67" s="3" t="n">
        <v>0</v>
      </c>
      <c r="AR67" s="3" t="n">
        <v>0</v>
      </c>
      <c r="AS67" s="3" t="n">
        <v>0</v>
      </c>
      <c r="AT67" s="3" t="n">
        <v>0</v>
      </c>
      <c r="AU67" s="3" t="n">
        <v>0</v>
      </c>
      <c r="AV67" s="3" t="n">
        <v>0</v>
      </c>
      <c r="AW67" s="3" t="n">
        <v>0</v>
      </c>
      <c r="AX67" s="3" t="n">
        <v>0</v>
      </c>
      <c r="AY67" s="3" t="n">
        <v>0</v>
      </c>
      <c r="AZ67" s="3" t="n">
        <v>0</v>
      </c>
      <c r="BA67" s="3" t="n">
        <v>0</v>
      </c>
      <c r="BC67" s="20" t="inlineStr">
        <is>
          <t>egy.mit.ghg.lucf.ch4.4</t>
        </is>
      </c>
      <c r="BD67" s="3" t="n">
        <v>0</v>
      </c>
      <c r="BE67" s="3" t="n">
        <v>0</v>
      </c>
      <c r="BF67" s="3" t="n">
        <v>0</v>
      </c>
      <c r="BG67" s="3" t="n">
        <v>0</v>
      </c>
      <c r="BH67" s="3" t="n">
        <v>0</v>
      </c>
      <c r="BI67" s="3" t="n">
        <v>0</v>
      </c>
      <c r="BJ67" s="3" t="n">
        <v>0</v>
      </c>
      <c r="BK67" s="3" t="n">
        <v>0</v>
      </c>
      <c r="BL67" s="3" t="n">
        <v>0</v>
      </c>
      <c r="BM67" s="3" t="n">
        <v>0</v>
      </c>
      <c r="BN67" s="3" t="n">
        <v>0</v>
      </c>
      <c r="BO67" s="3" t="n">
        <v>0</v>
      </c>
      <c r="BP67" s="3" t="n">
        <v>0</v>
      </c>
      <c r="BQ67" s="3" t="n">
        <v>0</v>
      </c>
      <c r="BR67" s="3" t="n">
        <v>0</v>
      </c>
      <c r="BS67" s="3" t="n">
        <v>0</v>
      </c>
      <c r="BT67" s="3" t="n">
        <v>0</v>
      </c>
      <c r="BU67" s="3" t="n">
        <v>0</v>
      </c>
      <c r="BV67" s="3" t="n">
        <v>0</v>
      </c>
      <c r="BW67" s="3" t="n">
        <v>0</v>
      </c>
      <c r="BY67" s="20" t="inlineStr">
        <is>
          <t>egy.mit.ghg.lucf.ch4.5</t>
        </is>
      </c>
      <c r="BZ67" s="3" t="n">
        <v>0</v>
      </c>
      <c r="CA67" s="3" t="n">
        <v>0</v>
      </c>
      <c r="CB67" s="3" t="n">
        <v>0</v>
      </c>
      <c r="CC67" s="3" t="n">
        <v>0</v>
      </c>
      <c r="CD67" s="3" t="n">
        <v>0</v>
      </c>
      <c r="CE67" s="3" t="n">
        <v>0</v>
      </c>
      <c r="CF67" s="3" t="n">
        <v>0</v>
      </c>
      <c r="CG67" s="3" t="n">
        <v>0</v>
      </c>
      <c r="CH67" s="3" t="n">
        <v>0</v>
      </c>
      <c r="CI67" s="3" t="n">
        <v>0</v>
      </c>
      <c r="CJ67" s="3" t="n">
        <v>0</v>
      </c>
      <c r="CK67" s="3" t="n">
        <v>0</v>
      </c>
      <c r="CL67" s="3" t="n">
        <v>0</v>
      </c>
      <c r="CM67" s="3" t="n">
        <v>0</v>
      </c>
      <c r="CN67" s="3" t="n">
        <v>0</v>
      </c>
      <c r="CO67" s="3" t="n">
        <v>0</v>
      </c>
      <c r="CP67" s="3" t="n">
        <v>0</v>
      </c>
      <c r="CQ67" s="3" t="n">
        <v>0</v>
      </c>
      <c r="CR67" s="3" t="n">
        <v>0</v>
      </c>
      <c r="CS67" s="3" t="n">
        <v>0</v>
      </c>
      <c r="CU67" s="20" t="inlineStr">
        <is>
          <t>egy.mit.ghg.lucf.ch4.6</t>
        </is>
      </c>
      <c r="CV67" s="3" t="n">
        <v>0</v>
      </c>
      <c r="CW67" s="3" t="n">
        <v>0</v>
      </c>
      <c r="CX67" s="3" t="n">
        <v>0</v>
      </c>
      <c r="CY67" s="3" t="n">
        <v>0</v>
      </c>
      <c r="CZ67" s="3" t="n">
        <v>0</v>
      </c>
      <c r="DA67" s="3" t="n">
        <v>0</v>
      </c>
      <c r="DB67" s="3" t="n">
        <v>0</v>
      </c>
      <c r="DC67" s="3" t="n">
        <v>0</v>
      </c>
      <c r="DD67" s="3" t="n">
        <v>0</v>
      </c>
      <c r="DE67" s="3" t="n">
        <v>0</v>
      </c>
      <c r="DF67" s="3" t="n">
        <v>0</v>
      </c>
      <c r="DG67" s="3" t="n">
        <v>0</v>
      </c>
      <c r="DH67" s="3" t="n">
        <v>0</v>
      </c>
      <c r="DI67" s="3" t="n">
        <v>0</v>
      </c>
      <c r="DJ67" s="3" t="n">
        <v>0</v>
      </c>
      <c r="DK67" s="3" t="n">
        <v>0</v>
      </c>
      <c r="DL67" s="3" t="n">
        <v>0</v>
      </c>
      <c r="DM67" s="3" t="n">
        <v>0</v>
      </c>
      <c r="DN67" s="3" t="n">
        <v>0</v>
      </c>
      <c r="DO67" s="3" t="n">
        <v>0</v>
      </c>
    </row>
    <row r="68">
      <c r="A68" s="19" t="inlineStr">
        <is>
          <t>mit.ghg.wst.ch4</t>
        </is>
      </c>
      <c r="B68" s="3" t="inlineStr">
        <is>
          <t>mit</t>
        </is>
      </c>
      <c r="C68" s="19" t="inlineStr">
        <is>
          <t>mit.ghg.wst.ch4</t>
        </is>
      </c>
      <c r="H68" s="3" t="inlineStr">
        <is>
          <t>GHG emissions | Waste | CH4</t>
        </is>
      </c>
      <c r="I68" s="3" t="inlineStr">
        <is>
          <t>Mt CO2e</t>
        </is>
      </c>
      <c r="K68" s="20" t="inlineStr">
        <is>
          <t>egy.mit.ghg.wst.ch4.1</t>
        </is>
      </c>
      <c r="L68" s="3" t="n">
        <v>35.1260429723887</v>
      </c>
      <c r="M68" s="3" t="n">
        <v>35.772328129627</v>
      </c>
      <c r="N68" s="3" t="n">
        <v>36.4327701914859</v>
      </c>
      <c r="O68" s="3" t="n">
        <v>38.39904993553178</v>
      </c>
      <c r="P68" s="3" t="n">
        <v>38.76714929678482</v>
      </c>
      <c r="Q68" s="3" t="n">
        <v>39.13422442284993</v>
      </c>
      <c r="R68" s="3" t="n">
        <v>39.50126075355413</v>
      </c>
      <c r="S68" s="3" t="n">
        <v>39.86484138797261</v>
      </c>
      <c r="T68" s="3" t="n">
        <v>40.22433020282005</v>
      </c>
      <c r="U68" s="3" t="n">
        <v>40.58132374860617</v>
      </c>
      <c r="V68" s="3" t="n">
        <v>40.93684110261295</v>
      </c>
      <c r="W68" s="3" t="n">
        <v>41.29018882767109</v>
      </c>
      <c r="X68" s="3" t="n">
        <v>41.64261030098916</v>
      </c>
      <c r="Y68" s="3" t="n">
        <v>41.99267927134471</v>
      </c>
      <c r="Z68" s="3" t="n">
        <v>42.34025329835539</v>
      </c>
      <c r="AA68" s="3" t="n">
        <v>42.68616953324331</v>
      </c>
      <c r="AB68" s="3" t="n">
        <v>43.02808510819958</v>
      </c>
      <c r="AC68" s="3" t="n">
        <v>43.36560510045297</v>
      </c>
      <c r="AD68" s="3" t="n">
        <v>43.69655456538757</v>
      </c>
      <c r="AE68" s="3" t="n">
        <v>44.01847317061931</v>
      </c>
      <c r="AG68" s="20" t="inlineStr">
        <is>
          <t>egy.mit.ghg.wst.ch4.3</t>
        </is>
      </c>
      <c r="AH68" s="3" t="n">
        <v>35.1260429723887</v>
      </c>
      <c r="AI68" s="3" t="n">
        <v>35.772328129627</v>
      </c>
      <c r="AJ68" s="3" t="n">
        <v>36.4327701914859</v>
      </c>
      <c r="AK68" s="3" t="n">
        <v>38.39904993553178</v>
      </c>
      <c r="AL68" s="3" t="n">
        <v>38.76714929678482</v>
      </c>
      <c r="AM68" s="3" t="n">
        <v>39.13422442284993</v>
      </c>
      <c r="AN68" s="3" t="n">
        <v>39.50126075355413</v>
      </c>
      <c r="AO68" s="3" t="n">
        <v>39.86484138797261</v>
      </c>
      <c r="AP68" s="3" t="n">
        <v>40.22433020282005</v>
      </c>
      <c r="AQ68" s="3" t="n">
        <v>40.58132374860617</v>
      </c>
      <c r="AR68" s="3" t="n">
        <v>40.93684110261295</v>
      </c>
      <c r="AS68" s="3" t="n">
        <v>41.29018882767109</v>
      </c>
      <c r="AT68" s="3" t="n">
        <v>41.64261030098916</v>
      </c>
      <c r="AU68" s="3" t="n">
        <v>41.99267927134471</v>
      </c>
      <c r="AV68" s="3" t="n">
        <v>42.34025329835539</v>
      </c>
      <c r="AW68" s="3" t="n">
        <v>42.68616953324331</v>
      </c>
      <c r="AX68" s="3" t="n">
        <v>43.02808510819958</v>
      </c>
      <c r="AY68" s="3" t="n">
        <v>43.36560510045297</v>
      </c>
      <c r="AZ68" s="3" t="n">
        <v>43.69655456538757</v>
      </c>
      <c r="BA68" s="3" t="n">
        <v>44.01847317061931</v>
      </c>
      <c r="BC68" s="20" t="inlineStr">
        <is>
          <t>egy.mit.ghg.wst.ch4.4</t>
        </is>
      </c>
      <c r="BD68" s="3" t="n">
        <v>35.1260429723887</v>
      </c>
      <c r="BE68" s="3" t="n">
        <v>35.772328129627</v>
      </c>
      <c r="BF68" s="3" t="n">
        <v>36.4327701914859</v>
      </c>
      <c r="BG68" s="3" t="n">
        <v>38.39904993553178</v>
      </c>
      <c r="BH68" s="3" t="n">
        <v>38.76714929678482</v>
      </c>
      <c r="BI68" s="3" t="n">
        <v>39.13422442284993</v>
      </c>
      <c r="BJ68" s="3" t="n">
        <v>39.50126075355413</v>
      </c>
      <c r="BK68" s="3" t="n">
        <v>39.86484138797261</v>
      </c>
      <c r="BL68" s="3" t="n">
        <v>40.22433020282005</v>
      </c>
      <c r="BM68" s="3" t="n">
        <v>40.58132374860617</v>
      </c>
      <c r="BN68" s="3" t="n">
        <v>40.93684110261295</v>
      </c>
      <c r="BO68" s="3" t="n">
        <v>41.29018882767109</v>
      </c>
      <c r="BP68" s="3" t="n">
        <v>41.64261030098916</v>
      </c>
      <c r="BQ68" s="3" t="n">
        <v>41.99267927134471</v>
      </c>
      <c r="BR68" s="3" t="n">
        <v>42.34025329835539</v>
      </c>
      <c r="BS68" s="3" t="n">
        <v>42.68616953324331</v>
      </c>
      <c r="BT68" s="3" t="n">
        <v>43.02808510819958</v>
      </c>
      <c r="BU68" s="3" t="n">
        <v>43.36560510045297</v>
      </c>
      <c r="BV68" s="3" t="n">
        <v>43.69655456538757</v>
      </c>
      <c r="BW68" s="3" t="n">
        <v>44.01847317061931</v>
      </c>
      <c r="BY68" s="20" t="inlineStr">
        <is>
          <t>egy.mit.ghg.wst.ch4.5</t>
        </is>
      </c>
      <c r="BZ68" s="3" t="n">
        <v>35.1260429723887</v>
      </c>
      <c r="CA68" s="3" t="n">
        <v>35.772328129627</v>
      </c>
      <c r="CB68" s="3" t="n">
        <v>36.4327701914859</v>
      </c>
      <c r="CC68" s="3" t="n">
        <v>38.39904993553178</v>
      </c>
      <c r="CD68" s="3" t="n">
        <v>38.76714929678482</v>
      </c>
      <c r="CE68" s="3" t="n">
        <v>39.13422442284993</v>
      </c>
      <c r="CF68" s="3" t="n">
        <v>39.50126075355413</v>
      </c>
      <c r="CG68" s="3" t="n">
        <v>39.86484138797261</v>
      </c>
      <c r="CH68" s="3" t="n">
        <v>40.22433020282005</v>
      </c>
      <c r="CI68" s="3" t="n">
        <v>40.58132374860617</v>
      </c>
      <c r="CJ68" s="3" t="n">
        <v>40.93684110261295</v>
      </c>
      <c r="CK68" s="3" t="n">
        <v>41.29018882767109</v>
      </c>
      <c r="CL68" s="3" t="n">
        <v>41.64261030098916</v>
      </c>
      <c r="CM68" s="3" t="n">
        <v>41.99267927134471</v>
      </c>
      <c r="CN68" s="3" t="n">
        <v>42.34025329835539</v>
      </c>
      <c r="CO68" s="3" t="n">
        <v>42.68616953324331</v>
      </c>
      <c r="CP68" s="3" t="n">
        <v>43.02808510819958</v>
      </c>
      <c r="CQ68" s="3" t="n">
        <v>43.36560510045297</v>
      </c>
      <c r="CR68" s="3" t="n">
        <v>43.69655456538757</v>
      </c>
      <c r="CS68" s="3" t="n">
        <v>44.01847317061931</v>
      </c>
      <c r="CU68" s="20" t="inlineStr">
        <is>
          <t>egy.mit.ghg.wst.ch4.6</t>
        </is>
      </c>
      <c r="CV68" s="3" t="n">
        <v>35.1260429723887</v>
      </c>
      <c r="CW68" s="3" t="n">
        <v>35.772328129627</v>
      </c>
      <c r="CX68" s="3" t="n">
        <v>36.4327701914859</v>
      </c>
      <c r="CY68" s="3" t="n">
        <v>38.39904993553178</v>
      </c>
      <c r="CZ68" s="3" t="n">
        <v>38.76714929678482</v>
      </c>
      <c r="DA68" s="3" t="n">
        <v>39.13422442284993</v>
      </c>
      <c r="DB68" s="3" t="n">
        <v>39.50126075355413</v>
      </c>
      <c r="DC68" s="3" t="n">
        <v>39.86484138797261</v>
      </c>
      <c r="DD68" s="3" t="n">
        <v>40.22433020282005</v>
      </c>
      <c r="DE68" s="3" t="n">
        <v>40.58132374860617</v>
      </c>
      <c r="DF68" s="3" t="n">
        <v>40.93684110261295</v>
      </c>
      <c r="DG68" s="3" t="n">
        <v>41.29018882767109</v>
      </c>
      <c r="DH68" s="3" t="n">
        <v>41.64261030098916</v>
      </c>
      <c r="DI68" s="3" t="n">
        <v>41.99267927134471</v>
      </c>
      <c r="DJ68" s="3" t="n">
        <v>42.34025329835539</v>
      </c>
      <c r="DK68" s="3" t="n">
        <v>42.68616953324331</v>
      </c>
      <c r="DL68" s="3" t="n">
        <v>43.02808510819958</v>
      </c>
      <c r="DM68" s="3" t="n">
        <v>43.36560510045297</v>
      </c>
      <c r="DN68" s="3" t="n">
        <v>43.69655456538757</v>
      </c>
      <c r="DO68" s="3" t="n">
        <v>44.01847317061931</v>
      </c>
    </row>
    <row r="69">
      <c r="A69" s="19" t="inlineStr">
        <is>
          <t>mit.ghg.oth.ch4</t>
        </is>
      </c>
      <c r="B69" s="3" t="inlineStr">
        <is>
          <t>mit</t>
        </is>
      </c>
      <c r="C69" s="19" t="inlineStr">
        <is>
          <t>mit.ghg.oth.ch4</t>
        </is>
      </c>
      <c r="H69" s="3" t="inlineStr">
        <is>
          <t>GHG emissions | Other | CH4</t>
        </is>
      </c>
      <c r="I69" s="3" t="inlineStr">
        <is>
          <t>Mt CO2e</t>
        </is>
      </c>
      <c r="K69" s="20" t="inlineStr">
        <is>
          <t>egy.mit.ghg.oth.ch4.1</t>
        </is>
      </c>
      <c r="L69" s="3" t="n">
        <v>0.089167736</v>
      </c>
      <c r="M69" s="3" t="n">
        <v>0.106864256591645</v>
      </c>
      <c r="N69" s="3" t="n">
        <v>0.128820209256864</v>
      </c>
      <c r="O69" s="3" t="n">
        <v>0.1308405701068288</v>
      </c>
      <c r="P69" s="3" t="n">
        <v>0.1327586215978554</v>
      </c>
      <c r="Q69" s="3" t="n">
        <v>0.1346891208841496</v>
      </c>
      <c r="R69" s="3" t="n">
        <v>0.1366355355737175</v>
      </c>
      <c r="S69" s="3" t="n">
        <v>0.1385860976860583</v>
      </c>
      <c r="T69" s="3" t="n">
        <v>0.1405385168533719</v>
      </c>
      <c r="U69" s="3" t="n">
        <v>0.1424982968117953</v>
      </c>
      <c r="V69" s="3" t="n">
        <v>0.1444690146029312</v>
      </c>
      <c r="W69" s="3" t="n">
        <v>0.146448245001416</v>
      </c>
      <c r="X69" s="3" t="n">
        <v>0.148440417304438</v>
      </c>
      <c r="Y69" s="3" t="n">
        <v>0.1504404854072646</v>
      </c>
      <c r="Z69" s="3" t="n">
        <v>0.1524479231443198</v>
      </c>
      <c r="AA69" s="3" t="n">
        <v>0.154465738281426</v>
      </c>
      <c r="AB69" s="3" t="n">
        <v>0.1564854336866922</v>
      </c>
      <c r="AC69" s="3" t="n">
        <v>0.1585054607089179</v>
      </c>
      <c r="AD69" s="3" t="n">
        <v>0.1605177013649358</v>
      </c>
      <c r="AE69" s="3" t="n">
        <v>0.1625128217427274</v>
      </c>
      <c r="AG69" s="20" t="inlineStr">
        <is>
          <t>egy.mit.ghg.oth.ch4.3</t>
        </is>
      </c>
      <c r="AH69" s="3" t="n">
        <v>0.089167736</v>
      </c>
      <c r="AI69" s="3" t="n">
        <v>0.106864256591645</v>
      </c>
      <c r="AJ69" s="3" t="n">
        <v>0.128820209256864</v>
      </c>
      <c r="AK69" s="3" t="n">
        <v>0.1308405701068288</v>
      </c>
      <c r="AL69" s="3" t="n">
        <v>0.1327586215978554</v>
      </c>
      <c r="AM69" s="3" t="n">
        <v>0.1346891208841496</v>
      </c>
      <c r="AN69" s="3" t="n">
        <v>0.1366355355737175</v>
      </c>
      <c r="AO69" s="3" t="n">
        <v>0.1385860976860583</v>
      </c>
      <c r="AP69" s="3" t="n">
        <v>0.1405385168533719</v>
      </c>
      <c r="AQ69" s="3" t="n">
        <v>0.1424982968117953</v>
      </c>
      <c r="AR69" s="3" t="n">
        <v>0.1444690146029312</v>
      </c>
      <c r="AS69" s="3" t="n">
        <v>0.146448245001416</v>
      </c>
      <c r="AT69" s="3" t="n">
        <v>0.148440417304438</v>
      </c>
      <c r="AU69" s="3" t="n">
        <v>0.1504404854072646</v>
      </c>
      <c r="AV69" s="3" t="n">
        <v>0.1524479231443198</v>
      </c>
      <c r="AW69" s="3" t="n">
        <v>0.154465738281426</v>
      </c>
      <c r="AX69" s="3" t="n">
        <v>0.1564854336866922</v>
      </c>
      <c r="AY69" s="3" t="n">
        <v>0.1585054607089179</v>
      </c>
      <c r="AZ69" s="3" t="n">
        <v>0.1605177013649358</v>
      </c>
      <c r="BA69" s="3" t="n">
        <v>0.1625128217427274</v>
      </c>
      <c r="BC69" s="20" t="inlineStr">
        <is>
          <t>egy.mit.ghg.oth.ch4.4</t>
        </is>
      </c>
      <c r="BD69" s="3" t="n">
        <v>0.089167736</v>
      </c>
      <c r="BE69" s="3" t="n">
        <v>0.106864256591645</v>
      </c>
      <c r="BF69" s="3" t="n">
        <v>0.128820209256864</v>
      </c>
      <c r="BG69" s="3" t="n">
        <v>0.1308405701068288</v>
      </c>
      <c r="BH69" s="3" t="n">
        <v>0.1327586215978554</v>
      </c>
      <c r="BI69" s="3" t="n">
        <v>0.1346891208841496</v>
      </c>
      <c r="BJ69" s="3" t="n">
        <v>0.1366355355737175</v>
      </c>
      <c r="BK69" s="3" t="n">
        <v>0.1385860976860583</v>
      </c>
      <c r="BL69" s="3" t="n">
        <v>0.1405385168533719</v>
      </c>
      <c r="BM69" s="3" t="n">
        <v>0.1424982968117953</v>
      </c>
      <c r="BN69" s="3" t="n">
        <v>0.1444690146029312</v>
      </c>
      <c r="BO69" s="3" t="n">
        <v>0.146448245001416</v>
      </c>
      <c r="BP69" s="3" t="n">
        <v>0.148440417304438</v>
      </c>
      <c r="BQ69" s="3" t="n">
        <v>0.1504404854072646</v>
      </c>
      <c r="BR69" s="3" t="n">
        <v>0.1524479231443198</v>
      </c>
      <c r="BS69" s="3" t="n">
        <v>0.154465738281426</v>
      </c>
      <c r="BT69" s="3" t="n">
        <v>0.1564854336866922</v>
      </c>
      <c r="BU69" s="3" t="n">
        <v>0.1585054607089179</v>
      </c>
      <c r="BV69" s="3" t="n">
        <v>0.1605177013649358</v>
      </c>
      <c r="BW69" s="3" t="n">
        <v>0.1625128217427274</v>
      </c>
      <c r="BY69" s="20" t="inlineStr">
        <is>
          <t>egy.mit.ghg.oth.ch4.5</t>
        </is>
      </c>
      <c r="BZ69" s="3" t="n">
        <v>0.089167736</v>
      </c>
      <c r="CA69" s="3" t="n">
        <v>0.106864256591645</v>
      </c>
      <c r="CB69" s="3" t="n">
        <v>0.128820209256864</v>
      </c>
      <c r="CC69" s="3" t="n">
        <v>0.1308405701068288</v>
      </c>
      <c r="CD69" s="3" t="n">
        <v>0.1327586215978554</v>
      </c>
      <c r="CE69" s="3" t="n">
        <v>0.1346891208841496</v>
      </c>
      <c r="CF69" s="3" t="n">
        <v>0.1366355355737175</v>
      </c>
      <c r="CG69" s="3" t="n">
        <v>0.1385860976860583</v>
      </c>
      <c r="CH69" s="3" t="n">
        <v>0.1405385168533719</v>
      </c>
      <c r="CI69" s="3" t="n">
        <v>0.1424982968117953</v>
      </c>
      <c r="CJ69" s="3" t="n">
        <v>0.1444690146029312</v>
      </c>
      <c r="CK69" s="3" t="n">
        <v>0.146448245001416</v>
      </c>
      <c r="CL69" s="3" t="n">
        <v>0.148440417304438</v>
      </c>
      <c r="CM69" s="3" t="n">
        <v>0.1504404854072646</v>
      </c>
      <c r="CN69" s="3" t="n">
        <v>0.1524479231443198</v>
      </c>
      <c r="CO69" s="3" t="n">
        <v>0.154465738281426</v>
      </c>
      <c r="CP69" s="3" t="n">
        <v>0.1564854336866922</v>
      </c>
      <c r="CQ69" s="3" t="n">
        <v>0.1585054607089179</v>
      </c>
      <c r="CR69" s="3" t="n">
        <v>0.1605177013649358</v>
      </c>
      <c r="CS69" s="3" t="n">
        <v>0.1625128217427274</v>
      </c>
      <c r="CU69" s="20" t="inlineStr">
        <is>
          <t>egy.mit.ghg.oth.ch4.6</t>
        </is>
      </c>
      <c r="CV69" s="3" t="n">
        <v>0.089167736</v>
      </c>
      <c r="CW69" s="3" t="n">
        <v>0.106864256591645</v>
      </c>
      <c r="CX69" s="3" t="n">
        <v>0.128820209256864</v>
      </c>
      <c r="CY69" s="3" t="n">
        <v>0.1308405701068288</v>
      </c>
      <c r="CZ69" s="3" t="n">
        <v>0.1327586215978554</v>
      </c>
      <c r="DA69" s="3" t="n">
        <v>0.1346891208841496</v>
      </c>
      <c r="DB69" s="3" t="n">
        <v>0.1366355355737175</v>
      </c>
      <c r="DC69" s="3" t="n">
        <v>0.1385860976860583</v>
      </c>
      <c r="DD69" s="3" t="n">
        <v>0.1405385168533719</v>
      </c>
      <c r="DE69" s="3" t="n">
        <v>0.1424982968117953</v>
      </c>
      <c r="DF69" s="3" t="n">
        <v>0.1444690146029312</v>
      </c>
      <c r="DG69" s="3" t="n">
        <v>0.146448245001416</v>
      </c>
      <c r="DH69" s="3" t="n">
        <v>0.148440417304438</v>
      </c>
      <c r="DI69" s="3" t="n">
        <v>0.1504404854072646</v>
      </c>
      <c r="DJ69" s="3" t="n">
        <v>0.1524479231443198</v>
      </c>
      <c r="DK69" s="3" t="n">
        <v>0.154465738281426</v>
      </c>
      <c r="DL69" s="3" t="n">
        <v>0.1564854336866922</v>
      </c>
      <c r="DM69" s="3" t="n">
        <v>0.1585054607089179</v>
      </c>
      <c r="DN69" s="3" t="n">
        <v>0.1605177013649358</v>
      </c>
      <c r="DO69" s="3" t="n">
        <v>0.1625128217427274</v>
      </c>
    </row>
    <row r="70">
      <c r="A70" s="14" t="n"/>
      <c r="B70" s="3" t="inlineStr">
        <is>
          <t>mit</t>
        </is>
      </c>
      <c r="C70" s="19" t="inlineStr">
        <is>
          <t>mit.ghg.fug.ch4</t>
        </is>
      </c>
      <c r="H70" s="14" t="inlineStr">
        <is>
          <t>Methane: memo energy distribution (baseline)</t>
        </is>
      </c>
      <c r="I70" s="14" t="inlineStr">
        <is>
          <t>mtco2e</t>
        </is>
      </c>
    </row>
    <row r="71">
      <c r="A71" s="14" t="n"/>
      <c r="B71" s="3" t="inlineStr">
        <is>
          <t>mit</t>
        </is>
      </c>
      <c r="C71" s="19" t="inlineStr">
        <is>
          <t>mit.ghg.index</t>
        </is>
      </c>
      <c r="H71" s="14" t="inlineStr">
        <is>
          <t>GHG emissions, baseline (2018=100)</t>
        </is>
      </c>
      <c r="I71" s="14" t="inlineStr">
        <is>
          <t>index</t>
        </is>
      </c>
    </row>
    <row r="72">
      <c r="A72" s="19" t="inlineStr">
        <is>
          <t>mit.ghg.pct.all.all</t>
        </is>
      </c>
      <c r="B72" s="3" t="inlineStr">
        <is>
          <t>mit</t>
        </is>
      </c>
      <c r="C72" s="19" t="inlineStr">
        <is>
          <t>mit.ghg.tot.inc.red.pct</t>
        </is>
      </c>
      <c r="H72" s="3" t="inlineStr">
        <is>
          <t>Change in GHG emissions vs scenario 1 | All sectors | All fuels</t>
        </is>
      </c>
      <c r="I72" s="3" t="inlineStr">
        <is>
          <t>%</t>
        </is>
      </c>
      <c r="K72" s="20" t="inlineStr">
        <is>
          <t>egy.mit.ghg.pct.all.all.1</t>
        </is>
      </c>
      <c r="L72" s="3" t="n">
        <v>0</v>
      </c>
      <c r="M72" s="3" t="n">
        <v>0</v>
      </c>
      <c r="N72" s="3" t="n">
        <v>0</v>
      </c>
      <c r="O72" s="3" t="n">
        <v>0</v>
      </c>
      <c r="P72" s="3" t="n">
        <v>0</v>
      </c>
      <c r="Q72" s="3" t="n">
        <v>0</v>
      </c>
      <c r="R72" s="3" t="n">
        <v>0</v>
      </c>
      <c r="S72" s="3" t="n">
        <v>0</v>
      </c>
      <c r="T72" s="3" t="n">
        <v>0</v>
      </c>
      <c r="U72" s="3" t="n">
        <v>0</v>
      </c>
      <c r="V72" s="3" t="n">
        <v>0</v>
      </c>
      <c r="W72" s="3" t="n">
        <v>0</v>
      </c>
      <c r="X72" s="3" t="n">
        <v>0</v>
      </c>
      <c r="Y72" s="3" t="n">
        <v>0</v>
      </c>
      <c r="Z72" s="3" t="n">
        <v>0</v>
      </c>
      <c r="AA72" s="3" t="n">
        <v>0</v>
      </c>
      <c r="AB72" s="3" t="n">
        <v>0</v>
      </c>
      <c r="AC72" s="3" t="n">
        <v>0</v>
      </c>
      <c r="AD72" s="3" t="n">
        <v>0</v>
      </c>
      <c r="AE72" s="3" t="n">
        <v>0</v>
      </c>
      <c r="AG72" s="20" t="inlineStr">
        <is>
          <t>egy.mit.ghg.pct.all.all.3</t>
        </is>
      </c>
      <c r="AH72" s="3" t="n">
        <v>0</v>
      </c>
      <c r="AI72" s="3" t="n">
        <v>-0.0001305654779147902</v>
      </c>
      <c r="AJ72" s="3" t="n">
        <v>-0.0001137665761238305</v>
      </c>
      <c r="AK72" s="3" t="n">
        <v>-0.0001045976376021773</v>
      </c>
      <c r="AL72" s="3" t="n">
        <v>-0.0001023804374206128</v>
      </c>
      <c r="AM72" s="3" t="n">
        <v>-0.06685252382678797</v>
      </c>
      <c r="AN72" s="3" t="n">
        <v>-0.08714895870324124</v>
      </c>
      <c r="AO72" s="3" t="n">
        <v>-0.08306482937046988</v>
      </c>
      <c r="AP72" s="3" t="n">
        <v>-0.0855708433555602</v>
      </c>
      <c r="AQ72" s="3" t="n">
        <v>-0.08346240080207601</v>
      </c>
      <c r="AR72" s="3" t="n">
        <v>-0.08407948043927238</v>
      </c>
      <c r="AS72" s="3" t="n">
        <v>-0.08297641514961884</v>
      </c>
      <c r="AT72" s="3" t="n">
        <v>-0.08327562459237636</v>
      </c>
      <c r="AU72" s="3" t="n">
        <v>-0.08294085696779641</v>
      </c>
      <c r="AV72" s="3" t="n">
        <v>-0.08253723379688127</v>
      </c>
      <c r="AW72" s="3" t="n">
        <v>-0.08189352013405105</v>
      </c>
      <c r="AX72" s="3" t="n">
        <v>-0.08156118233278786</v>
      </c>
      <c r="AY72" s="3" t="n">
        <v>-0.08135556102496877</v>
      </c>
      <c r="AZ72" s="3" t="n">
        <v>-0.08151685268639119</v>
      </c>
      <c r="BA72" s="3" t="n">
        <v>-0.08175977076187502</v>
      </c>
      <c r="BC72" s="20" t="inlineStr">
        <is>
          <t>egy.mit.ghg.pct.all.all.4</t>
        </is>
      </c>
      <c r="BD72" s="3" t="n">
        <v>0</v>
      </c>
      <c r="BE72" s="3" t="n">
        <v>-0.0004520016963738271</v>
      </c>
      <c r="BF72" s="3" t="n">
        <v>-0.0003938281423013779</v>
      </c>
      <c r="BG72" s="3" t="n">
        <v>-0.0003620712454619479</v>
      </c>
      <c r="BH72" s="3" t="n">
        <v>-0.0003538946421607347</v>
      </c>
      <c r="BI72" s="3" t="n">
        <v>-0.04330666495625402</v>
      </c>
      <c r="BJ72" s="3" t="n">
        <v>-0.09801312432834153</v>
      </c>
      <c r="BK72" s="3" t="n">
        <v>-0.1487968128804452</v>
      </c>
      <c r="BL72" s="3" t="n">
        <v>-0.1845959680146468</v>
      </c>
      <c r="BM72" s="3" t="n">
        <v>-0.204919796804971</v>
      </c>
      <c r="BN72" s="3" t="n">
        <v>-0.2287965306572181</v>
      </c>
      <c r="BO72" s="3" t="n">
        <v>-0.248833374363128</v>
      </c>
      <c r="BP72" s="3" t="n">
        <v>-0.2700836589829163</v>
      </c>
      <c r="BQ72" s="3" t="n">
        <v>-0.287235842404007</v>
      </c>
      <c r="BR72" s="3" t="n">
        <v>-0.3052297541038057</v>
      </c>
      <c r="BS72" s="3" t="n">
        <v>-0.3197424226946414</v>
      </c>
      <c r="BT72" s="3" t="n">
        <v>-0.3354731689173452</v>
      </c>
      <c r="BU72" s="3" t="n">
        <v>-0.3477907171120855</v>
      </c>
      <c r="BV72" s="3" t="n">
        <v>-0.3623744244160293</v>
      </c>
      <c r="BW72" s="3" t="n">
        <v>-0.3726684834700751</v>
      </c>
      <c r="BY72" s="20" t="inlineStr">
        <is>
          <t>egy.mit.ghg.pct.all.all.5</t>
        </is>
      </c>
      <c r="BZ72" s="3" t="n">
        <v>0</v>
      </c>
      <c r="CA72" s="3" t="n">
        <v>-0.0007668645601742741</v>
      </c>
      <c r="CB72" s="3" t="n">
        <v>-0.0006685113680936494</v>
      </c>
      <c r="CC72" s="3" t="n">
        <v>-0.00061492858789991</v>
      </c>
      <c r="CD72" s="3" t="n">
        <v>-0.0006015921584986428</v>
      </c>
      <c r="CE72" s="3" t="n">
        <v>-0.07583208384729956</v>
      </c>
      <c r="CF72" s="3" t="n">
        <v>-0.07785026671227802</v>
      </c>
      <c r="CG72" s="3" t="n">
        <v>-0.07940549539324548</v>
      </c>
      <c r="CH72" s="3" t="n">
        <v>-0.081797077982388</v>
      </c>
      <c r="CI72" s="3" t="n">
        <v>-0.08581832463782557</v>
      </c>
      <c r="CJ72" s="3" t="n">
        <v>-0.09224800255481136</v>
      </c>
      <c r="CK72" s="3" t="n">
        <v>-0.0954923514544268</v>
      </c>
      <c r="CL72" s="3" t="n">
        <v>-0.1054148118607786</v>
      </c>
      <c r="CM72" s="3" t="n">
        <v>-0.1135598703845153</v>
      </c>
      <c r="CN72" s="3" t="n">
        <v>-0.1204112064570714</v>
      </c>
      <c r="CO72" s="3" t="n">
        <v>-0.1280712928173015</v>
      </c>
      <c r="CP72" s="3" t="n">
        <v>-0.1348085269604056</v>
      </c>
      <c r="CQ72" s="3" t="n">
        <v>-0.1410830446477682</v>
      </c>
      <c r="CR72" s="3" t="n">
        <v>-0.147659687800253</v>
      </c>
      <c r="CS72" s="3" t="n">
        <v>-0.1534674078985855</v>
      </c>
      <c r="CU72" s="20" t="inlineStr">
        <is>
          <t>egy.mit.ghg.pct.all.all.6</t>
        </is>
      </c>
      <c r="CV72" s="3" t="n">
        <v>0</v>
      </c>
      <c r="CW72" s="3" t="n">
        <v>-0.0003114563149313465</v>
      </c>
      <c r="CX72" s="3" t="n">
        <v>-0.0002713764664068474</v>
      </c>
      <c r="CY72" s="3" t="n">
        <v>-0.0002494985022961638</v>
      </c>
      <c r="CZ72" s="3" t="n">
        <v>-0.0002440123648430603</v>
      </c>
      <c r="DA72" s="3" t="n">
        <v>-0.131571829628102</v>
      </c>
      <c r="DB72" s="3" t="n">
        <v>-0.174464671167574</v>
      </c>
      <c r="DC72" s="3" t="n">
        <v>-0.170130498666978</v>
      </c>
      <c r="DD72" s="3" t="n">
        <v>-0.1771621234037601</v>
      </c>
      <c r="DE72" s="3" t="n">
        <v>-0.1681286740400657</v>
      </c>
      <c r="DF72" s="3" t="n">
        <v>-0.1744424872603937</v>
      </c>
      <c r="DG72" s="3" t="n">
        <v>-0.176015500974222</v>
      </c>
      <c r="DH72" s="3" t="n">
        <v>-0.1819660804339581</v>
      </c>
      <c r="DI72" s="3" t="n">
        <v>-0.1853198928223632</v>
      </c>
      <c r="DJ72" s="3" t="n">
        <v>-0.1898151517485778</v>
      </c>
      <c r="DK72" s="3" t="n">
        <v>-0.1923611208356912</v>
      </c>
      <c r="DL72" s="3" t="n">
        <v>-0.1963919021489736</v>
      </c>
      <c r="DM72" s="3" t="n">
        <v>-0.199093102745368</v>
      </c>
      <c r="DN72" s="3" t="n">
        <v>-0.2031576155707724</v>
      </c>
      <c r="DO72" s="3" t="n">
        <v>-0.2060502467676093</v>
      </c>
    </row>
    <row r="73">
      <c r="A73" s="19" t="inlineStr">
        <is>
          <t>mit.ndc.key.all.all</t>
        </is>
      </c>
      <c r="B73" s="3" t="inlineStr">
        <is>
          <t>mit</t>
        </is>
      </c>
      <c r="C73" s="19" t="inlineStr">
        <is>
          <t>mit.ndc.option</t>
        </is>
      </c>
      <c r="H73" s="3" t="inlineStr">
        <is>
          <t>NDC: country|submission key (MTInputs NDCs: First round, Second round, else Latest*) | All sectors | All fuels</t>
        </is>
      </c>
      <c r="I73" s="3" t="inlineStr">
        <is>
          <t>text</t>
        </is>
      </c>
      <c r="K73" s="20" t="inlineStr">
        <is>
          <t>egy.mit.ndc.key.all.all.1</t>
        </is>
      </c>
      <c r="L73" s="3" t="inlineStr">
        <is>
          <t>EGY|Latest*</t>
        </is>
      </c>
      <c r="M73" s="3" t="inlineStr">
        <is>
          <t>EGY|Latest*</t>
        </is>
      </c>
      <c r="N73" s="3" t="inlineStr">
        <is>
          <t>EGY|Latest*</t>
        </is>
      </c>
      <c r="O73" s="3" t="inlineStr">
        <is>
          <t>EGY|Latest*</t>
        </is>
      </c>
      <c r="P73" s="3" t="inlineStr">
        <is>
          <t>EGY|Latest*</t>
        </is>
      </c>
      <c r="Q73" s="3" t="inlineStr">
        <is>
          <t>EGY|Latest*</t>
        </is>
      </c>
      <c r="R73" s="3" t="inlineStr">
        <is>
          <t>EGY|Latest*</t>
        </is>
      </c>
      <c r="S73" s="3" t="inlineStr">
        <is>
          <t>EGY|Latest*</t>
        </is>
      </c>
      <c r="T73" s="3" t="inlineStr">
        <is>
          <t>EGY|Latest*</t>
        </is>
      </c>
      <c r="U73" s="3" t="inlineStr">
        <is>
          <t>EGY|Latest*</t>
        </is>
      </c>
      <c r="V73" s="3" t="inlineStr">
        <is>
          <t>EGY|Latest*</t>
        </is>
      </c>
      <c r="W73" s="3" t="inlineStr">
        <is>
          <t>EGY|Latest*</t>
        </is>
      </c>
      <c r="X73" s="3" t="inlineStr">
        <is>
          <t>EGY|Latest*</t>
        </is>
      </c>
      <c r="Y73" s="3" t="inlineStr">
        <is>
          <t>EGY|Latest*</t>
        </is>
      </c>
      <c r="Z73" s="3" t="inlineStr">
        <is>
          <t>EGY|Latest*</t>
        </is>
      </c>
      <c r="AA73" s="3" t="inlineStr">
        <is>
          <t>EGY|Latest*</t>
        </is>
      </c>
      <c r="AB73" s="3" t="inlineStr">
        <is>
          <t>EGY|Latest*</t>
        </is>
      </c>
      <c r="AC73" s="3" t="inlineStr">
        <is>
          <t>EGY|Latest*</t>
        </is>
      </c>
      <c r="AD73" s="3" t="inlineStr">
        <is>
          <t>EGY|Latest*</t>
        </is>
      </c>
      <c r="AE73" s="3" t="inlineStr">
        <is>
          <t>EGY|Latest*</t>
        </is>
      </c>
      <c r="AG73" s="20" t="inlineStr">
        <is>
          <t>egy.mit.ndc.key.all.all.3</t>
        </is>
      </c>
      <c r="AH73" s="3" t="inlineStr">
        <is>
          <t>EGY|Latest*</t>
        </is>
      </c>
      <c r="AI73" s="3" t="inlineStr">
        <is>
          <t>EGY|Latest*</t>
        </is>
      </c>
      <c r="AJ73" s="3" t="inlineStr">
        <is>
          <t>EGY|Latest*</t>
        </is>
      </c>
      <c r="AK73" s="3" t="inlineStr">
        <is>
          <t>EGY|Latest*</t>
        </is>
      </c>
      <c r="AL73" s="3" t="inlineStr">
        <is>
          <t>EGY|Latest*</t>
        </is>
      </c>
      <c r="AM73" s="3" t="inlineStr">
        <is>
          <t>EGY|Latest*</t>
        </is>
      </c>
      <c r="AN73" s="3" t="inlineStr">
        <is>
          <t>EGY|Latest*</t>
        </is>
      </c>
      <c r="AO73" s="3" t="inlineStr">
        <is>
          <t>EGY|Latest*</t>
        </is>
      </c>
      <c r="AP73" s="3" t="inlineStr">
        <is>
          <t>EGY|Latest*</t>
        </is>
      </c>
      <c r="AQ73" s="3" t="inlineStr">
        <is>
          <t>EGY|Latest*</t>
        </is>
      </c>
      <c r="AR73" s="3" t="inlineStr">
        <is>
          <t>EGY|Latest*</t>
        </is>
      </c>
      <c r="AS73" s="3" t="inlineStr">
        <is>
          <t>EGY|Latest*</t>
        </is>
      </c>
      <c r="AT73" s="3" t="inlineStr">
        <is>
          <t>EGY|Latest*</t>
        </is>
      </c>
      <c r="AU73" s="3" t="inlineStr">
        <is>
          <t>EGY|Latest*</t>
        </is>
      </c>
      <c r="AV73" s="3" t="inlineStr">
        <is>
          <t>EGY|Latest*</t>
        </is>
      </c>
      <c r="AW73" s="3" t="inlineStr">
        <is>
          <t>EGY|Latest*</t>
        </is>
      </c>
      <c r="AX73" s="3" t="inlineStr">
        <is>
          <t>EGY|Latest*</t>
        </is>
      </c>
      <c r="AY73" s="3" t="inlineStr">
        <is>
          <t>EGY|Latest*</t>
        </is>
      </c>
      <c r="AZ73" s="3" t="inlineStr">
        <is>
          <t>EGY|Latest*</t>
        </is>
      </c>
      <c r="BA73" s="3" t="inlineStr">
        <is>
          <t>EGY|Latest*</t>
        </is>
      </c>
      <c r="BC73" s="20" t="inlineStr">
        <is>
          <t>egy.mit.ndc.key.all.all.4</t>
        </is>
      </c>
      <c r="BD73" s="3" t="inlineStr">
        <is>
          <t>EGY|Latest*</t>
        </is>
      </c>
      <c r="BE73" s="3" t="inlineStr">
        <is>
          <t>EGY|Latest*</t>
        </is>
      </c>
      <c r="BF73" s="3" t="inlineStr">
        <is>
          <t>EGY|Latest*</t>
        </is>
      </c>
      <c r="BG73" s="3" t="inlineStr">
        <is>
          <t>EGY|Latest*</t>
        </is>
      </c>
      <c r="BH73" s="3" t="inlineStr">
        <is>
          <t>EGY|Latest*</t>
        </is>
      </c>
      <c r="BI73" s="3" t="inlineStr">
        <is>
          <t>EGY|Latest*</t>
        </is>
      </c>
      <c r="BJ73" s="3" t="inlineStr">
        <is>
          <t>EGY|Latest*</t>
        </is>
      </c>
      <c r="BK73" s="3" t="inlineStr">
        <is>
          <t>EGY|Latest*</t>
        </is>
      </c>
      <c r="BL73" s="3" t="inlineStr">
        <is>
          <t>EGY|Latest*</t>
        </is>
      </c>
      <c r="BM73" s="3" t="inlineStr">
        <is>
          <t>EGY|Latest*</t>
        </is>
      </c>
      <c r="BN73" s="3" t="inlineStr">
        <is>
          <t>EGY|Latest*</t>
        </is>
      </c>
      <c r="BO73" s="3" t="inlineStr">
        <is>
          <t>EGY|Latest*</t>
        </is>
      </c>
      <c r="BP73" s="3" t="inlineStr">
        <is>
          <t>EGY|Latest*</t>
        </is>
      </c>
      <c r="BQ73" s="3" t="inlineStr">
        <is>
          <t>EGY|Latest*</t>
        </is>
      </c>
      <c r="BR73" s="3" t="inlineStr">
        <is>
          <t>EGY|Latest*</t>
        </is>
      </c>
      <c r="BS73" s="3" t="inlineStr">
        <is>
          <t>EGY|Latest*</t>
        </is>
      </c>
      <c r="BT73" s="3" t="inlineStr">
        <is>
          <t>EGY|Latest*</t>
        </is>
      </c>
      <c r="BU73" s="3" t="inlineStr">
        <is>
          <t>EGY|Latest*</t>
        </is>
      </c>
      <c r="BV73" s="3" t="inlineStr">
        <is>
          <t>EGY|Latest*</t>
        </is>
      </c>
      <c r="BW73" s="3" t="inlineStr">
        <is>
          <t>EGY|Latest*</t>
        </is>
      </c>
      <c r="BY73" s="20" t="inlineStr">
        <is>
          <t>egy.mit.ndc.key.all.all.5</t>
        </is>
      </c>
      <c r="BZ73" s="3" t="inlineStr">
        <is>
          <t>EGY|Latest*</t>
        </is>
      </c>
      <c r="CA73" s="3" t="inlineStr">
        <is>
          <t>EGY|Latest*</t>
        </is>
      </c>
      <c r="CB73" s="3" t="inlineStr">
        <is>
          <t>EGY|Latest*</t>
        </is>
      </c>
      <c r="CC73" s="3" t="inlineStr">
        <is>
          <t>EGY|Latest*</t>
        </is>
      </c>
      <c r="CD73" s="3" t="inlineStr">
        <is>
          <t>EGY|Latest*</t>
        </is>
      </c>
      <c r="CE73" s="3" t="inlineStr">
        <is>
          <t>EGY|Latest*</t>
        </is>
      </c>
      <c r="CF73" s="3" t="inlineStr">
        <is>
          <t>EGY|Latest*</t>
        </is>
      </c>
      <c r="CG73" s="3" t="inlineStr">
        <is>
          <t>EGY|Latest*</t>
        </is>
      </c>
      <c r="CH73" s="3" t="inlineStr">
        <is>
          <t>EGY|Latest*</t>
        </is>
      </c>
      <c r="CI73" s="3" t="inlineStr">
        <is>
          <t>EGY|Latest*</t>
        </is>
      </c>
      <c r="CJ73" s="3" t="inlineStr">
        <is>
          <t>EGY|Latest*</t>
        </is>
      </c>
      <c r="CK73" s="3" t="inlineStr">
        <is>
          <t>EGY|Latest*</t>
        </is>
      </c>
      <c r="CL73" s="3" t="inlineStr">
        <is>
          <t>EGY|Latest*</t>
        </is>
      </c>
      <c r="CM73" s="3" t="inlineStr">
        <is>
          <t>EGY|Latest*</t>
        </is>
      </c>
      <c r="CN73" s="3" t="inlineStr">
        <is>
          <t>EGY|Latest*</t>
        </is>
      </c>
      <c r="CO73" s="3" t="inlineStr">
        <is>
          <t>EGY|Latest*</t>
        </is>
      </c>
      <c r="CP73" s="3" t="inlineStr">
        <is>
          <t>EGY|Latest*</t>
        </is>
      </c>
      <c r="CQ73" s="3" t="inlineStr">
        <is>
          <t>EGY|Latest*</t>
        </is>
      </c>
      <c r="CR73" s="3" t="inlineStr">
        <is>
          <t>EGY|Latest*</t>
        </is>
      </c>
      <c r="CS73" s="3" t="inlineStr">
        <is>
          <t>EGY|Latest*</t>
        </is>
      </c>
      <c r="CU73" s="20" t="inlineStr">
        <is>
          <t>egy.mit.ndc.key.all.all.6</t>
        </is>
      </c>
      <c r="CV73" s="3" t="inlineStr">
        <is>
          <t>EGY|Latest*</t>
        </is>
      </c>
      <c r="CW73" s="3" t="inlineStr">
        <is>
          <t>EGY|Latest*</t>
        </is>
      </c>
      <c r="CX73" s="3" t="inlineStr">
        <is>
          <t>EGY|Latest*</t>
        </is>
      </c>
      <c r="CY73" s="3" t="inlineStr">
        <is>
          <t>EGY|Latest*</t>
        </is>
      </c>
      <c r="CZ73" s="3" t="inlineStr">
        <is>
          <t>EGY|Latest*</t>
        </is>
      </c>
      <c r="DA73" s="3" t="inlineStr">
        <is>
          <t>EGY|Latest*</t>
        </is>
      </c>
      <c r="DB73" s="3" t="inlineStr">
        <is>
          <t>EGY|Latest*</t>
        </is>
      </c>
      <c r="DC73" s="3" t="inlineStr">
        <is>
          <t>EGY|Latest*</t>
        </is>
      </c>
      <c r="DD73" s="3" t="inlineStr">
        <is>
          <t>EGY|Latest*</t>
        </is>
      </c>
      <c r="DE73" s="3" t="inlineStr">
        <is>
          <t>EGY|Latest*</t>
        </is>
      </c>
      <c r="DF73" s="3" t="inlineStr">
        <is>
          <t>EGY|Latest*</t>
        </is>
      </c>
      <c r="DG73" s="3" t="inlineStr">
        <is>
          <t>EGY|Latest*</t>
        </is>
      </c>
      <c r="DH73" s="3" t="inlineStr">
        <is>
          <t>EGY|Latest*</t>
        </is>
      </c>
      <c r="DI73" s="3" t="inlineStr">
        <is>
          <t>EGY|Latest*</t>
        </is>
      </c>
      <c r="DJ73" s="3" t="inlineStr">
        <is>
          <t>EGY|Latest*</t>
        </is>
      </c>
      <c r="DK73" s="3" t="inlineStr">
        <is>
          <t>EGY|Latest*</t>
        </is>
      </c>
      <c r="DL73" s="3" t="inlineStr">
        <is>
          <t>EGY|Latest*</t>
        </is>
      </c>
      <c r="DM73" s="3" t="inlineStr">
        <is>
          <t>EGY|Latest*</t>
        </is>
      </c>
      <c r="DN73" s="3" t="inlineStr">
        <is>
          <t>EGY|Latest*</t>
        </is>
      </c>
      <c r="DO73" s="3" t="inlineStr">
        <is>
          <t>EGY|Latest*</t>
        </is>
      </c>
    </row>
    <row r="74">
      <c r="A74" s="19" t="inlineStr">
        <is>
          <t>mit.ndc.alt.all.all</t>
        </is>
      </c>
      <c r="B74" s="3" t="inlineStr">
        <is>
          <t>mit</t>
        </is>
      </c>
      <c r="C74" s="19" t="inlineStr">
        <is>
          <t>mit.ndc.targetyear</t>
        </is>
      </c>
      <c r="H74" s="3" t="inlineStr">
        <is>
          <t>NDC: second target year used | All sectors | All fuels</t>
        </is>
      </c>
      <c r="I74" s="3" t="inlineStr">
        <is>
          <t>TRUE/FALSE</t>
        </is>
      </c>
      <c r="K74" s="20" t="inlineStr">
        <is>
          <t>egy.mit.ndc.alt.all.all.1</t>
        </is>
      </c>
      <c r="L74" s="3" t="n">
        <v>0</v>
      </c>
      <c r="M74" s="3" t="n">
        <v>0</v>
      </c>
      <c r="N74" s="3" t="n">
        <v>0</v>
      </c>
      <c r="O74" s="3" t="n">
        <v>0</v>
      </c>
      <c r="P74" s="3" t="n">
        <v>0</v>
      </c>
      <c r="Q74" s="3" t="n">
        <v>0</v>
      </c>
      <c r="R74" s="3" t="n">
        <v>0</v>
      </c>
      <c r="S74" s="3" t="n">
        <v>0</v>
      </c>
      <c r="T74" s="3" t="n">
        <v>0</v>
      </c>
      <c r="U74" s="3" t="n">
        <v>0</v>
      </c>
      <c r="V74" s="3" t="n">
        <v>0</v>
      </c>
      <c r="W74" s="3" t="n">
        <v>0</v>
      </c>
      <c r="X74" s="3" t="n">
        <v>0</v>
      </c>
      <c r="Y74" s="3" t="n">
        <v>0</v>
      </c>
      <c r="Z74" s="3" t="n">
        <v>0</v>
      </c>
      <c r="AA74" s="3" t="n">
        <v>0</v>
      </c>
      <c r="AB74" s="3" t="n">
        <v>0</v>
      </c>
      <c r="AC74" s="3" t="n">
        <v>0</v>
      </c>
      <c r="AD74" s="3" t="n">
        <v>0</v>
      </c>
      <c r="AE74" s="3" t="n">
        <v>0</v>
      </c>
      <c r="AG74" s="20" t="inlineStr">
        <is>
          <t>egy.mit.ndc.alt.all.all.3</t>
        </is>
      </c>
      <c r="AH74" s="3" t="n">
        <v>0</v>
      </c>
      <c r="AI74" s="3" t="n">
        <v>0</v>
      </c>
      <c r="AJ74" s="3" t="n">
        <v>0</v>
      </c>
      <c r="AK74" s="3" t="n">
        <v>0</v>
      </c>
      <c r="AL74" s="3" t="n">
        <v>0</v>
      </c>
      <c r="AM74" s="3" t="n">
        <v>0</v>
      </c>
      <c r="AN74" s="3" t="n">
        <v>0</v>
      </c>
      <c r="AO74" s="3" t="n">
        <v>0</v>
      </c>
      <c r="AP74" s="3" t="n">
        <v>0</v>
      </c>
      <c r="AQ74" s="3" t="n">
        <v>0</v>
      </c>
      <c r="AR74" s="3" t="n">
        <v>0</v>
      </c>
      <c r="AS74" s="3" t="n">
        <v>0</v>
      </c>
      <c r="AT74" s="3" t="n">
        <v>0</v>
      </c>
      <c r="AU74" s="3" t="n">
        <v>0</v>
      </c>
      <c r="AV74" s="3" t="n">
        <v>0</v>
      </c>
      <c r="AW74" s="3" t="n">
        <v>0</v>
      </c>
      <c r="AX74" s="3" t="n">
        <v>0</v>
      </c>
      <c r="AY74" s="3" t="n">
        <v>0</v>
      </c>
      <c r="AZ74" s="3" t="n">
        <v>0</v>
      </c>
      <c r="BA74" s="3" t="n">
        <v>0</v>
      </c>
      <c r="BC74" s="20" t="inlineStr">
        <is>
          <t>egy.mit.ndc.alt.all.all.4</t>
        </is>
      </c>
      <c r="BD74" s="3" t="n">
        <v>0</v>
      </c>
      <c r="BE74" s="3" t="n">
        <v>0</v>
      </c>
      <c r="BF74" s="3" t="n">
        <v>0</v>
      </c>
      <c r="BG74" s="3" t="n">
        <v>0</v>
      </c>
      <c r="BH74" s="3" t="n">
        <v>0</v>
      </c>
      <c r="BI74" s="3" t="n">
        <v>0</v>
      </c>
      <c r="BJ74" s="3" t="n">
        <v>0</v>
      </c>
      <c r="BK74" s="3" t="n">
        <v>0</v>
      </c>
      <c r="BL74" s="3" t="n">
        <v>0</v>
      </c>
      <c r="BM74" s="3" t="n">
        <v>0</v>
      </c>
      <c r="BN74" s="3" t="n">
        <v>0</v>
      </c>
      <c r="BO74" s="3" t="n">
        <v>0</v>
      </c>
      <c r="BP74" s="3" t="n">
        <v>0</v>
      </c>
      <c r="BQ74" s="3" t="n">
        <v>0</v>
      </c>
      <c r="BR74" s="3" t="n">
        <v>0</v>
      </c>
      <c r="BS74" s="3" t="n">
        <v>0</v>
      </c>
      <c r="BT74" s="3" t="n">
        <v>0</v>
      </c>
      <c r="BU74" s="3" t="n">
        <v>0</v>
      </c>
      <c r="BV74" s="3" t="n">
        <v>0</v>
      </c>
      <c r="BW74" s="3" t="n">
        <v>0</v>
      </c>
      <c r="BY74" s="20" t="inlineStr">
        <is>
          <t>egy.mit.ndc.alt.all.all.5</t>
        </is>
      </c>
      <c r="BZ74" s="3" t="n">
        <v>0</v>
      </c>
      <c r="CA74" s="3" t="n">
        <v>0</v>
      </c>
      <c r="CB74" s="3" t="n">
        <v>0</v>
      </c>
      <c r="CC74" s="3" t="n">
        <v>0</v>
      </c>
      <c r="CD74" s="3" t="n">
        <v>0</v>
      </c>
      <c r="CE74" s="3" t="n">
        <v>0</v>
      </c>
      <c r="CF74" s="3" t="n">
        <v>0</v>
      </c>
      <c r="CG74" s="3" t="n">
        <v>0</v>
      </c>
      <c r="CH74" s="3" t="n">
        <v>0</v>
      </c>
      <c r="CI74" s="3" t="n">
        <v>0</v>
      </c>
      <c r="CJ74" s="3" t="n">
        <v>0</v>
      </c>
      <c r="CK74" s="3" t="n">
        <v>0</v>
      </c>
      <c r="CL74" s="3" t="n">
        <v>0</v>
      </c>
      <c r="CM74" s="3" t="n">
        <v>0</v>
      </c>
      <c r="CN74" s="3" t="n">
        <v>0</v>
      </c>
      <c r="CO74" s="3" t="n">
        <v>0</v>
      </c>
      <c r="CP74" s="3" t="n">
        <v>0</v>
      </c>
      <c r="CQ74" s="3" t="n">
        <v>0</v>
      </c>
      <c r="CR74" s="3" t="n">
        <v>0</v>
      </c>
      <c r="CS74" s="3" t="n">
        <v>0</v>
      </c>
      <c r="CU74" s="20" t="inlineStr">
        <is>
          <t>egy.mit.ndc.alt.all.all.6</t>
        </is>
      </c>
      <c r="CV74" s="3" t="n">
        <v>0</v>
      </c>
      <c r="CW74" s="3" t="n">
        <v>0</v>
      </c>
      <c r="CX74" s="3" t="n">
        <v>0</v>
      </c>
      <c r="CY74" s="3" t="n">
        <v>0</v>
      </c>
      <c r="CZ74" s="3" t="n">
        <v>0</v>
      </c>
      <c r="DA74" s="3" t="n">
        <v>0</v>
      </c>
      <c r="DB74" s="3" t="n">
        <v>0</v>
      </c>
      <c r="DC74" s="3" t="n">
        <v>0</v>
      </c>
      <c r="DD74" s="3" t="n">
        <v>0</v>
      </c>
      <c r="DE74" s="3" t="n">
        <v>0</v>
      </c>
      <c r="DF74" s="3" t="n">
        <v>0</v>
      </c>
      <c r="DG74" s="3" t="n">
        <v>0</v>
      </c>
      <c r="DH74" s="3" t="n">
        <v>0</v>
      </c>
      <c r="DI74" s="3" t="n">
        <v>0</v>
      </c>
      <c r="DJ74" s="3" t="n">
        <v>0</v>
      </c>
      <c r="DK74" s="3" t="n">
        <v>0</v>
      </c>
      <c r="DL74" s="3" t="n">
        <v>0</v>
      </c>
      <c r="DM74" s="3" t="n">
        <v>0</v>
      </c>
      <c r="DN74" s="3" t="n">
        <v>0</v>
      </c>
      <c r="DO74" s="3" t="n">
        <v>0</v>
      </c>
    </row>
    <row r="75">
      <c r="A75" s="14" t="n"/>
      <c r="B75" s="3" t="inlineStr">
        <is>
          <t>mit</t>
        </is>
      </c>
      <c r="C75" s="19" t="inlineStr">
        <is>
          <t>mit.ndc.desc.lng</t>
        </is>
      </c>
      <c r="H75" s="14" t="inlineStr">
        <is>
          <t>NDC, description - long</t>
        </is>
      </c>
      <c r="I75" s="14" t="inlineStr">
        <is>
          <t>text</t>
        </is>
      </c>
    </row>
    <row r="76">
      <c r="A76" s="14" t="n"/>
      <c r="B76" s="3" t="inlineStr">
        <is>
          <t>mit</t>
        </is>
      </c>
      <c r="C76" s="19" t="inlineStr">
        <is>
          <t>mit.ndc.desc.sht</t>
        </is>
      </c>
      <c r="H76" s="14" t="inlineStr">
        <is>
          <t>NDC, description - short</t>
        </is>
      </c>
      <c r="I76" s="14" t="inlineStr">
        <is>
          <t>text</t>
        </is>
      </c>
    </row>
    <row r="77">
      <c r="A77" s="19" t="inlineStr">
        <is>
          <t>mit.ndc.idx.all.u</t>
        </is>
      </c>
      <c r="B77" s="3" t="inlineStr">
        <is>
          <t>mit</t>
        </is>
      </c>
      <c r="C77" s="19" t="inlineStr">
        <is>
          <t>mit.undc.index</t>
        </is>
      </c>
      <c r="H77" s="3" t="inlineStr">
        <is>
          <t xml:space="preserve">NDC target against GHGs incl. LULUCF of the base year (scenario 1) | All sectors | </t>
        </is>
      </c>
      <c r="I77" s="3" t="inlineStr">
        <is>
          <t>ratio</t>
        </is>
      </c>
      <c r="K77" s="20" t="inlineStr">
        <is>
          <t>egy.mit.ndc.idx.all.u.1</t>
        </is>
      </c>
      <c r="L77" s="3" t="n">
        <v>0.9746660004989086</v>
      </c>
      <c r="M77" s="3" t="n">
        <v>0.9746660004989086</v>
      </c>
      <c r="N77" s="3" t="n">
        <v>0.9746660004989086</v>
      </c>
      <c r="O77" s="3" t="n">
        <v>0.9746660004989086</v>
      </c>
      <c r="P77" s="3" t="n">
        <v>0.9746660004989086</v>
      </c>
      <c r="Q77" s="3" t="n">
        <v>0.9746660004989086</v>
      </c>
      <c r="R77" s="3" t="n">
        <v>0.9746660004989086</v>
      </c>
      <c r="S77" s="3" t="n">
        <v>0.9746660004989086</v>
      </c>
      <c r="T77" s="3" t="n">
        <v>0.9746660004989086</v>
      </c>
      <c r="U77" s="3" t="n">
        <v>0.9746660004989086</v>
      </c>
      <c r="V77" s="3" t="n">
        <v>0.9746660004989086</v>
      </c>
      <c r="W77" s="3" t="n">
        <v>0.9746660004989086</v>
      </c>
      <c r="X77" s="3" t="n">
        <v>0.9746660004989086</v>
      </c>
      <c r="Y77" s="3" t="n">
        <v>0.9746660004989086</v>
      </c>
      <c r="Z77" s="3" t="n">
        <v>0.9746660004989086</v>
      </c>
      <c r="AA77" s="3" t="n">
        <v>0.9746660004989086</v>
      </c>
      <c r="AB77" s="3" t="n">
        <v>0.9746660004989086</v>
      </c>
      <c r="AC77" s="3" t="n">
        <v>0.9746660004989086</v>
      </c>
      <c r="AD77" s="3" t="n">
        <v>0.9746660004989086</v>
      </c>
      <c r="AE77" s="3" t="n">
        <v>0.9746660004989086</v>
      </c>
      <c r="AG77" s="20" t="inlineStr">
        <is>
          <t>egy.mit.ndc.idx.all.u.3</t>
        </is>
      </c>
      <c r="AH77" s="3" t="n">
        <v>0.9746660004989086</v>
      </c>
      <c r="AI77" s="3" t="n">
        <v>0.9746660004989086</v>
      </c>
      <c r="AJ77" s="3" t="n">
        <v>0.9746660004989086</v>
      </c>
      <c r="AK77" s="3" t="n">
        <v>0.9746660004989086</v>
      </c>
      <c r="AL77" s="3" t="n">
        <v>0.9746660004989086</v>
      </c>
      <c r="AM77" s="3" t="n">
        <v>0.9746660004989086</v>
      </c>
      <c r="AN77" s="3" t="n">
        <v>0.9746660004989086</v>
      </c>
      <c r="AO77" s="3" t="n">
        <v>0.9746660004989086</v>
      </c>
      <c r="AP77" s="3" t="n">
        <v>0.9746660004989086</v>
      </c>
      <c r="AQ77" s="3" t="n">
        <v>0.9746660004989086</v>
      </c>
      <c r="AR77" s="3" t="n">
        <v>0.9746660004989086</v>
      </c>
      <c r="AS77" s="3" t="n">
        <v>0.9746660004989086</v>
      </c>
      <c r="AT77" s="3" t="n">
        <v>0.9746660004989086</v>
      </c>
      <c r="AU77" s="3" t="n">
        <v>0.9746660004989086</v>
      </c>
      <c r="AV77" s="3" t="n">
        <v>0.9746660004989086</v>
      </c>
      <c r="AW77" s="3" t="n">
        <v>0.9746660004989086</v>
      </c>
      <c r="AX77" s="3" t="n">
        <v>0.9746660004989086</v>
      </c>
      <c r="AY77" s="3" t="n">
        <v>0.9746660004989086</v>
      </c>
      <c r="AZ77" s="3" t="n">
        <v>0.9746660004989086</v>
      </c>
      <c r="BA77" s="3" t="n">
        <v>0.9746660004989086</v>
      </c>
      <c r="BC77" s="20" t="inlineStr">
        <is>
          <t>egy.mit.ndc.idx.all.u.4</t>
        </is>
      </c>
      <c r="BD77" s="3" t="n">
        <v>0.9746660004989086</v>
      </c>
      <c r="BE77" s="3" t="n">
        <v>0.9746660004989086</v>
      </c>
      <c r="BF77" s="3" t="n">
        <v>0.9746660004989086</v>
      </c>
      <c r="BG77" s="3" t="n">
        <v>0.9746660004989086</v>
      </c>
      <c r="BH77" s="3" t="n">
        <v>0.9746660004989086</v>
      </c>
      <c r="BI77" s="3" t="n">
        <v>0.9746660004989086</v>
      </c>
      <c r="BJ77" s="3" t="n">
        <v>0.9746660004989086</v>
      </c>
      <c r="BK77" s="3" t="n">
        <v>0.9746660004989086</v>
      </c>
      <c r="BL77" s="3" t="n">
        <v>0.9746660004989086</v>
      </c>
      <c r="BM77" s="3" t="n">
        <v>0.9746660004989086</v>
      </c>
      <c r="BN77" s="3" t="n">
        <v>0.9746660004989086</v>
      </c>
      <c r="BO77" s="3" t="n">
        <v>0.9746660004989086</v>
      </c>
      <c r="BP77" s="3" t="n">
        <v>0.9746660004989086</v>
      </c>
      <c r="BQ77" s="3" t="n">
        <v>0.9746660004989086</v>
      </c>
      <c r="BR77" s="3" t="n">
        <v>0.9746660004989086</v>
      </c>
      <c r="BS77" s="3" t="n">
        <v>0.9746660004989086</v>
      </c>
      <c r="BT77" s="3" t="n">
        <v>0.9746660004989086</v>
      </c>
      <c r="BU77" s="3" t="n">
        <v>0.9746660004989086</v>
      </c>
      <c r="BV77" s="3" t="n">
        <v>0.9746660004989086</v>
      </c>
      <c r="BW77" s="3" t="n">
        <v>0.9746660004989086</v>
      </c>
      <c r="BY77" s="20" t="inlineStr">
        <is>
          <t>egy.mit.ndc.idx.all.u.5</t>
        </is>
      </c>
      <c r="BZ77" s="3" t="n">
        <v>0.9746660004989086</v>
      </c>
      <c r="CA77" s="3" t="n">
        <v>0.9746660004989086</v>
      </c>
      <c r="CB77" s="3" t="n">
        <v>0.9746660004989086</v>
      </c>
      <c r="CC77" s="3" t="n">
        <v>0.9746660004989086</v>
      </c>
      <c r="CD77" s="3" t="n">
        <v>0.9746660004989086</v>
      </c>
      <c r="CE77" s="3" t="n">
        <v>0.9746660004989086</v>
      </c>
      <c r="CF77" s="3" t="n">
        <v>0.9746660004989086</v>
      </c>
      <c r="CG77" s="3" t="n">
        <v>0.9746660004989086</v>
      </c>
      <c r="CH77" s="3" t="n">
        <v>0.9746660004989086</v>
      </c>
      <c r="CI77" s="3" t="n">
        <v>0.9746660004989086</v>
      </c>
      <c r="CJ77" s="3" t="n">
        <v>0.9746660004989086</v>
      </c>
      <c r="CK77" s="3" t="n">
        <v>0.9746660004989086</v>
      </c>
      <c r="CL77" s="3" t="n">
        <v>0.9746660004989086</v>
      </c>
      <c r="CM77" s="3" t="n">
        <v>0.9746660004989086</v>
      </c>
      <c r="CN77" s="3" t="n">
        <v>0.9746660004989086</v>
      </c>
      <c r="CO77" s="3" t="n">
        <v>0.9746660004989086</v>
      </c>
      <c r="CP77" s="3" t="n">
        <v>0.9746660004989086</v>
      </c>
      <c r="CQ77" s="3" t="n">
        <v>0.9746660004989086</v>
      </c>
      <c r="CR77" s="3" t="n">
        <v>0.9746660004989086</v>
      </c>
      <c r="CS77" s="3" t="n">
        <v>0.9746660004989086</v>
      </c>
      <c r="CU77" s="20" t="inlineStr">
        <is>
          <t>egy.mit.ndc.idx.all.u.6</t>
        </is>
      </c>
      <c r="CV77" s="3" t="n">
        <v>0.9746660004989086</v>
      </c>
      <c r="CW77" s="3" t="n">
        <v>0.9746660004989086</v>
      </c>
      <c r="CX77" s="3" t="n">
        <v>0.9746660004989086</v>
      </c>
      <c r="CY77" s="3" t="n">
        <v>0.9746660004989086</v>
      </c>
      <c r="CZ77" s="3" t="n">
        <v>0.9746660004989086</v>
      </c>
      <c r="DA77" s="3" t="n">
        <v>0.9746660004989086</v>
      </c>
      <c r="DB77" s="3" t="n">
        <v>0.9746660004989086</v>
      </c>
      <c r="DC77" s="3" t="n">
        <v>0.9746660004989086</v>
      </c>
      <c r="DD77" s="3" t="n">
        <v>0.9746660004989086</v>
      </c>
      <c r="DE77" s="3" t="n">
        <v>0.9746660004989086</v>
      </c>
      <c r="DF77" s="3" t="n">
        <v>0.9746660004989086</v>
      </c>
      <c r="DG77" s="3" t="n">
        <v>0.9746660004989086</v>
      </c>
      <c r="DH77" s="3" t="n">
        <v>0.9746660004989086</v>
      </c>
      <c r="DI77" s="3" t="n">
        <v>0.9746660004989086</v>
      </c>
      <c r="DJ77" s="3" t="n">
        <v>0.9746660004989086</v>
      </c>
      <c r="DK77" s="3" t="n">
        <v>0.9746660004989086</v>
      </c>
      <c r="DL77" s="3" t="n">
        <v>0.9746660004989086</v>
      </c>
      <c r="DM77" s="3" t="n">
        <v>0.9746660004989086</v>
      </c>
      <c r="DN77" s="3" t="n">
        <v>0.9746660004989086</v>
      </c>
      <c r="DO77" s="3" t="n">
        <v>0.9746660004989086</v>
      </c>
    </row>
    <row r="78">
      <c r="A78" s="19" t="inlineStr">
        <is>
          <t>mit.ndc.idx.all.c</t>
        </is>
      </c>
      <c r="B78" s="3" t="inlineStr">
        <is>
          <t>mit</t>
        </is>
      </c>
      <c r="C78" s="19" t="inlineStr">
        <is>
          <t>mit.cndc.index</t>
        </is>
      </c>
      <c r="H78" s="3" t="inlineStr">
        <is>
          <t xml:space="preserve">NDC target against GHGs incl. LULUCF of the base year (scenario 1) | All sectors | </t>
        </is>
      </c>
      <c r="I78" s="3" t="inlineStr">
        <is>
          <t>ratio</t>
        </is>
      </c>
      <c r="K78" s="20" t="inlineStr">
        <is>
          <t>egy.mit.ndc.idx.all.c.1</t>
        </is>
      </c>
      <c r="L78" s="3" t="inlineStr">
        <is>
          <t>N/A</t>
        </is>
      </c>
      <c r="M78" s="3" t="inlineStr">
        <is>
          <t>N/A</t>
        </is>
      </c>
      <c r="N78" s="3" t="inlineStr">
        <is>
          <t>N/A</t>
        </is>
      </c>
      <c r="O78" s="3" t="inlineStr">
        <is>
          <t>N/A</t>
        </is>
      </c>
      <c r="P78" s="3" t="inlineStr">
        <is>
          <t>N/A</t>
        </is>
      </c>
      <c r="Q78" s="3" t="inlineStr">
        <is>
          <t>N/A</t>
        </is>
      </c>
      <c r="R78" s="3" t="inlineStr">
        <is>
          <t>N/A</t>
        </is>
      </c>
      <c r="S78" s="3" t="inlineStr">
        <is>
          <t>N/A</t>
        </is>
      </c>
      <c r="T78" s="3" t="inlineStr">
        <is>
          <t>N/A</t>
        </is>
      </c>
      <c r="U78" s="3" t="inlineStr">
        <is>
          <t>N/A</t>
        </is>
      </c>
      <c r="V78" s="3" t="inlineStr">
        <is>
          <t>N/A</t>
        </is>
      </c>
      <c r="W78" s="3" t="inlineStr">
        <is>
          <t>N/A</t>
        </is>
      </c>
      <c r="X78" s="3" t="inlineStr">
        <is>
          <t>N/A</t>
        </is>
      </c>
      <c r="Y78" s="3" t="inlineStr">
        <is>
          <t>N/A</t>
        </is>
      </c>
      <c r="Z78" s="3" t="inlineStr">
        <is>
          <t>N/A</t>
        </is>
      </c>
      <c r="AA78" s="3" t="inlineStr">
        <is>
          <t>N/A</t>
        </is>
      </c>
      <c r="AB78" s="3" t="inlineStr">
        <is>
          <t>N/A</t>
        </is>
      </c>
      <c r="AC78" s="3" t="inlineStr">
        <is>
          <t>N/A</t>
        </is>
      </c>
      <c r="AD78" s="3" t="inlineStr">
        <is>
          <t>N/A</t>
        </is>
      </c>
      <c r="AE78" s="3" t="inlineStr">
        <is>
          <t>N/A</t>
        </is>
      </c>
      <c r="AG78" s="20" t="inlineStr">
        <is>
          <t>egy.mit.ndc.idx.all.c.3</t>
        </is>
      </c>
      <c r="AH78" s="3" t="inlineStr">
        <is>
          <t>N/A</t>
        </is>
      </c>
      <c r="AI78" s="3" t="inlineStr">
        <is>
          <t>N/A</t>
        </is>
      </c>
      <c r="AJ78" s="3" t="inlineStr">
        <is>
          <t>N/A</t>
        </is>
      </c>
      <c r="AK78" s="3" t="inlineStr">
        <is>
          <t>N/A</t>
        </is>
      </c>
      <c r="AL78" s="3" t="inlineStr">
        <is>
          <t>N/A</t>
        </is>
      </c>
      <c r="AM78" s="3" t="inlineStr">
        <is>
          <t>N/A</t>
        </is>
      </c>
      <c r="AN78" s="3" t="inlineStr">
        <is>
          <t>N/A</t>
        </is>
      </c>
      <c r="AO78" s="3" t="inlineStr">
        <is>
          <t>N/A</t>
        </is>
      </c>
      <c r="AP78" s="3" t="inlineStr">
        <is>
          <t>N/A</t>
        </is>
      </c>
      <c r="AQ78" s="3" t="inlineStr">
        <is>
          <t>N/A</t>
        </is>
      </c>
      <c r="AR78" s="3" t="inlineStr">
        <is>
          <t>N/A</t>
        </is>
      </c>
      <c r="AS78" s="3" t="inlineStr">
        <is>
          <t>N/A</t>
        </is>
      </c>
      <c r="AT78" s="3" t="inlineStr">
        <is>
          <t>N/A</t>
        </is>
      </c>
      <c r="AU78" s="3" t="inlineStr">
        <is>
          <t>N/A</t>
        </is>
      </c>
      <c r="AV78" s="3" t="inlineStr">
        <is>
          <t>N/A</t>
        </is>
      </c>
      <c r="AW78" s="3" t="inlineStr">
        <is>
          <t>N/A</t>
        </is>
      </c>
      <c r="AX78" s="3" t="inlineStr">
        <is>
          <t>N/A</t>
        </is>
      </c>
      <c r="AY78" s="3" t="inlineStr">
        <is>
          <t>N/A</t>
        </is>
      </c>
      <c r="AZ78" s="3" t="inlineStr">
        <is>
          <t>N/A</t>
        </is>
      </c>
      <c r="BA78" s="3" t="inlineStr">
        <is>
          <t>N/A</t>
        </is>
      </c>
      <c r="BC78" s="20" t="inlineStr">
        <is>
          <t>egy.mit.ndc.idx.all.c.4</t>
        </is>
      </c>
      <c r="BD78" s="3" t="inlineStr">
        <is>
          <t>N/A</t>
        </is>
      </c>
      <c r="BE78" s="3" t="inlineStr">
        <is>
          <t>N/A</t>
        </is>
      </c>
      <c r="BF78" s="3" t="inlineStr">
        <is>
          <t>N/A</t>
        </is>
      </c>
      <c r="BG78" s="3" t="inlineStr">
        <is>
          <t>N/A</t>
        </is>
      </c>
      <c r="BH78" s="3" t="inlineStr">
        <is>
          <t>N/A</t>
        </is>
      </c>
      <c r="BI78" s="3" t="inlineStr">
        <is>
          <t>N/A</t>
        </is>
      </c>
      <c r="BJ78" s="3" t="inlineStr">
        <is>
          <t>N/A</t>
        </is>
      </c>
      <c r="BK78" s="3" t="inlineStr">
        <is>
          <t>N/A</t>
        </is>
      </c>
      <c r="BL78" s="3" t="inlineStr">
        <is>
          <t>N/A</t>
        </is>
      </c>
      <c r="BM78" s="3" t="inlineStr">
        <is>
          <t>N/A</t>
        </is>
      </c>
      <c r="BN78" s="3" t="inlineStr">
        <is>
          <t>N/A</t>
        </is>
      </c>
      <c r="BO78" s="3" t="inlineStr">
        <is>
          <t>N/A</t>
        </is>
      </c>
      <c r="BP78" s="3" t="inlineStr">
        <is>
          <t>N/A</t>
        </is>
      </c>
      <c r="BQ78" s="3" t="inlineStr">
        <is>
          <t>N/A</t>
        </is>
      </c>
      <c r="BR78" s="3" t="inlineStr">
        <is>
          <t>N/A</t>
        </is>
      </c>
      <c r="BS78" s="3" t="inlineStr">
        <is>
          <t>N/A</t>
        </is>
      </c>
      <c r="BT78" s="3" t="inlineStr">
        <is>
          <t>N/A</t>
        </is>
      </c>
      <c r="BU78" s="3" t="inlineStr">
        <is>
          <t>N/A</t>
        </is>
      </c>
      <c r="BV78" s="3" t="inlineStr">
        <is>
          <t>N/A</t>
        </is>
      </c>
      <c r="BW78" s="3" t="inlineStr">
        <is>
          <t>N/A</t>
        </is>
      </c>
      <c r="BY78" s="20" t="inlineStr">
        <is>
          <t>egy.mit.ndc.idx.all.c.5</t>
        </is>
      </c>
      <c r="BZ78" s="3" t="inlineStr">
        <is>
          <t>N/A</t>
        </is>
      </c>
      <c r="CA78" s="3" t="inlineStr">
        <is>
          <t>N/A</t>
        </is>
      </c>
      <c r="CB78" s="3" t="inlineStr">
        <is>
          <t>N/A</t>
        </is>
      </c>
      <c r="CC78" s="3" t="inlineStr">
        <is>
          <t>N/A</t>
        </is>
      </c>
      <c r="CD78" s="3" t="inlineStr">
        <is>
          <t>N/A</t>
        </is>
      </c>
      <c r="CE78" s="3" t="inlineStr">
        <is>
          <t>N/A</t>
        </is>
      </c>
      <c r="CF78" s="3" t="inlineStr">
        <is>
          <t>N/A</t>
        </is>
      </c>
      <c r="CG78" s="3" t="inlineStr">
        <is>
          <t>N/A</t>
        </is>
      </c>
      <c r="CH78" s="3" t="inlineStr">
        <is>
          <t>N/A</t>
        </is>
      </c>
      <c r="CI78" s="3" t="inlineStr">
        <is>
          <t>N/A</t>
        </is>
      </c>
      <c r="CJ78" s="3" t="inlineStr">
        <is>
          <t>N/A</t>
        </is>
      </c>
      <c r="CK78" s="3" t="inlineStr">
        <is>
          <t>N/A</t>
        </is>
      </c>
      <c r="CL78" s="3" t="inlineStr">
        <is>
          <t>N/A</t>
        </is>
      </c>
      <c r="CM78" s="3" t="inlineStr">
        <is>
          <t>N/A</t>
        </is>
      </c>
      <c r="CN78" s="3" t="inlineStr">
        <is>
          <t>N/A</t>
        </is>
      </c>
      <c r="CO78" s="3" t="inlineStr">
        <is>
          <t>N/A</t>
        </is>
      </c>
      <c r="CP78" s="3" t="inlineStr">
        <is>
          <t>N/A</t>
        </is>
      </c>
      <c r="CQ78" s="3" t="inlineStr">
        <is>
          <t>N/A</t>
        </is>
      </c>
      <c r="CR78" s="3" t="inlineStr">
        <is>
          <t>N/A</t>
        </is>
      </c>
      <c r="CS78" s="3" t="inlineStr">
        <is>
          <t>N/A</t>
        </is>
      </c>
      <c r="CU78" s="20" t="inlineStr">
        <is>
          <t>egy.mit.ndc.idx.all.c.6</t>
        </is>
      </c>
      <c r="CV78" s="3" t="inlineStr">
        <is>
          <t>N/A</t>
        </is>
      </c>
      <c r="CW78" s="3" t="inlineStr">
        <is>
          <t>N/A</t>
        </is>
      </c>
      <c r="CX78" s="3" t="inlineStr">
        <is>
          <t>N/A</t>
        </is>
      </c>
      <c r="CY78" s="3" t="inlineStr">
        <is>
          <t>N/A</t>
        </is>
      </c>
      <c r="CZ78" s="3" t="inlineStr">
        <is>
          <t>N/A</t>
        </is>
      </c>
      <c r="DA78" s="3" t="inlineStr">
        <is>
          <t>N/A</t>
        </is>
      </c>
      <c r="DB78" s="3" t="inlineStr">
        <is>
          <t>N/A</t>
        </is>
      </c>
      <c r="DC78" s="3" t="inlineStr">
        <is>
          <t>N/A</t>
        </is>
      </c>
      <c r="DD78" s="3" t="inlineStr">
        <is>
          <t>N/A</t>
        </is>
      </c>
      <c r="DE78" s="3" t="inlineStr">
        <is>
          <t>N/A</t>
        </is>
      </c>
      <c r="DF78" s="3" t="inlineStr">
        <is>
          <t>N/A</t>
        </is>
      </c>
      <c r="DG78" s="3" t="inlineStr">
        <is>
          <t>N/A</t>
        </is>
      </c>
      <c r="DH78" s="3" t="inlineStr">
        <is>
          <t>N/A</t>
        </is>
      </c>
      <c r="DI78" s="3" t="inlineStr">
        <is>
          <t>N/A</t>
        </is>
      </c>
      <c r="DJ78" s="3" t="inlineStr">
        <is>
          <t>N/A</t>
        </is>
      </c>
      <c r="DK78" s="3" t="inlineStr">
        <is>
          <t>N/A</t>
        </is>
      </c>
      <c r="DL78" s="3" t="inlineStr">
        <is>
          <t>N/A</t>
        </is>
      </c>
      <c r="DM78" s="3" t="inlineStr">
        <is>
          <t>N/A</t>
        </is>
      </c>
      <c r="DN78" s="3" t="inlineStr">
        <is>
          <t>N/A</t>
        </is>
      </c>
      <c r="DO78" s="3" t="inlineStr">
        <is>
          <t>N/A</t>
        </is>
      </c>
    </row>
    <row r="79">
      <c r="A79" s="19" t="inlineStr">
        <is>
          <t>mit.ndc.lvl.all.u</t>
        </is>
      </c>
      <c r="B79" s="3" t="inlineStr">
        <is>
          <t>mit</t>
        </is>
      </c>
      <c r="C79" s="19" t="inlineStr">
        <is>
          <t>mit.undc.trg.ton</t>
        </is>
      </c>
      <c r="H79" s="3" t="inlineStr">
        <is>
          <t xml:space="preserve">NDC target, GHGs incl. LULUCF | All sectors | </t>
        </is>
      </c>
      <c r="I79" s="3" t="inlineStr">
        <is>
          <t>Mt CO2e</t>
        </is>
      </c>
      <c r="K79" s="20" t="inlineStr">
        <is>
          <t>egy.mit.ndc.lvl.all.u.1</t>
        </is>
      </c>
      <c r="L79" s="3" t="n">
        <v>390.750784800761</v>
      </c>
      <c r="M79" s="3" t="n">
        <v>390.750784800761</v>
      </c>
      <c r="N79" s="3" t="n">
        <v>390.750784800761</v>
      </c>
      <c r="O79" s="3" t="n">
        <v>390.750784800761</v>
      </c>
      <c r="P79" s="3" t="n">
        <v>390.750784800761</v>
      </c>
      <c r="Q79" s="3" t="n">
        <v>390.750784800761</v>
      </c>
      <c r="R79" s="3" t="n">
        <v>390.750784800761</v>
      </c>
      <c r="S79" s="3" t="n">
        <v>390.750784800761</v>
      </c>
      <c r="T79" s="3" t="n">
        <v>390.750784800761</v>
      </c>
      <c r="U79" s="3" t="n">
        <v>390.750784800761</v>
      </c>
      <c r="V79" s="3" t="n">
        <v>390.750784800761</v>
      </c>
      <c r="W79" s="3" t="n">
        <v>390.750784800761</v>
      </c>
      <c r="X79" s="3" t="n">
        <v>390.750784800761</v>
      </c>
      <c r="Y79" s="3" t="n">
        <v>390.750784800761</v>
      </c>
      <c r="Z79" s="3" t="n">
        <v>390.750784800761</v>
      </c>
      <c r="AA79" s="3" t="n">
        <v>390.750784800761</v>
      </c>
      <c r="AB79" s="3" t="n">
        <v>390.750784800761</v>
      </c>
      <c r="AC79" s="3" t="n">
        <v>390.750784800761</v>
      </c>
      <c r="AD79" s="3" t="n">
        <v>390.750784800761</v>
      </c>
      <c r="AE79" s="3" t="n">
        <v>390.750784800761</v>
      </c>
      <c r="AG79" s="20" t="inlineStr">
        <is>
          <t>egy.mit.ndc.lvl.all.u.3</t>
        </is>
      </c>
      <c r="AH79" s="3" t="n">
        <v>390.750784800761</v>
      </c>
      <c r="AI79" s="3" t="n">
        <v>390.750784800761</v>
      </c>
      <c r="AJ79" s="3" t="n">
        <v>390.750784800761</v>
      </c>
      <c r="AK79" s="3" t="n">
        <v>390.750784800761</v>
      </c>
      <c r="AL79" s="3" t="n">
        <v>390.750784800761</v>
      </c>
      <c r="AM79" s="3" t="n">
        <v>390.750784800761</v>
      </c>
      <c r="AN79" s="3" t="n">
        <v>390.750784800761</v>
      </c>
      <c r="AO79" s="3" t="n">
        <v>390.750784800761</v>
      </c>
      <c r="AP79" s="3" t="n">
        <v>390.750784800761</v>
      </c>
      <c r="AQ79" s="3" t="n">
        <v>390.750784800761</v>
      </c>
      <c r="AR79" s="3" t="n">
        <v>390.750784800761</v>
      </c>
      <c r="AS79" s="3" t="n">
        <v>390.750784800761</v>
      </c>
      <c r="AT79" s="3" t="n">
        <v>390.750784800761</v>
      </c>
      <c r="AU79" s="3" t="n">
        <v>390.750784800761</v>
      </c>
      <c r="AV79" s="3" t="n">
        <v>390.750784800761</v>
      </c>
      <c r="AW79" s="3" t="n">
        <v>390.750784800761</v>
      </c>
      <c r="AX79" s="3" t="n">
        <v>390.750784800761</v>
      </c>
      <c r="AY79" s="3" t="n">
        <v>390.750784800761</v>
      </c>
      <c r="AZ79" s="3" t="n">
        <v>390.750784800761</v>
      </c>
      <c r="BA79" s="3" t="n">
        <v>390.750784800761</v>
      </c>
      <c r="BC79" s="20" t="inlineStr">
        <is>
          <t>egy.mit.ndc.lvl.all.u.4</t>
        </is>
      </c>
      <c r="BD79" s="3" t="n">
        <v>390.750784800761</v>
      </c>
      <c r="BE79" s="3" t="n">
        <v>390.750784800761</v>
      </c>
      <c r="BF79" s="3" t="n">
        <v>390.750784800761</v>
      </c>
      <c r="BG79" s="3" t="n">
        <v>390.750784800761</v>
      </c>
      <c r="BH79" s="3" t="n">
        <v>390.750784800761</v>
      </c>
      <c r="BI79" s="3" t="n">
        <v>390.750784800761</v>
      </c>
      <c r="BJ79" s="3" t="n">
        <v>390.750784800761</v>
      </c>
      <c r="BK79" s="3" t="n">
        <v>390.750784800761</v>
      </c>
      <c r="BL79" s="3" t="n">
        <v>390.750784800761</v>
      </c>
      <c r="BM79" s="3" t="n">
        <v>390.750784800761</v>
      </c>
      <c r="BN79" s="3" t="n">
        <v>390.750784800761</v>
      </c>
      <c r="BO79" s="3" t="n">
        <v>390.750784800761</v>
      </c>
      <c r="BP79" s="3" t="n">
        <v>390.750784800761</v>
      </c>
      <c r="BQ79" s="3" t="n">
        <v>390.750784800761</v>
      </c>
      <c r="BR79" s="3" t="n">
        <v>390.750784800761</v>
      </c>
      <c r="BS79" s="3" t="n">
        <v>390.750784800761</v>
      </c>
      <c r="BT79" s="3" t="n">
        <v>390.750784800761</v>
      </c>
      <c r="BU79" s="3" t="n">
        <v>390.750784800761</v>
      </c>
      <c r="BV79" s="3" t="n">
        <v>390.750784800761</v>
      </c>
      <c r="BW79" s="3" t="n">
        <v>390.750784800761</v>
      </c>
      <c r="BY79" s="20" t="inlineStr">
        <is>
          <t>egy.mit.ndc.lvl.all.u.5</t>
        </is>
      </c>
      <c r="BZ79" s="3" t="n">
        <v>390.750784800761</v>
      </c>
      <c r="CA79" s="3" t="n">
        <v>390.750784800761</v>
      </c>
      <c r="CB79" s="3" t="n">
        <v>390.750784800761</v>
      </c>
      <c r="CC79" s="3" t="n">
        <v>390.750784800761</v>
      </c>
      <c r="CD79" s="3" t="n">
        <v>390.750784800761</v>
      </c>
      <c r="CE79" s="3" t="n">
        <v>390.750784800761</v>
      </c>
      <c r="CF79" s="3" t="n">
        <v>390.750784800761</v>
      </c>
      <c r="CG79" s="3" t="n">
        <v>390.750784800761</v>
      </c>
      <c r="CH79" s="3" t="n">
        <v>390.750784800761</v>
      </c>
      <c r="CI79" s="3" t="n">
        <v>390.750784800761</v>
      </c>
      <c r="CJ79" s="3" t="n">
        <v>390.750784800761</v>
      </c>
      <c r="CK79" s="3" t="n">
        <v>390.750784800761</v>
      </c>
      <c r="CL79" s="3" t="n">
        <v>390.750784800761</v>
      </c>
      <c r="CM79" s="3" t="n">
        <v>390.750784800761</v>
      </c>
      <c r="CN79" s="3" t="n">
        <v>390.750784800761</v>
      </c>
      <c r="CO79" s="3" t="n">
        <v>390.750784800761</v>
      </c>
      <c r="CP79" s="3" t="n">
        <v>390.750784800761</v>
      </c>
      <c r="CQ79" s="3" t="n">
        <v>390.750784800761</v>
      </c>
      <c r="CR79" s="3" t="n">
        <v>390.750784800761</v>
      </c>
      <c r="CS79" s="3" t="n">
        <v>390.750784800761</v>
      </c>
      <c r="CU79" s="20" t="inlineStr">
        <is>
          <t>egy.mit.ndc.lvl.all.u.6</t>
        </is>
      </c>
      <c r="CV79" s="3" t="n">
        <v>390.750784800761</v>
      </c>
      <c r="CW79" s="3" t="n">
        <v>390.750784800761</v>
      </c>
      <c r="CX79" s="3" t="n">
        <v>390.750784800761</v>
      </c>
      <c r="CY79" s="3" t="n">
        <v>390.750784800761</v>
      </c>
      <c r="CZ79" s="3" t="n">
        <v>390.750784800761</v>
      </c>
      <c r="DA79" s="3" t="n">
        <v>390.750784800761</v>
      </c>
      <c r="DB79" s="3" t="n">
        <v>390.750784800761</v>
      </c>
      <c r="DC79" s="3" t="n">
        <v>390.750784800761</v>
      </c>
      <c r="DD79" s="3" t="n">
        <v>390.750784800761</v>
      </c>
      <c r="DE79" s="3" t="n">
        <v>390.750784800761</v>
      </c>
      <c r="DF79" s="3" t="n">
        <v>390.750784800761</v>
      </c>
      <c r="DG79" s="3" t="n">
        <v>390.750784800761</v>
      </c>
      <c r="DH79" s="3" t="n">
        <v>390.750784800761</v>
      </c>
      <c r="DI79" s="3" t="n">
        <v>390.750784800761</v>
      </c>
      <c r="DJ79" s="3" t="n">
        <v>390.750784800761</v>
      </c>
      <c r="DK79" s="3" t="n">
        <v>390.750784800761</v>
      </c>
      <c r="DL79" s="3" t="n">
        <v>390.750784800761</v>
      </c>
      <c r="DM79" s="3" t="n">
        <v>390.750784800761</v>
      </c>
      <c r="DN79" s="3" t="n">
        <v>390.750784800761</v>
      </c>
      <c r="DO79" s="3" t="n">
        <v>390.750784800761</v>
      </c>
    </row>
    <row r="80">
      <c r="A80" s="19" t="inlineStr">
        <is>
          <t>mit.ndc.lvl.all.c</t>
        </is>
      </c>
      <c r="B80" s="3" t="inlineStr">
        <is>
          <t>mit</t>
        </is>
      </c>
      <c r="C80" s="19" t="inlineStr">
        <is>
          <t>mit.cndc.trg.ton</t>
        </is>
      </c>
      <c r="H80" s="3" t="inlineStr">
        <is>
          <t xml:space="preserve">NDC target, GHGs incl. LULUCF | All sectors | </t>
        </is>
      </c>
      <c r="I80" s="3" t="inlineStr">
        <is>
          <t>Mt CO2e</t>
        </is>
      </c>
      <c r="K80" s="20" t="inlineStr">
        <is>
          <t>egy.mit.ndc.lvl.all.c.1</t>
        </is>
      </c>
      <c r="L80" s="3" t="inlineStr">
        <is>
          <t>N/A</t>
        </is>
      </c>
      <c r="M80" s="3" t="inlineStr">
        <is>
          <t>N/A</t>
        </is>
      </c>
      <c r="N80" s="3" t="inlineStr">
        <is>
          <t>N/A</t>
        </is>
      </c>
      <c r="O80" s="3" t="inlineStr">
        <is>
          <t>N/A</t>
        </is>
      </c>
      <c r="P80" s="3" t="inlineStr">
        <is>
          <t>N/A</t>
        </is>
      </c>
      <c r="Q80" s="3" t="inlineStr">
        <is>
          <t>N/A</t>
        </is>
      </c>
      <c r="R80" s="3" t="inlineStr">
        <is>
          <t>N/A</t>
        </is>
      </c>
      <c r="S80" s="3" t="inlineStr">
        <is>
          <t>N/A</t>
        </is>
      </c>
      <c r="T80" s="3" t="inlineStr">
        <is>
          <t>N/A</t>
        </is>
      </c>
      <c r="U80" s="3" t="inlineStr">
        <is>
          <t>N/A</t>
        </is>
      </c>
      <c r="V80" s="3" t="inlineStr">
        <is>
          <t>N/A</t>
        </is>
      </c>
      <c r="W80" s="3" t="inlineStr">
        <is>
          <t>N/A</t>
        </is>
      </c>
      <c r="X80" s="3" t="inlineStr">
        <is>
          <t>N/A</t>
        </is>
      </c>
      <c r="Y80" s="3" t="inlineStr">
        <is>
          <t>N/A</t>
        </is>
      </c>
      <c r="Z80" s="3" t="inlineStr">
        <is>
          <t>N/A</t>
        </is>
      </c>
      <c r="AA80" s="3" t="inlineStr">
        <is>
          <t>N/A</t>
        </is>
      </c>
      <c r="AB80" s="3" t="inlineStr">
        <is>
          <t>N/A</t>
        </is>
      </c>
      <c r="AC80" s="3" t="inlineStr">
        <is>
          <t>N/A</t>
        </is>
      </c>
      <c r="AD80" s="3" t="inlineStr">
        <is>
          <t>N/A</t>
        </is>
      </c>
      <c r="AE80" s="3" t="inlineStr">
        <is>
          <t>N/A</t>
        </is>
      </c>
      <c r="AG80" s="20" t="inlineStr">
        <is>
          <t>egy.mit.ndc.lvl.all.c.3</t>
        </is>
      </c>
      <c r="AH80" s="3" t="inlineStr">
        <is>
          <t>N/A</t>
        </is>
      </c>
      <c r="AI80" s="3" t="inlineStr">
        <is>
          <t>N/A</t>
        </is>
      </c>
      <c r="AJ80" s="3" t="inlineStr">
        <is>
          <t>N/A</t>
        </is>
      </c>
      <c r="AK80" s="3" t="inlineStr">
        <is>
          <t>N/A</t>
        </is>
      </c>
      <c r="AL80" s="3" t="inlineStr">
        <is>
          <t>N/A</t>
        </is>
      </c>
      <c r="AM80" s="3" t="inlineStr">
        <is>
          <t>N/A</t>
        </is>
      </c>
      <c r="AN80" s="3" t="inlineStr">
        <is>
          <t>N/A</t>
        </is>
      </c>
      <c r="AO80" s="3" t="inlineStr">
        <is>
          <t>N/A</t>
        </is>
      </c>
      <c r="AP80" s="3" t="inlineStr">
        <is>
          <t>N/A</t>
        </is>
      </c>
      <c r="AQ80" s="3" t="inlineStr">
        <is>
          <t>N/A</t>
        </is>
      </c>
      <c r="AR80" s="3" t="inlineStr">
        <is>
          <t>N/A</t>
        </is>
      </c>
      <c r="AS80" s="3" t="inlineStr">
        <is>
          <t>N/A</t>
        </is>
      </c>
      <c r="AT80" s="3" t="inlineStr">
        <is>
          <t>N/A</t>
        </is>
      </c>
      <c r="AU80" s="3" t="inlineStr">
        <is>
          <t>N/A</t>
        </is>
      </c>
      <c r="AV80" s="3" t="inlineStr">
        <is>
          <t>N/A</t>
        </is>
      </c>
      <c r="AW80" s="3" t="inlineStr">
        <is>
          <t>N/A</t>
        </is>
      </c>
      <c r="AX80" s="3" t="inlineStr">
        <is>
          <t>N/A</t>
        </is>
      </c>
      <c r="AY80" s="3" t="inlineStr">
        <is>
          <t>N/A</t>
        </is>
      </c>
      <c r="AZ80" s="3" t="inlineStr">
        <is>
          <t>N/A</t>
        </is>
      </c>
      <c r="BA80" s="3" t="inlineStr">
        <is>
          <t>N/A</t>
        </is>
      </c>
      <c r="BC80" s="20" t="inlineStr">
        <is>
          <t>egy.mit.ndc.lvl.all.c.4</t>
        </is>
      </c>
      <c r="BD80" s="3" t="inlineStr">
        <is>
          <t>N/A</t>
        </is>
      </c>
      <c r="BE80" s="3" t="inlineStr">
        <is>
          <t>N/A</t>
        </is>
      </c>
      <c r="BF80" s="3" t="inlineStr">
        <is>
          <t>N/A</t>
        </is>
      </c>
      <c r="BG80" s="3" t="inlineStr">
        <is>
          <t>N/A</t>
        </is>
      </c>
      <c r="BH80" s="3" t="inlineStr">
        <is>
          <t>N/A</t>
        </is>
      </c>
      <c r="BI80" s="3" t="inlineStr">
        <is>
          <t>N/A</t>
        </is>
      </c>
      <c r="BJ80" s="3" t="inlineStr">
        <is>
          <t>N/A</t>
        </is>
      </c>
      <c r="BK80" s="3" t="inlineStr">
        <is>
          <t>N/A</t>
        </is>
      </c>
      <c r="BL80" s="3" t="inlineStr">
        <is>
          <t>N/A</t>
        </is>
      </c>
      <c r="BM80" s="3" t="inlineStr">
        <is>
          <t>N/A</t>
        </is>
      </c>
      <c r="BN80" s="3" t="inlineStr">
        <is>
          <t>N/A</t>
        </is>
      </c>
      <c r="BO80" s="3" t="inlineStr">
        <is>
          <t>N/A</t>
        </is>
      </c>
      <c r="BP80" s="3" t="inlineStr">
        <is>
          <t>N/A</t>
        </is>
      </c>
      <c r="BQ80" s="3" t="inlineStr">
        <is>
          <t>N/A</t>
        </is>
      </c>
      <c r="BR80" s="3" t="inlineStr">
        <is>
          <t>N/A</t>
        </is>
      </c>
      <c r="BS80" s="3" t="inlineStr">
        <is>
          <t>N/A</t>
        </is>
      </c>
      <c r="BT80" s="3" t="inlineStr">
        <is>
          <t>N/A</t>
        </is>
      </c>
      <c r="BU80" s="3" t="inlineStr">
        <is>
          <t>N/A</t>
        </is>
      </c>
      <c r="BV80" s="3" t="inlineStr">
        <is>
          <t>N/A</t>
        </is>
      </c>
      <c r="BW80" s="3" t="inlineStr">
        <is>
          <t>N/A</t>
        </is>
      </c>
      <c r="BY80" s="20" t="inlineStr">
        <is>
          <t>egy.mit.ndc.lvl.all.c.5</t>
        </is>
      </c>
      <c r="BZ80" s="3" t="inlineStr">
        <is>
          <t>N/A</t>
        </is>
      </c>
      <c r="CA80" s="3" t="inlineStr">
        <is>
          <t>N/A</t>
        </is>
      </c>
      <c r="CB80" s="3" t="inlineStr">
        <is>
          <t>N/A</t>
        </is>
      </c>
      <c r="CC80" s="3" t="inlineStr">
        <is>
          <t>N/A</t>
        </is>
      </c>
      <c r="CD80" s="3" t="inlineStr">
        <is>
          <t>N/A</t>
        </is>
      </c>
      <c r="CE80" s="3" t="inlineStr">
        <is>
          <t>N/A</t>
        </is>
      </c>
      <c r="CF80" s="3" t="inlineStr">
        <is>
          <t>N/A</t>
        </is>
      </c>
      <c r="CG80" s="3" t="inlineStr">
        <is>
          <t>N/A</t>
        </is>
      </c>
      <c r="CH80" s="3" t="inlineStr">
        <is>
          <t>N/A</t>
        </is>
      </c>
      <c r="CI80" s="3" t="inlineStr">
        <is>
          <t>N/A</t>
        </is>
      </c>
      <c r="CJ80" s="3" t="inlineStr">
        <is>
          <t>N/A</t>
        </is>
      </c>
      <c r="CK80" s="3" t="inlineStr">
        <is>
          <t>N/A</t>
        </is>
      </c>
      <c r="CL80" s="3" t="inlineStr">
        <is>
          <t>N/A</t>
        </is>
      </c>
      <c r="CM80" s="3" t="inlineStr">
        <is>
          <t>N/A</t>
        </is>
      </c>
      <c r="CN80" s="3" t="inlineStr">
        <is>
          <t>N/A</t>
        </is>
      </c>
      <c r="CO80" s="3" t="inlineStr">
        <is>
          <t>N/A</t>
        </is>
      </c>
      <c r="CP80" s="3" t="inlineStr">
        <is>
          <t>N/A</t>
        </is>
      </c>
      <c r="CQ80" s="3" t="inlineStr">
        <is>
          <t>N/A</t>
        </is>
      </c>
      <c r="CR80" s="3" t="inlineStr">
        <is>
          <t>N/A</t>
        </is>
      </c>
      <c r="CS80" s="3" t="inlineStr">
        <is>
          <t>N/A</t>
        </is>
      </c>
      <c r="CU80" s="20" t="inlineStr">
        <is>
          <t>egy.mit.ndc.lvl.all.c.6</t>
        </is>
      </c>
      <c r="CV80" s="3" t="inlineStr">
        <is>
          <t>N/A</t>
        </is>
      </c>
      <c r="CW80" s="3" t="inlineStr">
        <is>
          <t>N/A</t>
        </is>
      </c>
      <c r="CX80" s="3" t="inlineStr">
        <is>
          <t>N/A</t>
        </is>
      </c>
      <c r="CY80" s="3" t="inlineStr">
        <is>
          <t>N/A</t>
        </is>
      </c>
      <c r="CZ80" s="3" t="inlineStr">
        <is>
          <t>N/A</t>
        </is>
      </c>
      <c r="DA80" s="3" t="inlineStr">
        <is>
          <t>N/A</t>
        </is>
      </c>
      <c r="DB80" s="3" t="inlineStr">
        <is>
          <t>N/A</t>
        </is>
      </c>
      <c r="DC80" s="3" t="inlineStr">
        <is>
          <t>N/A</t>
        </is>
      </c>
      <c r="DD80" s="3" t="inlineStr">
        <is>
          <t>N/A</t>
        </is>
      </c>
      <c r="DE80" s="3" t="inlineStr">
        <is>
          <t>N/A</t>
        </is>
      </c>
      <c r="DF80" s="3" t="inlineStr">
        <is>
          <t>N/A</t>
        </is>
      </c>
      <c r="DG80" s="3" t="inlineStr">
        <is>
          <t>N/A</t>
        </is>
      </c>
      <c r="DH80" s="3" t="inlineStr">
        <is>
          <t>N/A</t>
        </is>
      </c>
      <c r="DI80" s="3" t="inlineStr">
        <is>
          <t>N/A</t>
        </is>
      </c>
      <c r="DJ80" s="3" t="inlineStr">
        <is>
          <t>N/A</t>
        </is>
      </c>
      <c r="DK80" s="3" t="inlineStr">
        <is>
          <t>N/A</t>
        </is>
      </c>
      <c r="DL80" s="3" t="inlineStr">
        <is>
          <t>N/A</t>
        </is>
      </c>
      <c r="DM80" s="3" t="inlineStr">
        <is>
          <t>N/A</t>
        </is>
      </c>
      <c r="DN80" s="3" t="inlineStr">
        <is>
          <t>N/A</t>
        </is>
      </c>
      <c r="DO80" s="3" t="inlineStr">
        <is>
          <t>N/A</t>
        </is>
      </c>
    </row>
    <row r="81">
      <c r="A81" s="19" t="inlineStr">
        <is>
          <t>mit.ndc.r.all.u</t>
        </is>
      </c>
      <c r="B81" s="3" t="inlineStr">
        <is>
          <t>mit</t>
        </is>
      </c>
      <c r="C81" s="19" t="inlineStr">
        <is>
          <t>mit.undc.2030.pct</t>
        </is>
      </c>
      <c r="H81" s="3" t="inlineStr">
        <is>
          <t xml:space="preserve">NDC: reduction against the modelled BAU (u, c, a average, sel chosen by Conditionality) | All sectors | </t>
        </is>
      </c>
      <c r="I81" s="3" t="inlineStr">
        <is>
          <t>share</t>
        </is>
      </c>
      <c r="K81" s="20" t="inlineStr">
        <is>
          <t>egy.mit.ndc.r.all.u.1</t>
        </is>
      </c>
      <c r="L81" s="3" t="n">
        <v>0.27</v>
      </c>
      <c r="M81" s="3" t="n">
        <v>0.27</v>
      </c>
      <c r="N81" s="3" t="n">
        <v>0.27</v>
      </c>
      <c r="O81" s="3" t="n">
        <v>0.27</v>
      </c>
      <c r="P81" s="3" t="n">
        <v>0.27</v>
      </c>
      <c r="Q81" s="3" t="n">
        <v>0.27</v>
      </c>
      <c r="R81" s="3" t="n">
        <v>0.27</v>
      </c>
      <c r="S81" s="3" t="n">
        <v>0.27</v>
      </c>
      <c r="T81" s="3" t="n">
        <v>0.27</v>
      </c>
      <c r="U81" s="3" t="n">
        <v>0.27</v>
      </c>
      <c r="V81" s="3" t="n">
        <v>0.27</v>
      </c>
      <c r="W81" s="3" t="n">
        <v>0.27</v>
      </c>
      <c r="X81" s="3" t="n">
        <v>0.27</v>
      </c>
      <c r="Y81" s="3" t="n">
        <v>0.27</v>
      </c>
      <c r="Z81" s="3" t="n">
        <v>0.27</v>
      </c>
      <c r="AA81" s="3" t="n">
        <v>0.27</v>
      </c>
      <c r="AB81" s="3" t="n">
        <v>0.27</v>
      </c>
      <c r="AC81" s="3" t="n">
        <v>0.27</v>
      </c>
      <c r="AD81" s="3" t="n">
        <v>0.27</v>
      </c>
      <c r="AE81" s="3" t="n">
        <v>0.27</v>
      </c>
      <c r="AG81" s="20" t="inlineStr">
        <is>
          <t>egy.mit.ndc.r.all.u.3</t>
        </is>
      </c>
      <c r="AH81" s="3" t="n">
        <v>0.27</v>
      </c>
      <c r="AI81" s="3" t="n">
        <v>0.27</v>
      </c>
      <c r="AJ81" s="3" t="n">
        <v>0.27</v>
      </c>
      <c r="AK81" s="3" t="n">
        <v>0.27</v>
      </c>
      <c r="AL81" s="3" t="n">
        <v>0.27</v>
      </c>
      <c r="AM81" s="3" t="n">
        <v>0.27</v>
      </c>
      <c r="AN81" s="3" t="n">
        <v>0.27</v>
      </c>
      <c r="AO81" s="3" t="n">
        <v>0.27</v>
      </c>
      <c r="AP81" s="3" t="n">
        <v>0.27</v>
      </c>
      <c r="AQ81" s="3" t="n">
        <v>0.27</v>
      </c>
      <c r="AR81" s="3" t="n">
        <v>0.27</v>
      </c>
      <c r="AS81" s="3" t="n">
        <v>0.27</v>
      </c>
      <c r="AT81" s="3" t="n">
        <v>0.27</v>
      </c>
      <c r="AU81" s="3" t="n">
        <v>0.27</v>
      </c>
      <c r="AV81" s="3" t="n">
        <v>0.27</v>
      </c>
      <c r="AW81" s="3" t="n">
        <v>0.27</v>
      </c>
      <c r="AX81" s="3" t="n">
        <v>0.27</v>
      </c>
      <c r="AY81" s="3" t="n">
        <v>0.27</v>
      </c>
      <c r="AZ81" s="3" t="n">
        <v>0.27</v>
      </c>
      <c r="BA81" s="3" t="n">
        <v>0.27</v>
      </c>
      <c r="BC81" s="20" t="inlineStr">
        <is>
          <t>egy.mit.ndc.r.all.u.4</t>
        </is>
      </c>
      <c r="BD81" s="3" t="n">
        <v>0.27</v>
      </c>
      <c r="BE81" s="3" t="n">
        <v>0.27</v>
      </c>
      <c r="BF81" s="3" t="n">
        <v>0.27</v>
      </c>
      <c r="BG81" s="3" t="n">
        <v>0.27</v>
      </c>
      <c r="BH81" s="3" t="n">
        <v>0.27</v>
      </c>
      <c r="BI81" s="3" t="n">
        <v>0.27</v>
      </c>
      <c r="BJ81" s="3" t="n">
        <v>0.27</v>
      </c>
      <c r="BK81" s="3" t="n">
        <v>0.27</v>
      </c>
      <c r="BL81" s="3" t="n">
        <v>0.27</v>
      </c>
      <c r="BM81" s="3" t="n">
        <v>0.27</v>
      </c>
      <c r="BN81" s="3" t="n">
        <v>0.27</v>
      </c>
      <c r="BO81" s="3" t="n">
        <v>0.27</v>
      </c>
      <c r="BP81" s="3" t="n">
        <v>0.27</v>
      </c>
      <c r="BQ81" s="3" t="n">
        <v>0.27</v>
      </c>
      <c r="BR81" s="3" t="n">
        <v>0.27</v>
      </c>
      <c r="BS81" s="3" t="n">
        <v>0.27</v>
      </c>
      <c r="BT81" s="3" t="n">
        <v>0.27</v>
      </c>
      <c r="BU81" s="3" t="n">
        <v>0.27</v>
      </c>
      <c r="BV81" s="3" t="n">
        <v>0.27</v>
      </c>
      <c r="BW81" s="3" t="n">
        <v>0.27</v>
      </c>
      <c r="BY81" s="20" t="inlineStr">
        <is>
          <t>egy.mit.ndc.r.all.u.5</t>
        </is>
      </c>
      <c r="BZ81" s="3" t="n">
        <v>0.27</v>
      </c>
      <c r="CA81" s="3" t="n">
        <v>0.27</v>
      </c>
      <c r="CB81" s="3" t="n">
        <v>0.27</v>
      </c>
      <c r="CC81" s="3" t="n">
        <v>0.27</v>
      </c>
      <c r="CD81" s="3" t="n">
        <v>0.27</v>
      </c>
      <c r="CE81" s="3" t="n">
        <v>0.27</v>
      </c>
      <c r="CF81" s="3" t="n">
        <v>0.27</v>
      </c>
      <c r="CG81" s="3" t="n">
        <v>0.27</v>
      </c>
      <c r="CH81" s="3" t="n">
        <v>0.27</v>
      </c>
      <c r="CI81" s="3" t="n">
        <v>0.27</v>
      </c>
      <c r="CJ81" s="3" t="n">
        <v>0.27</v>
      </c>
      <c r="CK81" s="3" t="n">
        <v>0.27</v>
      </c>
      <c r="CL81" s="3" t="n">
        <v>0.27</v>
      </c>
      <c r="CM81" s="3" t="n">
        <v>0.27</v>
      </c>
      <c r="CN81" s="3" t="n">
        <v>0.27</v>
      </c>
      <c r="CO81" s="3" t="n">
        <v>0.27</v>
      </c>
      <c r="CP81" s="3" t="n">
        <v>0.27</v>
      </c>
      <c r="CQ81" s="3" t="n">
        <v>0.27</v>
      </c>
      <c r="CR81" s="3" t="n">
        <v>0.27</v>
      </c>
      <c r="CS81" s="3" t="n">
        <v>0.27</v>
      </c>
      <c r="CU81" s="20" t="inlineStr">
        <is>
          <t>egy.mit.ndc.r.all.u.6</t>
        </is>
      </c>
      <c r="CV81" s="3" t="n">
        <v>0.27</v>
      </c>
      <c r="CW81" s="3" t="n">
        <v>0.27</v>
      </c>
      <c r="CX81" s="3" t="n">
        <v>0.27</v>
      </c>
      <c r="CY81" s="3" t="n">
        <v>0.27</v>
      </c>
      <c r="CZ81" s="3" t="n">
        <v>0.27</v>
      </c>
      <c r="DA81" s="3" t="n">
        <v>0.27</v>
      </c>
      <c r="DB81" s="3" t="n">
        <v>0.27</v>
      </c>
      <c r="DC81" s="3" t="n">
        <v>0.27</v>
      </c>
      <c r="DD81" s="3" t="n">
        <v>0.27</v>
      </c>
      <c r="DE81" s="3" t="n">
        <v>0.27</v>
      </c>
      <c r="DF81" s="3" t="n">
        <v>0.27</v>
      </c>
      <c r="DG81" s="3" t="n">
        <v>0.27</v>
      </c>
      <c r="DH81" s="3" t="n">
        <v>0.27</v>
      </c>
      <c r="DI81" s="3" t="n">
        <v>0.27</v>
      </c>
      <c r="DJ81" s="3" t="n">
        <v>0.27</v>
      </c>
      <c r="DK81" s="3" t="n">
        <v>0.27</v>
      </c>
      <c r="DL81" s="3" t="n">
        <v>0.27</v>
      </c>
      <c r="DM81" s="3" t="n">
        <v>0.27</v>
      </c>
      <c r="DN81" s="3" t="n">
        <v>0.27</v>
      </c>
      <c r="DO81" s="3" t="n">
        <v>0.27</v>
      </c>
    </row>
    <row r="82">
      <c r="A82" s="19" t="inlineStr">
        <is>
          <t>mit.ndc.r.all.c</t>
        </is>
      </c>
      <c r="B82" s="3" t="inlineStr">
        <is>
          <t>mit</t>
        </is>
      </c>
      <c r="C82" s="19" t="inlineStr">
        <is>
          <t>mit.cndc.2030.pct</t>
        </is>
      </c>
      <c r="H82" s="3" t="inlineStr">
        <is>
          <t xml:space="preserve">NDC: reduction against the modelled BAU (u, c, a average, sel chosen by Conditionality) | All sectors | </t>
        </is>
      </c>
      <c r="I82" s="3" t="inlineStr">
        <is>
          <t>share</t>
        </is>
      </c>
      <c r="K82" s="20" t="inlineStr">
        <is>
          <t>egy.mit.ndc.r.all.c.1</t>
        </is>
      </c>
      <c r="L82" s="3" t="inlineStr">
        <is>
          <t>N/A</t>
        </is>
      </c>
      <c r="M82" s="3" t="inlineStr">
        <is>
          <t>N/A</t>
        </is>
      </c>
      <c r="N82" s="3" t="inlineStr">
        <is>
          <t>N/A</t>
        </is>
      </c>
      <c r="O82" s="3" t="inlineStr">
        <is>
          <t>N/A</t>
        </is>
      </c>
      <c r="P82" s="3" t="inlineStr">
        <is>
          <t>N/A</t>
        </is>
      </c>
      <c r="Q82" s="3" t="inlineStr">
        <is>
          <t>N/A</t>
        </is>
      </c>
      <c r="R82" s="3" t="inlineStr">
        <is>
          <t>N/A</t>
        </is>
      </c>
      <c r="S82" s="3" t="inlineStr">
        <is>
          <t>N/A</t>
        </is>
      </c>
      <c r="T82" s="3" t="inlineStr">
        <is>
          <t>N/A</t>
        </is>
      </c>
      <c r="U82" s="3" t="inlineStr">
        <is>
          <t>N/A</t>
        </is>
      </c>
      <c r="V82" s="3" t="inlineStr">
        <is>
          <t>N/A</t>
        </is>
      </c>
      <c r="W82" s="3" t="inlineStr">
        <is>
          <t>N/A</t>
        </is>
      </c>
      <c r="X82" s="3" t="inlineStr">
        <is>
          <t>N/A</t>
        </is>
      </c>
      <c r="Y82" s="3" t="inlineStr">
        <is>
          <t>N/A</t>
        </is>
      </c>
      <c r="Z82" s="3" t="inlineStr">
        <is>
          <t>N/A</t>
        </is>
      </c>
      <c r="AA82" s="3" t="inlineStr">
        <is>
          <t>N/A</t>
        </is>
      </c>
      <c r="AB82" s="3" t="inlineStr">
        <is>
          <t>N/A</t>
        </is>
      </c>
      <c r="AC82" s="3" t="inlineStr">
        <is>
          <t>N/A</t>
        </is>
      </c>
      <c r="AD82" s="3" t="inlineStr">
        <is>
          <t>N/A</t>
        </is>
      </c>
      <c r="AE82" s="3" t="inlineStr">
        <is>
          <t>N/A</t>
        </is>
      </c>
      <c r="AG82" s="20" t="inlineStr">
        <is>
          <t>egy.mit.ndc.r.all.c.3</t>
        </is>
      </c>
      <c r="AH82" s="3" t="inlineStr">
        <is>
          <t>N/A</t>
        </is>
      </c>
      <c r="AI82" s="3" t="inlineStr">
        <is>
          <t>N/A</t>
        </is>
      </c>
      <c r="AJ82" s="3" t="inlineStr">
        <is>
          <t>N/A</t>
        </is>
      </c>
      <c r="AK82" s="3" t="inlineStr">
        <is>
          <t>N/A</t>
        </is>
      </c>
      <c r="AL82" s="3" t="inlineStr">
        <is>
          <t>N/A</t>
        </is>
      </c>
      <c r="AM82" s="3" t="inlineStr">
        <is>
          <t>N/A</t>
        </is>
      </c>
      <c r="AN82" s="3" t="inlineStr">
        <is>
          <t>N/A</t>
        </is>
      </c>
      <c r="AO82" s="3" t="inlineStr">
        <is>
          <t>N/A</t>
        </is>
      </c>
      <c r="AP82" s="3" t="inlineStr">
        <is>
          <t>N/A</t>
        </is>
      </c>
      <c r="AQ82" s="3" t="inlineStr">
        <is>
          <t>N/A</t>
        </is>
      </c>
      <c r="AR82" s="3" t="inlineStr">
        <is>
          <t>N/A</t>
        </is>
      </c>
      <c r="AS82" s="3" t="inlineStr">
        <is>
          <t>N/A</t>
        </is>
      </c>
      <c r="AT82" s="3" t="inlineStr">
        <is>
          <t>N/A</t>
        </is>
      </c>
      <c r="AU82" s="3" t="inlineStr">
        <is>
          <t>N/A</t>
        </is>
      </c>
      <c r="AV82" s="3" t="inlineStr">
        <is>
          <t>N/A</t>
        </is>
      </c>
      <c r="AW82" s="3" t="inlineStr">
        <is>
          <t>N/A</t>
        </is>
      </c>
      <c r="AX82" s="3" t="inlineStr">
        <is>
          <t>N/A</t>
        </is>
      </c>
      <c r="AY82" s="3" t="inlineStr">
        <is>
          <t>N/A</t>
        </is>
      </c>
      <c r="AZ82" s="3" t="inlineStr">
        <is>
          <t>N/A</t>
        </is>
      </c>
      <c r="BA82" s="3" t="inlineStr">
        <is>
          <t>N/A</t>
        </is>
      </c>
      <c r="BC82" s="20" t="inlineStr">
        <is>
          <t>egy.mit.ndc.r.all.c.4</t>
        </is>
      </c>
      <c r="BD82" s="3" t="inlineStr">
        <is>
          <t>N/A</t>
        </is>
      </c>
      <c r="BE82" s="3" t="inlineStr">
        <is>
          <t>N/A</t>
        </is>
      </c>
      <c r="BF82" s="3" t="inlineStr">
        <is>
          <t>N/A</t>
        </is>
      </c>
      <c r="BG82" s="3" t="inlineStr">
        <is>
          <t>N/A</t>
        </is>
      </c>
      <c r="BH82" s="3" t="inlineStr">
        <is>
          <t>N/A</t>
        </is>
      </c>
      <c r="BI82" s="3" t="inlineStr">
        <is>
          <t>N/A</t>
        </is>
      </c>
      <c r="BJ82" s="3" t="inlineStr">
        <is>
          <t>N/A</t>
        </is>
      </c>
      <c r="BK82" s="3" t="inlineStr">
        <is>
          <t>N/A</t>
        </is>
      </c>
      <c r="BL82" s="3" t="inlineStr">
        <is>
          <t>N/A</t>
        </is>
      </c>
      <c r="BM82" s="3" t="inlineStr">
        <is>
          <t>N/A</t>
        </is>
      </c>
      <c r="BN82" s="3" t="inlineStr">
        <is>
          <t>N/A</t>
        </is>
      </c>
      <c r="BO82" s="3" t="inlineStr">
        <is>
          <t>N/A</t>
        </is>
      </c>
      <c r="BP82" s="3" t="inlineStr">
        <is>
          <t>N/A</t>
        </is>
      </c>
      <c r="BQ82" s="3" t="inlineStr">
        <is>
          <t>N/A</t>
        </is>
      </c>
      <c r="BR82" s="3" t="inlineStr">
        <is>
          <t>N/A</t>
        </is>
      </c>
      <c r="BS82" s="3" t="inlineStr">
        <is>
          <t>N/A</t>
        </is>
      </c>
      <c r="BT82" s="3" t="inlineStr">
        <is>
          <t>N/A</t>
        </is>
      </c>
      <c r="BU82" s="3" t="inlineStr">
        <is>
          <t>N/A</t>
        </is>
      </c>
      <c r="BV82" s="3" t="inlineStr">
        <is>
          <t>N/A</t>
        </is>
      </c>
      <c r="BW82" s="3" t="inlineStr">
        <is>
          <t>N/A</t>
        </is>
      </c>
      <c r="BY82" s="20" t="inlineStr">
        <is>
          <t>egy.mit.ndc.r.all.c.5</t>
        </is>
      </c>
      <c r="BZ82" s="3" t="inlineStr">
        <is>
          <t>N/A</t>
        </is>
      </c>
      <c r="CA82" s="3" t="inlineStr">
        <is>
          <t>N/A</t>
        </is>
      </c>
      <c r="CB82" s="3" t="inlineStr">
        <is>
          <t>N/A</t>
        </is>
      </c>
      <c r="CC82" s="3" t="inlineStr">
        <is>
          <t>N/A</t>
        </is>
      </c>
      <c r="CD82" s="3" t="inlineStr">
        <is>
          <t>N/A</t>
        </is>
      </c>
      <c r="CE82" s="3" t="inlineStr">
        <is>
          <t>N/A</t>
        </is>
      </c>
      <c r="CF82" s="3" t="inlineStr">
        <is>
          <t>N/A</t>
        </is>
      </c>
      <c r="CG82" s="3" t="inlineStr">
        <is>
          <t>N/A</t>
        </is>
      </c>
      <c r="CH82" s="3" t="inlineStr">
        <is>
          <t>N/A</t>
        </is>
      </c>
      <c r="CI82" s="3" t="inlineStr">
        <is>
          <t>N/A</t>
        </is>
      </c>
      <c r="CJ82" s="3" t="inlineStr">
        <is>
          <t>N/A</t>
        </is>
      </c>
      <c r="CK82" s="3" t="inlineStr">
        <is>
          <t>N/A</t>
        </is>
      </c>
      <c r="CL82" s="3" t="inlineStr">
        <is>
          <t>N/A</t>
        </is>
      </c>
      <c r="CM82" s="3" t="inlineStr">
        <is>
          <t>N/A</t>
        </is>
      </c>
      <c r="CN82" s="3" t="inlineStr">
        <is>
          <t>N/A</t>
        </is>
      </c>
      <c r="CO82" s="3" t="inlineStr">
        <is>
          <t>N/A</t>
        </is>
      </c>
      <c r="CP82" s="3" t="inlineStr">
        <is>
          <t>N/A</t>
        </is>
      </c>
      <c r="CQ82" s="3" t="inlineStr">
        <is>
          <t>N/A</t>
        </is>
      </c>
      <c r="CR82" s="3" t="inlineStr">
        <is>
          <t>N/A</t>
        </is>
      </c>
      <c r="CS82" s="3" t="inlineStr">
        <is>
          <t>N/A</t>
        </is>
      </c>
      <c r="CU82" s="20" t="inlineStr">
        <is>
          <t>egy.mit.ndc.r.all.c.6</t>
        </is>
      </c>
      <c r="CV82" s="3" t="inlineStr">
        <is>
          <t>N/A</t>
        </is>
      </c>
      <c r="CW82" s="3" t="inlineStr">
        <is>
          <t>N/A</t>
        </is>
      </c>
      <c r="CX82" s="3" t="inlineStr">
        <is>
          <t>N/A</t>
        </is>
      </c>
      <c r="CY82" s="3" t="inlineStr">
        <is>
          <t>N/A</t>
        </is>
      </c>
      <c r="CZ82" s="3" t="inlineStr">
        <is>
          <t>N/A</t>
        </is>
      </c>
      <c r="DA82" s="3" t="inlineStr">
        <is>
          <t>N/A</t>
        </is>
      </c>
      <c r="DB82" s="3" t="inlineStr">
        <is>
          <t>N/A</t>
        </is>
      </c>
      <c r="DC82" s="3" t="inlineStr">
        <is>
          <t>N/A</t>
        </is>
      </c>
      <c r="DD82" s="3" t="inlineStr">
        <is>
          <t>N/A</t>
        </is>
      </c>
      <c r="DE82" s="3" t="inlineStr">
        <is>
          <t>N/A</t>
        </is>
      </c>
      <c r="DF82" s="3" t="inlineStr">
        <is>
          <t>N/A</t>
        </is>
      </c>
      <c r="DG82" s="3" t="inlineStr">
        <is>
          <t>N/A</t>
        </is>
      </c>
      <c r="DH82" s="3" t="inlineStr">
        <is>
          <t>N/A</t>
        </is>
      </c>
      <c r="DI82" s="3" t="inlineStr">
        <is>
          <t>N/A</t>
        </is>
      </c>
      <c r="DJ82" s="3" t="inlineStr">
        <is>
          <t>N/A</t>
        </is>
      </c>
      <c r="DK82" s="3" t="inlineStr">
        <is>
          <t>N/A</t>
        </is>
      </c>
      <c r="DL82" s="3" t="inlineStr">
        <is>
          <t>N/A</t>
        </is>
      </c>
      <c r="DM82" s="3" t="inlineStr">
        <is>
          <t>N/A</t>
        </is>
      </c>
      <c r="DN82" s="3" t="inlineStr">
        <is>
          <t>N/A</t>
        </is>
      </c>
      <c r="DO82" s="3" t="inlineStr">
        <is>
          <t>N/A</t>
        </is>
      </c>
    </row>
    <row r="83">
      <c r="A83" s="19" t="inlineStr">
        <is>
          <t>mit.ndc.r.all.a</t>
        </is>
      </c>
      <c r="B83" s="3" t="inlineStr">
        <is>
          <t>mit</t>
        </is>
      </c>
      <c r="C83" s="19" t="inlineStr">
        <is>
          <t>mit.andc.2030.pct</t>
        </is>
      </c>
      <c r="H83" s="3" t="inlineStr">
        <is>
          <t xml:space="preserve">NDC: reduction against the modelled BAU (u, c, a average, sel chosen by Conditionality) | All sectors | </t>
        </is>
      </c>
      <c r="I83" s="3" t="inlineStr">
        <is>
          <t>share</t>
        </is>
      </c>
      <c r="K83" s="20" t="inlineStr">
        <is>
          <t>egy.mit.ndc.r.all.a.1</t>
        </is>
      </c>
      <c r="L83" s="3" t="n">
        <v>0.27</v>
      </c>
      <c r="M83" s="3" t="n">
        <v>0.27</v>
      </c>
      <c r="N83" s="3" t="n">
        <v>0.27</v>
      </c>
      <c r="O83" s="3" t="n">
        <v>0.27</v>
      </c>
      <c r="P83" s="3" t="n">
        <v>0.27</v>
      </c>
      <c r="Q83" s="3" t="n">
        <v>0.27</v>
      </c>
      <c r="R83" s="3" t="n">
        <v>0.27</v>
      </c>
      <c r="S83" s="3" t="n">
        <v>0.27</v>
      </c>
      <c r="T83" s="3" t="n">
        <v>0.27</v>
      </c>
      <c r="U83" s="3" t="n">
        <v>0.27</v>
      </c>
      <c r="V83" s="3" t="n">
        <v>0.27</v>
      </c>
      <c r="W83" s="3" t="n">
        <v>0.27</v>
      </c>
      <c r="X83" s="3" t="n">
        <v>0.27</v>
      </c>
      <c r="Y83" s="3" t="n">
        <v>0.27</v>
      </c>
      <c r="Z83" s="3" t="n">
        <v>0.27</v>
      </c>
      <c r="AA83" s="3" t="n">
        <v>0.27</v>
      </c>
      <c r="AB83" s="3" t="n">
        <v>0.27</v>
      </c>
      <c r="AC83" s="3" t="n">
        <v>0.27</v>
      </c>
      <c r="AD83" s="3" t="n">
        <v>0.27</v>
      </c>
      <c r="AE83" s="3" t="n">
        <v>0.27</v>
      </c>
      <c r="AG83" s="20" t="inlineStr">
        <is>
          <t>egy.mit.ndc.r.all.a.3</t>
        </is>
      </c>
      <c r="AH83" s="3" t="n">
        <v>0.27</v>
      </c>
      <c r="AI83" s="3" t="n">
        <v>0.27</v>
      </c>
      <c r="AJ83" s="3" t="n">
        <v>0.27</v>
      </c>
      <c r="AK83" s="3" t="n">
        <v>0.27</v>
      </c>
      <c r="AL83" s="3" t="n">
        <v>0.27</v>
      </c>
      <c r="AM83" s="3" t="n">
        <v>0.27</v>
      </c>
      <c r="AN83" s="3" t="n">
        <v>0.27</v>
      </c>
      <c r="AO83" s="3" t="n">
        <v>0.27</v>
      </c>
      <c r="AP83" s="3" t="n">
        <v>0.27</v>
      </c>
      <c r="AQ83" s="3" t="n">
        <v>0.27</v>
      </c>
      <c r="AR83" s="3" t="n">
        <v>0.27</v>
      </c>
      <c r="AS83" s="3" t="n">
        <v>0.27</v>
      </c>
      <c r="AT83" s="3" t="n">
        <v>0.27</v>
      </c>
      <c r="AU83" s="3" t="n">
        <v>0.27</v>
      </c>
      <c r="AV83" s="3" t="n">
        <v>0.27</v>
      </c>
      <c r="AW83" s="3" t="n">
        <v>0.27</v>
      </c>
      <c r="AX83" s="3" t="n">
        <v>0.27</v>
      </c>
      <c r="AY83" s="3" t="n">
        <v>0.27</v>
      </c>
      <c r="AZ83" s="3" t="n">
        <v>0.27</v>
      </c>
      <c r="BA83" s="3" t="n">
        <v>0.27</v>
      </c>
      <c r="BC83" s="20" t="inlineStr">
        <is>
          <t>egy.mit.ndc.r.all.a.4</t>
        </is>
      </c>
      <c r="BD83" s="3" t="n">
        <v>0.27</v>
      </c>
      <c r="BE83" s="3" t="n">
        <v>0.27</v>
      </c>
      <c r="BF83" s="3" t="n">
        <v>0.27</v>
      </c>
      <c r="BG83" s="3" t="n">
        <v>0.27</v>
      </c>
      <c r="BH83" s="3" t="n">
        <v>0.27</v>
      </c>
      <c r="BI83" s="3" t="n">
        <v>0.27</v>
      </c>
      <c r="BJ83" s="3" t="n">
        <v>0.27</v>
      </c>
      <c r="BK83" s="3" t="n">
        <v>0.27</v>
      </c>
      <c r="BL83" s="3" t="n">
        <v>0.27</v>
      </c>
      <c r="BM83" s="3" t="n">
        <v>0.27</v>
      </c>
      <c r="BN83" s="3" t="n">
        <v>0.27</v>
      </c>
      <c r="BO83" s="3" t="n">
        <v>0.27</v>
      </c>
      <c r="BP83" s="3" t="n">
        <v>0.27</v>
      </c>
      <c r="BQ83" s="3" t="n">
        <v>0.27</v>
      </c>
      <c r="BR83" s="3" t="n">
        <v>0.27</v>
      </c>
      <c r="BS83" s="3" t="n">
        <v>0.27</v>
      </c>
      <c r="BT83" s="3" t="n">
        <v>0.27</v>
      </c>
      <c r="BU83" s="3" t="n">
        <v>0.27</v>
      </c>
      <c r="BV83" s="3" t="n">
        <v>0.27</v>
      </c>
      <c r="BW83" s="3" t="n">
        <v>0.27</v>
      </c>
      <c r="BY83" s="20" t="inlineStr">
        <is>
          <t>egy.mit.ndc.r.all.a.5</t>
        </is>
      </c>
      <c r="BZ83" s="3" t="n">
        <v>0.27</v>
      </c>
      <c r="CA83" s="3" t="n">
        <v>0.27</v>
      </c>
      <c r="CB83" s="3" t="n">
        <v>0.27</v>
      </c>
      <c r="CC83" s="3" t="n">
        <v>0.27</v>
      </c>
      <c r="CD83" s="3" t="n">
        <v>0.27</v>
      </c>
      <c r="CE83" s="3" t="n">
        <v>0.27</v>
      </c>
      <c r="CF83" s="3" t="n">
        <v>0.27</v>
      </c>
      <c r="CG83" s="3" t="n">
        <v>0.27</v>
      </c>
      <c r="CH83" s="3" t="n">
        <v>0.27</v>
      </c>
      <c r="CI83" s="3" t="n">
        <v>0.27</v>
      </c>
      <c r="CJ83" s="3" t="n">
        <v>0.27</v>
      </c>
      <c r="CK83" s="3" t="n">
        <v>0.27</v>
      </c>
      <c r="CL83" s="3" t="n">
        <v>0.27</v>
      </c>
      <c r="CM83" s="3" t="n">
        <v>0.27</v>
      </c>
      <c r="CN83" s="3" t="n">
        <v>0.27</v>
      </c>
      <c r="CO83" s="3" t="n">
        <v>0.27</v>
      </c>
      <c r="CP83" s="3" t="n">
        <v>0.27</v>
      </c>
      <c r="CQ83" s="3" t="n">
        <v>0.27</v>
      </c>
      <c r="CR83" s="3" t="n">
        <v>0.27</v>
      </c>
      <c r="CS83" s="3" t="n">
        <v>0.27</v>
      </c>
      <c r="CU83" s="20" t="inlineStr">
        <is>
          <t>egy.mit.ndc.r.all.a.6</t>
        </is>
      </c>
      <c r="CV83" s="3" t="n">
        <v>0.27</v>
      </c>
      <c r="CW83" s="3" t="n">
        <v>0.27</v>
      </c>
      <c r="CX83" s="3" t="n">
        <v>0.27</v>
      </c>
      <c r="CY83" s="3" t="n">
        <v>0.27</v>
      </c>
      <c r="CZ83" s="3" t="n">
        <v>0.27</v>
      </c>
      <c r="DA83" s="3" t="n">
        <v>0.27</v>
      </c>
      <c r="DB83" s="3" t="n">
        <v>0.27</v>
      </c>
      <c r="DC83" s="3" t="n">
        <v>0.27</v>
      </c>
      <c r="DD83" s="3" t="n">
        <v>0.27</v>
      </c>
      <c r="DE83" s="3" t="n">
        <v>0.27</v>
      </c>
      <c r="DF83" s="3" t="n">
        <v>0.27</v>
      </c>
      <c r="DG83" s="3" t="n">
        <v>0.27</v>
      </c>
      <c r="DH83" s="3" t="n">
        <v>0.27</v>
      </c>
      <c r="DI83" s="3" t="n">
        <v>0.27</v>
      </c>
      <c r="DJ83" s="3" t="n">
        <v>0.27</v>
      </c>
      <c r="DK83" s="3" t="n">
        <v>0.27</v>
      </c>
      <c r="DL83" s="3" t="n">
        <v>0.27</v>
      </c>
      <c r="DM83" s="3" t="n">
        <v>0.27</v>
      </c>
      <c r="DN83" s="3" t="n">
        <v>0.27</v>
      </c>
      <c r="DO83" s="3" t="n">
        <v>0.27</v>
      </c>
    </row>
    <row r="84">
      <c r="A84" s="5" t="n"/>
      <c r="B84" s="18" t="inlineStr">
        <is>
          <t>Industrial sector CO2 emissions intensity of output (tCO2 per $m GVA)</t>
        </is>
      </c>
      <c r="C84" s="5" t="n"/>
      <c r="D84" s="5" t="n"/>
      <c r="E84" s="5" t="n"/>
      <c r="F84" s="5" t="n"/>
      <c r="G84" s="5" t="n"/>
      <c r="H84" s="5" t="n"/>
      <c r="I84" s="5" t="n"/>
      <c r="J84" s="5" t="n"/>
      <c r="K84" s="5" t="n"/>
      <c r="L84" s="5" t="n"/>
      <c r="M84" s="5" t="n"/>
      <c r="N84" s="5" t="n"/>
      <c r="O84" s="5" t="n"/>
      <c r="P84" s="5" t="n"/>
      <c r="Q84" s="5" t="n"/>
      <c r="R84" s="5" t="n"/>
      <c r="S84" s="5" t="n"/>
      <c r="T84" s="5" t="n"/>
      <c r="U84" s="5" t="n"/>
      <c r="V84" s="5" t="n"/>
      <c r="W84" s="5" t="n"/>
      <c r="X84" s="5" t="n"/>
      <c r="Y84" s="5" t="n"/>
      <c r="Z84" s="5" t="n"/>
      <c r="AA84" s="5" t="n"/>
      <c r="AB84" s="5" t="n"/>
      <c r="AC84" s="5" t="n"/>
      <c r="AD84" s="5" t="n"/>
      <c r="AE84" s="5" t="n"/>
      <c r="AF84" s="5" t="n"/>
      <c r="AG84" s="5" t="n"/>
      <c r="AH84" s="5" t="n"/>
      <c r="AI84" s="5" t="n"/>
      <c r="AJ84" s="5" t="n"/>
      <c r="AK84" s="5" t="n"/>
      <c r="AL84" s="5" t="n"/>
      <c r="AM84" s="5" t="n"/>
      <c r="AN84" s="5" t="n"/>
      <c r="AO84" s="5" t="n"/>
      <c r="AP84" s="5" t="n"/>
      <c r="AQ84" s="5" t="n"/>
      <c r="AR84" s="5" t="n"/>
      <c r="AS84" s="5" t="n"/>
      <c r="AT84" s="5" t="n"/>
      <c r="AU84" s="5" t="n"/>
      <c r="AV84" s="5" t="n"/>
      <c r="AW84" s="5" t="n"/>
      <c r="AX84" s="5" t="n"/>
      <c r="AY84" s="5" t="n"/>
      <c r="AZ84" s="5" t="n"/>
      <c r="BA84" s="5" t="n"/>
      <c r="BB84" s="5" t="n"/>
      <c r="BC84" s="5" t="n"/>
      <c r="BD84" s="5" t="n"/>
      <c r="BE84" s="5" t="n"/>
      <c r="BF84" s="5" t="n"/>
      <c r="BG84" s="5" t="n"/>
      <c r="BH84" s="5" t="n"/>
      <c r="BI84" s="5" t="n"/>
      <c r="BJ84" s="5" t="n"/>
      <c r="BK84" s="5" t="n"/>
      <c r="BL84" s="5" t="n"/>
      <c r="BM84" s="5" t="n"/>
      <c r="BN84" s="5" t="n"/>
      <c r="BO84" s="5" t="n"/>
      <c r="BP84" s="5" t="n"/>
      <c r="BQ84" s="5" t="n"/>
      <c r="BR84" s="5" t="n"/>
      <c r="BS84" s="5" t="n"/>
      <c r="BT84" s="5" t="n"/>
      <c r="BU84" s="5" t="n"/>
      <c r="BV84" s="5" t="n"/>
      <c r="BW84" s="5" t="n"/>
      <c r="BX84" s="5" t="n"/>
      <c r="BY84" s="5" t="n"/>
      <c r="BZ84" s="5" t="n"/>
      <c r="CA84" s="5" t="n"/>
      <c r="CB84" s="5" t="n"/>
      <c r="CC84" s="5" t="n"/>
      <c r="CD84" s="5" t="n"/>
      <c r="CE84" s="5" t="n"/>
      <c r="CF84" s="5" t="n"/>
      <c r="CG84" s="5" t="n"/>
      <c r="CH84" s="5" t="n"/>
      <c r="CI84" s="5" t="n"/>
      <c r="CJ84" s="5" t="n"/>
      <c r="CK84" s="5" t="n"/>
      <c r="CL84" s="5" t="n"/>
      <c r="CM84" s="5" t="n"/>
      <c r="CN84" s="5" t="n"/>
      <c r="CO84" s="5" t="n"/>
      <c r="CP84" s="5" t="n"/>
      <c r="CQ84" s="5" t="n"/>
      <c r="CR84" s="5" t="n"/>
      <c r="CS84" s="5" t="n"/>
      <c r="CT84" s="5" t="n"/>
      <c r="CU84" s="5" t="n"/>
      <c r="CV84" s="5" t="n"/>
      <c r="CW84" s="5" t="n"/>
      <c r="CX84" s="5" t="n"/>
      <c r="CY84" s="5" t="n"/>
      <c r="CZ84" s="5" t="n"/>
      <c r="DA84" s="5" t="n"/>
      <c r="DB84" s="5" t="n"/>
      <c r="DC84" s="5" t="n"/>
      <c r="DD84" s="5" t="n"/>
      <c r="DE84" s="5" t="n"/>
      <c r="DF84" s="5" t="n"/>
      <c r="DG84" s="5" t="n"/>
      <c r="DH84" s="5" t="n"/>
      <c r="DI84" s="5" t="n"/>
      <c r="DJ84" s="5" t="n"/>
      <c r="DK84" s="5" t="n"/>
      <c r="DL84" s="5" t="n"/>
      <c r="DM84" s="5" t="n"/>
      <c r="DN84" s="5" t="n"/>
      <c r="DO84" s="5" t="n"/>
      <c r="DP84" s="5" t="n"/>
      <c r="DQ84" s="5" t="n"/>
      <c r="DR84" s="5" t="n"/>
      <c r="DS84" s="5" t="n"/>
      <c r="DT84" s="5" t="n"/>
      <c r="DU84" s="5" t="n"/>
      <c r="DV84" s="5" t="n"/>
      <c r="DW84" s="5" t="n"/>
      <c r="DX84" s="5" t="n"/>
      <c r="DY84" s="5" t="n"/>
      <c r="DZ84" s="5" t="n"/>
      <c r="EA84" s="5" t="n"/>
      <c r="EB84" s="5" t="n"/>
      <c r="EC84" s="5" t="n"/>
      <c r="ED84" s="5" t="n"/>
      <c r="EE84" s="5" t="n"/>
      <c r="EF84" s="5" t="n"/>
      <c r="EG84" s="5" t="n"/>
      <c r="EH84" s="5" t="n"/>
      <c r="EI84" s="5" t="n"/>
      <c r="EJ84" s="5" t="n"/>
      <c r="EK84" s="5" t="n"/>
      <c r="EL84" s="5" t="n"/>
      <c r="EM84" s="5" t="n"/>
      <c r="EN84" s="5" t="n"/>
      <c r="EO84" s="5" t="n"/>
      <c r="EP84" s="5" t="n"/>
      <c r="EQ84" s="5" t="n"/>
      <c r="ER84" s="5" t="n"/>
      <c r="ES84" s="5" t="n"/>
      <c r="ET84" s="5" t="n"/>
      <c r="EU84" s="5" t="n"/>
      <c r="EV84" s="5" t="n"/>
      <c r="EW84" s="5" t="n"/>
      <c r="EX84" s="5" t="n"/>
      <c r="EY84" s="5" t="n"/>
      <c r="EZ84" s="5" t="n"/>
      <c r="FA84" s="5" t="n"/>
      <c r="FB84" s="5" t="n"/>
      <c r="FC84" s="5" t="n"/>
      <c r="FD84" s="5" t="n"/>
      <c r="FE84" s="5" t="n"/>
      <c r="FF84" s="5" t="n"/>
      <c r="FG84" s="5" t="n"/>
      <c r="FH84" s="5" t="n"/>
      <c r="FI84" s="5" t="n"/>
      <c r="FJ84" s="5" t="n"/>
      <c r="FK84" s="5" t="n"/>
      <c r="FL84" s="5" t="n"/>
      <c r="FM84" s="5" t="n"/>
      <c r="FN84" s="5" t="n"/>
      <c r="FO84" s="5" t="n"/>
      <c r="FP84" s="5" t="n"/>
      <c r="FQ84" s="5" t="n"/>
      <c r="FR84" s="5" t="n"/>
      <c r="FS84" s="5" t="n"/>
      <c r="FT84" s="5" t="n"/>
      <c r="FU84" s="5" t="n"/>
      <c r="FV84" s="5" t="n"/>
      <c r="FW84" s="5" t="n"/>
      <c r="FX84" s="5" t="n"/>
      <c r="FY84" s="5" t="n"/>
      <c r="FZ84" s="5" t="n"/>
      <c r="GA84" s="5" t="n"/>
      <c r="GB84" s="5" t="n"/>
      <c r="GC84" s="5" t="n"/>
      <c r="GD84" s="5" t="n"/>
      <c r="GE84" s="5" t="n"/>
      <c r="GF84" s="5" t="n"/>
      <c r="GG84" s="5" t="n"/>
      <c r="GH84" s="5" t="n"/>
      <c r="GI84" s="5" t="n"/>
      <c r="GJ84" s="5" t="n"/>
      <c r="GK84" s="5" t="n"/>
      <c r="GL84" s="5" t="n"/>
      <c r="GM84" s="5" t="n"/>
      <c r="GN84" s="5" t="n"/>
      <c r="GO84" s="5" t="n"/>
      <c r="GP84" s="5" t="n"/>
      <c r="GQ84" s="5" t="n"/>
      <c r="GR84" s="5" t="n"/>
      <c r="GS84" s="5" t="n"/>
      <c r="GT84" s="5" t="n"/>
      <c r="GU84" s="5" t="n"/>
      <c r="GV84" s="5" t="n"/>
      <c r="GW84" s="5" t="n"/>
      <c r="GX84" s="5" t="n"/>
      <c r="GY84" s="5" t="n"/>
      <c r="GZ84" s="5" t="n"/>
      <c r="HA84" s="5" t="n"/>
      <c r="HB84" s="5" t="n"/>
      <c r="HC84" s="5" t="n"/>
      <c r="HD84" s="5" t="n"/>
      <c r="HE84" s="5" t="n"/>
      <c r="HF84" s="5" t="n"/>
      <c r="HG84" s="5" t="n"/>
      <c r="HH84" s="5" t="n"/>
      <c r="HI84" s="5" t="n"/>
      <c r="HJ84" s="5" t="n"/>
      <c r="HK84" s="5" t="n"/>
      <c r="HL84" s="5" t="n"/>
      <c r="HM84" s="5" t="n"/>
      <c r="HN84" s="5" t="n"/>
      <c r="HO84" s="5" t="n"/>
      <c r="HP84" s="5" t="n"/>
      <c r="HQ84" s="5" t="n"/>
      <c r="HR84" s="5" t="n"/>
      <c r="HS84" s="5" t="n"/>
      <c r="HT84" s="5" t="n"/>
      <c r="HU84" s="5" t="n"/>
      <c r="HV84" s="5" t="n"/>
    </row>
    <row r="85">
      <c r="A85" s="14" t="n"/>
      <c r="B85" s="3" t="inlineStr">
        <is>
          <t>mit</t>
        </is>
      </c>
      <c r="C85" s="19" t="inlineStr">
        <is>
          <t>mit.emin.cem</t>
        </is>
      </c>
      <c r="H85" s="14" t="inlineStr">
        <is>
          <t>CO2 emissions intensity of output,cement (tCO2 per $m GVA)</t>
        </is>
      </c>
      <c r="I85" s="14" t="inlineStr"/>
    </row>
    <row r="86">
      <c r="A86" s="14" t="n"/>
      <c r="B86" s="3" t="inlineStr">
        <is>
          <t>mit</t>
        </is>
      </c>
      <c r="C86" s="19" t="inlineStr">
        <is>
          <t>mit.emin.irn</t>
        </is>
      </c>
      <c r="H86" s="14" t="inlineStr">
        <is>
          <t>CO2 emissions intensity of output, iron/steel (tCO2 per $m GVA)</t>
        </is>
      </c>
      <c r="I86" s="14" t="inlineStr"/>
    </row>
    <row r="87">
      <c r="A87" s="14" t="n"/>
      <c r="B87" s="3" t="inlineStr">
        <is>
          <t>mit</t>
        </is>
      </c>
      <c r="C87" s="19" t="inlineStr">
        <is>
          <t>mit.emin.mch</t>
        </is>
      </c>
      <c r="H87" s="14" t="inlineStr">
        <is>
          <t>CO2 emissions intensity of output, mining (tCO2 per $m GVA)</t>
        </is>
      </c>
      <c r="I87" s="14" t="inlineStr"/>
    </row>
    <row r="88">
      <c r="A88" s="14" t="n"/>
      <c r="B88" s="3" t="inlineStr">
        <is>
          <t>mit</t>
        </is>
      </c>
      <c r="C88" s="19" t="inlineStr">
        <is>
          <t>mit.emin.man</t>
        </is>
      </c>
      <c r="H88" s="14" t="inlineStr">
        <is>
          <t>CO2 emissions intensity of output, manufactures (tCO2 per $m GVA)</t>
        </is>
      </c>
      <c r="I88" s="14" t="inlineStr"/>
    </row>
    <row r="89">
      <c r="A89" s="14" t="n"/>
      <c r="B89" s="3" t="inlineStr">
        <is>
          <t>mit</t>
        </is>
      </c>
      <c r="C89" s="19" t="inlineStr">
        <is>
          <t>mit.emin.oth</t>
        </is>
      </c>
      <c r="H89" s="14" t="inlineStr">
        <is>
          <t>CO2 emissions intensity of output, other metals (tCO2 per $m GVA)</t>
        </is>
      </c>
      <c r="I89" s="14" t="inlineStr"/>
    </row>
    <row r="90">
      <c r="A90" s="14" t="n"/>
      <c r="B90" s="3" t="inlineStr">
        <is>
          <t>mit</t>
        </is>
      </c>
      <c r="C90" s="19" t="inlineStr">
        <is>
          <t>mit.emin.foo</t>
        </is>
      </c>
      <c r="H90" s="14" t="inlineStr">
        <is>
          <t>CO2 emissions intensity of output, food (tCO2 per $m GVA)</t>
        </is>
      </c>
      <c r="I90" s="14" t="inlineStr"/>
    </row>
    <row r="91">
      <c r="A91" s="14" t="n"/>
      <c r="B91" s="3" t="inlineStr">
        <is>
          <t>mit</t>
        </is>
      </c>
      <c r="C91" s="19" t="inlineStr">
        <is>
          <t>mit.emin.srv</t>
        </is>
      </c>
      <c r="H91" s="14" t="inlineStr">
        <is>
          <t>CO2 emissions intensity of output, services (tCO2 per $m GVA)</t>
        </is>
      </c>
      <c r="I91" s="14" t="inlineStr"/>
    </row>
    <row r="92">
      <c r="A92" s="14" t="n"/>
      <c r="B92" s="3" t="inlineStr">
        <is>
          <t>mit</t>
        </is>
      </c>
      <c r="C92" s="19" t="inlineStr">
        <is>
          <t>mit.emin.mac</t>
        </is>
      </c>
      <c r="H92" s="14" t="inlineStr">
        <is>
          <t>CO2 emissions intensity of output, machinery (tCO2 per $m GVA)</t>
        </is>
      </c>
      <c r="I92" s="14" t="inlineStr"/>
    </row>
    <row r="93">
      <c r="A93" s="14" t="n"/>
      <c r="B93" s="3" t="inlineStr">
        <is>
          <t>mit</t>
        </is>
      </c>
      <c r="C93" s="19" t="inlineStr">
        <is>
          <t>mit.emin.cst</t>
        </is>
      </c>
      <c r="H93" s="14" t="inlineStr">
        <is>
          <t>CO2 emissions intensity of output, construction (tCO2 per $m GVA)</t>
        </is>
      </c>
      <c r="I93" s="14" t="inlineStr"/>
    </row>
    <row r="94">
      <c r="A94" s="5" t="n"/>
      <c r="B94" s="18" t="inlineStr">
        <is>
          <t>Cumulative industrial sector CO2 emissions and gross value added (GVA) by sector</t>
        </is>
      </c>
      <c r="C94" s="5" t="n"/>
      <c r="D94" s="5" t="n"/>
      <c r="E94" s="5" t="n"/>
      <c r="F94" s="5" t="n"/>
      <c r="G94" s="5" t="n"/>
      <c r="H94" s="5" t="n"/>
      <c r="I94" s="5" t="n"/>
      <c r="J94" s="5" t="n"/>
      <c r="K94" s="5" t="n"/>
      <c r="L94" s="5" t="n"/>
      <c r="M94" s="5" t="n"/>
      <c r="N94" s="5" t="n"/>
      <c r="O94" s="5" t="n"/>
      <c r="P94" s="5" t="n"/>
      <c r="Q94" s="5" t="n"/>
      <c r="R94" s="5" t="n"/>
      <c r="S94" s="5" t="n"/>
      <c r="T94" s="5" t="n"/>
      <c r="U94" s="5" t="n"/>
      <c r="V94" s="5" t="n"/>
      <c r="W94" s="5" t="n"/>
      <c r="X94" s="5" t="n"/>
      <c r="Y94" s="5" t="n"/>
      <c r="Z94" s="5" t="n"/>
      <c r="AA94" s="5" t="n"/>
      <c r="AB94" s="5" t="n"/>
      <c r="AC94" s="5" t="n"/>
      <c r="AD94" s="5" t="n"/>
      <c r="AE94" s="5" t="n"/>
      <c r="AF94" s="5" t="n"/>
      <c r="AG94" s="5" t="n"/>
      <c r="AH94" s="5" t="n"/>
      <c r="AI94" s="5" t="n"/>
      <c r="AJ94" s="5" t="n"/>
      <c r="AK94" s="5" t="n"/>
      <c r="AL94" s="5" t="n"/>
      <c r="AM94" s="5" t="n"/>
      <c r="AN94" s="5" t="n"/>
      <c r="AO94" s="5" t="n"/>
      <c r="AP94" s="5" t="n"/>
      <c r="AQ94" s="5" t="n"/>
      <c r="AR94" s="5" t="n"/>
      <c r="AS94" s="5" t="n"/>
      <c r="AT94" s="5" t="n"/>
      <c r="AU94" s="5" t="n"/>
      <c r="AV94" s="5" t="n"/>
      <c r="AW94" s="5" t="n"/>
      <c r="AX94" s="5" t="n"/>
      <c r="AY94" s="5" t="n"/>
      <c r="AZ94" s="5" t="n"/>
      <c r="BA94" s="5" t="n"/>
      <c r="BB94" s="5" t="n"/>
      <c r="BC94" s="5" t="n"/>
      <c r="BD94" s="5" t="n"/>
      <c r="BE94" s="5" t="n"/>
      <c r="BF94" s="5" t="n"/>
      <c r="BG94" s="5" t="n"/>
      <c r="BH94" s="5" t="n"/>
      <c r="BI94" s="5" t="n"/>
      <c r="BJ94" s="5" t="n"/>
      <c r="BK94" s="5" t="n"/>
      <c r="BL94" s="5" t="n"/>
      <c r="BM94" s="5" t="n"/>
      <c r="BN94" s="5" t="n"/>
      <c r="BO94" s="5" t="n"/>
      <c r="BP94" s="5" t="n"/>
      <c r="BQ94" s="5" t="n"/>
      <c r="BR94" s="5" t="n"/>
      <c r="BS94" s="5" t="n"/>
      <c r="BT94" s="5" t="n"/>
      <c r="BU94" s="5" t="n"/>
      <c r="BV94" s="5" t="n"/>
      <c r="BW94" s="5" t="n"/>
      <c r="BX94" s="5" t="n"/>
      <c r="BY94" s="5" t="n"/>
      <c r="BZ94" s="5" t="n"/>
      <c r="CA94" s="5" t="n"/>
      <c r="CB94" s="5" t="n"/>
      <c r="CC94" s="5" t="n"/>
      <c r="CD94" s="5" t="n"/>
      <c r="CE94" s="5" t="n"/>
      <c r="CF94" s="5" t="n"/>
      <c r="CG94" s="5" t="n"/>
      <c r="CH94" s="5" t="n"/>
      <c r="CI94" s="5" t="n"/>
      <c r="CJ94" s="5" t="n"/>
      <c r="CK94" s="5" t="n"/>
      <c r="CL94" s="5" t="n"/>
      <c r="CM94" s="5" t="n"/>
      <c r="CN94" s="5" t="n"/>
      <c r="CO94" s="5" t="n"/>
      <c r="CP94" s="5" t="n"/>
      <c r="CQ94" s="5" t="n"/>
      <c r="CR94" s="5" t="n"/>
      <c r="CS94" s="5" t="n"/>
      <c r="CT94" s="5" t="n"/>
      <c r="CU94" s="5" t="n"/>
      <c r="CV94" s="5" t="n"/>
      <c r="CW94" s="5" t="n"/>
      <c r="CX94" s="5" t="n"/>
      <c r="CY94" s="5" t="n"/>
      <c r="CZ94" s="5" t="n"/>
      <c r="DA94" s="5" t="n"/>
      <c r="DB94" s="5" t="n"/>
      <c r="DC94" s="5" t="n"/>
      <c r="DD94" s="5" t="n"/>
      <c r="DE94" s="5" t="n"/>
      <c r="DF94" s="5" t="n"/>
      <c r="DG94" s="5" t="n"/>
      <c r="DH94" s="5" t="n"/>
      <c r="DI94" s="5" t="n"/>
      <c r="DJ94" s="5" t="n"/>
      <c r="DK94" s="5" t="n"/>
      <c r="DL94" s="5" t="n"/>
      <c r="DM94" s="5" t="n"/>
      <c r="DN94" s="5" t="n"/>
      <c r="DO94" s="5" t="n"/>
      <c r="DP94" s="5" t="n"/>
      <c r="DQ94" s="5" t="n"/>
      <c r="DR94" s="5" t="n"/>
      <c r="DS94" s="5" t="n"/>
      <c r="DT94" s="5" t="n"/>
      <c r="DU94" s="5" t="n"/>
      <c r="DV94" s="5" t="n"/>
      <c r="DW94" s="5" t="n"/>
      <c r="DX94" s="5" t="n"/>
      <c r="DY94" s="5" t="n"/>
      <c r="DZ94" s="5" t="n"/>
      <c r="EA94" s="5" t="n"/>
      <c r="EB94" s="5" t="n"/>
      <c r="EC94" s="5" t="n"/>
      <c r="ED94" s="5" t="n"/>
      <c r="EE94" s="5" t="n"/>
      <c r="EF94" s="5" t="n"/>
      <c r="EG94" s="5" t="n"/>
      <c r="EH94" s="5" t="n"/>
      <c r="EI94" s="5" t="n"/>
      <c r="EJ94" s="5" t="n"/>
      <c r="EK94" s="5" t="n"/>
      <c r="EL94" s="5" t="n"/>
      <c r="EM94" s="5" t="n"/>
      <c r="EN94" s="5" t="n"/>
      <c r="EO94" s="5" t="n"/>
      <c r="EP94" s="5" t="n"/>
      <c r="EQ94" s="5" t="n"/>
      <c r="ER94" s="5" t="n"/>
      <c r="ES94" s="5" t="n"/>
      <c r="ET94" s="5" t="n"/>
      <c r="EU94" s="5" t="n"/>
      <c r="EV94" s="5" t="n"/>
      <c r="EW94" s="5" t="n"/>
      <c r="EX94" s="5" t="n"/>
      <c r="EY94" s="5" t="n"/>
      <c r="EZ94" s="5" t="n"/>
      <c r="FA94" s="5" t="n"/>
      <c r="FB94" s="5" t="n"/>
      <c r="FC94" s="5" t="n"/>
      <c r="FD94" s="5" t="n"/>
      <c r="FE94" s="5" t="n"/>
      <c r="FF94" s="5" t="n"/>
      <c r="FG94" s="5" t="n"/>
      <c r="FH94" s="5" t="n"/>
      <c r="FI94" s="5" t="n"/>
      <c r="FJ94" s="5" t="n"/>
      <c r="FK94" s="5" t="n"/>
      <c r="FL94" s="5" t="n"/>
      <c r="FM94" s="5" t="n"/>
      <c r="FN94" s="5" t="n"/>
      <c r="FO94" s="5" t="n"/>
      <c r="FP94" s="5" t="n"/>
      <c r="FQ94" s="5" t="n"/>
      <c r="FR94" s="5" t="n"/>
      <c r="FS94" s="5" t="n"/>
      <c r="FT94" s="5" t="n"/>
      <c r="FU94" s="5" t="n"/>
      <c r="FV94" s="5" t="n"/>
      <c r="FW94" s="5" t="n"/>
      <c r="FX94" s="5" t="n"/>
      <c r="FY94" s="5" t="n"/>
      <c r="FZ94" s="5" t="n"/>
      <c r="GA94" s="5" t="n"/>
      <c r="GB94" s="5" t="n"/>
      <c r="GC94" s="5" t="n"/>
      <c r="GD94" s="5" t="n"/>
      <c r="GE94" s="5" t="n"/>
      <c r="GF94" s="5" t="n"/>
      <c r="GG94" s="5" t="n"/>
      <c r="GH94" s="5" t="n"/>
      <c r="GI94" s="5" t="n"/>
      <c r="GJ94" s="5" t="n"/>
      <c r="GK94" s="5" t="n"/>
      <c r="GL94" s="5" t="n"/>
      <c r="GM94" s="5" t="n"/>
      <c r="GN94" s="5" t="n"/>
      <c r="GO94" s="5" t="n"/>
      <c r="GP94" s="5" t="n"/>
      <c r="GQ94" s="5" t="n"/>
      <c r="GR94" s="5" t="n"/>
      <c r="GS94" s="5" t="n"/>
      <c r="GT94" s="5" t="n"/>
      <c r="GU94" s="5" t="n"/>
      <c r="GV94" s="5" t="n"/>
      <c r="GW94" s="5" t="n"/>
      <c r="GX94" s="5" t="n"/>
      <c r="GY94" s="5" t="n"/>
      <c r="GZ94" s="5" t="n"/>
      <c r="HA94" s="5" t="n"/>
      <c r="HB94" s="5" t="n"/>
      <c r="HC94" s="5" t="n"/>
      <c r="HD94" s="5" t="n"/>
      <c r="HE94" s="5" t="n"/>
      <c r="HF94" s="5" t="n"/>
      <c r="HG94" s="5" t="n"/>
      <c r="HH94" s="5" t="n"/>
      <c r="HI94" s="5" t="n"/>
      <c r="HJ94" s="5" t="n"/>
      <c r="HK94" s="5" t="n"/>
      <c r="HL94" s="5" t="n"/>
      <c r="HM94" s="5" t="n"/>
      <c r="HN94" s="5" t="n"/>
      <c r="HO94" s="5" t="n"/>
      <c r="HP94" s="5" t="n"/>
      <c r="HQ94" s="5" t="n"/>
      <c r="HR94" s="5" t="n"/>
      <c r="HS94" s="5" t="n"/>
      <c r="HT94" s="5" t="n"/>
      <c r="HU94" s="5" t="n"/>
      <c r="HV94" s="5" t="n"/>
    </row>
    <row r="95">
      <c r="A95" s="14" t="n"/>
      <c r="B95" s="3" t="inlineStr">
        <is>
          <t>mit</t>
        </is>
      </c>
      <c r="C95" s="19" t="inlineStr">
        <is>
          <t>mit.emin.ftr</t>
        </is>
      </c>
      <c r="H95" s="14" t="inlineStr">
        <is>
          <t>CO2 emissions and GVA, fuel refining</t>
        </is>
      </c>
      <c r="I95" s="14" t="inlineStr"/>
    </row>
    <row r="96">
      <c r="A96" s="14" t="n"/>
      <c r="B96" s="3" t="inlineStr">
        <is>
          <t>mit</t>
        </is>
      </c>
      <c r="C96" s="19" t="inlineStr">
        <is>
          <t>mit.emin.foo</t>
        </is>
      </c>
      <c r="H96" s="14" t="inlineStr">
        <is>
          <t>CO2 emissions and GVA, food</t>
        </is>
      </c>
      <c r="I96" s="14" t="inlineStr"/>
    </row>
    <row r="97">
      <c r="A97" s="14" t="n"/>
      <c r="B97" s="3" t="inlineStr">
        <is>
          <t>mit</t>
        </is>
      </c>
      <c r="C97" s="19" t="inlineStr">
        <is>
          <t>mit.emin.mch</t>
        </is>
      </c>
      <c r="H97" s="14" t="inlineStr">
        <is>
          <t>CO2 emissions and GVA, mining</t>
        </is>
      </c>
      <c r="I97" s="14" t="inlineStr"/>
    </row>
    <row r="98">
      <c r="A98" s="14" t="n"/>
      <c r="B98" s="3" t="inlineStr">
        <is>
          <t>mit</t>
        </is>
      </c>
      <c r="C98" s="19" t="inlineStr">
        <is>
          <t>mit.emin.man</t>
        </is>
      </c>
      <c r="H98" s="14" t="inlineStr">
        <is>
          <t>CO2 emissions and GVA, manufactures</t>
        </is>
      </c>
      <c r="I98" s="14" t="inlineStr"/>
    </row>
    <row r="99">
      <c r="A99" s="14" t="n"/>
      <c r="B99" s="3" t="inlineStr">
        <is>
          <t>mit</t>
        </is>
      </c>
      <c r="C99" s="19" t="inlineStr">
        <is>
          <t>mit.emin.cem</t>
        </is>
      </c>
      <c r="H99" s="14" t="inlineStr">
        <is>
          <t>CO2 emissions and GVA, cement</t>
        </is>
      </c>
      <c r="I99" s="14" t="inlineStr"/>
    </row>
    <row r="100">
      <c r="A100" s="14" t="n"/>
      <c r="B100" s="3" t="inlineStr">
        <is>
          <t>mit</t>
        </is>
      </c>
      <c r="C100" s="19" t="inlineStr">
        <is>
          <t>mit.emin.irn</t>
        </is>
      </c>
      <c r="H100" s="14" t="inlineStr">
        <is>
          <t>CO2 emissions and GVA, iron/steel</t>
        </is>
      </c>
      <c r="I100" s="14" t="inlineStr"/>
    </row>
    <row r="101">
      <c r="A101" s="14" t="n"/>
      <c r="B101" s="3" t="inlineStr">
        <is>
          <t>mit</t>
        </is>
      </c>
      <c r="C101" s="19" t="inlineStr">
        <is>
          <t>mit.emin.con</t>
        </is>
      </c>
      <c r="H101" s="14" t="inlineStr">
        <is>
          <t>CO2 emissions and GVA, construction</t>
        </is>
      </c>
      <c r="I101" s="14" t="inlineStr"/>
    </row>
    <row r="102">
      <c r="A102" s="14" t="n"/>
      <c r="B102" s="3" t="inlineStr">
        <is>
          <t>mit</t>
        </is>
      </c>
      <c r="C102" s="19" t="inlineStr">
        <is>
          <t>mit.emin.mac</t>
        </is>
      </c>
      <c r="H102" s="14" t="inlineStr">
        <is>
          <t>CO2 emissions and GVA, machinery</t>
        </is>
      </c>
      <c r="I102" s="14" t="inlineStr"/>
    </row>
    <row r="103">
      <c r="A103" s="14" t="n"/>
      <c r="B103" s="3" t="inlineStr">
        <is>
          <t>mit</t>
        </is>
      </c>
      <c r="C103" s="19" t="inlineStr">
        <is>
          <t>mit.emin.oth</t>
        </is>
      </c>
      <c r="H103" s="14" t="inlineStr">
        <is>
          <t>CO2 emissions and GVA, other metals</t>
        </is>
      </c>
      <c r="I103" s="14" t="inlineStr"/>
    </row>
    <row r="104">
      <c r="A104" s="14" t="n"/>
      <c r="B104" s="3" t="inlineStr">
        <is>
          <t>mit</t>
        </is>
      </c>
      <c r="C104" s="19" t="inlineStr">
        <is>
          <t>mit.emin.srv</t>
        </is>
      </c>
      <c r="H104" s="14" t="inlineStr">
        <is>
          <t>CO2 emissions and GVA, services</t>
        </is>
      </c>
      <c r="I104" s="14" t="inlineStr"/>
    </row>
    <row r="105">
      <c r="A105" s="5" t="n"/>
      <c r="B105" s="18" t="inlineStr">
        <is>
          <t>Energy prices</t>
        </is>
      </c>
      <c r="C105" s="5" t="n"/>
      <c r="D105" s="5" t="n"/>
      <c r="E105" s="5" t="n"/>
      <c r="F105" s="5" t="n"/>
      <c r="G105" s="5" t="n"/>
      <c r="H105" s="5" t="n"/>
      <c r="I105" s="5" t="n"/>
      <c r="J105" s="5" t="n"/>
      <c r="K105" s="5" t="n"/>
      <c r="L105" s="5" t="n"/>
      <c r="M105" s="5" t="n"/>
      <c r="N105" s="5" t="n"/>
      <c r="O105" s="5" t="n"/>
      <c r="P105" s="5" t="n"/>
      <c r="Q105" s="5" t="n"/>
      <c r="R105" s="5" t="n"/>
      <c r="S105" s="5" t="n"/>
      <c r="T105" s="5" t="n"/>
      <c r="U105" s="5" t="n"/>
      <c r="V105" s="5" t="n"/>
      <c r="W105" s="5" t="n"/>
      <c r="X105" s="5" t="n"/>
      <c r="Y105" s="5" t="n"/>
      <c r="Z105" s="5" t="n"/>
      <c r="AA105" s="5" t="n"/>
      <c r="AB105" s="5" t="n"/>
      <c r="AC105" s="5" t="n"/>
      <c r="AD105" s="5" t="n"/>
      <c r="AE105" s="5" t="n"/>
      <c r="AF105" s="5" t="n"/>
      <c r="AG105" s="5" t="n"/>
      <c r="AH105" s="5" t="n"/>
      <c r="AI105" s="5" t="n"/>
      <c r="AJ105" s="5" t="n"/>
      <c r="AK105" s="5" t="n"/>
      <c r="AL105" s="5" t="n"/>
      <c r="AM105" s="5" t="n"/>
      <c r="AN105" s="5" t="n"/>
      <c r="AO105" s="5" t="n"/>
      <c r="AP105" s="5" t="n"/>
      <c r="AQ105" s="5" t="n"/>
      <c r="AR105" s="5" t="n"/>
      <c r="AS105" s="5" t="n"/>
      <c r="AT105" s="5" t="n"/>
      <c r="AU105" s="5" t="n"/>
      <c r="AV105" s="5" t="n"/>
      <c r="AW105" s="5" t="n"/>
      <c r="AX105" s="5" t="n"/>
      <c r="AY105" s="5" t="n"/>
      <c r="AZ105" s="5" t="n"/>
      <c r="BA105" s="5" t="n"/>
      <c r="BB105" s="5" t="n"/>
      <c r="BC105" s="5" t="n"/>
      <c r="BD105" s="5" t="n"/>
      <c r="BE105" s="5" t="n"/>
      <c r="BF105" s="5" t="n"/>
      <c r="BG105" s="5" t="n"/>
      <c r="BH105" s="5" t="n"/>
      <c r="BI105" s="5" t="n"/>
      <c r="BJ105" s="5" t="n"/>
      <c r="BK105" s="5" t="n"/>
      <c r="BL105" s="5" t="n"/>
      <c r="BM105" s="5" t="n"/>
      <c r="BN105" s="5" t="n"/>
      <c r="BO105" s="5" t="n"/>
      <c r="BP105" s="5" t="n"/>
      <c r="BQ105" s="5" t="n"/>
      <c r="BR105" s="5" t="n"/>
      <c r="BS105" s="5" t="n"/>
      <c r="BT105" s="5" t="n"/>
      <c r="BU105" s="5" t="n"/>
      <c r="BV105" s="5" t="n"/>
      <c r="BW105" s="5" t="n"/>
      <c r="BX105" s="5" t="n"/>
      <c r="BY105" s="5" t="n"/>
      <c r="BZ105" s="5" t="n"/>
      <c r="CA105" s="5" t="n"/>
      <c r="CB105" s="5" t="n"/>
      <c r="CC105" s="5" t="n"/>
      <c r="CD105" s="5" t="n"/>
      <c r="CE105" s="5" t="n"/>
      <c r="CF105" s="5" t="n"/>
      <c r="CG105" s="5" t="n"/>
      <c r="CH105" s="5" t="n"/>
      <c r="CI105" s="5" t="n"/>
      <c r="CJ105" s="5" t="n"/>
      <c r="CK105" s="5" t="n"/>
      <c r="CL105" s="5" t="n"/>
      <c r="CM105" s="5" t="n"/>
      <c r="CN105" s="5" t="n"/>
      <c r="CO105" s="5" t="n"/>
      <c r="CP105" s="5" t="n"/>
      <c r="CQ105" s="5" t="n"/>
      <c r="CR105" s="5" t="n"/>
      <c r="CS105" s="5" t="n"/>
      <c r="CT105" s="5" t="n"/>
      <c r="CU105" s="5" t="n"/>
      <c r="CV105" s="5" t="n"/>
      <c r="CW105" s="5" t="n"/>
      <c r="CX105" s="5" t="n"/>
      <c r="CY105" s="5" t="n"/>
      <c r="CZ105" s="5" t="n"/>
      <c r="DA105" s="5" t="n"/>
      <c r="DB105" s="5" t="n"/>
      <c r="DC105" s="5" t="n"/>
      <c r="DD105" s="5" t="n"/>
      <c r="DE105" s="5" t="n"/>
      <c r="DF105" s="5" t="n"/>
      <c r="DG105" s="5" t="n"/>
      <c r="DH105" s="5" t="n"/>
      <c r="DI105" s="5" t="n"/>
      <c r="DJ105" s="5" t="n"/>
      <c r="DK105" s="5" t="n"/>
      <c r="DL105" s="5" t="n"/>
      <c r="DM105" s="5" t="n"/>
      <c r="DN105" s="5" t="n"/>
      <c r="DO105" s="5" t="n"/>
      <c r="DP105" s="5" t="n"/>
      <c r="DQ105" s="5" t="n"/>
      <c r="DR105" s="5" t="n"/>
      <c r="DS105" s="5" t="n"/>
      <c r="DT105" s="5" t="n"/>
      <c r="DU105" s="5" t="n"/>
      <c r="DV105" s="5" t="n"/>
      <c r="DW105" s="5" t="n"/>
      <c r="DX105" s="5" t="n"/>
      <c r="DY105" s="5" t="n"/>
      <c r="DZ105" s="5" t="n"/>
      <c r="EA105" s="5" t="n"/>
      <c r="EB105" s="5" t="n"/>
      <c r="EC105" s="5" t="n"/>
      <c r="ED105" s="5" t="n"/>
      <c r="EE105" s="5" t="n"/>
      <c r="EF105" s="5" t="n"/>
      <c r="EG105" s="5" t="n"/>
      <c r="EH105" s="5" t="n"/>
      <c r="EI105" s="5" t="n"/>
      <c r="EJ105" s="5" t="n"/>
      <c r="EK105" s="5" t="n"/>
      <c r="EL105" s="5" t="n"/>
      <c r="EM105" s="5" t="n"/>
      <c r="EN105" s="5" t="n"/>
      <c r="EO105" s="5" t="n"/>
      <c r="EP105" s="5" t="n"/>
      <c r="EQ105" s="5" t="n"/>
      <c r="ER105" s="5" t="n"/>
      <c r="ES105" s="5" t="n"/>
      <c r="ET105" s="5" t="n"/>
      <c r="EU105" s="5" t="n"/>
      <c r="EV105" s="5" t="n"/>
      <c r="EW105" s="5" t="n"/>
      <c r="EX105" s="5" t="n"/>
      <c r="EY105" s="5" t="n"/>
      <c r="EZ105" s="5" t="n"/>
      <c r="FA105" s="5" t="n"/>
      <c r="FB105" s="5" t="n"/>
      <c r="FC105" s="5" t="n"/>
      <c r="FD105" s="5" t="n"/>
      <c r="FE105" s="5" t="n"/>
      <c r="FF105" s="5" t="n"/>
      <c r="FG105" s="5" t="n"/>
      <c r="FH105" s="5" t="n"/>
      <c r="FI105" s="5" t="n"/>
      <c r="FJ105" s="5" t="n"/>
      <c r="FK105" s="5" t="n"/>
      <c r="FL105" s="5" t="n"/>
      <c r="FM105" s="5" t="n"/>
      <c r="FN105" s="5" t="n"/>
      <c r="FO105" s="5" t="n"/>
      <c r="FP105" s="5" t="n"/>
      <c r="FQ105" s="5" t="n"/>
      <c r="FR105" s="5" t="n"/>
      <c r="FS105" s="5" t="n"/>
      <c r="FT105" s="5" t="n"/>
      <c r="FU105" s="5" t="n"/>
      <c r="FV105" s="5" t="n"/>
      <c r="FW105" s="5" t="n"/>
      <c r="FX105" s="5" t="n"/>
      <c r="FY105" s="5" t="n"/>
      <c r="FZ105" s="5" t="n"/>
      <c r="GA105" s="5" t="n"/>
      <c r="GB105" s="5" t="n"/>
      <c r="GC105" s="5" t="n"/>
      <c r="GD105" s="5" t="n"/>
      <c r="GE105" s="5" t="n"/>
      <c r="GF105" s="5" t="n"/>
      <c r="GG105" s="5" t="n"/>
      <c r="GH105" s="5" t="n"/>
      <c r="GI105" s="5" t="n"/>
      <c r="GJ105" s="5" t="n"/>
      <c r="GK105" s="5" t="n"/>
      <c r="GL105" s="5" t="n"/>
      <c r="GM105" s="5" t="n"/>
      <c r="GN105" s="5" t="n"/>
      <c r="GO105" s="5" t="n"/>
      <c r="GP105" s="5" t="n"/>
      <c r="GQ105" s="5" t="n"/>
      <c r="GR105" s="5" t="n"/>
      <c r="GS105" s="5" t="n"/>
      <c r="GT105" s="5" t="n"/>
      <c r="GU105" s="5" t="n"/>
      <c r="GV105" s="5" t="n"/>
      <c r="GW105" s="5" t="n"/>
      <c r="GX105" s="5" t="n"/>
      <c r="GY105" s="5" t="n"/>
      <c r="GZ105" s="5" t="n"/>
      <c r="HA105" s="5" t="n"/>
      <c r="HB105" s="5" t="n"/>
      <c r="HC105" s="5" t="n"/>
      <c r="HD105" s="5" t="n"/>
      <c r="HE105" s="5" t="n"/>
      <c r="HF105" s="5" t="n"/>
      <c r="HG105" s="5" t="n"/>
      <c r="HH105" s="5" t="n"/>
      <c r="HI105" s="5" t="n"/>
      <c r="HJ105" s="5" t="n"/>
      <c r="HK105" s="5" t="n"/>
      <c r="HL105" s="5" t="n"/>
      <c r="HM105" s="5" t="n"/>
      <c r="HN105" s="5" t="n"/>
      <c r="HO105" s="5" t="n"/>
      <c r="HP105" s="5" t="n"/>
      <c r="HQ105" s="5" t="n"/>
      <c r="HR105" s="5" t="n"/>
      <c r="HS105" s="5" t="n"/>
      <c r="HT105" s="5" t="n"/>
      <c r="HU105" s="5" t="n"/>
      <c r="HV105" s="5" t="n"/>
    </row>
    <row r="106">
      <c r="A106" s="19" t="inlineStr">
        <is>
          <t>mit.pav.leg.all.ecy</t>
        </is>
      </c>
      <c r="B106" s="3" t="inlineStr">
        <is>
          <t>mit</t>
        </is>
      </c>
      <c r="C106" s="19" t="inlineStr">
        <is>
          <t>mit.rp.all.ecy.wtd</t>
        </is>
      </c>
      <c r="H106" s="3" t="inlineStr">
        <is>
          <t>Average price as legacy F5b (coal, gas: power, residential, industry prices at scenario-1 quantities; electricity: own quantities; oil products: the price of the .all block; others: the unit value) | All sectors | Electricity</t>
        </is>
      </c>
      <c r="I106" s="3" t="inlineStr">
        <is>
          <t>USD/GJ real</t>
        </is>
      </c>
      <c r="K106" s="20" t="inlineStr">
        <is>
          <t>egy.mit.pav.leg.all.ecy.1</t>
        </is>
      </c>
      <c r="L106" s="3" t="n">
        <v>0.06184879482322543</v>
      </c>
      <c r="M106" s="3" t="n">
        <v>0.05939903653033365</v>
      </c>
      <c r="N106" s="3" t="n">
        <v>0.04981030776916059</v>
      </c>
      <c r="O106" s="3" t="n">
        <v>0.04858793310852665</v>
      </c>
      <c r="P106" s="3" t="n">
        <v>0.04861518278865282</v>
      </c>
      <c r="Q106" s="3" t="n">
        <v>0.04912557004998013</v>
      </c>
      <c r="R106" s="3" t="n">
        <v>0.04929764160476856</v>
      </c>
      <c r="S106" s="3" t="n">
        <v>0.05006419644458809</v>
      </c>
      <c r="T106" s="3" t="n">
        <v>0.05074694778884885</v>
      </c>
      <c r="U106" s="3" t="n">
        <v>0.05151501082602339</v>
      </c>
      <c r="V106" s="3" t="n">
        <v>0.0502852573022915</v>
      </c>
      <c r="W106" s="3" t="n">
        <v>0.04919370749593888</v>
      </c>
      <c r="X106" s="3" t="n">
        <v>0.04807548219407674</v>
      </c>
      <c r="Y106" s="3" t="n">
        <v>0.04703455420094965</v>
      </c>
      <c r="Z106" s="3" t="n">
        <v>0.04606117219156507</v>
      </c>
      <c r="AA106" s="3" t="n">
        <v>0.04515127920289109</v>
      </c>
      <c r="AB106" s="3" t="n">
        <v>0.04429817670086563</v>
      </c>
      <c r="AC106" s="3" t="n">
        <v>0.04349302857430557</v>
      </c>
      <c r="AD106" s="3" t="n">
        <v>0.04273031001759295</v>
      </c>
      <c r="AE106" s="3" t="n">
        <v>0.04200374991601381</v>
      </c>
      <c r="AG106" s="20" t="inlineStr">
        <is>
          <t>egy.mit.pav.leg.all.ecy.3</t>
        </is>
      </c>
      <c r="AH106" s="3" t="n">
        <v>0.06184879482322543</v>
      </c>
      <c r="AI106" s="3" t="n">
        <v>0.05939903653033365</v>
      </c>
      <c r="AJ106" s="3" t="n">
        <v>0.04981030776916059</v>
      </c>
      <c r="AK106" s="3" t="n">
        <v>0.04858949400424564</v>
      </c>
      <c r="AL106" s="3" t="n">
        <v>0.04861910493097828</v>
      </c>
      <c r="AM106" s="3" t="n">
        <v>0.0583346088573571</v>
      </c>
      <c r="AN106" s="3" t="n">
        <v>0.05829247178797268</v>
      </c>
      <c r="AO106" s="3" t="n">
        <v>0.05992715857864659</v>
      </c>
      <c r="AP106" s="3" t="n">
        <v>0.05919790727347773</v>
      </c>
      <c r="AQ106" s="3" t="n">
        <v>0.05961183128726738</v>
      </c>
      <c r="AR106" s="3" t="n">
        <v>0.05784235323871395</v>
      </c>
      <c r="AS106" s="3" t="n">
        <v>0.05643796501310613</v>
      </c>
      <c r="AT106" s="3" t="n">
        <v>0.05496495690679949</v>
      </c>
      <c r="AU106" s="3" t="n">
        <v>0.05360374336621917</v>
      </c>
      <c r="AV106" s="3" t="n">
        <v>0.05235470834220575</v>
      </c>
      <c r="AW106" s="3" t="n">
        <v>0.05119505341374975</v>
      </c>
      <c r="AX106" s="3" t="n">
        <v>0.05011177061207611</v>
      </c>
      <c r="AY106" s="3" t="n">
        <v>0.04909700725380658</v>
      </c>
      <c r="AZ106" s="3" t="n">
        <v>0.04814088852006564</v>
      </c>
      <c r="BA106" s="3" t="n">
        <v>0.04723730502729777</v>
      </c>
      <c r="BC106" s="20" t="inlineStr">
        <is>
          <t>egy.mit.pav.leg.all.ecy.4</t>
        </is>
      </c>
      <c r="BD106" s="3" t="n">
        <v>0.06184879482322543</v>
      </c>
      <c r="BE106" s="3" t="n">
        <v>0.05939903653033365</v>
      </c>
      <c r="BF106" s="3" t="n">
        <v>0.04981030776916059</v>
      </c>
      <c r="BG106" s="3" t="n">
        <v>0.04859313572879388</v>
      </c>
      <c r="BH106" s="3" t="n">
        <v>0.04862841293714602</v>
      </c>
      <c r="BI106" s="3" t="n">
        <v>0.05374098820715763</v>
      </c>
      <c r="BJ106" s="3" t="n">
        <v>0.05985639253513065</v>
      </c>
      <c r="BK106" s="3" t="n">
        <v>0.06634990124852788</v>
      </c>
      <c r="BL106" s="3" t="n">
        <v>0.07118501353758129</v>
      </c>
      <c r="BM106" s="3" t="n">
        <v>0.07636313029905109</v>
      </c>
      <c r="BN106" s="3" t="n">
        <v>0.0800652992204364</v>
      </c>
      <c r="BO106" s="3" t="n">
        <v>0.08365567597366369</v>
      </c>
      <c r="BP106" s="3" t="n">
        <v>0.08608469264992331</v>
      </c>
      <c r="BQ106" s="3" t="n">
        <v>0.08833009440097114</v>
      </c>
      <c r="BR106" s="3" t="n">
        <v>0.0895323860702404</v>
      </c>
      <c r="BS106" s="3" t="n">
        <v>0.09074461997078014</v>
      </c>
      <c r="BT106" s="3" t="n">
        <v>0.09087120916055012</v>
      </c>
      <c r="BU106" s="3" t="n">
        <v>0.0913239246149713</v>
      </c>
      <c r="BV106" s="3" t="n">
        <v>0.09046798805793997</v>
      </c>
      <c r="BW106" s="3" t="n">
        <v>0.09057684934479886</v>
      </c>
      <c r="BY106" s="20" t="inlineStr">
        <is>
          <t>egy.mit.pav.leg.all.ecy.5</t>
        </is>
      </c>
      <c r="BZ106" s="3" t="n">
        <v>0.06184879482322543</v>
      </c>
      <c r="CA106" s="3" t="n">
        <v>0.05939903653033365</v>
      </c>
      <c r="CB106" s="3" t="n">
        <v>0.04981030776916059</v>
      </c>
      <c r="CC106" s="3" t="n">
        <v>0.04859686829077833</v>
      </c>
      <c r="CD106" s="3" t="n">
        <v>0.04863783219389848</v>
      </c>
      <c r="CE106" s="3" t="n">
        <v>0.04915750102846261</v>
      </c>
      <c r="CF106" s="3" t="n">
        <v>0.04933893731652985</v>
      </c>
      <c r="CG106" s="3" t="n">
        <v>0.05011556912275455</v>
      </c>
      <c r="CH106" s="3" t="n">
        <v>0.05080060854201065</v>
      </c>
      <c r="CI106" s="3" t="n">
        <v>0.05158532082634325</v>
      </c>
      <c r="CJ106" s="3" t="n">
        <v>0.05026920250869434</v>
      </c>
      <c r="CK106" s="3" t="n">
        <v>0.04906145971033156</v>
      </c>
      <c r="CL106" s="3" t="n">
        <v>0.04786810042127609</v>
      </c>
      <c r="CM106" s="3" t="n">
        <v>0.04656082789576311</v>
      </c>
      <c r="CN106" s="3" t="n">
        <v>0.04539533257336928</v>
      </c>
      <c r="CO106" s="3" t="n">
        <v>0.04430106422348693</v>
      </c>
      <c r="CP106" s="3" t="n">
        <v>0.04325738691925891</v>
      </c>
      <c r="CQ106" s="3" t="n">
        <v>0.04230261862310343</v>
      </c>
      <c r="CR106" s="3" t="n">
        <v>0.04141130505036028</v>
      </c>
      <c r="CS106" s="3" t="n">
        <v>0.04056664842822943</v>
      </c>
      <c r="CU106" s="20" t="inlineStr">
        <is>
          <t>egy.mit.pav.leg.all.ecy.6</t>
        </is>
      </c>
      <c r="CV106" s="3" t="n">
        <v>0.06184879482322543</v>
      </c>
      <c r="CW106" s="3" t="n">
        <v>0.05939903653033365</v>
      </c>
      <c r="CX106" s="3" t="n">
        <v>0.04981030776916059</v>
      </c>
      <c r="CY106" s="3" t="n">
        <v>0.0485915774433059</v>
      </c>
      <c r="CZ106" s="3" t="n">
        <v>0.04862440203322339</v>
      </c>
      <c r="DA106" s="3" t="n">
        <v>0.07213325523853957</v>
      </c>
      <c r="DB106" s="3" t="n">
        <v>0.07147660620977077</v>
      </c>
      <c r="DC106" s="3" t="n">
        <v>0.07434383898334258</v>
      </c>
      <c r="DD106" s="3" t="n">
        <v>0.07295018216477954</v>
      </c>
      <c r="DE106" s="3" t="n">
        <v>0.07192269590332338</v>
      </c>
      <c r="DF106" s="3" t="n">
        <v>0.06926982064474509</v>
      </c>
      <c r="DG106" s="3" t="n">
        <v>0.06676621493310375</v>
      </c>
      <c r="DH106" s="3" t="n">
        <v>0.0638982652190743</v>
      </c>
      <c r="DI106" s="3" t="n">
        <v>0.06137001511836284</v>
      </c>
      <c r="DJ106" s="3" t="n">
        <v>0.05897478215894732</v>
      </c>
      <c r="DK106" s="3" t="n">
        <v>0.05687657323912873</v>
      </c>
      <c r="DL106" s="3" t="n">
        <v>0.05488575365996645</v>
      </c>
      <c r="DM106" s="3" t="n">
        <v>0.05315490429837105</v>
      </c>
      <c r="DN106" s="3" t="n">
        <v>0.05151800048878886</v>
      </c>
      <c r="DO106" s="3" t="n">
        <v>0.05008319103518871</v>
      </c>
    </row>
    <row r="107">
      <c r="A107" s="19" t="inlineStr">
        <is>
          <t>mit.pav.leg.all.coa</t>
        </is>
      </c>
      <c r="B107" s="3" t="inlineStr">
        <is>
          <t>mit</t>
        </is>
      </c>
      <c r="C107" s="19" t="inlineStr">
        <is>
          <t>mit.rp.all.coa.wtd</t>
        </is>
      </c>
      <c r="H107" s="3" t="inlineStr">
        <is>
          <t>Average price as legacy F5b (coal, gas: power, residential, industry prices at scenario-1 quantities; electricity: own quantities; oil products: the price of the .all block; others: the unit value) | All sectors | Coal</t>
        </is>
      </c>
      <c r="I107" s="3" t="inlineStr">
        <is>
          <t>USD/GJ real</t>
        </is>
      </c>
      <c r="K107" s="20" t="inlineStr">
        <is>
          <t>egy.mit.pav.leg.all.coa.1</t>
        </is>
      </c>
      <c r="L107" s="3" t="n">
        <v>11.2636325723207</v>
      </c>
      <c r="M107" s="3" t="n">
        <v>8.78466149534041</v>
      </c>
      <c r="N107" s="3" t="n">
        <v>7.578702256211484</v>
      </c>
      <c r="O107" s="3" t="n">
        <v>6.822791386152058</v>
      </c>
      <c r="P107" s="3" t="n">
        <v>7.239203197965162</v>
      </c>
      <c r="Q107" s="3" t="n">
        <v>7.333082797921782</v>
      </c>
      <c r="R107" s="3" t="n">
        <v>7.288466163623839</v>
      </c>
      <c r="S107" s="3" t="n">
        <v>7.240631417878284</v>
      </c>
      <c r="T107" s="3" t="n">
        <v>7.189447118613406</v>
      </c>
      <c r="U107" s="3" t="n">
        <v>7.140052207061589</v>
      </c>
      <c r="V107" s="3" t="n">
        <v>7.139995256845233</v>
      </c>
      <c r="W107" s="3" t="n">
        <v>7.139939566191852</v>
      </c>
      <c r="X107" s="3" t="n">
        <v>7.13988509863378</v>
      </c>
      <c r="Y107" s="3" t="n">
        <v>7.139831818989615</v>
      </c>
      <c r="Z107" s="3" t="n">
        <v>7.139779693329049</v>
      </c>
      <c r="AA107" s="3" t="n">
        <v>7.139728688938111</v>
      </c>
      <c r="AB107" s="3" t="n">
        <v>7.139678774284994</v>
      </c>
      <c r="AC107" s="3" t="n">
        <v>7.139629918986477</v>
      </c>
      <c r="AD107" s="3" t="n">
        <v>7.139582093775026</v>
      </c>
      <c r="AE107" s="3" t="n">
        <v>7.13953527046662</v>
      </c>
      <c r="AG107" s="20" t="inlineStr">
        <is>
          <t>egy.mit.pav.leg.all.coa.3</t>
        </is>
      </c>
      <c r="AH107" s="3" t="n">
        <v>11.2636325723207</v>
      </c>
      <c r="AI107" s="3" t="n">
        <v>8.78466149534041</v>
      </c>
      <c r="AJ107" s="3" t="n">
        <v>7.578702256211484</v>
      </c>
      <c r="AK107" s="3" t="n">
        <v>6.822791386152058</v>
      </c>
      <c r="AL107" s="3" t="n">
        <v>7.239203197965162</v>
      </c>
      <c r="AM107" s="3" t="n">
        <v>9.324314126917345</v>
      </c>
      <c r="AN107" s="3" t="n">
        <v>9.279695799206426</v>
      </c>
      <c r="AO107" s="3" t="n">
        <v>9.231859473330607</v>
      </c>
      <c r="AP107" s="3" t="n">
        <v>9.180673721156804</v>
      </c>
      <c r="AQ107" s="3" t="n">
        <v>9.131277395785869</v>
      </c>
      <c r="AR107" s="3" t="n">
        <v>9.131219168228588</v>
      </c>
      <c r="AS107" s="3" t="n">
        <v>9.131162228485126</v>
      </c>
      <c r="AT107" s="3" t="n">
        <v>9.131106539269869</v>
      </c>
      <c r="AU107" s="3" t="n">
        <v>9.131052064612337</v>
      </c>
      <c r="AV107" s="3" t="n">
        <v>9.130998769821188</v>
      </c>
      <c r="AW107" s="3" t="n">
        <v>9.130946621448714</v>
      </c>
      <c r="AX107" s="3" t="n">
        <v>9.130895587255884</v>
      </c>
      <c r="AY107" s="3" t="n">
        <v>9.130845636177996</v>
      </c>
      <c r="AZ107" s="3" t="n">
        <v>9.130796738291084</v>
      </c>
      <c r="BA107" s="3" t="n">
        <v>9.130748864778976</v>
      </c>
      <c r="BC107" s="20" t="inlineStr">
        <is>
          <t>egy.mit.pav.leg.all.coa.4</t>
        </is>
      </c>
      <c r="BD107" s="3" t="n">
        <v>11.2636325723207</v>
      </c>
      <c r="BE107" s="3" t="n">
        <v>8.78466149534041</v>
      </c>
      <c r="BF107" s="3" t="n">
        <v>7.578702256211484</v>
      </c>
      <c r="BG107" s="3" t="n">
        <v>6.822791386152058</v>
      </c>
      <c r="BH107" s="3" t="n">
        <v>7.239203197965162</v>
      </c>
      <c r="BI107" s="3" t="n">
        <v>8.328698462419563</v>
      </c>
      <c r="BJ107" s="3" t="n">
        <v>9.611567405136856</v>
      </c>
      <c r="BK107" s="3" t="n">
        <v>10.89121618620754</v>
      </c>
      <c r="BL107" s="3" t="n">
        <v>12.1675136249719</v>
      </c>
      <c r="BM107" s="3" t="n">
        <v>13.44559863802181</v>
      </c>
      <c r="BN107" s="3" t="n">
        <v>14.77302025048143</v>
      </c>
      <c r="BO107" s="3" t="n">
        <v>16.10044154651157</v>
      </c>
      <c r="BP107" s="3" t="n">
        <v>17.42786254192024</v>
      </c>
      <c r="BQ107" s="3" t="n">
        <v>18.75528325178882</v>
      </c>
      <c r="BR107" s="3" t="n">
        <v>20.08270369052796</v>
      </c>
      <c r="BS107" s="3" t="n">
        <v>21.4101238719308</v>
      </c>
      <c r="BT107" s="3" t="n">
        <v>22.73754380922364</v>
      </c>
      <c r="BU107" s="3" t="n">
        <v>24.06496351511441</v>
      </c>
      <c r="BV107" s="3" t="n">
        <v>25.39238300183888</v>
      </c>
      <c r="BW107" s="3" t="n">
        <v>26.7198022812048</v>
      </c>
      <c r="BY107" s="20" t="inlineStr">
        <is>
          <t>egy.mit.pav.leg.all.coa.5</t>
        </is>
      </c>
      <c r="BZ107" s="3" t="n">
        <v>11.2636325723207</v>
      </c>
      <c r="CA107" s="3" t="n">
        <v>8.78466149534041</v>
      </c>
      <c r="CB107" s="3" t="n">
        <v>7.578702256211484</v>
      </c>
      <c r="CC107" s="3" t="n">
        <v>6.822791386152058</v>
      </c>
      <c r="CD107" s="3" t="n">
        <v>7.239203197965162</v>
      </c>
      <c r="CE107" s="3" t="n">
        <v>7.335777925581322</v>
      </c>
      <c r="CF107" s="3" t="n">
        <v>7.291130958491801</v>
      </c>
      <c r="CG107" s="3" t="n">
        <v>7.24326790909995</v>
      </c>
      <c r="CH107" s="3" t="n">
        <v>7.192057585005831</v>
      </c>
      <c r="CI107" s="3" t="n">
        <v>7.142637348810143</v>
      </c>
      <c r="CJ107" s="3" t="n">
        <v>7.142557518577796</v>
      </c>
      <c r="CK107" s="3" t="n">
        <v>7.14247945394375</v>
      </c>
      <c r="CL107" s="3" t="n">
        <v>7.142403103789271</v>
      </c>
      <c r="CM107" s="3" t="n">
        <v>7.142328418798678</v>
      </c>
      <c r="CN107" s="3" t="n">
        <v>7.142255351409992</v>
      </c>
      <c r="CO107" s="3" t="n">
        <v>7.142183855766254</v>
      </c>
      <c r="CP107" s="3" t="n">
        <v>7.14211388766761</v>
      </c>
      <c r="CQ107" s="3" t="n">
        <v>7.142045404524236</v>
      </c>
      <c r="CR107" s="3" t="n">
        <v>7.141978365310226</v>
      </c>
      <c r="CS107" s="3" t="n">
        <v>7.1419127305185</v>
      </c>
      <c r="CU107" s="20" t="inlineStr">
        <is>
          <t>egy.mit.pav.leg.all.coa.6</t>
        </is>
      </c>
      <c r="CV107" s="3" t="n">
        <v>11.2636325723207</v>
      </c>
      <c r="CW107" s="3" t="n">
        <v>8.78466149534041</v>
      </c>
      <c r="CX107" s="3" t="n">
        <v>7.578702256211484</v>
      </c>
      <c r="CY107" s="3" t="n">
        <v>6.822791386152058</v>
      </c>
      <c r="CZ107" s="3" t="n">
        <v>7.239203197965162</v>
      </c>
      <c r="DA107" s="3" t="n">
        <v>12.31116112041069</v>
      </c>
      <c r="DB107" s="3" t="n">
        <v>12.2665402525803</v>
      </c>
      <c r="DC107" s="3" t="n">
        <v>12.21870155650909</v>
      </c>
      <c r="DD107" s="3" t="n">
        <v>12.1675136249719</v>
      </c>
      <c r="DE107" s="3" t="n">
        <v>12.11811517887229</v>
      </c>
      <c r="DF107" s="3" t="n">
        <v>12.11805503530363</v>
      </c>
      <c r="DG107" s="3" t="n">
        <v>12.11799622192503</v>
      </c>
      <c r="DH107" s="3" t="n">
        <v>12.117938700224</v>
      </c>
      <c r="DI107" s="3" t="n">
        <v>12.11788243304642</v>
      </c>
      <c r="DJ107" s="3" t="n">
        <v>12.1178273845594</v>
      </c>
      <c r="DK107" s="3" t="n">
        <v>12.11777352021463</v>
      </c>
      <c r="DL107" s="3" t="n">
        <v>12.11772080671222</v>
      </c>
      <c r="DM107" s="3" t="n">
        <v>12.11766921196528</v>
      </c>
      <c r="DN107" s="3" t="n">
        <v>12.11761870506517</v>
      </c>
      <c r="DO107" s="3" t="n">
        <v>12.11756925624751</v>
      </c>
    </row>
    <row r="108">
      <c r="A108" s="19" t="inlineStr">
        <is>
          <t>mit.pav.leg.all.nga</t>
        </is>
      </c>
      <c r="B108" s="3" t="inlineStr">
        <is>
          <t>mit</t>
        </is>
      </c>
      <c r="C108" s="19" t="inlineStr">
        <is>
          <t>mit.rp.all.nga.wtd</t>
        </is>
      </c>
      <c r="H108" s="3" t="inlineStr">
        <is>
          <t>Average price as legacy F5b (coal, gas: power, residential, industry prices at scenario-1 quantities; electricity: own quantities; oil products: the price of the .all block; others: the unit value) | All sectors | Natural gas</t>
        </is>
      </c>
      <c r="I108" s="3" t="inlineStr">
        <is>
          <t>USD/GJ real</t>
        </is>
      </c>
      <c r="K108" s="20" t="inlineStr">
        <is>
          <t>egy.mit.pav.leg.all.nga.1</t>
        </is>
      </c>
      <c r="L108" s="3" t="n">
        <v>3.694983777490401</v>
      </c>
      <c r="M108" s="3" t="n">
        <v>3.197727203819892</v>
      </c>
      <c r="N108" s="3" t="n">
        <v>3.170448503946359</v>
      </c>
      <c r="O108" s="3" t="n">
        <v>3.156738453833981</v>
      </c>
      <c r="P108" s="3" t="n">
        <v>3.1684399042979</v>
      </c>
      <c r="Q108" s="3" t="n">
        <v>3.185786339211097</v>
      </c>
      <c r="R108" s="3" t="n">
        <v>3.206129096708046</v>
      </c>
      <c r="S108" s="3" t="n">
        <v>3.226045292849401</v>
      </c>
      <c r="T108" s="3" t="n">
        <v>3.250562160896314</v>
      </c>
      <c r="U108" s="3" t="n">
        <v>3.268569228651583</v>
      </c>
      <c r="V108" s="3" t="n">
        <v>3.288587157914291</v>
      </c>
      <c r="W108" s="3" t="n">
        <v>3.296233999699655</v>
      </c>
      <c r="X108" s="3" t="n">
        <v>3.306759821975971</v>
      </c>
      <c r="Y108" s="3" t="n">
        <v>3.315326238723769</v>
      </c>
      <c r="Z108" s="3" t="n">
        <v>3.323950873343416</v>
      </c>
      <c r="AA108" s="3" t="n">
        <v>3.332376579088048</v>
      </c>
      <c r="AB108" s="3" t="n">
        <v>3.340662814292331</v>
      </c>
      <c r="AC108" s="3" t="n">
        <v>3.348794877579679</v>
      </c>
      <c r="AD108" s="3" t="n">
        <v>3.356721079921224</v>
      </c>
      <c r="AE108" s="3" t="n">
        <v>3.364424228697849</v>
      </c>
      <c r="AG108" s="20" t="inlineStr">
        <is>
          <t>egy.mit.pav.leg.all.nga.3</t>
        </is>
      </c>
      <c r="AH108" s="3" t="n">
        <v>3.694983777490401</v>
      </c>
      <c r="AI108" s="3" t="n">
        <v>3.197727203819892</v>
      </c>
      <c r="AJ108" s="3" t="n">
        <v>3.170448503946359</v>
      </c>
      <c r="AK108" s="3" t="n">
        <v>3.156738453833981</v>
      </c>
      <c r="AL108" s="3" t="n">
        <v>3.1684399042979</v>
      </c>
      <c r="AM108" s="3" t="n">
        <v>4.296809462412042</v>
      </c>
      <c r="AN108" s="3" t="n">
        <v>4.31715221990899</v>
      </c>
      <c r="AO108" s="3" t="n">
        <v>4.337068416050345</v>
      </c>
      <c r="AP108" s="3" t="n">
        <v>4.361585284097258</v>
      </c>
      <c r="AQ108" s="3" t="n">
        <v>4.379592351852527</v>
      </c>
      <c r="AR108" s="3" t="n">
        <v>4.399610281115234</v>
      </c>
      <c r="AS108" s="3" t="n">
        <v>4.407257122900599</v>
      </c>
      <c r="AT108" s="3" t="n">
        <v>4.417782945176914</v>
      </c>
      <c r="AU108" s="3" t="n">
        <v>4.426349361924713</v>
      </c>
      <c r="AV108" s="3" t="n">
        <v>4.434973996544359</v>
      </c>
      <c r="AW108" s="3" t="n">
        <v>4.443399702288992</v>
      </c>
      <c r="AX108" s="3" t="n">
        <v>4.451685937493275</v>
      </c>
      <c r="AY108" s="3" t="n">
        <v>4.459818000780622</v>
      </c>
      <c r="AZ108" s="3" t="n">
        <v>4.467744203122169</v>
      </c>
      <c r="BA108" s="3" t="n">
        <v>4.475447351898793</v>
      </c>
      <c r="BC108" s="20" t="inlineStr">
        <is>
          <t>egy.mit.pav.leg.all.nga.4</t>
        </is>
      </c>
      <c r="BD108" s="3" t="n">
        <v>3.694983777490401</v>
      </c>
      <c r="BE108" s="3" t="n">
        <v>3.197727203819892</v>
      </c>
      <c r="BF108" s="3" t="n">
        <v>3.170448503946359</v>
      </c>
      <c r="BG108" s="3" t="n">
        <v>3.156738453833981</v>
      </c>
      <c r="BH108" s="3" t="n">
        <v>3.1684399042979</v>
      </c>
      <c r="BI108" s="3" t="n">
        <v>3.741297900811569</v>
      </c>
      <c r="BJ108" s="3" t="n">
        <v>4.50232274044248</v>
      </c>
      <c r="BK108" s="3" t="n">
        <v>5.262921018717798</v>
      </c>
      <c r="BL108" s="3" t="n">
        <v>6.028119968898674</v>
      </c>
      <c r="BM108" s="3" t="n">
        <v>6.786809118787906</v>
      </c>
      <c r="BN108" s="3" t="n">
        <v>7.547509130184575</v>
      </c>
      <c r="BO108" s="3" t="n">
        <v>8.295838054103903</v>
      </c>
      <c r="BP108" s="3" t="n">
        <v>9.047045958514181</v>
      </c>
      <c r="BQ108" s="3" t="n">
        <v>9.796294457395941</v>
      </c>
      <c r="BR108" s="3" t="n">
        <v>10.54560117414955</v>
      </c>
      <c r="BS108" s="3" t="n">
        <v>11.29470896202815</v>
      </c>
      <c r="BT108" s="3" t="n">
        <v>12.04367727936639</v>
      </c>
      <c r="BU108" s="3" t="n">
        <v>12.7924914247877</v>
      </c>
      <c r="BV108" s="3" t="n">
        <v>13.54109970926321</v>
      </c>
      <c r="BW108" s="3" t="n">
        <v>14.2894849401738</v>
      </c>
      <c r="BY108" s="20" t="inlineStr">
        <is>
          <t>egy.mit.pav.leg.all.nga.5</t>
        </is>
      </c>
      <c r="BZ108" s="3" t="n">
        <v>3.694983777490401</v>
      </c>
      <c r="CA108" s="3" t="n">
        <v>3.197727203819892</v>
      </c>
      <c r="CB108" s="3" t="n">
        <v>3.170448503946359</v>
      </c>
      <c r="CC108" s="3" t="n">
        <v>3.156738453833981</v>
      </c>
      <c r="CD108" s="3" t="n">
        <v>3.1684399042979</v>
      </c>
      <c r="CE108" s="3" t="n">
        <v>3.494609913948029</v>
      </c>
      <c r="CF108" s="3" t="n">
        <v>3.526412877523924</v>
      </c>
      <c r="CG108" s="3" t="n">
        <v>3.557573202808177</v>
      </c>
      <c r="CH108" s="3" t="n">
        <v>3.596901115849608</v>
      </c>
      <c r="CI108" s="3" t="n">
        <v>3.624769970280607</v>
      </c>
      <c r="CJ108" s="3" t="n">
        <v>3.655996675481836</v>
      </c>
      <c r="CK108" s="3" t="n">
        <v>3.66592970055027</v>
      </c>
      <c r="CL108" s="3" t="n">
        <v>3.680830137648008</v>
      </c>
      <c r="CM108" s="3" t="n">
        <v>3.692422408192457</v>
      </c>
      <c r="CN108" s="3" t="n">
        <v>3.70351526961058</v>
      </c>
      <c r="CO108" s="3" t="n">
        <v>3.714360771372653</v>
      </c>
      <c r="CP108" s="3" t="n">
        <v>3.725052147359263</v>
      </c>
      <c r="CQ108" s="3" t="n">
        <v>3.7355639550328</v>
      </c>
      <c r="CR108" s="3" t="n">
        <v>3.745812321307459</v>
      </c>
      <c r="CS108" s="3" t="n">
        <v>3.755768741054559</v>
      </c>
      <c r="CU108" s="20" t="inlineStr">
        <is>
          <t>egy.mit.pav.leg.all.nga.6</t>
        </is>
      </c>
      <c r="CV108" s="3" t="n">
        <v>3.694983777490401</v>
      </c>
      <c r="CW108" s="3" t="n">
        <v>3.197727203819892</v>
      </c>
      <c r="CX108" s="3" t="n">
        <v>3.170448503946359</v>
      </c>
      <c r="CY108" s="3" t="n">
        <v>3.156738453833981</v>
      </c>
      <c r="CZ108" s="3" t="n">
        <v>3.1684399042979</v>
      </c>
      <c r="DA108" s="3" t="n">
        <v>5.963344147213458</v>
      </c>
      <c r="DB108" s="3" t="n">
        <v>5.983686904710405</v>
      </c>
      <c r="DC108" s="3" t="n">
        <v>6.003603100851762</v>
      </c>
      <c r="DD108" s="3" t="n">
        <v>6.028119968898674</v>
      </c>
      <c r="DE108" s="3" t="n">
        <v>6.046127036653944</v>
      </c>
      <c r="DF108" s="3" t="n">
        <v>6.066144965916649</v>
      </c>
      <c r="DG108" s="3" t="n">
        <v>6.073791807702015</v>
      </c>
      <c r="DH108" s="3" t="n">
        <v>6.08431762997833</v>
      </c>
      <c r="DI108" s="3" t="n">
        <v>6.092884046726128</v>
      </c>
      <c r="DJ108" s="3" t="n">
        <v>6.101508681345775</v>
      </c>
      <c r="DK108" s="3" t="n">
        <v>6.109934387090408</v>
      </c>
      <c r="DL108" s="3" t="n">
        <v>6.118220622294691</v>
      </c>
      <c r="DM108" s="3" t="n">
        <v>6.126352685582039</v>
      </c>
      <c r="DN108" s="3" t="n">
        <v>6.134278887923583</v>
      </c>
      <c r="DO108" s="3" t="n">
        <v>6.141982036700209</v>
      </c>
    </row>
    <row r="109">
      <c r="A109" s="19" t="inlineStr">
        <is>
          <t>mit.pav.leg.all.oop</t>
        </is>
      </c>
      <c r="B109" s="3" t="inlineStr">
        <is>
          <t>mit</t>
        </is>
      </c>
      <c r="C109" s="19" t="inlineStr">
        <is>
          <t>mit.rp.all.oil.wtd</t>
        </is>
      </c>
      <c r="H109" s="3" t="inlineStr">
        <is>
          <t>Average price as legacy F5b (coal, gas: power, residential, industry prices at scenario-1 quantities; electricity: own quantities; oil products: the price of the .all block; others: the unit value) | All sectors | Other oil products</t>
        </is>
      </c>
      <c r="I109" s="3" t="inlineStr">
        <is>
          <t>USD/GJ real</t>
        </is>
      </c>
      <c r="K109" s="20" t="inlineStr">
        <is>
          <t>egy.mit.pav.leg.all.oop.1</t>
        </is>
      </c>
      <c r="L109" s="3" t="n">
        <v>4.863441586801504</v>
      </c>
      <c r="M109" s="3" t="n">
        <v>4.398444273684698</v>
      </c>
      <c r="N109" s="3" t="n">
        <v>4.185618044494788</v>
      </c>
      <c r="O109" s="3" t="n">
        <v>4.185618044494788</v>
      </c>
      <c r="P109" s="3" t="n">
        <v>4.185618044494788</v>
      </c>
      <c r="Q109" s="3" t="n">
        <v>4.185618044494788</v>
      </c>
      <c r="R109" s="3" t="n">
        <v>4.185618044494788</v>
      </c>
      <c r="S109" s="3" t="n">
        <v>4.185618044494788</v>
      </c>
      <c r="T109" s="3" t="n">
        <v>4.185618044494788</v>
      </c>
      <c r="U109" s="3" t="n">
        <v>4.185618044494788</v>
      </c>
      <c r="V109" s="3" t="n">
        <v>4.185618044494788</v>
      </c>
      <c r="W109" s="3" t="n">
        <v>4.185618044494787</v>
      </c>
      <c r="X109" s="3" t="n">
        <v>4.185618044494792</v>
      </c>
      <c r="Y109" s="3" t="n">
        <v>4.185618044494792</v>
      </c>
      <c r="Z109" s="3" t="n">
        <v>4.185618044494792</v>
      </c>
      <c r="AA109" s="3" t="n">
        <v>4.18561804449479</v>
      </c>
      <c r="AB109" s="3" t="n">
        <v>4.185618044494793</v>
      </c>
      <c r="AC109" s="3" t="n">
        <v>4.185618044494792</v>
      </c>
      <c r="AD109" s="3" t="n">
        <v>4.185618044494792</v>
      </c>
      <c r="AE109" s="3" t="n">
        <v>4.185618044494792</v>
      </c>
      <c r="AG109" s="20" t="inlineStr">
        <is>
          <t>egy.mit.pav.leg.all.oop.3</t>
        </is>
      </c>
      <c r="AH109" s="3" t="n">
        <v>4.863441586801504</v>
      </c>
      <c r="AI109" s="3" t="n">
        <v>4.398444273684698</v>
      </c>
      <c r="AJ109" s="3" t="n">
        <v>4.185618044494788</v>
      </c>
      <c r="AK109" s="3" t="n">
        <v>4.185618044494788</v>
      </c>
      <c r="AL109" s="3" t="n">
        <v>4.185618044494788</v>
      </c>
      <c r="AM109" s="3" t="n">
        <v>5.641612612414508</v>
      </c>
      <c r="AN109" s="3" t="n">
        <v>5.6416290357413</v>
      </c>
      <c r="AO109" s="3" t="n">
        <v>5.641645405581253</v>
      </c>
      <c r="AP109" s="3" t="n">
        <v>5.641661722066684</v>
      </c>
      <c r="AQ109" s="3" t="n">
        <v>5.64167798532989</v>
      </c>
      <c r="AR109" s="3" t="n">
        <v>5.641694195503145</v>
      </c>
      <c r="AS109" s="3" t="n">
        <v>5.641710352718693</v>
      </c>
      <c r="AT109" s="3" t="n">
        <v>5.641726457108752</v>
      </c>
      <c r="AU109" s="3" t="n">
        <v>5.641742508805498</v>
      </c>
      <c r="AV109" s="3" t="n">
        <v>5.641758507941086</v>
      </c>
      <c r="AW109" s="3" t="n">
        <v>5.641774454647624</v>
      </c>
      <c r="AX109" s="3" t="n">
        <v>5.641790349057191</v>
      </c>
      <c r="AY109" s="3" t="n">
        <v>5.641806191301806</v>
      </c>
      <c r="AZ109" s="3" t="n">
        <v>5.641821981513463</v>
      </c>
      <c r="BA109" s="3" t="n">
        <v>5.641837719824096</v>
      </c>
      <c r="BC109" s="20" t="inlineStr">
        <is>
          <t>egy.mit.pav.leg.all.oop.4</t>
        </is>
      </c>
      <c r="BD109" s="3" t="n">
        <v>4.863441586801504</v>
      </c>
      <c r="BE109" s="3" t="n">
        <v>4.398444273684698</v>
      </c>
      <c r="BF109" s="3" t="n">
        <v>4.185618044494788</v>
      </c>
      <c r="BG109" s="3" t="n">
        <v>4.185618044494788</v>
      </c>
      <c r="BH109" s="3" t="n">
        <v>4.185618044494788</v>
      </c>
      <c r="BI109" s="3" t="n">
        <v>4.916233322627264</v>
      </c>
      <c r="BJ109" s="3" t="n">
        <v>5.883100282863285</v>
      </c>
      <c r="BK109" s="3" t="n">
        <v>6.843095265852652</v>
      </c>
      <c r="BL109" s="3" t="n">
        <v>7.797285477170166</v>
      </c>
      <c r="BM109" s="3" t="n">
        <v>8.74463169119551</v>
      </c>
      <c r="BN109" s="3" t="n">
        <v>9.68619719895481</v>
      </c>
      <c r="BO109" s="3" t="n">
        <v>10.62229691555894</v>
      </c>
      <c r="BP109" s="3" t="n">
        <v>11.55319930750162</v>
      </c>
      <c r="BQ109" s="3" t="n">
        <v>12.4791369889502</v>
      </c>
      <c r="BR109" s="3" t="n">
        <v>13.40031419252547</v>
      </c>
      <c r="BS109" s="3" t="n">
        <v>14.31691221301936</v>
      </c>
      <c r="BT109" s="3" t="n">
        <v>15.229093483293</v>
      </c>
      <c r="BU109" s="3" t="n">
        <v>16.13700469641576</v>
      </c>
      <c r="BV109" s="3" t="n">
        <v>17.04077924412943</v>
      </c>
      <c r="BW109" s="3" t="n">
        <v>17.94053915352658</v>
      </c>
      <c r="BY109" s="20" t="inlineStr">
        <is>
          <t>egy.mit.pav.leg.all.oop.5</t>
        </is>
      </c>
      <c r="BZ109" s="3" t="n">
        <v>4.863441586801504</v>
      </c>
      <c r="CA109" s="3" t="n">
        <v>4.398444273684698</v>
      </c>
      <c r="CB109" s="3" t="n">
        <v>4.185618044494788</v>
      </c>
      <c r="CC109" s="3" t="n">
        <v>4.185618044494788</v>
      </c>
      <c r="CD109" s="3" t="n">
        <v>4.185618044494788</v>
      </c>
      <c r="CE109" s="3" t="n">
        <v>6.002532365739725</v>
      </c>
      <c r="CF109" s="3" t="n">
        <v>6.002551871961028</v>
      </c>
      <c r="CG109" s="3" t="n">
        <v>6.002571314707296</v>
      </c>
      <c r="CH109" s="3" t="n">
        <v>6.002590694135182</v>
      </c>
      <c r="CI109" s="3" t="n">
        <v>6.002610010401304</v>
      </c>
      <c r="CJ109" s="3" t="n">
        <v>6.002629263662268</v>
      </c>
      <c r="CK109" s="3" t="n">
        <v>6.002648454074642</v>
      </c>
      <c r="CL109" s="3" t="n">
        <v>6.002667581794974</v>
      </c>
      <c r="CM109" s="3" t="n">
        <v>6.002686646979754</v>
      </c>
      <c r="CN109" s="3" t="n">
        <v>6.002705649785458</v>
      </c>
      <c r="CO109" s="3" t="n">
        <v>6.002724590368506</v>
      </c>
      <c r="CP109" s="3" t="n">
        <v>6.002743468885289</v>
      </c>
      <c r="CQ109" s="3" t="n">
        <v>6.002762285492133</v>
      </c>
      <c r="CR109" s="3" t="n">
        <v>6.002781040345328</v>
      </c>
      <c r="CS109" s="3" t="n">
        <v>6.002799733601103</v>
      </c>
      <c r="CU109" s="20" t="inlineStr">
        <is>
          <t>egy.mit.pav.leg.all.oop.6</t>
        </is>
      </c>
      <c r="CV109" s="3" t="n">
        <v>4.863441586801504</v>
      </c>
      <c r="CW109" s="3" t="n">
        <v>4.398444273684698</v>
      </c>
      <c r="CX109" s="3" t="n">
        <v>4.185618044494788</v>
      </c>
      <c r="CY109" s="3" t="n">
        <v>4.185618044494788</v>
      </c>
      <c r="CZ109" s="3" t="n">
        <v>4.185618044494788</v>
      </c>
      <c r="DA109" s="3" t="n">
        <v>7.790908789611065</v>
      </c>
      <c r="DB109" s="3" t="n">
        <v>7.790938006559598</v>
      </c>
      <c r="DC109" s="3" t="n">
        <v>7.790967128723961</v>
      </c>
      <c r="DD109" s="3" t="n">
        <v>7.790996156335956</v>
      </c>
      <c r="DE109" s="3" t="n">
        <v>7.79102508962737</v>
      </c>
      <c r="DF109" s="3" t="n">
        <v>7.791053928829969</v>
      </c>
      <c r="DG109" s="3" t="n">
        <v>7.791082674175498</v>
      </c>
      <c r="DH109" s="3" t="n">
        <v>7.791111325895669</v>
      </c>
      <c r="DI109" s="3" t="n">
        <v>7.791139884222155</v>
      </c>
      <c r="DJ109" s="3" t="n">
        <v>7.7911683493866</v>
      </c>
      <c r="DK109" s="3" t="n">
        <v>7.791196721620596</v>
      </c>
      <c r="DL109" s="3" t="n">
        <v>7.791225001155699</v>
      </c>
      <c r="DM109" s="3" t="n">
        <v>7.791253188223401</v>
      </c>
      <c r="DN109" s="3" t="n">
        <v>7.791281283055139</v>
      </c>
      <c r="DO109" s="3" t="n">
        <v>7.791309285882292</v>
      </c>
    </row>
    <row r="110">
      <c r="A110" s="19" t="inlineStr">
        <is>
          <t>mit.pav.leg.all.gso</t>
        </is>
      </c>
      <c r="B110" s="3" t="inlineStr">
        <is>
          <t>mit</t>
        </is>
      </c>
      <c r="C110" s="19" t="inlineStr">
        <is>
          <t>mit.rp.all.gso.wtd</t>
        </is>
      </c>
      <c r="H110" s="3" t="inlineStr">
        <is>
          <t>Average price as legacy F5b (coal, gas: power, residential, industry prices at scenario-1 quantities; electricity: own quantities; oil products: the price of the .all block; others: the unit value) | All sectors | Gasoline</t>
        </is>
      </c>
      <c r="I110" s="3" t="inlineStr">
        <is>
          <t>USD/GJ real</t>
        </is>
      </c>
      <c r="K110" s="20" t="inlineStr">
        <is>
          <t>egy.mit.pav.leg.all.gso.1</t>
        </is>
      </c>
      <c r="L110" s="3" t="n">
        <v>18.10713099918123</v>
      </c>
      <c r="M110" s="3" t="n">
        <v>11.32867536386198</v>
      </c>
      <c r="N110" s="3" t="n">
        <v>9.145040758911087</v>
      </c>
      <c r="O110" s="3" t="n">
        <v>9.145040758911087</v>
      </c>
      <c r="P110" s="3" t="n">
        <v>9.145040758911087</v>
      </c>
      <c r="Q110" s="3" t="n">
        <v>9.145040758911087</v>
      </c>
      <c r="R110" s="3" t="n">
        <v>9.145040758911087</v>
      </c>
      <c r="S110" s="3" t="n">
        <v>9.145040758911087</v>
      </c>
      <c r="T110" s="3" t="n">
        <v>9.145040758911087</v>
      </c>
      <c r="U110" s="3" t="n">
        <v>9.145040758911087</v>
      </c>
      <c r="V110" s="3" t="n">
        <v>9.145040758911087</v>
      </c>
      <c r="W110" s="3" t="n">
        <v>9.145040758911087</v>
      </c>
      <c r="X110" s="3" t="n">
        <v>9.14504075891109</v>
      </c>
      <c r="Y110" s="3" t="n">
        <v>9.14504075891109</v>
      </c>
      <c r="Z110" s="3" t="n">
        <v>9.14504075891109</v>
      </c>
      <c r="AA110" s="3" t="n">
        <v>9.14504075891109</v>
      </c>
      <c r="AB110" s="3" t="n">
        <v>9.14504075891109</v>
      </c>
      <c r="AC110" s="3" t="n">
        <v>9.14504075891109</v>
      </c>
      <c r="AD110" s="3" t="n">
        <v>9.14504075891109</v>
      </c>
      <c r="AE110" s="3" t="n">
        <v>9.145040758911094</v>
      </c>
      <c r="AG110" s="20" t="inlineStr">
        <is>
          <t>egy.mit.pav.leg.all.gso.3</t>
        </is>
      </c>
      <c r="AH110" s="3" t="n">
        <v>18.10713099918123</v>
      </c>
      <c r="AI110" s="3" t="n">
        <v>11.32867536386198</v>
      </c>
      <c r="AJ110" s="3" t="n">
        <v>9.145040758911087</v>
      </c>
      <c r="AK110" s="3" t="n">
        <v>9.145040758911087</v>
      </c>
      <c r="AL110" s="3" t="n">
        <v>9.145040758911087</v>
      </c>
      <c r="AM110" s="3" t="n">
        <v>10.46269825438048</v>
      </c>
      <c r="AN110" s="3" t="n">
        <v>10.46269825438048</v>
      </c>
      <c r="AO110" s="3" t="n">
        <v>10.46269825438048</v>
      </c>
      <c r="AP110" s="3" t="n">
        <v>10.46269825438048</v>
      </c>
      <c r="AQ110" s="3" t="n">
        <v>10.46269825438048</v>
      </c>
      <c r="AR110" s="3" t="n">
        <v>10.46269825438048</v>
      </c>
      <c r="AS110" s="3" t="n">
        <v>10.46269825438048</v>
      </c>
      <c r="AT110" s="3" t="n">
        <v>10.46269825438048</v>
      </c>
      <c r="AU110" s="3" t="n">
        <v>10.46269825438048</v>
      </c>
      <c r="AV110" s="3" t="n">
        <v>10.46269825438048</v>
      </c>
      <c r="AW110" s="3" t="n">
        <v>10.46269825438048</v>
      </c>
      <c r="AX110" s="3" t="n">
        <v>10.46269825438048</v>
      </c>
      <c r="AY110" s="3" t="n">
        <v>10.46269825438048</v>
      </c>
      <c r="AZ110" s="3" t="n">
        <v>10.46269825438048</v>
      </c>
      <c r="BA110" s="3" t="n">
        <v>10.46269825438049</v>
      </c>
      <c r="BC110" s="20" t="inlineStr">
        <is>
          <t>egy.mit.pav.leg.all.gso.4</t>
        </is>
      </c>
      <c r="BD110" s="3" t="n">
        <v>18.10713099918123</v>
      </c>
      <c r="BE110" s="3" t="n">
        <v>11.32867536386198</v>
      </c>
      <c r="BF110" s="3" t="n">
        <v>9.145040758911087</v>
      </c>
      <c r="BG110" s="3" t="n">
        <v>9.145040758911087</v>
      </c>
      <c r="BH110" s="3" t="n">
        <v>9.145040758911087</v>
      </c>
      <c r="BI110" s="3" t="n">
        <v>9.803869506645782</v>
      </c>
      <c r="BJ110" s="3" t="n">
        <v>10.68230783695871</v>
      </c>
      <c r="BK110" s="3" t="n">
        <v>11.56074616727164</v>
      </c>
      <c r="BL110" s="3" t="n">
        <v>12.43918449758457</v>
      </c>
      <c r="BM110" s="3" t="n">
        <v>13.31762282789749</v>
      </c>
      <c r="BN110" s="3" t="n">
        <v>14.19606115821042</v>
      </c>
      <c r="BO110" s="3" t="n">
        <v>15.07449948852335</v>
      </c>
      <c r="BP110" s="3" t="n">
        <v>15.95293781883628</v>
      </c>
      <c r="BQ110" s="3" t="n">
        <v>16.83137614914921</v>
      </c>
      <c r="BR110" s="3" t="n">
        <v>17.70981447946214</v>
      </c>
      <c r="BS110" s="3" t="n">
        <v>18.58825280977507</v>
      </c>
      <c r="BT110" s="3" t="n">
        <v>19.466691140088</v>
      </c>
      <c r="BU110" s="3" t="n">
        <v>20.34512947040093</v>
      </c>
      <c r="BV110" s="3" t="n">
        <v>21.22356780071385</v>
      </c>
      <c r="BW110" s="3" t="n">
        <v>22.10200613102679</v>
      </c>
      <c r="BY110" s="20" t="inlineStr">
        <is>
          <t>egy.mit.pav.leg.all.gso.5</t>
        </is>
      </c>
      <c r="BZ110" s="3" t="n">
        <v>18.10713099918123</v>
      </c>
      <c r="CA110" s="3" t="n">
        <v>11.32867536386198</v>
      </c>
      <c r="CB110" s="3" t="n">
        <v>9.145040758911087</v>
      </c>
      <c r="CC110" s="3" t="n">
        <v>9.145040758911087</v>
      </c>
      <c r="CD110" s="3" t="n">
        <v>9.145040758911087</v>
      </c>
      <c r="CE110" s="3" t="n">
        <v>10.79211262824783</v>
      </c>
      <c r="CF110" s="3" t="n">
        <v>10.79211262824783</v>
      </c>
      <c r="CG110" s="3" t="n">
        <v>10.79211262824783</v>
      </c>
      <c r="CH110" s="3" t="n">
        <v>10.79211262824783</v>
      </c>
      <c r="CI110" s="3" t="n">
        <v>10.79211262824783</v>
      </c>
      <c r="CJ110" s="3" t="n">
        <v>10.79211262824783</v>
      </c>
      <c r="CK110" s="3" t="n">
        <v>10.79211262824783</v>
      </c>
      <c r="CL110" s="3" t="n">
        <v>10.79211262824783</v>
      </c>
      <c r="CM110" s="3" t="n">
        <v>10.79211262824783</v>
      </c>
      <c r="CN110" s="3" t="n">
        <v>10.79211262824783</v>
      </c>
      <c r="CO110" s="3" t="n">
        <v>10.79211262824783</v>
      </c>
      <c r="CP110" s="3" t="n">
        <v>10.79211262824783</v>
      </c>
      <c r="CQ110" s="3" t="n">
        <v>10.79211262824783</v>
      </c>
      <c r="CR110" s="3" t="n">
        <v>10.79211262824783</v>
      </c>
      <c r="CS110" s="3" t="n">
        <v>10.79211262824783</v>
      </c>
      <c r="CU110" s="20" t="inlineStr">
        <is>
          <t>egy.mit.pav.leg.all.gso.6</t>
        </is>
      </c>
      <c r="CV110" s="3" t="n">
        <v>18.10713099918123</v>
      </c>
      <c r="CW110" s="3" t="n">
        <v>11.32867536386198</v>
      </c>
      <c r="CX110" s="3" t="n">
        <v>9.145040758911087</v>
      </c>
      <c r="CY110" s="3" t="n">
        <v>9.145040758911087</v>
      </c>
      <c r="CZ110" s="3" t="n">
        <v>9.145040758911087</v>
      </c>
      <c r="DA110" s="3" t="n">
        <v>12.43918449758457</v>
      </c>
      <c r="DB110" s="3" t="n">
        <v>12.43918449758457</v>
      </c>
      <c r="DC110" s="3" t="n">
        <v>12.43918449758457</v>
      </c>
      <c r="DD110" s="3" t="n">
        <v>12.43918449758457</v>
      </c>
      <c r="DE110" s="3" t="n">
        <v>12.43918449758457</v>
      </c>
      <c r="DF110" s="3" t="n">
        <v>12.43918449758457</v>
      </c>
      <c r="DG110" s="3" t="n">
        <v>12.43918449758457</v>
      </c>
      <c r="DH110" s="3" t="n">
        <v>12.43918449758457</v>
      </c>
      <c r="DI110" s="3" t="n">
        <v>12.43918449758457</v>
      </c>
      <c r="DJ110" s="3" t="n">
        <v>12.43918449758457</v>
      </c>
      <c r="DK110" s="3" t="n">
        <v>12.43918449758457</v>
      </c>
      <c r="DL110" s="3" t="n">
        <v>12.43918449758457</v>
      </c>
      <c r="DM110" s="3" t="n">
        <v>12.43918449758457</v>
      </c>
      <c r="DN110" s="3" t="n">
        <v>12.43918449758457</v>
      </c>
      <c r="DO110" s="3" t="n">
        <v>12.43918449758457</v>
      </c>
    </row>
    <row r="111">
      <c r="A111" s="19" t="inlineStr">
        <is>
          <t>mit.pav.leg.all.die</t>
        </is>
      </c>
      <c r="B111" s="3" t="inlineStr">
        <is>
          <t>mit</t>
        </is>
      </c>
      <c r="C111" s="19" t="inlineStr">
        <is>
          <t>mit.rp.all.die.wtd</t>
        </is>
      </c>
      <c r="H111" s="3" t="inlineStr">
        <is>
          <t>Average price as legacy F5b (coal, gas: power, residential, industry prices at scenario-1 quantities; electricity: own quantities; oil products: the price of the .all block; others: the unit value) | All sectors | Diesel</t>
        </is>
      </c>
      <c r="I111" s="3" t="inlineStr">
        <is>
          <t>USD/GJ real</t>
        </is>
      </c>
      <c r="K111" s="20" t="inlineStr">
        <is>
          <t>egy.mit.pav.leg.all.die.1</t>
        </is>
      </c>
      <c r="L111" s="3" t="n">
        <v>11.22829503955268</v>
      </c>
      <c r="M111" s="3" t="n">
        <v>7.749170417978281</v>
      </c>
      <c r="N111" s="3" t="n">
        <v>6.826689201296462</v>
      </c>
      <c r="O111" s="3" t="n">
        <v>6.826689201296462</v>
      </c>
      <c r="P111" s="3" t="n">
        <v>6.826689201296461</v>
      </c>
      <c r="Q111" s="3" t="n">
        <v>6.826689201296461</v>
      </c>
      <c r="R111" s="3" t="n">
        <v>6.826689201296462</v>
      </c>
      <c r="S111" s="3" t="n">
        <v>6.826689201296462</v>
      </c>
      <c r="T111" s="3" t="n">
        <v>6.826689201296461</v>
      </c>
      <c r="U111" s="3" t="n">
        <v>6.826689201296462</v>
      </c>
      <c r="V111" s="3" t="n">
        <v>6.826689201296462</v>
      </c>
      <c r="W111" s="3" t="n">
        <v>6.826689201296462</v>
      </c>
      <c r="X111" s="3" t="n">
        <v>6.826689201296466</v>
      </c>
      <c r="Y111" s="3" t="n">
        <v>6.826689201296466</v>
      </c>
      <c r="Z111" s="3" t="n">
        <v>6.826689201296466</v>
      </c>
      <c r="AA111" s="3" t="n">
        <v>6.826689201296461</v>
      </c>
      <c r="AB111" s="3" t="n">
        <v>6.826689201296462</v>
      </c>
      <c r="AC111" s="3" t="n">
        <v>6.826689201296461</v>
      </c>
      <c r="AD111" s="3" t="n">
        <v>6.826689201296462</v>
      </c>
      <c r="AE111" s="3" t="n">
        <v>6.826689201296462</v>
      </c>
      <c r="AG111" s="20" t="inlineStr">
        <is>
          <t>egy.mit.pav.leg.all.die.3</t>
        </is>
      </c>
      <c r="AH111" s="3" t="n">
        <v>11.22829503955268</v>
      </c>
      <c r="AI111" s="3" t="n">
        <v>7.749170417978281</v>
      </c>
      <c r="AJ111" s="3" t="n">
        <v>6.826689201296462</v>
      </c>
      <c r="AK111" s="3" t="n">
        <v>6.826689201296462</v>
      </c>
      <c r="AL111" s="3" t="n">
        <v>6.826689201296461</v>
      </c>
      <c r="AM111" s="3" t="n">
        <v>8.246435402794202</v>
      </c>
      <c r="AN111" s="3" t="n">
        <v>8.246436164718043</v>
      </c>
      <c r="AO111" s="3" t="n">
        <v>8.246438690467677</v>
      </c>
      <c r="AP111" s="3" t="n">
        <v>8.246444852587587</v>
      </c>
      <c r="AQ111" s="3" t="n">
        <v>8.246450556078083</v>
      </c>
      <c r="AR111" s="3" t="n">
        <v>8.24645708340519</v>
      </c>
      <c r="AS111" s="3" t="n">
        <v>8.246463248652468</v>
      </c>
      <c r="AT111" s="3" t="n">
        <v>8.246469445792028</v>
      </c>
      <c r="AU111" s="3" t="n">
        <v>8.246476175267986</v>
      </c>
      <c r="AV111" s="3" t="n">
        <v>8.24648312658803</v>
      </c>
      <c r="AW111" s="3" t="n">
        <v>8.246490113409919</v>
      </c>
      <c r="AX111" s="3" t="n">
        <v>8.246497762594263</v>
      </c>
      <c r="AY111" s="3" t="n">
        <v>8.246505920509428</v>
      </c>
      <c r="AZ111" s="3" t="n">
        <v>8.246514784505587</v>
      </c>
      <c r="BA111" s="3" t="n">
        <v>8.246524078115714</v>
      </c>
      <c r="BC111" s="20" t="inlineStr">
        <is>
          <t>egy.mit.pav.leg.all.die.4</t>
        </is>
      </c>
      <c r="BD111" s="3" t="n">
        <v>11.22829503955268</v>
      </c>
      <c r="BE111" s="3" t="n">
        <v>7.749170417978281</v>
      </c>
      <c r="BF111" s="3" t="n">
        <v>6.826689201296462</v>
      </c>
      <c r="BG111" s="3" t="n">
        <v>6.826689201296462</v>
      </c>
      <c r="BH111" s="3" t="n">
        <v>6.826689201296461</v>
      </c>
      <c r="BI111" s="3" t="n">
        <v>7.53674832737078</v>
      </c>
      <c r="BJ111" s="3" t="n">
        <v>8.483076749171278</v>
      </c>
      <c r="BK111" s="3" t="n">
        <v>9.428992547991768</v>
      </c>
      <c r="BL111" s="3" t="n">
        <v>10.37455950405654</v>
      </c>
      <c r="BM111" s="3" t="n">
        <v>11.31971788522931</v>
      </c>
      <c r="BN111" s="3" t="n">
        <v>12.26459584154527</v>
      </c>
      <c r="BO111" s="3" t="n">
        <v>13.20923017143777</v>
      </c>
      <c r="BP111" s="3" t="n">
        <v>14.15365038826209</v>
      </c>
      <c r="BQ111" s="3" t="n">
        <v>15.0978820359032</v>
      </c>
      <c r="BR111" s="3" t="n">
        <v>16.04194590061528</v>
      </c>
      <c r="BS111" s="3" t="n">
        <v>16.9858585778983</v>
      </c>
      <c r="BT111" s="3" t="n">
        <v>17.92963596481705</v>
      </c>
      <c r="BU111" s="3" t="n">
        <v>18.87329168539708</v>
      </c>
      <c r="BV111" s="3" t="n">
        <v>19.81683899467131</v>
      </c>
      <c r="BW111" s="3" t="n">
        <v>20.76028843599126</v>
      </c>
      <c r="BY111" s="20" t="inlineStr">
        <is>
          <t>egy.mit.pav.leg.all.die.5</t>
        </is>
      </c>
      <c r="BZ111" s="3" t="n">
        <v>11.22829503955268</v>
      </c>
      <c r="CA111" s="3" t="n">
        <v>7.749170417978281</v>
      </c>
      <c r="CB111" s="3" t="n">
        <v>6.826689201296462</v>
      </c>
      <c r="CC111" s="3" t="n">
        <v>6.826689201296462</v>
      </c>
      <c r="CD111" s="3" t="n">
        <v>6.826689201296461</v>
      </c>
      <c r="CE111" s="3" t="n">
        <v>8.601190508880165</v>
      </c>
      <c r="CF111" s="3" t="n">
        <v>8.601191456475494</v>
      </c>
      <c r="CG111" s="3" t="n">
        <v>8.601194660690693</v>
      </c>
      <c r="CH111" s="3" t="n">
        <v>8.601202258365886</v>
      </c>
      <c r="CI111" s="3" t="n">
        <v>8.601209153452832</v>
      </c>
      <c r="CJ111" s="3" t="n">
        <v>8.601217314729762</v>
      </c>
      <c r="CK111" s="3" t="n">
        <v>8.601224913946986</v>
      </c>
      <c r="CL111" s="3" t="n">
        <v>8.601232927838192</v>
      </c>
      <c r="CM111" s="3" t="n">
        <v>8.601241529307408</v>
      </c>
      <c r="CN111" s="3" t="n">
        <v>8.601250407624448</v>
      </c>
      <c r="CO111" s="3" t="n">
        <v>8.60125942558375</v>
      </c>
      <c r="CP111" s="3" t="n">
        <v>8.601269229650491</v>
      </c>
      <c r="CQ111" s="3" t="n">
        <v>8.601279534332264</v>
      </c>
      <c r="CR111" s="3" t="n">
        <v>8.601290617219593</v>
      </c>
      <c r="CS111" s="3" t="n">
        <v>8.601302062568537</v>
      </c>
      <c r="CU111" s="20" t="inlineStr">
        <is>
          <t>egy.mit.pav.leg.all.die.6</t>
        </is>
      </c>
      <c r="CV111" s="3" t="n">
        <v>11.22829503955268</v>
      </c>
      <c r="CW111" s="3" t="n">
        <v>7.749170417978281</v>
      </c>
      <c r="CX111" s="3" t="n">
        <v>6.826689201296462</v>
      </c>
      <c r="CY111" s="3" t="n">
        <v>6.826689201296462</v>
      </c>
      <c r="CZ111" s="3" t="n">
        <v>6.826689201296461</v>
      </c>
      <c r="DA111" s="3" t="n">
        <v>10.37410903112059</v>
      </c>
      <c r="DB111" s="3" t="n">
        <v>10.37411087175423</v>
      </c>
      <c r="DC111" s="3" t="n">
        <v>10.37411599847441</v>
      </c>
      <c r="DD111" s="3" t="n">
        <v>10.37413313763275</v>
      </c>
      <c r="DE111" s="3" t="n">
        <v>10.37414634981777</v>
      </c>
      <c r="DF111" s="3" t="n">
        <v>10.37416312491132</v>
      </c>
      <c r="DG111" s="3" t="n">
        <v>10.37417675234238</v>
      </c>
      <c r="DH111" s="3" t="n">
        <v>10.3741898385961</v>
      </c>
      <c r="DI111" s="3" t="n">
        <v>10.37420459773856</v>
      </c>
      <c r="DJ111" s="3" t="n">
        <v>10.37421957706922</v>
      </c>
      <c r="DK111" s="3" t="n">
        <v>10.37423379791182</v>
      </c>
      <c r="DL111" s="3" t="n">
        <v>10.37425054886981</v>
      </c>
      <c r="DM111" s="3" t="n">
        <v>10.37426890717153</v>
      </c>
      <c r="DN111" s="3" t="n">
        <v>10.37428998550507</v>
      </c>
      <c r="DO111" s="3" t="n">
        <v>10.374312323593</v>
      </c>
    </row>
    <row r="112">
      <c r="A112" s="19" t="inlineStr">
        <is>
          <t>mit.pav.leg.all.lpg</t>
        </is>
      </c>
      <c r="B112" s="3" t="inlineStr">
        <is>
          <t>mit</t>
        </is>
      </c>
      <c r="C112" s="19" t="inlineStr">
        <is>
          <t>mit.rp.all.lpg.wtd</t>
        </is>
      </c>
      <c r="H112" s="3" t="inlineStr">
        <is>
          <t>Average price as legacy F5b (coal, gas: power, residential, industry prices at scenario-1 quantities; electricity: own quantities; oil products: the price of the .all block; others: the unit value) | All sectors | LPG</t>
        </is>
      </c>
      <c r="I112" s="3" t="inlineStr">
        <is>
          <t>USD/GJ real</t>
        </is>
      </c>
      <c r="K112" s="20" t="inlineStr">
        <is>
          <t>egy.mit.pav.leg.all.lpg.1</t>
        </is>
      </c>
      <c r="L112" s="3" t="n">
        <v>5.926765134904279</v>
      </c>
      <c r="M112" s="3" t="n">
        <v>3.473334242251422</v>
      </c>
      <c r="N112" s="3" t="n">
        <v>4.068268427732345</v>
      </c>
      <c r="O112" s="3" t="n">
        <v>4.068268427732346</v>
      </c>
      <c r="P112" s="3" t="n">
        <v>4.068268427732345</v>
      </c>
      <c r="Q112" s="3" t="n">
        <v>4.068268427732345</v>
      </c>
      <c r="R112" s="3" t="n">
        <v>4.068268427732345</v>
      </c>
      <c r="S112" s="3" t="n">
        <v>4.068268427732345</v>
      </c>
      <c r="T112" s="3" t="n">
        <v>4.068268427732345</v>
      </c>
      <c r="U112" s="3" t="n">
        <v>4.068268427732345</v>
      </c>
      <c r="V112" s="3" t="n">
        <v>4.068268427732345</v>
      </c>
      <c r="W112" s="3" t="n">
        <v>4.068268427732345</v>
      </c>
      <c r="X112" s="3" t="n">
        <v>4.068268427732349</v>
      </c>
      <c r="Y112" s="3" t="n">
        <v>4.068268427732349</v>
      </c>
      <c r="Z112" s="3" t="n">
        <v>4.068268427732349</v>
      </c>
      <c r="AA112" s="3" t="n">
        <v>4.068268427732345</v>
      </c>
      <c r="AB112" s="3" t="n">
        <v>4.068268427732345</v>
      </c>
      <c r="AC112" s="3" t="n">
        <v>4.068268427732345</v>
      </c>
      <c r="AD112" s="3" t="n">
        <v>4.068268427732345</v>
      </c>
      <c r="AE112" s="3" t="n">
        <v>4.068268427732345</v>
      </c>
      <c r="AG112" s="20" t="inlineStr">
        <is>
          <t>egy.mit.pav.leg.all.lpg.3</t>
        </is>
      </c>
      <c r="AH112" s="3" t="n">
        <v>5.926765134904279</v>
      </c>
      <c r="AI112" s="3" t="n">
        <v>3.473334242251422</v>
      </c>
      <c r="AJ112" s="3" t="n">
        <v>4.068268427732345</v>
      </c>
      <c r="AK112" s="3" t="n">
        <v>4.068268427732346</v>
      </c>
      <c r="AL112" s="3" t="n">
        <v>4.068268427732345</v>
      </c>
      <c r="AM112" s="3" t="n">
        <v>5.434149901775083</v>
      </c>
      <c r="AN112" s="3" t="n">
        <v>5.434149901775084</v>
      </c>
      <c r="AO112" s="3" t="n">
        <v>5.434149901775083</v>
      </c>
      <c r="AP112" s="3" t="n">
        <v>5.434149901775083</v>
      </c>
      <c r="AQ112" s="3" t="n">
        <v>5.434149901775083</v>
      </c>
      <c r="AR112" s="3" t="n">
        <v>5.434149901775083</v>
      </c>
      <c r="AS112" s="3" t="n">
        <v>5.434149901775084</v>
      </c>
      <c r="AT112" s="3" t="n">
        <v>5.434149901775085</v>
      </c>
      <c r="AU112" s="3" t="n">
        <v>5.434149901775086</v>
      </c>
      <c r="AV112" s="3" t="n">
        <v>5.434149901775086</v>
      </c>
      <c r="AW112" s="3" t="n">
        <v>5.434149901775082</v>
      </c>
      <c r="AX112" s="3" t="n">
        <v>5.434149901775083</v>
      </c>
      <c r="AY112" s="3" t="n">
        <v>5.434149901775083</v>
      </c>
      <c r="AZ112" s="3" t="n">
        <v>5.434149901775083</v>
      </c>
      <c r="BA112" s="3" t="n">
        <v>5.434149901775083</v>
      </c>
      <c r="BC112" s="20" t="inlineStr">
        <is>
          <t>egy.mit.pav.leg.all.lpg.4</t>
        </is>
      </c>
      <c r="BD112" s="3" t="n">
        <v>5.926765134904279</v>
      </c>
      <c r="BE112" s="3" t="n">
        <v>3.473334242251422</v>
      </c>
      <c r="BF112" s="3" t="n">
        <v>4.068268427732345</v>
      </c>
      <c r="BG112" s="3" t="n">
        <v>4.068268427732346</v>
      </c>
      <c r="BH112" s="3" t="n">
        <v>4.068268427732345</v>
      </c>
      <c r="BI112" s="3" t="n">
        <v>4.751209164753715</v>
      </c>
      <c r="BJ112" s="3" t="n">
        <v>5.66179681411554</v>
      </c>
      <c r="BK112" s="3" t="n">
        <v>6.572384463477364</v>
      </c>
      <c r="BL112" s="3" t="n">
        <v>7.482972112839189</v>
      </c>
      <c r="BM112" s="3" t="n">
        <v>8.393559762201015</v>
      </c>
      <c r="BN112" s="3" t="n">
        <v>9.304147411562841</v>
      </c>
      <c r="BO112" s="3" t="n">
        <v>10.21473506092466</v>
      </c>
      <c r="BP112" s="3" t="n">
        <v>11.12532271028649</v>
      </c>
      <c r="BQ112" s="3" t="n">
        <v>12.03591035964832</v>
      </c>
      <c r="BR112" s="3" t="n">
        <v>12.94649800901014</v>
      </c>
      <c r="BS112" s="3" t="n">
        <v>13.85708565837197</v>
      </c>
      <c r="BT112" s="3" t="n">
        <v>14.76767330773379</v>
      </c>
      <c r="BU112" s="3" t="n">
        <v>15.67826095709562</v>
      </c>
      <c r="BV112" s="3" t="n">
        <v>16.58884860645744</v>
      </c>
      <c r="BW112" s="3" t="n">
        <v>17.49943625581927</v>
      </c>
      <c r="BY112" s="20" t="inlineStr">
        <is>
          <t>egy.mit.pav.leg.all.lpg.5</t>
        </is>
      </c>
      <c r="BZ112" s="3" t="n">
        <v>5.926765134904279</v>
      </c>
      <c r="CA112" s="3" t="n">
        <v>3.473334242251422</v>
      </c>
      <c r="CB112" s="3" t="n">
        <v>4.068268427732345</v>
      </c>
      <c r="CC112" s="3" t="n">
        <v>4.068268427732346</v>
      </c>
      <c r="CD112" s="3" t="n">
        <v>4.068268427732345</v>
      </c>
      <c r="CE112" s="3" t="n">
        <v>5.775620270285767</v>
      </c>
      <c r="CF112" s="3" t="n">
        <v>5.775620270285768</v>
      </c>
      <c r="CG112" s="3" t="n">
        <v>5.775620270285767</v>
      </c>
      <c r="CH112" s="3" t="n">
        <v>5.775620270285767</v>
      </c>
      <c r="CI112" s="3" t="n">
        <v>5.775620270285767</v>
      </c>
      <c r="CJ112" s="3" t="n">
        <v>5.775620270285768</v>
      </c>
      <c r="CK112" s="3" t="n">
        <v>5.775620270285767</v>
      </c>
      <c r="CL112" s="3" t="n">
        <v>5.775620270285771</v>
      </c>
      <c r="CM112" s="3" t="n">
        <v>5.775620270285772</v>
      </c>
      <c r="CN112" s="3" t="n">
        <v>5.775620270285772</v>
      </c>
      <c r="CO112" s="3" t="n">
        <v>5.775620270285767</v>
      </c>
      <c r="CP112" s="3" t="n">
        <v>5.775620270285767</v>
      </c>
      <c r="CQ112" s="3" t="n">
        <v>5.775620270285768</v>
      </c>
      <c r="CR112" s="3" t="n">
        <v>5.775620270285767</v>
      </c>
      <c r="CS112" s="3" t="n">
        <v>5.775620270285767</v>
      </c>
      <c r="CU112" s="20" t="inlineStr">
        <is>
          <t>egy.mit.pav.leg.all.lpg.6</t>
        </is>
      </c>
      <c r="CV112" s="3" t="n">
        <v>5.926765134904279</v>
      </c>
      <c r="CW112" s="3" t="n">
        <v>3.473334242251422</v>
      </c>
      <c r="CX112" s="3" t="n">
        <v>4.068268427732345</v>
      </c>
      <c r="CY112" s="3" t="n">
        <v>4.068268427732346</v>
      </c>
      <c r="CZ112" s="3" t="n">
        <v>4.068268427732345</v>
      </c>
      <c r="DA112" s="3" t="n">
        <v>7.48297211283919</v>
      </c>
      <c r="DB112" s="3" t="n">
        <v>7.482972112839191</v>
      </c>
      <c r="DC112" s="3" t="n">
        <v>7.48297211283919</v>
      </c>
      <c r="DD112" s="3" t="n">
        <v>7.48297211283919</v>
      </c>
      <c r="DE112" s="3" t="n">
        <v>7.482972112839191</v>
      </c>
      <c r="DF112" s="3" t="n">
        <v>7.482972112839189</v>
      </c>
      <c r="DG112" s="3" t="n">
        <v>7.48297211283919</v>
      </c>
      <c r="DH112" s="3" t="n">
        <v>7.482972112839194</v>
      </c>
      <c r="DI112" s="3" t="n">
        <v>7.482972112839193</v>
      </c>
      <c r="DJ112" s="3" t="n">
        <v>7.482972112839192</v>
      </c>
      <c r="DK112" s="3" t="n">
        <v>7.48297211283919</v>
      </c>
      <c r="DL112" s="3" t="n">
        <v>7.48297211283919</v>
      </c>
      <c r="DM112" s="3" t="n">
        <v>7.482972112839191</v>
      </c>
      <c r="DN112" s="3" t="n">
        <v>7.482972112839189</v>
      </c>
      <c r="DO112" s="3" t="n">
        <v>7.48297211283919</v>
      </c>
    </row>
    <row r="113">
      <c r="A113" s="19" t="inlineStr">
        <is>
          <t>mit.pav.leg.all.ker</t>
        </is>
      </c>
      <c r="B113" s="3" t="inlineStr">
        <is>
          <t>mit</t>
        </is>
      </c>
      <c r="C113" s="19" t="inlineStr">
        <is>
          <t>mit.rp.all.ker.wtd</t>
        </is>
      </c>
      <c r="H113" s="3" t="inlineStr">
        <is>
          <t>Average price as legacy F5b (coal, gas: power, residential, industry prices at scenario-1 quantities; electricity: own quantities; oil products: the price of the .all block; others: the unit value) | All sectors | Kerosene</t>
        </is>
      </c>
      <c r="I113" s="3" t="inlineStr">
        <is>
          <t>USD/GJ real</t>
        </is>
      </c>
      <c r="K113" s="20" t="inlineStr">
        <is>
          <t>egy.mit.pav.leg.all.ker.1</t>
        </is>
      </c>
      <c r="L113" s="3" t="n">
        <v>10.55358878014809</v>
      </c>
      <c r="M113" s="3" t="n">
        <v>6.846515481039771</v>
      </c>
      <c r="N113" s="3" t="n">
        <v>7.076197436466326</v>
      </c>
      <c r="O113" s="3" t="n">
        <v>7.076197436466328</v>
      </c>
      <c r="P113" s="3" t="n">
        <v>7.076197436466326</v>
      </c>
      <c r="Q113" s="3" t="n">
        <v>7.076197436466327</v>
      </c>
      <c r="R113" s="3" t="n">
        <v>7.076197436466327</v>
      </c>
      <c r="S113" s="3" t="n">
        <v>7.076197436466326</v>
      </c>
      <c r="T113" s="3" t="n">
        <v>7.076197436466328</v>
      </c>
      <c r="U113" s="3" t="n">
        <v>7.076197436466328</v>
      </c>
      <c r="V113" s="3" t="n">
        <v>7.076197436466327</v>
      </c>
      <c r="W113" s="3" t="n">
        <v>7.076197436466327</v>
      </c>
      <c r="X113" s="3" t="n">
        <v>7.076197436466329</v>
      </c>
      <c r="Y113" s="3" t="n">
        <v>7.07619743646633</v>
      </c>
      <c r="Z113" s="3" t="n">
        <v>7.07619743646633</v>
      </c>
      <c r="AA113" s="3" t="n">
        <v>7.076197436466328</v>
      </c>
      <c r="AB113" s="3" t="n">
        <v>7.07619743646633</v>
      </c>
      <c r="AC113" s="3" t="n">
        <v>7.07619743646633</v>
      </c>
      <c r="AD113" s="3" t="n">
        <v>7.07619743646633</v>
      </c>
      <c r="AE113" s="3" t="n">
        <v>7.07619743646633</v>
      </c>
      <c r="AG113" s="20" t="inlineStr">
        <is>
          <t>egy.mit.pav.leg.all.ker.3</t>
        </is>
      </c>
      <c r="AH113" s="3" t="n">
        <v>10.55358878014809</v>
      </c>
      <c r="AI113" s="3" t="n">
        <v>6.846515481039771</v>
      </c>
      <c r="AJ113" s="3" t="n">
        <v>7.076197436466326</v>
      </c>
      <c r="AK113" s="3" t="n">
        <v>7.076197436466328</v>
      </c>
      <c r="AL113" s="3" t="n">
        <v>7.076197436466326</v>
      </c>
      <c r="AM113" s="3" t="n">
        <v>8.499086765928546</v>
      </c>
      <c r="AN113" s="3" t="n">
        <v>8.499087669451244</v>
      </c>
      <c r="AO113" s="3" t="n">
        <v>8.499088333958694</v>
      </c>
      <c r="AP113" s="3" t="n">
        <v>8.499088561426957</v>
      </c>
      <c r="AQ113" s="3" t="n">
        <v>8.499088809127505</v>
      </c>
      <c r="AR113" s="3" t="n">
        <v>8.499088937912152</v>
      </c>
      <c r="AS113" s="3" t="n">
        <v>8.499089076806797</v>
      </c>
      <c r="AT113" s="3" t="n">
        <v>8.499089183319054</v>
      </c>
      <c r="AU113" s="3" t="n">
        <v>8.49908920553707</v>
      </c>
      <c r="AV113" s="3" t="n">
        <v>8.499089177331866</v>
      </c>
      <c r="AW113" s="3" t="n">
        <v>8.499089118579521</v>
      </c>
      <c r="AX113" s="3" t="n">
        <v>8.499088966029715</v>
      </c>
      <c r="AY113" s="3" t="n">
        <v>8.499088737137509</v>
      </c>
      <c r="AZ113" s="3" t="n">
        <v>8.499088413795899</v>
      </c>
      <c r="BA113" s="3" t="n">
        <v>8.499088025246783</v>
      </c>
      <c r="BC113" s="20" t="inlineStr">
        <is>
          <t>egy.mit.pav.leg.all.ker.4</t>
        </is>
      </c>
      <c r="BD113" s="3" t="n">
        <v>10.55358878014809</v>
      </c>
      <c r="BE113" s="3" t="n">
        <v>6.846515481039771</v>
      </c>
      <c r="BF113" s="3" t="n">
        <v>7.076197436466326</v>
      </c>
      <c r="BG113" s="3" t="n">
        <v>7.076197436466328</v>
      </c>
      <c r="BH113" s="3" t="n">
        <v>7.076197436466326</v>
      </c>
      <c r="BI113" s="3" t="n">
        <v>7.787644006675317</v>
      </c>
      <c r="BJ113" s="3" t="n">
        <v>8.736247689326337</v>
      </c>
      <c r="BK113" s="3" t="n">
        <v>9.684858448822711</v>
      </c>
      <c r="BL113" s="3" t="n">
        <v>10.63347419189352</v>
      </c>
      <c r="BM113" s="3" t="n">
        <v>11.58208259486305</v>
      </c>
      <c r="BN113" s="3" t="n">
        <v>12.53069178945876</v>
      </c>
      <c r="BO113" s="3" t="n">
        <v>13.47930195859225</v>
      </c>
      <c r="BP113" s="3" t="n">
        <v>14.4279132282327</v>
      </c>
      <c r="BQ113" s="3" t="n">
        <v>15.37652551236474</v>
      </c>
      <c r="BR113" s="3" t="n">
        <v>16.32513876153192</v>
      </c>
      <c r="BS113" s="3" t="n">
        <v>17.27375301419029</v>
      </c>
      <c r="BT113" s="3" t="n">
        <v>18.22236807481976</v>
      </c>
      <c r="BU113" s="3" t="n">
        <v>19.1709837590447</v>
      </c>
      <c r="BV113" s="3" t="n">
        <v>20.11959971871194</v>
      </c>
      <c r="BW113" s="3" t="n">
        <v>21.06821575435812</v>
      </c>
      <c r="BY113" s="20" t="inlineStr">
        <is>
          <t>egy.mit.pav.leg.all.ker.5</t>
        </is>
      </c>
      <c r="BZ113" s="3" t="n">
        <v>10.55358878014809</v>
      </c>
      <c r="CA113" s="3" t="n">
        <v>6.846515481039771</v>
      </c>
      <c r="CB113" s="3" t="n">
        <v>7.076197436466326</v>
      </c>
      <c r="CC113" s="3" t="n">
        <v>7.076197436466328</v>
      </c>
      <c r="CD113" s="3" t="n">
        <v>7.076197436466326</v>
      </c>
      <c r="CE113" s="3" t="n">
        <v>8.854809703983223</v>
      </c>
      <c r="CF113" s="3" t="n">
        <v>8.854810839561688</v>
      </c>
      <c r="CG113" s="3" t="n">
        <v>8.854811668956144</v>
      </c>
      <c r="CH113" s="3" t="n">
        <v>8.854811965676381</v>
      </c>
      <c r="CI113" s="3" t="n">
        <v>8.854812302086758</v>
      </c>
      <c r="CJ113" s="3" t="n">
        <v>8.854812463132518</v>
      </c>
      <c r="CK113" s="3" t="n">
        <v>8.854812648960511</v>
      </c>
      <c r="CL113" s="3" t="n">
        <v>8.854812754416541</v>
      </c>
      <c r="CM113" s="3" t="n">
        <v>8.854812762877959</v>
      </c>
      <c r="CN113" s="3" t="n">
        <v>8.854812708656313</v>
      </c>
      <c r="CO113" s="3" t="n">
        <v>8.854812606893191</v>
      </c>
      <c r="CP113" s="3" t="n">
        <v>8.854812392233512</v>
      </c>
      <c r="CQ113" s="3" t="n">
        <v>8.854812095941705</v>
      </c>
      <c r="CR113" s="3" t="n">
        <v>8.854811691737737</v>
      </c>
      <c r="CS113" s="3" t="n">
        <v>8.854811223110701</v>
      </c>
      <c r="CU113" s="20" t="inlineStr">
        <is>
          <t>egy.mit.pav.leg.all.ker.6</t>
        </is>
      </c>
      <c r="CV113" s="3" t="n">
        <v>10.55358878014809</v>
      </c>
      <c r="CW113" s="3" t="n">
        <v>6.846515481039771</v>
      </c>
      <c r="CX113" s="3" t="n">
        <v>7.076197436466326</v>
      </c>
      <c r="CY113" s="3" t="n">
        <v>7.076197436466328</v>
      </c>
      <c r="CZ113" s="3" t="n">
        <v>7.076197436466326</v>
      </c>
      <c r="DA113" s="3" t="n">
        <v>10.63342817104513</v>
      </c>
      <c r="DB113" s="3" t="n">
        <v>10.6334304978933</v>
      </c>
      <c r="DC113" s="3" t="n">
        <v>10.63343233713586</v>
      </c>
      <c r="DD113" s="3" t="n">
        <v>10.63343270922236</v>
      </c>
      <c r="DE113" s="3" t="n">
        <v>10.63343345575545</v>
      </c>
      <c r="DF113" s="3" t="n">
        <v>10.63343372708374</v>
      </c>
      <c r="DG113" s="3" t="n">
        <v>10.63343427774087</v>
      </c>
      <c r="DH113" s="3" t="n">
        <v>10.63343481219665</v>
      </c>
      <c r="DI113" s="3" t="n">
        <v>10.63343508935145</v>
      </c>
      <c r="DJ113" s="3" t="n">
        <v>10.6334352709501</v>
      </c>
      <c r="DK113" s="3" t="n">
        <v>10.63343546197261</v>
      </c>
      <c r="DL113" s="3" t="n">
        <v>10.63343531496887</v>
      </c>
      <c r="DM113" s="3" t="n">
        <v>10.63343493420935</v>
      </c>
      <c r="DN113" s="3" t="n">
        <v>10.63343421008335</v>
      </c>
      <c r="DO113" s="3" t="n">
        <v>10.63343329975118</v>
      </c>
    </row>
    <row r="114">
      <c r="A114" s="19" t="inlineStr">
        <is>
          <t>mit.pav.lidx.all.ecy</t>
        </is>
      </c>
      <c r="B114" s="3" t="inlineStr">
        <is>
          <t>mit</t>
        </is>
      </c>
      <c r="C114" s="19" t="inlineStr">
        <is>
          <t>mit.rp.all.ecy.pct</t>
        </is>
      </c>
      <c r="H114" s="3" t="inlineStr">
        <is>
          <t>Legacy average price against scenario 1 (scenario 1 = 1; fuels without a legacy average: pav.las) | All sectors | Electricity</t>
        </is>
      </c>
      <c r="I114" s="3" t="inlineStr">
        <is>
          <t>index</t>
        </is>
      </c>
      <c r="K114" s="20" t="inlineStr">
        <is>
          <t>egy.mit.pav.lidx.all.ecy.1</t>
        </is>
      </c>
      <c r="L114" s="3" t="n">
        <v>1</v>
      </c>
      <c r="M114" s="3" t="n">
        <v>1</v>
      </c>
      <c r="N114" s="3" t="n">
        <v>1</v>
      </c>
      <c r="O114" s="3" t="n">
        <v>1</v>
      </c>
      <c r="P114" s="3" t="n">
        <v>1</v>
      </c>
      <c r="Q114" s="3" t="n">
        <v>1</v>
      </c>
      <c r="R114" s="3" t="n">
        <v>1</v>
      </c>
      <c r="S114" s="3" t="n">
        <v>1</v>
      </c>
      <c r="T114" s="3" t="n">
        <v>1</v>
      </c>
      <c r="U114" s="3" t="n">
        <v>1</v>
      </c>
      <c r="V114" s="3" t="n">
        <v>1</v>
      </c>
      <c r="W114" s="3" t="n">
        <v>1</v>
      </c>
      <c r="X114" s="3" t="n">
        <v>1</v>
      </c>
      <c r="Y114" s="3" t="n">
        <v>1</v>
      </c>
      <c r="Z114" s="3" t="n">
        <v>1</v>
      </c>
      <c r="AA114" s="3" t="n">
        <v>1</v>
      </c>
      <c r="AB114" s="3" t="n">
        <v>1</v>
      </c>
      <c r="AC114" s="3" t="n">
        <v>1</v>
      </c>
      <c r="AD114" s="3" t="n">
        <v>1</v>
      </c>
      <c r="AE114" s="3" t="n">
        <v>1</v>
      </c>
      <c r="AG114" s="20" t="inlineStr">
        <is>
          <t>egy.mit.pav.lidx.all.ecy.3</t>
        </is>
      </c>
      <c r="AH114" s="3" t="n">
        <v>1</v>
      </c>
      <c r="AI114" s="3" t="n">
        <v>1</v>
      </c>
      <c r="AJ114" s="3" t="n">
        <v>1</v>
      </c>
      <c r="AK114" s="3" t="n">
        <v>1.000032125172222</v>
      </c>
      <c r="AL114" s="3" t="n">
        <v>1.000080677313145</v>
      </c>
      <c r="AM114" s="3" t="n">
        <v>1.187459174478947</v>
      </c>
      <c r="AN114" s="3" t="n">
        <v>1.182459644932265</v>
      </c>
      <c r="AO114" s="3" t="n">
        <v>1.19700630059997</v>
      </c>
      <c r="AP114" s="3" t="n">
        <v>1.16653138470105</v>
      </c>
      <c r="AQ114" s="3" t="n">
        <v>1.157174002905456</v>
      </c>
      <c r="AR114" s="3" t="n">
        <v>1.150284523573037</v>
      </c>
      <c r="AS114" s="3" t="n">
        <v>1.147259840453483</v>
      </c>
      <c r="AT114" s="3" t="n">
        <v>1.143305368938589</v>
      </c>
      <c r="AU114" s="3" t="n">
        <v>1.139667299432741</v>
      </c>
      <c r="AV114" s="3" t="n">
        <v>1.136634302845493</v>
      </c>
      <c r="AW114" s="3" t="n">
        <v>1.133856101478331</v>
      </c>
      <c r="AX114" s="3" t="n">
        <v>1.13123776968222</v>
      </c>
      <c r="AY114" s="3" t="n">
        <v>1.128847745562876</v>
      </c>
      <c r="AZ114" s="3" t="n">
        <v>1.126621559736989</v>
      </c>
      <c r="BA114" s="3" t="n">
        <v>1.124597330518071</v>
      </c>
      <c r="BC114" s="20" t="inlineStr">
        <is>
          <t>egy.mit.pav.lidx.all.ecy.4</t>
        </is>
      </c>
      <c r="BD114" s="3" t="n">
        <v>1</v>
      </c>
      <c r="BE114" s="3" t="n">
        <v>1</v>
      </c>
      <c r="BF114" s="3" t="n">
        <v>1</v>
      </c>
      <c r="BG114" s="3" t="n">
        <v>1.000107076385728</v>
      </c>
      <c r="BH114" s="3" t="n">
        <v>1.000272140260188</v>
      </c>
      <c r="BI114" s="3" t="n">
        <v>1.093951442242437</v>
      </c>
      <c r="BJ114" s="3" t="n">
        <v>1.214183692903896</v>
      </c>
      <c r="BK114" s="3" t="n">
        <v>1.325296438582912</v>
      </c>
      <c r="BL114" s="3" t="n">
        <v>1.402744729274605</v>
      </c>
      <c r="BM114" s="3" t="n">
        <v>1.482347165895875</v>
      </c>
      <c r="BN114" s="3" t="n">
        <v>1.592222124650197</v>
      </c>
      <c r="BO114" s="3" t="n">
        <v>1.70053610983823</v>
      </c>
      <c r="BP114" s="3" t="n">
        <v>1.79061527250848</v>
      </c>
      <c r="BQ114" s="3" t="n">
        <v>1.877983025492091</v>
      </c>
      <c r="BR114" s="3" t="n">
        <v>1.943771332997817</v>
      </c>
      <c r="BS114" s="3" t="n">
        <v>2.00979067642827</v>
      </c>
      <c r="BT114" s="3" t="n">
        <v>2.051353259394408</v>
      </c>
      <c r="BU114" s="3" t="n">
        <v>2.099737075309647</v>
      </c>
      <c r="BV114" s="3" t="n">
        <v>2.117185389497348</v>
      </c>
      <c r="BW114" s="3" t="n">
        <v>2.156399119743038</v>
      </c>
      <c r="BY114" s="20" t="inlineStr">
        <is>
          <t>egy.mit.pav.lidx.all.ecy.5</t>
        </is>
      </c>
      <c r="BZ114" s="3" t="n">
        <v>1</v>
      </c>
      <c r="CA114" s="3" t="n">
        <v>1</v>
      </c>
      <c r="CB114" s="3" t="n">
        <v>1</v>
      </c>
      <c r="CC114" s="3" t="n">
        <v>1.000183897146473</v>
      </c>
      <c r="CD114" s="3" t="n">
        <v>1.000465891599012</v>
      </c>
      <c r="CE114" s="3" t="n">
        <v>1.000649986930432</v>
      </c>
      <c r="CF114" s="3" t="n">
        <v>1.000837681284885</v>
      </c>
      <c r="CG114" s="3" t="n">
        <v>1.001026136077572</v>
      </c>
      <c r="CH114" s="3" t="n">
        <v>1.001057418337455</v>
      </c>
      <c r="CI114" s="3" t="n">
        <v>1.001364844910104</v>
      </c>
      <c r="CJ114" s="3" t="n">
        <v>0.9996807256349381</v>
      </c>
      <c r="CK114" s="3" t="n">
        <v>0.9973116930530549</v>
      </c>
      <c r="CL114" s="3" t="n">
        <v>0.995686329843485</v>
      </c>
      <c r="CM114" s="3" t="n">
        <v>0.9899281217131857</v>
      </c>
      <c r="CN114" s="3" t="n">
        <v>0.9855444491202566</v>
      </c>
      <c r="CO114" s="3" t="n">
        <v>0.9811696369535037</v>
      </c>
      <c r="CP114" s="3" t="n">
        <v>0.9765049069934658</v>
      </c>
      <c r="CQ114" s="3" t="n">
        <v>0.9726298675851375</v>
      </c>
      <c r="CR114" s="3" t="n">
        <v>0.969131865257013</v>
      </c>
      <c r="CS114" s="3" t="n">
        <v>0.9657863526314233</v>
      </c>
      <c r="CU114" s="20" t="inlineStr">
        <is>
          <t>egy.mit.pav.lidx.all.ecy.6</t>
        </is>
      </c>
      <c r="CV114" s="3" t="n">
        <v>1</v>
      </c>
      <c r="CW114" s="3" t="n">
        <v>1</v>
      </c>
      <c r="CX114" s="3" t="n">
        <v>1</v>
      </c>
      <c r="CY114" s="3" t="n">
        <v>1.000075004935302</v>
      </c>
      <c r="CZ114" s="3" t="n">
        <v>1.000189637147116</v>
      </c>
      <c r="DA114" s="3" t="n">
        <v>1.46834439101982</v>
      </c>
      <c r="DB114" s="3" t="n">
        <v>1.44989910030213</v>
      </c>
      <c r="DC114" s="3" t="n">
        <v>1.484970183544793</v>
      </c>
      <c r="DD114" s="3" t="n">
        <v>1.437528469068038</v>
      </c>
      <c r="DE114" s="3" t="n">
        <v>1.396150262808269</v>
      </c>
      <c r="DF114" s="3" t="n">
        <v>1.37753736106643</v>
      </c>
      <c r="DG114" s="3" t="n">
        <v>1.35721047125012</v>
      </c>
      <c r="DH114" s="3" t="n">
        <v>1.329123750878302</v>
      </c>
      <c r="DI114" s="3" t="n">
        <v>1.30478572957589</v>
      </c>
      <c r="DJ114" s="3" t="n">
        <v>1.280357823150385</v>
      </c>
      <c r="DK114" s="3" t="n">
        <v>1.259689077324898</v>
      </c>
      <c r="DL114" s="3" t="n">
        <v>1.239007059604192</v>
      </c>
      <c r="DM114" s="3" t="n">
        <v>1.222147687589947</v>
      </c>
      <c r="DN114" s="3" t="n">
        <v>1.205654732380314</v>
      </c>
      <c r="DO114" s="3" t="n">
        <v>1.192350471929999</v>
      </c>
    </row>
    <row r="115">
      <c r="A115" s="19" t="inlineStr">
        <is>
          <t>mit.pav.lidx.all.coa</t>
        </is>
      </c>
      <c r="B115" s="3" t="inlineStr">
        <is>
          <t>mit</t>
        </is>
      </c>
      <c r="C115" s="19" t="inlineStr">
        <is>
          <t>mit.rp.all.coa.pct</t>
        </is>
      </c>
      <c r="H115" s="3" t="inlineStr">
        <is>
          <t>Legacy average price against scenario 1 (scenario 1 = 1; fuels without a legacy average: pav.las) | All sectors | Coal</t>
        </is>
      </c>
      <c r="I115" s="3" t="inlineStr">
        <is>
          <t>index</t>
        </is>
      </c>
      <c r="K115" s="20" t="inlineStr">
        <is>
          <t>egy.mit.pav.lidx.all.coa.1</t>
        </is>
      </c>
      <c r="L115" s="3" t="n">
        <v>1</v>
      </c>
      <c r="M115" s="3" t="n">
        <v>1</v>
      </c>
      <c r="N115" s="3" t="n">
        <v>1</v>
      </c>
      <c r="O115" s="3" t="n">
        <v>1</v>
      </c>
      <c r="P115" s="3" t="n">
        <v>1</v>
      </c>
      <c r="Q115" s="3" t="n">
        <v>1</v>
      </c>
      <c r="R115" s="3" t="n">
        <v>1</v>
      </c>
      <c r="S115" s="3" t="n">
        <v>1</v>
      </c>
      <c r="T115" s="3" t="n">
        <v>1</v>
      </c>
      <c r="U115" s="3" t="n">
        <v>1</v>
      </c>
      <c r="V115" s="3" t="n">
        <v>1</v>
      </c>
      <c r="W115" s="3" t="n">
        <v>1</v>
      </c>
      <c r="X115" s="3" t="n">
        <v>1</v>
      </c>
      <c r="Y115" s="3" t="n">
        <v>1</v>
      </c>
      <c r="Z115" s="3" t="n">
        <v>1</v>
      </c>
      <c r="AA115" s="3" t="n">
        <v>1</v>
      </c>
      <c r="AB115" s="3" t="n">
        <v>1</v>
      </c>
      <c r="AC115" s="3" t="n">
        <v>1</v>
      </c>
      <c r="AD115" s="3" t="n">
        <v>1</v>
      </c>
      <c r="AE115" s="3" t="n">
        <v>1</v>
      </c>
      <c r="AG115" s="20" t="inlineStr">
        <is>
          <t>egy.mit.pav.lidx.all.coa.3</t>
        </is>
      </c>
      <c r="AH115" s="3" t="n">
        <v>1</v>
      </c>
      <c r="AI115" s="3" t="n">
        <v>1</v>
      </c>
      <c r="AJ115" s="3" t="n">
        <v>1</v>
      </c>
      <c r="AK115" s="3" t="n">
        <v>1</v>
      </c>
      <c r="AL115" s="3" t="n">
        <v>1</v>
      </c>
      <c r="AM115" s="3" t="n">
        <v>1.271540821761877</v>
      </c>
      <c r="AN115" s="3" t="n">
        <v>1.273202837315848</v>
      </c>
      <c r="AO115" s="3" t="n">
        <v>1.275007515302555</v>
      </c>
      <c r="AP115" s="3" t="n">
        <v>1.276965192133917</v>
      </c>
      <c r="AQ115" s="3" t="n">
        <v>1.278881040499247</v>
      </c>
      <c r="AR115" s="3" t="n">
        <v>1.278883086018066</v>
      </c>
      <c r="AS115" s="3" t="n">
        <v>1.278885086327882</v>
      </c>
      <c r="AT115" s="3" t="n">
        <v>1.278887042736459</v>
      </c>
      <c r="AU115" s="3" t="n">
        <v>1.278888956505492</v>
      </c>
      <c r="AV115" s="3" t="n">
        <v>1.278890828851849</v>
      </c>
      <c r="AW115" s="3" t="n">
        <v>1.278892660948823</v>
      </c>
      <c r="AX115" s="3" t="n">
        <v>1.278894453927348</v>
      </c>
      <c r="AY115" s="3" t="n">
        <v>1.278896208877194</v>
      </c>
      <c r="AZ115" s="3" t="n">
        <v>1.278897926848154</v>
      </c>
      <c r="BA115" s="3" t="n">
        <v>1.278899608851182</v>
      </c>
      <c r="BC115" s="20" t="inlineStr">
        <is>
          <t>egy.mit.pav.lidx.all.coa.4</t>
        </is>
      </c>
      <c r="BD115" s="3" t="n">
        <v>1</v>
      </c>
      <c r="BE115" s="3" t="n">
        <v>1</v>
      </c>
      <c r="BF115" s="3" t="n">
        <v>1</v>
      </c>
      <c r="BG115" s="3" t="n">
        <v>1</v>
      </c>
      <c r="BH115" s="3" t="n">
        <v>1</v>
      </c>
      <c r="BI115" s="3" t="n">
        <v>1.135770410880938</v>
      </c>
      <c r="BJ115" s="3" t="n">
        <v>1.318736643535156</v>
      </c>
      <c r="BK115" s="3" t="n">
        <v>1.50418044472135</v>
      </c>
      <c r="BL115" s="3" t="n">
        <v>1.692412980334793</v>
      </c>
      <c r="BM115" s="3" t="n">
        <v>1.883123294914282</v>
      </c>
      <c r="BN115" s="3" t="n">
        <v>2.069051829735922</v>
      </c>
      <c r="BO115" s="3" t="n">
        <v>2.254982888475467</v>
      </c>
      <c r="BP115" s="3" t="n">
        <v>2.440916387471707</v>
      </c>
      <c r="BQ115" s="3" t="n">
        <v>2.626852246282035</v>
      </c>
      <c r="BR115" s="3" t="n">
        <v>2.81279038753702</v>
      </c>
      <c r="BS115" s="3" t="n">
        <v>2.998730736799905</v>
      </c>
      <c r="BT115" s="3" t="n">
        <v>3.184673222430892</v>
      </c>
      <c r="BU115" s="3" t="n">
        <v>3.370617775456155</v>
      </c>
      <c r="BV115" s="3" t="n">
        <v>3.556564329441411</v>
      </c>
      <c r="BW115" s="3" t="n">
        <v>3.742512820369954</v>
      </c>
      <c r="BY115" s="20" t="inlineStr">
        <is>
          <t>egy.mit.pav.lidx.all.coa.5</t>
        </is>
      </c>
      <c r="BZ115" s="3" t="n">
        <v>1</v>
      </c>
      <c r="CA115" s="3" t="n">
        <v>1</v>
      </c>
      <c r="CB115" s="3" t="n">
        <v>1</v>
      </c>
      <c r="CC115" s="3" t="n">
        <v>1</v>
      </c>
      <c r="CD115" s="3" t="n">
        <v>1</v>
      </c>
      <c r="CE115" s="3" t="n">
        <v>1.000367529964383</v>
      </c>
      <c r="CF115" s="3" t="n">
        <v>1.000365618061213</v>
      </c>
      <c r="CG115" s="3" t="n">
        <v>1.000364124489911</v>
      </c>
      <c r="CH115" s="3" t="n">
        <v>1.000363096959941</v>
      </c>
      <c r="CI115" s="3" t="n">
        <v>1.0003620620233</v>
      </c>
      <c r="CJ115" s="3" t="n">
        <v>1.000358860425027</v>
      </c>
      <c r="CK115" s="3" t="n">
        <v>1.000355729586833</v>
      </c>
      <c r="CL115" s="3" t="n">
        <v>1.00035266746183</v>
      </c>
      <c r="CM115" s="3" t="n">
        <v>1.000349672075247</v>
      </c>
      <c r="CN115" s="3" t="n">
        <v>1.000346741522467</v>
      </c>
      <c r="CO115" s="3" t="n">
        <v>1.00034387396708</v>
      </c>
      <c r="CP115" s="3" t="n">
        <v>1.000341067638979</v>
      </c>
      <c r="CQ115" s="3" t="n">
        <v>1.000338320832475</v>
      </c>
      <c r="CR115" s="3" t="n">
        <v>1.000335631904463</v>
      </c>
      <c r="CS115" s="3" t="n">
        <v>1.000332999272616</v>
      </c>
      <c r="CU115" s="20" t="inlineStr">
        <is>
          <t>egy.mit.pav.lidx.all.coa.6</t>
        </is>
      </c>
      <c r="CV115" s="3" t="n">
        <v>1</v>
      </c>
      <c r="CW115" s="3" t="n">
        <v>1</v>
      </c>
      <c r="CX115" s="3" t="n">
        <v>1</v>
      </c>
      <c r="CY115" s="3" t="n">
        <v>1</v>
      </c>
      <c r="CZ115" s="3" t="n">
        <v>1</v>
      </c>
      <c r="DA115" s="3" t="n">
        <v>1.678852054404692</v>
      </c>
      <c r="DB115" s="3" t="n">
        <v>1.68300709328962</v>
      </c>
      <c r="DC115" s="3" t="n">
        <v>1.687518788256387</v>
      </c>
      <c r="DD115" s="3" t="n">
        <v>1.692412980334792</v>
      </c>
      <c r="DE115" s="3" t="n">
        <v>1.697202601248117</v>
      </c>
      <c r="DF115" s="3" t="n">
        <v>1.697207715045167</v>
      </c>
      <c r="DG115" s="3" t="n">
        <v>1.697212715819704</v>
      </c>
      <c r="DH115" s="3" t="n">
        <v>1.697217606841148</v>
      </c>
      <c r="DI115" s="3" t="n">
        <v>1.697222391263729</v>
      </c>
      <c r="DJ115" s="3" t="n">
        <v>1.697227072129623</v>
      </c>
      <c r="DK115" s="3" t="n">
        <v>1.69723165237206</v>
      </c>
      <c r="DL115" s="3" t="n">
        <v>1.69723613481837</v>
      </c>
      <c r="DM115" s="3" t="n">
        <v>1.697240522192987</v>
      </c>
      <c r="DN115" s="3" t="n">
        <v>1.697244817120385</v>
      </c>
      <c r="DO115" s="3" t="n">
        <v>1.697249022127954</v>
      </c>
    </row>
    <row r="116">
      <c r="A116" s="19" t="inlineStr">
        <is>
          <t>mit.pav.lidx.all.nga</t>
        </is>
      </c>
      <c r="B116" s="3" t="inlineStr">
        <is>
          <t>mit</t>
        </is>
      </c>
      <c r="C116" s="19" t="inlineStr">
        <is>
          <t>mit.rp.all.nga.pct</t>
        </is>
      </c>
      <c r="H116" s="3" t="inlineStr">
        <is>
          <t>Legacy average price against scenario 1 (scenario 1 = 1; fuels without a legacy average: pav.las) | All sectors | Natural gas</t>
        </is>
      </c>
      <c r="I116" s="3" t="inlineStr">
        <is>
          <t>index</t>
        </is>
      </c>
      <c r="K116" s="20" t="inlineStr">
        <is>
          <t>egy.mit.pav.lidx.all.nga.1</t>
        </is>
      </c>
      <c r="L116" s="3" t="n">
        <v>1</v>
      </c>
      <c r="M116" s="3" t="n">
        <v>1</v>
      </c>
      <c r="N116" s="3" t="n">
        <v>1</v>
      </c>
      <c r="O116" s="3" t="n">
        <v>1</v>
      </c>
      <c r="P116" s="3" t="n">
        <v>1</v>
      </c>
      <c r="Q116" s="3" t="n">
        <v>1</v>
      </c>
      <c r="R116" s="3" t="n">
        <v>1</v>
      </c>
      <c r="S116" s="3" t="n">
        <v>1</v>
      </c>
      <c r="T116" s="3" t="n">
        <v>1</v>
      </c>
      <c r="U116" s="3" t="n">
        <v>1</v>
      </c>
      <c r="V116" s="3" t="n">
        <v>1</v>
      </c>
      <c r="W116" s="3" t="n">
        <v>1</v>
      </c>
      <c r="X116" s="3" t="n">
        <v>1</v>
      </c>
      <c r="Y116" s="3" t="n">
        <v>1</v>
      </c>
      <c r="Z116" s="3" t="n">
        <v>1</v>
      </c>
      <c r="AA116" s="3" t="n">
        <v>1</v>
      </c>
      <c r="AB116" s="3" t="n">
        <v>1</v>
      </c>
      <c r="AC116" s="3" t="n">
        <v>1</v>
      </c>
      <c r="AD116" s="3" t="n">
        <v>1</v>
      </c>
      <c r="AE116" s="3" t="n">
        <v>1</v>
      </c>
      <c r="AG116" s="20" t="inlineStr">
        <is>
          <t>egy.mit.pav.lidx.all.nga.3</t>
        </is>
      </c>
      <c r="AH116" s="3" t="n">
        <v>1</v>
      </c>
      <c r="AI116" s="3" t="n">
        <v>1</v>
      </c>
      <c r="AJ116" s="3" t="n">
        <v>1</v>
      </c>
      <c r="AK116" s="3" t="n">
        <v>1</v>
      </c>
      <c r="AL116" s="3" t="n">
        <v>1</v>
      </c>
      <c r="AM116" s="3" t="n">
        <v>1.348743765244492</v>
      </c>
      <c r="AN116" s="3" t="n">
        <v>1.346531000371042</v>
      </c>
      <c r="AO116" s="3" t="n">
        <v>1.344391669163341</v>
      </c>
      <c r="AP116" s="3" t="n">
        <v>1.341794147660474</v>
      </c>
      <c r="AQ116" s="3" t="n">
        <v>1.339911149337744</v>
      </c>
      <c r="AR116" s="3" t="n">
        <v>1.337842079242803</v>
      </c>
      <c r="AS116" s="3" t="n">
        <v>1.33705832877829</v>
      </c>
      <c r="AT116" s="3" t="n">
        <v>1.335985430758332</v>
      </c>
      <c r="AU116" s="3" t="n">
        <v>1.335117283549335</v>
      </c>
      <c r="AV116" s="3" t="n">
        <v>1.334247756821813</v>
      </c>
      <c r="AW116" s="3" t="n">
        <v>1.333402632275429</v>
      </c>
      <c r="AX116" s="3" t="n">
        <v>1.332575654881319</v>
      </c>
      <c r="AY116" s="3" t="n">
        <v>1.331768043077016</v>
      </c>
      <c r="AZ116" s="3" t="n">
        <v>1.330984641484427</v>
      </c>
      <c r="BA116" s="3" t="n">
        <v>1.330226822683104</v>
      </c>
      <c r="BC116" s="20" t="inlineStr">
        <is>
          <t>egy.mit.pav.lidx.all.nga.4</t>
        </is>
      </c>
      <c r="BD116" s="3" t="n">
        <v>1</v>
      </c>
      <c r="BE116" s="3" t="n">
        <v>1</v>
      </c>
      <c r="BF116" s="3" t="n">
        <v>1</v>
      </c>
      <c r="BG116" s="3" t="n">
        <v>1</v>
      </c>
      <c r="BH116" s="3" t="n">
        <v>1</v>
      </c>
      <c r="BI116" s="3" t="n">
        <v>1.174371882622246</v>
      </c>
      <c r="BJ116" s="3" t="n">
        <v>1.404286167099549</v>
      </c>
      <c r="BK116" s="3" t="n">
        <v>1.631384726799458</v>
      </c>
      <c r="BL116" s="3" t="n">
        <v>1.854485369151185</v>
      </c>
      <c r="BM116" s="3" t="n">
        <v>2.07638530623619</v>
      </c>
      <c r="BN116" s="3" t="n">
        <v>2.295061303764078</v>
      </c>
      <c r="BO116" s="3" t="n">
        <v>2.516762479502305</v>
      </c>
      <c r="BP116" s="3" t="n">
        <v>2.735924725584718</v>
      </c>
      <c r="BQ116" s="3" t="n">
        <v>2.954850820704455</v>
      </c>
      <c r="BR116" s="3" t="n">
        <v>3.172610419341786</v>
      </c>
      <c r="BS116" s="3" t="n">
        <v>3.389385531307241</v>
      </c>
      <c r="BT116" s="3" t="n">
        <v>3.605175963237003</v>
      </c>
      <c r="BU116" s="3" t="n">
        <v>3.820028366154632</v>
      </c>
      <c r="BV116" s="3" t="n">
        <v>4.034025880273911</v>
      </c>
      <c r="BW116" s="3" t="n">
        <v>4.247230423050524</v>
      </c>
      <c r="BY116" s="20" t="inlineStr">
        <is>
          <t>egy.mit.pav.lidx.all.nga.5</t>
        </is>
      </c>
      <c r="BZ116" s="3" t="n">
        <v>1</v>
      </c>
      <c r="CA116" s="3" t="n">
        <v>1</v>
      </c>
      <c r="CB116" s="3" t="n">
        <v>1</v>
      </c>
      <c r="CC116" s="3" t="n">
        <v>1</v>
      </c>
      <c r="CD116" s="3" t="n">
        <v>1</v>
      </c>
      <c r="CE116" s="3" t="n">
        <v>1.096937943055342</v>
      </c>
      <c r="CF116" s="3" t="n">
        <v>1.099897343854537</v>
      </c>
      <c r="CG116" s="3" t="n">
        <v>1.102766043208883</v>
      </c>
      <c r="CH116" s="3" t="n">
        <v>1.106547402513845</v>
      </c>
      <c r="CI116" s="3" t="n">
        <v>1.108977572971881</v>
      </c>
      <c r="CJ116" s="3" t="n">
        <v>1.111722603028276</v>
      </c>
      <c r="CK116" s="3" t="n">
        <v>1.11215699519036</v>
      </c>
      <c r="CL116" s="3" t="n">
        <v>1.113122916634601</v>
      </c>
      <c r="CM116" s="3" t="n">
        <v>1.11374330678656</v>
      </c>
      <c r="CN116" s="3" t="n">
        <v>1.114190735883343</v>
      </c>
      <c r="CO116" s="3" t="n">
        <v>1.114628158978701</v>
      </c>
      <c r="CP116" s="3" t="n">
        <v>1.115063792557094</v>
      </c>
      <c r="CQ116" s="3" t="n">
        <v>1.115495003902018</v>
      </c>
      <c r="CR116" s="3" t="n">
        <v>1.115914081665482</v>
      </c>
      <c r="CS116" s="3" t="n">
        <v>1.116318420554287</v>
      </c>
      <c r="CU116" s="20" t="inlineStr">
        <is>
          <t>egy.mit.pav.lidx.all.nga.6</t>
        </is>
      </c>
      <c r="CV116" s="3" t="n">
        <v>1</v>
      </c>
      <c r="CW116" s="3" t="n">
        <v>1</v>
      </c>
      <c r="CX116" s="3" t="n">
        <v>1</v>
      </c>
      <c r="CY116" s="3" t="n">
        <v>1</v>
      </c>
      <c r="CZ116" s="3" t="n">
        <v>1</v>
      </c>
      <c r="DA116" s="3" t="n">
        <v>1.87185941311123</v>
      </c>
      <c r="DB116" s="3" t="n">
        <v>1.866327500927604</v>
      </c>
      <c r="DC116" s="3" t="n">
        <v>1.860979172908352</v>
      </c>
      <c r="DD116" s="3" t="n">
        <v>1.854485369151185</v>
      </c>
      <c r="DE116" s="3" t="n">
        <v>1.849777873344361</v>
      </c>
      <c r="DF116" s="3" t="n">
        <v>1.844605198107007</v>
      </c>
      <c r="DG116" s="3" t="n">
        <v>1.842645821945725</v>
      </c>
      <c r="DH116" s="3" t="n">
        <v>1.839963576895832</v>
      </c>
      <c r="DI116" s="3" t="n">
        <v>1.837793208873338</v>
      </c>
      <c r="DJ116" s="3" t="n">
        <v>1.835619392054533</v>
      </c>
      <c r="DK116" s="3" t="n">
        <v>1.833506580688572</v>
      </c>
      <c r="DL116" s="3" t="n">
        <v>1.831439137203299</v>
      </c>
      <c r="DM116" s="3" t="n">
        <v>1.829420107692539</v>
      </c>
      <c r="DN116" s="3" t="n">
        <v>1.827461603711066</v>
      </c>
      <c r="DO116" s="3" t="n">
        <v>1.82556705670776</v>
      </c>
    </row>
    <row r="117">
      <c r="A117" s="19" t="inlineStr">
        <is>
          <t>mit.pav.lidx.all.oop</t>
        </is>
      </c>
      <c r="B117" s="3" t="inlineStr">
        <is>
          <t>mit</t>
        </is>
      </c>
      <c r="C117" s="19" t="inlineStr">
        <is>
          <t>mit.rp.all.oil.pct</t>
        </is>
      </c>
      <c r="H117" s="3" t="inlineStr">
        <is>
          <t>Legacy average price against scenario 1 (scenario 1 = 1; fuels without a legacy average: pav.las) | All sectors | Other oil products</t>
        </is>
      </c>
      <c r="I117" s="3" t="inlineStr">
        <is>
          <t>index</t>
        </is>
      </c>
      <c r="K117" s="20" t="inlineStr">
        <is>
          <t>egy.mit.pav.lidx.all.oop.1</t>
        </is>
      </c>
      <c r="L117" s="3" t="n">
        <v>1</v>
      </c>
      <c r="M117" s="3" t="n">
        <v>1</v>
      </c>
      <c r="N117" s="3" t="n">
        <v>1</v>
      </c>
      <c r="O117" s="3" t="n">
        <v>1</v>
      </c>
      <c r="P117" s="3" t="n">
        <v>1</v>
      </c>
      <c r="Q117" s="3" t="n">
        <v>1</v>
      </c>
      <c r="R117" s="3" t="n">
        <v>1</v>
      </c>
      <c r="S117" s="3" t="n">
        <v>1</v>
      </c>
      <c r="T117" s="3" t="n">
        <v>1</v>
      </c>
      <c r="U117" s="3" t="n">
        <v>1</v>
      </c>
      <c r="V117" s="3" t="n">
        <v>1</v>
      </c>
      <c r="W117" s="3" t="n">
        <v>1</v>
      </c>
      <c r="X117" s="3" t="n">
        <v>1</v>
      </c>
      <c r="Y117" s="3" t="n">
        <v>1</v>
      </c>
      <c r="Z117" s="3" t="n">
        <v>1</v>
      </c>
      <c r="AA117" s="3" t="n">
        <v>1</v>
      </c>
      <c r="AB117" s="3" t="n">
        <v>1</v>
      </c>
      <c r="AC117" s="3" t="n">
        <v>1</v>
      </c>
      <c r="AD117" s="3" t="n">
        <v>1</v>
      </c>
      <c r="AE117" s="3" t="n">
        <v>1</v>
      </c>
      <c r="AG117" s="20" t="inlineStr">
        <is>
          <t>egy.mit.pav.lidx.all.oop.3</t>
        </is>
      </c>
      <c r="AH117" s="3" t="n">
        <v>1</v>
      </c>
      <c r="AI117" s="3" t="n">
        <v>1</v>
      </c>
      <c r="AJ117" s="3" t="n">
        <v>1</v>
      </c>
      <c r="AK117" s="3" t="n">
        <v>1</v>
      </c>
      <c r="AL117" s="3" t="n">
        <v>1</v>
      </c>
      <c r="AM117" s="3" t="n">
        <v>1.347856529774556</v>
      </c>
      <c r="AN117" s="3" t="n">
        <v>1.347860453526465</v>
      </c>
      <c r="AO117" s="3" t="n">
        <v>1.347864364499654</v>
      </c>
      <c r="AP117" s="3" t="n">
        <v>1.347868262725736</v>
      </c>
      <c r="AQ117" s="3" t="n">
        <v>1.347872148236319</v>
      </c>
      <c r="AR117" s="3" t="n">
        <v>1.347876021063004</v>
      </c>
      <c r="AS117" s="3" t="n">
        <v>1.347879881237386</v>
      </c>
      <c r="AT117" s="3" t="n">
        <v>1.347883728791052</v>
      </c>
      <c r="AU117" s="3" t="n">
        <v>1.347887563755584</v>
      </c>
      <c r="AV117" s="3" t="n">
        <v>1.347891386162555</v>
      </c>
      <c r="AW117" s="3" t="n">
        <v>1.347895196043526</v>
      </c>
      <c r="AX117" s="3" t="n">
        <v>1.347898993430051</v>
      </c>
      <c r="AY117" s="3" t="n">
        <v>1.347902778353675</v>
      </c>
      <c r="AZ117" s="3" t="n">
        <v>1.34790655084593</v>
      </c>
      <c r="BA117" s="3" t="n">
        <v>1.347910310938339</v>
      </c>
      <c r="BC117" s="20" t="inlineStr">
        <is>
          <t>egy.mit.pav.lidx.all.oop.4</t>
        </is>
      </c>
      <c r="BD117" s="3" t="n">
        <v>1</v>
      </c>
      <c r="BE117" s="3" t="n">
        <v>1</v>
      </c>
      <c r="BF117" s="3" t="n">
        <v>1</v>
      </c>
      <c r="BG117" s="3" t="n">
        <v>1</v>
      </c>
      <c r="BH117" s="3" t="n">
        <v>1</v>
      </c>
      <c r="BI117" s="3" t="n">
        <v>1.174553738627305</v>
      </c>
      <c r="BJ117" s="3" t="n">
        <v>1.405551156441793</v>
      </c>
      <c r="BK117" s="3" t="n">
        <v>1.634906767198493</v>
      </c>
      <c r="BL117" s="3" t="n">
        <v>1.862875540549069</v>
      </c>
      <c r="BM117" s="3" t="n">
        <v>2.089209191626324</v>
      </c>
      <c r="BN117" s="3" t="n">
        <v>2.314161754844009</v>
      </c>
      <c r="BO117" s="3" t="n">
        <v>2.537808467624062</v>
      </c>
      <c r="BP117" s="3" t="n">
        <v>2.760213470194007</v>
      </c>
      <c r="BQ117" s="3" t="n">
        <v>2.981432337182225</v>
      </c>
      <c r="BR117" s="3" t="n">
        <v>3.20151386248692</v>
      </c>
      <c r="BS117" s="3" t="n">
        <v>3.420501359852924</v>
      </c>
      <c r="BT117" s="3" t="n">
        <v>3.638433636658112</v>
      </c>
      <c r="BU117" s="3" t="n">
        <v>3.855345739834107</v>
      </c>
      <c r="BV117" s="3" t="n">
        <v>4.071269538447881</v>
      </c>
      <c r="BW117" s="3" t="n">
        <v>4.286234186400069</v>
      </c>
      <c r="BY117" s="20" t="inlineStr">
        <is>
          <t>egy.mit.pav.lidx.all.oop.5</t>
        </is>
      </c>
      <c r="BZ117" s="3" t="n">
        <v>1</v>
      </c>
      <c r="CA117" s="3" t="n">
        <v>1</v>
      </c>
      <c r="CB117" s="3" t="n">
        <v>1</v>
      </c>
      <c r="CC117" s="3" t="n">
        <v>1</v>
      </c>
      <c r="CD117" s="3" t="n">
        <v>1</v>
      </c>
      <c r="CE117" s="3" t="n">
        <v>1.434085074636628</v>
      </c>
      <c r="CF117" s="3" t="n">
        <v>1.434089734933171</v>
      </c>
      <c r="CG117" s="3" t="n">
        <v>1.434094380064681</v>
      </c>
      <c r="CH117" s="3" t="n">
        <v>1.434099010068585</v>
      </c>
      <c r="CI117" s="3" t="n">
        <v>1.4341036249823</v>
      </c>
      <c r="CJ117" s="3" t="n">
        <v>1.434108224843243</v>
      </c>
      <c r="CK117" s="3" t="n">
        <v>1.43411280968882</v>
      </c>
      <c r="CL117" s="3" t="n">
        <v>1.434117379556429</v>
      </c>
      <c r="CM117" s="3" t="n">
        <v>1.434121934483461</v>
      </c>
      <c r="CN117" s="3" t="n">
        <v>1.434126474507301</v>
      </c>
      <c r="CO117" s="3" t="n">
        <v>1.434130999665318</v>
      </c>
      <c r="CP117" s="3" t="n">
        <v>1.434135509994874</v>
      </c>
      <c r="CQ117" s="3" t="n">
        <v>1.434140005533322</v>
      </c>
      <c r="CR117" s="3" t="n">
        <v>1.434144486317998</v>
      </c>
      <c r="CS117" s="3" t="n">
        <v>1.434148952386229</v>
      </c>
      <c r="CU117" s="20" t="inlineStr">
        <is>
          <t>egy.mit.pav.lidx.all.oop.6</t>
        </is>
      </c>
      <c r="CV117" s="3" t="n">
        <v>1</v>
      </c>
      <c r="CW117" s="3" t="n">
        <v>1</v>
      </c>
      <c r="CX117" s="3" t="n">
        <v>1</v>
      </c>
      <c r="CY117" s="3" t="n">
        <v>1</v>
      </c>
      <c r="CZ117" s="3" t="n">
        <v>1</v>
      </c>
      <c r="DA117" s="3" t="n">
        <v>1.861352064806344</v>
      </c>
      <c r="DB117" s="3" t="n">
        <v>1.861359045125193</v>
      </c>
      <c r="DC117" s="3" t="n">
        <v>1.86136600279884</v>
      </c>
      <c r="DD117" s="3" t="n">
        <v>1.861372937882664</v>
      </c>
      <c r="DE117" s="3" t="n">
        <v>1.861379850432043</v>
      </c>
      <c r="DF117" s="3" t="n">
        <v>1.861386740502349</v>
      </c>
      <c r="DG117" s="3" t="n">
        <v>1.861393608148948</v>
      </c>
      <c r="DH117" s="3" t="n">
        <v>1.861400453427198</v>
      </c>
      <c r="DI117" s="3" t="n">
        <v>1.861407276392453</v>
      </c>
      <c r="DJ117" s="3" t="n">
        <v>1.861414077100053</v>
      </c>
      <c r="DK117" s="3" t="n">
        <v>1.861420855605329</v>
      </c>
      <c r="DL117" s="3" t="n">
        <v>1.861427611963601</v>
      </c>
      <c r="DM117" s="3" t="n">
        <v>1.861434346230179</v>
      </c>
      <c r="DN117" s="3" t="n">
        <v>1.861441058460353</v>
      </c>
      <c r="DO117" s="3" t="n">
        <v>1.861447748709405</v>
      </c>
    </row>
    <row r="118">
      <c r="A118" s="19" t="inlineStr">
        <is>
          <t>mit.pav.lidx.all.gso</t>
        </is>
      </c>
      <c r="B118" s="3" t="inlineStr">
        <is>
          <t>mit</t>
        </is>
      </c>
      <c r="C118" s="19" t="inlineStr">
        <is>
          <t>mit.rp.all.gso.pct</t>
        </is>
      </c>
      <c r="H118" s="3" t="inlineStr">
        <is>
          <t>Legacy average price against scenario 1 (scenario 1 = 1; fuels without a legacy average: pav.las) | All sectors | Gasoline</t>
        </is>
      </c>
      <c r="I118" s="3" t="inlineStr">
        <is>
          <t>index</t>
        </is>
      </c>
      <c r="K118" s="20" t="inlineStr">
        <is>
          <t>egy.mit.pav.lidx.all.gso.1</t>
        </is>
      </c>
      <c r="L118" s="3" t="n">
        <v>1</v>
      </c>
      <c r="M118" s="3" t="n">
        <v>1</v>
      </c>
      <c r="N118" s="3" t="n">
        <v>1</v>
      </c>
      <c r="O118" s="3" t="n">
        <v>1</v>
      </c>
      <c r="P118" s="3" t="n">
        <v>1</v>
      </c>
      <c r="Q118" s="3" t="n">
        <v>1</v>
      </c>
      <c r="R118" s="3" t="n">
        <v>1</v>
      </c>
      <c r="S118" s="3" t="n">
        <v>1</v>
      </c>
      <c r="T118" s="3" t="n">
        <v>1</v>
      </c>
      <c r="U118" s="3" t="n">
        <v>1</v>
      </c>
      <c r="V118" s="3" t="n">
        <v>1</v>
      </c>
      <c r="W118" s="3" t="n">
        <v>1</v>
      </c>
      <c r="X118" s="3" t="n">
        <v>1</v>
      </c>
      <c r="Y118" s="3" t="n">
        <v>1</v>
      </c>
      <c r="Z118" s="3" t="n">
        <v>1</v>
      </c>
      <c r="AA118" s="3" t="n">
        <v>1</v>
      </c>
      <c r="AB118" s="3" t="n">
        <v>1</v>
      </c>
      <c r="AC118" s="3" t="n">
        <v>1</v>
      </c>
      <c r="AD118" s="3" t="n">
        <v>1</v>
      </c>
      <c r="AE118" s="3" t="n">
        <v>1</v>
      </c>
      <c r="AG118" s="20" t="inlineStr">
        <is>
          <t>egy.mit.pav.lidx.all.gso.3</t>
        </is>
      </c>
      <c r="AH118" s="3" t="n">
        <v>1</v>
      </c>
      <c r="AI118" s="3" t="n">
        <v>1</v>
      </c>
      <c r="AJ118" s="3" t="n">
        <v>1</v>
      </c>
      <c r="AK118" s="3" t="n">
        <v>1</v>
      </c>
      <c r="AL118" s="3" t="n">
        <v>1</v>
      </c>
      <c r="AM118" s="3" t="n">
        <v>1.144084376462231</v>
      </c>
      <c r="AN118" s="3" t="n">
        <v>1.144084376462231</v>
      </c>
      <c r="AO118" s="3" t="n">
        <v>1.144084376462231</v>
      </c>
      <c r="AP118" s="3" t="n">
        <v>1.144084376462231</v>
      </c>
      <c r="AQ118" s="3" t="n">
        <v>1.144084376462231</v>
      </c>
      <c r="AR118" s="3" t="n">
        <v>1.144084376462231</v>
      </c>
      <c r="AS118" s="3" t="n">
        <v>1.144084376462231</v>
      </c>
      <c r="AT118" s="3" t="n">
        <v>1.144084376462231</v>
      </c>
      <c r="AU118" s="3" t="n">
        <v>1.144084376462231</v>
      </c>
      <c r="AV118" s="3" t="n">
        <v>1.144084376462231</v>
      </c>
      <c r="AW118" s="3" t="n">
        <v>1.144084376462231</v>
      </c>
      <c r="AX118" s="3" t="n">
        <v>1.144084376462231</v>
      </c>
      <c r="AY118" s="3" t="n">
        <v>1.144084376462231</v>
      </c>
      <c r="AZ118" s="3" t="n">
        <v>1.144084376462231</v>
      </c>
      <c r="BA118" s="3" t="n">
        <v>1.144084376462231</v>
      </c>
      <c r="BC118" s="20" t="inlineStr">
        <is>
          <t>egy.mit.pav.lidx.all.gso.4</t>
        </is>
      </c>
      <c r="BD118" s="3" t="n">
        <v>1</v>
      </c>
      <c r="BE118" s="3" t="n">
        <v>1</v>
      </c>
      <c r="BF118" s="3" t="n">
        <v>1</v>
      </c>
      <c r="BG118" s="3" t="n">
        <v>1</v>
      </c>
      <c r="BH118" s="3" t="n">
        <v>1</v>
      </c>
      <c r="BI118" s="3" t="n">
        <v>1.072042188231116</v>
      </c>
      <c r="BJ118" s="3" t="n">
        <v>1.168098439205936</v>
      </c>
      <c r="BK118" s="3" t="n">
        <v>1.264154690180757</v>
      </c>
      <c r="BL118" s="3" t="n">
        <v>1.360210941155578</v>
      </c>
      <c r="BM118" s="3" t="n">
        <v>1.456267192130398</v>
      </c>
      <c r="BN118" s="3" t="n">
        <v>1.552323443105219</v>
      </c>
      <c r="BO118" s="3" t="n">
        <v>1.64837969408004</v>
      </c>
      <c r="BP118" s="3" t="n">
        <v>1.74443594505486</v>
      </c>
      <c r="BQ118" s="3" t="n">
        <v>1.840492196029681</v>
      </c>
      <c r="BR118" s="3" t="n">
        <v>1.936548447004501</v>
      </c>
      <c r="BS118" s="3" t="n">
        <v>2.032604697979322</v>
      </c>
      <c r="BT118" s="3" t="n">
        <v>2.128660948954143</v>
      </c>
      <c r="BU118" s="3" t="n">
        <v>2.224717199928964</v>
      </c>
      <c r="BV118" s="3" t="n">
        <v>2.320773450903784</v>
      </c>
      <c r="BW118" s="3" t="n">
        <v>2.416829701878604</v>
      </c>
      <c r="BY118" s="20" t="inlineStr">
        <is>
          <t>egy.mit.pav.lidx.all.gso.5</t>
        </is>
      </c>
      <c r="BZ118" s="3" t="n">
        <v>1</v>
      </c>
      <c r="CA118" s="3" t="n">
        <v>1</v>
      </c>
      <c r="CB118" s="3" t="n">
        <v>1</v>
      </c>
      <c r="CC118" s="3" t="n">
        <v>1</v>
      </c>
      <c r="CD118" s="3" t="n">
        <v>1</v>
      </c>
      <c r="CE118" s="3" t="n">
        <v>1.180105470577789</v>
      </c>
      <c r="CF118" s="3" t="n">
        <v>1.180105470577789</v>
      </c>
      <c r="CG118" s="3" t="n">
        <v>1.180105470577789</v>
      </c>
      <c r="CH118" s="3" t="n">
        <v>1.180105470577789</v>
      </c>
      <c r="CI118" s="3" t="n">
        <v>1.180105470577789</v>
      </c>
      <c r="CJ118" s="3" t="n">
        <v>1.180105470577789</v>
      </c>
      <c r="CK118" s="3" t="n">
        <v>1.180105470577789</v>
      </c>
      <c r="CL118" s="3" t="n">
        <v>1.180105470577789</v>
      </c>
      <c r="CM118" s="3" t="n">
        <v>1.180105470577789</v>
      </c>
      <c r="CN118" s="3" t="n">
        <v>1.180105470577789</v>
      </c>
      <c r="CO118" s="3" t="n">
        <v>1.180105470577789</v>
      </c>
      <c r="CP118" s="3" t="n">
        <v>1.180105470577788</v>
      </c>
      <c r="CQ118" s="3" t="n">
        <v>1.180105470577789</v>
      </c>
      <c r="CR118" s="3" t="n">
        <v>1.180105470577789</v>
      </c>
      <c r="CS118" s="3" t="n">
        <v>1.180105470577789</v>
      </c>
      <c r="CU118" s="20" t="inlineStr">
        <is>
          <t>egy.mit.pav.lidx.all.gso.6</t>
        </is>
      </c>
      <c r="CV118" s="3" t="n">
        <v>1</v>
      </c>
      <c r="CW118" s="3" t="n">
        <v>1</v>
      </c>
      <c r="CX118" s="3" t="n">
        <v>1</v>
      </c>
      <c r="CY118" s="3" t="n">
        <v>1</v>
      </c>
      <c r="CZ118" s="3" t="n">
        <v>1</v>
      </c>
      <c r="DA118" s="3" t="n">
        <v>1.360210941155578</v>
      </c>
      <c r="DB118" s="3" t="n">
        <v>1.360210941155578</v>
      </c>
      <c r="DC118" s="3" t="n">
        <v>1.360210941155578</v>
      </c>
      <c r="DD118" s="3" t="n">
        <v>1.360210941155578</v>
      </c>
      <c r="DE118" s="3" t="n">
        <v>1.360210941155578</v>
      </c>
      <c r="DF118" s="3" t="n">
        <v>1.360210941155578</v>
      </c>
      <c r="DG118" s="3" t="n">
        <v>1.360210941155578</v>
      </c>
      <c r="DH118" s="3" t="n">
        <v>1.360210941155578</v>
      </c>
      <c r="DI118" s="3" t="n">
        <v>1.360210941155577</v>
      </c>
      <c r="DJ118" s="3" t="n">
        <v>1.360210941155577</v>
      </c>
      <c r="DK118" s="3" t="n">
        <v>1.360210941155577</v>
      </c>
      <c r="DL118" s="3" t="n">
        <v>1.360210941155577</v>
      </c>
      <c r="DM118" s="3" t="n">
        <v>1.360210941155577</v>
      </c>
      <c r="DN118" s="3" t="n">
        <v>1.360210941155577</v>
      </c>
      <c r="DO118" s="3" t="n">
        <v>1.360210941155577</v>
      </c>
    </row>
    <row r="119">
      <c r="A119" s="19" t="inlineStr">
        <is>
          <t>mit.pav.lidx.all.die</t>
        </is>
      </c>
      <c r="B119" s="3" t="inlineStr">
        <is>
          <t>mit</t>
        </is>
      </c>
      <c r="C119" s="19" t="inlineStr">
        <is>
          <t>mit.rp.all.die.pct</t>
        </is>
      </c>
      <c r="H119" s="3" t="inlineStr">
        <is>
          <t>Legacy average price against scenario 1 (scenario 1 = 1; fuels without a legacy average: pav.las) | All sectors | Diesel</t>
        </is>
      </c>
      <c r="I119" s="3" t="inlineStr">
        <is>
          <t>index</t>
        </is>
      </c>
      <c r="K119" s="20" t="inlineStr">
        <is>
          <t>egy.mit.pav.lidx.all.die.1</t>
        </is>
      </c>
      <c r="L119" s="3" t="n">
        <v>1</v>
      </c>
      <c r="M119" s="3" t="n">
        <v>1</v>
      </c>
      <c r="N119" s="3" t="n">
        <v>1</v>
      </c>
      <c r="O119" s="3" t="n">
        <v>1</v>
      </c>
      <c r="P119" s="3" t="n">
        <v>1</v>
      </c>
      <c r="Q119" s="3" t="n">
        <v>1</v>
      </c>
      <c r="R119" s="3" t="n">
        <v>1</v>
      </c>
      <c r="S119" s="3" t="n">
        <v>1</v>
      </c>
      <c r="T119" s="3" t="n">
        <v>1</v>
      </c>
      <c r="U119" s="3" t="n">
        <v>1</v>
      </c>
      <c r="V119" s="3" t="n">
        <v>1</v>
      </c>
      <c r="W119" s="3" t="n">
        <v>1</v>
      </c>
      <c r="X119" s="3" t="n">
        <v>1</v>
      </c>
      <c r="Y119" s="3" t="n">
        <v>1</v>
      </c>
      <c r="Z119" s="3" t="n">
        <v>1</v>
      </c>
      <c r="AA119" s="3" t="n">
        <v>1</v>
      </c>
      <c r="AB119" s="3" t="n">
        <v>1</v>
      </c>
      <c r="AC119" s="3" t="n">
        <v>1</v>
      </c>
      <c r="AD119" s="3" t="n">
        <v>1</v>
      </c>
      <c r="AE119" s="3" t="n">
        <v>1</v>
      </c>
      <c r="AG119" s="20" t="inlineStr">
        <is>
          <t>egy.mit.pav.lidx.all.die.3</t>
        </is>
      </c>
      <c r="AH119" s="3" t="n">
        <v>1</v>
      </c>
      <c r="AI119" s="3" t="n">
        <v>1</v>
      </c>
      <c r="AJ119" s="3" t="n">
        <v>1</v>
      </c>
      <c r="AK119" s="3" t="n">
        <v>1</v>
      </c>
      <c r="AL119" s="3" t="n">
        <v>1</v>
      </c>
      <c r="AM119" s="3" t="n">
        <v>1.207969948482218</v>
      </c>
      <c r="AN119" s="3" t="n">
        <v>1.207970060091787</v>
      </c>
      <c r="AO119" s="3" t="n">
        <v>1.207970430073423</v>
      </c>
      <c r="AP119" s="3" t="n">
        <v>1.207971332724727</v>
      </c>
      <c r="AQ119" s="3" t="n">
        <v>1.207972168194209</v>
      </c>
      <c r="AR119" s="3" t="n">
        <v>1.207973124342485</v>
      </c>
      <c r="AS119" s="3" t="n">
        <v>1.207974027451898</v>
      </c>
      <c r="AT119" s="3" t="n">
        <v>1.207974935233016</v>
      </c>
      <c r="AU119" s="3" t="n">
        <v>1.207975920992842</v>
      </c>
      <c r="AV119" s="3" t="n">
        <v>1.207976939249253</v>
      </c>
      <c r="AW119" s="3" t="n">
        <v>1.207977962706113</v>
      </c>
      <c r="AX119" s="3" t="n">
        <v>1.207979083188402</v>
      </c>
      <c r="AY119" s="3" t="n">
        <v>1.207980278191561</v>
      </c>
      <c r="AZ119" s="3" t="n">
        <v>1.207981576624213</v>
      </c>
      <c r="BA119" s="3" t="n">
        <v>1.20798293798839</v>
      </c>
      <c r="BC119" s="20" t="inlineStr">
        <is>
          <t>egy.mit.pav.lidx.all.die.4</t>
        </is>
      </c>
      <c r="BD119" s="3" t="n">
        <v>1</v>
      </c>
      <c r="BE119" s="3" t="n">
        <v>1</v>
      </c>
      <c r="BF119" s="3" t="n">
        <v>1</v>
      </c>
      <c r="BG119" s="3" t="n">
        <v>1</v>
      </c>
      <c r="BH119" s="3" t="n">
        <v>1</v>
      </c>
      <c r="BI119" s="3" t="n">
        <v>1.104012223954691</v>
      </c>
      <c r="BJ119" s="3" t="n">
        <v>1.242634093780079</v>
      </c>
      <c r="BK119" s="3" t="n">
        <v>1.381195520985649</v>
      </c>
      <c r="BL119" s="3" t="n">
        <v>1.519705848346854</v>
      </c>
      <c r="BM119" s="3" t="n">
        <v>1.658156326067924</v>
      </c>
      <c r="BN119" s="3" t="n">
        <v>1.796565726064707</v>
      </c>
      <c r="BO119" s="3" t="n">
        <v>1.934939438714918</v>
      </c>
      <c r="BP119" s="3" t="n">
        <v>2.073281787249689</v>
      </c>
      <c r="BQ119" s="3" t="n">
        <v>2.211596513436695</v>
      </c>
      <c r="BR119" s="3" t="n">
        <v>2.349886662127336</v>
      </c>
      <c r="BS119" s="3" t="n">
        <v>2.48815466429503</v>
      </c>
      <c r="BT119" s="3" t="n">
        <v>2.626402848603686</v>
      </c>
      <c r="BU119" s="3" t="n">
        <v>2.764633210753587</v>
      </c>
      <c r="BV119" s="3" t="n">
        <v>2.902847692393536</v>
      </c>
      <c r="BW119" s="3" t="n">
        <v>3.041047837954693</v>
      </c>
      <c r="BY119" s="20" t="inlineStr">
        <is>
          <t>egy.mit.pav.lidx.all.die.5</t>
        </is>
      </c>
      <c r="BZ119" s="3" t="n">
        <v>1</v>
      </c>
      <c r="CA119" s="3" t="n">
        <v>1</v>
      </c>
      <c r="CB119" s="3" t="n">
        <v>1</v>
      </c>
      <c r="CC119" s="3" t="n">
        <v>1</v>
      </c>
      <c r="CD119" s="3" t="n">
        <v>1</v>
      </c>
      <c r="CE119" s="3" t="n">
        <v>1.259935856937314</v>
      </c>
      <c r="CF119" s="3" t="n">
        <v>1.259935995744765</v>
      </c>
      <c r="CG119" s="3" t="n">
        <v>1.259936465110677</v>
      </c>
      <c r="CH119" s="3" t="n">
        <v>1.259937578047705</v>
      </c>
      <c r="CI119" s="3" t="n">
        <v>1.259938588066873</v>
      </c>
      <c r="CJ119" s="3" t="n">
        <v>1.259939783562477</v>
      </c>
      <c r="CK119" s="3" t="n">
        <v>1.259940896725388</v>
      </c>
      <c r="CL119" s="3" t="n">
        <v>1.259942070631357</v>
      </c>
      <c r="CM119" s="3" t="n">
        <v>1.25994333060804</v>
      </c>
      <c r="CN119" s="3" t="n">
        <v>1.259944631138469</v>
      </c>
      <c r="CO119" s="3" t="n">
        <v>1.259945952124242</v>
      </c>
      <c r="CP119" s="3" t="n">
        <v>1.25994738826209</v>
      </c>
      <c r="CQ119" s="3" t="n">
        <v>1.259948897731977</v>
      </c>
      <c r="CR119" s="3" t="n">
        <v>1.259950521196441</v>
      </c>
      <c r="CS119" s="3" t="n">
        <v>1.259952197755694</v>
      </c>
      <c r="CU119" s="20" t="inlineStr">
        <is>
          <t>egy.mit.pav.lidx.all.die.6</t>
        </is>
      </c>
      <c r="CV119" s="3" t="n">
        <v>1</v>
      </c>
      <c r="CW119" s="3" t="n">
        <v>1</v>
      </c>
      <c r="CX119" s="3" t="n">
        <v>1</v>
      </c>
      <c r="CY119" s="3" t="n">
        <v>1</v>
      </c>
      <c r="CZ119" s="3" t="n">
        <v>1</v>
      </c>
      <c r="DA119" s="3" t="n">
        <v>1.519639861318197</v>
      </c>
      <c r="DB119" s="3" t="n">
        <v>1.519640130941375</v>
      </c>
      <c r="DC119" s="3" t="n">
        <v>1.519640881923298</v>
      </c>
      <c r="DD119" s="3" t="n">
        <v>1.519643392533908</v>
      </c>
      <c r="DE119" s="3" t="n">
        <v>1.519645327906184</v>
      </c>
      <c r="DF119" s="3" t="n">
        <v>1.519647785187167</v>
      </c>
      <c r="DG119" s="3" t="n">
        <v>1.5196497813863</v>
      </c>
      <c r="DH119" s="3" t="n">
        <v>1.519651698311668</v>
      </c>
      <c r="DI119" s="3" t="n">
        <v>1.51965386028829</v>
      </c>
      <c r="DJ119" s="3" t="n">
        <v>1.519656054518936</v>
      </c>
      <c r="DK119" s="3" t="n">
        <v>1.519658137643302</v>
      </c>
      <c r="DL119" s="3" t="n">
        <v>1.519660591388814</v>
      </c>
      <c r="DM119" s="3" t="n">
        <v>1.519663280584291</v>
      </c>
      <c r="DN119" s="3" t="n">
        <v>1.519666368220613</v>
      </c>
      <c r="DO119" s="3" t="n">
        <v>1.519669640390661</v>
      </c>
    </row>
    <row r="120">
      <c r="A120" s="19" t="inlineStr">
        <is>
          <t>mit.pav.lidx.all.lpg</t>
        </is>
      </c>
      <c r="B120" s="3" t="inlineStr">
        <is>
          <t>mit</t>
        </is>
      </c>
      <c r="C120" s="19" t="inlineStr">
        <is>
          <t>mit.rp.all.lpg.pct</t>
        </is>
      </c>
      <c r="H120" s="3" t="inlineStr">
        <is>
          <t>Legacy average price against scenario 1 (scenario 1 = 1; fuels without a legacy average: pav.las) | All sectors | LPG</t>
        </is>
      </c>
      <c r="I120" s="3" t="inlineStr">
        <is>
          <t>index</t>
        </is>
      </c>
      <c r="K120" s="20" t="inlineStr">
        <is>
          <t>egy.mit.pav.lidx.all.lpg.1</t>
        </is>
      </c>
      <c r="L120" s="3" t="n">
        <v>1</v>
      </c>
      <c r="M120" s="3" t="n">
        <v>1</v>
      </c>
      <c r="N120" s="3" t="n">
        <v>1</v>
      </c>
      <c r="O120" s="3" t="n">
        <v>1</v>
      </c>
      <c r="P120" s="3" t="n">
        <v>1</v>
      </c>
      <c r="Q120" s="3" t="n">
        <v>1</v>
      </c>
      <c r="R120" s="3" t="n">
        <v>1</v>
      </c>
      <c r="S120" s="3" t="n">
        <v>1</v>
      </c>
      <c r="T120" s="3" t="n">
        <v>1</v>
      </c>
      <c r="U120" s="3" t="n">
        <v>1</v>
      </c>
      <c r="V120" s="3" t="n">
        <v>1</v>
      </c>
      <c r="W120" s="3" t="n">
        <v>1</v>
      </c>
      <c r="X120" s="3" t="n">
        <v>1</v>
      </c>
      <c r="Y120" s="3" t="n">
        <v>1</v>
      </c>
      <c r="Z120" s="3" t="n">
        <v>1</v>
      </c>
      <c r="AA120" s="3" t="n">
        <v>1</v>
      </c>
      <c r="AB120" s="3" t="n">
        <v>1</v>
      </c>
      <c r="AC120" s="3" t="n">
        <v>1</v>
      </c>
      <c r="AD120" s="3" t="n">
        <v>1</v>
      </c>
      <c r="AE120" s="3" t="n">
        <v>1</v>
      </c>
      <c r="AG120" s="20" t="inlineStr">
        <is>
          <t>egy.mit.pav.lidx.all.lpg.3</t>
        </is>
      </c>
      <c r="AH120" s="3" t="n">
        <v>1</v>
      </c>
      <c r="AI120" s="3" t="n">
        <v>1</v>
      </c>
      <c r="AJ120" s="3" t="n">
        <v>1</v>
      </c>
      <c r="AK120" s="3" t="n">
        <v>1</v>
      </c>
      <c r="AL120" s="3" t="n">
        <v>1</v>
      </c>
      <c r="AM120" s="3" t="n">
        <v>1.335740253699061</v>
      </c>
      <c r="AN120" s="3" t="n">
        <v>1.335740253699061</v>
      </c>
      <c r="AO120" s="3" t="n">
        <v>1.335740253699061</v>
      </c>
      <c r="AP120" s="3" t="n">
        <v>1.335740253699061</v>
      </c>
      <c r="AQ120" s="3" t="n">
        <v>1.335740253699061</v>
      </c>
      <c r="AR120" s="3" t="n">
        <v>1.335740253699061</v>
      </c>
      <c r="AS120" s="3" t="n">
        <v>1.335740253699061</v>
      </c>
      <c r="AT120" s="3" t="n">
        <v>1.33574025369906</v>
      </c>
      <c r="AU120" s="3" t="n">
        <v>1.335740253699061</v>
      </c>
      <c r="AV120" s="3" t="n">
        <v>1.335740253699061</v>
      </c>
      <c r="AW120" s="3" t="n">
        <v>1.335740253699061</v>
      </c>
      <c r="AX120" s="3" t="n">
        <v>1.335740253699061</v>
      </c>
      <c r="AY120" s="3" t="n">
        <v>1.335740253699061</v>
      </c>
      <c r="AZ120" s="3" t="n">
        <v>1.335740253699061</v>
      </c>
      <c r="BA120" s="3" t="n">
        <v>1.335740253699061</v>
      </c>
      <c r="BC120" s="20" t="inlineStr">
        <is>
          <t>egy.mit.pav.lidx.all.lpg.4</t>
        </is>
      </c>
      <c r="BD120" s="3" t="n">
        <v>1</v>
      </c>
      <c r="BE120" s="3" t="n">
        <v>1</v>
      </c>
      <c r="BF120" s="3" t="n">
        <v>1</v>
      </c>
      <c r="BG120" s="3" t="n">
        <v>1</v>
      </c>
      <c r="BH120" s="3" t="n">
        <v>1</v>
      </c>
      <c r="BI120" s="3" t="n">
        <v>1.167870126849531</v>
      </c>
      <c r="BJ120" s="3" t="n">
        <v>1.391696962648905</v>
      </c>
      <c r="BK120" s="3" t="n">
        <v>1.615523798448279</v>
      </c>
      <c r="BL120" s="3" t="n">
        <v>1.839350634247652</v>
      </c>
      <c r="BM120" s="3" t="n">
        <v>2.063177470047027</v>
      </c>
      <c r="BN120" s="3" t="n">
        <v>2.287004305846401</v>
      </c>
      <c r="BO120" s="3" t="n">
        <v>2.510831141645774</v>
      </c>
      <c r="BP120" s="3" t="n">
        <v>2.734657977445147</v>
      </c>
      <c r="BQ120" s="3" t="n">
        <v>2.958484813244521</v>
      </c>
      <c r="BR120" s="3" t="n">
        <v>3.182311649043895</v>
      </c>
      <c r="BS120" s="3" t="n">
        <v>3.406138484843271</v>
      </c>
      <c r="BT120" s="3" t="n">
        <v>3.629965320642645</v>
      </c>
      <c r="BU120" s="3" t="n">
        <v>3.853792156442018</v>
      </c>
      <c r="BV120" s="3" t="n">
        <v>4.077618992241392</v>
      </c>
      <c r="BW120" s="3" t="n">
        <v>4.301445828040767</v>
      </c>
      <c r="BY120" s="20" t="inlineStr">
        <is>
          <t>egy.mit.pav.lidx.all.lpg.5</t>
        </is>
      </c>
      <c r="BZ120" s="3" t="n">
        <v>1</v>
      </c>
      <c r="CA120" s="3" t="n">
        <v>1</v>
      </c>
      <c r="CB120" s="3" t="n">
        <v>1</v>
      </c>
      <c r="CC120" s="3" t="n">
        <v>1</v>
      </c>
      <c r="CD120" s="3" t="n">
        <v>1</v>
      </c>
      <c r="CE120" s="3" t="n">
        <v>1.419675317123826</v>
      </c>
      <c r="CF120" s="3" t="n">
        <v>1.419675317123826</v>
      </c>
      <c r="CG120" s="3" t="n">
        <v>1.419675317123826</v>
      </c>
      <c r="CH120" s="3" t="n">
        <v>1.419675317123826</v>
      </c>
      <c r="CI120" s="3" t="n">
        <v>1.419675317123826</v>
      </c>
      <c r="CJ120" s="3" t="n">
        <v>1.419675317123826</v>
      </c>
      <c r="CK120" s="3" t="n">
        <v>1.419675317123826</v>
      </c>
      <c r="CL120" s="3" t="n">
        <v>1.419675317123826</v>
      </c>
      <c r="CM120" s="3" t="n">
        <v>1.419675317123826</v>
      </c>
      <c r="CN120" s="3" t="n">
        <v>1.419675317123826</v>
      </c>
      <c r="CO120" s="3" t="n">
        <v>1.419675317123826</v>
      </c>
      <c r="CP120" s="3" t="n">
        <v>1.419675317123826</v>
      </c>
      <c r="CQ120" s="3" t="n">
        <v>1.419675317123826</v>
      </c>
      <c r="CR120" s="3" t="n">
        <v>1.419675317123826</v>
      </c>
      <c r="CS120" s="3" t="n">
        <v>1.419675317123826</v>
      </c>
      <c r="CU120" s="20" t="inlineStr">
        <is>
          <t>egy.mit.pav.lidx.all.lpg.6</t>
        </is>
      </c>
      <c r="CV120" s="3" t="n">
        <v>1</v>
      </c>
      <c r="CW120" s="3" t="n">
        <v>1</v>
      </c>
      <c r="CX120" s="3" t="n">
        <v>1</v>
      </c>
      <c r="CY120" s="3" t="n">
        <v>1</v>
      </c>
      <c r="CZ120" s="3" t="n">
        <v>1</v>
      </c>
      <c r="DA120" s="3" t="n">
        <v>1.839350634247653</v>
      </c>
      <c r="DB120" s="3" t="n">
        <v>1.839350634247653</v>
      </c>
      <c r="DC120" s="3" t="n">
        <v>1.839350634247653</v>
      </c>
      <c r="DD120" s="3" t="n">
        <v>1.839350634247653</v>
      </c>
      <c r="DE120" s="3" t="n">
        <v>1.839350634247653</v>
      </c>
      <c r="DF120" s="3" t="n">
        <v>1.839350634247652</v>
      </c>
      <c r="DG120" s="3" t="n">
        <v>1.839350634247653</v>
      </c>
      <c r="DH120" s="3" t="n">
        <v>1.839350634247652</v>
      </c>
      <c r="DI120" s="3" t="n">
        <v>1.839350634247652</v>
      </c>
      <c r="DJ120" s="3" t="n">
        <v>1.839350634247652</v>
      </c>
      <c r="DK120" s="3" t="n">
        <v>1.839350634247653</v>
      </c>
      <c r="DL120" s="3" t="n">
        <v>1.839350634247653</v>
      </c>
      <c r="DM120" s="3" t="n">
        <v>1.839350634247653</v>
      </c>
      <c r="DN120" s="3" t="n">
        <v>1.839350634247652</v>
      </c>
      <c r="DO120" s="3" t="n">
        <v>1.839350634247653</v>
      </c>
    </row>
    <row r="121">
      <c r="A121" s="19" t="inlineStr">
        <is>
          <t>mit.pav.lidx.all.ker</t>
        </is>
      </c>
      <c r="B121" s="3" t="inlineStr">
        <is>
          <t>mit</t>
        </is>
      </c>
      <c r="C121" s="19" t="inlineStr">
        <is>
          <t>mit.rp.all.ker.pct</t>
        </is>
      </c>
      <c r="H121" s="3" t="inlineStr">
        <is>
          <t>Legacy average price against scenario 1 (scenario 1 = 1; fuels without a legacy average: pav.las) | All sectors | Kerosene</t>
        </is>
      </c>
      <c r="I121" s="3" t="inlineStr">
        <is>
          <t>index</t>
        </is>
      </c>
      <c r="K121" s="20" t="inlineStr">
        <is>
          <t>egy.mit.pav.lidx.all.ker.1</t>
        </is>
      </c>
      <c r="L121" s="3" t="n">
        <v>1</v>
      </c>
      <c r="M121" s="3" t="n">
        <v>1</v>
      </c>
      <c r="N121" s="3" t="n">
        <v>1</v>
      </c>
      <c r="O121" s="3" t="n">
        <v>1</v>
      </c>
      <c r="P121" s="3" t="n">
        <v>1</v>
      </c>
      <c r="Q121" s="3" t="n">
        <v>1</v>
      </c>
      <c r="R121" s="3" t="n">
        <v>1</v>
      </c>
      <c r="S121" s="3" t="n">
        <v>1</v>
      </c>
      <c r="T121" s="3" t="n">
        <v>1</v>
      </c>
      <c r="U121" s="3" t="n">
        <v>1</v>
      </c>
      <c r="V121" s="3" t="n">
        <v>1</v>
      </c>
      <c r="W121" s="3" t="n">
        <v>1</v>
      </c>
      <c r="X121" s="3" t="n">
        <v>1</v>
      </c>
      <c r="Y121" s="3" t="n">
        <v>1</v>
      </c>
      <c r="Z121" s="3" t="n">
        <v>1</v>
      </c>
      <c r="AA121" s="3" t="n">
        <v>1</v>
      </c>
      <c r="AB121" s="3" t="n">
        <v>1</v>
      </c>
      <c r="AC121" s="3" t="n">
        <v>1</v>
      </c>
      <c r="AD121" s="3" t="n">
        <v>1</v>
      </c>
      <c r="AE121" s="3" t="n">
        <v>1</v>
      </c>
      <c r="AG121" s="20" t="inlineStr">
        <is>
          <t>egy.mit.pav.lidx.all.ker.3</t>
        </is>
      </c>
      <c r="AH121" s="3" t="n">
        <v>1</v>
      </c>
      <c r="AI121" s="3" t="n">
        <v>1</v>
      </c>
      <c r="AJ121" s="3" t="n">
        <v>1</v>
      </c>
      <c r="AK121" s="3" t="n">
        <v>1</v>
      </c>
      <c r="AL121" s="3" t="n">
        <v>1</v>
      </c>
      <c r="AM121" s="3" t="n">
        <v>1.201081066807086</v>
      </c>
      <c r="AN121" s="3" t="n">
        <v>1.201081194491864</v>
      </c>
      <c r="AO121" s="3" t="n">
        <v>1.201081288399285</v>
      </c>
      <c r="AP121" s="3" t="n">
        <v>1.201081320544836</v>
      </c>
      <c r="AQ121" s="3" t="n">
        <v>1.201081355549589</v>
      </c>
      <c r="AR121" s="3" t="n">
        <v>1.201081373749286</v>
      </c>
      <c r="AS121" s="3" t="n">
        <v>1.201081393377716</v>
      </c>
      <c r="AT121" s="3" t="n">
        <v>1.201081408429904</v>
      </c>
      <c r="AU121" s="3" t="n">
        <v>1.201081411569728</v>
      </c>
      <c r="AV121" s="3" t="n">
        <v>1.201081407583801</v>
      </c>
      <c r="AW121" s="3" t="n">
        <v>1.201081399280988</v>
      </c>
      <c r="AX121" s="3" t="n">
        <v>1.201081377722827</v>
      </c>
      <c r="AY121" s="3" t="n">
        <v>1.201081345376046</v>
      </c>
      <c r="AZ121" s="3" t="n">
        <v>1.201081299681786</v>
      </c>
      <c r="BA121" s="3" t="n">
        <v>1.201081244772476</v>
      </c>
      <c r="BC121" s="20" t="inlineStr">
        <is>
          <t>egy.mit.pav.lidx.all.ker.4</t>
        </is>
      </c>
      <c r="BD121" s="3" t="n">
        <v>1</v>
      </c>
      <c r="BE121" s="3" t="n">
        <v>1</v>
      </c>
      <c r="BF121" s="3" t="n">
        <v>1</v>
      </c>
      <c r="BG121" s="3" t="n">
        <v>1</v>
      </c>
      <c r="BH121" s="3" t="n">
        <v>1</v>
      </c>
      <c r="BI121" s="3" t="n">
        <v>1.100540802683463</v>
      </c>
      <c r="BJ121" s="3" t="n">
        <v>1.234596372948152</v>
      </c>
      <c r="BK121" s="3" t="n">
        <v>1.368652943304403</v>
      </c>
      <c r="BL121" s="3" t="n">
        <v>1.502710217933603</v>
      </c>
      <c r="BM121" s="3" t="n">
        <v>1.63676645526822</v>
      </c>
      <c r="BN121" s="3" t="n">
        <v>1.770822804474528</v>
      </c>
      <c r="BO121" s="3" t="n">
        <v>1.904879291401381</v>
      </c>
      <c r="BP121" s="3" t="n">
        <v>2.038935933850601</v>
      </c>
      <c r="BQ121" s="3" t="n">
        <v>2.172992719666593</v>
      </c>
      <c r="BR121" s="3" t="n">
        <v>2.30704964186023</v>
      </c>
      <c r="BS121" s="3" t="n">
        <v>2.441106705866075</v>
      </c>
      <c r="BT121" s="3" t="n">
        <v>2.575163884053458</v>
      </c>
      <c r="BU121" s="3" t="n">
        <v>2.709221150366628</v>
      </c>
      <c r="BV121" s="3" t="n">
        <v>2.843278455604985</v>
      </c>
      <c r="BW121" s="3" t="n">
        <v>2.977335771580596</v>
      </c>
      <c r="BY121" s="20" t="inlineStr">
        <is>
          <t>egy.mit.pav.lidx.all.ker.5</t>
        </is>
      </c>
      <c r="BZ121" s="3" t="n">
        <v>1</v>
      </c>
      <c r="CA121" s="3" t="n">
        <v>1</v>
      </c>
      <c r="CB121" s="3" t="n">
        <v>1</v>
      </c>
      <c r="CC121" s="3" t="n">
        <v>1</v>
      </c>
      <c r="CD121" s="3" t="n">
        <v>1</v>
      </c>
      <c r="CE121" s="3" t="n">
        <v>1.251351419104141</v>
      </c>
      <c r="CF121" s="3" t="n">
        <v>1.25135157958277</v>
      </c>
      <c r="CG121" s="3" t="n">
        <v>1.251351696791831</v>
      </c>
      <c r="CH121" s="3" t="n">
        <v>1.25135173872399</v>
      </c>
      <c r="CI121" s="3" t="n">
        <v>1.251351786265114</v>
      </c>
      <c r="CJ121" s="3" t="n">
        <v>1.251351809023914</v>
      </c>
      <c r="CK121" s="3" t="n">
        <v>1.25135183528491</v>
      </c>
      <c r="CL121" s="3" t="n">
        <v>1.251351850187833</v>
      </c>
      <c r="CM121" s="3" t="n">
        <v>1.25135185138359</v>
      </c>
      <c r="CN121" s="3" t="n">
        <v>1.25135184372105</v>
      </c>
      <c r="CO121" s="3" t="n">
        <v>1.251351829340005</v>
      </c>
      <c r="CP121" s="3" t="n">
        <v>1.251351799004548</v>
      </c>
      <c r="CQ121" s="3" t="n">
        <v>1.251351757132934</v>
      </c>
      <c r="CR121" s="3" t="n">
        <v>1.251351700011299</v>
      </c>
      <c r="CS121" s="3" t="n">
        <v>1.251351633785471</v>
      </c>
      <c r="CU121" s="20" t="inlineStr">
        <is>
          <t>egy.mit.pav.lidx.all.ker.6</t>
        </is>
      </c>
      <c r="CV121" s="3" t="n">
        <v>1</v>
      </c>
      <c r="CW121" s="3" t="n">
        <v>1</v>
      </c>
      <c r="CX121" s="3" t="n">
        <v>1</v>
      </c>
      <c r="CY121" s="3" t="n">
        <v>1</v>
      </c>
      <c r="CZ121" s="3" t="n">
        <v>1</v>
      </c>
      <c r="DA121" s="3" t="n">
        <v>1.50270371432078</v>
      </c>
      <c r="DB121" s="3" t="n">
        <v>1.50270404314826</v>
      </c>
      <c r="DC121" s="3" t="n">
        <v>1.502704303067882</v>
      </c>
      <c r="DD121" s="3" t="n">
        <v>1.502704355650713</v>
      </c>
      <c r="DE121" s="3" t="n">
        <v>1.502704461149902</v>
      </c>
      <c r="DF121" s="3" t="n">
        <v>1.502704499493701</v>
      </c>
      <c r="DG121" s="3" t="n">
        <v>1.502704577311926</v>
      </c>
      <c r="DH121" s="3" t="n">
        <v>1.502704652840597</v>
      </c>
      <c r="DI121" s="3" t="n">
        <v>1.50270469200779</v>
      </c>
      <c r="DJ121" s="3" t="n">
        <v>1.502704717671101</v>
      </c>
      <c r="DK121" s="3" t="n">
        <v>1.50270474466618</v>
      </c>
      <c r="DL121" s="3" t="n">
        <v>1.502704723891782</v>
      </c>
      <c r="DM121" s="3" t="n">
        <v>1.502704670083288</v>
      </c>
      <c r="DN121" s="3" t="n">
        <v>1.502704567750644</v>
      </c>
      <c r="DO121" s="3" t="n">
        <v>1.50270443910356</v>
      </c>
    </row>
    <row r="122">
      <c r="A122" s="14" t="n"/>
      <c r="B122" s="3" t="inlineStr">
        <is>
          <t>mit</t>
        </is>
      </c>
      <c r="C122" s="19" t="inlineStr">
        <is>
          <t>mit.co2.ela.eco</t>
        </is>
      </c>
      <c r="H122" s="14" t="inlineStr">
        <is>
          <t>Implied economy-wide CO2 elasticity</t>
        </is>
      </c>
      <c r="I122" s="14" t="inlineStr">
        <is>
          <t>unitusdless</t>
        </is>
      </c>
    </row>
    <row r="123">
      <c r="A123" s="14" t="n"/>
      <c r="B123" s="3" t="inlineStr">
        <is>
          <t>mit</t>
        </is>
      </c>
      <c r="C123" s="19" t="inlineStr">
        <is>
          <t>mit.ndc.ecr</t>
        </is>
      </c>
      <c r="H123" s="14" t="inlineStr">
        <is>
          <t>Implied additional carbon price to achieve NDC (US$ per ton CO2)</t>
        </is>
      </c>
      <c r="I123" s="14" t="inlineStr">
        <is>
          <t>usdtco2</t>
        </is>
      </c>
    </row>
    <row r="124">
      <c r="A124" s="19" t="inlineStr">
        <is>
          <t>mit.ecr.all.all</t>
        </is>
      </c>
      <c r="B124" s="3" t="inlineStr">
        <is>
          <t>mit</t>
        </is>
      </c>
      <c r="C124" s="19" t="inlineStr">
        <is>
          <t>mit.ecr</t>
        </is>
      </c>
      <c r="H124" s="3" t="inlineStr">
        <is>
          <t>Effective carbon rate, economy-wide: revenue net of subsidies (incl. electricity VAT and subsidy gap) per tonne of energy CO2 | All sectors | All fuels</t>
        </is>
      </c>
      <c r="I124" s="3" t="inlineStr">
        <is>
          <t>USD/tCO2</t>
        </is>
      </c>
      <c r="K124" s="20" t="inlineStr">
        <is>
          <t>egy.mit.ecr.all.all.1</t>
        </is>
      </c>
      <c r="L124" s="22" t="n">
        <v>-215.4052943364598</v>
      </c>
      <c r="M124" s="22" t="n">
        <v>-199.9707253769932</v>
      </c>
      <c r="N124" s="22" t="n">
        <v>-195.0877985982588</v>
      </c>
      <c r="O124" s="22" t="n">
        <v>-175.7705657733935</v>
      </c>
      <c r="P124" s="22" t="n">
        <v>-190.8709937398404</v>
      </c>
      <c r="Q124" s="22" t="n">
        <v>-176.5895638231065</v>
      </c>
      <c r="R124" s="22" t="n">
        <v>-172.7658683407523</v>
      </c>
      <c r="S124" s="22" t="n">
        <v>-170.9966361687824</v>
      </c>
      <c r="T124" s="22" t="n">
        <v>-169.2620016341361</v>
      </c>
      <c r="U124" s="22" t="n">
        <v>-168.1488516164301</v>
      </c>
      <c r="V124" s="22" t="n">
        <v>-169.142625436167</v>
      </c>
      <c r="W124" s="22" t="n">
        <v>-170.5008709028517</v>
      </c>
      <c r="X124" s="22" t="n">
        <v>-171.9157777369302</v>
      </c>
      <c r="Y124" s="22" t="n">
        <v>-173.2893759368439</v>
      </c>
      <c r="Z124" s="22" t="n">
        <v>-174.6571694778185</v>
      </c>
      <c r="AA124" s="22" t="n">
        <v>-176.0086146032888</v>
      </c>
      <c r="AB124" s="22" t="n">
        <v>-177.3451237817033</v>
      </c>
      <c r="AC124" s="22" t="n">
        <v>-178.6664627707817</v>
      </c>
      <c r="AD124" s="22" t="n">
        <v>-179.9728815199885</v>
      </c>
      <c r="AE124" s="22" t="n">
        <v>-181.2645382816203</v>
      </c>
      <c r="AG124" s="20" t="inlineStr">
        <is>
          <t>egy.mit.ecr.all.all.3</t>
        </is>
      </c>
      <c r="AH124" s="22" t="n">
        <v>-215.4052943364598</v>
      </c>
      <c r="AI124" s="22" t="n">
        <v>-199.9898322059649</v>
      </c>
      <c r="AJ124" s="22" t="n">
        <v>-195.0972857917164</v>
      </c>
      <c r="AK124" s="22" t="n">
        <v>-175.774746808503</v>
      </c>
      <c r="AL124" s="22" t="n">
        <v>-190.8765147485984</v>
      </c>
      <c r="AM124" s="22" t="n">
        <v>-159.3072006617986</v>
      </c>
      <c r="AN124" s="22" t="n">
        <v>-153.8259705662656</v>
      </c>
      <c r="AO124" s="22" t="n">
        <v>-151.6979499375122</v>
      </c>
      <c r="AP124" s="22" t="n">
        <v>-149.8882130418977</v>
      </c>
      <c r="AQ124" s="22" t="n">
        <v>-149.2213494153978</v>
      </c>
      <c r="AR124" s="22" t="n">
        <v>-150.471496938132</v>
      </c>
      <c r="AS124" s="22" t="n">
        <v>-151.8938517397133</v>
      </c>
      <c r="AT124" s="22" t="n">
        <v>-153.5312831901522</v>
      </c>
      <c r="AU124" s="22" t="n">
        <v>-155.0532030168063</v>
      </c>
      <c r="AV124" s="22" t="n">
        <v>-156.5728825355582</v>
      </c>
      <c r="AW124" s="22" t="n">
        <v>-158.068447049326</v>
      </c>
      <c r="AX124" s="22" t="n">
        <v>-159.5526329193165</v>
      </c>
      <c r="AY124" s="22" t="n">
        <v>-161.0184282881561</v>
      </c>
      <c r="AZ124" s="22" t="n">
        <v>-162.4731861438626</v>
      </c>
      <c r="BA124" s="22" t="n">
        <v>-163.9098784752483</v>
      </c>
      <c r="BC124" s="20" t="inlineStr">
        <is>
          <t>egy.mit.ecr.all.all.4</t>
        </is>
      </c>
      <c r="BD124" s="22" t="n">
        <v>-215.4052943364598</v>
      </c>
      <c r="BE124" s="22" t="n">
        <v>-200.0371463950246</v>
      </c>
      <c r="BF124" s="22" t="n">
        <v>-195.1220407491525</v>
      </c>
      <c r="BG124" s="22" t="n">
        <v>-175.786237512038</v>
      </c>
      <c r="BH124" s="22" t="n">
        <v>-190.8914847000434</v>
      </c>
      <c r="BI124" s="22" t="n">
        <v>-168.3298836430597</v>
      </c>
      <c r="BJ124" s="22" t="n">
        <v>-152.5202029836767</v>
      </c>
      <c r="BK124" s="22" t="n">
        <v>-139.2014384126228</v>
      </c>
      <c r="BL124" s="22" t="n">
        <v>-125.0484573645019</v>
      </c>
      <c r="BM124" s="22" t="n">
        <v>-110.7472358884281</v>
      </c>
      <c r="BN124" s="22" t="n">
        <v>-99.43679056951724</v>
      </c>
      <c r="BO124" s="22" t="n">
        <v>-87.74265969590549</v>
      </c>
      <c r="BP124" s="22" t="n">
        <v>-76.9376624611201</v>
      </c>
      <c r="BQ124" s="22" t="n">
        <v>-66.01136435869283</v>
      </c>
      <c r="BR124" s="22" t="n">
        <v>-55.72432949311226</v>
      </c>
      <c r="BS124" s="22" t="n">
        <v>-45.38978125851695</v>
      </c>
      <c r="BT124" s="22" t="n">
        <v>-35.71900976478928</v>
      </c>
      <c r="BU124" s="22" t="n">
        <v>-25.88596363632325</v>
      </c>
      <c r="BV124" s="22" t="n">
        <v>-16.90173755412577</v>
      </c>
      <c r="BW124" s="22" t="n">
        <v>-7.410354510941747</v>
      </c>
      <c r="BY124" s="20" t="inlineStr">
        <is>
          <t>egy.mit.ecr.all.all.5</t>
        </is>
      </c>
      <c r="BZ124" s="22" t="n">
        <v>-215.4052943364598</v>
      </c>
      <c r="CA124" s="22" t="n">
        <v>-200.0833788962446</v>
      </c>
      <c r="CB124" s="22" t="n">
        <v>-195.1451371624658</v>
      </c>
      <c r="CC124" s="22" t="n">
        <v>-175.7964766613195</v>
      </c>
      <c r="CD124" s="22" t="n">
        <v>-190.9050564242447</v>
      </c>
      <c r="CE124" s="22" t="n">
        <v>-166.4701607006566</v>
      </c>
      <c r="CF124" s="22" t="n">
        <v>-162.9864935465146</v>
      </c>
      <c r="CG124" s="22" t="n">
        <v>-161.5147427585473</v>
      </c>
      <c r="CH124" s="22" t="n">
        <v>-160.0059835861797</v>
      </c>
      <c r="CI124" s="22" t="n">
        <v>-159.3091636618956</v>
      </c>
      <c r="CJ124" s="22" t="n">
        <v>-160.8655742685744</v>
      </c>
      <c r="CK124" s="22" t="n">
        <v>-162.7904365026629</v>
      </c>
      <c r="CL124" s="22" t="n">
        <v>-165.5876875496825</v>
      </c>
      <c r="CM124" s="22" t="n">
        <v>-168.1980095219967</v>
      </c>
      <c r="CN124" s="22" t="n">
        <v>-170.8674882948852</v>
      </c>
      <c r="CO124" s="22" t="n">
        <v>-173.7046217141273</v>
      </c>
      <c r="CP124" s="22" t="n">
        <v>-176.454947858725</v>
      </c>
      <c r="CQ124" s="22" t="n">
        <v>-179.2109109206914</v>
      </c>
      <c r="CR124" s="22" t="n">
        <v>-182.0164775503823</v>
      </c>
      <c r="CS124" s="22" t="n">
        <v>-184.7460763012905</v>
      </c>
      <c r="CU124" s="20" t="inlineStr">
        <is>
          <t>egy.mit.ecr.all.all.6</t>
        </is>
      </c>
      <c r="CV124" s="22" t="n">
        <v>-215.4052943364598</v>
      </c>
      <c r="CW124" s="22" t="n">
        <v>-200.0164122810754</v>
      </c>
      <c r="CX124" s="22" t="n">
        <v>-195.110980445715</v>
      </c>
      <c r="CY124" s="22" t="n">
        <v>-175.7810104539808</v>
      </c>
      <c r="CZ124" s="22" t="n">
        <v>-190.8847061412213</v>
      </c>
      <c r="DA124" s="22" t="n">
        <v>-132.837649933526</v>
      </c>
      <c r="DB124" s="22" t="n">
        <v>-125.3251857623277</v>
      </c>
      <c r="DC124" s="22" t="n">
        <v>-123.2215732833589</v>
      </c>
      <c r="DD124" s="22" t="n">
        <v>-121.8108925530379</v>
      </c>
      <c r="DE124" s="22" t="n">
        <v>-120.3307513821974</v>
      </c>
      <c r="DF124" s="22" t="n">
        <v>-122.9835543858687</v>
      </c>
      <c r="DG124" s="22" t="n">
        <v>-125.0768260866641</v>
      </c>
      <c r="DH124" s="22" t="n">
        <v>-128.1579316167346</v>
      </c>
      <c r="DI124" s="22" t="n">
        <v>-130.9970098033623</v>
      </c>
      <c r="DJ124" s="22" t="n">
        <v>-134.0909415192808</v>
      </c>
      <c r="DK124" s="22" t="n">
        <v>-137.0047837614766</v>
      </c>
      <c r="DL124" s="22" t="n">
        <v>-140.099710328687</v>
      </c>
      <c r="DM124" s="22" t="n">
        <v>-142.9601036181438</v>
      </c>
      <c r="DN124" s="22" t="n">
        <v>-145.9481121884036</v>
      </c>
      <c r="DO124" s="22" t="n">
        <v>-148.6974572546693</v>
      </c>
    </row>
    <row r="125">
      <c r="A125" s="19" t="inlineStr">
        <is>
          <t>mit.rp.ind.ecy</t>
        </is>
      </c>
      <c r="B125" s="3" t="inlineStr">
        <is>
          <t>mit</t>
        </is>
      </c>
      <c r="C125" s="19" t="inlineStr">
        <is>
          <t>mit.rp.ind.ecy.t</t>
        </is>
      </c>
      <c r="H125" s="3" t="inlineStr">
        <is>
          <t>End-user electricity price | Industry | Electricity</t>
        </is>
      </c>
      <c r="I125" s="3" t="inlineStr">
        <is>
          <t>USD/kWh real</t>
        </is>
      </c>
      <c r="K125" s="20" t="inlineStr">
        <is>
          <t>egy.mit.rp.ind.ecy.1</t>
        </is>
      </c>
      <c r="L125" s="26" t="n">
        <v>0.06232636786375494</v>
      </c>
      <c r="M125" s="26" t="n">
        <v>0.06351364169897267</v>
      </c>
      <c r="N125" s="26" t="n">
        <v>0.05314551198561693</v>
      </c>
      <c r="O125" s="26" t="n">
        <v>0.05176412702022645</v>
      </c>
      <c r="P125" s="26" t="n">
        <v>0.0517731271380463</v>
      </c>
      <c r="Q125" s="26" t="n">
        <v>0.05230486674727164</v>
      </c>
      <c r="R125" s="26" t="n">
        <v>0.05247482265290784</v>
      </c>
      <c r="S125" s="26" t="n">
        <v>0.05327117229308972</v>
      </c>
      <c r="T125" s="26" t="n">
        <v>0.05394326944766778</v>
      </c>
      <c r="U125" s="26" t="n">
        <v>0.05469855685449651</v>
      </c>
      <c r="V125" s="26" t="n">
        <v>0.05345633218262702</v>
      </c>
      <c r="W125" s="26" t="n">
        <v>0.0522935399609652</v>
      </c>
      <c r="X125" s="26" t="n">
        <v>0.05107899427669338</v>
      </c>
      <c r="Y125" s="26" t="n">
        <v>0.04994668744285893</v>
      </c>
      <c r="Z125" s="26" t="n">
        <v>0.04888779649467037</v>
      </c>
      <c r="AA125" s="26" t="n">
        <v>0.04789785991447038</v>
      </c>
      <c r="AB125" s="26" t="n">
        <v>0.0469696282771786</v>
      </c>
      <c r="AC125" s="26" t="n">
        <v>0.04609356966006697</v>
      </c>
      <c r="AD125" s="26" t="n">
        <v>0.04526368454270727</v>
      </c>
      <c r="AE125" s="26" t="n">
        <v>0.04447320622566639</v>
      </c>
      <c r="AG125" s="20" t="inlineStr">
        <is>
          <t>egy.mit.rp.ind.ecy.3</t>
        </is>
      </c>
      <c r="AH125" s="26" t="n">
        <v>0.06232636786375494</v>
      </c>
      <c r="AI125" s="26" t="n">
        <v>0.06351364169897267</v>
      </c>
      <c r="AJ125" s="26" t="n">
        <v>0.05314551198561693</v>
      </c>
      <c r="AK125" s="26" t="n">
        <v>0.05176584371891163</v>
      </c>
      <c r="AL125" s="26" t="n">
        <v>0.05177738288018888</v>
      </c>
      <c r="AM125" s="26" t="n">
        <v>0.06151434731437089</v>
      </c>
      <c r="AN125" s="26" t="n">
        <v>0.06148706611987425</v>
      </c>
      <c r="AO125" s="26" t="n">
        <v>0.06315093425273446</v>
      </c>
      <c r="AP125" s="26" t="n">
        <v>0.06241298288800553</v>
      </c>
      <c r="AQ125" s="26" t="n">
        <v>0.0628116752558535</v>
      </c>
      <c r="AR125" s="26" t="n">
        <v>0.06101008007216711</v>
      </c>
      <c r="AS125" s="26" t="n">
        <v>0.0595085832703436</v>
      </c>
      <c r="AT125" s="26" t="n">
        <v>0.05793780760772969</v>
      </c>
      <c r="AU125" s="26" t="n">
        <v>0.05648254322132246</v>
      </c>
      <c r="AV125" s="26" t="n">
        <v>0.05514711104485458</v>
      </c>
      <c r="AW125" s="26" t="n">
        <v>0.05390689613129294</v>
      </c>
      <c r="AX125" s="26" t="n">
        <v>0.05274846170433316</v>
      </c>
      <c r="AY125" s="26" t="n">
        <v>0.05166316819804186</v>
      </c>
      <c r="AZ125" s="26" t="n">
        <v>0.05064069366321705</v>
      </c>
      <c r="BA125" s="26" t="n">
        <v>0.04967422206986165</v>
      </c>
      <c r="BC125" s="20" t="inlineStr">
        <is>
          <t>egy.mit.rp.ind.ecy.4</t>
        </is>
      </c>
      <c r="BD125" s="26" t="n">
        <v>0.06232636786375494</v>
      </c>
      <c r="BE125" s="26" t="n">
        <v>0.06351364169897267</v>
      </c>
      <c r="BF125" s="26" t="n">
        <v>0.05314551198561693</v>
      </c>
      <c r="BG125" s="26" t="n">
        <v>0.05176984806169327</v>
      </c>
      <c r="BH125" s="26" t="n">
        <v>0.05178747886422652</v>
      </c>
      <c r="BI125" s="26" t="n">
        <v>0.05692177683445836</v>
      </c>
      <c r="BJ125" s="26" t="n">
        <v>0.06304380578972921</v>
      </c>
      <c r="BK125" s="26" t="n">
        <v>0.06957674565183564</v>
      </c>
      <c r="BL125" s="26" t="n">
        <v>0.07440047010355236</v>
      </c>
      <c r="BM125" s="26" t="n">
        <v>0.07955572291895778</v>
      </c>
      <c r="BN125" s="26" t="n">
        <v>0.08322456640156525</v>
      </c>
      <c r="BO125" s="26" t="n">
        <v>0.0867468558242325</v>
      </c>
      <c r="BP125" s="26" t="n">
        <v>0.0891205261549515</v>
      </c>
      <c r="BQ125" s="26" t="n">
        <v>0.0912918161647196</v>
      </c>
      <c r="BR125" s="26" t="n">
        <v>0.0924245385773062</v>
      </c>
      <c r="BS125" s="26" t="n">
        <v>0.09356201857444085</v>
      </c>
      <c r="BT125" s="26" t="n">
        <v>0.09361845411683395</v>
      </c>
      <c r="BU125" s="26" t="n">
        <v>0.09399740766198277</v>
      </c>
      <c r="BV125" s="26" t="n">
        <v>0.09307411023660855</v>
      </c>
      <c r="BW125" s="26" t="n">
        <v>0.093111150415363</v>
      </c>
      <c r="BY125" s="20" t="inlineStr">
        <is>
          <t>egy.mit.rp.ind.ecy.5</t>
        </is>
      </c>
      <c r="BZ125" s="26" t="n">
        <v>0.06232636786375494</v>
      </c>
      <c r="CA125" s="26" t="n">
        <v>0.06351364169897267</v>
      </c>
      <c r="CB125" s="26" t="n">
        <v>0.05314551198561693</v>
      </c>
      <c r="CC125" s="26" t="n">
        <v>0.05177395277454247</v>
      </c>
      <c r="CD125" s="26" t="n">
        <v>0.051797696731221</v>
      </c>
      <c r="CE125" s="26" t="n">
        <v>0.05233934790470254</v>
      </c>
      <c r="CF125" s="26" t="n">
        <v>0.05251933404368123</v>
      </c>
      <c r="CG125" s="26" t="n">
        <v>0.05332262746994346</v>
      </c>
      <c r="CH125" s="26" t="n">
        <v>0.05399723651133012</v>
      </c>
      <c r="CI125" s="26" t="n">
        <v>0.05476904114079204</v>
      </c>
      <c r="CJ125" s="26" t="n">
        <v>0.05344065591316724</v>
      </c>
      <c r="CK125" s="26" t="n">
        <v>0.05215232236900791</v>
      </c>
      <c r="CL125" s="26" t="n">
        <v>0.05085682896006477</v>
      </c>
      <c r="CM125" s="26" t="n">
        <v>0.04943977342092473</v>
      </c>
      <c r="CN125" s="26" t="n">
        <v>0.0481744793578561</v>
      </c>
      <c r="CO125" s="26" t="n">
        <v>0.04698685464979135</v>
      </c>
      <c r="CP125" s="26" t="n">
        <v>0.04585465625745624</v>
      </c>
      <c r="CQ125" s="26" t="n">
        <v>0.0448184395467775</v>
      </c>
      <c r="CR125" s="26" t="n">
        <v>0.04385127814263654</v>
      </c>
      <c r="CS125" s="26" t="n">
        <v>0.04293490684946105</v>
      </c>
      <c r="CU125" s="20" t="inlineStr">
        <is>
          <t>egy.mit.rp.ind.ecy.6</t>
        </is>
      </c>
      <c r="CV125" s="26" t="n">
        <v>0.06232636786375494</v>
      </c>
      <c r="CW125" s="26" t="n">
        <v>0.06351364169897267</v>
      </c>
      <c r="CX125" s="26" t="n">
        <v>0.05314551198561693</v>
      </c>
      <c r="CY125" s="26" t="n">
        <v>0.05176813476786471</v>
      </c>
      <c r="CZ125" s="26" t="n">
        <v>0.05178312905993418</v>
      </c>
      <c r="DA125" s="26" t="n">
        <v>0.07531359101724233</v>
      </c>
      <c r="DB125" s="26" t="n">
        <v>0.07469698749904255</v>
      </c>
      <c r="DC125" s="26" t="n">
        <v>0.07759205906768339</v>
      </c>
      <c r="DD125" s="26" t="n">
        <v>0.07619214178846753</v>
      </c>
      <c r="DE125" s="26" t="n">
        <v>0.07514852933624953</v>
      </c>
      <c r="DF125" s="26" t="n">
        <v>0.07244832188776691</v>
      </c>
      <c r="DG125" s="26" t="n">
        <v>0.06982177639650779</v>
      </c>
      <c r="DH125" s="26" t="n">
        <v>0.06684376942172826</v>
      </c>
      <c r="DI125" s="26" t="n">
        <v>0.06420124813678847</v>
      </c>
      <c r="DJ125" s="26" t="n">
        <v>0.06170457511699848</v>
      </c>
      <c r="DK125" s="26" t="n">
        <v>0.05951030039165175</v>
      </c>
      <c r="DL125" s="26" t="n">
        <v>0.05743327439017899</v>
      </c>
      <c r="DM125" s="26" t="n">
        <v>0.0556211156459673</v>
      </c>
      <c r="DN125" s="26" t="n">
        <v>0.0539111988761149</v>
      </c>
      <c r="DO125" s="26" t="n">
        <v>0.05240701266933088</v>
      </c>
    </row>
    <row r="126">
      <c r="A126" s="19" t="inlineStr">
        <is>
          <t>mit.rp.res.ecy</t>
        </is>
      </c>
      <c r="B126" s="3" t="inlineStr">
        <is>
          <t>mit</t>
        </is>
      </c>
      <c r="C126" s="19" t="inlineStr">
        <is>
          <t>mit.rp.res.ecy.t</t>
        </is>
      </c>
      <c r="H126" s="3" t="inlineStr">
        <is>
          <t>End-user electricity price | Residential | Electricity</t>
        </is>
      </c>
      <c r="I126" s="3" t="inlineStr">
        <is>
          <t>USD/kWh real</t>
        </is>
      </c>
      <c r="K126" s="20" t="inlineStr">
        <is>
          <t>egy.mit.rp.res.ecy.1</t>
        </is>
      </c>
      <c r="L126" s="26" t="n">
        <v>0.06113555457898331</v>
      </c>
      <c r="M126" s="26" t="n">
        <v>0.05321854123828935</v>
      </c>
      <c r="N126" s="26" t="n">
        <v>0.04512806452045624</v>
      </c>
      <c r="O126" s="26" t="n">
        <v>0.04397347800406094</v>
      </c>
      <c r="P126" s="26" t="n">
        <v>0.04398100046517144</v>
      </c>
      <c r="Q126" s="26" t="n">
        <v>0.04442543803936448</v>
      </c>
      <c r="R126" s="26" t="n">
        <v>0.04456749025648402</v>
      </c>
      <c r="S126" s="26" t="n">
        <v>0.04525372482792904</v>
      </c>
      <c r="T126" s="26" t="n">
        <v>0.0459258219825071</v>
      </c>
      <c r="U126" s="26" t="n">
        <v>0.04668110938933583</v>
      </c>
      <c r="V126" s="26" t="n">
        <v>0.04543888471746634</v>
      </c>
      <c r="W126" s="26" t="n">
        <v>0.04441597090668882</v>
      </c>
      <c r="X126" s="26" t="n">
        <v>0.04340083167632232</v>
      </c>
      <c r="Y126" s="26" t="n">
        <v>0.04245442916324882</v>
      </c>
      <c r="Z126" s="26" t="n">
        <v>0.04156938897406016</v>
      </c>
      <c r="AA126" s="26" t="n">
        <v>0.04074198209167652</v>
      </c>
      <c r="AB126" s="26" t="n">
        <v>0.03996614931561494</v>
      </c>
      <c r="AC126" s="26" t="n">
        <v>0.03923392369261268</v>
      </c>
      <c r="AD126" s="26" t="n">
        <v>0.03854029071508147</v>
      </c>
      <c r="AE126" s="26" t="n">
        <v>0.03787959465335747</v>
      </c>
      <c r="AG126" s="20" t="inlineStr">
        <is>
          <t>egy.mit.rp.res.ecy.3</t>
        </is>
      </c>
      <c r="AH126" s="26" t="n">
        <v>0.06113555457898331</v>
      </c>
      <c r="AI126" s="26" t="n">
        <v>0.05321854123828935</v>
      </c>
      <c r="AJ126" s="26" t="n">
        <v>0.04512806452045624</v>
      </c>
      <c r="AK126" s="26" t="n">
        <v>0.04397481254527748</v>
      </c>
      <c r="AL126" s="26" t="n">
        <v>0.04398445802372765</v>
      </c>
      <c r="AM126" s="26" t="n">
        <v>0.05363387985287833</v>
      </c>
      <c r="AN126" s="26" t="n">
        <v>0.05357842539071554</v>
      </c>
      <c r="AO126" s="26" t="n">
        <v>0.05513348678757378</v>
      </c>
      <c r="AP126" s="26" t="n">
        <v>0.05439553542284484</v>
      </c>
      <c r="AQ126" s="26" t="n">
        <v>0.05479422779069282</v>
      </c>
      <c r="AR126" s="26" t="n">
        <v>0.05304133520668748</v>
      </c>
      <c r="AS126" s="26" t="n">
        <v>0.05174003400268574</v>
      </c>
      <c r="AT126" s="26" t="n">
        <v>0.05036846750747638</v>
      </c>
      <c r="AU126" s="26" t="n">
        <v>0.04910498078647862</v>
      </c>
      <c r="AV126" s="26" t="n">
        <v>0.04794444929677801</v>
      </c>
      <c r="AW126" s="26" t="n">
        <v>0.04686688480010575</v>
      </c>
      <c r="AX126" s="26" t="n">
        <v>0.04586016628091997</v>
      </c>
      <c r="AY126" s="26" t="n">
        <v>0.04491723173091318</v>
      </c>
      <c r="AZ126" s="26" t="n">
        <v>0.04402888496393817</v>
      </c>
      <c r="BA126" s="26" t="n">
        <v>0.04318963634895112</v>
      </c>
      <c r="BC126" s="20" t="inlineStr">
        <is>
          <t>egy.mit.rp.res.ecy.4</t>
        </is>
      </c>
      <c r="BD126" s="26" t="n">
        <v>0.06113555457898331</v>
      </c>
      <c r="BE126" s="26" t="n">
        <v>0.05321854123828935</v>
      </c>
      <c r="BF126" s="26" t="n">
        <v>0.04512806452045624</v>
      </c>
      <c r="BG126" s="26" t="n">
        <v>0.04397792744885552</v>
      </c>
      <c r="BH126" s="26" t="n">
        <v>0.04399266785110272</v>
      </c>
      <c r="BI126" s="26" t="n">
        <v>0.04903883942493214</v>
      </c>
      <c r="BJ126" s="26" t="n">
        <v>0.05513204163857777</v>
      </c>
      <c r="BK126" s="26" t="n">
        <v>0.06155929818667498</v>
      </c>
      <c r="BL126" s="26" t="n">
        <v>0.06641154390264804</v>
      </c>
      <c r="BM126" s="26" t="n">
        <v>0.07161154198290665</v>
      </c>
      <c r="BN126" s="26" t="n">
        <v>0.07535282597392505</v>
      </c>
      <c r="BO126" s="26" t="n">
        <v>0.07902718424450123</v>
      </c>
      <c r="BP126" s="26" t="n">
        <v>0.0815188737900428</v>
      </c>
      <c r="BQ126" s="26" t="n">
        <v>0.08385205538234268</v>
      </c>
      <c r="BR126" s="26" t="n">
        <v>0.08513447237539057</v>
      </c>
      <c r="BS126" s="26" t="n">
        <v>0.08643178246756263</v>
      </c>
      <c r="BT126" s="26" t="n">
        <v>0.08663754781479069</v>
      </c>
      <c r="BU126" s="26" t="n">
        <v>0.0871723086296859</v>
      </c>
      <c r="BV126" s="26" t="n">
        <v>0.08639141099692496</v>
      </c>
      <c r="BW126" s="26" t="n">
        <v>0.0865790507542136</v>
      </c>
      <c r="BY126" s="20" t="inlineStr">
        <is>
          <t>egy.mit.rp.res.ecy.5</t>
        </is>
      </c>
      <c r="BZ126" s="26" t="n">
        <v>0.06113555457898331</v>
      </c>
      <c r="CA126" s="26" t="n">
        <v>0.05321854123828935</v>
      </c>
      <c r="CB126" s="26" t="n">
        <v>0.04512806452045624</v>
      </c>
      <c r="CC126" s="26" t="n">
        <v>0.04398111934062107</v>
      </c>
      <c r="CD126" s="26" t="n">
        <v>0.04400097485720596</v>
      </c>
      <c r="CE126" s="26" t="n">
        <v>0.04445392227468571</v>
      </c>
      <c r="CF126" s="26" t="n">
        <v>0.04460443290001774</v>
      </c>
      <c r="CG126" s="26" t="n">
        <v>0.04530518000478277</v>
      </c>
      <c r="CH126" s="26" t="n">
        <v>0.04597978904616946</v>
      </c>
      <c r="CI126" s="26" t="n">
        <v>0.04675159367563135</v>
      </c>
      <c r="CJ126" s="26" t="n">
        <v>0.04542320844800658</v>
      </c>
      <c r="CK126" s="26" t="n">
        <v>0.04429752506271041</v>
      </c>
      <c r="CL126" s="26" t="n">
        <v>0.0432141887335908</v>
      </c>
      <c r="CM126" s="26" t="n">
        <v>0.04202919795298703</v>
      </c>
      <c r="CN126" s="26" t="n">
        <v>0.04097111535983834</v>
      </c>
      <c r="CO126" s="26" t="n">
        <v>0.03997798256369679</v>
      </c>
      <c r="CP126" s="26" t="n">
        <v>0.039031199166946</v>
      </c>
      <c r="CQ126" s="26" t="n">
        <v>0.03816467896717525</v>
      </c>
      <c r="CR126" s="26" t="n">
        <v>0.03735590519959353</v>
      </c>
      <c r="CS126" s="26" t="n">
        <v>0.0365896038768649</v>
      </c>
      <c r="CU126" s="20" t="inlineStr">
        <is>
          <t>egy.mit.rp.res.ecy.6</t>
        </is>
      </c>
      <c r="CV126" s="26" t="n">
        <v>0.06113555457898331</v>
      </c>
      <c r="CW126" s="26" t="n">
        <v>0.05321854123828935</v>
      </c>
      <c r="CX126" s="26" t="n">
        <v>0.04512806452045624</v>
      </c>
      <c r="CY126" s="26" t="n">
        <v>0.04397659436341776</v>
      </c>
      <c r="CZ126" s="26" t="n">
        <v>0.04398912940437925</v>
      </c>
      <c r="DA126" s="26" t="n">
        <v>0.06743171878657192</v>
      </c>
      <c r="DB126" s="26" t="n">
        <v>0.06678657252291843</v>
      </c>
      <c r="DC126" s="26" t="n">
        <v>0.06957461160252271</v>
      </c>
      <c r="DD126" s="26" t="n">
        <v>0.06817469432330685</v>
      </c>
      <c r="DE126" s="26" t="n">
        <v>0.06713108187108885</v>
      </c>
      <c r="DF126" s="26" t="n">
        <v>0.06451173469928914</v>
      </c>
      <c r="DG126" s="26" t="n">
        <v>0.06214464317715516</v>
      </c>
      <c r="DH126" s="26" t="n">
        <v>0.05939033193282592</v>
      </c>
      <c r="DI126" s="26" t="n">
        <v>0.0569844050254196</v>
      </c>
      <c r="DJ126" s="26" t="n">
        <v>0.05469485995040173</v>
      </c>
      <c r="DK126" s="26" t="n">
        <v>0.05269702134002763</v>
      </c>
      <c r="DL126" s="26" t="n">
        <v>0.05079557417675326</v>
      </c>
      <c r="DM126" s="26" t="n">
        <v>0.04914972396864836</v>
      </c>
      <c r="DN126" s="26" t="n">
        <v>0.04758860584314901</v>
      </c>
      <c r="DO126" s="26" t="n">
        <v>0.04622653566832314</v>
      </c>
    </row>
    <row r="127">
      <c r="A127" s="19" t="inlineStr">
        <is>
          <t>mit.rpn.ind.coa</t>
        </is>
      </c>
      <c r="B127" s="3" t="inlineStr">
        <is>
          <t>mit</t>
        </is>
      </c>
      <c r="C127" s="19" t="inlineStr">
        <is>
          <t>mit.rp.ind.coa.a</t>
        </is>
      </c>
      <c r="H127" s="3" t="inlineStr">
        <is>
          <t>Retail price incl. new taxes and subsidies (fuel-use weighted average of the after-tax prices atp of the subsectors priced by the block; rpb where they use none) | Industry | Coal</t>
        </is>
      </c>
      <c r="I127" s="3" t="inlineStr">
        <is>
          <t>USD/GJ real</t>
        </is>
      </c>
      <c r="K127" s="20" t="inlineStr">
        <is>
          <t>egy.mit.rpn.ind.coa.1</t>
        </is>
      </c>
      <c r="L127" s="3" t="n">
        <v>11.25134662435542</v>
      </c>
      <c r="M127" s="3" t="n">
        <v>8.777356272224875</v>
      </c>
      <c r="N127" s="3" t="n">
        <v>7.571528433437519</v>
      </c>
      <c r="O127" s="3" t="n">
        <v>6.816201516066926</v>
      </c>
      <c r="P127" s="3" t="n">
        <v>7.232382745402233</v>
      </c>
      <c r="Q127" s="3" t="n">
        <v>7.326262736153317</v>
      </c>
      <c r="R127" s="3" t="n">
        <v>7.281748372612745</v>
      </c>
      <c r="S127" s="3" t="n">
        <v>7.234012047909863</v>
      </c>
      <c r="T127" s="3" t="n">
        <v>7.182921773630079</v>
      </c>
      <c r="U127" s="3" t="n">
        <v>7.133617579482906</v>
      </c>
      <c r="V127" s="3" t="n">
        <v>7.133617579482906</v>
      </c>
      <c r="W127" s="3" t="n">
        <v>7.133617579482905</v>
      </c>
      <c r="X127" s="3" t="n">
        <v>7.133617579482908</v>
      </c>
      <c r="Y127" s="3" t="n">
        <v>7.133617579482906</v>
      </c>
      <c r="Z127" s="3" t="n">
        <v>7.133617579482907</v>
      </c>
      <c r="AA127" s="3" t="n">
        <v>7.133617579482906</v>
      </c>
      <c r="AB127" s="3" t="n">
        <v>7.133617579482907</v>
      </c>
      <c r="AC127" s="3" t="n">
        <v>7.133617579482907</v>
      </c>
      <c r="AD127" s="3" t="n">
        <v>7.133617579482906</v>
      </c>
      <c r="AE127" s="3" t="n">
        <v>7.133617579482906</v>
      </c>
      <c r="AG127" s="20" t="inlineStr">
        <is>
          <t>egy.mit.rpn.ind.coa.3</t>
        </is>
      </c>
      <c r="AH127" s="3" t="n">
        <v>11.25134662435542</v>
      </c>
      <c r="AI127" s="3" t="n">
        <v>8.777356272224875</v>
      </c>
      <c r="AJ127" s="3" t="n">
        <v>7.571528433437519</v>
      </c>
      <c r="AK127" s="3" t="n">
        <v>6.816201516066926</v>
      </c>
      <c r="AL127" s="3" t="n">
        <v>7.232382745402233</v>
      </c>
      <c r="AM127" s="3" t="n">
        <v>9.317343602104829</v>
      </c>
      <c r="AN127" s="3" t="n">
        <v>9.27282923856426</v>
      </c>
      <c r="AO127" s="3" t="n">
        <v>9.225092913861376</v>
      </c>
      <c r="AP127" s="3" t="n">
        <v>9.174002639581591</v>
      </c>
      <c r="AQ127" s="3" t="n">
        <v>9.124698445434419</v>
      </c>
      <c r="AR127" s="3" t="n">
        <v>9.124698445434419</v>
      </c>
      <c r="AS127" s="3" t="n">
        <v>9.124698445434419</v>
      </c>
      <c r="AT127" s="3" t="n">
        <v>9.12469844543442</v>
      </c>
      <c r="AU127" s="3" t="n">
        <v>9.12469844543442</v>
      </c>
      <c r="AV127" s="3" t="n">
        <v>9.124698445434419</v>
      </c>
      <c r="AW127" s="3" t="n">
        <v>9.124698445434417</v>
      </c>
      <c r="AX127" s="3" t="n">
        <v>9.124698445434419</v>
      </c>
      <c r="AY127" s="3" t="n">
        <v>9.124698445434417</v>
      </c>
      <c r="AZ127" s="3" t="n">
        <v>9.12469844543442</v>
      </c>
      <c r="BA127" s="3" t="n">
        <v>9.12469844543442</v>
      </c>
      <c r="BC127" s="20" t="inlineStr">
        <is>
          <t>egy.mit.rpn.ind.coa.4</t>
        </is>
      </c>
      <c r="BD127" s="3" t="n">
        <v>11.25134662435542</v>
      </c>
      <c r="BE127" s="3" t="n">
        <v>8.777356272224875</v>
      </c>
      <c r="BF127" s="3" t="n">
        <v>7.571528433437519</v>
      </c>
      <c r="BG127" s="3" t="n">
        <v>6.816201516066926</v>
      </c>
      <c r="BH127" s="3" t="n">
        <v>7.232382745402233</v>
      </c>
      <c r="BI127" s="3" t="n">
        <v>8.321803169129073</v>
      </c>
      <c r="BJ127" s="3" t="n">
        <v>9.604676049556177</v>
      </c>
      <c r="BK127" s="3" t="n">
        <v>10.88432696882097</v>
      </c>
      <c r="BL127" s="3" t="n">
        <v>12.16062393850886</v>
      </c>
      <c r="BM127" s="3" t="n">
        <v>13.43870698832936</v>
      </c>
      <c r="BN127" s="3" t="n">
        <v>14.76609423229704</v>
      </c>
      <c r="BO127" s="3" t="n">
        <v>16.09348147626471</v>
      </c>
      <c r="BP127" s="3" t="n">
        <v>17.4208687202324</v>
      </c>
      <c r="BQ127" s="3" t="n">
        <v>18.74825596420007</v>
      </c>
      <c r="BR127" s="3" t="n">
        <v>20.07564320816774</v>
      </c>
      <c r="BS127" s="3" t="n">
        <v>21.40303045213542</v>
      </c>
      <c r="BT127" s="3" t="n">
        <v>22.73041769610309</v>
      </c>
      <c r="BU127" s="3" t="n">
        <v>24.05780494007077</v>
      </c>
      <c r="BV127" s="3" t="n">
        <v>25.38519218403844</v>
      </c>
      <c r="BW127" s="3" t="n">
        <v>26.71257942800612</v>
      </c>
      <c r="BY127" s="20" t="inlineStr">
        <is>
          <t>egy.mit.rpn.ind.coa.5</t>
        </is>
      </c>
      <c r="BZ127" s="3" t="n">
        <v>11.25134662435542</v>
      </c>
      <c r="CA127" s="3" t="n">
        <v>8.777356272224875</v>
      </c>
      <c r="CB127" s="3" t="n">
        <v>7.571528433437519</v>
      </c>
      <c r="CC127" s="3" t="n">
        <v>6.816201516066926</v>
      </c>
      <c r="CD127" s="3" t="n">
        <v>7.232382745402233</v>
      </c>
      <c r="CE127" s="3" t="n">
        <v>7.326262736153317</v>
      </c>
      <c r="CF127" s="3" t="n">
        <v>7.281748372612745</v>
      </c>
      <c r="CG127" s="3" t="n">
        <v>7.234012047909862</v>
      </c>
      <c r="CH127" s="3" t="n">
        <v>7.182921773630079</v>
      </c>
      <c r="CI127" s="3" t="n">
        <v>7.133617579482906</v>
      </c>
      <c r="CJ127" s="3" t="n">
        <v>7.133617579482905</v>
      </c>
      <c r="CK127" s="3" t="n">
        <v>7.133617579482907</v>
      </c>
      <c r="CL127" s="3" t="n">
        <v>7.133617579482907</v>
      </c>
      <c r="CM127" s="3" t="n">
        <v>7.133617579482908</v>
      </c>
      <c r="CN127" s="3" t="n">
        <v>7.133617579482908</v>
      </c>
      <c r="CO127" s="3" t="n">
        <v>7.133617579482907</v>
      </c>
      <c r="CP127" s="3" t="n">
        <v>7.133617579482906</v>
      </c>
      <c r="CQ127" s="3" t="n">
        <v>7.133617579482906</v>
      </c>
      <c r="CR127" s="3" t="n">
        <v>7.133617579482907</v>
      </c>
      <c r="CS127" s="3" t="n">
        <v>7.133617579482906</v>
      </c>
      <c r="CU127" s="20" t="inlineStr">
        <is>
          <t>egy.mit.rpn.ind.coa.6</t>
        </is>
      </c>
      <c r="CV127" s="3" t="n">
        <v>11.25134662435542</v>
      </c>
      <c r="CW127" s="3" t="n">
        <v>8.777356272224875</v>
      </c>
      <c r="CX127" s="3" t="n">
        <v>7.571528433437519</v>
      </c>
      <c r="CY127" s="3" t="n">
        <v>6.816201516066926</v>
      </c>
      <c r="CZ127" s="3" t="n">
        <v>7.232382745402233</v>
      </c>
      <c r="DA127" s="3" t="n">
        <v>12.3039649010321</v>
      </c>
      <c r="DB127" s="3" t="n">
        <v>12.25945053749153</v>
      </c>
      <c r="DC127" s="3" t="n">
        <v>12.21171421278865</v>
      </c>
      <c r="DD127" s="3" t="n">
        <v>12.16062393850886</v>
      </c>
      <c r="DE127" s="3" t="n">
        <v>12.11131974436169</v>
      </c>
      <c r="DF127" s="3" t="n">
        <v>12.11131974436169</v>
      </c>
      <c r="DG127" s="3" t="n">
        <v>12.11131974436169</v>
      </c>
      <c r="DH127" s="3" t="n">
        <v>12.11131974436169</v>
      </c>
      <c r="DI127" s="3" t="n">
        <v>12.11131974436169</v>
      </c>
      <c r="DJ127" s="3" t="n">
        <v>12.11131974436169</v>
      </c>
      <c r="DK127" s="3" t="n">
        <v>12.11131974436169</v>
      </c>
      <c r="DL127" s="3" t="n">
        <v>12.11131974436169</v>
      </c>
      <c r="DM127" s="3" t="n">
        <v>12.11131974436169</v>
      </c>
      <c r="DN127" s="3" t="n">
        <v>12.11131974436169</v>
      </c>
      <c r="DO127" s="3" t="n">
        <v>12.11131974436169</v>
      </c>
    </row>
    <row r="128">
      <c r="A128" s="19" t="inlineStr">
        <is>
          <t>mit.rpn.ind.nga</t>
        </is>
      </c>
      <c r="B128" s="3" t="inlineStr">
        <is>
          <t>mit</t>
        </is>
      </c>
      <c r="C128" s="19" t="inlineStr">
        <is>
          <t>mit.rp.ind.nga.a</t>
        </is>
      </c>
      <c r="H128" s="3" t="inlineStr">
        <is>
          <t>Retail price incl. new taxes and subsidies (fuel-use weighted average of the after-tax prices atp of the subsectors priced by the block; rpb where they use none) | Industry | Natural gas</t>
        </is>
      </c>
      <c r="I128" s="3" t="inlineStr">
        <is>
          <t>USD/GJ real</t>
        </is>
      </c>
      <c r="K128" s="20" t="inlineStr">
        <is>
          <t>egy.mit.rpn.ind.nga.1</t>
        </is>
      </c>
      <c r="L128" s="3" t="n">
        <v>4.899794962971504</v>
      </c>
      <c r="M128" s="3" t="n">
        <v>5.118455079782481</v>
      </c>
      <c r="N128" s="3" t="n">
        <v>4.885007238406946</v>
      </c>
      <c r="O128" s="3" t="n">
        <v>4.885007238406946</v>
      </c>
      <c r="P128" s="3" t="n">
        <v>4.885007238406946</v>
      </c>
      <c r="Q128" s="3" t="n">
        <v>4.885007238406947</v>
      </c>
      <c r="R128" s="3" t="n">
        <v>4.885007238406946</v>
      </c>
      <c r="S128" s="3" t="n">
        <v>4.885007238406946</v>
      </c>
      <c r="T128" s="3" t="n">
        <v>4.885007238406946</v>
      </c>
      <c r="U128" s="3" t="n">
        <v>4.885007238406946</v>
      </c>
      <c r="V128" s="3" t="n">
        <v>4.885007238406946</v>
      </c>
      <c r="W128" s="3" t="n">
        <v>4.885007238406946</v>
      </c>
      <c r="X128" s="3" t="n">
        <v>4.885007238406946</v>
      </c>
      <c r="Y128" s="3" t="n">
        <v>4.885007238406946</v>
      </c>
      <c r="Z128" s="3" t="n">
        <v>4.885007238406946</v>
      </c>
      <c r="AA128" s="3" t="n">
        <v>4.885007238406945</v>
      </c>
      <c r="AB128" s="3" t="n">
        <v>4.885007238406946</v>
      </c>
      <c r="AC128" s="3" t="n">
        <v>4.885007238406947</v>
      </c>
      <c r="AD128" s="3" t="n">
        <v>4.885007238406946</v>
      </c>
      <c r="AE128" s="3" t="n">
        <v>4.885007238406947</v>
      </c>
      <c r="AG128" s="20" t="inlineStr">
        <is>
          <t>egy.mit.rpn.ind.nga.3</t>
        </is>
      </c>
      <c r="AH128" s="3" t="n">
        <v>4.899794962971504</v>
      </c>
      <c r="AI128" s="3" t="n">
        <v>5.118455079782481</v>
      </c>
      <c r="AJ128" s="3" t="n">
        <v>4.885007238406946</v>
      </c>
      <c r="AK128" s="3" t="n">
        <v>4.885007238406946</v>
      </c>
      <c r="AL128" s="3" t="n">
        <v>4.885007238406946</v>
      </c>
      <c r="AM128" s="3" t="n">
        <v>5.99603036160789</v>
      </c>
      <c r="AN128" s="3" t="n">
        <v>5.99603036160789</v>
      </c>
      <c r="AO128" s="3" t="n">
        <v>5.99603036160789</v>
      </c>
      <c r="AP128" s="3" t="n">
        <v>5.99603036160789</v>
      </c>
      <c r="AQ128" s="3" t="n">
        <v>5.99603036160789</v>
      </c>
      <c r="AR128" s="3" t="n">
        <v>5.996030361607889</v>
      </c>
      <c r="AS128" s="3" t="n">
        <v>5.99603036160789</v>
      </c>
      <c r="AT128" s="3" t="n">
        <v>5.996030361607889</v>
      </c>
      <c r="AU128" s="3" t="n">
        <v>5.99603036160789</v>
      </c>
      <c r="AV128" s="3" t="n">
        <v>5.99603036160789</v>
      </c>
      <c r="AW128" s="3" t="n">
        <v>5.99603036160789</v>
      </c>
      <c r="AX128" s="3" t="n">
        <v>5.99603036160789</v>
      </c>
      <c r="AY128" s="3" t="n">
        <v>5.99603036160789</v>
      </c>
      <c r="AZ128" s="3" t="n">
        <v>5.99603036160789</v>
      </c>
      <c r="BA128" s="3" t="n">
        <v>5.99603036160789</v>
      </c>
      <c r="BC128" s="20" t="inlineStr">
        <is>
          <t>egy.mit.rpn.ind.nga.4</t>
        </is>
      </c>
      <c r="BD128" s="3" t="n">
        <v>4.899794962971504</v>
      </c>
      <c r="BE128" s="3" t="n">
        <v>5.118455079782481</v>
      </c>
      <c r="BF128" s="3" t="n">
        <v>4.885007238406946</v>
      </c>
      <c r="BG128" s="3" t="n">
        <v>4.885007238406946</v>
      </c>
      <c r="BH128" s="3" t="n">
        <v>4.885007238406946</v>
      </c>
      <c r="BI128" s="3" t="n">
        <v>5.440518800007418</v>
      </c>
      <c r="BJ128" s="3" t="n">
        <v>6.181200882141381</v>
      </c>
      <c r="BK128" s="3" t="n">
        <v>6.921882964275342</v>
      </c>
      <c r="BL128" s="3" t="n">
        <v>7.662565046409306</v>
      </c>
      <c r="BM128" s="3" t="n">
        <v>8.403247128543269</v>
      </c>
      <c r="BN128" s="3" t="n">
        <v>9.143929210677232</v>
      </c>
      <c r="BO128" s="3" t="n">
        <v>9.884611292811194</v>
      </c>
      <c r="BP128" s="3" t="n">
        <v>10.62529337494516</v>
      </c>
      <c r="BQ128" s="3" t="n">
        <v>11.36597545707912</v>
      </c>
      <c r="BR128" s="3" t="n">
        <v>12.10665753921308</v>
      </c>
      <c r="BS128" s="3" t="n">
        <v>12.84733962134704</v>
      </c>
      <c r="BT128" s="3" t="n">
        <v>13.58802170348101</v>
      </c>
      <c r="BU128" s="3" t="n">
        <v>14.32870378561497</v>
      </c>
      <c r="BV128" s="3" t="n">
        <v>15.06938586774893</v>
      </c>
      <c r="BW128" s="3" t="n">
        <v>15.8100679498829</v>
      </c>
      <c r="BY128" s="20" t="inlineStr">
        <is>
          <t>egy.mit.rpn.ind.nga.5</t>
        </is>
      </c>
      <c r="BZ128" s="3" t="n">
        <v>4.899794962971504</v>
      </c>
      <c r="CA128" s="3" t="n">
        <v>5.118455079782481</v>
      </c>
      <c r="CB128" s="3" t="n">
        <v>4.885007238406946</v>
      </c>
      <c r="CC128" s="3" t="n">
        <v>4.885007238406946</v>
      </c>
      <c r="CD128" s="3" t="n">
        <v>4.885007238406946</v>
      </c>
      <c r="CE128" s="3" t="n">
        <v>5.836395405568577</v>
      </c>
      <c r="CF128" s="3" t="n">
        <v>5.843820423683842</v>
      </c>
      <c r="CG128" s="3" t="n">
        <v>5.850637259096303</v>
      </c>
      <c r="CH128" s="3" t="n">
        <v>5.85691259349021</v>
      </c>
      <c r="CI128" s="3" t="n">
        <v>5.862642373030317</v>
      </c>
      <c r="CJ128" s="3" t="n">
        <v>5.867968655525083</v>
      </c>
      <c r="CK128" s="3" t="n">
        <v>5.87306259502222</v>
      </c>
      <c r="CL128" s="3" t="n">
        <v>5.877844842844239</v>
      </c>
      <c r="CM128" s="3" t="n">
        <v>5.882392011640539</v>
      </c>
      <c r="CN128" s="3" t="n">
        <v>5.884478644809802</v>
      </c>
      <c r="CO128" s="3" t="n">
        <v>5.886556316895933</v>
      </c>
      <c r="CP128" s="3" t="n">
        <v>5.888601962406106</v>
      </c>
      <c r="CQ128" s="3" t="n">
        <v>5.890617945785959</v>
      </c>
      <c r="CR128" s="3" t="n">
        <v>5.892617026043403</v>
      </c>
      <c r="CS128" s="3" t="n">
        <v>5.894601007452233</v>
      </c>
      <c r="CU128" s="20" t="inlineStr">
        <is>
          <t>egy.mit.rpn.ind.nga.6</t>
        </is>
      </c>
      <c r="CV128" s="3" t="n">
        <v>4.899794962971504</v>
      </c>
      <c r="CW128" s="3" t="n">
        <v>5.118455079782481</v>
      </c>
      <c r="CX128" s="3" t="n">
        <v>4.885007238406946</v>
      </c>
      <c r="CY128" s="3" t="n">
        <v>4.885007238406946</v>
      </c>
      <c r="CZ128" s="3" t="n">
        <v>4.885007238406946</v>
      </c>
      <c r="DA128" s="3" t="n">
        <v>7.662565046409306</v>
      </c>
      <c r="DB128" s="3" t="n">
        <v>7.662565046409306</v>
      </c>
      <c r="DC128" s="3" t="n">
        <v>7.662565046409306</v>
      </c>
      <c r="DD128" s="3" t="n">
        <v>7.662565046409306</v>
      </c>
      <c r="DE128" s="3" t="n">
        <v>7.662565046409305</v>
      </c>
      <c r="DF128" s="3" t="n">
        <v>7.662565046409305</v>
      </c>
      <c r="DG128" s="3" t="n">
        <v>7.662565046409306</v>
      </c>
      <c r="DH128" s="3" t="n">
        <v>7.662565046409306</v>
      </c>
      <c r="DI128" s="3" t="n">
        <v>7.662565046409305</v>
      </c>
      <c r="DJ128" s="3" t="n">
        <v>7.662565046409306</v>
      </c>
      <c r="DK128" s="3" t="n">
        <v>7.662565046409306</v>
      </c>
      <c r="DL128" s="3" t="n">
        <v>7.662565046409306</v>
      </c>
      <c r="DM128" s="3" t="n">
        <v>7.662565046409305</v>
      </c>
      <c r="DN128" s="3" t="n">
        <v>7.662565046409305</v>
      </c>
      <c r="DO128" s="3" t="n">
        <v>7.662565046409306</v>
      </c>
    </row>
    <row r="129">
      <c r="A129" s="19" t="inlineStr">
        <is>
          <t>mit.rpn.res.coa</t>
        </is>
      </c>
      <c r="B129" s="3" t="inlineStr">
        <is>
          <t>mit</t>
        </is>
      </c>
      <c r="C129" s="19" t="inlineStr">
        <is>
          <t>mit.rp.res.coa.a</t>
        </is>
      </c>
      <c r="H129" s="3" t="inlineStr">
        <is>
          <t>Retail price incl. new taxes and subsidies (fuel-use weighted average of the after-tax prices atp of the subsectors priced by the block; rpb where they use none) | Residential | Coal</t>
        </is>
      </c>
      <c r="I129" s="3" t="inlineStr">
        <is>
          <t>USD/GJ real</t>
        </is>
      </c>
      <c r="K129" s="20" t="inlineStr">
        <is>
          <t>egy.mit.rpn.res.coa.1</t>
        </is>
      </c>
      <c r="L129" s="3" t="n">
        <v>23.57657960090451</v>
      </c>
      <c r="M129" s="3" t="n">
        <v>15.45297302294686</v>
      </c>
      <c r="N129" s="3" t="n">
        <v>14.48322663188887</v>
      </c>
      <c r="O129" s="3" t="n">
        <v>13.29323859724514</v>
      </c>
      <c r="P129" s="3" t="n">
        <v>13.94891585667126</v>
      </c>
      <c r="Q129" s="3" t="n">
        <v>14.09682011258624</v>
      </c>
      <c r="R129" s="3" t="n">
        <v>14.0266894727734</v>
      </c>
      <c r="S129" s="3" t="n">
        <v>13.95148275908703</v>
      </c>
      <c r="T129" s="3" t="n">
        <v>13.87099202893901</v>
      </c>
      <c r="U129" s="3" t="n">
        <v>13.79331519822692</v>
      </c>
      <c r="V129" s="3" t="n">
        <v>13.79331519822692</v>
      </c>
      <c r="W129" s="3" t="n">
        <v>13.79331519822692</v>
      </c>
      <c r="X129" s="3" t="n">
        <v>13.79331519822692</v>
      </c>
      <c r="Y129" s="3" t="n">
        <v>13.79331519822692</v>
      </c>
      <c r="Z129" s="3" t="n">
        <v>13.79331519822692</v>
      </c>
      <c r="AA129" s="3" t="n">
        <v>13.79331519822692</v>
      </c>
      <c r="AB129" s="3" t="n">
        <v>13.79331519822692</v>
      </c>
      <c r="AC129" s="3" t="n">
        <v>13.79331519822692</v>
      </c>
      <c r="AD129" s="3" t="n">
        <v>13.79331519822692</v>
      </c>
      <c r="AE129" s="3" t="n">
        <v>13.79331519822692</v>
      </c>
      <c r="AG129" s="20" t="inlineStr">
        <is>
          <t>egy.mit.rpn.res.coa.3</t>
        </is>
      </c>
      <c r="AH129" s="3" t="n">
        <v>23.57657960090451</v>
      </c>
      <c r="AI129" s="3" t="n">
        <v>15.45297302294686</v>
      </c>
      <c r="AJ129" s="3" t="n">
        <v>14.48322663188887</v>
      </c>
      <c r="AK129" s="3" t="n">
        <v>13.29323859724514</v>
      </c>
      <c r="AL129" s="3" t="n">
        <v>13.94891585667126</v>
      </c>
      <c r="AM129" s="3" t="n">
        <v>16.23727186510143</v>
      </c>
      <c r="AN129" s="3" t="n">
        <v>16.1671412252886</v>
      </c>
      <c r="AO129" s="3" t="n">
        <v>16.09193451160223</v>
      </c>
      <c r="AP129" s="3" t="n">
        <v>16.01144378145421</v>
      </c>
      <c r="AQ129" s="3" t="n">
        <v>15.93376695074211</v>
      </c>
      <c r="AR129" s="3" t="n">
        <v>15.93376695074211</v>
      </c>
      <c r="AS129" s="3" t="n">
        <v>15.93376695074211</v>
      </c>
      <c r="AT129" s="3" t="n">
        <v>15.93376695074212</v>
      </c>
      <c r="AU129" s="3" t="n">
        <v>15.93376695074212</v>
      </c>
      <c r="AV129" s="3" t="n">
        <v>15.93376695074212</v>
      </c>
      <c r="AW129" s="3" t="n">
        <v>15.93376695074211</v>
      </c>
      <c r="AX129" s="3" t="n">
        <v>15.93376695074211</v>
      </c>
      <c r="AY129" s="3" t="n">
        <v>15.93376695074211</v>
      </c>
      <c r="AZ129" s="3" t="n">
        <v>15.93376695074211</v>
      </c>
      <c r="BA129" s="3" t="n">
        <v>15.93376695074211</v>
      </c>
      <c r="BC129" s="20" t="inlineStr">
        <is>
          <t>egy.mit.rpn.res.coa.4</t>
        </is>
      </c>
      <c r="BD129" s="3" t="n">
        <v>23.57657960090451</v>
      </c>
      <c r="BE129" s="3" t="n">
        <v>15.45297302294686</v>
      </c>
      <c r="BF129" s="3" t="n">
        <v>14.48322663188887</v>
      </c>
      <c r="BG129" s="3" t="n">
        <v>13.29323859724514</v>
      </c>
      <c r="BH129" s="3" t="n">
        <v>13.94891585667126</v>
      </c>
      <c r="BI129" s="3" t="n">
        <v>15.16704598884384</v>
      </c>
      <c r="BJ129" s="3" t="n">
        <v>16.52388318404113</v>
      </c>
      <c r="BK129" s="3" t="n">
        <v>17.87564430536489</v>
      </c>
      <c r="BL129" s="3" t="n">
        <v>19.222121410227</v>
      </c>
      <c r="BM129" s="3" t="n">
        <v>20.57141241452504</v>
      </c>
      <c r="BN129" s="3" t="n">
        <v>21.99838024953517</v>
      </c>
      <c r="BO129" s="3" t="n">
        <v>23.4253480845453</v>
      </c>
      <c r="BP129" s="3" t="n">
        <v>24.85231591955543</v>
      </c>
      <c r="BQ129" s="3" t="n">
        <v>26.27928375456556</v>
      </c>
      <c r="BR129" s="3" t="n">
        <v>27.70625158957569</v>
      </c>
      <c r="BS129" s="3" t="n">
        <v>29.13321942458582</v>
      </c>
      <c r="BT129" s="3" t="n">
        <v>30.56018725959596</v>
      </c>
      <c r="BU129" s="3" t="n">
        <v>31.98715509460608</v>
      </c>
      <c r="BV129" s="3" t="n">
        <v>33.41412292961621</v>
      </c>
      <c r="BW129" s="3" t="n">
        <v>34.84109076462634</v>
      </c>
      <c r="BY129" s="20" t="inlineStr">
        <is>
          <t>egy.mit.rpn.res.coa.5</t>
        </is>
      </c>
      <c r="BZ129" s="3" t="n">
        <v>23.57657960090451</v>
      </c>
      <c r="CA129" s="3" t="n">
        <v>15.45297302294686</v>
      </c>
      <c r="CB129" s="3" t="n">
        <v>14.48322663188887</v>
      </c>
      <c r="CC129" s="3" t="n">
        <v>13.29323859724514</v>
      </c>
      <c r="CD129" s="3" t="n">
        <v>13.94891585667126</v>
      </c>
      <c r="CE129" s="3" t="n">
        <v>16.77238480323023</v>
      </c>
      <c r="CF129" s="3" t="n">
        <v>16.70225416341739</v>
      </c>
      <c r="CG129" s="3" t="n">
        <v>16.62704744973102</v>
      </c>
      <c r="CH129" s="3" t="n">
        <v>16.54655671958301</v>
      </c>
      <c r="CI129" s="3" t="n">
        <v>16.46887988887091</v>
      </c>
      <c r="CJ129" s="3" t="n">
        <v>16.46887988887091</v>
      </c>
      <c r="CK129" s="3" t="n">
        <v>16.46887988887091</v>
      </c>
      <c r="CL129" s="3" t="n">
        <v>16.46887988887092</v>
      </c>
      <c r="CM129" s="3" t="n">
        <v>16.46887988887092</v>
      </c>
      <c r="CN129" s="3" t="n">
        <v>16.46887988887092</v>
      </c>
      <c r="CO129" s="3" t="n">
        <v>16.46887988887091</v>
      </c>
      <c r="CP129" s="3" t="n">
        <v>16.46887988887091</v>
      </c>
      <c r="CQ129" s="3" t="n">
        <v>16.46887988887091</v>
      </c>
      <c r="CR129" s="3" t="n">
        <v>16.46887988887091</v>
      </c>
      <c r="CS129" s="3" t="n">
        <v>16.46887988887091</v>
      </c>
      <c r="CU129" s="20" t="inlineStr">
        <is>
          <t>egy.mit.rpn.res.coa.6</t>
        </is>
      </c>
      <c r="CV129" s="3" t="n">
        <v>23.57657960090451</v>
      </c>
      <c r="CW129" s="3" t="n">
        <v>15.45297302294686</v>
      </c>
      <c r="CX129" s="3" t="n">
        <v>14.48322663188887</v>
      </c>
      <c r="CY129" s="3" t="n">
        <v>13.29323859724514</v>
      </c>
      <c r="CZ129" s="3" t="n">
        <v>13.94891585667126</v>
      </c>
      <c r="DA129" s="3" t="n">
        <v>19.44794949387423</v>
      </c>
      <c r="DB129" s="3" t="n">
        <v>19.37781885406139</v>
      </c>
      <c r="DC129" s="3" t="n">
        <v>19.30261214037502</v>
      </c>
      <c r="DD129" s="3" t="n">
        <v>19.222121410227</v>
      </c>
      <c r="DE129" s="3" t="n">
        <v>19.14444457951491</v>
      </c>
      <c r="DF129" s="3" t="n">
        <v>19.14444457951491</v>
      </c>
      <c r="DG129" s="3" t="n">
        <v>19.14444457951491</v>
      </c>
      <c r="DH129" s="3" t="n">
        <v>19.14444457951491</v>
      </c>
      <c r="DI129" s="3" t="n">
        <v>19.14444457951491</v>
      </c>
      <c r="DJ129" s="3" t="n">
        <v>19.14444457951491</v>
      </c>
      <c r="DK129" s="3" t="n">
        <v>19.14444457951491</v>
      </c>
      <c r="DL129" s="3" t="n">
        <v>19.14444457951491</v>
      </c>
      <c r="DM129" s="3" t="n">
        <v>19.14444457951491</v>
      </c>
      <c r="DN129" s="3" t="n">
        <v>19.14444457951491</v>
      </c>
      <c r="DO129" s="3" t="n">
        <v>19.14444457951491</v>
      </c>
    </row>
    <row r="130">
      <c r="A130" s="19" t="inlineStr">
        <is>
          <t>mit.rpn.res.nga</t>
        </is>
      </c>
      <c r="B130" s="3" t="inlineStr">
        <is>
          <t>mit</t>
        </is>
      </c>
      <c r="C130" s="19" t="inlineStr">
        <is>
          <t>mit.rp.res.nga.a</t>
        </is>
      </c>
      <c r="H130" s="3" t="inlineStr">
        <is>
          <t>Retail price incl. new taxes and subsidies (fuel-use weighted average of the after-tax prices atp of the subsectors priced by the block; rpb where they use none) | Residential | Natural gas</t>
        </is>
      </c>
      <c r="I130" s="3" t="inlineStr">
        <is>
          <t>USD/GJ real</t>
        </is>
      </c>
      <c r="K130" s="20" t="inlineStr">
        <is>
          <t>egy.mit.rpn.res.nga.1</t>
        </is>
      </c>
      <c r="L130" s="3" t="n">
        <v>4.956488507231395</v>
      </c>
      <c r="M130" s="3" t="n">
        <v>2.734846935064834</v>
      </c>
      <c r="N130" s="3" t="n">
        <v>1.797160127284108</v>
      </c>
      <c r="O130" s="3" t="n">
        <v>1.797160127284109</v>
      </c>
      <c r="P130" s="3" t="n">
        <v>1.797160127284108</v>
      </c>
      <c r="Q130" s="3" t="n">
        <v>1.797160127284108</v>
      </c>
      <c r="R130" s="3" t="n">
        <v>1.797160127284109</v>
      </c>
      <c r="S130" s="3" t="n">
        <v>1.797160127284108</v>
      </c>
      <c r="T130" s="3" t="n">
        <v>1.797160127284108</v>
      </c>
      <c r="U130" s="3" t="n">
        <v>1.797160127284109</v>
      </c>
      <c r="V130" s="3" t="n">
        <v>1.797160127284108</v>
      </c>
      <c r="W130" s="3" t="n">
        <v>1.797160127284108</v>
      </c>
      <c r="X130" s="3" t="n">
        <v>1.797160127284108</v>
      </c>
      <c r="Y130" s="3" t="n">
        <v>1.797160127284109</v>
      </c>
      <c r="Z130" s="3" t="n">
        <v>1.797160127284109</v>
      </c>
      <c r="AA130" s="3" t="n">
        <v>1.797160127284108</v>
      </c>
      <c r="AB130" s="3" t="n">
        <v>1.797160127284108</v>
      </c>
      <c r="AC130" s="3" t="n">
        <v>1.797160127284108</v>
      </c>
      <c r="AD130" s="3" t="n">
        <v>1.797160127284108</v>
      </c>
      <c r="AE130" s="3" t="n">
        <v>1.797160127284108</v>
      </c>
      <c r="AG130" s="20" t="inlineStr">
        <is>
          <t>egy.mit.rpn.res.nga.3</t>
        </is>
      </c>
      <c r="AH130" s="3" t="n">
        <v>4.956488507231395</v>
      </c>
      <c r="AI130" s="3" t="n">
        <v>2.734846935064834</v>
      </c>
      <c r="AJ130" s="3" t="n">
        <v>1.797160127284108</v>
      </c>
      <c r="AK130" s="3" t="n">
        <v>1.797160127284109</v>
      </c>
      <c r="AL130" s="3" t="n">
        <v>1.797160127284108</v>
      </c>
      <c r="AM130" s="3" t="n">
        <v>2.908183250485053</v>
      </c>
      <c r="AN130" s="3" t="n">
        <v>2.908183250485052</v>
      </c>
      <c r="AO130" s="3" t="n">
        <v>2.908183250485052</v>
      </c>
      <c r="AP130" s="3" t="n">
        <v>2.908183250485052</v>
      </c>
      <c r="AQ130" s="3" t="n">
        <v>2.908183250485052</v>
      </c>
      <c r="AR130" s="3" t="n">
        <v>2.908183250485053</v>
      </c>
      <c r="AS130" s="3" t="n">
        <v>2.908183250485052</v>
      </c>
      <c r="AT130" s="3" t="n">
        <v>2.908183250485052</v>
      </c>
      <c r="AU130" s="3" t="n">
        <v>2.908183250485052</v>
      </c>
      <c r="AV130" s="3" t="n">
        <v>2.908183250485053</v>
      </c>
      <c r="AW130" s="3" t="n">
        <v>2.908183250485053</v>
      </c>
      <c r="AX130" s="3" t="n">
        <v>2.908183250485052</v>
      </c>
      <c r="AY130" s="3" t="n">
        <v>2.908183250485053</v>
      </c>
      <c r="AZ130" s="3" t="n">
        <v>2.908183250485052</v>
      </c>
      <c r="BA130" s="3" t="n">
        <v>2.908183250485053</v>
      </c>
      <c r="BC130" s="20" t="inlineStr">
        <is>
          <t>egy.mit.rpn.res.nga.4</t>
        </is>
      </c>
      <c r="BD130" s="3" t="n">
        <v>4.956488507231395</v>
      </c>
      <c r="BE130" s="3" t="n">
        <v>2.734846935064834</v>
      </c>
      <c r="BF130" s="3" t="n">
        <v>1.797160127284108</v>
      </c>
      <c r="BG130" s="3" t="n">
        <v>1.797160127284109</v>
      </c>
      <c r="BH130" s="3" t="n">
        <v>1.797160127284108</v>
      </c>
      <c r="BI130" s="3" t="n">
        <v>2.35267168888458</v>
      </c>
      <c r="BJ130" s="3" t="n">
        <v>3.093353771018544</v>
      </c>
      <c r="BK130" s="3" t="n">
        <v>3.834035853152507</v>
      </c>
      <c r="BL130" s="3" t="n">
        <v>4.574717935286468</v>
      </c>
      <c r="BM130" s="3" t="n">
        <v>5.315400017420432</v>
      </c>
      <c r="BN130" s="3" t="n">
        <v>6.056082099554394</v>
      </c>
      <c r="BO130" s="3" t="n">
        <v>6.796764181688356</v>
      </c>
      <c r="BP130" s="3" t="n">
        <v>7.53744626382232</v>
      </c>
      <c r="BQ130" s="3" t="n">
        <v>8.278128345956283</v>
      </c>
      <c r="BR130" s="3" t="n">
        <v>9.018810428090244</v>
      </c>
      <c r="BS130" s="3" t="n">
        <v>9.759492510224208</v>
      </c>
      <c r="BT130" s="3" t="n">
        <v>10.50017459235817</v>
      </c>
      <c r="BU130" s="3" t="n">
        <v>11.24085667449213</v>
      </c>
      <c r="BV130" s="3" t="n">
        <v>11.98153875662609</v>
      </c>
      <c r="BW130" s="3" t="n">
        <v>12.72222083876006</v>
      </c>
      <c r="BY130" s="20" t="inlineStr">
        <is>
          <t>egy.mit.rpn.res.nga.5</t>
        </is>
      </c>
      <c r="BZ130" s="3" t="n">
        <v>4.956488507231395</v>
      </c>
      <c r="CA130" s="3" t="n">
        <v>2.734846935064834</v>
      </c>
      <c r="CB130" s="3" t="n">
        <v>1.797160127284108</v>
      </c>
      <c r="CC130" s="3" t="n">
        <v>1.797160127284109</v>
      </c>
      <c r="CD130" s="3" t="n">
        <v>1.797160127284108</v>
      </c>
      <c r="CE130" s="3" t="n">
        <v>3.185939031285288</v>
      </c>
      <c r="CF130" s="3" t="n">
        <v>3.185939031285289</v>
      </c>
      <c r="CG130" s="3" t="n">
        <v>3.185939031285288</v>
      </c>
      <c r="CH130" s="3" t="n">
        <v>3.185939031285288</v>
      </c>
      <c r="CI130" s="3" t="n">
        <v>3.185939031285288</v>
      </c>
      <c r="CJ130" s="3" t="n">
        <v>3.185939031285288</v>
      </c>
      <c r="CK130" s="3" t="n">
        <v>3.185939031285288</v>
      </c>
      <c r="CL130" s="3" t="n">
        <v>3.185939031285288</v>
      </c>
      <c r="CM130" s="3" t="n">
        <v>3.185939031285288</v>
      </c>
      <c r="CN130" s="3" t="n">
        <v>3.185939031285289</v>
      </c>
      <c r="CO130" s="3" t="n">
        <v>3.185939031285288</v>
      </c>
      <c r="CP130" s="3" t="n">
        <v>3.185939031285288</v>
      </c>
      <c r="CQ130" s="3" t="n">
        <v>3.185939031285288</v>
      </c>
      <c r="CR130" s="3" t="n">
        <v>3.185939031285288</v>
      </c>
      <c r="CS130" s="3" t="n">
        <v>3.185939031285288</v>
      </c>
      <c r="CU130" s="20" t="inlineStr">
        <is>
          <t>egy.mit.rpn.res.nga.6</t>
        </is>
      </c>
      <c r="CV130" s="3" t="n">
        <v>4.956488507231395</v>
      </c>
      <c r="CW130" s="3" t="n">
        <v>2.734846935064834</v>
      </c>
      <c r="CX130" s="3" t="n">
        <v>1.797160127284108</v>
      </c>
      <c r="CY130" s="3" t="n">
        <v>1.797160127284109</v>
      </c>
      <c r="CZ130" s="3" t="n">
        <v>1.797160127284108</v>
      </c>
      <c r="DA130" s="3" t="n">
        <v>4.574717935286468</v>
      </c>
      <c r="DB130" s="3" t="n">
        <v>4.574717935286468</v>
      </c>
      <c r="DC130" s="3" t="n">
        <v>4.574717935286468</v>
      </c>
      <c r="DD130" s="3" t="n">
        <v>4.574717935286469</v>
      </c>
      <c r="DE130" s="3" t="n">
        <v>4.574717935286468</v>
      </c>
      <c r="DF130" s="3" t="n">
        <v>4.574717935286468</v>
      </c>
      <c r="DG130" s="3" t="n">
        <v>4.574717935286468</v>
      </c>
      <c r="DH130" s="3" t="n">
        <v>4.574717935286468</v>
      </c>
      <c r="DI130" s="3" t="n">
        <v>4.574717935286468</v>
      </c>
      <c r="DJ130" s="3" t="n">
        <v>4.574717935286468</v>
      </c>
      <c r="DK130" s="3" t="n">
        <v>4.574717935286468</v>
      </c>
      <c r="DL130" s="3" t="n">
        <v>4.574717935286468</v>
      </c>
      <c r="DM130" s="3" t="n">
        <v>4.574717935286468</v>
      </c>
      <c r="DN130" s="3" t="n">
        <v>4.574717935286468</v>
      </c>
      <c r="DO130" s="3" t="n">
        <v>4.574717935286468</v>
      </c>
    </row>
    <row r="131">
      <c r="A131" s="19" t="inlineStr">
        <is>
          <t>mit.rpn.pow.coa</t>
        </is>
      </c>
      <c r="B131" s="3" t="inlineStr">
        <is>
          <t>mit</t>
        </is>
      </c>
      <c r="C131" s="19" t="inlineStr">
        <is>
          <t>mit.rp.pow.coa.a</t>
        </is>
      </c>
      <c r="H131" s="3" t="inlineStr">
        <is>
          <t>Retail price incl. new taxes and subsidies (fuel-use weighted average of the after-tax prices atp of the subsectors priced by the block; rpb where they use none) | Power | Coal</t>
        </is>
      </c>
      <c r="I131" s="3" t="inlineStr">
        <is>
          <t>USD/GJ real</t>
        </is>
      </c>
      <c r="K131" s="20" t="inlineStr">
        <is>
          <t>egy.mit.rpn.pow.coa.1</t>
        </is>
      </c>
      <c r="L131" s="3" t="n">
        <v>13.46421248673108</v>
      </c>
      <c r="M131" s="3" t="n">
        <v>6.58847527233409</v>
      </c>
      <c r="N131" s="3" t="n">
        <v>5.8065680582894</v>
      </c>
      <c r="O131" s="3" t="n">
        <v>4.753248660508235</v>
      </c>
      <c r="P131" s="3" t="n">
        <v>5.333622207074439</v>
      </c>
      <c r="Q131" s="3" t="n">
        <v>5.464539844255792</v>
      </c>
      <c r="R131" s="3" t="n">
        <v>5.402463620677809</v>
      </c>
      <c r="S131" s="3" t="n">
        <v>5.335894303959473</v>
      </c>
      <c r="T131" s="3" t="n">
        <v>5.264647833458736</v>
      </c>
      <c r="U131" s="3" t="n">
        <v>5.195892089564461</v>
      </c>
      <c r="V131" s="3" t="n">
        <v>5.195892089564461</v>
      </c>
      <c r="W131" s="3" t="n">
        <v>5.195892089564461</v>
      </c>
      <c r="X131" s="3" t="n">
        <v>5.195892089564463</v>
      </c>
      <c r="Y131" s="3" t="n">
        <v>5.195892089564463</v>
      </c>
      <c r="Z131" s="3" t="n">
        <v>5.195892089564463</v>
      </c>
      <c r="AA131" s="3" t="n">
        <v>5.195892089564462</v>
      </c>
      <c r="AB131" s="3" t="n">
        <v>5.195892089564462</v>
      </c>
      <c r="AC131" s="3" t="n">
        <v>5.195892089564463</v>
      </c>
      <c r="AD131" s="3" t="n">
        <v>5.195892089564463</v>
      </c>
      <c r="AE131" s="3" t="n">
        <v>5.195892089564463</v>
      </c>
      <c r="AG131" s="20" t="inlineStr">
        <is>
          <t>egy.mit.rpn.pow.coa.3</t>
        </is>
      </c>
      <c r="AH131" s="3" t="n">
        <v>13.46421248673108</v>
      </c>
      <c r="AI131" s="3" t="n">
        <v>6.58847527233409</v>
      </c>
      <c r="AJ131" s="3" t="n">
        <v>5.8065680582894</v>
      </c>
      <c r="AK131" s="3" t="n">
        <v>4.753248660508235</v>
      </c>
      <c r="AL131" s="3" t="n">
        <v>5.333622207074439</v>
      </c>
      <c r="AM131" s="3" t="n">
        <v>5.464539844255792</v>
      </c>
      <c r="AN131" s="3" t="n">
        <v>5.402463620677809</v>
      </c>
      <c r="AO131" s="3" t="n">
        <v>5.335894303959473</v>
      </c>
      <c r="AP131" s="3" t="n">
        <v>5.264647833458736</v>
      </c>
      <c r="AQ131" s="3" t="n">
        <v>5.195892089564461</v>
      </c>
      <c r="AR131" s="3" t="n">
        <v>5.195892089564461</v>
      </c>
      <c r="AS131" s="3" t="n">
        <v>5.195892089564461</v>
      </c>
      <c r="AT131" s="3" t="n">
        <v>5.195892089564463</v>
      </c>
      <c r="AU131" s="3" t="n">
        <v>5.195892089564463</v>
      </c>
      <c r="AV131" s="3" t="n">
        <v>5.195892089564463</v>
      </c>
      <c r="AW131" s="3" t="n">
        <v>5.195892089564462</v>
      </c>
      <c r="AX131" s="3" t="n">
        <v>5.195892089564462</v>
      </c>
      <c r="AY131" s="3" t="n">
        <v>5.195892089564463</v>
      </c>
      <c r="AZ131" s="3" t="n">
        <v>5.195892089564463</v>
      </c>
      <c r="BA131" s="3" t="n">
        <v>5.195892089564463</v>
      </c>
      <c r="BC131" s="20" t="inlineStr">
        <is>
          <t>egy.mit.rpn.pow.coa.4</t>
        </is>
      </c>
      <c r="BD131" s="3" t="n">
        <v>13.46421248673108</v>
      </c>
      <c r="BE131" s="3" t="n">
        <v>6.58847527233409</v>
      </c>
      <c r="BF131" s="3" t="n">
        <v>5.8065680582894</v>
      </c>
      <c r="BG131" s="3" t="n">
        <v>4.753248660508235</v>
      </c>
      <c r="BH131" s="3" t="n">
        <v>5.333622207074439</v>
      </c>
      <c r="BI131" s="3" t="n">
        <v>5.464539844255792</v>
      </c>
      <c r="BJ131" s="3" t="n">
        <v>5.402463620677809</v>
      </c>
      <c r="BK131" s="3" t="n">
        <v>5.335894303959473</v>
      </c>
      <c r="BL131" s="3" t="n">
        <v>5.264647833458736</v>
      </c>
      <c r="BM131" s="3" t="n">
        <v>5.195892089564461</v>
      </c>
      <c r="BN131" s="3" t="n">
        <v>5.195892089564461</v>
      </c>
      <c r="BO131" s="3" t="n">
        <v>5.195892089564461</v>
      </c>
      <c r="BP131" s="3" t="n">
        <v>5.195892089564463</v>
      </c>
      <c r="BQ131" s="3" t="n">
        <v>5.195892089564463</v>
      </c>
      <c r="BR131" s="3" t="n">
        <v>5.195892089564463</v>
      </c>
      <c r="BS131" s="3" t="n">
        <v>5.195892089564462</v>
      </c>
      <c r="BT131" s="3" t="n">
        <v>5.195892089564462</v>
      </c>
      <c r="BU131" s="3" t="n">
        <v>5.195892089564463</v>
      </c>
      <c r="BV131" s="3" t="n">
        <v>5.195892089564463</v>
      </c>
      <c r="BW131" s="3" t="n">
        <v>5.195892089564463</v>
      </c>
      <c r="BY131" s="20" t="inlineStr">
        <is>
          <t>egy.mit.rpn.pow.coa.5</t>
        </is>
      </c>
      <c r="BZ131" s="3" t="n">
        <v>13.46421248673108</v>
      </c>
      <c r="CA131" s="3" t="n">
        <v>6.58847527233409</v>
      </c>
      <c r="CB131" s="3" t="n">
        <v>5.8065680582894</v>
      </c>
      <c r="CC131" s="3" t="n">
        <v>4.753248660508235</v>
      </c>
      <c r="CD131" s="3" t="n">
        <v>5.333622207074439</v>
      </c>
      <c r="CE131" s="3" t="n">
        <v>5.464539844255792</v>
      </c>
      <c r="CF131" s="3" t="n">
        <v>5.402463620677809</v>
      </c>
      <c r="CG131" s="3" t="n">
        <v>5.335894303959473</v>
      </c>
      <c r="CH131" s="3" t="n">
        <v>5.264647833458736</v>
      </c>
      <c r="CI131" s="3" t="n">
        <v>5.195892089564461</v>
      </c>
      <c r="CJ131" s="3" t="n">
        <v>5.195892089564461</v>
      </c>
      <c r="CK131" s="3" t="n">
        <v>5.195892089564461</v>
      </c>
      <c r="CL131" s="3" t="n">
        <v>5.195892089564463</v>
      </c>
      <c r="CM131" s="3" t="n">
        <v>5.195892089564463</v>
      </c>
      <c r="CN131" s="3" t="n">
        <v>5.195892089564463</v>
      </c>
      <c r="CO131" s="3" t="n">
        <v>5.195892089564462</v>
      </c>
      <c r="CP131" s="3" t="n">
        <v>5.195892089564462</v>
      </c>
      <c r="CQ131" s="3" t="n">
        <v>5.195892089564463</v>
      </c>
      <c r="CR131" s="3" t="n">
        <v>5.195892089564463</v>
      </c>
      <c r="CS131" s="3" t="n">
        <v>5.195892089564463</v>
      </c>
      <c r="CU131" s="20" t="inlineStr">
        <is>
          <t>egy.mit.rpn.pow.coa.6</t>
        </is>
      </c>
      <c r="CV131" s="3" t="n">
        <v>13.46421248673108</v>
      </c>
      <c r="CW131" s="3" t="n">
        <v>6.58847527233409</v>
      </c>
      <c r="CX131" s="3" t="n">
        <v>5.8065680582894</v>
      </c>
      <c r="CY131" s="3" t="n">
        <v>4.753248660508235</v>
      </c>
      <c r="CZ131" s="3" t="n">
        <v>5.333622207074439</v>
      </c>
      <c r="DA131" s="3" t="n">
        <v>5.464539844255792</v>
      </c>
      <c r="DB131" s="3" t="n">
        <v>5.402463620677809</v>
      </c>
      <c r="DC131" s="3" t="n">
        <v>5.335894303959473</v>
      </c>
      <c r="DD131" s="3" t="n">
        <v>5.264647833458736</v>
      </c>
      <c r="DE131" s="3" t="n">
        <v>5.195892089564461</v>
      </c>
      <c r="DF131" s="3" t="n">
        <v>5.195892089564461</v>
      </c>
      <c r="DG131" s="3" t="n">
        <v>5.195892089564461</v>
      </c>
      <c r="DH131" s="3" t="n">
        <v>5.195892089564463</v>
      </c>
      <c r="DI131" s="3" t="n">
        <v>5.195892089564463</v>
      </c>
      <c r="DJ131" s="3" t="n">
        <v>5.195892089564463</v>
      </c>
      <c r="DK131" s="3" t="n">
        <v>5.195892089564462</v>
      </c>
      <c r="DL131" s="3" t="n">
        <v>5.195892089564462</v>
      </c>
      <c r="DM131" s="3" t="n">
        <v>5.195892089564463</v>
      </c>
      <c r="DN131" s="3" t="n">
        <v>5.195892089564463</v>
      </c>
      <c r="DO131" s="3" t="n">
        <v>5.195892089564463</v>
      </c>
    </row>
    <row r="132">
      <c r="A132" s="19" t="inlineStr">
        <is>
          <t>mit.rpn.pow.nga</t>
        </is>
      </c>
      <c r="B132" s="3" t="inlineStr">
        <is>
          <t>mit</t>
        </is>
      </c>
      <c r="C132" s="19" t="inlineStr">
        <is>
          <t>mit.rp.pow.nga.a</t>
        </is>
      </c>
      <c r="H132" s="3" t="inlineStr">
        <is>
          <t>Retail price incl. new taxes and subsidies (fuel-use weighted average of the after-tax prices atp of the subsectors priced by the block; rpb where they use none) | Power | Natural gas</t>
        </is>
      </c>
      <c r="I132" s="3" t="inlineStr">
        <is>
          <t>USD/GJ real</t>
        </is>
      </c>
      <c r="K132" s="20" t="inlineStr">
        <is>
          <t>egy.mit.rpn.pow.nga.1</t>
        </is>
      </c>
      <c r="L132" s="3" t="n">
        <v>3.154220453650453</v>
      </c>
      <c r="M132" s="3" t="n">
        <v>2.623715048675657</v>
      </c>
      <c r="N132" s="3" t="n">
        <v>2.77897804122306</v>
      </c>
      <c r="O132" s="3" t="n">
        <v>2.77897804122306</v>
      </c>
      <c r="P132" s="3" t="n">
        <v>2.77897804122306</v>
      </c>
      <c r="Q132" s="3" t="n">
        <v>2.77897804122306</v>
      </c>
      <c r="R132" s="3" t="n">
        <v>2.77897804122306</v>
      </c>
      <c r="S132" s="3" t="n">
        <v>2.77897804122306</v>
      </c>
      <c r="T132" s="3" t="n">
        <v>2.77897804122306</v>
      </c>
      <c r="U132" s="3" t="n">
        <v>2.77897804122306</v>
      </c>
      <c r="V132" s="3" t="n">
        <v>2.77897804122306</v>
      </c>
      <c r="W132" s="3" t="n">
        <v>2.77897804122306</v>
      </c>
      <c r="X132" s="3" t="n">
        <v>2.77897804122306</v>
      </c>
      <c r="Y132" s="3" t="n">
        <v>2.77897804122306</v>
      </c>
      <c r="Z132" s="3" t="n">
        <v>2.77897804122306</v>
      </c>
      <c r="AA132" s="3" t="n">
        <v>2.77897804122306</v>
      </c>
      <c r="AB132" s="3" t="n">
        <v>2.77897804122306</v>
      </c>
      <c r="AC132" s="3" t="n">
        <v>2.77897804122306</v>
      </c>
      <c r="AD132" s="3" t="n">
        <v>2.77897804122306</v>
      </c>
      <c r="AE132" s="3" t="n">
        <v>2.77897804122306</v>
      </c>
      <c r="AG132" s="20" t="inlineStr">
        <is>
          <t>egy.mit.rpn.pow.nga.3</t>
        </is>
      </c>
      <c r="AH132" s="3" t="n">
        <v>3.154220453650453</v>
      </c>
      <c r="AI132" s="3" t="n">
        <v>2.623715048675657</v>
      </c>
      <c r="AJ132" s="3" t="n">
        <v>2.77897804122306</v>
      </c>
      <c r="AK132" s="3" t="n">
        <v>2.77897804122306</v>
      </c>
      <c r="AL132" s="3" t="n">
        <v>2.77897804122306</v>
      </c>
      <c r="AM132" s="3" t="n">
        <v>2.77897804122306</v>
      </c>
      <c r="AN132" s="3" t="n">
        <v>2.77897804122306</v>
      </c>
      <c r="AO132" s="3" t="n">
        <v>2.77897804122306</v>
      </c>
      <c r="AP132" s="3" t="n">
        <v>2.77897804122306</v>
      </c>
      <c r="AQ132" s="3" t="n">
        <v>2.77897804122306</v>
      </c>
      <c r="AR132" s="3" t="n">
        <v>2.77897804122306</v>
      </c>
      <c r="AS132" s="3" t="n">
        <v>2.77897804122306</v>
      </c>
      <c r="AT132" s="3" t="n">
        <v>2.77897804122306</v>
      </c>
      <c r="AU132" s="3" t="n">
        <v>2.77897804122306</v>
      </c>
      <c r="AV132" s="3" t="n">
        <v>2.77897804122306</v>
      </c>
      <c r="AW132" s="3" t="n">
        <v>2.77897804122306</v>
      </c>
      <c r="AX132" s="3" t="n">
        <v>2.77897804122306</v>
      </c>
      <c r="AY132" s="3" t="n">
        <v>2.77897804122306</v>
      </c>
      <c r="AZ132" s="3" t="n">
        <v>2.77897804122306</v>
      </c>
      <c r="BA132" s="3" t="n">
        <v>2.77897804122306</v>
      </c>
      <c r="BC132" s="20" t="inlineStr">
        <is>
          <t>egy.mit.rpn.pow.nga.4</t>
        </is>
      </c>
      <c r="BD132" s="3" t="n">
        <v>3.154220453650453</v>
      </c>
      <c r="BE132" s="3" t="n">
        <v>2.623715048675657</v>
      </c>
      <c r="BF132" s="3" t="n">
        <v>2.77897804122306</v>
      </c>
      <c r="BG132" s="3" t="n">
        <v>2.77897804122306</v>
      </c>
      <c r="BH132" s="3" t="n">
        <v>2.77897804122306</v>
      </c>
      <c r="BI132" s="3" t="n">
        <v>2.77897804122306</v>
      </c>
      <c r="BJ132" s="3" t="n">
        <v>2.77897804122306</v>
      </c>
      <c r="BK132" s="3" t="n">
        <v>2.77897804122306</v>
      </c>
      <c r="BL132" s="3" t="n">
        <v>2.77897804122306</v>
      </c>
      <c r="BM132" s="3" t="n">
        <v>2.77897804122306</v>
      </c>
      <c r="BN132" s="3" t="n">
        <v>2.77897804122306</v>
      </c>
      <c r="BO132" s="3" t="n">
        <v>2.77897804122306</v>
      </c>
      <c r="BP132" s="3" t="n">
        <v>2.77897804122306</v>
      </c>
      <c r="BQ132" s="3" t="n">
        <v>2.77897804122306</v>
      </c>
      <c r="BR132" s="3" t="n">
        <v>2.77897804122306</v>
      </c>
      <c r="BS132" s="3" t="n">
        <v>2.77897804122306</v>
      </c>
      <c r="BT132" s="3" t="n">
        <v>2.77897804122306</v>
      </c>
      <c r="BU132" s="3" t="n">
        <v>2.77897804122306</v>
      </c>
      <c r="BV132" s="3" t="n">
        <v>2.77897804122306</v>
      </c>
      <c r="BW132" s="3" t="n">
        <v>2.77897804122306</v>
      </c>
      <c r="BY132" s="20" t="inlineStr">
        <is>
          <t>egy.mit.rpn.pow.nga.5</t>
        </is>
      </c>
      <c r="BZ132" s="3" t="n">
        <v>3.154220453650453</v>
      </c>
      <c r="CA132" s="3" t="n">
        <v>2.623715048675657</v>
      </c>
      <c r="CB132" s="3" t="n">
        <v>2.77897804122306</v>
      </c>
      <c r="CC132" s="3" t="n">
        <v>2.77897804122306</v>
      </c>
      <c r="CD132" s="3" t="n">
        <v>2.77897804122306</v>
      </c>
      <c r="CE132" s="3" t="n">
        <v>2.77897804122306</v>
      </c>
      <c r="CF132" s="3" t="n">
        <v>2.77897804122306</v>
      </c>
      <c r="CG132" s="3" t="n">
        <v>2.77897804122306</v>
      </c>
      <c r="CH132" s="3" t="n">
        <v>2.77897804122306</v>
      </c>
      <c r="CI132" s="3" t="n">
        <v>2.77897804122306</v>
      </c>
      <c r="CJ132" s="3" t="n">
        <v>2.77897804122306</v>
      </c>
      <c r="CK132" s="3" t="n">
        <v>2.77897804122306</v>
      </c>
      <c r="CL132" s="3" t="n">
        <v>2.77897804122306</v>
      </c>
      <c r="CM132" s="3" t="n">
        <v>2.77897804122306</v>
      </c>
      <c r="CN132" s="3" t="n">
        <v>2.77897804122306</v>
      </c>
      <c r="CO132" s="3" t="n">
        <v>2.77897804122306</v>
      </c>
      <c r="CP132" s="3" t="n">
        <v>2.77897804122306</v>
      </c>
      <c r="CQ132" s="3" t="n">
        <v>2.77897804122306</v>
      </c>
      <c r="CR132" s="3" t="n">
        <v>2.77897804122306</v>
      </c>
      <c r="CS132" s="3" t="n">
        <v>2.77897804122306</v>
      </c>
      <c r="CU132" s="20" t="inlineStr">
        <is>
          <t>egy.mit.rpn.pow.nga.6</t>
        </is>
      </c>
      <c r="CV132" s="3" t="n">
        <v>3.154220453650453</v>
      </c>
      <c r="CW132" s="3" t="n">
        <v>2.623715048675657</v>
      </c>
      <c r="CX132" s="3" t="n">
        <v>2.77897804122306</v>
      </c>
      <c r="CY132" s="3" t="n">
        <v>2.77897804122306</v>
      </c>
      <c r="CZ132" s="3" t="n">
        <v>2.77897804122306</v>
      </c>
      <c r="DA132" s="3" t="n">
        <v>2.77897804122306</v>
      </c>
      <c r="DB132" s="3" t="n">
        <v>2.77897804122306</v>
      </c>
      <c r="DC132" s="3" t="n">
        <v>2.77897804122306</v>
      </c>
      <c r="DD132" s="3" t="n">
        <v>2.77897804122306</v>
      </c>
      <c r="DE132" s="3" t="n">
        <v>2.77897804122306</v>
      </c>
      <c r="DF132" s="3" t="n">
        <v>2.77897804122306</v>
      </c>
      <c r="DG132" s="3" t="n">
        <v>2.77897804122306</v>
      </c>
      <c r="DH132" s="3" t="n">
        <v>2.77897804122306</v>
      </c>
      <c r="DI132" s="3" t="n">
        <v>2.77897804122306</v>
      </c>
      <c r="DJ132" s="3" t="n">
        <v>2.77897804122306</v>
      </c>
      <c r="DK132" s="3" t="n">
        <v>2.77897804122306</v>
      </c>
      <c r="DL132" s="3" t="n">
        <v>2.77897804122306</v>
      </c>
      <c r="DM132" s="3" t="n">
        <v>2.77897804122306</v>
      </c>
      <c r="DN132" s="3" t="n">
        <v>2.77897804122306</v>
      </c>
      <c r="DO132" s="3" t="n">
        <v>2.77897804122306</v>
      </c>
    </row>
    <row r="133">
      <c r="A133" s="5" t="n"/>
      <c r="B133" s="18" t="inlineStr">
        <is>
          <t>Energy price components (baseline)</t>
        </is>
      </c>
      <c r="C133" s="5" t="n"/>
      <c r="D133" s="5" t="n"/>
      <c r="E133" s="5" t="n"/>
      <c r="F133" s="5" t="n"/>
      <c r="G133" s="5" t="n"/>
      <c r="H133" s="5" t="n"/>
      <c r="I133" s="5" t="n"/>
      <c r="J133" s="5" t="n"/>
      <c r="K133" s="5" t="n"/>
      <c r="L133" s="5" t="n"/>
      <c r="M133" s="5" t="n"/>
      <c r="N133" s="5" t="n"/>
      <c r="O133" s="5" t="n"/>
      <c r="P133" s="5" t="n"/>
      <c r="Q133" s="5" t="n"/>
      <c r="R133" s="5" t="n"/>
      <c r="S133" s="5" t="n"/>
      <c r="T133" s="5" t="n"/>
      <c r="U133" s="5" t="n"/>
      <c r="V133" s="5" t="n"/>
      <c r="W133" s="5" t="n"/>
      <c r="X133" s="5" t="n"/>
      <c r="Y133" s="5" t="n"/>
      <c r="Z133" s="5" t="n"/>
      <c r="AA133" s="5" t="n"/>
      <c r="AB133" s="5" t="n"/>
      <c r="AC133" s="5" t="n"/>
      <c r="AD133" s="5" t="n"/>
      <c r="AE133" s="5" t="n"/>
      <c r="AF133" s="5" t="n"/>
      <c r="AG133" s="5" t="n"/>
      <c r="AH133" s="5" t="n"/>
      <c r="AI133" s="5" t="n"/>
      <c r="AJ133" s="5" t="n"/>
      <c r="AK133" s="5" t="n"/>
      <c r="AL133" s="5" t="n"/>
      <c r="AM133" s="5" t="n"/>
      <c r="AN133" s="5" t="n"/>
      <c r="AO133" s="5" t="n"/>
      <c r="AP133" s="5" t="n"/>
      <c r="AQ133" s="5" t="n"/>
      <c r="AR133" s="5" t="n"/>
      <c r="AS133" s="5" t="n"/>
      <c r="AT133" s="5" t="n"/>
      <c r="AU133" s="5" t="n"/>
      <c r="AV133" s="5" t="n"/>
      <c r="AW133" s="5" t="n"/>
      <c r="AX133" s="5" t="n"/>
      <c r="AY133" s="5" t="n"/>
      <c r="AZ133" s="5" t="n"/>
      <c r="BA133" s="5" t="n"/>
      <c r="BB133" s="5" t="n"/>
      <c r="BC133" s="5" t="n"/>
      <c r="BD133" s="5" t="n"/>
      <c r="BE133" s="5" t="n"/>
      <c r="BF133" s="5" t="n"/>
      <c r="BG133" s="5" t="n"/>
      <c r="BH133" s="5" t="n"/>
      <c r="BI133" s="5" t="n"/>
      <c r="BJ133" s="5" t="n"/>
      <c r="BK133" s="5" t="n"/>
      <c r="BL133" s="5" t="n"/>
      <c r="BM133" s="5" t="n"/>
      <c r="BN133" s="5" t="n"/>
      <c r="BO133" s="5" t="n"/>
      <c r="BP133" s="5" t="n"/>
      <c r="BQ133" s="5" t="n"/>
      <c r="BR133" s="5" t="n"/>
      <c r="BS133" s="5" t="n"/>
      <c r="BT133" s="5" t="n"/>
      <c r="BU133" s="5" t="n"/>
      <c r="BV133" s="5" t="n"/>
      <c r="BW133" s="5" t="n"/>
      <c r="BX133" s="5" t="n"/>
      <c r="BY133" s="5" t="n"/>
      <c r="BZ133" s="5" t="n"/>
      <c r="CA133" s="5" t="n"/>
      <c r="CB133" s="5" t="n"/>
      <c r="CC133" s="5" t="n"/>
      <c r="CD133" s="5" t="n"/>
      <c r="CE133" s="5" t="n"/>
      <c r="CF133" s="5" t="n"/>
      <c r="CG133" s="5" t="n"/>
      <c r="CH133" s="5" t="n"/>
      <c r="CI133" s="5" t="n"/>
      <c r="CJ133" s="5" t="n"/>
      <c r="CK133" s="5" t="n"/>
      <c r="CL133" s="5" t="n"/>
      <c r="CM133" s="5" t="n"/>
      <c r="CN133" s="5" t="n"/>
      <c r="CO133" s="5" t="n"/>
      <c r="CP133" s="5" t="n"/>
      <c r="CQ133" s="5" t="n"/>
      <c r="CR133" s="5" t="n"/>
      <c r="CS133" s="5" t="n"/>
      <c r="CT133" s="5" t="n"/>
      <c r="CU133" s="5" t="n"/>
      <c r="CV133" s="5" t="n"/>
      <c r="CW133" s="5" t="n"/>
      <c r="CX133" s="5" t="n"/>
      <c r="CY133" s="5" t="n"/>
      <c r="CZ133" s="5" t="n"/>
      <c r="DA133" s="5" t="n"/>
      <c r="DB133" s="5" t="n"/>
      <c r="DC133" s="5" t="n"/>
      <c r="DD133" s="5" t="n"/>
      <c r="DE133" s="5" t="n"/>
      <c r="DF133" s="5" t="n"/>
      <c r="DG133" s="5" t="n"/>
      <c r="DH133" s="5" t="n"/>
      <c r="DI133" s="5" t="n"/>
      <c r="DJ133" s="5" t="n"/>
      <c r="DK133" s="5" t="n"/>
      <c r="DL133" s="5" t="n"/>
      <c r="DM133" s="5" t="n"/>
      <c r="DN133" s="5" t="n"/>
      <c r="DO133" s="5" t="n"/>
      <c r="DP133" s="5" t="n"/>
      <c r="DQ133" s="5" t="n"/>
      <c r="DR133" s="5" t="n"/>
      <c r="DS133" s="5" t="n"/>
      <c r="DT133" s="5" t="n"/>
      <c r="DU133" s="5" t="n"/>
      <c r="DV133" s="5" t="n"/>
      <c r="DW133" s="5" t="n"/>
      <c r="DX133" s="5" t="n"/>
      <c r="DY133" s="5" t="n"/>
      <c r="DZ133" s="5" t="n"/>
      <c r="EA133" s="5" t="n"/>
      <c r="EB133" s="5" t="n"/>
      <c r="EC133" s="5" t="n"/>
      <c r="ED133" s="5" t="n"/>
      <c r="EE133" s="5" t="n"/>
      <c r="EF133" s="5" t="n"/>
      <c r="EG133" s="5" t="n"/>
      <c r="EH133" s="5" t="n"/>
      <c r="EI133" s="5" t="n"/>
      <c r="EJ133" s="5" t="n"/>
      <c r="EK133" s="5" t="n"/>
      <c r="EL133" s="5" t="n"/>
      <c r="EM133" s="5" t="n"/>
      <c r="EN133" s="5" t="n"/>
      <c r="EO133" s="5" t="n"/>
      <c r="EP133" s="5" t="n"/>
      <c r="EQ133" s="5" t="n"/>
      <c r="ER133" s="5" t="n"/>
      <c r="ES133" s="5" t="n"/>
      <c r="ET133" s="5" t="n"/>
      <c r="EU133" s="5" t="n"/>
      <c r="EV133" s="5" t="n"/>
      <c r="EW133" s="5" t="n"/>
      <c r="EX133" s="5" t="n"/>
      <c r="EY133" s="5" t="n"/>
      <c r="EZ133" s="5" t="n"/>
      <c r="FA133" s="5" t="n"/>
      <c r="FB133" s="5" t="n"/>
      <c r="FC133" s="5" t="n"/>
      <c r="FD133" s="5" t="n"/>
      <c r="FE133" s="5" t="n"/>
      <c r="FF133" s="5" t="n"/>
      <c r="FG133" s="5" t="n"/>
      <c r="FH133" s="5" t="n"/>
      <c r="FI133" s="5" t="n"/>
      <c r="FJ133" s="5" t="n"/>
      <c r="FK133" s="5" t="n"/>
      <c r="FL133" s="5" t="n"/>
      <c r="FM133" s="5" t="n"/>
      <c r="FN133" s="5" t="n"/>
      <c r="FO133" s="5" t="n"/>
      <c r="FP133" s="5" t="n"/>
      <c r="FQ133" s="5" t="n"/>
      <c r="FR133" s="5" t="n"/>
      <c r="FS133" s="5" t="n"/>
      <c r="FT133" s="5" t="n"/>
      <c r="FU133" s="5" t="n"/>
      <c r="FV133" s="5" t="n"/>
      <c r="FW133" s="5" t="n"/>
      <c r="FX133" s="5" t="n"/>
      <c r="FY133" s="5" t="n"/>
      <c r="FZ133" s="5" t="n"/>
      <c r="GA133" s="5" t="n"/>
      <c r="GB133" s="5" t="n"/>
      <c r="GC133" s="5" t="n"/>
      <c r="GD133" s="5" t="n"/>
      <c r="GE133" s="5" t="n"/>
      <c r="GF133" s="5" t="n"/>
      <c r="GG133" s="5" t="n"/>
      <c r="GH133" s="5" t="n"/>
      <c r="GI133" s="5" t="n"/>
      <c r="GJ133" s="5" t="n"/>
      <c r="GK133" s="5" t="n"/>
      <c r="GL133" s="5" t="n"/>
      <c r="GM133" s="5" t="n"/>
      <c r="GN133" s="5" t="n"/>
      <c r="GO133" s="5" t="n"/>
      <c r="GP133" s="5" t="n"/>
      <c r="GQ133" s="5" t="n"/>
      <c r="GR133" s="5" t="n"/>
      <c r="GS133" s="5" t="n"/>
      <c r="GT133" s="5" t="n"/>
      <c r="GU133" s="5" t="n"/>
      <c r="GV133" s="5" t="n"/>
      <c r="GW133" s="5" t="n"/>
      <c r="GX133" s="5" t="n"/>
      <c r="GY133" s="5" t="n"/>
      <c r="GZ133" s="5" t="n"/>
      <c r="HA133" s="5" t="n"/>
      <c r="HB133" s="5" t="n"/>
      <c r="HC133" s="5" t="n"/>
      <c r="HD133" s="5" t="n"/>
      <c r="HE133" s="5" t="n"/>
      <c r="HF133" s="5" t="n"/>
      <c r="HG133" s="5" t="n"/>
      <c r="HH133" s="5" t="n"/>
      <c r="HI133" s="5" t="n"/>
      <c r="HJ133" s="5" t="n"/>
      <c r="HK133" s="5" t="n"/>
      <c r="HL133" s="5" t="n"/>
      <c r="HM133" s="5" t="n"/>
      <c r="HN133" s="5" t="n"/>
      <c r="HO133" s="5" t="n"/>
      <c r="HP133" s="5" t="n"/>
      <c r="HQ133" s="5" t="n"/>
      <c r="HR133" s="5" t="n"/>
      <c r="HS133" s="5" t="n"/>
      <c r="HT133" s="5" t="n"/>
      <c r="HU133" s="5" t="n"/>
      <c r="HV133" s="5" t="n"/>
    </row>
    <row r="134">
      <c r="A134" s="19" t="inlineStr">
        <is>
          <t>mit.sup.cost.ind.ecy</t>
        </is>
      </c>
      <c r="B134" s="3" t="inlineStr">
        <is>
          <t>mit</t>
        </is>
      </c>
      <c r="C134" s="19" t="inlineStr">
        <is>
          <t>mit.sup.cost.ecy.ind</t>
        </is>
      </c>
      <c r="H134" s="3" t="inlineStr">
        <is>
          <t>Efficient price: supply cost of scenario 1 | Industry | Electricity</t>
        </is>
      </c>
      <c r="I134" s="3" t="inlineStr">
        <is>
          <t>USD per price unit</t>
        </is>
      </c>
      <c r="K134" s="20" t="inlineStr">
        <is>
          <t>egy.mit.sup.cost.ind.ecy.1</t>
        </is>
      </c>
      <c r="L134" s="3" t="n">
        <v>0.06232214664946173</v>
      </c>
      <c r="M134" s="3" t="n">
        <v>0.0635111409345652</v>
      </c>
      <c r="N134" s="3" t="n">
        <v>0.1071059769947588</v>
      </c>
      <c r="O134" s="3" t="n">
        <v>0.1057245920293683</v>
      </c>
      <c r="P134" s="3" t="n">
        <v>0.1057335921471882</v>
      </c>
      <c r="Q134" s="3" t="n">
        <v>0.1062653317564135</v>
      </c>
      <c r="R134" s="3" t="n">
        <v>0.1064352876620497</v>
      </c>
      <c r="S134" s="3" t="n">
        <v>0.1072316373022316</v>
      </c>
      <c r="T134" s="3" t="n">
        <v>0.1079037344568096</v>
      </c>
      <c r="U134" s="3" t="n">
        <v>0.1086590218636384</v>
      </c>
      <c r="V134" s="3" t="n">
        <v>0.1074167971917689</v>
      </c>
      <c r="W134" s="3" t="n">
        <v>0.1062540049701071</v>
      </c>
      <c r="X134" s="3" t="n">
        <v>0.1050394592858352</v>
      </c>
      <c r="Y134" s="3" t="n">
        <v>0.1039071524520008</v>
      </c>
      <c r="Z134" s="3" t="n">
        <v>0.1028482615038122</v>
      </c>
      <c r="AA134" s="3" t="n">
        <v>0.1018583249236122</v>
      </c>
      <c r="AB134" s="3" t="n">
        <v>0.1009300932863205</v>
      </c>
      <c r="AC134" s="3" t="n">
        <v>0.1000540346692088</v>
      </c>
      <c r="AD134" s="3" t="n">
        <v>0.09922414955184913</v>
      </c>
      <c r="AE134" s="3" t="n">
        <v>0.09843367123480826</v>
      </c>
      <c r="AG134" s="20" t="inlineStr">
        <is>
          <t>egy.mit.sup.cost.ind.ecy.3</t>
        </is>
      </c>
      <c r="AH134" s="3" t="n">
        <v>0.06232214664946173</v>
      </c>
      <c r="AI134" s="3" t="n">
        <v>0.0635111409345652</v>
      </c>
      <c r="AJ134" s="3" t="n">
        <v>0.1071059769947588</v>
      </c>
      <c r="AK134" s="3" t="n">
        <v>0.1057245920293683</v>
      </c>
      <c r="AL134" s="3" t="n">
        <v>0.1057335921471882</v>
      </c>
      <c r="AM134" s="3" t="n">
        <v>0.1062653317564135</v>
      </c>
      <c r="AN134" s="3" t="n">
        <v>0.1064352876620497</v>
      </c>
      <c r="AO134" s="3" t="n">
        <v>0.1072316373022316</v>
      </c>
      <c r="AP134" s="3" t="n">
        <v>0.1079037344568096</v>
      </c>
      <c r="AQ134" s="3" t="n">
        <v>0.1086590218636384</v>
      </c>
      <c r="AR134" s="3" t="n">
        <v>0.1074167971917689</v>
      </c>
      <c r="AS134" s="3" t="n">
        <v>0.1062540049701071</v>
      </c>
      <c r="AT134" s="3" t="n">
        <v>0.1050394592858352</v>
      </c>
      <c r="AU134" s="3" t="n">
        <v>0.1039071524520008</v>
      </c>
      <c r="AV134" s="3" t="n">
        <v>0.1028482615038122</v>
      </c>
      <c r="AW134" s="3" t="n">
        <v>0.1018583249236122</v>
      </c>
      <c r="AX134" s="3" t="n">
        <v>0.1009300932863205</v>
      </c>
      <c r="AY134" s="3" t="n">
        <v>0.1000540346692088</v>
      </c>
      <c r="AZ134" s="3" t="n">
        <v>0.09922414955184913</v>
      </c>
      <c r="BA134" s="3" t="n">
        <v>0.09843367123480826</v>
      </c>
      <c r="BC134" s="20" t="inlineStr">
        <is>
          <t>egy.mit.sup.cost.ind.ecy.4</t>
        </is>
      </c>
      <c r="BD134" s="3" t="n">
        <v>0.06232214664946173</v>
      </c>
      <c r="BE134" s="3" t="n">
        <v>0.0635111409345652</v>
      </c>
      <c r="BF134" s="3" t="n">
        <v>0.1071059769947588</v>
      </c>
      <c r="BG134" s="3" t="n">
        <v>0.1057245920293683</v>
      </c>
      <c r="BH134" s="3" t="n">
        <v>0.1057335921471882</v>
      </c>
      <c r="BI134" s="3" t="n">
        <v>0.1062653317564135</v>
      </c>
      <c r="BJ134" s="3" t="n">
        <v>0.1064352876620497</v>
      </c>
      <c r="BK134" s="3" t="n">
        <v>0.1072316373022316</v>
      </c>
      <c r="BL134" s="3" t="n">
        <v>0.1079037344568096</v>
      </c>
      <c r="BM134" s="3" t="n">
        <v>0.1086590218636384</v>
      </c>
      <c r="BN134" s="3" t="n">
        <v>0.1074167971917689</v>
      </c>
      <c r="BO134" s="3" t="n">
        <v>0.1062540049701071</v>
      </c>
      <c r="BP134" s="3" t="n">
        <v>0.1050394592858352</v>
      </c>
      <c r="BQ134" s="3" t="n">
        <v>0.1039071524520008</v>
      </c>
      <c r="BR134" s="3" t="n">
        <v>0.1028482615038122</v>
      </c>
      <c r="BS134" s="3" t="n">
        <v>0.1018583249236122</v>
      </c>
      <c r="BT134" s="3" t="n">
        <v>0.1009300932863205</v>
      </c>
      <c r="BU134" s="3" t="n">
        <v>0.1000540346692088</v>
      </c>
      <c r="BV134" s="3" t="n">
        <v>0.09922414955184913</v>
      </c>
      <c r="BW134" s="3" t="n">
        <v>0.09843367123480826</v>
      </c>
      <c r="BY134" s="20" t="inlineStr">
        <is>
          <t>egy.mit.sup.cost.ind.ecy.5</t>
        </is>
      </c>
      <c r="BZ134" s="3" t="n">
        <v>0.06232214664946173</v>
      </c>
      <c r="CA134" s="3" t="n">
        <v>0.0635111409345652</v>
      </c>
      <c r="CB134" s="3" t="n">
        <v>0.1071059769947588</v>
      </c>
      <c r="CC134" s="3" t="n">
        <v>0.1057245920293683</v>
      </c>
      <c r="CD134" s="3" t="n">
        <v>0.1057335921471882</v>
      </c>
      <c r="CE134" s="3" t="n">
        <v>0.1062653317564135</v>
      </c>
      <c r="CF134" s="3" t="n">
        <v>0.1064352876620497</v>
      </c>
      <c r="CG134" s="3" t="n">
        <v>0.1072316373022316</v>
      </c>
      <c r="CH134" s="3" t="n">
        <v>0.1079037344568096</v>
      </c>
      <c r="CI134" s="3" t="n">
        <v>0.1086590218636384</v>
      </c>
      <c r="CJ134" s="3" t="n">
        <v>0.1074167971917689</v>
      </c>
      <c r="CK134" s="3" t="n">
        <v>0.1062540049701071</v>
      </c>
      <c r="CL134" s="3" t="n">
        <v>0.1050394592858352</v>
      </c>
      <c r="CM134" s="3" t="n">
        <v>0.1039071524520008</v>
      </c>
      <c r="CN134" s="3" t="n">
        <v>0.1028482615038122</v>
      </c>
      <c r="CO134" s="3" t="n">
        <v>0.1018583249236122</v>
      </c>
      <c r="CP134" s="3" t="n">
        <v>0.1009300932863205</v>
      </c>
      <c r="CQ134" s="3" t="n">
        <v>0.1000540346692088</v>
      </c>
      <c r="CR134" s="3" t="n">
        <v>0.09922414955184913</v>
      </c>
      <c r="CS134" s="3" t="n">
        <v>0.09843367123480826</v>
      </c>
      <c r="CU134" s="20" t="inlineStr">
        <is>
          <t>egy.mit.sup.cost.ind.ecy.6</t>
        </is>
      </c>
      <c r="CV134" s="3" t="n">
        <v>0.06232214664946173</v>
      </c>
      <c r="CW134" s="3" t="n">
        <v>0.0635111409345652</v>
      </c>
      <c r="CX134" s="3" t="n">
        <v>0.1071059769947588</v>
      </c>
      <c r="CY134" s="3" t="n">
        <v>0.1057245920293683</v>
      </c>
      <c r="CZ134" s="3" t="n">
        <v>0.1057335921471882</v>
      </c>
      <c r="DA134" s="3" t="n">
        <v>0.1062653317564135</v>
      </c>
      <c r="DB134" s="3" t="n">
        <v>0.1064352876620497</v>
      </c>
      <c r="DC134" s="3" t="n">
        <v>0.1072316373022316</v>
      </c>
      <c r="DD134" s="3" t="n">
        <v>0.1079037344568096</v>
      </c>
      <c r="DE134" s="3" t="n">
        <v>0.1086590218636384</v>
      </c>
      <c r="DF134" s="3" t="n">
        <v>0.1074167971917689</v>
      </c>
      <c r="DG134" s="3" t="n">
        <v>0.1062540049701071</v>
      </c>
      <c r="DH134" s="3" t="n">
        <v>0.1050394592858352</v>
      </c>
      <c r="DI134" s="3" t="n">
        <v>0.1039071524520008</v>
      </c>
      <c r="DJ134" s="3" t="n">
        <v>0.1028482615038122</v>
      </c>
      <c r="DK134" s="3" t="n">
        <v>0.1018583249236122</v>
      </c>
      <c r="DL134" s="3" t="n">
        <v>0.1009300932863205</v>
      </c>
      <c r="DM134" s="3" t="n">
        <v>0.1000540346692088</v>
      </c>
      <c r="DN134" s="3" t="n">
        <v>0.09922414955184913</v>
      </c>
      <c r="DO134" s="3" t="n">
        <v>0.09843367123480826</v>
      </c>
    </row>
    <row r="135">
      <c r="A135" s="19" t="inlineStr">
        <is>
          <t>mit.sup.cost.res.ecy</t>
        </is>
      </c>
      <c r="B135" s="3" t="inlineStr">
        <is>
          <t>mit</t>
        </is>
      </c>
      <c r="C135" s="19" t="inlineStr">
        <is>
          <t>mit.sup.cost.ecy.res</t>
        </is>
      </c>
      <c r="H135" s="3" t="inlineStr">
        <is>
          <t>Efficient price: supply cost of scenario 1 | Residential | Electricity</t>
        </is>
      </c>
      <c r="I135" s="3" t="inlineStr">
        <is>
          <t>USD per price unit</t>
        </is>
      </c>
      <c r="K135" s="20" t="inlineStr">
        <is>
          <t>egy.mit.sup.cost.res.ecy.1</t>
        </is>
      </c>
      <c r="L135" s="3" t="n">
        <v>0.05905218835344977</v>
      </c>
      <c r="M135" s="3" t="n">
        <v>0.05198203963304336</v>
      </c>
      <c r="N135" s="3" t="n">
        <v>0.1007432456881396</v>
      </c>
      <c r="O135" s="3" t="n">
        <v>0.09958865917174425</v>
      </c>
      <c r="P135" s="3" t="n">
        <v>0.09959618163285475</v>
      </c>
      <c r="Q135" s="3" t="n">
        <v>0.1000406192070478</v>
      </c>
      <c r="R135" s="3" t="n">
        <v>0.1001826714241673</v>
      </c>
      <c r="S135" s="3" t="n">
        <v>0.1008689059956124</v>
      </c>
      <c r="T135" s="3" t="n">
        <v>0.1015410031501904</v>
      </c>
      <c r="U135" s="3" t="n">
        <v>0.1022962905570191</v>
      </c>
      <c r="V135" s="3" t="n">
        <v>0.1010540658851496</v>
      </c>
      <c r="W135" s="3" t="n">
        <v>0.1000311520743721</v>
      </c>
      <c r="X135" s="3" t="n">
        <v>0.09901601284400563</v>
      </c>
      <c r="Y135" s="3" t="n">
        <v>0.09806961033093213</v>
      </c>
      <c r="Z135" s="3" t="n">
        <v>0.09718457014174348</v>
      </c>
      <c r="AA135" s="3" t="n">
        <v>0.09635716325935983</v>
      </c>
      <c r="AB135" s="3" t="n">
        <v>0.09558133048329825</v>
      </c>
      <c r="AC135" s="3" t="n">
        <v>0.09484910486029599</v>
      </c>
      <c r="AD135" s="3" t="n">
        <v>0.09415547188276478</v>
      </c>
      <c r="AE135" s="3" t="n">
        <v>0.09349477582104078</v>
      </c>
      <c r="AG135" s="20" t="inlineStr">
        <is>
          <t>egy.mit.sup.cost.res.ecy.3</t>
        </is>
      </c>
      <c r="AH135" s="3" t="n">
        <v>0.05905218835344977</v>
      </c>
      <c r="AI135" s="3" t="n">
        <v>0.05198203963304336</v>
      </c>
      <c r="AJ135" s="3" t="n">
        <v>0.1007432456881396</v>
      </c>
      <c r="AK135" s="3" t="n">
        <v>0.09958865917174425</v>
      </c>
      <c r="AL135" s="3" t="n">
        <v>0.09959618163285475</v>
      </c>
      <c r="AM135" s="3" t="n">
        <v>0.1000406192070478</v>
      </c>
      <c r="AN135" s="3" t="n">
        <v>0.1001826714241673</v>
      </c>
      <c r="AO135" s="3" t="n">
        <v>0.1008689059956124</v>
      </c>
      <c r="AP135" s="3" t="n">
        <v>0.1015410031501904</v>
      </c>
      <c r="AQ135" s="3" t="n">
        <v>0.1022962905570191</v>
      </c>
      <c r="AR135" s="3" t="n">
        <v>0.1010540658851496</v>
      </c>
      <c r="AS135" s="3" t="n">
        <v>0.1000311520743721</v>
      </c>
      <c r="AT135" s="3" t="n">
        <v>0.09901601284400563</v>
      </c>
      <c r="AU135" s="3" t="n">
        <v>0.09806961033093213</v>
      </c>
      <c r="AV135" s="3" t="n">
        <v>0.09718457014174348</v>
      </c>
      <c r="AW135" s="3" t="n">
        <v>0.09635716325935983</v>
      </c>
      <c r="AX135" s="3" t="n">
        <v>0.09558133048329825</v>
      </c>
      <c r="AY135" s="3" t="n">
        <v>0.09484910486029599</v>
      </c>
      <c r="AZ135" s="3" t="n">
        <v>0.09415547188276478</v>
      </c>
      <c r="BA135" s="3" t="n">
        <v>0.09349477582104078</v>
      </c>
      <c r="BC135" s="20" t="inlineStr">
        <is>
          <t>egy.mit.sup.cost.res.ecy.4</t>
        </is>
      </c>
      <c r="BD135" s="3" t="n">
        <v>0.05905218835344977</v>
      </c>
      <c r="BE135" s="3" t="n">
        <v>0.05198203963304336</v>
      </c>
      <c r="BF135" s="3" t="n">
        <v>0.1007432456881396</v>
      </c>
      <c r="BG135" s="3" t="n">
        <v>0.09958865917174425</v>
      </c>
      <c r="BH135" s="3" t="n">
        <v>0.09959618163285475</v>
      </c>
      <c r="BI135" s="3" t="n">
        <v>0.1000406192070478</v>
      </c>
      <c r="BJ135" s="3" t="n">
        <v>0.1001826714241673</v>
      </c>
      <c r="BK135" s="3" t="n">
        <v>0.1008689059956124</v>
      </c>
      <c r="BL135" s="3" t="n">
        <v>0.1015410031501904</v>
      </c>
      <c r="BM135" s="3" t="n">
        <v>0.1022962905570191</v>
      </c>
      <c r="BN135" s="3" t="n">
        <v>0.1010540658851496</v>
      </c>
      <c r="BO135" s="3" t="n">
        <v>0.1000311520743721</v>
      </c>
      <c r="BP135" s="3" t="n">
        <v>0.09901601284400563</v>
      </c>
      <c r="BQ135" s="3" t="n">
        <v>0.09806961033093213</v>
      </c>
      <c r="BR135" s="3" t="n">
        <v>0.09718457014174348</v>
      </c>
      <c r="BS135" s="3" t="n">
        <v>0.09635716325935983</v>
      </c>
      <c r="BT135" s="3" t="n">
        <v>0.09558133048329825</v>
      </c>
      <c r="BU135" s="3" t="n">
        <v>0.09484910486029599</v>
      </c>
      <c r="BV135" s="3" t="n">
        <v>0.09415547188276478</v>
      </c>
      <c r="BW135" s="3" t="n">
        <v>0.09349477582104078</v>
      </c>
      <c r="BY135" s="20" t="inlineStr">
        <is>
          <t>egy.mit.sup.cost.res.ecy.5</t>
        </is>
      </c>
      <c r="BZ135" s="3" t="n">
        <v>0.05905218835344977</v>
      </c>
      <c r="CA135" s="3" t="n">
        <v>0.05198203963304336</v>
      </c>
      <c r="CB135" s="3" t="n">
        <v>0.1007432456881396</v>
      </c>
      <c r="CC135" s="3" t="n">
        <v>0.09958865917174425</v>
      </c>
      <c r="CD135" s="3" t="n">
        <v>0.09959618163285475</v>
      </c>
      <c r="CE135" s="3" t="n">
        <v>0.1000406192070478</v>
      </c>
      <c r="CF135" s="3" t="n">
        <v>0.1001826714241673</v>
      </c>
      <c r="CG135" s="3" t="n">
        <v>0.1008689059956124</v>
      </c>
      <c r="CH135" s="3" t="n">
        <v>0.1015410031501904</v>
      </c>
      <c r="CI135" s="3" t="n">
        <v>0.1022962905570191</v>
      </c>
      <c r="CJ135" s="3" t="n">
        <v>0.1010540658851496</v>
      </c>
      <c r="CK135" s="3" t="n">
        <v>0.1000311520743721</v>
      </c>
      <c r="CL135" s="3" t="n">
        <v>0.09901601284400563</v>
      </c>
      <c r="CM135" s="3" t="n">
        <v>0.09806961033093213</v>
      </c>
      <c r="CN135" s="3" t="n">
        <v>0.09718457014174348</v>
      </c>
      <c r="CO135" s="3" t="n">
        <v>0.09635716325935983</v>
      </c>
      <c r="CP135" s="3" t="n">
        <v>0.09558133048329825</v>
      </c>
      <c r="CQ135" s="3" t="n">
        <v>0.09484910486029599</v>
      </c>
      <c r="CR135" s="3" t="n">
        <v>0.09415547188276478</v>
      </c>
      <c r="CS135" s="3" t="n">
        <v>0.09349477582104078</v>
      </c>
      <c r="CU135" s="20" t="inlineStr">
        <is>
          <t>egy.mit.sup.cost.res.ecy.6</t>
        </is>
      </c>
      <c r="CV135" s="3" t="n">
        <v>0.05905218835344977</v>
      </c>
      <c r="CW135" s="3" t="n">
        <v>0.05198203963304336</v>
      </c>
      <c r="CX135" s="3" t="n">
        <v>0.1007432456881396</v>
      </c>
      <c r="CY135" s="3" t="n">
        <v>0.09958865917174425</v>
      </c>
      <c r="CZ135" s="3" t="n">
        <v>0.09959618163285475</v>
      </c>
      <c r="DA135" s="3" t="n">
        <v>0.1000406192070478</v>
      </c>
      <c r="DB135" s="3" t="n">
        <v>0.1001826714241673</v>
      </c>
      <c r="DC135" s="3" t="n">
        <v>0.1008689059956124</v>
      </c>
      <c r="DD135" s="3" t="n">
        <v>0.1015410031501904</v>
      </c>
      <c r="DE135" s="3" t="n">
        <v>0.1022962905570191</v>
      </c>
      <c r="DF135" s="3" t="n">
        <v>0.1010540658851496</v>
      </c>
      <c r="DG135" s="3" t="n">
        <v>0.1000311520743721</v>
      </c>
      <c r="DH135" s="3" t="n">
        <v>0.09901601284400563</v>
      </c>
      <c r="DI135" s="3" t="n">
        <v>0.09806961033093213</v>
      </c>
      <c r="DJ135" s="3" t="n">
        <v>0.09718457014174348</v>
      </c>
      <c r="DK135" s="3" t="n">
        <v>0.09635716325935983</v>
      </c>
      <c r="DL135" s="3" t="n">
        <v>0.09558133048329825</v>
      </c>
      <c r="DM135" s="3" t="n">
        <v>0.09484910486029599</v>
      </c>
      <c r="DN135" s="3" t="n">
        <v>0.09415547188276478</v>
      </c>
      <c r="DO135" s="3" t="n">
        <v>0.09349477582104078</v>
      </c>
    </row>
    <row r="136">
      <c r="A136" s="19" t="inlineStr">
        <is>
          <t>mit.sp.ind.coa</t>
        </is>
      </c>
      <c r="B136" s="3" t="inlineStr">
        <is>
          <t>mit</t>
        </is>
      </c>
      <c r="C136" s="19" t="inlineStr">
        <is>
          <t>mit.sp.ind.coa.a</t>
        </is>
      </c>
      <c r="H136" s="3" t="inlineStr">
        <is>
          <t>Supply cost (pre-tax price) | Industry | Coal</t>
        </is>
      </c>
      <c r="I136" s="3" t="inlineStr">
        <is>
          <t>USD/GJ real</t>
        </is>
      </c>
      <c r="K136" s="20" t="inlineStr">
        <is>
          <t>egy.mit.sp.ind.coa.1</t>
        </is>
      </c>
      <c r="L136" s="3" t="n">
        <v>10.90003858207016</v>
      </c>
      <c r="M136" s="3" t="n">
        <v>8.560471180849413</v>
      </c>
      <c r="N136" s="3" t="n">
        <v>7.405135996043854</v>
      </c>
      <c r="O136" s="3" t="n">
        <v>6.649809078673261</v>
      </c>
      <c r="P136" s="3" t="n">
        <v>7.065990308008567</v>
      </c>
      <c r="Q136" s="3" t="n">
        <v>7.159870298759651</v>
      </c>
      <c r="R136" s="3" t="n">
        <v>7.11535593521908</v>
      </c>
      <c r="S136" s="3" t="n">
        <v>7.067619610516197</v>
      </c>
      <c r="T136" s="3" t="n">
        <v>7.016529336236413</v>
      </c>
      <c r="U136" s="3" t="n">
        <v>6.967225142089241</v>
      </c>
      <c r="V136" s="3" t="n">
        <v>6.967225142089241</v>
      </c>
      <c r="W136" s="3" t="n">
        <v>6.967225142089241</v>
      </c>
      <c r="X136" s="3" t="n">
        <v>6.967225142089242</v>
      </c>
      <c r="Y136" s="3" t="n">
        <v>6.967225142089242</v>
      </c>
      <c r="Z136" s="3" t="n">
        <v>6.967225142089242</v>
      </c>
      <c r="AA136" s="3" t="n">
        <v>6.967225142089241</v>
      </c>
      <c r="AB136" s="3" t="n">
        <v>6.967225142089241</v>
      </c>
      <c r="AC136" s="3" t="n">
        <v>6.967225142089241</v>
      </c>
      <c r="AD136" s="3" t="n">
        <v>6.967225142089241</v>
      </c>
      <c r="AE136" s="3" t="n">
        <v>6.967225142089241</v>
      </c>
      <c r="AG136" s="20" t="inlineStr">
        <is>
          <t>egy.mit.sp.ind.coa.3</t>
        </is>
      </c>
      <c r="AH136" s="3" t="n">
        <v>10.90003858207016</v>
      </c>
      <c r="AI136" s="3" t="n">
        <v>8.560471180849413</v>
      </c>
      <c r="AJ136" s="3" t="n">
        <v>7.405135996043854</v>
      </c>
      <c r="AK136" s="3" t="n">
        <v>6.649809078673261</v>
      </c>
      <c r="AL136" s="3" t="n">
        <v>7.065990308008567</v>
      </c>
      <c r="AM136" s="3" t="n">
        <v>7.159870298759651</v>
      </c>
      <c r="AN136" s="3" t="n">
        <v>7.11535593521908</v>
      </c>
      <c r="AO136" s="3" t="n">
        <v>7.067619610516197</v>
      </c>
      <c r="AP136" s="3" t="n">
        <v>7.016529336236413</v>
      </c>
      <c r="AQ136" s="3" t="n">
        <v>6.967225142089241</v>
      </c>
      <c r="AR136" s="3" t="n">
        <v>6.967225142089241</v>
      </c>
      <c r="AS136" s="3" t="n">
        <v>6.967225142089241</v>
      </c>
      <c r="AT136" s="3" t="n">
        <v>6.967225142089242</v>
      </c>
      <c r="AU136" s="3" t="n">
        <v>6.967225142089242</v>
      </c>
      <c r="AV136" s="3" t="n">
        <v>6.967225142089242</v>
      </c>
      <c r="AW136" s="3" t="n">
        <v>6.967225142089241</v>
      </c>
      <c r="AX136" s="3" t="n">
        <v>6.967225142089241</v>
      </c>
      <c r="AY136" s="3" t="n">
        <v>6.967225142089241</v>
      </c>
      <c r="AZ136" s="3" t="n">
        <v>6.967225142089241</v>
      </c>
      <c r="BA136" s="3" t="n">
        <v>6.967225142089241</v>
      </c>
      <c r="BC136" s="20" t="inlineStr">
        <is>
          <t>egy.mit.sp.ind.coa.4</t>
        </is>
      </c>
      <c r="BD136" s="3" t="n">
        <v>10.90003858207016</v>
      </c>
      <c r="BE136" s="3" t="n">
        <v>8.560471180849413</v>
      </c>
      <c r="BF136" s="3" t="n">
        <v>7.405135996043854</v>
      </c>
      <c r="BG136" s="3" t="n">
        <v>6.649809078673261</v>
      </c>
      <c r="BH136" s="3" t="n">
        <v>7.065990308008567</v>
      </c>
      <c r="BI136" s="3" t="n">
        <v>7.159870298759651</v>
      </c>
      <c r="BJ136" s="3" t="n">
        <v>7.11535593521908</v>
      </c>
      <c r="BK136" s="3" t="n">
        <v>7.067619610516197</v>
      </c>
      <c r="BL136" s="3" t="n">
        <v>7.016529336236413</v>
      </c>
      <c r="BM136" s="3" t="n">
        <v>6.967225142089241</v>
      </c>
      <c r="BN136" s="3" t="n">
        <v>6.967225142089241</v>
      </c>
      <c r="BO136" s="3" t="n">
        <v>6.967225142089241</v>
      </c>
      <c r="BP136" s="3" t="n">
        <v>6.967225142089242</v>
      </c>
      <c r="BQ136" s="3" t="n">
        <v>6.967225142089242</v>
      </c>
      <c r="BR136" s="3" t="n">
        <v>6.967225142089242</v>
      </c>
      <c r="BS136" s="3" t="n">
        <v>6.967225142089241</v>
      </c>
      <c r="BT136" s="3" t="n">
        <v>6.967225142089241</v>
      </c>
      <c r="BU136" s="3" t="n">
        <v>6.967225142089241</v>
      </c>
      <c r="BV136" s="3" t="n">
        <v>6.967225142089241</v>
      </c>
      <c r="BW136" s="3" t="n">
        <v>6.967225142089241</v>
      </c>
      <c r="BY136" s="20" t="inlineStr">
        <is>
          <t>egy.mit.sp.ind.coa.5</t>
        </is>
      </c>
      <c r="BZ136" s="3" t="n">
        <v>10.90003858207016</v>
      </c>
      <c r="CA136" s="3" t="n">
        <v>8.560471180849413</v>
      </c>
      <c r="CB136" s="3" t="n">
        <v>7.405135996043854</v>
      </c>
      <c r="CC136" s="3" t="n">
        <v>6.649809078673261</v>
      </c>
      <c r="CD136" s="3" t="n">
        <v>7.065990308008567</v>
      </c>
      <c r="CE136" s="3" t="n">
        <v>7.159870298759651</v>
      </c>
      <c r="CF136" s="3" t="n">
        <v>7.11535593521908</v>
      </c>
      <c r="CG136" s="3" t="n">
        <v>7.067619610516197</v>
      </c>
      <c r="CH136" s="3" t="n">
        <v>7.016529336236413</v>
      </c>
      <c r="CI136" s="3" t="n">
        <v>6.967225142089241</v>
      </c>
      <c r="CJ136" s="3" t="n">
        <v>6.967225142089241</v>
      </c>
      <c r="CK136" s="3" t="n">
        <v>6.967225142089241</v>
      </c>
      <c r="CL136" s="3" t="n">
        <v>6.967225142089242</v>
      </c>
      <c r="CM136" s="3" t="n">
        <v>6.967225142089242</v>
      </c>
      <c r="CN136" s="3" t="n">
        <v>6.967225142089242</v>
      </c>
      <c r="CO136" s="3" t="n">
        <v>6.967225142089241</v>
      </c>
      <c r="CP136" s="3" t="n">
        <v>6.967225142089241</v>
      </c>
      <c r="CQ136" s="3" t="n">
        <v>6.967225142089241</v>
      </c>
      <c r="CR136" s="3" t="n">
        <v>6.967225142089241</v>
      </c>
      <c r="CS136" s="3" t="n">
        <v>6.967225142089241</v>
      </c>
      <c r="CU136" s="20" t="inlineStr">
        <is>
          <t>egy.mit.sp.ind.coa.6</t>
        </is>
      </c>
      <c r="CV136" s="3" t="n">
        <v>10.90003858207016</v>
      </c>
      <c r="CW136" s="3" t="n">
        <v>8.560471180849413</v>
      </c>
      <c r="CX136" s="3" t="n">
        <v>7.405135996043854</v>
      </c>
      <c r="CY136" s="3" t="n">
        <v>6.649809078673261</v>
      </c>
      <c r="CZ136" s="3" t="n">
        <v>7.065990308008567</v>
      </c>
      <c r="DA136" s="3" t="n">
        <v>7.159870298759651</v>
      </c>
      <c r="DB136" s="3" t="n">
        <v>7.11535593521908</v>
      </c>
      <c r="DC136" s="3" t="n">
        <v>7.067619610516197</v>
      </c>
      <c r="DD136" s="3" t="n">
        <v>7.016529336236413</v>
      </c>
      <c r="DE136" s="3" t="n">
        <v>6.967225142089241</v>
      </c>
      <c r="DF136" s="3" t="n">
        <v>6.967225142089241</v>
      </c>
      <c r="DG136" s="3" t="n">
        <v>6.967225142089241</v>
      </c>
      <c r="DH136" s="3" t="n">
        <v>6.967225142089242</v>
      </c>
      <c r="DI136" s="3" t="n">
        <v>6.967225142089242</v>
      </c>
      <c r="DJ136" s="3" t="n">
        <v>6.967225142089242</v>
      </c>
      <c r="DK136" s="3" t="n">
        <v>6.967225142089241</v>
      </c>
      <c r="DL136" s="3" t="n">
        <v>6.967225142089241</v>
      </c>
      <c r="DM136" s="3" t="n">
        <v>6.967225142089241</v>
      </c>
      <c r="DN136" s="3" t="n">
        <v>6.967225142089241</v>
      </c>
      <c r="DO136" s="3" t="n">
        <v>6.967225142089241</v>
      </c>
    </row>
    <row r="137">
      <c r="A137" s="19" t="inlineStr">
        <is>
          <t>mit.sp.ind.nga</t>
        </is>
      </c>
      <c r="B137" s="3" t="inlineStr">
        <is>
          <t>mit</t>
        </is>
      </c>
      <c r="C137" s="19" t="inlineStr">
        <is>
          <t>mit.sp.ind.nga.a</t>
        </is>
      </c>
      <c r="H137" s="3" t="inlineStr">
        <is>
          <t>Supply cost (pre-tax price) | Industry | Natural gas</t>
        </is>
      </c>
      <c r="I137" s="3" t="inlineStr">
        <is>
          <t>USD/GJ real</t>
        </is>
      </c>
      <c r="K137" s="20" t="inlineStr">
        <is>
          <t>egy.mit.sp.ind.nga.1</t>
        </is>
      </c>
      <c r="L137" s="3" t="n">
        <v>11.98362049247453</v>
      </c>
      <c r="M137" s="3" t="n">
        <v>10.25510226430741</v>
      </c>
      <c r="N137" s="3" t="n">
        <v>9.420966573414672</v>
      </c>
      <c r="O137" s="3" t="n">
        <v>9.397385865979537</v>
      </c>
      <c r="P137" s="3" t="n">
        <v>9.341375063734812</v>
      </c>
      <c r="Q137" s="3" t="n">
        <v>9.408085870425786</v>
      </c>
      <c r="R137" s="3" t="n">
        <v>9.486560134343589</v>
      </c>
      <c r="S137" s="3" t="n">
        <v>9.514513678898734</v>
      </c>
      <c r="T137" s="3" t="n">
        <v>9.522443849365558</v>
      </c>
      <c r="U137" s="3" t="n">
        <v>9.526937785601195</v>
      </c>
      <c r="V137" s="3" t="n">
        <v>9.526937785601195</v>
      </c>
      <c r="W137" s="3" t="n">
        <v>9.526937785601195</v>
      </c>
      <c r="X137" s="3" t="n">
        <v>9.526937785601195</v>
      </c>
      <c r="Y137" s="3" t="n">
        <v>9.526937785601195</v>
      </c>
      <c r="Z137" s="3" t="n">
        <v>9.526937785601195</v>
      </c>
      <c r="AA137" s="3" t="n">
        <v>9.526937785601195</v>
      </c>
      <c r="AB137" s="3" t="n">
        <v>9.526937785601195</v>
      </c>
      <c r="AC137" s="3" t="n">
        <v>9.526937785601195</v>
      </c>
      <c r="AD137" s="3" t="n">
        <v>9.526937785601195</v>
      </c>
      <c r="AE137" s="3" t="n">
        <v>9.526937785601195</v>
      </c>
      <c r="AG137" s="20" t="inlineStr">
        <is>
          <t>egy.mit.sp.ind.nga.3</t>
        </is>
      </c>
      <c r="AH137" s="3" t="n">
        <v>11.98362049247453</v>
      </c>
      <c r="AI137" s="3" t="n">
        <v>10.25510226430741</v>
      </c>
      <c r="AJ137" s="3" t="n">
        <v>9.420966573414672</v>
      </c>
      <c r="AK137" s="3" t="n">
        <v>9.397385865979537</v>
      </c>
      <c r="AL137" s="3" t="n">
        <v>9.341375063734812</v>
      </c>
      <c r="AM137" s="3" t="n">
        <v>9.408085870425786</v>
      </c>
      <c r="AN137" s="3" t="n">
        <v>9.486560134343589</v>
      </c>
      <c r="AO137" s="3" t="n">
        <v>9.514513678898734</v>
      </c>
      <c r="AP137" s="3" t="n">
        <v>9.522443849365558</v>
      </c>
      <c r="AQ137" s="3" t="n">
        <v>9.526937785601195</v>
      </c>
      <c r="AR137" s="3" t="n">
        <v>9.526937785601195</v>
      </c>
      <c r="AS137" s="3" t="n">
        <v>9.526937785601195</v>
      </c>
      <c r="AT137" s="3" t="n">
        <v>9.526937785601195</v>
      </c>
      <c r="AU137" s="3" t="n">
        <v>9.526937785601195</v>
      </c>
      <c r="AV137" s="3" t="n">
        <v>9.526937785601195</v>
      </c>
      <c r="AW137" s="3" t="n">
        <v>9.526937785601195</v>
      </c>
      <c r="AX137" s="3" t="n">
        <v>9.526937785601195</v>
      </c>
      <c r="AY137" s="3" t="n">
        <v>9.526937785601195</v>
      </c>
      <c r="AZ137" s="3" t="n">
        <v>9.526937785601195</v>
      </c>
      <c r="BA137" s="3" t="n">
        <v>9.526937785601195</v>
      </c>
      <c r="BC137" s="20" t="inlineStr">
        <is>
          <t>egy.mit.sp.ind.nga.4</t>
        </is>
      </c>
      <c r="BD137" s="3" t="n">
        <v>11.98362049247453</v>
      </c>
      <c r="BE137" s="3" t="n">
        <v>10.25510226430741</v>
      </c>
      <c r="BF137" s="3" t="n">
        <v>9.420966573414672</v>
      </c>
      <c r="BG137" s="3" t="n">
        <v>9.397385865979537</v>
      </c>
      <c r="BH137" s="3" t="n">
        <v>9.341375063734812</v>
      </c>
      <c r="BI137" s="3" t="n">
        <v>9.408085870425786</v>
      </c>
      <c r="BJ137" s="3" t="n">
        <v>9.486560134343589</v>
      </c>
      <c r="BK137" s="3" t="n">
        <v>9.514513678898734</v>
      </c>
      <c r="BL137" s="3" t="n">
        <v>9.522443849365558</v>
      </c>
      <c r="BM137" s="3" t="n">
        <v>9.526937785601195</v>
      </c>
      <c r="BN137" s="3" t="n">
        <v>9.526937785601195</v>
      </c>
      <c r="BO137" s="3" t="n">
        <v>9.526937785601195</v>
      </c>
      <c r="BP137" s="3" t="n">
        <v>9.526937785601195</v>
      </c>
      <c r="BQ137" s="3" t="n">
        <v>9.526937785601195</v>
      </c>
      <c r="BR137" s="3" t="n">
        <v>9.526937785601195</v>
      </c>
      <c r="BS137" s="3" t="n">
        <v>9.526937785601195</v>
      </c>
      <c r="BT137" s="3" t="n">
        <v>9.526937785601195</v>
      </c>
      <c r="BU137" s="3" t="n">
        <v>9.526937785601195</v>
      </c>
      <c r="BV137" s="3" t="n">
        <v>9.526937785601195</v>
      </c>
      <c r="BW137" s="3" t="n">
        <v>9.526937785601195</v>
      </c>
      <c r="BY137" s="20" t="inlineStr">
        <is>
          <t>egy.mit.sp.ind.nga.5</t>
        </is>
      </c>
      <c r="BZ137" s="3" t="n">
        <v>11.98362049247453</v>
      </c>
      <c r="CA137" s="3" t="n">
        <v>10.25510226430741</v>
      </c>
      <c r="CB137" s="3" t="n">
        <v>9.420966573414672</v>
      </c>
      <c r="CC137" s="3" t="n">
        <v>9.397385865979537</v>
      </c>
      <c r="CD137" s="3" t="n">
        <v>9.341375063734812</v>
      </c>
      <c r="CE137" s="3" t="n">
        <v>9.408085870425786</v>
      </c>
      <c r="CF137" s="3" t="n">
        <v>9.486560134343589</v>
      </c>
      <c r="CG137" s="3" t="n">
        <v>9.514513678898734</v>
      </c>
      <c r="CH137" s="3" t="n">
        <v>9.522443849365558</v>
      </c>
      <c r="CI137" s="3" t="n">
        <v>9.526937785601195</v>
      </c>
      <c r="CJ137" s="3" t="n">
        <v>9.526937785601195</v>
      </c>
      <c r="CK137" s="3" t="n">
        <v>9.526937785601195</v>
      </c>
      <c r="CL137" s="3" t="n">
        <v>9.526937785601195</v>
      </c>
      <c r="CM137" s="3" t="n">
        <v>9.526937785601195</v>
      </c>
      <c r="CN137" s="3" t="n">
        <v>9.526937785601195</v>
      </c>
      <c r="CO137" s="3" t="n">
        <v>9.526937785601195</v>
      </c>
      <c r="CP137" s="3" t="n">
        <v>9.526937785601195</v>
      </c>
      <c r="CQ137" s="3" t="n">
        <v>9.526937785601195</v>
      </c>
      <c r="CR137" s="3" t="n">
        <v>9.526937785601195</v>
      </c>
      <c r="CS137" s="3" t="n">
        <v>9.526937785601195</v>
      </c>
      <c r="CU137" s="20" t="inlineStr">
        <is>
          <t>egy.mit.sp.ind.nga.6</t>
        </is>
      </c>
      <c r="CV137" s="3" t="n">
        <v>11.98362049247453</v>
      </c>
      <c r="CW137" s="3" t="n">
        <v>10.25510226430741</v>
      </c>
      <c r="CX137" s="3" t="n">
        <v>9.420966573414672</v>
      </c>
      <c r="CY137" s="3" t="n">
        <v>9.397385865979537</v>
      </c>
      <c r="CZ137" s="3" t="n">
        <v>9.341375063734812</v>
      </c>
      <c r="DA137" s="3" t="n">
        <v>9.408085870425786</v>
      </c>
      <c r="DB137" s="3" t="n">
        <v>9.486560134343589</v>
      </c>
      <c r="DC137" s="3" t="n">
        <v>9.514513678898734</v>
      </c>
      <c r="DD137" s="3" t="n">
        <v>9.522443849365558</v>
      </c>
      <c r="DE137" s="3" t="n">
        <v>9.526937785601195</v>
      </c>
      <c r="DF137" s="3" t="n">
        <v>9.526937785601195</v>
      </c>
      <c r="DG137" s="3" t="n">
        <v>9.526937785601195</v>
      </c>
      <c r="DH137" s="3" t="n">
        <v>9.526937785601195</v>
      </c>
      <c r="DI137" s="3" t="n">
        <v>9.526937785601195</v>
      </c>
      <c r="DJ137" s="3" t="n">
        <v>9.526937785601195</v>
      </c>
      <c r="DK137" s="3" t="n">
        <v>9.526937785601195</v>
      </c>
      <c r="DL137" s="3" t="n">
        <v>9.526937785601195</v>
      </c>
      <c r="DM137" s="3" t="n">
        <v>9.526937785601195</v>
      </c>
      <c r="DN137" s="3" t="n">
        <v>9.526937785601195</v>
      </c>
      <c r="DO137" s="3" t="n">
        <v>9.526937785601195</v>
      </c>
    </row>
    <row r="138">
      <c r="A138" s="19" t="inlineStr">
        <is>
          <t>mit.sp.res.coa</t>
        </is>
      </c>
      <c r="B138" s="3" t="inlineStr">
        <is>
          <t>mit</t>
        </is>
      </c>
      <c r="C138" s="19" t="inlineStr">
        <is>
          <t>mit.sp.res.coa.a</t>
        </is>
      </c>
      <c r="H138" s="3" t="inlineStr">
        <is>
          <t>Supply cost (pre-tax price) | Residential | Coal</t>
        </is>
      </c>
      <c r="I138" s="3" t="inlineStr">
        <is>
          <t>USD/GJ real</t>
        </is>
      </c>
      <c r="K138" s="20" t="inlineStr">
        <is>
          <t>egy.mit.sp.res.coa.1</t>
        </is>
      </c>
      <c r="L138" s="3" t="n">
        <v>20.50262749770246</v>
      </c>
      <c r="M138" s="3" t="n">
        <v>13.36427843484486</v>
      </c>
      <c r="N138" s="3" t="n">
        <v>12.70156580181755</v>
      </c>
      <c r="O138" s="3" t="n">
        <v>11.6577166486213</v>
      </c>
      <c r="P138" s="3" t="n">
        <v>12.23287213934597</v>
      </c>
      <c r="Q138" s="3" t="n">
        <v>12.36261271470998</v>
      </c>
      <c r="R138" s="3" t="n">
        <v>12.301094609611</v>
      </c>
      <c r="S138" s="3" t="n">
        <v>12.23512380813173</v>
      </c>
      <c r="T138" s="3" t="n">
        <v>12.16451790449312</v>
      </c>
      <c r="U138" s="3" t="n">
        <v>12.09638033369303</v>
      </c>
      <c r="V138" s="3" t="n">
        <v>12.09638033369303</v>
      </c>
      <c r="W138" s="3" t="n">
        <v>12.09638033369303</v>
      </c>
      <c r="X138" s="3" t="n">
        <v>12.09638033369304</v>
      </c>
      <c r="Y138" s="3" t="n">
        <v>12.09638033369304</v>
      </c>
      <c r="Z138" s="3" t="n">
        <v>12.09638033369304</v>
      </c>
      <c r="AA138" s="3" t="n">
        <v>12.09638033369303</v>
      </c>
      <c r="AB138" s="3" t="n">
        <v>12.09638033369303</v>
      </c>
      <c r="AC138" s="3" t="n">
        <v>12.09638033369303</v>
      </c>
      <c r="AD138" s="3" t="n">
        <v>12.09638033369303</v>
      </c>
      <c r="AE138" s="3" t="n">
        <v>12.09638033369303</v>
      </c>
      <c r="AG138" s="20" t="inlineStr">
        <is>
          <t>egy.mit.sp.res.coa.3</t>
        </is>
      </c>
      <c r="AH138" s="3" t="n">
        <v>20.50262749770246</v>
      </c>
      <c r="AI138" s="3" t="n">
        <v>13.36427843484486</v>
      </c>
      <c r="AJ138" s="3" t="n">
        <v>12.70156580181755</v>
      </c>
      <c r="AK138" s="3" t="n">
        <v>11.6577166486213</v>
      </c>
      <c r="AL138" s="3" t="n">
        <v>12.23287213934597</v>
      </c>
      <c r="AM138" s="3" t="n">
        <v>12.36261271470998</v>
      </c>
      <c r="AN138" s="3" t="n">
        <v>12.301094609611</v>
      </c>
      <c r="AO138" s="3" t="n">
        <v>12.23512380813173</v>
      </c>
      <c r="AP138" s="3" t="n">
        <v>12.16451790449312</v>
      </c>
      <c r="AQ138" s="3" t="n">
        <v>12.09638033369303</v>
      </c>
      <c r="AR138" s="3" t="n">
        <v>12.09638033369303</v>
      </c>
      <c r="AS138" s="3" t="n">
        <v>12.09638033369303</v>
      </c>
      <c r="AT138" s="3" t="n">
        <v>12.09638033369304</v>
      </c>
      <c r="AU138" s="3" t="n">
        <v>12.09638033369304</v>
      </c>
      <c r="AV138" s="3" t="n">
        <v>12.09638033369304</v>
      </c>
      <c r="AW138" s="3" t="n">
        <v>12.09638033369303</v>
      </c>
      <c r="AX138" s="3" t="n">
        <v>12.09638033369303</v>
      </c>
      <c r="AY138" s="3" t="n">
        <v>12.09638033369303</v>
      </c>
      <c r="AZ138" s="3" t="n">
        <v>12.09638033369303</v>
      </c>
      <c r="BA138" s="3" t="n">
        <v>12.09638033369303</v>
      </c>
      <c r="BC138" s="20" t="inlineStr">
        <is>
          <t>egy.mit.sp.res.coa.4</t>
        </is>
      </c>
      <c r="BD138" s="3" t="n">
        <v>20.50262749770246</v>
      </c>
      <c r="BE138" s="3" t="n">
        <v>13.36427843484486</v>
      </c>
      <c r="BF138" s="3" t="n">
        <v>12.70156580181755</v>
      </c>
      <c r="BG138" s="3" t="n">
        <v>11.6577166486213</v>
      </c>
      <c r="BH138" s="3" t="n">
        <v>12.23287213934597</v>
      </c>
      <c r="BI138" s="3" t="n">
        <v>12.36261271470998</v>
      </c>
      <c r="BJ138" s="3" t="n">
        <v>12.301094609611</v>
      </c>
      <c r="BK138" s="3" t="n">
        <v>12.23512380813173</v>
      </c>
      <c r="BL138" s="3" t="n">
        <v>12.16451790449312</v>
      </c>
      <c r="BM138" s="3" t="n">
        <v>12.09638033369303</v>
      </c>
      <c r="BN138" s="3" t="n">
        <v>12.09638033369303</v>
      </c>
      <c r="BO138" s="3" t="n">
        <v>12.09638033369303</v>
      </c>
      <c r="BP138" s="3" t="n">
        <v>12.09638033369304</v>
      </c>
      <c r="BQ138" s="3" t="n">
        <v>12.09638033369304</v>
      </c>
      <c r="BR138" s="3" t="n">
        <v>12.09638033369304</v>
      </c>
      <c r="BS138" s="3" t="n">
        <v>12.09638033369303</v>
      </c>
      <c r="BT138" s="3" t="n">
        <v>12.09638033369303</v>
      </c>
      <c r="BU138" s="3" t="n">
        <v>12.09638033369303</v>
      </c>
      <c r="BV138" s="3" t="n">
        <v>12.09638033369303</v>
      </c>
      <c r="BW138" s="3" t="n">
        <v>12.09638033369303</v>
      </c>
      <c r="BY138" s="20" t="inlineStr">
        <is>
          <t>egy.mit.sp.res.coa.5</t>
        </is>
      </c>
      <c r="BZ138" s="3" t="n">
        <v>20.50262749770246</v>
      </c>
      <c r="CA138" s="3" t="n">
        <v>13.36427843484486</v>
      </c>
      <c r="CB138" s="3" t="n">
        <v>12.70156580181755</v>
      </c>
      <c r="CC138" s="3" t="n">
        <v>11.6577166486213</v>
      </c>
      <c r="CD138" s="3" t="n">
        <v>12.23287213934597</v>
      </c>
      <c r="CE138" s="3" t="n">
        <v>12.36261271470998</v>
      </c>
      <c r="CF138" s="3" t="n">
        <v>12.301094609611</v>
      </c>
      <c r="CG138" s="3" t="n">
        <v>12.23512380813173</v>
      </c>
      <c r="CH138" s="3" t="n">
        <v>12.16451790449312</v>
      </c>
      <c r="CI138" s="3" t="n">
        <v>12.09638033369303</v>
      </c>
      <c r="CJ138" s="3" t="n">
        <v>12.09638033369303</v>
      </c>
      <c r="CK138" s="3" t="n">
        <v>12.09638033369303</v>
      </c>
      <c r="CL138" s="3" t="n">
        <v>12.09638033369304</v>
      </c>
      <c r="CM138" s="3" t="n">
        <v>12.09638033369304</v>
      </c>
      <c r="CN138" s="3" t="n">
        <v>12.09638033369304</v>
      </c>
      <c r="CO138" s="3" t="n">
        <v>12.09638033369303</v>
      </c>
      <c r="CP138" s="3" t="n">
        <v>12.09638033369303</v>
      </c>
      <c r="CQ138" s="3" t="n">
        <v>12.09638033369303</v>
      </c>
      <c r="CR138" s="3" t="n">
        <v>12.09638033369303</v>
      </c>
      <c r="CS138" s="3" t="n">
        <v>12.09638033369303</v>
      </c>
      <c r="CU138" s="20" t="inlineStr">
        <is>
          <t>egy.mit.sp.res.coa.6</t>
        </is>
      </c>
      <c r="CV138" s="3" t="n">
        <v>20.50262749770246</v>
      </c>
      <c r="CW138" s="3" t="n">
        <v>13.36427843484486</v>
      </c>
      <c r="CX138" s="3" t="n">
        <v>12.70156580181755</v>
      </c>
      <c r="CY138" s="3" t="n">
        <v>11.6577166486213</v>
      </c>
      <c r="CZ138" s="3" t="n">
        <v>12.23287213934597</v>
      </c>
      <c r="DA138" s="3" t="n">
        <v>12.36261271470998</v>
      </c>
      <c r="DB138" s="3" t="n">
        <v>12.301094609611</v>
      </c>
      <c r="DC138" s="3" t="n">
        <v>12.23512380813173</v>
      </c>
      <c r="DD138" s="3" t="n">
        <v>12.16451790449312</v>
      </c>
      <c r="DE138" s="3" t="n">
        <v>12.09638033369303</v>
      </c>
      <c r="DF138" s="3" t="n">
        <v>12.09638033369303</v>
      </c>
      <c r="DG138" s="3" t="n">
        <v>12.09638033369303</v>
      </c>
      <c r="DH138" s="3" t="n">
        <v>12.09638033369304</v>
      </c>
      <c r="DI138" s="3" t="n">
        <v>12.09638033369304</v>
      </c>
      <c r="DJ138" s="3" t="n">
        <v>12.09638033369304</v>
      </c>
      <c r="DK138" s="3" t="n">
        <v>12.09638033369303</v>
      </c>
      <c r="DL138" s="3" t="n">
        <v>12.09638033369303</v>
      </c>
      <c r="DM138" s="3" t="n">
        <v>12.09638033369303</v>
      </c>
      <c r="DN138" s="3" t="n">
        <v>12.09638033369303</v>
      </c>
      <c r="DO138" s="3" t="n">
        <v>12.09638033369303</v>
      </c>
    </row>
    <row r="139">
      <c r="A139" s="19" t="inlineStr">
        <is>
          <t>mit.sp.res.nga</t>
        </is>
      </c>
      <c r="B139" s="3" t="inlineStr">
        <is>
          <t>mit</t>
        </is>
      </c>
      <c r="C139" s="19" t="inlineStr">
        <is>
          <t>mit.sp.res.nga.a</t>
        </is>
      </c>
      <c r="H139" s="3" t="inlineStr">
        <is>
          <t>Supply cost (pre-tax price) | Residential | Natural gas</t>
        </is>
      </c>
      <c r="I139" s="3" t="inlineStr">
        <is>
          <t>USD/GJ real</t>
        </is>
      </c>
      <c r="K139" s="20" t="inlineStr">
        <is>
          <t>egy.mit.sp.res.nga.1</t>
        </is>
      </c>
      <c r="L139" s="3" t="n">
        <v>16.97156498304895</v>
      </c>
      <c r="M139" s="3" t="n">
        <v>14.735600113104</v>
      </c>
      <c r="N139" s="3" t="n">
        <v>14.19053880878842</v>
      </c>
      <c r="O139" s="3" t="n">
        <v>14.12676629077407</v>
      </c>
      <c r="P139" s="3" t="n">
        <v>13.97528865148035</v>
      </c>
      <c r="Q139" s="3" t="n">
        <v>14.155703769778</v>
      </c>
      <c r="R139" s="3" t="n">
        <v>14.36793240724053</v>
      </c>
      <c r="S139" s="3" t="n">
        <v>14.44353098411155</v>
      </c>
      <c r="T139" s="3" t="n">
        <v>14.46497762392689</v>
      </c>
      <c r="U139" s="3" t="n">
        <v>14.47713118761156</v>
      </c>
      <c r="V139" s="3" t="n">
        <v>14.47713118761156</v>
      </c>
      <c r="W139" s="3" t="n">
        <v>14.47713118761156</v>
      </c>
      <c r="X139" s="3" t="n">
        <v>14.47713118761156</v>
      </c>
      <c r="Y139" s="3" t="n">
        <v>14.47713118761156</v>
      </c>
      <c r="Z139" s="3" t="n">
        <v>14.47713118761156</v>
      </c>
      <c r="AA139" s="3" t="n">
        <v>14.47713118761156</v>
      </c>
      <c r="AB139" s="3" t="n">
        <v>14.47713118761156</v>
      </c>
      <c r="AC139" s="3" t="n">
        <v>14.47713118761156</v>
      </c>
      <c r="AD139" s="3" t="n">
        <v>14.47713118761156</v>
      </c>
      <c r="AE139" s="3" t="n">
        <v>14.47713118761156</v>
      </c>
      <c r="AG139" s="20" t="inlineStr">
        <is>
          <t>egy.mit.sp.res.nga.3</t>
        </is>
      </c>
      <c r="AH139" s="3" t="n">
        <v>16.97156498304895</v>
      </c>
      <c r="AI139" s="3" t="n">
        <v>14.735600113104</v>
      </c>
      <c r="AJ139" s="3" t="n">
        <v>14.19053880878842</v>
      </c>
      <c r="AK139" s="3" t="n">
        <v>14.12676629077407</v>
      </c>
      <c r="AL139" s="3" t="n">
        <v>13.97528865148035</v>
      </c>
      <c r="AM139" s="3" t="n">
        <v>14.155703769778</v>
      </c>
      <c r="AN139" s="3" t="n">
        <v>14.36793240724053</v>
      </c>
      <c r="AO139" s="3" t="n">
        <v>14.44353098411155</v>
      </c>
      <c r="AP139" s="3" t="n">
        <v>14.46497762392689</v>
      </c>
      <c r="AQ139" s="3" t="n">
        <v>14.47713118761156</v>
      </c>
      <c r="AR139" s="3" t="n">
        <v>14.47713118761156</v>
      </c>
      <c r="AS139" s="3" t="n">
        <v>14.47713118761156</v>
      </c>
      <c r="AT139" s="3" t="n">
        <v>14.47713118761156</v>
      </c>
      <c r="AU139" s="3" t="n">
        <v>14.47713118761156</v>
      </c>
      <c r="AV139" s="3" t="n">
        <v>14.47713118761156</v>
      </c>
      <c r="AW139" s="3" t="n">
        <v>14.47713118761156</v>
      </c>
      <c r="AX139" s="3" t="n">
        <v>14.47713118761156</v>
      </c>
      <c r="AY139" s="3" t="n">
        <v>14.47713118761156</v>
      </c>
      <c r="AZ139" s="3" t="n">
        <v>14.47713118761156</v>
      </c>
      <c r="BA139" s="3" t="n">
        <v>14.47713118761156</v>
      </c>
      <c r="BC139" s="20" t="inlineStr">
        <is>
          <t>egy.mit.sp.res.nga.4</t>
        </is>
      </c>
      <c r="BD139" s="3" t="n">
        <v>16.97156498304895</v>
      </c>
      <c r="BE139" s="3" t="n">
        <v>14.735600113104</v>
      </c>
      <c r="BF139" s="3" t="n">
        <v>14.19053880878842</v>
      </c>
      <c r="BG139" s="3" t="n">
        <v>14.12676629077407</v>
      </c>
      <c r="BH139" s="3" t="n">
        <v>13.97528865148035</v>
      </c>
      <c r="BI139" s="3" t="n">
        <v>14.155703769778</v>
      </c>
      <c r="BJ139" s="3" t="n">
        <v>14.36793240724053</v>
      </c>
      <c r="BK139" s="3" t="n">
        <v>14.44353098411155</v>
      </c>
      <c r="BL139" s="3" t="n">
        <v>14.46497762392689</v>
      </c>
      <c r="BM139" s="3" t="n">
        <v>14.47713118761156</v>
      </c>
      <c r="BN139" s="3" t="n">
        <v>14.47713118761156</v>
      </c>
      <c r="BO139" s="3" t="n">
        <v>14.47713118761156</v>
      </c>
      <c r="BP139" s="3" t="n">
        <v>14.47713118761156</v>
      </c>
      <c r="BQ139" s="3" t="n">
        <v>14.47713118761156</v>
      </c>
      <c r="BR139" s="3" t="n">
        <v>14.47713118761156</v>
      </c>
      <c r="BS139" s="3" t="n">
        <v>14.47713118761156</v>
      </c>
      <c r="BT139" s="3" t="n">
        <v>14.47713118761156</v>
      </c>
      <c r="BU139" s="3" t="n">
        <v>14.47713118761156</v>
      </c>
      <c r="BV139" s="3" t="n">
        <v>14.47713118761156</v>
      </c>
      <c r="BW139" s="3" t="n">
        <v>14.47713118761156</v>
      </c>
      <c r="BY139" s="20" t="inlineStr">
        <is>
          <t>egy.mit.sp.res.nga.5</t>
        </is>
      </c>
      <c r="BZ139" s="3" t="n">
        <v>16.97156498304895</v>
      </c>
      <c r="CA139" s="3" t="n">
        <v>14.735600113104</v>
      </c>
      <c r="CB139" s="3" t="n">
        <v>14.19053880878842</v>
      </c>
      <c r="CC139" s="3" t="n">
        <v>14.12676629077407</v>
      </c>
      <c r="CD139" s="3" t="n">
        <v>13.97528865148035</v>
      </c>
      <c r="CE139" s="3" t="n">
        <v>14.155703769778</v>
      </c>
      <c r="CF139" s="3" t="n">
        <v>14.36793240724053</v>
      </c>
      <c r="CG139" s="3" t="n">
        <v>14.44353098411155</v>
      </c>
      <c r="CH139" s="3" t="n">
        <v>14.46497762392689</v>
      </c>
      <c r="CI139" s="3" t="n">
        <v>14.47713118761156</v>
      </c>
      <c r="CJ139" s="3" t="n">
        <v>14.47713118761156</v>
      </c>
      <c r="CK139" s="3" t="n">
        <v>14.47713118761156</v>
      </c>
      <c r="CL139" s="3" t="n">
        <v>14.47713118761156</v>
      </c>
      <c r="CM139" s="3" t="n">
        <v>14.47713118761156</v>
      </c>
      <c r="CN139" s="3" t="n">
        <v>14.47713118761156</v>
      </c>
      <c r="CO139" s="3" t="n">
        <v>14.47713118761156</v>
      </c>
      <c r="CP139" s="3" t="n">
        <v>14.47713118761156</v>
      </c>
      <c r="CQ139" s="3" t="n">
        <v>14.47713118761156</v>
      </c>
      <c r="CR139" s="3" t="n">
        <v>14.47713118761156</v>
      </c>
      <c r="CS139" s="3" t="n">
        <v>14.47713118761156</v>
      </c>
      <c r="CU139" s="20" t="inlineStr">
        <is>
          <t>egy.mit.sp.res.nga.6</t>
        </is>
      </c>
      <c r="CV139" s="3" t="n">
        <v>16.97156498304895</v>
      </c>
      <c r="CW139" s="3" t="n">
        <v>14.735600113104</v>
      </c>
      <c r="CX139" s="3" t="n">
        <v>14.19053880878842</v>
      </c>
      <c r="CY139" s="3" t="n">
        <v>14.12676629077407</v>
      </c>
      <c r="CZ139" s="3" t="n">
        <v>13.97528865148035</v>
      </c>
      <c r="DA139" s="3" t="n">
        <v>14.155703769778</v>
      </c>
      <c r="DB139" s="3" t="n">
        <v>14.36793240724053</v>
      </c>
      <c r="DC139" s="3" t="n">
        <v>14.44353098411155</v>
      </c>
      <c r="DD139" s="3" t="n">
        <v>14.46497762392689</v>
      </c>
      <c r="DE139" s="3" t="n">
        <v>14.47713118761156</v>
      </c>
      <c r="DF139" s="3" t="n">
        <v>14.47713118761156</v>
      </c>
      <c r="DG139" s="3" t="n">
        <v>14.47713118761156</v>
      </c>
      <c r="DH139" s="3" t="n">
        <v>14.47713118761156</v>
      </c>
      <c r="DI139" s="3" t="n">
        <v>14.47713118761156</v>
      </c>
      <c r="DJ139" s="3" t="n">
        <v>14.47713118761156</v>
      </c>
      <c r="DK139" s="3" t="n">
        <v>14.47713118761156</v>
      </c>
      <c r="DL139" s="3" t="n">
        <v>14.47713118761156</v>
      </c>
      <c r="DM139" s="3" t="n">
        <v>14.47713118761156</v>
      </c>
      <c r="DN139" s="3" t="n">
        <v>14.47713118761156</v>
      </c>
      <c r="DO139" s="3" t="n">
        <v>14.47713118761156</v>
      </c>
    </row>
    <row r="140">
      <c r="A140" s="19" t="inlineStr">
        <is>
          <t>mit.sp.pow.coa</t>
        </is>
      </c>
      <c r="B140" s="3" t="inlineStr">
        <is>
          <t>mit</t>
        </is>
      </c>
      <c r="C140" s="19" t="inlineStr">
        <is>
          <t>mit.sp.pow.coa.a</t>
        </is>
      </c>
      <c r="H140" s="3" t="inlineStr">
        <is>
          <t>Supply cost (pre-tax price) | Power | Coal</t>
        </is>
      </c>
      <c r="I140" s="3" t="inlineStr">
        <is>
          <t>USD/GJ real</t>
        </is>
      </c>
      <c r="K140" s="20" t="inlineStr">
        <is>
          <t>egy.mit.sp.pow.coa.1</t>
        </is>
      </c>
      <c r="L140" s="3" t="n">
        <v>13.46421248673108</v>
      </c>
      <c r="M140" s="3" t="n">
        <v>6.58847527233409</v>
      </c>
      <c r="N140" s="3" t="n">
        <v>5.8065680582894</v>
      </c>
      <c r="O140" s="3" t="n">
        <v>4.753248660508235</v>
      </c>
      <c r="P140" s="3" t="n">
        <v>5.333622207074439</v>
      </c>
      <c r="Q140" s="3" t="n">
        <v>5.464539844255792</v>
      </c>
      <c r="R140" s="3" t="n">
        <v>5.402463620677809</v>
      </c>
      <c r="S140" s="3" t="n">
        <v>5.335894303959473</v>
      </c>
      <c r="T140" s="3" t="n">
        <v>5.264647833458736</v>
      </c>
      <c r="U140" s="3" t="n">
        <v>5.195892089564461</v>
      </c>
      <c r="V140" s="3" t="n">
        <v>5.195892089564461</v>
      </c>
      <c r="W140" s="3" t="n">
        <v>5.195892089564461</v>
      </c>
      <c r="X140" s="3" t="n">
        <v>5.195892089564463</v>
      </c>
      <c r="Y140" s="3" t="n">
        <v>5.195892089564463</v>
      </c>
      <c r="Z140" s="3" t="n">
        <v>5.195892089564463</v>
      </c>
      <c r="AA140" s="3" t="n">
        <v>5.195892089564462</v>
      </c>
      <c r="AB140" s="3" t="n">
        <v>5.195892089564462</v>
      </c>
      <c r="AC140" s="3" t="n">
        <v>5.195892089564463</v>
      </c>
      <c r="AD140" s="3" t="n">
        <v>5.195892089564463</v>
      </c>
      <c r="AE140" s="3" t="n">
        <v>5.195892089564463</v>
      </c>
      <c r="AG140" s="20" t="inlineStr">
        <is>
          <t>egy.mit.sp.pow.coa.3</t>
        </is>
      </c>
      <c r="AH140" s="3" t="n">
        <v>13.46421248673108</v>
      </c>
      <c r="AI140" s="3" t="n">
        <v>6.58847527233409</v>
      </c>
      <c r="AJ140" s="3" t="n">
        <v>5.8065680582894</v>
      </c>
      <c r="AK140" s="3" t="n">
        <v>4.753248660508235</v>
      </c>
      <c r="AL140" s="3" t="n">
        <v>5.333622207074439</v>
      </c>
      <c r="AM140" s="3" t="n">
        <v>5.464539844255792</v>
      </c>
      <c r="AN140" s="3" t="n">
        <v>5.402463620677809</v>
      </c>
      <c r="AO140" s="3" t="n">
        <v>5.335894303959473</v>
      </c>
      <c r="AP140" s="3" t="n">
        <v>5.264647833458736</v>
      </c>
      <c r="AQ140" s="3" t="n">
        <v>5.195892089564461</v>
      </c>
      <c r="AR140" s="3" t="n">
        <v>5.195892089564461</v>
      </c>
      <c r="AS140" s="3" t="n">
        <v>5.195892089564461</v>
      </c>
      <c r="AT140" s="3" t="n">
        <v>5.195892089564463</v>
      </c>
      <c r="AU140" s="3" t="n">
        <v>5.195892089564463</v>
      </c>
      <c r="AV140" s="3" t="n">
        <v>5.195892089564463</v>
      </c>
      <c r="AW140" s="3" t="n">
        <v>5.195892089564462</v>
      </c>
      <c r="AX140" s="3" t="n">
        <v>5.195892089564462</v>
      </c>
      <c r="AY140" s="3" t="n">
        <v>5.195892089564463</v>
      </c>
      <c r="AZ140" s="3" t="n">
        <v>5.195892089564463</v>
      </c>
      <c r="BA140" s="3" t="n">
        <v>5.195892089564463</v>
      </c>
      <c r="BC140" s="20" t="inlineStr">
        <is>
          <t>egy.mit.sp.pow.coa.4</t>
        </is>
      </c>
      <c r="BD140" s="3" t="n">
        <v>13.46421248673108</v>
      </c>
      <c r="BE140" s="3" t="n">
        <v>6.58847527233409</v>
      </c>
      <c r="BF140" s="3" t="n">
        <v>5.8065680582894</v>
      </c>
      <c r="BG140" s="3" t="n">
        <v>4.753248660508235</v>
      </c>
      <c r="BH140" s="3" t="n">
        <v>5.333622207074439</v>
      </c>
      <c r="BI140" s="3" t="n">
        <v>5.464539844255792</v>
      </c>
      <c r="BJ140" s="3" t="n">
        <v>5.402463620677809</v>
      </c>
      <c r="BK140" s="3" t="n">
        <v>5.335894303959473</v>
      </c>
      <c r="BL140" s="3" t="n">
        <v>5.264647833458736</v>
      </c>
      <c r="BM140" s="3" t="n">
        <v>5.195892089564461</v>
      </c>
      <c r="BN140" s="3" t="n">
        <v>5.195892089564461</v>
      </c>
      <c r="BO140" s="3" t="n">
        <v>5.195892089564461</v>
      </c>
      <c r="BP140" s="3" t="n">
        <v>5.195892089564463</v>
      </c>
      <c r="BQ140" s="3" t="n">
        <v>5.195892089564463</v>
      </c>
      <c r="BR140" s="3" t="n">
        <v>5.195892089564463</v>
      </c>
      <c r="BS140" s="3" t="n">
        <v>5.195892089564462</v>
      </c>
      <c r="BT140" s="3" t="n">
        <v>5.195892089564462</v>
      </c>
      <c r="BU140" s="3" t="n">
        <v>5.195892089564463</v>
      </c>
      <c r="BV140" s="3" t="n">
        <v>5.195892089564463</v>
      </c>
      <c r="BW140" s="3" t="n">
        <v>5.195892089564463</v>
      </c>
      <c r="BY140" s="20" t="inlineStr">
        <is>
          <t>egy.mit.sp.pow.coa.5</t>
        </is>
      </c>
      <c r="BZ140" s="3" t="n">
        <v>13.46421248673108</v>
      </c>
      <c r="CA140" s="3" t="n">
        <v>6.58847527233409</v>
      </c>
      <c r="CB140" s="3" t="n">
        <v>5.8065680582894</v>
      </c>
      <c r="CC140" s="3" t="n">
        <v>4.753248660508235</v>
      </c>
      <c r="CD140" s="3" t="n">
        <v>5.333622207074439</v>
      </c>
      <c r="CE140" s="3" t="n">
        <v>5.464539844255792</v>
      </c>
      <c r="CF140" s="3" t="n">
        <v>5.402463620677809</v>
      </c>
      <c r="CG140" s="3" t="n">
        <v>5.335894303959473</v>
      </c>
      <c r="CH140" s="3" t="n">
        <v>5.264647833458736</v>
      </c>
      <c r="CI140" s="3" t="n">
        <v>5.195892089564461</v>
      </c>
      <c r="CJ140" s="3" t="n">
        <v>5.195892089564461</v>
      </c>
      <c r="CK140" s="3" t="n">
        <v>5.195892089564461</v>
      </c>
      <c r="CL140" s="3" t="n">
        <v>5.195892089564463</v>
      </c>
      <c r="CM140" s="3" t="n">
        <v>5.195892089564463</v>
      </c>
      <c r="CN140" s="3" t="n">
        <v>5.195892089564463</v>
      </c>
      <c r="CO140" s="3" t="n">
        <v>5.195892089564462</v>
      </c>
      <c r="CP140" s="3" t="n">
        <v>5.195892089564462</v>
      </c>
      <c r="CQ140" s="3" t="n">
        <v>5.195892089564463</v>
      </c>
      <c r="CR140" s="3" t="n">
        <v>5.195892089564463</v>
      </c>
      <c r="CS140" s="3" t="n">
        <v>5.195892089564463</v>
      </c>
      <c r="CU140" s="20" t="inlineStr">
        <is>
          <t>egy.mit.sp.pow.coa.6</t>
        </is>
      </c>
      <c r="CV140" s="3" t="n">
        <v>13.46421248673108</v>
      </c>
      <c r="CW140" s="3" t="n">
        <v>6.58847527233409</v>
      </c>
      <c r="CX140" s="3" t="n">
        <v>5.8065680582894</v>
      </c>
      <c r="CY140" s="3" t="n">
        <v>4.753248660508235</v>
      </c>
      <c r="CZ140" s="3" t="n">
        <v>5.333622207074439</v>
      </c>
      <c r="DA140" s="3" t="n">
        <v>5.464539844255792</v>
      </c>
      <c r="DB140" s="3" t="n">
        <v>5.402463620677809</v>
      </c>
      <c r="DC140" s="3" t="n">
        <v>5.335894303959473</v>
      </c>
      <c r="DD140" s="3" t="n">
        <v>5.264647833458736</v>
      </c>
      <c r="DE140" s="3" t="n">
        <v>5.195892089564461</v>
      </c>
      <c r="DF140" s="3" t="n">
        <v>5.195892089564461</v>
      </c>
      <c r="DG140" s="3" t="n">
        <v>5.195892089564461</v>
      </c>
      <c r="DH140" s="3" t="n">
        <v>5.195892089564463</v>
      </c>
      <c r="DI140" s="3" t="n">
        <v>5.195892089564463</v>
      </c>
      <c r="DJ140" s="3" t="n">
        <v>5.195892089564463</v>
      </c>
      <c r="DK140" s="3" t="n">
        <v>5.195892089564462</v>
      </c>
      <c r="DL140" s="3" t="n">
        <v>5.195892089564462</v>
      </c>
      <c r="DM140" s="3" t="n">
        <v>5.195892089564463</v>
      </c>
      <c r="DN140" s="3" t="n">
        <v>5.195892089564463</v>
      </c>
      <c r="DO140" s="3" t="n">
        <v>5.195892089564463</v>
      </c>
    </row>
    <row r="141">
      <c r="A141" s="19" t="inlineStr">
        <is>
          <t>mit.sp.pow.nga</t>
        </is>
      </c>
      <c r="B141" s="3" t="inlineStr">
        <is>
          <t>mit</t>
        </is>
      </c>
      <c r="C141" s="19" t="inlineStr">
        <is>
          <t>mit.sp.pow.nga.a</t>
        </is>
      </c>
      <c r="H141" s="3" t="inlineStr">
        <is>
          <t>Supply cost (pre-tax price) | Power | Natural gas</t>
        </is>
      </c>
      <c r="I141" s="3" t="inlineStr">
        <is>
          <t>USD/GJ real</t>
        </is>
      </c>
      <c r="K141" s="20" t="inlineStr">
        <is>
          <t>egy.mit.sp.pow.nga.1</t>
        </is>
      </c>
      <c r="L141" s="3" t="n">
        <v>11.60240327842508</v>
      </c>
      <c r="M141" s="3" t="n">
        <v>9.511198561326328</v>
      </c>
      <c r="N141" s="3" t="n">
        <v>8.892230324900334</v>
      </c>
      <c r="O141" s="3" t="n">
        <v>8.904789269497227</v>
      </c>
      <c r="P141" s="3" t="n">
        <v>8.934620289798632</v>
      </c>
      <c r="Q141" s="3" t="n">
        <v>8.899090510738755</v>
      </c>
      <c r="R141" s="3" t="n">
        <v>8.857295584291505</v>
      </c>
      <c r="S141" s="3" t="n">
        <v>8.842407692640224</v>
      </c>
      <c r="T141" s="3" t="n">
        <v>8.83818413099303</v>
      </c>
      <c r="U141" s="3" t="n">
        <v>8.835790687269572</v>
      </c>
      <c r="V141" s="3" t="n">
        <v>8.835790687269572</v>
      </c>
      <c r="W141" s="3" t="n">
        <v>8.835790687269572</v>
      </c>
      <c r="X141" s="3" t="n">
        <v>8.835790687269572</v>
      </c>
      <c r="Y141" s="3" t="n">
        <v>8.835790687269572</v>
      </c>
      <c r="Z141" s="3" t="n">
        <v>8.835790687269572</v>
      </c>
      <c r="AA141" s="3" t="n">
        <v>8.835790687269572</v>
      </c>
      <c r="AB141" s="3" t="n">
        <v>8.835790687269572</v>
      </c>
      <c r="AC141" s="3" t="n">
        <v>8.835790687269572</v>
      </c>
      <c r="AD141" s="3" t="n">
        <v>8.835790687269572</v>
      </c>
      <c r="AE141" s="3" t="n">
        <v>8.835790687269572</v>
      </c>
      <c r="AG141" s="20" t="inlineStr">
        <is>
          <t>egy.mit.sp.pow.nga.3</t>
        </is>
      </c>
      <c r="AH141" s="3" t="n">
        <v>11.60240327842508</v>
      </c>
      <c r="AI141" s="3" t="n">
        <v>9.511198561326328</v>
      </c>
      <c r="AJ141" s="3" t="n">
        <v>8.892230324900334</v>
      </c>
      <c r="AK141" s="3" t="n">
        <v>8.904789269497227</v>
      </c>
      <c r="AL141" s="3" t="n">
        <v>8.934620289798632</v>
      </c>
      <c r="AM141" s="3" t="n">
        <v>8.899090510738755</v>
      </c>
      <c r="AN141" s="3" t="n">
        <v>8.857295584291505</v>
      </c>
      <c r="AO141" s="3" t="n">
        <v>8.842407692640224</v>
      </c>
      <c r="AP141" s="3" t="n">
        <v>8.83818413099303</v>
      </c>
      <c r="AQ141" s="3" t="n">
        <v>8.835790687269572</v>
      </c>
      <c r="AR141" s="3" t="n">
        <v>8.835790687269572</v>
      </c>
      <c r="AS141" s="3" t="n">
        <v>8.835790687269572</v>
      </c>
      <c r="AT141" s="3" t="n">
        <v>8.835790687269572</v>
      </c>
      <c r="AU141" s="3" t="n">
        <v>8.835790687269572</v>
      </c>
      <c r="AV141" s="3" t="n">
        <v>8.835790687269572</v>
      </c>
      <c r="AW141" s="3" t="n">
        <v>8.835790687269572</v>
      </c>
      <c r="AX141" s="3" t="n">
        <v>8.835790687269572</v>
      </c>
      <c r="AY141" s="3" t="n">
        <v>8.835790687269572</v>
      </c>
      <c r="AZ141" s="3" t="n">
        <v>8.835790687269572</v>
      </c>
      <c r="BA141" s="3" t="n">
        <v>8.835790687269572</v>
      </c>
      <c r="BC141" s="20" t="inlineStr">
        <is>
          <t>egy.mit.sp.pow.nga.4</t>
        </is>
      </c>
      <c r="BD141" s="3" t="n">
        <v>11.60240327842508</v>
      </c>
      <c r="BE141" s="3" t="n">
        <v>9.511198561326328</v>
      </c>
      <c r="BF141" s="3" t="n">
        <v>8.892230324900334</v>
      </c>
      <c r="BG141" s="3" t="n">
        <v>8.904789269497227</v>
      </c>
      <c r="BH141" s="3" t="n">
        <v>8.934620289798632</v>
      </c>
      <c r="BI141" s="3" t="n">
        <v>8.899090510738755</v>
      </c>
      <c r="BJ141" s="3" t="n">
        <v>8.857295584291505</v>
      </c>
      <c r="BK141" s="3" t="n">
        <v>8.842407692640224</v>
      </c>
      <c r="BL141" s="3" t="n">
        <v>8.83818413099303</v>
      </c>
      <c r="BM141" s="3" t="n">
        <v>8.835790687269572</v>
      </c>
      <c r="BN141" s="3" t="n">
        <v>8.835790687269572</v>
      </c>
      <c r="BO141" s="3" t="n">
        <v>8.835790687269572</v>
      </c>
      <c r="BP141" s="3" t="n">
        <v>8.835790687269572</v>
      </c>
      <c r="BQ141" s="3" t="n">
        <v>8.835790687269572</v>
      </c>
      <c r="BR141" s="3" t="n">
        <v>8.835790687269572</v>
      </c>
      <c r="BS141" s="3" t="n">
        <v>8.835790687269572</v>
      </c>
      <c r="BT141" s="3" t="n">
        <v>8.835790687269572</v>
      </c>
      <c r="BU141" s="3" t="n">
        <v>8.835790687269572</v>
      </c>
      <c r="BV141" s="3" t="n">
        <v>8.835790687269572</v>
      </c>
      <c r="BW141" s="3" t="n">
        <v>8.835790687269572</v>
      </c>
      <c r="BY141" s="20" t="inlineStr">
        <is>
          <t>egy.mit.sp.pow.nga.5</t>
        </is>
      </c>
      <c r="BZ141" s="3" t="n">
        <v>11.60240327842508</v>
      </c>
      <c r="CA141" s="3" t="n">
        <v>9.511198561326328</v>
      </c>
      <c r="CB141" s="3" t="n">
        <v>8.892230324900334</v>
      </c>
      <c r="CC141" s="3" t="n">
        <v>8.904789269497227</v>
      </c>
      <c r="CD141" s="3" t="n">
        <v>8.934620289798632</v>
      </c>
      <c r="CE141" s="3" t="n">
        <v>8.899090510738755</v>
      </c>
      <c r="CF141" s="3" t="n">
        <v>8.857295584291505</v>
      </c>
      <c r="CG141" s="3" t="n">
        <v>8.842407692640224</v>
      </c>
      <c r="CH141" s="3" t="n">
        <v>8.83818413099303</v>
      </c>
      <c r="CI141" s="3" t="n">
        <v>8.835790687269572</v>
      </c>
      <c r="CJ141" s="3" t="n">
        <v>8.835790687269572</v>
      </c>
      <c r="CK141" s="3" t="n">
        <v>8.835790687269572</v>
      </c>
      <c r="CL141" s="3" t="n">
        <v>8.835790687269572</v>
      </c>
      <c r="CM141" s="3" t="n">
        <v>8.835790687269572</v>
      </c>
      <c r="CN141" s="3" t="n">
        <v>8.835790687269572</v>
      </c>
      <c r="CO141" s="3" t="n">
        <v>8.835790687269572</v>
      </c>
      <c r="CP141" s="3" t="n">
        <v>8.835790687269572</v>
      </c>
      <c r="CQ141" s="3" t="n">
        <v>8.835790687269572</v>
      </c>
      <c r="CR141" s="3" t="n">
        <v>8.835790687269572</v>
      </c>
      <c r="CS141" s="3" t="n">
        <v>8.835790687269572</v>
      </c>
      <c r="CU141" s="20" t="inlineStr">
        <is>
          <t>egy.mit.sp.pow.nga.6</t>
        </is>
      </c>
      <c r="CV141" s="3" t="n">
        <v>11.60240327842508</v>
      </c>
      <c r="CW141" s="3" t="n">
        <v>9.511198561326328</v>
      </c>
      <c r="CX141" s="3" t="n">
        <v>8.892230324900334</v>
      </c>
      <c r="CY141" s="3" t="n">
        <v>8.904789269497227</v>
      </c>
      <c r="CZ141" s="3" t="n">
        <v>8.934620289798632</v>
      </c>
      <c r="DA141" s="3" t="n">
        <v>8.899090510738755</v>
      </c>
      <c r="DB141" s="3" t="n">
        <v>8.857295584291505</v>
      </c>
      <c r="DC141" s="3" t="n">
        <v>8.842407692640224</v>
      </c>
      <c r="DD141" s="3" t="n">
        <v>8.83818413099303</v>
      </c>
      <c r="DE141" s="3" t="n">
        <v>8.835790687269572</v>
      </c>
      <c r="DF141" s="3" t="n">
        <v>8.835790687269572</v>
      </c>
      <c r="DG141" s="3" t="n">
        <v>8.835790687269572</v>
      </c>
      <c r="DH141" s="3" t="n">
        <v>8.835790687269572</v>
      </c>
      <c r="DI141" s="3" t="n">
        <v>8.835790687269572</v>
      </c>
      <c r="DJ141" s="3" t="n">
        <v>8.835790687269572</v>
      </c>
      <c r="DK141" s="3" t="n">
        <v>8.835790687269572</v>
      </c>
      <c r="DL141" s="3" t="n">
        <v>8.835790687269572</v>
      </c>
      <c r="DM141" s="3" t="n">
        <v>8.835790687269572</v>
      </c>
      <c r="DN141" s="3" t="n">
        <v>8.835790687269572</v>
      </c>
      <c r="DO141" s="3" t="n">
        <v>8.835790687269572</v>
      </c>
    </row>
    <row r="142">
      <c r="A142" s="19" t="inlineStr">
        <is>
          <t>mit.sp.all.oop</t>
        </is>
      </c>
      <c r="B142" s="3" t="inlineStr">
        <is>
          <t>mit</t>
        </is>
      </c>
      <c r="C142" s="19" t="inlineStr">
        <is>
          <t>mit.sp.all.oop.a</t>
        </is>
      </c>
      <c r="H142" s="3" t="inlineStr">
        <is>
          <t>Supply cost (pre-tax price) | All sectors | Other oil products</t>
        </is>
      </c>
      <c r="I142" s="3" t="inlineStr">
        <is>
          <t>USD/GJ real</t>
        </is>
      </c>
      <c r="K142" s="20" t="inlineStr">
        <is>
          <t>egy.mit.sp.all.oop.1</t>
        </is>
      </c>
      <c r="L142" s="3" t="n">
        <v>18.7181563452752</v>
      </c>
      <c r="M142" s="3" t="n">
        <v>15.72799110744487</v>
      </c>
      <c r="N142" s="3" t="n">
        <v>15.13575251722198</v>
      </c>
      <c r="O142" s="3" t="n">
        <v>12.83138415607814</v>
      </c>
      <c r="P142" s="3" t="n">
        <v>14.43292178260919</v>
      </c>
      <c r="Q142" s="3" t="n">
        <v>12.77223685514049</v>
      </c>
      <c r="R142" s="3" t="n">
        <v>12.31535553006542</v>
      </c>
      <c r="S142" s="3" t="n">
        <v>12.08505029299921</v>
      </c>
      <c r="T142" s="3" t="n">
        <v>11.88364692995445</v>
      </c>
      <c r="U142" s="3" t="n">
        <v>11.66484073767055</v>
      </c>
      <c r="V142" s="3" t="n">
        <v>11.66484073767055</v>
      </c>
      <c r="W142" s="3" t="n">
        <v>11.66484073767055</v>
      </c>
      <c r="X142" s="3" t="n">
        <v>11.66484073767055</v>
      </c>
      <c r="Y142" s="3" t="n">
        <v>11.66484073767055</v>
      </c>
      <c r="Z142" s="3" t="n">
        <v>11.66484073767055</v>
      </c>
      <c r="AA142" s="3" t="n">
        <v>11.66484073767055</v>
      </c>
      <c r="AB142" s="3" t="n">
        <v>11.66484073767055</v>
      </c>
      <c r="AC142" s="3" t="n">
        <v>11.66484073767055</v>
      </c>
      <c r="AD142" s="3" t="n">
        <v>11.66484073767055</v>
      </c>
      <c r="AE142" s="3" t="n">
        <v>11.66484073767055</v>
      </c>
      <c r="AG142" s="20" t="inlineStr">
        <is>
          <t>egy.mit.sp.all.oop.3</t>
        </is>
      </c>
      <c r="AH142" s="3" t="n">
        <v>18.7181563452752</v>
      </c>
      <c r="AI142" s="3" t="n">
        <v>15.72799110744487</v>
      </c>
      <c r="AJ142" s="3" t="n">
        <v>15.13575251722198</v>
      </c>
      <c r="AK142" s="3" t="n">
        <v>12.83138415607814</v>
      </c>
      <c r="AL142" s="3" t="n">
        <v>14.43292178260919</v>
      </c>
      <c r="AM142" s="3" t="n">
        <v>12.77223685514049</v>
      </c>
      <c r="AN142" s="3" t="n">
        <v>12.31535553006542</v>
      </c>
      <c r="AO142" s="3" t="n">
        <v>12.08505029299921</v>
      </c>
      <c r="AP142" s="3" t="n">
        <v>11.88364692995445</v>
      </c>
      <c r="AQ142" s="3" t="n">
        <v>11.66484073767055</v>
      </c>
      <c r="AR142" s="3" t="n">
        <v>11.66484073767055</v>
      </c>
      <c r="AS142" s="3" t="n">
        <v>11.66484073767055</v>
      </c>
      <c r="AT142" s="3" t="n">
        <v>11.66484073767055</v>
      </c>
      <c r="AU142" s="3" t="n">
        <v>11.66484073767055</v>
      </c>
      <c r="AV142" s="3" t="n">
        <v>11.66484073767055</v>
      </c>
      <c r="AW142" s="3" t="n">
        <v>11.66484073767055</v>
      </c>
      <c r="AX142" s="3" t="n">
        <v>11.66484073767055</v>
      </c>
      <c r="AY142" s="3" t="n">
        <v>11.66484073767055</v>
      </c>
      <c r="AZ142" s="3" t="n">
        <v>11.66484073767055</v>
      </c>
      <c r="BA142" s="3" t="n">
        <v>11.66484073767055</v>
      </c>
      <c r="BC142" s="20" t="inlineStr">
        <is>
          <t>egy.mit.sp.all.oop.4</t>
        </is>
      </c>
      <c r="BD142" s="3" t="n">
        <v>18.7181563452752</v>
      </c>
      <c r="BE142" s="3" t="n">
        <v>15.72799110744487</v>
      </c>
      <c r="BF142" s="3" t="n">
        <v>15.13575251722198</v>
      </c>
      <c r="BG142" s="3" t="n">
        <v>12.83138415607814</v>
      </c>
      <c r="BH142" s="3" t="n">
        <v>14.43292178260919</v>
      </c>
      <c r="BI142" s="3" t="n">
        <v>12.77223685514049</v>
      </c>
      <c r="BJ142" s="3" t="n">
        <v>12.31535553006542</v>
      </c>
      <c r="BK142" s="3" t="n">
        <v>12.08505029299921</v>
      </c>
      <c r="BL142" s="3" t="n">
        <v>11.88364692995445</v>
      </c>
      <c r="BM142" s="3" t="n">
        <v>11.66484073767055</v>
      </c>
      <c r="BN142" s="3" t="n">
        <v>11.66484073767055</v>
      </c>
      <c r="BO142" s="3" t="n">
        <v>11.66484073767055</v>
      </c>
      <c r="BP142" s="3" t="n">
        <v>11.66484073767055</v>
      </c>
      <c r="BQ142" s="3" t="n">
        <v>11.66484073767055</v>
      </c>
      <c r="BR142" s="3" t="n">
        <v>11.66484073767055</v>
      </c>
      <c r="BS142" s="3" t="n">
        <v>11.66484073767055</v>
      </c>
      <c r="BT142" s="3" t="n">
        <v>11.66484073767055</v>
      </c>
      <c r="BU142" s="3" t="n">
        <v>11.66484073767055</v>
      </c>
      <c r="BV142" s="3" t="n">
        <v>11.66484073767055</v>
      </c>
      <c r="BW142" s="3" t="n">
        <v>11.66484073767055</v>
      </c>
      <c r="BY142" s="20" t="inlineStr">
        <is>
          <t>egy.mit.sp.all.oop.5</t>
        </is>
      </c>
      <c r="BZ142" s="3" t="n">
        <v>18.7181563452752</v>
      </c>
      <c r="CA142" s="3" t="n">
        <v>15.72799110744487</v>
      </c>
      <c r="CB142" s="3" t="n">
        <v>15.13575251722198</v>
      </c>
      <c r="CC142" s="3" t="n">
        <v>12.83138415607814</v>
      </c>
      <c r="CD142" s="3" t="n">
        <v>14.43292178260919</v>
      </c>
      <c r="CE142" s="3" t="n">
        <v>12.77223685514049</v>
      </c>
      <c r="CF142" s="3" t="n">
        <v>12.31535553006542</v>
      </c>
      <c r="CG142" s="3" t="n">
        <v>12.08505029299921</v>
      </c>
      <c r="CH142" s="3" t="n">
        <v>11.88364692995445</v>
      </c>
      <c r="CI142" s="3" t="n">
        <v>11.66484073767055</v>
      </c>
      <c r="CJ142" s="3" t="n">
        <v>11.66484073767055</v>
      </c>
      <c r="CK142" s="3" t="n">
        <v>11.66484073767055</v>
      </c>
      <c r="CL142" s="3" t="n">
        <v>11.66484073767055</v>
      </c>
      <c r="CM142" s="3" t="n">
        <v>11.66484073767055</v>
      </c>
      <c r="CN142" s="3" t="n">
        <v>11.66484073767055</v>
      </c>
      <c r="CO142" s="3" t="n">
        <v>11.66484073767055</v>
      </c>
      <c r="CP142" s="3" t="n">
        <v>11.66484073767055</v>
      </c>
      <c r="CQ142" s="3" t="n">
        <v>11.66484073767055</v>
      </c>
      <c r="CR142" s="3" t="n">
        <v>11.66484073767055</v>
      </c>
      <c r="CS142" s="3" t="n">
        <v>11.66484073767055</v>
      </c>
      <c r="CU142" s="20" t="inlineStr">
        <is>
          <t>egy.mit.sp.all.oop.6</t>
        </is>
      </c>
      <c r="CV142" s="3" t="n">
        <v>18.7181563452752</v>
      </c>
      <c r="CW142" s="3" t="n">
        <v>15.72799110744487</v>
      </c>
      <c r="CX142" s="3" t="n">
        <v>15.13575251722198</v>
      </c>
      <c r="CY142" s="3" t="n">
        <v>12.83138415607814</v>
      </c>
      <c r="CZ142" s="3" t="n">
        <v>14.43292178260919</v>
      </c>
      <c r="DA142" s="3" t="n">
        <v>12.77223685514049</v>
      </c>
      <c r="DB142" s="3" t="n">
        <v>12.31535553006542</v>
      </c>
      <c r="DC142" s="3" t="n">
        <v>12.08505029299921</v>
      </c>
      <c r="DD142" s="3" t="n">
        <v>11.88364692995445</v>
      </c>
      <c r="DE142" s="3" t="n">
        <v>11.66484073767055</v>
      </c>
      <c r="DF142" s="3" t="n">
        <v>11.66484073767055</v>
      </c>
      <c r="DG142" s="3" t="n">
        <v>11.66484073767055</v>
      </c>
      <c r="DH142" s="3" t="n">
        <v>11.66484073767055</v>
      </c>
      <c r="DI142" s="3" t="n">
        <v>11.66484073767055</v>
      </c>
      <c r="DJ142" s="3" t="n">
        <v>11.66484073767055</v>
      </c>
      <c r="DK142" s="3" t="n">
        <v>11.66484073767055</v>
      </c>
      <c r="DL142" s="3" t="n">
        <v>11.66484073767055</v>
      </c>
      <c r="DM142" s="3" t="n">
        <v>11.66484073767055</v>
      </c>
      <c r="DN142" s="3" t="n">
        <v>11.66484073767055</v>
      </c>
      <c r="DO142" s="3" t="n">
        <v>11.66484073767055</v>
      </c>
    </row>
    <row r="143">
      <c r="A143" s="19" t="inlineStr">
        <is>
          <t>mit.sp.all.gso</t>
        </is>
      </c>
      <c r="B143" s="3" t="inlineStr">
        <is>
          <t>mit</t>
        </is>
      </c>
      <c r="C143" s="19" t="inlineStr">
        <is>
          <t>mit.sp.all.gso.a</t>
        </is>
      </c>
      <c r="H143" s="3" t="inlineStr">
        <is>
          <t>Supply cost (pre-tax price) | All sectors | Gasoline</t>
        </is>
      </c>
      <c r="I143" s="3" t="inlineStr">
        <is>
          <t>USD/GJ real</t>
        </is>
      </c>
      <c r="K143" s="20" t="inlineStr">
        <is>
          <t>egy.mit.sp.all.gso.1</t>
        </is>
      </c>
      <c r="L143" s="3" t="n">
        <v>28.18147201581047</v>
      </c>
      <c r="M143" s="3" t="n">
        <v>22.83624464482467</v>
      </c>
      <c r="N143" s="3" t="n">
        <v>21.54840057076045</v>
      </c>
      <c r="O143" s="3" t="n">
        <v>18.60461724499398</v>
      </c>
      <c r="P143" s="3" t="n">
        <v>20.65054872021588</v>
      </c>
      <c r="Q143" s="3" t="n">
        <v>18.5290577809776</v>
      </c>
      <c r="R143" s="3" t="n">
        <v>17.94540125744225</v>
      </c>
      <c r="S143" s="3" t="n">
        <v>17.65119103995094</v>
      </c>
      <c r="T143" s="3" t="n">
        <v>17.39390237383241</v>
      </c>
      <c r="U143" s="3" t="n">
        <v>17.11438195024004</v>
      </c>
      <c r="V143" s="3" t="n">
        <v>17.11438195024004</v>
      </c>
      <c r="W143" s="3" t="n">
        <v>17.11438195024004</v>
      </c>
      <c r="X143" s="3" t="n">
        <v>17.11438195024004</v>
      </c>
      <c r="Y143" s="3" t="n">
        <v>17.11438195024004</v>
      </c>
      <c r="Z143" s="3" t="n">
        <v>17.11438195024004</v>
      </c>
      <c r="AA143" s="3" t="n">
        <v>17.11438195024004</v>
      </c>
      <c r="AB143" s="3" t="n">
        <v>17.11438195024004</v>
      </c>
      <c r="AC143" s="3" t="n">
        <v>17.11438195024004</v>
      </c>
      <c r="AD143" s="3" t="n">
        <v>17.11438195024004</v>
      </c>
      <c r="AE143" s="3" t="n">
        <v>17.11438195024004</v>
      </c>
      <c r="AG143" s="20" t="inlineStr">
        <is>
          <t>egy.mit.sp.all.gso.3</t>
        </is>
      </c>
      <c r="AH143" s="3" t="n">
        <v>28.18147201581047</v>
      </c>
      <c r="AI143" s="3" t="n">
        <v>22.83624464482467</v>
      </c>
      <c r="AJ143" s="3" t="n">
        <v>21.54840057076045</v>
      </c>
      <c r="AK143" s="3" t="n">
        <v>18.60461724499398</v>
      </c>
      <c r="AL143" s="3" t="n">
        <v>20.65054872021588</v>
      </c>
      <c r="AM143" s="3" t="n">
        <v>18.5290577809776</v>
      </c>
      <c r="AN143" s="3" t="n">
        <v>17.94540125744225</v>
      </c>
      <c r="AO143" s="3" t="n">
        <v>17.65119103995094</v>
      </c>
      <c r="AP143" s="3" t="n">
        <v>17.39390237383241</v>
      </c>
      <c r="AQ143" s="3" t="n">
        <v>17.11438195024004</v>
      </c>
      <c r="AR143" s="3" t="n">
        <v>17.11438195024004</v>
      </c>
      <c r="AS143" s="3" t="n">
        <v>17.11438195024004</v>
      </c>
      <c r="AT143" s="3" t="n">
        <v>17.11438195024004</v>
      </c>
      <c r="AU143" s="3" t="n">
        <v>17.11438195024004</v>
      </c>
      <c r="AV143" s="3" t="n">
        <v>17.11438195024004</v>
      </c>
      <c r="AW143" s="3" t="n">
        <v>17.11438195024004</v>
      </c>
      <c r="AX143" s="3" t="n">
        <v>17.11438195024004</v>
      </c>
      <c r="AY143" s="3" t="n">
        <v>17.11438195024004</v>
      </c>
      <c r="AZ143" s="3" t="n">
        <v>17.11438195024004</v>
      </c>
      <c r="BA143" s="3" t="n">
        <v>17.11438195024004</v>
      </c>
      <c r="BC143" s="20" t="inlineStr">
        <is>
          <t>egy.mit.sp.all.gso.4</t>
        </is>
      </c>
      <c r="BD143" s="3" t="n">
        <v>28.18147201581047</v>
      </c>
      <c r="BE143" s="3" t="n">
        <v>22.83624464482467</v>
      </c>
      <c r="BF143" s="3" t="n">
        <v>21.54840057076045</v>
      </c>
      <c r="BG143" s="3" t="n">
        <v>18.60461724499398</v>
      </c>
      <c r="BH143" s="3" t="n">
        <v>20.65054872021588</v>
      </c>
      <c r="BI143" s="3" t="n">
        <v>18.5290577809776</v>
      </c>
      <c r="BJ143" s="3" t="n">
        <v>17.94540125744225</v>
      </c>
      <c r="BK143" s="3" t="n">
        <v>17.65119103995094</v>
      </c>
      <c r="BL143" s="3" t="n">
        <v>17.39390237383241</v>
      </c>
      <c r="BM143" s="3" t="n">
        <v>17.11438195024004</v>
      </c>
      <c r="BN143" s="3" t="n">
        <v>17.11438195024004</v>
      </c>
      <c r="BO143" s="3" t="n">
        <v>17.11438195024004</v>
      </c>
      <c r="BP143" s="3" t="n">
        <v>17.11438195024004</v>
      </c>
      <c r="BQ143" s="3" t="n">
        <v>17.11438195024004</v>
      </c>
      <c r="BR143" s="3" t="n">
        <v>17.11438195024004</v>
      </c>
      <c r="BS143" s="3" t="n">
        <v>17.11438195024004</v>
      </c>
      <c r="BT143" s="3" t="n">
        <v>17.11438195024004</v>
      </c>
      <c r="BU143" s="3" t="n">
        <v>17.11438195024004</v>
      </c>
      <c r="BV143" s="3" t="n">
        <v>17.11438195024004</v>
      </c>
      <c r="BW143" s="3" t="n">
        <v>17.11438195024004</v>
      </c>
      <c r="BY143" s="20" t="inlineStr">
        <is>
          <t>egy.mit.sp.all.gso.5</t>
        </is>
      </c>
      <c r="BZ143" s="3" t="n">
        <v>28.18147201581047</v>
      </c>
      <c r="CA143" s="3" t="n">
        <v>22.83624464482467</v>
      </c>
      <c r="CB143" s="3" t="n">
        <v>21.54840057076045</v>
      </c>
      <c r="CC143" s="3" t="n">
        <v>18.60461724499398</v>
      </c>
      <c r="CD143" s="3" t="n">
        <v>20.65054872021588</v>
      </c>
      <c r="CE143" s="3" t="n">
        <v>18.5290577809776</v>
      </c>
      <c r="CF143" s="3" t="n">
        <v>17.94540125744225</v>
      </c>
      <c r="CG143" s="3" t="n">
        <v>17.65119103995094</v>
      </c>
      <c r="CH143" s="3" t="n">
        <v>17.39390237383241</v>
      </c>
      <c r="CI143" s="3" t="n">
        <v>17.11438195024004</v>
      </c>
      <c r="CJ143" s="3" t="n">
        <v>17.11438195024004</v>
      </c>
      <c r="CK143" s="3" t="n">
        <v>17.11438195024004</v>
      </c>
      <c r="CL143" s="3" t="n">
        <v>17.11438195024004</v>
      </c>
      <c r="CM143" s="3" t="n">
        <v>17.11438195024004</v>
      </c>
      <c r="CN143" s="3" t="n">
        <v>17.11438195024004</v>
      </c>
      <c r="CO143" s="3" t="n">
        <v>17.11438195024004</v>
      </c>
      <c r="CP143" s="3" t="n">
        <v>17.11438195024004</v>
      </c>
      <c r="CQ143" s="3" t="n">
        <v>17.11438195024004</v>
      </c>
      <c r="CR143" s="3" t="n">
        <v>17.11438195024004</v>
      </c>
      <c r="CS143" s="3" t="n">
        <v>17.11438195024004</v>
      </c>
      <c r="CU143" s="20" t="inlineStr">
        <is>
          <t>egy.mit.sp.all.gso.6</t>
        </is>
      </c>
      <c r="CV143" s="3" t="n">
        <v>28.18147201581047</v>
      </c>
      <c r="CW143" s="3" t="n">
        <v>22.83624464482467</v>
      </c>
      <c r="CX143" s="3" t="n">
        <v>21.54840057076045</v>
      </c>
      <c r="CY143" s="3" t="n">
        <v>18.60461724499398</v>
      </c>
      <c r="CZ143" s="3" t="n">
        <v>20.65054872021588</v>
      </c>
      <c r="DA143" s="3" t="n">
        <v>18.5290577809776</v>
      </c>
      <c r="DB143" s="3" t="n">
        <v>17.94540125744225</v>
      </c>
      <c r="DC143" s="3" t="n">
        <v>17.65119103995094</v>
      </c>
      <c r="DD143" s="3" t="n">
        <v>17.39390237383241</v>
      </c>
      <c r="DE143" s="3" t="n">
        <v>17.11438195024004</v>
      </c>
      <c r="DF143" s="3" t="n">
        <v>17.11438195024004</v>
      </c>
      <c r="DG143" s="3" t="n">
        <v>17.11438195024004</v>
      </c>
      <c r="DH143" s="3" t="n">
        <v>17.11438195024004</v>
      </c>
      <c r="DI143" s="3" t="n">
        <v>17.11438195024004</v>
      </c>
      <c r="DJ143" s="3" t="n">
        <v>17.11438195024004</v>
      </c>
      <c r="DK143" s="3" t="n">
        <v>17.11438195024004</v>
      </c>
      <c r="DL143" s="3" t="n">
        <v>17.11438195024004</v>
      </c>
      <c r="DM143" s="3" t="n">
        <v>17.11438195024004</v>
      </c>
      <c r="DN143" s="3" t="n">
        <v>17.11438195024004</v>
      </c>
      <c r="DO143" s="3" t="n">
        <v>17.11438195024004</v>
      </c>
    </row>
    <row r="144">
      <c r="A144" s="19" t="inlineStr">
        <is>
          <t>mit.sp.all.die</t>
        </is>
      </c>
      <c r="B144" s="3" t="inlineStr">
        <is>
          <t>mit</t>
        </is>
      </c>
      <c r="C144" s="19" t="inlineStr">
        <is>
          <t>mit.sp.all.die.a</t>
        </is>
      </c>
      <c r="H144" s="3" t="inlineStr">
        <is>
          <t>Supply cost (pre-tax price) | All sectors | Diesel</t>
        </is>
      </c>
      <c r="I144" s="3" t="inlineStr">
        <is>
          <t>USD/GJ real</t>
        </is>
      </c>
      <c r="K144" s="20" t="inlineStr">
        <is>
          <t>egy.mit.sp.all.die.1</t>
        </is>
      </c>
      <c r="L144" s="3" t="n">
        <v>28.75777236415188</v>
      </c>
      <c r="M144" s="3" t="n">
        <v>23.10673044148727</v>
      </c>
      <c r="N144" s="3" t="n">
        <v>21.01218559222911</v>
      </c>
      <c r="O144" s="3" t="n">
        <v>18.11865001867027</v>
      </c>
      <c r="P144" s="3" t="n">
        <v>20.12965927088041</v>
      </c>
      <c r="Q144" s="3" t="n">
        <v>18.04438028722069</v>
      </c>
      <c r="R144" s="3" t="n">
        <v>17.4706862592645</v>
      </c>
      <c r="S144" s="3" t="n">
        <v>17.18149794741959</v>
      </c>
      <c r="T144" s="3" t="n">
        <v>16.92860096904105</v>
      </c>
      <c r="U144" s="3" t="n">
        <v>16.65385170943303</v>
      </c>
      <c r="V144" s="3" t="n">
        <v>16.65385170943303</v>
      </c>
      <c r="W144" s="3" t="n">
        <v>16.65385170943303</v>
      </c>
      <c r="X144" s="3" t="n">
        <v>16.65385170943303</v>
      </c>
      <c r="Y144" s="3" t="n">
        <v>16.65385170943303</v>
      </c>
      <c r="Z144" s="3" t="n">
        <v>16.65385170943303</v>
      </c>
      <c r="AA144" s="3" t="n">
        <v>16.65385170943303</v>
      </c>
      <c r="AB144" s="3" t="n">
        <v>16.65385170943303</v>
      </c>
      <c r="AC144" s="3" t="n">
        <v>16.65385170943303</v>
      </c>
      <c r="AD144" s="3" t="n">
        <v>16.65385170943303</v>
      </c>
      <c r="AE144" s="3" t="n">
        <v>16.65385170943303</v>
      </c>
      <c r="AG144" s="20" t="inlineStr">
        <is>
          <t>egy.mit.sp.all.die.3</t>
        </is>
      </c>
      <c r="AH144" s="3" t="n">
        <v>28.75777236415188</v>
      </c>
      <c r="AI144" s="3" t="n">
        <v>23.10673044148727</v>
      </c>
      <c r="AJ144" s="3" t="n">
        <v>21.01218559222911</v>
      </c>
      <c r="AK144" s="3" t="n">
        <v>18.11865001867027</v>
      </c>
      <c r="AL144" s="3" t="n">
        <v>20.12965927088041</v>
      </c>
      <c r="AM144" s="3" t="n">
        <v>18.04438028722069</v>
      </c>
      <c r="AN144" s="3" t="n">
        <v>17.4706862592645</v>
      </c>
      <c r="AO144" s="3" t="n">
        <v>17.18149794741959</v>
      </c>
      <c r="AP144" s="3" t="n">
        <v>16.92860096904105</v>
      </c>
      <c r="AQ144" s="3" t="n">
        <v>16.65385170943303</v>
      </c>
      <c r="AR144" s="3" t="n">
        <v>16.65385170943303</v>
      </c>
      <c r="AS144" s="3" t="n">
        <v>16.65385170943303</v>
      </c>
      <c r="AT144" s="3" t="n">
        <v>16.65385170943303</v>
      </c>
      <c r="AU144" s="3" t="n">
        <v>16.65385170943303</v>
      </c>
      <c r="AV144" s="3" t="n">
        <v>16.65385170943303</v>
      </c>
      <c r="AW144" s="3" t="n">
        <v>16.65385170943303</v>
      </c>
      <c r="AX144" s="3" t="n">
        <v>16.65385170943303</v>
      </c>
      <c r="AY144" s="3" t="n">
        <v>16.65385170943303</v>
      </c>
      <c r="AZ144" s="3" t="n">
        <v>16.65385170943303</v>
      </c>
      <c r="BA144" s="3" t="n">
        <v>16.65385170943303</v>
      </c>
      <c r="BC144" s="20" t="inlineStr">
        <is>
          <t>egy.mit.sp.all.die.4</t>
        </is>
      </c>
      <c r="BD144" s="3" t="n">
        <v>28.75777236415188</v>
      </c>
      <c r="BE144" s="3" t="n">
        <v>23.10673044148727</v>
      </c>
      <c r="BF144" s="3" t="n">
        <v>21.01218559222911</v>
      </c>
      <c r="BG144" s="3" t="n">
        <v>18.11865001867027</v>
      </c>
      <c r="BH144" s="3" t="n">
        <v>20.12965927088041</v>
      </c>
      <c r="BI144" s="3" t="n">
        <v>18.04438028722069</v>
      </c>
      <c r="BJ144" s="3" t="n">
        <v>17.4706862592645</v>
      </c>
      <c r="BK144" s="3" t="n">
        <v>17.18149794741959</v>
      </c>
      <c r="BL144" s="3" t="n">
        <v>16.92860096904105</v>
      </c>
      <c r="BM144" s="3" t="n">
        <v>16.65385170943303</v>
      </c>
      <c r="BN144" s="3" t="n">
        <v>16.65385170943303</v>
      </c>
      <c r="BO144" s="3" t="n">
        <v>16.65385170943303</v>
      </c>
      <c r="BP144" s="3" t="n">
        <v>16.65385170943303</v>
      </c>
      <c r="BQ144" s="3" t="n">
        <v>16.65385170943303</v>
      </c>
      <c r="BR144" s="3" t="n">
        <v>16.65385170943303</v>
      </c>
      <c r="BS144" s="3" t="n">
        <v>16.65385170943303</v>
      </c>
      <c r="BT144" s="3" t="n">
        <v>16.65385170943303</v>
      </c>
      <c r="BU144" s="3" t="n">
        <v>16.65385170943303</v>
      </c>
      <c r="BV144" s="3" t="n">
        <v>16.65385170943303</v>
      </c>
      <c r="BW144" s="3" t="n">
        <v>16.65385170943303</v>
      </c>
      <c r="BY144" s="20" t="inlineStr">
        <is>
          <t>egy.mit.sp.all.die.5</t>
        </is>
      </c>
      <c r="BZ144" s="3" t="n">
        <v>28.75777236415188</v>
      </c>
      <c r="CA144" s="3" t="n">
        <v>23.10673044148727</v>
      </c>
      <c r="CB144" s="3" t="n">
        <v>21.01218559222911</v>
      </c>
      <c r="CC144" s="3" t="n">
        <v>18.11865001867027</v>
      </c>
      <c r="CD144" s="3" t="n">
        <v>20.12965927088041</v>
      </c>
      <c r="CE144" s="3" t="n">
        <v>18.04438028722069</v>
      </c>
      <c r="CF144" s="3" t="n">
        <v>17.4706862592645</v>
      </c>
      <c r="CG144" s="3" t="n">
        <v>17.18149794741959</v>
      </c>
      <c r="CH144" s="3" t="n">
        <v>16.92860096904105</v>
      </c>
      <c r="CI144" s="3" t="n">
        <v>16.65385170943303</v>
      </c>
      <c r="CJ144" s="3" t="n">
        <v>16.65385170943303</v>
      </c>
      <c r="CK144" s="3" t="n">
        <v>16.65385170943303</v>
      </c>
      <c r="CL144" s="3" t="n">
        <v>16.65385170943303</v>
      </c>
      <c r="CM144" s="3" t="n">
        <v>16.65385170943303</v>
      </c>
      <c r="CN144" s="3" t="n">
        <v>16.65385170943303</v>
      </c>
      <c r="CO144" s="3" t="n">
        <v>16.65385170943303</v>
      </c>
      <c r="CP144" s="3" t="n">
        <v>16.65385170943303</v>
      </c>
      <c r="CQ144" s="3" t="n">
        <v>16.65385170943303</v>
      </c>
      <c r="CR144" s="3" t="n">
        <v>16.65385170943303</v>
      </c>
      <c r="CS144" s="3" t="n">
        <v>16.65385170943303</v>
      </c>
      <c r="CU144" s="20" t="inlineStr">
        <is>
          <t>egy.mit.sp.all.die.6</t>
        </is>
      </c>
      <c r="CV144" s="3" t="n">
        <v>28.75777236415188</v>
      </c>
      <c r="CW144" s="3" t="n">
        <v>23.10673044148727</v>
      </c>
      <c r="CX144" s="3" t="n">
        <v>21.01218559222911</v>
      </c>
      <c r="CY144" s="3" t="n">
        <v>18.11865001867027</v>
      </c>
      <c r="CZ144" s="3" t="n">
        <v>20.12965927088041</v>
      </c>
      <c r="DA144" s="3" t="n">
        <v>18.04438028722069</v>
      </c>
      <c r="DB144" s="3" t="n">
        <v>17.4706862592645</v>
      </c>
      <c r="DC144" s="3" t="n">
        <v>17.18149794741959</v>
      </c>
      <c r="DD144" s="3" t="n">
        <v>16.92860096904105</v>
      </c>
      <c r="DE144" s="3" t="n">
        <v>16.65385170943303</v>
      </c>
      <c r="DF144" s="3" t="n">
        <v>16.65385170943303</v>
      </c>
      <c r="DG144" s="3" t="n">
        <v>16.65385170943303</v>
      </c>
      <c r="DH144" s="3" t="n">
        <v>16.65385170943303</v>
      </c>
      <c r="DI144" s="3" t="n">
        <v>16.65385170943303</v>
      </c>
      <c r="DJ144" s="3" t="n">
        <v>16.65385170943303</v>
      </c>
      <c r="DK144" s="3" t="n">
        <v>16.65385170943303</v>
      </c>
      <c r="DL144" s="3" t="n">
        <v>16.65385170943303</v>
      </c>
      <c r="DM144" s="3" t="n">
        <v>16.65385170943303</v>
      </c>
      <c r="DN144" s="3" t="n">
        <v>16.65385170943303</v>
      </c>
      <c r="DO144" s="3" t="n">
        <v>16.65385170943303</v>
      </c>
    </row>
    <row r="145">
      <c r="A145" s="19" t="inlineStr">
        <is>
          <t>mit.sp.all.lpg</t>
        </is>
      </c>
      <c r="B145" s="3" t="inlineStr">
        <is>
          <t>mit</t>
        </is>
      </c>
      <c r="C145" s="19" t="inlineStr">
        <is>
          <t>mit.sp.all.lpg.a</t>
        </is>
      </c>
      <c r="H145" s="3" t="inlineStr">
        <is>
          <t>Supply cost (pre-tax price) | All sectors | LPG</t>
        </is>
      </c>
      <c r="I145" s="3" t="inlineStr">
        <is>
          <t>USD/GJ real</t>
        </is>
      </c>
      <c r="K145" s="20" t="inlineStr">
        <is>
          <t>egy.mit.sp.all.lpg.1</t>
        </is>
      </c>
      <c r="L145" s="3" t="n">
        <v>25.36372135582102</v>
      </c>
      <c r="M145" s="3" t="n">
        <v>22.16828174127977</v>
      </c>
      <c r="N145" s="3" t="n">
        <v>21.27543767141362</v>
      </c>
      <c r="O145" s="3" t="n">
        <v>18.62641297155985</v>
      </c>
      <c r="P145" s="3" t="n">
        <v>20.46748699512439</v>
      </c>
      <c r="Q145" s="3" t="n">
        <v>18.5584192151121</v>
      </c>
      <c r="R145" s="3" t="n">
        <v>18.03320374373451</v>
      </c>
      <c r="S145" s="3" t="n">
        <v>17.76845255560795</v>
      </c>
      <c r="T145" s="3" t="n">
        <v>17.53692599399765</v>
      </c>
      <c r="U145" s="3" t="n">
        <v>17.28539372267568</v>
      </c>
      <c r="V145" s="3" t="n">
        <v>17.28539372267568</v>
      </c>
      <c r="W145" s="3" t="n">
        <v>17.28539372267568</v>
      </c>
      <c r="X145" s="3" t="n">
        <v>17.28539372267569</v>
      </c>
      <c r="Y145" s="3" t="n">
        <v>17.28539372267569</v>
      </c>
      <c r="Z145" s="3" t="n">
        <v>17.28539372267569</v>
      </c>
      <c r="AA145" s="3" t="n">
        <v>17.28539372267568</v>
      </c>
      <c r="AB145" s="3" t="n">
        <v>17.28539372267568</v>
      </c>
      <c r="AC145" s="3" t="n">
        <v>17.28539372267568</v>
      </c>
      <c r="AD145" s="3" t="n">
        <v>17.28539372267568</v>
      </c>
      <c r="AE145" s="3" t="n">
        <v>17.28539372267568</v>
      </c>
      <c r="AG145" s="20" t="inlineStr">
        <is>
          <t>egy.mit.sp.all.lpg.3</t>
        </is>
      </c>
      <c r="AH145" s="3" t="n">
        <v>25.36372135582102</v>
      </c>
      <c r="AI145" s="3" t="n">
        <v>22.16828174127977</v>
      </c>
      <c r="AJ145" s="3" t="n">
        <v>21.27543767141362</v>
      </c>
      <c r="AK145" s="3" t="n">
        <v>18.62641297155985</v>
      </c>
      <c r="AL145" s="3" t="n">
        <v>20.46748699512439</v>
      </c>
      <c r="AM145" s="3" t="n">
        <v>18.5584192151121</v>
      </c>
      <c r="AN145" s="3" t="n">
        <v>18.03320374373451</v>
      </c>
      <c r="AO145" s="3" t="n">
        <v>17.76845255560795</v>
      </c>
      <c r="AP145" s="3" t="n">
        <v>17.53692599399765</v>
      </c>
      <c r="AQ145" s="3" t="n">
        <v>17.28539372267568</v>
      </c>
      <c r="AR145" s="3" t="n">
        <v>17.28539372267568</v>
      </c>
      <c r="AS145" s="3" t="n">
        <v>17.28539372267568</v>
      </c>
      <c r="AT145" s="3" t="n">
        <v>17.28539372267569</v>
      </c>
      <c r="AU145" s="3" t="n">
        <v>17.28539372267569</v>
      </c>
      <c r="AV145" s="3" t="n">
        <v>17.28539372267569</v>
      </c>
      <c r="AW145" s="3" t="n">
        <v>17.28539372267568</v>
      </c>
      <c r="AX145" s="3" t="n">
        <v>17.28539372267568</v>
      </c>
      <c r="AY145" s="3" t="n">
        <v>17.28539372267568</v>
      </c>
      <c r="AZ145" s="3" t="n">
        <v>17.28539372267568</v>
      </c>
      <c r="BA145" s="3" t="n">
        <v>17.28539372267568</v>
      </c>
      <c r="BC145" s="20" t="inlineStr">
        <is>
          <t>egy.mit.sp.all.lpg.4</t>
        </is>
      </c>
      <c r="BD145" s="3" t="n">
        <v>25.36372135582102</v>
      </c>
      <c r="BE145" s="3" t="n">
        <v>22.16828174127977</v>
      </c>
      <c r="BF145" s="3" t="n">
        <v>21.27543767141362</v>
      </c>
      <c r="BG145" s="3" t="n">
        <v>18.62641297155985</v>
      </c>
      <c r="BH145" s="3" t="n">
        <v>20.46748699512439</v>
      </c>
      <c r="BI145" s="3" t="n">
        <v>18.5584192151121</v>
      </c>
      <c r="BJ145" s="3" t="n">
        <v>18.03320374373451</v>
      </c>
      <c r="BK145" s="3" t="n">
        <v>17.76845255560795</v>
      </c>
      <c r="BL145" s="3" t="n">
        <v>17.53692599399765</v>
      </c>
      <c r="BM145" s="3" t="n">
        <v>17.28539372267568</v>
      </c>
      <c r="BN145" s="3" t="n">
        <v>17.28539372267568</v>
      </c>
      <c r="BO145" s="3" t="n">
        <v>17.28539372267568</v>
      </c>
      <c r="BP145" s="3" t="n">
        <v>17.28539372267569</v>
      </c>
      <c r="BQ145" s="3" t="n">
        <v>17.28539372267569</v>
      </c>
      <c r="BR145" s="3" t="n">
        <v>17.28539372267569</v>
      </c>
      <c r="BS145" s="3" t="n">
        <v>17.28539372267568</v>
      </c>
      <c r="BT145" s="3" t="n">
        <v>17.28539372267568</v>
      </c>
      <c r="BU145" s="3" t="n">
        <v>17.28539372267568</v>
      </c>
      <c r="BV145" s="3" t="n">
        <v>17.28539372267568</v>
      </c>
      <c r="BW145" s="3" t="n">
        <v>17.28539372267568</v>
      </c>
      <c r="BY145" s="20" t="inlineStr">
        <is>
          <t>egy.mit.sp.all.lpg.5</t>
        </is>
      </c>
      <c r="BZ145" s="3" t="n">
        <v>25.36372135582102</v>
      </c>
      <c r="CA145" s="3" t="n">
        <v>22.16828174127977</v>
      </c>
      <c r="CB145" s="3" t="n">
        <v>21.27543767141362</v>
      </c>
      <c r="CC145" s="3" t="n">
        <v>18.62641297155985</v>
      </c>
      <c r="CD145" s="3" t="n">
        <v>20.46748699512439</v>
      </c>
      <c r="CE145" s="3" t="n">
        <v>18.5584192151121</v>
      </c>
      <c r="CF145" s="3" t="n">
        <v>18.03320374373451</v>
      </c>
      <c r="CG145" s="3" t="n">
        <v>17.76845255560795</v>
      </c>
      <c r="CH145" s="3" t="n">
        <v>17.53692599399765</v>
      </c>
      <c r="CI145" s="3" t="n">
        <v>17.28539372267568</v>
      </c>
      <c r="CJ145" s="3" t="n">
        <v>17.28539372267568</v>
      </c>
      <c r="CK145" s="3" t="n">
        <v>17.28539372267568</v>
      </c>
      <c r="CL145" s="3" t="n">
        <v>17.28539372267569</v>
      </c>
      <c r="CM145" s="3" t="n">
        <v>17.28539372267569</v>
      </c>
      <c r="CN145" s="3" t="n">
        <v>17.28539372267569</v>
      </c>
      <c r="CO145" s="3" t="n">
        <v>17.28539372267568</v>
      </c>
      <c r="CP145" s="3" t="n">
        <v>17.28539372267568</v>
      </c>
      <c r="CQ145" s="3" t="n">
        <v>17.28539372267568</v>
      </c>
      <c r="CR145" s="3" t="n">
        <v>17.28539372267568</v>
      </c>
      <c r="CS145" s="3" t="n">
        <v>17.28539372267568</v>
      </c>
      <c r="CU145" s="20" t="inlineStr">
        <is>
          <t>egy.mit.sp.all.lpg.6</t>
        </is>
      </c>
      <c r="CV145" s="3" t="n">
        <v>25.36372135582102</v>
      </c>
      <c r="CW145" s="3" t="n">
        <v>22.16828174127977</v>
      </c>
      <c r="CX145" s="3" t="n">
        <v>21.27543767141362</v>
      </c>
      <c r="CY145" s="3" t="n">
        <v>18.62641297155985</v>
      </c>
      <c r="CZ145" s="3" t="n">
        <v>20.46748699512439</v>
      </c>
      <c r="DA145" s="3" t="n">
        <v>18.5584192151121</v>
      </c>
      <c r="DB145" s="3" t="n">
        <v>18.03320374373451</v>
      </c>
      <c r="DC145" s="3" t="n">
        <v>17.76845255560795</v>
      </c>
      <c r="DD145" s="3" t="n">
        <v>17.53692599399765</v>
      </c>
      <c r="DE145" s="3" t="n">
        <v>17.28539372267568</v>
      </c>
      <c r="DF145" s="3" t="n">
        <v>17.28539372267568</v>
      </c>
      <c r="DG145" s="3" t="n">
        <v>17.28539372267568</v>
      </c>
      <c r="DH145" s="3" t="n">
        <v>17.28539372267569</v>
      </c>
      <c r="DI145" s="3" t="n">
        <v>17.28539372267569</v>
      </c>
      <c r="DJ145" s="3" t="n">
        <v>17.28539372267569</v>
      </c>
      <c r="DK145" s="3" t="n">
        <v>17.28539372267568</v>
      </c>
      <c r="DL145" s="3" t="n">
        <v>17.28539372267568</v>
      </c>
      <c r="DM145" s="3" t="n">
        <v>17.28539372267568</v>
      </c>
      <c r="DN145" s="3" t="n">
        <v>17.28539372267568</v>
      </c>
      <c r="DO145" s="3" t="n">
        <v>17.28539372267568</v>
      </c>
    </row>
    <row r="146">
      <c r="A146" s="19" t="inlineStr">
        <is>
          <t>mit.sp.all.ker</t>
        </is>
      </c>
      <c r="B146" s="3" t="inlineStr">
        <is>
          <t>mit</t>
        </is>
      </c>
      <c r="C146" s="19" t="inlineStr">
        <is>
          <t>mit.sp.all.ker.a</t>
        </is>
      </c>
      <c r="H146" s="3" t="inlineStr">
        <is>
          <t>Supply cost (pre-tax price) | All sectors | Kerosene</t>
        </is>
      </c>
      <c r="I146" s="3" t="inlineStr">
        <is>
          <t>USD/GJ real</t>
        </is>
      </c>
      <c r="K146" s="20" t="inlineStr">
        <is>
          <t>egy.mit.sp.all.ker.1</t>
        </is>
      </c>
      <c r="L146" s="3" t="n">
        <v>20.18522909259451</v>
      </c>
      <c r="M146" s="3" t="n">
        <v>18.53380342983447</v>
      </c>
      <c r="N146" s="3" t="n">
        <v>18.687516334515</v>
      </c>
      <c r="O146" s="3" t="n">
        <v>16.16582277566372</v>
      </c>
      <c r="P146" s="3" t="n">
        <v>17.91840156696279</v>
      </c>
      <c r="Q146" s="3" t="n">
        <v>16.10109728719022</v>
      </c>
      <c r="R146" s="3" t="n">
        <v>15.60112744121068</v>
      </c>
      <c r="S146" s="3" t="n">
        <v>15.34910209549237</v>
      </c>
      <c r="T146" s="3" t="n">
        <v>15.12870436226328</v>
      </c>
      <c r="U146" s="3" t="n">
        <v>14.8892625373264</v>
      </c>
      <c r="V146" s="3" t="n">
        <v>14.8892625373264</v>
      </c>
      <c r="W146" s="3" t="n">
        <v>14.8892625373264</v>
      </c>
      <c r="X146" s="3" t="n">
        <v>14.8892625373264</v>
      </c>
      <c r="Y146" s="3" t="n">
        <v>14.8892625373264</v>
      </c>
      <c r="Z146" s="3" t="n">
        <v>14.8892625373264</v>
      </c>
      <c r="AA146" s="3" t="n">
        <v>14.8892625373264</v>
      </c>
      <c r="AB146" s="3" t="n">
        <v>14.8892625373264</v>
      </c>
      <c r="AC146" s="3" t="n">
        <v>14.8892625373264</v>
      </c>
      <c r="AD146" s="3" t="n">
        <v>14.8892625373264</v>
      </c>
      <c r="AE146" s="3" t="n">
        <v>14.8892625373264</v>
      </c>
      <c r="AG146" s="20" t="inlineStr">
        <is>
          <t>egy.mit.sp.all.ker.3</t>
        </is>
      </c>
      <c r="AH146" s="3" t="n">
        <v>20.18522909259451</v>
      </c>
      <c r="AI146" s="3" t="n">
        <v>18.53380342983447</v>
      </c>
      <c r="AJ146" s="3" t="n">
        <v>18.687516334515</v>
      </c>
      <c r="AK146" s="3" t="n">
        <v>16.16582277566372</v>
      </c>
      <c r="AL146" s="3" t="n">
        <v>17.91840156696279</v>
      </c>
      <c r="AM146" s="3" t="n">
        <v>16.10109728719022</v>
      </c>
      <c r="AN146" s="3" t="n">
        <v>15.60112744121068</v>
      </c>
      <c r="AO146" s="3" t="n">
        <v>15.34910209549237</v>
      </c>
      <c r="AP146" s="3" t="n">
        <v>15.12870436226328</v>
      </c>
      <c r="AQ146" s="3" t="n">
        <v>14.8892625373264</v>
      </c>
      <c r="AR146" s="3" t="n">
        <v>14.8892625373264</v>
      </c>
      <c r="AS146" s="3" t="n">
        <v>14.8892625373264</v>
      </c>
      <c r="AT146" s="3" t="n">
        <v>14.8892625373264</v>
      </c>
      <c r="AU146" s="3" t="n">
        <v>14.8892625373264</v>
      </c>
      <c r="AV146" s="3" t="n">
        <v>14.8892625373264</v>
      </c>
      <c r="AW146" s="3" t="n">
        <v>14.8892625373264</v>
      </c>
      <c r="AX146" s="3" t="n">
        <v>14.8892625373264</v>
      </c>
      <c r="AY146" s="3" t="n">
        <v>14.8892625373264</v>
      </c>
      <c r="AZ146" s="3" t="n">
        <v>14.8892625373264</v>
      </c>
      <c r="BA146" s="3" t="n">
        <v>14.8892625373264</v>
      </c>
      <c r="BC146" s="20" t="inlineStr">
        <is>
          <t>egy.mit.sp.all.ker.4</t>
        </is>
      </c>
      <c r="BD146" s="3" t="n">
        <v>20.18522909259451</v>
      </c>
      <c r="BE146" s="3" t="n">
        <v>18.53380342983447</v>
      </c>
      <c r="BF146" s="3" t="n">
        <v>18.687516334515</v>
      </c>
      <c r="BG146" s="3" t="n">
        <v>16.16582277566372</v>
      </c>
      <c r="BH146" s="3" t="n">
        <v>17.91840156696279</v>
      </c>
      <c r="BI146" s="3" t="n">
        <v>16.10109728719022</v>
      </c>
      <c r="BJ146" s="3" t="n">
        <v>15.60112744121068</v>
      </c>
      <c r="BK146" s="3" t="n">
        <v>15.34910209549237</v>
      </c>
      <c r="BL146" s="3" t="n">
        <v>15.12870436226328</v>
      </c>
      <c r="BM146" s="3" t="n">
        <v>14.8892625373264</v>
      </c>
      <c r="BN146" s="3" t="n">
        <v>14.8892625373264</v>
      </c>
      <c r="BO146" s="3" t="n">
        <v>14.8892625373264</v>
      </c>
      <c r="BP146" s="3" t="n">
        <v>14.8892625373264</v>
      </c>
      <c r="BQ146" s="3" t="n">
        <v>14.8892625373264</v>
      </c>
      <c r="BR146" s="3" t="n">
        <v>14.8892625373264</v>
      </c>
      <c r="BS146" s="3" t="n">
        <v>14.8892625373264</v>
      </c>
      <c r="BT146" s="3" t="n">
        <v>14.8892625373264</v>
      </c>
      <c r="BU146" s="3" t="n">
        <v>14.8892625373264</v>
      </c>
      <c r="BV146" s="3" t="n">
        <v>14.8892625373264</v>
      </c>
      <c r="BW146" s="3" t="n">
        <v>14.8892625373264</v>
      </c>
      <c r="BY146" s="20" t="inlineStr">
        <is>
          <t>egy.mit.sp.all.ker.5</t>
        </is>
      </c>
      <c r="BZ146" s="3" t="n">
        <v>20.18522909259451</v>
      </c>
      <c r="CA146" s="3" t="n">
        <v>18.53380342983447</v>
      </c>
      <c r="CB146" s="3" t="n">
        <v>18.687516334515</v>
      </c>
      <c r="CC146" s="3" t="n">
        <v>16.16582277566372</v>
      </c>
      <c r="CD146" s="3" t="n">
        <v>17.91840156696279</v>
      </c>
      <c r="CE146" s="3" t="n">
        <v>16.10109728719022</v>
      </c>
      <c r="CF146" s="3" t="n">
        <v>15.60112744121068</v>
      </c>
      <c r="CG146" s="3" t="n">
        <v>15.34910209549237</v>
      </c>
      <c r="CH146" s="3" t="n">
        <v>15.12870436226328</v>
      </c>
      <c r="CI146" s="3" t="n">
        <v>14.8892625373264</v>
      </c>
      <c r="CJ146" s="3" t="n">
        <v>14.8892625373264</v>
      </c>
      <c r="CK146" s="3" t="n">
        <v>14.8892625373264</v>
      </c>
      <c r="CL146" s="3" t="n">
        <v>14.8892625373264</v>
      </c>
      <c r="CM146" s="3" t="n">
        <v>14.8892625373264</v>
      </c>
      <c r="CN146" s="3" t="n">
        <v>14.8892625373264</v>
      </c>
      <c r="CO146" s="3" t="n">
        <v>14.8892625373264</v>
      </c>
      <c r="CP146" s="3" t="n">
        <v>14.8892625373264</v>
      </c>
      <c r="CQ146" s="3" t="n">
        <v>14.8892625373264</v>
      </c>
      <c r="CR146" s="3" t="n">
        <v>14.8892625373264</v>
      </c>
      <c r="CS146" s="3" t="n">
        <v>14.8892625373264</v>
      </c>
      <c r="CU146" s="20" t="inlineStr">
        <is>
          <t>egy.mit.sp.all.ker.6</t>
        </is>
      </c>
      <c r="CV146" s="3" t="n">
        <v>20.18522909259451</v>
      </c>
      <c r="CW146" s="3" t="n">
        <v>18.53380342983447</v>
      </c>
      <c r="CX146" s="3" t="n">
        <v>18.687516334515</v>
      </c>
      <c r="CY146" s="3" t="n">
        <v>16.16582277566372</v>
      </c>
      <c r="CZ146" s="3" t="n">
        <v>17.91840156696279</v>
      </c>
      <c r="DA146" s="3" t="n">
        <v>16.10109728719022</v>
      </c>
      <c r="DB146" s="3" t="n">
        <v>15.60112744121068</v>
      </c>
      <c r="DC146" s="3" t="n">
        <v>15.34910209549237</v>
      </c>
      <c r="DD146" s="3" t="n">
        <v>15.12870436226328</v>
      </c>
      <c r="DE146" s="3" t="n">
        <v>14.8892625373264</v>
      </c>
      <c r="DF146" s="3" t="n">
        <v>14.8892625373264</v>
      </c>
      <c r="DG146" s="3" t="n">
        <v>14.8892625373264</v>
      </c>
      <c r="DH146" s="3" t="n">
        <v>14.8892625373264</v>
      </c>
      <c r="DI146" s="3" t="n">
        <v>14.8892625373264</v>
      </c>
      <c r="DJ146" s="3" t="n">
        <v>14.8892625373264</v>
      </c>
      <c r="DK146" s="3" t="n">
        <v>14.8892625373264</v>
      </c>
      <c r="DL146" s="3" t="n">
        <v>14.8892625373264</v>
      </c>
      <c r="DM146" s="3" t="n">
        <v>14.8892625373264</v>
      </c>
      <c r="DN146" s="3" t="n">
        <v>14.8892625373264</v>
      </c>
      <c r="DO146" s="3" t="n">
        <v>14.8892625373264</v>
      </c>
    </row>
    <row r="147">
      <c r="A147" s="19" t="inlineStr">
        <is>
          <t>mit.txe.ind.ecy</t>
        </is>
      </c>
      <c r="B147" s="3" t="inlineStr">
        <is>
          <t>mit</t>
        </is>
      </c>
      <c r="C147" s="19" t="inlineStr">
        <is>
          <t>mit.txo.ind.ecy.t</t>
        </is>
      </c>
      <c r="H147" s="3" t="inlineStr">
        <is>
          <t>Electricity consumer tax / subsidy (dataset, last price year held) | Industry | Electricity</t>
        </is>
      </c>
      <c r="I147" s="3" t="inlineStr">
        <is>
          <t>USD/kWh real</t>
        </is>
      </c>
      <c r="K147" s="20" t="inlineStr">
        <is>
          <t>egy.mit.txe.ind.ecy.1</t>
        </is>
      </c>
      <c r="L147" s="3" t="n">
        <v>4.221214293216369e-06</v>
      </c>
      <c r="M147" s="3" t="n">
        <v>2.500764407465073e-06</v>
      </c>
      <c r="N147" s="3" t="n">
        <v>-0.05396046500914186</v>
      </c>
      <c r="O147" s="3" t="n">
        <v>-0.05396046500914186</v>
      </c>
      <c r="P147" s="3" t="n">
        <v>-0.05396046500914186</v>
      </c>
      <c r="Q147" s="3" t="n">
        <v>-0.05396046500914186</v>
      </c>
      <c r="R147" s="3" t="n">
        <v>-0.05396046500914186</v>
      </c>
      <c r="S147" s="3" t="n">
        <v>-0.05396046500914186</v>
      </c>
      <c r="T147" s="3" t="n">
        <v>-0.05396046500914186</v>
      </c>
      <c r="U147" s="3" t="n">
        <v>-0.05396046500914186</v>
      </c>
      <c r="V147" s="3" t="n">
        <v>-0.05396046500914186</v>
      </c>
      <c r="W147" s="3" t="n">
        <v>-0.05396046500914186</v>
      </c>
      <c r="X147" s="3" t="n">
        <v>-0.05396046500914186</v>
      </c>
      <c r="Y147" s="3" t="n">
        <v>-0.05396046500914186</v>
      </c>
      <c r="Z147" s="3" t="n">
        <v>-0.05396046500914186</v>
      </c>
      <c r="AA147" s="3" t="n">
        <v>-0.05396046500914186</v>
      </c>
      <c r="AB147" s="3" t="n">
        <v>-0.05396046500914186</v>
      </c>
      <c r="AC147" s="3" t="n">
        <v>-0.05396046500914186</v>
      </c>
      <c r="AD147" s="3" t="n">
        <v>-0.05396046500914186</v>
      </c>
      <c r="AE147" s="3" t="n">
        <v>-0.05396046500914186</v>
      </c>
      <c r="AG147" s="20" t="inlineStr">
        <is>
          <t>egy.mit.txe.ind.ecy.3</t>
        </is>
      </c>
      <c r="AH147" s="3" t="n">
        <v>4.221214293216369e-06</v>
      </c>
      <c r="AI147" s="3" t="n">
        <v>2.500764407465073e-06</v>
      </c>
      <c r="AJ147" s="3" t="n">
        <v>-0.05396046500914186</v>
      </c>
      <c r="AK147" s="3" t="n">
        <v>-0.05396046500914186</v>
      </c>
      <c r="AL147" s="3" t="n">
        <v>-0.05396046500914186</v>
      </c>
      <c r="AM147" s="3" t="n">
        <v>-0.05396046500914186</v>
      </c>
      <c r="AN147" s="3" t="n">
        <v>-0.05396046500914186</v>
      </c>
      <c r="AO147" s="3" t="n">
        <v>-0.05396046500914186</v>
      </c>
      <c r="AP147" s="3" t="n">
        <v>-0.05396046500914186</v>
      </c>
      <c r="AQ147" s="3" t="n">
        <v>-0.05396046500914186</v>
      </c>
      <c r="AR147" s="3" t="n">
        <v>-0.05396046500914186</v>
      </c>
      <c r="AS147" s="3" t="n">
        <v>-0.05396046500914186</v>
      </c>
      <c r="AT147" s="3" t="n">
        <v>-0.05396046500914186</v>
      </c>
      <c r="AU147" s="3" t="n">
        <v>-0.05396046500914186</v>
      </c>
      <c r="AV147" s="3" t="n">
        <v>-0.05396046500914186</v>
      </c>
      <c r="AW147" s="3" t="n">
        <v>-0.05396046500914186</v>
      </c>
      <c r="AX147" s="3" t="n">
        <v>-0.05396046500914186</v>
      </c>
      <c r="AY147" s="3" t="n">
        <v>-0.05396046500914186</v>
      </c>
      <c r="AZ147" s="3" t="n">
        <v>-0.05396046500914186</v>
      </c>
      <c r="BA147" s="3" t="n">
        <v>-0.05396046500914186</v>
      </c>
      <c r="BC147" s="20" t="inlineStr">
        <is>
          <t>egy.mit.txe.ind.ecy.4</t>
        </is>
      </c>
      <c r="BD147" s="3" t="n">
        <v>4.221214293216369e-06</v>
      </c>
      <c r="BE147" s="3" t="n">
        <v>2.500764407465073e-06</v>
      </c>
      <c r="BF147" s="3" t="n">
        <v>-0.05396046500914186</v>
      </c>
      <c r="BG147" s="3" t="n">
        <v>-0.05396046500914186</v>
      </c>
      <c r="BH147" s="3" t="n">
        <v>-0.05396046500914186</v>
      </c>
      <c r="BI147" s="3" t="n">
        <v>-0.05396046500914186</v>
      </c>
      <c r="BJ147" s="3" t="n">
        <v>-0.05396046500914186</v>
      </c>
      <c r="BK147" s="3" t="n">
        <v>-0.05396046500914186</v>
      </c>
      <c r="BL147" s="3" t="n">
        <v>-0.05396046500914186</v>
      </c>
      <c r="BM147" s="3" t="n">
        <v>-0.05396046500914186</v>
      </c>
      <c r="BN147" s="3" t="n">
        <v>-0.05396046500914186</v>
      </c>
      <c r="BO147" s="3" t="n">
        <v>-0.05396046500914186</v>
      </c>
      <c r="BP147" s="3" t="n">
        <v>-0.05396046500914186</v>
      </c>
      <c r="BQ147" s="3" t="n">
        <v>-0.05396046500914186</v>
      </c>
      <c r="BR147" s="3" t="n">
        <v>-0.05396046500914186</v>
      </c>
      <c r="BS147" s="3" t="n">
        <v>-0.05396046500914186</v>
      </c>
      <c r="BT147" s="3" t="n">
        <v>-0.05396046500914186</v>
      </c>
      <c r="BU147" s="3" t="n">
        <v>-0.05396046500914186</v>
      </c>
      <c r="BV147" s="3" t="n">
        <v>-0.05396046500914186</v>
      </c>
      <c r="BW147" s="3" t="n">
        <v>-0.05396046500914186</v>
      </c>
      <c r="BY147" s="20" t="inlineStr">
        <is>
          <t>egy.mit.txe.ind.ecy.5</t>
        </is>
      </c>
      <c r="BZ147" s="3" t="n">
        <v>4.221214293216369e-06</v>
      </c>
      <c r="CA147" s="3" t="n">
        <v>2.500764407465073e-06</v>
      </c>
      <c r="CB147" s="3" t="n">
        <v>-0.05396046500914186</v>
      </c>
      <c r="CC147" s="3" t="n">
        <v>-0.05396046500914186</v>
      </c>
      <c r="CD147" s="3" t="n">
        <v>-0.05396046500914186</v>
      </c>
      <c r="CE147" s="3" t="n">
        <v>-0.05396046500914186</v>
      </c>
      <c r="CF147" s="3" t="n">
        <v>-0.05396046500914186</v>
      </c>
      <c r="CG147" s="3" t="n">
        <v>-0.05396046500914186</v>
      </c>
      <c r="CH147" s="3" t="n">
        <v>-0.05396046500914186</v>
      </c>
      <c r="CI147" s="3" t="n">
        <v>-0.05396046500914186</v>
      </c>
      <c r="CJ147" s="3" t="n">
        <v>-0.05396046500914186</v>
      </c>
      <c r="CK147" s="3" t="n">
        <v>-0.05396046500914186</v>
      </c>
      <c r="CL147" s="3" t="n">
        <v>-0.05396046500914186</v>
      </c>
      <c r="CM147" s="3" t="n">
        <v>-0.05396046500914186</v>
      </c>
      <c r="CN147" s="3" t="n">
        <v>-0.05396046500914186</v>
      </c>
      <c r="CO147" s="3" t="n">
        <v>-0.05396046500914186</v>
      </c>
      <c r="CP147" s="3" t="n">
        <v>-0.05396046500914186</v>
      </c>
      <c r="CQ147" s="3" t="n">
        <v>-0.05396046500914186</v>
      </c>
      <c r="CR147" s="3" t="n">
        <v>-0.05396046500914186</v>
      </c>
      <c r="CS147" s="3" t="n">
        <v>-0.05396046500914186</v>
      </c>
      <c r="CU147" s="20" t="inlineStr">
        <is>
          <t>egy.mit.txe.ind.ecy.6</t>
        </is>
      </c>
      <c r="CV147" s="3" t="n">
        <v>4.221214293216369e-06</v>
      </c>
      <c r="CW147" s="3" t="n">
        <v>2.500764407465073e-06</v>
      </c>
      <c r="CX147" s="3" t="n">
        <v>-0.05396046500914186</v>
      </c>
      <c r="CY147" s="3" t="n">
        <v>-0.05396046500914186</v>
      </c>
      <c r="CZ147" s="3" t="n">
        <v>-0.05396046500914186</v>
      </c>
      <c r="DA147" s="3" t="n">
        <v>-0.05396046500914186</v>
      </c>
      <c r="DB147" s="3" t="n">
        <v>-0.05396046500914186</v>
      </c>
      <c r="DC147" s="3" t="n">
        <v>-0.05396046500914186</v>
      </c>
      <c r="DD147" s="3" t="n">
        <v>-0.05396046500914186</v>
      </c>
      <c r="DE147" s="3" t="n">
        <v>-0.05396046500914186</v>
      </c>
      <c r="DF147" s="3" t="n">
        <v>-0.05396046500914186</v>
      </c>
      <c r="DG147" s="3" t="n">
        <v>-0.05396046500914186</v>
      </c>
      <c r="DH147" s="3" t="n">
        <v>-0.05396046500914186</v>
      </c>
      <c r="DI147" s="3" t="n">
        <v>-0.05396046500914186</v>
      </c>
      <c r="DJ147" s="3" t="n">
        <v>-0.05396046500914186</v>
      </c>
      <c r="DK147" s="3" t="n">
        <v>-0.05396046500914186</v>
      </c>
      <c r="DL147" s="3" t="n">
        <v>-0.05396046500914186</v>
      </c>
      <c r="DM147" s="3" t="n">
        <v>-0.05396046500914186</v>
      </c>
      <c r="DN147" s="3" t="n">
        <v>-0.05396046500914186</v>
      </c>
      <c r="DO147" s="3" t="n">
        <v>-0.05396046500914186</v>
      </c>
    </row>
    <row r="148">
      <c r="A148" s="19" t="inlineStr">
        <is>
          <t>mit.txe.res.ecy</t>
        </is>
      </c>
      <c r="B148" s="3" t="inlineStr">
        <is>
          <t>mit</t>
        </is>
      </c>
      <c r="C148" s="19" t="inlineStr">
        <is>
          <t>mit.txo.res.ecy.t</t>
        </is>
      </c>
      <c r="H148" s="3" t="inlineStr">
        <is>
          <t>Electricity consumer tax / subsidy (dataset, last price year held) | Residential | Electricity</t>
        </is>
      </c>
      <c r="I148" s="3" t="inlineStr">
        <is>
          <t>USD/kWh real</t>
        </is>
      </c>
      <c r="K148" s="20" t="inlineStr">
        <is>
          <t>egy.mit.txe.res.ecy.1</t>
        </is>
      </c>
      <c r="L148" s="3" t="n">
        <v>0.002083366225533542</v>
      </c>
      <c r="M148" s="3" t="n">
        <v>0.001236501605245988</v>
      </c>
      <c r="N148" s="3" t="n">
        <v>-0.05561518116768331</v>
      </c>
      <c r="O148" s="3" t="n">
        <v>-0.05561518116768331</v>
      </c>
      <c r="P148" s="3" t="n">
        <v>-0.05561518116768331</v>
      </c>
      <c r="Q148" s="3" t="n">
        <v>-0.05561518116768331</v>
      </c>
      <c r="R148" s="3" t="n">
        <v>-0.05561518116768331</v>
      </c>
      <c r="S148" s="3" t="n">
        <v>-0.05561518116768331</v>
      </c>
      <c r="T148" s="3" t="n">
        <v>-0.05561518116768331</v>
      </c>
      <c r="U148" s="3" t="n">
        <v>-0.05561518116768331</v>
      </c>
      <c r="V148" s="3" t="n">
        <v>-0.05561518116768331</v>
      </c>
      <c r="W148" s="3" t="n">
        <v>-0.05561518116768331</v>
      </c>
      <c r="X148" s="3" t="n">
        <v>-0.05561518116768331</v>
      </c>
      <c r="Y148" s="3" t="n">
        <v>-0.05561518116768331</v>
      </c>
      <c r="Z148" s="3" t="n">
        <v>-0.05561518116768331</v>
      </c>
      <c r="AA148" s="3" t="n">
        <v>-0.05561518116768331</v>
      </c>
      <c r="AB148" s="3" t="n">
        <v>-0.05561518116768331</v>
      </c>
      <c r="AC148" s="3" t="n">
        <v>-0.05561518116768331</v>
      </c>
      <c r="AD148" s="3" t="n">
        <v>-0.05561518116768331</v>
      </c>
      <c r="AE148" s="3" t="n">
        <v>-0.05561518116768331</v>
      </c>
      <c r="AG148" s="20" t="inlineStr">
        <is>
          <t>egy.mit.txe.res.ecy.3</t>
        </is>
      </c>
      <c r="AH148" s="3" t="n">
        <v>0.002083366225533542</v>
      </c>
      <c r="AI148" s="3" t="n">
        <v>0.001236501605245988</v>
      </c>
      <c r="AJ148" s="3" t="n">
        <v>-0.05561518116768331</v>
      </c>
      <c r="AK148" s="3" t="n">
        <v>-0.05561518116768331</v>
      </c>
      <c r="AL148" s="3" t="n">
        <v>-0.05561518116768331</v>
      </c>
      <c r="AM148" s="3" t="n">
        <v>-0.05561518116768331</v>
      </c>
      <c r="AN148" s="3" t="n">
        <v>-0.05561518116768331</v>
      </c>
      <c r="AO148" s="3" t="n">
        <v>-0.05561518116768331</v>
      </c>
      <c r="AP148" s="3" t="n">
        <v>-0.05561518116768331</v>
      </c>
      <c r="AQ148" s="3" t="n">
        <v>-0.05561518116768331</v>
      </c>
      <c r="AR148" s="3" t="n">
        <v>-0.05561518116768331</v>
      </c>
      <c r="AS148" s="3" t="n">
        <v>-0.05561518116768331</v>
      </c>
      <c r="AT148" s="3" t="n">
        <v>-0.05561518116768331</v>
      </c>
      <c r="AU148" s="3" t="n">
        <v>-0.05561518116768331</v>
      </c>
      <c r="AV148" s="3" t="n">
        <v>-0.05561518116768331</v>
      </c>
      <c r="AW148" s="3" t="n">
        <v>-0.05561518116768331</v>
      </c>
      <c r="AX148" s="3" t="n">
        <v>-0.05561518116768331</v>
      </c>
      <c r="AY148" s="3" t="n">
        <v>-0.05561518116768331</v>
      </c>
      <c r="AZ148" s="3" t="n">
        <v>-0.05561518116768331</v>
      </c>
      <c r="BA148" s="3" t="n">
        <v>-0.05561518116768331</v>
      </c>
      <c r="BC148" s="20" t="inlineStr">
        <is>
          <t>egy.mit.txe.res.ecy.4</t>
        </is>
      </c>
      <c r="BD148" s="3" t="n">
        <v>0.002083366225533542</v>
      </c>
      <c r="BE148" s="3" t="n">
        <v>0.001236501605245988</v>
      </c>
      <c r="BF148" s="3" t="n">
        <v>-0.05561518116768331</v>
      </c>
      <c r="BG148" s="3" t="n">
        <v>-0.05561518116768331</v>
      </c>
      <c r="BH148" s="3" t="n">
        <v>-0.05561518116768331</v>
      </c>
      <c r="BI148" s="3" t="n">
        <v>-0.05561518116768331</v>
      </c>
      <c r="BJ148" s="3" t="n">
        <v>-0.05561518116768331</v>
      </c>
      <c r="BK148" s="3" t="n">
        <v>-0.05561518116768331</v>
      </c>
      <c r="BL148" s="3" t="n">
        <v>-0.05561518116768331</v>
      </c>
      <c r="BM148" s="3" t="n">
        <v>-0.05561518116768331</v>
      </c>
      <c r="BN148" s="3" t="n">
        <v>-0.05561518116768331</v>
      </c>
      <c r="BO148" s="3" t="n">
        <v>-0.05561518116768331</v>
      </c>
      <c r="BP148" s="3" t="n">
        <v>-0.05561518116768331</v>
      </c>
      <c r="BQ148" s="3" t="n">
        <v>-0.05561518116768331</v>
      </c>
      <c r="BR148" s="3" t="n">
        <v>-0.05561518116768331</v>
      </c>
      <c r="BS148" s="3" t="n">
        <v>-0.05561518116768331</v>
      </c>
      <c r="BT148" s="3" t="n">
        <v>-0.05561518116768331</v>
      </c>
      <c r="BU148" s="3" t="n">
        <v>-0.05561518116768331</v>
      </c>
      <c r="BV148" s="3" t="n">
        <v>-0.05561518116768331</v>
      </c>
      <c r="BW148" s="3" t="n">
        <v>-0.05561518116768331</v>
      </c>
      <c r="BY148" s="20" t="inlineStr">
        <is>
          <t>egy.mit.txe.res.ecy.5</t>
        </is>
      </c>
      <c r="BZ148" s="3" t="n">
        <v>0.002083366225533542</v>
      </c>
      <c r="CA148" s="3" t="n">
        <v>0.001236501605245988</v>
      </c>
      <c r="CB148" s="3" t="n">
        <v>-0.05561518116768331</v>
      </c>
      <c r="CC148" s="3" t="n">
        <v>-0.05561518116768331</v>
      </c>
      <c r="CD148" s="3" t="n">
        <v>-0.05561518116768331</v>
      </c>
      <c r="CE148" s="3" t="n">
        <v>-0.05561518116768331</v>
      </c>
      <c r="CF148" s="3" t="n">
        <v>-0.05561518116768331</v>
      </c>
      <c r="CG148" s="3" t="n">
        <v>-0.05561518116768331</v>
      </c>
      <c r="CH148" s="3" t="n">
        <v>-0.05561518116768331</v>
      </c>
      <c r="CI148" s="3" t="n">
        <v>-0.05561518116768331</v>
      </c>
      <c r="CJ148" s="3" t="n">
        <v>-0.05561518116768331</v>
      </c>
      <c r="CK148" s="3" t="n">
        <v>-0.05561518116768331</v>
      </c>
      <c r="CL148" s="3" t="n">
        <v>-0.05561518116768331</v>
      </c>
      <c r="CM148" s="3" t="n">
        <v>-0.05561518116768331</v>
      </c>
      <c r="CN148" s="3" t="n">
        <v>-0.05561518116768331</v>
      </c>
      <c r="CO148" s="3" t="n">
        <v>-0.05561518116768331</v>
      </c>
      <c r="CP148" s="3" t="n">
        <v>-0.05561518116768331</v>
      </c>
      <c r="CQ148" s="3" t="n">
        <v>-0.05561518116768331</v>
      </c>
      <c r="CR148" s="3" t="n">
        <v>-0.05561518116768331</v>
      </c>
      <c r="CS148" s="3" t="n">
        <v>-0.05561518116768331</v>
      </c>
      <c r="CU148" s="20" t="inlineStr">
        <is>
          <t>egy.mit.txe.res.ecy.6</t>
        </is>
      </c>
      <c r="CV148" s="3" t="n">
        <v>0.002083366225533542</v>
      </c>
      <c r="CW148" s="3" t="n">
        <v>0.001236501605245988</v>
      </c>
      <c r="CX148" s="3" t="n">
        <v>-0.05561518116768331</v>
      </c>
      <c r="CY148" s="3" t="n">
        <v>-0.05561518116768331</v>
      </c>
      <c r="CZ148" s="3" t="n">
        <v>-0.05561518116768331</v>
      </c>
      <c r="DA148" s="3" t="n">
        <v>-0.05561518116768331</v>
      </c>
      <c r="DB148" s="3" t="n">
        <v>-0.05561518116768331</v>
      </c>
      <c r="DC148" s="3" t="n">
        <v>-0.05561518116768331</v>
      </c>
      <c r="DD148" s="3" t="n">
        <v>-0.05561518116768331</v>
      </c>
      <c r="DE148" s="3" t="n">
        <v>-0.05561518116768331</v>
      </c>
      <c r="DF148" s="3" t="n">
        <v>-0.05561518116768331</v>
      </c>
      <c r="DG148" s="3" t="n">
        <v>-0.05561518116768331</v>
      </c>
      <c r="DH148" s="3" t="n">
        <v>-0.05561518116768331</v>
      </c>
      <c r="DI148" s="3" t="n">
        <v>-0.05561518116768331</v>
      </c>
      <c r="DJ148" s="3" t="n">
        <v>-0.05561518116768331</v>
      </c>
      <c r="DK148" s="3" t="n">
        <v>-0.05561518116768331</v>
      </c>
      <c r="DL148" s="3" t="n">
        <v>-0.05561518116768331</v>
      </c>
      <c r="DM148" s="3" t="n">
        <v>-0.05561518116768331</v>
      </c>
      <c r="DN148" s="3" t="n">
        <v>-0.05561518116768331</v>
      </c>
      <c r="DO148" s="3" t="n">
        <v>-0.05561518116768331</v>
      </c>
    </row>
    <row r="149">
      <c r="A149" s="19" t="inlineStr">
        <is>
          <t>mit.txo.ind.coa</t>
        </is>
      </c>
      <c r="B149" s="3" t="inlineStr">
        <is>
          <t>mit</t>
        </is>
      </c>
      <c r="C149" s="19" t="inlineStr">
        <is>
          <t>mit.txo.ind.coa.a</t>
        </is>
      </c>
      <c r="H149" s="3" t="inlineStr">
        <is>
          <t>Excise and other taxes (before new policies) | Industry | Coal</t>
        </is>
      </c>
      <c r="I149" s="3" t="inlineStr">
        <is>
          <t>USD/GJ real</t>
        </is>
      </c>
      <c r="K149" s="20" t="inlineStr">
        <is>
          <t>egy.mit.txo.ind.coa.1</t>
        </is>
      </c>
      <c r="L149" s="3" t="n">
        <v>0.3513080422852588</v>
      </c>
      <c r="M149" s="3" t="n">
        <v>0.2168850913754605</v>
      </c>
      <c r="N149" s="3" t="n">
        <v>0.1663924373936654</v>
      </c>
      <c r="O149" s="3" t="n">
        <v>0.1663924373936654</v>
      </c>
      <c r="P149" s="3" t="n">
        <v>0.1663924373936654</v>
      </c>
      <c r="Q149" s="3" t="n">
        <v>0.1663924373936654</v>
      </c>
      <c r="R149" s="3" t="n">
        <v>0.1663924373936654</v>
      </c>
      <c r="S149" s="3" t="n">
        <v>0.1663924373936654</v>
      </c>
      <c r="T149" s="3" t="n">
        <v>0.1663924373936654</v>
      </c>
      <c r="U149" s="3" t="n">
        <v>0.1663924373936654</v>
      </c>
      <c r="V149" s="3" t="n">
        <v>0.1663924373936654</v>
      </c>
      <c r="W149" s="3" t="n">
        <v>0.1663924373936654</v>
      </c>
      <c r="X149" s="3" t="n">
        <v>0.1663924373936654</v>
      </c>
      <c r="Y149" s="3" t="n">
        <v>0.1663924373936654</v>
      </c>
      <c r="Z149" s="3" t="n">
        <v>0.1663924373936654</v>
      </c>
      <c r="AA149" s="3" t="n">
        <v>0.1663924373936654</v>
      </c>
      <c r="AB149" s="3" t="n">
        <v>0.1663924373936654</v>
      </c>
      <c r="AC149" s="3" t="n">
        <v>0.1663924373936654</v>
      </c>
      <c r="AD149" s="3" t="n">
        <v>0.1663924373936654</v>
      </c>
      <c r="AE149" s="3" t="n">
        <v>0.1663924373936654</v>
      </c>
      <c r="AG149" s="20" t="inlineStr">
        <is>
          <t>egy.mit.txo.ind.coa.3</t>
        </is>
      </c>
      <c r="AH149" s="3" t="n">
        <v>0.3513080422852588</v>
      </c>
      <c r="AI149" s="3" t="n">
        <v>0.2168850913754605</v>
      </c>
      <c r="AJ149" s="3" t="n">
        <v>0.1663924373936654</v>
      </c>
      <c r="AK149" s="3" t="n">
        <v>0.1663924373936654</v>
      </c>
      <c r="AL149" s="3" t="n">
        <v>0.1663924373936654</v>
      </c>
      <c r="AM149" s="3" t="n">
        <v>0.1663924373936654</v>
      </c>
      <c r="AN149" s="3" t="n">
        <v>0.1663924373936654</v>
      </c>
      <c r="AO149" s="3" t="n">
        <v>0.1663924373936654</v>
      </c>
      <c r="AP149" s="3" t="n">
        <v>0.1663924373936654</v>
      </c>
      <c r="AQ149" s="3" t="n">
        <v>0.1663924373936654</v>
      </c>
      <c r="AR149" s="3" t="n">
        <v>0.1663924373936654</v>
      </c>
      <c r="AS149" s="3" t="n">
        <v>0.1663924373936654</v>
      </c>
      <c r="AT149" s="3" t="n">
        <v>0.1663924373936654</v>
      </c>
      <c r="AU149" s="3" t="n">
        <v>0.1663924373936654</v>
      </c>
      <c r="AV149" s="3" t="n">
        <v>0.1663924373936654</v>
      </c>
      <c r="AW149" s="3" t="n">
        <v>0.1663924373936654</v>
      </c>
      <c r="AX149" s="3" t="n">
        <v>0.1663924373936654</v>
      </c>
      <c r="AY149" s="3" t="n">
        <v>0.1663924373936654</v>
      </c>
      <c r="AZ149" s="3" t="n">
        <v>0.1663924373936654</v>
      </c>
      <c r="BA149" s="3" t="n">
        <v>0.1663924373936654</v>
      </c>
      <c r="BC149" s="20" t="inlineStr">
        <is>
          <t>egy.mit.txo.ind.coa.4</t>
        </is>
      </c>
      <c r="BD149" s="3" t="n">
        <v>0.3513080422852588</v>
      </c>
      <c r="BE149" s="3" t="n">
        <v>0.2168850913754605</v>
      </c>
      <c r="BF149" s="3" t="n">
        <v>0.1663924373936654</v>
      </c>
      <c r="BG149" s="3" t="n">
        <v>0.1663924373936654</v>
      </c>
      <c r="BH149" s="3" t="n">
        <v>0.1663924373936654</v>
      </c>
      <c r="BI149" s="3" t="n">
        <v>0.1663924373936654</v>
      </c>
      <c r="BJ149" s="3" t="n">
        <v>0.1663924373936654</v>
      </c>
      <c r="BK149" s="3" t="n">
        <v>0.1663924373936654</v>
      </c>
      <c r="BL149" s="3" t="n">
        <v>0.1663924373936654</v>
      </c>
      <c r="BM149" s="3" t="n">
        <v>0.1663924373936654</v>
      </c>
      <c r="BN149" s="3" t="n">
        <v>0.1663924373936654</v>
      </c>
      <c r="BO149" s="3" t="n">
        <v>0.1663924373936654</v>
      </c>
      <c r="BP149" s="3" t="n">
        <v>0.1663924373936654</v>
      </c>
      <c r="BQ149" s="3" t="n">
        <v>0.1663924373936654</v>
      </c>
      <c r="BR149" s="3" t="n">
        <v>0.1663924373936654</v>
      </c>
      <c r="BS149" s="3" t="n">
        <v>0.1663924373936654</v>
      </c>
      <c r="BT149" s="3" t="n">
        <v>0.1663924373936654</v>
      </c>
      <c r="BU149" s="3" t="n">
        <v>0.1663924373936654</v>
      </c>
      <c r="BV149" s="3" t="n">
        <v>0.1663924373936654</v>
      </c>
      <c r="BW149" s="3" t="n">
        <v>0.1663924373936654</v>
      </c>
      <c r="BY149" s="20" t="inlineStr">
        <is>
          <t>egy.mit.txo.ind.coa.5</t>
        </is>
      </c>
      <c r="BZ149" s="3" t="n">
        <v>0.3513080422852588</v>
      </c>
      <c r="CA149" s="3" t="n">
        <v>0.2168850913754605</v>
      </c>
      <c r="CB149" s="3" t="n">
        <v>0.1663924373936654</v>
      </c>
      <c r="CC149" s="3" t="n">
        <v>0.1663924373936654</v>
      </c>
      <c r="CD149" s="3" t="n">
        <v>0.1663924373936654</v>
      </c>
      <c r="CE149" s="3" t="n">
        <v>0.1663924373936654</v>
      </c>
      <c r="CF149" s="3" t="n">
        <v>0.1663924373936654</v>
      </c>
      <c r="CG149" s="3" t="n">
        <v>0.1663924373936654</v>
      </c>
      <c r="CH149" s="3" t="n">
        <v>0.1663924373936654</v>
      </c>
      <c r="CI149" s="3" t="n">
        <v>0.1663924373936654</v>
      </c>
      <c r="CJ149" s="3" t="n">
        <v>0.1663924373936654</v>
      </c>
      <c r="CK149" s="3" t="n">
        <v>0.1663924373936654</v>
      </c>
      <c r="CL149" s="3" t="n">
        <v>0.1663924373936654</v>
      </c>
      <c r="CM149" s="3" t="n">
        <v>0.1663924373936654</v>
      </c>
      <c r="CN149" s="3" t="n">
        <v>0.1663924373936654</v>
      </c>
      <c r="CO149" s="3" t="n">
        <v>0.1663924373936654</v>
      </c>
      <c r="CP149" s="3" t="n">
        <v>0.1663924373936654</v>
      </c>
      <c r="CQ149" s="3" t="n">
        <v>0.1663924373936654</v>
      </c>
      <c r="CR149" s="3" t="n">
        <v>0.1663924373936654</v>
      </c>
      <c r="CS149" s="3" t="n">
        <v>0.1663924373936654</v>
      </c>
      <c r="CU149" s="20" t="inlineStr">
        <is>
          <t>egy.mit.txo.ind.coa.6</t>
        </is>
      </c>
      <c r="CV149" s="3" t="n">
        <v>0.3513080422852588</v>
      </c>
      <c r="CW149" s="3" t="n">
        <v>0.2168850913754605</v>
      </c>
      <c r="CX149" s="3" t="n">
        <v>0.1663924373936654</v>
      </c>
      <c r="CY149" s="3" t="n">
        <v>0.1663924373936654</v>
      </c>
      <c r="CZ149" s="3" t="n">
        <v>0.1663924373936654</v>
      </c>
      <c r="DA149" s="3" t="n">
        <v>0.1663924373936654</v>
      </c>
      <c r="DB149" s="3" t="n">
        <v>0.1663924373936654</v>
      </c>
      <c r="DC149" s="3" t="n">
        <v>0.1663924373936654</v>
      </c>
      <c r="DD149" s="3" t="n">
        <v>0.1663924373936654</v>
      </c>
      <c r="DE149" s="3" t="n">
        <v>0.1663924373936654</v>
      </c>
      <c r="DF149" s="3" t="n">
        <v>0.1663924373936654</v>
      </c>
      <c r="DG149" s="3" t="n">
        <v>0.1663924373936654</v>
      </c>
      <c r="DH149" s="3" t="n">
        <v>0.1663924373936654</v>
      </c>
      <c r="DI149" s="3" t="n">
        <v>0.1663924373936654</v>
      </c>
      <c r="DJ149" s="3" t="n">
        <v>0.1663924373936654</v>
      </c>
      <c r="DK149" s="3" t="n">
        <v>0.1663924373936654</v>
      </c>
      <c r="DL149" s="3" t="n">
        <v>0.1663924373936654</v>
      </c>
      <c r="DM149" s="3" t="n">
        <v>0.1663924373936654</v>
      </c>
      <c r="DN149" s="3" t="n">
        <v>0.1663924373936654</v>
      </c>
      <c r="DO149" s="3" t="n">
        <v>0.1663924373936654</v>
      </c>
    </row>
    <row r="150">
      <c r="A150" s="19" t="inlineStr">
        <is>
          <t>mit.txo.ind.nga</t>
        </is>
      </c>
      <c r="B150" s="3" t="inlineStr">
        <is>
          <t>mit</t>
        </is>
      </c>
      <c r="C150" s="19" t="inlineStr">
        <is>
          <t>mit.txo.ind.nga.a</t>
        </is>
      </c>
      <c r="H150" s="3" t="inlineStr">
        <is>
          <t>Excise and other taxes (before new policies) | Industry | Natural gas</t>
        </is>
      </c>
      <c r="I150" s="3" t="inlineStr">
        <is>
          <t>USD/GJ real</t>
        </is>
      </c>
      <c r="K150" s="20" t="inlineStr">
        <is>
          <t>egy.mit.txo.ind.nga.1</t>
        </is>
      </c>
      <c r="L150" s="3" t="n">
        <v>-7.083825529503021</v>
      </c>
      <c r="M150" s="3" t="n">
        <v>-5.136647184524927</v>
      </c>
      <c r="N150" s="3" t="n">
        <v>-4.535959335007727</v>
      </c>
      <c r="O150" s="3" t="n">
        <v>-4.512378627572591</v>
      </c>
      <c r="P150" s="3" t="n">
        <v>-4.456367825327867</v>
      </c>
      <c r="Q150" s="3" t="n">
        <v>-4.523078632018841</v>
      </c>
      <c r="R150" s="3" t="n">
        <v>-4.601552895936644</v>
      </c>
      <c r="S150" s="3" t="n">
        <v>-4.629506440491788</v>
      </c>
      <c r="T150" s="3" t="n">
        <v>-4.637436610958613</v>
      </c>
      <c r="U150" s="3" t="n">
        <v>-4.641930547194249</v>
      </c>
      <c r="V150" s="3" t="n">
        <v>-4.641930547194249</v>
      </c>
      <c r="W150" s="3" t="n">
        <v>-4.641930547194249</v>
      </c>
      <c r="X150" s="3" t="n">
        <v>-4.641930547194249</v>
      </c>
      <c r="Y150" s="3" t="n">
        <v>-4.641930547194249</v>
      </c>
      <c r="Z150" s="3" t="n">
        <v>-4.641930547194249</v>
      </c>
      <c r="AA150" s="3" t="n">
        <v>-4.641930547194249</v>
      </c>
      <c r="AB150" s="3" t="n">
        <v>-4.641930547194249</v>
      </c>
      <c r="AC150" s="3" t="n">
        <v>-4.641930547194249</v>
      </c>
      <c r="AD150" s="3" t="n">
        <v>-4.641930547194249</v>
      </c>
      <c r="AE150" s="3" t="n">
        <v>-4.641930547194249</v>
      </c>
      <c r="AG150" s="20" t="inlineStr">
        <is>
          <t>egy.mit.txo.ind.nga.3</t>
        </is>
      </c>
      <c r="AH150" s="3" t="n">
        <v>-7.083825529503021</v>
      </c>
      <c r="AI150" s="3" t="n">
        <v>-5.136647184524927</v>
      </c>
      <c r="AJ150" s="3" t="n">
        <v>-4.535959335007727</v>
      </c>
      <c r="AK150" s="3" t="n">
        <v>-4.512378627572591</v>
      </c>
      <c r="AL150" s="3" t="n">
        <v>-4.456367825327867</v>
      </c>
      <c r="AM150" s="3" t="n">
        <v>-4.523078632018841</v>
      </c>
      <c r="AN150" s="3" t="n">
        <v>-4.601552895936644</v>
      </c>
      <c r="AO150" s="3" t="n">
        <v>-4.629506440491788</v>
      </c>
      <c r="AP150" s="3" t="n">
        <v>-4.637436610958613</v>
      </c>
      <c r="AQ150" s="3" t="n">
        <v>-4.641930547194249</v>
      </c>
      <c r="AR150" s="3" t="n">
        <v>-4.641930547194249</v>
      </c>
      <c r="AS150" s="3" t="n">
        <v>-4.641930547194249</v>
      </c>
      <c r="AT150" s="3" t="n">
        <v>-4.641930547194249</v>
      </c>
      <c r="AU150" s="3" t="n">
        <v>-4.641930547194249</v>
      </c>
      <c r="AV150" s="3" t="n">
        <v>-4.641930547194249</v>
      </c>
      <c r="AW150" s="3" t="n">
        <v>-4.641930547194249</v>
      </c>
      <c r="AX150" s="3" t="n">
        <v>-4.641930547194249</v>
      </c>
      <c r="AY150" s="3" t="n">
        <v>-4.641930547194249</v>
      </c>
      <c r="AZ150" s="3" t="n">
        <v>-4.641930547194249</v>
      </c>
      <c r="BA150" s="3" t="n">
        <v>-4.641930547194249</v>
      </c>
      <c r="BC150" s="20" t="inlineStr">
        <is>
          <t>egy.mit.txo.ind.nga.4</t>
        </is>
      </c>
      <c r="BD150" s="3" t="n">
        <v>-7.083825529503021</v>
      </c>
      <c r="BE150" s="3" t="n">
        <v>-5.136647184524927</v>
      </c>
      <c r="BF150" s="3" t="n">
        <v>-4.535959335007727</v>
      </c>
      <c r="BG150" s="3" t="n">
        <v>-4.512378627572591</v>
      </c>
      <c r="BH150" s="3" t="n">
        <v>-4.456367825327867</v>
      </c>
      <c r="BI150" s="3" t="n">
        <v>-4.523078632018841</v>
      </c>
      <c r="BJ150" s="3" t="n">
        <v>-4.601552895936644</v>
      </c>
      <c r="BK150" s="3" t="n">
        <v>-4.629506440491788</v>
      </c>
      <c r="BL150" s="3" t="n">
        <v>-4.637436610958613</v>
      </c>
      <c r="BM150" s="3" t="n">
        <v>-4.641930547194249</v>
      </c>
      <c r="BN150" s="3" t="n">
        <v>-4.641930547194249</v>
      </c>
      <c r="BO150" s="3" t="n">
        <v>-4.641930547194249</v>
      </c>
      <c r="BP150" s="3" t="n">
        <v>-4.641930547194249</v>
      </c>
      <c r="BQ150" s="3" t="n">
        <v>-4.641930547194249</v>
      </c>
      <c r="BR150" s="3" t="n">
        <v>-4.641930547194249</v>
      </c>
      <c r="BS150" s="3" t="n">
        <v>-4.641930547194249</v>
      </c>
      <c r="BT150" s="3" t="n">
        <v>-4.641930547194249</v>
      </c>
      <c r="BU150" s="3" t="n">
        <v>-4.641930547194249</v>
      </c>
      <c r="BV150" s="3" t="n">
        <v>-4.641930547194249</v>
      </c>
      <c r="BW150" s="3" t="n">
        <v>-4.641930547194249</v>
      </c>
      <c r="BY150" s="20" t="inlineStr">
        <is>
          <t>egy.mit.txo.ind.nga.5</t>
        </is>
      </c>
      <c r="BZ150" s="3" t="n">
        <v>-7.083825529503021</v>
      </c>
      <c r="CA150" s="3" t="n">
        <v>-5.136647184524927</v>
      </c>
      <c r="CB150" s="3" t="n">
        <v>-4.535959335007727</v>
      </c>
      <c r="CC150" s="3" t="n">
        <v>-4.512378627572591</v>
      </c>
      <c r="CD150" s="3" t="n">
        <v>-4.456367825327867</v>
      </c>
      <c r="CE150" s="3" t="n">
        <v>-4.523078632018841</v>
      </c>
      <c r="CF150" s="3" t="n">
        <v>-4.601552895936644</v>
      </c>
      <c r="CG150" s="3" t="n">
        <v>-4.629506440491788</v>
      </c>
      <c r="CH150" s="3" t="n">
        <v>-4.637436610958613</v>
      </c>
      <c r="CI150" s="3" t="n">
        <v>-4.641930547194249</v>
      </c>
      <c r="CJ150" s="3" t="n">
        <v>-4.641930547194249</v>
      </c>
      <c r="CK150" s="3" t="n">
        <v>-4.641930547194249</v>
      </c>
      <c r="CL150" s="3" t="n">
        <v>-4.641930547194249</v>
      </c>
      <c r="CM150" s="3" t="n">
        <v>-4.641930547194249</v>
      </c>
      <c r="CN150" s="3" t="n">
        <v>-4.641930547194249</v>
      </c>
      <c r="CO150" s="3" t="n">
        <v>-4.641930547194249</v>
      </c>
      <c r="CP150" s="3" t="n">
        <v>-4.641930547194249</v>
      </c>
      <c r="CQ150" s="3" t="n">
        <v>-4.641930547194249</v>
      </c>
      <c r="CR150" s="3" t="n">
        <v>-4.641930547194249</v>
      </c>
      <c r="CS150" s="3" t="n">
        <v>-4.641930547194249</v>
      </c>
      <c r="CU150" s="20" t="inlineStr">
        <is>
          <t>egy.mit.txo.ind.nga.6</t>
        </is>
      </c>
      <c r="CV150" s="3" t="n">
        <v>-7.083825529503021</v>
      </c>
      <c r="CW150" s="3" t="n">
        <v>-5.136647184524927</v>
      </c>
      <c r="CX150" s="3" t="n">
        <v>-4.535959335007727</v>
      </c>
      <c r="CY150" s="3" t="n">
        <v>-4.512378627572591</v>
      </c>
      <c r="CZ150" s="3" t="n">
        <v>-4.456367825327867</v>
      </c>
      <c r="DA150" s="3" t="n">
        <v>-4.523078632018841</v>
      </c>
      <c r="DB150" s="3" t="n">
        <v>-4.601552895936644</v>
      </c>
      <c r="DC150" s="3" t="n">
        <v>-4.629506440491788</v>
      </c>
      <c r="DD150" s="3" t="n">
        <v>-4.637436610958613</v>
      </c>
      <c r="DE150" s="3" t="n">
        <v>-4.641930547194249</v>
      </c>
      <c r="DF150" s="3" t="n">
        <v>-4.641930547194249</v>
      </c>
      <c r="DG150" s="3" t="n">
        <v>-4.641930547194249</v>
      </c>
      <c r="DH150" s="3" t="n">
        <v>-4.641930547194249</v>
      </c>
      <c r="DI150" s="3" t="n">
        <v>-4.641930547194249</v>
      </c>
      <c r="DJ150" s="3" t="n">
        <v>-4.641930547194249</v>
      </c>
      <c r="DK150" s="3" t="n">
        <v>-4.641930547194249</v>
      </c>
      <c r="DL150" s="3" t="n">
        <v>-4.641930547194249</v>
      </c>
      <c r="DM150" s="3" t="n">
        <v>-4.641930547194249</v>
      </c>
      <c r="DN150" s="3" t="n">
        <v>-4.641930547194249</v>
      </c>
      <c r="DO150" s="3" t="n">
        <v>-4.641930547194249</v>
      </c>
    </row>
    <row r="151">
      <c r="A151" s="19" t="inlineStr">
        <is>
          <t>mit.txo.res.coa</t>
        </is>
      </c>
      <c r="B151" s="3" t="inlineStr">
        <is>
          <t>mit</t>
        </is>
      </c>
      <c r="C151" s="19" t="inlineStr">
        <is>
          <t>mit.txo.res.coa.a</t>
        </is>
      </c>
      <c r="H151" s="3" t="inlineStr">
        <is>
          <t>Excise and other taxes (before new policies) | Residential | Coal</t>
        </is>
      </c>
      <c r="I151" s="3" t="inlineStr">
        <is>
          <t>USD/GJ real</t>
        </is>
      </c>
      <c r="K151" s="20" t="inlineStr">
        <is>
          <t>egy.mit.txo.res.coa.1</t>
        </is>
      </c>
      <c r="L151" s="3" t="n">
        <v>0.1785826785295595</v>
      </c>
      <c r="M151" s="3" t="n">
        <v>0.1909610589681689</v>
      </c>
      <c r="N151" s="3" t="n">
        <v>0.003018962997242845</v>
      </c>
      <c r="O151" s="3" t="n">
        <v>0.003018962997242845</v>
      </c>
      <c r="P151" s="3" t="n">
        <v>0.003018962997242845</v>
      </c>
      <c r="Q151" s="3" t="n">
        <v>0.003018962997242845</v>
      </c>
      <c r="R151" s="3" t="n">
        <v>0.003018962997242845</v>
      </c>
      <c r="S151" s="3" t="n">
        <v>0.003018962997242845</v>
      </c>
      <c r="T151" s="3" t="n">
        <v>0.003018962997242845</v>
      </c>
      <c r="U151" s="3" t="n">
        <v>0.003018962997242845</v>
      </c>
      <c r="V151" s="3" t="n">
        <v>0.003018962997242845</v>
      </c>
      <c r="W151" s="3" t="n">
        <v>0.003018962997242845</v>
      </c>
      <c r="X151" s="3" t="n">
        <v>0.003018962997242845</v>
      </c>
      <c r="Y151" s="3" t="n">
        <v>0.003018962997242845</v>
      </c>
      <c r="Z151" s="3" t="n">
        <v>0.003018962997242845</v>
      </c>
      <c r="AA151" s="3" t="n">
        <v>0.003018962997242845</v>
      </c>
      <c r="AB151" s="3" t="n">
        <v>0.003018962997242845</v>
      </c>
      <c r="AC151" s="3" t="n">
        <v>0.003018962997242845</v>
      </c>
      <c r="AD151" s="3" t="n">
        <v>0.003018962997242845</v>
      </c>
      <c r="AE151" s="3" t="n">
        <v>0.003018962997242845</v>
      </c>
      <c r="AG151" s="20" t="inlineStr">
        <is>
          <t>egy.mit.txo.res.coa.3</t>
        </is>
      </c>
      <c r="AH151" s="3" t="n">
        <v>0.1785826785295595</v>
      </c>
      <c r="AI151" s="3" t="n">
        <v>0.1909610589681689</v>
      </c>
      <c r="AJ151" s="3" t="n">
        <v>0.003018962997242845</v>
      </c>
      <c r="AK151" s="3" t="n">
        <v>0.003018962997242845</v>
      </c>
      <c r="AL151" s="3" t="n">
        <v>0.003018962997242845</v>
      </c>
      <c r="AM151" s="3" t="n">
        <v>0.003018962997242845</v>
      </c>
      <c r="AN151" s="3" t="n">
        <v>0.003018962997242845</v>
      </c>
      <c r="AO151" s="3" t="n">
        <v>0.003018962997242845</v>
      </c>
      <c r="AP151" s="3" t="n">
        <v>0.003018962997242845</v>
      </c>
      <c r="AQ151" s="3" t="n">
        <v>0.003018962997242845</v>
      </c>
      <c r="AR151" s="3" t="n">
        <v>0.003018962997242845</v>
      </c>
      <c r="AS151" s="3" t="n">
        <v>0.003018962997242845</v>
      </c>
      <c r="AT151" s="3" t="n">
        <v>0.003018962997242845</v>
      </c>
      <c r="AU151" s="3" t="n">
        <v>0.003018962997242845</v>
      </c>
      <c r="AV151" s="3" t="n">
        <v>0.003018962997242845</v>
      </c>
      <c r="AW151" s="3" t="n">
        <v>0.003018962997242845</v>
      </c>
      <c r="AX151" s="3" t="n">
        <v>0.003018962997242845</v>
      </c>
      <c r="AY151" s="3" t="n">
        <v>0.003018962997242845</v>
      </c>
      <c r="AZ151" s="3" t="n">
        <v>0.003018962997242845</v>
      </c>
      <c r="BA151" s="3" t="n">
        <v>0.003018962997242845</v>
      </c>
      <c r="BC151" s="20" t="inlineStr">
        <is>
          <t>egy.mit.txo.res.coa.4</t>
        </is>
      </c>
      <c r="BD151" s="3" t="n">
        <v>0.1785826785295595</v>
      </c>
      <c r="BE151" s="3" t="n">
        <v>0.1909610589681689</v>
      </c>
      <c r="BF151" s="3" t="n">
        <v>0.003018962997242845</v>
      </c>
      <c r="BG151" s="3" t="n">
        <v>0.003018962997242845</v>
      </c>
      <c r="BH151" s="3" t="n">
        <v>0.003018962997242845</v>
      </c>
      <c r="BI151" s="3" t="n">
        <v>0.003018962997242845</v>
      </c>
      <c r="BJ151" s="3" t="n">
        <v>0.003018962997242845</v>
      </c>
      <c r="BK151" s="3" t="n">
        <v>0.003018962997242845</v>
      </c>
      <c r="BL151" s="3" t="n">
        <v>0.003018962997242845</v>
      </c>
      <c r="BM151" s="3" t="n">
        <v>0.003018962997242845</v>
      </c>
      <c r="BN151" s="3" t="n">
        <v>0.003018962997242845</v>
      </c>
      <c r="BO151" s="3" t="n">
        <v>0.003018962997242845</v>
      </c>
      <c r="BP151" s="3" t="n">
        <v>0.003018962997242845</v>
      </c>
      <c r="BQ151" s="3" t="n">
        <v>0.003018962997242845</v>
      </c>
      <c r="BR151" s="3" t="n">
        <v>0.003018962997242845</v>
      </c>
      <c r="BS151" s="3" t="n">
        <v>0.003018962997242845</v>
      </c>
      <c r="BT151" s="3" t="n">
        <v>0.003018962997242845</v>
      </c>
      <c r="BU151" s="3" t="n">
        <v>0.003018962997242845</v>
      </c>
      <c r="BV151" s="3" t="n">
        <v>0.003018962997242845</v>
      </c>
      <c r="BW151" s="3" t="n">
        <v>0.003018962997242845</v>
      </c>
      <c r="BY151" s="20" t="inlineStr">
        <is>
          <t>egy.mit.txo.res.coa.5</t>
        </is>
      </c>
      <c r="BZ151" s="3" t="n">
        <v>0.1785826785295595</v>
      </c>
      <c r="CA151" s="3" t="n">
        <v>0.1909610589681689</v>
      </c>
      <c r="CB151" s="3" t="n">
        <v>0.003018962997242845</v>
      </c>
      <c r="CC151" s="3" t="n">
        <v>0.003018962997242845</v>
      </c>
      <c r="CD151" s="3" t="n">
        <v>0.003018962997242845</v>
      </c>
      <c r="CE151" s="3" t="n">
        <v>0.003018962997242845</v>
      </c>
      <c r="CF151" s="3" t="n">
        <v>0.003018962997242845</v>
      </c>
      <c r="CG151" s="3" t="n">
        <v>0.003018962997242845</v>
      </c>
      <c r="CH151" s="3" t="n">
        <v>0.003018962997242845</v>
      </c>
      <c r="CI151" s="3" t="n">
        <v>0.003018962997242845</v>
      </c>
      <c r="CJ151" s="3" t="n">
        <v>0.003018962997242845</v>
      </c>
      <c r="CK151" s="3" t="n">
        <v>0.003018962997242845</v>
      </c>
      <c r="CL151" s="3" t="n">
        <v>0.003018962997242845</v>
      </c>
      <c r="CM151" s="3" t="n">
        <v>0.003018962997242845</v>
      </c>
      <c r="CN151" s="3" t="n">
        <v>0.003018962997242845</v>
      </c>
      <c r="CO151" s="3" t="n">
        <v>0.003018962997242845</v>
      </c>
      <c r="CP151" s="3" t="n">
        <v>0.003018962997242845</v>
      </c>
      <c r="CQ151" s="3" t="n">
        <v>0.003018962997242845</v>
      </c>
      <c r="CR151" s="3" t="n">
        <v>0.003018962997242845</v>
      </c>
      <c r="CS151" s="3" t="n">
        <v>0.003018962997242845</v>
      </c>
      <c r="CU151" s="20" t="inlineStr">
        <is>
          <t>egy.mit.txo.res.coa.6</t>
        </is>
      </c>
      <c r="CV151" s="3" t="n">
        <v>0.1785826785295595</v>
      </c>
      <c r="CW151" s="3" t="n">
        <v>0.1909610589681689</v>
      </c>
      <c r="CX151" s="3" t="n">
        <v>0.003018962997242845</v>
      </c>
      <c r="CY151" s="3" t="n">
        <v>0.003018962997242845</v>
      </c>
      <c r="CZ151" s="3" t="n">
        <v>0.003018962997242845</v>
      </c>
      <c r="DA151" s="3" t="n">
        <v>0.003018962997242845</v>
      </c>
      <c r="DB151" s="3" t="n">
        <v>0.003018962997242845</v>
      </c>
      <c r="DC151" s="3" t="n">
        <v>0.003018962997242845</v>
      </c>
      <c r="DD151" s="3" t="n">
        <v>0.003018962997242845</v>
      </c>
      <c r="DE151" s="3" t="n">
        <v>0.003018962997242845</v>
      </c>
      <c r="DF151" s="3" t="n">
        <v>0.003018962997242845</v>
      </c>
      <c r="DG151" s="3" t="n">
        <v>0.003018962997242845</v>
      </c>
      <c r="DH151" s="3" t="n">
        <v>0.003018962997242845</v>
      </c>
      <c r="DI151" s="3" t="n">
        <v>0.003018962997242845</v>
      </c>
      <c r="DJ151" s="3" t="n">
        <v>0.003018962997242845</v>
      </c>
      <c r="DK151" s="3" t="n">
        <v>0.003018962997242845</v>
      </c>
      <c r="DL151" s="3" t="n">
        <v>0.003018962997242845</v>
      </c>
      <c r="DM151" s="3" t="n">
        <v>0.003018962997242845</v>
      </c>
      <c r="DN151" s="3" t="n">
        <v>0.003018962997242845</v>
      </c>
      <c r="DO151" s="3" t="n">
        <v>0.003018962997242845</v>
      </c>
    </row>
    <row r="152">
      <c r="A152" s="19" t="inlineStr">
        <is>
          <t>mit.txo.res.nga</t>
        </is>
      </c>
      <c r="B152" s="3" t="inlineStr">
        <is>
          <t>mit</t>
        </is>
      </c>
      <c r="C152" s="19" t="inlineStr">
        <is>
          <t>mit.txo.res.nga.a</t>
        </is>
      </c>
      <c r="H152" s="3" t="inlineStr">
        <is>
          <t>Excise and other taxes (before new policies) | Residential | Natural gas</t>
        </is>
      </c>
      <c r="I152" s="3" t="inlineStr">
        <is>
          <t>USD/GJ real</t>
        </is>
      </c>
      <c r="K152" s="20" t="inlineStr">
        <is>
          <t>egy.mit.txo.res.nga.1</t>
        </is>
      </c>
      <c r="L152" s="3" t="n">
        <v>-12.01507647581756</v>
      </c>
      <c r="M152" s="3" t="n">
        <v>-12.00075317803916</v>
      </c>
      <c r="N152" s="3" t="n">
        <v>-12.39337868150431</v>
      </c>
      <c r="O152" s="3" t="n">
        <v>-12.32960616348996</v>
      </c>
      <c r="P152" s="3" t="n">
        <v>-12.17812852419624</v>
      </c>
      <c r="Q152" s="3" t="n">
        <v>-12.35854364249389</v>
      </c>
      <c r="R152" s="3" t="n">
        <v>-12.57077227995642</v>
      </c>
      <c r="S152" s="3" t="n">
        <v>-12.64637085682744</v>
      </c>
      <c r="T152" s="3" t="n">
        <v>-12.66781749664279</v>
      </c>
      <c r="U152" s="3" t="n">
        <v>-12.67997106032746</v>
      </c>
      <c r="V152" s="3" t="n">
        <v>-12.67997106032746</v>
      </c>
      <c r="W152" s="3" t="n">
        <v>-12.67997106032746</v>
      </c>
      <c r="X152" s="3" t="n">
        <v>-12.67997106032746</v>
      </c>
      <c r="Y152" s="3" t="n">
        <v>-12.67997106032746</v>
      </c>
      <c r="Z152" s="3" t="n">
        <v>-12.67997106032746</v>
      </c>
      <c r="AA152" s="3" t="n">
        <v>-12.67997106032746</v>
      </c>
      <c r="AB152" s="3" t="n">
        <v>-12.67997106032746</v>
      </c>
      <c r="AC152" s="3" t="n">
        <v>-12.67997106032746</v>
      </c>
      <c r="AD152" s="3" t="n">
        <v>-12.67997106032746</v>
      </c>
      <c r="AE152" s="3" t="n">
        <v>-12.67997106032746</v>
      </c>
      <c r="AG152" s="20" t="inlineStr">
        <is>
          <t>egy.mit.txo.res.nga.3</t>
        </is>
      </c>
      <c r="AH152" s="3" t="n">
        <v>-12.01507647581756</v>
      </c>
      <c r="AI152" s="3" t="n">
        <v>-12.00075317803916</v>
      </c>
      <c r="AJ152" s="3" t="n">
        <v>-12.39337868150431</v>
      </c>
      <c r="AK152" s="3" t="n">
        <v>-12.32960616348996</v>
      </c>
      <c r="AL152" s="3" t="n">
        <v>-12.17812852419624</v>
      </c>
      <c r="AM152" s="3" t="n">
        <v>-12.35854364249389</v>
      </c>
      <c r="AN152" s="3" t="n">
        <v>-12.57077227995642</v>
      </c>
      <c r="AO152" s="3" t="n">
        <v>-12.64637085682744</v>
      </c>
      <c r="AP152" s="3" t="n">
        <v>-12.66781749664279</v>
      </c>
      <c r="AQ152" s="3" t="n">
        <v>-12.67997106032746</v>
      </c>
      <c r="AR152" s="3" t="n">
        <v>-12.67997106032746</v>
      </c>
      <c r="AS152" s="3" t="n">
        <v>-12.67997106032746</v>
      </c>
      <c r="AT152" s="3" t="n">
        <v>-12.67997106032746</v>
      </c>
      <c r="AU152" s="3" t="n">
        <v>-12.67997106032746</v>
      </c>
      <c r="AV152" s="3" t="n">
        <v>-12.67997106032746</v>
      </c>
      <c r="AW152" s="3" t="n">
        <v>-12.67997106032746</v>
      </c>
      <c r="AX152" s="3" t="n">
        <v>-12.67997106032746</v>
      </c>
      <c r="AY152" s="3" t="n">
        <v>-12.67997106032746</v>
      </c>
      <c r="AZ152" s="3" t="n">
        <v>-12.67997106032746</v>
      </c>
      <c r="BA152" s="3" t="n">
        <v>-12.67997106032746</v>
      </c>
      <c r="BC152" s="20" t="inlineStr">
        <is>
          <t>egy.mit.txo.res.nga.4</t>
        </is>
      </c>
      <c r="BD152" s="3" t="n">
        <v>-12.01507647581756</v>
      </c>
      <c r="BE152" s="3" t="n">
        <v>-12.00075317803916</v>
      </c>
      <c r="BF152" s="3" t="n">
        <v>-12.39337868150431</v>
      </c>
      <c r="BG152" s="3" t="n">
        <v>-12.32960616348996</v>
      </c>
      <c r="BH152" s="3" t="n">
        <v>-12.17812852419624</v>
      </c>
      <c r="BI152" s="3" t="n">
        <v>-12.35854364249389</v>
      </c>
      <c r="BJ152" s="3" t="n">
        <v>-12.57077227995642</v>
      </c>
      <c r="BK152" s="3" t="n">
        <v>-12.64637085682744</v>
      </c>
      <c r="BL152" s="3" t="n">
        <v>-12.66781749664279</v>
      </c>
      <c r="BM152" s="3" t="n">
        <v>-12.67997106032746</v>
      </c>
      <c r="BN152" s="3" t="n">
        <v>-12.67997106032746</v>
      </c>
      <c r="BO152" s="3" t="n">
        <v>-12.67997106032746</v>
      </c>
      <c r="BP152" s="3" t="n">
        <v>-12.67997106032746</v>
      </c>
      <c r="BQ152" s="3" t="n">
        <v>-12.67997106032746</v>
      </c>
      <c r="BR152" s="3" t="n">
        <v>-12.67997106032746</v>
      </c>
      <c r="BS152" s="3" t="n">
        <v>-12.67997106032746</v>
      </c>
      <c r="BT152" s="3" t="n">
        <v>-12.67997106032746</v>
      </c>
      <c r="BU152" s="3" t="n">
        <v>-12.67997106032746</v>
      </c>
      <c r="BV152" s="3" t="n">
        <v>-12.67997106032746</v>
      </c>
      <c r="BW152" s="3" t="n">
        <v>-12.67997106032746</v>
      </c>
      <c r="BY152" s="20" t="inlineStr">
        <is>
          <t>egy.mit.txo.res.nga.5</t>
        </is>
      </c>
      <c r="BZ152" s="3" t="n">
        <v>-12.01507647581756</v>
      </c>
      <c r="CA152" s="3" t="n">
        <v>-12.00075317803916</v>
      </c>
      <c r="CB152" s="3" t="n">
        <v>-12.39337868150431</v>
      </c>
      <c r="CC152" s="3" t="n">
        <v>-12.32960616348996</v>
      </c>
      <c r="CD152" s="3" t="n">
        <v>-12.17812852419624</v>
      </c>
      <c r="CE152" s="3" t="n">
        <v>-12.35854364249389</v>
      </c>
      <c r="CF152" s="3" t="n">
        <v>-12.57077227995642</v>
      </c>
      <c r="CG152" s="3" t="n">
        <v>-12.64637085682744</v>
      </c>
      <c r="CH152" s="3" t="n">
        <v>-12.66781749664279</v>
      </c>
      <c r="CI152" s="3" t="n">
        <v>-12.67997106032746</v>
      </c>
      <c r="CJ152" s="3" t="n">
        <v>-12.67997106032746</v>
      </c>
      <c r="CK152" s="3" t="n">
        <v>-12.67997106032746</v>
      </c>
      <c r="CL152" s="3" t="n">
        <v>-12.67997106032746</v>
      </c>
      <c r="CM152" s="3" t="n">
        <v>-12.67997106032746</v>
      </c>
      <c r="CN152" s="3" t="n">
        <v>-12.67997106032746</v>
      </c>
      <c r="CO152" s="3" t="n">
        <v>-12.67997106032746</v>
      </c>
      <c r="CP152" s="3" t="n">
        <v>-12.67997106032746</v>
      </c>
      <c r="CQ152" s="3" t="n">
        <v>-12.67997106032746</v>
      </c>
      <c r="CR152" s="3" t="n">
        <v>-12.67997106032746</v>
      </c>
      <c r="CS152" s="3" t="n">
        <v>-12.67997106032746</v>
      </c>
      <c r="CU152" s="20" t="inlineStr">
        <is>
          <t>egy.mit.txo.res.nga.6</t>
        </is>
      </c>
      <c r="CV152" s="3" t="n">
        <v>-12.01507647581756</v>
      </c>
      <c r="CW152" s="3" t="n">
        <v>-12.00075317803916</v>
      </c>
      <c r="CX152" s="3" t="n">
        <v>-12.39337868150431</v>
      </c>
      <c r="CY152" s="3" t="n">
        <v>-12.32960616348996</v>
      </c>
      <c r="CZ152" s="3" t="n">
        <v>-12.17812852419624</v>
      </c>
      <c r="DA152" s="3" t="n">
        <v>-12.35854364249389</v>
      </c>
      <c r="DB152" s="3" t="n">
        <v>-12.57077227995642</v>
      </c>
      <c r="DC152" s="3" t="n">
        <v>-12.64637085682744</v>
      </c>
      <c r="DD152" s="3" t="n">
        <v>-12.66781749664279</v>
      </c>
      <c r="DE152" s="3" t="n">
        <v>-12.67997106032746</v>
      </c>
      <c r="DF152" s="3" t="n">
        <v>-12.67997106032746</v>
      </c>
      <c r="DG152" s="3" t="n">
        <v>-12.67997106032746</v>
      </c>
      <c r="DH152" s="3" t="n">
        <v>-12.67997106032746</v>
      </c>
      <c r="DI152" s="3" t="n">
        <v>-12.67997106032746</v>
      </c>
      <c r="DJ152" s="3" t="n">
        <v>-12.67997106032746</v>
      </c>
      <c r="DK152" s="3" t="n">
        <v>-12.67997106032746</v>
      </c>
      <c r="DL152" s="3" t="n">
        <v>-12.67997106032746</v>
      </c>
      <c r="DM152" s="3" t="n">
        <v>-12.67997106032746</v>
      </c>
      <c r="DN152" s="3" t="n">
        <v>-12.67997106032746</v>
      </c>
      <c r="DO152" s="3" t="n">
        <v>-12.67997106032746</v>
      </c>
    </row>
    <row r="153">
      <c r="A153" s="19" t="inlineStr">
        <is>
          <t>mit.txo.pow.coa</t>
        </is>
      </c>
      <c r="B153" s="3" t="inlineStr">
        <is>
          <t>mit</t>
        </is>
      </c>
      <c r="C153" s="19" t="inlineStr">
        <is>
          <t>mit.txo.pow.coa.a</t>
        </is>
      </c>
      <c r="H153" s="3" t="inlineStr">
        <is>
          <t>Excise and other taxes (before new policies) | Power | Coal</t>
        </is>
      </c>
      <c r="I153" s="3" t="inlineStr">
        <is>
          <t>USD/GJ real</t>
        </is>
      </c>
      <c r="K153" s="20" t="inlineStr">
        <is>
          <t>egy.mit.txo.pow.coa.1</t>
        </is>
      </c>
      <c r="L153" s="3" t="n">
        <v>0</v>
      </c>
      <c r="M153" s="3" t="n">
        <v>0</v>
      </c>
      <c r="N153" s="3" t="n">
        <v>0</v>
      </c>
      <c r="O153" s="3" t="n">
        <v>0</v>
      </c>
      <c r="P153" s="3" t="n">
        <v>0</v>
      </c>
      <c r="Q153" s="3" t="n">
        <v>0</v>
      </c>
      <c r="R153" s="3" t="n">
        <v>0</v>
      </c>
      <c r="S153" s="3" t="n">
        <v>0</v>
      </c>
      <c r="T153" s="3" t="n">
        <v>0</v>
      </c>
      <c r="U153" s="3" t="n">
        <v>0</v>
      </c>
      <c r="V153" s="3" t="n">
        <v>0</v>
      </c>
      <c r="W153" s="3" t="n">
        <v>0</v>
      </c>
      <c r="X153" s="3" t="n">
        <v>0</v>
      </c>
      <c r="Y153" s="3" t="n">
        <v>0</v>
      </c>
      <c r="Z153" s="3" t="n">
        <v>0</v>
      </c>
      <c r="AA153" s="3" t="n">
        <v>0</v>
      </c>
      <c r="AB153" s="3" t="n">
        <v>0</v>
      </c>
      <c r="AC153" s="3" t="n">
        <v>0</v>
      </c>
      <c r="AD153" s="3" t="n">
        <v>0</v>
      </c>
      <c r="AE153" s="3" t="n">
        <v>0</v>
      </c>
      <c r="AG153" s="20" t="inlineStr">
        <is>
          <t>egy.mit.txo.pow.coa.3</t>
        </is>
      </c>
      <c r="AH153" s="3" t="n">
        <v>0</v>
      </c>
      <c r="AI153" s="3" t="n">
        <v>0</v>
      </c>
      <c r="AJ153" s="3" t="n">
        <v>0</v>
      </c>
      <c r="AK153" s="3" t="n">
        <v>0</v>
      </c>
      <c r="AL153" s="3" t="n">
        <v>0</v>
      </c>
      <c r="AM153" s="3" t="n">
        <v>0</v>
      </c>
      <c r="AN153" s="3" t="n">
        <v>0</v>
      </c>
      <c r="AO153" s="3" t="n">
        <v>0</v>
      </c>
      <c r="AP153" s="3" t="n">
        <v>0</v>
      </c>
      <c r="AQ153" s="3" t="n">
        <v>0</v>
      </c>
      <c r="AR153" s="3" t="n">
        <v>0</v>
      </c>
      <c r="AS153" s="3" t="n">
        <v>0</v>
      </c>
      <c r="AT153" s="3" t="n">
        <v>0</v>
      </c>
      <c r="AU153" s="3" t="n">
        <v>0</v>
      </c>
      <c r="AV153" s="3" t="n">
        <v>0</v>
      </c>
      <c r="AW153" s="3" t="n">
        <v>0</v>
      </c>
      <c r="AX153" s="3" t="n">
        <v>0</v>
      </c>
      <c r="AY153" s="3" t="n">
        <v>0</v>
      </c>
      <c r="AZ153" s="3" t="n">
        <v>0</v>
      </c>
      <c r="BA153" s="3" t="n">
        <v>0</v>
      </c>
      <c r="BC153" s="20" t="inlineStr">
        <is>
          <t>egy.mit.txo.pow.coa.4</t>
        </is>
      </c>
      <c r="BD153" s="3" t="n">
        <v>0</v>
      </c>
      <c r="BE153" s="3" t="n">
        <v>0</v>
      </c>
      <c r="BF153" s="3" t="n">
        <v>0</v>
      </c>
      <c r="BG153" s="3" t="n">
        <v>0</v>
      </c>
      <c r="BH153" s="3" t="n">
        <v>0</v>
      </c>
      <c r="BI153" s="3" t="n">
        <v>0</v>
      </c>
      <c r="BJ153" s="3" t="n">
        <v>0</v>
      </c>
      <c r="BK153" s="3" t="n">
        <v>0</v>
      </c>
      <c r="BL153" s="3" t="n">
        <v>0</v>
      </c>
      <c r="BM153" s="3" t="n">
        <v>0</v>
      </c>
      <c r="BN153" s="3" t="n">
        <v>0</v>
      </c>
      <c r="BO153" s="3" t="n">
        <v>0</v>
      </c>
      <c r="BP153" s="3" t="n">
        <v>0</v>
      </c>
      <c r="BQ153" s="3" t="n">
        <v>0</v>
      </c>
      <c r="BR153" s="3" t="n">
        <v>0</v>
      </c>
      <c r="BS153" s="3" t="n">
        <v>0</v>
      </c>
      <c r="BT153" s="3" t="n">
        <v>0</v>
      </c>
      <c r="BU153" s="3" t="n">
        <v>0</v>
      </c>
      <c r="BV153" s="3" t="n">
        <v>0</v>
      </c>
      <c r="BW153" s="3" t="n">
        <v>0</v>
      </c>
      <c r="BY153" s="20" t="inlineStr">
        <is>
          <t>egy.mit.txo.pow.coa.5</t>
        </is>
      </c>
      <c r="BZ153" s="3" t="n">
        <v>0</v>
      </c>
      <c r="CA153" s="3" t="n">
        <v>0</v>
      </c>
      <c r="CB153" s="3" t="n">
        <v>0</v>
      </c>
      <c r="CC153" s="3" t="n">
        <v>0</v>
      </c>
      <c r="CD153" s="3" t="n">
        <v>0</v>
      </c>
      <c r="CE153" s="3" t="n">
        <v>0</v>
      </c>
      <c r="CF153" s="3" t="n">
        <v>0</v>
      </c>
      <c r="CG153" s="3" t="n">
        <v>0</v>
      </c>
      <c r="CH153" s="3" t="n">
        <v>0</v>
      </c>
      <c r="CI153" s="3" t="n">
        <v>0</v>
      </c>
      <c r="CJ153" s="3" t="n">
        <v>0</v>
      </c>
      <c r="CK153" s="3" t="n">
        <v>0</v>
      </c>
      <c r="CL153" s="3" t="n">
        <v>0</v>
      </c>
      <c r="CM153" s="3" t="n">
        <v>0</v>
      </c>
      <c r="CN153" s="3" t="n">
        <v>0</v>
      </c>
      <c r="CO153" s="3" t="n">
        <v>0</v>
      </c>
      <c r="CP153" s="3" t="n">
        <v>0</v>
      </c>
      <c r="CQ153" s="3" t="n">
        <v>0</v>
      </c>
      <c r="CR153" s="3" t="n">
        <v>0</v>
      </c>
      <c r="CS153" s="3" t="n">
        <v>0</v>
      </c>
      <c r="CU153" s="20" t="inlineStr">
        <is>
          <t>egy.mit.txo.pow.coa.6</t>
        </is>
      </c>
      <c r="CV153" s="3" t="n">
        <v>0</v>
      </c>
      <c r="CW153" s="3" t="n">
        <v>0</v>
      </c>
      <c r="CX153" s="3" t="n">
        <v>0</v>
      </c>
      <c r="CY153" s="3" t="n">
        <v>0</v>
      </c>
      <c r="CZ153" s="3" t="n">
        <v>0</v>
      </c>
      <c r="DA153" s="3" t="n">
        <v>0</v>
      </c>
      <c r="DB153" s="3" t="n">
        <v>0</v>
      </c>
      <c r="DC153" s="3" t="n">
        <v>0</v>
      </c>
      <c r="DD153" s="3" t="n">
        <v>0</v>
      </c>
      <c r="DE153" s="3" t="n">
        <v>0</v>
      </c>
      <c r="DF153" s="3" t="n">
        <v>0</v>
      </c>
      <c r="DG153" s="3" t="n">
        <v>0</v>
      </c>
      <c r="DH153" s="3" t="n">
        <v>0</v>
      </c>
      <c r="DI153" s="3" t="n">
        <v>0</v>
      </c>
      <c r="DJ153" s="3" t="n">
        <v>0</v>
      </c>
      <c r="DK153" s="3" t="n">
        <v>0</v>
      </c>
      <c r="DL153" s="3" t="n">
        <v>0</v>
      </c>
      <c r="DM153" s="3" t="n">
        <v>0</v>
      </c>
      <c r="DN153" s="3" t="n">
        <v>0</v>
      </c>
      <c r="DO153" s="3" t="n">
        <v>0</v>
      </c>
    </row>
    <row r="154">
      <c r="A154" s="19" t="inlineStr">
        <is>
          <t>mit.txo.pow.nga</t>
        </is>
      </c>
      <c r="B154" s="3" t="inlineStr">
        <is>
          <t>mit</t>
        </is>
      </c>
      <c r="C154" s="19" t="inlineStr">
        <is>
          <t>mit.txo.pow.nga.a</t>
        </is>
      </c>
      <c r="H154" s="3" t="inlineStr">
        <is>
          <t>Excise and other taxes (before new policies) | Power | Natural gas</t>
        </is>
      </c>
      <c r="I154" s="3" t="inlineStr">
        <is>
          <t>USD/GJ real</t>
        </is>
      </c>
      <c r="K154" s="20" t="inlineStr">
        <is>
          <t>egy.mit.txo.pow.nga.1</t>
        </is>
      </c>
      <c r="L154" s="3" t="n">
        <v>-8.448182824774628</v>
      </c>
      <c r="M154" s="3" t="n">
        <v>-6.887483512650671</v>
      </c>
      <c r="N154" s="3" t="n">
        <v>-6.113252283677274</v>
      </c>
      <c r="O154" s="3" t="n">
        <v>-6.125811228274167</v>
      </c>
      <c r="P154" s="3" t="n">
        <v>-6.155642248575572</v>
      </c>
      <c r="Q154" s="3" t="n">
        <v>-6.120112469515695</v>
      </c>
      <c r="R154" s="3" t="n">
        <v>-6.078317543068445</v>
      </c>
      <c r="S154" s="3" t="n">
        <v>-6.063429651417164</v>
      </c>
      <c r="T154" s="3" t="n">
        <v>-6.05920608976997</v>
      </c>
      <c r="U154" s="3" t="n">
        <v>-6.056812646046512</v>
      </c>
      <c r="V154" s="3" t="n">
        <v>-6.056812646046512</v>
      </c>
      <c r="W154" s="3" t="n">
        <v>-6.056812646046512</v>
      </c>
      <c r="X154" s="3" t="n">
        <v>-6.056812646046512</v>
      </c>
      <c r="Y154" s="3" t="n">
        <v>-6.056812646046512</v>
      </c>
      <c r="Z154" s="3" t="n">
        <v>-6.056812646046512</v>
      </c>
      <c r="AA154" s="3" t="n">
        <v>-6.056812646046512</v>
      </c>
      <c r="AB154" s="3" t="n">
        <v>-6.056812646046512</v>
      </c>
      <c r="AC154" s="3" t="n">
        <v>-6.056812646046512</v>
      </c>
      <c r="AD154" s="3" t="n">
        <v>-6.056812646046512</v>
      </c>
      <c r="AE154" s="3" t="n">
        <v>-6.056812646046512</v>
      </c>
      <c r="AG154" s="20" t="inlineStr">
        <is>
          <t>egy.mit.txo.pow.nga.3</t>
        </is>
      </c>
      <c r="AH154" s="3" t="n">
        <v>-8.448182824774628</v>
      </c>
      <c r="AI154" s="3" t="n">
        <v>-6.887483512650671</v>
      </c>
      <c r="AJ154" s="3" t="n">
        <v>-6.113252283677274</v>
      </c>
      <c r="AK154" s="3" t="n">
        <v>-6.125811228274167</v>
      </c>
      <c r="AL154" s="3" t="n">
        <v>-6.155642248575572</v>
      </c>
      <c r="AM154" s="3" t="n">
        <v>-6.120112469515695</v>
      </c>
      <c r="AN154" s="3" t="n">
        <v>-6.078317543068445</v>
      </c>
      <c r="AO154" s="3" t="n">
        <v>-6.063429651417164</v>
      </c>
      <c r="AP154" s="3" t="n">
        <v>-6.05920608976997</v>
      </c>
      <c r="AQ154" s="3" t="n">
        <v>-6.056812646046512</v>
      </c>
      <c r="AR154" s="3" t="n">
        <v>-6.056812646046512</v>
      </c>
      <c r="AS154" s="3" t="n">
        <v>-6.056812646046512</v>
      </c>
      <c r="AT154" s="3" t="n">
        <v>-6.056812646046512</v>
      </c>
      <c r="AU154" s="3" t="n">
        <v>-6.056812646046512</v>
      </c>
      <c r="AV154" s="3" t="n">
        <v>-6.056812646046512</v>
      </c>
      <c r="AW154" s="3" t="n">
        <v>-6.056812646046512</v>
      </c>
      <c r="AX154" s="3" t="n">
        <v>-6.056812646046512</v>
      </c>
      <c r="AY154" s="3" t="n">
        <v>-6.056812646046512</v>
      </c>
      <c r="AZ154" s="3" t="n">
        <v>-6.056812646046512</v>
      </c>
      <c r="BA154" s="3" t="n">
        <v>-6.056812646046512</v>
      </c>
      <c r="BC154" s="20" t="inlineStr">
        <is>
          <t>egy.mit.txo.pow.nga.4</t>
        </is>
      </c>
      <c r="BD154" s="3" t="n">
        <v>-8.448182824774628</v>
      </c>
      <c r="BE154" s="3" t="n">
        <v>-6.887483512650671</v>
      </c>
      <c r="BF154" s="3" t="n">
        <v>-6.113252283677274</v>
      </c>
      <c r="BG154" s="3" t="n">
        <v>-6.125811228274167</v>
      </c>
      <c r="BH154" s="3" t="n">
        <v>-6.155642248575572</v>
      </c>
      <c r="BI154" s="3" t="n">
        <v>-6.120112469515695</v>
      </c>
      <c r="BJ154" s="3" t="n">
        <v>-6.078317543068445</v>
      </c>
      <c r="BK154" s="3" t="n">
        <v>-6.063429651417164</v>
      </c>
      <c r="BL154" s="3" t="n">
        <v>-6.05920608976997</v>
      </c>
      <c r="BM154" s="3" t="n">
        <v>-6.056812646046512</v>
      </c>
      <c r="BN154" s="3" t="n">
        <v>-6.056812646046512</v>
      </c>
      <c r="BO154" s="3" t="n">
        <v>-6.056812646046512</v>
      </c>
      <c r="BP154" s="3" t="n">
        <v>-6.056812646046512</v>
      </c>
      <c r="BQ154" s="3" t="n">
        <v>-6.056812646046512</v>
      </c>
      <c r="BR154" s="3" t="n">
        <v>-6.056812646046512</v>
      </c>
      <c r="BS154" s="3" t="n">
        <v>-6.056812646046512</v>
      </c>
      <c r="BT154" s="3" t="n">
        <v>-6.056812646046512</v>
      </c>
      <c r="BU154" s="3" t="n">
        <v>-6.056812646046512</v>
      </c>
      <c r="BV154" s="3" t="n">
        <v>-6.056812646046512</v>
      </c>
      <c r="BW154" s="3" t="n">
        <v>-6.056812646046512</v>
      </c>
      <c r="BY154" s="20" t="inlineStr">
        <is>
          <t>egy.mit.txo.pow.nga.5</t>
        </is>
      </c>
      <c r="BZ154" s="3" t="n">
        <v>-8.448182824774628</v>
      </c>
      <c r="CA154" s="3" t="n">
        <v>-6.887483512650671</v>
      </c>
      <c r="CB154" s="3" t="n">
        <v>-6.113252283677274</v>
      </c>
      <c r="CC154" s="3" t="n">
        <v>-6.125811228274167</v>
      </c>
      <c r="CD154" s="3" t="n">
        <v>-6.155642248575572</v>
      </c>
      <c r="CE154" s="3" t="n">
        <v>-6.120112469515695</v>
      </c>
      <c r="CF154" s="3" t="n">
        <v>-6.078317543068445</v>
      </c>
      <c r="CG154" s="3" t="n">
        <v>-6.063429651417164</v>
      </c>
      <c r="CH154" s="3" t="n">
        <v>-6.05920608976997</v>
      </c>
      <c r="CI154" s="3" t="n">
        <v>-6.056812646046512</v>
      </c>
      <c r="CJ154" s="3" t="n">
        <v>-6.056812646046512</v>
      </c>
      <c r="CK154" s="3" t="n">
        <v>-6.056812646046512</v>
      </c>
      <c r="CL154" s="3" t="n">
        <v>-6.056812646046512</v>
      </c>
      <c r="CM154" s="3" t="n">
        <v>-6.056812646046512</v>
      </c>
      <c r="CN154" s="3" t="n">
        <v>-6.056812646046512</v>
      </c>
      <c r="CO154" s="3" t="n">
        <v>-6.056812646046512</v>
      </c>
      <c r="CP154" s="3" t="n">
        <v>-6.056812646046512</v>
      </c>
      <c r="CQ154" s="3" t="n">
        <v>-6.056812646046512</v>
      </c>
      <c r="CR154" s="3" t="n">
        <v>-6.056812646046512</v>
      </c>
      <c r="CS154" s="3" t="n">
        <v>-6.056812646046512</v>
      </c>
      <c r="CU154" s="20" t="inlineStr">
        <is>
          <t>egy.mit.txo.pow.nga.6</t>
        </is>
      </c>
      <c r="CV154" s="3" t="n">
        <v>-8.448182824774628</v>
      </c>
      <c r="CW154" s="3" t="n">
        <v>-6.887483512650671</v>
      </c>
      <c r="CX154" s="3" t="n">
        <v>-6.113252283677274</v>
      </c>
      <c r="CY154" s="3" t="n">
        <v>-6.125811228274167</v>
      </c>
      <c r="CZ154" s="3" t="n">
        <v>-6.155642248575572</v>
      </c>
      <c r="DA154" s="3" t="n">
        <v>-6.120112469515695</v>
      </c>
      <c r="DB154" s="3" t="n">
        <v>-6.078317543068445</v>
      </c>
      <c r="DC154" s="3" t="n">
        <v>-6.063429651417164</v>
      </c>
      <c r="DD154" s="3" t="n">
        <v>-6.05920608976997</v>
      </c>
      <c r="DE154" s="3" t="n">
        <v>-6.056812646046512</v>
      </c>
      <c r="DF154" s="3" t="n">
        <v>-6.056812646046512</v>
      </c>
      <c r="DG154" s="3" t="n">
        <v>-6.056812646046512</v>
      </c>
      <c r="DH154" s="3" t="n">
        <v>-6.056812646046512</v>
      </c>
      <c r="DI154" s="3" t="n">
        <v>-6.056812646046512</v>
      </c>
      <c r="DJ154" s="3" t="n">
        <v>-6.056812646046512</v>
      </c>
      <c r="DK154" s="3" t="n">
        <v>-6.056812646046512</v>
      </c>
      <c r="DL154" s="3" t="n">
        <v>-6.056812646046512</v>
      </c>
      <c r="DM154" s="3" t="n">
        <v>-6.056812646046512</v>
      </c>
      <c r="DN154" s="3" t="n">
        <v>-6.056812646046512</v>
      </c>
      <c r="DO154" s="3" t="n">
        <v>-6.056812646046512</v>
      </c>
    </row>
    <row r="155">
      <c r="A155" s="19" t="inlineStr">
        <is>
          <t>mit.txo.all.oop</t>
        </is>
      </c>
      <c r="B155" s="3" t="inlineStr">
        <is>
          <t>mit</t>
        </is>
      </c>
      <c r="C155" s="19" t="inlineStr">
        <is>
          <t>mit.txo.all.oop.a</t>
        </is>
      </c>
      <c r="H155" s="3" t="inlineStr">
        <is>
          <t>Excise and other taxes (before new policies) | All sectors | Other oil products</t>
        </is>
      </c>
      <c r="I155" s="3" t="inlineStr">
        <is>
          <t>USD/GJ real</t>
        </is>
      </c>
      <c r="K155" s="20" t="inlineStr">
        <is>
          <t>egy.mit.txo.all.oop.1</t>
        </is>
      </c>
      <c r="L155" s="3" t="n">
        <v>-13.8547147584737</v>
      </c>
      <c r="M155" s="3" t="n">
        <v>-11.32954683376017</v>
      </c>
      <c r="N155" s="3" t="n">
        <v>-10.9501344727272</v>
      </c>
      <c r="O155" s="3" t="n">
        <v>-8.645766111583351</v>
      </c>
      <c r="P155" s="3" t="n">
        <v>-10.2473037381144</v>
      </c>
      <c r="Q155" s="3" t="n">
        <v>-8.586618810645703</v>
      </c>
      <c r="R155" s="3" t="n">
        <v>-8.129737485570637</v>
      </c>
      <c r="S155" s="3" t="n">
        <v>-7.899432248504418</v>
      </c>
      <c r="T155" s="3" t="n">
        <v>-7.698028885459658</v>
      </c>
      <c r="U155" s="3" t="n">
        <v>-7.47922269317576</v>
      </c>
      <c r="V155" s="3" t="n">
        <v>-7.47922269317576</v>
      </c>
      <c r="W155" s="3" t="n">
        <v>-7.47922269317576</v>
      </c>
      <c r="X155" s="3" t="n">
        <v>-7.47922269317576</v>
      </c>
      <c r="Y155" s="3" t="n">
        <v>-7.47922269317576</v>
      </c>
      <c r="Z155" s="3" t="n">
        <v>-7.47922269317576</v>
      </c>
      <c r="AA155" s="3" t="n">
        <v>-7.47922269317576</v>
      </c>
      <c r="AB155" s="3" t="n">
        <v>-7.47922269317576</v>
      </c>
      <c r="AC155" s="3" t="n">
        <v>-7.47922269317576</v>
      </c>
      <c r="AD155" s="3" t="n">
        <v>-7.47922269317576</v>
      </c>
      <c r="AE155" s="3" t="n">
        <v>-7.47922269317576</v>
      </c>
      <c r="AG155" s="20" t="inlineStr">
        <is>
          <t>egy.mit.txo.all.oop.3</t>
        </is>
      </c>
      <c r="AH155" s="3" t="n">
        <v>-13.8547147584737</v>
      </c>
      <c r="AI155" s="3" t="n">
        <v>-11.32954683376017</v>
      </c>
      <c r="AJ155" s="3" t="n">
        <v>-10.9501344727272</v>
      </c>
      <c r="AK155" s="3" t="n">
        <v>-8.645766111583351</v>
      </c>
      <c r="AL155" s="3" t="n">
        <v>-10.2473037381144</v>
      </c>
      <c r="AM155" s="3" t="n">
        <v>-8.586618810645703</v>
      </c>
      <c r="AN155" s="3" t="n">
        <v>-8.129737485570637</v>
      </c>
      <c r="AO155" s="3" t="n">
        <v>-7.899432248504418</v>
      </c>
      <c r="AP155" s="3" t="n">
        <v>-7.698028885459658</v>
      </c>
      <c r="AQ155" s="3" t="n">
        <v>-7.47922269317576</v>
      </c>
      <c r="AR155" s="3" t="n">
        <v>-7.47922269317576</v>
      </c>
      <c r="AS155" s="3" t="n">
        <v>-7.47922269317576</v>
      </c>
      <c r="AT155" s="3" t="n">
        <v>-7.47922269317576</v>
      </c>
      <c r="AU155" s="3" t="n">
        <v>-7.47922269317576</v>
      </c>
      <c r="AV155" s="3" t="n">
        <v>-7.47922269317576</v>
      </c>
      <c r="AW155" s="3" t="n">
        <v>-7.47922269317576</v>
      </c>
      <c r="AX155" s="3" t="n">
        <v>-7.47922269317576</v>
      </c>
      <c r="AY155" s="3" t="n">
        <v>-7.47922269317576</v>
      </c>
      <c r="AZ155" s="3" t="n">
        <v>-7.47922269317576</v>
      </c>
      <c r="BA155" s="3" t="n">
        <v>-7.47922269317576</v>
      </c>
      <c r="BC155" s="20" t="inlineStr">
        <is>
          <t>egy.mit.txo.all.oop.4</t>
        </is>
      </c>
      <c r="BD155" s="3" t="n">
        <v>-13.8547147584737</v>
      </c>
      <c r="BE155" s="3" t="n">
        <v>-11.32954683376017</v>
      </c>
      <c r="BF155" s="3" t="n">
        <v>-10.9501344727272</v>
      </c>
      <c r="BG155" s="3" t="n">
        <v>-8.645766111583351</v>
      </c>
      <c r="BH155" s="3" t="n">
        <v>-10.2473037381144</v>
      </c>
      <c r="BI155" s="3" t="n">
        <v>-8.586618810645703</v>
      </c>
      <c r="BJ155" s="3" t="n">
        <v>-8.129737485570637</v>
      </c>
      <c r="BK155" s="3" t="n">
        <v>-7.899432248504418</v>
      </c>
      <c r="BL155" s="3" t="n">
        <v>-7.698028885459658</v>
      </c>
      <c r="BM155" s="3" t="n">
        <v>-7.47922269317576</v>
      </c>
      <c r="BN155" s="3" t="n">
        <v>-7.47922269317576</v>
      </c>
      <c r="BO155" s="3" t="n">
        <v>-7.47922269317576</v>
      </c>
      <c r="BP155" s="3" t="n">
        <v>-7.47922269317576</v>
      </c>
      <c r="BQ155" s="3" t="n">
        <v>-7.47922269317576</v>
      </c>
      <c r="BR155" s="3" t="n">
        <v>-7.47922269317576</v>
      </c>
      <c r="BS155" s="3" t="n">
        <v>-7.47922269317576</v>
      </c>
      <c r="BT155" s="3" t="n">
        <v>-7.47922269317576</v>
      </c>
      <c r="BU155" s="3" t="n">
        <v>-7.47922269317576</v>
      </c>
      <c r="BV155" s="3" t="n">
        <v>-7.47922269317576</v>
      </c>
      <c r="BW155" s="3" t="n">
        <v>-7.47922269317576</v>
      </c>
      <c r="BY155" s="20" t="inlineStr">
        <is>
          <t>egy.mit.txo.all.oop.5</t>
        </is>
      </c>
      <c r="BZ155" s="3" t="n">
        <v>-13.8547147584737</v>
      </c>
      <c r="CA155" s="3" t="n">
        <v>-11.32954683376017</v>
      </c>
      <c r="CB155" s="3" t="n">
        <v>-10.9501344727272</v>
      </c>
      <c r="CC155" s="3" t="n">
        <v>-8.645766111583351</v>
      </c>
      <c r="CD155" s="3" t="n">
        <v>-10.2473037381144</v>
      </c>
      <c r="CE155" s="3" t="n">
        <v>-8.586618810645703</v>
      </c>
      <c r="CF155" s="3" t="n">
        <v>-8.129737485570637</v>
      </c>
      <c r="CG155" s="3" t="n">
        <v>-7.899432248504418</v>
      </c>
      <c r="CH155" s="3" t="n">
        <v>-7.698028885459658</v>
      </c>
      <c r="CI155" s="3" t="n">
        <v>-7.47922269317576</v>
      </c>
      <c r="CJ155" s="3" t="n">
        <v>-7.47922269317576</v>
      </c>
      <c r="CK155" s="3" t="n">
        <v>-7.47922269317576</v>
      </c>
      <c r="CL155" s="3" t="n">
        <v>-7.47922269317576</v>
      </c>
      <c r="CM155" s="3" t="n">
        <v>-7.47922269317576</v>
      </c>
      <c r="CN155" s="3" t="n">
        <v>-7.47922269317576</v>
      </c>
      <c r="CO155" s="3" t="n">
        <v>-7.47922269317576</v>
      </c>
      <c r="CP155" s="3" t="n">
        <v>-7.47922269317576</v>
      </c>
      <c r="CQ155" s="3" t="n">
        <v>-7.47922269317576</v>
      </c>
      <c r="CR155" s="3" t="n">
        <v>-7.47922269317576</v>
      </c>
      <c r="CS155" s="3" t="n">
        <v>-7.47922269317576</v>
      </c>
      <c r="CU155" s="20" t="inlineStr">
        <is>
          <t>egy.mit.txo.all.oop.6</t>
        </is>
      </c>
      <c r="CV155" s="3" t="n">
        <v>-13.8547147584737</v>
      </c>
      <c r="CW155" s="3" t="n">
        <v>-11.32954683376017</v>
      </c>
      <c r="CX155" s="3" t="n">
        <v>-10.9501344727272</v>
      </c>
      <c r="CY155" s="3" t="n">
        <v>-8.645766111583351</v>
      </c>
      <c r="CZ155" s="3" t="n">
        <v>-10.2473037381144</v>
      </c>
      <c r="DA155" s="3" t="n">
        <v>-8.586618810645703</v>
      </c>
      <c r="DB155" s="3" t="n">
        <v>-8.129737485570637</v>
      </c>
      <c r="DC155" s="3" t="n">
        <v>-7.899432248504418</v>
      </c>
      <c r="DD155" s="3" t="n">
        <v>-7.698028885459658</v>
      </c>
      <c r="DE155" s="3" t="n">
        <v>-7.47922269317576</v>
      </c>
      <c r="DF155" s="3" t="n">
        <v>-7.47922269317576</v>
      </c>
      <c r="DG155" s="3" t="n">
        <v>-7.47922269317576</v>
      </c>
      <c r="DH155" s="3" t="n">
        <v>-7.47922269317576</v>
      </c>
      <c r="DI155" s="3" t="n">
        <v>-7.47922269317576</v>
      </c>
      <c r="DJ155" s="3" t="n">
        <v>-7.47922269317576</v>
      </c>
      <c r="DK155" s="3" t="n">
        <v>-7.47922269317576</v>
      </c>
      <c r="DL155" s="3" t="n">
        <v>-7.47922269317576</v>
      </c>
      <c r="DM155" s="3" t="n">
        <v>-7.47922269317576</v>
      </c>
      <c r="DN155" s="3" t="n">
        <v>-7.47922269317576</v>
      </c>
      <c r="DO155" s="3" t="n">
        <v>-7.47922269317576</v>
      </c>
    </row>
    <row r="156">
      <c r="A156" s="19" t="inlineStr">
        <is>
          <t>mit.txo.all.gso</t>
        </is>
      </c>
      <c r="B156" s="3" t="inlineStr">
        <is>
          <t>mit</t>
        </is>
      </c>
      <c r="C156" s="19" t="inlineStr">
        <is>
          <t>mit.txo.all.gso.a</t>
        </is>
      </c>
      <c r="H156" s="3" t="inlineStr">
        <is>
          <t>Excise and other taxes (before new policies) | All sectors | Gasoline</t>
        </is>
      </c>
      <c r="I156" s="3" t="inlineStr">
        <is>
          <t>USD/GJ real</t>
        </is>
      </c>
      <c r="K156" s="20" t="inlineStr">
        <is>
          <t>egy.mit.txo.all.gso.1</t>
        </is>
      </c>
      <c r="L156" s="3" t="n">
        <v>-10.07434101662924</v>
      </c>
      <c r="M156" s="3" t="n">
        <v>-11.5075692809627</v>
      </c>
      <c r="N156" s="3" t="n">
        <v>-12.40335981184936</v>
      </c>
      <c r="O156" s="3" t="n">
        <v>-9.459576486082895</v>
      </c>
      <c r="P156" s="3" t="n">
        <v>-11.50550796130479</v>
      </c>
      <c r="Q156" s="3" t="n">
        <v>-9.384017022066512</v>
      </c>
      <c r="R156" s="3" t="n">
        <v>-8.800360498531163</v>
      </c>
      <c r="S156" s="3" t="n">
        <v>-8.506150281039854</v>
      </c>
      <c r="T156" s="3" t="n">
        <v>-8.248861614921321</v>
      </c>
      <c r="U156" s="3" t="n">
        <v>-7.969341191328951</v>
      </c>
      <c r="V156" s="3" t="n">
        <v>-7.969341191328951</v>
      </c>
      <c r="W156" s="3" t="n">
        <v>-7.969341191328951</v>
      </c>
      <c r="X156" s="3" t="n">
        <v>-7.969341191328951</v>
      </c>
      <c r="Y156" s="3" t="n">
        <v>-7.969341191328951</v>
      </c>
      <c r="Z156" s="3" t="n">
        <v>-7.969341191328951</v>
      </c>
      <c r="AA156" s="3" t="n">
        <v>-7.969341191328951</v>
      </c>
      <c r="AB156" s="3" t="n">
        <v>-7.969341191328951</v>
      </c>
      <c r="AC156" s="3" t="n">
        <v>-7.969341191328951</v>
      </c>
      <c r="AD156" s="3" t="n">
        <v>-7.969341191328951</v>
      </c>
      <c r="AE156" s="3" t="n">
        <v>-7.969341191328951</v>
      </c>
      <c r="AG156" s="20" t="inlineStr">
        <is>
          <t>egy.mit.txo.all.gso.3</t>
        </is>
      </c>
      <c r="AH156" s="3" t="n">
        <v>-10.07434101662924</v>
      </c>
      <c r="AI156" s="3" t="n">
        <v>-11.5075692809627</v>
      </c>
      <c r="AJ156" s="3" t="n">
        <v>-12.40335981184936</v>
      </c>
      <c r="AK156" s="3" t="n">
        <v>-9.459576486082895</v>
      </c>
      <c r="AL156" s="3" t="n">
        <v>-11.50550796130479</v>
      </c>
      <c r="AM156" s="3" t="n">
        <v>-9.384017022066512</v>
      </c>
      <c r="AN156" s="3" t="n">
        <v>-8.800360498531163</v>
      </c>
      <c r="AO156" s="3" t="n">
        <v>-8.506150281039854</v>
      </c>
      <c r="AP156" s="3" t="n">
        <v>-8.248861614921321</v>
      </c>
      <c r="AQ156" s="3" t="n">
        <v>-7.969341191328951</v>
      </c>
      <c r="AR156" s="3" t="n">
        <v>-7.969341191328951</v>
      </c>
      <c r="AS156" s="3" t="n">
        <v>-7.969341191328951</v>
      </c>
      <c r="AT156" s="3" t="n">
        <v>-7.969341191328951</v>
      </c>
      <c r="AU156" s="3" t="n">
        <v>-7.969341191328951</v>
      </c>
      <c r="AV156" s="3" t="n">
        <v>-7.969341191328951</v>
      </c>
      <c r="AW156" s="3" t="n">
        <v>-7.969341191328951</v>
      </c>
      <c r="AX156" s="3" t="n">
        <v>-7.969341191328951</v>
      </c>
      <c r="AY156" s="3" t="n">
        <v>-7.969341191328951</v>
      </c>
      <c r="AZ156" s="3" t="n">
        <v>-7.969341191328951</v>
      </c>
      <c r="BA156" s="3" t="n">
        <v>-7.969341191328951</v>
      </c>
      <c r="BC156" s="20" t="inlineStr">
        <is>
          <t>egy.mit.txo.all.gso.4</t>
        </is>
      </c>
      <c r="BD156" s="3" t="n">
        <v>-10.07434101662924</v>
      </c>
      <c r="BE156" s="3" t="n">
        <v>-11.5075692809627</v>
      </c>
      <c r="BF156" s="3" t="n">
        <v>-12.40335981184936</v>
      </c>
      <c r="BG156" s="3" t="n">
        <v>-9.459576486082895</v>
      </c>
      <c r="BH156" s="3" t="n">
        <v>-11.50550796130479</v>
      </c>
      <c r="BI156" s="3" t="n">
        <v>-9.384017022066512</v>
      </c>
      <c r="BJ156" s="3" t="n">
        <v>-8.800360498531163</v>
      </c>
      <c r="BK156" s="3" t="n">
        <v>-8.506150281039854</v>
      </c>
      <c r="BL156" s="3" t="n">
        <v>-8.248861614921321</v>
      </c>
      <c r="BM156" s="3" t="n">
        <v>-7.969341191328951</v>
      </c>
      <c r="BN156" s="3" t="n">
        <v>-7.969341191328951</v>
      </c>
      <c r="BO156" s="3" t="n">
        <v>-7.969341191328951</v>
      </c>
      <c r="BP156" s="3" t="n">
        <v>-7.969341191328951</v>
      </c>
      <c r="BQ156" s="3" t="n">
        <v>-7.969341191328951</v>
      </c>
      <c r="BR156" s="3" t="n">
        <v>-7.969341191328951</v>
      </c>
      <c r="BS156" s="3" t="n">
        <v>-7.969341191328951</v>
      </c>
      <c r="BT156" s="3" t="n">
        <v>-7.969341191328951</v>
      </c>
      <c r="BU156" s="3" t="n">
        <v>-7.969341191328951</v>
      </c>
      <c r="BV156" s="3" t="n">
        <v>-7.969341191328951</v>
      </c>
      <c r="BW156" s="3" t="n">
        <v>-7.969341191328951</v>
      </c>
      <c r="BY156" s="20" t="inlineStr">
        <is>
          <t>egy.mit.txo.all.gso.5</t>
        </is>
      </c>
      <c r="BZ156" s="3" t="n">
        <v>-10.07434101662924</v>
      </c>
      <c r="CA156" s="3" t="n">
        <v>-11.5075692809627</v>
      </c>
      <c r="CB156" s="3" t="n">
        <v>-12.40335981184936</v>
      </c>
      <c r="CC156" s="3" t="n">
        <v>-9.459576486082895</v>
      </c>
      <c r="CD156" s="3" t="n">
        <v>-11.50550796130479</v>
      </c>
      <c r="CE156" s="3" t="n">
        <v>-9.384017022066512</v>
      </c>
      <c r="CF156" s="3" t="n">
        <v>-8.800360498531163</v>
      </c>
      <c r="CG156" s="3" t="n">
        <v>-8.506150281039854</v>
      </c>
      <c r="CH156" s="3" t="n">
        <v>-8.248861614921321</v>
      </c>
      <c r="CI156" s="3" t="n">
        <v>-7.969341191328951</v>
      </c>
      <c r="CJ156" s="3" t="n">
        <v>-7.969341191328951</v>
      </c>
      <c r="CK156" s="3" t="n">
        <v>-7.969341191328951</v>
      </c>
      <c r="CL156" s="3" t="n">
        <v>-7.969341191328951</v>
      </c>
      <c r="CM156" s="3" t="n">
        <v>-7.969341191328951</v>
      </c>
      <c r="CN156" s="3" t="n">
        <v>-7.969341191328951</v>
      </c>
      <c r="CO156" s="3" t="n">
        <v>-7.969341191328951</v>
      </c>
      <c r="CP156" s="3" t="n">
        <v>-7.969341191328951</v>
      </c>
      <c r="CQ156" s="3" t="n">
        <v>-7.969341191328951</v>
      </c>
      <c r="CR156" s="3" t="n">
        <v>-7.969341191328951</v>
      </c>
      <c r="CS156" s="3" t="n">
        <v>-7.969341191328951</v>
      </c>
      <c r="CU156" s="20" t="inlineStr">
        <is>
          <t>egy.mit.txo.all.gso.6</t>
        </is>
      </c>
      <c r="CV156" s="3" t="n">
        <v>-10.07434101662924</v>
      </c>
      <c r="CW156" s="3" t="n">
        <v>-11.5075692809627</v>
      </c>
      <c r="CX156" s="3" t="n">
        <v>-12.40335981184936</v>
      </c>
      <c r="CY156" s="3" t="n">
        <v>-9.459576486082895</v>
      </c>
      <c r="CZ156" s="3" t="n">
        <v>-11.50550796130479</v>
      </c>
      <c r="DA156" s="3" t="n">
        <v>-9.384017022066512</v>
      </c>
      <c r="DB156" s="3" t="n">
        <v>-8.800360498531163</v>
      </c>
      <c r="DC156" s="3" t="n">
        <v>-8.506150281039854</v>
      </c>
      <c r="DD156" s="3" t="n">
        <v>-8.248861614921321</v>
      </c>
      <c r="DE156" s="3" t="n">
        <v>-7.969341191328951</v>
      </c>
      <c r="DF156" s="3" t="n">
        <v>-7.969341191328951</v>
      </c>
      <c r="DG156" s="3" t="n">
        <v>-7.969341191328951</v>
      </c>
      <c r="DH156" s="3" t="n">
        <v>-7.969341191328951</v>
      </c>
      <c r="DI156" s="3" t="n">
        <v>-7.969341191328951</v>
      </c>
      <c r="DJ156" s="3" t="n">
        <v>-7.969341191328951</v>
      </c>
      <c r="DK156" s="3" t="n">
        <v>-7.969341191328951</v>
      </c>
      <c r="DL156" s="3" t="n">
        <v>-7.969341191328951</v>
      </c>
      <c r="DM156" s="3" t="n">
        <v>-7.969341191328951</v>
      </c>
      <c r="DN156" s="3" t="n">
        <v>-7.969341191328951</v>
      </c>
      <c r="DO156" s="3" t="n">
        <v>-7.969341191328951</v>
      </c>
    </row>
    <row r="157">
      <c r="A157" s="19" t="inlineStr">
        <is>
          <t>mit.txo.all.die</t>
        </is>
      </c>
      <c r="B157" s="3" t="inlineStr">
        <is>
          <t>mit</t>
        </is>
      </c>
      <c r="C157" s="19" t="inlineStr">
        <is>
          <t>mit.txo.all.die.a</t>
        </is>
      </c>
      <c r="H157" s="3" t="inlineStr">
        <is>
          <t>Excise and other taxes (before new policies) | All sectors | Diesel</t>
        </is>
      </c>
      <c r="I157" s="3" t="inlineStr">
        <is>
          <t>USD/GJ real</t>
        </is>
      </c>
      <c r="K157" s="20" t="inlineStr">
        <is>
          <t>egy.mit.txo.all.die.1</t>
        </is>
      </c>
      <c r="L157" s="3" t="n">
        <v>-17.52947732459919</v>
      </c>
      <c r="M157" s="3" t="n">
        <v>-15.35756002350898</v>
      </c>
      <c r="N157" s="3" t="n">
        <v>-14.18549639093265</v>
      </c>
      <c r="O157" s="3" t="n">
        <v>-11.29196081737381</v>
      </c>
      <c r="P157" s="3" t="n">
        <v>-13.30297006958394</v>
      </c>
      <c r="Q157" s="3" t="n">
        <v>-11.21769108592422</v>
      </c>
      <c r="R157" s="3" t="n">
        <v>-10.64399705796804</v>
      </c>
      <c r="S157" s="3" t="n">
        <v>-10.35480874612313</v>
      </c>
      <c r="T157" s="3" t="n">
        <v>-10.10191176774458</v>
      </c>
      <c r="U157" s="3" t="n">
        <v>-9.827162508136565</v>
      </c>
      <c r="V157" s="3" t="n">
        <v>-9.827162508136565</v>
      </c>
      <c r="W157" s="3" t="n">
        <v>-9.827162508136565</v>
      </c>
      <c r="X157" s="3" t="n">
        <v>-9.827162508136565</v>
      </c>
      <c r="Y157" s="3" t="n">
        <v>-9.827162508136565</v>
      </c>
      <c r="Z157" s="3" t="n">
        <v>-9.827162508136565</v>
      </c>
      <c r="AA157" s="3" t="n">
        <v>-9.827162508136565</v>
      </c>
      <c r="AB157" s="3" t="n">
        <v>-9.827162508136565</v>
      </c>
      <c r="AC157" s="3" t="n">
        <v>-9.827162508136565</v>
      </c>
      <c r="AD157" s="3" t="n">
        <v>-9.827162508136565</v>
      </c>
      <c r="AE157" s="3" t="n">
        <v>-9.827162508136565</v>
      </c>
      <c r="AG157" s="20" t="inlineStr">
        <is>
          <t>egy.mit.txo.all.die.3</t>
        </is>
      </c>
      <c r="AH157" s="3" t="n">
        <v>-17.52947732459919</v>
      </c>
      <c r="AI157" s="3" t="n">
        <v>-15.35756002350898</v>
      </c>
      <c r="AJ157" s="3" t="n">
        <v>-14.18549639093265</v>
      </c>
      <c r="AK157" s="3" t="n">
        <v>-11.29196081737381</v>
      </c>
      <c r="AL157" s="3" t="n">
        <v>-13.30297006958394</v>
      </c>
      <c r="AM157" s="3" t="n">
        <v>-11.21769108592422</v>
      </c>
      <c r="AN157" s="3" t="n">
        <v>-10.64399705796804</v>
      </c>
      <c r="AO157" s="3" t="n">
        <v>-10.35480874612313</v>
      </c>
      <c r="AP157" s="3" t="n">
        <v>-10.10191176774458</v>
      </c>
      <c r="AQ157" s="3" t="n">
        <v>-9.827162508136565</v>
      </c>
      <c r="AR157" s="3" t="n">
        <v>-9.827162508136565</v>
      </c>
      <c r="AS157" s="3" t="n">
        <v>-9.827162508136565</v>
      </c>
      <c r="AT157" s="3" t="n">
        <v>-9.827162508136565</v>
      </c>
      <c r="AU157" s="3" t="n">
        <v>-9.827162508136565</v>
      </c>
      <c r="AV157" s="3" t="n">
        <v>-9.827162508136565</v>
      </c>
      <c r="AW157" s="3" t="n">
        <v>-9.827162508136565</v>
      </c>
      <c r="AX157" s="3" t="n">
        <v>-9.827162508136565</v>
      </c>
      <c r="AY157" s="3" t="n">
        <v>-9.827162508136565</v>
      </c>
      <c r="AZ157" s="3" t="n">
        <v>-9.827162508136565</v>
      </c>
      <c r="BA157" s="3" t="n">
        <v>-9.827162508136565</v>
      </c>
      <c r="BC157" s="20" t="inlineStr">
        <is>
          <t>egy.mit.txo.all.die.4</t>
        </is>
      </c>
      <c r="BD157" s="3" t="n">
        <v>-17.52947732459919</v>
      </c>
      <c r="BE157" s="3" t="n">
        <v>-15.35756002350898</v>
      </c>
      <c r="BF157" s="3" t="n">
        <v>-14.18549639093265</v>
      </c>
      <c r="BG157" s="3" t="n">
        <v>-11.29196081737381</v>
      </c>
      <c r="BH157" s="3" t="n">
        <v>-13.30297006958394</v>
      </c>
      <c r="BI157" s="3" t="n">
        <v>-11.21769108592422</v>
      </c>
      <c r="BJ157" s="3" t="n">
        <v>-10.64399705796804</v>
      </c>
      <c r="BK157" s="3" t="n">
        <v>-10.35480874612313</v>
      </c>
      <c r="BL157" s="3" t="n">
        <v>-10.10191176774458</v>
      </c>
      <c r="BM157" s="3" t="n">
        <v>-9.827162508136565</v>
      </c>
      <c r="BN157" s="3" t="n">
        <v>-9.827162508136565</v>
      </c>
      <c r="BO157" s="3" t="n">
        <v>-9.827162508136565</v>
      </c>
      <c r="BP157" s="3" t="n">
        <v>-9.827162508136565</v>
      </c>
      <c r="BQ157" s="3" t="n">
        <v>-9.827162508136565</v>
      </c>
      <c r="BR157" s="3" t="n">
        <v>-9.827162508136565</v>
      </c>
      <c r="BS157" s="3" t="n">
        <v>-9.827162508136565</v>
      </c>
      <c r="BT157" s="3" t="n">
        <v>-9.827162508136565</v>
      </c>
      <c r="BU157" s="3" t="n">
        <v>-9.827162508136565</v>
      </c>
      <c r="BV157" s="3" t="n">
        <v>-9.827162508136565</v>
      </c>
      <c r="BW157" s="3" t="n">
        <v>-9.827162508136565</v>
      </c>
      <c r="BY157" s="20" t="inlineStr">
        <is>
          <t>egy.mit.txo.all.die.5</t>
        </is>
      </c>
      <c r="BZ157" s="3" t="n">
        <v>-17.52947732459919</v>
      </c>
      <c r="CA157" s="3" t="n">
        <v>-15.35756002350898</v>
      </c>
      <c r="CB157" s="3" t="n">
        <v>-14.18549639093265</v>
      </c>
      <c r="CC157" s="3" t="n">
        <v>-11.29196081737381</v>
      </c>
      <c r="CD157" s="3" t="n">
        <v>-13.30297006958394</v>
      </c>
      <c r="CE157" s="3" t="n">
        <v>-11.21769108592422</v>
      </c>
      <c r="CF157" s="3" t="n">
        <v>-10.64399705796804</v>
      </c>
      <c r="CG157" s="3" t="n">
        <v>-10.35480874612313</v>
      </c>
      <c r="CH157" s="3" t="n">
        <v>-10.10191176774458</v>
      </c>
      <c r="CI157" s="3" t="n">
        <v>-9.827162508136565</v>
      </c>
      <c r="CJ157" s="3" t="n">
        <v>-9.827162508136565</v>
      </c>
      <c r="CK157" s="3" t="n">
        <v>-9.827162508136565</v>
      </c>
      <c r="CL157" s="3" t="n">
        <v>-9.827162508136565</v>
      </c>
      <c r="CM157" s="3" t="n">
        <v>-9.827162508136565</v>
      </c>
      <c r="CN157" s="3" t="n">
        <v>-9.827162508136565</v>
      </c>
      <c r="CO157" s="3" t="n">
        <v>-9.827162508136565</v>
      </c>
      <c r="CP157" s="3" t="n">
        <v>-9.827162508136565</v>
      </c>
      <c r="CQ157" s="3" t="n">
        <v>-9.827162508136565</v>
      </c>
      <c r="CR157" s="3" t="n">
        <v>-9.827162508136565</v>
      </c>
      <c r="CS157" s="3" t="n">
        <v>-9.827162508136565</v>
      </c>
      <c r="CU157" s="20" t="inlineStr">
        <is>
          <t>egy.mit.txo.all.die.6</t>
        </is>
      </c>
      <c r="CV157" s="3" t="n">
        <v>-17.52947732459919</v>
      </c>
      <c r="CW157" s="3" t="n">
        <v>-15.35756002350898</v>
      </c>
      <c r="CX157" s="3" t="n">
        <v>-14.18549639093265</v>
      </c>
      <c r="CY157" s="3" t="n">
        <v>-11.29196081737381</v>
      </c>
      <c r="CZ157" s="3" t="n">
        <v>-13.30297006958394</v>
      </c>
      <c r="DA157" s="3" t="n">
        <v>-11.21769108592422</v>
      </c>
      <c r="DB157" s="3" t="n">
        <v>-10.64399705796804</v>
      </c>
      <c r="DC157" s="3" t="n">
        <v>-10.35480874612313</v>
      </c>
      <c r="DD157" s="3" t="n">
        <v>-10.10191176774458</v>
      </c>
      <c r="DE157" s="3" t="n">
        <v>-9.827162508136565</v>
      </c>
      <c r="DF157" s="3" t="n">
        <v>-9.827162508136565</v>
      </c>
      <c r="DG157" s="3" t="n">
        <v>-9.827162508136565</v>
      </c>
      <c r="DH157" s="3" t="n">
        <v>-9.827162508136565</v>
      </c>
      <c r="DI157" s="3" t="n">
        <v>-9.827162508136565</v>
      </c>
      <c r="DJ157" s="3" t="n">
        <v>-9.827162508136565</v>
      </c>
      <c r="DK157" s="3" t="n">
        <v>-9.827162508136565</v>
      </c>
      <c r="DL157" s="3" t="n">
        <v>-9.827162508136565</v>
      </c>
      <c r="DM157" s="3" t="n">
        <v>-9.827162508136565</v>
      </c>
      <c r="DN157" s="3" t="n">
        <v>-9.827162508136565</v>
      </c>
      <c r="DO157" s="3" t="n">
        <v>-9.827162508136565</v>
      </c>
    </row>
    <row r="158">
      <c r="A158" s="19" t="inlineStr">
        <is>
          <t>mit.txo.all.lpg</t>
        </is>
      </c>
      <c r="B158" s="3" t="inlineStr">
        <is>
          <t>mit</t>
        </is>
      </c>
      <c r="C158" s="19" t="inlineStr">
        <is>
          <t>mit.txo.all.lpg.a</t>
        </is>
      </c>
      <c r="H158" s="3" t="inlineStr">
        <is>
          <t>Excise and other taxes (before new policies) | All sectors | LPG</t>
        </is>
      </c>
      <c r="I158" s="3" t="inlineStr">
        <is>
          <t>USD/GJ real</t>
        </is>
      </c>
      <c r="K158" s="20" t="inlineStr">
        <is>
          <t>egy.mit.txo.all.lpg.1</t>
        </is>
      </c>
      <c r="L158" s="3" t="n">
        <v>-19.43695622091674</v>
      </c>
      <c r="M158" s="3" t="n">
        <v>-18.69494749902835</v>
      </c>
      <c r="N158" s="3" t="n">
        <v>-17.20716924368127</v>
      </c>
      <c r="O158" s="3" t="n">
        <v>-14.55814454382751</v>
      </c>
      <c r="P158" s="3" t="n">
        <v>-16.39921856739204</v>
      </c>
      <c r="Q158" s="3" t="n">
        <v>-14.49015078737975</v>
      </c>
      <c r="R158" s="3" t="n">
        <v>-13.96493531600217</v>
      </c>
      <c r="S158" s="3" t="n">
        <v>-13.7001841278756</v>
      </c>
      <c r="T158" s="3" t="n">
        <v>-13.46865756626531</v>
      </c>
      <c r="U158" s="3" t="n">
        <v>-13.21712529494334</v>
      </c>
      <c r="V158" s="3" t="n">
        <v>-13.21712529494334</v>
      </c>
      <c r="W158" s="3" t="n">
        <v>-13.21712529494334</v>
      </c>
      <c r="X158" s="3" t="n">
        <v>-13.21712529494334</v>
      </c>
      <c r="Y158" s="3" t="n">
        <v>-13.21712529494334</v>
      </c>
      <c r="Z158" s="3" t="n">
        <v>-13.21712529494334</v>
      </c>
      <c r="AA158" s="3" t="n">
        <v>-13.21712529494334</v>
      </c>
      <c r="AB158" s="3" t="n">
        <v>-13.21712529494334</v>
      </c>
      <c r="AC158" s="3" t="n">
        <v>-13.21712529494334</v>
      </c>
      <c r="AD158" s="3" t="n">
        <v>-13.21712529494334</v>
      </c>
      <c r="AE158" s="3" t="n">
        <v>-13.21712529494334</v>
      </c>
      <c r="AG158" s="20" t="inlineStr">
        <is>
          <t>egy.mit.txo.all.lpg.3</t>
        </is>
      </c>
      <c r="AH158" s="3" t="n">
        <v>-19.43695622091674</v>
      </c>
      <c r="AI158" s="3" t="n">
        <v>-18.69494749902835</v>
      </c>
      <c r="AJ158" s="3" t="n">
        <v>-17.20716924368127</v>
      </c>
      <c r="AK158" s="3" t="n">
        <v>-14.55814454382751</v>
      </c>
      <c r="AL158" s="3" t="n">
        <v>-16.39921856739204</v>
      </c>
      <c r="AM158" s="3" t="n">
        <v>-14.49015078737975</v>
      </c>
      <c r="AN158" s="3" t="n">
        <v>-13.96493531600217</v>
      </c>
      <c r="AO158" s="3" t="n">
        <v>-13.7001841278756</v>
      </c>
      <c r="AP158" s="3" t="n">
        <v>-13.46865756626531</v>
      </c>
      <c r="AQ158" s="3" t="n">
        <v>-13.21712529494334</v>
      </c>
      <c r="AR158" s="3" t="n">
        <v>-13.21712529494334</v>
      </c>
      <c r="AS158" s="3" t="n">
        <v>-13.21712529494334</v>
      </c>
      <c r="AT158" s="3" t="n">
        <v>-13.21712529494334</v>
      </c>
      <c r="AU158" s="3" t="n">
        <v>-13.21712529494334</v>
      </c>
      <c r="AV158" s="3" t="n">
        <v>-13.21712529494334</v>
      </c>
      <c r="AW158" s="3" t="n">
        <v>-13.21712529494334</v>
      </c>
      <c r="AX158" s="3" t="n">
        <v>-13.21712529494334</v>
      </c>
      <c r="AY158" s="3" t="n">
        <v>-13.21712529494334</v>
      </c>
      <c r="AZ158" s="3" t="n">
        <v>-13.21712529494334</v>
      </c>
      <c r="BA158" s="3" t="n">
        <v>-13.21712529494334</v>
      </c>
      <c r="BC158" s="20" t="inlineStr">
        <is>
          <t>egy.mit.txo.all.lpg.4</t>
        </is>
      </c>
      <c r="BD158" s="3" t="n">
        <v>-19.43695622091674</v>
      </c>
      <c r="BE158" s="3" t="n">
        <v>-18.69494749902835</v>
      </c>
      <c r="BF158" s="3" t="n">
        <v>-17.20716924368127</v>
      </c>
      <c r="BG158" s="3" t="n">
        <v>-14.55814454382751</v>
      </c>
      <c r="BH158" s="3" t="n">
        <v>-16.39921856739204</v>
      </c>
      <c r="BI158" s="3" t="n">
        <v>-14.49015078737975</v>
      </c>
      <c r="BJ158" s="3" t="n">
        <v>-13.96493531600217</v>
      </c>
      <c r="BK158" s="3" t="n">
        <v>-13.7001841278756</v>
      </c>
      <c r="BL158" s="3" t="n">
        <v>-13.46865756626531</v>
      </c>
      <c r="BM158" s="3" t="n">
        <v>-13.21712529494334</v>
      </c>
      <c r="BN158" s="3" t="n">
        <v>-13.21712529494334</v>
      </c>
      <c r="BO158" s="3" t="n">
        <v>-13.21712529494334</v>
      </c>
      <c r="BP158" s="3" t="n">
        <v>-13.21712529494334</v>
      </c>
      <c r="BQ158" s="3" t="n">
        <v>-13.21712529494334</v>
      </c>
      <c r="BR158" s="3" t="n">
        <v>-13.21712529494334</v>
      </c>
      <c r="BS158" s="3" t="n">
        <v>-13.21712529494334</v>
      </c>
      <c r="BT158" s="3" t="n">
        <v>-13.21712529494334</v>
      </c>
      <c r="BU158" s="3" t="n">
        <v>-13.21712529494334</v>
      </c>
      <c r="BV158" s="3" t="n">
        <v>-13.21712529494334</v>
      </c>
      <c r="BW158" s="3" t="n">
        <v>-13.21712529494334</v>
      </c>
      <c r="BY158" s="20" t="inlineStr">
        <is>
          <t>egy.mit.txo.all.lpg.5</t>
        </is>
      </c>
      <c r="BZ158" s="3" t="n">
        <v>-19.43695622091674</v>
      </c>
      <c r="CA158" s="3" t="n">
        <v>-18.69494749902835</v>
      </c>
      <c r="CB158" s="3" t="n">
        <v>-17.20716924368127</v>
      </c>
      <c r="CC158" s="3" t="n">
        <v>-14.55814454382751</v>
      </c>
      <c r="CD158" s="3" t="n">
        <v>-16.39921856739204</v>
      </c>
      <c r="CE158" s="3" t="n">
        <v>-14.49015078737975</v>
      </c>
      <c r="CF158" s="3" t="n">
        <v>-13.96493531600217</v>
      </c>
      <c r="CG158" s="3" t="n">
        <v>-13.7001841278756</v>
      </c>
      <c r="CH158" s="3" t="n">
        <v>-13.46865756626531</v>
      </c>
      <c r="CI158" s="3" t="n">
        <v>-13.21712529494334</v>
      </c>
      <c r="CJ158" s="3" t="n">
        <v>-13.21712529494334</v>
      </c>
      <c r="CK158" s="3" t="n">
        <v>-13.21712529494334</v>
      </c>
      <c r="CL158" s="3" t="n">
        <v>-13.21712529494334</v>
      </c>
      <c r="CM158" s="3" t="n">
        <v>-13.21712529494334</v>
      </c>
      <c r="CN158" s="3" t="n">
        <v>-13.21712529494334</v>
      </c>
      <c r="CO158" s="3" t="n">
        <v>-13.21712529494334</v>
      </c>
      <c r="CP158" s="3" t="n">
        <v>-13.21712529494334</v>
      </c>
      <c r="CQ158" s="3" t="n">
        <v>-13.21712529494334</v>
      </c>
      <c r="CR158" s="3" t="n">
        <v>-13.21712529494334</v>
      </c>
      <c r="CS158" s="3" t="n">
        <v>-13.21712529494334</v>
      </c>
      <c r="CU158" s="20" t="inlineStr">
        <is>
          <t>egy.mit.txo.all.lpg.6</t>
        </is>
      </c>
      <c r="CV158" s="3" t="n">
        <v>-19.43695622091674</v>
      </c>
      <c r="CW158" s="3" t="n">
        <v>-18.69494749902835</v>
      </c>
      <c r="CX158" s="3" t="n">
        <v>-17.20716924368127</v>
      </c>
      <c r="CY158" s="3" t="n">
        <v>-14.55814454382751</v>
      </c>
      <c r="CZ158" s="3" t="n">
        <v>-16.39921856739204</v>
      </c>
      <c r="DA158" s="3" t="n">
        <v>-14.49015078737975</v>
      </c>
      <c r="DB158" s="3" t="n">
        <v>-13.96493531600217</v>
      </c>
      <c r="DC158" s="3" t="n">
        <v>-13.7001841278756</v>
      </c>
      <c r="DD158" s="3" t="n">
        <v>-13.46865756626531</v>
      </c>
      <c r="DE158" s="3" t="n">
        <v>-13.21712529494334</v>
      </c>
      <c r="DF158" s="3" t="n">
        <v>-13.21712529494334</v>
      </c>
      <c r="DG158" s="3" t="n">
        <v>-13.21712529494334</v>
      </c>
      <c r="DH158" s="3" t="n">
        <v>-13.21712529494334</v>
      </c>
      <c r="DI158" s="3" t="n">
        <v>-13.21712529494334</v>
      </c>
      <c r="DJ158" s="3" t="n">
        <v>-13.21712529494334</v>
      </c>
      <c r="DK158" s="3" t="n">
        <v>-13.21712529494334</v>
      </c>
      <c r="DL158" s="3" t="n">
        <v>-13.21712529494334</v>
      </c>
      <c r="DM158" s="3" t="n">
        <v>-13.21712529494334</v>
      </c>
      <c r="DN158" s="3" t="n">
        <v>-13.21712529494334</v>
      </c>
      <c r="DO158" s="3" t="n">
        <v>-13.21712529494334</v>
      </c>
    </row>
    <row r="159">
      <c r="A159" s="19" t="inlineStr">
        <is>
          <t>mit.txo.all.ker</t>
        </is>
      </c>
      <c r="B159" s="3" t="inlineStr">
        <is>
          <t>mit</t>
        </is>
      </c>
      <c r="C159" s="19" t="inlineStr">
        <is>
          <t>mit.txo.all.ker.a</t>
        </is>
      </c>
      <c r="H159" s="3" t="inlineStr">
        <is>
          <t>Excise and other taxes (before new policies) | All sectors | Kerosene</t>
        </is>
      </c>
      <c r="I159" s="3" t="inlineStr">
        <is>
          <t>USD/GJ real</t>
        </is>
      </c>
      <c r="K159" s="20" t="inlineStr">
        <is>
          <t>egy.mit.txo.all.ker.1</t>
        </is>
      </c>
      <c r="L159" s="3" t="n">
        <v>-9.631640312446423</v>
      </c>
      <c r="M159" s="3" t="n">
        <v>-11.6872879487947</v>
      </c>
      <c r="N159" s="3" t="n">
        <v>-11.61131889804867</v>
      </c>
      <c r="O159" s="3" t="n">
        <v>-9.089625339197394</v>
      </c>
      <c r="P159" s="3" t="n">
        <v>-10.84220413049647</v>
      </c>
      <c r="Q159" s="3" t="n">
        <v>-9.024899850723898</v>
      </c>
      <c r="R159" s="3" t="n">
        <v>-8.52493000474435</v>
      </c>
      <c r="S159" s="3" t="n">
        <v>-8.272904659026047</v>
      </c>
      <c r="T159" s="3" t="n">
        <v>-8.052506925796949</v>
      </c>
      <c r="U159" s="3" t="n">
        <v>-7.813065100860074</v>
      </c>
      <c r="V159" s="3" t="n">
        <v>-7.813065100860074</v>
      </c>
      <c r="W159" s="3" t="n">
        <v>-7.813065100860074</v>
      </c>
      <c r="X159" s="3" t="n">
        <v>-7.813065100860074</v>
      </c>
      <c r="Y159" s="3" t="n">
        <v>-7.813065100860074</v>
      </c>
      <c r="Z159" s="3" t="n">
        <v>-7.813065100860074</v>
      </c>
      <c r="AA159" s="3" t="n">
        <v>-7.813065100860074</v>
      </c>
      <c r="AB159" s="3" t="n">
        <v>-7.813065100860074</v>
      </c>
      <c r="AC159" s="3" t="n">
        <v>-7.813065100860074</v>
      </c>
      <c r="AD159" s="3" t="n">
        <v>-7.813065100860074</v>
      </c>
      <c r="AE159" s="3" t="n">
        <v>-7.813065100860074</v>
      </c>
      <c r="AG159" s="20" t="inlineStr">
        <is>
          <t>egy.mit.txo.all.ker.3</t>
        </is>
      </c>
      <c r="AH159" s="3" t="n">
        <v>-9.631640312446423</v>
      </c>
      <c r="AI159" s="3" t="n">
        <v>-11.6872879487947</v>
      </c>
      <c r="AJ159" s="3" t="n">
        <v>-11.61131889804867</v>
      </c>
      <c r="AK159" s="3" t="n">
        <v>-9.089625339197394</v>
      </c>
      <c r="AL159" s="3" t="n">
        <v>-10.84220413049647</v>
      </c>
      <c r="AM159" s="3" t="n">
        <v>-9.024899850723898</v>
      </c>
      <c r="AN159" s="3" t="n">
        <v>-8.52493000474435</v>
      </c>
      <c r="AO159" s="3" t="n">
        <v>-8.272904659026047</v>
      </c>
      <c r="AP159" s="3" t="n">
        <v>-8.052506925796949</v>
      </c>
      <c r="AQ159" s="3" t="n">
        <v>-7.813065100860074</v>
      </c>
      <c r="AR159" s="3" t="n">
        <v>-7.813065100860074</v>
      </c>
      <c r="AS159" s="3" t="n">
        <v>-7.813065100860074</v>
      </c>
      <c r="AT159" s="3" t="n">
        <v>-7.813065100860074</v>
      </c>
      <c r="AU159" s="3" t="n">
        <v>-7.813065100860074</v>
      </c>
      <c r="AV159" s="3" t="n">
        <v>-7.813065100860074</v>
      </c>
      <c r="AW159" s="3" t="n">
        <v>-7.813065100860074</v>
      </c>
      <c r="AX159" s="3" t="n">
        <v>-7.813065100860074</v>
      </c>
      <c r="AY159" s="3" t="n">
        <v>-7.813065100860074</v>
      </c>
      <c r="AZ159" s="3" t="n">
        <v>-7.813065100860074</v>
      </c>
      <c r="BA159" s="3" t="n">
        <v>-7.813065100860074</v>
      </c>
      <c r="BC159" s="20" t="inlineStr">
        <is>
          <t>egy.mit.txo.all.ker.4</t>
        </is>
      </c>
      <c r="BD159" s="3" t="n">
        <v>-9.631640312446423</v>
      </c>
      <c r="BE159" s="3" t="n">
        <v>-11.6872879487947</v>
      </c>
      <c r="BF159" s="3" t="n">
        <v>-11.61131889804867</v>
      </c>
      <c r="BG159" s="3" t="n">
        <v>-9.089625339197394</v>
      </c>
      <c r="BH159" s="3" t="n">
        <v>-10.84220413049647</v>
      </c>
      <c r="BI159" s="3" t="n">
        <v>-9.024899850723898</v>
      </c>
      <c r="BJ159" s="3" t="n">
        <v>-8.52493000474435</v>
      </c>
      <c r="BK159" s="3" t="n">
        <v>-8.272904659026047</v>
      </c>
      <c r="BL159" s="3" t="n">
        <v>-8.052506925796949</v>
      </c>
      <c r="BM159" s="3" t="n">
        <v>-7.813065100860074</v>
      </c>
      <c r="BN159" s="3" t="n">
        <v>-7.813065100860074</v>
      </c>
      <c r="BO159" s="3" t="n">
        <v>-7.813065100860074</v>
      </c>
      <c r="BP159" s="3" t="n">
        <v>-7.813065100860074</v>
      </c>
      <c r="BQ159" s="3" t="n">
        <v>-7.813065100860074</v>
      </c>
      <c r="BR159" s="3" t="n">
        <v>-7.813065100860074</v>
      </c>
      <c r="BS159" s="3" t="n">
        <v>-7.813065100860074</v>
      </c>
      <c r="BT159" s="3" t="n">
        <v>-7.813065100860074</v>
      </c>
      <c r="BU159" s="3" t="n">
        <v>-7.813065100860074</v>
      </c>
      <c r="BV159" s="3" t="n">
        <v>-7.813065100860074</v>
      </c>
      <c r="BW159" s="3" t="n">
        <v>-7.813065100860074</v>
      </c>
      <c r="BY159" s="20" t="inlineStr">
        <is>
          <t>egy.mit.txo.all.ker.5</t>
        </is>
      </c>
      <c r="BZ159" s="3" t="n">
        <v>-9.631640312446423</v>
      </c>
      <c r="CA159" s="3" t="n">
        <v>-11.6872879487947</v>
      </c>
      <c r="CB159" s="3" t="n">
        <v>-11.61131889804867</v>
      </c>
      <c r="CC159" s="3" t="n">
        <v>-9.089625339197394</v>
      </c>
      <c r="CD159" s="3" t="n">
        <v>-10.84220413049647</v>
      </c>
      <c r="CE159" s="3" t="n">
        <v>-9.024899850723898</v>
      </c>
      <c r="CF159" s="3" t="n">
        <v>-8.52493000474435</v>
      </c>
      <c r="CG159" s="3" t="n">
        <v>-8.272904659026047</v>
      </c>
      <c r="CH159" s="3" t="n">
        <v>-8.052506925796949</v>
      </c>
      <c r="CI159" s="3" t="n">
        <v>-7.813065100860074</v>
      </c>
      <c r="CJ159" s="3" t="n">
        <v>-7.813065100860074</v>
      </c>
      <c r="CK159" s="3" t="n">
        <v>-7.813065100860074</v>
      </c>
      <c r="CL159" s="3" t="n">
        <v>-7.813065100860074</v>
      </c>
      <c r="CM159" s="3" t="n">
        <v>-7.813065100860074</v>
      </c>
      <c r="CN159" s="3" t="n">
        <v>-7.813065100860074</v>
      </c>
      <c r="CO159" s="3" t="n">
        <v>-7.813065100860074</v>
      </c>
      <c r="CP159" s="3" t="n">
        <v>-7.813065100860074</v>
      </c>
      <c r="CQ159" s="3" t="n">
        <v>-7.813065100860074</v>
      </c>
      <c r="CR159" s="3" t="n">
        <v>-7.813065100860074</v>
      </c>
      <c r="CS159" s="3" t="n">
        <v>-7.813065100860074</v>
      </c>
      <c r="CU159" s="20" t="inlineStr">
        <is>
          <t>egy.mit.txo.all.ker.6</t>
        </is>
      </c>
      <c r="CV159" s="3" t="n">
        <v>-9.631640312446423</v>
      </c>
      <c r="CW159" s="3" t="n">
        <v>-11.6872879487947</v>
      </c>
      <c r="CX159" s="3" t="n">
        <v>-11.61131889804867</v>
      </c>
      <c r="CY159" s="3" t="n">
        <v>-9.089625339197394</v>
      </c>
      <c r="CZ159" s="3" t="n">
        <v>-10.84220413049647</v>
      </c>
      <c r="DA159" s="3" t="n">
        <v>-9.024899850723898</v>
      </c>
      <c r="DB159" s="3" t="n">
        <v>-8.52493000474435</v>
      </c>
      <c r="DC159" s="3" t="n">
        <v>-8.272904659026047</v>
      </c>
      <c r="DD159" s="3" t="n">
        <v>-8.052506925796949</v>
      </c>
      <c r="DE159" s="3" t="n">
        <v>-7.813065100860074</v>
      </c>
      <c r="DF159" s="3" t="n">
        <v>-7.813065100860074</v>
      </c>
      <c r="DG159" s="3" t="n">
        <v>-7.813065100860074</v>
      </c>
      <c r="DH159" s="3" t="n">
        <v>-7.813065100860074</v>
      </c>
      <c r="DI159" s="3" t="n">
        <v>-7.813065100860074</v>
      </c>
      <c r="DJ159" s="3" t="n">
        <v>-7.813065100860074</v>
      </c>
      <c r="DK159" s="3" t="n">
        <v>-7.813065100860074</v>
      </c>
      <c r="DL159" s="3" t="n">
        <v>-7.813065100860074</v>
      </c>
      <c r="DM159" s="3" t="n">
        <v>-7.813065100860074</v>
      </c>
      <c r="DN159" s="3" t="n">
        <v>-7.813065100860074</v>
      </c>
      <c r="DO159" s="3" t="n">
        <v>-7.813065100860074</v>
      </c>
    </row>
    <row r="160">
      <c r="A160" s="14" t="n"/>
      <c r="B160" s="3" t="inlineStr">
        <is>
          <t>c</t>
        </is>
      </c>
      <c r="C160" s="19" t="inlineStr">
        <is>
          <t>mit.vat.ind.ecy.t</t>
        </is>
      </c>
      <c r="H160" s="14" t="inlineStr">
        <is>
          <t>Electricity, VAT in industry, ($/kWh)</t>
        </is>
      </c>
      <c r="I160" s="14" t="inlineStr">
        <is>
          <t>usdkwh</t>
        </is>
      </c>
    </row>
    <row r="161">
      <c r="A161" s="14" t="n"/>
      <c r="B161" s="3" t="inlineStr">
        <is>
          <t>mit</t>
        </is>
      </c>
      <c r="C161" s="19" t="inlineStr">
        <is>
          <t>mit.vat.res.ecy.t</t>
        </is>
      </c>
      <c r="H161" s="14" t="inlineStr">
        <is>
          <t>Electricity, VAT in residential use, ($/kWh)</t>
        </is>
      </c>
      <c r="I161" s="14" t="inlineStr">
        <is>
          <t>usdkwh</t>
        </is>
      </c>
    </row>
    <row r="162">
      <c r="A162" s="19" t="inlineStr">
        <is>
          <t>mit.vat.ind.coa</t>
        </is>
      </c>
      <c r="B162" s="3" t="inlineStr">
        <is>
          <t>mit</t>
        </is>
      </c>
      <c r="C162" s="19" t="inlineStr">
        <is>
          <t>mit.vat.ind.coa.a</t>
        </is>
      </c>
      <c r="H162" s="3" t="inlineStr">
        <is>
          <t>VAT payment before new policies | Industry | Coal</t>
        </is>
      </c>
      <c r="I162" s="3" t="inlineStr">
        <is>
          <t>USD/GJ real</t>
        </is>
      </c>
      <c r="K162" s="20" t="inlineStr">
        <is>
          <t>egy.mit.vat.ind.coa.1</t>
        </is>
      </c>
      <c r="L162" s="3" t="n">
        <v>0</v>
      </c>
      <c r="M162" s="3" t="n">
        <v>0</v>
      </c>
      <c r="N162" s="3" t="n">
        <v>0</v>
      </c>
      <c r="O162" s="3" t="n">
        <v>0</v>
      </c>
      <c r="P162" s="3" t="n">
        <v>0</v>
      </c>
      <c r="Q162" s="3" t="n">
        <v>0</v>
      </c>
      <c r="R162" s="3" t="n">
        <v>0</v>
      </c>
      <c r="S162" s="3" t="n">
        <v>0</v>
      </c>
      <c r="T162" s="3" t="n">
        <v>0</v>
      </c>
      <c r="U162" s="3" t="n">
        <v>0</v>
      </c>
      <c r="V162" s="3" t="n">
        <v>0</v>
      </c>
      <c r="W162" s="3" t="n">
        <v>0</v>
      </c>
      <c r="X162" s="3" t="n">
        <v>0</v>
      </c>
      <c r="Y162" s="3" t="n">
        <v>0</v>
      </c>
      <c r="Z162" s="3" t="n">
        <v>0</v>
      </c>
      <c r="AA162" s="3" t="n">
        <v>0</v>
      </c>
      <c r="AB162" s="3" t="n">
        <v>0</v>
      </c>
      <c r="AC162" s="3" t="n">
        <v>0</v>
      </c>
      <c r="AD162" s="3" t="n">
        <v>0</v>
      </c>
      <c r="AE162" s="3" t="n">
        <v>0</v>
      </c>
      <c r="AG162" s="20" t="inlineStr">
        <is>
          <t>egy.mit.vat.ind.coa.3</t>
        </is>
      </c>
      <c r="AH162" s="3" t="n">
        <v>0</v>
      </c>
      <c r="AI162" s="3" t="n">
        <v>0</v>
      </c>
      <c r="AJ162" s="3" t="n">
        <v>0</v>
      </c>
      <c r="AK162" s="3" t="n">
        <v>0</v>
      </c>
      <c r="AL162" s="3" t="n">
        <v>0</v>
      </c>
      <c r="AM162" s="3" t="n">
        <v>0</v>
      </c>
      <c r="AN162" s="3" t="n">
        <v>0</v>
      </c>
      <c r="AO162" s="3" t="n">
        <v>0</v>
      </c>
      <c r="AP162" s="3" t="n">
        <v>0</v>
      </c>
      <c r="AQ162" s="3" t="n">
        <v>0</v>
      </c>
      <c r="AR162" s="3" t="n">
        <v>0</v>
      </c>
      <c r="AS162" s="3" t="n">
        <v>0</v>
      </c>
      <c r="AT162" s="3" t="n">
        <v>0</v>
      </c>
      <c r="AU162" s="3" t="n">
        <v>0</v>
      </c>
      <c r="AV162" s="3" t="n">
        <v>0</v>
      </c>
      <c r="AW162" s="3" t="n">
        <v>0</v>
      </c>
      <c r="AX162" s="3" t="n">
        <v>0</v>
      </c>
      <c r="AY162" s="3" t="n">
        <v>0</v>
      </c>
      <c r="AZ162" s="3" t="n">
        <v>0</v>
      </c>
      <c r="BA162" s="3" t="n">
        <v>0</v>
      </c>
      <c r="BC162" s="20" t="inlineStr">
        <is>
          <t>egy.mit.vat.ind.coa.4</t>
        </is>
      </c>
      <c r="BD162" s="3" t="n">
        <v>0</v>
      </c>
      <c r="BE162" s="3" t="n">
        <v>0</v>
      </c>
      <c r="BF162" s="3" t="n">
        <v>0</v>
      </c>
      <c r="BG162" s="3" t="n">
        <v>0</v>
      </c>
      <c r="BH162" s="3" t="n">
        <v>0</v>
      </c>
      <c r="BI162" s="3" t="n">
        <v>0</v>
      </c>
      <c r="BJ162" s="3" t="n">
        <v>0</v>
      </c>
      <c r="BK162" s="3" t="n">
        <v>0</v>
      </c>
      <c r="BL162" s="3" t="n">
        <v>0</v>
      </c>
      <c r="BM162" s="3" t="n">
        <v>0</v>
      </c>
      <c r="BN162" s="3" t="n">
        <v>0</v>
      </c>
      <c r="BO162" s="3" t="n">
        <v>0</v>
      </c>
      <c r="BP162" s="3" t="n">
        <v>0</v>
      </c>
      <c r="BQ162" s="3" t="n">
        <v>0</v>
      </c>
      <c r="BR162" s="3" t="n">
        <v>0</v>
      </c>
      <c r="BS162" s="3" t="n">
        <v>0</v>
      </c>
      <c r="BT162" s="3" t="n">
        <v>0</v>
      </c>
      <c r="BU162" s="3" t="n">
        <v>0</v>
      </c>
      <c r="BV162" s="3" t="n">
        <v>0</v>
      </c>
      <c r="BW162" s="3" t="n">
        <v>0</v>
      </c>
      <c r="BY162" s="20" t="inlineStr">
        <is>
          <t>egy.mit.vat.ind.coa.5</t>
        </is>
      </c>
      <c r="BZ162" s="3" t="n">
        <v>0</v>
      </c>
      <c r="CA162" s="3" t="n">
        <v>0</v>
      </c>
      <c r="CB162" s="3" t="n">
        <v>0</v>
      </c>
      <c r="CC162" s="3" t="n">
        <v>0</v>
      </c>
      <c r="CD162" s="3" t="n">
        <v>0</v>
      </c>
      <c r="CE162" s="3" t="n">
        <v>0</v>
      </c>
      <c r="CF162" s="3" t="n">
        <v>0</v>
      </c>
      <c r="CG162" s="3" t="n">
        <v>0</v>
      </c>
      <c r="CH162" s="3" t="n">
        <v>0</v>
      </c>
      <c r="CI162" s="3" t="n">
        <v>0</v>
      </c>
      <c r="CJ162" s="3" t="n">
        <v>0</v>
      </c>
      <c r="CK162" s="3" t="n">
        <v>0</v>
      </c>
      <c r="CL162" s="3" t="n">
        <v>0</v>
      </c>
      <c r="CM162" s="3" t="n">
        <v>0</v>
      </c>
      <c r="CN162" s="3" t="n">
        <v>0</v>
      </c>
      <c r="CO162" s="3" t="n">
        <v>0</v>
      </c>
      <c r="CP162" s="3" t="n">
        <v>0</v>
      </c>
      <c r="CQ162" s="3" t="n">
        <v>0</v>
      </c>
      <c r="CR162" s="3" t="n">
        <v>0</v>
      </c>
      <c r="CS162" s="3" t="n">
        <v>0</v>
      </c>
      <c r="CU162" s="20" t="inlineStr">
        <is>
          <t>egy.mit.vat.ind.coa.6</t>
        </is>
      </c>
      <c r="CV162" s="3" t="n">
        <v>0</v>
      </c>
      <c r="CW162" s="3" t="n">
        <v>0</v>
      </c>
      <c r="CX162" s="3" t="n">
        <v>0</v>
      </c>
      <c r="CY162" s="3" t="n">
        <v>0</v>
      </c>
      <c r="CZ162" s="3" t="n">
        <v>0</v>
      </c>
      <c r="DA162" s="3" t="n">
        <v>0</v>
      </c>
      <c r="DB162" s="3" t="n">
        <v>0</v>
      </c>
      <c r="DC162" s="3" t="n">
        <v>0</v>
      </c>
      <c r="DD162" s="3" t="n">
        <v>0</v>
      </c>
      <c r="DE162" s="3" t="n">
        <v>0</v>
      </c>
      <c r="DF162" s="3" t="n">
        <v>0</v>
      </c>
      <c r="DG162" s="3" t="n">
        <v>0</v>
      </c>
      <c r="DH162" s="3" t="n">
        <v>0</v>
      </c>
      <c r="DI162" s="3" t="n">
        <v>0</v>
      </c>
      <c r="DJ162" s="3" t="n">
        <v>0</v>
      </c>
      <c r="DK162" s="3" t="n">
        <v>0</v>
      </c>
      <c r="DL162" s="3" t="n">
        <v>0</v>
      </c>
      <c r="DM162" s="3" t="n">
        <v>0</v>
      </c>
      <c r="DN162" s="3" t="n">
        <v>0</v>
      </c>
      <c r="DO162" s="3" t="n">
        <v>0</v>
      </c>
    </row>
    <row r="163">
      <c r="A163" s="19" t="inlineStr">
        <is>
          <t>mit.vat.ind.nga</t>
        </is>
      </c>
      <c r="B163" s="3" t="inlineStr">
        <is>
          <t>mit</t>
        </is>
      </c>
      <c r="C163" s="19" t="inlineStr">
        <is>
          <t>mit.vat.ind.nga.a</t>
        </is>
      </c>
      <c r="H163" s="3" t="inlineStr">
        <is>
          <t>VAT payment before new policies | Industry | Natural gas</t>
        </is>
      </c>
      <c r="I163" s="3" t="inlineStr">
        <is>
          <t>USD/GJ real</t>
        </is>
      </c>
      <c r="K163" s="20" t="inlineStr">
        <is>
          <t>egy.mit.vat.ind.nga.1</t>
        </is>
      </c>
      <c r="L163" s="3" t="n">
        <v>0</v>
      </c>
      <c r="M163" s="3" t="n">
        <v>0</v>
      </c>
      <c r="N163" s="3" t="n">
        <v>0</v>
      </c>
      <c r="O163" s="3" t="n">
        <v>0</v>
      </c>
      <c r="P163" s="3" t="n">
        <v>0</v>
      </c>
      <c r="Q163" s="3" t="n">
        <v>0</v>
      </c>
      <c r="R163" s="3" t="n">
        <v>0</v>
      </c>
      <c r="S163" s="3" t="n">
        <v>0</v>
      </c>
      <c r="T163" s="3" t="n">
        <v>0</v>
      </c>
      <c r="U163" s="3" t="n">
        <v>0</v>
      </c>
      <c r="V163" s="3" t="n">
        <v>0</v>
      </c>
      <c r="W163" s="3" t="n">
        <v>0</v>
      </c>
      <c r="X163" s="3" t="n">
        <v>0</v>
      </c>
      <c r="Y163" s="3" t="n">
        <v>0</v>
      </c>
      <c r="Z163" s="3" t="n">
        <v>0</v>
      </c>
      <c r="AA163" s="3" t="n">
        <v>0</v>
      </c>
      <c r="AB163" s="3" t="n">
        <v>0</v>
      </c>
      <c r="AC163" s="3" t="n">
        <v>0</v>
      </c>
      <c r="AD163" s="3" t="n">
        <v>0</v>
      </c>
      <c r="AE163" s="3" t="n">
        <v>0</v>
      </c>
      <c r="AG163" s="20" t="inlineStr">
        <is>
          <t>egy.mit.vat.ind.nga.3</t>
        </is>
      </c>
      <c r="AH163" s="3" t="n">
        <v>0</v>
      </c>
      <c r="AI163" s="3" t="n">
        <v>0</v>
      </c>
      <c r="AJ163" s="3" t="n">
        <v>0</v>
      </c>
      <c r="AK163" s="3" t="n">
        <v>0</v>
      </c>
      <c r="AL163" s="3" t="n">
        <v>0</v>
      </c>
      <c r="AM163" s="3" t="n">
        <v>0</v>
      </c>
      <c r="AN163" s="3" t="n">
        <v>0</v>
      </c>
      <c r="AO163" s="3" t="n">
        <v>0</v>
      </c>
      <c r="AP163" s="3" t="n">
        <v>0</v>
      </c>
      <c r="AQ163" s="3" t="n">
        <v>0</v>
      </c>
      <c r="AR163" s="3" t="n">
        <v>0</v>
      </c>
      <c r="AS163" s="3" t="n">
        <v>0</v>
      </c>
      <c r="AT163" s="3" t="n">
        <v>0</v>
      </c>
      <c r="AU163" s="3" t="n">
        <v>0</v>
      </c>
      <c r="AV163" s="3" t="n">
        <v>0</v>
      </c>
      <c r="AW163" s="3" t="n">
        <v>0</v>
      </c>
      <c r="AX163" s="3" t="n">
        <v>0</v>
      </c>
      <c r="AY163" s="3" t="n">
        <v>0</v>
      </c>
      <c r="AZ163" s="3" t="n">
        <v>0</v>
      </c>
      <c r="BA163" s="3" t="n">
        <v>0</v>
      </c>
      <c r="BC163" s="20" t="inlineStr">
        <is>
          <t>egy.mit.vat.ind.nga.4</t>
        </is>
      </c>
      <c r="BD163" s="3" t="n">
        <v>0</v>
      </c>
      <c r="BE163" s="3" t="n">
        <v>0</v>
      </c>
      <c r="BF163" s="3" t="n">
        <v>0</v>
      </c>
      <c r="BG163" s="3" t="n">
        <v>0</v>
      </c>
      <c r="BH163" s="3" t="n">
        <v>0</v>
      </c>
      <c r="BI163" s="3" t="n">
        <v>0</v>
      </c>
      <c r="BJ163" s="3" t="n">
        <v>0</v>
      </c>
      <c r="BK163" s="3" t="n">
        <v>0</v>
      </c>
      <c r="BL163" s="3" t="n">
        <v>0</v>
      </c>
      <c r="BM163" s="3" t="n">
        <v>0</v>
      </c>
      <c r="BN163" s="3" t="n">
        <v>0</v>
      </c>
      <c r="BO163" s="3" t="n">
        <v>0</v>
      </c>
      <c r="BP163" s="3" t="n">
        <v>0</v>
      </c>
      <c r="BQ163" s="3" t="n">
        <v>0</v>
      </c>
      <c r="BR163" s="3" t="n">
        <v>0</v>
      </c>
      <c r="BS163" s="3" t="n">
        <v>0</v>
      </c>
      <c r="BT163" s="3" t="n">
        <v>0</v>
      </c>
      <c r="BU163" s="3" t="n">
        <v>0</v>
      </c>
      <c r="BV163" s="3" t="n">
        <v>0</v>
      </c>
      <c r="BW163" s="3" t="n">
        <v>0</v>
      </c>
      <c r="BY163" s="20" t="inlineStr">
        <is>
          <t>egy.mit.vat.ind.nga.5</t>
        </is>
      </c>
      <c r="BZ163" s="3" t="n">
        <v>0</v>
      </c>
      <c r="CA163" s="3" t="n">
        <v>0</v>
      </c>
      <c r="CB163" s="3" t="n">
        <v>0</v>
      </c>
      <c r="CC163" s="3" t="n">
        <v>0</v>
      </c>
      <c r="CD163" s="3" t="n">
        <v>0</v>
      </c>
      <c r="CE163" s="3" t="n">
        <v>0</v>
      </c>
      <c r="CF163" s="3" t="n">
        <v>0</v>
      </c>
      <c r="CG163" s="3" t="n">
        <v>0</v>
      </c>
      <c r="CH163" s="3" t="n">
        <v>0</v>
      </c>
      <c r="CI163" s="3" t="n">
        <v>0</v>
      </c>
      <c r="CJ163" s="3" t="n">
        <v>0</v>
      </c>
      <c r="CK163" s="3" t="n">
        <v>0</v>
      </c>
      <c r="CL163" s="3" t="n">
        <v>0</v>
      </c>
      <c r="CM163" s="3" t="n">
        <v>0</v>
      </c>
      <c r="CN163" s="3" t="n">
        <v>0</v>
      </c>
      <c r="CO163" s="3" t="n">
        <v>0</v>
      </c>
      <c r="CP163" s="3" t="n">
        <v>0</v>
      </c>
      <c r="CQ163" s="3" t="n">
        <v>0</v>
      </c>
      <c r="CR163" s="3" t="n">
        <v>0</v>
      </c>
      <c r="CS163" s="3" t="n">
        <v>0</v>
      </c>
      <c r="CU163" s="20" t="inlineStr">
        <is>
          <t>egy.mit.vat.ind.nga.6</t>
        </is>
      </c>
      <c r="CV163" s="3" t="n">
        <v>0</v>
      </c>
      <c r="CW163" s="3" t="n">
        <v>0</v>
      </c>
      <c r="CX163" s="3" t="n">
        <v>0</v>
      </c>
      <c r="CY163" s="3" t="n">
        <v>0</v>
      </c>
      <c r="CZ163" s="3" t="n">
        <v>0</v>
      </c>
      <c r="DA163" s="3" t="n">
        <v>0</v>
      </c>
      <c r="DB163" s="3" t="n">
        <v>0</v>
      </c>
      <c r="DC163" s="3" t="n">
        <v>0</v>
      </c>
      <c r="DD163" s="3" t="n">
        <v>0</v>
      </c>
      <c r="DE163" s="3" t="n">
        <v>0</v>
      </c>
      <c r="DF163" s="3" t="n">
        <v>0</v>
      </c>
      <c r="DG163" s="3" t="n">
        <v>0</v>
      </c>
      <c r="DH163" s="3" t="n">
        <v>0</v>
      </c>
      <c r="DI163" s="3" t="n">
        <v>0</v>
      </c>
      <c r="DJ163" s="3" t="n">
        <v>0</v>
      </c>
      <c r="DK163" s="3" t="n">
        <v>0</v>
      </c>
      <c r="DL163" s="3" t="n">
        <v>0</v>
      </c>
      <c r="DM163" s="3" t="n">
        <v>0</v>
      </c>
      <c r="DN163" s="3" t="n">
        <v>0</v>
      </c>
      <c r="DO163" s="3" t="n">
        <v>0</v>
      </c>
    </row>
    <row r="164">
      <c r="A164" s="19" t="inlineStr">
        <is>
          <t>mit.vat.res.coa</t>
        </is>
      </c>
      <c r="B164" s="3" t="inlineStr">
        <is>
          <t>mit</t>
        </is>
      </c>
      <c r="C164" s="19" t="inlineStr">
        <is>
          <t>mit.vat.res.coa.a</t>
        </is>
      </c>
      <c r="H164" s="3" t="inlineStr">
        <is>
          <t>VAT payment before new policies | Residential | Coal</t>
        </is>
      </c>
      <c r="I164" s="3" t="inlineStr">
        <is>
          <t>USD/GJ real</t>
        </is>
      </c>
      <c r="K164" s="20" t="inlineStr">
        <is>
          <t>egy.mit.vat.res.coa.1</t>
        </is>
      </c>
      <c r="L164" s="3" t="n">
        <v>2.895369424672483</v>
      </c>
      <c r="M164" s="3" t="n">
        <v>1.897733529133825</v>
      </c>
      <c r="N164" s="3" t="n">
        <v>1.778641867074071</v>
      </c>
      <c r="O164" s="3" t="n">
        <v>1.632502985626596</v>
      </c>
      <c r="P164" s="3" t="n">
        <v>1.713024754328049</v>
      </c>
      <c r="Q164" s="3" t="n">
        <v>1.731188434879012</v>
      </c>
      <c r="R164" s="3" t="n">
        <v>1.722575900165154</v>
      </c>
      <c r="S164" s="3" t="n">
        <v>1.713339987958056</v>
      </c>
      <c r="T164" s="3" t="n">
        <v>1.703455161448651</v>
      </c>
      <c r="U164" s="3" t="n">
        <v>1.693915901536639</v>
      </c>
      <c r="V164" s="3" t="n">
        <v>1.693915901536639</v>
      </c>
      <c r="W164" s="3" t="n">
        <v>1.693915901536639</v>
      </c>
      <c r="X164" s="3" t="n">
        <v>1.693915901536639</v>
      </c>
      <c r="Y164" s="3" t="n">
        <v>1.693915901536639</v>
      </c>
      <c r="Z164" s="3" t="n">
        <v>1.693915901536639</v>
      </c>
      <c r="AA164" s="3" t="n">
        <v>1.693915901536639</v>
      </c>
      <c r="AB164" s="3" t="n">
        <v>1.693915901536639</v>
      </c>
      <c r="AC164" s="3" t="n">
        <v>1.693915901536639</v>
      </c>
      <c r="AD164" s="3" t="n">
        <v>1.693915901536639</v>
      </c>
      <c r="AE164" s="3" t="n">
        <v>1.693915901536639</v>
      </c>
      <c r="AG164" s="20" t="inlineStr">
        <is>
          <t>egy.mit.vat.res.coa.3</t>
        </is>
      </c>
      <c r="AH164" s="3" t="n">
        <v>2.895369424672483</v>
      </c>
      <c r="AI164" s="3" t="n">
        <v>1.897733529133825</v>
      </c>
      <c r="AJ164" s="3" t="n">
        <v>1.778641867074071</v>
      </c>
      <c r="AK164" s="3" t="n">
        <v>1.632502985626596</v>
      </c>
      <c r="AL164" s="3" t="n">
        <v>1.713024754328049</v>
      </c>
      <c r="AM164" s="3" t="n">
        <v>1.731188434879012</v>
      </c>
      <c r="AN164" s="3" t="n">
        <v>1.722575900165154</v>
      </c>
      <c r="AO164" s="3" t="n">
        <v>1.713339987958056</v>
      </c>
      <c r="AP164" s="3" t="n">
        <v>1.703455161448651</v>
      </c>
      <c r="AQ164" s="3" t="n">
        <v>1.693915901536639</v>
      </c>
      <c r="AR164" s="3" t="n">
        <v>1.693915901536639</v>
      </c>
      <c r="AS164" s="3" t="n">
        <v>1.693915901536639</v>
      </c>
      <c r="AT164" s="3" t="n">
        <v>1.693915901536639</v>
      </c>
      <c r="AU164" s="3" t="n">
        <v>1.693915901536639</v>
      </c>
      <c r="AV164" s="3" t="n">
        <v>1.693915901536639</v>
      </c>
      <c r="AW164" s="3" t="n">
        <v>1.693915901536639</v>
      </c>
      <c r="AX164" s="3" t="n">
        <v>1.693915901536639</v>
      </c>
      <c r="AY164" s="3" t="n">
        <v>1.693915901536639</v>
      </c>
      <c r="AZ164" s="3" t="n">
        <v>1.693915901536639</v>
      </c>
      <c r="BA164" s="3" t="n">
        <v>1.693915901536639</v>
      </c>
      <c r="BC164" s="20" t="inlineStr">
        <is>
          <t>egy.mit.vat.res.coa.4</t>
        </is>
      </c>
      <c r="BD164" s="3" t="n">
        <v>2.895369424672483</v>
      </c>
      <c r="BE164" s="3" t="n">
        <v>1.897733529133825</v>
      </c>
      <c r="BF164" s="3" t="n">
        <v>1.778641867074071</v>
      </c>
      <c r="BG164" s="3" t="n">
        <v>1.632502985626596</v>
      </c>
      <c r="BH164" s="3" t="n">
        <v>1.713024754328049</v>
      </c>
      <c r="BI164" s="3" t="n">
        <v>1.731188434879012</v>
      </c>
      <c r="BJ164" s="3" t="n">
        <v>1.722575900165154</v>
      </c>
      <c r="BK164" s="3" t="n">
        <v>1.713339987958056</v>
      </c>
      <c r="BL164" s="3" t="n">
        <v>1.703455161448651</v>
      </c>
      <c r="BM164" s="3" t="n">
        <v>1.693915901536639</v>
      </c>
      <c r="BN164" s="3" t="n">
        <v>1.693915901536639</v>
      </c>
      <c r="BO164" s="3" t="n">
        <v>1.693915901536639</v>
      </c>
      <c r="BP164" s="3" t="n">
        <v>1.693915901536639</v>
      </c>
      <c r="BQ164" s="3" t="n">
        <v>1.693915901536639</v>
      </c>
      <c r="BR164" s="3" t="n">
        <v>1.693915901536639</v>
      </c>
      <c r="BS164" s="3" t="n">
        <v>1.693915901536639</v>
      </c>
      <c r="BT164" s="3" t="n">
        <v>1.693915901536639</v>
      </c>
      <c r="BU164" s="3" t="n">
        <v>1.693915901536639</v>
      </c>
      <c r="BV164" s="3" t="n">
        <v>1.693915901536639</v>
      </c>
      <c r="BW164" s="3" t="n">
        <v>1.693915901536639</v>
      </c>
      <c r="BY164" s="20" t="inlineStr">
        <is>
          <t>egy.mit.vat.res.coa.5</t>
        </is>
      </c>
      <c r="BZ164" s="3" t="n">
        <v>2.895369424672483</v>
      </c>
      <c r="CA164" s="3" t="n">
        <v>1.897733529133825</v>
      </c>
      <c r="CB164" s="3" t="n">
        <v>1.778641867074071</v>
      </c>
      <c r="CC164" s="3" t="n">
        <v>1.632502985626596</v>
      </c>
      <c r="CD164" s="3" t="n">
        <v>1.713024754328049</v>
      </c>
      <c r="CE164" s="3" t="n">
        <v>1.731188434879012</v>
      </c>
      <c r="CF164" s="3" t="n">
        <v>1.722575900165154</v>
      </c>
      <c r="CG164" s="3" t="n">
        <v>1.713339987958056</v>
      </c>
      <c r="CH164" s="3" t="n">
        <v>1.703455161448651</v>
      </c>
      <c r="CI164" s="3" t="n">
        <v>1.693915901536639</v>
      </c>
      <c r="CJ164" s="3" t="n">
        <v>1.693915901536639</v>
      </c>
      <c r="CK164" s="3" t="n">
        <v>1.693915901536639</v>
      </c>
      <c r="CL164" s="3" t="n">
        <v>1.693915901536639</v>
      </c>
      <c r="CM164" s="3" t="n">
        <v>1.693915901536639</v>
      </c>
      <c r="CN164" s="3" t="n">
        <v>1.693915901536639</v>
      </c>
      <c r="CO164" s="3" t="n">
        <v>1.693915901536639</v>
      </c>
      <c r="CP164" s="3" t="n">
        <v>1.693915901536639</v>
      </c>
      <c r="CQ164" s="3" t="n">
        <v>1.693915901536639</v>
      </c>
      <c r="CR164" s="3" t="n">
        <v>1.693915901536639</v>
      </c>
      <c r="CS164" s="3" t="n">
        <v>1.693915901536639</v>
      </c>
      <c r="CU164" s="20" t="inlineStr">
        <is>
          <t>egy.mit.vat.res.coa.6</t>
        </is>
      </c>
      <c r="CV164" s="3" t="n">
        <v>2.895369424672483</v>
      </c>
      <c r="CW164" s="3" t="n">
        <v>1.897733529133825</v>
      </c>
      <c r="CX164" s="3" t="n">
        <v>1.778641867074071</v>
      </c>
      <c r="CY164" s="3" t="n">
        <v>1.632502985626596</v>
      </c>
      <c r="CZ164" s="3" t="n">
        <v>1.713024754328049</v>
      </c>
      <c r="DA164" s="3" t="n">
        <v>1.731188434879012</v>
      </c>
      <c r="DB164" s="3" t="n">
        <v>1.722575900165154</v>
      </c>
      <c r="DC164" s="3" t="n">
        <v>1.713339987958056</v>
      </c>
      <c r="DD164" s="3" t="n">
        <v>1.703455161448651</v>
      </c>
      <c r="DE164" s="3" t="n">
        <v>1.693915901536639</v>
      </c>
      <c r="DF164" s="3" t="n">
        <v>1.693915901536639</v>
      </c>
      <c r="DG164" s="3" t="n">
        <v>1.693915901536639</v>
      </c>
      <c r="DH164" s="3" t="n">
        <v>1.693915901536639</v>
      </c>
      <c r="DI164" s="3" t="n">
        <v>1.693915901536639</v>
      </c>
      <c r="DJ164" s="3" t="n">
        <v>1.693915901536639</v>
      </c>
      <c r="DK164" s="3" t="n">
        <v>1.693915901536639</v>
      </c>
      <c r="DL164" s="3" t="n">
        <v>1.693915901536639</v>
      </c>
      <c r="DM164" s="3" t="n">
        <v>1.693915901536639</v>
      </c>
      <c r="DN164" s="3" t="n">
        <v>1.693915901536639</v>
      </c>
      <c r="DO164" s="3" t="n">
        <v>1.693915901536639</v>
      </c>
    </row>
    <row r="165">
      <c r="A165" s="19" t="inlineStr">
        <is>
          <t>mit.vat.res.nga</t>
        </is>
      </c>
      <c r="B165" s="3" t="inlineStr">
        <is>
          <t>mit</t>
        </is>
      </c>
      <c r="C165" s="19" t="inlineStr">
        <is>
          <t>mit.vat.res.nga.a</t>
        </is>
      </c>
      <c r="H165" s="3" t="inlineStr">
        <is>
          <t>VAT payment before new policies | Residential | Natural gas</t>
        </is>
      </c>
      <c r="I165" s="3" t="inlineStr">
        <is>
          <t>USD/GJ real</t>
        </is>
      </c>
      <c r="K165" s="20" t="inlineStr">
        <is>
          <t>egy.mit.vat.res.nga.1</t>
        </is>
      </c>
      <c r="L165" s="3" t="n">
        <v>0</v>
      </c>
      <c r="M165" s="3" t="n">
        <v>0</v>
      </c>
      <c r="N165" s="3" t="n">
        <v>0</v>
      </c>
      <c r="O165" s="3" t="n">
        <v>0</v>
      </c>
      <c r="P165" s="3" t="n">
        <v>0</v>
      </c>
      <c r="Q165" s="3" t="n">
        <v>0</v>
      </c>
      <c r="R165" s="3" t="n">
        <v>0</v>
      </c>
      <c r="S165" s="3" t="n">
        <v>0</v>
      </c>
      <c r="T165" s="3" t="n">
        <v>0</v>
      </c>
      <c r="U165" s="3" t="n">
        <v>0</v>
      </c>
      <c r="V165" s="3" t="n">
        <v>0</v>
      </c>
      <c r="W165" s="3" t="n">
        <v>0</v>
      </c>
      <c r="X165" s="3" t="n">
        <v>0</v>
      </c>
      <c r="Y165" s="3" t="n">
        <v>0</v>
      </c>
      <c r="Z165" s="3" t="n">
        <v>0</v>
      </c>
      <c r="AA165" s="3" t="n">
        <v>0</v>
      </c>
      <c r="AB165" s="3" t="n">
        <v>0</v>
      </c>
      <c r="AC165" s="3" t="n">
        <v>0</v>
      </c>
      <c r="AD165" s="3" t="n">
        <v>0</v>
      </c>
      <c r="AE165" s="3" t="n">
        <v>0</v>
      </c>
      <c r="AG165" s="20" t="inlineStr">
        <is>
          <t>egy.mit.vat.res.nga.3</t>
        </is>
      </c>
      <c r="AH165" s="3" t="n">
        <v>0</v>
      </c>
      <c r="AI165" s="3" t="n">
        <v>0</v>
      </c>
      <c r="AJ165" s="3" t="n">
        <v>0</v>
      </c>
      <c r="AK165" s="3" t="n">
        <v>0</v>
      </c>
      <c r="AL165" s="3" t="n">
        <v>0</v>
      </c>
      <c r="AM165" s="3" t="n">
        <v>0</v>
      </c>
      <c r="AN165" s="3" t="n">
        <v>0</v>
      </c>
      <c r="AO165" s="3" t="n">
        <v>0</v>
      </c>
      <c r="AP165" s="3" t="n">
        <v>0</v>
      </c>
      <c r="AQ165" s="3" t="n">
        <v>0</v>
      </c>
      <c r="AR165" s="3" t="n">
        <v>0</v>
      </c>
      <c r="AS165" s="3" t="n">
        <v>0</v>
      </c>
      <c r="AT165" s="3" t="n">
        <v>0</v>
      </c>
      <c r="AU165" s="3" t="n">
        <v>0</v>
      </c>
      <c r="AV165" s="3" t="n">
        <v>0</v>
      </c>
      <c r="AW165" s="3" t="n">
        <v>0</v>
      </c>
      <c r="AX165" s="3" t="n">
        <v>0</v>
      </c>
      <c r="AY165" s="3" t="n">
        <v>0</v>
      </c>
      <c r="AZ165" s="3" t="n">
        <v>0</v>
      </c>
      <c r="BA165" s="3" t="n">
        <v>0</v>
      </c>
      <c r="BC165" s="20" t="inlineStr">
        <is>
          <t>egy.mit.vat.res.nga.4</t>
        </is>
      </c>
      <c r="BD165" s="3" t="n">
        <v>0</v>
      </c>
      <c r="BE165" s="3" t="n">
        <v>0</v>
      </c>
      <c r="BF165" s="3" t="n">
        <v>0</v>
      </c>
      <c r="BG165" s="3" t="n">
        <v>0</v>
      </c>
      <c r="BH165" s="3" t="n">
        <v>0</v>
      </c>
      <c r="BI165" s="3" t="n">
        <v>0</v>
      </c>
      <c r="BJ165" s="3" t="n">
        <v>0</v>
      </c>
      <c r="BK165" s="3" t="n">
        <v>0</v>
      </c>
      <c r="BL165" s="3" t="n">
        <v>0</v>
      </c>
      <c r="BM165" s="3" t="n">
        <v>0</v>
      </c>
      <c r="BN165" s="3" t="n">
        <v>0</v>
      </c>
      <c r="BO165" s="3" t="n">
        <v>0</v>
      </c>
      <c r="BP165" s="3" t="n">
        <v>0</v>
      </c>
      <c r="BQ165" s="3" t="n">
        <v>0</v>
      </c>
      <c r="BR165" s="3" t="n">
        <v>0</v>
      </c>
      <c r="BS165" s="3" t="n">
        <v>0</v>
      </c>
      <c r="BT165" s="3" t="n">
        <v>0</v>
      </c>
      <c r="BU165" s="3" t="n">
        <v>0</v>
      </c>
      <c r="BV165" s="3" t="n">
        <v>0</v>
      </c>
      <c r="BW165" s="3" t="n">
        <v>0</v>
      </c>
      <c r="BY165" s="20" t="inlineStr">
        <is>
          <t>egy.mit.vat.res.nga.5</t>
        </is>
      </c>
      <c r="BZ165" s="3" t="n">
        <v>0</v>
      </c>
      <c r="CA165" s="3" t="n">
        <v>0</v>
      </c>
      <c r="CB165" s="3" t="n">
        <v>0</v>
      </c>
      <c r="CC165" s="3" t="n">
        <v>0</v>
      </c>
      <c r="CD165" s="3" t="n">
        <v>0</v>
      </c>
      <c r="CE165" s="3" t="n">
        <v>0</v>
      </c>
      <c r="CF165" s="3" t="n">
        <v>0</v>
      </c>
      <c r="CG165" s="3" t="n">
        <v>0</v>
      </c>
      <c r="CH165" s="3" t="n">
        <v>0</v>
      </c>
      <c r="CI165" s="3" t="n">
        <v>0</v>
      </c>
      <c r="CJ165" s="3" t="n">
        <v>0</v>
      </c>
      <c r="CK165" s="3" t="n">
        <v>0</v>
      </c>
      <c r="CL165" s="3" t="n">
        <v>0</v>
      </c>
      <c r="CM165" s="3" t="n">
        <v>0</v>
      </c>
      <c r="CN165" s="3" t="n">
        <v>0</v>
      </c>
      <c r="CO165" s="3" t="n">
        <v>0</v>
      </c>
      <c r="CP165" s="3" t="n">
        <v>0</v>
      </c>
      <c r="CQ165" s="3" t="n">
        <v>0</v>
      </c>
      <c r="CR165" s="3" t="n">
        <v>0</v>
      </c>
      <c r="CS165" s="3" t="n">
        <v>0</v>
      </c>
      <c r="CU165" s="20" t="inlineStr">
        <is>
          <t>egy.mit.vat.res.nga.6</t>
        </is>
      </c>
      <c r="CV165" s="3" t="n">
        <v>0</v>
      </c>
      <c r="CW165" s="3" t="n">
        <v>0</v>
      </c>
      <c r="CX165" s="3" t="n">
        <v>0</v>
      </c>
      <c r="CY165" s="3" t="n">
        <v>0</v>
      </c>
      <c r="CZ165" s="3" t="n">
        <v>0</v>
      </c>
      <c r="DA165" s="3" t="n">
        <v>0</v>
      </c>
      <c r="DB165" s="3" t="n">
        <v>0</v>
      </c>
      <c r="DC165" s="3" t="n">
        <v>0</v>
      </c>
      <c r="DD165" s="3" t="n">
        <v>0</v>
      </c>
      <c r="DE165" s="3" t="n">
        <v>0</v>
      </c>
      <c r="DF165" s="3" t="n">
        <v>0</v>
      </c>
      <c r="DG165" s="3" t="n">
        <v>0</v>
      </c>
      <c r="DH165" s="3" t="n">
        <v>0</v>
      </c>
      <c r="DI165" s="3" t="n">
        <v>0</v>
      </c>
      <c r="DJ165" s="3" t="n">
        <v>0</v>
      </c>
      <c r="DK165" s="3" t="n">
        <v>0</v>
      </c>
      <c r="DL165" s="3" t="n">
        <v>0</v>
      </c>
      <c r="DM165" s="3" t="n">
        <v>0</v>
      </c>
      <c r="DN165" s="3" t="n">
        <v>0</v>
      </c>
      <c r="DO165" s="3" t="n">
        <v>0</v>
      </c>
    </row>
    <row r="166">
      <c r="A166" s="19" t="inlineStr">
        <is>
          <t>mit.vat.pow.coa</t>
        </is>
      </c>
      <c r="B166" s="3" t="inlineStr">
        <is>
          <t>mit</t>
        </is>
      </c>
      <c r="C166" s="19" t="inlineStr">
        <is>
          <t>mit.vat.pow.coa.a</t>
        </is>
      </c>
      <c r="H166" s="3" t="inlineStr">
        <is>
          <t>VAT payment before new policies | Power | Coal</t>
        </is>
      </c>
      <c r="I166" s="3" t="inlineStr">
        <is>
          <t>USD/GJ real</t>
        </is>
      </c>
      <c r="K166" s="20" t="inlineStr">
        <is>
          <t>egy.mit.vat.pow.coa.1</t>
        </is>
      </c>
      <c r="L166" s="3" t="n">
        <v>0</v>
      </c>
      <c r="M166" s="3" t="n">
        <v>0</v>
      </c>
      <c r="N166" s="3" t="n">
        <v>0</v>
      </c>
      <c r="O166" s="3" t="n">
        <v>0</v>
      </c>
      <c r="P166" s="3" t="n">
        <v>0</v>
      </c>
      <c r="Q166" s="3" t="n">
        <v>0</v>
      </c>
      <c r="R166" s="3" t="n">
        <v>0</v>
      </c>
      <c r="S166" s="3" t="n">
        <v>0</v>
      </c>
      <c r="T166" s="3" t="n">
        <v>0</v>
      </c>
      <c r="U166" s="3" t="n">
        <v>0</v>
      </c>
      <c r="V166" s="3" t="n">
        <v>0</v>
      </c>
      <c r="W166" s="3" t="n">
        <v>0</v>
      </c>
      <c r="X166" s="3" t="n">
        <v>0</v>
      </c>
      <c r="Y166" s="3" t="n">
        <v>0</v>
      </c>
      <c r="Z166" s="3" t="n">
        <v>0</v>
      </c>
      <c r="AA166" s="3" t="n">
        <v>0</v>
      </c>
      <c r="AB166" s="3" t="n">
        <v>0</v>
      </c>
      <c r="AC166" s="3" t="n">
        <v>0</v>
      </c>
      <c r="AD166" s="3" t="n">
        <v>0</v>
      </c>
      <c r="AE166" s="3" t="n">
        <v>0</v>
      </c>
      <c r="AG166" s="20" t="inlineStr">
        <is>
          <t>egy.mit.vat.pow.coa.3</t>
        </is>
      </c>
      <c r="AH166" s="3" t="n">
        <v>0</v>
      </c>
      <c r="AI166" s="3" t="n">
        <v>0</v>
      </c>
      <c r="AJ166" s="3" t="n">
        <v>0</v>
      </c>
      <c r="AK166" s="3" t="n">
        <v>0</v>
      </c>
      <c r="AL166" s="3" t="n">
        <v>0</v>
      </c>
      <c r="AM166" s="3" t="n">
        <v>0</v>
      </c>
      <c r="AN166" s="3" t="n">
        <v>0</v>
      </c>
      <c r="AO166" s="3" t="n">
        <v>0</v>
      </c>
      <c r="AP166" s="3" t="n">
        <v>0</v>
      </c>
      <c r="AQ166" s="3" t="n">
        <v>0</v>
      </c>
      <c r="AR166" s="3" t="n">
        <v>0</v>
      </c>
      <c r="AS166" s="3" t="n">
        <v>0</v>
      </c>
      <c r="AT166" s="3" t="n">
        <v>0</v>
      </c>
      <c r="AU166" s="3" t="n">
        <v>0</v>
      </c>
      <c r="AV166" s="3" t="n">
        <v>0</v>
      </c>
      <c r="AW166" s="3" t="n">
        <v>0</v>
      </c>
      <c r="AX166" s="3" t="n">
        <v>0</v>
      </c>
      <c r="AY166" s="3" t="n">
        <v>0</v>
      </c>
      <c r="AZ166" s="3" t="n">
        <v>0</v>
      </c>
      <c r="BA166" s="3" t="n">
        <v>0</v>
      </c>
      <c r="BC166" s="20" t="inlineStr">
        <is>
          <t>egy.mit.vat.pow.coa.4</t>
        </is>
      </c>
      <c r="BD166" s="3" t="n">
        <v>0</v>
      </c>
      <c r="BE166" s="3" t="n">
        <v>0</v>
      </c>
      <c r="BF166" s="3" t="n">
        <v>0</v>
      </c>
      <c r="BG166" s="3" t="n">
        <v>0</v>
      </c>
      <c r="BH166" s="3" t="n">
        <v>0</v>
      </c>
      <c r="BI166" s="3" t="n">
        <v>0</v>
      </c>
      <c r="BJ166" s="3" t="n">
        <v>0</v>
      </c>
      <c r="BK166" s="3" t="n">
        <v>0</v>
      </c>
      <c r="BL166" s="3" t="n">
        <v>0</v>
      </c>
      <c r="BM166" s="3" t="n">
        <v>0</v>
      </c>
      <c r="BN166" s="3" t="n">
        <v>0</v>
      </c>
      <c r="BO166" s="3" t="n">
        <v>0</v>
      </c>
      <c r="BP166" s="3" t="n">
        <v>0</v>
      </c>
      <c r="BQ166" s="3" t="n">
        <v>0</v>
      </c>
      <c r="BR166" s="3" t="n">
        <v>0</v>
      </c>
      <c r="BS166" s="3" t="n">
        <v>0</v>
      </c>
      <c r="BT166" s="3" t="n">
        <v>0</v>
      </c>
      <c r="BU166" s="3" t="n">
        <v>0</v>
      </c>
      <c r="BV166" s="3" t="n">
        <v>0</v>
      </c>
      <c r="BW166" s="3" t="n">
        <v>0</v>
      </c>
      <c r="BY166" s="20" t="inlineStr">
        <is>
          <t>egy.mit.vat.pow.coa.5</t>
        </is>
      </c>
      <c r="BZ166" s="3" t="n">
        <v>0</v>
      </c>
      <c r="CA166" s="3" t="n">
        <v>0</v>
      </c>
      <c r="CB166" s="3" t="n">
        <v>0</v>
      </c>
      <c r="CC166" s="3" t="n">
        <v>0</v>
      </c>
      <c r="CD166" s="3" t="n">
        <v>0</v>
      </c>
      <c r="CE166" s="3" t="n">
        <v>0</v>
      </c>
      <c r="CF166" s="3" t="n">
        <v>0</v>
      </c>
      <c r="CG166" s="3" t="n">
        <v>0</v>
      </c>
      <c r="CH166" s="3" t="n">
        <v>0</v>
      </c>
      <c r="CI166" s="3" t="n">
        <v>0</v>
      </c>
      <c r="CJ166" s="3" t="n">
        <v>0</v>
      </c>
      <c r="CK166" s="3" t="n">
        <v>0</v>
      </c>
      <c r="CL166" s="3" t="n">
        <v>0</v>
      </c>
      <c r="CM166" s="3" t="n">
        <v>0</v>
      </c>
      <c r="CN166" s="3" t="n">
        <v>0</v>
      </c>
      <c r="CO166" s="3" t="n">
        <v>0</v>
      </c>
      <c r="CP166" s="3" t="n">
        <v>0</v>
      </c>
      <c r="CQ166" s="3" t="n">
        <v>0</v>
      </c>
      <c r="CR166" s="3" t="n">
        <v>0</v>
      </c>
      <c r="CS166" s="3" t="n">
        <v>0</v>
      </c>
      <c r="CU166" s="20" t="inlineStr">
        <is>
          <t>egy.mit.vat.pow.coa.6</t>
        </is>
      </c>
      <c r="CV166" s="3" t="n">
        <v>0</v>
      </c>
      <c r="CW166" s="3" t="n">
        <v>0</v>
      </c>
      <c r="CX166" s="3" t="n">
        <v>0</v>
      </c>
      <c r="CY166" s="3" t="n">
        <v>0</v>
      </c>
      <c r="CZ166" s="3" t="n">
        <v>0</v>
      </c>
      <c r="DA166" s="3" t="n">
        <v>0</v>
      </c>
      <c r="DB166" s="3" t="n">
        <v>0</v>
      </c>
      <c r="DC166" s="3" t="n">
        <v>0</v>
      </c>
      <c r="DD166" s="3" t="n">
        <v>0</v>
      </c>
      <c r="DE166" s="3" t="n">
        <v>0</v>
      </c>
      <c r="DF166" s="3" t="n">
        <v>0</v>
      </c>
      <c r="DG166" s="3" t="n">
        <v>0</v>
      </c>
      <c r="DH166" s="3" t="n">
        <v>0</v>
      </c>
      <c r="DI166" s="3" t="n">
        <v>0</v>
      </c>
      <c r="DJ166" s="3" t="n">
        <v>0</v>
      </c>
      <c r="DK166" s="3" t="n">
        <v>0</v>
      </c>
      <c r="DL166" s="3" t="n">
        <v>0</v>
      </c>
      <c r="DM166" s="3" t="n">
        <v>0</v>
      </c>
      <c r="DN166" s="3" t="n">
        <v>0</v>
      </c>
      <c r="DO166" s="3" t="n">
        <v>0</v>
      </c>
    </row>
    <row r="167">
      <c r="A167" s="19" t="inlineStr">
        <is>
          <t>mit.vat.pow.nga</t>
        </is>
      </c>
      <c r="B167" s="3" t="inlineStr">
        <is>
          <t>mit</t>
        </is>
      </c>
      <c r="C167" s="19" t="inlineStr">
        <is>
          <t>mit.vat.pow.nga.a</t>
        </is>
      </c>
      <c r="H167" s="3" t="inlineStr">
        <is>
          <t>VAT payment before new policies | Power | Natural gas</t>
        </is>
      </c>
      <c r="I167" s="3" t="inlineStr">
        <is>
          <t>USD/GJ real</t>
        </is>
      </c>
      <c r="K167" s="20" t="inlineStr">
        <is>
          <t>egy.mit.vat.pow.nga.1</t>
        </is>
      </c>
      <c r="L167" s="3" t="n">
        <v>0</v>
      </c>
      <c r="M167" s="3" t="n">
        <v>0</v>
      </c>
      <c r="N167" s="3" t="n">
        <v>0</v>
      </c>
      <c r="O167" s="3" t="n">
        <v>0</v>
      </c>
      <c r="P167" s="3" t="n">
        <v>0</v>
      </c>
      <c r="Q167" s="3" t="n">
        <v>0</v>
      </c>
      <c r="R167" s="3" t="n">
        <v>0</v>
      </c>
      <c r="S167" s="3" t="n">
        <v>0</v>
      </c>
      <c r="T167" s="3" t="n">
        <v>0</v>
      </c>
      <c r="U167" s="3" t="n">
        <v>0</v>
      </c>
      <c r="V167" s="3" t="n">
        <v>0</v>
      </c>
      <c r="W167" s="3" t="n">
        <v>0</v>
      </c>
      <c r="X167" s="3" t="n">
        <v>0</v>
      </c>
      <c r="Y167" s="3" t="n">
        <v>0</v>
      </c>
      <c r="Z167" s="3" t="n">
        <v>0</v>
      </c>
      <c r="AA167" s="3" t="n">
        <v>0</v>
      </c>
      <c r="AB167" s="3" t="n">
        <v>0</v>
      </c>
      <c r="AC167" s="3" t="n">
        <v>0</v>
      </c>
      <c r="AD167" s="3" t="n">
        <v>0</v>
      </c>
      <c r="AE167" s="3" t="n">
        <v>0</v>
      </c>
      <c r="AG167" s="20" t="inlineStr">
        <is>
          <t>egy.mit.vat.pow.nga.3</t>
        </is>
      </c>
      <c r="AH167" s="3" t="n">
        <v>0</v>
      </c>
      <c r="AI167" s="3" t="n">
        <v>0</v>
      </c>
      <c r="AJ167" s="3" t="n">
        <v>0</v>
      </c>
      <c r="AK167" s="3" t="n">
        <v>0</v>
      </c>
      <c r="AL167" s="3" t="n">
        <v>0</v>
      </c>
      <c r="AM167" s="3" t="n">
        <v>0</v>
      </c>
      <c r="AN167" s="3" t="n">
        <v>0</v>
      </c>
      <c r="AO167" s="3" t="n">
        <v>0</v>
      </c>
      <c r="AP167" s="3" t="n">
        <v>0</v>
      </c>
      <c r="AQ167" s="3" t="n">
        <v>0</v>
      </c>
      <c r="AR167" s="3" t="n">
        <v>0</v>
      </c>
      <c r="AS167" s="3" t="n">
        <v>0</v>
      </c>
      <c r="AT167" s="3" t="n">
        <v>0</v>
      </c>
      <c r="AU167" s="3" t="n">
        <v>0</v>
      </c>
      <c r="AV167" s="3" t="n">
        <v>0</v>
      </c>
      <c r="AW167" s="3" t="n">
        <v>0</v>
      </c>
      <c r="AX167" s="3" t="n">
        <v>0</v>
      </c>
      <c r="AY167" s="3" t="n">
        <v>0</v>
      </c>
      <c r="AZ167" s="3" t="n">
        <v>0</v>
      </c>
      <c r="BA167" s="3" t="n">
        <v>0</v>
      </c>
      <c r="BC167" s="20" t="inlineStr">
        <is>
          <t>egy.mit.vat.pow.nga.4</t>
        </is>
      </c>
      <c r="BD167" s="3" t="n">
        <v>0</v>
      </c>
      <c r="BE167" s="3" t="n">
        <v>0</v>
      </c>
      <c r="BF167" s="3" t="n">
        <v>0</v>
      </c>
      <c r="BG167" s="3" t="n">
        <v>0</v>
      </c>
      <c r="BH167" s="3" t="n">
        <v>0</v>
      </c>
      <c r="BI167" s="3" t="n">
        <v>0</v>
      </c>
      <c r="BJ167" s="3" t="n">
        <v>0</v>
      </c>
      <c r="BK167" s="3" t="n">
        <v>0</v>
      </c>
      <c r="BL167" s="3" t="n">
        <v>0</v>
      </c>
      <c r="BM167" s="3" t="n">
        <v>0</v>
      </c>
      <c r="BN167" s="3" t="n">
        <v>0</v>
      </c>
      <c r="BO167" s="3" t="n">
        <v>0</v>
      </c>
      <c r="BP167" s="3" t="n">
        <v>0</v>
      </c>
      <c r="BQ167" s="3" t="n">
        <v>0</v>
      </c>
      <c r="BR167" s="3" t="n">
        <v>0</v>
      </c>
      <c r="BS167" s="3" t="n">
        <v>0</v>
      </c>
      <c r="BT167" s="3" t="n">
        <v>0</v>
      </c>
      <c r="BU167" s="3" t="n">
        <v>0</v>
      </c>
      <c r="BV167" s="3" t="n">
        <v>0</v>
      </c>
      <c r="BW167" s="3" t="n">
        <v>0</v>
      </c>
      <c r="BY167" s="20" t="inlineStr">
        <is>
          <t>egy.mit.vat.pow.nga.5</t>
        </is>
      </c>
      <c r="BZ167" s="3" t="n">
        <v>0</v>
      </c>
      <c r="CA167" s="3" t="n">
        <v>0</v>
      </c>
      <c r="CB167" s="3" t="n">
        <v>0</v>
      </c>
      <c r="CC167" s="3" t="n">
        <v>0</v>
      </c>
      <c r="CD167" s="3" t="n">
        <v>0</v>
      </c>
      <c r="CE167" s="3" t="n">
        <v>0</v>
      </c>
      <c r="CF167" s="3" t="n">
        <v>0</v>
      </c>
      <c r="CG167" s="3" t="n">
        <v>0</v>
      </c>
      <c r="CH167" s="3" t="n">
        <v>0</v>
      </c>
      <c r="CI167" s="3" t="n">
        <v>0</v>
      </c>
      <c r="CJ167" s="3" t="n">
        <v>0</v>
      </c>
      <c r="CK167" s="3" t="n">
        <v>0</v>
      </c>
      <c r="CL167" s="3" t="n">
        <v>0</v>
      </c>
      <c r="CM167" s="3" t="n">
        <v>0</v>
      </c>
      <c r="CN167" s="3" t="n">
        <v>0</v>
      </c>
      <c r="CO167" s="3" t="n">
        <v>0</v>
      </c>
      <c r="CP167" s="3" t="n">
        <v>0</v>
      </c>
      <c r="CQ167" s="3" t="n">
        <v>0</v>
      </c>
      <c r="CR167" s="3" t="n">
        <v>0</v>
      </c>
      <c r="CS167" s="3" t="n">
        <v>0</v>
      </c>
      <c r="CU167" s="20" t="inlineStr">
        <is>
          <t>egy.mit.vat.pow.nga.6</t>
        </is>
      </c>
      <c r="CV167" s="3" t="n">
        <v>0</v>
      </c>
      <c r="CW167" s="3" t="n">
        <v>0</v>
      </c>
      <c r="CX167" s="3" t="n">
        <v>0</v>
      </c>
      <c r="CY167" s="3" t="n">
        <v>0</v>
      </c>
      <c r="CZ167" s="3" t="n">
        <v>0</v>
      </c>
      <c r="DA167" s="3" t="n">
        <v>0</v>
      </c>
      <c r="DB167" s="3" t="n">
        <v>0</v>
      </c>
      <c r="DC167" s="3" t="n">
        <v>0</v>
      </c>
      <c r="DD167" s="3" t="n">
        <v>0</v>
      </c>
      <c r="DE167" s="3" t="n">
        <v>0</v>
      </c>
      <c r="DF167" s="3" t="n">
        <v>0</v>
      </c>
      <c r="DG167" s="3" t="n">
        <v>0</v>
      </c>
      <c r="DH167" s="3" t="n">
        <v>0</v>
      </c>
      <c r="DI167" s="3" t="n">
        <v>0</v>
      </c>
      <c r="DJ167" s="3" t="n">
        <v>0</v>
      </c>
      <c r="DK167" s="3" t="n">
        <v>0</v>
      </c>
      <c r="DL167" s="3" t="n">
        <v>0</v>
      </c>
      <c r="DM167" s="3" t="n">
        <v>0</v>
      </c>
      <c r="DN167" s="3" t="n">
        <v>0</v>
      </c>
      <c r="DO167" s="3" t="n">
        <v>0</v>
      </c>
    </row>
    <row r="168">
      <c r="A168" s="19" t="inlineStr">
        <is>
          <t>mit.vat.all.oop</t>
        </is>
      </c>
      <c r="B168" s="3" t="inlineStr">
        <is>
          <t>mit</t>
        </is>
      </c>
      <c r="C168" s="19" t="inlineStr">
        <is>
          <t>mit.vat.all.oop.a</t>
        </is>
      </c>
      <c r="H168" s="3" t="inlineStr">
        <is>
          <t>VAT payment before new policies | All sectors | Other oil products</t>
        </is>
      </c>
      <c r="I168" s="3" t="inlineStr">
        <is>
          <t>USD/GJ real</t>
        </is>
      </c>
      <c r="K168" s="20" t="inlineStr">
        <is>
          <t>egy.mit.vat.all.oop.1</t>
        </is>
      </c>
      <c r="L168" s="3" t="n">
        <v>0</v>
      </c>
      <c r="M168" s="3" t="n">
        <v>0</v>
      </c>
      <c r="N168" s="3" t="n">
        <v>0</v>
      </c>
      <c r="O168" s="3" t="n">
        <v>0</v>
      </c>
      <c r="P168" s="3" t="n">
        <v>0</v>
      </c>
      <c r="Q168" s="3" t="n">
        <v>0</v>
      </c>
      <c r="R168" s="3" t="n">
        <v>0</v>
      </c>
      <c r="S168" s="3" t="n">
        <v>0</v>
      </c>
      <c r="T168" s="3" t="n">
        <v>0</v>
      </c>
      <c r="U168" s="3" t="n">
        <v>0</v>
      </c>
      <c r="V168" s="3" t="n">
        <v>0</v>
      </c>
      <c r="W168" s="3" t="n">
        <v>0</v>
      </c>
      <c r="X168" s="3" t="n">
        <v>0</v>
      </c>
      <c r="Y168" s="3" t="n">
        <v>0</v>
      </c>
      <c r="Z168" s="3" t="n">
        <v>0</v>
      </c>
      <c r="AA168" s="3" t="n">
        <v>0</v>
      </c>
      <c r="AB168" s="3" t="n">
        <v>0</v>
      </c>
      <c r="AC168" s="3" t="n">
        <v>0</v>
      </c>
      <c r="AD168" s="3" t="n">
        <v>0</v>
      </c>
      <c r="AE168" s="3" t="n">
        <v>0</v>
      </c>
      <c r="AG168" s="20" t="inlineStr">
        <is>
          <t>egy.mit.vat.all.oop.3</t>
        </is>
      </c>
      <c r="AH168" s="3" t="n">
        <v>0</v>
      </c>
      <c r="AI168" s="3" t="n">
        <v>0</v>
      </c>
      <c r="AJ168" s="3" t="n">
        <v>0</v>
      </c>
      <c r="AK168" s="3" t="n">
        <v>0</v>
      </c>
      <c r="AL168" s="3" t="n">
        <v>0</v>
      </c>
      <c r="AM168" s="3" t="n">
        <v>0</v>
      </c>
      <c r="AN168" s="3" t="n">
        <v>0</v>
      </c>
      <c r="AO168" s="3" t="n">
        <v>0</v>
      </c>
      <c r="AP168" s="3" t="n">
        <v>0</v>
      </c>
      <c r="AQ168" s="3" t="n">
        <v>0</v>
      </c>
      <c r="AR168" s="3" t="n">
        <v>0</v>
      </c>
      <c r="AS168" s="3" t="n">
        <v>0</v>
      </c>
      <c r="AT168" s="3" t="n">
        <v>0</v>
      </c>
      <c r="AU168" s="3" t="n">
        <v>0</v>
      </c>
      <c r="AV168" s="3" t="n">
        <v>0</v>
      </c>
      <c r="AW168" s="3" t="n">
        <v>0</v>
      </c>
      <c r="AX168" s="3" t="n">
        <v>0</v>
      </c>
      <c r="AY168" s="3" t="n">
        <v>0</v>
      </c>
      <c r="AZ168" s="3" t="n">
        <v>0</v>
      </c>
      <c r="BA168" s="3" t="n">
        <v>0</v>
      </c>
      <c r="BC168" s="20" t="inlineStr">
        <is>
          <t>egy.mit.vat.all.oop.4</t>
        </is>
      </c>
      <c r="BD168" s="3" t="n">
        <v>0</v>
      </c>
      <c r="BE168" s="3" t="n">
        <v>0</v>
      </c>
      <c r="BF168" s="3" t="n">
        <v>0</v>
      </c>
      <c r="BG168" s="3" t="n">
        <v>0</v>
      </c>
      <c r="BH168" s="3" t="n">
        <v>0</v>
      </c>
      <c r="BI168" s="3" t="n">
        <v>0</v>
      </c>
      <c r="BJ168" s="3" t="n">
        <v>0</v>
      </c>
      <c r="BK168" s="3" t="n">
        <v>0</v>
      </c>
      <c r="BL168" s="3" t="n">
        <v>0</v>
      </c>
      <c r="BM168" s="3" t="n">
        <v>0</v>
      </c>
      <c r="BN168" s="3" t="n">
        <v>0</v>
      </c>
      <c r="BO168" s="3" t="n">
        <v>0</v>
      </c>
      <c r="BP168" s="3" t="n">
        <v>0</v>
      </c>
      <c r="BQ168" s="3" t="n">
        <v>0</v>
      </c>
      <c r="BR168" s="3" t="n">
        <v>0</v>
      </c>
      <c r="BS168" s="3" t="n">
        <v>0</v>
      </c>
      <c r="BT168" s="3" t="n">
        <v>0</v>
      </c>
      <c r="BU168" s="3" t="n">
        <v>0</v>
      </c>
      <c r="BV168" s="3" t="n">
        <v>0</v>
      </c>
      <c r="BW168" s="3" t="n">
        <v>0</v>
      </c>
      <c r="BY168" s="20" t="inlineStr">
        <is>
          <t>egy.mit.vat.all.oop.5</t>
        </is>
      </c>
      <c r="BZ168" s="3" t="n">
        <v>0</v>
      </c>
      <c r="CA168" s="3" t="n">
        <v>0</v>
      </c>
      <c r="CB168" s="3" t="n">
        <v>0</v>
      </c>
      <c r="CC168" s="3" t="n">
        <v>0</v>
      </c>
      <c r="CD168" s="3" t="n">
        <v>0</v>
      </c>
      <c r="CE168" s="3" t="n">
        <v>0</v>
      </c>
      <c r="CF168" s="3" t="n">
        <v>0</v>
      </c>
      <c r="CG168" s="3" t="n">
        <v>0</v>
      </c>
      <c r="CH168" s="3" t="n">
        <v>0</v>
      </c>
      <c r="CI168" s="3" t="n">
        <v>0</v>
      </c>
      <c r="CJ168" s="3" t="n">
        <v>0</v>
      </c>
      <c r="CK168" s="3" t="n">
        <v>0</v>
      </c>
      <c r="CL168" s="3" t="n">
        <v>0</v>
      </c>
      <c r="CM168" s="3" t="n">
        <v>0</v>
      </c>
      <c r="CN168" s="3" t="n">
        <v>0</v>
      </c>
      <c r="CO168" s="3" t="n">
        <v>0</v>
      </c>
      <c r="CP168" s="3" t="n">
        <v>0</v>
      </c>
      <c r="CQ168" s="3" t="n">
        <v>0</v>
      </c>
      <c r="CR168" s="3" t="n">
        <v>0</v>
      </c>
      <c r="CS168" s="3" t="n">
        <v>0</v>
      </c>
      <c r="CU168" s="20" t="inlineStr">
        <is>
          <t>egy.mit.vat.all.oop.6</t>
        </is>
      </c>
      <c r="CV168" s="3" t="n">
        <v>0</v>
      </c>
      <c r="CW168" s="3" t="n">
        <v>0</v>
      </c>
      <c r="CX168" s="3" t="n">
        <v>0</v>
      </c>
      <c r="CY168" s="3" t="n">
        <v>0</v>
      </c>
      <c r="CZ168" s="3" t="n">
        <v>0</v>
      </c>
      <c r="DA168" s="3" t="n">
        <v>0</v>
      </c>
      <c r="DB168" s="3" t="n">
        <v>0</v>
      </c>
      <c r="DC168" s="3" t="n">
        <v>0</v>
      </c>
      <c r="DD168" s="3" t="n">
        <v>0</v>
      </c>
      <c r="DE168" s="3" t="n">
        <v>0</v>
      </c>
      <c r="DF168" s="3" t="n">
        <v>0</v>
      </c>
      <c r="DG168" s="3" t="n">
        <v>0</v>
      </c>
      <c r="DH168" s="3" t="n">
        <v>0</v>
      </c>
      <c r="DI168" s="3" t="n">
        <v>0</v>
      </c>
      <c r="DJ168" s="3" t="n">
        <v>0</v>
      </c>
      <c r="DK168" s="3" t="n">
        <v>0</v>
      </c>
      <c r="DL168" s="3" t="n">
        <v>0</v>
      </c>
      <c r="DM168" s="3" t="n">
        <v>0</v>
      </c>
      <c r="DN168" s="3" t="n">
        <v>0</v>
      </c>
      <c r="DO168" s="3" t="n">
        <v>0</v>
      </c>
    </row>
    <row r="169">
      <c r="A169" s="19" t="inlineStr">
        <is>
          <t>mit.vat.all.gso</t>
        </is>
      </c>
      <c r="B169" s="3" t="inlineStr">
        <is>
          <t>mit</t>
        </is>
      </c>
      <c r="C169" s="19" t="inlineStr">
        <is>
          <t>mit.vat.all.gso.a</t>
        </is>
      </c>
      <c r="H169" s="3" t="inlineStr">
        <is>
          <t>VAT payment before new policies | All sectors | Gasoline</t>
        </is>
      </c>
      <c r="I169" s="3" t="inlineStr">
        <is>
          <t>USD/GJ real</t>
        </is>
      </c>
      <c r="K169" s="20" t="inlineStr">
        <is>
          <t>egy.mit.vat.all.gso.1</t>
        </is>
      </c>
      <c r="L169" s="3" t="n">
        <v>0</v>
      </c>
      <c r="M169" s="3" t="n">
        <v>0</v>
      </c>
      <c r="N169" s="3" t="n">
        <v>0</v>
      </c>
      <c r="O169" s="3" t="n">
        <v>0</v>
      </c>
      <c r="P169" s="3" t="n">
        <v>0</v>
      </c>
      <c r="Q169" s="3" t="n">
        <v>0</v>
      </c>
      <c r="R169" s="3" t="n">
        <v>0</v>
      </c>
      <c r="S169" s="3" t="n">
        <v>0</v>
      </c>
      <c r="T169" s="3" t="n">
        <v>0</v>
      </c>
      <c r="U169" s="3" t="n">
        <v>0</v>
      </c>
      <c r="V169" s="3" t="n">
        <v>0</v>
      </c>
      <c r="W169" s="3" t="n">
        <v>0</v>
      </c>
      <c r="X169" s="3" t="n">
        <v>0</v>
      </c>
      <c r="Y169" s="3" t="n">
        <v>0</v>
      </c>
      <c r="Z169" s="3" t="n">
        <v>0</v>
      </c>
      <c r="AA169" s="3" t="n">
        <v>0</v>
      </c>
      <c r="AB169" s="3" t="n">
        <v>0</v>
      </c>
      <c r="AC169" s="3" t="n">
        <v>0</v>
      </c>
      <c r="AD169" s="3" t="n">
        <v>0</v>
      </c>
      <c r="AE169" s="3" t="n">
        <v>0</v>
      </c>
      <c r="AG169" s="20" t="inlineStr">
        <is>
          <t>egy.mit.vat.all.gso.3</t>
        </is>
      </c>
      <c r="AH169" s="3" t="n">
        <v>0</v>
      </c>
      <c r="AI169" s="3" t="n">
        <v>0</v>
      </c>
      <c r="AJ169" s="3" t="n">
        <v>0</v>
      </c>
      <c r="AK169" s="3" t="n">
        <v>0</v>
      </c>
      <c r="AL169" s="3" t="n">
        <v>0</v>
      </c>
      <c r="AM169" s="3" t="n">
        <v>0</v>
      </c>
      <c r="AN169" s="3" t="n">
        <v>0</v>
      </c>
      <c r="AO169" s="3" t="n">
        <v>0</v>
      </c>
      <c r="AP169" s="3" t="n">
        <v>0</v>
      </c>
      <c r="AQ169" s="3" t="n">
        <v>0</v>
      </c>
      <c r="AR169" s="3" t="n">
        <v>0</v>
      </c>
      <c r="AS169" s="3" t="n">
        <v>0</v>
      </c>
      <c r="AT169" s="3" t="n">
        <v>0</v>
      </c>
      <c r="AU169" s="3" t="n">
        <v>0</v>
      </c>
      <c r="AV169" s="3" t="n">
        <v>0</v>
      </c>
      <c r="AW169" s="3" t="n">
        <v>0</v>
      </c>
      <c r="AX169" s="3" t="n">
        <v>0</v>
      </c>
      <c r="AY169" s="3" t="n">
        <v>0</v>
      </c>
      <c r="AZ169" s="3" t="n">
        <v>0</v>
      </c>
      <c r="BA169" s="3" t="n">
        <v>0</v>
      </c>
      <c r="BC169" s="20" t="inlineStr">
        <is>
          <t>egy.mit.vat.all.gso.4</t>
        </is>
      </c>
      <c r="BD169" s="3" t="n">
        <v>0</v>
      </c>
      <c r="BE169" s="3" t="n">
        <v>0</v>
      </c>
      <c r="BF169" s="3" t="n">
        <v>0</v>
      </c>
      <c r="BG169" s="3" t="n">
        <v>0</v>
      </c>
      <c r="BH169" s="3" t="n">
        <v>0</v>
      </c>
      <c r="BI169" s="3" t="n">
        <v>0</v>
      </c>
      <c r="BJ169" s="3" t="n">
        <v>0</v>
      </c>
      <c r="BK169" s="3" t="n">
        <v>0</v>
      </c>
      <c r="BL169" s="3" t="n">
        <v>0</v>
      </c>
      <c r="BM169" s="3" t="n">
        <v>0</v>
      </c>
      <c r="BN169" s="3" t="n">
        <v>0</v>
      </c>
      <c r="BO169" s="3" t="n">
        <v>0</v>
      </c>
      <c r="BP169" s="3" t="n">
        <v>0</v>
      </c>
      <c r="BQ169" s="3" t="n">
        <v>0</v>
      </c>
      <c r="BR169" s="3" t="n">
        <v>0</v>
      </c>
      <c r="BS169" s="3" t="n">
        <v>0</v>
      </c>
      <c r="BT169" s="3" t="n">
        <v>0</v>
      </c>
      <c r="BU169" s="3" t="n">
        <v>0</v>
      </c>
      <c r="BV169" s="3" t="n">
        <v>0</v>
      </c>
      <c r="BW169" s="3" t="n">
        <v>0</v>
      </c>
      <c r="BY169" s="20" t="inlineStr">
        <is>
          <t>egy.mit.vat.all.gso.5</t>
        </is>
      </c>
      <c r="BZ169" s="3" t="n">
        <v>0</v>
      </c>
      <c r="CA169" s="3" t="n">
        <v>0</v>
      </c>
      <c r="CB169" s="3" t="n">
        <v>0</v>
      </c>
      <c r="CC169" s="3" t="n">
        <v>0</v>
      </c>
      <c r="CD169" s="3" t="n">
        <v>0</v>
      </c>
      <c r="CE169" s="3" t="n">
        <v>0</v>
      </c>
      <c r="CF169" s="3" t="n">
        <v>0</v>
      </c>
      <c r="CG169" s="3" t="n">
        <v>0</v>
      </c>
      <c r="CH169" s="3" t="n">
        <v>0</v>
      </c>
      <c r="CI169" s="3" t="n">
        <v>0</v>
      </c>
      <c r="CJ169" s="3" t="n">
        <v>0</v>
      </c>
      <c r="CK169" s="3" t="n">
        <v>0</v>
      </c>
      <c r="CL169" s="3" t="n">
        <v>0</v>
      </c>
      <c r="CM169" s="3" t="n">
        <v>0</v>
      </c>
      <c r="CN169" s="3" t="n">
        <v>0</v>
      </c>
      <c r="CO169" s="3" t="n">
        <v>0</v>
      </c>
      <c r="CP169" s="3" t="n">
        <v>0</v>
      </c>
      <c r="CQ169" s="3" t="n">
        <v>0</v>
      </c>
      <c r="CR169" s="3" t="n">
        <v>0</v>
      </c>
      <c r="CS169" s="3" t="n">
        <v>0</v>
      </c>
      <c r="CU169" s="20" t="inlineStr">
        <is>
          <t>egy.mit.vat.all.gso.6</t>
        </is>
      </c>
      <c r="CV169" s="3" t="n">
        <v>0</v>
      </c>
      <c r="CW169" s="3" t="n">
        <v>0</v>
      </c>
      <c r="CX169" s="3" t="n">
        <v>0</v>
      </c>
      <c r="CY169" s="3" t="n">
        <v>0</v>
      </c>
      <c r="CZ169" s="3" t="n">
        <v>0</v>
      </c>
      <c r="DA169" s="3" t="n">
        <v>0</v>
      </c>
      <c r="DB169" s="3" t="n">
        <v>0</v>
      </c>
      <c r="DC169" s="3" t="n">
        <v>0</v>
      </c>
      <c r="DD169" s="3" t="n">
        <v>0</v>
      </c>
      <c r="DE169" s="3" t="n">
        <v>0</v>
      </c>
      <c r="DF169" s="3" t="n">
        <v>0</v>
      </c>
      <c r="DG169" s="3" t="n">
        <v>0</v>
      </c>
      <c r="DH169" s="3" t="n">
        <v>0</v>
      </c>
      <c r="DI169" s="3" t="n">
        <v>0</v>
      </c>
      <c r="DJ169" s="3" t="n">
        <v>0</v>
      </c>
      <c r="DK169" s="3" t="n">
        <v>0</v>
      </c>
      <c r="DL169" s="3" t="n">
        <v>0</v>
      </c>
      <c r="DM169" s="3" t="n">
        <v>0</v>
      </c>
      <c r="DN169" s="3" t="n">
        <v>0</v>
      </c>
      <c r="DO169" s="3" t="n">
        <v>0</v>
      </c>
    </row>
    <row r="170">
      <c r="A170" s="19" t="inlineStr">
        <is>
          <t>mit.vat.all.die</t>
        </is>
      </c>
      <c r="B170" s="3" t="inlineStr">
        <is>
          <t>mit</t>
        </is>
      </c>
      <c r="C170" s="19" t="inlineStr">
        <is>
          <t>mit.vat.all.die.a</t>
        </is>
      </c>
      <c r="H170" s="3" t="inlineStr">
        <is>
          <t>VAT payment before new policies | All sectors | Diesel</t>
        </is>
      </c>
      <c r="I170" s="3" t="inlineStr">
        <is>
          <t>USD/GJ real</t>
        </is>
      </c>
      <c r="K170" s="20" t="inlineStr">
        <is>
          <t>egy.mit.vat.all.die.1</t>
        </is>
      </c>
      <c r="L170" s="3" t="n">
        <v>0</v>
      </c>
      <c r="M170" s="3" t="n">
        <v>0</v>
      </c>
      <c r="N170" s="3" t="n">
        <v>0</v>
      </c>
      <c r="O170" s="3" t="n">
        <v>0</v>
      </c>
      <c r="P170" s="3" t="n">
        <v>0</v>
      </c>
      <c r="Q170" s="3" t="n">
        <v>0</v>
      </c>
      <c r="R170" s="3" t="n">
        <v>0</v>
      </c>
      <c r="S170" s="3" t="n">
        <v>0</v>
      </c>
      <c r="T170" s="3" t="n">
        <v>0</v>
      </c>
      <c r="U170" s="3" t="n">
        <v>0</v>
      </c>
      <c r="V170" s="3" t="n">
        <v>0</v>
      </c>
      <c r="W170" s="3" t="n">
        <v>0</v>
      </c>
      <c r="X170" s="3" t="n">
        <v>0</v>
      </c>
      <c r="Y170" s="3" t="n">
        <v>0</v>
      </c>
      <c r="Z170" s="3" t="n">
        <v>0</v>
      </c>
      <c r="AA170" s="3" t="n">
        <v>0</v>
      </c>
      <c r="AB170" s="3" t="n">
        <v>0</v>
      </c>
      <c r="AC170" s="3" t="n">
        <v>0</v>
      </c>
      <c r="AD170" s="3" t="n">
        <v>0</v>
      </c>
      <c r="AE170" s="3" t="n">
        <v>0</v>
      </c>
      <c r="AG170" s="20" t="inlineStr">
        <is>
          <t>egy.mit.vat.all.die.3</t>
        </is>
      </c>
      <c r="AH170" s="3" t="n">
        <v>0</v>
      </c>
      <c r="AI170" s="3" t="n">
        <v>0</v>
      </c>
      <c r="AJ170" s="3" t="n">
        <v>0</v>
      </c>
      <c r="AK170" s="3" t="n">
        <v>0</v>
      </c>
      <c r="AL170" s="3" t="n">
        <v>0</v>
      </c>
      <c r="AM170" s="3" t="n">
        <v>0</v>
      </c>
      <c r="AN170" s="3" t="n">
        <v>0</v>
      </c>
      <c r="AO170" s="3" t="n">
        <v>0</v>
      </c>
      <c r="AP170" s="3" t="n">
        <v>0</v>
      </c>
      <c r="AQ170" s="3" t="n">
        <v>0</v>
      </c>
      <c r="AR170" s="3" t="n">
        <v>0</v>
      </c>
      <c r="AS170" s="3" t="n">
        <v>0</v>
      </c>
      <c r="AT170" s="3" t="n">
        <v>0</v>
      </c>
      <c r="AU170" s="3" t="n">
        <v>0</v>
      </c>
      <c r="AV170" s="3" t="n">
        <v>0</v>
      </c>
      <c r="AW170" s="3" t="n">
        <v>0</v>
      </c>
      <c r="AX170" s="3" t="n">
        <v>0</v>
      </c>
      <c r="AY170" s="3" t="n">
        <v>0</v>
      </c>
      <c r="AZ170" s="3" t="n">
        <v>0</v>
      </c>
      <c r="BA170" s="3" t="n">
        <v>0</v>
      </c>
      <c r="BC170" s="20" t="inlineStr">
        <is>
          <t>egy.mit.vat.all.die.4</t>
        </is>
      </c>
      <c r="BD170" s="3" t="n">
        <v>0</v>
      </c>
      <c r="BE170" s="3" t="n">
        <v>0</v>
      </c>
      <c r="BF170" s="3" t="n">
        <v>0</v>
      </c>
      <c r="BG170" s="3" t="n">
        <v>0</v>
      </c>
      <c r="BH170" s="3" t="n">
        <v>0</v>
      </c>
      <c r="BI170" s="3" t="n">
        <v>0</v>
      </c>
      <c r="BJ170" s="3" t="n">
        <v>0</v>
      </c>
      <c r="BK170" s="3" t="n">
        <v>0</v>
      </c>
      <c r="BL170" s="3" t="n">
        <v>0</v>
      </c>
      <c r="BM170" s="3" t="n">
        <v>0</v>
      </c>
      <c r="BN170" s="3" t="n">
        <v>0</v>
      </c>
      <c r="BO170" s="3" t="n">
        <v>0</v>
      </c>
      <c r="BP170" s="3" t="n">
        <v>0</v>
      </c>
      <c r="BQ170" s="3" t="n">
        <v>0</v>
      </c>
      <c r="BR170" s="3" t="n">
        <v>0</v>
      </c>
      <c r="BS170" s="3" t="n">
        <v>0</v>
      </c>
      <c r="BT170" s="3" t="n">
        <v>0</v>
      </c>
      <c r="BU170" s="3" t="n">
        <v>0</v>
      </c>
      <c r="BV170" s="3" t="n">
        <v>0</v>
      </c>
      <c r="BW170" s="3" t="n">
        <v>0</v>
      </c>
      <c r="BY170" s="20" t="inlineStr">
        <is>
          <t>egy.mit.vat.all.die.5</t>
        </is>
      </c>
      <c r="BZ170" s="3" t="n">
        <v>0</v>
      </c>
      <c r="CA170" s="3" t="n">
        <v>0</v>
      </c>
      <c r="CB170" s="3" t="n">
        <v>0</v>
      </c>
      <c r="CC170" s="3" t="n">
        <v>0</v>
      </c>
      <c r="CD170" s="3" t="n">
        <v>0</v>
      </c>
      <c r="CE170" s="3" t="n">
        <v>0</v>
      </c>
      <c r="CF170" s="3" t="n">
        <v>0</v>
      </c>
      <c r="CG170" s="3" t="n">
        <v>0</v>
      </c>
      <c r="CH170" s="3" t="n">
        <v>0</v>
      </c>
      <c r="CI170" s="3" t="n">
        <v>0</v>
      </c>
      <c r="CJ170" s="3" t="n">
        <v>0</v>
      </c>
      <c r="CK170" s="3" t="n">
        <v>0</v>
      </c>
      <c r="CL170" s="3" t="n">
        <v>0</v>
      </c>
      <c r="CM170" s="3" t="n">
        <v>0</v>
      </c>
      <c r="CN170" s="3" t="n">
        <v>0</v>
      </c>
      <c r="CO170" s="3" t="n">
        <v>0</v>
      </c>
      <c r="CP170" s="3" t="n">
        <v>0</v>
      </c>
      <c r="CQ170" s="3" t="n">
        <v>0</v>
      </c>
      <c r="CR170" s="3" t="n">
        <v>0</v>
      </c>
      <c r="CS170" s="3" t="n">
        <v>0</v>
      </c>
      <c r="CU170" s="20" t="inlineStr">
        <is>
          <t>egy.mit.vat.all.die.6</t>
        </is>
      </c>
      <c r="CV170" s="3" t="n">
        <v>0</v>
      </c>
      <c r="CW170" s="3" t="n">
        <v>0</v>
      </c>
      <c r="CX170" s="3" t="n">
        <v>0</v>
      </c>
      <c r="CY170" s="3" t="n">
        <v>0</v>
      </c>
      <c r="CZ170" s="3" t="n">
        <v>0</v>
      </c>
      <c r="DA170" s="3" t="n">
        <v>0</v>
      </c>
      <c r="DB170" s="3" t="n">
        <v>0</v>
      </c>
      <c r="DC170" s="3" t="n">
        <v>0</v>
      </c>
      <c r="DD170" s="3" t="n">
        <v>0</v>
      </c>
      <c r="DE170" s="3" t="n">
        <v>0</v>
      </c>
      <c r="DF170" s="3" t="n">
        <v>0</v>
      </c>
      <c r="DG170" s="3" t="n">
        <v>0</v>
      </c>
      <c r="DH170" s="3" t="n">
        <v>0</v>
      </c>
      <c r="DI170" s="3" t="n">
        <v>0</v>
      </c>
      <c r="DJ170" s="3" t="n">
        <v>0</v>
      </c>
      <c r="DK170" s="3" t="n">
        <v>0</v>
      </c>
      <c r="DL170" s="3" t="n">
        <v>0</v>
      </c>
      <c r="DM170" s="3" t="n">
        <v>0</v>
      </c>
      <c r="DN170" s="3" t="n">
        <v>0</v>
      </c>
      <c r="DO170" s="3" t="n">
        <v>0</v>
      </c>
    </row>
    <row r="171">
      <c r="A171" s="19" t="inlineStr">
        <is>
          <t>mit.vat.all.lpg</t>
        </is>
      </c>
      <c r="B171" s="3" t="inlineStr">
        <is>
          <t>mit</t>
        </is>
      </c>
      <c r="C171" s="19" t="inlineStr">
        <is>
          <t>mit.vat.all.lpg.a</t>
        </is>
      </c>
      <c r="H171" s="3" t="inlineStr">
        <is>
          <t>VAT payment before new policies | All sectors | LPG</t>
        </is>
      </c>
      <c r="I171" s="3" t="inlineStr">
        <is>
          <t>USD/GJ real</t>
        </is>
      </c>
      <c r="K171" s="20" t="inlineStr">
        <is>
          <t>egy.mit.vat.all.lpg.1</t>
        </is>
      </c>
      <c r="L171" s="3" t="n">
        <v>0</v>
      </c>
      <c r="M171" s="3" t="n">
        <v>0</v>
      </c>
      <c r="N171" s="3" t="n">
        <v>0</v>
      </c>
      <c r="O171" s="3" t="n">
        <v>0</v>
      </c>
      <c r="P171" s="3" t="n">
        <v>0</v>
      </c>
      <c r="Q171" s="3" t="n">
        <v>0</v>
      </c>
      <c r="R171" s="3" t="n">
        <v>0</v>
      </c>
      <c r="S171" s="3" t="n">
        <v>0</v>
      </c>
      <c r="T171" s="3" t="n">
        <v>0</v>
      </c>
      <c r="U171" s="3" t="n">
        <v>0</v>
      </c>
      <c r="V171" s="3" t="n">
        <v>0</v>
      </c>
      <c r="W171" s="3" t="n">
        <v>0</v>
      </c>
      <c r="X171" s="3" t="n">
        <v>0</v>
      </c>
      <c r="Y171" s="3" t="n">
        <v>0</v>
      </c>
      <c r="Z171" s="3" t="n">
        <v>0</v>
      </c>
      <c r="AA171" s="3" t="n">
        <v>0</v>
      </c>
      <c r="AB171" s="3" t="n">
        <v>0</v>
      </c>
      <c r="AC171" s="3" t="n">
        <v>0</v>
      </c>
      <c r="AD171" s="3" t="n">
        <v>0</v>
      </c>
      <c r="AE171" s="3" t="n">
        <v>0</v>
      </c>
      <c r="AG171" s="20" t="inlineStr">
        <is>
          <t>egy.mit.vat.all.lpg.3</t>
        </is>
      </c>
      <c r="AH171" s="3" t="n">
        <v>0</v>
      </c>
      <c r="AI171" s="3" t="n">
        <v>0</v>
      </c>
      <c r="AJ171" s="3" t="n">
        <v>0</v>
      </c>
      <c r="AK171" s="3" t="n">
        <v>0</v>
      </c>
      <c r="AL171" s="3" t="n">
        <v>0</v>
      </c>
      <c r="AM171" s="3" t="n">
        <v>0</v>
      </c>
      <c r="AN171" s="3" t="n">
        <v>0</v>
      </c>
      <c r="AO171" s="3" t="n">
        <v>0</v>
      </c>
      <c r="AP171" s="3" t="n">
        <v>0</v>
      </c>
      <c r="AQ171" s="3" t="n">
        <v>0</v>
      </c>
      <c r="AR171" s="3" t="n">
        <v>0</v>
      </c>
      <c r="AS171" s="3" t="n">
        <v>0</v>
      </c>
      <c r="AT171" s="3" t="n">
        <v>0</v>
      </c>
      <c r="AU171" s="3" t="n">
        <v>0</v>
      </c>
      <c r="AV171" s="3" t="n">
        <v>0</v>
      </c>
      <c r="AW171" s="3" t="n">
        <v>0</v>
      </c>
      <c r="AX171" s="3" t="n">
        <v>0</v>
      </c>
      <c r="AY171" s="3" t="n">
        <v>0</v>
      </c>
      <c r="AZ171" s="3" t="n">
        <v>0</v>
      </c>
      <c r="BA171" s="3" t="n">
        <v>0</v>
      </c>
      <c r="BC171" s="20" t="inlineStr">
        <is>
          <t>egy.mit.vat.all.lpg.4</t>
        </is>
      </c>
      <c r="BD171" s="3" t="n">
        <v>0</v>
      </c>
      <c r="BE171" s="3" t="n">
        <v>0</v>
      </c>
      <c r="BF171" s="3" t="n">
        <v>0</v>
      </c>
      <c r="BG171" s="3" t="n">
        <v>0</v>
      </c>
      <c r="BH171" s="3" t="n">
        <v>0</v>
      </c>
      <c r="BI171" s="3" t="n">
        <v>0</v>
      </c>
      <c r="BJ171" s="3" t="n">
        <v>0</v>
      </c>
      <c r="BK171" s="3" t="n">
        <v>0</v>
      </c>
      <c r="BL171" s="3" t="n">
        <v>0</v>
      </c>
      <c r="BM171" s="3" t="n">
        <v>0</v>
      </c>
      <c r="BN171" s="3" t="n">
        <v>0</v>
      </c>
      <c r="BO171" s="3" t="n">
        <v>0</v>
      </c>
      <c r="BP171" s="3" t="n">
        <v>0</v>
      </c>
      <c r="BQ171" s="3" t="n">
        <v>0</v>
      </c>
      <c r="BR171" s="3" t="n">
        <v>0</v>
      </c>
      <c r="BS171" s="3" t="n">
        <v>0</v>
      </c>
      <c r="BT171" s="3" t="n">
        <v>0</v>
      </c>
      <c r="BU171" s="3" t="n">
        <v>0</v>
      </c>
      <c r="BV171" s="3" t="n">
        <v>0</v>
      </c>
      <c r="BW171" s="3" t="n">
        <v>0</v>
      </c>
      <c r="BY171" s="20" t="inlineStr">
        <is>
          <t>egy.mit.vat.all.lpg.5</t>
        </is>
      </c>
      <c r="BZ171" s="3" t="n">
        <v>0</v>
      </c>
      <c r="CA171" s="3" t="n">
        <v>0</v>
      </c>
      <c r="CB171" s="3" t="n">
        <v>0</v>
      </c>
      <c r="CC171" s="3" t="n">
        <v>0</v>
      </c>
      <c r="CD171" s="3" t="n">
        <v>0</v>
      </c>
      <c r="CE171" s="3" t="n">
        <v>0</v>
      </c>
      <c r="CF171" s="3" t="n">
        <v>0</v>
      </c>
      <c r="CG171" s="3" t="n">
        <v>0</v>
      </c>
      <c r="CH171" s="3" t="n">
        <v>0</v>
      </c>
      <c r="CI171" s="3" t="n">
        <v>0</v>
      </c>
      <c r="CJ171" s="3" t="n">
        <v>0</v>
      </c>
      <c r="CK171" s="3" t="n">
        <v>0</v>
      </c>
      <c r="CL171" s="3" t="n">
        <v>0</v>
      </c>
      <c r="CM171" s="3" t="n">
        <v>0</v>
      </c>
      <c r="CN171" s="3" t="n">
        <v>0</v>
      </c>
      <c r="CO171" s="3" t="n">
        <v>0</v>
      </c>
      <c r="CP171" s="3" t="n">
        <v>0</v>
      </c>
      <c r="CQ171" s="3" t="n">
        <v>0</v>
      </c>
      <c r="CR171" s="3" t="n">
        <v>0</v>
      </c>
      <c r="CS171" s="3" t="n">
        <v>0</v>
      </c>
      <c r="CU171" s="20" t="inlineStr">
        <is>
          <t>egy.mit.vat.all.lpg.6</t>
        </is>
      </c>
      <c r="CV171" s="3" t="n">
        <v>0</v>
      </c>
      <c r="CW171" s="3" t="n">
        <v>0</v>
      </c>
      <c r="CX171" s="3" t="n">
        <v>0</v>
      </c>
      <c r="CY171" s="3" t="n">
        <v>0</v>
      </c>
      <c r="CZ171" s="3" t="n">
        <v>0</v>
      </c>
      <c r="DA171" s="3" t="n">
        <v>0</v>
      </c>
      <c r="DB171" s="3" t="n">
        <v>0</v>
      </c>
      <c r="DC171" s="3" t="n">
        <v>0</v>
      </c>
      <c r="DD171" s="3" t="n">
        <v>0</v>
      </c>
      <c r="DE171" s="3" t="n">
        <v>0</v>
      </c>
      <c r="DF171" s="3" t="n">
        <v>0</v>
      </c>
      <c r="DG171" s="3" t="n">
        <v>0</v>
      </c>
      <c r="DH171" s="3" t="n">
        <v>0</v>
      </c>
      <c r="DI171" s="3" t="n">
        <v>0</v>
      </c>
      <c r="DJ171" s="3" t="n">
        <v>0</v>
      </c>
      <c r="DK171" s="3" t="n">
        <v>0</v>
      </c>
      <c r="DL171" s="3" t="n">
        <v>0</v>
      </c>
      <c r="DM171" s="3" t="n">
        <v>0</v>
      </c>
      <c r="DN171" s="3" t="n">
        <v>0</v>
      </c>
      <c r="DO171" s="3" t="n">
        <v>0</v>
      </c>
    </row>
    <row r="172">
      <c r="A172" s="19" t="inlineStr">
        <is>
          <t>mit.vat.all.ker</t>
        </is>
      </c>
      <c r="B172" s="3" t="inlineStr">
        <is>
          <t>mit</t>
        </is>
      </c>
      <c r="C172" s="19" t="inlineStr">
        <is>
          <t>mit.vat.all.ker.a</t>
        </is>
      </c>
      <c r="H172" s="3" t="inlineStr">
        <is>
          <t>VAT payment before new policies | All sectors | Kerosene</t>
        </is>
      </c>
      <c r="I172" s="3" t="inlineStr">
        <is>
          <t>USD/GJ real</t>
        </is>
      </c>
      <c r="K172" s="20" t="inlineStr">
        <is>
          <t>egy.mit.vat.all.ker.1</t>
        </is>
      </c>
      <c r="L172" s="3" t="n">
        <v>0</v>
      </c>
      <c r="M172" s="3" t="n">
        <v>0</v>
      </c>
      <c r="N172" s="3" t="n">
        <v>0</v>
      </c>
      <c r="O172" s="3" t="n">
        <v>0</v>
      </c>
      <c r="P172" s="3" t="n">
        <v>0</v>
      </c>
      <c r="Q172" s="3" t="n">
        <v>0</v>
      </c>
      <c r="R172" s="3" t="n">
        <v>0</v>
      </c>
      <c r="S172" s="3" t="n">
        <v>0</v>
      </c>
      <c r="T172" s="3" t="n">
        <v>0</v>
      </c>
      <c r="U172" s="3" t="n">
        <v>0</v>
      </c>
      <c r="V172" s="3" t="n">
        <v>0</v>
      </c>
      <c r="W172" s="3" t="n">
        <v>0</v>
      </c>
      <c r="X172" s="3" t="n">
        <v>0</v>
      </c>
      <c r="Y172" s="3" t="n">
        <v>0</v>
      </c>
      <c r="Z172" s="3" t="n">
        <v>0</v>
      </c>
      <c r="AA172" s="3" t="n">
        <v>0</v>
      </c>
      <c r="AB172" s="3" t="n">
        <v>0</v>
      </c>
      <c r="AC172" s="3" t="n">
        <v>0</v>
      </c>
      <c r="AD172" s="3" t="n">
        <v>0</v>
      </c>
      <c r="AE172" s="3" t="n">
        <v>0</v>
      </c>
      <c r="AG172" s="20" t="inlineStr">
        <is>
          <t>egy.mit.vat.all.ker.3</t>
        </is>
      </c>
      <c r="AH172" s="3" t="n">
        <v>0</v>
      </c>
      <c r="AI172" s="3" t="n">
        <v>0</v>
      </c>
      <c r="AJ172" s="3" t="n">
        <v>0</v>
      </c>
      <c r="AK172" s="3" t="n">
        <v>0</v>
      </c>
      <c r="AL172" s="3" t="n">
        <v>0</v>
      </c>
      <c r="AM172" s="3" t="n">
        <v>0</v>
      </c>
      <c r="AN172" s="3" t="n">
        <v>0</v>
      </c>
      <c r="AO172" s="3" t="n">
        <v>0</v>
      </c>
      <c r="AP172" s="3" t="n">
        <v>0</v>
      </c>
      <c r="AQ172" s="3" t="n">
        <v>0</v>
      </c>
      <c r="AR172" s="3" t="n">
        <v>0</v>
      </c>
      <c r="AS172" s="3" t="n">
        <v>0</v>
      </c>
      <c r="AT172" s="3" t="n">
        <v>0</v>
      </c>
      <c r="AU172" s="3" t="n">
        <v>0</v>
      </c>
      <c r="AV172" s="3" t="n">
        <v>0</v>
      </c>
      <c r="AW172" s="3" t="n">
        <v>0</v>
      </c>
      <c r="AX172" s="3" t="n">
        <v>0</v>
      </c>
      <c r="AY172" s="3" t="n">
        <v>0</v>
      </c>
      <c r="AZ172" s="3" t="n">
        <v>0</v>
      </c>
      <c r="BA172" s="3" t="n">
        <v>0</v>
      </c>
      <c r="BC172" s="20" t="inlineStr">
        <is>
          <t>egy.mit.vat.all.ker.4</t>
        </is>
      </c>
      <c r="BD172" s="3" t="n">
        <v>0</v>
      </c>
      <c r="BE172" s="3" t="n">
        <v>0</v>
      </c>
      <c r="BF172" s="3" t="n">
        <v>0</v>
      </c>
      <c r="BG172" s="3" t="n">
        <v>0</v>
      </c>
      <c r="BH172" s="3" t="n">
        <v>0</v>
      </c>
      <c r="BI172" s="3" t="n">
        <v>0</v>
      </c>
      <c r="BJ172" s="3" t="n">
        <v>0</v>
      </c>
      <c r="BK172" s="3" t="n">
        <v>0</v>
      </c>
      <c r="BL172" s="3" t="n">
        <v>0</v>
      </c>
      <c r="BM172" s="3" t="n">
        <v>0</v>
      </c>
      <c r="BN172" s="3" t="n">
        <v>0</v>
      </c>
      <c r="BO172" s="3" t="n">
        <v>0</v>
      </c>
      <c r="BP172" s="3" t="n">
        <v>0</v>
      </c>
      <c r="BQ172" s="3" t="n">
        <v>0</v>
      </c>
      <c r="BR172" s="3" t="n">
        <v>0</v>
      </c>
      <c r="BS172" s="3" t="n">
        <v>0</v>
      </c>
      <c r="BT172" s="3" t="n">
        <v>0</v>
      </c>
      <c r="BU172" s="3" t="n">
        <v>0</v>
      </c>
      <c r="BV172" s="3" t="n">
        <v>0</v>
      </c>
      <c r="BW172" s="3" t="n">
        <v>0</v>
      </c>
      <c r="BY172" s="20" t="inlineStr">
        <is>
          <t>egy.mit.vat.all.ker.5</t>
        </is>
      </c>
      <c r="BZ172" s="3" t="n">
        <v>0</v>
      </c>
      <c r="CA172" s="3" t="n">
        <v>0</v>
      </c>
      <c r="CB172" s="3" t="n">
        <v>0</v>
      </c>
      <c r="CC172" s="3" t="n">
        <v>0</v>
      </c>
      <c r="CD172" s="3" t="n">
        <v>0</v>
      </c>
      <c r="CE172" s="3" t="n">
        <v>0</v>
      </c>
      <c r="CF172" s="3" t="n">
        <v>0</v>
      </c>
      <c r="CG172" s="3" t="n">
        <v>0</v>
      </c>
      <c r="CH172" s="3" t="n">
        <v>0</v>
      </c>
      <c r="CI172" s="3" t="n">
        <v>0</v>
      </c>
      <c r="CJ172" s="3" t="n">
        <v>0</v>
      </c>
      <c r="CK172" s="3" t="n">
        <v>0</v>
      </c>
      <c r="CL172" s="3" t="n">
        <v>0</v>
      </c>
      <c r="CM172" s="3" t="n">
        <v>0</v>
      </c>
      <c r="CN172" s="3" t="n">
        <v>0</v>
      </c>
      <c r="CO172" s="3" t="n">
        <v>0</v>
      </c>
      <c r="CP172" s="3" t="n">
        <v>0</v>
      </c>
      <c r="CQ172" s="3" t="n">
        <v>0</v>
      </c>
      <c r="CR172" s="3" t="n">
        <v>0</v>
      </c>
      <c r="CS172" s="3" t="n">
        <v>0</v>
      </c>
      <c r="CU172" s="20" t="inlineStr">
        <is>
          <t>egy.mit.vat.all.ker.6</t>
        </is>
      </c>
      <c r="CV172" s="3" t="n">
        <v>0</v>
      </c>
      <c r="CW172" s="3" t="n">
        <v>0</v>
      </c>
      <c r="CX172" s="3" t="n">
        <v>0</v>
      </c>
      <c r="CY172" s="3" t="n">
        <v>0</v>
      </c>
      <c r="CZ172" s="3" t="n">
        <v>0</v>
      </c>
      <c r="DA172" s="3" t="n">
        <v>0</v>
      </c>
      <c r="DB172" s="3" t="n">
        <v>0</v>
      </c>
      <c r="DC172" s="3" t="n">
        <v>0</v>
      </c>
      <c r="DD172" s="3" t="n">
        <v>0</v>
      </c>
      <c r="DE172" s="3" t="n">
        <v>0</v>
      </c>
      <c r="DF172" s="3" t="n">
        <v>0</v>
      </c>
      <c r="DG172" s="3" t="n">
        <v>0</v>
      </c>
      <c r="DH172" s="3" t="n">
        <v>0</v>
      </c>
      <c r="DI172" s="3" t="n">
        <v>0</v>
      </c>
      <c r="DJ172" s="3" t="n">
        <v>0</v>
      </c>
      <c r="DK172" s="3" t="n">
        <v>0</v>
      </c>
      <c r="DL172" s="3" t="n">
        <v>0</v>
      </c>
      <c r="DM172" s="3" t="n">
        <v>0</v>
      </c>
      <c r="DN172" s="3" t="n">
        <v>0</v>
      </c>
      <c r="DO172" s="3" t="n">
        <v>0</v>
      </c>
    </row>
    <row r="173">
      <c r="A173" s="14" t="n"/>
      <c r="B173" s="3" t="inlineStr">
        <is>
          <t>mit</t>
        </is>
      </c>
      <c r="C173" s="19" t="inlineStr">
        <is>
          <t>mit.ctx.ind.ecy.t</t>
        </is>
      </c>
      <c r="H173" s="14" t="inlineStr">
        <is>
          <t>Electricity, Current Carbon Tax in industry, ($/kWh)</t>
        </is>
      </c>
      <c r="I173" s="14" t="inlineStr">
        <is>
          <t>usdkwh</t>
        </is>
      </c>
    </row>
    <row r="174">
      <c r="A174" s="14" t="n"/>
      <c r="B174" s="3" t="inlineStr">
        <is>
          <t>mit</t>
        </is>
      </c>
      <c r="C174" s="19" t="inlineStr">
        <is>
          <t>mit.ctx.res.ecy.t</t>
        </is>
      </c>
      <c r="H174" s="14" t="inlineStr">
        <is>
          <t>Electricity, Current Carbon Tax in residential use, ($/kWh)</t>
        </is>
      </c>
      <c r="I174" s="14" t="inlineStr">
        <is>
          <t>usdkwh</t>
        </is>
      </c>
    </row>
    <row r="175">
      <c r="A175" s="14" t="n"/>
      <c r="B175" s="3" t="inlineStr">
        <is>
          <t>mit</t>
        </is>
      </c>
      <c r="C175" s="19" t="inlineStr">
        <is>
          <t>mit.ctx.ind.coa.a</t>
        </is>
      </c>
      <c r="H175" s="14" t="inlineStr">
        <is>
          <t>Coal, Current Carbon Tax in industry, ($/GJ)</t>
        </is>
      </c>
      <c r="I175" s="14" t="inlineStr">
        <is>
          <t>usdgj</t>
        </is>
      </c>
    </row>
    <row r="176">
      <c r="A176" s="14" t="n"/>
      <c r="B176" s="3" t="inlineStr">
        <is>
          <t>mit</t>
        </is>
      </c>
      <c r="C176" s="19" t="inlineStr">
        <is>
          <t>mit.ctx.ind.nga.a</t>
        </is>
      </c>
      <c r="H176" s="14" t="inlineStr">
        <is>
          <t>Natural gas, Current Carbon Tax in industry, ($/GJ)</t>
        </is>
      </c>
      <c r="I176" s="14" t="inlineStr">
        <is>
          <t>usdgj</t>
        </is>
      </c>
    </row>
    <row r="177">
      <c r="A177" s="14" t="n"/>
      <c r="B177" s="3" t="inlineStr">
        <is>
          <t>mit</t>
        </is>
      </c>
      <c r="C177" s="19" t="inlineStr">
        <is>
          <t>mit.ctx.res.coa.a</t>
        </is>
      </c>
      <c r="H177" s="14" t="inlineStr">
        <is>
          <t>Coal, Current Carbon Tax in residential use, ($/GJ)</t>
        </is>
      </c>
      <c r="I177" s="14" t="inlineStr">
        <is>
          <t>usdgj</t>
        </is>
      </c>
    </row>
    <row r="178">
      <c r="A178" s="14" t="n"/>
      <c r="B178" s="3" t="inlineStr">
        <is>
          <t>mit</t>
        </is>
      </c>
      <c r="C178" s="19" t="inlineStr">
        <is>
          <t>mit.ctx.res.nga.a</t>
        </is>
      </c>
      <c r="H178" s="14" t="inlineStr">
        <is>
          <t>Natural gas, Current Carbon Tax in residential use, ($/GJ)</t>
        </is>
      </c>
      <c r="I178" s="14" t="inlineStr">
        <is>
          <t>usdgj</t>
        </is>
      </c>
    </row>
    <row r="179">
      <c r="A179" s="14" t="n"/>
      <c r="B179" s="3" t="inlineStr">
        <is>
          <t>mit</t>
        </is>
      </c>
      <c r="C179" s="19" t="inlineStr">
        <is>
          <t>mit.ctx.pow.coa.a</t>
        </is>
      </c>
      <c r="H179" s="14" t="inlineStr">
        <is>
          <t>Coal, Current Carbon Tax in power sector, ($/GJ)</t>
        </is>
      </c>
      <c r="I179" s="14" t="inlineStr">
        <is>
          <t>usdgj</t>
        </is>
      </c>
    </row>
    <row r="180">
      <c r="A180" s="14" t="n"/>
      <c r="B180" s="3" t="inlineStr">
        <is>
          <t>mit</t>
        </is>
      </c>
      <c r="C180" s="19" t="inlineStr">
        <is>
          <t>mit.ctx.pow.nga.a</t>
        </is>
      </c>
      <c r="H180" s="14" t="inlineStr">
        <is>
          <t>Natural gas, Current Carbon Tax in power sector, ($/GJ)</t>
        </is>
      </c>
      <c r="I180" s="14" t="inlineStr">
        <is>
          <t>usdgj</t>
        </is>
      </c>
    </row>
    <row r="181">
      <c r="A181" s="14" t="n"/>
      <c r="B181" s="3" t="inlineStr">
        <is>
          <t>mit</t>
        </is>
      </c>
      <c r="C181" s="19" t="inlineStr">
        <is>
          <t>mit.ctx.all.oop.a</t>
        </is>
      </c>
      <c r="H181" s="14" t="inlineStr">
        <is>
          <t>Oil, Current Carbon Tax, ($/bbl)</t>
        </is>
      </c>
      <c r="I181" s="14" t="inlineStr">
        <is>
          <t>bbusdl</t>
        </is>
      </c>
    </row>
    <row r="182">
      <c r="A182" s="14" t="n"/>
      <c r="B182" s="3" t="inlineStr">
        <is>
          <t>mit</t>
        </is>
      </c>
      <c r="C182" s="19" t="inlineStr">
        <is>
          <t>mit.ctx.all.gso.a</t>
        </is>
      </c>
      <c r="H182" s="14" t="inlineStr">
        <is>
          <t>Gasoline, Current Carbon Tax, ($/liter)</t>
        </is>
      </c>
      <c r="I182" s="14" t="inlineStr">
        <is>
          <t>usdl</t>
        </is>
      </c>
    </row>
    <row r="183">
      <c r="A183" s="14" t="n"/>
      <c r="B183" s="3" t="inlineStr">
        <is>
          <t>mit</t>
        </is>
      </c>
      <c r="C183" s="19" t="inlineStr">
        <is>
          <t>mit.ctx.all.die.a</t>
        </is>
      </c>
      <c r="H183" s="14" t="inlineStr">
        <is>
          <t>Diesel, Current Carbon Tax, ($/liter)</t>
        </is>
      </c>
      <c r="I183" s="14" t="inlineStr">
        <is>
          <t>usdl</t>
        </is>
      </c>
    </row>
    <row r="184">
      <c r="A184" s="14" t="n"/>
      <c r="B184" s="3" t="inlineStr">
        <is>
          <t>mit</t>
        </is>
      </c>
      <c r="C184" s="19" t="inlineStr">
        <is>
          <t>mit.ctx.all.lpg.a</t>
        </is>
      </c>
      <c r="H184" s="14" t="inlineStr">
        <is>
          <t>LPG, Current Carbon Tax, ($/liter)</t>
        </is>
      </c>
      <c r="I184" s="14" t="inlineStr">
        <is>
          <t>usdl</t>
        </is>
      </c>
    </row>
    <row r="185">
      <c r="A185" s="14" t="n"/>
      <c r="B185" s="3" t="inlineStr">
        <is>
          <t>mit</t>
        </is>
      </c>
      <c r="C185" s="19" t="inlineStr">
        <is>
          <t>mit.ctx.all.ker.a</t>
        </is>
      </c>
      <c r="H185" s="14" t="inlineStr">
        <is>
          <t>Kerosene, Current Carbon Tax, ($/liter)</t>
        </is>
      </c>
      <c r="I185" s="14" t="inlineStr">
        <is>
          <t>usdl</t>
        </is>
      </c>
    </row>
    <row r="186">
      <c r="A186" s="14" t="n"/>
      <c r="B186" s="3" t="inlineStr">
        <is>
          <t>mit</t>
        </is>
      </c>
      <c r="C186" s="19" t="inlineStr">
        <is>
          <t>mit.ets.ind.ecy.t</t>
        </is>
      </c>
      <c r="H186" s="14" t="inlineStr">
        <is>
          <t>Electricity, Current ETS in industry, ($/kWh)</t>
        </is>
      </c>
      <c r="I186" s="14" t="inlineStr">
        <is>
          <t>usdkwh</t>
        </is>
      </c>
    </row>
    <row r="187">
      <c r="A187" s="14" t="n"/>
      <c r="B187" s="3" t="inlineStr">
        <is>
          <t>mit</t>
        </is>
      </c>
      <c r="C187" s="19" t="inlineStr">
        <is>
          <t>mit.ets.res.ecy.t</t>
        </is>
      </c>
      <c r="H187" s="14" t="inlineStr">
        <is>
          <t>Electricity, Current ETS in residential use, ($/kWh)</t>
        </is>
      </c>
      <c r="I187" s="14" t="inlineStr">
        <is>
          <t>usdkwh</t>
        </is>
      </c>
    </row>
    <row r="188">
      <c r="A188" s="14" t="n"/>
      <c r="B188" s="3" t="inlineStr">
        <is>
          <t>mit</t>
        </is>
      </c>
      <c r="C188" s="19" t="inlineStr">
        <is>
          <t>mit.ets.ind.coa.a</t>
        </is>
      </c>
      <c r="H188" s="14" t="inlineStr">
        <is>
          <t>Coal, Current ETS in industry, ($/GJ)</t>
        </is>
      </c>
      <c r="I188" s="14" t="inlineStr">
        <is>
          <t>usdgj</t>
        </is>
      </c>
    </row>
    <row r="189">
      <c r="A189" s="14" t="n"/>
      <c r="B189" s="3" t="inlineStr">
        <is>
          <t>mit</t>
        </is>
      </c>
      <c r="C189" s="19" t="inlineStr">
        <is>
          <t>mit.ets.ind.nga.a</t>
        </is>
      </c>
      <c r="H189" s="14" t="inlineStr">
        <is>
          <t>Natural gas, Current ETS in industry, ($/GJ)</t>
        </is>
      </c>
      <c r="I189" s="14" t="inlineStr">
        <is>
          <t>usdgj</t>
        </is>
      </c>
    </row>
    <row r="190">
      <c r="A190" s="14" t="n"/>
      <c r="B190" s="3" t="inlineStr">
        <is>
          <t>mit</t>
        </is>
      </c>
      <c r="C190" s="19" t="inlineStr">
        <is>
          <t>mit.ets.res.coa.a</t>
        </is>
      </c>
      <c r="H190" s="14" t="inlineStr">
        <is>
          <t>Coal, Current ETS in residential use, ($/GJ)</t>
        </is>
      </c>
      <c r="I190" s="14" t="inlineStr">
        <is>
          <t>usdgj</t>
        </is>
      </c>
    </row>
    <row r="191">
      <c r="A191" s="14" t="n"/>
      <c r="B191" s="3" t="inlineStr">
        <is>
          <t>mit</t>
        </is>
      </c>
      <c r="C191" s="19" t="inlineStr">
        <is>
          <t>mit.ets.res.nga.a</t>
        </is>
      </c>
      <c r="H191" s="14" t="inlineStr">
        <is>
          <t>Natural gas, Current ETS in residential use, ($/GJ)</t>
        </is>
      </c>
      <c r="I191" s="14" t="inlineStr">
        <is>
          <t>usdgj</t>
        </is>
      </c>
    </row>
    <row r="192">
      <c r="A192" s="14" t="n"/>
      <c r="B192" s="3" t="inlineStr">
        <is>
          <t>mit</t>
        </is>
      </c>
      <c r="C192" s="19" t="inlineStr">
        <is>
          <t>mit.ets.pow.coa.a</t>
        </is>
      </c>
      <c r="H192" s="14" t="inlineStr">
        <is>
          <t>Coal, Current ETS in power sector, ($/GJ)</t>
        </is>
      </c>
      <c r="I192" s="14" t="inlineStr">
        <is>
          <t>usdgj</t>
        </is>
      </c>
    </row>
    <row r="193">
      <c r="A193" s="14" t="n"/>
      <c r="B193" s="3" t="inlineStr">
        <is>
          <t>mit</t>
        </is>
      </c>
      <c r="C193" s="19" t="inlineStr">
        <is>
          <t>mit.ets.pow.nga.a</t>
        </is>
      </c>
      <c r="H193" s="14" t="inlineStr">
        <is>
          <t>Natural gas, Current ETS in power sector, ($/GJ)</t>
        </is>
      </c>
      <c r="I193" s="14" t="inlineStr">
        <is>
          <t>usdgj</t>
        </is>
      </c>
    </row>
    <row r="194">
      <c r="A194" s="14" t="n"/>
      <c r="B194" s="3" t="inlineStr">
        <is>
          <t>mit</t>
        </is>
      </c>
      <c r="C194" s="19" t="inlineStr">
        <is>
          <t>mit.ets.all.oop.a</t>
        </is>
      </c>
      <c r="H194" s="14" t="inlineStr">
        <is>
          <t>Oil, Current ETS, ($/bbl)</t>
        </is>
      </c>
      <c r="I194" s="14" t="inlineStr">
        <is>
          <t>bbusdl</t>
        </is>
      </c>
    </row>
    <row r="195">
      <c r="A195" s="14" t="n"/>
      <c r="B195" s="3" t="inlineStr">
        <is>
          <t>mit</t>
        </is>
      </c>
      <c r="C195" s="19" t="inlineStr">
        <is>
          <t>mit.ets.all.gso.a</t>
        </is>
      </c>
      <c r="H195" s="14" t="inlineStr">
        <is>
          <t>Gasoline, Current ETS, ($/liter)</t>
        </is>
      </c>
      <c r="I195" s="14" t="inlineStr">
        <is>
          <t>usdl</t>
        </is>
      </c>
    </row>
    <row r="196">
      <c r="A196" s="14" t="n"/>
      <c r="B196" s="3" t="inlineStr">
        <is>
          <t>mit</t>
        </is>
      </c>
      <c r="C196" s="19" t="inlineStr">
        <is>
          <t>mit.ets.all.die.a</t>
        </is>
      </c>
      <c r="H196" s="14" t="inlineStr">
        <is>
          <t>Diesel, Current ETS, ($/liter)</t>
        </is>
      </c>
      <c r="I196" s="14" t="inlineStr">
        <is>
          <t>usdl</t>
        </is>
      </c>
    </row>
    <row r="197">
      <c r="A197" s="14" t="n"/>
      <c r="B197" s="3" t="inlineStr">
        <is>
          <t>mit</t>
        </is>
      </c>
      <c r="C197" s="19" t="inlineStr">
        <is>
          <t>mit.ets.all.lpg.a</t>
        </is>
      </c>
      <c r="H197" s="14" t="inlineStr">
        <is>
          <t>LPG, Current ETS, ($/liter)</t>
        </is>
      </c>
      <c r="I197" s="14" t="inlineStr">
        <is>
          <t>usdl</t>
        </is>
      </c>
    </row>
    <row r="198">
      <c r="A198" s="14" t="n"/>
      <c r="B198" s="3" t="inlineStr">
        <is>
          <t>mit</t>
        </is>
      </c>
      <c r="C198" s="19" t="inlineStr">
        <is>
          <t>mit.ets.all.ker.a</t>
        </is>
      </c>
      <c r="H198" s="14" t="inlineStr">
        <is>
          <t>Kerosene, Current ETS, ($/liter)</t>
        </is>
      </c>
      <c r="I198" s="14" t="inlineStr">
        <is>
          <t>usdl</t>
        </is>
      </c>
    </row>
    <row r="199">
      <c r="A199" s="5" t="n"/>
      <c r="B199" s="18" t="inlineStr">
        <is>
          <t>Total Carbon Price</t>
        </is>
      </c>
      <c r="C199" s="5" t="n"/>
      <c r="D199" s="5" t="n"/>
      <c r="E199" s="5" t="n"/>
      <c r="F199" s="5" t="n"/>
      <c r="G199" s="5" t="n"/>
      <c r="H199" s="5" t="n"/>
      <c r="I199" s="5" t="n"/>
      <c r="J199" s="5" t="n"/>
      <c r="K199" s="5" t="n"/>
      <c r="L199" s="5" t="n"/>
      <c r="M199" s="5" t="n"/>
      <c r="N199" s="5" t="n"/>
      <c r="O199" s="5" t="n"/>
      <c r="P199" s="5" t="n"/>
      <c r="Q199" s="5" t="n"/>
      <c r="R199" s="5" t="n"/>
      <c r="S199" s="5" t="n"/>
      <c r="T199" s="5" t="n"/>
      <c r="U199" s="5" t="n"/>
      <c r="V199" s="5" t="n"/>
      <c r="W199" s="5" t="n"/>
      <c r="X199" s="5" t="n"/>
      <c r="Y199" s="5" t="n"/>
      <c r="Z199" s="5" t="n"/>
      <c r="AA199" s="5" t="n"/>
      <c r="AB199" s="5" t="n"/>
      <c r="AC199" s="5" t="n"/>
      <c r="AD199" s="5" t="n"/>
      <c r="AE199" s="5" t="n"/>
      <c r="AF199" s="5" t="n"/>
      <c r="AG199" s="5" t="n"/>
      <c r="AH199" s="5" t="n"/>
      <c r="AI199" s="5" t="n"/>
      <c r="AJ199" s="5" t="n"/>
      <c r="AK199" s="5" t="n"/>
      <c r="AL199" s="5" t="n"/>
      <c r="AM199" s="5" t="n"/>
      <c r="AN199" s="5" t="n"/>
      <c r="AO199" s="5" t="n"/>
      <c r="AP199" s="5" t="n"/>
      <c r="AQ199" s="5" t="n"/>
      <c r="AR199" s="5" t="n"/>
      <c r="AS199" s="5" t="n"/>
      <c r="AT199" s="5" t="n"/>
      <c r="AU199" s="5" t="n"/>
      <c r="AV199" s="5" t="n"/>
      <c r="AW199" s="5" t="n"/>
      <c r="AX199" s="5" t="n"/>
      <c r="AY199" s="5" t="n"/>
      <c r="AZ199" s="5" t="n"/>
      <c r="BA199" s="5" t="n"/>
      <c r="BB199" s="5" t="n"/>
      <c r="BC199" s="5" t="n"/>
      <c r="BD199" s="5" t="n"/>
      <c r="BE199" s="5" t="n"/>
      <c r="BF199" s="5" t="n"/>
      <c r="BG199" s="5" t="n"/>
      <c r="BH199" s="5" t="n"/>
      <c r="BI199" s="5" t="n"/>
      <c r="BJ199" s="5" t="n"/>
      <c r="BK199" s="5" t="n"/>
      <c r="BL199" s="5" t="n"/>
      <c r="BM199" s="5" t="n"/>
      <c r="BN199" s="5" t="n"/>
      <c r="BO199" s="5" t="n"/>
      <c r="BP199" s="5" t="n"/>
      <c r="BQ199" s="5" t="n"/>
      <c r="BR199" s="5" t="n"/>
      <c r="BS199" s="5" t="n"/>
      <c r="BT199" s="5" t="n"/>
      <c r="BU199" s="5" t="n"/>
      <c r="BV199" s="5" t="n"/>
      <c r="BW199" s="5" t="n"/>
      <c r="BX199" s="5" t="n"/>
      <c r="BY199" s="5" t="n"/>
      <c r="BZ199" s="5" t="n"/>
      <c r="CA199" s="5" t="n"/>
      <c r="CB199" s="5" t="n"/>
      <c r="CC199" s="5" t="n"/>
      <c r="CD199" s="5" t="n"/>
      <c r="CE199" s="5" t="n"/>
      <c r="CF199" s="5" t="n"/>
      <c r="CG199" s="5" t="n"/>
      <c r="CH199" s="5" t="n"/>
      <c r="CI199" s="5" t="n"/>
      <c r="CJ199" s="5" t="n"/>
      <c r="CK199" s="5" t="n"/>
      <c r="CL199" s="5" t="n"/>
      <c r="CM199" s="5" t="n"/>
      <c r="CN199" s="5" t="n"/>
      <c r="CO199" s="5" t="n"/>
      <c r="CP199" s="5" t="n"/>
      <c r="CQ199" s="5" t="n"/>
      <c r="CR199" s="5" t="n"/>
      <c r="CS199" s="5" t="n"/>
      <c r="CT199" s="5" t="n"/>
      <c r="CU199" s="5" t="n"/>
      <c r="CV199" s="5" t="n"/>
      <c r="CW199" s="5" t="n"/>
      <c r="CX199" s="5" t="n"/>
      <c r="CY199" s="5" t="n"/>
      <c r="CZ199" s="5" t="n"/>
      <c r="DA199" s="5" t="n"/>
      <c r="DB199" s="5" t="n"/>
      <c r="DC199" s="5" t="n"/>
      <c r="DD199" s="5" t="n"/>
      <c r="DE199" s="5" t="n"/>
      <c r="DF199" s="5" t="n"/>
      <c r="DG199" s="5" t="n"/>
      <c r="DH199" s="5" t="n"/>
      <c r="DI199" s="5" t="n"/>
      <c r="DJ199" s="5" t="n"/>
      <c r="DK199" s="5" t="n"/>
      <c r="DL199" s="5" t="n"/>
      <c r="DM199" s="5" t="n"/>
      <c r="DN199" s="5" t="n"/>
      <c r="DO199" s="5" t="n"/>
      <c r="DP199" s="5" t="n"/>
      <c r="DQ199" s="5" t="n"/>
      <c r="DR199" s="5" t="n"/>
      <c r="DS199" s="5" t="n"/>
      <c r="DT199" s="5" t="n"/>
      <c r="DU199" s="5" t="n"/>
      <c r="DV199" s="5" t="n"/>
      <c r="DW199" s="5" t="n"/>
      <c r="DX199" s="5" t="n"/>
      <c r="DY199" s="5" t="n"/>
      <c r="DZ199" s="5" t="n"/>
      <c r="EA199" s="5" t="n"/>
      <c r="EB199" s="5" t="n"/>
      <c r="EC199" s="5" t="n"/>
      <c r="ED199" s="5" t="n"/>
      <c r="EE199" s="5" t="n"/>
      <c r="EF199" s="5" t="n"/>
      <c r="EG199" s="5" t="n"/>
      <c r="EH199" s="5" t="n"/>
      <c r="EI199" s="5" t="n"/>
      <c r="EJ199" s="5" t="n"/>
      <c r="EK199" s="5" t="n"/>
      <c r="EL199" s="5" t="n"/>
      <c r="EM199" s="5" t="n"/>
      <c r="EN199" s="5" t="n"/>
      <c r="EO199" s="5" t="n"/>
      <c r="EP199" s="5" t="n"/>
      <c r="EQ199" s="5" t="n"/>
      <c r="ER199" s="5" t="n"/>
      <c r="ES199" s="5" t="n"/>
      <c r="ET199" s="5" t="n"/>
      <c r="EU199" s="5" t="n"/>
      <c r="EV199" s="5" t="n"/>
      <c r="EW199" s="5" t="n"/>
      <c r="EX199" s="5" t="n"/>
      <c r="EY199" s="5" t="n"/>
      <c r="EZ199" s="5" t="n"/>
      <c r="FA199" s="5" t="n"/>
      <c r="FB199" s="5" t="n"/>
      <c r="FC199" s="5" t="n"/>
      <c r="FD199" s="5" t="n"/>
      <c r="FE199" s="5" t="n"/>
      <c r="FF199" s="5" t="n"/>
      <c r="FG199" s="5" t="n"/>
      <c r="FH199" s="5" t="n"/>
      <c r="FI199" s="5" t="n"/>
      <c r="FJ199" s="5" t="n"/>
      <c r="FK199" s="5" t="n"/>
      <c r="FL199" s="5" t="n"/>
      <c r="FM199" s="5" t="n"/>
      <c r="FN199" s="5" t="n"/>
      <c r="FO199" s="5" t="n"/>
      <c r="FP199" s="5" t="n"/>
      <c r="FQ199" s="5" t="n"/>
      <c r="FR199" s="5" t="n"/>
      <c r="FS199" s="5" t="n"/>
      <c r="FT199" s="5" t="n"/>
      <c r="FU199" s="5" t="n"/>
      <c r="FV199" s="5" t="n"/>
      <c r="FW199" s="5" t="n"/>
      <c r="FX199" s="5" t="n"/>
      <c r="FY199" s="5" t="n"/>
      <c r="FZ199" s="5" t="n"/>
      <c r="GA199" s="5" t="n"/>
      <c r="GB199" s="5" t="n"/>
      <c r="GC199" s="5" t="n"/>
      <c r="GD199" s="5" t="n"/>
      <c r="GE199" s="5" t="n"/>
      <c r="GF199" s="5" t="n"/>
      <c r="GG199" s="5" t="n"/>
      <c r="GH199" s="5" t="n"/>
      <c r="GI199" s="5" t="n"/>
      <c r="GJ199" s="5" t="n"/>
      <c r="GK199" s="5" t="n"/>
      <c r="GL199" s="5" t="n"/>
      <c r="GM199" s="5" t="n"/>
      <c r="GN199" s="5" t="n"/>
      <c r="GO199" s="5" t="n"/>
      <c r="GP199" s="5" t="n"/>
      <c r="GQ199" s="5" t="n"/>
      <c r="GR199" s="5" t="n"/>
      <c r="GS199" s="5" t="n"/>
      <c r="GT199" s="5" t="n"/>
      <c r="GU199" s="5" t="n"/>
      <c r="GV199" s="5" t="n"/>
      <c r="GW199" s="5" t="n"/>
      <c r="GX199" s="5" t="n"/>
      <c r="GY199" s="5" t="n"/>
      <c r="GZ199" s="5" t="n"/>
      <c r="HA199" s="5" t="n"/>
      <c r="HB199" s="5" t="n"/>
      <c r="HC199" s="5" t="n"/>
      <c r="HD199" s="5" t="n"/>
      <c r="HE199" s="5" t="n"/>
      <c r="HF199" s="5" t="n"/>
      <c r="HG199" s="5" t="n"/>
      <c r="HH199" s="5" t="n"/>
      <c r="HI199" s="5" t="n"/>
      <c r="HJ199" s="5" t="n"/>
      <c r="HK199" s="5" t="n"/>
      <c r="HL199" s="5" t="n"/>
      <c r="HM199" s="5" t="n"/>
      <c r="HN199" s="5" t="n"/>
      <c r="HO199" s="5" t="n"/>
      <c r="HP199" s="5" t="n"/>
      <c r="HQ199" s="5" t="n"/>
      <c r="HR199" s="5" t="n"/>
      <c r="HS199" s="5" t="n"/>
      <c r="HT199" s="5" t="n"/>
      <c r="HU199" s="5" t="n"/>
      <c r="HV199" s="5" t="n"/>
    </row>
    <row r="200">
      <c r="A200" s="19" t="inlineStr">
        <is>
          <t>mit.tcp.all.coa</t>
        </is>
      </c>
      <c r="B200" s="3" t="inlineStr">
        <is>
          <t>mit</t>
        </is>
      </c>
      <c r="C200" s="19" t="inlineStr">
        <is>
          <t>mit.tcp.all.coa.a</t>
        </is>
      </c>
      <c r="H200" s="3" t="inlineStr">
        <is>
          <t>Implicit carbon price by fuel: existing taxes, subsidies and new policies per tonne of CO2 | All sectors | Coal</t>
        </is>
      </c>
      <c r="I200" s="3" t="inlineStr">
        <is>
          <t>USD/tCO2</t>
        </is>
      </c>
      <c r="K200" s="20" t="inlineStr">
        <is>
          <t>egy.mit.tcp.all.coa.1</t>
        </is>
      </c>
      <c r="L200" s="3" t="n">
        <v>3.556280715866161</v>
      </c>
      <c r="M200" s="3" t="n">
        <v>2.199278794880199</v>
      </c>
      <c r="N200" s="3" t="n">
        <v>1.688318251472334</v>
      </c>
      <c r="O200" s="3" t="n">
        <v>1.686489981755767</v>
      </c>
      <c r="P200" s="3" t="n">
        <v>1.687282428349372</v>
      </c>
      <c r="Q200" s="3" t="n">
        <v>1.687338405898784</v>
      </c>
      <c r="R200" s="3" t="n">
        <v>1.687072598630095</v>
      </c>
      <c r="S200" s="3" t="n">
        <v>1.686814468682673</v>
      </c>
      <c r="T200" s="3" t="n">
        <v>1.686565206015447</v>
      </c>
      <c r="U200" s="3" t="n">
        <v>1.686325277114583</v>
      </c>
      <c r="V200" s="3" t="n">
        <v>1.6861929777166</v>
      </c>
      <c r="W200" s="3" t="n">
        <v>1.686063604497614</v>
      </c>
      <c r="X200" s="3" t="n">
        <v>1.68593707273247</v>
      </c>
      <c r="Y200" s="3" t="n">
        <v>1.685813300684612</v>
      </c>
      <c r="Z200" s="3" t="n">
        <v>1.685692209524285</v>
      </c>
      <c r="AA200" s="3" t="n">
        <v>1.685573723247825</v>
      </c>
      <c r="AB200" s="3" t="n">
        <v>1.685457768598213</v>
      </c>
      <c r="AC200" s="3" t="n">
        <v>1.685344274987053</v>
      </c>
      <c r="AD200" s="3" t="n">
        <v>1.685233174418127</v>
      </c>
      <c r="AE200" s="3" t="n">
        <v>1.685124401412617</v>
      </c>
      <c r="AG200" s="20" t="inlineStr">
        <is>
          <t>egy.mit.tcp.all.coa.3</t>
        </is>
      </c>
      <c r="AH200" s="3" t="n">
        <v>3.556280715866161</v>
      </c>
      <c r="AI200" s="3" t="n">
        <v>2.199278794880199</v>
      </c>
      <c r="AJ200" s="3" t="n">
        <v>1.688318251472334</v>
      </c>
      <c r="AK200" s="3" t="n">
        <v>1.686489981755767</v>
      </c>
      <c r="AL200" s="3" t="n">
        <v>1.687282428349372</v>
      </c>
      <c r="AM200" s="3" t="n">
        <v>21.69109821867741</v>
      </c>
      <c r="AN200" s="3" t="n">
        <v>21.69079228897262</v>
      </c>
      <c r="AO200" s="3" t="n">
        <v>21.69049478569584</v>
      </c>
      <c r="AP200" s="3" t="n">
        <v>21.69021663926635</v>
      </c>
      <c r="AQ200" s="3" t="n">
        <v>21.68994288732121</v>
      </c>
      <c r="AR200" s="3" t="n">
        <v>21.68978048001781</v>
      </c>
      <c r="AS200" s="3" t="n">
        <v>21.68961731709732</v>
      </c>
      <c r="AT200" s="3" t="n">
        <v>21.68945577995824</v>
      </c>
      <c r="AU200" s="3" t="n">
        <v>21.68929878975861</v>
      </c>
      <c r="AV200" s="3" t="n">
        <v>21.68914444299803</v>
      </c>
      <c r="AW200" s="3" t="n">
        <v>21.68899161873827</v>
      </c>
      <c r="AX200" s="3" t="n">
        <v>21.6888438853232</v>
      </c>
      <c r="AY200" s="3" t="n">
        <v>21.6887002621397</v>
      </c>
      <c r="AZ200" s="3" t="n">
        <v>21.68856177524311</v>
      </c>
      <c r="BA200" s="3" t="n">
        <v>21.68842677429444</v>
      </c>
      <c r="BC200" s="20" t="inlineStr">
        <is>
          <t>egy.mit.tcp.all.coa.4</t>
        </is>
      </c>
      <c r="BD200" s="3" t="n">
        <v>3.556280715866161</v>
      </c>
      <c r="BE200" s="3" t="n">
        <v>2.199278794880199</v>
      </c>
      <c r="BF200" s="3" t="n">
        <v>1.688318251472334</v>
      </c>
      <c r="BG200" s="3" t="n">
        <v>1.686489981755767</v>
      </c>
      <c r="BH200" s="3" t="n">
        <v>1.687282428349372</v>
      </c>
      <c r="BI200" s="3" t="n">
        <v>11.68951266904001</v>
      </c>
      <c r="BJ200" s="3" t="n">
        <v>25.02539420060572</v>
      </c>
      <c r="BK200" s="3" t="n">
        <v>38.36120441222457</v>
      </c>
      <c r="BL200" s="3" t="n">
        <v>51.69696552844827</v>
      </c>
      <c r="BM200" s="3" t="n">
        <v>65.03236083435846</v>
      </c>
      <c r="BN200" s="3" t="n">
        <v>78.36782553606604</v>
      </c>
      <c r="BO200" s="3" t="n">
        <v>91.70325088279678</v>
      </c>
      <c r="BP200" s="3" t="n">
        <v>105.0386353605982</v>
      </c>
      <c r="BQ200" s="3" t="n">
        <v>118.373981360376</v>
      </c>
      <c r="BR200" s="3" t="n">
        <v>131.7092898097147</v>
      </c>
      <c r="BS200" s="3" t="n">
        <v>145.0445597775942</v>
      </c>
      <c r="BT200" s="3" t="n">
        <v>158.3797943546468</v>
      </c>
      <c r="BU200" s="3" t="n">
        <v>171.7149960243552</v>
      </c>
      <c r="BV200" s="3" t="n">
        <v>185.0501696725587</v>
      </c>
      <c r="BW200" s="3" t="n">
        <v>198.3853174527069</v>
      </c>
      <c r="BY200" s="20" t="inlineStr">
        <is>
          <t>egy.mit.tcp.all.coa.5</t>
        </is>
      </c>
      <c r="BZ200" s="3" t="n">
        <v>3.556280715866161</v>
      </c>
      <c r="CA200" s="3" t="n">
        <v>2.199278794880199</v>
      </c>
      <c r="CB200" s="3" t="n">
        <v>1.688318251472334</v>
      </c>
      <c r="CC200" s="3" t="n">
        <v>1.686489981755767</v>
      </c>
      <c r="CD200" s="3" t="n">
        <v>1.687282428349372</v>
      </c>
      <c r="CE200" s="3" t="n">
        <v>1.7144926167002</v>
      </c>
      <c r="CF200" s="3" t="n">
        <v>1.715287027127271</v>
      </c>
      <c r="CG200" s="3" t="n">
        <v>1.716005627678998</v>
      </c>
      <c r="CH200" s="3" t="n">
        <v>1.716683025252153</v>
      </c>
      <c r="CI200" s="3" t="n">
        <v>1.71726650537742</v>
      </c>
      <c r="CJ200" s="3" t="n">
        <v>1.717912001396318</v>
      </c>
      <c r="CK200" s="3" t="n">
        <v>1.718513315463513</v>
      </c>
      <c r="CL200" s="3" t="n">
        <v>1.71906516182287</v>
      </c>
      <c r="CM200" s="3" t="n">
        <v>1.719583936994651</v>
      </c>
      <c r="CN200" s="3" t="n">
        <v>1.71960154532575</v>
      </c>
      <c r="CO200" s="3" t="n">
        <v>1.719619496716119</v>
      </c>
      <c r="CP200" s="3" t="n">
        <v>1.719641255142375</v>
      </c>
      <c r="CQ200" s="3" t="n">
        <v>1.719663694594098</v>
      </c>
      <c r="CR200" s="3" t="n">
        <v>1.719693012713674</v>
      </c>
      <c r="CS200" s="3" t="n">
        <v>1.7197243217709</v>
      </c>
      <c r="CU200" s="20" t="inlineStr">
        <is>
          <t>egy.mit.tcp.all.coa.6</t>
        </is>
      </c>
      <c r="CV200" s="3" t="n">
        <v>3.556280715866161</v>
      </c>
      <c r="CW200" s="3" t="n">
        <v>2.199278794880199</v>
      </c>
      <c r="CX200" s="3" t="n">
        <v>1.688318251472334</v>
      </c>
      <c r="CY200" s="3" t="n">
        <v>1.686489981755767</v>
      </c>
      <c r="CZ200" s="3" t="n">
        <v>1.687282428349372</v>
      </c>
      <c r="DA200" s="3" t="n">
        <v>51.69671700057044</v>
      </c>
      <c r="DB200" s="3" t="n">
        <v>51.69635111196729</v>
      </c>
      <c r="DC200" s="3" t="n">
        <v>51.69599418929643</v>
      </c>
      <c r="DD200" s="3" t="n">
        <v>51.69567440580764</v>
      </c>
      <c r="DE200" s="3" t="n">
        <v>51.69534926749125</v>
      </c>
      <c r="DF200" s="3" t="n">
        <v>51.69514282346559</v>
      </c>
      <c r="DG200" s="3" t="n">
        <v>51.69492807683628</v>
      </c>
      <c r="DH200" s="3" t="n">
        <v>51.69471354386309</v>
      </c>
      <c r="DI200" s="3" t="n">
        <v>51.69450619978852</v>
      </c>
      <c r="DJ200" s="3" t="n">
        <v>51.69430136730887</v>
      </c>
      <c r="DK200" s="3" t="n">
        <v>51.6940959977361</v>
      </c>
      <c r="DL200" s="3" t="n">
        <v>51.69390017494711</v>
      </c>
      <c r="DM200" s="3" t="n">
        <v>51.69371088411182</v>
      </c>
      <c r="DN200" s="3" t="n">
        <v>51.69353132110859</v>
      </c>
      <c r="DO200" s="3" t="n">
        <v>51.69335692213427</v>
      </c>
    </row>
    <row r="201">
      <c r="A201" s="19" t="inlineStr">
        <is>
          <t>mit.tcp.all.nga</t>
        </is>
      </c>
      <c r="B201" s="3" t="inlineStr">
        <is>
          <t>mit</t>
        </is>
      </c>
      <c r="C201" s="19" t="inlineStr">
        <is>
          <t>mit.tcp.all.nga.a</t>
        </is>
      </c>
      <c r="H201" s="3" t="inlineStr">
        <is>
          <t>Implicit carbon price by fuel: existing taxes, subsidies and new policies per tonne of CO2 | All sectors | Natural gas</t>
        </is>
      </c>
      <c r="I201" s="3" t="inlineStr">
        <is>
          <t>USD/tCO2</t>
        </is>
      </c>
      <c r="K201" s="20" t="inlineStr">
        <is>
          <t>egy.mit.tcp.all.nga.1</t>
        </is>
      </c>
      <c r="L201" s="3" t="n">
        <v>-149.3096588303264</v>
      </c>
      <c r="M201" s="3" t="n">
        <v>-123.7434646265088</v>
      </c>
      <c r="N201" s="3" t="n">
        <v>-114.2027432670109</v>
      </c>
      <c r="O201" s="3" t="n">
        <v>-113.7254189613968</v>
      </c>
      <c r="P201" s="3" t="n">
        <v>-113.4740517130991</v>
      </c>
      <c r="Q201" s="3" t="n">
        <v>-113.3755810097319</v>
      </c>
      <c r="R201" s="3" t="n">
        <v>-113.3006984759241</v>
      </c>
      <c r="S201" s="3" t="n">
        <v>-113.1712599906474</v>
      </c>
      <c r="T201" s="3" t="n">
        <v>-113.0625197420179</v>
      </c>
      <c r="U201" s="3" t="n">
        <v>-112.8846196568413</v>
      </c>
      <c r="V201" s="3" t="n">
        <v>-112.7031680731827</v>
      </c>
      <c r="W201" s="3" t="n">
        <v>-112.4334320458666</v>
      </c>
      <c r="X201" s="3" t="n">
        <v>-112.1873518777869</v>
      </c>
      <c r="Y201" s="3" t="n">
        <v>-111.9340773252057</v>
      </c>
      <c r="Z201" s="3" t="n">
        <v>-111.686260100121</v>
      </c>
      <c r="AA201" s="3" t="n">
        <v>-111.4424663527591</v>
      </c>
      <c r="AB201" s="3" t="n">
        <v>-111.2029826239871</v>
      </c>
      <c r="AC201" s="3" t="n">
        <v>-110.9677272714503</v>
      </c>
      <c r="AD201" s="3" t="n">
        <v>-110.7365344212724</v>
      </c>
      <c r="AE201" s="3" t="n">
        <v>-110.5094063150862</v>
      </c>
      <c r="AG201" s="20" t="inlineStr">
        <is>
          <t>egy.mit.tcp.all.nga.3</t>
        </is>
      </c>
      <c r="AH201" s="3" t="n">
        <v>-149.3096588303264</v>
      </c>
      <c r="AI201" s="3" t="n">
        <v>-123.7433320103117</v>
      </c>
      <c r="AJ201" s="3" t="n">
        <v>-114.2045846359287</v>
      </c>
      <c r="AK201" s="3" t="n">
        <v>-113.726780153787</v>
      </c>
      <c r="AL201" s="3" t="n">
        <v>-113.4750926410236</v>
      </c>
      <c r="AM201" s="3" t="n">
        <v>-91.62903477238588</v>
      </c>
      <c r="AN201" s="3" t="n">
        <v>-91.62504164419117</v>
      </c>
      <c r="AO201" s="3" t="n">
        <v>-91.32403226938727</v>
      </c>
      <c r="AP201" s="3" t="n">
        <v>-91.20686956046077</v>
      </c>
      <c r="AQ201" s="3" t="n">
        <v>-91.00566513865977</v>
      </c>
      <c r="AR201" s="3" t="n">
        <v>-90.83126638847976</v>
      </c>
      <c r="AS201" s="3" t="n">
        <v>-90.59685627066838</v>
      </c>
      <c r="AT201" s="3" t="n">
        <v>-90.38534588270284</v>
      </c>
      <c r="AU201" s="3" t="n">
        <v>-90.1683019804556</v>
      </c>
      <c r="AV201" s="3" t="n">
        <v>-89.95480887870634</v>
      </c>
      <c r="AW201" s="3" t="n">
        <v>-89.74264385168775</v>
      </c>
      <c r="AX201" s="3" t="n">
        <v>-89.53721602562403</v>
      </c>
      <c r="AY201" s="3" t="n">
        <v>-89.33685906283311</v>
      </c>
      <c r="AZ201" s="3" t="n">
        <v>-89.14308669259397</v>
      </c>
      <c r="BA201" s="3" t="n">
        <v>-88.95355428196378</v>
      </c>
      <c r="BC201" s="20" t="inlineStr">
        <is>
          <t>egy.mit.tcp.all.nga.4</t>
        </is>
      </c>
      <c r="BD201" s="3" t="n">
        <v>-149.3096588303264</v>
      </c>
      <c r="BE201" s="3" t="n">
        <v>-123.7429994632798</v>
      </c>
      <c r="BF201" s="3" t="n">
        <v>-114.209200630373</v>
      </c>
      <c r="BG201" s="3" t="n">
        <v>-113.7301921044581</v>
      </c>
      <c r="BH201" s="3" t="n">
        <v>-113.4776949161384</v>
      </c>
      <c r="BI201" s="3" t="n">
        <v>-102.3066358873617</v>
      </c>
      <c r="BJ201" s="3" t="n">
        <v>-88.04963563972431</v>
      </c>
      <c r="BK201" s="3" t="n">
        <v>-74.06123191459358</v>
      </c>
      <c r="BL201" s="3" t="n">
        <v>-60.20988846392093</v>
      </c>
      <c r="BM201" s="3" t="n">
        <v>-46.43147208561749</v>
      </c>
      <c r="BN201" s="3" t="n">
        <v>-32.75837565414832</v>
      </c>
      <c r="BO201" s="3" t="n">
        <v>-19.11725467119701</v>
      </c>
      <c r="BP201" s="3" t="n">
        <v>-5.510293502925895</v>
      </c>
      <c r="BQ201" s="3" t="n">
        <v>8.072276984073644</v>
      </c>
      <c r="BR201" s="3" t="n">
        <v>21.64692978103802</v>
      </c>
      <c r="BS201" s="3" t="n">
        <v>35.20145497936617</v>
      </c>
      <c r="BT201" s="3" t="n">
        <v>48.76507058513472</v>
      </c>
      <c r="BU201" s="3" t="n">
        <v>62.300945954804</v>
      </c>
      <c r="BV201" s="3" t="n">
        <v>75.86582969650127</v>
      </c>
      <c r="BW201" s="3" t="n">
        <v>89.37683913366651</v>
      </c>
      <c r="BY201" s="20" t="inlineStr">
        <is>
          <t>egy.mit.tcp.all.nga.5</t>
        </is>
      </c>
      <c r="BZ201" s="3" t="n">
        <v>-149.3096588303264</v>
      </c>
      <c r="CA201" s="3" t="n">
        <v>-123.7426768537158</v>
      </c>
      <c r="CB201" s="3" t="n">
        <v>-114.2136820201825</v>
      </c>
      <c r="CC201" s="3" t="n">
        <v>-113.733508237511</v>
      </c>
      <c r="CD201" s="3" t="n">
        <v>-113.4802328822506</v>
      </c>
      <c r="CE201" s="3" t="n">
        <v>-106.2184791985675</v>
      </c>
      <c r="CF201" s="3" t="n">
        <v>-105.8671404304528</v>
      </c>
      <c r="CG201" s="3" t="n">
        <v>-105.5566547440752</v>
      </c>
      <c r="CH201" s="3" t="n">
        <v>-105.2237392268182</v>
      </c>
      <c r="CI201" s="3" t="n">
        <v>-104.8957557618796</v>
      </c>
      <c r="CJ201" s="3" t="n">
        <v>-104.4927151602073</v>
      </c>
      <c r="CK201" s="3" t="n">
        <v>-104.2391134460464</v>
      </c>
      <c r="CL201" s="3" t="n">
        <v>-103.7737751607224</v>
      </c>
      <c r="CM201" s="3" t="n">
        <v>-103.3454430754211</v>
      </c>
      <c r="CN201" s="3" t="n">
        <v>-102.8987442237835</v>
      </c>
      <c r="CO201" s="3" t="n">
        <v>-102.3896022885842</v>
      </c>
      <c r="CP201" s="3" t="n">
        <v>-101.8955533036909</v>
      </c>
      <c r="CQ201" s="3" t="n">
        <v>-101.3976660057101</v>
      </c>
      <c r="CR201" s="3" t="n">
        <v>-100.8718952430605</v>
      </c>
      <c r="CS201" s="3" t="n">
        <v>-100.3600621631377</v>
      </c>
      <c r="CU201" s="20" t="inlineStr">
        <is>
          <t>egy.mit.tcp.all.nga.6</t>
        </is>
      </c>
      <c r="CV201" s="3" t="n">
        <v>-149.3096588303264</v>
      </c>
      <c r="CW201" s="3" t="n">
        <v>-123.7431458866606</v>
      </c>
      <c r="CX201" s="3" t="n">
        <v>-114.2071684185614</v>
      </c>
      <c r="CY201" s="3" t="n">
        <v>-113.7286900383454</v>
      </c>
      <c r="CZ201" s="3" t="n">
        <v>-113.476550446143</v>
      </c>
      <c r="DA201" s="3" t="n">
        <v>-60.65943061023201</v>
      </c>
      <c r="DB201" s="3" t="n">
        <v>-60.58739197945927</v>
      </c>
      <c r="DC201" s="3" t="n">
        <v>-60.31285344587389</v>
      </c>
      <c r="DD201" s="3" t="n">
        <v>-60.15191458264259</v>
      </c>
      <c r="DE201" s="3" t="n">
        <v>-59.92248983774457</v>
      </c>
      <c r="DF201" s="3" t="n">
        <v>-59.77846578384715</v>
      </c>
      <c r="DG201" s="3" t="n">
        <v>-59.58055872491148</v>
      </c>
      <c r="DH201" s="3" t="n">
        <v>-59.39090151005674</v>
      </c>
      <c r="DI201" s="3" t="n">
        <v>-59.1878815327784</v>
      </c>
      <c r="DJ201" s="3" t="n">
        <v>-58.97743359941101</v>
      </c>
      <c r="DK201" s="3" t="n">
        <v>-58.75566174541123</v>
      </c>
      <c r="DL201" s="3" t="n">
        <v>-58.53110647451166</v>
      </c>
      <c r="DM201" s="3" t="n">
        <v>-58.3080718853818</v>
      </c>
      <c r="DN201" s="3" t="n">
        <v>-58.08221772585263</v>
      </c>
      <c r="DO201" s="3" t="n">
        <v>-57.86156196497075</v>
      </c>
    </row>
    <row r="202">
      <c r="A202" s="19" t="inlineStr">
        <is>
          <t>mit.tcp.all.gso</t>
        </is>
      </c>
      <c r="B202" s="3" t="inlineStr">
        <is>
          <t>mit</t>
        </is>
      </c>
      <c r="C202" s="19" t="inlineStr">
        <is>
          <t>mit.tcp_csf.rod.gso.a</t>
        </is>
      </c>
      <c r="H202" s="3" t="inlineStr">
        <is>
          <t>Implicit carbon price by fuel: existing taxes, subsidies and new policies per tonne of CO2 | All sectors | Gasoline</t>
        </is>
      </c>
      <c r="I202" s="3" t="inlineStr">
        <is>
          <t>USD/tCO2</t>
        </is>
      </c>
      <c r="K202" s="20" t="inlineStr">
        <is>
          <t>egy.mit.tcp.all.gso.1</t>
        </is>
      </c>
      <c r="L202" s="3" t="n">
        <v>-152.9128935443187</v>
      </c>
      <c r="M202" s="3" t="n">
        <v>-174.6670788202564</v>
      </c>
      <c r="N202" s="3" t="n">
        <v>-188.263791683299</v>
      </c>
      <c r="O202" s="3" t="n">
        <v>-143.5817201148025</v>
      </c>
      <c r="P202" s="3" t="n">
        <v>-174.6357911804108</v>
      </c>
      <c r="Q202" s="3" t="n">
        <v>-142.4348444771472</v>
      </c>
      <c r="R202" s="3" t="n">
        <v>-133.5758424141349</v>
      </c>
      <c r="S202" s="3" t="n">
        <v>-129.1101869839049</v>
      </c>
      <c r="T202" s="3" t="n">
        <v>-125.2049435196027</v>
      </c>
      <c r="U202" s="3" t="n">
        <v>-120.9622564092805</v>
      </c>
      <c r="V202" s="3" t="n">
        <v>-120.9622564092805</v>
      </c>
      <c r="W202" s="3" t="n">
        <v>-120.9622564092805</v>
      </c>
      <c r="X202" s="3" t="n">
        <v>-120.9622564092805</v>
      </c>
      <c r="Y202" s="3" t="n">
        <v>-120.9622564092805</v>
      </c>
      <c r="Z202" s="3" t="n">
        <v>-120.9622564092805</v>
      </c>
      <c r="AA202" s="3" t="n">
        <v>-120.9622564092805</v>
      </c>
      <c r="AB202" s="3" t="n">
        <v>-120.9622564092805</v>
      </c>
      <c r="AC202" s="3" t="n">
        <v>-120.9622564092805</v>
      </c>
      <c r="AD202" s="3" t="n">
        <v>-120.9622564092805</v>
      </c>
      <c r="AE202" s="3" t="n">
        <v>-120.9622564092805</v>
      </c>
      <c r="AG202" s="20" t="inlineStr">
        <is>
          <t>egy.mit.tcp.all.gso.3</t>
        </is>
      </c>
      <c r="AH202" s="3" t="n">
        <v>-152.9128935443187</v>
      </c>
      <c r="AI202" s="3" t="n">
        <v>-174.6670788202564</v>
      </c>
      <c r="AJ202" s="3" t="n">
        <v>-188.263791683299</v>
      </c>
      <c r="AK202" s="3" t="n">
        <v>-143.5817201148025</v>
      </c>
      <c r="AL202" s="3" t="n">
        <v>-174.6357911804108</v>
      </c>
      <c r="AM202" s="3" t="n">
        <v>-122.4348444771472</v>
      </c>
      <c r="AN202" s="3" t="n">
        <v>-113.5758424141349</v>
      </c>
      <c r="AO202" s="3" t="n">
        <v>-109.1101869839049</v>
      </c>
      <c r="AP202" s="3" t="n">
        <v>-105.2049435196027</v>
      </c>
      <c r="AQ202" s="3" t="n">
        <v>-100.9622564092805</v>
      </c>
      <c r="AR202" s="3" t="n">
        <v>-100.9622564092805</v>
      </c>
      <c r="AS202" s="3" t="n">
        <v>-100.9622564092805</v>
      </c>
      <c r="AT202" s="3" t="n">
        <v>-100.9622564092805</v>
      </c>
      <c r="AU202" s="3" t="n">
        <v>-100.9622564092805</v>
      </c>
      <c r="AV202" s="3" t="n">
        <v>-100.9622564092805</v>
      </c>
      <c r="AW202" s="3" t="n">
        <v>-100.9622564092805</v>
      </c>
      <c r="AX202" s="3" t="n">
        <v>-100.9622564092805</v>
      </c>
      <c r="AY202" s="3" t="n">
        <v>-100.9622564092805</v>
      </c>
      <c r="AZ202" s="3" t="n">
        <v>-100.9622564092805</v>
      </c>
      <c r="BA202" s="3" t="n">
        <v>-100.9622564092805</v>
      </c>
      <c r="BC202" s="20" t="inlineStr">
        <is>
          <t>egy.mit.tcp.all.gso.4</t>
        </is>
      </c>
      <c r="BD202" s="3" t="n">
        <v>-152.9128935443187</v>
      </c>
      <c r="BE202" s="3" t="n">
        <v>-174.6670788202564</v>
      </c>
      <c r="BF202" s="3" t="n">
        <v>-188.263791683299</v>
      </c>
      <c r="BG202" s="3" t="n">
        <v>-143.5817201148025</v>
      </c>
      <c r="BH202" s="3" t="n">
        <v>-174.6357911804108</v>
      </c>
      <c r="BI202" s="3" t="n">
        <v>-132.4348444771472</v>
      </c>
      <c r="BJ202" s="3" t="n">
        <v>-110.2425090808016</v>
      </c>
      <c r="BK202" s="3" t="n">
        <v>-92.44352031723825</v>
      </c>
      <c r="BL202" s="3" t="n">
        <v>-75.20494351960269</v>
      </c>
      <c r="BM202" s="3" t="n">
        <v>-57.62892307594718</v>
      </c>
      <c r="BN202" s="3" t="n">
        <v>-44.29558974261385</v>
      </c>
      <c r="BO202" s="3" t="n">
        <v>-30.96225640928053</v>
      </c>
      <c r="BP202" s="3" t="n">
        <v>-17.62892307594717</v>
      </c>
      <c r="BQ202" s="3" t="n">
        <v>-4.295589742613843</v>
      </c>
      <c r="BR202" s="3" t="n">
        <v>9.03774359071949</v>
      </c>
      <c r="BS202" s="3" t="n">
        <v>22.37107692405282</v>
      </c>
      <c r="BT202" s="3" t="n">
        <v>35.70441025738617</v>
      </c>
      <c r="BU202" s="3" t="n">
        <v>49.03774359071949</v>
      </c>
      <c r="BV202" s="3" t="n">
        <v>62.37107692405282</v>
      </c>
      <c r="BW202" s="3" t="n">
        <v>75.70441025738616</v>
      </c>
      <c r="BY202" s="20" t="inlineStr">
        <is>
          <t>egy.mit.tcp.all.gso.5</t>
        </is>
      </c>
      <c r="BZ202" s="3" t="n">
        <v>-152.9128935443187</v>
      </c>
      <c r="CA202" s="3" t="n">
        <v>-174.6670788202564</v>
      </c>
      <c r="CB202" s="3" t="n">
        <v>-188.263791683299</v>
      </c>
      <c r="CC202" s="3" t="n">
        <v>-143.5817201148025</v>
      </c>
      <c r="CD202" s="3" t="n">
        <v>-174.6357911804108</v>
      </c>
      <c r="CE202" s="3" t="n">
        <v>-117.4348444771472</v>
      </c>
      <c r="CF202" s="3" t="n">
        <v>-108.5758424141349</v>
      </c>
      <c r="CG202" s="3" t="n">
        <v>-104.1101869839049</v>
      </c>
      <c r="CH202" s="3" t="n">
        <v>-100.2049435196027</v>
      </c>
      <c r="CI202" s="3" t="n">
        <v>-95.96225640928053</v>
      </c>
      <c r="CJ202" s="3" t="n">
        <v>-95.96225640928051</v>
      </c>
      <c r="CK202" s="3" t="n">
        <v>-95.96225640928051</v>
      </c>
      <c r="CL202" s="3" t="n">
        <v>-95.96225640928051</v>
      </c>
      <c r="CM202" s="3" t="n">
        <v>-95.96225640928053</v>
      </c>
      <c r="CN202" s="3" t="n">
        <v>-95.96225640928051</v>
      </c>
      <c r="CO202" s="3" t="n">
        <v>-95.96225640928051</v>
      </c>
      <c r="CP202" s="3" t="n">
        <v>-95.96225640928053</v>
      </c>
      <c r="CQ202" s="3" t="n">
        <v>-95.96225640928053</v>
      </c>
      <c r="CR202" s="3" t="n">
        <v>-95.96225640928053</v>
      </c>
      <c r="CS202" s="3" t="n">
        <v>-95.96225640928053</v>
      </c>
      <c r="CU202" s="20" t="inlineStr">
        <is>
          <t>egy.mit.tcp.all.gso.6</t>
        </is>
      </c>
      <c r="CV202" s="3" t="n">
        <v>-152.9128935443187</v>
      </c>
      <c r="CW202" s="3" t="n">
        <v>-174.6670788202564</v>
      </c>
      <c r="CX202" s="3" t="n">
        <v>-188.263791683299</v>
      </c>
      <c r="CY202" s="3" t="n">
        <v>-143.5817201148025</v>
      </c>
      <c r="CZ202" s="3" t="n">
        <v>-174.6357911804108</v>
      </c>
      <c r="DA202" s="3" t="n">
        <v>-92.43484447714724</v>
      </c>
      <c r="DB202" s="3" t="n">
        <v>-83.57584241413493</v>
      </c>
      <c r="DC202" s="3" t="n">
        <v>-79.11018698390492</v>
      </c>
      <c r="DD202" s="3" t="n">
        <v>-75.20494351960271</v>
      </c>
      <c r="DE202" s="3" t="n">
        <v>-70.96225640928053</v>
      </c>
      <c r="DF202" s="3" t="n">
        <v>-70.96225640928051</v>
      </c>
      <c r="DG202" s="3" t="n">
        <v>-70.96225640928051</v>
      </c>
      <c r="DH202" s="3" t="n">
        <v>-70.96225640928053</v>
      </c>
      <c r="DI202" s="3" t="n">
        <v>-70.96225640928053</v>
      </c>
      <c r="DJ202" s="3" t="n">
        <v>-70.96225640928053</v>
      </c>
      <c r="DK202" s="3" t="n">
        <v>-70.96225640928053</v>
      </c>
      <c r="DL202" s="3" t="n">
        <v>-70.96225640928051</v>
      </c>
      <c r="DM202" s="3" t="n">
        <v>-70.96225640928053</v>
      </c>
      <c r="DN202" s="3" t="n">
        <v>-70.96225640928051</v>
      </c>
      <c r="DO202" s="3" t="n">
        <v>-70.96225640928053</v>
      </c>
    </row>
    <row r="203">
      <c r="A203" s="19" t="inlineStr">
        <is>
          <t>mit.tcp.all.die</t>
        </is>
      </c>
      <c r="B203" s="3" t="inlineStr">
        <is>
          <t>mit</t>
        </is>
      </c>
      <c r="C203" s="19" t="inlineStr">
        <is>
          <t>mit.tcp_csf.rod.die.a1</t>
        </is>
      </c>
      <c r="H203" s="3" t="inlineStr">
        <is>
          <t>Implicit carbon price by fuel: existing taxes, subsidies and new policies per tonne of CO2 | All sectors | Diesel</t>
        </is>
      </c>
      <c r="I203" s="3" t="inlineStr">
        <is>
          <t>USD/tCO2</t>
        </is>
      </c>
      <c r="K203" s="20" t="inlineStr">
        <is>
          <t>egy.mit.tcp.all.die.1</t>
        </is>
      </c>
      <c r="L203" s="3" t="n">
        <v>-247.1184295067207</v>
      </c>
      <c r="M203" s="3" t="n">
        <v>-216.3127669351178</v>
      </c>
      <c r="N203" s="3" t="n">
        <v>-199.7408793573805</v>
      </c>
      <c r="O203" s="3" t="n">
        <v>-158.9972807586751</v>
      </c>
      <c r="P203" s="3" t="n">
        <v>-187.3123888293324</v>
      </c>
      <c r="Q203" s="3" t="n">
        <v>-157.9501120289993</v>
      </c>
      <c r="R203" s="3" t="n">
        <v>-149.8721610790827</v>
      </c>
      <c r="S203" s="3" t="n">
        <v>-145.7999601022041</v>
      </c>
      <c r="T203" s="3" t="n">
        <v>-142.2385169448383</v>
      </c>
      <c r="U203" s="3" t="n">
        <v>-138.3693675856505</v>
      </c>
      <c r="V203" s="3" t="n">
        <v>-138.3687486637181</v>
      </c>
      <c r="W203" s="3" t="n">
        <v>-138.3680932964537</v>
      </c>
      <c r="X203" s="3" t="n">
        <v>-138.3674020575489</v>
      </c>
      <c r="Y203" s="3" t="n">
        <v>-138.3666755093935</v>
      </c>
      <c r="Z203" s="3" t="n">
        <v>-138.3659142024634</v>
      </c>
      <c r="AA203" s="3" t="n">
        <v>-138.3651186747564</v>
      </c>
      <c r="AB203" s="3" t="n">
        <v>-138.3642894512737</v>
      </c>
      <c r="AC203" s="3" t="n">
        <v>-138.3634270435427</v>
      </c>
      <c r="AD203" s="3" t="n">
        <v>-138.3625319491777</v>
      </c>
      <c r="AE203" s="3" t="n">
        <v>-138.3616046514744</v>
      </c>
      <c r="AG203" s="20" t="inlineStr">
        <is>
          <t>egy.mit.tcp.all.die.3</t>
        </is>
      </c>
      <c r="AH203" s="3" t="n">
        <v>-247.1184295067207</v>
      </c>
      <c r="AI203" s="3" t="n">
        <v>-216.3127669351178</v>
      </c>
      <c r="AJ203" s="3" t="n">
        <v>-199.7408793573805</v>
      </c>
      <c r="AK203" s="3" t="n">
        <v>-158.9972807586751</v>
      </c>
      <c r="AL203" s="3" t="n">
        <v>-187.3123888293324</v>
      </c>
      <c r="AM203" s="3" t="n">
        <v>-138.0238929195977</v>
      </c>
      <c r="AN203" s="3" t="n">
        <v>-129.9421704317799</v>
      </c>
      <c r="AO203" s="3" t="n">
        <v>-125.8681101856609</v>
      </c>
      <c r="AP203" s="3" t="n">
        <v>-122.3049347760359</v>
      </c>
      <c r="AQ203" s="3" t="n">
        <v>-118.4340047718532</v>
      </c>
      <c r="AR203" s="3" t="n">
        <v>-118.4333683269502</v>
      </c>
      <c r="AS203" s="3" t="n">
        <v>-118.4327671918969</v>
      </c>
      <c r="AT203" s="3" t="n">
        <v>-118.4321629524869</v>
      </c>
      <c r="AU203" s="3" t="n">
        <v>-118.4315068146793</v>
      </c>
      <c r="AV203" s="3" t="n">
        <v>-118.4308290531457</v>
      </c>
      <c r="AW203" s="3" t="n">
        <v>-118.4301478368296</v>
      </c>
      <c r="AX203" s="3" t="n">
        <v>-118.4294020477506</v>
      </c>
      <c r="AY203" s="3" t="n">
        <v>-118.4286066666967</v>
      </c>
      <c r="AZ203" s="3" t="n">
        <v>-118.4277424544637</v>
      </c>
      <c r="BA203" s="3" t="n">
        <v>-118.4268363677839</v>
      </c>
      <c r="BC203" s="20" t="inlineStr">
        <is>
          <t>egy.mit.tcp.all.die.4</t>
        </is>
      </c>
      <c r="BD203" s="3" t="n">
        <v>-247.1184295067207</v>
      </c>
      <c r="BE203" s="3" t="n">
        <v>-216.3127669351178</v>
      </c>
      <c r="BF203" s="3" t="n">
        <v>-199.7408793573805</v>
      </c>
      <c r="BG203" s="3" t="n">
        <v>-158.9972807586751</v>
      </c>
      <c r="BH203" s="3" t="n">
        <v>-187.3123888293324</v>
      </c>
      <c r="BI203" s="3" t="n">
        <v>-147.9824929220066</v>
      </c>
      <c r="BJ203" s="3" t="n">
        <v>-126.6073805239031</v>
      </c>
      <c r="BK203" s="3" t="n">
        <v>-109.2334341702848</v>
      </c>
      <c r="BL203" s="3" t="n">
        <v>-92.36585480429984</v>
      </c>
      <c r="BM203" s="3" t="n">
        <v>-75.18947669775235</v>
      </c>
      <c r="BN203" s="3" t="n">
        <v>-61.88219820608478</v>
      </c>
      <c r="BO203" s="3" t="n">
        <v>-48.57249485273724</v>
      </c>
      <c r="BP203" s="3" t="n">
        <v>-35.2607486143913</v>
      </c>
      <c r="BQ203" s="3" t="n">
        <v>-21.94723286895502</v>
      </c>
      <c r="BR203" s="3" t="n">
        <v>-8.632180062025554</v>
      </c>
      <c r="BS203" s="3" t="n">
        <v>4.684206885682145</v>
      </c>
      <c r="BT203" s="3" t="n">
        <v>18.00178555602234</v>
      </c>
      <c r="BU203" s="3" t="n">
        <v>31.32043216432714</v>
      </c>
      <c r="BV203" s="3" t="n">
        <v>44.64005508153816</v>
      </c>
      <c r="BW203" s="3" t="n">
        <v>57.96056060510595</v>
      </c>
      <c r="BY203" s="20" t="inlineStr">
        <is>
          <t>egy.mit.tcp.all.die.5</t>
        </is>
      </c>
      <c r="BZ203" s="3" t="n">
        <v>-247.1184295067207</v>
      </c>
      <c r="CA203" s="3" t="n">
        <v>-216.3127669351178</v>
      </c>
      <c r="CB203" s="3" t="n">
        <v>-199.7408793573805</v>
      </c>
      <c r="CC203" s="3" t="n">
        <v>-158.9972807586751</v>
      </c>
      <c r="CD203" s="3" t="n">
        <v>-187.3123888293324</v>
      </c>
      <c r="CE203" s="3" t="n">
        <v>-133.0400509988789</v>
      </c>
      <c r="CF203" s="3" t="n">
        <v>-124.9575025461739</v>
      </c>
      <c r="CG203" s="3" t="n">
        <v>-120.8830218203159</v>
      </c>
      <c r="CH203" s="3" t="n">
        <v>-117.3194905145939</v>
      </c>
      <c r="CI203" s="3" t="n">
        <v>-113.4481827915593</v>
      </c>
      <c r="CJ203" s="3" t="n">
        <v>-113.4475460510356</v>
      </c>
      <c r="CK203" s="3" t="n">
        <v>-113.4469531675173</v>
      </c>
      <c r="CL203" s="3" t="n">
        <v>-113.4463279370409</v>
      </c>
      <c r="CM203" s="3" t="n">
        <v>-113.4456568709871</v>
      </c>
      <c r="CN203" s="3" t="n">
        <v>-113.4449642127511</v>
      </c>
      <c r="CO203" s="3" t="n">
        <v>-113.4442606671624</v>
      </c>
      <c r="CP203" s="3" t="n">
        <v>-113.4434958006871</v>
      </c>
      <c r="CQ203" s="3" t="n">
        <v>-113.442691887727</v>
      </c>
      <c r="CR203" s="3" t="n">
        <v>-113.4418272739934</v>
      </c>
      <c r="CS203" s="3" t="n">
        <v>-113.4409343947316</v>
      </c>
      <c r="CU203" s="20" t="inlineStr">
        <is>
          <t>egy.mit.tcp.all.die.6</t>
        </is>
      </c>
      <c r="CV203" s="3" t="n">
        <v>-247.1184295067207</v>
      </c>
      <c r="CW203" s="3" t="n">
        <v>-216.3127669351178</v>
      </c>
      <c r="CX203" s="3" t="n">
        <v>-199.7408793573805</v>
      </c>
      <c r="CY203" s="3" t="n">
        <v>-158.9972807586751</v>
      </c>
      <c r="CZ203" s="3" t="n">
        <v>-187.3123888293324</v>
      </c>
      <c r="DA203" s="3" t="n">
        <v>-108.1105652002905</v>
      </c>
      <c r="DB203" s="3" t="n">
        <v>-100.0244127532</v>
      </c>
      <c r="DC203" s="3" t="n">
        <v>-95.94816663109994</v>
      </c>
      <c r="DD203" s="3" t="n">
        <v>-92.38296572175838</v>
      </c>
      <c r="DE203" s="3" t="n">
        <v>-88.50995370349769</v>
      </c>
      <c r="DF203" s="3" t="n">
        <v>-88.50929872548224</v>
      </c>
      <c r="DG203" s="3" t="n">
        <v>-88.50876665147395</v>
      </c>
      <c r="DH203" s="3" t="n">
        <v>-88.50825571122415</v>
      </c>
      <c r="DI203" s="3" t="n">
        <v>-88.50767945915771</v>
      </c>
      <c r="DJ203" s="3" t="n">
        <v>-88.5070946150241</v>
      </c>
      <c r="DK203" s="3" t="n">
        <v>-88.5065393894196</v>
      </c>
      <c r="DL203" s="3" t="n">
        <v>-88.50588538600849</v>
      </c>
      <c r="DM203" s="3" t="n">
        <v>-88.50516863457658</v>
      </c>
      <c r="DN203" s="3" t="n">
        <v>-88.50434569583032</v>
      </c>
      <c r="DO203" s="3" t="n">
        <v>-88.50347358451916</v>
      </c>
    </row>
    <row r="204">
      <c r="A204" s="19" t="inlineStr">
        <is>
          <t>mit.tcp.all.lpg</t>
        </is>
      </c>
      <c r="B204" s="3" t="inlineStr">
        <is>
          <t>mit</t>
        </is>
      </c>
      <c r="C204" s="19" t="inlineStr">
        <is>
          <t>mit.tcp_csf.res.lpg.a</t>
        </is>
      </c>
      <c r="H204" s="3" t="inlineStr">
        <is>
          <t>Implicit carbon price by fuel: existing taxes, subsidies and new policies per tonne of CO2 | All sectors | LPG</t>
        </is>
      </c>
      <c r="I204" s="3" t="inlineStr">
        <is>
          <t>USD/tCO2</t>
        </is>
      </c>
      <c r="K204" s="20" t="inlineStr">
        <is>
          <t>egy.mit.tcp.all.lpg.1</t>
        </is>
      </c>
      <c r="L204" s="3" t="n">
        <v>-284.6067772394221</v>
      </c>
      <c r="M204" s="3" t="n">
        <v>-273.741870789052</v>
      </c>
      <c r="N204" s="3" t="n">
        <v>-251.9569899832007</v>
      </c>
      <c r="O204" s="3" t="n">
        <v>-213.1684896602088</v>
      </c>
      <c r="P204" s="3" t="n">
        <v>-240.1265245783532</v>
      </c>
      <c r="Q204" s="3" t="n">
        <v>-212.1728870733093</v>
      </c>
      <c r="R204" s="3" t="n">
        <v>-204.4823885731275</v>
      </c>
      <c r="S204" s="3" t="n">
        <v>-200.6057536943638</v>
      </c>
      <c r="T204" s="3" t="n">
        <v>-197.2156123678983</v>
      </c>
      <c r="U204" s="3" t="n">
        <v>-193.5325362576779</v>
      </c>
      <c r="V204" s="3" t="n">
        <v>-193.532536257678</v>
      </c>
      <c r="W204" s="3" t="n">
        <v>-193.5325362576779</v>
      </c>
      <c r="X204" s="3" t="n">
        <v>-193.5325362576779</v>
      </c>
      <c r="Y204" s="3" t="n">
        <v>-193.5325362576779</v>
      </c>
      <c r="Z204" s="3" t="n">
        <v>-193.5325362576779</v>
      </c>
      <c r="AA204" s="3" t="n">
        <v>-193.5325362576779</v>
      </c>
      <c r="AB204" s="3" t="n">
        <v>-193.5325362576779</v>
      </c>
      <c r="AC204" s="3" t="n">
        <v>-193.5325362576779</v>
      </c>
      <c r="AD204" s="3" t="n">
        <v>-193.5325362576779</v>
      </c>
      <c r="AE204" s="3" t="n">
        <v>-193.5325362576779</v>
      </c>
      <c r="AG204" s="20" t="inlineStr">
        <is>
          <t>egy.mit.tcp.all.lpg.3</t>
        </is>
      </c>
      <c r="AH204" s="3" t="n">
        <v>-284.6067772394221</v>
      </c>
      <c r="AI204" s="3" t="n">
        <v>-273.741870789052</v>
      </c>
      <c r="AJ204" s="3" t="n">
        <v>-251.9569899832007</v>
      </c>
      <c r="AK204" s="3" t="n">
        <v>-213.1684896602088</v>
      </c>
      <c r="AL204" s="3" t="n">
        <v>-240.1265245783532</v>
      </c>
      <c r="AM204" s="3" t="n">
        <v>-192.1728870733093</v>
      </c>
      <c r="AN204" s="3" t="n">
        <v>-184.4823885731275</v>
      </c>
      <c r="AO204" s="3" t="n">
        <v>-180.6057536943638</v>
      </c>
      <c r="AP204" s="3" t="n">
        <v>-177.2156123678983</v>
      </c>
      <c r="AQ204" s="3" t="n">
        <v>-173.5325362576779</v>
      </c>
      <c r="AR204" s="3" t="n">
        <v>-173.5325362576779</v>
      </c>
      <c r="AS204" s="3" t="n">
        <v>-173.5325362576779</v>
      </c>
      <c r="AT204" s="3" t="n">
        <v>-173.5325362576779</v>
      </c>
      <c r="AU204" s="3" t="n">
        <v>-173.5325362576779</v>
      </c>
      <c r="AV204" s="3" t="n">
        <v>-173.5325362576779</v>
      </c>
      <c r="AW204" s="3" t="n">
        <v>-173.5325362576779</v>
      </c>
      <c r="AX204" s="3" t="n">
        <v>-173.532536257678</v>
      </c>
      <c r="AY204" s="3" t="n">
        <v>-173.5325362576779</v>
      </c>
      <c r="AZ204" s="3" t="n">
        <v>-173.5325362576779</v>
      </c>
      <c r="BA204" s="3" t="n">
        <v>-173.5325362576779</v>
      </c>
      <c r="BC204" s="20" t="inlineStr">
        <is>
          <t>egy.mit.tcp.all.lpg.4</t>
        </is>
      </c>
      <c r="BD204" s="3" t="n">
        <v>-284.6067772394221</v>
      </c>
      <c r="BE204" s="3" t="n">
        <v>-273.741870789052</v>
      </c>
      <c r="BF204" s="3" t="n">
        <v>-251.9569899832007</v>
      </c>
      <c r="BG204" s="3" t="n">
        <v>-213.1684896602088</v>
      </c>
      <c r="BH204" s="3" t="n">
        <v>-240.1265245783532</v>
      </c>
      <c r="BI204" s="3" t="n">
        <v>-202.1728870733094</v>
      </c>
      <c r="BJ204" s="3" t="n">
        <v>-181.1490552397942</v>
      </c>
      <c r="BK204" s="3" t="n">
        <v>-163.9390870276971</v>
      </c>
      <c r="BL204" s="3" t="n">
        <v>-147.2156123678983</v>
      </c>
      <c r="BM204" s="3" t="n">
        <v>-130.1992029243446</v>
      </c>
      <c r="BN204" s="3" t="n">
        <v>-116.8658695910113</v>
      </c>
      <c r="BO204" s="3" t="n">
        <v>-103.5325362576779</v>
      </c>
      <c r="BP204" s="3" t="n">
        <v>-90.1992029243446</v>
      </c>
      <c r="BQ204" s="3" t="n">
        <v>-76.86586959101125</v>
      </c>
      <c r="BR204" s="3" t="n">
        <v>-63.53253625767795</v>
      </c>
      <c r="BS204" s="3" t="n">
        <v>-50.1992029243446</v>
      </c>
      <c r="BT204" s="3" t="n">
        <v>-36.86586959101125</v>
      </c>
      <c r="BU204" s="3" t="n">
        <v>-23.53253625767791</v>
      </c>
      <c r="BV204" s="3" t="n">
        <v>-10.19920292434461</v>
      </c>
      <c r="BW204" s="3" t="n">
        <v>3.134130408988749</v>
      </c>
      <c r="BY204" s="20" t="inlineStr">
        <is>
          <t>egy.mit.tcp.all.lpg.5</t>
        </is>
      </c>
      <c r="BZ204" s="3" t="n">
        <v>-284.6067772394221</v>
      </c>
      <c r="CA204" s="3" t="n">
        <v>-273.741870789052</v>
      </c>
      <c r="CB204" s="3" t="n">
        <v>-251.9569899832007</v>
      </c>
      <c r="CC204" s="3" t="n">
        <v>-213.1684896602088</v>
      </c>
      <c r="CD204" s="3" t="n">
        <v>-240.1265245783532</v>
      </c>
      <c r="CE204" s="3" t="n">
        <v>-187.1728870733093</v>
      </c>
      <c r="CF204" s="3" t="n">
        <v>-179.4823885731275</v>
      </c>
      <c r="CG204" s="3" t="n">
        <v>-175.6057536943638</v>
      </c>
      <c r="CH204" s="3" t="n">
        <v>-172.2156123678983</v>
      </c>
      <c r="CI204" s="3" t="n">
        <v>-168.5325362576779</v>
      </c>
      <c r="CJ204" s="3" t="n">
        <v>-168.5325362576779</v>
      </c>
      <c r="CK204" s="3" t="n">
        <v>-168.5325362576779</v>
      </c>
      <c r="CL204" s="3" t="n">
        <v>-168.5325362576779</v>
      </c>
      <c r="CM204" s="3" t="n">
        <v>-168.5325362576779</v>
      </c>
      <c r="CN204" s="3" t="n">
        <v>-168.5325362576779</v>
      </c>
      <c r="CO204" s="3" t="n">
        <v>-168.5325362576779</v>
      </c>
      <c r="CP204" s="3" t="n">
        <v>-168.5325362576779</v>
      </c>
      <c r="CQ204" s="3" t="n">
        <v>-168.5325362576779</v>
      </c>
      <c r="CR204" s="3" t="n">
        <v>-168.5325362576779</v>
      </c>
      <c r="CS204" s="3" t="n">
        <v>-168.5325362576779</v>
      </c>
      <c r="CU204" s="20" t="inlineStr">
        <is>
          <t>egy.mit.tcp.all.lpg.6</t>
        </is>
      </c>
      <c r="CV204" s="3" t="n">
        <v>-284.6067772394221</v>
      </c>
      <c r="CW204" s="3" t="n">
        <v>-273.741870789052</v>
      </c>
      <c r="CX204" s="3" t="n">
        <v>-251.9569899832007</v>
      </c>
      <c r="CY204" s="3" t="n">
        <v>-213.1684896602088</v>
      </c>
      <c r="CZ204" s="3" t="n">
        <v>-240.1265245783532</v>
      </c>
      <c r="DA204" s="3" t="n">
        <v>-162.1728870733093</v>
      </c>
      <c r="DB204" s="3" t="n">
        <v>-154.4823885731275</v>
      </c>
      <c r="DC204" s="3" t="n">
        <v>-150.6057536943638</v>
      </c>
      <c r="DD204" s="3" t="n">
        <v>-147.2156123678983</v>
      </c>
      <c r="DE204" s="3" t="n">
        <v>-143.5325362576779</v>
      </c>
      <c r="DF204" s="3" t="n">
        <v>-143.5325362576779</v>
      </c>
      <c r="DG204" s="3" t="n">
        <v>-143.5325362576779</v>
      </c>
      <c r="DH204" s="3" t="n">
        <v>-143.5325362576779</v>
      </c>
      <c r="DI204" s="3" t="n">
        <v>-143.5325362576779</v>
      </c>
      <c r="DJ204" s="3" t="n">
        <v>-143.5325362576779</v>
      </c>
      <c r="DK204" s="3" t="n">
        <v>-143.5325362576779</v>
      </c>
      <c r="DL204" s="3" t="n">
        <v>-143.5325362576779</v>
      </c>
      <c r="DM204" s="3" t="n">
        <v>-143.5325362576779</v>
      </c>
      <c r="DN204" s="3" t="n">
        <v>-143.5325362576779</v>
      </c>
      <c r="DO204" s="3" t="n">
        <v>-143.5325362576779</v>
      </c>
    </row>
    <row r="205">
      <c r="A205" s="19" t="inlineStr">
        <is>
          <t>mit.tcp.all.ker</t>
        </is>
      </c>
      <c r="B205" s="3" t="inlineStr">
        <is>
          <t>mit</t>
        </is>
      </c>
      <c r="C205" s="19" t="inlineStr">
        <is>
          <t>mit.tcp_csf.all.ker.a</t>
        </is>
      </c>
      <c r="H205" s="3" t="inlineStr">
        <is>
          <t>Implicit carbon price by fuel: existing taxes, subsidies and new policies per tonne of CO2 | All sectors | Kerosene</t>
        </is>
      </c>
      <c r="I205" s="3" t="inlineStr">
        <is>
          <t>USD/tCO2</t>
        </is>
      </c>
      <c r="K205" s="20" t="inlineStr">
        <is>
          <t>egy.mit.tcp.all.ker.1</t>
        </is>
      </c>
      <c r="L205" s="3" t="n">
        <v>-142.0239919709823</v>
      </c>
      <c r="M205" s="3" t="n">
        <v>-172.3515689173402</v>
      </c>
      <c r="N205" s="3" t="n">
        <v>-171.2336562959121</v>
      </c>
      <c r="O205" s="3" t="n">
        <v>-134.0503212559917</v>
      </c>
      <c r="P205" s="3" t="n">
        <v>-159.9017118383635</v>
      </c>
      <c r="Q205" s="3" t="n">
        <v>-133.1046437405797</v>
      </c>
      <c r="R205" s="3" t="n">
        <v>-125.7357568457775</v>
      </c>
      <c r="S205" s="3" t="n">
        <v>-122.0230864261964</v>
      </c>
      <c r="T205" s="3" t="n">
        <v>-118.7762944629653</v>
      </c>
      <c r="U205" s="3" t="n">
        <v>-115.2482896378398</v>
      </c>
      <c r="V205" s="3" t="n">
        <v>-115.2520406703695</v>
      </c>
      <c r="W205" s="3" t="n">
        <v>-115.2557277558098</v>
      </c>
      <c r="X205" s="3" t="n">
        <v>-115.2593520355443</v>
      </c>
      <c r="Y205" s="3" t="n">
        <v>-115.2629146394912</v>
      </c>
      <c r="Z205" s="3" t="n">
        <v>-115.2664166842741</v>
      </c>
      <c r="AA205" s="3" t="n">
        <v>-115.2698592715688</v>
      </c>
      <c r="AB205" s="3" t="n">
        <v>-115.2732434866126</v>
      </c>
      <c r="AC205" s="3" t="n">
        <v>-115.2765703968674</v>
      </c>
      <c r="AD205" s="3" t="n">
        <v>-115.2798410508227</v>
      </c>
      <c r="AE205" s="3" t="n">
        <v>-115.2830564769294</v>
      </c>
      <c r="AG205" s="20" t="inlineStr">
        <is>
          <t>egy.mit.tcp.all.ker.3</t>
        </is>
      </c>
      <c r="AH205" s="3" t="n">
        <v>-142.0239919709823</v>
      </c>
      <c r="AI205" s="3" t="n">
        <v>-172.3515689173402</v>
      </c>
      <c r="AJ205" s="3" t="n">
        <v>-171.2336562959121</v>
      </c>
      <c r="AK205" s="3" t="n">
        <v>-134.0503212559917</v>
      </c>
      <c r="AL205" s="3" t="n">
        <v>-159.9017118383635</v>
      </c>
      <c r="AM205" s="3" t="n">
        <v>-113.1016797477599</v>
      </c>
      <c r="AN205" s="3" t="n">
        <v>-105.7329701974996</v>
      </c>
      <c r="AO205" s="3" t="n">
        <v>-102.0204450107158</v>
      </c>
      <c r="AP205" s="3" t="n">
        <v>-98.77362415488585</v>
      </c>
      <c r="AQ205" s="3" t="n">
        <v>-95.24572814364771</v>
      </c>
      <c r="AR205" s="3" t="n">
        <v>-95.24944815106922</v>
      </c>
      <c r="AS205" s="3" t="n">
        <v>-95.25320142459617</v>
      </c>
      <c r="AT205" s="3" t="n">
        <v>-95.25693492702182</v>
      </c>
      <c r="AU205" s="3" t="n">
        <v>-95.26058252753931</v>
      </c>
      <c r="AV205" s="3" t="n">
        <v>-95.2641856521538</v>
      </c>
      <c r="AW205" s="3" t="n">
        <v>-95.26776879224714</v>
      </c>
      <c r="AX205" s="3" t="n">
        <v>-95.27125033927587</v>
      </c>
      <c r="AY205" s="3" t="n">
        <v>-95.27465115357911</v>
      </c>
      <c r="AZ205" s="3" t="n">
        <v>-95.27794655487054</v>
      </c>
      <c r="BA205" s="3" t="n">
        <v>-95.28117305802138</v>
      </c>
      <c r="BC205" s="20" t="inlineStr">
        <is>
          <t>egy.mit.tcp.all.ker.4</t>
        </is>
      </c>
      <c r="BD205" s="3" t="n">
        <v>-142.0239919709823</v>
      </c>
      <c r="BE205" s="3" t="n">
        <v>-172.3515689173402</v>
      </c>
      <c r="BF205" s="3" t="n">
        <v>-171.2336562959121</v>
      </c>
      <c r="BG205" s="3" t="n">
        <v>-134.0503212559917</v>
      </c>
      <c r="BH205" s="3" t="n">
        <v>-159.9017118383635</v>
      </c>
      <c r="BI205" s="3" t="n">
        <v>-123.0994114998143</v>
      </c>
      <c r="BJ205" s="3" t="n">
        <v>-102.3920804607682</v>
      </c>
      <c r="BK205" s="3" t="n">
        <v>-85.34211631002914</v>
      </c>
      <c r="BL205" s="3" t="n">
        <v>-68.75882399692513</v>
      </c>
      <c r="BM205" s="3" t="n">
        <v>-51.89760282995651</v>
      </c>
      <c r="BN205" s="3" t="n">
        <v>-38.56757584769873</v>
      </c>
      <c r="BO205" s="3" t="n">
        <v>-25.23751479958357</v>
      </c>
      <c r="BP205" s="3" t="n">
        <v>-11.90745567765403</v>
      </c>
      <c r="BQ205" s="3" t="n">
        <v>1.422619798810894</v>
      </c>
      <c r="BR205" s="3" t="n">
        <v>14.75271109871793</v>
      </c>
      <c r="BS205" s="3" t="n">
        <v>28.08279964438769</v>
      </c>
      <c r="BT205" s="3" t="n">
        <v>41.41291001087799</v>
      </c>
      <c r="BU205" s="3" t="n">
        <v>54.74305706201719</v>
      </c>
      <c r="BV205" s="3" t="n">
        <v>68.07327467583261</v>
      </c>
      <c r="BW205" s="3" t="n">
        <v>81.40356833376126</v>
      </c>
      <c r="BY205" s="20" t="inlineStr">
        <is>
          <t>egy.mit.tcp.all.ker.5</t>
        </is>
      </c>
      <c r="BZ205" s="3" t="n">
        <v>-142.0239919709823</v>
      </c>
      <c r="CA205" s="3" t="n">
        <v>-172.3515689173402</v>
      </c>
      <c r="CB205" s="3" t="n">
        <v>-171.2336562959121</v>
      </c>
      <c r="CC205" s="3" t="n">
        <v>-134.0503212559917</v>
      </c>
      <c r="CD205" s="3" t="n">
        <v>-159.9017118383635</v>
      </c>
      <c r="CE205" s="3" t="n">
        <v>-108.101003104931</v>
      </c>
      <c r="CF205" s="3" t="n">
        <v>-100.7323339156295</v>
      </c>
      <c r="CG205" s="3" t="n">
        <v>-97.01982280695358</v>
      </c>
      <c r="CH205" s="3" t="n">
        <v>-93.77302779343292</v>
      </c>
      <c r="CI205" s="3" t="n">
        <v>-90.24517285505721</v>
      </c>
      <c r="CJ205" s="3" t="n">
        <v>-90.24888996093121</v>
      </c>
      <c r="CK205" s="3" t="n">
        <v>-90.25265245043758</v>
      </c>
      <c r="CL205" s="3" t="n">
        <v>-90.25635519588076</v>
      </c>
      <c r="CM205" s="3" t="n">
        <v>-90.25998019274164</v>
      </c>
      <c r="CN205" s="3" t="n">
        <v>-90.26356085260248</v>
      </c>
      <c r="CO205" s="3" t="n">
        <v>-90.26711176699315</v>
      </c>
      <c r="CP205" s="3" t="n">
        <v>-90.27056528320622</v>
      </c>
      <c r="CQ205" s="3" t="n">
        <v>-90.27395206779057</v>
      </c>
      <c r="CR205" s="3" t="n">
        <v>-90.27724387898573</v>
      </c>
      <c r="CS205" s="3" t="n">
        <v>-90.28048455958509</v>
      </c>
      <c r="CU205" s="20" t="inlineStr">
        <is>
          <t>egy.mit.tcp.all.ker.6</t>
        </is>
      </c>
      <c r="CV205" s="3" t="n">
        <v>-142.0239919709823</v>
      </c>
      <c r="CW205" s="3" t="n">
        <v>-172.3515689173402</v>
      </c>
      <c r="CX205" s="3" t="n">
        <v>-171.2336562959121</v>
      </c>
      <c r="CY205" s="3" t="n">
        <v>-134.0503212559917</v>
      </c>
      <c r="CZ205" s="3" t="n">
        <v>-159.9017118383635</v>
      </c>
      <c r="DA205" s="3" t="n">
        <v>-83.09792857035325</v>
      </c>
      <c r="DB205" s="3" t="n">
        <v>-75.72944297720902</v>
      </c>
      <c r="DC205" s="3" t="n">
        <v>-72.01709519439117</v>
      </c>
      <c r="DD205" s="3" t="n">
        <v>-68.7702467231729</v>
      </c>
      <c r="DE205" s="3" t="n">
        <v>-65.24249635844389</v>
      </c>
      <c r="DF205" s="3" t="n">
        <v>-65.24617397075707</v>
      </c>
      <c r="DG205" s="3" t="n">
        <v>-65.25001132261652</v>
      </c>
      <c r="DH205" s="3" t="n">
        <v>-65.25386253069345</v>
      </c>
      <c r="DI205" s="3" t="n">
        <v>-65.25760574367013</v>
      </c>
      <c r="DJ205" s="3" t="n">
        <v>-65.26132108665237</v>
      </c>
      <c r="DK205" s="3" t="n">
        <v>-65.26506152971331</v>
      </c>
      <c r="DL205" s="3" t="n">
        <v>-65.26864879622003</v>
      </c>
      <c r="DM205" s="3" t="n">
        <v>-65.27213415449656</v>
      </c>
      <c r="DN205" s="3" t="n">
        <v>-65.27545914886591</v>
      </c>
      <c r="DO205" s="3" t="n">
        <v>-65.27870333288703</v>
      </c>
    </row>
    <row r="206">
      <c r="A206" s="19" t="inlineStr">
        <is>
          <t>mit.tcp.all.oop</t>
        </is>
      </c>
      <c r="B206" s="3" t="inlineStr">
        <is>
          <t>mit</t>
        </is>
      </c>
      <c r="C206" s="19" t="inlineStr">
        <is>
          <t>mit.tcp_csf.all.oop.a</t>
        </is>
      </c>
      <c r="H206" s="3" t="inlineStr">
        <is>
          <t>Implicit carbon price by fuel: existing taxes, subsidies and new policies per tonne of CO2 | All sectors | Other oil products</t>
        </is>
      </c>
      <c r="I206" s="3" t="inlineStr">
        <is>
          <t>USD/tCO2</t>
        </is>
      </c>
      <c r="K206" s="20" t="inlineStr">
        <is>
          <t>egy.mit.tcp.all.oop.1</t>
        </is>
      </c>
      <c r="L206" s="3" t="n">
        <v>-181.9309042697946</v>
      </c>
      <c r="M206" s="3" t="n">
        <v>-148.740857442478</v>
      </c>
      <c r="N206" s="3" t="n">
        <v>-143.795587499161</v>
      </c>
      <c r="O206" s="3" t="n">
        <v>-113.50505562752</v>
      </c>
      <c r="P206" s="3" t="n">
        <v>-134.5009493708217</v>
      </c>
      <c r="Q206" s="3" t="n">
        <v>-112.6832538407148</v>
      </c>
      <c r="R206" s="3" t="n">
        <v>-106.6717359187799</v>
      </c>
      <c r="S206" s="3" t="n">
        <v>-103.6361772279877</v>
      </c>
      <c r="T206" s="3" t="n">
        <v>-100.9817659671086</v>
      </c>
      <c r="U206" s="3" t="n">
        <v>-98.11839262566716</v>
      </c>
      <c r="V206" s="3" t="n">
        <v>-98.125366909888</v>
      </c>
      <c r="W206" s="3" t="n">
        <v>-98.13243088796587</v>
      </c>
      <c r="X206" s="3" t="n">
        <v>-98.13942693360433</v>
      </c>
      <c r="Y206" s="3" t="n">
        <v>-98.14655772469162</v>
      </c>
      <c r="Z206" s="3" t="n">
        <v>-98.15373209505775</v>
      </c>
      <c r="AA206" s="3" t="n">
        <v>-98.16095441242953</v>
      </c>
      <c r="AB206" s="3" t="n">
        <v>-98.16821213080846</v>
      </c>
      <c r="AC206" s="3" t="n">
        <v>-98.17549453485209</v>
      </c>
      <c r="AD206" s="3" t="n">
        <v>-98.18279299688606</v>
      </c>
      <c r="AE206" s="3" t="n">
        <v>-98.19009721568312</v>
      </c>
      <c r="AG206" s="20" t="inlineStr">
        <is>
          <t>egy.mit.tcp.all.oop.3</t>
        </is>
      </c>
      <c r="AH206" s="3" t="n">
        <v>-181.9309042697946</v>
      </c>
      <c r="AI206" s="3" t="n">
        <v>-148.7409272985865</v>
      </c>
      <c r="AJ206" s="3" t="n">
        <v>-143.7956573746154</v>
      </c>
      <c r="AK206" s="3" t="n">
        <v>-113.5050981909235</v>
      </c>
      <c r="AL206" s="3" t="n">
        <v>-134.5009890202471</v>
      </c>
      <c r="AM206" s="3" t="n">
        <v>-92.86922788094121</v>
      </c>
      <c r="AN206" s="3" t="n">
        <v>-86.84485781803204</v>
      </c>
      <c r="AO206" s="3" t="n">
        <v>-83.84185189653444</v>
      </c>
      <c r="AP206" s="3" t="n">
        <v>-81.17178826702167</v>
      </c>
      <c r="AQ206" s="3" t="n">
        <v>-78.31764786913168</v>
      </c>
      <c r="AR206" s="3" t="n">
        <v>-78.33374096121378</v>
      </c>
      <c r="AS206" s="3" t="n">
        <v>-78.35055770707601</v>
      </c>
      <c r="AT206" s="3" t="n">
        <v>-78.36753356657596</v>
      </c>
      <c r="AU206" s="3" t="n">
        <v>-78.38480442689234</v>
      </c>
      <c r="AV206" s="3" t="n">
        <v>-78.40233285533853</v>
      </c>
      <c r="AW206" s="3" t="n">
        <v>-78.42020348052924</v>
      </c>
      <c r="AX206" s="3" t="n">
        <v>-78.4381253230561</v>
      </c>
      <c r="AY206" s="3" t="n">
        <v>-78.45614050775083</v>
      </c>
      <c r="AZ206" s="3" t="n">
        <v>-78.47412698220889</v>
      </c>
      <c r="BA206" s="3" t="n">
        <v>-78.49217996056555</v>
      </c>
      <c r="BC206" s="20" t="inlineStr">
        <is>
          <t>egy.mit.tcp.all.oop.4</t>
        </is>
      </c>
      <c r="BD206" s="3" t="n">
        <v>-181.9309042697946</v>
      </c>
      <c r="BE206" s="3" t="n">
        <v>-148.7410664257409</v>
      </c>
      <c r="BF206" s="3" t="n">
        <v>-143.7957965355264</v>
      </c>
      <c r="BG206" s="3" t="n">
        <v>-113.5051829854689</v>
      </c>
      <c r="BH206" s="3" t="n">
        <v>-134.5010680701917</v>
      </c>
      <c r="BI206" s="3" t="n">
        <v>-102.7721564992374</v>
      </c>
      <c r="BJ206" s="3" t="n">
        <v>-83.5351245172252</v>
      </c>
      <c r="BK206" s="3" t="n">
        <v>-67.32292717552606</v>
      </c>
      <c r="BL206" s="3" t="n">
        <v>-51.50331288022954</v>
      </c>
      <c r="BM206" s="3" t="n">
        <v>-35.48141237849382</v>
      </c>
      <c r="BN206" s="3" t="n">
        <v>-22.35013126536066</v>
      </c>
      <c r="BO206" s="3" t="n">
        <v>-9.240706764252149</v>
      </c>
      <c r="BP206" s="3" t="n">
        <v>3.845360825571362</v>
      </c>
      <c r="BQ206" s="3" t="n">
        <v>16.9068376962101</v>
      </c>
      <c r="BR206" s="3" t="n">
        <v>29.94230730499506</v>
      </c>
      <c r="BS206" s="3" t="n">
        <v>42.94987817201357</v>
      </c>
      <c r="BT206" s="3" t="n">
        <v>55.92834383563989</v>
      </c>
      <c r="BU206" s="3" t="n">
        <v>68.87640721908436</v>
      </c>
      <c r="BV206" s="3" t="n">
        <v>81.79345577736386</v>
      </c>
      <c r="BW206" s="3" t="n">
        <v>94.67838229811824</v>
      </c>
      <c r="BY206" s="20" t="inlineStr">
        <is>
          <t>egy.mit.tcp.all.oop.5</t>
        </is>
      </c>
      <c r="BZ206" s="3" t="n">
        <v>-181.9309042697946</v>
      </c>
      <c r="CA206" s="3" t="n">
        <v>-148.741227166222</v>
      </c>
      <c r="CB206" s="3" t="n">
        <v>-143.795957307096</v>
      </c>
      <c r="CC206" s="3" t="n">
        <v>-113.50528084063</v>
      </c>
      <c r="CD206" s="3" t="n">
        <v>-134.5011591006254</v>
      </c>
      <c r="CE206" s="3" t="n">
        <v>-106.5075500712811</v>
      </c>
      <c r="CF206" s="3" t="n">
        <v>-100.9485256425585</v>
      </c>
      <c r="CG206" s="3" t="n">
        <v>-98.31094265094814</v>
      </c>
      <c r="CH206" s="3" t="n">
        <v>-96.02123108729538</v>
      </c>
      <c r="CI206" s="3" t="n">
        <v>-92.91017484716141</v>
      </c>
      <c r="CJ206" s="3" t="n">
        <v>-92.6654902347683</v>
      </c>
      <c r="CK206" s="3" t="n">
        <v>-92.40999724163501</v>
      </c>
      <c r="CL206" s="3" t="n">
        <v>-92.14801292343573</v>
      </c>
      <c r="CM206" s="3" t="n">
        <v>-91.88063043765007</v>
      </c>
      <c r="CN206" s="3" t="n">
        <v>-91.60670997653889</v>
      </c>
      <c r="CO206" s="3" t="n">
        <v>-91.32584326080048</v>
      </c>
      <c r="CP206" s="3" t="n">
        <v>-91.04160204221526</v>
      </c>
      <c r="CQ206" s="3" t="n">
        <v>-90.75301277413159</v>
      </c>
      <c r="CR206" s="3" t="n">
        <v>-90.46200019467689</v>
      </c>
      <c r="CS206" s="3" t="n">
        <v>-90.16683679165121</v>
      </c>
      <c r="CU206" s="20" t="inlineStr">
        <is>
          <t>egy.mit.tcp.all.oop.6</t>
        </is>
      </c>
      <c r="CV206" s="3" t="n">
        <v>-181.9309042697946</v>
      </c>
      <c r="CW206" s="3" t="n">
        <v>-148.7410110820236</v>
      </c>
      <c r="CX206" s="3" t="n">
        <v>-143.7957411791422</v>
      </c>
      <c r="CY206" s="3" t="n">
        <v>-113.5051492493987</v>
      </c>
      <c r="CZ206" s="3" t="n">
        <v>-134.5010366069064</v>
      </c>
      <c r="DA206" s="3" t="n">
        <v>-63.18662735484446</v>
      </c>
      <c r="DB206" s="3" t="n">
        <v>-57.13826838960551</v>
      </c>
      <c r="DC206" s="3" t="n">
        <v>-54.15301876393361</v>
      </c>
      <c r="DD206" s="3" t="n">
        <v>-51.54388227425589</v>
      </c>
      <c r="DE206" s="3" t="n">
        <v>-48.70850225302427</v>
      </c>
      <c r="DF206" s="3" t="n">
        <v>-48.74285363759566</v>
      </c>
      <c r="DG206" s="3" t="n">
        <v>-48.77939334759364</v>
      </c>
      <c r="DH206" s="3" t="n">
        <v>-48.81696773316123</v>
      </c>
      <c r="DI206" s="3" t="n">
        <v>-48.85502664262265</v>
      </c>
      <c r="DJ206" s="3" t="n">
        <v>-48.89391627250746</v>
      </c>
      <c r="DK206" s="3" t="n">
        <v>-48.9340260329862</v>
      </c>
      <c r="DL206" s="3" t="n">
        <v>-48.97405491745408</v>
      </c>
      <c r="DM206" s="3" t="n">
        <v>-49.01431578543414</v>
      </c>
      <c r="DN206" s="3" t="n">
        <v>-49.0542512830491</v>
      </c>
      <c r="DO206" s="3" t="n">
        <v>-49.09438533207831</v>
      </c>
    </row>
    <row r="207">
      <c r="A207" s="19" t="inlineStr">
        <is>
          <t>mit.tcp.all.all</t>
        </is>
      </c>
      <c r="B207" s="3" t="inlineStr">
        <is>
          <t>mit</t>
        </is>
      </c>
      <c r="C207" s="19" t="inlineStr">
        <is>
          <t>mit.tcp.all.all.a</t>
        </is>
      </c>
      <c r="H207" s="3" t="inlineStr">
        <is>
          <t>Implicit carbon price by fuel: existing taxes, subsidies and new policies per tonne of CO2 | All sectors | All fuels</t>
        </is>
      </c>
      <c r="I207" s="3" t="inlineStr">
        <is>
          <t>USD/tCO2</t>
        </is>
      </c>
      <c r="K207" s="20" t="inlineStr">
        <is>
          <t>egy.mit.tcp.all.all.1</t>
        </is>
      </c>
      <c r="L207" s="22" t="n">
        <v>-179.0913656082958</v>
      </c>
      <c r="M207" s="22" t="n">
        <v>-161.9968865978206</v>
      </c>
      <c r="N207" s="22" t="n">
        <v>-152.3445057861868</v>
      </c>
      <c r="O207" s="22" t="n">
        <v>-130.4846794554807</v>
      </c>
      <c r="P207" s="22" t="n">
        <v>-144.6912189650712</v>
      </c>
      <c r="Q207" s="22" t="n">
        <v>-129.8448828521903</v>
      </c>
      <c r="R207" s="22" t="n">
        <v>-125.5995065385299</v>
      </c>
      <c r="S207" s="22" t="n">
        <v>-123.3058098127009</v>
      </c>
      <c r="T207" s="22" t="n">
        <v>-121.2578103556599</v>
      </c>
      <c r="U207" s="22" t="n">
        <v>-119.2766086196821</v>
      </c>
      <c r="V207" s="22" t="n">
        <v>-119.3803888682901</v>
      </c>
      <c r="W207" s="22" t="n">
        <v>-119.3794810515032</v>
      </c>
      <c r="X207" s="22" t="n">
        <v>-119.3942602861033</v>
      </c>
      <c r="Y207" s="22" t="n">
        <v>-119.3907567191413</v>
      </c>
      <c r="Z207" s="22" t="n">
        <v>-119.3837392769521</v>
      </c>
      <c r="AA207" s="22" t="n">
        <v>-119.3717581515171</v>
      </c>
      <c r="AB207" s="22" t="n">
        <v>-119.355527912301</v>
      </c>
      <c r="AC207" s="22" t="n">
        <v>-119.3352123159228</v>
      </c>
      <c r="AD207" s="22" t="n">
        <v>-119.3107191978538</v>
      </c>
      <c r="AE207" s="22" t="n">
        <v>-119.28218502715</v>
      </c>
      <c r="AG207" s="20" t="inlineStr">
        <is>
          <t>egy.mit.tcp.all.all.3</t>
        </is>
      </c>
      <c r="AH207" s="22" t="n">
        <v>-179.0913656082958</v>
      </c>
      <c r="AI207" s="22" t="n">
        <v>-162.0061922302981</v>
      </c>
      <c r="AJ207" s="22" t="n">
        <v>-152.3529086716916</v>
      </c>
      <c r="AK207" s="22" t="n">
        <v>-130.4885265421304</v>
      </c>
      <c r="AL207" s="22" t="n">
        <v>-144.6972292773237</v>
      </c>
      <c r="AM207" s="22" t="n">
        <v>-108.2393288219345</v>
      </c>
      <c r="AN207" s="22" t="n">
        <v>-104.6542814757337</v>
      </c>
      <c r="AO207" s="22" t="n">
        <v>-102.3108288827714</v>
      </c>
      <c r="AP207" s="22" t="n">
        <v>-100.3369195502384</v>
      </c>
      <c r="AQ207" s="22" t="n">
        <v>-98.33780064182922</v>
      </c>
      <c r="AR207" s="22" t="n">
        <v>-98.44533503299377</v>
      </c>
      <c r="AS207" s="22" t="n">
        <v>-98.43014693510861</v>
      </c>
      <c r="AT207" s="22" t="n">
        <v>-98.46019676938832</v>
      </c>
      <c r="AU207" s="22" t="n">
        <v>-98.45863092869708</v>
      </c>
      <c r="AV207" s="22" t="n">
        <v>-98.45364992448273</v>
      </c>
      <c r="AW207" s="22" t="n">
        <v>-98.44261203728658</v>
      </c>
      <c r="AX207" s="22" t="n">
        <v>-98.42981710388793</v>
      </c>
      <c r="AY207" s="22" t="n">
        <v>-98.41354871579298</v>
      </c>
      <c r="AZ207" s="22" t="n">
        <v>-98.39605057062116</v>
      </c>
      <c r="BA207" s="22" t="n">
        <v>-98.37497366005123</v>
      </c>
      <c r="BC207" s="20" t="inlineStr">
        <is>
          <t>egy.mit.tcp.all.all.4</t>
        </is>
      </c>
      <c r="BD207" s="22" t="n">
        <v>-179.0913656082958</v>
      </c>
      <c r="BE207" s="22" t="n">
        <v>-162.0293579899593</v>
      </c>
      <c r="BF207" s="22" t="n">
        <v>-152.3738772443106</v>
      </c>
      <c r="BG207" s="22" t="n">
        <v>-130.4980235796805</v>
      </c>
      <c r="BH207" s="22" t="n">
        <v>-144.7121649748419</v>
      </c>
      <c r="BI207" s="22" t="n">
        <v>-118.8806814419788</v>
      </c>
      <c r="BJ207" s="22" t="n">
        <v>-100.7435147908934</v>
      </c>
      <c r="BK207" s="22" t="n">
        <v>-85.0235366528363</v>
      </c>
      <c r="BL207" s="22" t="n">
        <v>-69.51717216843704</v>
      </c>
      <c r="BM207" s="22" t="n">
        <v>-53.92180513636417</v>
      </c>
      <c r="BN207" s="22" t="n">
        <v>-40.51238707872738</v>
      </c>
      <c r="BO207" s="22" t="n">
        <v>-27.02845183655484</v>
      </c>
      <c r="BP207" s="22" t="n">
        <v>-13.67117026411045</v>
      </c>
      <c r="BQ207" s="22" t="n">
        <v>-0.2756294094917128</v>
      </c>
      <c r="BR207" s="22" t="n">
        <v>13.04139751685029</v>
      </c>
      <c r="BS207" s="22" t="n">
        <v>26.3922632034306</v>
      </c>
      <c r="BT207" s="22" t="n">
        <v>39.66786224979493</v>
      </c>
      <c r="BU207" s="22" t="n">
        <v>52.99528758501054</v>
      </c>
      <c r="BV207" s="22" t="n">
        <v>66.22788883804913</v>
      </c>
      <c r="BW207" s="22" t="n">
        <v>79.55543356132722</v>
      </c>
      <c r="BY207" s="20" t="inlineStr">
        <is>
          <t>egy.mit.tcp.all.all.5</t>
        </is>
      </c>
      <c r="BZ207" s="22" t="n">
        <v>-179.0913656082958</v>
      </c>
      <c r="CA207" s="22" t="n">
        <v>-162.051904266905</v>
      </c>
      <c r="CB207" s="22" t="n">
        <v>-152.394267940907</v>
      </c>
      <c r="CC207" s="22" t="n">
        <v>-130.5073439219368</v>
      </c>
      <c r="CD207" s="22" t="n">
        <v>-144.7267724700124</v>
      </c>
      <c r="CE207" s="22" t="n">
        <v>-114.7226905068849</v>
      </c>
      <c r="CF207" s="22" t="n">
        <v>-110.6875809792816</v>
      </c>
      <c r="CG207" s="22" t="n">
        <v>-108.5640636125377</v>
      </c>
      <c r="CH207" s="22" t="n">
        <v>-106.6261944133077</v>
      </c>
      <c r="CI207" s="22" t="n">
        <v>-104.5779570035277</v>
      </c>
      <c r="CJ207" s="22" t="n">
        <v>-104.5228399888844</v>
      </c>
      <c r="CK207" s="22" t="n">
        <v>-104.5271702830407</v>
      </c>
      <c r="CL207" s="22" t="n">
        <v>-104.4495330164746</v>
      </c>
      <c r="CM207" s="22" t="n">
        <v>-104.3873349682079</v>
      </c>
      <c r="CN207" s="22" t="n">
        <v>-104.2909542220626</v>
      </c>
      <c r="CO207" s="22" t="n">
        <v>-104.1792166682846</v>
      </c>
      <c r="CP207" s="22" t="n">
        <v>-104.0748139446462</v>
      </c>
      <c r="CQ207" s="22" t="n">
        <v>-103.9715092601488</v>
      </c>
      <c r="CR207" s="22" t="n">
        <v>-103.8637547826481</v>
      </c>
      <c r="CS207" s="22" t="n">
        <v>-103.7609936402352</v>
      </c>
      <c r="CU207" s="20" t="inlineStr">
        <is>
          <t>egy.mit.tcp.all.all.6</t>
        </is>
      </c>
      <c r="CV207" s="22" t="n">
        <v>-179.0913656082958</v>
      </c>
      <c r="CW207" s="22" t="n">
        <v>-162.0191859421631</v>
      </c>
      <c r="CX207" s="22" t="n">
        <v>-152.3646617254115</v>
      </c>
      <c r="CY207" s="22" t="n">
        <v>-130.4938666864117</v>
      </c>
      <c r="CZ207" s="22" t="n">
        <v>-144.7056112307236</v>
      </c>
      <c r="DA207" s="22" t="n">
        <v>-76.74059663074955</v>
      </c>
      <c r="DB207" s="22" t="n">
        <v>-73.9922305505351</v>
      </c>
      <c r="DC207" s="22" t="n">
        <v>-71.58876374326445</v>
      </c>
      <c r="DD207" s="22" t="n">
        <v>-69.83787427490921</v>
      </c>
      <c r="DE207" s="22" t="n">
        <v>-67.69153572841363</v>
      </c>
      <c r="DF207" s="22" t="n">
        <v>-67.9123621631859</v>
      </c>
      <c r="DG207" s="22" t="n">
        <v>-67.95692351905498</v>
      </c>
      <c r="DH207" s="22" t="n">
        <v>-68.11856278378605</v>
      </c>
      <c r="DI207" s="22" t="n">
        <v>-68.20415428653368</v>
      </c>
      <c r="DJ207" s="22" t="n">
        <v>-68.31617851344825</v>
      </c>
      <c r="DK207" s="22" t="n">
        <v>-68.38742284502037</v>
      </c>
      <c r="DL207" s="22" t="n">
        <v>-68.48184388500468</v>
      </c>
      <c r="DM207" s="22" t="n">
        <v>-68.53802414034635</v>
      </c>
      <c r="DN207" s="22" t="n">
        <v>-68.6140628876181</v>
      </c>
      <c r="DO207" s="22" t="n">
        <v>-68.65584847038002</v>
      </c>
    </row>
    <row r="208">
      <c r="A208" s="5" t="n"/>
      <c r="B208" s="18" t="inlineStr">
        <is>
          <t>Pigouvian taxes</t>
        </is>
      </c>
      <c r="C208" s="5" t="n"/>
      <c r="D208" s="5" t="n"/>
      <c r="E208" s="5" t="n"/>
      <c r="F208" s="5" t="n"/>
      <c r="G208" s="5" t="n"/>
      <c r="H208" s="5" t="n"/>
      <c r="I208" s="5" t="n"/>
      <c r="J208" s="5" t="n"/>
      <c r="K208" s="5" t="n"/>
      <c r="L208" s="5" t="n"/>
      <c r="M208" s="5" t="n"/>
      <c r="N208" s="5" t="n"/>
      <c r="O208" s="5" t="n"/>
      <c r="P208" s="5" t="n"/>
      <c r="Q208" s="5" t="n"/>
      <c r="R208" s="5" t="n"/>
      <c r="S208" s="5" t="n"/>
      <c r="T208" s="5" t="n"/>
      <c r="U208" s="5" t="n"/>
      <c r="V208" s="5" t="n"/>
      <c r="W208" s="5" t="n"/>
      <c r="X208" s="5" t="n"/>
      <c r="Y208" s="5" t="n"/>
      <c r="Z208" s="5" t="n"/>
      <c r="AA208" s="5" t="n"/>
      <c r="AB208" s="5" t="n"/>
      <c r="AC208" s="5" t="n"/>
      <c r="AD208" s="5" t="n"/>
      <c r="AE208" s="5" t="n"/>
      <c r="AF208" s="5" t="n"/>
      <c r="AG208" s="5" t="n"/>
      <c r="AH208" s="5" t="n"/>
      <c r="AI208" s="5" t="n"/>
      <c r="AJ208" s="5" t="n"/>
      <c r="AK208" s="5" t="n"/>
      <c r="AL208" s="5" t="n"/>
      <c r="AM208" s="5" t="n"/>
      <c r="AN208" s="5" t="n"/>
      <c r="AO208" s="5" t="n"/>
      <c r="AP208" s="5" t="n"/>
      <c r="AQ208" s="5" t="n"/>
      <c r="AR208" s="5" t="n"/>
      <c r="AS208" s="5" t="n"/>
      <c r="AT208" s="5" t="n"/>
      <c r="AU208" s="5" t="n"/>
      <c r="AV208" s="5" t="n"/>
      <c r="AW208" s="5" t="n"/>
      <c r="AX208" s="5" t="n"/>
      <c r="AY208" s="5" t="n"/>
      <c r="AZ208" s="5" t="n"/>
      <c r="BA208" s="5" t="n"/>
      <c r="BB208" s="5" t="n"/>
      <c r="BC208" s="5" t="n"/>
      <c r="BD208" s="5" t="n"/>
      <c r="BE208" s="5" t="n"/>
      <c r="BF208" s="5" t="n"/>
      <c r="BG208" s="5" t="n"/>
      <c r="BH208" s="5" t="n"/>
      <c r="BI208" s="5" t="n"/>
      <c r="BJ208" s="5" t="n"/>
      <c r="BK208" s="5" t="n"/>
      <c r="BL208" s="5" t="n"/>
      <c r="BM208" s="5" t="n"/>
      <c r="BN208" s="5" t="n"/>
      <c r="BO208" s="5" t="n"/>
      <c r="BP208" s="5" t="n"/>
      <c r="BQ208" s="5" t="n"/>
      <c r="BR208" s="5" t="n"/>
      <c r="BS208" s="5" t="n"/>
      <c r="BT208" s="5" t="n"/>
      <c r="BU208" s="5" t="n"/>
      <c r="BV208" s="5" t="n"/>
      <c r="BW208" s="5" t="n"/>
      <c r="BX208" s="5" t="n"/>
      <c r="BY208" s="5" t="n"/>
      <c r="BZ208" s="5" t="n"/>
      <c r="CA208" s="5" t="n"/>
      <c r="CB208" s="5" t="n"/>
      <c r="CC208" s="5" t="n"/>
      <c r="CD208" s="5" t="n"/>
      <c r="CE208" s="5" t="n"/>
      <c r="CF208" s="5" t="n"/>
      <c r="CG208" s="5" t="n"/>
      <c r="CH208" s="5" t="n"/>
      <c r="CI208" s="5" t="n"/>
      <c r="CJ208" s="5" t="n"/>
      <c r="CK208" s="5" t="n"/>
      <c r="CL208" s="5" t="n"/>
      <c r="CM208" s="5" t="n"/>
      <c r="CN208" s="5" t="n"/>
      <c r="CO208" s="5" t="n"/>
      <c r="CP208" s="5" t="n"/>
      <c r="CQ208" s="5" t="n"/>
      <c r="CR208" s="5" t="n"/>
      <c r="CS208" s="5" t="n"/>
      <c r="CT208" s="5" t="n"/>
      <c r="CU208" s="5" t="n"/>
      <c r="CV208" s="5" t="n"/>
      <c r="CW208" s="5" t="n"/>
      <c r="CX208" s="5" t="n"/>
      <c r="CY208" s="5" t="n"/>
      <c r="CZ208" s="5" t="n"/>
      <c r="DA208" s="5" t="n"/>
      <c r="DB208" s="5" t="n"/>
      <c r="DC208" s="5" t="n"/>
      <c r="DD208" s="5" t="n"/>
      <c r="DE208" s="5" t="n"/>
      <c r="DF208" s="5" t="n"/>
      <c r="DG208" s="5" t="n"/>
      <c r="DH208" s="5" t="n"/>
      <c r="DI208" s="5" t="n"/>
      <c r="DJ208" s="5" t="n"/>
      <c r="DK208" s="5" t="n"/>
      <c r="DL208" s="5" t="n"/>
      <c r="DM208" s="5" t="n"/>
      <c r="DN208" s="5" t="n"/>
      <c r="DO208" s="5" t="n"/>
      <c r="DP208" s="5" t="n"/>
      <c r="DQ208" s="5" t="n"/>
      <c r="DR208" s="5" t="n"/>
      <c r="DS208" s="5" t="n"/>
      <c r="DT208" s="5" t="n"/>
      <c r="DU208" s="5" t="n"/>
      <c r="DV208" s="5" t="n"/>
      <c r="DW208" s="5" t="n"/>
      <c r="DX208" s="5" t="n"/>
      <c r="DY208" s="5" t="n"/>
      <c r="DZ208" s="5" t="n"/>
      <c r="EA208" s="5" t="n"/>
      <c r="EB208" s="5" t="n"/>
      <c r="EC208" s="5" t="n"/>
      <c r="ED208" s="5" t="n"/>
      <c r="EE208" s="5" t="n"/>
      <c r="EF208" s="5" t="n"/>
      <c r="EG208" s="5" t="n"/>
      <c r="EH208" s="5" t="n"/>
      <c r="EI208" s="5" t="n"/>
      <c r="EJ208" s="5" t="n"/>
      <c r="EK208" s="5" t="n"/>
      <c r="EL208" s="5" t="n"/>
      <c r="EM208" s="5" t="n"/>
      <c r="EN208" s="5" t="n"/>
      <c r="EO208" s="5" t="n"/>
      <c r="EP208" s="5" t="n"/>
      <c r="EQ208" s="5" t="n"/>
      <c r="ER208" s="5" t="n"/>
      <c r="ES208" s="5" t="n"/>
      <c r="ET208" s="5" t="n"/>
      <c r="EU208" s="5" t="n"/>
      <c r="EV208" s="5" t="n"/>
      <c r="EW208" s="5" t="n"/>
      <c r="EX208" s="5" t="n"/>
      <c r="EY208" s="5" t="n"/>
      <c r="EZ208" s="5" t="n"/>
      <c r="FA208" s="5" t="n"/>
      <c r="FB208" s="5" t="n"/>
      <c r="FC208" s="5" t="n"/>
      <c r="FD208" s="5" t="n"/>
      <c r="FE208" s="5" t="n"/>
      <c r="FF208" s="5" t="n"/>
      <c r="FG208" s="5" t="n"/>
      <c r="FH208" s="5" t="n"/>
      <c r="FI208" s="5" t="n"/>
      <c r="FJ208" s="5" t="n"/>
      <c r="FK208" s="5" t="n"/>
      <c r="FL208" s="5" t="n"/>
      <c r="FM208" s="5" t="n"/>
      <c r="FN208" s="5" t="n"/>
      <c r="FO208" s="5" t="n"/>
      <c r="FP208" s="5" t="n"/>
      <c r="FQ208" s="5" t="n"/>
      <c r="FR208" s="5" t="n"/>
      <c r="FS208" s="5" t="n"/>
      <c r="FT208" s="5" t="n"/>
      <c r="FU208" s="5" t="n"/>
      <c r="FV208" s="5" t="n"/>
      <c r="FW208" s="5" t="n"/>
      <c r="FX208" s="5" t="n"/>
      <c r="FY208" s="5" t="n"/>
      <c r="FZ208" s="5" t="n"/>
      <c r="GA208" s="5" t="n"/>
      <c r="GB208" s="5" t="n"/>
      <c r="GC208" s="5" t="n"/>
      <c r="GD208" s="5" t="n"/>
      <c r="GE208" s="5" t="n"/>
      <c r="GF208" s="5" t="n"/>
      <c r="GG208" s="5" t="n"/>
      <c r="GH208" s="5" t="n"/>
      <c r="GI208" s="5" t="n"/>
      <c r="GJ208" s="5" t="n"/>
      <c r="GK208" s="5" t="n"/>
      <c r="GL208" s="5" t="n"/>
      <c r="GM208" s="5" t="n"/>
      <c r="GN208" s="5" t="n"/>
      <c r="GO208" s="5" t="n"/>
      <c r="GP208" s="5" t="n"/>
      <c r="GQ208" s="5" t="n"/>
      <c r="GR208" s="5" t="n"/>
      <c r="GS208" s="5" t="n"/>
      <c r="GT208" s="5" t="n"/>
      <c r="GU208" s="5" t="n"/>
      <c r="GV208" s="5" t="n"/>
      <c r="GW208" s="5" t="n"/>
      <c r="GX208" s="5" t="n"/>
      <c r="GY208" s="5" t="n"/>
      <c r="GZ208" s="5" t="n"/>
      <c r="HA208" s="5" t="n"/>
      <c r="HB208" s="5" t="n"/>
      <c r="HC208" s="5" t="n"/>
      <c r="HD208" s="5" t="n"/>
      <c r="HE208" s="5" t="n"/>
      <c r="HF208" s="5" t="n"/>
      <c r="HG208" s="5" t="n"/>
      <c r="HH208" s="5" t="n"/>
      <c r="HI208" s="5" t="n"/>
      <c r="HJ208" s="5" t="n"/>
      <c r="HK208" s="5" t="n"/>
      <c r="HL208" s="5" t="n"/>
      <c r="HM208" s="5" t="n"/>
      <c r="HN208" s="5" t="n"/>
      <c r="HO208" s="5" t="n"/>
      <c r="HP208" s="5" t="n"/>
      <c r="HQ208" s="5" t="n"/>
      <c r="HR208" s="5" t="n"/>
      <c r="HS208" s="5" t="n"/>
      <c r="HT208" s="5" t="n"/>
      <c r="HU208" s="5" t="n"/>
      <c r="HV208" s="5" t="n"/>
    </row>
    <row r="209">
      <c r="A209" s="19" t="inlineStr">
        <is>
          <t>mit.eff.price.all.gso</t>
        </is>
      </c>
      <c r="B209" s="3" t="inlineStr">
        <is>
          <t>mit</t>
        </is>
      </c>
      <c r="C209" s="19" t="inlineStr">
        <is>
          <t>mit.eff.price.gso.all</t>
        </is>
      </c>
      <c r="H209" s="3" t="inlineStr">
        <is>
          <t>Efficient price | All sectors | Gasoline</t>
        </is>
      </c>
      <c r="I209" s="3" t="inlineStr">
        <is>
          <t>USD per price unit</t>
        </is>
      </c>
      <c r="K209" s="20" t="inlineStr">
        <is>
          <t>egy.mit.eff.price.all.gso.1</t>
        </is>
      </c>
      <c r="L209" s="3" t="n">
        <v>1.408015905389511</v>
      </c>
      <c r="M209" s="3" t="n">
        <v>1.193320305787638</v>
      </c>
      <c r="N209" s="3" t="n">
        <v>1.141506778781517</v>
      </c>
      <c r="O209" s="3" t="n">
        <v>1.016293705442564</v>
      </c>
      <c r="P209" s="3" t="n">
        <v>1.115816927842066</v>
      </c>
      <c r="Q209" s="3" t="n">
        <v>1.044176730136666</v>
      </c>
      <c r="R209" s="3" t="n">
        <v>1.038720638975577</v>
      </c>
      <c r="S209" s="3" t="n">
        <v>1.044719884762652</v>
      </c>
      <c r="T209" s="3" t="n">
        <v>1.051967361410431</v>
      </c>
      <c r="U209" s="3" t="n">
        <v>1.054841019467152</v>
      </c>
      <c r="V209" s="3" t="n">
        <v>1.071446391800048</v>
      </c>
      <c r="W209" s="3" t="n">
        <v>1.088778693249129</v>
      </c>
      <c r="X209" s="3" t="n">
        <v>1.106914510340782</v>
      </c>
      <c r="Y209" s="3" t="n">
        <v>1.125906545498628</v>
      </c>
      <c r="Z209" s="3" t="n">
        <v>1.145800134975622</v>
      </c>
      <c r="AA209" s="3" t="n">
        <v>1.166641308674179</v>
      </c>
      <c r="AB209" s="3" t="n">
        <v>1.188526988238893</v>
      </c>
      <c r="AC209" s="3" t="n">
        <v>1.21151043815863</v>
      </c>
      <c r="AD209" s="3" t="n">
        <v>1.235641131634713</v>
      </c>
      <c r="AE209" s="3" t="n">
        <v>1.258825927778018</v>
      </c>
      <c r="AG209" s="20" t="inlineStr">
        <is>
          <t>egy.mit.eff.price.all.gso.3</t>
        </is>
      </c>
      <c r="AH209" s="3" t="n">
        <v>1.408015905389511</v>
      </c>
      <c r="AI209" s="3" t="n">
        <v>1.193320305787638</v>
      </c>
      <c r="AJ209" s="3" t="n">
        <v>1.141506778781517</v>
      </c>
      <c r="AK209" s="3" t="n">
        <v>1.016293705442564</v>
      </c>
      <c r="AL209" s="3" t="n">
        <v>1.115816927903818</v>
      </c>
      <c r="AM209" s="3" t="n">
        <v>1.044156924216043</v>
      </c>
      <c r="AN209" s="3" t="n">
        <v>1.039144691121935</v>
      </c>
      <c r="AO209" s="3" t="n">
        <v>1.045615792100892</v>
      </c>
      <c r="AP209" s="3" t="n">
        <v>1.053358714552725</v>
      </c>
      <c r="AQ209" s="3" t="n">
        <v>1.056715094014786</v>
      </c>
      <c r="AR209" s="3" t="n">
        <v>1.073832282270149</v>
      </c>
      <c r="AS209" s="3" t="n">
        <v>1.091690945378613</v>
      </c>
      <c r="AT209" s="3" t="n">
        <v>1.110370506105491</v>
      </c>
      <c r="AU209" s="3" t="n">
        <v>1.129927923116627</v>
      </c>
      <c r="AV209" s="3" t="n">
        <v>1.150410198000577</v>
      </c>
      <c r="AW209" s="3" t="n">
        <v>1.171864572287068</v>
      </c>
      <c r="AX209" s="3" t="n">
        <v>1.194394351180081</v>
      </c>
      <c r="AY209" s="3" t="n">
        <v>1.218055580424774</v>
      </c>
      <c r="AZ209" s="3" t="n">
        <v>1.242901349252625</v>
      </c>
      <c r="BA209" s="3" t="n">
        <v>1.26684067400497</v>
      </c>
      <c r="BC209" s="20" t="inlineStr">
        <is>
          <t>egy.mit.eff.price.all.gso.4</t>
        </is>
      </c>
      <c r="BD209" s="3" t="n">
        <v>1.408015905389511</v>
      </c>
      <c r="BE209" s="3" t="n">
        <v>1.193320305787638</v>
      </c>
      <c r="BF209" s="3" t="n">
        <v>1.141506778781517</v>
      </c>
      <c r="BG209" s="3" t="n">
        <v>1.016293705442564</v>
      </c>
      <c r="BH209" s="3" t="n">
        <v>1.115816928047951</v>
      </c>
      <c r="BI209" s="3" t="n">
        <v>1.044166591154313</v>
      </c>
      <c r="BJ209" s="3" t="n">
        <v>1.038923442547734</v>
      </c>
      <c r="BK209" s="3" t="n">
        <v>1.045461727738555</v>
      </c>
      <c r="BL209" s="3" t="n">
        <v>1.053593544743587</v>
      </c>
      <c r="BM209" s="3" t="n">
        <v>1.057667405330921</v>
      </c>
      <c r="BN209" s="3" t="n">
        <v>1.075848840331555</v>
      </c>
      <c r="BO209" s="3" t="n">
        <v>1.095134562629791</v>
      </c>
      <c r="BP209" s="3" t="n">
        <v>1.115621951148754</v>
      </c>
      <c r="BQ209" s="3" t="n">
        <v>1.137387073259755</v>
      </c>
      <c r="BR209" s="3" t="n">
        <v>1.160501615229546</v>
      </c>
      <c r="BS209" s="3" t="n">
        <v>1.185039160710615</v>
      </c>
      <c r="BT209" s="3" t="n">
        <v>1.211136634261602</v>
      </c>
      <c r="BU209" s="3" t="n">
        <v>1.238886768075575</v>
      </c>
      <c r="BV209" s="3" t="n">
        <v>1.268382577055022</v>
      </c>
      <c r="BW209" s="3" t="n">
        <v>1.297578601034247</v>
      </c>
      <c r="BY209" s="20" t="inlineStr">
        <is>
          <t>egy.mit.eff.price.all.gso.5</t>
        </is>
      </c>
      <c r="BZ209" s="3" t="n">
        <v>1.408015905389511</v>
      </c>
      <c r="CA209" s="3" t="n">
        <v>1.193320305787638</v>
      </c>
      <c r="CB209" s="3" t="n">
        <v>1.141506778781517</v>
      </c>
      <c r="CC209" s="3" t="n">
        <v>1.016293705442564</v>
      </c>
      <c r="CD209" s="3" t="n">
        <v>1.115816928195645</v>
      </c>
      <c r="CE209" s="3" t="n">
        <v>1.044152253363579</v>
      </c>
      <c r="CF209" s="3" t="n">
        <v>1.039244844584518</v>
      </c>
      <c r="CG209" s="3" t="n">
        <v>1.045827489715503</v>
      </c>
      <c r="CH209" s="3" t="n">
        <v>1.053686129701326</v>
      </c>
      <c r="CI209" s="3" t="n">
        <v>1.057154915543727</v>
      </c>
      <c r="CJ209" s="3" t="n">
        <v>1.074391328081739</v>
      </c>
      <c r="CK209" s="3" t="n">
        <v>1.0923730450628</v>
      </c>
      <c r="CL209" s="3" t="n">
        <v>1.111181894493463</v>
      </c>
      <c r="CM209" s="3" t="n">
        <v>1.130874644623036</v>
      </c>
      <c r="CN209" s="3" t="n">
        <v>1.151498688955184</v>
      </c>
      <c r="CO209" s="3" t="n">
        <v>1.173101857898945</v>
      </c>
      <c r="CP209" s="3" t="n">
        <v>1.195787917824642</v>
      </c>
      <c r="CQ209" s="3" t="n">
        <v>1.219613035391444</v>
      </c>
      <c r="CR209" s="3" t="n">
        <v>1.244630787002992</v>
      </c>
      <c r="CS209" s="3" t="n">
        <v>1.268750654852001</v>
      </c>
      <c r="CU209" s="20" t="inlineStr">
        <is>
          <t>egy.mit.eff.price.all.gso.6</t>
        </is>
      </c>
      <c r="CV209" s="3" t="n">
        <v>1.408015905389511</v>
      </c>
      <c r="CW209" s="3" t="n">
        <v>1.193320305787638</v>
      </c>
      <c r="CX209" s="3" t="n">
        <v>1.141506778781517</v>
      </c>
      <c r="CY209" s="3" t="n">
        <v>1.016293705442564</v>
      </c>
      <c r="CZ209" s="3" t="n">
        <v>1.115816927986267</v>
      </c>
      <c r="DA209" s="3" t="n">
        <v>1.044130303764498</v>
      </c>
      <c r="DB209" s="3" t="n">
        <v>1.039725040491978</v>
      </c>
      <c r="DC209" s="3" t="n">
        <v>1.046841377426544</v>
      </c>
      <c r="DD209" s="3" t="n">
        <v>1.055261292686578</v>
      </c>
      <c r="DE209" s="3" t="n">
        <v>1.059277380047958</v>
      </c>
      <c r="DF209" s="3" t="n">
        <v>1.077094057817698</v>
      </c>
      <c r="DG209" s="3" t="n">
        <v>1.095672155509804</v>
      </c>
      <c r="DH209" s="3" t="n">
        <v>1.115095472930965</v>
      </c>
      <c r="DI209" s="3" t="n">
        <v>1.135426088435143</v>
      </c>
      <c r="DJ209" s="3" t="n">
        <v>1.156713540267018</v>
      </c>
      <c r="DK209" s="3" t="n">
        <v>1.179006715518951</v>
      </c>
      <c r="DL209" s="3" t="n">
        <v>1.202417463823729</v>
      </c>
      <c r="DM209" s="3" t="n">
        <v>1.227005349338353</v>
      </c>
      <c r="DN209" s="3" t="n">
        <v>1.252828401381951</v>
      </c>
      <c r="DO209" s="3" t="n">
        <v>1.277798609829688</v>
      </c>
    </row>
    <row r="210">
      <c r="A210" s="19" t="inlineStr">
        <is>
          <t>mit.sup.cost.all.gso</t>
        </is>
      </c>
      <c r="B210" s="3" t="inlineStr">
        <is>
          <t>mit</t>
        </is>
      </c>
      <c r="C210" s="19" t="inlineStr">
        <is>
          <t>mit.sup.cost.gso.all</t>
        </is>
      </c>
      <c r="H210" s="3" t="inlineStr">
        <is>
          <t>Efficient price: supply cost of scenario 1 | All sectors | Gasoline</t>
        </is>
      </c>
      <c r="I210" s="3" t="inlineStr">
        <is>
          <t>USD per price unit</t>
        </is>
      </c>
      <c r="K210" s="20" t="inlineStr">
        <is>
          <t>egy.mit.sup.cost.all.gso.1</t>
        </is>
      </c>
      <c r="L210" s="3" t="n">
        <v>0.9854987492101684</v>
      </c>
      <c r="M210" s="3" t="n">
        <v>0.7985775378059115</v>
      </c>
      <c r="N210" s="3" t="n">
        <v>0.7535419653753448</v>
      </c>
      <c r="O210" s="3" t="n">
        <v>0.6505986278569561</v>
      </c>
      <c r="P210" s="3" t="n">
        <v>0.7221443196032824</v>
      </c>
      <c r="Q210" s="3" t="n">
        <v>0.6479563330457638</v>
      </c>
      <c r="R210" s="3" t="n">
        <v>0.6275460161684288</v>
      </c>
      <c r="S210" s="3" t="n">
        <v>0.6172575613574143</v>
      </c>
      <c r="T210" s="3" t="n">
        <v>0.6082602435983023</v>
      </c>
      <c r="U210" s="3" t="n">
        <v>0.5984854870605872</v>
      </c>
      <c r="V210" s="3" t="n">
        <v>0.5984854870605872</v>
      </c>
      <c r="W210" s="3" t="n">
        <v>0.5984854870605872</v>
      </c>
      <c r="X210" s="3" t="n">
        <v>0.5984854870605874</v>
      </c>
      <c r="Y210" s="3" t="n">
        <v>0.5984854870605874</v>
      </c>
      <c r="Z210" s="3" t="n">
        <v>0.5984854870605874</v>
      </c>
      <c r="AA210" s="3" t="n">
        <v>0.5984854870605874</v>
      </c>
      <c r="AB210" s="3" t="n">
        <v>0.5984854870605874</v>
      </c>
      <c r="AC210" s="3" t="n">
        <v>0.5984854870605874</v>
      </c>
      <c r="AD210" s="3" t="n">
        <v>0.5984854870605874</v>
      </c>
      <c r="AE210" s="3" t="n">
        <v>0.5984854870605876</v>
      </c>
      <c r="AG210" s="20" t="inlineStr">
        <is>
          <t>egy.mit.sup.cost.all.gso.3</t>
        </is>
      </c>
      <c r="AH210" s="3" t="n">
        <v>0.9854987492101684</v>
      </c>
      <c r="AI210" s="3" t="n">
        <v>0.7985775378059115</v>
      </c>
      <c r="AJ210" s="3" t="n">
        <v>0.7535419653753448</v>
      </c>
      <c r="AK210" s="3" t="n">
        <v>0.6505986278569561</v>
      </c>
      <c r="AL210" s="3" t="n">
        <v>0.7221443196032824</v>
      </c>
      <c r="AM210" s="3" t="n">
        <v>0.6479563330457638</v>
      </c>
      <c r="AN210" s="3" t="n">
        <v>0.6275460161684288</v>
      </c>
      <c r="AO210" s="3" t="n">
        <v>0.6172575613574143</v>
      </c>
      <c r="AP210" s="3" t="n">
        <v>0.6082602435983023</v>
      </c>
      <c r="AQ210" s="3" t="n">
        <v>0.5984854870605872</v>
      </c>
      <c r="AR210" s="3" t="n">
        <v>0.5984854870605872</v>
      </c>
      <c r="AS210" s="3" t="n">
        <v>0.5984854870605872</v>
      </c>
      <c r="AT210" s="3" t="n">
        <v>0.5984854870605874</v>
      </c>
      <c r="AU210" s="3" t="n">
        <v>0.5984854870605874</v>
      </c>
      <c r="AV210" s="3" t="n">
        <v>0.5984854870605874</v>
      </c>
      <c r="AW210" s="3" t="n">
        <v>0.5984854870605874</v>
      </c>
      <c r="AX210" s="3" t="n">
        <v>0.5984854870605874</v>
      </c>
      <c r="AY210" s="3" t="n">
        <v>0.5984854870605874</v>
      </c>
      <c r="AZ210" s="3" t="n">
        <v>0.5984854870605874</v>
      </c>
      <c r="BA210" s="3" t="n">
        <v>0.5984854870605876</v>
      </c>
      <c r="BC210" s="20" t="inlineStr">
        <is>
          <t>egy.mit.sup.cost.all.gso.4</t>
        </is>
      </c>
      <c r="BD210" s="3" t="n">
        <v>0.9854987492101684</v>
      </c>
      <c r="BE210" s="3" t="n">
        <v>0.7985775378059115</v>
      </c>
      <c r="BF210" s="3" t="n">
        <v>0.7535419653753448</v>
      </c>
      <c r="BG210" s="3" t="n">
        <v>0.6505986278569561</v>
      </c>
      <c r="BH210" s="3" t="n">
        <v>0.7221443196032824</v>
      </c>
      <c r="BI210" s="3" t="n">
        <v>0.6479563330457638</v>
      </c>
      <c r="BJ210" s="3" t="n">
        <v>0.6275460161684288</v>
      </c>
      <c r="BK210" s="3" t="n">
        <v>0.6172575613574143</v>
      </c>
      <c r="BL210" s="3" t="n">
        <v>0.6082602435983023</v>
      </c>
      <c r="BM210" s="3" t="n">
        <v>0.5984854870605872</v>
      </c>
      <c r="BN210" s="3" t="n">
        <v>0.5984854870605872</v>
      </c>
      <c r="BO210" s="3" t="n">
        <v>0.5984854870605872</v>
      </c>
      <c r="BP210" s="3" t="n">
        <v>0.5984854870605874</v>
      </c>
      <c r="BQ210" s="3" t="n">
        <v>0.5984854870605874</v>
      </c>
      <c r="BR210" s="3" t="n">
        <v>0.5984854870605874</v>
      </c>
      <c r="BS210" s="3" t="n">
        <v>0.5984854870605874</v>
      </c>
      <c r="BT210" s="3" t="n">
        <v>0.5984854870605874</v>
      </c>
      <c r="BU210" s="3" t="n">
        <v>0.5984854870605874</v>
      </c>
      <c r="BV210" s="3" t="n">
        <v>0.5984854870605874</v>
      </c>
      <c r="BW210" s="3" t="n">
        <v>0.5984854870605876</v>
      </c>
      <c r="BY210" s="20" t="inlineStr">
        <is>
          <t>egy.mit.sup.cost.all.gso.5</t>
        </is>
      </c>
      <c r="BZ210" s="3" t="n">
        <v>0.9854987492101684</v>
      </c>
      <c r="CA210" s="3" t="n">
        <v>0.7985775378059115</v>
      </c>
      <c r="CB210" s="3" t="n">
        <v>0.7535419653753448</v>
      </c>
      <c r="CC210" s="3" t="n">
        <v>0.6505986278569561</v>
      </c>
      <c r="CD210" s="3" t="n">
        <v>0.7221443196032824</v>
      </c>
      <c r="CE210" s="3" t="n">
        <v>0.6479563330457638</v>
      </c>
      <c r="CF210" s="3" t="n">
        <v>0.6275460161684288</v>
      </c>
      <c r="CG210" s="3" t="n">
        <v>0.6172575613574143</v>
      </c>
      <c r="CH210" s="3" t="n">
        <v>0.6082602435983023</v>
      </c>
      <c r="CI210" s="3" t="n">
        <v>0.5984854870605872</v>
      </c>
      <c r="CJ210" s="3" t="n">
        <v>0.5984854870605872</v>
      </c>
      <c r="CK210" s="3" t="n">
        <v>0.5984854870605872</v>
      </c>
      <c r="CL210" s="3" t="n">
        <v>0.5984854870605874</v>
      </c>
      <c r="CM210" s="3" t="n">
        <v>0.5984854870605874</v>
      </c>
      <c r="CN210" s="3" t="n">
        <v>0.5984854870605874</v>
      </c>
      <c r="CO210" s="3" t="n">
        <v>0.5984854870605874</v>
      </c>
      <c r="CP210" s="3" t="n">
        <v>0.5984854870605874</v>
      </c>
      <c r="CQ210" s="3" t="n">
        <v>0.5984854870605874</v>
      </c>
      <c r="CR210" s="3" t="n">
        <v>0.5984854870605874</v>
      </c>
      <c r="CS210" s="3" t="n">
        <v>0.5984854870605876</v>
      </c>
      <c r="CU210" s="20" t="inlineStr">
        <is>
          <t>egy.mit.sup.cost.all.gso.6</t>
        </is>
      </c>
      <c r="CV210" s="3" t="n">
        <v>0.9854987492101684</v>
      </c>
      <c r="CW210" s="3" t="n">
        <v>0.7985775378059115</v>
      </c>
      <c r="CX210" s="3" t="n">
        <v>0.7535419653753448</v>
      </c>
      <c r="CY210" s="3" t="n">
        <v>0.6505986278569561</v>
      </c>
      <c r="CZ210" s="3" t="n">
        <v>0.7221443196032824</v>
      </c>
      <c r="DA210" s="3" t="n">
        <v>0.6479563330457638</v>
      </c>
      <c r="DB210" s="3" t="n">
        <v>0.6275460161684288</v>
      </c>
      <c r="DC210" s="3" t="n">
        <v>0.6172575613574143</v>
      </c>
      <c r="DD210" s="3" t="n">
        <v>0.6082602435983023</v>
      </c>
      <c r="DE210" s="3" t="n">
        <v>0.5984854870605872</v>
      </c>
      <c r="DF210" s="3" t="n">
        <v>0.5984854870605872</v>
      </c>
      <c r="DG210" s="3" t="n">
        <v>0.5984854870605872</v>
      </c>
      <c r="DH210" s="3" t="n">
        <v>0.5984854870605874</v>
      </c>
      <c r="DI210" s="3" t="n">
        <v>0.5984854870605874</v>
      </c>
      <c r="DJ210" s="3" t="n">
        <v>0.5984854870605874</v>
      </c>
      <c r="DK210" s="3" t="n">
        <v>0.5984854870605874</v>
      </c>
      <c r="DL210" s="3" t="n">
        <v>0.5984854870605874</v>
      </c>
      <c r="DM210" s="3" t="n">
        <v>0.5984854870605874</v>
      </c>
      <c r="DN210" s="3" t="n">
        <v>0.5984854870605874</v>
      </c>
      <c r="DO210" s="3" t="n">
        <v>0.5984854870605876</v>
      </c>
    </row>
    <row r="211">
      <c r="A211" s="19" t="inlineStr">
        <is>
          <t>mit.airpol.cost.all.gso</t>
        </is>
      </c>
      <c r="B211" s="3" t="inlineStr">
        <is>
          <t>mit</t>
        </is>
      </c>
      <c r="C211" s="19" t="inlineStr">
        <is>
          <t>mit.airpol.cost.gso.all</t>
        </is>
      </c>
      <c r="H211" s="3" t="inlineStr">
        <is>
          <t>Air-pollution cost per unit of fuel, marginal damages (coal, gas, other oil products USD/GJ; gasoline, diesel, LPG, kerosene USD/l) | All sectors | Gasoline</t>
        </is>
      </c>
      <c r="I211" s="3" t="inlineStr">
        <is>
          <t>USD per unit</t>
        </is>
      </c>
      <c r="K211" s="20" t="inlineStr">
        <is>
          <t>egy.mit.airpol.cost.all.gso.1</t>
        </is>
      </c>
      <c r="L211" s="3" t="n">
        <v>0.04216236881214521</v>
      </c>
      <c r="M211" s="3" t="n">
        <v>0.04172959605047277</v>
      </c>
      <c r="N211" s="3" t="n">
        <v>0.03925334882068982</v>
      </c>
      <c r="O211" s="3" t="n">
        <v>0.02760201519464342</v>
      </c>
      <c r="P211" s="3" t="n">
        <v>0.03114338340674845</v>
      </c>
      <c r="Q211" s="3" t="n">
        <v>0.03197398106467778</v>
      </c>
      <c r="R211" s="3" t="n">
        <v>0.03454556318702138</v>
      </c>
      <c r="S211" s="3" t="n">
        <v>0.03690267911209675</v>
      </c>
      <c r="T211" s="3" t="n">
        <v>0.03901744283167993</v>
      </c>
      <c r="U211" s="3" t="n">
        <v>0.03939955480924744</v>
      </c>
      <c r="V211" s="3" t="n">
        <v>0.04059602022586596</v>
      </c>
      <c r="W211" s="3" t="n">
        <v>0.04180715923156138</v>
      </c>
      <c r="X211" s="3" t="n">
        <v>0.04303077694897126</v>
      </c>
      <c r="Y211" s="3" t="n">
        <v>0.04426620463579224</v>
      </c>
      <c r="Z211" s="3" t="n">
        <v>0.04551048434713235</v>
      </c>
      <c r="AA211" s="3" t="n">
        <v>0.0467642703696456</v>
      </c>
      <c r="AB211" s="3" t="n">
        <v>0.04802203674844796</v>
      </c>
      <c r="AC211" s="3" t="n">
        <v>0.04928107033080896</v>
      </c>
      <c r="AD211" s="3" t="n">
        <v>0.05053846911482016</v>
      </c>
      <c r="AE211" s="3" t="n">
        <v>0.04990215523385551</v>
      </c>
      <c r="AG211" s="20" t="inlineStr">
        <is>
          <t>egy.mit.airpol.cost.all.gso.3</t>
        </is>
      </c>
      <c r="AH211" s="3" t="n">
        <v>0.04216236881214521</v>
      </c>
      <c r="AI211" s="3" t="n">
        <v>0.04172959605047277</v>
      </c>
      <c r="AJ211" s="3" t="n">
        <v>0.03925334882068982</v>
      </c>
      <c r="AK211" s="3" t="n">
        <v>0.02760201519464342</v>
      </c>
      <c r="AL211" s="3" t="n">
        <v>0.03114338340674845</v>
      </c>
      <c r="AM211" s="3" t="n">
        <v>0.03197398106467779</v>
      </c>
      <c r="AN211" s="3" t="n">
        <v>0.03454556318702137</v>
      </c>
      <c r="AO211" s="3" t="n">
        <v>0.03690267911209675</v>
      </c>
      <c r="AP211" s="3" t="n">
        <v>0.03901744283167993</v>
      </c>
      <c r="AQ211" s="3" t="n">
        <v>0.03939955480924744</v>
      </c>
      <c r="AR211" s="3" t="n">
        <v>0.04059602022586596</v>
      </c>
      <c r="AS211" s="3" t="n">
        <v>0.04180715923156138</v>
      </c>
      <c r="AT211" s="3" t="n">
        <v>0.04303077694897126</v>
      </c>
      <c r="AU211" s="3" t="n">
        <v>0.04426620463579224</v>
      </c>
      <c r="AV211" s="3" t="n">
        <v>0.04551048434713235</v>
      </c>
      <c r="AW211" s="3" t="n">
        <v>0.0467642703696456</v>
      </c>
      <c r="AX211" s="3" t="n">
        <v>0.04802203674844796</v>
      </c>
      <c r="AY211" s="3" t="n">
        <v>0.04928107033080896</v>
      </c>
      <c r="AZ211" s="3" t="n">
        <v>0.05053846911482016</v>
      </c>
      <c r="BA211" s="3" t="n">
        <v>0.04990215523385551</v>
      </c>
      <c r="BC211" s="20" t="inlineStr">
        <is>
          <t>egy.mit.airpol.cost.all.gso.4</t>
        </is>
      </c>
      <c r="BD211" s="3" t="n">
        <v>0.04216236881214521</v>
      </c>
      <c r="BE211" s="3" t="n">
        <v>0.04172959605047277</v>
      </c>
      <c r="BF211" s="3" t="n">
        <v>0.03925334882068982</v>
      </c>
      <c r="BG211" s="3" t="n">
        <v>0.02760201519464342</v>
      </c>
      <c r="BH211" s="3" t="n">
        <v>0.03114338340674845</v>
      </c>
      <c r="BI211" s="3" t="n">
        <v>0.03197398106467778</v>
      </c>
      <c r="BJ211" s="3" t="n">
        <v>0.03454556318702138</v>
      </c>
      <c r="BK211" s="3" t="n">
        <v>0.03690267911209675</v>
      </c>
      <c r="BL211" s="3" t="n">
        <v>0.03901744283167993</v>
      </c>
      <c r="BM211" s="3" t="n">
        <v>0.03939955480924744</v>
      </c>
      <c r="BN211" s="3" t="n">
        <v>0.04059602022586596</v>
      </c>
      <c r="BO211" s="3" t="n">
        <v>0.04180715923156138</v>
      </c>
      <c r="BP211" s="3" t="n">
        <v>0.04303077694897126</v>
      </c>
      <c r="BQ211" s="3" t="n">
        <v>0.04426620463579224</v>
      </c>
      <c r="BR211" s="3" t="n">
        <v>0.04551048434713235</v>
      </c>
      <c r="BS211" s="3" t="n">
        <v>0.0467642703696456</v>
      </c>
      <c r="BT211" s="3" t="n">
        <v>0.04802203674844796</v>
      </c>
      <c r="BU211" s="3" t="n">
        <v>0.04928107033080896</v>
      </c>
      <c r="BV211" s="3" t="n">
        <v>0.05053846911482016</v>
      </c>
      <c r="BW211" s="3" t="n">
        <v>0.04990215523385551</v>
      </c>
      <c r="BY211" s="20" t="inlineStr">
        <is>
          <t>egy.mit.airpol.cost.all.gso.5</t>
        </is>
      </c>
      <c r="BZ211" s="3" t="n">
        <v>0.04216236881214521</v>
      </c>
      <c r="CA211" s="3" t="n">
        <v>0.04172959605047277</v>
      </c>
      <c r="CB211" s="3" t="n">
        <v>0.03925334882068982</v>
      </c>
      <c r="CC211" s="3" t="n">
        <v>0.02760201519464342</v>
      </c>
      <c r="CD211" s="3" t="n">
        <v>0.03114338340674845</v>
      </c>
      <c r="CE211" s="3" t="n">
        <v>0.03197398106467778</v>
      </c>
      <c r="CF211" s="3" t="n">
        <v>0.03454556318702138</v>
      </c>
      <c r="CG211" s="3" t="n">
        <v>0.03690267911209675</v>
      </c>
      <c r="CH211" s="3" t="n">
        <v>0.03901744283167993</v>
      </c>
      <c r="CI211" s="3" t="n">
        <v>0.03939955480924744</v>
      </c>
      <c r="CJ211" s="3" t="n">
        <v>0.04059602022586596</v>
      </c>
      <c r="CK211" s="3" t="n">
        <v>0.04180715923156138</v>
      </c>
      <c r="CL211" s="3" t="n">
        <v>0.04303077694897126</v>
      </c>
      <c r="CM211" s="3" t="n">
        <v>0.04426620463579224</v>
      </c>
      <c r="CN211" s="3" t="n">
        <v>0.04551048434713235</v>
      </c>
      <c r="CO211" s="3" t="n">
        <v>0.0467642703696456</v>
      </c>
      <c r="CP211" s="3" t="n">
        <v>0.04802203674844796</v>
      </c>
      <c r="CQ211" s="3" t="n">
        <v>0.04928107033080896</v>
      </c>
      <c r="CR211" s="3" t="n">
        <v>0.05053846911482016</v>
      </c>
      <c r="CS211" s="3" t="n">
        <v>0.04990215523385551</v>
      </c>
      <c r="CU211" s="20" t="inlineStr">
        <is>
          <t>egy.mit.airpol.cost.all.gso.6</t>
        </is>
      </c>
      <c r="CV211" s="3" t="n">
        <v>0.04216236881214521</v>
      </c>
      <c r="CW211" s="3" t="n">
        <v>0.04172959605047277</v>
      </c>
      <c r="CX211" s="3" t="n">
        <v>0.03925334882068982</v>
      </c>
      <c r="CY211" s="3" t="n">
        <v>0.02760201519464342</v>
      </c>
      <c r="CZ211" s="3" t="n">
        <v>0.03114338340674845</v>
      </c>
      <c r="DA211" s="3" t="n">
        <v>0.03197398106467779</v>
      </c>
      <c r="DB211" s="3" t="n">
        <v>0.03454556318702137</v>
      </c>
      <c r="DC211" s="3" t="n">
        <v>0.03690267911209675</v>
      </c>
      <c r="DD211" s="3" t="n">
        <v>0.03901744283167993</v>
      </c>
      <c r="DE211" s="3" t="n">
        <v>0.03939955480924744</v>
      </c>
      <c r="DF211" s="3" t="n">
        <v>0.04059602022586596</v>
      </c>
      <c r="DG211" s="3" t="n">
        <v>0.04180715923156138</v>
      </c>
      <c r="DH211" s="3" t="n">
        <v>0.04303077694897126</v>
      </c>
      <c r="DI211" s="3" t="n">
        <v>0.04426620463579224</v>
      </c>
      <c r="DJ211" s="3" t="n">
        <v>0.04551048434713235</v>
      </c>
      <c r="DK211" s="3" t="n">
        <v>0.0467642703696456</v>
      </c>
      <c r="DL211" s="3" t="n">
        <v>0.04802203674844797</v>
      </c>
      <c r="DM211" s="3" t="n">
        <v>0.04928107033080896</v>
      </c>
      <c r="DN211" s="3" t="n">
        <v>0.05053846911482016</v>
      </c>
      <c r="DO211" s="3" t="n">
        <v>0.04990215523385551</v>
      </c>
    </row>
    <row r="212">
      <c r="A212" s="19" t="inlineStr">
        <is>
          <t>mit.acc.cost.all.gso</t>
        </is>
      </c>
      <c r="B212" s="3" t="inlineStr">
        <is>
          <t>mit</t>
        </is>
      </c>
      <c r="C212" s="19" t="inlineStr">
        <is>
          <t>mit.acc.cost.gso.all</t>
        </is>
      </c>
      <c r="H212" s="3" t="inlineStr">
        <is>
          <t>Efficient price: accident cost per litre (scenario) | All sectors | Gasoline</t>
        </is>
      </c>
      <c r="I212" s="3" t="inlineStr">
        <is>
          <t>USD/l</t>
        </is>
      </c>
      <c r="K212" s="20" t="inlineStr">
        <is>
          <t>egy.mit.acc.cost.all.gso.1</t>
        </is>
      </c>
      <c r="L212" s="3" t="n">
        <v>0.04238686171029128</v>
      </c>
      <c r="M212" s="3" t="n">
        <v>0.03435954470043374</v>
      </c>
      <c r="N212" s="3" t="n">
        <v>0.03148472695092446</v>
      </c>
      <c r="O212" s="3" t="n">
        <v>0.02846435340616282</v>
      </c>
      <c r="P212" s="3" t="n">
        <v>0.03221002771032511</v>
      </c>
      <c r="Q212" s="3" t="n">
        <v>0.03327387781677121</v>
      </c>
      <c r="R212" s="3" t="n">
        <v>0.03602939309468674</v>
      </c>
      <c r="S212" s="3" t="n">
        <v>0.03857141163834784</v>
      </c>
      <c r="T212" s="3" t="n">
        <v>0.04087445110376525</v>
      </c>
      <c r="U212" s="3" t="n">
        <v>0.04131312033644261</v>
      </c>
      <c r="V212" s="3" t="n">
        <v>0.04264546406837974</v>
      </c>
      <c r="W212" s="3" t="n">
        <v>0.04401065908249566</v>
      </c>
      <c r="X212" s="3" t="n">
        <v>0.04542514534386635</v>
      </c>
      <c r="Y212" s="3" t="n">
        <v>0.04689454853734373</v>
      </c>
      <c r="Z212" s="3" t="n">
        <v>0.04842293476413442</v>
      </c>
      <c r="AA212" s="3" t="n">
        <v>0.05001225953824051</v>
      </c>
      <c r="AB212" s="3" t="n">
        <v>0.0516774213886144</v>
      </c>
      <c r="AC212" s="3" t="n">
        <v>0.05342168194260418</v>
      </c>
      <c r="AD212" s="3" t="n">
        <v>0.055247563197055</v>
      </c>
      <c r="AE212" s="3" t="n">
        <v>0.05716139058551239</v>
      </c>
      <c r="AG212" s="20" t="inlineStr">
        <is>
          <t>egy.mit.acc.cost.all.gso.3</t>
        </is>
      </c>
      <c r="AH212" s="3" t="n">
        <v>0.04238686171029128</v>
      </c>
      <c r="AI212" s="3" t="n">
        <v>0.03435954470043374</v>
      </c>
      <c r="AJ212" s="3" t="n">
        <v>0.03148472695092446</v>
      </c>
      <c r="AK212" s="3" t="n">
        <v>0.02846435340616282</v>
      </c>
      <c r="AL212" s="3" t="n">
        <v>0.0322100277337547</v>
      </c>
      <c r="AM212" s="3" t="n">
        <v>0.0332665549322966</v>
      </c>
      <c r="AN212" s="3" t="n">
        <v>0.03618575378505345</v>
      </c>
      <c r="AO212" s="3" t="n">
        <v>0.03889956967413073</v>
      </c>
      <c r="AP212" s="3" t="n">
        <v>0.04137929239790503</v>
      </c>
      <c r="AQ212" s="3" t="n">
        <v>0.04196828142026317</v>
      </c>
      <c r="AR212" s="3" t="n">
        <v>0.04345919824656826</v>
      </c>
      <c r="AS212" s="3" t="n">
        <v>0.04497962615859614</v>
      </c>
      <c r="AT212" s="3" t="n">
        <v>0.04654687185432099</v>
      </c>
      <c r="AU212" s="3" t="n">
        <v>0.04816778366533796</v>
      </c>
      <c r="AV212" s="3" t="n">
        <v>0.04984675647607408</v>
      </c>
      <c r="AW212" s="3" t="n">
        <v>0.05158590171970773</v>
      </c>
      <c r="AX212" s="3" t="n">
        <v>0.05340166343341222</v>
      </c>
      <c r="AY212" s="3" t="n">
        <v>0.0552977702979212</v>
      </c>
      <c r="AZ212" s="3" t="n">
        <v>0.05727743709245707</v>
      </c>
      <c r="BA212" s="3" t="n">
        <v>0.05934727762919274</v>
      </c>
      <c r="BC212" s="20" t="inlineStr">
        <is>
          <t>egy.mit.acc.cost.all.gso.4</t>
        </is>
      </c>
      <c r="BD212" s="3" t="n">
        <v>0.04238686171029128</v>
      </c>
      <c r="BE212" s="3" t="n">
        <v>0.03435954470043374</v>
      </c>
      <c r="BF212" s="3" t="n">
        <v>0.03148472695092446</v>
      </c>
      <c r="BG212" s="3" t="n">
        <v>0.02846435340616282</v>
      </c>
      <c r="BH212" s="3" t="n">
        <v>0.03221002778844063</v>
      </c>
      <c r="BI212" s="3" t="n">
        <v>0.03327012910961059</v>
      </c>
      <c r="BJ212" s="3" t="n">
        <v>0.03610417282831998</v>
      </c>
      <c r="BK212" s="3" t="n">
        <v>0.03884313810317389</v>
      </c>
      <c r="BL212" s="3" t="n">
        <v>0.04146449864343221</v>
      </c>
      <c r="BM212" s="3" t="n">
        <v>0.04230120164203385</v>
      </c>
      <c r="BN212" s="3" t="n">
        <v>0.0441469675458851</v>
      </c>
      <c r="BO212" s="3" t="n">
        <v>0.04612538950281456</v>
      </c>
      <c r="BP212" s="3" t="n">
        <v>0.04825135459222685</v>
      </c>
      <c r="BQ212" s="3" t="n">
        <v>0.05052947482925733</v>
      </c>
      <c r="BR212" s="3" t="n">
        <v>0.0529634988887206</v>
      </c>
      <c r="BS212" s="3" t="n">
        <v>0.05555508451484939</v>
      </c>
      <c r="BT212" s="3" t="n">
        <v>0.05832171844013678</v>
      </c>
      <c r="BU212" s="3" t="n">
        <v>0.06126878620406071</v>
      </c>
      <c r="BV212" s="3" t="n">
        <v>0.06440169725392569</v>
      </c>
      <c r="BW212" s="3" t="n">
        <v>0.06773052951768437</v>
      </c>
      <c r="BY212" s="20" t="inlineStr">
        <is>
          <t>egy.mit.acc.cost.all.gso.5</t>
        </is>
      </c>
      <c r="BZ212" s="3" t="n">
        <v>0.04238686171029128</v>
      </c>
      <c r="CA212" s="3" t="n">
        <v>0.03435954470043374</v>
      </c>
      <c r="CB212" s="3" t="n">
        <v>0.03148472695092446</v>
      </c>
      <c r="CC212" s="3" t="n">
        <v>0.02846435340616282</v>
      </c>
      <c r="CD212" s="3" t="n">
        <v>0.0322100278444779</v>
      </c>
      <c r="CE212" s="3" t="n">
        <v>0.03326482796824187</v>
      </c>
      <c r="CF212" s="3" t="n">
        <v>0.03622268335771719</v>
      </c>
      <c r="CG212" s="3" t="n">
        <v>0.0389771114805491</v>
      </c>
      <c r="CH212" s="3" t="n">
        <v>0.0414980923504948</v>
      </c>
      <c r="CI212" s="3" t="n">
        <v>0.04212203941775174</v>
      </c>
      <c r="CJ212" s="3" t="n">
        <v>0.04364986696743565</v>
      </c>
      <c r="CK212" s="3" t="n">
        <v>0.04520657496220579</v>
      </c>
      <c r="CL212" s="3" t="n">
        <v>0.04681022746209023</v>
      </c>
      <c r="CM212" s="3" t="n">
        <v>0.04846753146146413</v>
      </c>
      <c r="CN212" s="3" t="n">
        <v>0.05018293779204103</v>
      </c>
      <c r="CO212" s="3" t="n">
        <v>0.05195866575646199</v>
      </c>
      <c r="CP212" s="3" t="n">
        <v>0.05381119088635202</v>
      </c>
      <c r="CQ212" s="3" t="n">
        <v>0.05574419651878677</v>
      </c>
      <c r="CR212" s="3" t="n">
        <v>0.05776096812801898</v>
      </c>
      <c r="CS212" s="3" t="n">
        <v>0.05986819273604436</v>
      </c>
      <c r="CU212" s="20" t="inlineStr">
        <is>
          <t>egy.mit.acc.cost.all.gso.6</t>
        </is>
      </c>
      <c r="CV212" s="3" t="n">
        <v>0.04238686171029128</v>
      </c>
      <c r="CW212" s="3" t="n">
        <v>0.03435954470043374</v>
      </c>
      <c r="CX212" s="3" t="n">
        <v>0.03148472695092446</v>
      </c>
      <c r="CY212" s="3" t="n">
        <v>0.02846435340616282</v>
      </c>
      <c r="CZ212" s="3" t="n">
        <v>0.03221002776503672</v>
      </c>
      <c r="DA212" s="3" t="n">
        <v>0.03325671249704541</v>
      </c>
      <c r="DB212" s="3" t="n">
        <v>0.03639974592949407</v>
      </c>
      <c r="DC212" s="3" t="n">
        <v>0.03934848403835562</v>
      </c>
      <c r="DD212" s="3" t="n">
        <v>0.04206962756738748</v>
      </c>
      <c r="DE212" s="3" t="n">
        <v>0.04286403559219307</v>
      </c>
      <c r="DF212" s="3" t="n">
        <v>0.04457166266095876</v>
      </c>
      <c r="DG212" s="3" t="n">
        <v>0.04630425787612765</v>
      </c>
      <c r="DH212" s="3" t="n">
        <v>0.04808047342966833</v>
      </c>
      <c r="DI212" s="3" t="n">
        <v>0.04990859437451391</v>
      </c>
      <c r="DJ212" s="3" t="n">
        <v>0.0517935488579061</v>
      </c>
      <c r="DK212" s="3" t="n">
        <v>0.05373765562085868</v>
      </c>
      <c r="DL212" s="3" t="n">
        <v>0.05575941567901044</v>
      </c>
      <c r="DM212" s="3" t="n">
        <v>0.05786311671191691</v>
      </c>
      <c r="DN212" s="3" t="n">
        <v>0.06005292744771876</v>
      </c>
      <c r="DO212" s="3" t="n">
        <v>0.06233587006449379</v>
      </c>
    </row>
    <row r="213">
      <c r="A213" s="19" t="inlineStr">
        <is>
          <t>mit.con.cost.all.gso</t>
        </is>
      </c>
      <c r="B213" s="3" t="inlineStr">
        <is>
          <t>mit</t>
        </is>
      </c>
      <c r="C213" s="19" t="inlineStr">
        <is>
          <t>mit.con.cost.gso.all</t>
        </is>
      </c>
      <c r="H213" s="3" t="inlineStr">
        <is>
          <t>Efficient price: congestion cost per litre (scenario) | All sectors | Gasoline</t>
        </is>
      </c>
      <c r="I213" s="3" t="inlineStr">
        <is>
          <t>USD/l</t>
        </is>
      </c>
      <c r="K213" s="20" t="inlineStr">
        <is>
          <t>egy.mit.con.cost.all.gso.1</t>
        </is>
      </c>
      <c r="L213" s="3" t="n">
        <v>0.03595229617425699</v>
      </c>
      <c r="M213" s="3" t="n">
        <v>0.03784006819556944</v>
      </c>
      <c r="N213" s="3" t="n">
        <v>0.03740562526707948</v>
      </c>
      <c r="O213" s="3" t="n">
        <v>0.03959919793721156</v>
      </c>
      <c r="P213" s="3" t="n">
        <v>0.04225867546953934</v>
      </c>
      <c r="Q213" s="3" t="n">
        <v>0.04566872066897791</v>
      </c>
      <c r="R213" s="3" t="n">
        <v>0.04968303176695768</v>
      </c>
      <c r="S213" s="3" t="n">
        <v>0.05380067037270214</v>
      </c>
      <c r="T213" s="3" t="n">
        <v>0.05794207544013436</v>
      </c>
      <c r="U213" s="3" t="n">
        <v>0.06234943647980895</v>
      </c>
      <c r="V213" s="3" t="n">
        <v>0.06703668176484619</v>
      </c>
      <c r="W213" s="3" t="n">
        <v>0.07202005683217247</v>
      </c>
      <c r="X213" s="3" t="n">
        <v>0.07734073765893382</v>
      </c>
      <c r="Y213" s="3" t="n">
        <v>0.08302776699616032</v>
      </c>
      <c r="Z213" s="3" t="n">
        <v>0.08910708560779415</v>
      </c>
      <c r="AA213" s="3" t="n">
        <v>0.0956032322889683</v>
      </c>
      <c r="AB213" s="3" t="n">
        <v>0.1025780958000428</v>
      </c>
      <c r="AC213" s="3" t="n">
        <v>0.1100635429441093</v>
      </c>
      <c r="AD213" s="3" t="n">
        <v>0.1180884709947879</v>
      </c>
      <c r="AE213" s="3" t="n">
        <v>0.126687068398402</v>
      </c>
      <c r="AG213" s="20" t="inlineStr">
        <is>
          <t>egy.mit.con.cost.all.gso.3</t>
        </is>
      </c>
      <c r="AH213" s="3" t="n">
        <v>0.03595229617425699</v>
      </c>
      <c r="AI213" s="3" t="n">
        <v>0.03784006819556944</v>
      </c>
      <c r="AJ213" s="3" t="n">
        <v>0.03740562526707948</v>
      </c>
      <c r="AK213" s="3" t="n">
        <v>0.03959919793721156</v>
      </c>
      <c r="AL213" s="3" t="n">
        <v>0.04225867550027832</v>
      </c>
      <c r="AM213" s="3" t="n">
        <v>0.04565866993887054</v>
      </c>
      <c r="AN213" s="3" t="n">
        <v>0.04989864664357179</v>
      </c>
      <c r="AO213" s="3" t="n">
        <v>0.05425839596695434</v>
      </c>
      <c r="AP213" s="3" t="n">
        <v>0.05865771935853422</v>
      </c>
      <c r="AQ213" s="3" t="n">
        <v>0.06333820043777316</v>
      </c>
      <c r="AR213" s="3" t="n">
        <v>0.06831583396393902</v>
      </c>
      <c r="AS213" s="3" t="n">
        <v>0.07360569688719759</v>
      </c>
      <c r="AT213" s="3" t="n">
        <v>0.07925058638068057</v>
      </c>
      <c r="AU213" s="3" t="n">
        <v>0.08528205609448158</v>
      </c>
      <c r="AV213" s="3" t="n">
        <v>0.09172717883002518</v>
      </c>
      <c r="AW213" s="3" t="n">
        <v>0.09861140029424502</v>
      </c>
      <c r="AX213" s="3" t="n">
        <v>0.1060006633527787</v>
      </c>
      <c r="AY213" s="3" t="n">
        <v>0.1139288074538308</v>
      </c>
      <c r="AZ213" s="3" t="n">
        <v>0.1224272090449222</v>
      </c>
      <c r="BA213" s="3" t="n">
        <v>0.1315316605011718</v>
      </c>
      <c r="BC213" s="20" t="inlineStr">
        <is>
          <t>egy.mit.con.cost.all.gso.4</t>
        </is>
      </c>
      <c r="BD213" s="3" t="n">
        <v>0.03595229617425699</v>
      </c>
      <c r="BE213" s="3" t="n">
        <v>0.03784006819556944</v>
      </c>
      <c r="BF213" s="3" t="n">
        <v>0.03740562526707948</v>
      </c>
      <c r="BG213" s="3" t="n">
        <v>0.03959919793721156</v>
      </c>
      <c r="BH213" s="3" t="n">
        <v>0.04225867557202477</v>
      </c>
      <c r="BI213" s="3" t="n">
        <v>0.0456635755319689</v>
      </c>
      <c r="BJ213" s="3" t="n">
        <v>0.04978614990363738</v>
      </c>
      <c r="BK213" s="3" t="n">
        <v>0.0541796833604226</v>
      </c>
      <c r="BL213" s="3" t="n">
        <v>0.05877850450849924</v>
      </c>
      <c r="BM213" s="3" t="n">
        <v>0.0638406410196293</v>
      </c>
      <c r="BN213" s="3" t="n">
        <v>0.06939697524480316</v>
      </c>
      <c r="BO213" s="3" t="n">
        <v>0.07548065042997811</v>
      </c>
      <c r="BP213" s="3" t="n">
        <v>0.08215263438247875</v>
      </c>
      <c r="BQ213" s="3" t="n">
        <v>0.08946347909120025</v>
      </c>
      <c r="BR213" s="3" t="n">
        <v>0.09746255679366812</v>
      </c>
      <c r="BS213" s="3" t="n">
        <v>0.1061988740109875</v>
      </c>
      <c r="BT213" s="3" t="n">
        <v>0.1157668215754579</v>
      </c>
      <c r="BU213" s="3" t="n">
        <v>0.1262307631712009</v>
      </c>
      <c r="BV213" s="3" t="n">
        <v>0.1376549030960827</v>
      </c>
      <c r="BW213" s="3" t="n">
        <v>0.15011150249801</v>
      </c>
      <c r="BY213" s="20" t="inlineStr">
        <is>
          <t>egy.mit.con.cost.all.gso.5</t>
        </is>
      </c>
      <c r="BZ213" s="3" t="n">
        <v>0.03595229617425699</v>
      </c>
      <c r="CA213" s="3" t="n">
        <v>0.03784006819556944</v>
      </c>
      <c r="CB213" s="3" t="n">
        <v>0.03740562526707948</v>
      </c>
      <c r="CC213" s="3" t="n">
        <v>0.03959919793721156</v>
      </c>
      <c r="CD213" s="3" t="n">
        <v>0.04225867564554413</v>
      </c>
      <c r="CE213" s="3" t="n">
        <v>0.04565629966392228</v>
      </c>
      <c r="CF213" s="3" t="n">
        <v>0.04994957098545486</v>
      </c>
      <c r="CG213" s="3" t="n">
        <v>0.05436655382247527</v>
      </c>
      <c r="CH213" s="3" t="n">
        <v>0.05882612567664638</v>
      </c>
      <c r="CI213" s="3" t="n">
        <v>0.06357025079900476</v>
      </c>
      <c r="CJ213" s="3" t="n">
        <v>0.06861555630586974</v>
      </c>
      <c r="CK213" s="3" t="n">
        <v>0.07397708113989244</v>
      </c>
      <c r="CL213" s="3" t="n">
        <v>0.07969897497288658</v>
      </c>
      <c r="CM213" s="3" t="n">
        <v>0.08581276576011698</v>
      </c>
      <c r="CN213" s="3" t="n">
        <v>0.09234581414090673</v>
      </c>
      <c r="CO213" s="3" t="n">
        <v>0.09932397451352303</v>
      </c>
      <c r="CP213" s="3" t="n">
        <v>0.106813562781032</v>
      </c>
      <c r="CQ213" s="3" t="n">
        <v>0.1148485698002205</v>
      </c>
      <c r="CR213" s="3" t="n">
        <v>0.1234607286675773</v>
      </c>
      <c r="CS213" s="3" t="n">
        <v>0.1326861671899611</v>
      </c>
      <c r="CU213" s="20" t="inlineStr">
        <is>
          <t>egy.mit.con.cost.all.gso.6</t>
        </is>
      </c>
      <c r="CV213" s="3" t="n">
        <v>0.03595229617425699</v>
      </c>
      <c r="CW213" s="3" t="n">
        <v>0.03784006819556944</v>
      </c>
      <c r="CX213" s="3" t="n">
        <v>0.03740562526707948</v>
      </c>
      <c r="CY213" s="3" t="n">
        <v>0.03959919793721156</v>
      </c>
      <c r="CZ213" s="3" t="n">
        <v>0.04225867554131948</v>
      </c>
      <c r="DA213" s="3" t="n">
        <v>0.04564516110083656</v>
      </c>
      <c r="DB213" s="3" t="n">
        <v>0.05019373289390584</v>
      </c>
      <c r="DC213" s="3" t="n">
        <v>0.05488455644979294</v>
      </c>
      <c r="DD213" s="3" t="n">
        <v>0.05963631237664193</v>
      </c>
      <c r="DE213" s="3" t="n">
        <v>0.06469006559318727</v>
      </c>
      <c r="DF213" s="3" t="n">
        <v>0.07006457617020588</v>
      </c>
      <c r="DG213" s="3" t="n">
        <v>0.07577335475843044</v>
      </c>
      <c r="DH213" s="3" t="n">
        <v>0.08186169254697669</v>
      </c>
      <c r="DI213" s="3" t="n">
        <v>0.08836419741909171</v>
      </c>
      <c r="DJ213" s="3" t="n">
        <v>0.09530963405033524</v>
      </c>
      <c r="DK213" s="3" t="n">
        <v>0.1027246843157985</v>
      </c>
      <c r="DL213" s="3" t="n">
        <v>0.1106807292156437</v>
      </c>
      <c r="DM213" s="3" t="n">
        <v>0.1192141355254308</v>
      </c>
      <c r="DN213" s="3" t="n">
        <v>0.1283596591539816</v>
      </c>
      <c r="DO213" s="3" t="n">
        <v>0.1381552924735173</v>
      </c>
    </row>
    <row r="214">
      <c r="A214" s="14" t="n"/>
      <c r="B214" s="3" t="inlineStr">
        <is>
          <t>mit</t>
        </is>
      </c>
      <c r="C214" s="19" t="inlineStr">
        <is>
          <t>mit.rdm.cost.gso.all</t>
        </is>
      </c>
      <c r="H214" s="14" t="inlineStr">
        <is>
          <t>Road damage costs, gso, all</t>
        </is>
      </c>
      <c r="I214" s="14" t="inlineStr">
        <is>
          <t>usdliter</t>
        </is>
      </c>
    </row>
    <row r="215">
      <c r="A215" s="19" t="inlineStr">
        <is>
          <t>mit.scc.cost.all.gso</t>
        </is>
      </c>
      <c r="B215" s="3" t="inlineStr">
        <is>
          <t>mit</t>
        </is>
      </c>
      <c r="C215" s="19" t="inlineStr">
        <is>
          <t>mit.scc.cost.gso.all</t>
        </is>
      </c>
      <c r="H215" s="3" t="inlineStr">
        <is>
          <t>Efficient price: climate damage (national SCC) | All sectors | Gasoline</t>
        </is>
      </c>
      <c r="I215" s="3" t="inlineStr">
        <is>
          <t>USD per price unit</t>
        </is>
      </c>
      <c r="K215" s="20" t="inlineStr">
        <is>
          <t>egy.mit.scc.cost.all.gso.1</t>
        </is>
      </c>
      <c r="L215" s="3" t="n">
        <v>0.1291013954874463</v>
      </c>
      <c r="M215" s="3" t="n">
        <v>0.1342654513069441</v>
      </c>
      <c r="N215" s="3" t="n">
        <v>0.1396360693592219</v>
      </c>
      <c r="O215" s="3" t="n">
        <v>0.1452215121335908</v>
      </c>
      <c r="P215" s="3" t="n">
        <v>0.1510303726189344</v>
      </c>
      <c r="Q215" s="3" t="n">
        <v>0.1570715875236918</v>
      </c>
      <c r="R215" s="3" t="n">
        <v>0.1633544510246395</v>
      </c>
      <c r="S215" s="3" t="n">
        <v>0.169888629065625</v>
      </c>
      <c r="T215" s="3" t="n">
        <v>0.1766841742282501</v>
      </c>
      <c r="U215" s="3" t="n">
        <v>0.1837515411973801</v>
      </c>
      <c r="V215" s="3" t="n">
        <v>0.1911016028452753</v>
      </c>
      <c r="W215" s="3" t="n">
        <v>0.1987456669590863</v>
      </c>
      <c r="X215" s="3" t="n">
        <v>0.2066954936374497</v>
      </c>
      <c r="Y215" s="3" t="n">
        <v>0.2149633133829477</v>
      </c>
      <c r="Z215" s="3" t="n">
        <v>0.2235618459182657</v>
      </c>
      <c r="AA215" s="3" t="n">
        <v>0.2325043197549963</v>
      </c>
      <c r="AB215" s="3" t="n">
        <v>0.2418044925451961</v>
      </c>
      <c r="AC215" s="3" t="n">
        <v>0.251476672247004</v>
      </c>
      <c r="AD215" s="3" t="n">
        <v>0.2615357391368842</v>
      </c>
      <c r="AE215" s="3" t="n">
        <v>0.2719971687023596</v>
      </c>
      <c r="AG215" s="20" t="inlineStr">
        <is>
          <t>egy.mit.scc.cost.all.gso.3</t>
        </is>
      </c>
      <c r="AH215" s="3" t="n">
        <v>0.1291013954874463</v>
      </c>
      <c r="AI215" s="3" t="n">
        <v>0.1342654513069441</v>
      </c>
      <c r="AJ215" s="3" t="n">
        <v>0.1396360693592219</v>
      </c>
      <c r="AK215" s="3" t="n">
        <v>0.1452215121335908</v>
      </c>
      <c r="AL215" s="3" t="n">
        <v>0.1510303726189344</v>
      </c>
      <c r="AM215" s="3" t="n">
        <v>0.1570715875236918</v>
      </c>
      <c r="AN215" s="3" t="n">
        <v>0.1633544510246395</v>
      </c>
      <c r="AO215" s="3" t="n">
        <v>0.169888629065625</v>
      </c>
      <c r="AP215" s="3" t="n">
        <v>0.1766841742282501</v>
      </c>
      <c r="AQ215" s="3" t="n">
        <v>0.1837515411973801</v>
      </c>
      <c r="AR215" s="3" t="n">
        <v>0.1911016028452753</v>
      </c>
      <c r="AS215" s="3" t="n">
        <v>0.1987456669590863</v>
      </c>
      <c r="AT215" s="3" t="n">
        <v>0.2066954936374497</v>
      </c>
      <c r="AU215" s="3" t="n">
        <v>0.2149633133829477</v>
      </c>
      <c r="AV215" s="3" t="n">
        <v>0.2235618459182657</v>
      </c>
      <c r="AW215" s="3" t="n">
        <v>0.2325043197549963</v>
      </c>
      <c r="AX215" s="3" t="n">
        <v>0.2418044925451961</v>
      </c>
      <c r="AY215" s="3" t="n">
        <v>0.251476672247004</v>
      </c>
      <c r="AZ215" s="3" t="n">
        <v>0.2615357391368842</v>
      </c>
      <c r="BA215" s="3" t="n">
        <v>0.2719971687023596</v>
      </c>
      <c r="BC215" s="20" t="inlineStr">
        <is>
          <t>egy.mit.scc.cost.all.gso.4</t>
        </is>
      </c>
      <c r="BD215" s="3" t="n">
        <v>0.1291013954874463</v>
      </c>
      <c r="BE215" s="3" t="n">
        <v>0.1342654513069441</v>
      </c>
      <c r="BF215" s="3" t="n">
        <v>0.1396360693592219</v>
      </c>
      <c r="BG215" s="3" t="n">
        <v>0.1452215121335908</v>
      </c>
      <c r="BH215" s="3" t="n">
        <v>0.1510303726189344</v>
      </c>
      <c r="BI215" s="3" t="n">
        <v>0.1570715875236918</v>
      </c>
      <c r="BJ215" s="3" t="n">
        <v>0.1633544510246395</v>
      </c>
      <c r="BK215" s="3" t="n">
        <v>0.169888629065625</v>
      </c>
      <c r="BL215" s="3" t="n">
        <v>0.1766841742282501</v>
      </c>
      <c r="BM215" s="3" t="n">
        <v>0.1837515411973801</v>
      </c>
      <c r="BN215" s="3" t="n">
        <v>0.1911016028452753</v>
      </c>
      <c r="BO215" s="3" t="n">
        <v>0.1987456669590863</v>
      </c>
      <c r="BP215" s="3" t="n">
        <v>0.2066954936374497</v>
      </c>
      <c r="BQ215" s="3" t="n">
        <v>0.2149633133829477</v>
      </c>
      <c r="BR215" s="3" t="n">
        <v>0.2235618459182657</v>
      </c>
      <c r="BS215" s="3" t="n">
        <v>0.2325043197549963</v>
      </c>
      <c r="BT215" s="3" t="n">
        <v>0.2418044925451961</v>
      </c>
      <c r="BU215" s="3" t="n">
        <v>0.251476672247004</v>
      </c>
      <c r="BV215" s="3" t="n">
        <v>0.2615357391368842</v>
      </c>
      <c r="BW215" s="3" t="n">
        <v>0.2719971687023596</v>
      </c>
      <c r="BY215" s="20" t="inlineStr">
        <is>
          <t>egy.mit.scc.cost.all.gso.5</t>
        </is>
      </c>
      <c r="BZ215" s="3" t="n">
        <v>0.1291013954874463</v>
      </c>
      <c r="CA215" s="3" t="n">
        <v>0.1342654513069441</v>
      </c>
      <c r="CB215" s="3" t="n">
        <v>0.1396360693592219</v>
      </c>
      <c r="CC215" s="3" t="n">
        <v>0.1452215121335908</v>
      </c>
      <c r="CD215" s="3" t="n">
        <v>0.1510303726189344</v>
      </c>
      <c r="CE215" s="3" t="n">
        <v>0.1570715875236918</v>
      </c>
      <c r="CF215" s="3" t="n">
        <v>0.1633544510246395</v>
      </c>
      <c r="CG215" s="3" t="n">
        <v>0.169888629065625</v>
      </c>
      <c r="CH215" s="3" t="n">
        <v>0.1766841742282501</v>
      </c>
      <c r="CI215" s="3" t="n">
        <v>0.1837515411973801</v>
      </c>
      <c r="CJ215" s="3" t="n">
        <v>0.1911016028452753</v>
      </c>
      <c r="CK215" s="3" t="n">
        <v>0.1987456669590863</v>
      </c>
      <c r="CL215" s="3" t="n">
        <v>0.2066954936374497</v>
      </c>
      <c r="CM215" s="3" t="n">
        <v>0.2149633133829477</v>
      </c>
      <c r="CN215" s="3" t="n">
        <v>0.2235618459182657</v>
      </c>
      <c r="CO215" s="3" t="n">
        <v>0.2325043197549963</v>
      </c>
      <c r="CP215" s="3" t="n">
        <v>0.2418044925451961</v>
      </c>
      <c r="CQ215" s="3" t="n">
        <v>0.251476672247004</v>
      </c>
      <c r="CR215" s="3" t="n">
        <v>0.2615357391368842</v>
      </c>
      <c r="CS215" s="3" t="n">
        <v>0.2719971687023596</v>
      </c>
      <c r="CU215" s="20" t="inlineStr">
        <is>
          <t>egy.mit.scc.cost.all.gso.6</t>
        </is>
      </c>
      <c r="CV215" s="3" t="n">
        <v>0.1291013954874463</v>
      </c>
      <c r="CW215" s="3" t="n">
        <v>0.1342654513069441</v>
      </c>
      <c r="CX215" s="3" t="n">
        <v>0.1396360693592219</v>
      </c>
      <c r="CY215" s="3" t="n">
        <v>0.1452215121335908</v>
      </c>
      <c r="CZ215" s="3" t="n">
        <v>0.1510303726189344</v>
      </c>
      <c r="DA215" s="3" t="n">
        <v>0.1570715875236918</v>
      </c>
      <c r="DB215" s="3" t="n">
        <v>0.1633544510246395</v>
      </c>
      <c r="DC215" s="3" t="n">
        <v>0.169888629065625</v>
      </c>
      <c r="DD215" s="3" t="n">
        <v>0.1766841742282501</v>
      </c>
      <c r="DE215" s="3" t="n">
        <v>0.1837515411973801</v>
      </c>
      <c r="DF215" s="3" t="n">
        <v>0.1911016028452753</v>
      </c>
      <c r="DG215" s="3" t="n">
        <v>0.1987456669590863</v>
      </c>
      <c r="DH215" s="3" t="n">
        <v>0.2066954936374497</v>
      </c>
      <c r="DI215" s="3" t="n">
        <v>0.2149633133829477</v>
      </c>
      <c r="DJ215" s="3" t="n">
        <v>0.2235618459182657</v>
      </c>
      <c r="DK215" s="3" t="n">
        <v>0.2325043197549963</v>
      </c>
      <c r="DL215" s="3" t="n">
        <v>0.2418044925451961</v>
      </c>
      <c r="DM215" s="3" t="n">
        <v>0.251476672247004</v>
      </c>
      <c r="DN215" s="3" t="n">
        <v>0.2615357391368842</v>
      </c>
      <c r="DO215" s="3" t="n">
        <v>0.2719971687023596</v>
      </c>
    </row>
    <row r="216">
      <c r="A216" s="19" t="inlineStr">
        <is>
          <t>mit.vat.cost.all.gso</t>
        </is>
      </c>
      <c r="B216" s="3" t="inlineStr">
        <is>
          <t>mit</t>
        </is>
      </c>
      <c r="C216" s="19" t="inlineStr">
        <is>
          <t>mit.vat.cost.gso.all</t>
        </is>
      </c>
      <c r="H216" s="3" t="inlineStr">
        <is>
          <t>Efficient price: potential VAT | All sectors | Gasoline</t>
        </is>
      </c>
      <c r="I216" s="3" t="inlineStr">
        <is>
          <t>USD per price unit</t>
        </is>
      </c>
      <c r="K216" s="20" t="inlineStr">
        <is>
          <t>egy.mit.vat.cost.all.gso.1</t>
        </is>
      </c>
      <c r="L216" s="3" t="n">
        <v>0.1729142339952032</v>
      </c>
      <c r="M216" s="3" t="n">
        <v>0.1465481077283064</v>
      </c>
      <c r="N216" s="3" t="n">
        <v>0.1401850430082565</v>
      </c>
      <c r="O216" s="3" t="n">
        <v>0.1248079989139991</v>
      </c>
      <c r="P216" s="3" t="n">
        <v>0.1370301490332362</v>
      </c>
      <c r="Q216" s="3" t="n">
        <v>0.1282322300167835</v>
      </c>
      <c r="R216" s="3" t="n">
        <v>0.1275621837338428</v>
      </c>
      <c r="S216" s="3" t="n">
        <v>0.1282989332164661</v>
      </c>
      <c r="T216" s="3" t="n">
        <v>0.1291889742082985</v>
      </c>
      <c r="U216" s="3" t="n">
        <v>0.1295418795836853</v>
      </c>
      <c r="V216" s="3" t="n">
        <v>0.1315811358350936</v>
      </c>
      <c r="W216" s="3" t="n">
        <v>0.1337096640832264</v>
      </c>
      <c r="X216" s="3" t="n">
        <v>0.1359368696909732</v>
      </c>
      <c r="Y216" s="3" t="n">
        <v>0.1382692248857964</v>
      </c>
      <c r="Z216" s="3" t="n">
        <v>0.140712297277708</v>
      </c>
      <c r="AA216" s="3" t="n">
        <v>0.1432717396617413</v>
      </c>
      <c r="AB216" s="3" t="n">
        <v>0.1459594546960044</v>
      </c>
      <c r="AC216" s="3" t="n">
        <v>0.1487819836335159</v>
      </c>
      <c r="AD216" s="3" t="n">
        <v>0.1517454021305789</v>
      </c>
      <c r="AE216" s="3" t="n">
        <v>0.1545926577973004</v>
      </c>
      <c r="AG216" s="20" t="inlineStr">
        <is>
          <t>egy.mit.vat.cost.all.gso.3</t>
        </is>
      </c>
      <c r="AH216" s="3" t="n">
        <v>0.1729142339952032</v>
      </c>
      <c r="AI216" s="3" t="n">
        <v>0.1465481077283064</v>
      </c>
      <c r="AJ216" s="3" t="n">
        <v>0.1401850430082565</v>
      </c>
      <c r="AK216" s="3" t="n">
        <v>0.1248079989139991</v>
      </c>
      <c r="AL216" s="3" t="n">
        <v>0.1370301490408198</v>
      </c>
      <c r="AM216" s="3" t="n">
        <v>0.1282297977107421</v>
      </c>
      <c r="AN216" s="3" t="n">
        <v>0.1276142603132201</v>
      </c>
      <c r="AO216" s="3" t="n">
        <v>0.128408956924671</v>
      </c>
      <c r="AP216" s="3" t="n">
        <v>0.129359842138054</v>
      </c>
      <c r="AQ216" s="3" t="n">
        <v>0.1297720290895352</v>
      </c>
      <c r="AR216" s="3" t="n">
        <v>0.131874139927913</v>
      </c>
      <c r="AS216" s="3" t="n">
        <v>0.134067309081584</v>
      </c>
      <c r="AT216" s="3" t="n">
        <v>0.1363612902234814</v>
      </c>
      <c r="AU216" s="3" t="n">
        <v>0.1387630782774806</v>
      </c>
      <c r="AV216" s="3" t="n">
        <v>0.1412784453684919</v>
      </c>
      <c r="AW216" s="3" t="n">
        <v>0.1439131930878855</v>
      </c>
      <c r="AX216" s="3" t="n">
        <v>0.1466800080396591</v>
      </c>
      <c r="AY216" s="3" t="n">
        <v>0.1495857730346213</v>
      </c>
      <c r="AZ216" s="3" t="n">
        <v>0.1526370078029539</v>
      </c>
      <c r="BA216" s="3" t="n">
        <v>0.1555769248778034</v>
      </c>
      <c r="BC216" s="20" t="inlineStr">
        <is>
          <t>egy.mit.vat.cost.all.gso.4</t>
        </is>
      </c>
      <c r="BD216" s="3" t="n">
        <v>0.1729142339952032</v>
      </c>
      <c r="BE216" s="3" t="n">
        <v>0.1465481077283064</v>
      </c>
      <c r="BF216" s="3" t="n">
        <v>0.1401850430082565</v>
      </c>
      <c r="BG216" s="3" t="n">
        <v>0.1248079989139991</v>
      </c>
      <c r="BH216" s="3" t="n">
        <v>0.1370301490585203</v>
      </c>
      <c r="BI216" s="3" t="n">
        <v>0.1282309848785998</v>
      </c>
      <c r="BJ216" s="3" t="n">
        <v>0.1275870894356866</v>
      </c>
      <c r="BK216" s="3" t="n">
        <v>0.1283900367398226</v>
      </c>
      <c r="BL216" s="3" t="n">
        <v>0.129388680933423</v>
      </c>
      <c r="BM216" s="3" t="n">
        <v>0.1298889796020429</v>
      </c>
      <c r="BN216" s="3" t="n">
        <v>0.1321217874091384</v>
      </c>
      <c r="BO216" s="3" t="n">
        <v>0.1344902094457639</v>
      </c>
      <c r="BP216" s="3" t="n">
        <v>0.13700620452704</v>
      </c>
      <c r="BQ216" s="3" t="n">
        <v>0.1396791142599699</v>
      </c>
      <c r="BR216" s="3" t="n">
        <v>0.1425177422211724</v>
      </c>
      <c r="BS216" s="3" t="n">
        <v>0.1455311249995493</v>
      </c>
      <c r="BT216" s="3" t="n">
        <v>0.1487360778917756</v>
      </c>
      <c r="BU216" s="3" t="n">
        <v>0.1521439890619127</v>
      </c>
      <c r="BV216" s="3" t="n">
        <v>0.155766281392722</v>
      </c>
      <c r="BW216" s="3" t="n">
        <v>0.1593517580217496</v>
      </c>
      <c r="BY216" s="20" t="inlineStr">
        <is>
          <t>egy.mit.vat.cost.all.gso.5</t>
        </is>
      </c>
      <c r="BZ216" s="3" t="n">
        <v>0.1729142339952032</v>
      </c>
      <c r="CA216" s="3" t="n">
        <v>0.1465481077283064</v>
      </c>
      <c r="CB216" s="3" t="n">
        <v>0.1401850430082565</v>
      </c>
      <c r="CC216" s="3" t="n">
        <v>0.1248079989139991</v>
      </c>
      <c r="CD216" s="3" t="n">
        <v>0.1370301490766582</v>
      </c>
      <c r="CE216" s="3" t="n">
        <v>0.1282292240972817</v>
      </c>
      <c r="CF216" s="3" t="n">
        <v>0.1276265598612566</v>
      </c>
      <c r="CG216" s="3" t="n">
        <v>0.1284349548773425</v>
      </c>
      <c r="CH216" s="3" t="n">
        <v>0.1294000510159523</v>
      </c>
      <c r="CI216" s="3" t="n">
        <v>0.129826042259756</v>
      </c>
      <c r="CJ216" s="3" t="n">
        <v>0.1319427946767047</v>
      </c>
      <c r="CK216" s="3" t="n">
        <v>0.1341510757094667</v>
      </c>
      <c r="CL216" s="3" t="n">
        <v>0.1364609344114779</v>
      </c>
      <c r="CM216" s="3" t="n">
        <v>0.1388793423221272</v>
      </c>
      <c r="CN216" s="3" t="n">
        <v>0.1414121196962506</v>
      </c>
      <c r="CO216" s="3" t="n">
        <v>0.14406514044373</v>
      </c>
      <c r="CP216" s="3" t="n">
        <v>0.1468511478030262</v>
      </c>
      <c r="CQ216" s="3" t="n">
        <v>0.1497770394340371</v>
      </c>
      <c r="CR216" s="3" t="n">
        <v>0.1528493948951044</v>
      </c>
      <c r="CS216" s="3" t="n">
        <v>0.1558114839291932</v>
      </c>
      <c r="CU216" s="20" t="inlineStr">
        <is>
          <t>egy.mit.vat.cost.all.gso.6</t>
        </is>
      </c>
      <c r="CV216" s="3" t="n">
        <v>0.1729142339952032</v>
      </c>
      <c r="CW216" s="3" t="n">
        <v>0.1465481077283064</v>
      </c>
      <c r="CX216" s="3" t="n">
        <v>0.1401850430082565</v>
      </c>
      <c r="CY216" s="3" t="n">
        <v>0.1248079989139991</v>
      </c>
      <c r="CZ216" s="3" t="n">
        <v>0.137030149050945</v>
      </c>
      <c r="DA216" s="3" t="n">
        <v>0.1282265285324822</v>
      </c>
      <c r="DB216" s="3" t="n">
        <v>0.1276855312884886</v>
      </c>
      <c r="DC216" s="3" t="n">
        <v>0.1285594674032599</v>
      </c>
      <c r="DD216" s="3" t="n">
        <v>0.1295934920843166</v>
      </c>
      <c r="DE216" s="3" t="n">
        <v>0.1300866957953633</v>
      </c>
      <c r="DF216" s="3" t="n">
        <v>0.1322747088548051</v>
      </c>
      <c r="DG216" s="3" t="n">
        <v>0.134556229624011</v>
      </c>
      <c r="DH216" s="3" t="n">
        <v>0.1369415493073115</v>
      </c>
      <c r="DI216" s="3" t="n">
        <v>0.1394382915622106</v>
      </c>
      <c r="DJ216" s="3" t="n">
        <v>0.1420525400327917</v>
      </c>
      <c r="DK216" s="3" t="n">
        <v>0.1447902983970641</v>
      </c>
      <c r="DL216" s="3" t="n">
        <v>0.147665302574844</v>
      </c>
      <c r="DM216" s="3" t="n">
        <v>0.1506848674626047</v>
      </c>
      <c r="DN216" s="3" t="n">
        <v>0.1538561194679589</v>
      </c>
      <c r="DO216" s="3" t="n">
        <v>0.1569226362948739</v>
      </c>
    </row>
    <row r="217">
      <c r="A217" s="19" t="inlineStr">
        <is>
          <t>mit.rp.eff.all.gso</t>
        </is>
      </c>
      <c r="B217" s="3" t="inlineStr">
        <is>
          <t>mit</t>
        </is>
      </c>
      <c r="C217" s="19" t="inlineStr">
        <is>
          <t>mit.rp.gso.all</t>
        </is>
      </c>
      <c r="H217" s="3" t="inlineStr">
        <is>
          <t>Efficient price block: retail price of the scenario | All sectors | Gasoline</t>
        </is>
      </c>
      <c r="I217" s="3" t="inlineStr">
        <is>
          <t>USD per price unit</t>
        </is>
      </c>
      <c r="K217" s="20" t="inlineStr">
        <is>
          <t>egy.mit.rp.eff.all.gso.1</t>
        </is>
      </c>
      <c r="L217" s="3" t="n">
        <v>0.6332016631873081</v>
      </c>
      <c r="M217" s="3" t="n">
        <v>0.3961608320186589</v>
      </c>
      <c r="N217" s="3" t="n">
        <v>0.3197996976285235</v>
      </c>
      <c r="O217" s="3" t="n">
        <v>0.3197996976285235</v>
      </c>
      <c r="P217" s="3" t="n">
        <v>0.3197996976285235</v>
      </c>
      <c r="Q217" s="3" t="n">
        <v>0.3197996976285235</v>
      </c>
      <c r="R217" s="3" t="n">
        <v>0.3197996976285235</v>
      </c>
      <c r="S217" s="3" t="n">
        <v>0.3197996976285235</v>
      </c>
      <c r="T217" s="3" t="n">
        <v>0.3197996976285235</v>
      </c>
      <c r="U217" s="3" t="n">
        <v>0.3197996976285235</v>
      </c>
      <c r="V217" s="3" t="n">
        <v>0.3197996976285235</v>
      </c>
      <c r="W217" s="3" t="n">
        <v>0.3197996976285235</v>
      </c>
      <c r="X217" s="3" t="n">
        <v>0.3197996976285236</v>
      </c>
      <c r="Y217" s="3" t="n">
        <v>0.3197996976285236</v>
      </c>
      <c r="Z217" s="3" t="n">
        <v>0.3197996976285236</v>
      </c>
      <c r="AA217" s="3" t="n">
        <v>0.3197996976285236</v>
      </c>
      <c r="AB217" s="3" t="n">
        <v>0.3197996976285236</v>
      </c>
      <c r="AC217" s="3" t="n">
        <v>0.3197996976285236</v>
      </c>
      <c r="AD217" s="3" t="n">
        <v>0.3197996976285236</v>
      </c>
      <c r="AE217" s="3" t="n">
        <v>0.3197996976285237</v>
      </c>
      <c r="AG217" s="20" t="inlineStr">
        <is>
          <t>egy.mit.rp.eff.all.gso.3</t>
        </is>
      </c>
      <c r="AH217" s="3" t="n">
        <v>0.6332016631873081</v>
      </c>
      <c r="AI217" s="3" t="n">
        <v>0.3961608320186589</v>
      </c>
      <c r="AJ217" s="3" t="n">
        <v>0.3197996976285235</v>
      </c>
      <c r="AK217" s="3" t="n">
        <v>0.3197996976285235</v>
      </c>
      <c r="AL217" s="3" t="n">
        <v>0.3197996976285235</v>
      </c>
      <c r="AM217" s="3" t="n">
        <v>0.3658778376541393</v>
      </c>
      <c r="AN217" s="3" t="n">
        <v>0.3658778376541393</v>
      </c>
      <c r="AO217" s="3" t="n">
        <v>0.3658778376541393</v>
      </c>
      <c r="AP217" s="3" t="n">
        <v>0.3658778376541393</v>
      </c>
      <c r="AQ217" s="3" t="n">
        <v>0.3658778376541393</v>
      </c>
      <c r="AR217" s="3" t="n">
        <v>0.3658778376541393</v>
      </c>
      <c r="AS217" s="3" t="n">
        <v>0.3658778376541393</v>
      </c>
      <c r="AT217" s="3" t="n">
        <v>0.3658778376541394</v>
      </c>
      <c r="AU217" s="3" t="n">
        <v>0.3658778376541394</v>
      </c>
      <c r="AV217" s="3" t="n">
        <v>0.3658778376541396</v>
      </c>
      <c r="AW217" s="3" t="n">
        <v>0.3658778376541394</v>
      </c>
      <c r="AX217" s="3" t="n">
        <v>0.3658778376541394</v>
      </c>
      <c r="AY217" s="3" t="n">
        <v>0.3658778376541394</v>
      </c>
      <c r="AZ217" s="3" t="n">
        <v>0.3658778376541394</v>
      </c>
      <c r="BA217" s="3" t="n">
        <v>0.3658778376541396</v>
      </c>
      <c r="BC217" s="20" t="inlineStr">
        <is>
          <t>egy.mit.rp.eff.all.gso.4</t>
        </is>
      </c>
      <c r="BD217" s="3" t="n">
        <v>0.6332016631873081</v>
      </c>
      <c r="BE217" s="3" t="n">
        <v>0.3961608320186589</v>
      </c>
      <c r="BF217" s="3" t="n">
        <v>0.3197996976285235</v>
      </c>
      <c r="BG217" s="3" t="n">
        <v>0.3197996976285235</v>
      </c>
      <c r="BH217" s="3" t="n">
        <v>0.3197996976285235</v>
      </c>
      <c r="BI217" s="3" t="n">
        <v>0.3428387676413314</v>
      </c>
      <c r="BJ217" s="3" t="n">
        <v>0.3735575276584087</v>
      </c>
      <c r="BK217" s="3" t="n">
        <v>0.4042762876754859</v>
      </c>
      <c r="BL217" s="3" t="n">
        <v>0.4349950476925631</v>
      </c>
      <c r="BM217" s="3" t="n">
        <v>0.4657138077096403</v>
      </c>
      <c r="BN217" s="3" t="n">
        <v>0.4964325677267176</v>
      </c>
      <c r="BO217" s="3" t="n">
        <v>0.5271513277437948</v>
      </c>
      <c r="BP217" s="3" t="n">
        <v>0.5578700877608722</v>
      </c>
      <c r="BQ217" s="3" t="n">
        <v>0.5885888477779495</v>
      </c>
      <c r="BR217" s="3" t="n">
        <v>0.6193076077950266</v>
      </c>
      <c r="BS217" s="3" t="n">
        <v>0.6500263678121039</v>
      </c>
      <c r="BT217" s="3" t="n">
        <v>0.6807451278291811</v>
      </c>
      <c r="BU217" s="3" t="n">
        <v>0.7114638878462584</v>
      </c>
      <c r="BV217" s="3" t="n">
        <v>0.7421826478633354</v>
      </c>
      <c r="BW217" s="3" t="n">
        <v>0.7729014078804129</v>
      </c>
      <c r="BY217" s="20" t="inlineStr">
        <is>
          <t>egy.mit.rp.eff.all.gso.5</t>
        </is>
      </c>
      <c r="BZ217" s="3" t="n">
        <v>0.6332016631873081</v>
      </c>
      <c r="CA217" s="3" t="n">
        <v>0.3961608320186589</v>
      </c>
      <c r="CB217" s="3" t="n">
        <v>0.3197996976285235</v>
      </c>
      <c r="CC217" s="3" t="n">
        <v>0.3197996976285235</v>
      </c>
      <c r="CD217" s="3" t="n">
        <v>0.3197996976285235</v>
      </c>
      <c r="CE217" s="3" t="n">
        <v>0.3773973726605433</v>
      </c>
      <c r="CF217" s="3" t="n">
        <v>0.3773973726605433</v>
      </c>
      <c r="CG217" s="3" t="n">
        <v>0.3773973726605433</v>
      </c>
      <c r="CH217" s="3" t="n">
        <v>0.3773973726605433</v>
      </c>
      <c r="CI217" s="3" t="n">
        <v>0.3773973726605433</v>
      </c>
      <c r="CJ217" s="3" t="n">
        <v>0.3773973726605433</v>
      </c>
      <c r="CK217" s="3" t="n">
        <v>0.3773973726605433</v>
      </c>
      <c r="CL217" s="3" t="n">
        <v>0.3773973726605434</v>
      </c>
      <c r="CM217" s="3" t="n">
        <v>0.3773973726605434</v>
      </c>
      <c r="CN217" s="3" t="n">
        <v>0.3773973726605434</v>
      </c>
      <c r="CO217" s="3" t="n">
        <v>0.3773973726605435</v>
      </c>
      <c r="CP217" s="3" t="n">
        <v>0.3773973726605434</v>
      </c>
      <c r="CQ217" s="3" t="n">
        <v>0.3773973726605434</v>
      </c>
      <c r="CR217" s="3" t="n">
        <v>0.3773973726605434</v>
      </c>
      <c r="CS217" s="3" t="n">
        <v>0.3773973726605435</v>
      </c>
      <c r="CU217" s="20" t="inlineStr">
        <is>
          <t>egy.mit.rp.eff.all.gso.6</t>
        </is>
      </c>
      <c r="CV217" s="3" t="n">
        <v>0.6332016631873081</v>
      </c>
      <c r="CW217" s="3" t="n">
        <v>0.3961608320186589</v>
      </c>
      <c r="CX217" s="3" t="n">
        <v>0.3197996976285235</v>
      </c>
      <c r="CY217" s="3" t="n">
        <v>0.3197996976285235</v>
      </c>
      <c r="CZ217" s="3" t="n">
        <v>0.3197996976285235</v>
      </c>
      <c r="DA217" s="3" t="n">
        <v>0.4349950476925631</v>
      </c>
      <c r="DB217" s="3" t="n">
        <v>0.4349950476925631</v>
      </c>
      <c r="DC217" s="3" t="n">
        <v>0.4349950476925631</v>
      </c>
      <c r="DD217" s="3" t="n">
        <v>0.4349950476925631</v>
      </c>
      <c r="DE217" s="3" t="n">
        <v>0.4349950476925631</v>
      </c>
      <c r="DF217" s="3" t="n">
        <v>0.4349950476925631</v>
      </c>
      <c r="DG217" s="3" t="n">
        <v>0.4349950476925631</v>
      </c>
      <c r="DH217" s="3" t="n">
        <v>0.4349950476925633</v>
      </c>
      <c r="DI217" s="3" t="n">
        <v>0.4349950476925632</v>
      </c>
      <c r="DJ217" s="3" t="n">
        <v>0.4349950476925632</v>
      </c>
      <c r="DK217" s="3" t="n">
        <v>0.4349950476925632</v>
      </c>
      <c r="DL217" s="3" t="n">
        <v>0.4349950476925632</v>
      </c>
      <c r="DM217" s="3" t="n">
        <v>0.4349950476925632</v>
      </c>
      <c r="DN217" s="3" t="n">
        <v>0.4349950476925632</v>
      </c>
      <c r="DO217" s="3" t="n">
        <v>0.4349950476925633</v>
      </c>
    </row>
    <row r="218">
      <c r="A218" s="19" t="inlineStr">
        <is>
          <t>mit.tgap.all.gso</t>
        </is>
      </c>
      <c r="B218" s="3" t="inlineStr">
        <is>
          <t>mit</t>
        </is>
      </c>
      <c r="C218" s="19" t="inlineStr">
        <is>
          <t>mit.tgap.gso.all</t>
        </is>
      </c>
      <c r="H218" s="3" t="inlineStr">
        <is>
          <t>Tax gap: retail price - efficient price | All sectors | Gasoline</t>
        </is>
      </c>
      <c r="I218" s="3" t="inlineStr">
        <is>
          <t>USD per price unit</t>
        </is>
      </c>
      <c r="K218" s="20" t="inlineStr">
        <is>
          <t>egy.mit.tgap.all.gso.1</t>
        </is>
      </c>
      <c r="L218" s="3" t="n">
        <v>-0.7748142422022033</v>
      </c>
      <c r="M218" s="3" t="n">
        <v>-0.7971594737689789</v>
      </c>
      <c r="N218" s="3" t="n">
        <v>-0.8217070811529934</v>
      </c>
      <c r="O218" s="3" t="n">
        <v>-0.69649400781404</v>
      </c>
      <c r="P218" s="3" t="n">
        <v>-0.7960172302135424</v>
      </c>
      <c r="Q218" s="3" t="n">
        <v>-0.7243770325081424</v>
      </c>
      <c r="R218" s="3" t="n">
        <v>-0.7189209413470532</v>
      </c>
      <c r="S218" s="3" t="n">
        <v>-0.7249201871341286</v>
      </c>
      <c r="T218" s="3" t="n">
        <v>-0.732167663781907</v>
      </c>
      <c r="U218" s="3" t="n">
        <v>-0.735041321838628</v>
      </c>
      <c r="V218" s="3" t="n">
        <v>-0.7516466941715243</v>
      </c>
      <c r="W218" s="3" t="n">
        <v>-0.7689789956206059</v>
      </c>
      <c r="X218" s="3" t="n">
        <v>-0.7871148127122582</v>
      </c>
      <c r="Y218" s="3" t="n">
        <v>-0.8061068478701041</v>
      </c>
      <c r="Z218" s="3" t="n">
        <v>-0.8260004373470982</v>
      </c>
      <c r="AA218" s="3" t="n">
        <v>-0.8468416110456558</v>
      </c>
      <c r="AB218" s="3" t="n">
        <v>-0.8687272906103696</v>
      </c>
      <c r="AC218" s="3" t="n">
        <v>-0.8917107405301061</v>
      </c>
      <c r="AD218" s="3" t="n">
        <v>-0.9158414340061898</v>
      </c>
      <c r="AE218" s="3" t="n">
        <v>-0.9390262301494938</v>
      </c>
      <c r="AG218" s="20" t="inlineStr">
        <is>
          <t>egy.mit.tgap.all.gso.3</t>
        </is>
      </c>
      <c r="AH218" s="3" t="n">
        <v>-0.7748142422022033</v>
      </c>
      <c r="AI218" s="3" t="n">
        <v>-0.7971594737689789</v>
      </c>
      <c r="AJ218" s="3" t="n">
        <v>-0.8217070811529934</v>
      </c>
      <c r="AK218" s="3" t="n">
        <v>-0.69649400781404</v>
      </c>
      <c r="AL218" s="3" t="n">
        <v>-0.7960172302752944</v>
      </c>
      <c r="AM218" s="3" t="n">
        <v>-0.6782790865619033</v>
      </c>
      <c r="AN218" s="3" t="n">
        <v>-0.6732668534677957</v>
      </c>
      <c r="AO218" s="3" t="n">
        <v>-0.6797379544467528</v>
      </c>
      <c r="AP218" s="3" t="n">
        <v>-0.6874808768985861</v>
      </c>
      <c r="AQ218" s="3" t="n">
        <v>-0.6908372563606469</v>
      </c>
      <c r="AR218" s="3" t="n">
        <v>-0.7079544446160093</v>
      </c>
      <c r="AS218" s="3" t="n">
        <v>-0.7258131077244732</v>
      </c>
      <c r="AT218" s="3" t="n">
        <v>-0.744492668451352</v>
      </c>
      <c r="AU218" s="3" t="n">
        <v>-0.7640500854624881</v>
      </c>
      <c r="AV218" s="3" t="n">
        <v>-0.7845323603464369</v>
      </c>
      <c r="AW218" s="3" t="n">
        <v>-0.8059867346329281</v>
      </c>
      <c r="AX218" s="3" t="n">
        <v>-0.828516513525942</v>
      </c>
      <c r="AY218" s="3" t="n">
        <v>-0.8521777427706343</v>
      </c>
      <c r="AZ218" s="3" t="n">
        <v>-0.8770235115984855</v>
      </c>
      <c r="BA218" s="3" t="n">
        <v>-0.9009628363508309</v>
      </c>
      <c r="BC218" s="20" t="inlineStr">
        <is>
          <t>egy.mit.tgap.all.gso.4</t>
        </is>
      </c>
      <c r="BD218" s="3" t="n">
        <v>-0.7748142422022033</v>
      </c>
      <c r="BE218" s="3" t="n">
        <v>-0.7971594737689789</v>
      </c>
      <c r="BF218" s="3" t="n">
        <v>-0.8217070811529934</v>
      </c>
      <c r="BG218" s="3" t="n">
        <v>-0.69649400781404</v>
      </c>
      <c r="BH218" s="3" t="n">
        <v>-0.7960172304194275</v>
      </c>
      <c r="BI218" s="3" t="n">
        <v>-0.7013278235129814</v>
      </c>
      <c r="BJ218" s="3" t="n">
        <v>-0.6653659148893249</v>
      </c>
      <c r="BK218" s="3" t="n">
        <v>-0.6411854400630692</v>
      </c>
      <c r="BL218" s="3" t="n">
        <v>-0.6185984970510239</v>
      </c>
      <c r="BM218" s="3" t="n">
        <v>-0.5919535976212804</v>
      </c>
      <c r="BN218" s="3" t="n">
        <v>-0.5794162726048373</v>
      </c>
      <c r="BO218" s="3" t="n">
        <v>-0.5679832348859967</v>
      </c>
      <c r="BP218" s="3" t="n">
        <v>-0.5577518633878817</v>
      </c>
      <c r="BQ218" s="3" t="n">
        <v>-0.5487982254818053</v>
      </c>
      <c r="BR218" s="3" t="n">
        <v>-0.5411940074345198</v>
      </c>
      <c r="BS218" s="3" t="n">
        <v>-0.5350127928985116</v>
      </c>
      <c r="BT218" s="3" t="n">
        <v>-0.5303915064324206</v>
      </c>
      <c r="BU218" s="3" t="n">
        <v>-0.5274228802293163</v>
      </c>
      <c r="BV218" s="3" t="n">
        <v>-0.5261999291916867</v>
      </c>
      <c r="BW218" s="3" t="n">
        <v>-0.5246771931538338</v>
      </c>
      <c r="BY218" s="20" t="inlineStr">
        <is>
          <t>egy.mit.tgap.all.gso.5</t>
        </is>
      </c>
      <c r="BZ218" s="3" t="n">
        <v>-0.7748142422022033</v>
      </c>
      <c r="CA218" s="3" t="n">
        <v>-0.7971594737689789</v>
      </c>
      <c r="CB218" s="3" t="n">
        <v>-0.8217070811529934</v>
      </c>
      <c r="CC218" s="3" t="n">
        <v>-0.69649400781404</v>
      </c>
      <c r="CD218" s="3" t="n">
        <v>-0.7960172305671218</v>
      </c>
      <c r="CE218" s="3" t="n">
        <v>-0.6667548807030359</v>
      </c>
      <c r="CF218" s="3" t="n">
        <v>-0.6618474719239751</v>
      </c>
      <c r="CG218" s="3" t="n">
        <v>-0.6684301170549596</v>
      </c>
      <c r="CH218" s="3" t="n">
        <v>-0.6762887570407825</v>
      </c>
      <c r="CI218" s="3" t="n">
        <v>-0.6797575428831839</v>
      </c>
      <c r="CJ218" s="3" t="n">
        <v>-0.6969939554211952</v>
      </c>
      <c r="CK218" s="3" t="n">
        <v>-0.7149756724022565</v>
      </c>
      <c r="CL218" s="3" t="n">
        <v>-0.7337845218329196</v>
      </c>
      <c r="CM218" s="3" t="n">
        <v>-0.7534772719624924</v>
      </c>
      <c r="CN218" s="3" t="n">
        <v>-0.7741013162946403</v>
      </c>
      <c r="CO218" s="3" t="n">
        <v>-0.795704485238401</v>
      </c>
      <c r="CP218" s="3" t="n">
        <v>-0.8183905451640983</v>
      </c>
      <c r="CQ218" s="3" t="n">
        <v>-0.8422156627309011</v>
      </c>
      <c r="CR218" s="3" t="n">
        <v>-0.867233414342449</v>
      </c>
      <c r="CS218" s="3" t="n">
        <v>-0.8913532821914578</v>
      </c>
      <c r="CU218" s="20" t="inlineStr">
        <is>
          <t>egy.mit.tgap.all.gso.6</t>
        </is>
      </c>
      <c r="CV218" s="3" t="n">
        <v>-0.7748142422022033</v>
      </c>
      <c r="CW218" s="3" t="n">
        <v>-0.7971594737689789</v>
      </c>
      <c r="CX218" s="3" t="n">
        <v>-0.8217070811529934</v>
      </c>
      <c r="CY218" s="3" t="n">
        <v>-0.69649400781404</v>
      </c>
      <c r="CZ218" s="3" t="n">
        <v>-0.7960172303577431</v>
      </c>
      <c r="DA218" s="3" t="n">
        <v>-0.6091352560719345</v>
      </c>
      <c r="DB218" s="3" t="n">
        <v>-0.604729992799415</v>
      </c>
      <c r="DC218" s="3" t="n">
        <v>-0.6118463297339813</v>
      </c>
      <c r="DD218" s="3" t="n">
        <v>-0.6202662449940153</v>
      </c>
      <c r="DE218" s="3" t="n">
        <v>-0.6242823323553954</v>
      </c>
      <c r="DF218" s="3" t="n">
        <v>-0.6420990101251352</v>
      </c>
      <c r="DG218" s="3" t="n">
        <v>-0.6606771078172411</v>
      </c>
      <c r="DH218" s="3" t="n">
        <v>-0.6801004252384015</v>
      </c>
      <c r="DI218" s="3" t="n">
        <v>-0.7004310407425802</v>
      </c>
      <c r="DJ218" s="3" t="n">
        <v>-0.7217184925744551</v>
      </c>
      <c r="DK218" s="3" t="n">
        <v>-0.7440116678263873</v>
      </c>
      <c r="DL218" s="3" t="n">
        <v>-0.7674224161311662</v>
      </c>
      <c r="DM218" s="3" t="n">
        <v>-0.7920103016457893</v>
      </c>
      <c r="DN218" s="3" t="n">
        <v>-0.8178333536893876</v>
      </c>
      <c r="DO218" s="3" t="n">
        <v>-0.8428035621371244</v>
      </c>
    </row>
    <row r="219">
      <c r="A219" s="19" t="inlineStr">
        <is>
          <t>mit.txo.all.gso</t>
        </is>
      </c>
      <c r="B219" s="3" t="inlineStr">
        <is>
          <t>mit</t>
        </is>
      </c>
      <c r="C219" s="19" t="inlineStr">
        <is>
          <t>mit.txo.all.gso.a</t>
        </is>
      </c>
      <c r="H219" s="3" t="inlineStr">
        <is>
          <t>Excise and other taxes (before new policies) | All sectors | Gasoline</t>
        </is>
      </c>
      <c r="I219" s="3" t="inlineStr">
        <is>
          <t>USD/GJ real</t>
        </is>
      </c>
      <c r="K219" s="20" t="inlineStr">
        <is>
          <t>egy.mit.txo.all.gso.1</t>
        </is>
      </c>
      <c r="L219" s="3" t="n">
        <v>-10.07434101662924</v>
      </c>
      <c r="M219" s="3" t="n">
        <v>-11.5075692809627</v>
      </c>
      <c r="N219" s="3" t="n">
        <v>-12.40335981184936</v>
      </c>
      <c r="O219" s="3" t="n">
        <v>-9.459576486082895</v>
      </c>
      <c r="P219" s="3" t="n">
        <v>-11.50550796130479</v>
      </c>
      <c r="Q219" s="3" t="n">
        <v>-9.384017022066512</v>
      </c>
      <c r="R219" s="3" t="n">
        <v>-8.800360498531163</v>
      </c>
      <c r="S219" s="3" t="n">
        <v>-8.506150281039854</v>
      </c>
      <c r="T219" s="3" t="n">
        <v>-8.248861614921321</v>
      </c>
      <c r="U219" s="3" t="n">
        <v>-7.969341191328951</v>
      </c>
      <c r="V219" s="3" t="n">
        <v>-7.969341191328951</v>
      </c>
      <c r="W219" s="3" t="n">
        <v>-7.969341191328951</v>
      </c>
      <c r="X219" s="3" t="n">
        <v>-7.969341191328951</v>
      </c>
      <c r="Y219" s="3" t="n">
        <v>-7.969341191328951</v>
      </c>
      <c r="Z219" s="3" t="n">
        <v>-7.969341191328951</v>
      </c>
      <c r="AA219" s="3" t="n">
        <v>-7.969341191328951</v>
      </c>
      <c r="AB219" s="3" t="n">
        <v>-7.969341191328951</v>
      </c>
      <c r="AC219" s="3" t="n">
        <v>-7.969341191328951</v>
      </c>
      <c r="AD219" s="3" t="n">
        <v>-7.969341191328951</v>
      </c>
      <c r="AE219" s="3" t="n">
        <v>-7.969341191328951</v>
      </c>
      <c r="AG219" s="20" t="inlineStr">
        <is>
          <t>egy.mit.txo.all.gso.3</t>
        </is>
      </c>
      <c r="AH219" s="3" t="n">
        <v>-10.07434101662924</v>
      </c>
      <c r="AI219" s="3" t="n">
        <v>-11.5075692809627</v>
      </c>
      <c r="AJ219" s="3" t="n">
        <v>-12.40335981184936</v>
      </c>
      <c r="AK219" s="3" t="n">
        <v>-9.459576486082895</v>
      </c>
      <c r="AL219" s="3" t="n">
        <v>-11.50550796130479</v>
      </c>
      <c r="AM219" s="3" t="n">
        <v>-9.384017022066512</v>
      </c>
      <c r="AN219" s="3" t="n">
        <v>-8.800360498531163</v>
      </c>
      <c r="AO219" s="3" t="n">
        <v>-8.506150281039854</v>
      </c>
      <c r="AP219" s="3" t="n">
        <v>-8.248861614921321</v>
      </c>
      <c r="AQ219" s="3" t="n">
        <v>-7.969341191328951</v>
      </c>
      <c r="AR219" s="3" t="n">
        <v>-7.969341191328951</v>
      </c>
      <c r="AS219" s="3" t="n">
        <v>-7.969341191328951</v>
      </c>
      <c r="AT219" s="3" t="n">
        <v>-7.969341191328951</v>
      </c>
      <c r="AU219" s="3" t="n">
        <v>-7.969341191328951</v>
      </c>
      <c r="AV219" s="3" t="n">
        <v>-7.969341191328951</v>
      </c>
      <c r="AW219" s="3" t="n">
        <v>-7.969341191328951</v>
      </c>
      <c r="AX219" s="3" t="n">
        <v>-7.969341191328951</v>
      </c>
      <c r="AY219" s="3" t="n">
        <v>-7.969341191328951</v>
      </c>
      <c r="AZ219" s="3" t="n">
        <v>-7.969341191328951</v>
      </c>
      <c r="BA219" s="3" t="n">
        <v>-7.969341191328951</v>
      </c>
      <c r="BC219" s="20" t="inlineStr">
        <is>
          <t>egy.mit.txo.all.gso.4</t>
        </is>
      </c>
      <c r="BD219" s="3" t="n">
        <v>-10.07434101662924</v>
      </c>
      <c r="BE219" s="3" t="n">
        <v>-11.5075692809627</v>
      </c>
      <c r="BF219" s="3" t="n">
        <v>-12.40335981184936</v>
      </c>
      <c r="BG219" s="3" t="n">
        <v>-9.459576486082895</v>
      </c>
      <c r="BH219" s="3" t="n">
        <v>-11.50550796130479</v>
      </c>
      <c r="BI219" s="3" t="n">
        <v>-9.384017022066512</v>
      </c>
      <c r="BJ219" s="3" t="n">
        <v>-8.800360498531163</v>
      </c>
      <c r="BK219" s="3" t="n">
        <v>-8.506150281039854</v>
      </c>
      <c r="BL219" s="3" t="n">
        <v>-8.248861614921321</v>
      </c>
      <c r="BM219" s="3" t="n">
        <v>-7.969341191328951</v>
      </c>
      <c r="BN219" s="3" t="n">
        <v>-7.969341191328951</v>
      </c>
      <c r="BO219" s="3" t="n">
        <v>-7.969341191328951</v>
      </c>
      <c r="BP219" s="3" t="n">
        <v>-7.969341191328951</v>
      </c>
      <c r="BQ219" s="3" t="n">
        <v>-7.969341191328951</v>
      </c>
      <c r="BR219" s="3" t="n">
        <v>-7.969341191328951</v>
      </c>
      <c r="BS219" s="3" t="n">
        <v>-7.969341191328951</v>
      </c>
      <c r="BT219" s="3" t="n">
        <v>-7.969341191328951</v>
      </c>
      <c r="BU219" s="3" t="n">
        <v>-7.969341191328951</v>
      </c>
      <c r="BV219" s="3" t="n">
        <v>-7.969341191328951</v>
      </c>
      <c r="BW219" s="3" t="n">
        <v>-7.969341191328951</v>
      </c>
      <c r="BY219" s="20" t="inlineStr">
        <is>
          <t>egy.mit.txo.all.gso.5</t>
        </is>
      </c>
      <c r="BZ219" s="3" t="n">
        <v>-10.07434101662924</v>
      </c>
      <c r="CA219" s="3" t="n">
        <v>-11.5075692809627</v>
      </c>
      <c r="CB219" s="3" t="n">
        <v>-12.40335981184936</v>
      </c>
      <c r="CC219" s="3" t="n">
        <v>-9.459576486082895</v>
      </c>
      <c r="CD219" s="3" t="n">
        <v>-11.50550796130479</v>
      </c>
      <c r="CE219" s="3" t="n">
        <v>-9.384017022066512</v>
      </c>
      <c r="CF219" s="3" t="n">
        <v>-8.800360498531163</v>
      </c>
      <c r="CG219" s="3" t="n">
        <v>-8.506150281039854</v>
      </c>
      <c r="CH219" s="3" t="n">
        <v>-8.248861614921321</v>
      </c>
      <c r="CI219" s="3" t="n">
        <v>-7.969341191328951</v>
      </c>
      <c r="CJ219" s="3" t="n">
        <v>-7.969341191328951</v>
      </c>
      <c r="CK219" s="3" t="n">
        <v>-7.969341191328951</v>
      </c>
      <c r="CL219" s="3" t="n">
        <v>-7.969341191328951</v>
      </c>
      <c r="CM219" s="3" t="n">
        <v>-7.969341191328951</v>
      </c>
      <c r="CN219" s="3" t="n">
        <v>-7.969341191328951</v>
      </c>
      <c r="CO219" s="3" t="n">
        <v>-7.969341191328951</v>
      </c>
      <c r="CP219" s="3" t="n">
        <v>-7.969341191328951</v>
      </c>
      <c r="CQ219" s="3" t="n">
        <v>-7.969341191328951</v>
      </c>
      <c r="CR219" s="3" t="n">
        <v>-7.969341191328951</v>
      </c>
      <c r="CS219" s="3" t="n">
        <v>-7.969341191328951</v>
      </c>
      <c r="CU219" s="20" t="inlineStr">
        <is>
          <t>egy.mit.txo.all.gso.6</t>
        </is>
      </c>
      <c r="CV219" s="3" t="n">
        <v>-10.07434101662924</v>
      </c>
      <c r="CW219" s="3" t="n">
        <v>-11.5075692809627</v>
      </c>
      <c r="CX219" s="3" t="n">
        <v>-12.40335981184936</v>
      </c>
      <c r="CY219" s="3" t="n">
        <v>-9.459576486082895</v>
      </c>
      <c r="CZ219" s="3" t="n">
        <v>-11.50550796130479</v>
      </c>
      <c r="DA219" s="3" t="n">
        <v>-9.384017022066512</v>
      </c>
      <c r="DB219" s="3" t="n">
        <v>-8.800360498531163</v>
      </c>
      <c r="DC219" s="3" t="n">
        <v>-8.506150281039854</v>
      </c>
      <c r="DD219" s="3" t="n">
        <v>-8.248861614921321</v>
      </c>
      <c r="DE219" s="3" t="n">
        <v>-7.969341191328951</v>
      </c>
      <c r="DF219" s="3" t="n">
        <v>-7.969341191328951</v>
      </c>
      <c r="DG219" s="3" t="n">
        <v>-7.969341191328951</v>
      </c>
      <c r="DH219" s="3" t="n">
        <v>-7.969341191328951</v>
      </c>
      <c r="DI219" s="3" t="n">
        <v>-7.969341191328951</v>
      </c>
      <c r="DJ219" s="3" t="n">
        <v>-7.969341191328951</v>
      </c>
      <c r="DK219" s="3" t="n">
        <v>-7.969341191328951</v>
      </c>
      <c r="DL219" s="3" t="n">
        <v>-7.969341191328951</v>
      </c>
      <c r="DM219" s="3" t="n">
        <v>-7.969341191328951</v>
      </c>
      <c r="DN219" s="3" t="n">
        <v>-7.969341191328951</v>
      </c>
      <c r="DO219" s="3" t="n">
        <v>-7.969341191328951</v>
      </c>
    </row>
    <row r="220">
      <c r="A220" s="19" t="inlineStr">
        <is>
          <t>mit.txo.co2e.all.gso</t>
        </is>
      </c>
      <c r="B220" s="3" t="inlineStr">
        <is>
          <t>mit</t>
        </is>
      </c>
      <c r="C220" s="19" t="inlineStr">
        <is>
          <t>mit.txo.co2e.gso.all</t>
        </is>
      </c>
      <c r="H220" s="3" t="inlineStr">
        <is>
          <t>Excise and other taxes of scenario 1 per tonne of CO2 | All sectors | Gasoline</t>
        </is>
      </c>
      <c r="I220" s="3" t="inlineStr">
        <is>
          <t>USD/tCO2</t>
        </is>
      </c>
      <c r="K220" s="20" t="inlineStr">
        <is>
          <t>egy.mit.txo.co2e.all.gso.1</t>
        </is>
      </c>
      <c r="L220" s="3" t="n">
        <v>-149.5452638422546</v>
      </c>
      <c r="M220" s="3" t="n">
        <v>-170.8203525634061</v>
      </c>
      <c r="N220" s="3" t="n">
        <v>-184.1176224362163</v>
      </c>
      <c r="O220" s="3" t="n">
        <v>-140.4195926177387</v>
      </c>
      <c r="P220" s="3" t="n">
        <v>-170.7897539771963</v>
      </c>
      <c r="Q220" s="3" t="n">
        <v>-139.2979748401136</v>
      </c>
      <c r="R220" s="3" t="n">
        <v>-130.6340762624029</v>
      </c>
      <c r="S220" s="3" t="n">
        <v>-126.2667688100147</v>
      </c>
      <c r="T220" s="3" t="n">
        <v>-122.4475312643721</v>
      </c>
      <c r="U220" s="3" t="n">
        <v>-118.298281658227</v>
      </c>
      <c r="V220" s="3" t="n">
        <v>-118.298281658227</v>
      </c>
      <c r="W220" s="3" t="n">
        <v>-118.298281658227</v>
      </c>
      <c r="X220" s="3" t="n">
        <v>-118.298281658227</v>
      </c>
      <c r="Y220" s="3" t="n">
        <v>-118.298281658227</v>
      </c>
      <c r="Z220" s="3" t="n">
        <v>-118.298281658227</v>
      </c>
      <c r="AA220" s="3" t="n">
        <v>-118.298281658227</v>
      </c>
      <c r="AB220" s="3" t="n">
        <v>-118.298281658227</v>
      </c>
      <c r="AC220" s="3" t="n">
        <v>-118.298281658227</v>
      </c>
      <c r="AD220" s="3" t="n">
        <v>-118.2982816582271</v>
      </c>
      <c r="AE220" s="3" t="n">
        <v>-118.298281658227</v>
      </c>
      <c r="AG220" s="20" t="inlineStr">
        <is>
          <t>egy.mit.txo.co2e.all.gso.3</t>
        </is>
      </c>
      <c r="AH220" s="3" t="n">
        <v>-149.5452638422546</v>
      </c>
      <c r="AI220" s="3" t="n">
        <v>-170.8203525634061</v>
      </c>
      <c r="AJ220" s="3" t="n">
        <v>-184.1176224362163</v>
      </c>
      <c r="AK220" s="3" t="n">
        <v>-140.4195926177387</v>
      </c>
      <c r="AL220" s="3" t="n">
        <v>-170.7897539771963</v>
      </c>
      <c r="AM220" s="3" t="n">
        <v>-139.2979748401136</v>
      </c>
      <c r="AN220" s="3" t="n">
        <v>-130.6340762624029</v>
      </c>
      <c r="AO220" s="3" t="n">
        <v>-126.2667688100147</v>
      </c>
      <c r="AP220" s="3" t="n">
        <v>-122.4475312643721</v>
      </c>
      <c r="AQ220" s="3" t="n">
        <v>-118.298281658227</v>
      </c>
      <c r="AR220" s="3" t="n">
        <v>-118.298281658227</v>
      </c>
      <c r="AS220" s="3" t="n">
        <v>-118.298281658227</v>
      </c>
      <c r="AT220" s="3" t="n">
        <v>-118.298281658227</v>
      </c>
      <c r="AU220" s="3" t="n">
        <v>-118.298281658227</v>
      </c>
      <c r="AV220" s="3" t="n">
        <v>-118.298281658227</v>
      </c>
      <c r="AW220" s="3" t="n">
        <v>-118.298281658227</v>
      </c>
      <c r="AX220" s="3" t="n">
        <v>-118.298281658227</v>
      </c>
      <c r="AY220" s="3" t="n">
        <v>-118.298281658227</v>
      </c>
      <c r="AZ220" s="3" t="n">
        <v>-118.2982816582271</v>
      </c>
      <c r="BA220" s="3" t="n">
        <v>-118.298281658227</v>
      </c>
      <c r="BC220" s="20" t="inlineStr">
        <is>
          <t>egy.mit.txo.co2e.all.gso.4</t>
        </is>
      </c>
      <c r="BD220" s="3" t="n">
        <v>-149.5452638422546</v>
      </c>
      <c r="BE220" s="3" t="n">
        <v>-170.8203525634061</v>
      </c>
      <c r="BF220" s="3" t="n">
        <v>-184.1176224362163</v>
      </c>
      <c r="BG220" s="3" t="n">
        <v>-140.4195926177387</v>
      </c>
      <c r="BH220" s="3" t="n">
        <v>-170.7897539771963</v>
      </c>
      <c r="BI220" s="3" t="n">
        <v>-139.2979748401136</v>
      </c>
      <c r="BJ220" s="3" t="n">
        <v>-130.6340762624029</v>
      </c>
      <c r="BK220" s="3" t="n">
        <v>-126.2667688100147</v>
      </c>
      <c r="BL220" s="3" t="n">
        <v>-122.4475312643721</v>
      </c>
      <c r="BM220" s="3" t="n">
        <v>-118.298281658227</v>
      </c>
      <c r="BN220" s="3" t="n">
        <v>-118.298281658227</v>
      </c>
      <c r="BO220" s="3" t="n">
        <v>-118.298281658227</v>
      </c>
      <c r="BP220" s="3" t="n">
        <v>-118.298281658227</v>
      </c>
      <c r="BQ220" s="3" t="n">
        <v>-118.298281658227</v>
      </c>
      <c r="BR220" s="3" t="n">
        <v>-118.298281658227</v>
      </c>
      <c r="BS220" s="3" t="n">
        <v>-118.298281658227</v>
      </c>
      <c r="BT220" s="3" t="n">
        <v>-118.298281658227</v>
      </c>
      <c r="BU220" s="3" t="n">
        <v>-118.298281658227</v>
      </c>
      <c r="BV220" s="3" t="n">
        <v>-118.2982816582271</v>
      </c>
      <c r="BW220" s="3" t="n">
        <v>-118.298281658227</v>
      </c>
      <c r="BY220" s="20" t="inlineStr">
        <is>
          <t>egy.mit.txo.co2e.all.gso.5</t>
        </is>
      </c>
      <c r="BZ220" s="3" t="n">
        <v>-149.5452638422546</v>
      </c>
      <c r="CA220" s="3" t="n">
        <v>-170.8203525634061</v>
      </c>
      <c r="CB220" s="3" t="n">
        <v>-184.1176224362163</v>
      </c>
      <c r="CC220" s="3" t="n">
        <v>-140.4195926177387</v>
      </c>
      <c r="CD220" s="3" t="n">
        <v>-170.7897539771963</v>
      </c>
      <c r="CE220" s="3" t="n">
        <v>-139.2979748401136</v>
      </c>
      <c r="CF220" s="3" t="n">
        <v>-130.6340762624029</v>
      </c>
      <c r="CG220" s="3" t="n">
        <v>-126.2667688100147</v>
      </c>
      <c r="CH220" s="3" t="n">
        <v>-122.4475312643721</v>
      </c>
      <c r="CI220" s="3" t="n">
        <v>-118.298281658227</v>
      </c>
      <c r="CJ220" s="3" t="n">
        <v>-118.298281658227</v>
      </c>
      <c r="CK220" s="3" t="n">
        <v>-118.298281658227</v>
      </c>
      <c r="CL220" s="3" t="n">
        <v>-118.298281658227</v>
      </c>
      <c r="CM220" s="3" t="n">
        <v>-118.298281658227</v>
      </c>
      <c r="CN220" s="3" t="n">
        <v>-118.298281658227</v>
      </c>
      <c r="CO220" s="3" t="n">
        <v>-118.298281658227</v>
      </c>
      <c r="CP220" s="3" t="n">
        <v>-118.298281658227</v>
      </c>
      <c r="CQ220" s="3" t="n">
        <v>-118.298281658227</v>
      </c>
      <c r="CR220" s="3" t="n">
        <v>-118.2982816582271</v>
      </c>
      <c r="CS220" s="3" t="n">
        <v>-118.298281658227</v>
      </c>
      <c r="CU220" s="20" t="inlineStr">
        <is>
          <t>egy.mit.txo.co2e.all.gso.6</t>
        </is>
      </c>
      <c r="CV220" s="3" t="n">
        <v>-149.5452638422546</v>
      </c>
      <c r="CW220" s="3" t="n">
        <v>-170.8203525634061</v>
      </c>
      <c r="CX220" s="3" t="n">
        <v>-184.1176224362163</v>
      </c>
      <c r="CY220" s="3" t="n">
        <v>-140.4195926177387</v>
      </c>
      <c r="CZ220" s="3" t="n">
        <v>-170.7897539771963</v>
      </c>
      <c r="DA220" s="3" t="n">
        <v>-139.2979748401136</v>
      </c>
      <c r="DB220" s="3" t="n">
        <v>-130.6340762624029</v>
      </c>
      <c r="DC220" s="3" t="n">
        <v>-126.2667688100147</v>
      </c>
      <c r="DD220" s="3" t="n">
        <v>-122.4475312643721</v>
      </c>
      <c r="DE220" s="3" t="n">
        <v>-118.298281658227</v>
      </c>
      <c r="DF220" s="3" t="n">
        <v>-118.298281658227</v>
      </c>
      <c r="DG220" s="3" t="n">
        <v>-118.298281658227</v>
      </c>
      <c r="DH220" s="3" t="n">
        <v>-118.298281658227</v>
      </c>
      <c r="DI220" s="3" t="n">
        <v>-118.298281658227</v>
      </c>
      <c r="DJ220" s="3" t="n">
        <v>-118.298281658227</v>
      </c>
      <c r="DK220" s="3" t="n">
        <v>-118.298281658227</v>
      </c>
      <c r="DL220" s="3" t="n">
        <v>-118.298281658227</v>
      </c>
      <c r="DM220" s="3" t="n">
        <v>-118.298281658227</v>
      </c>
      <c r="DN220" s="3" t="n">
        <v>-118.2982816582271</v>
      </c>
      <c r="DO220" s="3" t="n">
        <v>-118.298281658227</v>
      </c>
    </row>
    <row r="221">
      <c r="A221" s="19" t="inlineStr">
        <is>
          <t>mit.pig.all.gso</t>
        </is>
      </c>
      <c r="B221" s="3" t="inlineStr">
        <is>
          <t>mit</t>
        </is>
      </c>
      <c r="C221" s="19" t="inlineStr">
        <is>
          <t>mit.pig.gso.all</t>
        </is>
      </c>
      <c r="H221" s="3" t="inlineStr">
        <is>
          <t>Pigouvian tax: all externalities (reference) | All sectors | Gasoline</t>
        </is>
      </c>
      <c r="I221" s="3" t="inlineStr">
        <is>
          <t>USD per price unit</t>
        </is>
      </c>
      <c r="K221" s="20" t="inlineStr">
        <is>
          <t>egy.mit.pig.all.gso.1</t>
        </is>
      </c>
      <c r="L221" s="3" t="n">
        <v>0.2496029221841398</v>
      </c>
      <c r="M221" s="3" t="n">
        <v>0.2481946602534201</v>
      </c>
      <c r="N221" s="3" t="n">
        <v>0.2477797703979157</v>
      </c>
      <c r="O221" s="3" t="n">
        <v>0.2408870786716086</v>
      </c>
      <c r="P221" s="3" t="n">
        <v>0.2566424592055473</v>
      </c>
      <c r="Q221" s="3" t="n">
        <v>0.2679881670741187</v>
      </c>
      <c r="R221" s="3" t="n">
        <v>0.2836124390733052</v>
      </c>
      <c r="S221" s="3" t="n">
        <v>0.2991633901887718</v>
      </c>
      <c r="T221" s="3" t="n">
        <v>0.3145181436038296</v>
      </c>
      <c r="U221" s="3" t="n">
        <v>0.3268136528228791</v>
      </c>
      <c r="V221" s="3" t="n">
        <v>0.3413797689043671</v>
      </c>
      <c r="W221" s="3" t="n">
        <v>0.3565835421053158</v>
      </c>
      <c r="X221" s="3" t="n">
        <v>0.3724921535892212</v>
      </c>
      <c r="Y221" s="3" t="n">
        <v>0.389151833552244</v>
      </c>
      <c r="Z221" s="3" t="n">
        <v>0.4066023506373265</v>
      </c>
      <c r="AA221" s="3" t="n">
        <v>0.4248840819518507</v>
      </c>
      <c r="AB221" s="3" t="n">
        <v>0.4440820464823014</v>
      </c>
      <c r="AC221" s="3" t="n">
        <v>0.4642429674645264</v>
      </c>
      <c r="AD221" s="3" t="n">
        <v>0.4854102424435471</v>
      </c>
      <c r="AE221" s="3" t="n">
        <v>0.5057477829201295</v>
      </c>
      <c r="AG221" s="20" t="inlineStr">
        <is>
          <t>egy.mit.pig.all.gso.3</t>
        </is>
      </c>
      <c r="AH221" s="3" t="n">
        <v>0.2496029221841398</v>
      </c>
      <c r="AI221" s="3" t="n">
        <v>0.2481946602534201</v>
      </c>
      <c r="AJ221" s="3" t="n">
        <v>0.2477797703979157</v>
      </c>
      <c r="AK221" s="3" t="n">
        <v>0.2408870786716086</v>
      </c>
      <c r="AL221" s="3" t="n">
        <v>0.2566424592597159</v>
      </c>
      <c r="AM221" s="3" t="n">
        <v>0.2679707934595367</v>
      </c>
      <c r="AN221" s="3" t="n">
        <v>0.2839844146402861</v>
      </c>
      <c r="AO221" s="3" t="n">
        <v>0.2999492738188069</v>
      </c>
      <c r="AP221" s="3" t="n">
        <v>0.3157386288163692</v>
      </c>
      <c r="AQ221" s="3" t="n">
        <v>0.3284575778646638</v>
      </c>
      <c r="AR221" s="3" t="n">
        <v>0.3434726552816485</v>
      </c>
      <c r="AS221" s="3" t="n">
        <v>0.3591381492364414</v>
      </c>
      <c r="AT221" s="3" t="n">
        <v>0.3755237288214225</v>
      </c>
      <c r="AU221" s="3" t="n">
        <v>0.3926793577785596</v>
      </c>
      <c r="AV221" s="3" t="n">
        <v>0.4106462655714972</v>
      </c>
      <c r="AW221" s="3" t="n">
        <v>0.4294658921385947</v>
      </c>
      <c r="AX221" s="3" t="n">
        <v>0.4492288560798351</v>
      </c>
      <c r="AY221" s="3" t="n">
        <v>0.4699843203295649</v>
      </c>
      <c r="AZ221" s="3" t="n">
        <v>0.4917788543890835</v>
      </c>
      <c r="BA221" s="3" t="n">
        <v>0.5127782620665796</v>
      </c>
      <c r="BC221" s="20" t="inlineStr">
        <is>
          <t>egy.mit.pig.all.gso.4</t>
        </is>
      </c>
      <c r="BD221" s="3" t="n">
        <v>0.2496029221841398</v>
      </c>
      <c r="BE221" s="3" t="n">
        <v>0.2481946602534201</v>
      </c>
      <c r="BF221" s="3" t="n">
        <v>0.2477797703979157</v>
      </c>
      <c r="BG221" s="3" t="n">
        <v>0.2408870786716086</v>
      </c>
      <c r="BH221" s="3" t="n">
        <v>0.2566424593861483</v>
      </c>
      <c r="BI221" s="3" t="n">
        <v>0.267979273229949</v>
      </c>
      <c r="BJ221" s="3" t="n">
        <v>0.2837903369436182</v>
      </c>
      <c r="BK221" s="3" t="n">
        <v>0.2998141296413183</v>
      </c>
      <c r="BL221" s="3" t="n">
        <v>0.3159446202118615</v>
      </c>
      <c r="BM221" s="3" t="n">
        <v>0.3292929386682907</v>
      </c>
      <c r="BN221" s="3" t="n">
        <v>0.3452415658618295</v>
      </c>
      <c r="BO221" s="3" t="n">
        <v>0.3621588661234403</v>
      </c>
      <c r="BP221" s="3" t="n">
        <v>0.3801302595611266</v>
      </c>
      <c r="BQ221" s="3" t="n">
        <v>0.3992224719391976</v>
      </c>
      <c r="BR221" s="3" t="n">
        <v>0.4194983859477867</v>
      </c>
      <c r="BS221" s="3" t="n">
        <v>0.4410225486504787</v>
      </c>
      <c r="BT221" s="3" t="n">
        <v>0.4639150693092388</v>
      </c>
      <c r="BU221" s="3" t="n">
        <v>0.4882572919530745</v>
      </c>
      <c r="BV221" s="3" t="n">
        <v>0.5141308086017127</v>
      </c>
      <c r="BW221" s="3" t="n">
        <v>0.5397413559519094</v>
      </c>
      <c r="BY221" s="20" t="inlineStr">
        <is>
          <t>egy.mit.pig.all.gso.5</t>
        </is>
      </c>
      <c r="BZ221" s="3" t="n">
        <v>0.2496029221841398</v>
      </c>
      <c r="CA221" s="3" t="n">
        <v>0.2481946602534201</v>
      </c>
      <c r="CB221" s="3" t="n">
        <v>0.2477797703979157</v>
      </c>
      <c r="CC221" s="3" t="n">
        <v>0.2408870786716086</v>
      </c>
      <c r="CD221" s="3" t="n">
        <v>0.2566424595157049</v>
      </c>
      <c r="CE221" s="3" t="n">
        <v>0.2679666962205337</v>
      </c>
      <c r="CF221" s="3" t="n">
        <v>0.2840722685548329</v>
      </c>
      <c r="CG221" s="3" t="n">
        <v>0.3001349734807461</v>
      </c>
      <c r="CH221" s="3" t="n">
        <v>0.3160258350870712</v>
      </c>
      <c r="CI221" s="3" t="n">
        <v>0.328843386223384</v>
      </c>
      <c r="CJ221" s="3" t="n">
        <v>0.3439630463444466</v>
      </c>
      <c r="CK221" s="3" t="n">
        <v>0.3597364822927459</v>
      </c>
      <c r="CL221" s="3" t="n">
        <v>0.3762354730213978</v>
      </c>
      <c r="CM221" s="3" t="n">
        <v>0.3935098152403211</v>
      </c>
      <c r="CN221" s="3" t="n">
        <v>0.4116010821983458</v>
      </c>
      <c r="CO221" s="3" t="n">
        <v>0.4305512303946269</v>
      </c>
      <c r="CP221" s="3" t="n">
        <v>0.4504512829610281</v>
      </c>
      <c r="CQ221" s="3" t="n">
        <v>0.4713505088968202</v>
      </c>
      <c r="CR221" s="3" t="n">
        <v>0.4932959050473006</v>
      </c>
      <c r="CS221" s="3" t="n">
        <v>0.5144536838622206</v>
      </c>
      <c r="CU221" s="20" t="inlineStr">
        <is>
          <t>egy.mit.pig.all.gso.6</t>
        </is>
      </c>
      <c r="CV221" s="3" t="n">
        <v>0.2496029221841398</v>
      </c>
      <c r="CW221" s="3" t="n">
        <v>0.2481946602534201</v>
      </c>
      <c r="CX221" s="3" t="n">
        <v>0.2477797703979157</v>
      </c>
      <c r="CY221" s="3" t="n">
        <v>0.2408870786716086</v>
      </c>
      <c r="CZ221" s="3" t="n">
        <v>0.2566424593320391</v>
      </c>
      <c r="DA221" s="3" t="n">
        <v>0.2679474421862515</v>
      </c>
      <c r="DB221" s="3" t="n">
        <v>0.2844934930350608</v>
      </c>
      <c r="DC221" s="3" t="n">
        <v>0.3010243486658704</v>
      </c>
      <c r="DD221" s="3" t="n">
        <v>0.3174075570039594</v>
      </c>
      <c r="DE221" s="3" t="n">
        <v>0.3307051971920079</v>
      </c>
      <c r="DF221" s="3" t="n">
        <v>0.3463338619023059</v>
      </c>
      <c r="DG221" s="3" t="n">
        <v>0.3626304388252057</v>
      </c>
      <c r="DH221" s="3" t="n">
        <v>0.379668436563066</v>
      </c>
      <c r="DI221" s="3" t="n">
        <v>0.3975023098123456</v>
      </c>
      <c r="DJ221" s="3" t="n">
        <v>0.4161755131736393</v>
      </c>
      <c r="DK221" s="3" t="n">
        <v>0.435730930061299</v>
      </c>
      <c r="DL221" s="3" t="n">
        <v>0.4562666741882982</v>
      </c>
      <c r="DM221" s="3" t="n">
        <v>0.4778349948151606</v>
      </c>
      <c r="DN221" s="3" t="n">
        <v>0.5004867948534046</v>
      </c>
      <c r="DO221" s="3" t="n">
        <v>0.5223904864742261</v>
      </c>
    </row>
    <row r="222">
      <c r="A222" s="19" t="inlineStr">
        <is>
          <t>mit.pig.co2e.all.gso</t>
        </is>
      </c>
      <c r="B222" s="3" t="inlineStr">
        <is>
          <t>mit</t>
        </is>
      </c>
      <c r="C222" s="19" t="inlineStr">
        <is>
          <t>mit.pig.co2e.gso.all</t>
        </is>
      </c>
      <c r="H222" s="3" t="inlineStr">
        <is>
          <t>Pigouvian tax per tonne of CO2 (fuel lines; avg: weighted by the fuel use of the scenario) | All sectors | Gasoline</t>
        </is>
      </c>
      <c r="I222" s="3" t="inlineStr">
        <is>
          <t>USD/tCO2</t>
        </is>
      </c>
      <c r="K222" s="20" t="inlineStr">
        <is>
          <t>egy.mit.pig.co2e.all.gso.1</t>
        </is>
      </c>
      <c r="L222" s="3" t="n">
        <v>105.9530048210583</v>
      </c>
      <c r="M222" s="3" t="n">
        <v>105.355217015414</v>
      </c>
      <c r="N222" s="3" t="n">
        <v>105.1791019824817</v>
      </c>
      <c r="O222" s="3" t="n">
        <v>102.253249218752</v>
      </c>
      <c r="P222" s="3" t="n">
        <v>108.9411913913139</v>
      </c>
      <c r="Q222" s="3" t="n">
        <v>113.7572882141317</v>
      </c>
      <c r="R222" s="3" t="n">
        <v>120.3895766183278</v>
      </c>
      <c r="S222" s="3" t="n">
        <v>126.9907413166062</v>
      </c>
      <c r="T222" s="3" t="n">
        <v>133.5086227916139</v>
      </c>
      <c r="U222" s="3" t="n">
        <v>138.7278972142195</v>
      </c>
      <c r="V222" s="3" t="n">
        <v>144.9110129962833</v>
      </c>
      <c r="W222" s="3" t="n">
        <v>151.3648054485608</v>
      </c>
      <c r="X222" s="3" t="n">
        <v>158.1177920502444</v>
      </c>
      <c r="Y222" s="3" t="n">
        <v>165.1895968832713</v>
      </c>
      <c r="Z222" s="3" t="n">
        <v>172.5971011891772</v>
      </c>
      <c r="AA222" s="3" t="n">
        <v>180.3574444942772</v>
      </c>
      <c r="AB222" s="3" t="n">
        <v>188.5067161880947</v>
      </c>
      <c r="AC222" s="3" t="n">
        <v>197.0647496411277</v>
      </c>
      <c r="AD222" s="3" t="n">
        <v>206.0499665138946</v>
      </c>
      <c r="AE222" s="3" t="n">
        <v>214.6829725112126</v>
      </c>
      <c r="AG222" s="20" t="inlineStr">
        <is>
          <t>egy.mit.pig.co2e.all.gso.3</t>
        </is>
      </c>
      <c r="AH222" s="3" t="n">
        <v>105.9530048210583</v>
      </c>
      <c r="AI222" s="3" t="n">
        <v>105.355217015414</v>
      </c>
      <c r="AJ222" s="3" t="n">
        <v>105.1791019824817</v>
      </c>
      <c r="AK222" s="3" t="n">
        <v>102.253249218752</v>
      </c>
      <c r="AL222" s="3" t="n">
        <v>108.9411914143078</v>
      </c>
      <c r="AM222" s="3" t="n">
        <v>113.7499133538798</v>
      </c>
      <c r="AN222" s="3" t="n">
        <v>120.5474751264733</v>
      </c>
      <c r="AO222" s="3" t="n">
        <v>127.3243381003028</v>
      </c>
      <c r="AP222" s="3" t="n">
        <v>134.0267019650333</v>
      </c>
      <c r="AQ222" s="3" t="n">
        <v>139.4257207667386</v>
      </c>
      <c r="AR222" s="3" t="n">
        <v>145.7994144560164</v>
      </c>
      <c r="AS222" s="3" t="n">
        <v>152.44920101297</v>
      </c>
      <c r="AT222" s="3" t="n">
        <v>159.4046540083583</v>
      </c>
      <c r="AU222" s="3" t="n">
        <v>166.6869823629232</v>
      </c>
      <c r="AV222" s="3" t="n">
        <v>174.3136874164813</v>
      </c>
      <c r="AW222" s="3" t="n">
        <v>182.302359852468</v>
      </c>
      <c r="AX222" s="3" t="n">
        <v>190.6914660192616</v>
      </c>
      <c r="AY222" s="3" t="n">
        <v>199.5018749057913</v>
      </c>
      <c r="AZ222" s="3" t="n">
        <v>208.7533546243553</v>
      </c>
      <c r="BA222" s="3" t="n">
        <v>217.6673141382255</v>
      </c>
      <c r="BC222" s="20" t="inlineStr">
        <is>
          <t>egy.mit.pig.co2e.all.gso.4</t>
        </is>
      </c>
      <c r="BD222" s="3" t="n">
        <v>105.9530048210583</v>
      </c>
      <c r="BE222" s="3" t="n">
        <v>105.355217015414</v>
      </c>
      <c r="BF222" s="3" t="n">
        <v>105.1791019824817</v>
      </c>
      <c r="BG222" s="3" t="n">
        <v>102.253249218752</v>
      </c>
      <c r="BH222" s="3" t="n">
        <v>108.9411914679766</v>
      </c>
      <c r="BI222" s="3" t="n">
        <v>113.7535128997005</v>
      </c>
      <c r="BJ222" s="3" t="n">
        <v>120.4650918156099</v>
      </c>
      <c r="BK222" s="3" t="n">
        <v>127.2669712571437</v>
      </c>
      <c r="BL222" s="3" t="n">
        <v>134.1141424770622</v>
      </c>
      <c r="BM222" s="3" t="n">
        <v>139.780319929599</v>
      </c>
      <c r="BN222" s="3" t="n">
        <v>146.5502926492279</v>
      </c>
      <c r="BO222" s="3" t="n">
        <v>153.7314537530046</v>
      </c>
      <c r="BP222" s="3" t="n">
        <v>161.360062901016</v>
      </c>
      <c r="BQ222" s="3" t="n">
        <v>169.4644442617682</v>
      </c>
      <c r="BR222" s="3" t="n">
        <v>178.0712906716774</v>
      </c>
      <c r="BS222" s="3" t="n">
        <v>187.2080014707807</v>
      </c>
      <c r="BT222" s="3" t="n">
        <v>196.9255613875447</v>
      </c>
      <c r="BU222" s="3" t="n">
        <v>207.2584998426278</v>
      </c>
      <c r="BV222" s="3" t="n">
        <v>218.2414515253349</v>
      </c>
      <c r="BW222" s="3" t="n">
        <v>229.1127763604804</v>
      </c>
      <c r="BY222" s="20" t="inlineStr">
        <is>
          <t>egy.mit.pig.co2e.all.gso.5</t>
        </is>
      </c>
      <c r="BZ222" s="3" t="n">
        <v>105.9530048210583</v>
      </c>
      <c r="CA222" s="3" t="n">
        <v>105.355217015414</v>
      </c>
      <c r="CB222" s="3" t="n">
        <v>105.1791019824817</v>
      </c>
      <c r="CC222" s="3" t="n">
        <v>102.253249218752</v>
      </c>
      <c r="CD222" s="3" t="n">
        <v>108.9411915229716</v>
      </c>
      <c r="CE222" s="3" t="n">
        <v>113.7481741323193</v>
      </c>
      <c r="CF222" s="3" t="n">
        <v>120.584767903938</v>
      </c>
      <c r="CG222" s="3" t="n">
        <v>127.4031650507429</v>
      </c>
      <c r="CH222" s="3" t="n">
        <v>134.1486170737109</v>
      </c>
      <c r="CI222" s="3" t="n">
        <v>139.5894911045768</v>
      </c>
      <c r="CJ222" s="3" t="n">
        <v>146.0075787122126</v>
      </c>
      <c r="CK222" s="3" t="n">
        <v>152.7031851596478</v>
      </c>
      <c r="CL222" s="3" t="n">
        <v>159.7067796244827</v>
      </c>
      <c r="CM222" s="3" t="n">
        <v>167.0395001246536</v>
      </c>
      <c r="CN222" s="3" t="n">
        <v>174.718993932056</v>
      </c>
      <c r="CO222" s="3" t="n">
        <v>182.7630710030732</v>
      </c>
      <c r="CP222" s="3" t="n">
        <v>191.2103694042984</v>
      </c>
      <c r="CQ222" s="3" t="n">
        <v>200.0818031477614</v>
      </c>
      <c r="CR222" s="3" t="n">
        <v>209.3973217474056</v>
      </c>
      <c r="CS222" s="3" t="n">
        <v>218.3785076292211</v>
      </c>
      <c r="CU222" s="20" t="inlineStr">
        <is>
          <t>egy.mit.pig.co2e.all.gso.6</t>
        </is>
      </c>
      <c r="CV222" s="3" t="n">
        <v>105.9530048210583</v>
      </c>
      <c r="CW222" s="3" t="n">
        <v>105.355217015414</v>
      </c>
      <c r="CX222" s="3" t="n">
        <v>105.1791019824817</v>
      </c>
      <c r="CY222" s="3" t="n">
        <v>102.253249218752</v>
      </c>
      <c r="CZ222" s="3" t="n">
        <v>108.941191445008</v>
      </c>
      <c r="DA222" s="3" t="n">
        <v>113.7400010597876</v>
      </c>
      <c r="DB222" s="3" t="n">
        <v>120.7635718978728</v>
      </c>
      <c r="DC222" s="3" t="n">
        <v>127.7806925750709</v>
      </c>
      <c r="DD222" s="3" t="n">
        <v>134.7351390087923</v>
      </c>
      <c r="DE222" s="3" t="n">
        <v>140.3798042339598</v>
      </c>
      <c r="DF222" s="3" t="n">
        <v>147.0139572835595</v>
      </c>
      <c r="DG222" s="3" t="n">
        <v>153.9316298739667</v>
      </c>
      <c r="DH222" s="3" t="n">
        <v>161.1640253950773</v>
      </c>
      <c r="DI222" s="3" t="n">
        <v>168.7342591159993</v>
      </c>
      <c r="DJ222" s="3" t="n">
        <v>176.6607769165569</v>
      </c>
      <c r="DK222" s="3" t="n">
        <v>184.9617822158758</v>
      </c>
      <c r="DL222" s="3" t="n">
        <v>193.6789229346322</v>
      </c>
      <c r="DM222" s="3" t="n">
        <v>202.8343781647364</v>
      </c>
      <c r="DN222" s="3" t="n">
        <v>212.4497554914776</v>
      </c>
      <c r="DO222" s="3" t="n">
        <v>221.7475710923213</v>
      </c>
    </row>
    <row r="223">
      <c r="A223" s="19" t="inlineStr">
        <is>
          <t>mit.eff.price.all.die</t>
        </is>
      </c>
      <c r="B223" s="3" t="inlineStr">
        <is>
          <t>mit</t>
        </is>
      </c>
      <c r="C223" s="19" t="inlineStr">
        <is>
          <t>mit.eff.price.die.all</t>
        </is>
      </c>
      <c r="H223" s="3" t="inlineStr">
        <is>
          <t>Efficient price | All sectors | Diesel</t>
        </is>
      </c>
      <c r="I223" s="3" t="inlineStr">
        <is>
          <t>USD per price unit</t>
        </is>
      </c>
      <c r="K223" s="20" t="inlineStr">
        <is>
          <t>egy.mit.eff.price.all.die.1</t>
        </is>
      </c>
      <c r="L223" s="3" t="n">
        <v>1.773921222337591</v>
      </c>
      <c r="M223" s="3" t="n">
        <v>1.52934196117964</v>
      </c>
      <c r="N223" s="3" t="n">
        <v>1.431357279419629</v>
      </c>
      <c r="O223" s="3" t="n">
        <v>1.262428356959622</v>
      </c>
      <c r="P223" s="3" t="n">
        <v>1.375300870295556</v>
      </c>
      <c r="Q223" s="3" t="n">
        <v>1.302053636097061</v>
      </c>
      <c r="R223" s="3" t="n">
        <v>1.302733605055604</v>
      </c>
      <c r="S223" s="3" t="n">
        <v>1.315151716686514</v>
      </c>
      <c r="T223" s="3" t="n">
        <v>1.328563854989951</v>
      </c>
      <c r="U223" s="3" t="n">
        <v>1.332693100287069</v>
      </c>
      <c r="V223" s="3" t="n">
        <v>1.353473628684783</v>
      </c>
      <c r="W223" s="3" t="n">
        <v>1.375073081673046</v>
      </c>
      <c r="X223" s="3" t="n">
        <v>1.397514319340537</v>
      </c>
      <c r="Y223" s="3" t="n">
        <v>1.42080778141763</v>
      </c>
      <c r="Z223" s="3" t="n">
        <v>1.444959330573445</v>
      </c>
      <c r="AA223" s="3" t="n">
        <v>1.470012756600535</v>
      </c>
      <c r="AB223" s="3" t="n">
        <v>1.495988508322865</v>
      </c>
      <c r="AC223" s="3" t="n">
        <v>1.522907393967463</v>
      </c>
      <c r="AD223" s="3" t="n">
        <v>1.550788690501348</v>
      </c>
      <c r="AE223" s="3" t="n">
        <v>1.569159845422401</v>
      </c>
      <c r="AG223" s="20" t="inlineStr">
        <is>
          <t>egy.mit.eff.price.all.die.3</t>
        </is>
      </c>
      <c r="AH223" s="3" t="n">
        <v>1.773921222337591</v>
      </c>
      <c r="AI223" s="3" t="n">
        <v>1.52934196117964</v>
      </c>
      <c r="AJ223" s="3" t="n">
        <v>1.431357279419629</v>
      </c>
      <c r="AK223" s="3" t="n">
        <v>1.262428356959622</v>
      </c>
      <c r="AL223" s="3" t="n">
        <v>1.375300870295751</v>
      </c>
      <c r="AM223" s="3" t="n">
        <v>1.308597542829788</v>
      </c>
      <c r="AN223" s="3" t="n">
        <v>1.310473698458409</v>
      </c>
      <c r="AO223" s="3" t="n">
        <v>1.324041241786053</v>
      </c>
      <c r="AP223" s="3" t="n">
        <v>1.338550418810504</v>
      </c>
      <c r="AQ223" s="3" t="n">
        <v>1.343757071791246</v>
      </c>
      <c r="AR223" s="3" t="n">
        <v>1.365561367909659</v>
      </c>
      <c r="AS223" s="3" t="n">
        <v>1.388153812855747</v>
      </c>
      <c r="AT223" s="3" t="n">
        <v>1.411565728307859</v>
      </c>
      <c r="AU223" s="3" t="n">
        <v>1.435806105271837</v>
      </c>
      <c r="AV223" s="3" t="n">
        <v>1.460884464045016</v>
      </c>
      <c r="AW223" s="3" t="n">
        <v>1.486850611806011</v>
      </c>
      <c r="AX223" s="3" t="n">
        <v>1.513727785820476</v>
      </c>
      <c r="AY223" s="3" t="n">
        <v>1.541539638168389</v>
      </c>
      <c r="AZ223" s="3" t="n">
        <v>1.570307031907278</v>
      </c>
      <c r="BA223" s="3" t="n">
        <v>1.589629943670139</v>
      </c>
      <c r="BC223" s="20" t="inlineStr">
        <is>
          <t>egy.mit.eff.price.all.die.4</t>
        </is>
      </c>
      <c r="BD223" s="3" t="n">
        <v>1.773921222337591</v>
      </c>
      <c r="BE223" s="3" t="n">
        <v>1.52934196117964</v>
      </c>
      <c r="BF223" s="3" t="n">
        <v>1.431357279419629</v>
      </c>
      <c r="BG223" s="3" t="n">
        <v>1.262428356959622</v>
      </c>
      <c r="BH223" s="3" t="n">
        <v>1.375300870296205</v>
      </c>
      <c r="BI223" s="3" t="n">
        <v>1.305811529258281</v>
      </c>
      <c r="BJ223" s="3" t="n">
        <v>1.311618626701746</v>
      </c>
      <c r="BK223" s="3" t="n">
        <v>1.329476907517829</v>
      </c>
      <c r="BL223" s="3" t="n">
        <v>1.348685283851719</v>
      </c>
      <c r="BM223" s="3" t="n">
        <v>1.358538584594887</v>
      </c>
      <c r="BN223" s="3" t="n">
        <v>1.385535815576207</v>
      </c>
      <c r="BO223" s="3" t="n">
        <v>1.413832233715937</v>
      </c>
      <c r="BP223" s="3" t="n">
        <v>1.443476232430117</v>
      </c>
      <c r="BQ223" s="3" t="n">
        <v>1.474473753493687</v>
      </c>
      <c r="BR223" s="3" t="n">
        <v>1.506830149102405</v>
      </c>
      <c r="BS223" s="3" t="n">
        <v>1.54059894172816</v>
      </c>
      <c r="BT223" s="3" t="n">
        <v>1.575808127534914</v>
      </c>
      <c r="BU223" s="3" t="n">
        <v>1.612481021213202</v>
      </c>
      <c r="BV223" s="3" t="n">
        <v>1.650642127922443</v>
      </c>
      <c r="BW223" s="3" t="n">
        <v>1.680119286144583</v>
      </c>
      <c r="BY223" s="20" t="inlineStr">
        <is>
          <t>egy.mit.eff.price.all.die.5</t>
        </is>
      </c>
      <c r="BZ223" s="3" t="n">
        <v>1.773921222337591</v>
      </c>
      <c r="CA223" s="3" t="n">
        <v>1.52934196117964</v>
      </c>
      <c r="CB223" s="3" t="n">
        <v>1.431357279419629</v>
      </c>
      <c r="CC223" s="3" t="n">
        <v>1.262428356959622</v>
      </c>
      <c r="CD223" s="3" t="n">
        <v>1.37530087029667</v>
      </c>
      <c r="CE223" s="3" t="n">
        <v>1.310031746954095</v>
      </c>
      <c r="CF223" s="3" t="n">
        <v>1.312199424172314</v>
      </c>
      <c r="CG223" s="3" t="n">
        <v>1.326045712113317</v>
      </c>
      <c r="CH223" s="3" t="n">
        <v>1.340822469349282</v>
      </c>
      <c r="CI223" s="3" t="n">
        <v>1.34628980740871</v>
      </c>
      <c r="CJ223" s="3" t="n">
        <v>1.368341882586921</v>
      </c>
      <c r="CK223" s="3" t="n">
        <v>1.39117458277237</v>
      </c>
      <c r="CL223" s="3" t="n">
        <v>1.414821394962328</v>
      </c>
      <c r="CM223" s="3" t="n">
        <v>1.439291968604727</v>
      </c>
      <c r="CN223" s="3" t="n">
        <v>1.464596183041679</v>
      </c>
      <c r="CO223" s="3" t="n">
        <v>1.490785020918755</v>
      </c>
      <c r="CP223" s="3" t="n">
        <v>1.517882917928883</v>
      </c>
      <c r="CQ223" s="3" t="n">
        <v>1.545914122467778</v>
      </c>
      <c r="CR223" s="3" t="n">
        <v>1.574899992862194</v>
      </c>
      <c r="CS223" s="3" t="n">
        <v>1.594455879065106</v>
      </c>
      <c r="CU223" s="20" t="inlineStr">
        <is>
          <t>egy.mit.eff.price.all.die.6</t>
        </is>
      </c>
      <c r="CV223" s="3" t="n">
        <v>1.773921222337591</v>
      </c>
      <c r="CW223" s="3" t="n">
        <v>1.52934196117964</v>
      </c>
      <c r="CX223" s="3" t="n">
        <v>1.431357279419629</v>
      </c>
      <c r="CY223" s="3" t="n">
        <v>1.262428356959622</v>
      </c>
      <c r="CZ223" s="3" t="n">
        <v>1.37530087029601</v>
      </c>
      <c r="DA223" s="3" t="n">
        <v>1.316287281919058</v>
      </c>
      <c r="DB223" s="3" t="n">
        <v>1.319866510323792</v>
      </c>
      <c r="DC223" s="3" t="n">
        <v>1.335065919244232</v>
      </c>
      <c r="DD223" s="3" t="n">
        <v>1.351133716119831</v>
      </c>
      <c r="DE223" s="3" t="n">
        <v>1.357856165512537</v>
      </c>
      <c r="DF223" s="3" t="n">
        <v>1.381105237060327</v>
      </c>
      <c r="DG223" s="3" t="n">
        <v>1.405096873438444</v>
      </c>
      <c r="DH223" s="3" t="n">
        <v>1.429876617184796</v>
      </c>
      <c r="DI223" s="3" t="n">
        <v>1.455452598071079</v>
      </c>
      <c r="DJ223" s="3" t="n">
        <v>1.481837926234794</v>
      </c>
      <c r="DK223" s="3" t="n">
        <v>1.509089959659504</v>
      </c>
      <c r="DL223" s="3" t="n">
        <v>1.537237646191394</v>
      </c>
      <c r="DM223" s="3" t="n">
        <v>1.566307675732253</v>
      </c>
      <c r="DN223" s="3" t="n">
        <v>1.596323590259261</v>
      </c>
      <c r="DO223" s="3" t="n">
        <v>1.616966580606115</v>
      </c>
    </row>
    <row r="224">
      <c r="A224" s="19" t="inlineStr">
        <is>
          <t>mit.sup.cost.all.die</t>
        </is>
      </c>
      <c r="B224" s="3" t="inlineStr">
        <is>
          <t>mit</t>
        </is>
      </c>
      <c r="C224" s="19" t="inlineStr">
        <is>
          <t>mit.sup.cost.die.all</t>
        </is>
      </c>
      <c r="H224" s="3" t="inlineStr">
        <is>
          <t>Efficient price: supply cost of scenario 1 | All sectors | Diesel</t>
        </is>
      </c>
      <c r="I224" s="3" t="inlineStr">
        <is>
          <t>USD per price unit</t>
        </is>
      </c>
      <c r="K224" s="20" t="inlineStr">
        <is>
          <t>egy.mit.sup.cost.all.die.1</t>
        </is>
      </c>
      <c r="L224" s="3" t="n">
        <v>1.072526584297794</v>
      </c>
      <c r="M224" s="3" t="n">
        <v>0.8617699020940517</v>
      </c>
      <c r="N224" s="3" t="n">
        <v>0.7836534539774475</v>
      </c>
      <c r="O224" s="3" t="n">
        <v>0.6757384949898116</v>
      </c>
      <c r="P224" s="3" t="n">
        <v>0.7507394671427465</v>
      </c>
      <c r="Q224" s="3" t="n">
        <v>0.6729685912441503</v>
      </c>
      <c r="R224" s="3" t="n">
        <v>0.651572563469659</v>
      </c>
      <c r="S224" s="3" t="n">
        <v>0.6407872304336238</v>
      </c>
      <c r="T224" s="3" t="n">
        <v>0.6313553895745702</v>
      </c>
      <c r="U224" s="3" t="n">
        <v>0.6211085637351298</v>
      </c>
      <c r="V224" s="3" t="n">
        <v>0.6211085637351298</v>
      </c>
      <c r="W224" s="3" t="n">
        <v>0.6211085637351298</v>
      </c>
      <c r="X224" s="3" t="n">
        <v>0.6211085637351299</v>
      </c>
      <c r="Y224" s="3" t="n">
        <v>0.6211085637351299</v>
      </c>
      <c r="Z224" s="3" t="n">
        <v>0.6211085637351299</v>
      </c>
      <c r="AA224" s="3" t="n">
        <v>0.6211085637351298</v>
      </c>
      <c r="AB224" s="3" t="n">
        <v>0.6211085637351298</v>
      </c>
      <c r="AC224" s="3" t="n">
        <v>0.6211085637351298</v>
      </c>
      <c r="AD224" s="3" t="n">
        <v>0.6211085637351298</v>
      </c>
      <c r="AE224" s="3" t="n">
        <v>0.6211085637351298</v>
      </c>
      <c r="AG224" s="20" t="inlineStr">
        <is>
          <t>egy.mit.sup.cost.all.die.3</t>
        </is>
      </c>
      <c r="AH224" s="3" t="n">
        <v>1.072526584297794</v>
      </c>
      <c r="AI224" s="3" t="n">
        <v>0.8617699020940517</v>
      </c>
      <c r="AJ224" s="3" t="n">
        <v>0.7836534539774475</v>
      </c>
      <c r="AK224" s="3" t="n">
        <v>0.6757384949898116</v>
      </c>
      <c r="AL224" s="3" t="n">
        <v>0.7507394671427465</v>
      </c>
      <c r="AM224" s="3" t="n">
        <v>0.6729685912441503</v>
      </c>
      <c r="AN224" s="3" t="n">
        <v>0.651572563469659</v>
      </c>
      <c r="AO224" s="3" t="n">
        <v>0.6407872304336238</v>
      </c>
      <c r="AP224" s="3" t="n">
        <v>0.6313553895745702</v>
      </c>
      <c r="AQ224" s="3" t="n">
        <v>0.6211085637351298</v>
      </c>
      <c r="AR224" s="3" t="n">
        <v>0.6211085637351298</v>
      </c>
      <c r="AS224" s="3" t="n">
        <v>0.6211085637351298</v>
      </c>
      <c r="AT224" s="3" t="n">
        <v>0.6211085637351299</v>
      </c>
      <c r="AU224" s="3" t="n">
        <v>0.6211085637351299</v>
      </c>
      <c r="AV224" s="3" t="n">
        <v>0.6211085637351299</v>
      </c>
      <c r="AW224" s="3" t="n">
        <v>0.6211085637351298</v>
      </c>
      <c r="AX224" s="3" t="n">
        <v>0.6211085637351298</v>
      </c>
      <c r="AY224" s="3" t="n">
        <v>0.6211085637351298</v>
      </c>
      <c r="AZ224" s="3" t="n">
        <v>0.6211085637351298</v>
      </c>
      <c r="BA224" s="3" t="n">
        <v>0.6211085637351298</v>
      </c>
      <c r="BC224" s="20" t="inlineStr">
        <is>
          <t>egy.mit.sup.cost.all.die.4</t>
        </is>
      </c>
      <c r="BD224" s="3" t="n">
        <v>1.072526584297794</v>
      </c>
      <c r="BE224" s="3" t="n">
        <v>0.8617699020940517</v>
      </c>
      <c r="BF224" s="3" t="n">
        <v>0.7836534539774475</v>
      </c>
      <c r="BG224" s="3" t="n">
        <v>0.6757384949898116</v>
      </c>
      <c r="BH224" s="3" t="n">
        <v>0.7507394671427465</v>
      </c>
      <c r="BI224" s="3" t="n">
        <v>0.6729685912441503</v>
      </c>
      <c r="BJ224" s="3" t="n">
        <v>0.651572563469659</v>
      </c>
      <c r="BK224" s="3" t="n">
        <v>0.6407872304336238</v>
      </c>
      <c r="BL224" s="3" t="n">
        <v>0.6313553895745702</v>
      </c>
      <c r="BM224" s="3" t="n">
        <v>0.6211085637351298</v>
      </c>
      <c r="BN224" s="3" t="n">
        <v>0.6211085637351298</v>
      </c>
      <c r="BO224" s="3" t="n">
        <v>0.6211085637351298</v>
      </c>
      <c r="BP224" s="3" t="n">
        <v>0.6211085637351299</v>
      </c>
      <c r="BQ224" s="3" t="n">
        <v>0.6211085637351299</v>
      </c>
      <c r="BR224" s="3" t="n">
        <v>0.6211085637351299</v>
      </c>
      <c r="BS224" s="3" t="n">
        <v>0.6211085637351298</v>
      </c>
      <c r="BT224" s="3" t="n">
        <v>0.6211085637351298</v>
      </c>
      <c r="BU224" s="3" t="n">
        <v>0.6211085637351298</v>
      </c>
      <c r="BV224" s="3" t="n">
        <v>0.6211085637351298</v>
      </c>
      <c r="BW224" s="3" t="n">
        <v>0.6211085637351298</v>
      </c>
      <c r="BY224" s="20" t="inlineStr">
        <is>
          <t>egy.mit.sup.cost.all.die.5</t>
        </is>
      </c>
      <c r="BZ224" s="3" t="n">
        <v>1.072526584297794</v>
      </c>
      <c r="CA224" s="3" t="n">
        <v>0.8617699020940517</v>
      </c>
      <c r="CB224" s="3" t="n">
        <v>0.7836534539774475</v>
      </c>
      <c r="CC224" s="3" t="n">
        <v>0.6757384949898116</v>
      </c>
      <c r="CD224" s="3" t="n">
        <v>0.7507394671427465</v>
      </c>
      <c r="CE224" s="3" t="n">
        <v>0.6729685912441503</v>
      </c>
      <c r="CF224" s="3" t="n">
        <v>0.651572563469659</v>
      </c>
      <c r="CG224" s="3" t="n">
        <v>0.6407872304336238</v>
      </c>
      <c r="CH224" s="3" t="n">
        <v>0.6313553895745702</v>
      </c>
      <c r="CI224" s="3" t="n">
        <v>0.6211085637351298</v>
      </c>
      <c r="CJ224" s="3" t="n">
        <v>0.6211085637351298</v>
      </c>
      <c r="CK224" s="3" t="n">
        <v>0.6211085637351298</v>
      </c>
      <c r="CL224" s="3" t="n">
        <v>0.6211085637351299</v>
      </c>
      <c r="CM224" s="3" t="n">
        <v>0.6211085637351299</v>
      </c>
      <c r="CN224" s="3" t="n">
        <v>0.6211085637351299</v>
      </c>
      <c r="CO224" s="3" t="n">
        <v>0.6211085637351298</v>
      </c>
      <c r="CP224" s="3" t="n">
        <v>0.6211085637351298</v>
      </c>
      <c r="CQ224" s="3" t="n">
        <v>0.6211085637351298</v>
      </c>
      <c r="CR224" s="3" t="n">
        <v>0.6211085637351298</v>
      </c>
      <c r="CS224" s="3" t="n">
        <v>0.6211085637351298</v>
      </c>
      <c r="CU224" s="20" t="inlineStr">
        <is>
          <t>egy.mit.sup.cost.all.die.6</t>
        </is>
      </c>
      <c r="CV224" s="3" t="n">
        <v>1.072526584297794</v>
      </c>
      <c r="CW224" s="3" t="n">
        <v>0.8617699020940517</v>
      </c>
      <c r="CX224" s="3" t="n">
        <v>0.7836534539774475</v>
      </c>
      <c r="CY224" s="3" t="n">
        <v>0.6757384949898116</v>
      </c>
      <c r="CZ224" s="3" t="n">
        <v>0.7507394671427465</v>
      </c>
      <c r="DA224" s="3" t="n">
        <v>0.6729685912441503</v>
      </c>
      <c r="DB224" s="3" t="n">
        <v>0.651572563469659</v>
      </c>
      <c r="DC224" s="3" t="n">
        <v>0.6407872304336238</v>
      </c>
      <c r="DD224" s="3" t="n">
        <v>0.6313553895745702</v>
      </c>
      <c r="DE224" s="3" t="n">
        <v>0.6211085637351298</v>
      </c>
      <c r="DF224" s="3" t="n">
        <v>0.6211085637351298</v>
      </c>
      <c r="DG224" s="3" t="n">
        <v>0.6211085637351298</v>
      </c>
      <c r="DH224" s="3" t="n">
        <v>0.6211085637351299</v>
      </c>
      <c r="DI224" s="3" t="n">
        <v>0.6211085637351299</v>
      </c>
      <c r="DJ224" s="3" t="n">
        <v>0.6211085637351299</v>
      </c>
      <c r="DK224" s="3" t="n">
        <v>0.6211085637351298</v>
      </c>
      <c r="DL224" s="3" t="n">
        <v>0.6211085637351298</v>
      </c>
      <c r="DM224" s="3" t="n">
        <v>0.6211085637351298</v>
      </c>
      <c r="DN224" s="3" t="n">
        <v>0.6211085637351298</v>
      </c>
      <c r="DO224" s="3" t="n">
        <v>0.6211085637351298</v>
      </c>
    </row>
    <row r="225">
      <c r="A225" s="19" t="inlineStr">
        <is>
          <t>mit.airpol.cost.all.die</t>
        </is>
      </c>
      <c r="B225" s="3" t="inlineStr">
        <is>
          <t>mit</t>
        </is>
      </c>
      <c r="C225" s="19" t="inlineStr">
        <is>
          <t>mit.airpol.cost.die.all</t>
        </is>
      </c>
      <c r="H225" s="3" t="inlineStr">
        <is>
          <t>Air-pollution cost per unit of fuel, marginal damages (coal, gas, other oil products USD/GJ; gasoline, diesel, LPG, kerosene USD/l) | All sectors | Diesel</t>
        </is>
      </c>
      <c r="I225" s="3" t="inlineStr">
        <is>
          <t>USD per unit</t>
        </is>
      </c>
      <c r="K225" s="20" t="inlineStr">
        <is>
          <t>egy.mit.airpol.cost.all.die.1</t>
        </is>
      </c>
      <c r="L225" s="3" t="n">
        <v>0.1633258832495285</v>
      </c>
      <c r="M225" s="3" t="n">
        <v>0.165011179856565</v>
      </c>
      <c r="N225" s="3" t="n">
        <v>0.1574187674583845</v>
      </c>
      <c r="O225" s="3" t="n">
        <v>0.1118562136053213</v>
      </c>
      <c r="P225" s="3" t="n">
        <v>0.1275491957767035</v>
      </c>
      <c r="Q225" s="3" t="n">
        <v>0.1323545440775214</v>
      </c>
      <c r="R225" s="3" t="n">
        <v>0.1445443913289823</v>
      </c>
      <c r="S225" s="3" t="n">
        <v>0.1560966596383548</v>
      </c>
      <c r="T225" s="3" t="n">
        <v>0.1668721116350861</v>
      </c>
      <c r="U225" s="3" t="n">
        <v>0.170396884803349</v>
      </c>
      <c r="V225" s="3" t="n">
        <v>0.1775645104777193</v>
      </c>
      <c r="W225" s="3" t="n">
        <v>0.1849626310681634</v>
      </c>
      <c r="X225" s="3" t="n">
        <v>0.1925895476680426</v>
      </c>
      <c r="Y225" s="3" t="n">
        <v>0.200450395253166</v>
      </c>
      <c r="Z225" s="3" t="n">
        <v>0.2085400666196191</v>
      </c>
      <c r="AA225" s="3" t="n">
        <v>0.2168699626563158</v>
      </c>
      <c r="AB225" s="3" t="n">
        <v>0.2254230326061016</v>
      </c>
      <c r="AC225" s="3" t="n">
        <v>0.234194751584584</v>
      </c>
      <c r="AD225" s="3" t="n">
        <v>0.2431794610151761</v>
      </c>
      <c r="AE225" s="3" t="n">
        <v>0.2431655521184413</v>
      </c>
      <c r="AG225" s="20" t="inlineStr">
        <is>
          <t>egy.mit.airpol.cost.all.die.3</t>
        </is>
      </c>
      <c r="AH225" s="3" t="n">
        <v>0.1633258832495285</v>
      </c>
      <c r="AI225" s="3" t="n">
        <v>0.165011179856565</v>
      </c>
      <c r="AJ225" s="3" t="n">
        <v>0.1574187674583845</v>
      </c>
      <c r="AK225" s="3" t="n">
        <v>0.1118562136053213</v>
      </c>
      <c r="AL225" s="3" t="n">
        <v>0.1275491957767035</v>
      </c>
      <c r="AM225" s="3" t="n">
        <v>0.131495148201768</v>
      </c>
      <c r="AN225" s="3" t="n">
        <v>0.1436048185253834</v>
      </c>
      <c r="AO225" s="3" t="n">
        <v>0.1550803478065354</v>
      </c>
      <c r="AP225" s="3" t="n">
        <v>0.1657853920683467</v>
      </c>
      <c r="AQ225" s="3" t="n">
        <v>0.1692856079570534</v>
      </c>
      <c r="AR225" s="3" t="n">
        <v>0.1764054765521089</v>
      </c>
      <c r="AS225" s="3" t="n">
        <v>0.1837531053027382</v>
      </c>
      <c r="AT225" s="3" t="n">
        <v>0.1913273048486521</v>
      </c>
      <c r="AU225" s="3" t="n">
        <v>0.1991339544037932</v>
      </c>
      <c r="AV225" s="3" t="n">
        <v>0.2071674685959245</v>
      </c>
      <c r="AW225" s="3" t="n">
        <v>0.2154388026667201</v>
      </c>
      <c r="AX225" s="3" t="n">
        <v>0.2239321425257242</v>
      </c>
      <c r="AY225" s="3" t="n">
        <v>0.2326427592093755</v>
      </c>
      <c r="AZ225" s="3" t="n">
        <v>0.241565478440321</v>
      </c>
      <c r="BA225" s="3" t="n">
        <v>0.241549412783965</v>
      </c>
      <c r="BC225" s="20" t="inlineStr">
        <is>
          <t>egy.mit.airpol.cost.all.die.4</t>
        </is>
      </c>
      <c r="BD225" s="3" t="n">
        <v>0.1633258832495285</v>
      </c>
      <c r="BE225" s="3" t="n">
        <v>0.165011179856565</v>
      </c>
      <c r="BF225" s="3" t="n">
        <v>0.1574187674583845</v>
      </c>
      <c r="BG225" s="3" t="n">
        <v>0.1118562136053213</v>
      </c>
      <c r="BH225" s="3" t="n">
        <v>0.1275491957767035</v>
      </c>
      <c r="BI225" s="3" t="n">
        <v>0.1324802113480113</v>
      </c>
      <c r="BJ225" s="3" t="n">
        <v>0.1447113488266001</v>
      </c>
      <c r="BK225" s="3" t="n">
        <v>0.1561992324065057</v>
      </c>
      <c r="BL225" s="3" t="n">
        <v>0.1668338727614164</v>
      </c>
      <c r="BM225" s="3" t="n">
        <v>0.1696574296394834</v>
      </c>
      <c r="BN225" s="3" t="n">
        <v>0.1761570929444585</v>
      </c>
      <c r="BO225" s="3" t="n">
        <v>0.1829100201225785</v>
      </c>
      <c r="BP225" s="3" t="n">
        <v>0.1899063067221593</v>
      </c>
      <c r="BQ225" s="3" t="n">
        <v>0.1971452625595001</v>
      </c>
      <c r="BR225" s="3" t="n">
        <v>0.2046171849953423</v>
      </c>
      <c r="BS225" s="3" t="n">
        <v>0.2123292976528207</v>
      </c>
      <c r="BT225" s="3" t="n">
        <v>0.2202621953271095</v>
      </c>
      <c r="BU225" s="3" t="n">
        <v>0.2284092551268073</v>
      </c>
      <c r="BV225" s="3" t="n">
        <v>0.2367634759703918</v>
      </c>
      <c r="BW225" s="3" t="n">
        <v>0.2363691962571725</v>
      </c>
      <c r="BY225" s="20" t="inlineStr">
        <is>
          <t>egy.mit.airpol.cost.all.die.5</t>
        </is>
      </c>
      <c r="BZ225" s="3" t="n">
        <v>0.1633258832495285</v>
      </c>
      <c r="CA225" s="3" t="n">
        <v>0.165011179856565</v>
      </c>
      <c r="CB225" s="3" t="n">
        <v>0.1574187674583845</v>
      </c>
      <c r="CC225" s="3" t="n">
        <v>0.1118562136053213</v>
      </c>
      <c r="CD225" s="3" t="n">
        <v>0.1275491957767035</v>
      </c>
      <c r="CE225" s="3" t="n">
        <v>0.1313116631650793</v>
      </c>
      <c r="CF225" s="3" t="n">
        <v>0.1434042103753825</v>
      </c>
      <c r="CG225" s="3" t="n">
        <v>0.1548635176459337</v>
      </c>
      <c r="CH225" s="3" t="n">
        <v>0.1655532164448125</v>
      </c>
      <c r="CI225" s="3" t="n">
        <v>0.1690479971513532</v>
      </c>
      <c r="CJ225" s="3" t="n">
        <v>0.1761575964415043</v>
      </c>
      <c r="CK225" s="3" t="n">
        <v>0.1834944776882871</v>
      </c>
      <c r="CL225" s="3" t="n">
        <v>0.1910580613264767</v>
      </c>
      <c r="CM225" s="3" t="n">
        <v>0.1988536666241193</v>
      </c>
      <c r="CN225" s="3" t="n">
        <v>0.2068758122809264</v>
      </c>
      <c r="CO225" s="3" t="n">
        <v>0.2151355781475103</v>
      </c>
      <c r="CP225" s="3" t="n">
        <v>0.2236169796846126</v>
      </c>
      <c r="CQ225" s="3" t="n">
        <v>0.2323151394133657</v>
      </c>
      <c r="CR225" s="3" t="n">
        <v>0.2412249155676172</v>
      </c>
      <c r="CS225" s="3" t="n">
        <v>0.2412082067192906</v>
      </c>
      <c r="CU225" s="20" t="inlineStr">
        <is>
          <t>egy.mit.airpol.cost.all.die.6</t>
        </is>
      </c>
      <c r="CV225" s="3" t="n">
        <v>0.1633258832495285</v>
      </c>
      <c r="CW225" s="3" t="n">
        <v>0.165011179856565</v>
      </c>
      <c r="CX225" s="3" t="n">
        <v>0.1574187674583845</v>
      </c>
      <c r="CY225" s="3" t="n">
        <v>0.1118562136053213</v>
      </c>
      <c r="CZ225" s="3" t="n">
        <v>0.1275491957767035</v>
      </c>
      <c r="DA225" s="3" t="n">
        <v>0.1305280935087391</v>
      </c>
      <c r="DB225" s="3" t="n">
        <v>0.1425474925188997</v>
      </c>
      <c r="DC225" s="3" t="n">
        <v>0.1539366314220499</v>
      </c>
      <c r="DD225" s="3" t="n">
        <v>0.1645622948380021</v>
      </c>
      <c r="DE225" s="3" t="n">
        <v>0.1680346782861321</v>
      </c>
      <c r="DF225" s="3" t="n">
        <v>0.1751007230716543</v>
      </c>
      <c r="DG225" s="3" t="n">
        <v>0.1823913657464507</v>
      </c>
      <c r="DH225" s="3" t="n">
        <v>0.1899062841926524</v>
      </c>
      <c r="DI225" s="3" t="n">
        <v>0.1976518949083491</v>
      </c>
      <c r="DJ225" s="3" t="n">
        <v>0.2056222009220878</v>
      </c>
      <c r="DK225" s="3" t="n">
        <v>0.2138276649427023</v>
      </c>
      <c r="DL225" s="3" t="n">
        <v>0.2222537998525185</v>
      </c>
      <c r="DM225" s="3" t="n">
        <v>0.2308955557282774</v>
      </c>
      <c r="DN225" s="3" t="n">
        <v>0.2397483212317864</v>
      </c>
      <c r="DO225" s="3" t="n">
        <v>0.2397295817997611</v>
      </c>
    </row>
    <row r="226">
      <c r="A226" s="19" t="inlineStr">
        <is>
          <t>mit.acc.cost.all.die</t>
        </is>
      </c>
      <c r="B226" s="3" t="inlineStr">
        <is>
          <t>mit</t>
        </is>
      </c>
      <c r="C226" s="19" t="inlineStr">
        <is>
          <t>mit.acc.cost.die.all</t>
        </is>
      </c>
      <c r="H226" s="3" t="inlineStr">
        <is>
          <t>Efficient price: accident cost per litre (scenario) | All sectors | Diesel</t>
        </is>
      </c>
      <c r="I226" s="3" t="inlineStr">
        <is>
          <t>USD/l</t>
        </is>
      </c>
      <c r="K226" s="20" t="inlineStr">
        <is>
          <t>egy.mit.acc.cost.all.die.1</t>
        </is>
      </c>
      <c r="L226" s="3" t="n">
        <v>0.01333492530938054</v>
      </c>
      <c r="M226" s="3" t="n">
        <v>0.009840154401114437</v>
      </c>
      <c r="N226" s="3" t="n">
        <v>0.008827210898690301</v>
      </c>
      <c r="O226" s="3" t="n">
        <v>0.00803374476867535</v>
      </c>
      <c r="P226" s="3" t="n">
        <v>0.009068660250138532</v>
      </c>
      <c r="Q226" s="3" t="n">
        <v>0.009349924913067029</v>
      </c>
      <c r="R226" s="3" t="n">
        <v>0.01013782759180642</v>
      </c>
      <c r="S226" s="3" t="n">
        <v>0.01087774407651189</v>
      </c>
      <c r="T226" s="3" t="n">
        <v>0.01156086154349326</v>
      </c>
      <c r="U226" s="3" t="n">
        <v>0.01172270781046239</v>
      </c>
      <c r="V226" s="3" t="n">
        <v>0.01214260517224757</v>
      </c>
      <c r="W226" s="3" t="n">
        <v>0.01257652222516249</v>
      </c>
      <c r="X226" s="3" t="n">
        <v>0.01302660000379084</v>
      </c>
      <c r="Y226" s="3" t="n">
        <v>0.0134879119590307</v>
      </c>
      <c r="Z226" s="3" t="n">
        <v>0.0139580895868194</v>
      </c>
      <c r="AA226" s="3" t="n">
        <v>0.01444034971891154</v>
      </c>
      <c r="AB226" s="3" t="n">
        <v>0.01493899867586501</v>
      </c>
      <c r="AC226" s="3" t="n">
        <v>0.01545469800180054</v>
      </c>
      <c r="AD226" s="3" t="n">
        <v>0.01598797468225511</v>
      </c>
      <c r="AE226" s="3" t="n">
        <v>0.01654020927134838</v>
      </c>
      <c r="AG226" s="20" t="inlineStr">
        <is>
          <t>egy.mit.acc.cost.all.die.3</t>
        </is>
      </c>
      <c r="AH226" s="3" t="n">
        <v>0.01333492530938054</v>
      </c>
      <c r="AI226" s="3" t="n">
        <v>0.009840154401114437</v>
      </c>
      <c r="AJ226" s="3" t="n">
        <v>0.008827210898690301</v>
      </c>
      <c r="AK226" s="3" t="n">
        <v>0.00803374476867535</v>
      </c>
      <c r="AL226" s="3" t="n">
        <v>0.009068660250207503</v>
      </c>
      <c r="AM226" s="3" t="n">
        <v>0.009676843714108938</v>
      </c>
      <c r="AN226" s="3" t="n">
        <v>0.01055828775671557</v>
      </c>
      <c r="AO226" s="3" t="n">
        <v>0.01139319741222847</v>
      </c>
      <c r="AP226" s="3" t="n">
        <v>0.01217246658236791</v>
      </c>
      <c r="AQ226" s="3" t="n">
        <v>0.01240061379182216</v>
      </c>
      <c r="AR226" s="3" t="n">
        <v>0.01290030336860822</v>
      </c>
      <c r="AS226" s="3" t="n">
        <v>0.01341371790844819</v>
      </c>
      <c r="AT226" s="3" t="n">
        <v>0.01394517918237285</v>
      </c>
      <c r="AU226" s="3" t="n">
        <v>0.01448965774257717</v>
      </c>
      <c r="AV226" s="3" t="n">
        <v>0.01504397163887131</v>
      </c>
      <c r="AW226" s="3" t="n">
        <v>0.01561134667012196</v>
      </c>
      <c r="AX226" s="3" t="n">
        <v>0.01619731398030863</v>
      </c>
      <c r="AY226" s="3" t="n">
        <v>0.016801942467246</v>
      </c>
      <c r="AZ226" s="3" t="n">
        <v>0.01742579459782704</v>
      </c>
      <c r="BA226" s="3" t="n">
        <v>0.0180695549081372</v>
      </c>
      <c r="BC226" s="20" t="inlineStr">
        <is>
          <t>egy.mit.acc.cost.all.die.4</t>
        </is>
      </c>
      <c r="BD226" s="3" t="n">
        <v>0.01333492530938054</v>
      </c>
      <c r="BE226" s="3" t="n">
        <v>0.009840154401114437</v>
      </c>
      <c r="BF226" s="3" t="n">
        <v>0.008827210898690301</v>
      </c>
      <c r="BG226" s="3" t="n">
        <v>0.00803374476867535</v>
      </c>
      <c r="BH226" s="3" t="n">
        <v>0.009068660250368479</v>
      </c>
      <c r="BI226" s="3" t="n">
        <v>0.009504828057789311</v>
      </c>
      <c r="BJ226" s="3" t="n">
        <v>0.01054094655198787</v>
      </c>
      <c r="BK226" s="3" t="n">
        <v>0.01158177314956723</v>
      </c>
      <c r="BL226" s="3" t="n">
        <v>0.01261718370048373</v>
      </c>
      <c r="BM226" s="3" t="n">
        <v>0.01313386782693676</v>
      </c>
      <c r="BN226" s="3" t="n">
        <v>0.0139714375070905</v>
      </c>
      <c r="BO226" s="3" t="n">
        <v>0.01486701709700319</v>
      </c>
      <c r="BP226" s="3" t="n">
        <v>0.01582987871958361</v>
      </c>
      <c r="BQ226" s="3" t="n">
        <v>0.01685613923670106</v>
      </c>
      <c r="BR226" s="3" t="n">
        <v>0.01794464387252544</v>
      </c>
      <c r="BS226" s="3" t="n">
        <v>0.01910060025169386</v>
      </c>
      <c r="BT226" s="3" t="n">
        <v>0.02033019304183357</v>
      </c>
      <c r="BU226" s="3" t="n">
        <v>0.02163436590426882</v>
      </c>
      <c r="BV226" s="3" t="n">
        <v>0.02301453305304844</v>
      </c>
      <c r="BW226" s="3" t="n">
        <v>0.02447260755820459</v>
      </c>
      <c r="BY226" s="20" t="inlineStr">
        <is>
          <t>egy.mit.acc.cost.all.die.5</t>
        </is>
      </c>
      <c r="BZ226" s="3" t="n">
        <v>0.01333492530938054</v>
      </c>
      <c r="CA226" s="3" t="n">
        <v>0.009840154401114437</v>
      </c>
      <c r="CB226" s="3" t="n">
        <v>0.008827210898690301</v>
      </c>
      <c r="CC226" s="3" t="n">
        <v>0.00803374476867535</v>
      </c>
      <c r="CD226" s="3" t="n">
        <v>0.009068660250533435</v>
      </c>
      <c r="CE226" s="3" t="n">
        <v>0.009747340699026176</v>
      </c>
      <c r="CF226" s="3" t="n">
        <v>0.01065066438864891</v>
      </c>
      <c r="CG226" s="3" t="n">
        <v>0.01150790110227233</v>
      </c>
      <c r="CH226" s="3" t="n">
        <v>0.01230933493057847</v>
      </c>
      <c r="CI226" s="3" t="n">
        <v>0.01255301426216776</v>
      </c>
      <c r="CJ226" s="3" t="n">
        <v>0.01307143203975667</v>
      </c>
      <c r="CK226" s="3" t="n">
        <v>0.01360378557495838</v>
      </c>
      <c r="CL226" s="3" t="n">
        <v>0.01415568394693527</v>
      </c>
      <c r="CM226" s="3" t="n">
        <v>0.01472105822925574</v>
      </c>
      <c r="CN226" s="3" t="n">
        <v>0.01529671555472239</v>
      </c>
      <c r="CO226" s="3" t="n">
        <v>0.01588608444781303</v>
      </c>
      <c r="CP226" s="3" t="n">
        <v>0.01649446017286015</v>
      </c>
      <c r="CQ226" s="3" t="n">
        <v>0.01712165544449736</v>
      </c>
      <c r="CR226" s="3" t="n">
        <v>0.01776823110694628</v>
      </c>
      <c r="CS226" s="3" t="n">
        <v>0.0184347321379674</v>
      </c>
      <c r="CU226" s="20" t="inlineStr">
        <is>
          <t>egy.mit.acc.cost.all.die.6</t>
        </is>
      </c>
      <c r="CV226" s="3" t="n">
        <v>0.01333492530938054</v>
      </c>
      <c r="CW226" s="3" t="n">
        <v>0.009840154401114437</v>
      </c>
      <c r="CX226" s="3" t="n">
        <v>0.008827210898690301</v>
      </c>
      <c r="CY226" s="3" t="n">
        <v>0.00803374476867535</v>
      </c>
      <c r="CZ226" s="3" t="n">
        <v>0.009068660250299584</v>
      </c>
      <c r="DA226" s="3" t="n">
        <v>0.01004991905260417</v>
      </c>
      <c r="DB226" s="3" t="n">
        <v>0.0110552589225145</v>
      </c>
      <c r="DC226" s="3" t="n">
        <v>0.01201651751808972</v>
      </c>
      <c r="DD226" s="3" t="n">
        <v>0.01292431882802243</v>
      </c>
      <c r="DE226" s="3" t="n">
        <v>0.01324392901637286</v>
      </c>
      <c r="DF226" s="3" t="n">
        <v>0.01385218549987514</v>
      </c>
      <c r="DG226" s="3" t="n">
        <v>0.01447395358723576</v>
      </c>
      <c r="DH226" s="3" t="n">
        <v>0.0151171284258424</v>
      </c>
      <c r="DI226" s="3" t="n">
        <v>0.01577605876097029</v>
      </c>
      <c r="DJ226" s="3" t="n">
        <v>0.01644643102093231</v>
      </c>
      <c r="DK226" s="3" t="n">
        <v>0.01713131068393596</v>
      </c>
      <c r="DL226" s="3" t="n">
        <v>0.01783797702176847</v>
      </c>
      <c r="DM226" s="3" t="n">
        <v>0.01856547143689943</v>
      </c>
      <c r="DN226" s="3" t="n">
        <v>0.01931451609829654</v>
      </c>
      <c r="DO226" s="3" t="n">
        <v>0.02008469372431311</v>
      </c>
    </row>
    <row r="227">
      <c r="A227" s="19" t="inlineStr">
        <is>
          <t>mit.con.cost.all.die</t>
        </is>
      </c>
      <c r="B227" s="3" t="inlineStr">
        <is>
          <t>mit</t>
        </is>
      </c>
      <c r="C227" s="19" t="inlineStr">
        <is>
          <t>mit.con.cost.die.all</t>
        </is>
      </c>
      <c r="H227" s="3" t="inlineStr">
        <is>
          <t>Efficient price: congestion cost per litre (scenario) | All sectors | Diesel</t>
        </is>
      </c>
      <c r="I227" s="3" t="inlineStr">
        <is>
          <t>USD/l</t>
        </is>
      </c>
      <c r="K227" s="20" t="inlineStr">
        <is>
          <t>egy.mit.con.cost.all.die.1</t>
        </is>
      </c>
      <c r="L227" s="3" t="n">
        <v>0.01131060816583276</v>
      </c>
      <c r="M227" s="3" t="n">
        <v>0.01083693386625122</v>
      </c>
      <c r="N227" s="3" t="n">
        <v>0.01048722269513582</v>
      </c>
      <c r="O227" s="3" t="n">
        <v>0.01117642985710453</v>
      </c>
      <c r="P227" s="3" t="n">
        <v>0.01189783423661164</v>
      </c>
      <c r="Q227" s="3" t="n">
        <v>0.01283286280854085</v>
      </c>
      <c r="R227" s="3" t="n">
        <v>0.01397964181544696</v>
      </c>
      <c r="S227" s="3" t="n">
        <v>0.01517263430610851</v>
      </c>
      <c r="T227" s="3" t="n">
        <v>0.0163882399302563</v>
      </c>
      <c r="U227" s="3" t="n">
        <v>0.017691818483995</v>
      </c>
      <c r="V227" s="3" t="n">
        <v>0.01908760935097176</v>
      </c>
      <c r="W227" s="3" t="n">
        <v>0.02058051081919677</v>
      </c>
      <c r="X227" s="3" t="n">
        <v>0.02217905624416659</v>
      </c>
      <c r="Y227" s="3" t="n">
        <v>0.02388062677492957</v>
      </c>
      <c r="Z227" s="3" t="n">
        <v>0.0256854461587735</v>
      </c>
      <c r="AA227" s="3" t="n">
        <v>0.02760411389642259</v>
      </c>
      <c r="AB227" s="3" t="n">
        <v>0.02965345398730007</v>
      </c>
      <c r="AC227" s="3" t="n">
        <v>0.03184098207609698</v>
      </c>
      <c r="AD227" s="3" t="n">
        <v>0.03417337119099446</v>
      </c>
      <c r="AE227" s="3" t="n">
        <v>0.03665814637851524</v>
      </c>
      <c r="AG227" s="20" t="inlineStr">
        <is>
          <t>egy.mit.con.cost.all.die.3</t>
        </is>
      </c>
      <c r="AH227" s="3" t="n">
        <v>0.01131060816583276</v>
      </c>
      <c r="AI227" s="3" t="n">
        <v>0.01083693386625122</v>
      </c>
      <c r="AJ227" s="3" t="n">
        <v>0.01048722269513582</v>
      </c>
      <c r="AK227" s="3" t="n">
        <v>0.01117642985710453</v>
      </c>
      <c r="AL227" s="3" t="n">
        <v>0.01189783423670213</v>
      </c>
      <c r="AM227" s="3" t="n">
        <v>0.01328156204006519</v>
      </c>
      <c r="AN227" s="3" t="n">
        <v>0.01455943886268065</v>
      </c>
      <c r="AO227" s="3" t="n">
        <v>0.01589160552934023</v>
      </c>
      <c r="AP227" s="3" t="n">
        <v>0.01725522809389128</v>
      </c>
      <c r="AQ227" s="3" t="n">
        <v>0.01871490886254454</v>
      </c>
      <c r="AR227" s="3" t="n">
        <v>0.02027867559852817</v>
      </c>
      <c r="AS227" s="3" t="n">
        <v>0.02195051713009673</v>
      </c>
      <c r="AT227" s="3" t="n">
        <v>0.02374302683208377</v>
      </c>
      <c r="AU227" s="3" t="n">
        <v>0.02565423838011326</v>
      </c>
      <c r="AV227" s="3" t="n">
        <v>0.02768366839465137</v>
      </c>
      <c r="AW227" s="3" t="n">
        <v>0.02984258691423623</v>
      </c>
      <c r="AX227" s="3" t="n">
        <v>0.03215117125680601</v>
      </c>
      <c r="AY227" s="3" t="n">
        <v>0.03461668088764101</v>
      </c>
      <c r="AZ227" s="3" t="n">
        <v>0.03724662810171363</v>
      </c>
      <c r="BA227" s="3" t="n">
        <v>0.04004764256305641</v>
      </c>
      <c r="BC227" s="20" t="inlineStr">
        <is>
          <t>egy.mit.con.cost.all.die.4</t>
        </is>
      </c>
      <c r="BD227" s="3" t="n">
        <v>0.01131060816583276</v>
      </c>
      <c r="BE227" s="3" t="n">
        <v>0.01083693386625122</v>
      </c>
      <c r="BF227" s="3" t="n">
        <v>0.01048722269513582</v>
      </c>
      <c r="BG227" s="3" t="n">
        <v>0.01117642985710453</v>
      </c>
      <c r="BH227" s="3" t="n">
        <v>0.01189783423691332</v>
      </c>
      <c r="BI227" s="3" t="n">
        <v>0.0130454688800671</v>
      </c>
      <c r="BJ227" s="3" t="n">
        <v>0.0145355260639527</v>
      </c>
      <c r="BK227" s="3" t="n">
        <v>0.01615463715441992</v>
      </c>
      <c r="BL227" s="3" t="n">
        <v>0.01788564225509851</v>
      </c>
      <c r="BM227" s="3" t="n">
        <v>0.01982153008877065</v>
      </c>
      <c r="BN227" s="3" t="n">
        <v>0.02196244853751562</v>
      </c>
      <c r="BO227" s="3" t="n">
        <v>0.02432872941629969</v>
      </c>
      <c r="BP227" s="3" t="n">
        <v>0.02695191150091431</v>
      </c>
      <c r="BQ227" s="3" t="n">
        <v>0.02984414275542412</v>
      </c>
      <c r="BR227" s="3" t="n">
        <v>0.03302143757992208</v>
      </c>
      <c r="BS227" s="3" t="n">
        <v>0.03651262989477916</v>
      </c>
      <c r="BT227" s="3" t="n">
        <v>0.04035480938176283</v>
      </c>
      <c r="BU227" s="3" t="n">
        <v>0.04457281901628177</v>
      </c>
      <c r="BV227" s="3" t="n">
        <v>0.04919223331533958</v>
      </c>
      <c r="BW227" s="3" t="n">
        <v>0.05423875934185732</v>
      </c>
      <c r="BY227" s="20" t="inlineStr">
        <is>
          <t>egy.mit.con.cost.all.die.5</t>
        </is>
      </c>
      <c r="BZ227" s="3" t="n">
        <v>0.01131060816583276</v>
      </c>
      <c r="CA227" s="3" t="n">
        <v>0.01083693386625122</v>
      </c>
      <c r="CB227" s="3" t="n">
        <v>0.01048722269513582</v>
      </c>
      <c r="CC227" s="3" t="n">
        <v>0.01117642985710453</v>
      </c>
      <c r="CD227" s="3" t="n">
        <v>0.01189783423712974</v>
      </c>
      <c r="CE227" s="3" t="n">
        <v>0.01337831983697481</v>
      </c>
      <c r="CF227" s="3" t="n">
        <v>0.01468682238887014</v>
      </c>
      <c r="CG227" s="3" t="n">
        <v>0.01605159799931888</v>
      </c>
      <c r="CH227" s="3" t="n">
        <v>0.01744924748603555</v>
      </c>
      <c r="CI227" s="3" t="n">
        <v>0.01894491045448248</v>
      </c>
      <c r="CJ227" s="3" t="n">
        <v>0.02054768189308332</v>
      </c>
      <c r="CK227" s="3" t="n">
        <v>0.02226154824004588</v>
      </c>
      <c r="CL227" s="3" t="n">
        <v>0.02410143171221644</v>
      </c>
      <c r="CM227" s="3" t="n">
        <v>0.02606393772236082</v>
      </c>
      <c r="CN227" s="3" t="n">
        <v>0.02814876357849951</v>
      </c>
      <c r="CO227" s="3" t="n">
        <v>0.03036777453466499</v>
      </c>
      <c r="CP227" s="3" t="n">
        <v>0.03274099733146544</v>
      </c>
      <c r="CQ227" s="3" t="n">
        <v>0.03527537866206339</v>
      </c>
      <c r="CR227" s="3" t="n">
        <v>0.03797856633454486</v>
      </c>
      <c r="CS227" s="3" t="n">
        <v>0.04085698663637508</v>
      </c>
      <c r="CU227" s="20" t="inlineStr">
        <is>
          <t>egy.mit.con.cost.all.die.6</t>
        </is>
      </c>
      <c r="CV227" s="3" t="n">
        <v>0.01131060816583276</v>
      </c>
      <c r="CW227" s="3" t="n">
        <v>0.01083693386625122</v>
      </c>
      <c r="CX227" s="3" t="n">
        <v>0.01048722269513582</v>
      </c>
      <c r="CY227" s="3" t="n">
        <v>0.01117642985710453</v>
      </c>
      <c r="CZ227" s="3" t="n">
        <v>0.01189783423682294</v>
      </c>
      <c r="DA227" s="3" t="n">
        <v>0.01379361156780721</v>
      </c>
      <c r="DB227" s="3" t="n">
        <v>0.01524474139200057</v>
      </c>
      <c r="DC227" s="3" t="n">
        <v>0.01676103286237511</v>
      </c>
      <c r="DD227" s="3" t="n">
        <v>0.0183210253917426</v>
      </c>
      <c r="DE227" s="3" t="n">
        <v>0.01998763357075783</v>
      </c>
      <c r="DF227" s="3" t="n">
        <v>0.02177498994063656</v>
      </c>
      <c r="DG227" s="3" t="n">
        <v>0.02368551123001803</v>
      </c>
      <c r="DH227" s="3" t="n">
        <v>0.02573838465213317</v>
      </c>
      <c r="DI227" s="3" t="n">
        <v>0.02793183795938448</v>
      </c>
      <c r="DJ227" s="3" t="n">
        <v>0.03026445100990344</v>
      </c>
      <c r="DK227" s="3" t="n">
        <v>0.03274814395215454</v>
      </c>
      <c r="DL227" s="3" t="n">
        <v>0.03540783705243212</v>
      </c>
      <c r="DM227" s="3" t="n">
        <v>0.03825004171467695</v>
      </c>
      <c r="DN227" s="3" t="n">
        <v>0.0412836610714739</v>
      </c>
      <c r="DO227" s="3" t="n">
        <v>0.04451380453746186</v>
      </c>
    </row>
    <row r="228">
      <c r="A228" s="19" t="inlineStr">
        <is>
          <t>mit.rdm.cost.all.die</t>
        </is>
      </c>
      <c r="B228" s="3" t="inlineStr">
        <is>
          <t>mit</t>
        </is>
      </c>
      <c r="C228" s="19" t="inlineStr">
        <is>
          <t>mit.rdm.cost.die.all</t>
        </is>
      </c>
      <c r="H228" s="3" t="inlineStr">
        <is>
          <t>Efficient price: road damage cost per litre of diesel (scenario) | All sectors | Diesel</t>
        </is>
      </c>
      <c r="I228" s="3" t="inlineStr">
        <is>
          <t>USD/l</t>
        </is>
      </c>
      <c r="K228" s="20" t="inlineStr">
        <is>
          <t>egy.mit.rdm.cost.all.die.1</t>
        </is>
      </c>
      <c r="L228" s="3" t="n">
        <v>0.1482030229825683</v>
      </c>
      <c r="M228" s="3" t="n">
        <v>0.140804833298682</v>
      </c>
      <c r="N228" s="3" t="n">
        <v>0.1357942719546926</v>
      </c>
      <c r="O228" s="3" t="n">
        <v>0.13481695309124</v>
      </c>
      <c r="P228" s="3" t="n">
        <v>0.1347467971457631</v>
      </c>
      <c r="Q228" s="3" t="n">
        <v>0.1353479789799577</v>
      </c>
      <c r="R228" s="3" t="n">
        <v>0.1360440054023598</v>
      </c>
      <c r="S228" s="3" t="n">
        <v>0.1367784276613949</v>
      </c>
      <c r="T228" s="3" t="n">
        <v>0.1375439606070316</v>
      </c>
      <c r="U228" s="3" t="n">
        <v>0.1383552803729082</v>
      </c>
      <c r="V228" s="3" t="n">
        <v>0.1392103489466334</v>
      </c>
      <c r="W228" s="3" t="n">
        <v>0.1401065411676835</v>
      </c>
      <c r="X228" s="3" t="n">
        <v>0.1410415100200551</v>
      </c>
      <c r="Y228" s="3" t="n">
        <v>0.1420128623746113</v>
      </c>
      <c r="Z228" s="3" t="n">
        <v>0.1430184732241808</v>
      </c>
      <c r="AA228" s="3" t="n">
        <v>0.1440564369996294</v>
      </c>
      <c r="AB228" s="3" t="n">
        <v>0.14512490723868</v>
      </c>
      <c r="AC228" s="3" t="n">
        <v>0.1462221518247348</v>
      </c>
      <c r="AD228" s="3" t="n">
        <v>0.1473465529922342</v>
      </c>
      <c r="AE228" s="3" t="n">
        <v>0.1484966989701439</v>
      </c>
      <c r="AG228" s="20" t="inlineStr">
        <is>
          <t>egy.mit.rdm.cost.all.die.3</t>
        </is>
      </c>
      <c r="AH228" s="3" t="n">
        <v>0.1482030229825683</v>
      </c>
      <c r="AI228" s="3" t="n">
        <v>0.140804833298682</v>
      </c>
      <c r="AJ228" s="3" t="n">
        <v>0.1357942719546926</v>
      </c>
      <c r="AK228" s="3" t="n">
        <v>0.13481695309124</v>
      </c>
      <c r="AL228" s="3" t="n">
        <v>0.1347467971457743</v>
      </c>
      <c r="AM228" s="3" t="n">
        <v>0.1411720258869401</v>
      </c>
      <c r="AN228" s="3" t="n">
        <v>0.1427728766103121</v>
      </c>
      <c r="AO228" s="3" t="n">
        <v>0.1443581439689492</v>
      </c>
      <c r="AP228" s="3" t="n">
        <v>0.1459122306735008</v>
      </c>
      <c r="AQ228" s="3" t="n">
        <v>0.1474707990208532</v>
      </c>
      <c r="AR228" s="3" t="n">
        <v>0.1490238984501481</v>
      </c>
      <c r="AS228" s="3" t="n">
        <v>0.1505831905377835</v>
      </c>
      <c r="AT228" s="3" t="n">
        <v>0.1521470004127029</v>
      </c>
      <c r="AU228" s="3" t="n">
        <v>0.1537103702687691</v>
      </c>
      <c r="AV228" s="3" t="n">
        <v>0.1552763822858847</v>
      </c>
      <c r="AW228" s="3" t="n">
        <v>0.156848175446057</v>
      </c>
      <c r="AX228" s="3" t="n">
        <v>0.1584205344798543</v>
      </c>
      <c r="AY228" s="3" t="n">
        <v>0.1599952747834156</v>
      </c>
      <c r="AZ228" s="3" t="n">
        <v>0.1615708108512631</v>
      </c>
      <c r="BA228" s="3" t="n">
        <v>0.1631502230163937</v>
      </c>
      <c r="BC228" s="20" t="inlineStr">
        <is>
          <t>egy.mit.rdm.cost.all.die.4</t>
        </is>
      </c>
      <c r="BD228" s="3" t="n">
        <v>0.1482030229825683</v>
      </c>
      <c r="BE228" s="3" t="n">
        <v>0.140804833298682</v>
      </c>
      <c r="BF228" s="3" t="n">
        <v>0.1357942719546926</v>
      </c>
      <c r="BG228" s="3" t="n">
        <v>0.13481695309124</v>
      </c>
      <c r="BH228" s="3" t="n">
        <v>0.1347467971458004</v>
      </c>
      <c r="BI228" s="3" t="n">
        <v>0.1381512000030617</v>
      </c>
      <c r="BJ228" s="3" t="n">
        <v>0.1427119233330217</v>
      </c>
      <c r="BK228" s="3" t="n">
        <v>0.1475557798414511</v>
      </c>
      <c r="BL228" s="3" t="n">
        <v>0.1526788511934012</v>
      </c>
      <c r="BM228" s="3" t="n">
        <v>0.1582253413785222</v>
      </c>
      <c r="BN228" s="3" t="n">
        <v>0.1640388203018614</v>
      </c>
      <c r="BO228" s="3" t="n">
        <v>0.1701196948222997</v>
      </c>
      <c r="BP228" s="3" t="n">
        <v>0.1764660846158371</v>
      </c>
      <c r="BQ228" s="3" t="n">
        <v>0.1830616659119165</v>
      </c>
      <c r="BR228" s="3" t="n">
        <v>0.189891456974024</v>
      </c>
      <c r="BS228" s="3" t="n">
        <v>0.1969460417242882</v>
      </c>
      <c r="BT228" s="3" t="n">
        <v>0.2042104045923713</v>
      </c>
      <c r="BU228" s="3" t="n">
        <v>0.2116695006729635</v>
      </c>
      <c r="BV228" s="3" t="n">
        <v>0.2193078521217878</v>
      </c>
      <c r="BW228" s="3" t="n">
        <v>0.2271128863199703</v>
      </c>
      <c r="BY228" s="20" t="inlineStr">
        <is>
          <t>egy.mit.rdm.cost.all.die.5</t>
        </is>
      </c>
      <c r="BZ228" s="3" t="n">
        <v>0.1482030229825683</v>
      </c>
      <c r="CA228" s="3" t="n">
        <v>0.140804833298682</v>
      </c>
      <c r="CB228" s="3" t="n">
        <v>0.1357942719546926</v>
      </c>
      <c r="CC228" s="3" t="n">
        <v>0.13481695309124</v>
      </c>
      <c r="CD228" s="3" t="n">
        <v>0.1347467971458272</v>
      </c>
      <c r="CE228" s="3" t="n">
        <v>0.1424463299350533</v>
      </c>
      <c r="CF228" s="3" t="n">
        <v>0.1442675190880716</v>
      </c>
      <c r="CG228" s="3" t="n">
        <v>0.1460585852741458</v>
      </c>
      <c r="CH228" s="3" t="n">
        <v>0.1478065453450813</v>
      </c>
      <c r="CI228" s="3" t="n">
        <v>0.1495477056743257</v>
      </c>
      <c r="CJ228" s="3" t="n">
        <v>0.1512706915575591</v>
      </c>
      <c r="CK228" s="3" t="n">
        <v>0.1529905175482517</v>
      </c>
      <c r="CL228" s="3" t="n">
        <v>0.1547031822327</v>
      </c>
      <c r="CM228" s="3" t="n">
        <v>0.1564073330729285</v>
      </c>
      <c r="CN228" s="3" t="n">
        <v>0.1581060933579057</v>
      </c>
      <c r="CO228" s="3" t="n">
        <v>0.1598027106309571</v>
      </c>
      <c r="CP228" s="3" t="n">
        <v>0.1614935777804281</v>
      </c>
      <c r="CQ228" s="3" t="n">
        <v>0.1631817507570403</v>
      </c>
      <c r="CR228" s="3" t="n">
        <v>0.1648659121003634</v>
      </c>
      <c r="CS228" s="3" t="n">
        <v>0.1665501844401702</v>
      </c>
      <c r="CU228" s="20" t="inlineStr">
        <is>
          <t>egy.mit.rdm.cost.all.die.6</t>
        </is>
      </c>
      <c r="CV228" s="3" t="n">
        <v>0.1482030229825683</v>
      </c>
      <c r="CW228" s="3" t="n">
        <v>0.140804833298682</v>
      </c>
      <c r="CX228" s="3" t="n">
        <v>0.1357942719546926</v>
      </c>
      <c r="CY228" s="3" t="n">
        <v>0.13481695309124</v>
      </c>
      <c r="CZ228" s="3" t="n">
        <v>0.1347467971457892</v>
      </c>
      <c r="DA228" s="3" t="n">
        <v>0.1479993408797582</v>
      </c>
      <c r="DB228" s="3" t="n">
        <v>0.1508872375755213</v>
      </c>
      <c r="DC228" s="3" t="n">
        <v>0.1536798826146956</v>
      </c>
      <c r="DD228" s="3" t="n">
        <v>0.1563556584562405</v>
      </c>
      <c r="DE228" s="3" t="n">
        <v>0.1589733148303184</v>
      </c>
      <c r="DF228" s="3" t="n">
        <v>0.1615154283964093</v>
      </c>
      <c r="DG228" s="3" t="n">
        <v>0.164012034159833</v>
      </c>
      <c r="DH228" s="3" t="n">
        <v>0.1664628972305672</v>
      </c>
      <c r="DI228" s="3" t="n">
        <v>0.1688621947799185</v>
      </c>
      <c r="DJ228" s="3" t="n">
        <v>0.1712186379534417</v>
      </c>
      <c r="DK228" s="3" t="n">
        <v>0.1735419919898279</v>
      </c>
      <c r="DL228" s="3" t="n">
        <v>0.1758242328518672</v>
      </c>
      <c r="DM228" s="3" t="n">
        <v>0.1780719372080556</v>
      </c>
      <c r="DN228" s="3" t="n">
        <v>0.180283756003588</v>
      </c>
      <c r="DO228" s="3" t="n">
        <v>0.1824682592942054</v>
      </c>
    </row>
    <row r="229">
      <c r="A229" s="19" t="inlineStr">
        <is>
          <t>mit.scc.cost.all.die</t>
        </is>
      </c>
      <c r="B229" s="3" t="inlineStr">
        <is>
          <t>mit</t>
        </is>
      </c>
      <c r="C229" s="19" t="inlineStr">
        <is>
          <t>mit.scc.cost.die.all</t>
        </is>
      </c>
      <c r="H229" s="3" t="inlineStr">
        <is>
          <t>Efficient price: climate damage (national SCC) | All sectors | Diesel</t>
        </is>
      </c>
      <c r="I229" s="3" t="inlineStr">
        <is>
          <t>USD per price unit</t>
        </is>
      </c>
      <c r="K229" s="20" t="inlineStr">
        <is>
          <t>egy.mit.scc.cost.all.die.1</t>
        </is>
      </c>
      <c r="L229" s="3" t="n">
        <v>0.1473702236594491</v>
      </c>
      <c r="M229" s="3" t="n">
        <v>0.1532650326058271</v>
      </c>
      <c r="N229" s="3" t="n">
        <v>0.1593956339100602</v>
      </c>
      <c r="O229" s="3" t="n">
        <v>0.1657714592664626</v>
      </c>
      <c r="P229" s="3" t="n">
        <v>0.172402317637121</v>
      </c>
      <c r="Q229" s="3" t="n">
        <v>0.1792984103426059</v>
      </c>
      <c r="R229" s="3" t="n">
        <v>0.1864703467563101</v>
      </c>
      <c r="S229" s="3" t="n">
        <v>0.1939291606265626</v>
      </c>
      <c r="T229" s="3" t="n">
        <v>0.2016863270516251</v>
      </c>
      <c r="U229" s="3" t="n">
        <v>0.2097537801336901</v>
      </c>
      <c r="V229" s="3" t="n">
        <v>0.2181439313390377</v>
      </c>
      <c r="W229" s="3" t="n">
        <v>0.2268696885925992</v>
      </c>
      <c r="X229" s="3" t="n">
        <v>0.2359444761363032</v>
      </c>
      <c r="Y229" s="3" t="n">
        <v>0.2453822551817553</v>
      </c>
      <c r="Z229" s="3" t="n">
        <v>0.2551975453890256</v>
      </c>
      <c r="AA229" s="3" t="n">
        <v>0.2654054472045866</v>
      </c>
      <c r="AB229" s="3" t="n">
        <v>0.27602166509277</v>
      </c>
      <c r="AC229" s="3" t="n">
        <v>0.2870625316964808</v>
      </c>
      <c r="AD229" s="3" t="n">
        <v>0.2985450329643402</v>
      </c>
      <c r="AE229" s="3" t="n">
        <v>0.3104868342829137</v>
      </c>
      <c r="AG229" s="20" t="inlineStr">
        <is>
          <t>egy.mit.scc.cost.all.die.3</t>
        </is>
      </c>
      <c r="AH229" s="3" t="n">
        <v>0.1473702236594491</v>
      </c>
      <c r="AI229" s="3" t="n">
        <v>0.1532650326058271</v>
      </c>
      <c r="AJ229" s="3" t="n">
        <v>0.1593956339100602</v>
      </c>
      <c r="AK229" s="3" t="n">
        <v>0.1657714592664626</v>
      </c>
      <c r="AL229" s="3" t="n">
        <v>0.172402317637121</v>
      </c>
      <c r="AM229" s="3" t="n">
        <v>0.1792984103426059</v>
      </c>
      <c r="AN229" s="3" t="n">
        <v>0.1864703467563101</v>
      </c>
      <c r="AO229" s="3" t="n">
        <v>0.1939291606265626</v>
      </c>
      <c r="AP229" s="3" t="n">
        <v>0.2016863270516251</v>
      </c>
      <c r="AQ229" s="3" t="n">
        <v>0.2097537801336901</v>
      </c>
      <c r="AR229" s="3" t="n">
        <v>0.2181439313390377</v>
      </c>
      <c r="AS229" s="3" t="n">
        <v>0.2268696885925992</v>
      </c>
      <c r="AT229" s="3" t="n">
        <v>0.2359444761363032</v>
      </c>
      <c r="AU229" s="3" t="n">
        <v>0.2453822551817553</v>
      </c>
      <c r="AV229" s="3" t="n">
        <v>0.2551975453890256</v>
      </c>
      <c r="AW229" s="3" t="n">
        <v>0.2654054472045866</v>
      </c>
      <c r="AX229" s="3" t="n">
        <v>0.27602166509277</v>
      </c>
      <c r="AY229" s="3" t="n">
        <v>0.2870625316964808</v>
      </c>
      <c r="AZ229" s="3" t="n">
        <v>0.2985450329643402</v>
      </c>
      <c r="BA229" s="3" t="n">
        <v>0.3104868342829137</v>
      </c>
      <c r="BC229" s="20" t="inlineStr">
        <is>
          <t>egy.mit.scc.cost.all.die.4</t>
        </is>
      </c>
      <c r="BD229" s="3" t="n">
        <v>0.1473702236594491</v>
      </c>
      <c r="BE229" s="3" t="n">
        <v>0.1532650326058271</v>
      </c>
      <c r="BF229" s="3" t="n">
        <v>0.1593956339100602</v>
      </c>
      <c r="BG229" s="3" t="n">
        <v>0.1657714592664626</v>
      </c>
      <c r="BH229" s="3" t="n">
        <v>0.172402317637121</v>
      </c>
      <c r="BI229" s="3" t="n">
        <v>0.1792984103426059</v>
      </c>
      <c r="BJ229" s="3" t="n">
        <v>0.1864703467563101</v>
      </c>
      <c r="BK229" s="3" t="n">
        <v>0.1939291606265626</v>
      </c>
      <c r="BL229" s="3" t="n">
        <v>0.2016863270516251</v>
      </c>
      <c r="BM229" s="3" t="n">
        <v>0.2097537801336901</v>
      </c>
      <c r="BN229" s="3" t="n">
        <v>0.2181439313390377</v>
      </c>
      <c r="BO229" s="3" t="n">
        <v>0.2268696885925992</v>
      </c>
      <c r="BP229" s="3" t="n">
        <v>0.2359444761363032</v>
      </c>
      <c r="BQ229" s="3" t="n">
        <v>0.2453822551817553</v>
      </c>
      <c r="BR229" s="3" t="n">
        <v>0.2551975453890256</v>
      </c>
      <c r="BS229" s="3" t="n">
        <v>0.2654054472045866</v>
      </c>
      <c r="BT229" s="3" t="n">
        <v>0.27602166509277</v>
      </c>
      <c r="BU229" s="3" t="n">
        <v>0.2870625316964808</v>
      </c>
      <c r="BV229" s="3" t="n">
        <v>0.2985450329643402</v>
      </c>
      <c r="BW229" s="3" t="n">
        <v>0.3104868342829137</v>
      </c>
      <c r="BY229" s="20" t="inlineStr">
        <is>
          <t>egy.mit.scc.cost.all.die.5</t>
        </is>
      </c>
      <c r="BZ229" s="3" t="n">
        <v>0.1473702236594491</v>
      </c>
      <c r="CA229" s="3" t="n">
        <v>0.1532650326058271</v>
      </c>
      <c r="CB229" s="3" t="n">
        <v>0.1593956339100602</v>
      </c>
      <c r="CC229" s="3" t="n">
        <v>0.1657714592664626</v>
      </c>
      <c r="CD229" s="3" t="n">
        <v>0.172402317637121</v>
      </c>
      <c r="CE229" s="3" t="n">
        <v>0.1792984103426059</v>
      </c>
      <c r="CF229" s="3" t="n">
        <v>0.1864703467563101</v>
      </c>
      <c r="CG229" s="3" t="n">
        <v>0.1939291606265626</v>
      </c>
      <c r="CH229" s="3" t="n">
        <v>0.2016863270516251</v>
      </c>
      <c r="CI229" s="3" t="n">
        <v>0.2097537801336901</v>
      </c>
      <c r="CJ229" s="3" t="n">
        <v>0.2181439313390377</v>
      </c>
      <c r="CK229" s="3" t="n">
        <v>0.2268696885925992</v>
      </c>
      <c r="CL229" s="3" t="n">
        <v>0.2359444761363032</v>
      </c>
      <c r="CM229" s="3" t="n">
        <v>0.2453822551817553</v>
      </c>
      <c r="CN229" s="3" t="n">
        <v>0.2551975453890256</v>
      </c>
      <c r="CO229" s="3" t="n">
        <v>0.2654054472045866</v>
      </c>
      <c r="CP229" s="3" t="n">
        <v>0.27602166509277</v>
      </c>
      <c r="CQ229" s="3" t="n">
        <v>0.2870625316964808</v>
      </c>
      <c r="CR229" s="3" t="n">
        <v>0.2985450329643402</v>
      </c>
      <c r="CS229" s="3" t="n">
        <v>0.3104868342829137</v>
      </c>
      <c r="CU229" s="20" t="inlineStr">
        <is>
          <t>egy.mit.scc.cost.all.die.6</t>
        </is>
      </c>
      <c r="CV229" s="3" t="n">
        <v>0.1473702236594491</v>
      </c>
      <c r="CW229" s="3" t="n">
        <v>0.1532650326058271</v>
      </c>
      <c r="CX229" s="3" t="n">
        <v>0.1593956339100602</v>
      </c>
      <c r="CY229" s="3" t="n">
        <v>0.1657714592664626</v>
      </c>
      <c r="CZ229" s="3" t="n">
        <v>0.172402317637121</v>
      </c>
      <c r="DA229" s="3" t="n">
        <v>0.1792984103426059</v>
      </c>
      <c r="DB229" s="3" t="n">
        <v>0.1864703467563101</v>
      </c>
      <c r="DC229" s="3" t="n">
        <v>0.1939291606265626</v>
      </c>
      <c r="DD229" s="3" t="n">
        <v>0.2016863270516251</v>
      </c>
      <c r="DE229" s="3" t="n">
        <v>0.2097537801336901</v>
      </c>
      <c r="DF229" s="3" t="n">
        <v>0.2181439313390377</v>
      </c>
      <c r="DG229" s="3" t="n">
        <v>0.2268696885925992</v>
      </c>
      <c r="DH229" s="3" t="n">
        <v>0.2359444761363032</v>
      </c>
      <c r="DI229" s="3" t="n">
        <v>0.2453822551817553</v>
      </c>
      <c r="DJ229" s="3" t="n">
        <v>0.2551975453890256</v>
      </c>
      <c r="DK229" s="3" t="n">
        <v>0.2654054472045866</v>
      </c>
      <c r="DL229" s="3" t="n">
        <v>0.27602166509277</v>
      </c>
      <c r="DM229" s="3" t="n">
        <v>0.2870625316964808</v>
      </c>
      <c r="DN229" s="3" t="n">
        <v>0.2985450329643402</v>
      </c>
      <c r="DO229" s="3" t="n">
        <v>0.3104868342829137</v>
      </c>
    </row>
    <row r="230">
      <c r="A230" s="19" t="inlineStr">
        <is>
          <t>mit.vat.cost.all.die</t>
        </is>
      </c>
      <c r="B230" s="3" t="inlineStr">
        <is>
          <t>mit</t>
        </is>
      </c>
      <c r="C230" s="19" t="inlineStr">
        <is>
          <t>mit.vat.cost.die.all</t>
        </is>
      </c>
      <c r="H230" s="3" t="inlineStr">
        <is>
          <t>Efficient price: potential VAT | All sectors | Diesel</t>
        </is>
      </c>
      <c r="I230" s="3" t="inlineStr">
        <is>
          <t>USD per price unit</t>
        </is>
      </c>
      <c r="K230" s="20" t="inlineStr">
        <is>
          <t>egy.mit.vat.cost.all.die.1</t>
        </is>
      </c>
      <c r="L230" s="3" t="n">
        <v>0.2178499746730375</v>
      </c>
      <c r="M230" s="3" t="n">
        <v>0.1878139250571488</v>
      </c>
      <c r="N230" s="3" t="n">
        <v>0.1757807185252175</v>
      </c>
      <c r="O230" s="3" t="n">
        <v>0.1550350613810062</v>
      </c>
      <c r="P230" s="3" t="n">
        <v>0.1688965981064718</v>
      </c>
      <c r="Q230" s="3" t="n">
        <v>0.1599013237312181</v>
      </c>
      <c r="R230" s="3" t="n">
        <v>0.1599848286910391</v>
      </c>
      <c r="S230" s="3" t="n">
        <v>0.1615098599439579</v>
      </c>
      <c r="T230" s="3" t="n">
        <v>0.1631569646478888</v>
      </c>
      <c r="U230" s="3" t="n">
        <v>0.1636640649475349</v>
      </c>
      <c r="V230" s="3" t="n">
        <v>0.1662160596630435</v>
      </c>
      <c r="W230" s="3" t="n">
        <v>0.1688686240651109</v>
      </c>
      <c r="X230" s="3" t="n">
        <v>0.1716245655330484</v>
      </c>
      <c r="Y230" s="3" t="n">
        <v>0.1744851661390072</v>
      </c>
      <c r="Z230" s="3" t="n">
        <v>0.1774511458598968</v>
      </c>
      <c r="AA230" s="3" t="n">
        <v>0.1805278823895394</v>
      </c>
      <c r="AB230" s="3" t="n">
        <v>0.1837178869870185</v>
      </c>
      <c r="AC230" s="3" t="n">
        <v>0.1870237150486358</v>
      </c>
      <c r="AD230" s="3" t="n">
        <v>0.1904477339212182</v>
      </c>
      <c r="AE230" s="3" t="n">
        <v>0.192703840665909</v>
      </c>
      <c r="AG230" s="20" t="inlineStr">
        <is>
          <t>egy.mit.vat.cost.all.die.3</t>
        </is>
      </c>
      <c r="AH230" s="3" t="n">
        <v>0.2178499746730375</v>
      </c>
      <c r="AI230" s="3" t="n">
        <v>0.1878139250571488</v>
      </c>
      <c r="AJ230" s="3" t="n">
        <v>0.1757807185252175</v>
      </c>
      <c r="AK230" s="3" t="n">
        <v>0.1550350613810062</v>
      </c>
      <c r="AL230" s="3" t="n">
        <v>0.1688965981064957</v>
      </c>
      <c r="AM230" s="3" t="n">
        <v>0.1607049614001494</v>
      </c>
      <c r="AN230" s="3" t="n">
        <v>0.1609353664773485</v>
      </c>
      <c r="AO230" s="3" t="n">
        <v>0.1626015560088135</v>
      </c>
      <c r="AP230" s="3" t="n">
        <v>0.1643833847662023</v>
      </c>
      <c r="AQ230" s="3" t="n">
        <v>0.1650227982901531</v>
      </c>
      <c r="AR230" s="3" t="n">
        <v>0.1677005188660985</v>
      </c>
      <c r="AS230" s="3" t="n">
        <v>0.1704750296489514</v>
      </c>
      <c r="AT230" s="3" t="n">
        <v>0.1733501771606143</v>
      </c>
      <c r="AU230" s="3" t="n">
        <v>0.1763270655596993</v>
      </c>
      <c r="AV230" s="3" t="n">
        <v>0.1794068640055282</v>
      </c>
      <c r="AW230" s="3" t="n">
        <v>0.1825956891691592</v>
      </c>
      <c r="AX230" s="3" t="n">
        <v>0.185896394749883</v>
      </c>
      <c r="AY230" s="3" t="n">
        <v>0.1893118853891004</v>
      </c>
      <c r="AZ230" s="3" t="n">
        <v>0.1928447232166833</v>
      </c>
      <c r="BA230" s="3" t="n">
        <v>0.1952177123805434</v>
      </c>
      <c r="BC230" s="20" t="inlineStr">
        <is>
          <t>egy.mit.vat.cost.all.die.4</t>
        </is>
      </c>
      <c r="BD230" s="3" t="n">
        <v>0.2178499746730375</v>
      </c>
      <c r="BE230" s="3" t="n">
        <v>0.1878139250571488</v>
      </c>
      <c r="BF230" s="3" t="n">
        <v>0.1757807185252175</v>
      </c>
      <c r="BG230" s="3" t="n">
        <v>0.1550350613810062</v>
      </c>
      <c r="BH230" s="3" t="n">
        <v>0.1688965981065515</v>
      </c>
      <c r="BI230" s="3" t="n">
        <v>0.160362819382596</v>
      </c>
      <c r="BJ230" s="3" t="n">
        <v>0.1610759717002144</v>
      </c>
      <c r="BK230" s="3" t="n">
        <v>0.1632690939056983</v>
      </c>
      <c r="BL230" s="3" t="n">
        <v>0.1656280173151234</v>
      </c>
      <c r="BM230" s="3" t="n">
        <v>0.1668380717923546</v>
      </c>
      <c r="BN230" s="3" t="n">
        <v>0.1701535212111131</v>
      </c>
      <c r="BO230" s="3" t="n">
        <v>0.1736285199300274</v>
      </c>
      <c r="BP230" s="3" t="n">
        <v>0.1772690110001899</v>
      </c>
      <c r="BQ230" s="3" t="n">
        <v>0.1810757241132598</v>
      </c>
      <c r="BR230" s="3" t="n">
        <v>0.1850493165564357</v>
      </c>
      <c r="BS230" s="3" t="n">
        <v>0.1891963612648618</v>
      </c>
      <c r="BT230" s="3" t="n">
        <v>0.1935202963639368</v>
      </c>
      <c r="BU230" s="3" t="n">
        <v>0.1980239850612705</v>
      </c>
      <c r="BV230" s="3" t="n">
        <v>0.2027104367624053</v>
      </c>
      <c r="BW230" s="3" t="n">
        <v>0.2063304386493348</v>
      </c>
      <c r="BY230" s="20" t="inlineStr">
        <is>
          <t>egy.mit.vat.cost.all.die.5</t>
        </is>
      </c>
      <c r="BZ230" s="3" t="n">
        <v>0.2178499746730375</v>
      </c>
      <c r="CA230" s="3" t="n">
        <v>0.1878139250571488</v>
      </c>
      <c r="CB230" s="3" t="n">
        <v>0.1757807185252175</v>
      </c>
      <c r="CC230" s="3" t="n">
        <v>0.1550350613810062</v>
      </c>
      <c r="CD230" s="3" t="n">
        <v>0.1688965981066086</v>
      </c>
      <c r="CE230" s="3" t="n">
        <v>0.1608810917312046</v>
      </c>
      <c r="CF230" s="3" t="n">
        <v>0.1611472977053719</v>
      </c>
      <c r="CG230" s="3" t="n">
        <v>0.16284771903146</v>
      </c>
      <c r="CH230" s="3" t="n">
        <v>0.1646624085165785</v>
      </c>
      <c r="CI230" s="3" t="n">
        <v>0.1653338359975609</v>
      </c>
      <c r="CJ230" s="3" t="n">
        <v>0.16804198558085</v>
      </c>
      <c r="CK230" s="3" t="n">
        <v>0.1708460013930981</v>
      </c>
      <c r="CL230" s="3" t="n">
        <v>0.1737499958725666</v>
      </c>
      <c r="CM230" s="3" t="n">
        <v>0.176755154039177</v>
      </c>
      <c r="CN230" s="3" t="n">
        <v>0.1798626891454693</v>
      </c>
      <c r="CO230" s="3" t="n">
        <v>0.1830788622180927</v>
      </c>
      <c r="CP230" s="3" t="n">
        <v>0.1864066741316173</v>
      </c>
      <c r="CQ230" s="3" t="n">
        <v>0.1898491027592009</v>
      </c>
      <c r="CR230" s="3" t="n">
        <v>0.1934087710532519</v>
      </c>
      <c r="CS230" s="3" t="n">
        <v>0.1958103711132586</v>
      </c>
      <c r="CU230" s="20" t="inlineStr">
        <is>
          <t>egy.mit.vat.cost.all.die.6</t>
        </is>
      </c>
      <c r="CV230" s="3" t="n">
        <v>0.2178499746730375</v>
      </c>
      <c r="CW230" s="3" t="n">
        <v>0.1878139250571488</v>
      </c>
      <c r="CX230" s="3" t="n">
        <v>0.1757807185252175</v>
      </c>
      <c r="CY230" s="3" t="n">
        <v>0.1550350613810062</v>
      </c>
      <c r="CZ230" s="3" t="n">
        <v>0.1688965981065276</v>
      </c>
      <c r="DA230" s="3" t="n">
        <v>0.1616493153233931</v>
      </c>
      <c r="DB230" s="3" t="n">
        <v>0.1620888696888868</v>
      </c>
      <c r="DC230" s="3" t="n">
        <v>0.1639554637668356</v>
      </c>
      <c r="DD230" s="3" t="n">
        <v>0.1659287019796284</v>
      </c>
      <c r="DE230" s="3" t="n">
        <v>0.1667542659401362</v>
      </c>
      <c r="DF230" s="3" t="n">
        <v>0.169609415077584</v>
      </c>
      <c r="DG230" s="3" t="n">
        <v>0.1725557563871773</v>
      </c>
      <c r="DH230" s="3" t="n">
        <v>0.175598882812168</v>
      </c>
      <c r="DI230" s="3" t="n">
        <v>0.1787397927455711</v>
      </c>
      <c r="DJ230" s="3" t="n">
        <v>0.1819800962042729</v>
      </c>
      <c r="DK230" s="3" t="n">
        <v>0.1853268371511672</v>
      </c>
      <c r="DL230" s="3" t="n">
        <v>0.1887835705849081</v>
      </c>
      <c r="DM230" s="3" t="n">
        <v>0.1923535742127328</v>
      </c>
      <c r="DN230" s="3" t="n">
        <v>0.1960397391546461</v>
      </c>
      <c r="DO230" s="3" t="n">
        <v>0.1985748432323299</v>
      </c>
    </row>
    <row r="231">
      <c r="A231" s="19" t="inlineStr">
        <is>
          <t>mit.rp.eff.all.die</t>
        </is>
      </c>
      <c r="B231" s="3" t="inlineStr">
        <is>
          <t>mit</t>
        </is>
      </c>
      <c r="C231" s="19" t="inlineStr">
        <is>
          <t>mit.rp.die.all</t>
        </is>
      </c>
      <c r="H231" s="3" t="inlineStr">
        <is>
          <t>Efficient price block: retail price of the scenario | All sectors | Diesel</t>
        </is>
      </c>
      <c r="I231" s="3" t="inlineStr">
        <is>
          <t>USD per price unit</t>
        </is>
      </c>
      <c r="K231" s="20" t="inlineStr">
        <is>
          <t>egy.mit.rp.eff.all.die.1</t>
        </is>
      </c>
      <c r="L231" s="3" t="n">
        <v>0.418761396876175</v>
      </c>
      <c r="M231" s="3" t="n">
        <v>0.2890067830808795</v>
      </c>
      <c r="N231" s="3" t="n">
        <v>0.2546026708332999</v>
      </c>
      <c r="O231" s="3" t="n">
        <v>0.2546026708332999</v>
      </c>
      <c r="P231" s="3" t="n">
        <v>0.2546026708332998</v>
      </c>
      <c r="Q231" s="3" t="n">
        <v>0.2546026708332998</v>
      </c>
      <c r="R231" s="3" t="n">
        <v>0.2546026708332999</v>
      </c>
      <c r="S231" s="3" t="n">
        <v>0.2546026708332999</v>
      </c>
      <c r="T231" s="3" t="n">
        <v>0.2546026708332998</v>
      </c>
      <c r="U231" s="3" t="n">
        <v>0.2546026708332999</v>
      </c>
      <c r="V231" s="3" t="n">
        <v>0.2546026708332999</v>
      </c>
      <c r="W231" s="3" t="n">
        <v>0.2546026708332999</v>
      </c>
      <c r="X231" s="3" t="n">
        <v>0.2546026708333</v>
      </c>
      <c r="Y231" s="3" t="n">
        <v>0.2546026708333</v>
      </c>
      <c r="Z231" s="3" t="n">
        <v>0.2546026708333</v>
      </c>
      <c r="AA231" s="3" t="n">
        <v>0.2546026708332998</v>
      </c>
      <c r="AB231" s="3" t="n">
        <v>0.2546026708332999</v>
      </c>
      <c r="AC231" s="3" t="n">
        <v>0.2546026708332998</v>
      </c>
      <c r="AD231" s="3" t="n">
        <v>0.2546026708332999</v>
      </c>
      <c r="AE231" s="3" t="n">
        <v>0.2546026708332999</v>
      </c>
      <c r="AG231" s="20" t="inlineStr">
        <is>
          <t>egy.mit.rp.eff.all.die.3</t>
        </is>
      </c>
      <c r="AH231" s="3" t="n">
        <v>0.418761396876175</v>
      </c>
      <c r="AI231" s="3" t="n">
        <v>0.2890067830808795</v>
      </c>
      <c r="AJ231" s="3" t="n">
        <v>0.2546026708332999</v>
      </c>
      <c r="AK231" s="3" t="n">
        <v>0.2546026708332999</v>
      </c>
      <c r="AL231" s="3" t="n">
        <v>0.2546026708332998</v>
      </c>
      <c r="AM231" s="3" t="n">
        <v>0.3075523751699364</v>
      </c>
      <c r="AN231" s="3" t="n">
        <v>0.3075524035860308</v>
      </c>
      <c r="AO231" s="3" t="n">
        <v>0.3075524977843433</v>
      </c>
      <c r="AP231" s="3" t="n">
        <v>0.3075527276017762</v>
      </c>
      <c r="AQ231" s="3" t="n">
        <v>0.3075529403145378</v>
      </c>
      <c r="AR231" s="3" t="n">
        <v>0.3075531837524425</v>
      </c>
      <c r="AS231" s="3" t="n">
        <v>0.3075534136865111</v>
      </c>
      <c r="AT231" s="3" t="n">
        <v>0.3075536448100085</v>
      </c>
      <c r="AU231" s="3" t="n">
        <v>0.307553895787093</v>
      </c>
      <c r="AV231" s="3" t="n">
        <v>0.3075541550378947</v>
      </c>
      <c r="AW231" s="3" t="n">
        <v>0.3075544156127446</v>
      </c>
      <c r="AX231" s="3" t="n">
        <v>0.3075547008905281</v>
      </c>
      <c r="AY231" s="3" t="n">
        <v>0.3075550051415241</v>
      </c>
      <c r="AZ231" s="3" t="n">
        <v>0.307555335725945</v>
      </c>
      <c r="BA231" s="3" t="n">
        <v>0.3075556823329005</v>
      </c>
      <c r="BC231" s="20" t="inlineStr">
        <is>
          <t>egy.mit.rp.eff.all.die.4</t>
        </is>
      </c>
      <c r="BD231" s="3" t="n">
        <v>0.418761396876175</v>
      </c>
      <c r="BE231" s="3" t="n">
        <v>0.2890067830808795</v>
      </c>
      <c r="BF231" s="3" t="n">
        <v>0.2546026708332999</v>
      </c>
      <c r="BG231" s="3" t="n">
        <v>0.2546026708332999</v>
      </c>
      <c r="BH231" s="3" t="n">
        <v>0.2546026708332998</v>
      </c>
      <c r="BI231" s="3" t="n">
        <v>0.2810844608514755</v>
      </c>
      <c r="BJ231" s="3" t="n">
        <v>0.3163779591449253</v>
      </c>
      <c r="BK231" s="3" t="n">
        <v>0.3516560685859372</v>
      </c>
      <c r="BL231" s="3" t="n">
        <v>0.3869211678700947</v>
      </c>
      <c r="BM231" s="3" t="n">
        <v>0.4221710292760255</v>
      </c>
      <c r="BN231" s="3" t="n">
        <v>0.4574104321836409</v>
      </c>
      <c r="BO231" s="3" t="n">
        <v>0.4926407489975044</v>
      </c>
      <c r="BP231" s="3" t="n">
        <v>0.5278630804238086</v>
      </c>
      <c r="BQ231" s="3" t="n">
        <v>0.563078379126597</v>
      </c>
      <c r="BR231" s="3" t="n">
        <v>0.5982874203331683</v>
      </c>
      <c r="BS231" s="3" t="n">
        <v>0.6334908229758472</v>
      </c>
      <c r="BT231" s="3" t="n">
        <v>0.6686891799386854</v>
      </c>
      <c r="BU231" s="3" t="n">
        <v>0.7038829993323045</v>
      </c>
      <c r="BV231" s="3" t="n">
        <v>0.7390727755056756</v>
      </c>
      <c r="BW231" s="3" t="n">
        <v>0.7742589016750971</v>
      </c>
      <c r="BY231" s="20" t="inlineStr">
        <is>
          <t>egy.mit.rp.eff.all.die.5</t>
        </is>
      </c>
      <c r="BZ231" s="3" t="n">
        <v>0.418761396876175</v>
      </c>
      <c r="CA231" s="3" t="n">
        <v>0.2890067830808795</v>
      </c>
      <c r="CB231" s="3" t="n">
        <v>0.2546026708332999</v>
      </c>
      <c r="CC231" s="3" t="n">
        <v>0.2546026708332999</v>
      </c>
      <c r="CD231" s="3" t="n">
        <v>0.2546026708332998</v>
      </c>
      <c r="CE231" s="3" t="n">
        <v>0.3207830342548826</v>
      </c>
      <c r="CF231" s="3" t="n">
        <v>0.3207830695956304</v>
      </c>
      <c r="CG231" s="3" t="n">
        <v>0.320783189097445</v>
      </c>
      <c r="CH231" s="3" t="n">
        <v>0.3207834724541849</v>
      </c>
      <c r="CI231" s="3" t="n">
        <v>0.3207837296077626</v>
      </c>
      <c r="CJ231" s="3" t="n">
        <v>0.3207840339841364</v>
      </c>
      <c r="CK231" s="3" t="n">
        <v>0.3207843173983866</v>
      </c>
      <c r="CL231" s="3" t="n">
        <v>0.3207846162779818</v>
      </c>
      <c r="CM231" s="3" t="n">
        <v>0.3207849370714105</v>
      </c>
      <c r="CN231" s="3" t="n">
        <v>0.3207852681899314</v>
      </c>
      <c r="CO231" s="3" t="n">
        <v>0.320785604516437</v>
      </c>
      <c r="CP231" s="3" t="n">
        <v>0.3207859701609688</v>
      </c>
      <c r="CQ231" s="3" t="n">
        <v>0.3207863544760334</v>
      </c>
      <c r="CR231" s="3" t="n">
        <v>0.3207867678144221</v>
      </c>
      <c r="CS231" s="3" t="n">
        <v>0.3207871946708856</v>
      </c>
      <c r="CU231" s="20" t="inlineStr">
        <is>
          <t>egy.mit.rp.eff.all.die.6</t>
        </is>
      </c>
      <c r="CV231" s="3" t="n">
        <v>0.418761396876175</v>
      </c>
      <c r="CW231" s="3" t="n">
        <v>0.2890067830808795</v>
      </c>
      <c r="CX231" s="3" t="n">
        <v>0.2546026708332999</v>
      </c>
      <c r="CY231" s="3" t="n">
        <v>0.2546026708332999</v>
      </c>
      <c r="CZ231" s="3" t="n">
        <v>0.2546026708332998</v>
      </c>
      <c r="DA231" s="3" t="n">
        <v>0.3869043673963584</v>
      </c>
      <c r="DB231" s="3" t="n">
        <v>0.3869044360431396</v>
      </c>
      <c r="DC231" s="3" t="n">
        <v>0.386904627245143</v>
      </c>
      <c r="DD231" s="3" t="n">
        <v>0.3869052664533097</v>
      </c>
      <c r="DE231" s="3" t="n">
        <v>0.3869057592042602</v>
      </c>
      <c r="DF231" s="3" t="n">
        <v>0.3869063848345614</v>
      </c>
      <c r="DG231" s="3" t="n">
        <v>0.3869068930721923</v>
      </c>
      <c r="DH231" s="3" t="n">
        <v>0.386907381126511</v>
      </c>
      <c r="DI231" s="3" t="n">
        <v>0.3869079315715333</v>
      </c>
      <c r="DJ231" s="3" t="n">
        <v>0.3869084902285161</v>
      </c>
      <c r="DK231" s="3" t="n">
        <v>0.3869090205975431</v>
      </c>
      <c r="DL231" s="3" t="n">
        <v>0.3869096453277041</v>
      </c>
      <c r="DM231" s="3" t="n">
        <v>0.3869103300040548</v>
      </c>
      <c r="DN231" s="3" t="n">
        <v>0.3869111161245091</v>
      </c>
      <c r="DO231" s="3" t="n">
        <v>0.3869119492277426</v>
      </c>
    </row>
    <row r="232">
      <c r="A232" s="19" t="inlineStr">
        <is>
          <t>mit.tgap.all.die</t>
        </is>
      </c>
      <c r="B232" s="3" t="inlineStr">
        <is>
          <t>mit</t>
        </is>
      </c>
      <c r="C232" s="19" t="inlineStr">
        <is>
          <t>mit.tgap.die.all</t>
        </is>
      </c>
      <c r="H232" s="3" t="inlineStr">
        <is>
          <t>Tax gap: retail price - efficient price | All sectors | Diesel</t>
        </is>
      </c>
      <c r="I232" s="3" t="inlineStr">
        <is>
          <t>USD per price unit</t>
        </is>
      </c>
      <c r="K232" s="20" t="inlineStr">
        <is>
          <t>egy.mit.tgap.all.die.1</t>
        </is>
      </c>
      <c r="L232" s="3" t="n">
        <v>-1.355159825461416</v>
      </c>
      <c r="M232" s="3" t="n">
        <v>-1.240335178098761</v>
      </c>
      <c r="N232" s="3" t="n">
        <v>-1.176754608586329</v>
      </c>
      <c r="O232" s="3" t="n">
        <v>-1.007825686126322</v>
      </c>
      <c r="P232" s="3" t="n">
        <v>-1.120698199462256</v>
      </c>
      <c r="Q232" s="3" t="n">
        <v>-1.047450965263762</v>
      </c>
      <c r="R232" s="3" t="n">
        <v>-1.048130934222304</v>
      </c>
      <c r="S232" s="3" t="n">
        <v>-1.060549045853215</v>
      </c>
      <c r="T232" s="3" t="n">
        <v>-1.073961184156651</v>
      </c>
      <c r="U232" s="3" t="n">
        <v>-1.078090429453769</v>
      </c>
      <c r="V232" s="3" t="n">
        <v>-1.098870957851483</v>
      </c>
      <c r="W232" s="3" t="n">
        <v>-1.120470410839746</v>
      </c>
      <c r="X232" s="3" t="n">
        <v>-1.142911648507237</v>
      </c>
      <c r="Y232" s="3" t="n">
        <v>-1.16620511058433</v>
      </c>
      <c r="Z232" s="3" t="n">
        <v>-1.190356659740145</v>
      </c>
      <c r="AA232" s="3" t="n">
        <v>-1.215410085767235</v>
      </c>
      <c r="AB232" s="3" t="n">
        <v>-1.241385837489565</v>
      </c>
      <c r="AC232" s="3" t="n">
        <v>-1.268304723134163</v>
      </c>
      <c r="AD232" s="3" t="n">
        <v>-1.296186019668048</v>
      </c>
      <c r="AE232" s="3" t="n">
        <v>-1.314557174589102</v>
      </c>
      <c r="AG232" s="20" t="inlineStr">
        <is>
          <t>egy.mit.tgap.all.die.3</t>
        </is>
      </c>
      <c r="AH232" s="3" t="n">
        <v>-1.355159825461416</v>
      </c>
      <c r="AI232" s="3" t="n">
        <v>-1.240335178098761</v>
      </c>
      <c r="AJ232" s="3" t="n">
        <v>-1.176754608586329</v>
      </c>
      <c r="AK232" s="3" t="n">
        <v>-1.007825686126322</v>
      </c>
      <c r="AL232" s="3" t="n">
        <v>-1.120698199462451</v>
      </c>
      <c r="AM232" s="3" t="n">
        <v>-1.001045167659851</v>
      </c>
      <c r="AN232" s="3" t="n">
        <v>-1.002921294872378</v>
      </c>
      <c r="AO232" s="3" t="n">
        <v>-1.01648874400171</v>
      </c>
      <c r="AP232" s="3" t="n">
        <v>-1.030997691208728</v>
      </c>
      <c r="AQ232" s="3" t="n">
        <v>-1.036204131476709</v>
      </c>
      <c r="AR232" s="3" t="n">
        <v>-1.058008184157217</v>
      </c>
      <c r="AS232" s="3" t="n">
        <v>-1.080600399169236</v>
      </c>
      <c r="AT232" s="3" t="n">
        <v>-1.10401208349785</v>
      </c>
      <c r="AU232" s="3" t="n">
        <v>-1.128252209484744</v>
      </c>
      <c r="AV232" s="3" t="n">
        <v>-1.153330309007121</v>
      </c>
      <c r="AW232" s="3" t="n">
        <v>-1.179296196193266</v>
      </c>
      <c r="AX232" s="3" t="n">
        <v>-1.206173084929948</v>
      </c>
      <c r="AY232" s="3" t="n">
        <v>-1.233984633026865</v>
      </c>
      <c r="AZ232" s="3" t="n">
        <v>-1.262751696181333</v>
      </c>
      <c r="BA232" s="3" t="n">
        <v>-1.282074261337239</v>
      </c>
      <c r="BC232" s="20" t="inlineStr">
        <is>
          <t>egy.mit.tgap.all.die.4</t>
        </is>
      </c>
      <c r="BD232" s="3" t="n">
        <v>-1.355159825461416</v>
      </c>
      <c r="BE232" s="3" t="n">
        <v>-1.240335178098761</v>
      </c>
      <c r="BF232" s="3" t="n">
        <v>-1.176754608586329</v>
      </c>
      <c r="BG232" s="3" t="n">
        <v>-1.007825686126322</v>
      </c>
      <c r="BH232" s="3" t="n">
        <v>-1.120698199462905</v>
      </c>
      <c r="BI232" s="3" t="n">
        <v>-1.024727068406806</v>
      </c>
      <c r="BJ232" s="3" t="n">
        <v>-0.9952406675568205</v>
      </c>
      <c r="BK232" s="3" t="n">
        <v>-0.9778208389318913</v>
      </c>
      <c r="BL232" s="3" t="n">
        <v>-0.961764115981624</v>
      </c>
      <c r="BM232" s="3" t="n">
        <v>-0.936367555318862</v>
      </c>
      <c r="BN232" s="3" t="n">
        <v>-0.9281253833925658</v>
      </c>
      <c r="BO232" s="3" t="n">
        <v>-0.921191484718433</v>
      </c>
      <c r="BP232" s="3" t="n">
        <v>-0.9156131520063086</v>
      </c>
      <c r="BQ232" s="3" t="n">
        <v>-0.9113953743670899</v>
      </c>
      <c r="BR232" s="3" t="n">
        <v>-0.9085427287692367</v>
      </c>
      <c r="BS232" s="3" t="n">
        <v>-0.9071081187523128</v>
      </c>
      <c r="BT232" s="3" t="n">
        <v>-0.9071189475962287</v>
      </c>
      <c r="BU232" s="3" t="n">
        <v>-0.9085980218808977</v>
      </c>
      <c r="BV232" s="3" t="n">
        <v>-0.9115693524167674</v>
      </c>
      <c r="BW232" s="3" t="n">
        <v>-0.9058603844694857</v>
      </c>
      <c r="BY232" s="20" t="inlineStr">
        <is>
          <t>egy.mit.tgap.all.die.5</t>
        </is>
      </c>
      <c r="BZ232" s="3" t="n">
        <v>-1.355159825461416</v>
      </c>
      <c r="CA232" s="3" t="n">
        <v>-1.240335178098761</v>
      </c>
      <c r="CB232" s="3" t="n">
        <v>-1.176754608586329</v>
      </c>
      <c r="CC232" s="3" t="n">
        <v>-1.007825686126322</v>
      </c>
      <c r="CD232" s="3" t="n">
        <v>-1.12069819946337</v>
      </c>
      <c r="CE232" s="3" t="n">
        <v>-0.989248712699212</v>
      </c>
      <c r="CF232" s="3" t="n">
        <v>-0.9914163545766836</v>
      </c>
      <c r="CG232" s="3" t="n">
        <v>-1.005262523015872</v>
      </c>
      <c r="CH232" s="3" t="n">
        <v>-1.020038996895097</v>
      </c>
      <c r="CI232" s="3" t="n">
        <v>-1.025506077800947</v>
      </c>
      <c r="CJ232" s="3" t="n">
        <v>-1.047557848602785</v>
      </c>
      <c r="CK232" s="3" t="n">
        <v>-1.070390265373984</v>
      </c>
      <c r="CL232" s="3" t="n">
        <v>-1.094036778684346</v>
      </c>
      <c r="CM232" s="3" t="n">
        <v>-1.118507031533316</v>
      </c>
      <c r="CN232" s="3" t="n">
        <v>-1.143810914851747</v>
      </c>
      <c r="CO232" s="3" t="n">
        <v>-1.169999416402318</v>
      </c>
      <c r="CP232" s="3" t="n">
        <v>-1.197096947767915</v>
      </c>
      <c r="CQ232" s="3" t="n">
        <v>-1.225127767991745</v>
      </c>
      <c r="CR232" s="3" t="n">
        <v>-1.254113225047772</v>
      </c>
      <c r="CS232" s="3" t="n">
        <v>-1.27366868439422</v>
      </c>
      <c r="CU232" s="20" t="inlineStr">
        <is>
          <t>egy.mit.tgap.all.die.6</t>
        </is>
      </c>
      <c r="CV232" s="3" t="n">
        <v>-1.355159825461416</v>
      </c>
      <c r="CW232" s="3" t="n">
        <v>-1.240335178098761</v>
      </c>
      <c r="CX232" s="3" t="n">
        <v>-1.176754608586329</v>
      </c>
      <c r="CY232" s="3" t="n">
        <v>-1.007825686126322</v>
      </c>
      <c r="CZ232" s="3" t="n">
        <v>-1.120698199462711</v>
      </c>
      <c r="DA232" s="3" t="n">
        <v>-0.9293829145226997</v>
      </c>
      <c r="DB232" s="3" t="n">
        <v>-0.9329620742806525</v>
      </c>
      <c r="DC232" s="3" t="n">
        <v>-0.9481612919990895</v>
      </c>
      <c r="DD232" s="3" t="n">
        <v>-0.9642284496665212</v>
      </c>
      <c r="DE232" s="3" t="n">
        <v>-0.9709504063082772</v>
      </c>
      <c r="DF232" s="3" t="n">
        <v>-0.9941988522257655</v>
      </c>
      <c r="DG232" s="3" t="n">
        <v>-1.018189980366251</v>
      </c>
      <c r="DH232" s="3" t="n">
        <v>-1.042969236058285</v>
      </c>
      <c r="DI232" s="3" t="n">
        <v>-1.068544666499545</v>
      </c>
      <c r="DJ232" s="3" t="n">
        <v>-1.094929436006278</v>
      </c>
      <c r="DK232" s="3" t="n">
        <v>-1.122180939061961</v>
      </c>
      <c r="DL232" s="3" t="n">
        <v>-1.15032800086369</v>
      </c>
      <c r="DM232" s="3" t="n">
        <v>-1.179397345728198</v>
      </c>
      <c r="DN232" s="3" t="n">
        <v>-1.209412474134752</v>
      </c>
      <c r="DO232" s="3" t="n">
        <v>-1.230054631378372</v>
      </c>
    </row>
    <row r="233">
      <c r="A233" s="19" t="inlineStr">
        <is>
          <t>mit.txo.all.die</t>
        </is>
      </c>
      <c r="B233" s="3" t="inlineStr">
        <is>
          <t>mit</t>
        </is>
      </c>
      <c r="C233" s="19" t="inlineStr">
        <is>
          <t>mit.txo.all.die.a</t>
        </is>
      </c>
      <c r="H233" s="3" t="inlineStr">
        <is>
          <t>Excise and other taxes (before new policies) | All sectors | Diesel</t>
        </is>
      </c>
      <c r="I233" s="3" t="inlineStr">
        <is>
          <t>USD/GJ real</t>
        </is>
      </c>
      <c r="K233" s="20" t="inlineStr">
        <is>
          <t>egy.mit.txo.all.die.1</t>
        </is>
      </c>
      <c r="L233" s="3" t="n">
        <v>-17.52947732459919</v>
      </c>
      <c r="M233" s="3" t="n">
        <v>-15.35756002350898</v>
      </c>
      <c r="N233" s="3" t="n">
        <v>-14.18549639093265</v>
      </c>
      <c r="O233" s="3" t="n">
        <v>-11.29196081737381</v>
      </c>
      <c r="P233" s="3" t="n">
        <v>-13.30297006958394</v>
      </c>
      <c r="Q233" s="3" t="n">
        <v>-11.21769108592422</v>
      </c>
      <c r="R233" s="3" t="n">
        <v>-10.64399705796804</v>
      </c>
      <c r="S233" s="3" t="n">
        <v>-10.35480874612313</v>
      </c>
      <c r="T233" s="3" t="n">
        <v>-10.10191176774458</v>
      </c>
      <c r="U233" s="3" t="n">
        <v>-9.827162508136565</v>
      </c>
      <c r="V233" s="3" t="n">
        <v>-9.827162508136565</v>
      </c>
      <c r="W233" s="3" t="n">
        <v>-9.827162508136565</v>
      </c>
      <c r="X233" s="3" t="n">
        <v>-9.827162508136565</v>
      </c>
      <c r="Y233" s="3" t="n">
        <v>-9.827162508136565</v>
      </c>
      <c r="Z233" s="3" t="n">
        <v>-9.827162508136565</v>
      </c>
      <c r="AA233" s="3" t="n">
        <v>-9.827162508136565</v>
      </c>
      <c r="AB233" s="3" t="n">
        <v>-9.827162508136565</v>
      </c>
      <c r="AC233" s="3" t="n">
        <v>-9.827162508136565</v>
      </c>
      <c r="AD233" s="3" t="n">
        <v>-9.827162508136565</v>
      </c>
      <c r="AE233" s="3" t="n">
        <v>-9.827162508136565</v>
      </c>
      <c r="AG233" s="20" t="inlineStr">
        <is>
          <t>egy.mit.txo.all.die.3</t>
        </is>
      </c>
      <c r="AH233" s="3" t="n">
        <v>-17.52947732459919</v>
      </c>
      <c r="AI233" s="3" t="n">
        <v>-15.35756002350898</v>
      </c>
      <c r="AJ233" s="3" t="n">
        <v>-14.18549639093265</v>
      </c>
      <c r="AK233" s="3" t="n">
        <v>-11.29196081737381</v>
      </c>
      <c r="AL233" s="3" t="n">
        <v>-13.30297006958394</v>
      </c>
      <c r="AM233" s="3" t="n">
        <v>-11.21769108592422</v>
      </c>
      <c r="AN233" s="3" t="n">
        <v>-10.64399705796804</v>
      </c>
      <c r="AO233" s="3" t="n">
        <v>-10.35480874612313</v>
      </c>
      <c r="AP233" s="3" t="n">
        <v>-10.10191176774458</v>
      </c>
      <c r="AQ233" s="3" t="n">
        <v>-9.827162508136565</v>
      </c>
      <c r="AR233" s="3" t="n">
        <v>-9.827162508136565</v>
      </c>
      <c r="AS233" s="3" t="n">
        <v>-9.827162508136565</v>
      </c>
      <c r="AT233" s="3" t="n">
        <v>-9.827162508136565</v>
      </c>
      <c r="AU233" s="3" t="n">
        <v>-9.827162508136565</v>
      </c>
      <c r="AV233" s="3" t="n">
        <v>-9.827162508136565</v>
      </c>
      <c r="AW233" s="3" t="n">
        <v>-9.827162508136565</v>
      </c>
      <c r="AX233" s="3" t="n">
        <v>-9.827162508136565</v>
      </c>
      <c r="AY233" s="3" t="n">
        <v>-9.827162508136565</v>
      </c>
      <c r="AZ233" s="3" t="n">
        <v>-9.827162508136565</v>
      </c>
      <c r="BA233" s="3" t="n">
        <v>-9.827162508136565</v>
      </c>
      <c r="BC233" s="20" t="inlineStr">
        <is>
          <t>egy.mit.txo.all.die.4</t>
        </is>
      </c>
      <c r="BD233" s="3" t="n">
        <v>-17.52947732459919</v>
      </c>
      <c r="BE233" s="3" t="n">
        <v>-15.35756002350898</v>
      </c>
      <c r="BF233" s="3" t="n">
        <v>-14.18549639093265</v>
      </c>
      <c r="BG233" s="3" t="n">
        <v>-11.29196081737381</v>
      </c>
      <c r="BH233" s="3" t="n">
        <v>-13.30297006958394</v>
      </c>
      <c r="BI233" s="3" t="n">
        <v>-11.21769108592422</v>
      </c>
      <c r="BJ233" s="3" t="n">
        <v>-10.64399705796804</v>
      </c>
      <c r="BK233" s="3" t="n">
        <v>-10.35480874612313</v>
      </c>
      <c r="BL233" s="3" t="n">
        <v>-10.10191176774458</v>
      </c>
      <c r="BM233" s="3" t="n">
        <v>-9.827162508136565</v>
      </c>
      <c r="BN233" s="3" t="n">
        <v>-9.827162508136565</v>
      </c>
      <c r="BO233" s="3" t="n">
        <v>-9.827162508136565</v>
      </c>
      <c r="BP233" s="3" t="n">
        <v>-9.827162508136565</v>
      </c>
      <c r="BQ233" s="3" t="n">
        <v>-9.827162508136565</v>
      </c>
      <c r="BR233" s="3" t="n">
        <v>-9.827162508136565</v>
      </c>
      <c r="BS233" s="3" t="n">
        <v>-9.827162508136565</v>
      </c>
      <c r="BT233" s="3" t="n">
        <v>-9.827162508136565</v>
      </c>
      <c r="BU233" s="3" t="n">
        <v>-9.827162508136565</v>
      </c>
      <c r="BV233" s="3" t="n">
        <v>-9.827162508136565</v>
      </c>
      <c r="BW233" s="3" t="n">
        <v>-9.827162508136565</v>
      </c>
      <c r="BY233" s="20" t="inlineStr">
        <is>
          <t>egy.mit.txo.all.die.5</t>
        </is>
      </c>
      <c r="BZ233" s="3" t="n">
        <v>-17.52947732459919</v>
      </c>
      <c r="CA233" s="3" t="n">
        <v>-15.35756002350898</v>
      </c>
      <c r="CB233" s="3" t="n">
        <v>-14.18549639093265</v>
      </c>
      <c r="CC233" s="3" t="n">
        <v>-11.29196081737381</v>
      </c>
      <c r="CD233" s="3" t="n">
        <v>-13.30297006958394</v>
      </c>
      <c r="CE233" s="3" t="n">
        <v>-11.21769108592422</v>
      </c>
      <c r="CF233" s="3" t="n">
        <v>-10.64399705796804</v>
      </c>
      <c r="CG233" s="3" t="n">
        <v>-10.35480874612313</v>
      </c>
      <c r="CH233" s="3" t="n">
        <v>-10.10191176774458</v>
      </c>
      <c r="CI233" s="3" t="n">
        <v>-9.827162508136565</v>
      </c>
      <c r="CJ233" s="3" t="n">
        <v>-9.827162508136565</v>
      </c>
      <c r="CK233" s="3" t="n">
        <v>-9.827162508136565</v>
      </c>
      <c r="CL233" s="3" t="n">
        <v>-9.827162508136565</v>
      </c>
      <c r="CM233" s="3" t="n">
        <v>-9.827162508136565</v>
      </c>
      <c r="CN233" s="3" t="n">
        <v>-9.827162508136565</v>
      </c>
      <c r="CO233" s="3" t="n">
        <v>-9.827162508136565</v>
      </c>
      <c r="CP233" s="3" t="n">
        <v>-9.827162508136565</v>
      </c>
      <c r="CQ233" s="3" t="n">
        <v>-9.827162508136565</v>
      </c>
      <c r="CR233" s="3" t="n">
        <v>-9.827162508136565</v>
      </c>
      <c r="CS233" s="3" t="n">
        <v>-9.827162508136565</v>
      </c>
      <c r="CU233" s="20" t="inlineStr">
        <is>
          <t>egy.mit.txo.all.die.6</t>
        </is>
      </c>
      <c r="CV233" s="3" t="n">
        <v>-17.52947732459919</v>
      </c>
      <c r="CW233" s="3" t="n">
        <v>-15.35756002350898</v>
      </c>
      <c r="CX233" s="3" t="n">
        <v>-14.18549639093265</v>
      </c>
      <c r="CY233" s="3" t="n">
        <v>-11.29196081737381</v>
      </c>
      <c r="CZ233" s="3" t="n">
        <v>-13.30297006958394</v>
      </c>
      <c r="DA233" s="3" t="n">
        <v>-11.21769108592422</v>
      </c>
      <c r="DB233" s="3" t="n">
        <v>-10.64399705796804</v>
      </c>
      <c r="DC233" s="3" t="n">
        <v>-10.35480874612313</v>
      </c>
      <c r="DD233" s="3" t="n">
        <v>-10.10191176774458</v>
      </c>
      <c r="DE233" s="3" t="n">
        <v>-9.827162508136565</v>
      </c>
      <c r="DF233" s="3" t="n">
        <v>-9.827162508136565</v>
      </c>
      <c r="DG233" s="3" t="n">
        <v>-9.827162508136565</v>
      </c>
      <c r="DH233" s="3" t="n">
        <v>-9.827162508136565</v>
      </c>
      <c r="DI233" s="3" t="n">
        <v>-9.827162508136565</v>
      </c>
      <c r="DJ233" s="3" t="n">
        <v>-9.827162508136565</v>
      </c>
      <c r="DK233" s="3" t="n">
        <v>-9.827162508136565</v>
      </c>
      <c r="DL233" s="3" t="n">
        <v>-9.827162508136565</v>
      </c>
      <c r="DM233" s="3" t="n">
        <v>-9.827162508136565</v>
      </c>
      <c r="DN233" s="3" t="n">
        <v>-9.827162508136565</v>
      </c>
      <c r="DO233" s="3" t="n">
        <v>-9.827162508136565</v>
      </c>
    </row>
    <row r="234">
      <c r="A234" s="19" t="inlineStr">
        <is>
          <t>mit.txo.co2e.all.die</t>
        </is>
      </c>
      <c r="B234" s="3" t="inlineStr">
        <is>
          <t>mit</t>
        </is>
      </c>
      <c r="C234" s="19" t="inlineStr">
        <is>
          <t>mit.txo.co2e.die.all</t>
        </is>
      </c>
      <c r="H234" s="3" t="inlineStr">
        <is>
          <t>Excise and other taxes of scenario 1 per tonne of CO2 | All sectors | Diesel</t>
        </is>
      </c>
      <c r="I234" s="3" t="inlineStr">
        <is>
          <t>USD/tCO2</t>
        </is>
      </c>
      <c r="K234" s="20" t="inlineStr">
        <is>
          <t>egy.mit.txo.co2e.all.die.1</t>
        </is>
      </c>
      <c r="L234" s="3" t="n">
        <v>-243.1121126226406</v>
      </c>
      <c r="M234" s="3" t="n">
        <v>-212.990312997233</v>
      </c>
      <c r="N234" s="3" t="n">
        <v>-196.735243860406</v>
      </c>
      <c r="O234" s="3" t="n">
        <v>-156.6054936567594</v>
      </c>
      <c r="P234" s="3" t="n">
        <v>-184.4956981822763</v>
      </c>
      <c r="Q234" s="3" t="n">
        <v>-155.5754645816034</v>
      </c>
      <c r="R234" s="3" t="n">
        <v>-147.6190398375696</v>
      </c>
      <c r="S234" s="3" t="n">
        <v>-143.6083565675253</v>
      </c>
      <c r="T234" s="3" t="n">
        <v>-140.100989088678</v>
      </c>
      <c r="U234" s="3" t="n">
        <v>-136.2905575676492</v>
      </c>
      <c r="V234" s="3" t="n">
        <v>-136.2905575676492</v>
      </c>
      <c r="W234" s="3" t="n">
        <v>-136.2905575676493</v>
      </c>
      <c r="X234" s="3" t="n">
        <v>-136.2905575676492</v>
      </c>
      <c r="Y234" s="3" t="n">
        <v>-136.2905575676492</v>
      </c>
      <c r="Z234" s="3" t="n">
        <v>-136.2905575676492</v>
      </c>
      <c r="AA234" s="3" t="n">
        <v>-136.2905575676492</v>
      </c>
      <c r="AB234" s="3" t="n">
        <v>-136.2905575676492</v>
      </c>
      <c r="AC234" s="3" t="n">
        <v>-136.2905575676493</v>
      </c>
      <c r="AD234" s="3" t="n">
        <v>-136.2905575676492</v>
      </c>
      <c r="AE234" s="3" t="n">
        <v>-136.2905575676492</v>
      </c>
      <c r="AG234" s="20" t="inlineStr">
        <is>
          <t>egy.mit.txo.co2e.all.die.3</t>
        </is>
      </c>
      <c r="AH234" s="3" t="n">
        <v>-243.1121126226406</v>
      </c>
      <c r="AI234" s="3" t="n">
        <v>-212.990312997233</v>
      </c>
      <c r="AJ234" s="3" t="n">
        <v>-196.735243860406</v>
      </c>
      <c r="AK234" s="3" t="n">
        <v>-156.6054936567594</v>
      </c>
      <c r="AL234" s="3" t="n">
        <v>-184.4956981822763</v>
      </c>
      <c r="AM234" s="3" t="n">
        <v>-155.5754645816034</v>
      </c>
      <c r="AN234" s="3" t="n">
        <v>-147.6190398375696</v>
      </c>
      <c r="AO234" s="3" t="n">
        <v>-143.6083565675253</v>
      </c>
      <c r="AP234" s="3" t="n">
        <v>-140.100989088678</v>
      </c>
      <c r="AQ234" s="3" t="n">
        <v>-136.2905575676492</v>
      </c>
      <c r="AR234" s="3" t="n">
        <v>-136.2905575676492</v>
      </c>
      <c r="AS234" s="3" t="n">
        <v>-136.2905575676493</v>
      </c>
      <c r="AT234" s="3" t="n">
        <v>-136.2905575676492</v>
      </c>
      <c r="AU234" s="3" t="n">
        <v>-136.2905575676492</v>
      </c>
      <c r="AV234" s="3" t="n">
        <v>-136.2905575676492</v>
      </c>
      <c r="AW234" s="3" t="n">
        <v>-136.2905575676492</v>
      </c>
      <c r="AX234" s="3" t="n">
        <v>-136.2905575676492</v>
      </c>
      <c r="AY234" s="3" t="n">
        <v>-136.2905575676493</v>
      </c>
      <c r="AZ234" s="3" t="n">
        <v>-136.2905575676492</v>
      </c>
      <c r="BA234" s="3" t="n">
        <v>-136.2905575676492</v>
      </c>
      <c r="BC234" s="20" t="inlineStr">
        <is>
          <t>egy.mit.txo.co2e.all.die.4</t>
        </is>
      </c>
      <c r="BD234" s="3" t="n">
        <v>-243.1121126226406</v>
      </c>
      <c r="BE234" s="3" t="n">
        <v>-212.990312997233</v>
      </c>
      <c r="BF234" s="3" t="n">
        <v>-196.735243860406</v>
      </c>
      <c r="BG234" s="3" t="n">
        <v>-156.6054936567594</v>
      </c>
      <c r="BH234" s="3" t="n">
        <v>-184.4956981822763</v>
      </c>
      <c r="BI234" s="3" t="n">
        <v>-155.5754645816034</v>
      </c>
      <c r="BJ234" s="3" t="n">
        <v>-147.6190398375696</v>
      </c>
      <c r="BK234" s="3" t="n">
        <v>-143.6083565675253</v>
      </c>
      <c r="BL234" s="3" t="n">
        <v>-140.100989088678</v>
      </c>
      <c r="BM234" s="3" t="n">
        <v>-136.2905575676492</v>
      </c>
      <c r="BN234" s="3" t="n">
        <v>-136.2905575676492</v>
      </c>
      <c r="BO234" s="3" t="n">
        <v>-136.2905575676493</v>
      </c>
      <c r="BP234" s="3" t="n">
        <v>-136.2905575676492</v>
      </c>
      <c r="BQ234" s="3" t="n">
        <v>-136.2905575676492</v>
      </c>
      <c r="BR234" s="3" t="n">
        <v>-136.2905575676492</v>
      </c>
      <c r="BS234" s="3" t="n">
        <v>-136.2905575676492</v>
      </c>
      <c r="BT234" s="3" t="n">
        <v>-136.2905575676492</v>
      </c>
      <c r="BU234" s="3" t="n">
        <v>-136.2905575676493</v>
      </c>
      <c r="BV234" s="3" t="n">
        <v>-136.2905575676492</v>
      </c>
      <c r="BW234" s="3" t="n">
        <v>-136.2905575676492</v>
      </c>
      <c r="BY234" s="20" t="inlineStr">
        <is>
          <t>egy.mit.txo.co2e.all.die.5</t>
        </is>
      </c>
      <c r="BZ234" s="3" t="n">
        <v>-243.1121126226406</v>
      </c>
      <c r="CA234" s="3" t="n">
        <v>-212.990312997233</v>
      </c>
      <c r="CB234" s="3" t="n">
        <v>-196.735243860406</v>
      </c>
      <c r="CC234" s="3" t="n">
        <v>-156.6054936567594</v>
      </c>
      <c r="CD234" s="3" t="n">
        <v>-184.4956981822763</v>
      </c>
      <c r="CE234" s="3" t="n">
        <v>-155.5754645816034</v>
      </c>
      <c r="CF234" s="3" t="n">
        <v>-147.6190398375696</v>
      </c>
      <c r="CG234" s="3" t="n">
        <v>-143.6083565675253</v>
      </c>
      <c r="CH234" s="3" t="n">
        <v>-140.100989088678</v>
      </c>
      <c r="CI234" s="3" t="n">
        <v>-136.2905575676492</v>
      </c>
      <c r="CJ234" s="3" t="n">
        <v>-136.2905575676492</v>
      </c>
      <c r="CK234" s="3" t="n">
        <v>-136.2905575676493</v>
      </c>
      <c r="CL234" s="3" t="n">
        <v>-136.2905575676492</v>
      </c>
      <c r="CM234" s="3" t="n">
        <v>-136.2905575676492</v>
      </c>
      <c r="CN234" s="3" t="n">
        <v>-136.2905575676492</v>
      </c>
      <c r="CO234" s="3" t="n">
        <v>-136.2905575676492</v>
      </c>
      <c r="CP234" s="3" t="n">
        <v>-136.2905575676492</v>
      </c>
      <c r="CQ234" s="3" t="n">
        <v>-136.2905575676493</v>
      </c>
      <c r="CR234" s="3" t="n">
        <v>-136.2905575676492</v>
      </c>
      <c r="CS234" s="3" t="n">
        <v>-136.2905575676492</v>
      </c>
      <c r="CU234" s="20" t="inlineStr">
        <is>
          <t>egy.mit.txo.co2e.all.die.6</t>
        </is>
      </c>
      <c r="CV234" s="3" t="n">
        <v>-243.1121126226406</v>
      </c>
      <c r="CW234" s="3" t="n">
        <v>-212.990312997233</v>
      </c>
      <c r="CX234" s="3" t="n">
        <v>-196.735243860406</v>
      </c>
      <c r="CY234" s="3" t="n">
        <v>-156.6054936567594</v>
      </c>
      <c r="CZ234" s="3" t="n">
        <v>-184.4956981822763</v>
      </c>
      <c r="DA234" s="3" t="n">
        <v>-155.5754645816034</v>
      </c>
      <c r="DB234" s="3" t="n">
        <v>-147.6190398375696</v>
      </c>
      <c r="DC234" s="3" t="n">
        <v>-143.6083565675253</v>
      </c>
      <c r="DD234" s="3" t="n">
        <v>-140.100989088678</v>
      </c>
      <c r="DE234" s="3" t="n">
        <v>-136.2905575676492</v>
      </c>
      <c r="DF234" s="3" t="n">
        <v>-136.2905575676492</v>
      </c>
      <c r="DG234" s="3" t="n">
        <v>-136.2905575676493</v>
      </c>
      <c r="DH234" s="3" t="n">
        <v>-136.2905575676492</v>
      </c>
      <c r="DI234" s="3" t="n">
        <v>-136.2905575676492</v>
      </c>
      <c r="DJ234" s="3" t="n">
        <v>-136.2905575676492</v>
      </c>
      <c r="DK234" s="3" t="n">
        <v>-136.2905575676492</v>
      </c>
      <c r="DL234" s="3" t="n">
        <v>-136.2905575676492</v>
      </c>
      <c r="DM234" s="3" t="n">
        <v>-136.2905575676493</v>
      </c>
      <c r="DN234" s="3" t="n">
        <v>-136.2905575676492</v>
      </c>
      <c r="DO234" s="3" t="n">
        <v>-136.2905575676492</v>
      </c>
    </row>
    <row r="235">
      <c r="A235" s="19" t="inlineStr">
        <is>
          <t>mit.pig.all.die</t>
        </is>
      </c>
      <c r="B235" s="3" t="inlineStr">
        <is>
          <t>mit</t>
        </is>
      </c>
      <c r="C235" s="19" t="inlineStr">
        <is>
          <t>mit.pig.die.all</t>
        </is>
      </c>
      <c r="H235" s="3" t="inlineStr">
        <is>
          <t>Pigouvian tax: all externalities (reference) | All sectors | Diesel</t>
        </is>
      </c>
      <c r="I235" s="3" t="inlineStr">
        <is>
          <t>USD per price unit</t>
        </is>
      </c>
      <c r="K235" s="20" t="inlineStr">
        <is>
          <t>egy.mit.pig.all.die.1</t>
        </is>
      </c>
      <c r="L235" s="3" t="n">
        <v>0.4835446633667592</v>
      </c>
      <c r="M235" s="3" t="n">
        <v>0.4797581340284397</v>
      </c>
      <c r="N235" s="3" t="n">
        <v>0.4719231069169635</v>
      </c>
      <c r="O235" s="3" t="n">
        <v>0.4316548005888038</v>
      </c>
      <c r="P235" s="3" t="n">
        <v>0.4556648050463378</v>
      </c>
      <c r="Q235" s="3" t="n">
        <v>0.4691837211216928</v>
      </c>
      <c r="R235" s="3" t="n">
        <v>0.4911762128949057</v>
      </c>
      <c r="S235" s="3" t="n">
        <v>0.5128546263089326</v>
      </c>
      <c r="T235" s="3" t="n">
        <v>0.5340515007674923</v>
      </c>
      <c r="U235" s="3" t="n">
        <v>0.5479204716044046</v>
      </c>
      <c r="V235" s="3" t="n">
        <v>0.5661490052866097</v>
      </c>
      <c r="W235" s="3" t="n">
        <v>0.5850958938728053</v>
      </c>
      <c r="X235" s="3" t="n">
        <v>0.6047811900723583</v>
      </c>
      <c r="Y235" s="3" t="n">
        <v>0.625214051543493</v>
      </c>
      <c r="Z235" s="3" t="n">
        <v>0.6463996209784184</v>
      </c>
      <c r="AA235" s="3" t="n">
        <v>0.6683763104758661</v>
      </c>
      <c r="AB235" s="3" t="n">
        <v>0.6911620576007167</v>
      </c>
      <c r="AC235" s="3" t="n">
        <v>0.7147751151836972</v>
      </c>
      <c r="AD235" s="3" t="n">
        <v>0.7392323928450001</v>
      </c>
      <c r="AE235" s="3" t="n">
        <v>0.7553474410213626</v>
      </c>
      <c r="AG235" s="20" t="inlineStr">
        <is>
          <t>egy.mit.pig.all.die.3</t>
        </is>
      </c>
      <c r="AH235" s="3" t="n">
        <v>0.4835446633667592</v>
      </c>
      <c r="AI235" s="3" t="n">
        <v>0.4797581340284397</v>
      </c>
      <c r="AJ235" s="3" t="n">
        <v>0.4719231069169635</v>
      </c>
      <c r="AK235" s="3" t="n">
        <v>0.4316548005888038</v>
      </c>
      <c r="AL235" s="3" t="n">
        <v>0.4556648050465085</v>
      </c>
      <c r="AM235" s="3" t="n">
        <v>0.4749239901854881</v>
      </c>
      <c r="AN235" s="3" t="n">
        <v>0.4979657685114018</v>
      </c>
      <c r="AO235" s="3" t="n">
        <v>0.5206524553436158</v>
      </c>
      <c r="AP235" s="3" t="n">
        <v>0.5428116444697318</v>
      </c>
      <c r="AQ235" s="3" t="n">
        <v>0.5576257097659635</v>
      </c>
      <c r="AR235" s="3" t="n">
        <v>0.576752285308431</v>
      </c>
      <c r="AS235" s="3" t="n">
        <v>0.5965702194716658</v>
      </c>
      <c r="AT235" s="3" t="n">
        <v>0.6171069874121148</v>
      </c>
      <c r="AU235" s="3" t="n">
        <v>0.638370475977008</v>
      </c>
      <c r="AV235" s="3" t="n">
        <v>0.6603690363043575</v>
      </c>
      <c r="AW235" s="3" t="n">
        <v>0.6831463589017218</v>
      </c>
      <c r="AX235" s="3" t="n">
        <v>0.7067228273354632</v>
      </c>
      <c r="AY235" s="3" t="n">
        <v>0.731119189044159</v>
      </c>
      <c r="AZ235" s="3" t="n">
        <v>0.7563537449554649</v>
      </c>
      <c r="BA235" s="3" t="n">
        <v>0.773303667554466</v>
      </c>
      <c r="BC235" s="20" t="inlineStr">
        <is>
          <t>egy.mit.pig.all.die.4</t>
        </is>
      </c>
      <c r="BD235" s="3" t="n">
        <v>0.4835446633667592</v>
      </c>
      <c r="BE235" s="3" t="n">
        <v>0.4797581340284397</v>
      </c>
      <c r="BF235" s="3" t="n">
        <v>0.4719231069169635</v>
      </c>
      <c r="BG235" s="3" t="n">
        <v>0.4316548005888038</v>
      </c>
      <c r="BH235" s="3" t="n">
        <v>0.4556648050469067</v>
      </c>
      <c r="BI235" s="3" t="n">
        <v>0.4724801186315352</v>
      </c>
      <c r="BJ235" s="3" t="n">
        <v>0.4989700915318724</v>
      </c>
      <c r="BK235" s="3" t="n">
        <v>0.5254205831785065</v>
      </c>
      <c r="BL235" s="3" t="n">
        <v>0.551701876962025</v>
      </c>
      <c r="BM235" s="3" t="n">
        <v>0.5705919490674031</v>
      </c>
      <c r="BN235" s="3" t="n">
        <v>0.5942737306299638</v>
      </c>
      <c r="BO235" s="3" t="n">
        <v>0.6190951500507802</v>
      </c>
      <c r="BP235" s="3" t="n">
        <v>0.6450986576947975</v>
      </c>
      <c r="BQ235" s="3" t="n">
        <v>0.6722894656452971</v>
      </c>
      <c r="BR235" s="3" t="n">
        <v>0.7006722688108393</v>
      </c>
      <c r="BS235" s="3" t="n">
        <v>0.7302940167281685</v>
      </c>
      <c r="BT235" s="3" t="n">
        <v>0.7611792674358473</v>
      </c>
      <c r="BU235" s="3" t="n">
        <v>0.7933484724168021</v>
      </c>
      <c r="BV235" s="3" t="n">
        <v>0.8268231274249078</v>
      </c>
      <c r="BW235" s="3" t="n">
        <v>0.8526802837601184</v>
      </c>
      <c r="BY235" s="20" t="inlineStr">
        <is>
          <t>egy.mit.pig.all.die.5</t>
        </is>
      </c>
      <c r="BZ235" s="3" t="n">
        <v>0.4835446633667592</v>
      </c>
      <c r="CA235" s="3" t="n">
        <v>0.4797581340284397</v>
      </c>
      <c r="CB235" s="3" t="n">
        <v>0.4719231069169635</v>
      </c>
      <c r="CC235" s="3" t="n">
        <v>0.4316548005888038</v>
      </c>
      <c r="CD235" s="3" t="n">
        <v>0.455664805047315</v>
      </c>
      <c r="CE235" s="3" t="n">
        <v>0.4761820639787394</v>
      </c>
      <c r="CF235" s="3" t="n">
        <v>0.4994795629972834</v>
      </c>
      <c r="CG235" s="3" t="n">
        <v>0.5224107626482333</v>
      </c>
      <c r="CH235" s="3" t="n">
        <v>0.5448046712581329</v>
      </c>
      <c r="CI235" s="3" t="n">
        <v>0.5598474076760193</v>
      </c>
      <c r="CJ235" s="3" t="n">
        <v>0.5791913332709411</v>
      </c>
      <c r="CK235" s="3" t="n">
        <v>0.5992200176441422</v>
      </c>
      <c r="CL235" s="3" t="n">
        <v>0.6199628353546317</v>
      </c>
      <c r="CM235" s="3" t="n">
        <v>0.6414282508304195</v>
      </c>
      <c r="CN235" s="3" t="n">
        <v>0.6636249301610796</v>
      </c>
      <c r="CO235" s="3" t="n">
        <v>0.686597594965532</v>
      </c>
      <c r="CP235" s="3" t="n">
        <v>0.7103676800621362</v>
      </c>
      <c r="CQ235" s="3" t="n">
        <v>0.7349564559734477</v>
      </c>
      <c r="CR235" s="3" t="n">
        <v>0.7603826580738119</v>
      </c>
      <c r="CS235" s="3" t="n">
        <v>0.777536944216717</v>
      </c>
      <c r="CU235" s="20" t="inlineStr">
        <is>
          <t>egy.mit.pig.all.die.6</t>
        </is>
      </c>
      <c r="CV235" s="3" t="n">
        <v>0.4835446633667592</v>
      </c>
      <c r="CW235" s="3" t="n">
        <v>0.4797581340284397</v>
      </c>
      <c r="CX235" s="3" t="n">
        <v>0.4719231069169635</v>
      </c>
      <c r="CY235" s="3" t="n">
        <v>0.4316548005888038</v>
      </c>
      <c r="CZ235" s="3" t="n">
        <v>0.4556648050467363</v>
      </c>
      <c r="DA235" s="3" t="n">
        <v>0.4816693753515147</v>
      </c>
      <c r="DB235" s="3" t="n">
        <v>0.5062050771652463</v>
      </c>
      <c r="DC235" s="3" t="n">
        <v>0.5303232250437728</v>
      </c>
      <c r="DD235" s="3" t="n">
        <v>0.5538496245656326</v>
      </c>
      <c r="DE235" s="3" t="n">
        <v>0.5699933358372713</v>
      </c>
      <c r="DF235" s="3" t="n">
        <v>0.5903872582476131</v>
      </c>
      <c r="DG235" s="3" t="n">
        <v>0.6114325533161367</v>
      </c>
      <c r="DH235" s="3" t="n">
        <v>0.6331691706374984</v>
      </c>
      <c r="DI235" s="3" t="n">
        <v>0.6556042415903776</v>
      </c>
      <c r="DJ235" s="3" t="n">
        <v>0.6787492662953909</v>
      </c>
      <c r="DK235" s="3" t="n">
        <v>0.7026545587732073</v>
      </c>
      <c r="DL235" s="3" t="n">
        <v>0.7273455118713563</v>
      </c>
      <c r="DM235" s="3" t="n">
        <v>0.7528455377843902</v>
      </c>
      <c r="DN235" s="3" t="n">
        <v>0.7791752873694849</v>
      </c>
      <c r="DO235" s="3" t="n">
        <v>0.7972831736386552</v>
      </c>
    </row>
    <row r="236">
      <c r="A236" s="19" t="inlineStr">
        <is>
          <t>mit.pig.co2e.all.die</t>
        </is>
      </c>
      <c r="B236" s="3" t="inlineStr">
        <is>
          <t>mit</t>
        </is>
      </c>
      <c r="C236" s="19" t="inlineStr">
        <is>
          <t>mit.pig.co2e.die.all</t>
        </is>
      </c>
      <c r="H236" s="3" t="inlineStr">
        <is>
          <t>Pigouvian tax per tonne of CO2 (fuel lines; avg: weighted by the fuel use of the scenario) | All sectors | Diesel</t>
        </is>
      </c>
      <c r="I236" s="3" t="inlineStr">
        <is>
          <t>USD/tCO2</t>
        </is>
      </c>
      <c r="K236" s="20" t="inlineStr">
        <is>
          <t>egy.mit.pig.co2e.all.die.1</t>
        </is>
      </c>
      <c r="L236" s="3" t="n">
        <v>179.8131300354539</v>
      </c>
      <c r="M236" s="3" t="n">
        <v>178.4050539178236</v>
      </c>
      <c r="N236" s="3" t="n">
        <v>175.4914849022586</v>
      </c>
      <c r="O236" s="3" t="n">
        <v>160.5171283419405</v>
      </c>
      <c r="P236" s="3" t="n">
        <v>169.4455984104847</v>
      </c>
      <c r="Q236" s="3" t="n">
        <v>174.4728043717103</v>
      </c>
      <c r="R236" s="3" t="n">
        <v>182.6510329462669</v>
      </c>
      <c r="S236" s="3" t="n">
        <v>190.7124669057234</v>
      </c>
      <c r="T236" s="3" t="n">
        <v>198.5948335868571</v>
      </c>
      <c r="U236" s="3" t="n">
        <v>203.7522125127085</v>
      </c>
      <c r="V236" s="3" t="n">
        <v>210.5307584168909</v>
      </c>
      <c r="W236" s="3" t="n">
        <v>217.5764350611036</v>
      </c>
      <c r="X236" s="3" t="n">
        <v>224.8966993375637</v>
      </c>
      <c r="Y236" s="3" t="n">
        <v>232.4949566549417</v>
      </c>
      <c r="Z236" s="3" t="n">
        <v>240.3731193982827</v>
      </c>
      <c r="AA236" s="3" t="n">
        <v>248.5454716663008</v>
      </c>
      <c r="AB236" s="3" t="n">
        <v>257.0186838039107</v>
      </c>
      <c r="AC236" s="3" t="n">
        <v>265.799543392227</v>
      </c>
      <c r="AD236" s="3" t="n">
        <v>274.8943385199511</v>
      </c>
      <c r="AE236" s="3" t="n">
        <v>280.8869540377984</v>
      </c>
      <c r="AG236" s="20" t="inlineStr">
        <is>
          <t>egy.mit.pig.co2e.all.die.3</t>
        </is>
      </c>
      <c r="AH236" s="3" t="n">
        <v>179.8131300354539</v>
      </c>
      <c r="AI236" s="3" t="n">
        <v>178.4050539178236</v>
      </c>
      <c r="AJ236" s="3" t="n">
        <v>175.4914849022586</v>
      </c>
      <c r="AK236" s="3" t="n">
        <v>160.5171283419405</v>
      </c>
      <c r="AL236" s="3" t="n">
        <v>169.4455984105482</v>
      </c>
      <c r="AM236" s="3" t="n">
        <v>176.6074070791831</v>
      </c>
      <c r="AN236" s="3" t="n">
        <v>185.175828150192</v>
      </c>
      <c r="AO236" s="3" t="n">
        <v>193.6122032743248</v>
      </c>
      <c r="AP236" s="3" t="n">
        <v>201.8524206889307</v>
      </c>
      <c r="AQ236" s="3" t="n">
        <v>207.3612467628617</v>
      </c>
      <c r="AR236" s="3" t="n">
        <v>214.473742620441</v>
      </c>
      <c r="AS236" s="3" t="n">
        <v>221.8433302567023</v>
      </c>
      <c r="AT236" s="3" t="n">
        <v>229.480226708981</v>
      </c>
      <c r="AU236" s="3" t="n">
        <v>237.3873648163589</v>
      </c>
      <c r="AV236" s="3" t="n">
        <v>245.5678500712116</v>
      </c>
      <c r="AW236" s="3" t="n">
        <v>254.0379294255004</v>
      </c>
      <c r="AX236" s="3" t="n">
        <v>262.8051828054383</v>
      </c>
      <c r="AY236" s="3" t="n">
        <v>271.8773254484238</v>
      </c>
      <c r="AZ236" s="3" t="n">
        <v>281.2611628211155</v>
      </c>
      <c r="BA236" s="3" t="n">
        <v>287.5642385601054</v>
      </c>
      <c r="BC236" s="20" t="inlineStr">
        <is>
          <t>egy.mit.pig.co2e.all.die.4</t>
        </is>
      </c>
      <c r="BD236" s="3" t="n">
        <v>179.8131300354539</v>
      </c>
      <c r="BE236" s="3" t="n">
        <v>178.4050539178236</v>
      </c>
      <c r="BF236" s="3" t="n">
        <v>175.4914849022586</v>
      </c>
      <c r="BG236" s="3" t="n">
        <v>160.5171283419405</v>
      </c>
      <c r="BH236" s="3" t="n">
        <v>169.4455984106962</v>
      </c>
      <c r="BI236" s="3" t="n">
        <v>175.6986178259604</v>
      </c>
      <c r="BJ236" s="3" t="n">
        <v>185.5493003019062</v>
      </c>
      <c r="BK236" s="3" t="n">
        <v>195.3853010982802</v>
      </c>
      <c r="BL236" s="3" t="n">
        <v>205.1583832034412</v>
      </c>
      <c r="BM236" s="3" t="n">
        <v>212.1829318112441</v>
      </c>
      <c r="BN236" s="3" t="n">
        <v>220.9893474129195</v>
      </c>
      <c r="BO236" s="3" t="n">
        <v>230.2195539607572</v>
      </c>
      <c r="BP236" s="3" t="n">
        <v>239.8893372416143</v>
      </c>
      <c r="BQ236" s="3" t="n">
        <v>250.0006354446178</v>
      </c>
      <c r="BR236" s="3" t="n">
        <v>260.5551944399372</v>
      </c>
      <c r="BS236" s="3" t="n">
        <v>271.5704730970324</v>
      </c>
      <c r="BT236" s="3" t="n">
        <v>283.0556036804408</v>
      </c>
      <c r="BU236" s="3" t="n">
        <v>295.0181913721391</v>
      </c>
      <c r="BV236" s="3" t="n">
        <v>307.4662296814752</v>
      </c>
      <c r="BW236" s="3" t="n">
        <v>317.0815900952944</v>
      </c>
      <c r="BY236" s="20" t="inlineStr">
        <is>
          <t>egy.mit.pig.co2e.all.die.5</t>
        </is>
      </c>
      <c r="BZ236" s="3" t="n">
        <v>179.8131300354539</v>
      </c>
      <c r="CA236" s="3" t="n">
        <v>178.4050539178236</v>
      </c>
      <c r="CB236" s="3" t="n">
        <v>175.4914849022586</v>
      </c>
      <c r="CC236" s="3" t="n">
        <v>160.5171283419405</v>
      </c>
      <c r="CD236" s="3" t="n">
        <v>169.4455984108481</v>
      </c>
      <c r="CE236" s="3" t="n">
        <v>177.0752401538055</v>
      </c>
      <c r="CF236" s="3" t="n">
        <v>185.7387546911273</v>
      </c>
      <c r="CG236" s="3" t="n">
        <v>194.2660554703269</v>
      </c>
      <c r="CH236" s="3" t="n">
        <v>202.593556745674</v>
      </c>
      <c r="CI236" s="3" t="n">
        <v>208.1874175087424</v>
      </c>
      <c r="CJ236" s="3" t="n">
        <v>215.3807381508888</v>
      </c>
      <c r="CK236" s="3" t="n">
        <v>222.8286963241049</v>
      </c>
      <c r="CL236" s="3" t="n">
        <v>230.5422153862499</v>
      </c>
      <c r="CM236" s="3" t="n">
        <v>238.524442958236</v>
      </c>
      <c r="CN236" s="3" t="n">
        <v>246.7786016517669</v>
      </c>
      <c r="CO236" s="3" t="n">
        <v>255.321321852591</v>
      </c>
      <c r="CP236" s="3" t="n">
        <v>264.1605744102966</v>
      </c>
      <c r="CQ236" s="3" t="n">
        <v>273.3042690786829</v>
      </c>
      <c r="CR236" s="3" t="n">
        <v>282.7593728797412</v>
      </c>
      <c r="CS236" s="3" t="n">
        <v>289.1384441808343</v>
      </c>
      <c r="CU236" s="20" t="inlineStr">
        <is>
          <t>egy.mit.pig.co2e.all.die.6</t>
        </is>
      </c>
      <c r="CV236" s="3" t="n">
        <v>179.8131300354539</v>
      </c>
      <c r="CW236" s="3" t="n">
        <v>178.4050539178236</v>
      </c>
      <c r="CX236" s="3" t="n">
        <v>175.4914849022586</v>
      </c>
      <c r="CY236" s="3" t="n">
        <v>160.5171283419405</v>
      </c>
      <c r="CZ236" s="3" t="n">
        <v>169.4455984106329</v>
      </c>
      <c r="DA236" s="3" t="n">
        <v>179.1157768573808</v>
      </c>
      <c r="DB236" s="3" t="n">
        <v>188.239735149104</v>
      </c>
      <c r="DC236" s="3" t="n">
        <v>197.2084199247779</v>
      </c>
      <c r="DD236" s="3" t="n">
        <v>205.9570544501507</v>
      </c>
      <c r="DE236" s="3" t="n">
        <v>211.9603287576994</v>
      </c>
      <c r="DF236" s="3" t="n">
        <v>219.5441060178412</v>
      </c>
      <c r="DG236" s="3" t="n">
        <v>227.3701056937402</v>
      </c>
      <c r="DH236" s="3" t="n">
        <v>235.4531836243767</v>
      </c>
      <c r="DI236" s="3" t="n">
        <v>243.7959917168422</v>
      </c>
      <c r="DJ236" s="3" t="n">
        <v>252.4028064585856</v>
      </c>
      <c r="DK236" s="3" t="n">
        <v>261.2923378514465</v>
      </c>
      <c r="DL236" s="3" t="n">
        <v>270.4740285958427</v>
      </c>
      <c r="DM236" s="3" t="n">
        <v>279.9565848575173</v>
      </c>
      <c r="DN236" s="3" t="n">
        <v>289.7476859586674</v>
      </c>
      <c r="DO236" s="3" t="n">
        <v>296.4813673640517</v>
      </c>
    </row>
    <row r="237">
      <c r="A237" s="19" t="inlineStr">
        <is>
          <t>mit.eff.price.all.lpg</t>
        </is>
      </c>
      <c r="B237" s="3" t="inlineStr">
        <is>
          <t>mit</t>
        </is>
      </c>
      <c r="C237" s="19" t="inlineStr">
        <is>
          <t>mit.eff.price.lpg.all</t>
        </is>
      </c>
      <c r="H237" s="3" t="inlineStr">
        <is>
          <t>Efficient price | All sectors | LPG</t>
        </is>
      </c>
      <c r="I237" s="3" t="inlineStr">
        <is>
          <t>USD per price unit</t>
        </is>
      </c>
      <c r="K237" s="20" t="inlineStr">
        <is>
          <t>egy.mit.eff.price.all.lpg.1</t>
        </is>
      </c>
      <c r="L237" s="3" t="n">
        <v>0.8588529439921929</v>
      </c>
      <c r="M237" s="3" t="n">
        <v>0.7694089505267702</v>
      </c>
      <c r="N237" s="3" t="n">
        <v>0.7476149961540602</v>
      </c>
      <c r="O237" s="3" t="n">
        <v>0.6737270593609426</v>
      </c>
      <c r="P237" s="3" t="n">
        <v>0.733102223537796</v>
      </c>
      <c r="Q237" s="3" t="n">
        <v>0.682267794023484</v>
      </c>
      <c r="R237" s="3" t="n">
        <v>0.6724494270392657</v>
      </c>
      <c r="S237" s="3" t="n">
        <v>0.6704906026637401</v>
      </c>
      <c r="T237" s="3" t="n">
        <v>0.6697183519536449</v>
      </c>
      <c r="U237" s="3" t="n">
        <v>0.6684562029112999</v>
      </c>
      <c r="V237" s="3" t="n">
        <v>0.6748975327170293</v>
      </c>
      <c r="W237" s="3" t="n">
        <v>0.68159595935569</v>
      </c>
      <c r="X237" s="3" t="n">
        <v>0.6885615539623754</v>
      </c>
      <c r="Y237" s="3" t="n">
        <v>0.6958049193761087</v>
      </c>
      <c r="Z237" s="3" t="n">
        <v>0.7033368804513628</v>
      </c>
      <c r="AA237" s="3" t="n">
        <v>0.7111690137697657</v>
      </c>
      <c r="AB237" s="3" t="n">
        <v>0.7193127986740721</v>
      </c>
      <c r="AC237" s="3" t="n">
        <v>0.7277804228674168</v>
      </c>
      <c r="AD237" s="3" t="n">
        <v>0.7365845389906349</v>
      </c>
      <c r="AE237" s="3" t="n">
        <v>0.7455571405437372</v>
      </c>
      <c r="AG237" s="20" t="inlineStr">
        <is>
          <t>egy.mit.eff.price.all.lpg.3</t>
        </is>
      </c>
      <c r="AH237" s="3" t="n">
        <v>0.8588529439921929</v>
      </c>
      <c r="AI237" s="3" t="n">
        <v>0.7694089505267702</v>
      </c>
      <c r="AJ237" s="3" t="n">
        <v>0.7476149961540602</v>
      </c>
      <c r="AK237" s="3" t="n">
        <v>0.6737270593609426</v>
      </c>
      <c r="AL237" s="3" t="n">
        <v>0.733102223537796</v>
      </c>
      <c r="AM237" s="3" t="n">
        <v>0.6822528676572986</v>
      </c>
      <c r="AN237" s="3" t="n">
        <v>0.6724330933653213</v>
      </c>
      <c r="AO237" s="3" t="n">
        <v>0.6704731099903551</v>
      </c>
      <c r="AP237" s="3" t="n">
        <v>0.6696991981871182</v>
      </c>
      <c r="AQ237" s="3" t="n">
        <v>0.6684366928584783</v>
      </c>
      <c r="AR237" s="3" t="n">
        <v>0.6748769964861074</v>
      </c>
      <c r="AS237" s="3" t="n">
        <v>0.6815747895414161</v>
      </c>
      <c r="AT237" s="3" t="n">
        <v>0.6885399493741554</v>
      </c>
      <c r="AU237" s="3" t="n">
        <v>0.6957827772934333</v>
      </c>
      <c r="AV237" s="3" t="n">
        <v>0.7033142917719413</v>
      </c>
      <c r="AW237" s="3" t="n">
        <v>0.7111462067857797</v>
      </c>
      <c r="AX237" s="3" t="n">
        <v>0.7192895703135884</v>
      </c>
      <c r="AY237" s="3" t="n">
        <v>0.7277566574309949</v>
      </c>
      <c r="AZ237" s="3" t="n">
        <v>0.7365599483713022</v>
      </c>
      <c r="BA237" s="3" t="n">
        <v>0.7455325570621367</v>
      </c>
      <c r="BC237" s="20" t="inlineStr">
        <is>
          <t>egy.mit.eff.price.all.lpg.4</t>
        </is>
      </c>
      <c r="BD237" s="3" t="n">
        <v>0.8588529439921929</v>
      </c>
      <c r="BE237" s="3" t="n">
        <v>0.7694089505267702</v>
      </c>
      <c r="BF237" s="3" t="n">
        <v>0.7476149961540602</v>
      </c>
      <c r="BG237" s="3" t="n">
        <v>0.6737270593609426</v>
      </c>
      <c r="BH237" s="3" t="n">
        <v>0.733102223537796</v>
      </c>
      <c r="BI237" s="3" t="n">
        <v>0.68224548952957</v>
      </c>
      <c r="BJ237" s="3" t="n">
        <v>0.6724011570265799</v>
      </c>
      <c r="BK237" s="3" t="n">
        <v>0.6704190624943501</v>
      </c>
      <c r="BL237" s="3" t="n">
        <v>0.6696251232020103</v>
      </c>
      <c r="BM237" s="3" t="n">
        <v>0.6683585243060153</v>
      </c>
      <c r="BN237" s="3" t="n">
        <v>0.6747928752552828</v>
      </c>
      <c r="BO237" s="3" t="n">
        <v>0.6814840280569039</v>
      </c>
      <c r="BP237" s="3" t="n">
        <v>0.6884422498683069</v>
      </c>
      <c r="BQ237" s="3" t="n">
        <v>0.695678094596184</v>
      </c>
      <c r="BR237" s="3" t="n">
        <v>0.7032024188017905</v>
      </c>
      <c r="BS237" s="3" t="n">
        <v>0.71102691253677</v>
      </c>
      <c r="BT237" s="3" t="n">
        <v>0.7191629665532512</v>
      </c>
      <c r="BU237" s="3" t="n">
        <v>0.7276227044637008</v>
      </c>
      <c r="BV237" s="3" t="n">
        <v>0.7364185873869467</v>
      </c>
      <c r="BW237" s="3" t="n">
        <v>0.7453889273426321</v>
      </c>
      <c r="BY237" s="20" t="inlineStr">
        <is>
          <t>egy.mit.eff.price.all.lpg.5</t>
        </is>
      </c>
      <c r="BZ237" s="3" t="n">
        <v>0.8588529439921929</v>
      </c>
      <c r="CA237" s="3" t="n">
        <v>0.7694089505267702</v>
      </c>
      <c r="CB237" s="3" t="n">
        <v>0.7476149961540602</v>
      </c>
      <c r="CC237" s="3" t="n">
        <v>0.6737270593609426</v>
      </c>
      <c r="CD237" s="3" t="n">
        <v>0.733102223537796</v>
      </c>
      <c r="CE237" s="3" t="n">
        <v>0.6822497293377205</v>
      </c>
      <c r="CF237" s="3" t="n">
        <v>0.6724296586238457</v>
      </c>
      <c r="CG237" s="3" t="n">
        <v>0.6704693676775192</v>
      </c>
      <c r="CH237" s="3" t="n">
        <v>0.6696952176914877</v>
      </c>
      <c r="CI237" s="3" t="n">
        <v>0.6684327077213861</v>
      </c>
      <c r="CJ237" s="3" t="n">
        <v>0.6748728158788199</v>
      </c>
      <c r="CK237" s="3" t="n">
        <v>0.6815704598250643</v>
      </c>
      <c r="CL237" s="3" t="n">
        <v>0.6885352803749826</v>
      </c>
      <c r="CM237" s="3" t="n">
        <v>0.6957777893033743</v>
      </c>
      <c r="CN237" s="3" t="n">
        <v>0.703308968677953</v>
      </c>
      <c r="CO237" s="3" t="n">
        <v>0.7111404784987778</v>
      </c>
      <c r="CP237" s="3" t="n">
        <v>0.7192834382784207</v>
      </c>
      <c r="CQ237" s="3" t="n">
        <v>0.7277501828765298</v>
      </c>
      <c r="CR237" s="3" t="n">
        <v>0.7365531811734805</v>
      </c>
      <c r="CS237" s="3" t="n">
        <v>0.7455258552495874</v>
      </c>
      <c r="CU237" s="20" t="inlineStr">
        <is>
          <t>egy.mit.eff.price.all.lpg.6</t>
        </is>
      </c>
      <c r="CV237" s="3" t="n">
        <v>0.8588529439921929</v>
      </c>
      <c r="CW237" s="3" t="n">
        <v>0.7694089505267702</v>
      </c>
      <c r="CX237" s="3" t="n">
        <v>0.7476149961540602</v>
      </c>
      <c r="CY237" s="3" t="n">
        <v>0.6737270593609426</v>
      </c>
      <c r="CZ237" s="3" t="n">
        <v>0.733102223537796</v>
      </c>
      <c r="DA237" s="3" t="n">
        <v>0.682236408212214</v>
      </c>
      <c r="DB237" s="3" t="n">
        <v>0.6724150793753326</v>
      </c>
      <c r="DC237" s="3" t="n">
        <v>0.6704538208920269</v>
      </c>
      <c r="DD237" s="3" t="n">
        <v>0.6696780457052813</v>
      </c>
      <c r="DE237" s="3" t="n">
        <v>0.6684151893824108</v>
      </c>
      <c r="DF237" s="3" t="n">
        <v>0.6748543203430308</v>
      </c>
      <c r="DG237" s="3" t="n">
        <v>0.681551450785153</v>
      </c>
      <c r="DH237" s="3" t="n">
        <v>0.6885161040773622</v>
      </c>
      <c r="DI237" s="3" t="n">
        <v>0.6957583337472099</v>
      </c>
      <c r="DJ237" s="3" t="n">
        <v>0.7032893433733454</v>
      </c>
      <c r="DK237" s="3" t="n">
        <v>0.7111210108376859</v>
      </c>
      <c r="DL237" s="3" t="n">
        <v>0.7192638831374921</v>
      </c>
      <c r="DM237" s="3" t="n">
        <v>0.7277303778679284</v>
      </c>
      <c r="DN237" s="3" t="n">
        <v>0.7365327570932664</v>
      </c>
      <c r="DO237" s="3" t="n">
        <v>0.7455053948112731</v>
      </c>
    </row>
    <row r="238">
      <c r="A238" s="19" t="inlineStr">
        <is>
          <t>mit.sup.cost.all.lpg</t>
        </is>
      </c>
      <c r="B238" s="3" t="inlineStr">
        <is>
          <t>mit</t>
        </is>
      </c>
      <c r="C238" s="19" t="inlineStr">
        <is>
          <t>mit.sup.cost.lpg.all</t>
        </is>
      </c>
      <c r="H238" s="3" t="inlineStr">
        <is>
          <t>Efficient price: supply cost of scenario 1 | All sectors | LPG</t>
        </is>
      </c>
      <c r="I238" s="3" t="inlineStr">
        <is>
          <t>USD per price unit</t>
        </is>
      </c>
      <c r="K238" s="20" t="inlineStr">
        <is>
          <t>egy.mit.sup.cost.all.lpg.1</t>
        </is>
      </c>
      <c r="L238" s="3" t="n">
        <v>0.6538688368939947</v>
      </c>
      <c r="M238" s="3" t="n">
        <v>0.571491398866922</v>
      </c>
      <c r="N238" s="3" t="n">
        <v>0.548474156826566</v>
      </c>
      <c r="O238" s="3" t="n">
        <v>0.4801831251164528</v>
      </c>
      <c r="P238" s="3" t="n">
        <v>0.5276454400321468</v>
      </c>
      <c r="Q238" s="3" t="n">
        <v>0.4784302672522285</v>
      </c>
      <c r="R238" s="3" t="n">
        <v>0.4648903759811245</v>
      </c>
      <c r="S238" s="3" t="n">
        <v>0.458065172809316</v>
      </c>
      <c r="T238" s="3" t="n">
        <v>0.4520964901611191</v>
      </c>
      <c r="U238" s="3" t="n">
        <v>0.4456120665474345</v>
      </c>
      <c r="V238" s="3" t="n">
        <v>0.4456120665474345</v>
      </c>
      <c r="W238" s="3" t="n">
        <v>0.4456120665474345</v>
      </c>
      <c r="X238" s="3" t="n">
        <v>0.4456120665474346</v>
      </c>
      <c r="Y238" s="3" t="n">
        <v>0.4456120665474346</v>
      </c>
      <c r="Z238" s="3" t="n">
        <v>0.4456120665474346</v>
      </c>
      <c r="AA238" s="3" t="n">
        <v>0.4456120665474345</v>
      </c>
      <c r="AB238" s="3" t="n">
        <v>0.4456120665474345</v>
      </c>
      <c r="AC238" s="3" t="n">
        <v>0.4456120665474345</v>
      </c>
      <c r="AD238" s="3" t="n">
        <v>0.4456120665474345</v>
      </c>
      <c r="AE238" s="3" t="n">
        <v>0.4456120665474345</v>
      </c>
      <c r="AG238" s="20" t="inlineStr">
        <is>
          <t>egy.mit.sup.cost.all.lpg.3</t>
        </is>
      </c>
      <c r="AH238" s="3" t="n">
        <v>0.6538688368939947</v>
      </c>
      <c r="AI238" s="3" t="n">
        <v>0.571491398866922</v>
      </c>
      <c r="AJ238" s="3" t="n">
        <v>0.548474156826566</v>
      </c>
      <c r="AK238" s="3" t="n">
        <v>0.4801831251164528</v>
      </c>
      <c r="AL238" s="3" t="n">
        <v>0.5276454400321468</v>
      </c>
      <c r="AM238" s="3" t="n">
        <v>0.4784302672522285</v>
      </c>
      <c r="AN238" s="3" t="n">
        <v>0.4648903759811245</v>
      </c>
      <c r="AO238" s="3" t="n">
        <v>0.458065172809316</v>
      </c>
      <c r="AP238" s="3" t="n">
        <v>0.4520964901611191</v>
      </c>
      <c r="AQ238" s="3" t="n">
        <v>0.4456120665474345</v>
      </c>
      <c r="AR238" s="3" t="n">
        <v>0.4456120665474345</v>
      </c>
      <c r="AS238" s="3" t="n">
        <v>0.4456120665474345</v>
      </c>
      <c r="AT238" s="3" t="n">
        <v>0.4456120665474346</v>
      </c>
      <c r="AU238" s="3" t="n">
        <v>0.4456120665474346</v>
      </c>
      <c r="AV238" s="3" t="n">
        <v>0.4456120665474346</v>
      </c>
      <c r="AW238" s="3" t="n">
        <v>0.4456120665474345</v>
      </c>
      <c r="AX238" s="3" t="n">
        <v>0.4456120665474345</v>
      </c>
      <c r="AY238" s="3" t="n">
        <v>0.4456120665474345</v>
      </c>
      <c r="AZ238" s="3" t="n">
        <v>0.4456120665474345</v>
      </c>
      <c r="BA238" s="3" t="n">
        <v>0.4456120665474345</v>
      </c>
      <c r="BC238" s="20" t="inlineStr">
        <is>
          <t>egy.mit.sup.cost.all.lpg.4</t>
        </is>
      </c>
      <c r="BD238" s="3" t="n">
        <v>0.6538688368939947</v>
      </c>
      <c r="BE238" s="3" t="n">
        <v>0.571491398866922</v>
      </c>
      <c r="BF238" s="3" t="n">
        <v>0.548474156826566</v>
      </c>
      <c r="BG238" s="3" t="n">
        <v>0.4801831251164528</v>
      </c>
      <c r="BH238" s="3" t="n">
        <v>0.5276454400321468</v>
      </c>
      <c r="BI238" s="3" t="n">
        <v>0.4784302672522285</v>
      </c>
      <c r="BJ238" s="3" t="n">
        <v>0.4648903759811245</v>
      </c>
      <c r="BK238" s="3" t="n">
        <v>0.458065172809316</v>
      </c>
      <c r="BL238" s="3" t="n">
        <v>0.4520964901611191</v>
      </c>
      <c r="BM238" s="3" t="n">
        <v>0.4456120665474345</v>
      </c>
      <c r="BN238" s="3" t="n">
        <v>0.4456120665474345</v>
      </c>
      <c r="BO238" s="3" t="n">
        <v>0.4456120665474345</v>
      </c>
      <c r="BP238" s="3" t="n">
        <v>0.4456120665474346</v>
      </c>
      <c r="BQ238" s="3" t="n">
        <v>0.4456120665474346</v>
      </c>
      <c r="BR238" s="3" t="n">
        <v>0.4456120665474346</v>
      </c>
      <c r="BS238" s="3" t="n">
        <v>0.4456120665474345</v>
      </c>
      <c r="BT238" s="3" t="n">
        <v>0.4456120665474345</v>
      </c>
      <c r="BU238" s="3" t="n">
        <v>0.4456120665474345</v>
      </c>
      <c r="BV238" s="3" t="n">
        <v>0.4456120665474345</v>
      </c>
      <c r="BW238" s="3" t="n">
        <v>0.4456120665474345</v>
      </c>
      <c r="BY238" s="20" t="inlineStr">
        <is>
          <t>egy.mit.sup.cost.all.lpg.5</t>
        </is>
      </c>
      <c r="BZ238" s="3" t="n">
        <v>0.6538688368939947</v>
      </c>
      <c r="CA238" s="3" t="n">
        <v>0.571491398866922</v>
      </c>
      <c r="CB238" s="3" t="n">
        <v>0.548474156826566</v>
      </c>
      <c r="CC238" s="3" t="n">
        <v>0.4801831251164528</v>
      </c>
      <c r="CD238" s="3" t="n">
        <v>0.5276454400321468</v>
      </c>
      <c r="CE238" s="3" t="n">
        <v>0.4784302672522285</v>
      </c>
      <c r="CF238" s="3" t="n">
        <v>0.4648903759811245</v>
      </c>
      <c r="CG238" s="3" t="n">
        <v>0.458065172809316</v>
      </c>
      <c r="CH238" s="3" t="n">
        <v>0.4520964901611191</v>
      </c>
      <c r="CI238" s="3" t="n">
        <v>0.4456120665474345</v>
      </c>
      <c r="CJ238" s="3" t="n">
        <v>0.4456120665474345</v>
      </c>
      <c r="CK238" s="3" t="n">
        <v>0.4456120665474345</v>
      </c>
      <c r="CL238" s="3" t="n">
        <v>0.4456120665474346</v>
      </c>
      <c r="CM238" s="3" t="n">
        <v>0.4456120665474346</v>
      </c>
      <c r="CN238" s="3" t="n">
        <v>0.4456120665474346</v>
      </c>
      <c r="CO238" s="3" t="n">
        <v>0.4456120665474345</v>
      </c>
      <c r="CP238" s="3" t="n">
        <v>0.4456120665474345</v>
      </c>
      <c r="CQ238" s="3" t="n">
        <v>0.4456120665474345</v>
      </c>
      <c r="CR238" s="3" t="n">
        <v>0.4456120665474345</v>
      </c>
      <c r="CS238" s="3" t="n">
        <v>0.4456120665474345</v>
      </c>
      <c r="CU238" s="20" t="inlineStr">
        <is>
          <t>egy.mit.sup.cost.all.lpg.6</t>
        </is>
      </c>
      <c r="CV238" s="3" t="n">
        <v>0.6538688368939947</v>
      </c>
      <c r="CW238" s="3" t="n">
        <v>0.571491398866922</v>
      </c>
      <c r="CX238" s="3" t="n">
        <v>0.548474156826566</v>
      </c>
      <c r="CY238" s="3" t="n">
        <v>0.4801831251164528</v>
      </c>
      <c r="CZ238" s="3" t="n">
        <v>0.5276454400321468</v>
      </c>
      <c r="DA238" s="3" t="n">
        <v>0.4784302672522285</v>
      </c>
      <c r="DB238" s="3" t="n">
        <v>0.4648903759811245</v>
      </c>
      <c r="DC238" s="3" t="n">
        <v>0.458065172809316</v>
      </c>
      <c r="DD238" s="3" t="n">
        <v>0.4520964901611191</v>
      </c>
      <c r="DE238" s="3" t="n">
        <v>0.4456120665474345</v>
      </c>
      <c r="DF238" s="3" t="n">
        <v>0.4456120665474345</v>
      </c>
      <c r="DG238" s="3" t="n">
        <v>0.4456120665474345</v>
      </c>
      <c r="DH238" s="3" t="n">
        <v>0.4456120665474346</v>
      </c>
      <c r="DI238" s="3" t="n">
        <v>0.4456120665474346</v>
      </c>
      <c r="DJ238" s="3" t="n">
        <v>0.4456120665474346</v>
      </c>
      <c r="DK238" s="3" t="n">
        <v>0.4456120665474345</v>
      </c>
      <c r="DL238" s="3" t="n">
        <v>0.4456120665474345</v>
      </c>
      <c r="DM238" s="3" t="n">
        <v>0.4456120665474345</v>
      </c>
      <c r="DN238" s="3" t="n">
        <v>0.4456120665474345</v>
      </c>
      <c r="DO238" s="3" t="n">
        <v>0.4456120665474345</v>
      </c>
    </row>
    <row r="239">
      <c r="A239" s="19" t="inlineStr">
        <is>
          <t>mit.airpol.cost.all.lpg</t>
        </is>
      </c>
      <c r="B239" s="3" t="inlineStr">
        <is>
          <t>mit</t>
        </is>
      </c>
      <c r="C239" s="19" t="inlineStr">
        <is>
          <t>mit.airpol.cost.lpg.all</t>
        </is>
      </c>
      <c r="H239" s="3" t="inlineStr">
        <is>
          <t>Air-pollution cost per unit of fuel, marginal damages (coal, gas, other oil products USD/GJ; gasoline, diesel, LPG, kerosene USD/l) | All sectors | LPG</t>
        </is>
      </c>
      <c r="I239" s="3" t="inlineStr">
        <is>
          <t>USD per unit</t>
        </is>
      </c>
      <c r="K239" s="20" t="inlineStr">
        <is>
          <t>egy.mit.airpol.cost.all.lpg.1</t>
        </is>
      </c>
      <c r="L239" s="3" t="n">
        <v>0.002594748942134258</v>
      </c>
      <c r="M239" s="3" t="n">
        <v>0.00263589599466035</v>
      </c>
      <c r="N239" s="3" t="n">
        <v>0.002503920712128188</v>
      </c>
      <c r="O239" s="3" t="n">
        <v>0.001787990752490808</v>
      </c>
      <c r="P239" s="3" t="n">
        <v>0.002048451877182475</v>
      </c>
      <c r="Q239" s="3" t="n">
        <v>0.002136890459944189</v>
      </c>
      <c r="R239" s="3" t="n">
        <v>0.002347644578870465</v>
      </c>
      <c r="S239" s="3" t="n">
        <v>0.002549384838783799</v>
      </c>
      <c r="T239" s="3" t="n">
        <v>0.002739250830935593</v>
      </c>
      <c r="U239" s="3" t="n">
        <v>0.002811066259310453</v>
      </c>
      <c r="V239" s="3" t="n">
        <v>0.002943677263928849</v>
      </c>
      <c r="W239" s="3" t="n">
        <v>0.003081104674260093</v>
      </c>
      <c r="X239" s="3" t="n">
        <v>0.003223354534055732</v>
      </c>
      <c r="Y239" s="3" t="n">
        <v>0.003370546162611949</v>
      </c>
      <c r="Z239" s="3" t="n">
        <v>0.003522626372952255</v>
      </c>
      <c r="AA239" s="3" t="n">
        <v>0.003679819440950732</v>
      </c>
      <c r="AB239" s="3" t="n">
        <v>0.003841867120412181</v>
      </c>
      <c r="AC239" s="3" t="n">
        <v>0.004008719420092556</v>
      </c>
      <c r="AD239" s="3" t="n">
        <v>0.004180304550479009</v>
      </c>
      <c r="AE239" s="3" t="n">
        <v>0.004197630967621001</v>
      </c>
      <c r="AG239" s="20" t="inlineStr">
        <is>
          <t>egy.mit.airpol.cost.all.lpg.3</t>
        </is>
      </c>
      <c r="AH239" s="3" t="n">
        <v>0.002594748942134258</v>
      </c>
      <c r="AI239" s="3" t="n">
        <v>0.00263589599466035</v>
      </c>
      <c r="AJ239" s="3" t="n">
        <v>0.002503920712128188</v>
      </c>
      <c r="AK239" s="3" t="n">
        <v>0.001787990752490808</v>
      </c>
      <c r="AL239" s="3" t="n">
        <v>0.002048451877182475</v>
      </c>
      <c r="AM239" s="3" t="n">
        <v>0.002123797156272783</v>
      </c>
      <c r="AN239" s="3" t="n">
        <v>0.002333316794708737</v>
      </c>
      <c r="AO239" s="3" t="n">
        <v>0.002534040388446201</v>
      </c>
      <c r="AP239" s="3" t="n">
        <v>0.002722449281350811</v>
      </c>
      <c r="AQ239" s="3" t="n">
        <v>0.002793952177887911</v>
      </c>
      <c r="AR239" s="3" t="n">
        <v>0.002925663026278088</v>
      </c>
      <c r="AS239" s="3" t="n">
        <v>0.003062534661739189</v>
      </c>
      <c r="AT239" s="3" t="n">
        <v>0.003204403140880331</v>
      </c>
      <c r="AU239" s="3" t="n">
        <v>0.003351123283072226</v>
      </c>
      <c r="AV239" s="3" t="n">
        <v>0.003502811741880774</v>
      </c>
      <c r="AW239" s="3" t="n">
        <v>0.003659813314647138</v>
      </c>
      <c r="AX239" s="3" t="n">
        <v>0.003821491365601966</v>
      </c>
      <c r="AY239" s="3" t="n">
        <v>0.003987872546038231</v>
      </c>
      <c r="AZ239" s="3" t="n">
        <v>0.004158733831766201</v>
      </c>
      <c r="BA239" s="3" t="n">
        <v>0.004176066510076746</v>
      </c>
      <c r="BC239" s="20" t="inlineStr">
        <is>
          <t>egy.mit.airpol.cost.all.lpg.4</t>
        </is>
      </c>
      <c r="BD239" s="3" t="n">
        <v>0.002594748942134258</v>
      </c>
      <c r="BE239" s="3" t="n">
        <v>0.00263589599466035</v>
      </c>
      <c r="BF239" s="3" t="n">
        <v>0.002503920712128188</v>
      </c>
      <c r="BG239" s="3" t="n">
        <v>0.001787990752490808</v>
      </c>
      <c r="BH239" s="3" t="n">
        <v>0.002048451877182475</v>
      </c>
      <c r="BI239" s="3" t="n">
        <v>0.002117325114405561</v>
      </c>
      <c r="BJ239" s="3" t="n">
        <v>0.002305302462479308</v>
      </c>
      <c r="BK239" s="3" t="n">
        <v>0.002486630304231156</v>
      </c>
      <c r="BL239" s="3" t="n">
        <v>0.00265747122423852</v>
      </c>
      <c r="BM239" s="3" t="n">
        <v>0.002725383272218619</v>
      </c>
      <c r="BN239" s="3" t="n">
        <v>0.002851872472923118</v>
      </c>
      <c r="BO239" s="3" t="n">
        <v>0.002982919324447731</v>
      </c>
      <c r="BP239" s="3" t="n">
        <v>0.00311870181996052</v>
      </c>
      <c r="BQ239" s="3" t="n">
        <v>0.003259296355660567</v>
      </c>
      <c r="BR239" s="3" t="n">
        <v>0.003404677557537933</v>
      </c>
      <c r="BS239" s="3" t="n">
        <v>0.0035551692365685</v>
      </c>
      <c r="BT239" s="3" t="n">
        <v>0.003710435435481592</v>
      </c>
      <c r="BU239" s="3" t="n">
        <v>0.003870369943148705</v>
      </c>
      <c r="BV239" s="3" t="n">
        <v>0.00403473296829639</v>
      </c>
      <c r="BW239" s="3" t="n">
        <v>0.004050075528055109</v>
      </c>
      <c r="BY239" s="20" t="inlineStr">
        <is>
          <t>egy.mit.airpol.cost.all.lpg.5</t>
        </is>
      </c>
      <c r="BZ239" s="3" t="n">
        <v>0.002594748942134258</v>
      </c>
      <c r="CA239" s="3" t="n">
        <v>0.00263589599466035</v>
      </c>
      <c r="CB239" s="3" t="n">
        <v>0.002503920712128188</v>
      </c>
      <c r="CC239" s="3" t="n">
        <v>0.001787990752490808</v>
      </c>
      <c r="CD239" s="3" t="n">
        <v>0.002048451877182475</v>
      </c>
      <c r="CE239" s="3" t="n">
        <v>0.002121044244362265</v>
      </c>
      <c r="CF239" s="3" t="n">
        <v>0.002330303863589781</v>
      </c>
      <c r="CG239" s="3" t="n">
        <v>0.002530757657888297</v>
      </c>
      <c r="CH239" s="3" t="n">
        <v>0.00271895761851689</v>
      </c>
      <c r="CI239" s="3" t="n">
        <v>0.002790456443596533</v>
      </c>
      <c r="CJ239" s="3" t="n">
        <v>0.002921995826903036</v>
      </c>
      <c r="CK239" s="3" t="n">
        <v>0.003058736664939276</v>
      </c>
      <c r="CL239" s="3" t="n">
        <v>0.003200307527570751</v>
      </c>
      <c r="CM239" s="3" t="n">
        <v>0.003346747853195996</v>
      </c>
      <c r="CN239" s="3" t="n">
        <v>0.003498142361189371</v>
      </c>
      <c r="CO239" s="3" t="n">
        <v>0.003654788501487589</v>
      </c>
      <c r="CP239" s="3" t="n">
        <v>0.003816112387384614</v>
      </c>
      <c r="CQ239" s="3" t="n">
        <v>0.003982193112296928</v>
      </c>
      <c r="CR239" s="3" t="n">
        <v>0.004152797693326011</v>
      </c>
      <c r="CS239" s="3" t="n">
        <v>0.004170187727138683</v>
      </c>
      <c r="CU239" s="20" t="inlineStr">
        <is>
          <t>egy.mit.airpol.cost.all.lpg.6</t>
        </is>
      </c>
      <c r="CV239" s="3" t="n">
        <v>0.002594748942134258</v>
      </c>
      <c r="CW239" s="3" t="n">
        <v>0.00263589599466035</v>
      </c>
      <c r="CX239" s="3" t="n">
        <v>0.002503920712128188</v>
      </c>
      <c r="CY239" s="3" t="n">
        <v>0.001787990752490808</v>
      </c>
      <c r="CZ239" s="3" t="n">
        <v>0.002048451877182475</v>
      </c>
      <c r="DA239" s="3" t="n">
        <v>0.002109359046549466</v>
      </c>
      <c r="DB239" s="3" t="n">
        <v>0.002317515049104556</v>
      </c>
      <c r="DC239" s="3" t="n">
        <v>0.002517120126754769</v>
      </c>
      <c r="DD239" s="3" t="n">
        <v>0.002703894472721966</v>
      </c>
      <c r="DE239" s="3" t="n">
        <v>0.002775089479583201</v>
      </c>
      <c r="DF239" s="3" t="n">
        <v>0.002905771672702183</v>
      </c>
      <c r="DG239" s="3" t="n">
        <v>0.003042062068525944</v>
      </c>
      <c r="DH239" s="3" t="n">
        <v>0.003183486213868605</v>
      </c>
      <c r="DI239" s="3" t="n">
        <v>0.00332968157585865</v>
      </c>
      <c r="DJ239" s="3" t="n">
        <v>0.00348092718170895</v>
      </c>
      <c r="DK239" s="3" t="n">
        <v>0.003637711605792935</v>
      </c>
      <c r="DL239" s="3" t="n">
        <v>0.003798958754991207</v>
      </c>
      <c r="DM239" s="3" t="n">
        <v>0.003964820297734244</v>
      </c>
      <c r="DN239" s="3" t="n">
        <v>0.004134881833489199</v>
      </c>
      <c r="DO239" s="3" t="n">
        <v>0.004152239974231397</v>
      </c>
    </row>
    <row r="240">
      <c r="A240" s="19" t="inlineStr">
        <is>
          <t>mit.scc.cost.all.lpg</t>
        </is>
      </c>
      <c r="B240" s="3" t="inlineStr">
        <is>
          <t>mit</t>
        </is>
      </c>
      <c r="C240" s="19" t="inlineStr">
        <is>
          <t>mit.scc.cost.lpg.all</t>
        </is>
      </c>
      <c r="H240" s="3" t="inlineStr">
        <is>
          <t>Efficient price: climate damage (national SCC) | All sectors | LPG</t>
        </is>
      </c>
      <c r="I240" s="3" t="inlineStr">
        <is>
          <t>USD per price unit</t>
        </is>
      </c>
      <c r="K240" s="20" t="inlineStr">
        <is>
          <t>egy.mit.scc.cost.all.lpg.1</t>
        </is>
      </c>
      <c r="L240" s="3" t="n">
        <v>0.09691618959561928</v>
      </c>
      <c r="M240" s="3" t="n">
        <v>0.1007928371794441</v>
      </c>
      <c r="N240" s="3" t="n">
        <v>0.1048245506666218</v>
      </c>
      <c r="O240" s="3" t="n">
        <v>0.1090175326932867</v>
      </c>
      <c r="P240" s="3" t="n">
        <v>0.1133782340010182</v>
      </c>
      <c r="Q240" s="3" t="n">
        <v>0.1179133633610589</v>
      </c>
      <c r="R240" s="3" t="n">
        <v>0.1226298978955012</v>
      </c>
      <c r="S240" s="3" t="n">
        <v>0.1275350938113213</v>
      </c>
      <c r="T240" s="3" t="n">
        <v>0.1326364975637742</v>
      </c>
      <c r="U240" s="3" t="n">
        <v>0.1379419574663251</v>
      </c>
      <c r="V240" s="3" t="n">
        <v>0.1434596357649781</v>
      </c>
      <c r="W240" s="3" t="n">
        <v>0.1491980211955773</v>
      </c>
      <c r="X240" s="3" t="n">
        <v>0.1551659420434004</v>
      </c>
      <c r="Y240" s="3" t="n">
        <v>0.1613725797251364</v>
      </c>
      <c r="Z240" s="3" t="n">
        <v>0.1678274829141419</v>
      </c>
      <c r="AA240" s="3" t="n">
        <v>0.1745405822307075</v>
      </c>
      <c r="AB240" s="3" t="n">
        <v>0.1815222055199358</v>
      </c>
      <c r="AC240" s="3" t="n">
        <v>0.1887830937407333</v>
      </c>
      <c r="AD240" s="3" t="n">
        <v>0.1963344174903626</v>
      </c>
      <c r="AE240" s="3" t="n">
        <v>0.2041877941899771</v>
      </c>
      <c r="AG240" s="20" t="inlineStr">
        <is>
          <t>egy.mit.scc.cost.all.lpg.3</t>
        </is>
      </c>
      <c r="AH240" s="3" t="n">
        <v>0.09691618959561928</v>
      </c>
      <c r="AI240" s="3" t="n">
        <v>0.1007928371794441</v>
      </c>
      <c r="AJ240" s="3" t="n">
        <v>0.1048245506666218</v>
      </c>
      <c r="AK240" s="3" t="n">
        <v>0.1090175326932867</v>
      </c>
      <c r="AL240" s="3" t="n">
        <v>0.1133782340010182</v>
      </c>
      <c r="AM240" s="3" t="n">
        <v>0.1179133633610589</v>
      </c>
      <c r="AN240" s="3" t="n">
        <v>0.1226298978955012</v>
      </c>
      <c r="AO240" s="3" t="n">
        <v>0.1275350938113213</v>
      </c>
      <c r="AP240" s="3" t="n">
        <v>0.1326364975637742</v>
      </c>
      <c r="AQ240" s="3" t="n">
        <v>0.1379419574663251</v>
      </c>
      <c r="AR240" s="3" t="n">
        <v>0.1434596357649781</v>
      </c>
      <c r="AS240" s="3" t="n">
        <v>0.1491980211955773</v>
      </c>
      <c r="AT240" s="3" t="n">
        <v>0.1551659420434004</v>
      </c>
      <c r="AU240" s="3" t="n">
        <v>0.1613725797251364</v>
      </c>
      <c r="AV240" s="3" t="n">
        <v>0.1678274829141419</v>
      </c>
      <c r="AW240" s="3" t="n">
        <v>0.1745405822307075</v>
      </c>
      <c r="AX240" s="3" t="n">
        <v>0.1815222055199358</v>
      </c>
      <c r="AY240" s="3" t="n">
        <v>0.1887830937407333</v>
      </c>
      <c r="AZ240" s="3" t="n">
        <v>0.1963344174903626</v>
      </c>
      <c r="BA240" s="3" t="n">
        <v>0.2041877941899771</v>
      </c>
      <c r="BC240" s="20" t="inlineStr">
        <is>
          <t>egy.mit.scc.cost.all.lpg.4</t>
        </is>
      </c>
      <c r="BD240" s="3" t="n">
        <v>0.09691618959561928</v>
      </c>
      <c r="BE240" s="3" t="n">
        <v>0.1007928371794441</v>
      </c>
      <c r="BF240" s="3" t="n">
        <v>0.1048245506666218</v>
      </c>
      <c r="BG240" s="3" t="n">
        <v>0.1090175326932867</v>
      </c>
      <c r="BH240" s="3" t="n">
        <v>0.1133782340010182</v>
      </c>
      <c r="BI240" s="3" t="n">
        <v>0.1179133633610589</v>
      </c>
      <c r="BJ240" s="3" t="n">
        <v>0.1226298978955012</v>
      </c>
      <c r="BK240" s="3" t="n">
        <v>0.1275350938113213</v>
      </c>
      <c r="BL240" s="3" t="n">
        <v>0.1326364975637742</v>
      </c>
      <c r="BM240" s="3" t="n">
        <v>0.1379419574663251</v>
      </c>
      <c r="BN240" s="3" t="n">
        <v>0.1434596357649781</v>
      </c>
      <c r="BO240" s="3" t="n">
        <v>0.1491980211955773</v>
      </c>
      <c r="BP240" s="3" t="n">
        <v>0.1551659420434004</v>
      </c>
      <c r="BQ240" s="3" t="n">
        <v>0.1613725797251364</v>
      </c>
      <c r="BR240" s="3" t="n">
        <v>0.1678274829141419</v>
      </c>
      <c r="BS240" s="3" t="n">
        <v>0.1745405822307075</v>
      </c>
      <c r="BT240" s="3" t="n">
        <v>0.1815222055199358</v>
      </c>
      <c r="BU240" s="3" t="n">
        <v>0.1887830937407333</v>
      </c>
      <c r="BV240" s="3" t="n">
        <v>0.1963344174903626</v>
      </c>
      <c r="BW240" s="3" t="n">
        <v>0.2041877941899771</v>
      </c>
      <c r="BY240" s="20" t="inlineStr">
        <is>
          <t>egy.mit.scc.cost.all.lpg.5</t>
        </is>
      </c>
      <c r="BZ240" s="3" t="n">
        <v>0.09691618959561928</v>
      </c>
      <c r="CA240" s="3" t="n">
        <v>0.1007928371794441</v>
      </c>
      <c r="CB240" s="3" t="n">
        <v>0.1048245506666218</v>
      </c>
      <c r="CC240" s="3" t="n">
        <v>0.1090175326932867</v>
      </c>
      <c r="CD240" s="3" t="n">
        <v>0.1133782340010182</v>
      </c>
      <c r="CE240" s="3" t="n">
        <v>0.1179133633610589</v>
      </c>
      <c r="CF240" s="3" t="n">
        <v>0.1226298978955012</v>
      </c>
      <c r="CG240" s="3" t="n">
        <v>0.1275350938113213</v>
      </c>
      <c r="CH240" s="3" t="n">
        <v>0.1326364975637742</v>
      </c>
      <c r="CI240" s="3" t="n">
        <v>0.1379419574663251</v>
      </c>
      <c r="CJ240" s="3" t="n">
        <v>0.1434596357649781</v>
      </c>
      <c r="CK240" s="3" t="n">
        <v>0.1491980211955773</v>
      </c>
      <c r="CL240" s="3" t="n">
        <v>0.1551659420434004</v>
      </c>
      <c r="CM240" s="3" t="n">
        <v>0.1613725797251364</v>
      </c>
      <c r="CN240" s="3" t="n">
        <v>0.1678274829141419</v>
      </c>
      <c r="CO240" s="3" t="n">
        <v>0.1745405822307075</v>
      </c>
      <c r="CP240" s="3" t="n">
        <v>0.1815222055199358</v>
      </c>
      <c r="CQ240" s="3" t="n">
        <v>0.1887830937407333</v>
      </c>
      <c r="CR240" s="3" t="n">
        <v>0.1963344174903626</v>
      </c>
      <c r="CS240" s="3" t="n">
        <v>0.2041877941899771</v>
      </c>
      <c r="CU240" s="20" t="inlineStr">
        <is>
          <t>egy.mit.scc.cost.all.lpg.6</t>
        </is>
      </c>
      <c r="CV240" s="3" t="n">
        <v>0.09691618959561928</v>
      </c>
      <c r="CW240" s="3" t="n">
        <v>0.1007928371794441</v>
      </c>
      <c r="CX240" s="3" t="n">
        <v>0.1048245506666218</v>
      </c>
      <c r="CY240" s="3" t="n">
        <v>0.1090175326932867</v>
      </c>
      <c r="CZ240" s="3" t="n">
        <v>0.1133782340010182</v>
      </c>
      <c r="DA240" s="3" t="n">
        <v>0.1179133633610589</v>
      </c>
      <c r="DB240" s="3" t="n">
        <v>0.1226298978955012</v>
      </c>
      <c r="DC240" s="3" t="n">
        <v>0.1275350938113213</v>
      </c>
      <c r="DD240" s="3" t="n">
        <v>0.1326364975637742</v>
      </c>
      <c r="DE240" s="3" t="n">
        <v>0.1379419574663251</v>
      </c>
      <c r="DF240" s="3" t="n">
        <v>0.1434596357649781</v>
      </c>
      <c r="DG240" s="3" t="n">
        <v>0.1491980211955773</v>
      </c>
      <c r="DH240" s="3" t="n">
        <v>0.1551659420434004</v>
      </c>
      <c r="DI240" s="3" t="n">
        <v>0.1613725797251364</v>
      </c>
      <c r="DJ240" s="3" t="n">
        <v>0.1678274829141419</v>
      </c>
      <c r="DK240" s="3" t="n">
        <v>0.1745405822307075</v>
      </c>
      <c r="DL240" s="3" t="n">
        <v>0.1815222055199358</v>
      </c>
      <c r="DM240" s="3" t="n">
        <v>0.1887830937407333</v>
      </c>
      <c r="DN240" s="3" t="n">
        <v>0.1963344174903626</v>
      </c>
      <c r="DO240" s="3" t="n">
        <v>0.2041877941899771</v>
      </c>
    </row>
    <row r="241">
      <c r="A241" s="19" t="inlineStr">
        <is>
          <t>mit.vat.cost.all.lpg</t>
        </is>
      </c>
      <c r="B241" s="3" t="inlineStr">
        <is>
          <t>mit</t>
        </is>
      </c>
      <c r="C241" s="19" t="inlineStr">
        <is>
          <t>mit.vat.cost.lpg.all</t>
        </is>
      </c>
      <c r="H241" s="3" t="inlineStr">
        <is>
          <t>Efficient price: potential VAT | All sectors | LPG</t>
        </is>
      </c>
      <c r="I241" s="3" t="inlineStr">
        <is>
          <t>USD per price unit</t>
        </is>
      </c>
      <c r="K241" s="20" t="inlineStr">
        <is>
          <t>egy.mit.vat.cost.all.lpg.1</t>
        </is>
      </c>
      <c r="L241" s="3" t="n">
        <v>0.1054731685604448</v>
      </c>
      <c r="M241" s="3" t="n">
        <v>0.09448881848574371</v>
      </c>
      <c r="N241" s="3" t="n">
        <v>0.09181236794874424</v>
      </c>
      <c r="O241" s="3" t="n">
        <v>0.08273841079871225</v>
      </c>
      <c r="P241" s="3" t="n">
        <v>0.09003009762744864</v>
      </c>
      <c r="Q241" s="3" t="n">
        <v>0.08378727295025243</v>
      </c>
      <c r="R241" s="3" t="n">
        <v>0.08258150858376948</v>
      </c>
      <c r="S241" s="3" t="n">
        <v>0.08234095120431896</v>
      </c>
      <c r="T241" s="3" t="n">
        <v>0.08224611339781605</v>
      </c>
      <c r="U241" s="3" t="n">
        <v>0.08209111263822982</v>
      </c>
      <c r="V241" s="3" t="n">
        <v>0.08288215314068782</v>
      </c>
      <c r="W241" s="3" t="n">
        <v>0.08370476693841807</v>
      </c>
      <c r="X241" s="3" t="n">
        <v>0.08456019083748471</v>
      </c>
      <c r="Y241" s="3" t="n">
        <v>0.08544972694092563</v>
      </c>
      <c r="Z241" s="3" t="n">
        <v>0.08637470461683402</v>
      </c>
      <c r="AA241" s="3" t="n">
        <v>0.08733654555067299</v>
      </c>
      <c r="AB241" s="3" t="n">
        <v>0.08833665948628956</v>
      </c>
      <c r="AC241" s="3" t="n">
        <v>0.08937654315915647</v>
      </c>
      <c r="AD241" s="3" t="n">
        <v>0.09045775040235868</v>
      </c>
      <c r="AE241" s="3" t="n">
        <v>0.09155964883870457</v>
      </c>
      <c r="AG241" s="20" t="inlineStr">
        <is>
          <t>egy.mit.vat.cost.all.lpg.3</t>
        </is>
      </c>
      <c r="AH241" s="3" t="n">
        <v>0.1054731685604448</v>
      </c>
      <c r="AI241" s="3" t="n">
        <v>0.09448881848574371</v>
      </c>
      <c r="AJ241" s="3" t="n">
        <v>0.09181236794874424</v>
      </c>
      <c r="AK241" s="3" t="n">
        <v>0.08273841079871225</v>
      </c>
      <c r="AL241" s="3" t="n">
        <v>0.09003009762744864</v>
      </c>
      <c r="AM241" s="3" t="n">
        <v>0.08378543988773843</v>
      </c>
      <c r="AN241" s="3" t="n">
        <v>0.08257950269398684</v>
      </c>
      <c r="AO241" s="3" t="n">
        <v>0.08233880298127169</v>
      </c>
      <c r="AP241" s="3" t="n">
        <v>0.08224376118087418</v>
      </c>
      <c r="AQ241" s="3" t="n">
        <v>0.08208871666683067</v>
      </c>
      <c r="AR241" s="3" t="n">
        <v>0.08287963114741671</v>
      </c>
      <c r="AS241" s="3" t="n">
        <v>0.08370216713666515</v>
      </c>
      <c r="AT241" s="3" t="n">
        <v>0.08455753764244014</v>
      </c>
      <c r="AU241" s="3" t="n">
        <v>0.08544700773779007</v>
      </c>
      <c r="AV241" s="3" t="n">
        <v>0.08637193056848402</v>
      </c>
      <c r="AW241" s="3" t="n">
        <v>0.08733374469299049</v>
      </c>
      <c r="AX241" s="3" t="n">
        <v>0.08833380688061614</v>
      </c>
      <c r="AY241" s="3" t="n">
        <v>0.08937362459678885</v>
      </c>
      <c r="AZ241" s="3" t="n">
        <v>0.09045473050173887</v>
      </c>
      <c r="BA241" s="3" t="n">
        <v>0.09155662981464838</v>
      </c>
      <c r="BC241" s="20" t="inlineStr">
        <is>
          <t>egy.mit.vat.cost.all.lpg.4</t>
        </is>
      </c>
      <c r="BD241" s="3" t="n">
        <v>0.1054731685604448</v>
      </c>
      <c r="BE241" s="3" t="n">
        <v>0.09448881848574371</v>
      </c>
      <c r="BF241" s="3" t="n">
        <v>0.09181236794874424</v>
      </c>
      <c r="BG241" s="3" t="n">
        <v>0.08273841079871225</v>
      </c>
      <c r="BH241" s="3" t="n">
        <v>0.09003009762744864</v>
      </c>
      <c r="BI241" s="3" t="n">
        <v>0.08378453380187703</v>
      </c>
      <c r="BJ241" s="3" t="n">
        <v>0.08257558068747473</v>
      </c>
      <c r="BK241" s="3" t="n">
        <v>0.0823321655694816</v>
      </c>
      <c r="BL241" s="3" t="n">
        <v>0.08223466425287845</v>
      </c>
      <c r="BM241" s="3" t="n">
        <v>0.08207911702003697</v>
      </c>
      <c r="BN241" s="3" t="n">
        <v>0.08286930046994702</v>
      </c>
      <c r="BO241" s="3" t="n">
        <v>0.08369102098944434</v>
      </c>
      <c r="BP241" s="3" t="n">
        <v>0.08454553945751138</v>
      </c>
      <c r="BQ241" s="3" t="n">
        <v>0.08543415196795243</v>
      </c>
      <c r="BR241" s="3" t="n">
        <v>0.08635819178267604</v>
      </c>
      <c r="BS241" s="3" t="n">
        <v>0.08731909452205948</v>
      </c>
      <c r="BT241" s="3" t="n">
        <v>0.08831825905039928</v>
      </c>
      <c r="BU241" s="3" t="n">
        <v>0.08935717423238432</v>
      </c>
      <c r="BV241" s="3" t="n">
        <v>0.0904373703808531</v>
      </c>
      <c r="BW241" s="3" t="n">
        <v>0.09153899107716534</v>
      </c>
      <c r="BY241" s="20" t="inlineStr">
        <is>
          <t>egy.mit.vat.cost.all.lpg.5</t>
        </is>
      </c>
      <c r="BZ241" s="3" t="n">
        <v>0.1054731685604448</v>
      </c>
      <c r="CA241" s="3" t="n">
        <v>0.09448881848574371</v>
      </c>
      <c r="CB241" s="3" t="n">
        <v>0.09181236794874424</v>
      </c>
      <c r="CC241" s="3" t="n">
        <v>0.08273841079871225</v>
      </c>
      <c r="CD241" s="3" t="n">
        <v>0.09003009762744864</v>
      </c>
      <c r="CE241" s="3" t="n">
        <v>0.08378505448007095</v>
      </c>
      <c r="CF241" s="3" t="n">
        <v>0.08257908088363018</v>
      </c>
      <c r="CG241" s="3" t="n">
        <v>0.0823383433989936</v>
      </c>
      <c r="CH241" s="3" t="n">
        <v>0.08224327234807743</v>
      </c>
      <c r="CI241" s="3" t="n">
        <v>0.08208822726402988</v>
      </c>
      <c r="CJ241" s="3" t="n">
        <v>0.08287911773950421</v>
      </c>
      <c r="CK241" s="3" t="n">
        <v>0.08370163541711316</v>
      </c>
      <c r="CL241" s="3" t="n">
        <v>0.08455696425657681</v>
      </c>
      <c r="CM241" s="3" t="n">
        <v>0.08544639517760738</v>
      </c>
      <c r="CN241" s="3" t="n">
        <v>0.08637127685518722</v>
      </c>
      <c r="CO241" s="3" t="n">
        <v>0.08733304121914816</v>
      </c>
      <c r="CP241" s="3" t="n">
        <v>0.0883330538236657</v>
      </c>
      <c r="CQ241" s="3" t="n">
        <v>0.08937282947606508</v>
      </c>
      <c r="CR241" s="3" t="n">
        <v>0.09045389944235725</v>
      </c>
      <c r="CS241" s="3" t="n">
        <v>0.09155580678503705</v>
      </c>
      <c r="CU241" s="20" t="inlineStr">
        <is>
          <t>egy.mit.vat.cost.all.lpg.6</t>
        </is>
      </c>
      <c r="CV241" s="3" t="n">
        <v>0.1054731685604448</v>
      </c>
      <c r="CW241" s="3" t="n">
        <v>0.09448881848574371</v>
      </c>
      <c r="CX241" s="3" t="n">
        <v>0.09181236794874424</v>
      </c>
      <c r="CY241" s="3" t="n">
        <v>0.08273841079871225</v>
      </c>
      <c r="CZ241" s="3" t="n">
        <v>0.09003009762744864</v>
      </c>
      <c r="DA241" s="3" t="n">
        <v>0.08378341855237717</v>
      </c>
      <c r="DB241" s="3" t="n">
        <v>0.08257729044960226</v>
      </c>
      <c r="DC241" s="3" t="n">
        <v>0.08233643414463489</v>
      </c>
      <c r="DD241" s="3" t="n">
        <v>0.08224116350766614</v>
      </c>
      <c r="DE241" s="3" t="n">
        <v>0.08208607588906801</v>
      </c>
      <c r="DF241" s="3" t="n">
        <v>0.08287684635791608</v>
      </c>
      <c r="DG241" s="3" t="n">
        <v>0.08369930097361528</v>
      </c>
      <c r="DH241" s="3" t="n">
        <v>0.08455460927265851</v>
      </c>
      <c r="DI241" s="3" t="n">
        <v>0.08544400589878016</v>
      </c>
      <c r="DJ241" s="3" t="n">
        <v>0.08636886673005997</v>
      </c>
      <c r="DK241" s="3" t="n">
        <v>0.08733065045375091</v>
      </c>
      <c r="DL241" s="3" t="n">
        <v>0.08833065231513063</v>
      </c>
      <c r="DM241" s="3" t="n">
        <v>0.0893703972820263</v>
      </c>
      <c r="DN241" s="3" t="n">
        <v>0.09045139122198009</v>
      </c>
      <c r="DO241" s="3" t="n">
        <v>0.09155329409963003</v>
      </c>
    </row>
    <row r="242">
      <c r="A242" s="19" t="inlineStr">
        <is>
          <t>mit.rp.eff.all.lpg</t>
        </is>
      </c>
      <c r="B242" s="3" t="inlineStr">
        <is>
          <t>mit</t>
        </is>
      </c>
      <c r="C242" s="19" t="inlineStr">
        <is>
          <t>mit.rp.lpg.all</t>
        </is>
      </c>
      <c r="H242" s="3" t="inlineStr">
        <is>
          <t>Efficient price block: retail price of the scenario | All sectors | LPG</t>
        </is>
      </c>
      <c r="I242" s="3" t="inlineStr">
        <is>
          <t>USD per price unit</t>
        </is>
      </c>
      <c r="K242" s="20" t="inlineStr">
        <is>
          <t>egy.mit.rp.eff.all.lpg.1</t>
        </is>
      </c>
      <c r="L242" s="3" t="n">
        <v>0.1527901592569083</v>
      </c>
      <c r="M242" s="3" t="n">
        <v>0.08954147497775593</v>
      </c>
      <c r="N242" s="3" t="n">
        <v>0.1048786929841984</v>
      </c>
      <c r="O242" s="3" t="n">
        <v>0.1048786929841984</v>
      </c>
      <c r="P242" s="3" t="n">
        <v>0.1048786929841984</v>
      </c>
      <c r="Q242" s="3" t="n">
        <v>0.1048786929841984</v>
      </c>
      <c r="R242" s="3" t="n">
        <v>0.1048786929841984</v>
      </c>
      <c r="S242" s="3" t="n">
        <v>0.1048786929841984</v>
      </c>
      <c r="T242" s="3" t="n">
        <v>0.1048786929841984</v>
      </c>
      <c r="U242" s="3" t="n">
        <v>0.1048786929841984</v>
      </c>
      <c r="V242" s="3" t="n">
        <v>0.1048786929841984</v>
      </c>
      <c r="W242" s="3" t="n">
        <v>0.1048786929841984</v>
      </c>
      <c r="X242" s="3" t="n">
        <v>0.1048786929841985</v>
      </c>
      <c r="Y242" s="3" t="n">
        <v>0.1048786929841985</v>
      </c>
      <c r="Z242" s="3" t="n">
        <v>0.1048786929841985</v>
      </c>
      <c r="AA242" s="3" t="n">
        <v>0.1048786929841984</v>
      </c>
      <c r="AB242" s="3" t="n">
        <v>0.1048786929841984</v>
      </c>
      <c r="AC242" s="3" t="n">
        <v>0.1048786929841984</v>
      </c>
      <c r="AD242" s="3" t="n">
        <v>0.1048786929841984</v>
      </c>
      <c r="AE242" s="3" t="n">
        <v>0.1048786929841984</v>
      </c>
      <c r="AG242" s="20" t="inlineStr">
        <is>
          <t>egy.mit.rp.eff.all.lpg.3</t>
        </is>
      </c>
      <c r="AH242" s="3" t="n">
        <v>0.1527901592569083</v>
      </c>
      <c r="AI242" s="3" t="n">
        <v>0.08954147497775593</v>
      </c>
      <c r="AJ242" s="3" t="n">
        <v>0.1048786929841984</v>
      </c>
      <c r="AK242" s="3" t="n">
        <v>0.1048786929841984</v>
      </c>
      <c r="AL242" s="3" t="n">
        <v>0.1048786929841984</v>
      </c>
      <c r="AM242" s="3" t="n">
        <v>0.140090691974339</v>
      </c>
      <c r="AN242" s="3" t="n">
        <v>0.1400906919743391</v>
      </c>
      <c r="AO242" s="3" t="n">
        <v>0.140090691974339</v>
      </c>
      <c r="AP242" s="3" t="n">
        <v>0.140090691974339</v>
      </c>
      <c r="AQ242" s="3" t="n">
        <v>0.140090691974339</v>
      </c>
      <c r="AR242" s="3" t="n">
        <v>0.140090691974339</v>
      </c>
      <c r="AS242" s="3" t="n">
        <v>0.1400906919743391</v>
      </c>
      <c r="AT242" s="3" t="n">
        <v>0.1400906919743391</v>
      </c>
      <c r="AU242" s="3" t="n">
        <v>0.1400906919743392</v>
      </c>
      <c r="AV242" s="3" t="n">
        <v>0.1400906919743392</v>
      </c>
      <c r="AW242" s="3" t="n">
        <v>0.140090691974339</v>
      </c>
      <c r="AX242" s="3" t="n">
        <v>0.140090691974339</v>
      </c>
      <c r="AY242" s="3" t="n">
        <v>0.140090691974339</v>
      </c>
      <c r="AZ242" s="3" t="n">
        <v>0.140090691974339</v>
      </c>
      <c r="BA242" s="3" t="n">
        <v>0.140090691974339</v>
      </c>
      <c r="BC242" s="20" t="inlineStr">
        <is>
          <t>egy.mit.rp.eff.all.lpg.4</t>
        </is>
      </c>
      <c r="BD242" s="3" t="n">
        <v>0.1527901592569083</v>
      </c>
      <c r="BE242" s="3" t="n">
        <v>0.08954147497775593</v>
      </c>
      <c r="BF242" s="3" t="n">
        <v>0.1048786929841984</v>
      </c>
      <c r="BG242" s="3" t="n">
        <v>0.1048786929841984</v>
      </c>
      <c r="BH242" s="3" t="n">
        <v>0.1048786929841984</v>
      </c>
      <c r="BI242" s="3" t="n">
        <v>0.1224846924792687</v>
      </c>
      <c r="BJ242" s="3" t="n">
        <v>0.1459593584726959</v>
      </c>
      <c r="BK242" s="3" t="n">
        <v>0.169434024466123</v>
      </c>
      <c r="BL242" s="3" t="n">
        <v>0.1929086904595501</v>
      </c>
      <c r="BM242" s="3" t="n">
        <v>0.2163833564529772</v>
      </c>
      <c r="BN242" s="3" t="n">
        <v>0.2398580224464044</v>
      </c>
      <c r="BO242" s="3" t="n">
        <v>0.2633326884398314</v>
      </c>
      <c r="BP242" s="3" t="n">
        <v>0.2868073544332587</v>
      </c>
      <c r="BQ242" s="3" t="n">
        <v>0.3102820204266858</v>
      </c>
      <c r="BR242" s="3" t="n">
        <v>0.333756686420113</v>
      </c>
      <c r="BS242" s="3" t="n">
        <v>0.35723135241354</v>
      </c>
      <c r="BT242" s="3" t="n">
        <v>0.3807060184069672</v>
      </c>
      <c r="BU242" s="3" t="n">
        <v>0.4041806844003942</v>
      </c>
      <c r="BV242" s="3" t="n">
        <v>0.4276553503938214</v>
      </c>
      <c r="BW242" s="3" t="n">
        <v>0.4511300163872485</v>
      </c>
      <c r="BY242" s="20" t="inlineStr">
        <is>
          <t>egy.mit.rp.eff.all.lpg.5</t>
        </is>
      </c>
      <c r="BZ242" s="3" t="n">
        <v>0.1527901592569083</v>
      </c>
      <c r="CA242" s="3" t="n">
        <v>0.08954147497775593</v>
      </c>
      <c r="CB242" s="3" t="n">
        <v>0.1048786929841984</v>
      </c>
      <c r="CC242" s="3" t="n">
        <v>0.1048786929841984</v>
      </c>
      <c r="CD242" s="3" t="n">
        <v>0.1048786929841984</v>
      </c>
      <c r="CE242" s="3" t="n">
        <v>0.1488936917218742</v>
      </c>
      <c r="CF242" s="3" t="n">
        <v>0.1488936917218742</v>
      </c>
      <c r="CG242" s="3" t="n">
        <v>0.1488936917218742</v>
      </c>
      <c r="CH242" s="3" t="n">
        <v>0.1488936917218742</v>
      </c>
      <c r="CI242" s="3" t="n">
        <v>0.1488936917218742</v>
      </c>
      <c r="CJ242" s="3" t="n">
        <v>0.1488936917218742</v>
      </c>
      <c r="CK242" s="3" t="n">
        <v>0.1488936917218742</v>
      </c>
      <c r="CL242" s="3" t="n">
        <v>0.1488936917218743</v>
      </c>
      <c r="CM242" s="3" t="n">
        <v>0.1488936917218743</v>
      </c>
      <c r="CN242" s="3" t="n">
        <v>0.1488936917218743</v>
      </c>
      <c r="CO242" s="3" t="n">
        <v>0.1488936917218742</v>
      </c>
      <c r="CP242" s="3" t="n">
        <v>0.1488936917218742</v>
      </c>
      <c r="CQ242" s="3" t="n">
        <v>0.1488936917218742</v>
      </c>
      <c r="CR242" s="3" t="n">
        <v>0.1488936917218742</v>
      </c>
      <c r="CS242" s="3" t="n">
        <v>0.1488936917218742</v>
      </c>
      <c r="CU242" s="20" t="inlineStr">
        <is>
          <t>egy.mit.rp.eff.all.lpg.6</t>
        </is>
      </c>
      <c r="CV242" s="3" t="n">
        <v>0.1527901592569083</v>
      </c>
      <c r="CW242" s="3" t="n">
        <v>0.08954147497775593</v>
      </c>
      <c r="CX242" s="3" t="n">
        <v>0.1048786929841984</v>
      </c>
      <c r="CY242" s="3" t="n">
        <v>0.1048786929841984</v>
      </c>
      <c r="CZ242" s="3" t="n">
        <v>0.1048786929841984</v>
      </c>
      <c r="DA242" s="3" t="n">
        <v>0.1929086904595501</v>
      </c>
      <c r="DB242" s="3" t="n">
        <v>0.1929086904595501</v>
      </c>
      <c r="DC242" s="3" t="n">
        <v>0.1929086904595501</v>
      </c>
      <c r="DD242" s="3" t="n">
        <v>0.1929086904595501</v>
      </c>
      <c r="DE242" s="3" t="n">
        <v>0.1929086904595501</v>
      </c>
      <c r="DF242" s="3" t="n">
        <v>0.1929086904595501</v>
      </c>
      <c r="DG242" s="3" t="n">
        <v>0.1929086904595501</v>
      </c>
      <c r="DH242" s="3" t="n">
        <v>0.1929086904595502</v>
      </c>
      <c r="DI242" s="3" t="n">
        <v>0.1929086904595502</v>
      </c>
      <c r="DJ242" s="3" t="n">
        <v>0.1929086904595502</v>
      </c>
      <c r="DK242" s="3" t="n">
        <v>0.1929086904595501</v>
      </c>
      <c r="DL242" s="3" t="n">
        <v>0.1929086904595501</v>
      </c>
      <c r="DM242" s="3" t="n">
        <v>0.1929086904595501</v>
      </c>
      <c r="DN242" s="3" t="n">
        <v>0.1929086904595501</v>
      </c>
      <c r="DO242" s="3" t="n">
        <v>0.1929086904595501</v>
      </c>
    </row>
    <row r="243">
      <c r="A243" s="19" t="inlineStr">
        <is>
          <t>mit.tgap.all.lpg</t>
        </is>
      </c>
      <c r="B243" s="3" t="inlineStr">
        <is>
          <t>mit</t>
        </is>
      </c>
      <c r="C243" s="19" t="inlineStr">
        <is>
          <t>mit.tgap.lpg.all</t>
        </is>
      </c>
      <c r="H243" s="3" t="inlineStr">
        <is>
          <t>Tax gap: retail price - efficient price | All sectors | LPG</t>
        </is>
      </c>
      <c r="I243" s="3" t="inlineStr">
        <is>
          <t>USD per price unit</t>
        </is>
      </c>
      <c r="K243" s="20" t="inlineStr">
        <is>
          <t>egy.mit.tgap.all.lpg.1</t>
        </is>
      </c>
      <c r="L243" s="3" t="n">
        <v>-0.7060627847352846</v>
      </c>
      <c r="M243" s="3" t="n">
        <v>-0.6798674755490143</v>
      </c>
      <c r="N243" s="3" t="n">
        <v>-0.6427363031698619</v>
      </c>
      <c r="O243" s="3" t="n">
        <v>-0.5688483663767442</v>
      </c>
      <c r="P243" s="3" t="n">
        <v>-0.6282235305535976</v>
      </c>
      <c r="Q243" s="3" t="n">
        <v>-0.5773891010392856</v>
      </c>
      <c r="R243" s="3" t="n">
        <v>-0.5675707340550673</v>
      </c>
      <c r="S243" s="3" t="n">
        <v>-0.5656119096795417</v>
      </c>
      <c r="T243" s="3" t="n">
        <v>-0.5648396589694465</v>
      </c>
      <c r="U243" s="3" t="n">
        <v>-0.5635775099271015</v>
      </c>
      <c r="V243" s="3" t="n">
        <v>-0.570018839732831</v>
      </c>
      <c r="W243" s="3" t="n">
        <v>-0.5767172663714916</v>
      </c>
      <c r="X243" s="3" t="n">
        <v>-0.5836828609781769</v>
      </c>
      <c r="Y243" s="3" t="n">
        <v>-0.5909262263919102</v>
      </c>
      <c r="Z243" s="3" t="n">
        <v>-0.5984581874671643</v>
      </c>
      <c r="AA243" s="3" t="n">
        <v>-0.6062903207855673</v>
      </c>
      <c r="AB243" s="3" t="n">
        <v>-0.6144341056898737</v>
      </c>
      <c r="AC243" s="3" t="n">
        <v>-0.6229017298832185</v>
      </c>
      <c r="AD243" s="3" t="n">
        <v>-0.6317058460064365</v>
      </c>
      <c r="AE243" s="3" t="n">
        <v>-0.6406784475595388</v>
      </c>
      <c r="AG243" s="20" t="inlineStr">
        <is>
          <t>egy.mit.tgap.all.lpg.3</t>
        </is>
      </c>
      <c r="AH243" s="3" t="n">
        <v>-0.7060627847352846</v>
      </c>
      <c r="AI243" s="3" t="n">
        <v>-0.6798674755490143</v>
      </c>
      <c r="AJ243" s="3" t="n">
        <v>-0.6427363031698619</v>
      </c>
      <c r="AK243" s="3" t="n">
        <v>-0.5688483663767442</v>
      </c>
      <c r="AL243" s="3" t="n">
        <v>-0.6282235305535976</v>
      </c>
      <c r="AM243" s="3" t="n">
        <v>-0.5421621756829595</v>
      </c>
      <c r="AN243" s="3" t="n">
        <v>-0.5323424013909822</v>
      </c>
      <c r="AO243" s="3" t="n">
        <v>-0.5303824180160162</v>
      </c>
      <c r="AP243" s="3" t="n">
        <v>-0.5296085062127791</v>
      </c>
      <c r="AQ243" s="3" t="n">
        <v>-0.5283460008841392</v>
      </c>
      <c r="AR243" s="3" t="n">
        <v>-0.5347863045117685</v>
      </c>
      <c r="AS243" s="3" t="n">
        <v>-0.541484097567077</v>
      </c>
      <c r="AT243" s="3" t="n">
        <v>-0.5484492573998163</v>
      </c>
      <c r="AU243" s="3" t="n">
        <v>-0.5556920853190941</v>
      </c>
      <c r="AV243" s="3" t="n">
        <v>-0.5632235997976021</v>
      </c>
      <c r="AW243" s="3" t="n">
        <v>-0.5710555148114407</v>
      </c>
      <c r="AX243" s="3" t="n">
        <v>-0.5791988783392494</v>
      </c>
      <c r="AY243" s="3" t="n">
        <v>-0.5876659654566558</v>
      </c>
      <c r="AZ243" s="3" t="n">
        <v>-0.5964692563969631</v>
      </c>
      <c r="BA243" s="3" t="n">
        <v>-0.6054418650877977</v>
      </c>
      <c r="BC243" s="20" t="inlineStr">
        <is>
          <t>egy.mit.tgap.all.lpg.4</t>
        </is>
      </c>
      <c r="BD243" s="3" t="n">
        <v>-0.7060627847352846</v>
      </c>
      <c r="BE243" s="3" t="n">
        <v>-0.6798674755490143</v>
      </c>
      <c r="BF243" s="3" t="n">
        <v>-0.6427363031698619</v>
      </c>
      <c r="BG243" s="3" t="n">
        <v>-0.5688483663767442</v>
      </c>
      <c r="BH243" s="3" t="n">
        <v>-0.6282235305535976</v>
      </c>
      <c r="BI243" s="3" t="n">
        <v>-0.5597607970503012</v>
      </c>
      <c r="BJ243" s="3" t="n">
        <v>-0.5264417985538841</v>
      </c>
      <c r="BK243" s="3" t="n">
        <v>-0.5009850380282271</v>
      </c>
      <c r="BL243" s="3" t="n">
        <v>-0.4767164327424602</v>
      </c>
      <c r="BM243" s="3" t="n">
        <v>-0.451975167853038</v>
      </c>
      <c r="BN243" s="3" t="n">
        <v>-0.4349348528088783</v>
      </c>
      <c r="BO243" s="3" t="n">
        <v>-0.4181513396170725</v>
      </c>
      <c r="BP243" s="3" t="n">
        <v>-0.4016348954350482</v>
      </c>
      <c r="BQ243" s="3" t="n">
        <v>-0.3853960741694982</v>
      </c>
      <c r="BR243" s="3" t="n">
        <v>-0.3694457323816775</v>
      </c>
      <c r="BS243" s="3" t="n">
        <v>-0.3537955601232299</v>
      </c>
      <c r="BT243" s="3" t="n">
        <v>-0.338456948146284</v>
      </c>
      <c r="BU243" s="3" t="n">
        <v>-0.3234420200633066</v>
      </c>
      <c r="BV243" s="3" t="n">
        <v>-0.3087632369931253</v>
      </c>
      <c r="BW243" s="3" t="n">
        <v>-0.2942589109553836</v>
      </c>
      <c r="BY243" s="20" t="inlineStr">
        <is>
          <t>egy.mit.tgap.all.lpg.5</t>
        </is>
      </c>
      <c r="BZ243" s="3" t="n">
        <v>-0.7060627847352846</v>
      </c>
      <c r="CA243" s="3" t="n">
        <v>-0.6798674755490143</v>
      </c>
      <c r="CB243" s="3" t="n">
        <v>-0.6427363031698619</v>
      </c>
      <c r="CC243" s="3" t="n">
        <v>-0.5688483663767442</v>
      </c>
      <c r="CD243" s="3" t="n">
        <v>-0.6282235305535976</v>
      </c>
      <c r="CE243" s="3" t="n">
        <v>-0.5333560376158464</v>
      </c>
      <c r="CF243" s="3" t="n">
        <v>-0.5235359669019715</v>
      </c>
      <c r="CG243" s="3" t="n">
        <v>-0.5215756759556449</v>
      </c>
      <c r="CH243" s="3" t="n">
        <v>-0.5208015259696135</v>
      </c>
      <c r="CI243" s="3" t="n">
        <v>-0.5195390159995119</v>
      </c>
      <c r="CJ243" s="3" t="n">
        <v>-0.5259791241569456</v>
      </c>
      <c r="CK243" s="3" t="n">
        <v>-0.5326767681031901</v>
      </c>
      <c r="CL243" s="3" t="n">
        <v>-0.5396415886531083</v>
      </c>
      <c r="CM243" s="3" t="n">
        <v>-0.5468840975814999</v>
      </c>
      <c r="CN243" s="3" t="n">
        <v>-0.5544152769560786</v>
      </c>
      <c r="CO243" s="3" t="n">
        <v>-0.5622467867769037</v>
      </c>
      <c r="CP243" s="3" t="n">
        <v>-0.5703897465565464</v>
      </c>
      <c r="CQ243" s="3" t="n">
        <v>-0.5788564911546555</v>
      </c>
      <c r="CR243" s="3" t="n">
        <v>-0.5876594894516063</v>
      </c>
      <c r="CS243" s="3" t="n">
        <v>-0.5966321635277132</v>
      </c>
      <c r="CU243" s="20" t="inlineStr">
        <is>
          <t>egy.mit.tgap.all.lpg.6</t>
        </is>
      </c>
      <c r="CV243" s="3" t="n">
        <v>-0.7060627847352846</v>
      </c>
      <c r="CW243" s="3" t="n">
        <v>-0.6798674755490143</v>
      </c>
      <c r="CX243" s="3" t="n">
        <v>-0.6427363031698619</v>
      </c>
      <c r="CY243" s="3" t="n">
        <v>-0.5688483663767442</v>
      </c>
      <c r="CZ243" s="3" t="n">
        <v>-0.6282235305535976</v>
      </c>
      <c r="DA243" s="3" t="n">
        <v>-0.4893277177526639</v>
      </c>
      <c r="DB243" s="3" t="n">
        <v>-0.4795063889157825</v>
      </c>
      <c r="DC243" s="3" t="n">
        <v>-0.4775451304324768</v>
      </c>
      <c r="DD243" s="3" t="n">
        <v>-0.4767693552457312</v>
      </c>
      <c r="DE243" s="3" t="n">
        <v>-0.4755064989228607</v>
      </c>
      <c r="DF243" s="3" t="n">
        <v>-0.4819456298834808</v>
      </c>
      <c r="DG243" s="3" t="n">
        <v>-0.4886427603256029</v>
      </c>
      <c r="DH243" s="3" t="n">
        <v>-0.495607413617812</v>
      </c>
      <c r="DI243" s="3" t="n">
        <v>-0.5028496432876597</v>
      </c>
      <c r="DJ243" s="3" t="n">
        <v>-0.5103806529137952</v>
      </c>
      <c r="DK243" s="3" t="n">
        <v>-0.5182123203781357</v>
      </c>
      <c r="DL243" s="3" t="n">
        <v>-0.526355192677942</v>
      </c>
      <c r="DM243" s="3" t="n">
        <v>-0.5348216874083782</v>
      </c>
      <c r="DN243" s="3" t="n">
        <v>-0.5436240666337163</v>
      </c>
      <c r="DO243" s="3" t="n">
        <v>-0.552596704351723</v>
      </c>
    </row>
    <row r="244">
      <c r="A244" s="19" t="inlineStr">
        <is>
          <t>mit.txo.all.lpg</t>
        </is>
      </c>
      <c r="B244" s="3" t="inlineStr">
        <is>
          <t>mit</t>
        </is>
      </c>
      <c r="C244" s="19" t="inlineStr">
        <is>
          <t>mit.txo.all.lpg.a</t>
        </is>
      </c>
      <c r="H244" s="3" t="inlineStr">
        <is>
          <t>Excise and other taxes (before new policies) | All sectors | LPG</t>
        </is>
      </c>
      <c r="I244" s="3" t="inlineStr">
        <is>
          <t>USD/GJ real</t>
        </is>
      </c>
      <c r="K244" s="20" t="inlineStr">
        <is>
          <t>egy.mit.txo.all.lpg.1</t>
        </is>
      </c>
      <c r="L244" s="3" t="n">
        <v>-19.43695622091674</v>
      </c>
      <c r="M244" s="3" t="n">
        <v>-18.69494749902835</v>
      </c>
      <c r="N244" s="3" t="n">
        <v>-17.20716924368127</v>
      </c>
      <c r="O244" s="3" t="n">
        <v>-14.55814454382751</v>
      </c>
      <c r="P244" s="3" t="n">
        <v>-16.39921856739204</v>
      </c>
      <c r="Q244" s="3" t="n">
        <v>-14.49015078737975</v>
      </c>
      <c r="R244" s="3" t="n">
        <v>-13.96493531600217</v>
      </c>
      <c r="S244" s="3" t="n">
        <v>-13.7001841278756</v>
      </c>
      <c r="T244" s="3" t="n">
        <v>-13.46865756626531</v>
      </c>
      <c r="U244" s="3" t="n">
        <v>-13.21712529494334</v>
      </c>
      <c r="V244" s="3" t="n">
        <v>-13.21712529494334</v>
      </c>
      <c r="W244" s="3" t="n">
        <v>-13.21712529494334</v>
      </c>
      <c r="X244" s="3" t="n">
        <v>-13.21712529494334</v>
      </c>
      <c r="Y244" s="3" t="n">
        <v>-13.21712529494334</v>
      </c>
      <c r="Z244" s="3" t="n">
        <v>-13.21712529494334</v>
      </c>
      <c r="AA244" s="3" t="n">
        <v>-13.21712529494334</v>
      </c>
      <c r="AB244" s="3" t="n">
        <v>-13.21712529494334</v>
      </c>
      <c r="AC244" s="3" t="n">
        <v>-13.21712529494334</v>
      </c>
      <c r="AD244" s="3" t="n">
        <v>-13.21712529494334</v>
      </c>
      <c r="AE244" s="3" t="n">
        <v>-13.21712529494334</v>
      </c>
      <c r="AG244" s="20" t="inlineStr">
        <is>
          <t>egy.mit.txo.all.lpg.3</t>
        </is>
      </c>
      <c r="AH244" s="3" t="n">
        <v>-19.43695622091674</v>
      </c>
      <c r="AI244" s="3" t="n">
        <v>-18.69494749902835</v>
      </c>
      <c r="AJ244" s="3" t="n">
        <v>-17.20716924368127</v>
      </c>
      <c r="AK244" s="3" t="n">
        <v>-14.55814454382751</v>
      </c>
      <c r="AL244" s="3" t="n">
        <v>-16.39921856739204</v>
      </c>
      <c r="AM244" s="3" t="n">
        <v>-14.49015078737975</v>
      </c>
      <c r="AN244" s="3" t="n">
        <v>-13.96493531600217</v>
      </c>
      <c r="AO244" s="3" t="n">
        <v>-13.7001841278756</v>
      </c>
      <c r="AP244" s="3" t="n">
        <v>-13.46865756626531</v>
      </c>
      <c r="AQ244" s="3" t="n">
        <v>-13.21712529494334</v>
      </c>
      <c r="AR244" s="3" t="n">
        <v>-13.21712529494334</v>
      </c>
      <c r="AS244" s="3" t="n">
        <v>-13.21712529494334</v>
      </c>
      <c r="AT244" s="3" t="n">
        <v>-13.21712529494334</v>
      </c>
      <c r="AU244" s="3" t="n">
        <v>-13.21712529494334</v>
      </c>
      <c r="AV244" s="3" t="n">
        <v>-13.21712529494334</v>
      </c>
      <c r="AW244" s="3" t="n">
        <v>-13.21712529494334</v>
      </c>
      <c r="AX244" s="3" t="n">
        <v>-13.21712529494334</v>
      </c>
      <c r="AY244" s="3" t="n">
        <v>-13.21712529494334</v>
      </c>
      <c r="AZ244" s="3" t="n">
        <v>-13.21712529494334</v>
      </c>
      <c r="BA244" s="3" t="n">
        <v>-13.21712529494334</v>
      </c>
      <c r="BC244" s="20" t="inlineStr">
        <is>
          <t>egy.mit.txo.all.lpg.4</t>
        </is>
      </c>
      <c r="BD244" s="3" t="n">
        <v>-19.43695622091674</v>
      </c>
      <c r="BE244" s="3" t="n">
        <v>-18.69494749902835</v>
      </c>
      <c r="BF244" s="3" t="n">
        <v>-17.20716924368127</v>
      </c>
      <c r="BG244" s="3" t="n">
        <v>-14.55814454382751</v>
      </c>
      <c r="BH244" s="3" t="n">
        <v>-16.39921856739204</v>
      </c>
      <c r="BI244" s="3" t="n">
        <v>-14.49015078737975</v>
      </c>
      <c r="BJ244" s="3" t="n">
        <v>-13.96493531600217</v>
      </c>
      <c r="BK244" s="3" t="n">
        <v>-13.7001841278756</v>
      </c>
      <c r="BL244" s="3" t="n">
        <v>-13.46865756626531</v>
      </c>
      <c r="BM244" s="3" t="n">
        <v>-13.21712529494334</v>
      </c>
      <c r="BN244" s="3" t="n">
        <v>-13.21712529494334</v>
      </c>
      <c r="BO244" s="3" t="n">
        <v>-13.21712529494334</v>
      </c>
      <c r="BP244" s="3" t="n">
        <v>-13.21712529494334</v>
      </c>
      <c r="BQ244" s="3" t="n">
        <v>-13.21712529494334</v>
      </c>
      <c r="BR244" s="3" t="n">
        <v>-13.21712529494334</v>
      </c>
      <c r="BS244" s="3" t="n">
        <v>-13.21712529494334</v>
      </c>
      <c r="BT244" s="3" t="n">
        <v>-13.21712529494334</v>
      </c>
      <c r="BU244" s="3" t="n">
        <v>-13.21712529494334</v>
      </c>
      <c r="BV244" s="3" t="n">
        <v>-13.21712529494334</v>
      </c>
      <c r="BW244" s="3" t="n">
        <v>-13.21712529494334</v>
      </c>
      <c r="BY244" s="20" t="inlineStr">
        <is>
          <t>egy.mit.txo.all.lpg.5</t>
        </is>
      </c>
      <c r="BZ244" s="3" t="n">
        <v>-19.43695622091674</v>
      </c>
      <c r="CA244" s="3" t="n">
        <v>-18.69494749902835</v>
      </c>
      <c r="CB244" s="3" t="n">
        <v>-17.20716924368127</v>
      </c>
      <c r="CC244" s="3" t="n">
        <v>-14.55814454382751</v>
      </c>
      <c r="CD244" s="3" t="n">
        <v>-16.39921856739204</v>
      </c>
      <c r="CE244" s="3" t="n">
        <v>-14.49015078737975</v>
      </c>
      <c r="CF244" s="3" t="n">
        <v>-13.96493531600217</v>
      </c>
      <c r="CG244" s="3" t="n">
        <v>-13.7001841278756</v>
      </c>
      <c r="CH244" s="3" t="n">
        <v>-13.46865756626531</v>
      </c>
      <c r="CI244" s="3" t="n">
        <v>-13.21712529494334</v>
      </c>
      <c r="CJ244" s="3" t="n">
        <v>-13.21712529494334</v>
      </c>
      <c r="CK244" s="3" t="n">
        <v>-13.21712529494334</v>
      </c>
      <c r="CL244" s="3" t="n">
        <v>-13.21712529494334</v>
      </c>
      <c r="CM244" s="3" t="n">
        <v>-13.21712529494334</v>
      </c>
      <c r="CN244" s="3" t="n">
        <v>-13.21712529494334</v>
      </c>
      <c r="CO244" s="3" t="n">
        <v>-13.21712529494334</v>
      </c>
      <c r="CP244" s="3" t="n">
        <v>-13.21712529494334</v>
      </c>
      <c r="CQ244" s="3" t="n">
        <v>-13.21712529494334</v>
      </c>
      <c r="CR244" s="3" t="n">
        <v>-13.21712529494334</v>
      </c>
      <c r="CS244" s="3" t="n">
        <v>-13.21712529494334</v>
      </c>
      <c r="CU244" s="20" t="inlineStr">
        <is>
          <t>egy.mit.txo.all.lpg.6</t>
        </is>
      </c>
      <c r="CV244" s="3" t="n">
        <v>-19.43695622091674</v>
      </c>
      <c r="CW244" s="3" t="n">
        <v>-18.69494749902835</v>
      </c>
      <c r="CX244" s="3" t="n">
        <v>-17.20716924368127</v>
      </c>
      <c r="CY244" s="3" t="n">
        <v>-14.55814454382751</v>
      </c>
      <c r="CZ244" s="3" t="n">
        <v>-16.39921856739204</v>
      </c>
      <c r="DA244" s="3" t="n">
        <v>-14.49015078737975</v>
      </c>
      <c r="DB244" s="3" t="n">
        <v>-13.96493531600217</v>
      </c>
      <c r="DC244" s="3" t="n">
        <v>-13.7001841278756</v>
      </c>
      <c r="DD244" s="3" t="n">
        <v>-13.46865756626531</v>
      </c>
      <c r="DE244" s="3" t="n">
        <v>-13.21712529494334</v>
      </c>
      <c r="DF244" s="3" t="n">
        <v>-13.21712529494334</v>
      </c>
      <c r="DG244" s="3" t="n">
        <v>-13.21712529494334</v>
      </c>
      <c r="DH244" s="3" t="n">
        <v>-13.21712529494334</v>
      </c>
      <c r="DI244" s="3" t="n">
        <v>-13.21712529494334</v>
      </c>
      <c r="DJ244" s="3" t="n">
        <v>-13.21712529494334</v>
      </c>
      <c r="DK244" s="3" t="n">
        <v>-13.21712529494334</v>
      </c>
      <c r="DL244" s="3" t="n">
        <v>-13.21712529494334</v>
      </c>
      <c r="DM244" s="3" t="n">
        <v>-13.21712529494334</v>
      </c>
      <c r="DN244" s="3" t="n">
        <v>-13.21712529494334</v>
      </c>
      <c r="DO244" s="3" t="n">
        <v>-13.21712529494334</v>
      </c>
    </row>
    <row r="245">
      <c r="A245" s="19" t="inlineStr">
        <is>
          <t>mit.txo.co2e.all.lpg</t>
        </is>
      </c>
      <c r="B245" s="3" t="inlineStr">
        <is>
          <t>mit</t>
        </is>
      </c>
      <c r="C245" s="19" t="inlineStr">
        <is>
          <t>mit.txo.co2e.lpg.all</t>
        </is>
      </c>
      <c r="H245" s="3" t="inlineStr">
        <is>
          <t>Excise and other taxes of scenario 1 per tonne of CO2 | All sectors | LPG</t>
        </is>
      </c>
      <c r="I245" s="3" t="inlineStr">
        <is>
          <t>USD/tCO2</t>
        </is>
      </c>
      <c r="K245" s="20" t="inlineStr">
        <is>
          <t>egy.mit.txo.co2e.all.lpg.1</t>
        </is>
      </c>
      <c r="L245" s="3" t="n">
        <v>-283.3375542407689</v>
      </c>
      <c r="M245" s="3" t="n">
        <v>-272.5211005689264</v>
      </c>
      <c r="N245" s="3" t="n">
        <v>-250.833370899144</v>
      </c>
      <c r="O245" s="3" t="n">
        <v>-212.2178504931124</v>
      </c>
      <c r="P245" s="3" t="n">
        <v>-239.0556642476974</v>
      </c>
      <c r="Q245" s="3" t="n">
        <v>-211.2266878626787</v>
      </c>
      <c r="R245" s="3" t="n">
        <v>-203.5704856560083</v>
      </c>
      <c r="S245" s="3" t="n">
        <v>-199.7111388903149</v>
      </c>
      <c r="T245" s="3" t="n">
        <v>-196.3361161263165</v>
      </c>
      <c r="U245" s="3" t="n">
        <v>-192.669464940865</v>
      </c>
      <c r="V245" s="3" t="n">
        <v>-192.669464940865</v>
      </c>
      <c r="W245" s="3" t="n">
        <v>-192.669464940865</v>
      </c>
      <c r="X245" s="3" t="n">
        <v>-192.669464940865</v>
      </c>
      <c r="Y245" s="3" t="n">
        <v>-192.669464940865</v>
      </c>
      <c r="Z245" s="3" t="n">
        <v>-192.669464940865</v>
      </c>
      <c r="AA245" s="3" t="n">
        <v>-192.669464940865</v>
      </c>
      <c r="AB245" s="3" t="n">
        <v>-192.669464940865</v>
      </c>
      <c r="AC245" s="3" t="n">
        <v>-192.6694649408649</v>
      </c>
      <c r="AD245" s="3" t="n">
        <v>-192.669464940865</v>
      </c>
      <c r="AE245" s="3" t="n">
        <v>-192.669464940865</v>
      </c>
      <c r="AG245" s="20" t="inlineStr">
        <is>
          <t>egy.mit.txo.co2e.all.lpg.3</t>
        </is>
      </c>
      <c r="AH245" s="3" t="n">
        <v>-283.3375542407689</v>
      </c>
      <c r="AI245" s="3" t="n">
        <v>-272.5211005689264</v>
      </c>
      <c r="AJ245" s="3" t="n">
        <v>-250.833370899144</v>
      </c>
      <c r="AK245" s="3" t="n">
        <v>-212.2178504931124</v>
      </c>
      <c r="AL245" s="3" t="n">
        <v>-239.0556642476974</v>
      </c>
      <c r="AM245" s="3" t="n">
        <v>-211.2266878626787</v>
      </c>
      <c r="AN245" s="3" t="n">
        <v>-203.5704856560083</v>
      </c>
      <c r="AO245" s="3" t="n">
        <v>-199.7111388903149</v>
      </c>
      <c r="AP245" s="3" t="n">
        <v>-196.3361161263165</v>
      </c>
      <c r="AQ245" s="3" t="n">
        <v>-192.669464940865</v>
      </c>
      <c r="AR245" s="3" t="n">
        <v>-192.669464940865</v>
      </c>
      <c r="AS245" s="3" t="n">
        <v>-192.669464940865</v>
      </c>
      <c r="AT245" s="3" t="n">
        <v>-192.669464940865</v>
      </c>
      <c r="AU245" s="3" t="n">
        <v>-192.669464940865</v>
      </c>
      <c r="AV245" s="3" t="n">
        <v>-192.669464940865</v>
      </c>
      <c r="AW245" s="3" t="n">
        <v>-192.669464940865</v>
      </c>
      <c r="AX245" s="3" t="n">
        <v>-192.669464940865</v>
      </c>
      <c r="AY245" s="3" t="n">
        <v>-192.6694649408649</v>
      </c>
      <c r="AZ245" s="3" t="n">
        <v>-192.669464940865</v>
      </c>
      <c r="BA245" s="3" t="n">
        <v>-192.669464940865</v>
      </c>
      <c r="BC245" s="20" t="inlineStr">
        <is>
          <t>egy.mit.txo.co2e.all.lpg.4</t>
        </is>
      </c>
      <c r="BD245" s="3" t="n">
        <v>-283.3375542407689</v>
      </c>
      <c r="BE245" s="3" t="n">
        <v>-272.5211005689264</v>
      </c>
      <c r="BF245" s="3" t="n">
        <v>-250.833370899144</v>
      </c>
      <c r="BG245" s="3" t="n">
        <v>-212.2178504931124</v>
      </c>
      <c r="BH245" s="3" t="n">
        <v>-239.0556642476974</v>
      </c>
      <c r="BI245" s="3" t="n">
        <v>-211.2266878626787</v>
      </c>
      <c r="BJ245" s="3" t="n">
        <v>-203.5704856560083</v>
      </c>
      <c r="BK245" s="3" t="n">
        <v>-199.7111388903149</v>
      </c>
      <c r="BL245" s="3" t="n">
        <v>-196.3361161263165</v>
      </c>
      <c r="BM245" s="3" t="n">
        <v>-192.669464940865</v>
      </c>
      <c r="BN245" s="3" t="n">
        <v>-192.669464940865</v>
      </c>
      <c r="BO245" s="3" t="n">
        <v>-192.669464940865</v>
      </c>
      <c r="BP245" s="3" t="n">
        <v>-192.669464940865</v>
      </c>
      <c r="BQ245" s="3" t="n">
        <v>-192.669464940865</v>
      </c>
      <c r="BR245" s="3" t="n">
        <v>-192.669464940865</v>
      </c>
      <c r="BS245" s="3" t="n">
        <v>-192.669464940865</v>
      </c>
      <c r="BT245" s="3" t="n">
        <v>-192.669464940865</v>
      </c>
      <c r="BU245" s="3" t="n">
        <v>-192.6694649408649</v>
      </c>
      <c r="BV245" s="3" t="n">
        <v>-192.669464940865</v>
      </c>
      <c r="BW245" s="3" t="n">
        <v>-192.669464940865</v>
      </c>
      <c r="BY245" s="20" t="inlineStr">
        <is>
          <t>egy.mit.txo.co2e.all.lpg.5</t>
        </is>
      </c>
      <c r="BZ245" s="3" t="n">
        <v>-283.3375542407689</v>
      </c>
      <c r="CA245" s="3" t="n">
        <v>-272.5211005689264</v>
      </c>
      <c r="CB245" s="3" t="n">
        <v>-250.833370899144</v>
      </c>
      <c r="CC245" s="3" t="n">
        <v>-212.2178504931124</v>
      </c>
      <c r="CD245" s="3" t="n">
        <v>-239.0556642476974</v>
      </c>
      <c r="CE245" s="3" t="n">
        <v>-211.2266878626787</v>
      </c>
      <c r="CF245" s="3" t="n">
        <v>-203.5704856560083</v>
      </c>
      <c r="CG245" s="3" t="n">
        <v>-199.7111388903149</v>
      </c>
      <c r="CH245" s="3" t="n">
        <v>-196.3361161263165</v>
      </c>
      <c r="CI245" s="3" t="n">
        <v>-192.669464940865</v>
      </c>
      <c r="CJ245" s="3" t="n">
        <v>-192.669464940865</v>
      </c>
      <c r="CK245" s="3" t="n">
        <v>-192.669464940865</v>
      </c>
      <c r="CL245" s="3" t="n">
        <v>-192.669464940865</v>
      </c>
      <c r="CM245" s="3" t="n">
        <v>-192.669464940865</v>
      </c>
      <c r="CN245" s="3" t="n">
        <v>-192.669464940865</v>
      </c>
      <c r="CO245" s="3" t="n">
        <v>-192.669464940865</v>
      </c>
      <c r="CP245" s="3" t="n">
        <v>-192.669464940865</v>
      </c>
      <c r="CQ245" s="3" t="n">
        <v>-192.6694649408649</v>
      </c>
      <c r="CR245" s="3" t="n">
        <v>-192.669464940865</v>
      </c>
      <c r="CS245" s="3" t="n">
        <v>-192.669464940865</v>
      </c>
      <c r="CU245" s="20" t="inlineStr">
        <is>
          <t>egy.mit.txo.co2e.all.lpg.6</t>
        </is>
      </c>
      <c r="CV245" s="3" t="n">
        <v>-283.3375542407689</v>
      </c>
      <c r="CW245" s="3" t="n">
        <v>-272.5211005689264</v>
      </c>
      <c r="CX245" s="3" t="n">
        <v>-250.833370899144</v>
      </c>
      <c r="CY245" s="3" t="n">
        <v>-212.2178504931124</v>
      </c>
      <c r="CZ245" s="3" t="n">
        <v>-239.0556642476974</v>
      </c>
      <c r="DA245" s="3" t="n">
        <v>-211.2266878626787</v>
      </c>
      <c r="DB245" s="3" t="n">
        <v>-203.5704856560083</v>
      </c>
      <c r="DC245" s="3" t="n">
        <v>-199.7111388903149</v>
      </c>
      <c r="DD245" s="3" t="n">
        <v>-196.3361161263165</v>
      </c>
      <c r="DE245" s="3" t="n">
        <v>-192.669464940865</v>
      </c>
      <c r="DF245" s="3" t="n">
        <v>-192.669464940865</v>
      </c>
      <c r="DG245" s="3" t="n">
        <v>-192.669464940865</v>
      </c>
      <c r="DH245" s="3" t="n">
        <v>-192.669464940865</v>
      </c>
      <c r="DI245" s="3" t="n">
        <v>-192.669464940865</v>
      </c>
      <c r="DJ245" s="3" t="n">
        <v>-192.669464940865</v>
      </c>
      <c r="DK245" s="3" t="n">
        <v>-192.669464940865</v>
      </c>
      <c r="DL245" s="3" t="n">
        <v>-192.669464940865</v>
      </c>
      <c r="DM245" s="3" t="n">
        <v>-192.6694649408649</v>
      </c>
      <c r="DN245" s="3" t="n">
        <v>-192.669464940865</v>
      </c>
      <c r="DO245" s="3" t="n">
        <v>-192.669464940865</v>
      </c>
    </row>
    <row r="246">
      <c r="A246" s="19" t="inlineStr">
        <is>
          <t>mit.pig.all.lpg</t>
        </is>
      </c>
      <c r="B246" s="3" t="inlineStr">
        <is>
          <t>mit</t>
        </is>
      </c>
      <c r="C246" s="19" t="inlineStr">
        <is>
          <t>mit.pig.lpg.all</t>
        </is>
      </c>
      <c r="H246" s="3" t="inlineStr">
        <is>
          <t>Pigouvian tax: all externalities (reference) | All sectors | LPG</t>
        </is>
      </c>
      <c r="I246" s="3" t="inlineStr">
        <is>
          <t>USD per price unit</t>
        </is>
      </c>
      <c r="K246" s="20" t="inlineStr">
        <is>
          <t>egy.mit.pig.all.lpg.1</t>
        </is>
      </c>
      <c r="L246" s="3" t="n">
        <v>0.09951093853775353</v>
      </c>
      <c r="M246" s="3" t="n">
        <v>0.1034287331741044</v>
      </c>
      <c r="N246" s="3" t="n">
        <v>0.10732847137875</v>
      </c>
      <c r="O246" s="3" t="n">
        <v>0.1108055234457775</v>
      </c>
      <c r="P246" s="3" t="n">
        <v>0.1154266858782006</v>
      </c>
      <c r="Q246" s="3" t="n">
        <v>0.1200502538210031</v>
      </c>
      <c r="R246" s="3" t="n">
        <v>0.1249775424743717</v>
      </c>
      <c r="S246" s="3" t="n">
        <v>0.1300844786501051</v>
      </c>
      <c r="T246" s="3" t="n">
        <v>0.1353757483947098</v>
      </c>
      <c r="U246" s="3" t="n">
        <v>0.1407530237256356</v>
      </c>
      <c r="V246" s="3" t="n">
        <v>0.146403313028907</v>
      </c>
      <c r="W246" s="3" t="n">
        <v>0.1522791258698374</v>
      </c>
      <c r="X246" s="3" t="n">
        <v>0.1583892965774561</v>
      </c>
      <c r="Y246" s="3" t="n">
        <v>0.1647431258877483</v>
      </c>
      <c r="Z246" s="3" t="n">
        <v>0.1713501092870941</v>
      </c>
      <c r="AA246" s="3" t="n">
        <v>0.1782204016716583</v>
      </c>
      <c r="AB246" s="3" t="n">
        <v>0.185364072640348</v>
      </c>
      <c r="AC246" s="3" t="n">
        <v>0.1927918131608259</v>
      </c>
      <c r="AD246" s="3" t="n">
        <v>0.2005147220408416</v>
      </c>
      <c r="AE246" s="3" t="n">
        <v>0.2083854251575981</v>
      </c>
      <c r="AG246" s="20" t="inlineStr">
        <is>
          <t>egy.mit.pig.all.lpg.3</t>
        </is>
      </c>
      <c r="AH246" s="3" t="n">
        <v>0.09951093853775353</v>
      </c>
      <c r="AI246" s="3" t="n">
        <v>0.1034287331741044</v>
      </c>
      <c r="AJ246" s="3" t="n">
        <v>0.10732847137875</v>
      </c>
      <c r="AK246" s="3" t="n">
        <v>0.1108055234457775</v>
      </c>
      <c r="AL246" s="3" t="n">
        <v>0.1154266858782006</v>
      </c>
      <c r="AM246" s="3" t="n">
        <v>0.1200371605173317</v>
      </c>
      <c r="AN246" s="3" t="n">
        <v>0.12496321469021</v>
      </c>
      <c r="AO246" s="3" t="n">
        <v>0.1300691341997675</v>
      </c>
      <c r="AP246" s="3" t="n">
        <v>0.135358946845125</v>
      </c>
      <c r="AQ246" s="3" t="n">
        <v>0.140735909644213</v>
      </c>
      <c r="AR246" s="3" t="n">
        <v>0.1463852987912562</v>
      </c>
      <c r="AS246" s="3" t="n">
        <v>0.1522605558573165</v>
      </c>
      <c r="AT246" s="3" t="n">
        <v>0.1583703451842807</v>
      </c>
      <c r="AU246" s="3" t="n">
        <v>0.1647237030082086</v>
      </c>
      <c r="AV246" s="3" t="n">
        <v>0.1713302946560226</v>
      </c>
      <c r="AW246" s="3" t="n">
        <v>0.1782003955453547</v>
      </c>
      <c r="AX246" s="3" t="n">
        <v>0.1853436968855378</v>
      </c>
      <c r="AY246" s="3" t="n">
        <v>0.1927709662867715</v>
      </c>
      <c r="AZ246" s="3" t="n">
        <v>0.2004931513221288</v>
      </c>
      <c r="BA246" s="3" t="n">
        <v>0.2083638607000539</v>
      </c>
      <c r="BC246" s="20" t="inlineStr">
        <is>
          <t>egy.mit.pig.all.lpg.4</t>
        </is>
      </c>
      <c r="BD246" s="3" t="n">
        <v>0.09951093853775353</v>
      </c>
      <c r="BE246" s="3" t="n">
        <v>0.1034287331741044</v>
      </c>
      <c r="BF246" s="3" t="n">
        <v>0.10732847137875</v>
      </c>
      <c r="BG246" s="3" t="n">
        <v>0.1108055234457775</v>
      </c>
      <c r="BH246" s="3" t="n">
        <v>0.1154266858782006</v>
      </c>
      <c r="BI246" s="3" t="n">
        <v>0.1200306884754644</v>
      </c>
      <c r="BJ246" s="3" t="n">
        <v>0.1249352003579806</v>
      </c>
      <c r="BK246" s="3" t="n">
        <v>0.1300217241155525</v>
      </c>
      <c r="BL246" s="3" t="n">
        <v>0.1352939687880127</v>
      </c>
      <c r="BM246" s="3" t="n">
        <v>0.1406673407385437</v>
      </c>
      <c r="BN246" s="3" t="n">
        <v>0.1463115082379013</v>
      </c>
      <c r="BO246" s="3" t="n">
        <v>0.152180940520025</v>
      </c>
      <c r="BP246" s="3" t="n">
        <v>0.1582846438633609</v>
      </c>
      <c r="BQ246" s="3" t="n">
        <v>0.164631876080797</v>
      </c>
      <c r="BR246" s="3" t="n">
        <v>0.1712321604716798</v>
      </c>
      <c r="BS246" s="3" t="n">
        <v>0.178095751467276</v>
      </c>
      <c r="BT246" s="3" t="n">
        <v>0.1852326409554174</v>
      </c>
      <c r="BU246" s="3" t="n">
        <v>0.192653463683882</v>
      </c>
      <c r="BV246" s="3" t="n">
        <v>0.200369150458659</v>
      </c>
      <c r="BW246" s="3" t="n">
        <v>0.2082378697180322</v>
      </c>
      <c r="BY246" s="20" t="inlineStr">
        <is>
          <t>egy.mit.pig.all.lpg.5</t>
        </is>
      </c>
      <c r="BZ246" s="3" t="n">
        <v>0.09951093853775353</v>
      </c>
      <c r="CA246" s="3" t="n">
        <v>0.1034287331741044</v>
      </c>
      <c r="CB246" s="3" t="n">
        <v>0.10732847137875</v>
      </c>
      <c r="CC246" s="3" t="n">
        <v>0.1108055234457775</v>
      </c>
      <c r="CD246" s="3" t="n">
        <v>0.1154266858782006</v>
      </c>
      <c r="CE246" s="3" t="n">
        <v>0.1200344076054212</v>
      </c>
      <c r="CF246" s="3" t="n">
        <v>0.124960201759091</v>
      </c>
      <c r="CG246" s="3" t="n">
        <v>0.1300658514692096</v>
      </c>
      <c r="CH246" s="3" t="n">
        <v>0.1353554551822911</v>
      </c>
      <c r="CI246" s="3" t="n">
        <v>0.1407324139099217</v>
      </c>
      <c r="CJ246" s="3" t="n">
        <v>0.1463816315918812</v>
      </c>
      <c r="CK246" s="3" t="n">
        <v>0.1522567578605165</v>
      </c>
      <c r="CL246" s="3" t="n">
        <v>0.1583662495709711</v>
      </c>
      <c r="CM246" s="3" t="n">
        <v>0.1647193275783324</v>
      </c>
      <c r="CN246" s="3" t="n">
        <v>0.1713256252753312</v>
      </c>
      <c r="CO246" s="3" t="n">
        <v>0.1781953707321951</v>
      </c>
      <c r="CP246" s="3" t="n">
        <v>0.1853383179073204</v>
      </c>
      <c r="CQ246" s="3" t="n">
        <v>0.1927652868530302</v>
      </c>
      <c r="CR246" s="3" t="n">
        <v>0.2004872151836886</v>
      </c>
      <c r="CS246" s="3" t="n">
        <v>0.2083579819171158</v>
      </c>
      <c r="CU246" s="20" t="inlineStr">
        <is>
          <t>egy.mit.pig.all.lpg.6</t>
        </is>
      </c>
      <c r="CV246" s="3" t="n">
        <v>0.09951093853775353</v>
      </c>
      <c r="CW246" s="3" t="n">
        <v>0.1034287331741044</v>
      </c>
      <c r="CX246" s="3" t="n">
        <v>0.10732847137875</v>
      </c>
      <c r="CY246" s="3" t="n">
        <v>0.1108055234457775</v>
      </c>
      <c r="CZ246" s="3" t="n">
        <v>0.1154266858782006</v>
      </c>
      <c r="DA246" s="3" t="n">
        <v>0.1200227224076083</v>
      </c>
      <c r="DB246" s="3" t="n">
        <v>0.1249474129446058</v>
      </c>
      <c r="DC246" s="3" t="n">
        <v>0.1300522139380761</v>
      </c>
      <c r="DD246" s="3" t="n">
        <v>0.1353403920364961</v>
      </c>
      <c r="DE246" s="3" t="n">
        <v>0.1407170469459083</v>
      </c>
      <c r="DF246" s="3" t="n">
        <v>0.1463654074376803</v>
      </c>
      <c r="DG246" s="3" t="n">
        <v>0.1522400832641032</v>
      </c>
      <c r="DH246" s="3" t="n">
        <v>0.158349428257269</v>
      </c>
      <c r="DI246" s="3" t="n">
        <v>0.164702261300995</v>
      </c>
      <c r="DJ246" s="3" t="n">
        <v>0.1713084100958508</v>
      </c>
      <c r="DK246" s="3" t="n">
        <v>0.1781782938365005</v>
      </c>
      <c r="DL246" s="3" t="n">
        <v>0.185321164274927</v>
      </c>
      <c r="DM246" s="3" t="n">
        <v>0.1927479140384675</v>
      </c>
      <c r="DN246" s="3" t="n">
        <v>0.2004692993238518</v>
      </c>
      <c r="DO246" s="3" t="n">
        <v>0.2083400341642085</v>
      </c>
    </row>
    <row r="247">
      <c r="A247" s="19" t="inlineStr">
        <is>
          <t>mit.pig.co2e.all.lpg</t>
        </is>
      </c>
      <c r="B247" s="3" t="inlineStr">
        <is>
          <t>mit</t>
        </is>
      </c>
      <c r="C247" s="19" t="inlineStr">
        <is>
          <t>mit.pig.co2e.lpg.all</t>
        </is>
      </c>
      <c r="H247" s="3" t="inlineStr">
        <is>
          <t>Pigouvian tax per tonne of CO2 (fuel lines; avg: weighted by the fuel use of the scenario) | All sectors | LPG</t>
        </is>
      </c>
      <c r="I247" s="3" t="inlineStr">
        <is>
          <t>USD/tCO2</t>
        </is>
      </c>
      <c r="K247" s="20" t="inlineStr">
        <is>
          <t>egy.mit.pig.co2e.all.lpg.1</t>
        </is>
      </c>
      <c r="L247" s="3" t="n">
        <v>56.26897971082965</v>
      </c>
      <c r="M247" s="3" t="n">
        <v>58.48431714150204</v>
      </c>
      <c r="N247" s="3" t="n">
        <v>60.68944446859985</v>
      </c>
      <c r="O247" s="3" t="n">
        <v>62.6555617124729</v>
      </c>
      <c r="P247" s="3" t="n">
        <v>65.26862213549175</v>
      </c>
      <c r="Q247" s="3" t="n">
        <v>67.88304276691296</v>
      </c>
      <c r="R247" s="3" t="n">
        <v>70.66920385975217</v>
      </c>
      <c r="S247" s="3" t="n">
        <v>73.55694758199455</v>
      </c>
      <c r="T247" s="3" t="n">
        <v>76.54892368310153</v>
      </c>
      <c r="U247" s="3" t="n">
        <v>79.58953209200139</v>
      </c>
      <c r="V247" s="3" t="n">
        <v>82.78451767688234</v>
      </c>
      <c r="W247" s="3" t="n">
        <v>86.10702672351853</v>
      </c>
      <c r="X247" s="3" t="n">
        <v>89.56205464938083</v>
      </c>
      <c r="Y247" s="3" t="n">
        <v>93.15486060418816</v>
      </c>
      <c r="Z247" s="3" t="n">
        <v>96.89081386028705</v>
      </c>
      <c r="AA247" s="3" t="n">
        <v>100.7756565567293</v>
      </c>
      <c r="AB247" s="3" t="n">
        <v>104.8150826007872</v>
      </c>
      <c r="AC247" s="3" t="n">
        <v>109.0151372559396</v>
      </c>
      <c r="AD247" s="3" t="n">
        <v>113.382096400972</v>
      </c>
      <c r="AE247" s="3" t="n">
        <v>117.8326265687556</v>
      </c>
      <c r="AG247" s="20" t="inlineStr">
        <is>
          <t>egy.mit.pig.co2e.all.lpg.3</t>
        </is>
      </c>
      <c r="AH247" s="3" t="n">
        <v>56.26897971082965</v>
      </c>
      <c r="AI247" s="3" t="n">
        <v>58.48431714150204</v>
      </c>
      <c r="AJ247" s="3" t="n">
        <v>60.68944446859985</v>
      </c>
      <c r="AK247" s="3" t="n">
        <v>62.6555617124729</v>
      </c>
      <c r="AL247" s="3" t="n">
        <v>65.26862213549175</v>
      </c>
      <c r="AM247" s="3" t="n">
        <v>67.87563908999604</v>
      </c>
      <c r="AN247" s="3" t="n">
        <v>70.66110213939716</v>
      </c>
      <c r="AO247" s="3" t="n">
        <v>73.5482709824427</v>
      </c>
      <c r="AP247" s="3" t="n">
        <v>76.53942315917332</v>
      </c>
      <c r="AQ247" s="3" t="n">
        <v>79.5798548453139</v>
      </c>
      <c r="AR247" s="3" t="n">
        <v>82.77433143215617</v>
      </c>
      <c r="AS247" s="3" t="n">
        <v>86.09652621299051</v>
      </c>
      <c r="AT247" s="3" t="n">
        <v>89.55133848517065</v>
      </c>
      <c r="AU247" s="3" t="n">
        <v>93.14387783555179</v>
      </c>
      <c r="AV247" s="3" t="n">
        <v>96.87960957370184</v>
      </c>
      <c r="AW247" s="3" t="n">
        <v>100.7643439881654</v>
      </c>
      <c r="AX247" s="3" t="n">
        <v>104.8035610238545</v>
      </c>
      <c r="AY247" s="3" t="n">
        <v>109.0033492821707</v>
      </c>
      <c r="AZ247" s="3" t="n">
        <v>113.369899125462</v>
      </c>
      <c r="BA247" s="3" t="n">
        <v>117.8204328336561</v>
      </c>
      <c r="BC247" s="20" t="inlineStr">
        <is>
          <t>egy.mit.pig.co2e.all.lpg.4</t>
        </is>
      </c>
      <c r="BD247" s="3" t="n">
        <v>56.26897971082965</v>
      </c>
      <c r="BE247" s="3" t="n">
        <v>58.48431714150204</v>
      </c>
      <c r="BF247" s="3" t="n">
        <v>60.68944446859985</v>
      </c>
      <c r="BG247" s="3" t="n">
        <v>62.6555617124729</v>
      </c>
      <c r="BH247" s="3" t="n">
        <v>65.26862213549175</v>
      </c>
      <c r="BI247" s="3" t="n">
        <v>67.87197944013377</v>
      </c>
      <c r="BJ247" s="3" t="n">
        <v>70.6452612889842</v>
      </c>
      <c r="BK247" s="3" t="n">
        <v>73.52146270281048</v>
      </c>
      <c r="BL247" s="3" t="n">
        <v>76.50268097754962</v>
      </c>
      <c r="BM247" s="3" t="n">
        <v>79.54108219962694</v>
      </c>
      <c r="BN247" s="3" t="n">
        <v>82.73260617852482</v>
      </c>
      <c r="BO247" s="3" t="n">
        <v>86.05150730487293</v>
      </c>
      <c r="BP247" s="3" t="n">
        <v>89.50287822583746</v>
      </c>
      <c r="BQ247" s="3" t="n">
        <v>93.09195382004799</v>
      </c>
      <c r="BR247" s="3" t="n">
        <v>96.82411908683812</v>
      </c>
      <c r="BS247" s="3" t="n">
        <v>100.7051724479027</v>
      </c>
      <c r="BT247" s="3" t="n">
        <v>104.7407638683806</v>
      </c>
      <c r="BU247" s="3" t="n">
        <v>108.9369068219235</v>
      </c>
      <c r="BV247" s="3" t="n">
        <v>113.2997821898443</v>
      </c>
      <c r="BW247" s="3" t="n">
        <v>117.7491905751135</v>
      </c>
      <c r="BY247" s="20" t="inlineStr">
        <is>
          <t>egy.mit.pig.co2e.all.lpg.5</t>
        </is>
      </c>
      <c r="BZ247" s="3" t="n">
        <v>56.26897971082965</v>
      </c>
      <c r="CA247" s="3" t="n">
        <v>58.48431714150204</v>
      </c>
      <c r="CB247" s="3" t="n">
        <v>60.68944446859985</v>
      </c>
      <c r="CC247" s="3" t="n">
        <v>62.6555617124729</v>
      </c>
      <c r="CD247" s="3" t="n">
        <v>65.26862213549175</v>
      </c>
      <c r="CE247" s="3" t="n">
        <v>67.87408244158418</v>
      </c>
      <c r="CF247" s="3" t="n">
        <v>70.6593984617664</v>
      </c>
      <c r="CG247" s="3" t="n">
        <v>73.54641474531066</v>
      </c>
      <c r="CH247" s="3" t="n">
        <v>76.53744878019505</v>
      </c>
      <c r="CI247" s="3" t="n">
        <v>79.57787816410874</v>
      </c>
      <c r="CJ247" s="3" t="n">
        <v>82.77225779512428</v>
      </c>
      <c r="CK247" s="3" t="n">
        <v>86.09437861587188</v>
      </c>
      <c r="CL247" s="3" t="n">
        <v>89.54902259924287</v>
      </c>
      <c r="CM247" s="3" t="n">
        <v>93.14140372588558</v>
      </c>
      <c r="CN247" s="3" t="n">
        <v>96.87696924801257</v>
      </c>
      <c r="CO247" s="3" t="n">
        <v>100.7615026813314</v>
      </c>
      <c r="CP247" s="3" t="n">
        <v>104.8005194525396</v>
      </c>
      <c r="CQ247" s="3" t="n">
        <v>109.0001378167112</v>
      </c>
      <c r="CR247" s="3" t="n">
        <v>113.3665425049903</v>
      </c>
      <c r="CS247" s="3" t="n">
        <v>117.8171086451525</v>
      </c>
      <c r="CU247" s="20" t="inlineStr">
        <is>
          <t>egy.mit.pig.co2e.all.lpg.6</t>
        </is>
      </c>
      <c r="CV247" s="3" t="n">
        <v>56.26897971082965</v>
      </c>
      <c r="CW247" s="3" t="n">
        <v>58.48431714150204</v>
      </c>
      <c r="CX247" s="3" t="n">
        <v>60.68944446859985</v>
      </c>
      <c r="CY247" s="3" t="n">
        <v>62.6555617124729</v>
      </c>
      <c r="CZ247" s="3" t="n">
        <v>65.26862213549175</v>
      </c>
      <c r="DA247" s="3" t="n">
        <v>67.86747498547625</v>
      </c>
      <c r="DB247" s="3" t="n">
        <v>70.65216695984944</v>
      </c>
      <c r="DC247" s="3" t="n">
        <v>73.53870333213402</v>
      </c>
      <c r="DD247" s="3" t="n">
        <v>76.52893124576545</v>
      </c>
      <c r="DE247" s="3" t="n">
        <v>79.5691888340814</v>
      </c>
      <c r="DF247" s="3" t="n">
        <v>82.76308376243031</v>
      </c>
      <c r="DG247" s="3" t="n">
        <v>86.08494987827724</v>
      </c>
      <c r="DH247" s="3" t="n">
        <v>89.53951089959131</v>
      </c>
      <c r="DI247" s="3" t="n">
        <v>93.13175351026761</v>
      </c>
      <c r="DJ247" s="3" t="n">
        <v>96.86723483490043</v>
      </c>
      <c r="DK247" s="3" t="n">
        <v>100.7518464615079</v>
      </c>
      <c r="DL247" s="3" t="n">
        <v>104.7908198415491</v>
      </c>
      <c r="DM247" s="3" t="n">
        <v>108.9903142680188</v>
      </c>
      <c r="DN247" s="3" t="n">
        <v>113.3564118885126</v>
      </c>
      <c r="DO247" s="3" t="n">
        <v>117.8069599945716</v>
      </c>
    </row>
    <row r="248">
      <c r="A248" s="19" t="inlineStr">
        <is>
          <t>mit.eff.price.all.ker</t>
        </is>
      </c>
      <c r="B248" s="3" t="inlineStr">
        <is>
          <t>mit</t>
        </is>
      </c>
      <c r="C248" s="19" t="inlineStr">
        <is>
          <t>mit.eff.price.ker.all</t>
        </is>
      </c>
      <c r="H248" s="3" t="inlineStr">
        <is>
          <t>Efficient price | All sectors | Kerosene</t>
        </is>
      </c>
      <c r="I248" s="3" t="inlineStr">
        <is>
          <t>USD per price unit</t>
        </is>
      </c>
      <c r="K248" s="20" t="inlineStr">
        <is>
          <t>egy.mit.eff.price.all.ker.1</t>
        </is>
      </c>
      <c r="L248" s="3" t="n">
        <v>1.104744316531675</v>
      </c>
      <c r="M248" s="3" t="n">
        <v>1.039335530570761</v>
      </c>
      <c r="N248" s="3" t="n">
        <v>1.048649616262127</v>
      </c>
      <c r="O248" s="3" t="n">
        <v>0.9263845457376376</v>
      </c>
      <c r="P248" s="3" t="n">
        <v>1.015722881662298</v>
      </c>
      <c r="Q248" s="3" t="n">
        <v>0.9468371114156061</v>
      </c>
      <c r="R248" s="3" t="n">
        <v>0.9381391378051145</v>
      </c>
      <c r="S248" s="3" t="n">
        <v>0.9400990711004765</v>
      </c>
      <c r="T248" s="3" t="n">
        <v>0.9433702024694403</v>
      </c>
      <c r="U248" s="3" t="n">
        <v>0.9429923197289348</v>
      </c>
      <c r="V248" s="3" t="n">
        <v>0.954822055346084</v>
      </c>
      <c r="W248" s="3" t="n">
        <v>0.9670902094054671</v>
      </c>
      <c r="X248" s="3" t="n">
        <v>0.9798098375525482</v>
      </c>
      <c r="Y248" s="3" t="n">
        <v>0.9929975092533969</v>
      </c>
      <c r="Z248" s="3" t="n">
        <v>1.006666089251145</v>
      </c>
      <c r="AA248" s="3" t="n">
        <v>1.020836040497555</v>
      </c>
      <c r="AB248" s="3" t="n">
        <v>1.035516596093881</v>
      </c>
      <c r="AC248" s="3" t="n">
        <v>1.050723020322824</v>
      </c>
      <c r="AD248" s="3" t="n">
        <v>1.066470883492275</v>
      </c>
      <c r="AE248" s="3" t="n">
        <v>1.079008194896481</v>
      </c>
      <c r="AG248" s="20" t="inlineStr">
        <is>
          <t>egy.mit.eff.price.all.ker.3</t>
        </is>
      </c>
      <c r="AH248" s="3" t="n">
        <v>1.104744316531675</v>
      </c>
      <c r="AI248" s="3" t="n">
        <v>1.039335530570761</v>
      </c>
      <c r="AJ248" s="3" t="n">
        <v>1.048649616262127</v>
      </c>
      <c r="AK248" s="3" t="n">
        <v>0.9263845457376376</v>
      </c>
      <c r="AL248" s="3" t="n">
        <v>1.015722881662298</v>
      </c>
      <c r="AM248" s="3" t="n">
        <v>0.9469245740905939</v>
      </c>
      <c r="AN248" s="3" t="n">
        <v>0.9382328787407184</v>
      </c>
      <c r="AO248" s="3" t="n">
        <v>0.9401963089397183</v>
      </c>
      <c r="AP248" s="3" t="n">
        <v>0.9434772226064223</v>
      </c>
      <c r="AQ248" s="3" t="n">
        <v>0.9430987012945891</v>
      </c>
      <c r="AR248" s="3" t="n">
        <v>0.9549328611044126</v>
      </c>
      <c r="AS248" s="3" t="n">
        <v>0.9672006800203966</v>
      </c>
      <c r="AT248" s="3" t="n">
        <v>0.9799175739258655</v>
      </c>
      <c r="AU248" s="3" t="n">
        <v>0.9931034785255463</v>
      </c>
      <c r="AV248" s="3" t="n">
        <v>1.006769160263187</v>
      </c>
      <c r="AW248" s="3" t="n">
        <v>1.020933701021719</v>
      </c>
      <c r="AX248" s="3" t="n">
        <v>1.035610887516734</v>
      </c>
      <c r="AY248" s="3" t="n">
        <v>1.05081500431588</v>
      </c>
      <c r="AZ248" s="3" t="n">
        <v>1.066563272647164</v>
      </c>
      <c r="BA248" s="3" t="n">
        <v>1.079098308822308</v>
      </c>
      <c r="BC248" s="20" t="inlineStr">
        <is>
          <t>egy.mit.eff.price.all.ker.4</t>
        </is>
      </c>
      <c r="BD248" s="3" t="n">
        <v>1.104744316531675</v>
      </c>
      <c r="BE248" s="3" t="n">
        <v>1.039335530570761</v>
      </c>
      <c r="BF248" s="3" t="n">
        <v>1.048649616262127</v>
      </c>
      <c r="BG248" s="3" t="n">
        <v>0.9263845457376376</v>
      </c>
      <c r="BH248" s="3" t="n">
        <v>1.015722881662298</v>
      </c>
      <c r="BI248" s="3" t="n">
        <v>0.9471011487565049</v>
      </c>
      <c r="BJ248" s="3" t="n">
        <v>0.9387346127224587</v>
      </c>
      <c r="BK248" s="3" t="n">
        <v>0.9410047061364127</v>
      </c>
      <c r="BL248" s="3" t="n">
        <v>0.9445696495335731</v>
      </c>
      <c r="BM248" s="3" t="n">
        <v>0.944191313170839</v>
      </c>
      <c r="BN248" s="3" t="n">
        <v>0.9560513220608737</v>
      </c>
      <c r="BO248" s="3" t="n">
        <v>0.9683519795220159</v>
      </c>
      <c r="BP248" s="3" t="n">
        <v>0.9811039758130478</v>
      </c>
      <c r="BQ248" s="3" t="n">
        <v>0.9943242971579253</v>
      </c>
      <c r="BR248" s="3" t="n">
        <v>1.008025319907506</v>
      </c>
      <c r="BS248" s="3" t="n">
        <v>1.022226175783882</v>
      </c>
      <c r="BT248" s="3" t="n">
        <v>1.036936971489477</v>
      </c>
      <c r="BU248" s="3" t="n">
        <v>1.052173541833295</v>
      </c>
      <c r="BV248" s="3" t="n">
        <v>1.067953278851311</v>
      </c>
      <c r="BW248" s="3" t="n">
        <v>1.080469182823124</v>
      </c>
      <c r="BY248" s="20" t="inlineStr">
        <is>
          <t>egy.mit.eff.price.all.ker.5</t>
        </is>
      </c>
      <c r="BZ248" s="3" t="n">
        <v>1.104744316531675</v>
      </c>
      <c r="CA248" s="3" t="n">
        <v>1.039335530570761</v>
      </c>
      <c r="CB248" s="3" t="n">
        <v>1.048649616262127</v>
      </c>
      <c r="CC248" s="3" t="n">
        <v>0.9263845457376376</v>
      </c>
      <c r="CD248" s="3" t="n">
        <v>1.015722881662298</v>
      </c>
      <c r="CE248" s="3" t="n">
        <v>0.9469448413255717</v>
      </c>
      <c r="CF248" s="3" t="n">
        <v>0.9382546143634892</v>
      </c>
      <c r="CG248" s="3" t="n">
        <v>0.9402196688269289</v>
      </c>
      <c r="CH248" s="3" t="n">
        <v>0.9435014421172323</v>
      </c>
      <c r="CI248" s="3" t="n">
        <v>0.9431219959906093</v>
      </c>
      <c r="CJ248" s="3" t="n">
        <v>0.9549569407612011</v>
      </c>
      <c r="CK248" s="3" t="n">
        <v>0.9672249499272071</v>
      </c>
      <c r="CL248" s="3" t="n">
        <v>0.9799440670908756</v>
      </c>
      <c r="CM248" s="3" t="n">
        <v>0.9931318547886424</v>
      </c>
      <c r="CN248" s="3" t="n">
        <v>1.006799478299343</v>
      </c>
      <c r="CO248" s="3" t="n">
        <v>1.02096657301361</v>
      </c>
      <c r="CP248" s="3" t="n">
        <v>1.035646165230441</v>
      </c>
      <c r="CQ248" s="3" t="n">
        <v>1.050851941385877</v>
      </c>
      <c r="CR248" s="3" t="n">
        <v>1.066601272988162</v>
      </c>
      <c r="CS248" s="3" t="n">
        <v>1.079134889272757</v>
      </c>
      <c r="CU248" s="20" t="inlineStr">
        <is>
          <t>egy.mit.eff.price.all.ker.6</t>
        </is>
      </c>
      <c r="CV248" s="3" t="n">
        <v>1.104744316531675</v>
      </c>
      <c r="CW248" s="3" t="n">
        <v>1.039335530570761</v>
      </c>
      <c r="CX248" s="3" t="n">
        <v>1.048649616262127</v>
      </c>
      <c r="CY248" s="3" t="n">
        <v>0.9263845457376376</v>
      </c>
      <c r="CZ248" s="3" t="n">
        <v>1.015722881662298</v>
      </c>
      <c r="DA248" s="3" t="n">
        <v>0.9470381034895584</v>
      </c>
      <c r="DB248" s="3" t="n">
        <v>0.9383546594289585</v>
      </c>
      <c r="DC248" s="3" t="n">
        <v>0.9403230586202774</v>
      </c>
      <c r="DD248" s="3" t="n">
        <v>0.9436162379736492</v>
      </c>
      <c r="DE248" s="3" t="n">
        <v>0.9432366339553453</v>
      </c>
      <c r="DF248" s="3" t="n">
        <v>0.9550767196259605</v>
      </c>
      <c r="DG248" s="3" t="n">
        <v>0.9673442798458523</v>
      </c>
      <c r="DH248" s="3" t="n">
        <v>0.9800589555120369</v>
      </c>
      <c r="DI248" s="3" t="n">
        <v>0.99324348052717</v>
      </c>
      <c r="DJ248" s="3" t="n">
        <v>1.006906596662146</v>
      </c>
      <c r="DK248" s="3" t="n">
        <v>1.021065716598115</v>
      </c>
      <c r="DL248" s="3" t="n">
        <v>1.035739957857927</v>
      </c>
      <c r="DM248" s="3" t="n">
        <v>1.050942034418083</v>
      </c>
      <c r="DN248" s="3" t="n">
        <v>1.06669129387012</v>
      </c>
      <c r="DO248" s="3" t="n">
        <v>1.079223197737939</v>
      </c>
    </row>
    <row r="249">
      <c r="A249" s="19" t="inlineStr">
        <is>
          <t>mit.sup.cost.all.ker</t>
        </is>
      </c>
      <c r="B249" s="3" t="inlineStr">
        <is>
          <t>mit</t>
        </is>
      </c>
      <c r="C249" s="19" t="inlineStr">
        <is>
          <t>mit.sup.cost.ker.all</t>
        </is>
      </c>
      <c r="H249" s="3" t="inlineStr">
        <is>
          <t>Efficient price: supply cost of scenario 1 | All sectors | Kerosene</t>
        </is>
      </c>
      <c r="I249" s="3" t="inlineStr">
        <is>
          <t>USD per price unit</t>
        </is>
      </c>
      <c r="K249" s="20" t="inlineStr">
        <is>
          <t>egy.mit.sup.cost.all.ker.1</t>
        </is>
      </c>
      <c r="L249" s="3" t="n">
        <v>0.7619687745656634</v>
      </c>
      <c r="M249" s="3" t="n">
        <v>0.699629388534062</v>
      </c>
      <c r="N249" s="3" t="n">
        <v>0.705431870788639</v>
      </c>
      <c r="O249" s="3" t="n">
        <v>0.6102408901931812</v>
      </c>
      <c r="P249" s="3" t="n">
        <v>0.6763986884430834</v>
      </c>
      <c r="Q249" s="3" t="n">
        <v>0.6077975787544516</v>
      </c>
      <c r="R249" s="3" t="n">
        <v>0.5889243022058794</v>
      </c>
      <c r="S249" s="3" t="n">
        <v>0.5794106403615897</v>
      </c>
      <c r="T249" s="3" t="n">
        <v>0.5710908838735528</v>
      </c>
      <c r="U249" s="3" t="n">
        <v>0.5620522352117027</v>
      </c>
      <c r="V249" s="3" t="n">
        <v>0.5620522352117027</v>
      </c>
      <c r="W249" s="3" t="n">
        <v>0.5620522352117027</v>
      </c>
      <c r="X249" s="3" t="n">
        <v>0.5620522352117029</v>
      </c>
      <c r="Y249" s="3" t="n">
        <v>0.5620522352117029</v>
      </c>
      <c r="Z249" s="3" t="n">
        <v>0.5620522352117029</v>
      </c>
      <c r="AA249" s="3" t="n">
        <v>0.5620522352117028</v>
      </c>
      <c r="AB249" s="3" t="n">
        <v>0.5620522352117029</v>
      </c>
      <c r="AC249" s="3" t="n">
        <v>0.5620522352117029</v>
      </c>
      <c r="AD249" s="3" t="n">
        <v>0.5620522352117029</v>
      </c>
      <c r="AE249" s="3" t="n">
        <v>0.5620522352117029</v>
      </c>
      <c r="AG249" s="20" t="inlineStr">
        <is>
          <t>egy.mit.sup.cost.all.ker.3</t>
        </is>
      </c>
      <c r="AH249" s="3" t="n">
        <v>0.7619687745656634</v>
      </c>
      <c r="AI249" s="3" t="n">
        <v>0.699629388534062</v>
      </c>
      <c r="AJ249" s="3" t="n">
        <v>0.705431870788639</v>
      </c>
      <c r="AK249" s="3" t="n">
        <v>0.6102408901931812</v>
      </c>
      <c r="AL249" s="3" t="n">
        <v>0.6763986884430834</v>
      </c>
      <c r="AM249" s="3" t="n">
        <v>0.6077975787544516</v>
      </c>
      <c r="AN249" s="3" t="n">
        <v>0.5889243022058794</v>
      </c>
      <c r="AO249" s="3" t="n">
        <v>0.5794106403615897</v>
      </c>
      <c r="AP249" s="3" t="n">
        <v>0.5710908838735528</v>
      </c>
      <c r="AQ249" s="3" t="n">
        <v>0.5620522352117027</v>
      </c>
      <c r="AR249" s="3" t="n">
        <v>0.5620522352117027</v>
      </c>
      <c r="AS249" s="3" t="n">
        <v>0.5620522352117027</v>
      </c>
      <c r="AT249" s="3" t="n">
        <v>0.5620522352117029</v>
      </c>
      <c r="AU249" s="3" t="n">
        <v>0.5620522352117029</v>
      </c>
      <c r="AV249" s="3" t="n">
        <v>0.5620522352117029</v>
      </c>
      <c r="AW249" s="3" t="n">
        <v>0.5620522352117028</v>
      </c>
      <c r="AX249" s="3" t="n">
        <v>0.5620522352117029</v>
      </c>
      <c r="AY249" s="3" t="n">
        <v>0.5620522352117029</v>
      </c>
      <c r="AZ249" s="3" t="n">
        <v>0.5620522352117029</v>
      </c>
      <c r="BA249" s="3" t="n">
        <v>0.5620522352117029</v>
      </c>
      <c r="BC249" s="20" t="inlineStr">
        <is>
          <t>egy.mit.sup.cost.all.ker.4</t>
        </is>
      </c>
      <c r="BD249" s="3" t="n">
        <v>0.7619687745656634</v>
      </c>
      <c r="BE249" s="3" t="n">
        <v>0.699629388534062</v>
      </c>
      <c r="BF249" s="3" t="n">
        <v>0.705431870788639</v>
      </c>
      <c r="BG249" s="3" t="n">
        <v>0.6102408901931812</v>
      </c>
      <c r="BH249" s="3" t="n">
        <v>0.6763986884430834</v>
      </c>
      <c r="BI249" s="3" t="n">
        <v>0.6077975787544516</v>
      </c>
      <c r="BJ249" s="3" t="n">
        <v>0.5889243022058794</v>
      </c>
      <c r="BK249" s="3" t="n">
        <v>0.5794106403615897</v>
      </c>
      <c r="BL249" s="3" t="n">
        <v>0.5710908838735528</v>
      </c>
      <c r="BM249" s="3" t="n">
        <v>0.5620522352117027</v>
      </c>
      <c r="BN249" s="3" t="n">
        <v>0.5620522352117027</v>
      </c>
      <c r="BO249" s="3" t="n">
        <v>0.5620522352117027</v>
      </c>
      <c r="BP249" s="3" t="n">
        <v>0.5620522352117029</v>
      </c>
      <c r="BQ249" s="3" t="n">
        <v>0.5620522352117029</v>
      </c>
      <c r="BR249" s="3" t="n">
        <v>0.5620522352117029</v>
      </c>
      <c r="BS249" s="3" t="n">
        <v>0.5620522352117028</v>
      </c>
      <c r="BT249" s="3" t="n">
        <v>0.5620522352117029</v>
      </c>
      <c r="BU249" s="3" t="n">
        <v>0.5620522352117029</v>
      </c>
      <c r="BV249" s="3" t="n">
        <v>0.5620522352117029</v>
      </c>
      <c r="BW249" s="3" t="n">
        <v>0.5620522352117029</v>
      </c>
      <c r="BY249" s="20" t="inlineStr">
        <is>
          <t>egy.mit.sup.cost.all.ker.5</t>
        </is>
      </c>
      <c r="BZ249" s="3" t="n">
        <v>0.7619687745656634</v>
      </c>
      <c r="CA249" s="3" t="n">
        <v>0.699629388534062</v>
      </c>
      <c r="CB249" s="3" t="n">
        <v>0.705431870788639</v>
      </c>
      <c r="CC249" s="3" t="n">
        <v>0.6102408901931812</v>
      </c>
      <c r="CD249" s="3" t="n">
        <v>0.6763986884430834</v>
      </c>
      <c r="CE249" s="3" t="n">
        <v>0.6077975787544516</v>
      </c>
      <c r="CF249" s="3" t="n">
        <v>0.5889243022058794</v>
      </c>
      <c r="CG249" s="3" t="n">
        <v>0.5794106403615897</v>
      </c>
      <c r="CH249" s="3" t="n">
        <v>0.5710908838735528</v>
      </c>
      <c r="CI249" s="3" t="n">
        <v>0.5620522352117027</v>
      </c>
      <c r="CJ249" s="3" t="n">
        <v>0.5620522352117027</v>
      </c>
      <c r="CK249" s="3" t="n">
        <v>0.5620522352117027</v>
      </c>
      <c r="CL249" s="3" t="n">
        <v>0.5620522352117029</v>
      </c>
      <c r="CM249" s="3" t="n">
        <v>0.5620522352117029</v>
      </c>
      <c r="CN249" s="3" t="n">
        <v>0.5620522352117029</v>
      </c>
      <c r="CO249" s="3" t="n">
        <v>0.5620522352117028</v>
      </c>
      <c r="CP249" s="3" t="n">
        <v>0.5620522352117029</v>
      </c>
      <c r="CQ249" s="3" t="n">
        <v>0.5620522352117029</v>
      </c>
      <c r="CR249" s="3" t="n">
        <v>0.5620522352117029</v>
      </c>
      <c r="CS249" s="3" t="n">
        <v>0.5620522352117029</v>
      </c>
      <c r="CU249" s="20" t="inlineStr">
        <is>
          <t>egy.mit.sup.cost.all.ker.6</t>
        </is>
      </c>
      <c r="CV249" s="3" t="n">
        <v>0.7619687745656634</v>
      </c>
      <c r="CW249" s="3" t="n">
        <v>0.699629388534062</v>
      </c>
      <c r="CX249" s="3" t="n">
        <v>0.705431870788639</v>
      </c>
      <c r="CY249" s="3" t="n">
        <v>0.6102408901931812</v>
      </c>
      <c r="CZ249" s="3" t="n">
        <v>0.6763986884430834</v>
      </c>
      <c r="DA249" s="3" t="n">
        <v>0.6077975787544516</v>
      </c>
      <c r="DB249" s="3" t="n">
        <v>0.5889243022058794</v>
      </c>
      <c r="DC249" s="3" t="n">
        <v>0.5794106403615897</v>
      </c>
      <c r="DD249" s="3" t="n">
        <v>0.5710908838735528</v>
      </c>
      <c r="DE249" s="3" t="n">
        <v>0.5620522352117027</v>
      </c>
      <c r="DF249" s="3" t="n">
        <v>0.5620522352117027</v>
      </c>
      <c r="DG249" s="3" t="n">
        <v>0.5620522352117027</v>
      </c>
      <c r="DH249" s="3" t="n">
        <v>0.5620522352117029</v>
      </c>
      <c r="DI249" s="3" t="n">
        <v>0.5620522352117029</v>
      </c>
      <c r="DJ249" s="3" t="n">
        <v>0.5620522352117029</v>
      </c>
      <c r="DK249" s="3" t="n">
        <v>0.5620522352117028</v>
      </c>
      <c r="DL249" s="3" t="n">
        <v>0.5620522352117029</v>
      </c>
      <c r="DM249" s="3" t="n">
        <v>0.5620522352117029</v>
      </c>
      <c r="DN249" s="3" t="n">
        <v>0.5620522352117029</v>
      </c>
      <c r="DO249" s="3" t="n">
        <v>0.5620522352117029</v>
      </c>
    </row>
    <row r="250">
      <c r="A250" s="19" t="inlineStr">
        <is>
          <t>mit.airpol.cost.all.ker</t>
        </is>
      </c>
      <c r="B250" s="3" t="inlineStr">
        <is>
          <t>mit</t>
        </is>
      </c>
      <c r="C250" s="19" t="inlineStr">
        <is>
          <t>mit.airpol.cost.ker.all</t>
        </is>
      </c>
      <c r="H250" s="3" t="inlineStr">
        <is>
          <t>Air-pollution cost per unit of fuel, marginal damages (coal, gas, other oil products USD/GJ; gasoline, diesel, LPG, kerosene USD/l) | All sectors | Kerosene</t>
        </is>
      </c>
      <c r="I250" s="3" t="inlineStr">
        <is>
          <t>USD per unit</t>
        </is>
      </c>
      <c r="K250" s="20" t="inlineStr">
        <is>
          <t>egy.mit.airpol.cost.all.ker.1</t>
        </is>
      </c>
      <c r="L250" s="3" t="n">
        <v>0.06607346266388868</v>
      </c>
      <c r="M250" s="3" t="n">
        <v>0.06539545167398719</v>
      </c>
      <c r="N250" s="3" t="n">
        <v>0.06189630028083362</v>
      </c>
      <c r="O250" s="3" t="n">
        <v>0.04373562247786454</v>
      </c>
      <c r="P250" s="3" t="n">
        <v>0.04959912516915031</v>
      </c>
      <c r="Q250" s="3" t="n">
        <v>0.05117463379421568</v>
      </c>
      <c r="R250" s="3" t="n">
        <v>0.05555464264551007</v>
      </c>
      <c r="S250" s="3" t="n">
        <v>0.05964953928662516</v>
      </c>
      <c r="T250" s="3" t="n">
        <v>0.06341518412282288</v>
      </c>
      <c r="U250" s="3" t="n">
        <v>0.06440189055778843</v>
      </c>
      <c r="V250" s="3" t="n">
        <v>0.06674956684119251</v>
      </c>
      <c r="W250" s="3" t="n">
        <v>0.06916064931413266</v>
      </c>
      <c r="X250" s="3" t="n">
        <v>0.07163374344153636</v>
      </c>
      <c r="Y250" s="3" t="n">
        <v>0.0741700231128825</v>
      </c>
      <c r="Z250" s="3" t="n">
        <v>0.0767668780314905</v>
      </c>
      <c r="AA250" s="3" t="n">
        <v>0.0794278071896081</v>
      </c>
      <c r="AB250" s="3" t="n">
        <v>0.08214588079480435</v>
      </c>
      <c r="AC250" s="3" t="n">
        <v>0.08491885840452715</v>
      </c>
      <c r="AD250" s="3" t="n">
        <v>0.08774414281280624</v>
      </c>
      <c r="AE250" s="3" t="n">
        <v>0.08731360851669474</v>
      </c>
      <c r="AG250" s="20" t="inlineStr">
        <is>
          <t>egy.mit.airpol.cost.all.ker.3</t>
        </is>
      </c>
      <c r="AH250" s="3" t="n">
        <v>0.06607346266388868</v>
      </c>
      <c r="AI250" s="3" t="n">
        <v>0.06539545167398719</v>
      </c>
      <c r="AJ250" s="3" t="n">
        <v>0.06189630028083362</v>
      </c>
      <c r="AK250" s="3" t="n">
        <v>0.04373562247786454</v>
      </c>
      <c r="AL250" s="3" t="n">
        <v>0.04959912516915031</v>
      </c>
      <c r="AM250" s="3" t="n">
        <v>0.05125135543894195</v>
      </c>
      <c r="AN250" s="3" t="n">
        <v>0.0556368715363907</v>
      </c>
      <c r="AO250" s="3" t="n">
        <v>0.05973483563683717</v>
      </c>
      <c r="AP250" s="3" t="n">
        <v>0.06350906143596502</v>
      </c>
      <c r="AQ250" s="3" t="n">
        <v>0.06449520772064303</v>
      </c>
      <c r="AR250" s="3" t="n">
        <v>0.06684676487481409</v>
      </c>
      <c r="AS250" s="3" t="n">
        <v>0.06925755336231636</v>
      </c>
      <c r="AT250" s="3" t="n">
        <v>0.0717282490321656</v>
      </c>
      <c r="AU250" s="3" t="n">
        <v>0.07426297861476777</v>
      </c>
      <c r="AV250" s="3" t="n">
        <v>0.07685729119994876</v>
      </c>
      <c r="AW250" s="3" t="n">
        <v>0.07951347431606801</v>
      </c>
      <c r="AX250" s="3" t="n">
        <v>0.08222859256923662</v>
      </c>
      <c r="AY250" s="3" t="n">
        <v>0.08499954611773441</v>
      </c>
      <c r="AZ250" s="3" t="n">
        <v>0.08782518593113024</v>
      </c>
      <c r="BA250" s="3" t="n">
        <v>0.08739265582005172</v>
      </c>
      <c r="BC250" s="20" t="inlineStr">
        <is>
          <t>egy.mit.airpol.cost.all.ker.4</t>
        </is>
      </c>
      <c r="BD250" s="3" t="n">
        <v>0.06607346266388868</v>
      </c>
      <c r="BE250" s="3" t="n">
        <v>0.06539545167398719</v>
      </c>
      <c r="BF250" s="3" t="n">
        <v>0.06189630028083362</v>
      </c>
      <c r="BG250" s="3" t="n">
        <v>0.04373562247786454</v>
      </c>
      <c r="BH250" s="3" t="n">
        <v>0.04959912516915031</v>
      </c>
      <c r="BI250" s="3" t="n">
        <v>0.05140624549675858</v>
      </c>
      <c r="BJ250" s="3" t="n">
        <v>0.05607698906423322</v>
      </c>
      <c r="BK250" s="3" t="n">
        <v>0.0604439559848149</v>
      </c>
      <c r="BL250" s="3" t="n">
        <v>0.06446733067030785</v>
      </c>
      <c r="BM250" s="3" t="n">
        <v>0.06545363919103787</v>
      </c>
      <c r="BN250" s="3" t="n">
        <v>0.06782787097697301</v>
      </c>
      <c r="BO250" s="3" t="n">
        <v>0.07026746520584205</v>
      </c>
      <c r="BP250" s="3" t="n">
        <v>0.07276895244197464</v>
      </c>
      <c r="BQ250" s="3" t="n">
        <v>0.07533387215194237</v>
      </c>
      <c r="BR250" s="3" t="n">
        <v>0.0779591856247895</v>
      </c>
      <c r="BS250" s="3" t="n">
        <v>0.0806472241074391</v>
      </c>
      <c r="BT250" s="3" t="n">
        <v>0.08339182412427434</v>
      </c>
      <c r="BU250" s="3" t="n">
        <v>0.08619124569441414</v>
      </c>
      <c r="BV250" s="3" t="n">
        <v>0.08904448961897855</v>
      </c>
      <c r="BW250" s="3" t="n">
        <v>0.08859517687339868</v>
      </c>
      <c r="BY250" s="20" t="inlineStr">
        <is>
          <t>egy.mit.airpol.cost.all.ker.5</t>
        </is>
      </c>
      <c r="BZ250" s="3" t="n">
        <v>0.06607346266388868</v>
      </c>
      <c r="CA250" s="3" t="n">
        <v>0.06539545167398719</v>
      </c>
      <c r="CB250" s="3" t="n">
        <v>0.06189630028083362</v>
      </c>
      <c r="CC250" s="3" t="n">
        <v>0.04373562247786454</v>
      </c>
      <c r="CD250" s="3" t="n">
        <v>0.04959912516915031</v>
      </c>
      <c r="CE250" s="3" t="n">
        <v>0.05126913371523814</v>
      </c>
      <c r="CF250" s="3" t="n">
        <v>0.05565593787215466</v>
      </c>
      <c r="CG250" s="3" t="n">
        <v>0.05975532676596935</v>
      </c>
      <c r="CH250" s="3" t="n">
        <v>0.0635303066208861</v>
      </c>
      <c r="CI250" s="3" t="n">
        <v>0.06451564166452047</v>
      </c>
      <c r="CJ250" s="3" t="n">
        <v>0.0668678873807689</v>
      </c>
      <c r="CK250" s="3" t="n">
        <v>0.0692788427542554</v>
      </c>
      <c r="CL250" s="3" t="n">
        <v>0.0717514886505954</v>
      </c>
      <c r="CM250" s="3" t="n">
        <v>0.07428787007362415</v>
      </c>
      <c r="CN250" s="3" t="n">
        <v>0.07688388596850632</v>
      </c>
      <c r="CO250" s="3" t="n">
        <v>0.0795423093966737</v>
      </c>
      <c r="CP250" s="3" t="n">
        <v>0.0822595379321371</v>
      </c>
      <c r="CQ250" s="3" t="n">
        <v>0.08503194705632794</v>
      </c>
      <c r="CR250" s="3" t="n">
        <v>0.08785851956358466</v>
      </c>
      <c r="CS250" s="3" t="n">
        <v>0.08742474393448009</v>
      </c>
      <c r="CU250" s="20" t="inlineStr">
        <is>
          <t>egy.mit.airpol.cost.all.ker.6</t>
        </is>
      </c>
      <c r="CV250" s="3" t="n">
        <v>0.06607346266388868</v>
      </c>
      <c r="CW250" s="3" t="n">
        <v>0.06539545167398719</v>
      </c>
      <c r="CX250" s="3" t="n">
        <v>0.06189630028083362</v>
      </c>
      <c r="CY250" s="3" t="n">
        <v>0.04373562247786454</v>
      </c>
      <c r="CZ250" s="3" t="n">
        <v>0.04959912516915031</v>
      </c>
      <c r="DA250" s="3" t="n">
        <v>0.05135094263101599</v>
      </c>
      <c r="DB250" s="3" t="n">
        <v>0.05574369670151369</v>
      </c>
      <c r="DC250" s="3" t="n">
        <v>0.05984601956715228</v>
      </c>
      <c r="DD250" s="3" t="n">
        <v>0.06363100474055004</v>
      </c>
      <c r="DE250" s="3" t="n">
        <v>0.06461620128270992</v>
      </c>
      <c r="DF250" s="3" t="n">
        <v>0.06697295656038239</v>
      </c>
      <c r="DG250" s="3" t="n">
        <v>0.06938351812148812</v>
      </c>
      <c r="DH250" s="3" t="n">
        <v>0.07185226796740368</v>
      </c>
      <c r="DI250" s="3" t="n">
        <v>0.07438578738812203</v>
      </c>
      <c r="DJ250" s="3" t="n">
        <v>0.07697784944464965</v>
      </c>
      <c r="DK250" s="3" t="n">
        <v>0.07962927745325706</v>
      </c>
      <c r="DL250" s="3" t="n">
        <v>0.08234181216677408</v>
      </c>
      <c r="DM250" s="3" t="n">
        <v>0.08511097603194732</v>
      </c>
      <c r="DN250" s="3" t="n">
        <v>0.08793748524951253</v>
      </c>
      <c r="DO250" s="3" t="n">
        <v>0.0875022075004299</v>
      </c>
    </row>
    <row r="251">
      <c r="A251" s="19" t="inlineStr">
        <is>
          <t>mit.scc.cost.all.ker</t>
        </is>
      </c>
      <c r="B251" s="3" t="inlineStr">
        <is>
          <t>mit</t>
        </is>
      </c>
      <c r="C251" s="19" t="inlineStr">
        <is>
          <t>mit.scc.cost.ker.all</t>
        </is>
      </c>
      <c r="H251" s="3" t="inlineStr">
        <is>
          <t>Efficient price: climate damage (national SCC) | All sectors | Kerosene</t>
        </is>
      </c>
      <c r="I251" s="3" t="inlineStr">
        <is>
          <t>USD per price unit</t>
        </is>
      </c>
      <c r="K251" s="20" t="inlineStr">
        <is>
          <t>egy.mit.scc.cost.all.ker.1</t>
        </is>
      </c>
      <c r="L251" s="3" t="n">
        <v>0.1410317246403381</v>
      </c>
      <c r="M251" s="3" t="n">
        <v>0.1466729936259517</v>
      </c>
      <c r="N251" s="3" t="n">
        <v>0.1525399133709897</v>
      </c>
      <c r="O251" s="3" t="n">
        <v>0.1586415099058293</v>
      </c>
      <c r="P251" s="3" t="n">
        <v>0.1649871703020625</v>
      </c>
      <c r="Q251" s="3" t="n">
        <v>0.171586657114145</v>
      </c>
      <c r="R251" s="3" t="n">
        <v>0.1784501233987108</v>
      </c>
      <c r="S251" s="3" t="n">
        <v>0.1855881283346593</v>
      </c>
      <c r="T251" s="3" t="n">
        <v>0.1930116534680456</v>
      </c>
      <c r="U251" s="3" t="n">
        <v>0.2007321196067675</v>
      </c>
      <c r="V251" s="3" t="n">
        <v>0.2087614043910382</v>
      </c>
      <c r="W251" s="3" t="n">
        <v>0.2171118605666797</v>
      </c>
      <c r="X251" s="3" t="n">
        <v>0.2257963349893469</v>
      </c>
      <c r="Y251" s="3" t="n">
        <v>0.2348281883889207</v>
      </c>
      <c r="Z251" s="3" t="n">
        <v>0.2442213159244776</v>
      </c>
      <c r="AA251" s="3" t="n">
        <v>0.2539901685614567</v>
      </c>
      <c r="AB251" s="3" t="n">
        <v>0.264149775303915</v>
      </c>
      <c r="AC251" s="3" t="n">
        <v>0.2747157663160716</v>
      </c>
      <c r="AD251" s="3" t="n">
        <v>0.2857043969687145</v>
      </c>
      <c r="AE251" s="3" t="n">
        <v>0.2971325728474631</v>
      </c>
      <c r="AG251" s="20" t="inlineStr">
        <is>
          <t>egy.mit.scc.cost.all.ker.3</t>
        </is>
      </c>
      <c r="AH251" s="3" t="n">
        <v>0.1410317246403381</v>
      </c>
      <c r="AI251" s="3" t="n">
        <v>0.1466729936259517</v>
      </c>
      <c r="AJ251" s="3" t="n">
        <v>0.1525399133709897</v>
      </c>
      <c r="AK251" s="3" t="n">
        <v>0.1586415099058293</v>
      </c>
      <c r="AL251" s="3" t="n">
        <v>0.1649871703020625</v>
      </c>
      <c r="AM251" s="3" t="n">
        <v>0.171586657114145</v>
      </c>
      <c r="AN251" s="3" t="n">
        <v>0.1784501233987108</v>
      </c>
      <c r="AO251" s="3" t="n">
        <v>0.1855881283346593</v>
      </c>
      <c r="AP251" s="3" t="n">
        <v>0.1930116534680456</v>
      </c>
      <c r="AQ251" s="3" t="n">
        <v>0.2007321196067675</v>
      </c>
      <c r="AR251" s="3" t="n">
        <v>0.2087614043910382</v>
      </c>
      <c r="AS251" s="3" t="n">
        <v>0.2171118605666797</v>
      </c>
      <c r="AT251" s="3" t="n">
        <v>0.2257963349893469</v>
      </c>
      <c r="AU251" s="3" t="n">
        <v>0.2348281883889207</v>
      </c>
      <c r="AV251" s="3" t="n">
        <v>0.2442213159244776</v>
      </c>
      <c r="AW251" s="3" t="n">
        <v>0.2539901685614567</v>
      </c>
      <c r="AX251" s="3" t="n">
        <v>0.264149775303915</v>
      </c>
      <c r="AY251" s="3" t="n">
        <v>0.2747157663160716</v>
      </c>
      <c r="AZ251" s="3" t="n">
        <v>0.2857043969687145</v>
      </c>
      <c r="BA251" s="3" t="n">
        <v>0.2971325728474631</v>
      </c>
      <c r="BC251" s="20" t="inlineStr">
        <is>
          <t>egy.mit.scc.cost.all.ker.4</t>
        </is>
      </c>
      <c r="BD251" s="3" t="n">
        <v>0.1410317246403381</v>
      </c>
      <c r="BE251" s="3" t="n">
        <v>0.1466729936259517</v>
      </c>
      <c r="BF251" s="3" t="n">
        <v>0.1525399133709897</v>
      </c>
      <c r="BG251" s="3" t="n">
        <v>0.1586415099058293</v>
      </c>
      <c r="BH251" s="3" t="n">
        <v>0.1649871703020625</v>
      </c>
      <c r="BI251" s="3" t="n">
        <v>0.171586657114145</v>
      </c>
      <c r="BJ251" s="3" t="n">
        <v>0.1784501233987108</v>
      </c>
      <c r="BK251" s="3" t="n">
        <v>0.1855881283346593</v>
      </c>
      <c r="BL251" s="3" t="n">
        <v>0.1930116534680456</v>
      </c>
      <c r="BM251" s="3" t="n">
        <v>0.2007321196067675</v>
      </c>
      <c r="BN251" s="3" t="n">
        <v>0.2087614043910382</v>
      </c>
      <c r="BO251" s="3" t="n">
        <v>0.2171118605666797</v>
      </c>
      <c r="BP251" s="3" t="n">
        <v>0.2257963349893469</v>
      </c>
      <c r="BQ251" s="3" t="n">
        <v>0.2348281883889207</v>
      </c>
      <c r="BR251" s="3" t="n">
        <v>0.2442213159244776</v>
      </c>
      <c r="BS251" s="3" t="n">
        <v>0.2539901685614567</v>
      </c>
      <c r="BT251" s="3" t="n">
        <v>0.264149775303915</v>
      </c>
      <c r="BU251" s="3" t="n">
        <v>0.2747157663160716</v>
      </c>
      <c r="BV251" s="3" t="n">
        <v>0.2857043969687145</v>
      </c>
      <c r="BW251" s="3" t="n">
        <v>0.2971325728474631</v>
      </c>
      <c r="BY251" s="20" t="inlineStr">
        <is>
          <t>egy.mit.scc.cost.all.ker.5</t>
        </is>
      </c>
      <c r="BZ251" s="3" t="n">
        <v>0.1410317246403381</v>
      </c>
      <c r="CA251" s="3" t="n">
        <v>0.1466729936259517</v>
      </c>
      <c r="CB251" s="3" t="n">
        <v>0.1525399133709897</v>
      </c>
      <c r="CC251" s="3" t="n">
        <v>0.1586415099058293</v>
      </c>
      <c r="CD251" s="3" t="n">
        <v>0.1649871703020625</v>
      </c>
      <c r="CE251" s="3" t="n">
        <v>0.171586657114145</v>
      </c>
      <c r="CF251" s="3" t="n">
        <v>0.1784501233987108</v>
      </c>
      <c r="CG251" s="3" t="n">
        <v>0.1855881283346593</v>
      </c>
      <c r="CH251" s="3" t="n">
        <v>0.1930116534680456</v>
      </c>
      <c r="CI251" s="3" t="n">
        <v>0.2007321196067675</v>
      </c>
      <c r="CJ251" s="3" t="n">
        <v>0.2087614043910382</v>
      </c>
      <c r="CK251" s="3" t="n">
        <v>0.2171118605666797</v>
      </c>
      <c r="CL251" s="3" t="n">
        <v>0.2257963349893469</v>
      </c>
      <c r="CM251" s="3" t="n">
        <v>0.2348281883889207</v>
      </c>
      <c r="CN251" s="3" t="n">
        <v>0.2442213159244776</v>
      </c>
      <c r="CO251" s="3" t="n">
        <v>0.2539901685614567</v>
      </c>
      <c r="CP251" s="3" t="n">
        <v>0.264149775303915</v>
      </c>
      <c r="CQ251" s="3" t="n">
        <v>0.2747157663160716</v>
      </c>
      <c r="CR251" s="3" t="n">
        <v>0.2857043969687145</v>
      </c>
      <c r="CS251" s="3" t="n">
        <v>0.2971325728474631</v>
      </c>
      <c r="CU251" s="20" t="inlineStr">
        <is>
          <t>egy.mit.scc.cost.all.ker.6</t>
        </is>
      </c>
      <c r="CV251" s="3" t="n">
        <v>0.1410317246403381</v>
      </c>
      <c r="CW251" s="3" t="n">
        <v>0.1466729936259517</v>
      </c>
      <c r="CX251" s="3" t="n">
        <v>0.1525399133709897</v>
      </c>
      <c r="CY251" s="3" t="n">
        <v>0.1586415099058293</v>
      </c>
      <c r="CZ251" s="3" t="n">
        <v>0.1649871703020625</v>
      </c>
      <c r="DA251" s="3" t="n">
        <v>0.171586657114145</v>
      </c>
      <c r="DB251" s="3" t="n">
        <v>0.1784501233987108</v>
      </c>
      <c r="DC251" s="3" t="n">
        <v>0.1855881283346593</v>
      </c>
      <c r="DD251" s="3" t="n">
        <v>0.1930116534680456</v>
      </c>
      <c r="DE251" s="3" t="n">
        <v>0.2007321196067675</v>
      </c>
      <c r="DF251" s="3" t="n">
        <v>0.2087614043910382</v>
      </c>
      <c r="DG251" s="3" t="n">
        <v>0.2171118605666797</v>
      </c>
      <c r="DH251" s="3" t="n">
        <v>0.2257963349893469</v>
      </c>
      <c r="DI251" s="3" t="n">
        <v>0.2348281883889207</v>
      </c>
      <c r="DJ251" s="3" t="n">
        <v>0.2442213159244776</v>
      </c>
      <c r="DK251" s="3" t="n">
        <v>0.2539901685614567</v>
      </c>
      <c r="DL251" s="3" t="n">
        <v>0.264149775303915</v>
      </c>
      <c r="DM251" s="3" t="n">
        <v>0.2747157663160716</v>
      </c>
      <c r="DN251" s="3" t="n">
        <v>0.2857043969687145</v>
      </c>
      <c r="DO251" s="3" t="n">
        <v>0.2971325728474631</v>
      </c>
    </row>
    <row r="252">
      <c r="A252" s="19" t="inlineStr">
        <is>
          <t>mit.vat.cost.all.ker</t>
        </is>
      </c>
      <c r="B252" s="3" t="inlineStr">
        <is>
          <t>mit</t>
        </is>
      </c>
      <c r="C252" s="19" t="inlineStr">
        <is>
          <t>mit.vat.cost.ker.all</t>
        </is>
      </c>
      <c r="H252" s="3" t="inlineStr">
        <is>
          <t>Efficient price: potential VAT | All sectors | Kerosene</t>
        </is>
      </c>
      <c r="I252" s="3" t="inlineStr">
        <is>
          <t>USD per price unit</t>
        </is>
      </c>
      <c r="K252" s="20" t="inlineStr">
        <is>
          <t>egy.mit.vat.cost.all.ker.1</t>
        </is>
      </c>
      <c r="L252" s="3" t="n">
        <v>0.1356703546617846</v>
      </c>
      <c r="M252" s="3" t="n">
        <v>0.1276376967367601</v>
      </c>
      <c r="N252" s="3" t="n">
        <v>0.1287815318216647</v>
      </c>
      <c r="O252" s="3" t="n">
        <v>0.1137665231607625</v>
      </c>
      <c r="P252" s="3" t="n">
        <v>0.1247378977480015</v>
      </c>
      <c r="Q252" s="3" t="n">
        <v>0.1162782417527937</v>
      </c>
      <c r="R252" s="3" t="n">
        <v>0.1152100695550141</v>
      </c>
      <c r="S252" s="3" t="n">
        <v>0.1154507631176024</v>
      </c>
      <c r="T252" s="3" t="n">
        <v>0.115852481005019</v>
      </c>
      <c r="U252" s="3" t="n">
        <v>0.1158060743526762</v>
      </c>
      <c r="V252" s="3" t="n">
        <v>0.1172588489021507</v>
      </c>
      <c r="W252" s="3" t="n">
        <v>0.1187654643129521</v>
      </c>
      <c r="X252" s="3" t="n">
        <v>0.1203275239099621</v>
      </c>
      <c r="Y252" s="3" t="n">
        <v>0.1219470625398909</v>
      </c>
      <c r="Z252" s="3" t="n">
        <v>0.1236256600834739</v>
      </c>
      <c r="AA252" s="3" t="n">
        <v>0.1253658295347875</v>
      </c>
      <c r="AB252" s="3" t="n">
        <v>0.1271687047834591</v>
      </c>
      <c r="AC252" s="3" t="n">
        <v>0.1290361603905222</v>
      </c>
      <c r="AD252" s="3" t="n">
        <v>0.1309701084990513</v>
      </c>
      <c r="AE252" s="3" t="n">
        <v>0.1325097783206205</v>
      </c>
      <c r="AG252" s="20" t="inlineStr">
        <is>
          <t>egy.mit.vat.cost.all.ker.3</t>
        </is>
      </c>
      <c r="AH252" s="3" t="n">
        <v>0.1356703546617846</v>
      </c>
      <c r="AI252" s="3" t="n">
        <v>0.1276376967367601</v>
      </c>
      <c r="AJ252" s="3" t="n">
        <v>0.1287815318216647</v>
      </c>
      <c r="AK252" s="3" t="n">
        <v>0.1137665231607625</v>
      </c>
      <c r="AL252" s="3" t="n">
        <v>0.1247378977480015</v>
      </c>
      <c r="AM252" s="3" t="n">
        <v>0.1162889827830554</v>
      </c>
      <c r="AN252" s="3" t="n">
        <v>0.1152215815997373</v>
      </c>
      <c r="AO252" s="3" t="n">
        <v>0.1154627046066321</v>
      </c>
      <c r="AP252" s="3" t="n">
        <v>0.1158656238288589</v>
      </c>
      <c r="AQ252" s="3" t="n">
        <v>0.1158191387554759</v>
      </c>
      <c r="AR252" s="3" t="n">
        <v>0.1172724566268577</v>
      </c>
      <c r="AS252" s="3" t="n">
        <v>0.1187790308796978</v>
      </c>
      <c r="AT252" s="3" t="n">
        <v>0.1203407546926502</v>
      </c>
      <c r="AU252" s="3" t="n">
        <v>0.1219600763101548</v>
      </c>
      <c r="AV252" s="3" t="n">
        <v>0.1236383179270581</v>
      </c>
      <c r="AW252" s="3" t="n">
        <v>0.1253778229324919</v>
      </c>
      <c r="AX252" s="3" t="n">
        <v>0.1271802844318796</v>
      </c>
      <c r="AY252" s="3" t="n">
        <v>0.1290474566703713</v>
      </c>
      <c r="AZ252" s="3" t="n">
        <v>0.1309814545356167</v>
      </c>
      <c r="BA252" s="3" t="n">
        <v>0.1325208449430905</v>
      </c>
      <c r="BC252" s="20" t="inlineStr">
        <is>
          <t>egy.mit.vat.cost.all.ker.4</t>
        </is>
      </c>
      <c r="BD252" s="3" t="n">
        <v>0.1356703546617846</v>
      </c>
      <c r="BE252" s="3" t="n">
        <v>0.1276376967367601</v>
      </c>
      <c r="BF252" s="3" t="n">
        <v>0.1287815318216647</v>
      </c>
      <c r="BG252" s="3" t="n">
        <v>0.1137665231607625</v>
      </c>
      <c r="BH252" s="3" t="n">
        <v>0.1247378977480015</v>
      </c>
      <c r="BI252" s="3" t="n">
        <v>0.1163106673911497</v>
      </c>
      <c r="BJ252" s="3" t="n">
        <v>0.1152831980536353</v>
      </c>
      <c r="BK252" s="3" t="n">
        <v>0.1155619814553489</v>
      </c>
      <c r="BL252" s="3" t="n">
        <v>0.1159997815216669</v>
      </c>
      <c r="BM252" s="3" t="n">
        <v>0.1159533191613311</v>
      </c>
      <c r="BN252" s="3" t="n">
        <v>0.1174098114811599</v>
      </c>
      <c r="BO252" s="3" t="n">
        <v>0.1189204185377914</v>
      </c>
      <c r="BP252" s="3" t="n">
        <v>0.1204864531700234</v>
      </c>
      <c r="BQ252" s="3" t="n">
        <v>0.1221100014053593</v>
      </c>
      <c r="BR252" s="3" t="n">
        <v>0.1237925831465358</v>
      </c>
      <c r="BS252" s="3" t="n">
        <v>0.1255365479032838</v>
      </c>
      <c r="BT252" s="3" t="n">
        <v>0.1273431368495849</v>
      </c>
      <c r="BU252" s="3" t="n">
        <v>0.1292142946111064</v>
      </c>
      <c r="BV252" s="3" t="n">
        <v>0.1311521570519154</v>
      </c>
      <c r="BW252" s="3" t="n">
        <v>0.1326891978905591</v>
      </c>
      <c r="BY252" s="20" t="inlineStr">
        <is>
          <t>egy.mit.vat.cost.all.ker.5</t>
        </is>
      </c>
      <c r="BZ252" s="3" t="n">
        <v>0.1356703546617846</v>
      </c>
      <c r="CA252" s="3" t="n">
        <v>0.1276376967367601</v>
      </c>
      <c r="CB252" s="3" t="n">
        <v>0.1287815318216647</v>
      </c>
      <c r="CC252" s="3" t="n">
        <v>0.1137665231607625</v>
      </c>
      <c r="CD252" s="3" t="n">
        <v>0.1247378977480015</v>
      </c>
      <c r="CE252" s="3" t="n">
        <v>0.1162914717417369</v>
      </c>
      <c r="CF252" s="3" t="n">
        <v>0.1152242508867443</v>
      </c>
      <c r="CG252" s="3" t="n">
        <v>0.1154655733647106</v>
      </c>
      <c r="CH252" s="3" t="n">
        <v>0.1158685981547478</v>
      </c>
      <c r="CI252" s="3" t="n">
        <v>0.1158219995076187</v>
      </c>
      <c r="CJ252" s="3" t="n">
        <v>0.1172754137776914</v>
      </c>
      <c r="CK252" s="3" t="n">
        <v>0.1187820113945693</v>
      </c>
      <c r="CL252" s="3" t="n">
        <v>0.1203440082392303</v>
      </c>
      <c r="CM252" s="3" t="n">
        <v>0.1219635611143947</v>
      </c>
      <c r="CN252" s="3" t="n">
        <v>0.1236420411946562</v>
      </c>
      <c r="CO252" s="3" t="n">
        <v>0.1253818598437767</v>
      </c>
      <c r="CP252" s="3" t="n">
        <v>0.1271846167826857</v>
      </c>
      <c r="CQ252" s="3" t="n">
        <v>0.1290519928017743</v>
      </c>
      <c r="CR252" s="3" t="n">
        <v>0.1309861212441603</v>
      </c>
      <c r="CS252" s="3" t="n">
        <v>0.1325253372791105</v>
      </c>
      <c r="CU252" s="20" t="inlineStr">
        <is>
          <t>egy.mit.vat.cost.all.ker.6</t>
        </is>
      </c>
      <c r="CV252" s="3" t="n">
        <v>0.1356703546617846</v>
      </c>
      <c r="CW252" s="3" t="n">
        <v>0.1276376967367601</v>
      </c>
      <c r="CX252" s="3" t="n">
        <v>0.1287815318216647</v>
      </c>
      <c r="CY252" s="3" t="n">
        <v>0.1137665231607625</v>
      </c>
      <c r="CZ252" s="3" t="n">
        <v>0.1247378977480015</v>
      </c>
      <c r="DA252" s="3" t="n">
        <v>0.1163029249899458</v>
      </c>
      <c r="DB252" s="3" t="n">
        <v>0.1152365371228546</v>
      </c>
      <c r="DC252" s="3" t="n">
        <v>0.1154782703568762</v>
      </c>
      <c r="DD252" s="3" t="n">
        <v>0.1158826958915008</v>
      </c>
      <c r="DE252" s="3" t="n">
        <v>0.1158360778541652</v>
      </c>
      <c r="DF252" s="3" t="n">
        <v>0.1172901234628373</v>
      </c>
      <c r="DG252" s="3" t="n">
        <v>0.1187966659459819</v>
      </c>
      <c r="DH252" s="3" t="n">
        <v>0.1203581173435835</v>
      </c>
      <c r="DI252" s="3" t="n">
        <v>0.1219772695384244</v>
      </c>
      <c r="DJ252" s="3" t="n">
        <v>0.1236551960813162</v>
      </c>
      <c r="DK252" s="3" t="n">
        <v>0.1253940353716983</v>
      </c>
      <c r="DL252" s="3" t="n">
        <v>0.1271961351755349</v>
      </c>
      <c r="DM252" s="3" t="n">
        <v>0.1290630568583611</v>
      </c>
      <c r="DN252" s="3" t="n">
        <v>0.1309971764401902</v>
      </c>
      <c r="DO252" s="3" t="n">
        <v>0.1325361821783434</v>
      </c>
    </row>
    <row r="253">
      <c r="A253" s="19" t="inlineStr">
        <is>
          <t>mit.rp.eff.all.ker</t>
        </is>
      </c>
      <c r="B253" s="3" t="inlineStr">
        <is>
          <t>mit</t>
        </is>
      </c>
      <c r="C253" s="19" t="inlineStr">
        <is>
          <t>mit.rp.ker.all</t>
        </is>
      </c>
      <c r="H253" s="3" t="inlineStr">
        <is>
          <t>Efficient price block: retail price of the scenario | All sectors | Kerosene</t>
        </is>
      </c>
      <c r="I253" s="3" t="inlineStr">
        <is>
          <t>USD per price unit</t>
        </is>
      </c>
      <c r="K253" s="20" t="inlineStr">
        <is>
          <t>egy.mit.rp.eff.all.ker.1</t>
        </is>
      </c>
      <c r="L253" s="3" t="n">
        <v>0.3983856251118603</v>
      </c>
      <c r="M253" s="3" t="n">
        <v>0.2584479466248243</v>
      </c>
      <c r="N253" s="3" t="n">
        <v>0.2671181716350732</v>
      </c>
      <c r="O253" s="3" t="n">
        <v>0.2671181716350733</v>
      </c>
      <c r="P253" s="3" t="n">
        <v>0.2671181716350732</v>
      </c>
      <c r="Q253" s="3" t="n">
        <v>0.2671181716350732</v>
      </c>
      <c r="R253" s="3" t="n">
        <v>0.2671181716350732</v>
      </c>
      <c r="S253" s="3" t="n">
        <v>0.2671181716350732</v>
      </c>
      <c r="T253" s="3" t="n">
        <v>0.2671181716350733</v>
      </c>
      <c r="U253" s="3" t="n">
        <v>0.2671181716350733</v>
      </c>
      <c r="V253" s="3" t="n">
        <v>0.2671181716350732</v>
      </c>
      <c r="W253" s="3" t="n">
        <v>0.2671181716350732</v>
      </c>
      <c r="X253" s="3" t="n">
        <v>0.2671181716350733</v>
      </c>
      <c r="Y253" s="3" t="n">
        <v>0.2671181716350734</v>
      </c>
      <c r="Z253" s="3" t="n">
        <v>0.2671181716350734</v>
      </c>
      <c r="AA253" s="3" t="n">
        <v>0.2671181716350733</v>
      </c>
      <c r="AB253" s="3" t="n">
        <v>0.2671181716350734</v>
      </c>
      <c r="AC253" s="3" t="n">
        <v>0.2671181716350734</v>
      </c>
      <c r="AD253" s="3" t="n">
        <v>0.2671181716350734</v>
      </c>
      <c r="AE253" s="3" t="n">
        <v>0.2671181716350734</v>
      </c>
      <c r="AG253" s="20" t="inlineStr">
        <is>
          <t>egy.mit.rp.eff.all.ker.3</t>
        </is>
      </c>
      <c r="AH253" s="3" t="n">
        <v>0.3983856251118603</v>
      </c>
      <c r="AI253" s="3" t="n">
        <v>0.2584479466248243</v>
      </c>
      <c r="AJ253" s="3" t="n">
        <v>0.2671181716350732</v>
      </c>
      <c r="AK253" s="3" t="n">
        <v>0.2671181716350733</v>
      </c>
      <c r="AL253" s="3" t="n">
        <v>0.2671181716350732</v>
      </c>
      <c r="AM253" s="3" t="n">
        <v>0.3208305785510122</v>
      </c>
      <c r="AN253" s="3" t="n">
        <v>0.3208306126579366</v>
      </c>
      <c r="AO253" s="3" t="n">
        <v>0.3208306377423151</v>
      </c>
      <c r="AP253" s="3" t="n">
        <v>0.3208306463289758</v>
      </c>
      <c r="AQ253" s="3" t="n">
        <v>0.3208306556793816</v>
      </c>
      <c r="AR253" s="3" t="n">
        <v>0.3208306605408514</v>
      </c>
      <c r="AS253" s="3" t="n">
        <v>0.3208306657839616</v>
      </c>
      <c r="AT253" s="3" t="n">
        <v>0.3208306698046747</v>
      </c>
      <c r="AU253" s="3" t="n">
        <v>0.3208306706433788</v>
      </c>
      <c r="AV253" s="3" t="n">
        <v>0.3208306695786654</v>
      </c>
      <c r="AW253" s="3" t="n">
        <v>0.3208306673608331</v>
      </c>
      <c r="AX253" s="3" t="n">
        <v>0.3208306616022564</v>
      </c>
      <c r="AY253" s="3" t="n">
        <v>0.3208306529618435</v>
      </c>
      <c r="AZ253" s="3" t="n">
        <v>0.3208306407560762</v>
      </c>
      <c r="BA253" s="3" t="n">
        <v>0.3208306260888018</v>
      </c>
      <c r="BC253" s="20" t="inlineStr">
        <is>
          <t>egy.mit.rp.eff.all.ker.4</t>
        </is>
      </c>
      <c r="BD253" s="3" t="n">
        <v>0.3983856251118603</v>
      </c>
      <c r="BE253" s="3" t="n">
        <v>0.2584479466248243</v>
      </c>
      <c r="BF253" s="3" t="n">
        <v>0.2671181716350732</v>
      </c>
      <c r="BG253" s="3" t="n">
        <v>0.2671181716350733</v>
      </c>
      <c r="BH253" s="3" t="n">
        <v>0.2671181716350732</v>
      </c>
      <c r="BI253" s="3" t="n">
        <v>0.2939744470226026</v>
      </c>
      <c r="BJ253" s="3" t="n">
        <v>0.3297831258492033</v>
      </c>
      <c r="BK253" s="3" t="n">
        <v>0.3655920718184337</v>
      </c>
      <c r="BL253" s="3" t="n">
        <v>0.4014012059117665</v>
      </c>
      <c r="BM253" s="3" t="n">
        <v>0.4372100629248667</v>
      </c>
      <c r="BN253" s="3" t="n">
        <v>0.4730189498209286</v>
      </c>
      <c r="BO253" s="3" t="n">
        <v>0.508827873504651</v>
      </c>
      <c r="BP253" s="3" t="n">
        <v>0.5446368387312234</v>
      </c>
      <c r="BQ253" s="3" t="n">
        <v>0.5804458422536658</v>
      </c>
      <c r="BR253" s="3" t="n">
        <v>0.6162548822050553</v>
      </c>
      <c r="BS253" s="3" t="n">
        <v>0.6520639600370628</v>
      </c>
      <c r="BT253" s="3" t="n">
        <v>0.6878730683690337</v>
      </c>
      <c r="BU253" s="3" t="n">
        <v>0.723682200241004</v>
      </c>
      <c r="BV253" s="3" t="n">
        <v>0.7594913425105987</v>
      </c>
      <c r="BW253" s="3" t="n">
        <v>0.7953004876483093</v>
      </c>
      <c r="BY253" s="20" t="inlineStr">
        <is>
          <t>egy.mit.rp.eff.all.ker.5</t>
        </is>
      </c>
      <c r="BZ253" s="3" t="n">
        <v>0.3983856251118603</v>
      </c>
      <c r="CA253" s="3" t="n">
        <v>0.2584479466248243</v>
      </c>
      <c r="CB253" s="3" t="n">
        <v>0.2671181716350732</v>
      </c>
      <c r="CC253" s="3" t="n">
        <v>0.2671181716350733</v>
      </c>
      <c r="CD253" s="3" t="n">
        <v>0.2671181716350732</v>
      </c>
      <c r="CE253" s="3" t="n">
        <v>0.3342587031440524</v>
      </c>
      <c r="CF253" s="3" t="n">
        <v>0.3342587460108105</v>
      </c>
      <c r="CG253" s="3" t="n">
        <v>0.3342587773194805</v>
      </c>
      <c r="CH253" s="3" t="n">
        <v>0.3342587885203222</v>
      </c>
      <c r="CI253" s="3" t="n">
        <v>0.3342588012194202</v>
      </c>
      <c r="CJ253" s="3" t="n">
        <v>0.3342588072987092</v>
      </c>
      <c r="CK253" s="3" t="n">
        <v>0.3342588143134984</v>
      </c>
      <c r="CL253" s="3" t="n">
        <v>0.3342588182943401</v>
      </c>
      <c r="CM253" s="3" t="n">
        <v>0.3342588186137487</v>
      </c>
      <c r="CN253" s="3" t="n">
        <v>0.3342588165669451</v>
      </c>
      <c r="CO253" s="3" t="n">
        <v>0.3342588127255063</v>
      </c>
      <c r="CP253" s="3" t="n">
        <v>0.3342588046223547</v>
      </c>
      <c r="CQ253" s="3" t="n">
        <v>0.3342587934376857</v>
      </c>
      <c r="CR253" s="3" t="n">
        <v>0.334258778179459</v>
      </c>
      <c r="CS253" s="3" t="n">
        <v>0.3342587604893368</v>
      </c>
      <c r="CU253" s="20" t="inlineStr">
        <is>
          <t>egy.mit.rp.eff.all.ker.6</t>
        </is>
      </c>
      <c r="CV253" s="3" t="n">
        <v>0.3983856251118603</v>
      </c>
      <c r="CW253" s="3" t="n">
        <v>0.2584479466248243</v>
      </c>
      <c r="CX253" s="3" t="n">
        <v>0.2671181716350732</v>
      </c>
      <c r="CY253" s="3" t="n">
        <v>0.2671181716350733</v>
      </c>
      <c r="CZ253" s="3" t="n">
        <v>0.2671181716350732</v>
      </c>
      <c r="DA253" s="3" t="n">
        <v>0.4013994686786</v>
      </c>
      <c r="DB253" s="3" t="n">
        <v>0.4013995565143955</v>
      </c>
      <c r="DC253" s="3" t="n">
        <v>0.4013996259436496</v>
      </c>
      <c r="DD253" s="3" t="n">
        <v>0.4013996399894794</v>
      </c>
      <c r="DE253" s="3" t="n">
        <v>0.4013996681702297</v>
      </c>
      <c r="DF253" s="3" t="n">
        <v>0.4013996784125553</v>
      </c>
      <c r="DG253" s="3" t="n">
        <v>0.4013996991992173</v>
      </c>
      <c r="DH253" s="3" t="n">
        <v>0.4013997193742977</v>
      </c>
      <c r="DI253" s="3" t="n">
        <v>0.401399729836567</v>
      </c>
      <c r="DJ253" s="3" t="n">
        <v>0.4013997366917035</v>
      </c>
      <c r="DK253" s="3" t="n">
        <v>0.4013997439025798</v>
      </c>
      <c r="DL253" s="3" t="n">
        <v>0.4013997383533607</v>
      </c>
      <c r="DM253" s="3" t="n">
        <v>0.4013997239801341</v>
      </c>
      <c r="DN253" s="3" t="n">
        <v>0.4013996966452252</v>
      </c>
      <c r="DO253" s="3" t="n">
        <v>0.4013996622812513</v>
      </c>
    </row>
    <row r="254">
      <c r="A254" s="19" t="inlineStr">
        <is>
          <t>mit.tgap.all.ker</t>
        </is>
      </c>
      <c r="B254" s="3" t="inlineStr">
        <is>
          <t>mit</t>
        </is>
      </c>
      <c r="C254" s="19" t="inlineStr">
        <is>
          <t>mit.tgap.ker.all</t>
        </is>
      </c>
      <c r="H254" s="3" t="inlineStr">
        <is>
          <t>Tax gap: retail price - efficient price | All sectors | Kerosene</t>
        </is>
      </c>
      <c r="I254" s="3" t="inlineStr">
        <is>
          <t>USD per price unit</t>
        </is>
      </c>
      <c r="K254" s="20" t="inlineStr">
        <is>
          <t>egy.mit.tgap.all.ker.1</t>
        </is>
      </c>
      <c r="L254" s="3" t="n">
        <v>-0.7063586914198146</v>
      </c>
      <c r="M254" s="3" t="n">
        <v>-0.7808875839459367</v>
      </c>
      <c r="N254" s="3" t="n">
        <v>-0.7815314446270538</v>
      </c>
      <c r="O254" s="3" t="n">
        <v>-0.6592663741025644</v>
      </c>
      <c r="P254" s="3" t="n">
        <v>-0.7486047100272246</v>
      </c>
      <c r="Q254" s="3" t="n">
        <v>-0.6797189397805329</v>
      </c>
      <c r="R254" s="3" t="n">
        <v>-0.6710209661700413</v>
      </c>
      <c r="S254" s="3" t="n">
        <v>-0.6729808994654033</v>
      </c>
      <c r="T254" s="3" t="n">
        <v>-0.6762520308343669</v>
      </c>
      <c r="U254" s="3" t="n">
        <v>-0.6758741480938615</v>
      </c>
      <c r="V254" s="3" t="n">
        <v>-0.6877038837110108</v>
      </c>
      <c r="W254" s="3" t="n">
        <v>-0.6999720377703939</v>
      </c>
      <c r="X254" s="3" t="n">
        <v>-0.7126916659174749</v>
      </c>
      <c r="Y254" s="3" t="n">
        <v>-0.7258793376183235</v>
      </c>
      <c r="Z254" s="3" t="n">
        <v>-0.7395479176160715</v>
      </c>
      <c r="AA254" s="3" t="n">
        <v>-0.7537178688624819</v>
      </c>
      <c r="AB254" s="3" t="n">
        <v>-0.7683984244588078</v>
      </c>
      <c r="AC254" s="3" t="n">
        <v>-0.7836048486877505</v>
      </c>
      <c r="AD254" s="3" t="n">
        <v>-0.7993527118572015</v>
      </c>
      <c r="AE254" s="3" t="n">
        <v>-0.8118900232614079</v>
      </c>
      <c r="AG254" s="20" t="inlineStr">
        <is>
          <t>egy.mit.tgap.all.ker.3</t>
        </is>
      </c>
      <c r="AH254" s="3" t="n">
        <v>-0.7063586914198146</v>
      </c>
      <c r="AI254" s="3" t="n">
        <v>-0.7808875839459367</v>
      </c>
      <c r="AJ254" s="3" t="n">
        <v>-0.7815314446270538</v>
      </c>
      <c r="AK254" s="3" t="n">
        <v>-0.6592663741025644</v>
      </c>
      <c r="AL254" s="3" t="n">
        <v>-0.7486047100272246</v>
      </c>
      <c r="AM254" s="3" t="n">
        <v>-0.6260939955395818</v>
      </c>
      <c r="AN254" s="3" t="n">
        <v>-0.6174022660827818</v>
      </c>
      <c r="AO254" s="3" t="n">
        <v>-0.6193656711974032</v>
      </c>
      <c r="AP254" s="3" t="n">
        <v>-0.6226465762774465</v>
      </c>
      <c r="AQ254" s="3" t="n">
        <v>-0.6222680456152074</v>
      </c>
      <c r="AR254" s="3" t="n">
        <v>-0.6341022005635613</v>
      </c>
      <c r="AS254" s="3" t="n">
        <v>-0.646370014236435</v>
      </c>
      <c r="AT254" s="3" t="n">
        <v>-0.6590869041211909</v>
      </c>
      <c r="AU254" s="3" t="n">
        <v>-0.6722728078821675</v>
      </c>
      <c r="AV254" s="3" t="n">
        <v>-0.6859384906845221</v>
      </c>
      <c r="AW254" s="3" t="n">
        <v>-0.7001030336608863</v>
      </c>
      <c r="AX254" s="3" t="n">
        <v>-0.7147802259144775</v>
      </c>
      <c r="AY254" s="3" t="n">
        <v>-0.7299843513540366</v>
      </c>
      <c r="AZ254" s="3" t="n">
        <v>-0.7457326318910882</v>
      </c>
      <c r="BA254" s="3" t="n">
        <v>-0.7582676827335064</v>
      </c>
      <c r="BC254" s="20" t="inlineStr">
        <is>
          <t>egy.mit.tgap.all.ker.4</t>
        </is>
      </c>
      <c r="BD254" s="3" t="n">
        <v>-0.7063586914198146</v>
      </c>
      <c r="BE254" s="3" t="n">
        <v>-0.7808875839459367</v>
      </c>
      <c r="BF254" s="3" t="n">
        <v>-0.7815314446270538</v>
      </c>
      <c r="BG254" s="3" t="n">
        <v>-0.6592663741025644</v>
      </c>
      <c r="BH254" s="3" t="n">
        <v>-0.7486047100272246</v>
      </c>
      <c r="BI254" s="3" t="n">
        <v>-0.6531267017339022</v>
      </c>
      <c r="BJ254" s="3" t="n">
        <v>-0.6089514868732554</v>
      </c>
      <c r="BK254" s="3" t="n">
        <v>-0.5754126343179791</v>
      </c>
      <c r="BL254" s="3" t="n">
        <v>-0.5431684436218066</v>
      </c>
      <c r="BM254" s="3" t="n">
        <v>-0.5069812502459723</v>
      </c>
      <c r="BN254" s="3" t="n">
        <v>-0.4830323722399451</v>
      </c>
      <c r="BO254" s="3" t="n">
        <v>-0.4595241060173649</v>
      </c>
      <c r="BP254" s="3" t="n">
        <v>-0.4364671370818244</v>
      </c>
      <c r="BQ254" s="3" t="n">
        <v>-0.4138784549042595</v>
      </c>
      <c r="BR254" s="3" t="n">
        <v>-0.3917704377024505</v>
      </c>
      <c r="BS254" s="3" t="n">
        <v>-0.3701622157468196</v>
      </c>
      <c r="BT254" s="3" t="n">
        <v>-0.3490639031204434</v>
      </c>
      <c r="BU254" s="3" t="n">
        <v>-0.3284913415922909</v>
      </c>
      <c r="BV254" s="3" t="n">
        <v>-0.3084619363407126</v>
      </c>
      <c r="BW254" s="3" t="n">
        <v>-0.2851686951748144</v>
      </c>
      <c r="BY254" s="20" t="inlineStr">
        <is>
          <t>egy.mit.tgap.all.ker.5</t>
        </is>
      </c>
      <c r="BZ254" s="3" t="n">
        <v>-0.7063586914198146</v>
      </c>
      <c r="CA254" s="3" t="n">
        <v>-0.7808875839459367</v>
      </c>
      <c r="CB254" s="3" t="n">
        <v>-0.7815314446270538</v>
      </c>
      <c r="CC254" s="3" t="n">
        <v>-0.6592663741025644</v>
      </c>
      <c r="CD254" s="3" t="n">
        <v>-0.7486047100272246</v>
      </c>
      <c r="CE254" s="3" t="n">
        <v>-0.6126861381815192</v>
      </c>
      <c r="CF254" s="3" t="n">
        <v>-0.6039958683526787</v>
      </c>
      <c r="CG254" s="3" t="n">
        <v>-0.6059608915074484</v>
      </c>
      <c r="CH254" s="3" t="n">
        <v>-0.6092426535969101</v>
      </c>
      <c r="CI254" s="3" t="n">
        <v>-0.6088631947711891</v>
      </c>
      <c r="CJ254" s="3" t="n">
        <v>-0.6206981334624919</v>
      </c>
      <c r="CK254" s="3" t="n">
        <v>-0.6329661356137086</v>
      </c>
      <c r="CL254" s="3" t="n">
        <v>-0.6456852487965354</v>
      </c>
      <c r="CM254" s="3" t="n">
        <v>-0.6588730361748937</v>
      </c>
      <c r="CN254" s="3" t="n">
        <v>-0.6725406617323979</v>
      </c>
      <c r="CO254" s="3" t="n">
        <v>-0.6867077602881037</v>
      </c>
      <c r="CP254" s="3" t="n">
        <v>-0.701387360608086</v>
      </c>
      <c r="CQ254" s="3" t="n">
        <v>-0.7165931479481911</v>
      </c>
      <c r="CR254" s="3" t="n">
        <v>-0.7323424948087034</v>
      </c>
      <c r="CS254" s="3" t="n">
        <v>-0.7448761287834198</v>
      </c>
      <c r="CU254" s="20" t="inlineStr">
        <is>
          <t>egy.mit.tgap.all.ker.6</t>
        </is>
      </c>
      <c r="CV254" s="3" t="n">
        <v>-0.7063586914198146</v>
      </c>
      <c r="CW254" s="3" t="n">
        <v>-0.7808875839459367</v>
      </c>
      <c r="CX254" s="3" t="n">
        <v>-0.7815314446270538</v>
      </c>
      <c r="CY254" s="3" t="n">
        <v>-0.6592663741025644</v>
      </c>
      <c r="CZ254" s="3" t="n">
        <v>-0.7486047100272246</v>
      </c>
      <c r="DA254" s="3" t="n">
        <v>-0.5456386348109583</v>
      </c>
      <c r="DB254" s="3" t="n">
        <v>-0.5369551029145629</v>
      </c>
      <c r="DC254" s="3" t="n">
        <v>-0.5389234326766278</v>
      </c>
      <c r="DD254" s="3" t="n">
        <v>-0.5422165979841699</v>
      </c>
      <c r="DE254" s="3" t="n">
        <v>-0.5418369657851156</v>
      </c>
      <c r="DF254" s="3" t="n">
        <v>-0.5536770412134052</v>
      </c>
      <c r="DG254" s="3" t="n">
        <v>-0.565944580646635</v>
      </c>
      <c r="DH254" s="3" t="n">
        <v>-0.5786592361377392</v>
      </c>
      <c r="DI254" s="3" t="n">
        <v>-0.591843750690603</v>
      </c>
      <c r="DJ254" s="3" t="n">
        <v>-0.605506859970443</v>
      </c>
      <c r="DK254" s="3" t="n">
        <v>-0.6196659726955349</v>
      </c>
      <c r="DL254" s="3" t="n">
        <v>-0.6343402195045662</v>
      </c>
      <c r="DM254" s="3" t="n">
        <v>-0.6495423104379487</v>
      </c>
      <c r="DN254" s="3" t="n">
        <v>-0.6652915972248949</v>
      </c>
      <c r="DO254" s="3" t="n">
        <v>-0.6778235354566881</v>
      </c>
    </row>
    <row r="255">
      <c r="A255" s="19" t="inlineStr">
        <is>
          <t>mit.txo.all.ker</t>
        </is>
      </c>
      <c r="B255" s="3" t="inlineStr">
        <is>
          <t>mit</t>
        </is>
      </c>
      <c r="C255" s="19" t="inlineStr">
        <is>
          <t>mit.txo.all.ker.a</t>
        </is>
      </c>
      <c r="H255" s="3" t="inlineStr">
        <is>
          <t>Excise and other taxes (before new policies) | All sectors | Kerosene</t>
        </is>
      </c>
      <c r="I255" s="3" t="inlineStr">
        <is>
          <t>USD/GJ real</t>
        </is>
      </c>
      <c r="K255" s="20" t="inlineStr">
        <is>
          <t>egy.mit.txo.all.ker.1</t>
        </is>
      </c>
      <c r="L255" s="3" t="n">
        <v>-9.631640312446423</v>
      </c>
      <c r="M255" s="3" t="n">
        <v>-11.6872879487947</v>
      </c>
      <c r="N255" s="3" t="n">
        <v>-11.61131889804867</v>
      </c>
      <c r="O255" s="3" t="n">
        <v>-9.089625339197394</v>
      </c>
      <c r="P255" s="3" t="n">
        <v>-10.84220413049647</v>
      </c>
      <c r="Q255" s="3" t="n">
        <v>-9.024899850723898</v>
      </c>
      <c r="R255" s="3" t="n">
        <v>-8.52493000474435</v>
      </c>
      <c r="S255" s="3" t="n">
        <v>-8.272904659026047</v>
      </c>
      <c r="T255" s="3" t="n">
        <v>-8.052506925796949</v>
      </c>
      <c r="U255" s="3" t="n">
        <v>-7.813065100860074</v>
      </c>
      <c r="V255" s="3" t="n">
        <v>-7.813065100860074</v>
      </c>
      <c r="W255" s="3" t="n">
        <v>-7.813065100860074</v>
      </c>
      <c r="X255" s="3" t="n">
        <v>-7.813065100860074</v>
      </c>
      <c r="Y255" s="3" t="n">
        <v>-7.813065100860074</v>
      </c>
      <c r="Z255" s="3" t="n">
        <v>-7.813065100860074</v>
      </c>
      <c r="AA255" s="3" t="n">
        <v>-7.813065100860074</v>
      </c>
      <c r="AB255" s="3" t="n">
        <v>-7.813065100860074</v>
      </c>
      <c r="AC255" s="3" t="n">
        <v>-7.813065100860074</v>
      </c>
      <c r="AD255" s="3" t="n">
        <v>-7.813065100860074</v>
      </c>
      <c r="AE255" s="3" t="n">
        <v>-7.813065100860074</v>
      </c>
      <c r="AG255" s="20" t="inlineStr">
        <is>
          <t>egy.mit.txo.all.ker.3</t>
        </is>
      </c>
      <c r="AH255" s="3" t="n">
        <v>-9.631640312446423</v>
      </c>
      <c r="AI255" s="3" t="n">
        <v>-11.6872879487947</v>
      </c>
      <c r="AJ255" s="3" t="n">
        <v>-11.61131889804867</v>
      </c>
      <c r="AK255" s="3" t="n">
        <v>-9.089625339197394</v>
      </c>
      <c r="AL255" s="3" t="n">
        <v>-10.84220413049647</v>
      </c>
      <c r="AM255" s="3" t="n">
        <v>-9.024899850723898</v>
      </c>
      <c r="AN255" s="3" t="n">
        <v>-8.52493000474435</v>
      </c>
      <c r="AO255" s="3" t="n">
        <v>-8.272904659026047</v>
      </c>
      <c r="AP255" s="3" t="n">
        <v>-8.052506925796949</v>
      </c>
      <c r="AQ255" s="3" t="n">
        <v>-7.813065100860074</v>
      </c>
      <c r="AR255" s="3" t="n">
        <v>-7.813065100860074</v>
      </c>
      <c r="AS255" s="3" t="n">
        <v>-7.813065100860074</v>
      </c>
      <c r="AT255" s="3" t="n">
        <v>-7.813065100860074</v>
      </c>
      <c r="AU255" s="3" t="n">
        <v>-7.813065100860074</v>
      </c>
      <c r="AV255" s="3" t="n">
        <v>-7.813065100860074</v>
      </c>
      <c r="AW255" s="3" t="n">
        <v>-7.813065100860074</v>
      </c>
      <c r="AX255" s="3" t="n">
        <v>-7.813065100860074</v>
      </c>
      <c r="AY255" s="3" t="n">
        <v>-7.813065100860074</v>
      </c>
      <c r="AZ255" s="3" t="n">
        <v>-7.813065100860074</v>
      </c>
      <c r="BA255" s="3" t="n">
        <v>-7.813065100860074</v>
      </c>
      <c r="BC255" s="20" t="inlineStr">
        <is>
          <t>egy.mit.txo.all.ker.4</t>
        </is>
      </c>
      <c r="BD255" s="3" t="n">
        <v>-9.631640312446423</v>
      </c>
      <c r="BE255" s="3" t="n">
        <v>-11.6872879487947</v>
      </c>
      <c r="BF255" s="3" t="n">
        <v>-11.61131889804867</v>
      </c>
      <c r="BG255" s="3" t="n">
        <v>-9.089625339197394</v>
      </c>
      <c r="BH255" s="3" t="n">
        <v>-10.84220413049647</v>
      </c>
      <c r="BI255" s="3" t="n">
        <v>-9.024899850723898</v>
      </c>
      <c r="BJ255" s="3" t="n">
        <v>-8.52493000474435</v>
      </c>
      <c r="BK255" s="3" t="n">
        <v>-8.272904659026047</v>
      </c>
      <c r="BL255" s="3" t="n">
        <v>-8.052506925796949</v>
      </c>
      <c r="BM255" s="3" t="n">
        <v>-7.813065100860074</v>
      </c>
      <c r="BN255" s="3" t="n">
        <v>-7.813065100860074</v>
      </c>
      <c r="BO255" s="3" t="n">
        <v>-7.813065100860074</v>
      </c>
      <c r="BP255" s="3" t="n">
        <v>-7.813065100860074</v>
      </c>
      <c r="BQ255" s="3" t="n">
        <v>-7.813065100860074</v>
      </c>
      <c r="BR255" s="3" t="n">
        <v>-7.813065100860074</v>
      </c>
      <c r="BS255" s="3" t="n">
        <v>-7.813065100860074</v>
      </c>
      <c r="BT255" s="3" t="n">
        <v>-7.813065100860074</v>
      </c>
      <c r="BU255" s="3" t="n">
        <v>-7.813065100860074</v>
      </c>
      <c r="BV255" s="3" t="n">
        <v>-7.813065100860074</v>
      </c>
      <c r="BW255" s="3" t="n">
        <v>-7.813065100860074</v>
      </c>
      <c r="BY255" s="20" t="inlineStr">
        <is>
          <t>egy.mit.txo.all.ker.5</t>
        </is>
      </c>
      <c r="BZ255" s="3" t="n">
        <v>-9.631640312446423</v>
      </c>
      <c r="CA255" s="3" t="n">
        <v>-11.6872879487947</v>
      </c>
      <c r="CB255" s="3" t="n">
        <v>-11.61131889804867</v>
      </c>
      <c r="CC255" s="3" t="n">
        <v>-9.089625339197394</v>
      </c>
      <c r="CD255" s="3" t="n">
        <v>-10.84220413049647</v>
      </c>
      <c r="CE255" s="3" t="n">
        <v>-9.024899850723898</v>
      </c>
      <c r="CF255" s="3" t="n">
        <v>-8.52493000474435</v>
      </c>
      <c r="CG255" s="3" t="n">
        <v>-8.272904659026047</v>
      </c>
      <c r="CH255" s="3" t="n">
        <v>-8.052506925796949</v>
      </c>
      <c r="CI255" s="3" t="n">
        <v>-7.813065100860074</v>
      </c>
      <c r="CJ255" s="3" t="n">
        <v>-7.813065100860074</v>
      </c>
      <c r="CK255" s="3" t="n">
        <v>-7.813065100860074</v>
      </c>
      <c r="CL255" s="3" t="n">
        <v>-7.813065100860074</v>
      </c>
      <c r="CM255" s="3" t="n">
        <v>-7.813065100860074</v>
      </c>
      <c r="CN255" s="3" t="n">
        <v>-7.813065100860074</v>
      </c>
      <c r="CO255" s="3" t="n">
        <v>-7.813065100860074</v>
      </c>
      <c r="CP255" s="3" t="n">
        <v>-7.813065100860074</v>
      </c>
      <c r="CQ255" s="3" t="n">
        <v>-7.813065100860074</v>
      </c>
      <c r="CR255" s="3" t="n">
        <v>-7.813065100860074</v>
      </c>
      <c r="CS255" s="3" t="n">
        <v>-7.813065100860074</v>
      </c>
      <c r="CU255" s="20" t="inlineStr">
        <is>
          <t>egy.mit.txo.all.ker.6</t>
        </is>
      </c>
      <c r="CV255" s="3" t="n">
        <v>-9.631640312446423</v>
      </c>
      <c r="CW255" s="3" t="n">
        <v>-11.6872879487947</v>
      </c>
      <c r="CX255" s="3" t="n">
        <v>-11.61131889804867</v>
      </c>
      <c r="CY255" s="3" t="n">
        <v>-9.089625339197394</v>
      </c>
      <c r="CZ255" s="3" t="n">
        <v>-10.84220413049647</v>
      </c>
      <c r="DA255" s="3" t="n">
        <v>-9.024899850723898</v>
      </c>
      <c r="DB255" s="3" t="n">
        <v>-8.52493000474435</v>
      </c>
      <c r="DC255" s="3" t="n">
        <v>-8.272904659026047</v>
      </c>
      <c r="DD255" s="3" t="n">
        <v>-8.052506925796949</v>
      </c>
      <c r="DE255" s="3" t="n">
        <v>-7.813065100860074</v>
      </c>
      <c r="DF255" s="3" t="n">
        <v>-7.813065100860074</v>
      </c>
      <c r="DG255" s="3" t="n">
        <v>-7.813065100860074</v>
      </c>
      <c r="DH255" s="3" t="n">
        <v>-7.813065100860074</v>
      </c>
      <c r="DI255" s="3" t="n">
        <v>-7.813065100860074</v>
      </c>
      <c r="DJ255" s="3" t="n">
        <v>-7.813065100860074</v>
      </c>
      <c r="DK255" s="3" t="n">
        <v>-7.813065100860074</v>
      </c>
      <c r="DL255" s="3" t="n">
        <v>-7.813065100860074</v>
      </c>
      <c r="DM255" s="3" t="n">
        <v>-7.813065100860074</v>
      </c>
      <c r="DN255" s="3" t="n">
        <v>-7.813065100860074</v>
      </c>
      <c r="DO255" s="3" t="n">
        <v>-7.813065100860074</v>
      </c>
    </row>
    <row r="256">
      <c r="A256" s="19" t="inlineStr">
        <is>
          <t>mit.txo.co2e.all.ker</t>
        </is>
      </c>
      <c r="B256" s="3" t="inlineStr">
        <is>
          <t>mit</t>
        </is>
      </c>
      <c r="C256" s="19" t="inlineStr">
        <is>
          <t>mit.txo.co2e.ker.all</t>
        </is>
      </c>
      <c r="H256" s="3" t="inlineStr">
        <is>
          <t>Excise and other taxes of scenario 1 per tonne of CO2 | All sectors | Kerosene</t>
        </is>
      </c>
      <c r="I256" s="3" t="inlineStr">
        <is>
          <t>USD/tCO2</t>
        </is>
      </c>
      <c r="K256" s="20" t="inlineStr">
        <is>
          <t>egy.mit.txo.co2e.all.ker.1</t>
        </is>
      </c>
      <c r="L256" s="3" t="n">
        <v>-141.2802580521375</v>
      </c>
      <c r="M256" s="3" t="n">
        <v>-171.4332142575571</v>
      </c>
      <c r="N256" s="3" t="n">
        <v>-170.3188737355688</v>
      </c>
      <c r="O256" s="3" t="n">
        <v>-133.3297934578783</v>
      </c>
      <c r="P256" s="3" t="n">
        <v>-159.0372301830091</v>
      </c>
      <c r="Q256" s="3" t="n">
        <v>-132.3803774272288</v>
      </c>
      <c r="R256" s="3" t="n">
        <v>-125.0466454182584</v>
      </c>
      <c r="S256" s="3" t="n">
        <v>-121.3498497818236</v>
      </c>
      <c r="T256" s="3" t="n">
        <v>-118.1169789919463</v>
      </c>
      <c r="U256" s="3" t="n">
        <v>-114.6047628254184</v>
      </c>
      <c r="V256" s="3" t="n">
        <v>-114.6047628254184</v>
      </c>
      <c r="W256" s="3" t="n">
        <v>-114.6047628254184</v>
      </c>
      <c r="X256" s="3" t="n">
        <v>-114.6047628254184</v>
      </c>
      <c r="Y256" s="3" t="n">
        <v>-114.6047628254184</v>
      </c>
      <c r="Z256" s="3" t="n">
        <v>-114.6047628254184</v>
      </c>
      <c r="AA256" s="3" t="n">
        <v>-114.6047628254184</v>
      </c>
      <c r="AB256" s="3" t="n">
        <v>-114.6047628254184</v>
      </c>
      <c r="AC256" s="3" t="n">
        <v>-114.6047628254184</v>
      </c>
      <c r="AD256" s="3" t="n">
        <v>-114.6047628254184</v>
      </c>
      <c r="AE256" s="3" t="n">
        <v>-114.6047628254184</v>
      </c>
      <c r="AG256" s="20" t="inlineStr">
        <is>
          <t>egy.mit.txo.co2e.all.ker.3</t>
        </is>
      </c>
      <c r="AH256" s="3" t="n">
        <v>-141.2802580521375</v>
      </c>
      <c r="AI256" s="3" t="n">
        <v>-171.4332142575571</v>
      </c>
      <c r="AJ256" s="3" t="n">
        <v>-170.3188737355688</v>
      </c>
      <c r="AK256" s="3" t="n">
        <v>-133.3297934578783</v>
      </c>
      <c r="AL256" s="3" t="n">
        <v>-159.0372301830091</v>
      </c>
      <c r="AM256" s="3" t="n">
        <v>-132.3803774272288</v>
      </c>
      <c r="AN256" s="3" t="n">
        <v>-125.0466454182584</v>
      </c>
      <c r="AO256" s="3" t="n">
        <v>-121.3498497818236</v>
      </c>
      <c r="AP256" s="3" t="n">
        <v>-118.1169789919463</v>
      </c>
      <c r="AQ256" s="3" t="n">
        <v>-114.6047628254184</v>
      </c>
      <c r="AR256" s="3" t="n">
        <v>-114.6047628254184</v>
      </c>
      <c r="AS256" s="3" t="n">
        <v>-114.6047628254184</v>
      </c>
      <c r="AT256" s="3" t="n">
        <v>-114.6047628254184</v>
      </c>
      <c r="AU256" s="3" t="n">
        <v>-114.6047628254184</v>
      </c>
      <c r="AV256" s="3" t="n">
        <v>-114.6047628254184</v>
      </c>
      <c r="AW256" s="3" t="n">
        <v>-114.6047628254184</v>
      </c>
      <c r="AX256" s="3" t="n">
        <v>-114.6047628254184</v>
      </c>
      <c r="AY256" s="3" t="n">
        <v>-114.6047628254184</v>
      </c>
      <c r="AZ256" s="3" t="n">
        <v>-114.6047628254184</v>
      </c>
      <c r="BA256" s="3" t="n">
        <v>-114.6047628254184</v>
      </c>
      <c r="BC256" s="20" t="inlineStr">
        <is>
          <t>egy.mit.txo.co2e.all.ker.4</t>
        </is>
      </c>
      <c r="BD256" s="3" t="n">
        <v>-141.2802580521375</v>
      </c>
      <c r="BE256" s="3" t="n">
        <v>-171.4332142575571</v>
      </c>
      <c r="BF256" s="3" t="n">
        <v>-170.3188737355688</v>
      </c>
      <c r="BG256" s="3" t="n">
        <v>-133.3297934578783</v>
      </c>
      <c r="BH256" s="3" t="n">
        <v>-159.0372301830091</v>
      </c>
      <c r="BI256" s="3" t="n">
        <v>-132.3803774272288</v>
      </c>
      <c r="BJ256" s="3" t="n">
        <v>-125.0466454182584</v>
      </c>
      <c r="BK256" s="3" t="n">
        <v>-121.3498497818236</v>
      </c>
      <c r="BL256" s="3" t="n">
        <v>-118.1169789919463</v>
      </c>
      <c r="BM256" s="3" t="n">
        <v>-114.6047628254184</v>
      </c>
      <c r="BN256" s="3" t="n">
        <v>-114.6047628254184</v>
      </c>
      <c r="BO256" s="3" t="n">
        <v>-114.6047628254184</v>
      </c>
      <c r="BP256" s="3" t="n">
        <v>-114.6047628254184</v>
      </c>
      <c r="BQ256" s="3" t="n">
        <v>-114.6047628254184</v>
      </c>
      <c r="BR256" s="3" t="n">
        <v>-114.6047628254184</v>
      </c>
      <c r="BS256" s="3" t="n">
        <v>-114.6047628254184</v>
      </c>
      <c r="BT256" s="3" t="n">
        <v>-114.6047628254184</v>
      </c>
      <c r="BU256" s="3" t="n">
        <v>-114.6047628254184</v>
      </c>
      <c r="BV256" s="3" t="n">
        <v>-114.6047628254184</v>
      </c>
      <c r="BW256" s="3" t="n">
        <v>-114.6047628254184</v>
      </c>
      <c r="BY256" s="20" t="inlineStr">
        <is>
          <t>egy.mit.txo.co2e.all.ker.5</t>
        </is>
      </c>
      <c r="BZ256" s="3" t="n">
        <v>-141.2802580521375</v>
      </c>
      <c r="CA256" s="3" t="n">
        <v>-171.4332142575571</v>
      </c>
      <c r="CB256" s="3" t="n">
        <v>-170.3188737355688</v>
      </c>
      <c r="CC256" s="3" t="n">
        <v>-133.3297934578783</v>
      </c>
      <c r="CD256" s="3" t="n">
        <v>-159.0372301830091</v>
      </c>
      <c r="CE256" s="3" t="n">
        <v>-132.3803774272288</v>
      </c>
      <c r="CF256" s="3" t="n">
        <v>-125.0466454182584</v>
      </c>
      <c r="CG256" s="3" t="n">
        <v>-121.3498497818236</v>
      </c>
      <c r="CH256" s="3" t="n">
        <v>-118.1169789919463</v>
      </c>
      <c r="CI256" s="3" t="n">
        <v>-114.6047628254184</v>
      </c>
      <c r="CJ256" s="3" t="n">
        <v>-114.6047628254184</v>
      </c>
      <c r="CK256" s="3" t="n">
        <v>-114.6047628254184</v>
      </c>
      <c r="CL256" s="3" t="n">
        <v>-114.6047628254184</v>
      </c>
      <c r="CM256" s="3" t="n">
        <v>-114.6047628254184</v>
      </c>
      <c r="CN256" s="3" t="n">
        <v>-114.6047628254184</v>
      </c>
      <c r="CO256" s="3" t="n">
        <v>-114.6047628254184</v>
      </c>
      <c r="CP256" s="3" t="n">
        <v>-114.6047628254184</v>
      </c>
      <c r="CQ256" s="3" t="n">
        <v>-114.6047628254184</v>
      </c>
      <c r="CR256" s="3" t="n">
        <v>-114.6047628254184</v>
      </c>
      <c r="CS256" s="3" t="n">
        <v>-114.6047628254184</v>
      </c>
      <c r="CU256" s="20" t="inlineStr">
        <is>
          <t>egy.mit.txo.co2e.all.ker.6</t>
        </is>
      </c>
      <c r="CV256" s="3" t="n">
        <v>-141.2802580521375</v>
      </c>
      <c r="CW256" s="3" t="n">
        <v>-171.4332142575571</v>
      </c>
      <c r="CX256" s="3" t="n">
        <v>-170.3188737355688</v>
      </c>
      <c r="CY256" s="3" t="n">
        <v>-133.3297934578783</v>
      </c>
      <c r="CZ256" s="3" t="n">
        <v>-159.0372301830091</v>
      </c>
      <c r="DA256" s="3" t="n">
        <v>-132.3803774272288</v>
      </c>
      <c r="DB256" s="3" t="n">
        <v>-125.0466454182584</v>
      </c>
      <c r="DC256" s="3" t="n">
        <v>-121.3498497818236</v>
      </c>
      <c r="DD256" s="3" t="n">
        <v>-118.1169789919463</v>
      </c>
      <c r="DE256" s="3" t="n">
        <v>-114.6047628254184</v>
      </c>
      <c r="DF256" s="3" t="n">
        <v>-114.6047628254184</v>
      </c>
      <c r="DG256" s="3" t="n">
        <v>-114.6047628254184</v>
      </c>
      <c r="DH256" s="3" t="n">
        <v>-114.6047628254184</v>
      </c>
      <c r="DI256" s="3" t="n">
        <v>-114.6047628254184</v>
      </c>
      <c r="DJ256" s="3" t="n">
        <v>-114.6047628254184</v>
      </c>
      <c r="DK256" s="3" t="n">
        <v>-114.6047628254184</v>
      </c>
      <c r="DL256" s="3" t="n">
        <v>-114.6047628254184</v>
      </c>
      <c r="DM256" s="3" t="n">
        <v>-114.6047628254184</v>
      </c>
      <c r="DN256" s="3" t="n">
        <v>-114.6047628254184</v>
      </c>
      <c r="DO256" s="3" t="n">
        <v>-114.6047628254184</v>
      </c>
    </row>
    <row r="257">
      <c r="A257" s="19" t="inlineStr">
        <is>
          <t>mit.pig.all.ker</t>
        </is>
      </c>
      <c r="B257" s="3" t="inlineStr">
        <is>
          <t>mit</t>
        </is>
      </c>
      <c r="C257" s="19" t="inlineStr">
        <is>
          <t>mit.pig.ker.all</t>
        </is>
      </c>
      <c r="H257" s="3" t="inlineStr">
        <is>
          <t>Pigouvian tax: all externalities (reference) | All sectors | Kerosene</t>
        </is>
      </c>
      <c r="I257" s="3" t="inlineStr">
        <is>
          <t>USD per price unit</t>
        </is>
      </c>
      <c r="K257" s="20" t="inlineStr">
        <is>
          <t>egy.mit.pig.all.ker.1</t>
        </is>
      </c>
      <c r="L257" s="3" t="n">
        <v>0.2071051873042268</v>
      </c>
      <c r="M257" s="3" t="n">
        <v>0.2120684452999389</v>
      </c>
      <c r="N257" s="3" t="n">
        <v>0.2144362136518234</v>
      </c>
      <c r="O257" s="3" t="n">
        <v>0.2023771323836939</v>
      </c>
      <c r="P257" s="3" t="n">
        <v>0.2145862954712128</v>
      </c>
      <c r="Q257" s="3" t="n">
        <v>0.2227612909083607</v>
      </c>
      <c r="R257" s="3" t="n">
        <v>0.2340047660442209</v>
      </c>
      <c r="S257" s="3" t="n">
        <v>0.2452376676212844</v>
      </c>
      <c r="T257" s="3" t="n">
        <v>0.2564268375908685</v>
      </c>
      <c r="U257" s="3" t="n">
        <v>0.2651340101645559</v>
      </c>
      <c r="V257" s="3" t="n">
        <v>0.2755109712322307</v>
      </c>
      <c r="W257" s="3" t="n">
        <v>0.2862725098808123</v>
      </c>
      <c r="X257" s="3" t="n">
        <v>0.2974300784308833</v>
      </c>
      <c r="Y257" s="3" t="n">
        <v>0.3089982115018032</v>
      </c>
      <c r="Z257" s="3" t="n">
        <v>0.3209881939559681</v>
      </c>
      <c r="AA257" s="3" t="n">
        <v>0.3334179757510648</v>
      </c>
      <c r="AB257" s="3" t="n">
        <v>0.3462956560987193</v>
      </c>
      <c r="AC257" s="3" t="n">
        <v>0.3596346247205987</v>
      </c>
      <c r="AD257" s="3" t="n">
        <v>0.3734485397815208</v>
      </c>
      <c r="AE257" s="3" t="n">
        <v>0.3844461813641578</v>
      </c>
      <c r="AG257" s="20" t="inlineStr">
        <is>
          <t>egy.mit.pig.all.ker.3</t>
        </is>
      </c>
      <c r="AH257" s="3" t="n">
        <v>0.2071051873042268</v>
      </c>
      <c r="AI257" s="3" t="n">
        <v>0.2120684452999389</v>
      </c>
      <c r="AJ257" s="3" t="n">
        <v>0.2144362136518234</v>
      </c>
      <c r="AK257" s="3" t="n">
        <v>0.2023771323836939</v>
      </c>
      <c r="AL257" s="3" t="n">
        <v>0.2145862954712128</v>
      </c>
      <c r="AM257" s="3" t="n">
        <v>0.2228380125530869</v>
      </c>
      <c r="AN257" s="3" t="n">
        <v>0.2340869949351015</v>
      </c>
      <c r="AO257" s="3" t="n">
        <v>0.2453229639714964</v>
      </c>
      <c r="AP257" s="3" t="n">
        <v>0.2565207149040106</v>
      </c>
      <c r="AQ257" s="3" t="n">
        <v>0.2652273273274105</v>
      </c>
      <c r="AR257" s="3" t="n">
        <v>0.2756081692658522</v>
      </c>
      <c r="AS257" s="3" t="n">
        <v>0.2863694139289961</v>
      </c>
      <c r="AT257" s="3" t="n">
        <v>0.2975245840215125</v>
      </c>
      <c r="AU257" s="3" t="n">
        <v>0.3090911670036885</v>
      </c>
      <c r="AV257" s="3" t="n">
        <v>0.3210786071244264</v>
      </c>
      <c r="AW257" s="3" t="n">
        <v>0.3335036428775248</v>
      </c>
      <c r="AX257" s="3" t="n">
        <v>0.3463783678731516</v>
      </c>
      <c r="AY257" s="3" t="n">
        <v>0.359715312433806</v>
      </c>
      <c r="AZ257" s="3" t="n">
        <v>0.3735295828998448</v>
      </c>
      <c r="BA257" s="3" t="n">
        <v>0.3845252286675148</v>
      </c>
      <c r="BC257" s="20" t="inlineStr">
        <is>
          <t>egy.mit.pig.all.ker.4</t>
        </is>
      </c>
      <c r="BD257" s="3" t="n">
        <v>0.2071051873042268</v>
      </c>
      <c r="BE257" s="3" t="n">
        <v>0.2120684452999389</v>
      </c>
      <c r="BF257" s="3" t="n">
        <v>0.2144362136518234</v>
      </c>
      <c r="BG257" s="3" t="n">
        <v>0.2023771323836939</v>
      </c>
      <c r="BH257" s="3" t="n">
        <v>0.2145862954712128</v>
      </c>
      <c r="BI257" s="3" t="n">
        <v>0.2229929026109035</v>
      </c>
      <c r="BJ257" s="3" t="n">
        <v>0.2345271124629441</v>
      </c>
      <c r="BK257" s="3" t="n">
        <v>0.2460320843194742</v>
      </c>
      <c r="BL257" s="3" t="n">
        <v>0.2574789841383535</v>
      </c>
      <c r="BM257" s="3" t="n">
        <v>0.2661857587978053</v>
      </c>
      <c r="BN257" s="3" t="n">
        <v>0.2765892753680111</v>
      </c>
      <c r="BO257" s="3" t="n">
        <v>0.2873793257725217</v>
      </c>
      <c r="BP257" s="3" t="n">
        <v>0.2985652874313215</v>
      </c>
      <c r="BQ257" s="3" t="n">
        <v>0.3101620605408631</v>
      </c>
      <c r="BR257" s="3" t="n">
        <v>0.3221805015492671</v>
      </c>
      <c r="BS257" s="3" t="n">
        <v>0.3346373926688958</v>
      </c>
      <c r="BT257" s="3" t="n">
        <v>0.3475415994281893</v>
      </c>
      <c r="BU257" s="3" t="n">
        <v>0.3609070120104857</v>
      </c>
      <c r="BV257" s="3" t="n">
        <v>0.3747488865876931</v>
      </c>
      <c r="BW257" s="3" t="n">
        <v>0.3857277497208618</v>
      </c>
      <c r="BY257" s="20" t="inlineStr">
        <is>
          <t>egy.mit.pig.all.ker.5</t>
        </is>
      </c>
      <c r="BZ257" s="3" t="n">
        <v>0.2071051873042268</v>
      </c>
      <c r="CA257" s="3" t="n">
        <v>0.2120684452999389</v>
      </c>
      <c r="CB257" s="3" t="n">
        <v>0.2144362136518234</v>
      </c>
      <c r="CC257" s="3" t="n">
        <v>0.2023771323836939</v>
      </c>
      <c r="CD257" s="3" t="n">
        <v>0.2145862954712128</v>
      </c>
      <c r="CE257" s="3" t="n">
        <v>0.2228557908293831</v>
      </c>
      <c r="CF257" s="3" t="n">
        <v>0.2341060612708655</v>
      </c>
      <c r="CG257" s="3" t="n">
        <v>0.2453434551006286</v>
      </c>
      <c r="CH257" s="3" t="n">
        <v>0.2565419600889317</v>
      </c>
      <c r="CI257" s="3" t="n">
        <v>0.2652477612712879</v>
      </c>
      <c r="CJ257" s="3" t="n">
        <v>0.2756292917718071</v>
      </c>
      <c r="CK257" s="3" t="n">
        <v>0.2863907033209351</v>
      </c>
      <c r="CL257" s="3" t="n">
        <v>0.2975478236399423</v>
      </c>
      <c r="CM257" s="3" t="n">
        <v>0.3091160584625449</v>
      </c>
      <c r="CN257" s="3" t="n">
        <v>0.321105201892984</v>
      </c>
      <c r="CO257" s="3" t="n">
        <v>0.3335324779581305</v>
      </c>
      <c r="CP257" s="3" t="n">
        <v>0.3464093132360521</v>
      </c>
      <c r="CQ257" s="3" t="n">
        <v>0.3597477133723995</v>
      </c>
      <c r="CR257" s="3" t="n">
        <v>0.3735629165322992</v>
      </c>
      <c r="CS257" s="3" t="n">
        <v>0.3845573167819432</v>
      </c>
      <c r="CU257" s="20" t="inlineStr">
        <is>
          <t>egy.mit.pig.all.ker.6</t>
        </is>
      </c>
      <c r="CV257" s="3" t="n">
        <v>0.2071051873042268</v>
      </c>
      <c r="CW257" s="3" t="n">
        <v>0.2120684452999389</v>
      </c>
      <c r="CX257" s="3" t="n">
        <v>0.2144362136518234</v>
      </c>
      <c r="CY257" s="3" t="n">
        <v>0.2023771323836939</v>
      </c>
      <c r="CZ257" s="3" t="n">
        <v>0.2145862954712128</v>
      </c>
      <c r="DA257" s="3" t="n">
        <v>0.222937599745161</v>
      </c>
      <c r="DB257" s="3" t="n">
        <v>0.2341938201002245</v>
      </c>
      <c r="DC257" s="3" t="n">
        <v>0.2454341479018115</v>
      </c>
      <c r="DD257" s="3" t="n">
        <v>0.2566426582085957</v>
      </c>
      <c r="DE257" s="3" t="n">
        <v>0.2653483208894774</v>
      </c>
      <c r="DF257" s="3" t="n">
        <v>0.2757343609514206</v>
      </c>
      <c r="DG257" s="3" t="n">
        <v>0.2864953786881678</v>
      </c>
      <c r="DH257" s="3" t="n">
        <v>0.2976486029567506</v>
      </c>
      <c r="DI257" s="3" t="n">
        <v>0.3092139757770428</v>
      </c>
      <c r="DJ257" s="3" t="n">
        <v>0.3211991653691273</v>
      </c>
      <c r="DK257" s="3" t="n">
        <v>0.3336194460147138</v>
      </c>
      <c r="DL257" s="3" t="n">
        <v>0.3464915874706891</v>
      </c>
      <c r="DM257" s="3" t="n">
        <v>0.3598267423480189</v>
      </c>
      <c r="DN257" s="3" t="n">
        <v>0.373641882218227</v>
      </c>
      <c r="DO257" s="3" t="n">
        <v>0.384634780347893</v>
      </c>
    </row>
    <row r="258">
      <c r="A258" s="19" t="inlineStr">
        <is>
          <t>mit.pig.co2e.all.ker</t>
        </is>
      </c>
      <c r="B258" s="3" t="inlineStr">
        <is>
          <t>mit</t>
        </is>
      </c>
      <c r="C258" s="19" t="inlineStr">
        <is>
          <t>mit.pig.co2e.ker.all</t>
        </is>
      </c>
      <c r="H258" s="3" t="inlineStr">
        <is>
          <t>Pigouvian tax per tonne of CO2 (fuel lines; avg: weighted by the fuel use of the scenario) | All sectors | Kerosene</t>
        </is>
      </c>
      <c r="I258" s="3" t="inlineStr">
        <is>
          <t>USD/tCO2</t>
        </is>
      </c>
      <c r="K258" s="20" t="inlineStr">
        <is>
          <t>egy.mit.pig.co2e.all.ker.1</t>
        </is>
      </c>
      <c r="L258" s="3" t="n">
        <v>80.47643118289014</v>
      </c>
      <c r="M258" s="3" t="n">
        <v>82.40504193249977</v>
      </c>
      <c r="N258" s="3" t="n">
        <v>83.32510361375331</v>
      </c>
      <c r="O258" s="3" t="n">
        <v>78.63921507355984</v>
      </c>
      <c r="P258" s="3" t="n">
        <v>83.38342204298782</v>
      </c>
      <c r="Q258" s="3" t="n">
        <v>86.56004193494473</v>
      </c>
      <c r="R258" s="3" t="n">
        <v>90.92900422316805</v>
      </c>
      <c r="S258" s="3" t="n">
        <v>95.29385786356877</v>
      </c>
      <c r="T258" s="3" t="n">
        <v>99.64171838204125</v>
      </c>
      <c r="U258" s="3" t="n">
        <v>103.0251303744921</v>
      </c>
      <c r="V258" s="3" t="n">
        <v>107.057384728525</v>
      </c>
      <c r="W258" s="3" t="n">
        <v>111.2390773058452</v>
      </c>
      <c r="X258" s="3" t="n">
        <v>115.5746582213978</v>
      </c>
      <c r="Y258" s="3" t="n">
        <v>120.0697753023084</v>
      </c>
      <c r="Z258" s="3" t="n">
        <v>124.7288135930261</v>
      </c>
      <c r="AA258" s="3" t="n">
        <v>129.5587480445569</v>
      </c>
      <c r="AB258" s="3" t="n">
        <v>134.5627258289035</v>
      </c>
      <c r="AC258" s="3" t="n">
        <v>139.7459498916235</v>
      </c>
      <c r="AD258" s="3" t="n">
        <v>145.1137274892631</v>
      </c>
      <c r="AE258" s="3" t="n">
        <v>149.3871643718415</v>
      </c>
      <c r="AG258" s="20" t="inlineStr">
        <is>
          <t>egy.mit.pig.co2e.all.ker.3</t>
        </is>
      </c>
      <c r="AH258" s="3" t="n">
        <v>80.47643118289014</v>
      </c>
      <c r="AI258" s="3" t="n">
        <v>82.40504193249977</v>
      </c>
      <c r="AJ258" s="3" t="n">
        <v>83.32510361375331</v>
      </c>
      <c r="AK258" s="3" t="n">
        <v>78.63921507355984</v>
      </c>
      <c r="AL258" s="3" t="n">
        <v>83.38342204298782</v>
      </c>
      <c r="AM258" s="3" t="n">
        <v>86.58985424550256</v>
      </c>
      <c r="AN258" s="3" t="n">
        <v>90.96095652607428</v>
      </c>
      <c r="AO258" s="3" t="n">
        <v>95.32700211237943</v>
      </c>
      <c r="AP258" s="3" t="n">
        <v>99.67819700060727</v>
      </c>
      <c r="AQ258" s="3" t="n">
        <v>103.0613913312185</v>
      </c>
      <c r="AR258" s="3" t="n">
        <v>107.0951537045978</v>
      </c>
      <c r="AS258" s="3" t="n">
        <v>111.2767320457699</v>
      </c>
      <c r="AT258" s="3" t="n">
        <v>115.6113809745054</v>
      </c>
      <c r="AU258" s="3" t="n">
        <v>120.1058957256928</v>
      </c>
      <c r="AV258" s="3" t="n">
        <v>124.7639461226559</v>
      </c>
      <c r="AW258" s="3" t="n">
        <v>129.5920363687024</v>
      </c>
      <c r="AX258" s="3" t="n">
        <v>134.5948657695286</v>
      </c>
      <c r="AY258" s="3" t="n">
        <v>139.7773033274488</v>
      </c>
      <c r="AZ258" s="3" t="n">
        <v>145.1452190275463</v>
      </c>
      <c r="BA258" s="3" t="n">
        <v>149.4178803811873</v>
      </c>
      <c r="BC258" s="20" t="inlineStr">
        <is>
          <t>egy.mit.pig.co2e.all.ker.4</t>
        </is>
      </c>
      <c r="BD258" s="3" t="n">
        <v>80.47643118289014</v>
      </c>
      <c r="BE258" s="3" t="n">
        <v>82.40504193249977</v>
      </c>
      <c r="BF258" s="3" t="n">
        <v>83.32510361375331</v>
      </c>
      <c r="BG258" s="3" t="n">
        <v>78.63921507355984</v>
      </c>
      <c r="BH258" s="3" t="n">
        <v>83.38342204298782</v>
      </c>
      <c r="BI258" s="3" t="n">
        <v>86.65004104835886</v>
      </c>
      <c r="BJ258" s="3" t="n">
        <v>91.13197632718519</v>
      </c>
      <c r="BK258" s="3" t="n">
        <v>95.6025503766563</v>
      </c>
      <c r="BL258" s="3" t="n">
        <v>100.0505589346374</v>
      </c>
      <c r="BM258" s="3" t="n">
        <v>103.4338163065401</v>
      </c>
      <c r="BN258" s="3" t="n">
        <v>107.4763895333148</v>
      </c>
      <c r="BO258" s="3" t="n">
        <v>111.6691611395757</v>
      </c>
      <c r="BP258" s="3" t="n">
        <v>116.0157749804279</v>
      </c>
      <c r="BQ258" s="3" t="n">
        <v>120.5220209380567</v>
      </c>
      <c r="BR258" s="3" t="n">
        <v>125.1921175847316</v>
      </c>
      <c r="BS258" s="3" t="n">
        <v>130.0325861118137</v>
      </c>
      <c r="BT258" s="3" t="n">
        <v>135.0468714648338</v>
      </c>
      <c r="BU258" s="3" t="n">
        <v>140.2403710575316</v>
      </c>
      <c r="BV258" s="3" t="n">
        <v>145.6190130961711</v>
      </c>
      <c r="BW258" s="3" t="n">
        <v>149.8851530944173</v>
      </c>
      <c r="BY258" s="20" t="inlineStr">
        <is>
          <t>egy.mit.pig.co2e.all.ker.5</t>
        </is>
      </c>
      <c r="BZ258" s="3" t="n">
        <v>80.47643118289014</v>
      </c>
      <c r="CA258" s="3" t="n">
        <v>82.40504193249977</v>
      </c>
      <c r="CB258" s="3" t="n">
        <v>83.32510361375331</v>
      </c>
      <c r="CC258" s="3" t="n">
        <v>78.63921507355984</v>
      </c>
      <c r="CD258" s="3" t="n">
        <v>83.38342204298782</v>
      </c>
      <c r="CE258" s="3" t="n">
        <v>86.59676248497027</v>
      </c>
      <c r="CF258" s="3" t="n">
        <v>90.96836527656477</v>
      </c>
      <c r="CG258" s="3" t="n">
        <v>95.33496450561994</v>
      </c>
      <c r="CH258" s="3" t="n">
        <v>99.68645240301667</v>
      </c>
      <c r="CI258" s="3" t="n">
        <v>103.0693315035515</v>
      </c>
      <c r="CJ258" s="3" t="n">
        <v>107.1033614367122</v>
      </c>
      <c r="CK258" s="3" t="n">
        <v>111.285004626035</v>
      </c>
      <c r="CL258" s="3" t="n">
        <v>115.6204113690485</v>
      </c>
      <c r="CM258" s="3" t="n">
        <v>120.115567988381</v>
      </c>
      <c r="CN258" s="3" t="n">
        <v>124.7742802532951</v>
      </c>
      <c r="CO258" s="3" t="n">
        <v>129.6032410343616</v>
      </c>
      <c r="CP258" s="3" t="n">
        <v>134.6068904435617</v>
      </c>
      <c r="CQ258" s="3" t="n">
        <v>139.789893605553</v>
      </c>
      <c r="CR258" s="3" t="n">
        <v>145.158171729568</v>
      </c>
      <c r="CS258" s="3" t="n">
        <v>149.4303491028364</v>
      </c>
      <c r="CU258" s="20" t="inlineStr">
        <is>
          <t>egy.mit.pig.co2e.all.ker.6</t>
        </is>
      </c>
      <c r="CV258" s="3" t="n">
        <v>80.47643118289014</v>
      </c>
      <c r="CW258" s="3" t="n">
        <v>82.40504193249977</v>
      </c>
      <c r="CX258" s="3" t="n">
        <v>83.32510361375331</v>
      </c>
      <c r="CY258" s="3" t="n">
        <v>78.63921507355984</v>
      </c>
      <c r="CZ258" s="3" t="n">
        <v>83.38342204298782</v>
      </c>
      <c r="DA258" s="3" t="n">
        <v>86.62855159497008</v>
      </c>
      <c r="DB258" s="3" t="n">
        <v>91.00246638954764</v>
      </c>
      <c r="DC258" s="3" t="n">
        <v>95.37020569425545</v>
      </c>
      <c r="DD258" s="3" t="n">
        <v>99.7255814340316</v>
      </c>
      <c r="DE258" s="3" t="n">
        <v>103.1084067159995</v>
      </c>
      <c r="DF258" s="3" t="n">
        <v>107.1441889635968</v>
      </c>
      <c r="DG258" s="3" t="n">
        <v>111.3256791262603</v>
      </c>
      <c r="DH258" s="3" t="n">
        <v>115.6595719514528</v>
      </c>
      <c r="DI258" s="3" t="n">
        <v>120.1536164608716</v>
      </c>
      <c r="DJ258" s="3" t="n">
        <v>124.810792352871</v>
      </c>
      <c r="DK258" s="3" t="n">
        <v>129.6370348707779</v>
      </c>
      <c r="DL258" s="3" t="n">
        <v>134.6388603660347</v>
      </c>
      <c r="DM258" s="3" t="n">
        <v>139.820602493151</v>
      </c>
      <c r="DN258" s="3" t="n">
        <v>145.1888560242112</v>
      </c>
      <c r="DO258" s="3" t="n">
        <v>149.4604497073431</v>
      </c>
    </row>
    <row r="259">
      <c r="A259" s="19" t="inlineStr">
        <is>
          <t>mit.eff.price.ind.coa</t>
        </is>
      </c>
      <c r="B259" s="3" t="inlineStr">
        <is>
          <t>mit</t>
        </is>
      </c>
      <c r="C259" s="19" t="inlineStr">
        <is>
          <t>mit.eff.price.coa.ind</t>
        </is>
      </c>
      <c r="H259" s="3" t="inlineStr">
        <is>
          <t>Efficient price | Industry | Coal</t>
        </is>
      </c>
      <c r="I259" s="3" t="inlineStr">
        <is>
          <t>USD per price unit</t>
        </is>
      </c>
      <c r="K259" s="20" t="inlineStr">
        <is>
          <t>egy.mit.eff.price.ind.coa.1</t>
        </is>
      </c>
      <c r="L259" s="3" t="n">
        <v>17.81905019381797</v>
      </c>
      <c r="M259" s="3" t="n">
        <v>15.68238280001476</v>
      </c>
      <c r="N259" s="3" t="n">
        <v>14.65767831767196</v>
      </c>
      <c r="O259" s="3" t="n">
        <v>13.67643938463841</v>
      </c>
      <c r="P259" s="3" t="n">
        <v>14.4775775701259</v>
      </c>
      <c r="Q259" s="3" t="n">
        <v>14.85877590492828</v>
      </c>
      <c r="R259" s="3" t="n">
        <v>15.18236272132892</v>
      </c>
      <c r="S259" s="3" t="n">
        <v>15.50568837076008</v>
      </c>
      <c r="T259" s="3" t="n">
        <v>15.82777842202773</v>
      </c>
      <c r="U259" s="3" t="n">
        <v>16.09272047024839</v>
      </c>
      <c r="V259" s="3" t="n">
        <v>16.45266671158578</v>
      </c>
      <c r="W259" s="3" t="n">
        <v>16.82610371591641</v>
      </c>
      <c r="X259" s="3" t="n">
        <v>17.21346226928667</v>
      </c>
      <c r="Y259" s="3" t="n">
        <v>17.61525640065154</v>
      </c>
      <c r="Z259" s="3" t="n">
        <v>18.0319240673643</v>
      </c>
      <c r="AA259" s="3" t="n">
        <v>18.46407735025606</v>
      </c>
      <c r="AB259" s="3" t="n">
        <v>18.91208642918384</v>
      </c>
      <c r="AC259" s="3" t="n">
        <v>19.37646162544554</v>
      </c>
      <c r="AD259" s="3" t="n">
        <v>19.85772716809379</v>
      </c>
      <c r="AE259" s="3" t="n">
        <v>20.27319991058218</v>
      </c>
      <c r="AG259" s="20" t="inlineStr">
        <is>
          <t>egy.mit.eff.price.ind.coa.3</t>
        </is>
      </c>
      <c r="AH259" s="3" t="n">
        <v>17.81905019381797</v>
      </c>
      <c r="AI259" s="3" t="n">
        <v>15.68238280001476</v>
      </c>
      <c r="AJ259" s="3" t="n">
        <v>14.65767831767196</v>
      </c>
      <c r="AK259" s="3" t="n">
        <v>13.67643938463841</v>
      </c>
      <c r="AL259" s="3" t="n">
        <v>14.4775775701259</v>
      </c>
      <c r="AM259" s="3" t="n">
        <v>14.85877590492828</v>
      </c>
      <c r="AN259" s="3" t="n">
        <v>15.18236272132892</v>
      </c>
      <c r="AO259" s="3" t="n">
        <v>15.50568837076008</v>
      </c>
      <c r="AP259" s="3" t="n">
        <v>15.82777842202773</v>
      </c>
      <c r="AQ259" s="3" t="n">
        <v>16.09272047024839</v>
      </c>
      <c r="AR259" s="3" t="n">
        <v>16.45266671158578</v>
      </c>
      <c r="AS259" s="3" t="n">
        <v>16.82610371591641</v>
      </c>
      <c r="AT259" s="3" t="n">
        <v>17.21346226928667</v>
      </c>
      <c r="AU259" s="3" t="n">
        <v>17.61525640065154</v>
      </c>
      <c r="AV259" s="3" t="n">
        <v>18.0319240673643</v>
      </c>
      <c r="AW259" s="3" t="n">
        <v>18.46407735025606</v>
      </c>
      <c r="AX259" s="3" t="n">
        <v>18.91208642918384</v>
      </c>
      <c r="AY259" s="3" t="n">
        <v>19.37646162544554</v>
      </c>
      <c r="AZ259" s="3" t="n">
        <v>19.85772716809379</v>
      </c>
      <c r="BA259" s="3" t="n">
        <v>20.27319991058218</v>
      </c>
      <c r="BC259" s="20" t="inlineStr">
        <is>
          <t>egy.mit.eff.price.ind.coa.4</t>
        </is>
      </c>
      <c r="BD259" s="3" t="n">
        <v>17.81905019381797</v>
      </c>
      <c r="BE259" s="3" t="n">
        <v>15.68238280001476</v>
      </c>
      <c r="BF259" s="3" t="n">
        <v>14.65767831767196</v>
      </c>
      <c r="BG259" s="3" t="n">
        <v>13.67643938463841</v>
      </c>
      <c r="BH259" s="3" t="n">
        <v>14.4775775701259</v>
      </c>
      <c r="BI259" s="3" t="n">
        <v>14.85877590492828</v>
      </c>
      <c r="BJ259" s="3" t="n">
        <v>15.18236272132892</v>
      </c>
      <c r="BK259" s="3" t="n">
        <v>15.50568837076008</v>
      </c>
      <c r="BL259" s="3" t="n">
        <v>15.82777842202773</v>
      </c>
      <c r="BM259" s="3" t="n">
        <v>16.09272047024839</v>
      </c>
      <c r="BN259" s="3" t="n">
        <v>16.45266671158578</v>
      </c>
      <c r="BO259" s="3" t="n">
        <v>16.82610371591641</v>
      </c>
      <c r="BP259" s="3" t="n">
        <v>17.21346226928667</v>
      </c>
      <c r="BQ259" s="3" t="n">
        <v>17.61525640065154</v>
      </c>
      <c r="BR259" s="3" t="n">
        <v>18.0319240673643</v>
      </c>
      <c r="BS259" s="3" t="n">
        <v>18.46407735025606</v>
      </c>
      <c r="BT259" s="3" t="n">
        <v>18.91208642918384</v>
      </c>
      <c r="BU259" s="3" t="n">
        <v>19.37646162544554</v>
      </c>
      <c r="BV259" s="3" t="n">
        <v>19.85772716809379</v>
      </c>
      <c r="BW259" s="3" t="n">
        <v>20.27319991058218</v>
      </c>
      <c r="BY259" s="20" t="inlineStr">
        <is>
          <t>egy.mit.eff.price.ind.coa.5</t>
        </is>
      </c>
      <c r="BZ259" s="3" t="n">
        <v>17.81905019381797</v>
      </c>
      <c r="CA259" s="3" t="n">
        <v>15.68238280001476</v>
      </c>
      <c r="CB259" s="3" t="n">
        <v>14.65767831767196</v>
      </c>
      <c r="CC259" s="3" t="n">
        <v>13.67643938463841</v>
      </c>
      <c r="CD259" s="3" t="n">
        <v>14.4775775701259</v>
      </c>
      <c r="CE259" s="3" t="n">
        <v>14.85877590492828</v>
      </c>
      <c r="CF259" s="3" t="n">
        <v>15.18236272132892</v>
      </c>
      <c r="CG259" s="3" t="n">
        <v>15.50568837076008</v>
      </c>
      <c r="CH259" s="3" t="n">
        <v>15.82777842202773</v>
      </c>
      <c r="CI259" s="3" t="n">
        <v>16.09272047024839</v>
      </c>
      <c r="CJ259" s="3" t="n">
        <v>16.45266671158578</v>
      </c>
      <c r="CK259" s="3" t="n">
        <v>16.82610371591641</v>
      </c>
      <c r="CL259" s="3" t="n">
        <v>17.21346226928667</v>
      </c>
      <c r="CM259" s="3" t="n">
        <v>17.61525640065154</v>
      </c>
      <c r="CN259" s="3" t="n">
        <v>18.0319240673643</v>
      </c>
      <c r="CO259" s="3" t="n">
        <v>18.46407735025606</v>
      </c>
      <c r="CP259" s="3" t="n">
        <v>18.91208642918384</v>
      </c>
      <c r="CQ259" s="3" t="n">
        <v>19.37646162544554</v>
      </c>
      <c r="CR259" s="3" t="n">
        <v>19.85772716809379</v>
      </c>
      <c r="CS259" s="3" t="n">
        <v>20.27319991058218</v>
      </c>
      <c r="CU259" s="20" t="inlineStr">
        <is>
          <t>egy.mit.eff.price.ind.coa.6</t>
        </is>
      </c>
      <c r="CV259" s="3" t="n">
        <v>17.81905019381797</v>
      </c>
      <c r="CW259" s="3" t="n">
        <v>15.68238280001476</v>
      </c>
      <c r="CX259" s="3" t="n">
        <v>14.65767831767196</v>
      </c>
      <c r="CY259" s="3" t="n">
        <v>13.67643938463841</v>
      </c>
      <c r="CZ259" s="3" t="n">
        <v>14.4775775701259</v>
      </c>
      <c r="DA259" s="3" t="n">
        <v>14.85877590492828</v>
      </c>
      <c r="DB259" s="3" t="n">
        <v>15.18236272132892</v>
      </c>
      <c r="DC259" s="3" t="n">
        <v>15.50568837076008</v>
      </c>
      <c r="DD259" s="3" t="n">
        <v>15.82777842202773</v>
      </c>
      <c r="DE259" s="3" t="n">
        <v>16.09272047024839</v>
      </c>
      <c r="DF259" s="3" t="n">
        <v>16.45266671158578</v>
      </c>
      <c r="DG259" s="3" t="n">
        <v>16.82610371591641</v>
      </c>
      <c r="DH259" s="3" t="n">
        <v>17.21346226928667</v>
      </c>
      <c r="DI259" s="3" t="n">
        <v>17.61525640065154</v>
      </c>
      <c r="DJ259" s="3" t="n">
        <v>18.0319240673643</v>
      </c>
      <c r="DK259" s="3" t="n">
        <v>18.46407735025606</v>
      </c>
      <c r="DL259" s="3" t="n">
        <v>18.91208642918384</v>
      </c>
      <c r="DM259" s="3" t="n">
        <v>19.37646162544554</v>
      </c>
      <c r="DN259" s="3" t="n">
        <v>19.85772716809379</v>
      </c>
      <c r="DO259" s="3" t="n">
        <v>20.27319991058218</v>
      </c>
    </row>
    <row r="260">
      <c r="A260" s="19" t="inlineStr">
        <is>
          <t>mit.sup.cost.ind.coa</t>
        </is>
      </c>
      <c r="B260" s="3" t="inlineStr">
        <is>
          <t>mit</t>
        </is>
      </c>
      <c r="C260" s="19" t="inlineStr">
        <is>
          <t>mit.sup.cost.coa.ind</t>
        </is>
      </c>
      <c r="H260" s="3" t="inlineStr">
        <is>
          <t>Efficient price: supply cost of scenario 1 | Industry | Coal</t>
        </is>
      </c>
      <c r="I260" s="3" t="inlineStr">
        <is>
          <t>USD per price unit</t>
        </is>
      </c>
      <c r="K260" s="20" t="inlineStr">
        <is>
          <t>egy.mit.sup.cost.ind.coa.1</t>
        </is>
      </c>
      <c r="L260" s="3" t="n">
        <v>10.90003858207016</v>
      </c>
      <c r="M260" s="3" t="n">
        <v>8.560471180849413</v>
      </c>
      <c r="N260" s="3" t="n">
        <v>7.405135996043854</v>
      </c>
      <c r="O260" s="3" t="n">
        <v>6.649809078673261</v>
      </c>
      <c r="P260" s="3" t="n">
        <v>7.065990308008567</v>
      </c>
      <c r="Q260" s="3" t="n">
        <v>7.159870298759651</v>
      </c>
      <c r="R260" s="3" t="n">
        <v>7.11535593521908</v>
      </c>
      <c r="S260" s="3" t="n">
        <v>7.067619610516197</v>
      </c>
      <c r="T260" s="3" t="n">
        <v>7.016529336236413</v>
      </c>
      <c r="U260" s="3" t="n">
        <v>6.967225142089241</v>
      </c>
      <c r="V260" s="3" t="n">
        <v>6.967225142089241</v>
      </c>
      <c r="W260" s="3" t="n">
        <v>6.967225142089241</v>
      </c>
      <c r="X260" s="3" t="n">
        <v>6.967225142089242</v>
      </c>
      <c r="Y260" s="3" t="n">
        <v>6.967225142089242</v>
      </c>
      <c r="Z260" s="3" t="n">
        <v>6.967225142089242</v>
      </c>
      <c r="AA260" s="3" t="n">
        <v>6.967225142089241</v>
      </c>
      <c r="AB260" s="3" t="n">
        <v>6.967225142089241</v>
      </c>
      <c r="AC260" s="3" t="n">
        <v>6.967225142089241</v>
      </c>
      <c r="AD260" s="3" t="n">
        <v>6.967225142089241</v>
      </c>
      <c r="AE260" s="3" t="n">
        <v>6.967225142089241</v>
      </c>
      <c r="AG260" s="20" t="inlineStr">
        <is>
          <t>egy.mit.sup.cost.ind.coa.3</t>
        </is>
      </c>
      <c r="AH260" s="3" t="n">
        <v>10.90003858207016</v>
      </c>
      <c r="AI260" s="3" t="n">
        <v>8.560471180849413</v>
      </c>
      <c r="AJ260" s="3" t="n">
        <v>7.405135996043854</v>
      </c>
      <c r="AK260" s="3" t="n">
        <v>6.649809078673261</v>
      </c>
      <c r="AL260" s="3" t="n">
        <v>7.065990308008567</v>
      </c>
      <c r="AM260" s="3" t="n">
        <v>7.159870298759651</v>
      </c>
      <c r="AN260" s="3" t="n">
        <v>7.11535593521908</v>
      </c>
      <c r="AO260" s="3" t="n">
        <v>7.067619610516197</v>
      </c>
      <c r="AP260" s="3" t="n">
        <v>7.016529336236413</v>
      </c>
      <c r="AQ260" s="3" t="n">
        <v>6.967225142089241</v>
      </c>
      <c r="AR260" s="3" t="n">
        <v>6.967225142089241</v>
      </c>
      <c r="AS260" s="3" t="n">
        <v>6.967225142089241</v>
      </c>
      <c r="AT260" s="3" t="n">
        <v>6.967225142089242</v>
      </c>
      <c r="AU260" s="3" t="n">
        <v>6.967225142089242</v>
      </c>
      <c r="AV260" s="3" t="n">
        <v>6.967225142089242</v>
      </c>
      <c r="AW260" s="3" t="n">
        <v>6.967225142089241</v>
      </c>
      <c r="AX260" s="3" t="n">
        <v>6.967225142089241</v>
      </c>
      <c r="AY260" s="3" t="n">
        <v>6.967225142089241</v>
      </c>
      <c r="AZ260" s="3" t="n">
        <v>6.967225142089241</v>
      </c>
      <c r="BA260" s="3" t="n">
        <v>6.967225142089241</v>
      </c>
      <c r="BC260" s="20" t="inlineStr">
        <is>
          <t>egy.mit.sup.cost.ind.coa.4</t>
        </is>
      </c>
      <c r="BD260" s="3" t="n">
        <v>10.90003858207016</v>
      </c>
      <c r="BE260" s="3" t="n">
        <v>8.560471180849413</v>
      </c>
      <c r="BF260" s="3" t="n">
        <v>7.405135996043854</v>
      </c>
      <c r="BG260" s="3" t="n">
        <v>6.649809078673261</v>
      </c>
      <c r="BH260" s="3" t="n">
        <v>7.065990308008567</v>
      </c>
      <c r="BI260" s="3" t="n">
        <v>7.159870298759651</v>
      </c>
      <c r="BJ260" s="3" t="n">
        <v>7.11535593521908</v>
      </c>
      <c r="BK260" s="3" t="n">
        <v>7.067619610516197</v>
      </c>
      <c r="BL260" s="3" t="n">
        <v>7.016529336236413</v>
      </c>
      <c r="BM260" s="3" t="n">
        <v>6.967225142089241</v>
      </c>
      <c r="BN260" s="3" t="n">
        <v>6.967225142089241</v>
      </c>
      <c r="BO260" s="3" t="n">
        <v>6.967225142089241</v>
      </c>
      <c r="BP260" s="3" t="n">
        <v>6.967225142089242</v>
      </c>
      <c r="BQ260" s="3" t="n">
        <v>6.967225142089242</v>
      </c>
      <c r="BR260" s="3" t="n">
        <v>6.967225142089242</v>
      </c>
      <c r="BS260" s="3" t="n">
        <v>6.967225142089241</v>
      </c>
      <c r="BT260" s="3" t="n">
        <v>6.967225142089241</v>
      </c>
      <c r="BU260" s="3" t="n">
        <v>6.967225142089241</v>
      </c>
      <c r="BV260" s="3" t="n">
        <v>6.967225142089241</v>
      </c>
      <c r="BW260" s="3" t="n">
        <v>6.967225142089241</v>
      </c>
      <c r="BY260" s="20" t="inlineStr">
        <is>
          <t>egy.mit.sup.cost.ind.coa.5</t>
        </is>
      </c>
      <c r="BZ260" s="3" t="n">
        <v>10.90003858207016</v>
      </c>
      <c r="CA260" s="3" t="n">
        <v>8.560471180849413</v>
      </c>
      <c r="CB260" s="3" t="n">
        <v>7.405135996043854</v>
      </c>
      <c r="CC260" s="3" t="n">
        <v>6.649809078673261</v>
      </c>
      <c r="CD260" s="3" t="n">
        <v>7.065990308008567</v>
      </c>
      <c r="CE260" s="3" t="n">
        <v>7.159870298759651</v>
      </c>
      <c r="CF260" s="3" t="n">
        <v>7.11535593521908</v>
      </c>
      <c r="CG260" s="3" t="n">
        <v>7.067619610516197</v>
      </c>
      <c r="CH260" s="3" t="n">
        <v>7.016529336236413</v>
      </c>
      <c r="CI260" s="3" t="n">
        <v>6.967225142089241</v>
      </c>
      <c r="CJ260" s="3" t="n">
        <v>6.967225142089241</v>
      </c>
      <c r="CK260" s="3" t="n">
        <v>6.967225142089241</v>
      </c>
      <c r="CL260" s="3" t="n">
        <v>6.967225142089242</v>
      </c>
      <c r="CM260" s="3" t="n">
        <v>6.967225142089242</v>
      </c>
      <c r="CN260" s="3" t="n">
        <v>6.967225142089242</v>
      </c>
      <c r="CO260" s="3" t="n">
        <v>6.967225142089241</v>
      </c>
      <c r="CP260" s="3" t="n">
        <v>6.967225142089241</v>
      </c>
      <c r="CQ260" s="3" t="n">
        <v>6.967225142089241</v>
      </c>
      <c r="CR260" s="3" t="n">
        <v>6.967225142089241</v>
      </c>
      <c r="CS260" s="3" t="n">
        <v>6.967225142089241</v>
      </c>
      <c r="CU260" s="20" t="inlineStr">
        <is>
          <t>egy.mit.sup.cost.ind.coa.6</t>
        </is>
      </c>
      <c r="CV260" s="3" t="n">
        <v>10.90003858207016</v>
      </c>
      <c r="CW260" s="3" t="n">
        <v>8.560471180849413</v>
      </c>
      <c r="CX260" s="3" t="n">
        <v>7.405135996043854</v>
      </c>
      <c r="CY260" s="3" t="n">
        <v>6.649809078673261</v>
      </c>
      <c r="CZ260" s="3" t="n">
        <v>7.065990308008567</v>
      </c>
      <c r="DA260" s="3" t="n">
        <v>7.159870298759651</v>
      </c>
      <c r="DB260" s="3" t="n">
        <v>7.11535593521908</v>
      </c>
      <c r="DC260" s="3" t="n">
        <v>7.067619610516197</v>
      </c>
      <c r="DD260" s="3" t="n">
        <v>7.016529336236413</v>
      </c>
      <c r="DE260" s="3" t="n">
        <v>6.967225142089241</v>
      </c>
      <c r="DF260" s="3" t="n">
        <v>6.967225142089241</v>
      </c>
      <c r="DG260" s="3" t="n">
        <v>6.967225142089241</v>
      </c>
      <c r="DH260" s="3" t="n">
        <v>6.967225142089242</v>
      </c>
      <c r="DI260" s="3" t="n">
        <v>6.967225142089242</v>
      </c>
      <c r="DJ260" s="3" t="n">
        <v>6.967225142089242</v>
      </c>
      <c r="DK260" s="3" t="n">
        <v>6.967225142089241</v>
      </c>
      <c r="DL260" s="3" t="n">
        <v>6.967225142089241</v>
      </c>
      <c r="DM260" s="3" t="n">
        <v>6.967225142089241</v>
      </c>
      <c r="DN260" s="3" t="n">
        <v>6.967225142089241</v>
      </c>
      <c r="DO260" s="3" t="n">
        <v>6.967225142089241</v>
      </c>
    </row>
    <row r="261">
      <c r="A261" s="19" t="inlineStr">
        <is>
          <t>mit.airpol.cost.ind.coa</t>
        </is>
      </c>
      <c r="B261" s="3" t="inlineStr">
        <is>
          <t>mit</t>
        </is>
      </c>
      <c r="C261" s="19" t="inlineStr">
        <is>
          <t>mit.airpol.cost.coa.ind</t>
        </is>
      </c>
      <c r="H261" s="3" t="inlineStr">
        <is>
          <t>Air-pollution cost per unit of fuel, marginal damages (coal, gas, other oil products USD/GJ; gasoline, diesel, LPG, kerosene USD/l) | Industry | Coal</t>
        </is>
      </c>
      <c r="I261" s="3" t="inlineStr">
        <is>
          <t>USD per unit</t>
        </is>
      </c>
      <c r="K261" s="20" t="inlineStr">
        <is>
          <t>egy.mit.airpol.cost.ind.coa.1</t>
        </is>
      </c>
      <c r="L261" s="3" t="n">
        <v>1.646935644617493</v>
      </c>
      <c r="M261" s="3" t="n">
        <v>1.63895261334982</v>
      </c>
      <c r="N261" s="3" t="n">
        <v>1.550264955579954</v>
      </c>
      <c r="O261" s="3" t="n">
        <v>1.096261845275072</v>
      </c>
      <c r="P261" s="3" t="n">
        <v>1.244004062999655</v>
      </c>
      <c r="Q261" s="3" t="n">
        <v>1.28461907908624</v>
      </c>
      <c r="R261" s="3" t="n">
        <v>1.396148797944161</v>
      </c>
      <c r="S261" s="3" t="n">
        <v>1.500376452551572</v>
      </c>
      <c r="T261" s="3" t="n">
        <v>1.596049085791322</v>
      </c>
      <c r="U261" s="3" t="n">
        <v>1.621687328159148</v>
      </c>
      <c r="V261" s="3" t="n">
        <v>1.681481249496546</v>
      </c>
      <c r="W261" s="3" t="n">
        <v>1.742759841027165</v>
      </c>
      <c r="X261" s="3" t="n">
        <v>1.805473645085426</v>
      </c>
      <c r="Y261" s="3" t="n">
        <v>1.869637237165814</v>
      </c>
      <c r="Z261" s="3" t="n">
        <v>1.935169143022714</v>
      </c>
      <c r="AA261" s="3" t="n">
        <v>2.002141234624387</v>
      </c>
      <c r="AB261" s="3" t="n">
        <v>2.070361874610471</v>
      </c>
      <c r="AC261" s="3" t="n">
        <v>2.139757094372805</v>
      </c>
      <c r="AD261" s="3" t="n">
        <v>2.210243461461712</v>
      </c>
      <c r="AE261" s="3" t="n">
        <v>2.198505861368388</v>
      </c>
      <c r="AG261" s="20" t="inlineStr">
        <is>
          <t>egy.mit.airpol.cost.ind.coa.3</t>
        </is>
      </c>
      <c r="AH261" s="3" t="n">
        <v>1.646935644617493</v>
      </c>
      <c r="AI261" s="3" t="n">
        <v>1.63895261334982</v>
      </c>
      <c r="AJ261" s="3" t="n">
        <v>1.550264955579954</v>
      </c>
      <c r="AK261" s="3" t="n">
        <v>1.096261845275072</v>
      </c>
      <c r="AL261" s="3" t="n">
        <v>1.244004062999655</v>
      </c>
      <c r="AM261" s="3" t="n">
        <v>1.28461907908624</v>
      </c>
      <c r="AN261" s="3" t="n">
        <v>1.396148797944161</v>
      </c>
      <c r="AO261" s="3" t="n">
        <v>1.500376452551572</v>
      </c>
      <c r="AP261" s="3" t="n">
        <v>1.596049085791322</v>
      </c>
      <c r="AQ261" s="3" t="n">
        <v>1.621687328159149</v>
      </c>
      <c r="AR261" s="3" t="n">
        <v>1.681481249496546</v>
      </c>
      <c r="AS261" s="3" t="n">
        <v>1.742759841027165</v>
      </c>
      <c r="AT261" s="3" t="n">
        <v>1.805473645085426</v>
      </c>
      <c r="AU261" s="3" t="n">
        <v>1.869637237165813</v>
      </c>
      <c r="AV261" s="3" t="n">
        <v>1.935169143022714</v>
      </c>
      <c r="AW261" s="3" t="n">
        <v>2.002141234624387</v>
      </c>
      <c r="AX261" s="3" t="n">
        <v>2.070361874610471</v>
      </c>
      <c r="AY261" s="3" t="n">
        <v>2.139757094372805</v>
      </c>
      <c r="AZ261" s="3" t="n">
        <v>2.210243461461712</v>
      </c>
      <c r="BA261" s="3" t="n">
        <v>2.198505861368388</v>
      </c>
      <c r="BC261" s="20" t="inlineStr">
        <is>
          <t>egy.mit.airpol.cost.ind.coa.4</t>
        </is>
      </c>
      <c r="BD261" s="3" t="n">
        <v>1.646935644617493</v>
      </c>
      <c r="BE261" s="3" t="n">
        <v>1.63895261334982</v>
      </c>
      <c r="BF261" s="3" t="n">
        <v>1.550264955579954</v>
      </c>
      <c r="BG261" s="3" t="n">
        <v>1.096261845275072</v>
      </c>
      <c r="BH261" s="3" t="n">
        <v>1.244004062999655</v>
      </c>
      <c r="BI261" s="3" t="n">
        <v>1.28461907908624</v>
      </c>
      <c r="BJ261" s="3" t="n">
        <v>1.396148797944161</v>
      </c>
      <c r="BK261" s="3" t="n">
        <v>1.500376452551572</v>
      </c>
      <c r="BL261" s="3" t="n">
        <v>1.596049085791322</v>
      </c>
      <c r="BM261" s="3" t="n">
        <v>1.621687328159149</v>
      </c>
      <c r="BN261" s="3" t="n">
        <v>1.681481249496546</v>
      </c>
      <c r="BO261" s="3" t="n">
        <v>1.742759841027165</v>
      </c>
      <c r="BP261" s="3" t="n">
        <v>1.805473645085426</v>
      </c>
      <c r="BQ261" s="3" t="n">
        <v>1.869637237165813</v>
      </c>
      <c r="BR261" s="3" t="n">
        <v>1.935169143022714</v>
      </c>
      <c r="BS261" s="3" t="n">
        <v>2.002141234624387</v>
      </c>
      <c r="BT261" s="3" t="n">
        <v>2.070361874610471</v>
      </c>
      <c r="BU261" s="3" t="n">
        <v>2.139757094372805</v>
      </c>
      <c r="BV261" s="3" t="n">
        <v>2.210243461461712</v>
      </c>
      <c r="BW261" s="3" t="n">
        <v>2.198505861368387</v>
      </c>
      <c r="BY261" s="20" t="inlineStr">
        <is>
          <t>egy.mit.airpol.cost.ind.coa.5</t>
        </is>
      </c>
      <c r="BZ261" s="3" t="n">
        <v>1.646935644617493</v>
      </c>
      <c r="CA261" s="3" t="n">
        <v>1.63895261334982</v>
      </c>
      <c r="CB261" s="3" t="n">
        <v>1.550264955579954</v>
      </c>
      <c r="CC261" s="3" t="n">
        <v>1.096261845275072</v>
      </c>
      <c r="CD261" s="3" t="n">
        <v>1.244004062999655</v>
      </c>
      <c r="CE261" s="3" t="n">
        <v>1.28461907908624</v>
      </c>
      <c r="CF261" s="3" t="n">
        <v>1.396148797944161</v>
      </c>
      <c r="CG261" s="3" t="n">
        <v>1.500376452551572</v>
      </c>
      <c r="CH261" s="3" t="n">
        <v>1.596049085791322</v>
      </c>
      <c r="CI261" s="3" t="n">
        <v>1.621687328159148</v>
      </c>
      <c r="CJ261" s="3" t="n">
        <v>1.681481249496545</v>
      </c>
      <c r="CK261" s="3" t="n">
        <v>1.742759841027165</v>
      </c>
      <c r="CL261" s="3" t="n">
        <v>1.805473645085426</v>
      </c>
      <c r="CM261" s="3" t="n">
        <v>1.869637237165813</v>
      </c>
      <c r="CN261" s="3" t="n">
        <v>1.935169143022714</v>
      </c>
      <c r="CO261" s="3" t="n">
        <v>2.002141234624387</v>
      </c>
      <c r="CP261" s="3" t="n">
        <v>2.070361874610471</v>
      </c>
      <c r="CQ261" s="3" t="n">
        <v>2.139757094372805</v>
      </c>
      <c r="CR261" s="3" t="n">
        <v>2.210243461461712</v>
      </c>
      <c r="CS261" s="3" t="n">
        <v>2.198505861368387</v>
      </c>
      <c r="CU261" s="20" t="inlineStr">
        <is>
          <t>egy.mit.airpol.cost.ind.coa.6</t>
        </is>
      </c>
      <c r="CV261" s="3" t="n">
        <v>1.646935644617493</v>
      </c>
      <c r="CW261" s="3" t="n">
        <v>1.63895261334982</v>
      </c>
      <c r="CX261" s="3" t="n">
        <v>1.550264955579954</v>
      </c>
      <c r="CY261" s="3" t="n">
        <v>1.096261845275072</v>
      </c>
      <c r="CZ261" s="3" t="n">
        <v>1.244004062999655</v>
      </c>
      <c r="DA261" s="3" t="n">
        <v>1.28461907908624</v>
      </c>
      <c r="DB261" s="3" t="n">
        <v>1.396148797944161</v>
      </c>
      <c r="DC261" s="3" t="n">
        <v>1.500376452551572</v>
      </c>
      <c r="DD261" s="3" t="n">
        <v>1.596049085791322</v>
      </c>
      <c r="DE261" s="3" t="n">
        <v>1.621687328159148</v>
      </c>
      <c r="DF261" s="3" t="n">
        <v>1.681481249496546</v>
      </c>
      <c r="DG261" s="3" t="n">
        <v>1.742759841027165</v>
      </c>
      <c r="DH261" s="3" t="n">
        <v>1.805473645085427</v>
      </c>
      <c r="DI261" s="3" t="n">
        <v>1.869637237165813</v>
      </c>
      <c r="DJ261" s="3" t="n">
        <v>1.935169143022714</v>
      </c>
      <c r="DK261" s="3" t="n">
        <v>2.002141234624387</v>
      </c>
      <c r="DL261" s="3" t="n">
        <v>2.070361874610471</v>
      </c>
      <c r="DM261" s="3" t="n">
        <v>2.139757094372805</v>
      </c>
      <c r="DN261" s="3" t="n">
        <v>2.210243461461712</v>
      </c>
      <c r="DO261" s="3" t="n">
        <v>2.198505861368387</v>
      </c>
    </row>
    <row r="262">
      <c r="A262" s="19" t="inlineStr">
        <is>
          <t>mit.scc.cost.ind.coa</t>
        </is>
      </c>
      <c r="B262" s="3" t="inlineStr">
        <is>
          <t>mit</t>
        </is>
      </c>
      <c r="C262" s="19" t="inlineStr">
        <is>
          <t>mit.scc.cost.coa.ind</t>
        </is>
      </c>
      <c r="H262" s="3" t="inlineStr">
        <is>
          <t>Efficient price: climate damage (national SCC) | Industry | Coal</t>
        </is>
      </c>
      <c r="I262" s="3" t="inlineStr">
        <is>
          <t>USD per price unit</t>
        </is>
      </c>
      <c r="K262" s="20" t="inlineStr">
        <is>
          <t>egy.mit.scc.cost.ind.coa.1</t>
        </is>
      </c>
      <c r="L262" s="3" t="n">
        <v>5.272075967130314</v>
      </c>
      <c r="M262" s="3" t="n">
        <v>5.482959005815526</v>
      </c>
      <c r="N262" s="3" t="n">
        <v>5.702277366048148</v>
      </c>
      <c r="O262" s="3" t="n">
        <v>5.930368460690074</v>
      </c>
      <c r="P262" s="3" t="n">
        <v>6.167583199117677</v>
      </c>
      <c r="Q262" s="3" t="n">
        <v>6.414286527082384</v>
      </c>
      <c r="R262" s="3" t="n">
        <v>6.67085798816568</v>
      </c>
      <c r="S262" s="3" t="n">
        <v>6.937692307692306</v>
      </c>
      <c r="T262" s="3" t="n">
        <v>7.215199999999999</v>
      </c>
      <c r="U262" s="3" t="n">
        <v>7.503807999999999</v>
      </c>
      <c r="V262" s="3" t="n">
        <v>7.80396032</v>
      </c>
      <c r="W262" s="3" t="n">
        <v>8.1161187328</v>
      </c>
      <c r="X262" s="3" t="n">
        <v>8.440763482112001</v>
      </c>
      <c r="Y262" s="3" t="n">
        <v>8.77839402139648</v>
      </c>
      <c r="Z262" s="3" t="n">
        <v>9.129529782252341</v>
      </c>
      <c r="AA262" s="3" t="n">
        <v>9.494710973542434</v>
      </c>
      <c r="AB262" s="3" t="n">
        <v>9.874499412484131</v>
      </c>
      <c r="AC262" s="3" t="n">
        <v>10.2694793889835</v>
      </c>
      <c r="AD262" s="3" t="n">
        <v>10.68025856454284</v>
      </c>
      <c r="AE262" s="3" t="n">
        <v>11.10746890712455</v>
      </c>
      <c r="AG262" s="20" t="inlineStr">
        <is>
          <t>egy.mit.scc.cost.ind.coa.3</t>
        </is>
      </c>
      <c r="AH262" s="3" t="n">
        <v>5.272075967130314</v>
      </c>
      <c r="AI262" s="3" t="n">
        <v>5.482959005815526</v>
      </c>
      <c r="AJ262" s="3" t="n">
        <v>5.702277366048148</v>
      </c>
      <c r="AK262" s="3" t="n">
        <v>5.930368460690074</v>
      </c>
      <c r="AL262" s="3" t="n">
        <v>6.167583199117677</v>
      </c>
      <c r="AM262" s="3" t="n">
        <v>6.414286527082384</v>
      </c>
      <c r="AN262" s="3" t="n">
        <v>6.67085798816568</v>
      </c>
      <c r="AO262" s="3" t="n">
        <v>6.937692307692306</v>
      </c>
      <c r="AP262" s="3" t="n">
        <v>7.215199999999999</v>
      </c>
      <c r="AQ262" s="3" t="n">
        <v>7.503807999999999</v>
      </c>
      <c r="AR262" s="3" t="n">
        <v>7.80396032</v>
      </c>
      <c r="AS262" s="3" t="n">
        <v>8.1161187328</v>
      </c>
      <c r="AT262" s="3" t="n">
        <v>8.440763482112001</v>
      </c>
      <c r="AU262" s="3" t="n">
        <v>8.77839402139648</v>
      </c>
      <c r="AV262" s="3" t="n">
        <v>9.129529782252341</v>
      </c>
      <c r="AW262" s="3" t="n">
        <v>9.494710973542434</v>
      </c>
      <c r="AX262" s="3" t="n">
        <v>9.874499412484131</v>
      </c>
      <c r="AY262" s="3" t="n">
        <v>10.2694793889835</v>
      </c>
      <c r="AZ262" s="3" t="n">
        <v>10.68025856454284</v>
      </c>
      <c r="BA262" s="3" t="n">
        <v>11.10746890712455</v>
      </c>
      <c r="BC262" s="20" t="inlineStr">
        <is>
          <t>egy.mit.scc.cost.ind.coa.4</t>
        </is>
      </c>
      <c r="BD262" s="3" t="n">
        <v>5.272075967130314</v>
      </c>
      <c r="BE262" s="3" t="n">
        <v>5.482959005815526</v>
      </c>
      <c r="BF262" s="3" t="n">
        <v>5.702277366048148</v>
      </c>
      <c r="BG262" s="3" t="n">
        <v>5.930368460690074</v>
      </c>
      <c r="BH262" s="3" t="n">
        <v>6.167583199117677</v>
      </c>
      <c r="BI262" s="3" t="n">
        <v>6.414286527082384</v>
      </c>
      <c r="BJ262" s="3" t="n">
        <v>6.67085798816568</v>
      </c>
      <c r="BK262" s="3" t="n">
        <v>6.937692307692306</v>
      </c>
      <c r="BL262" s="3" t="n">
        <v>7.215199999999999</v>
      </c>
      <c r="BM262" s="3" t="n">
        <v>7.503807999999999</v>
      </c>
      <c r="BN262" s="3" t="n">
        <v>7.80396032</v>
      </c>
      <c r="BO262" s="3" t="n">
        <v>8.1161187328</v>
      </c>
      <c r="BP262" s="3" t="n">
        <v>8.440763482112001</v>
      </c>
      <c r="BQ262" s="3" t="n">
        <v>8.77839402139648</v>
      </c>
      <c r="BR262" s="3" t="n">
        <v>9.129529782252341</v>
      </c>
      <c r="BS262" s="3" t="n">
        <v>9.494710973542434</v>
      </c>
      <c r="BT262" s="3" t="n">
        <v>9.874499412484131</v>
      </c>
      <c r="BU262" s="3" t="n">
        <v>10.2694793889835</v>
      </c>
      <c r="BV262" s="3" t="n">
        <v>10.68025856454284</v>
      </c>
      <c r="BW262" s="3" t="n">
        <v>11.10746890712455</v>
      </c>
      <c r="BY262" s="20" t="inlineStr">
        <is>
          <t>egy.mit.scc.cost.ind.coa.5</t>
        </is>
      </c>
      <c r="BZ262" s="3" t="n">
        <v>5.272075967130314</v>
      </c>
      <c r="CA262" s="3" t="n">
        <v>5.482959005815526</v>
      </c>
      <c r="CB262" s="3" t="n">
        <v>5.702277366048148</v>
      </c>
      <c r="CC262" s="3" t="n">
        <v>5.930368460690074</v>
      </c>
      <c r="CD262" s="3" t="n">
        <v>6.167583199117677</v>
      </c>
      <c r="CE262" s="3" t="n">
        <v>6.414286527082384</v>
      </c>
      <c r="CF262" s="3" t="n">
        <v>6.67085798816568</v>
      </c>
      <c r="CG262" s="3" t="n">
        <v>6.937692307692306</v>
      </c>
      <c r="CH262" s="3" t="n">
        <v>7.215199999999999</v>
      </c>
      <c r="CI262" s="3" t="n">
        <v>7.503807999999999</v>
      </c>
      <c r="CJ262" s="3" t="n">
        <v>7.80396032</v>
      </c>
      <c r="CK262" s="3" t="n">
        <v>8.1161187328</v>
      </c>
      <c r="CL262" s="3" t="n">
        <v>8.440763482112001</v>
      </c>
      <c r="CM262" s="3" t="n">
        <v>8.77839402139648</v>
      </c>
      <c r="CN262" s="3" t="n">
        <v>9.129529782252341</v>
      </c>
      <c r="CO262" s="3" t="n">
        <v>9.494710973542434</v>
      </c>
      <c r="CP262" s="3" t="n">
        <v>9.874499412484131</v>
      </c>
      <c r="CQ262" s="3" t="n">
        <v>10.2694793889835</v>
      </c>
      <c r="CR262" s="3" t="n">
        <v>10.68025856454284</v>
      </c>
      <c r="CS262" s="3" t="n">
        <v>11.10746890712455</v>
      </c>
      <c r="CU262" s="20" t="inlineStr">
        <is>
          <t>egy.mit.scc.cost.ind.coa.6</t>
        </is>
      </c>
      <c r="CV262" s="3" t="n">
        <v>5.272075967130314</v>
      </c>
      <c r="CW262" s="3" t="n">
        <v>5.482959005815526</v>
      </c>
      <c r="CX262" s="3" t="n">
        <v>5.702277366048148</v>
      </c>
      <c r="CY262" s="3" t="n">
        <v>5.930368460690074</v>
      </c>
      <c r="CZ262" s="3" t="n">
        <v>6.167583199117677</v>
      </c>
      <c r="DA262" s="3" t="n">
        <v>6.414286527082384</v>
      </c>
      <c r="DB262" s="3" t="n">
        <v>6.67085798816568</v>
      </c>
      <c r="DC262" s="3" t="n">
        <v>6.937692307692306</v>
      </c>
      <c r="DD262" s="3" t="n">
        <v>7.215199999999999</v>
      </c>
      <c r="DE262" s="3" t="n">
        <v>7.503807999999999</v>
      </c>
      <c r="DF262" s="3" t="n">
        <v>7.80396032</v>
      </c>
      <c r="DG262" s="3" t="n">
        <v>8.1161187328</v>
      </c>
      <c r="DH262" s="3" t="n">
        <v>8.440763482112001</v>
      </c>
      <c r="DI262" s="3" t="n">
        <v>8.77839402139648</v>
      </c>
      <c r="DJ262" s="3" t="n">
        <v>9.129529782252341</v>
      </c>
      <c r="DK262" s="3" t="n">
        <v>9.494710973542434</v>
      </c>
      <c r="DL262" s="3" t="n">
        <v>9.874499412484131</v>
      </c>
      <c r="DM262" s="3" t="n">
        <v>10.2694793889835</v>
      </c>
      <c r="DN262" s="3" t="n">
        <v>10.68025856454284</v>
      </c>
      <c r="DO262" s="3" t="n">
        <v>11.10746890712455</v>
      </c>
    </row>
    <row r="263">
      <c r="A263" s="19" t="inlineStr">
        <is>
          <t>mit.vat.cost.ind.coa</t>
        </is>
      </c>
      <c r="B263" s="3" t="inlineStr">
        <is>
          <t>mit</t>
        </is>
      </c>
      <c r="C263" s="19" t="inlineStr">
        <is>
          <t>mit.vat.cost.coa.ind</t>
        </is>
      </c>
      <c r="H263" s="3" t="inlineStr">
        <is>
          <t>Efficient price: potential VAT | Industry | Coal</t>
        </is>
      </c>
      <c r="I263" s="3" t="inlineStr">
        <is>
          <t>USD per price unit</t>
        </is>
      </c>
      <c r="K263" s="20" t="inlineStr">
        <is>
          <t>egy.mit.vat.cost.ind.coa.1</t>
        </is>
      </c>
      <c r="L263" s="3" t="n">
        <v>0</v>
      </c>
      <c r="M263" s="3" t="n">
        <v>0</v>
      </c>
      <c r="N263" s="3" t="n">
        <v>0</v>
      </c>
      <c r="O263" s="3" t="n">
        <v>0</v>
      </c>
      <c r="P263" s="3" t="n">
        <v>0</v>
      </c>
      <c r="Q263" s="3" t="n">
        <v>0</v>
      </c>
      <c r="R263" s="3" t="n">
        <v>0</v>
      </c>
      <c r="S263" s="3" t="n">
        <v>0</v>
      </c>
      <c r="T263" s="3" t="n">
        <v>0</v>
      </c>
      <c r="U263" s="3" t="n">
        <v>0</v>
      </c>
      <c r="V263" s="3" t="n">
        <v>0</v>
      </c>
      <c r="W263" s="3" t="n">
        <v>0</v>
      </c>
      <c r="X263" s="3" t="n">
        <v>0</v>
      </c>
      <c r="Y263" s="3" t="n">
        <v>0</v>
      </c>
      <c r="Z263" s="3" t="n">
        <v>0</v>
      </c>
      <c r="AA263" s="3" t="n">
        <v>0</v>
      </c>
      <c r="AB263" s="3" t="n">
        <v>0</v>
      </c>
      <c r="AC263" s="3" t="n">
        <v>0</v>
      </c>
      <c r="AD263" s="3" t="n">
        <v>0</v>
      </c>
      <c r="AE263" s="3" t="n">
        <v>0</v>
      </c>
      <c r="AG263" s="20" t="inlineStr">
        <is>
          <t>egy.mit.vat.cost.ind.coa.3</t>
        </is>
      </c>
      <c r="AH263" s="3" t="n">
        <v>0</v>
      </c>
      <c r="AI263" s="3" t="n">
        <v>0</v>
      </c>
      <c r="AJ263" s="3" t="n">
        <v>0</v>
      </c>
      <c r="AK263" s="3" t="n">
        <v>0</v>
      </c>
      <c r="AL263" s="3" t="n">
        <v>0</v>
      </c>
      <c r="AM263" s="3" t="n">
        <v>0</v>
      </c>
      <c r="AN263" s="3" t="n">
        <v>0</v>
      </c>
      <c r="AO263" s="3" t="n">
        <v>0</v>
      </c>
      <c r="AP263" s="3" t="n">
        <v>0</v>
      </c>
      <c r="AQ263" s="3" t="n">
        <v>0</v>
      </c>
      <c r="AR263" s="3" t="n">
        <v>0</v>
      </c>
      <c r="AS263" s="3" t="n">
        <v>0</v>
      </c>
      <c r="AT263" s="3" t="n">
        <v>0</v>
      </c>
      <c r="AU263" s="3" t="n">
        <v>0</v>
      </c>
      <c r="AV263" s="3" t="n">
        <v>0</v>
      </c>
      <c r="AW263" s="3" t="n">
        <v>0</v>
      </c>
      <c r="AX263" s="3" t="n">
        <v>0</v>
      </c>
      <c r="AY263" s="3" t="n">
        <v>0</v>
      </c>
      <c r="AZ263" s="3" t="n">
        <v>0</v>
      </c>
      <c r="BA263" s="3" t="n">
        <v>0</v>
      </c>
      <c r="BC263" s="20" t="inlineStr">
        <is>
          <t>egy.mit.vat.cost.ind.coa.4</t>
        </is>
      </c>
      <c r="BD263" s="3" t="n">
        <v>0</v>
      </c>
      <c r="BE263" s="3" t="n">
        <v>0</v>
      </c>
      <c r="BF263" s="3" t="n">
        <v>0</v>
      </c>
      <c r="BG263" s="3" t="n">
        <v>0</v>
      </c>
      <c r="BH263" s="3" t="n">
        <v>0</v>
      </c>
      <c r="BI263" s="3" t="n">
        <v>0</v>
      </c>
      <c r="BJ263" s="3" t="n">
        <v>0</v>
      </c>
      <c r="BK263" s="3" t="n">
        <v>0</v>
      </c>
      <c r="BL263" s="3" t="n">
        <v>0</v>
      </c>
      <c r="BM263" s="3" t="n">
        <v>0</v>
      </c>
      <c r="BN263" s="3" t="n">
        <v>0</v>
      </c>
      <c r="BO263" s="3" t="n">
        <v>0</v>
      </c>
      <c r="BP263" s="3" t="n">
        <v>0</v>
      </c>
      <c r="BQ263" s="3" t="n">
        <v>0</v>
      </c>
      <c r="BR263" s="3" t="n">
        <v>0</v>
      </c>
      <c r="BS263" s="3" t="n">
        <v>0</v>
      </c>
      <c r="BT263" s="3" t="n">
        <v>0</v>
      </c>
      <c r="BU263" s="3" t="n">
        <v>0</v>
      </c>
      <c r="BV263" s="3" t="n">
        <v>0</v>
      </c>
      <c r="BW263" s="3" t="n">
        <v>0</v>
      </c>
      <c r="BY263" s="20" t="inlineStr">
        <is>
          <t>egy.mit.vat.cost.ind.coa.5</t>
        </is>
      </c>
      <c r="BZ263" s="3" t="n">
        <v>0</v>
      </c>
      <c r="CA263" s="3" t="n">
        <v>0</v>
      </c>
      <c r="CB263" s="3" t="n">
        <v>0</v>
      </c>
      <c r="CC263" s="3" t="n">
        <v>0</v>
      </c>
      <c r="CD263" s="3" t="n">
        <v>0</v>
      </c>
      <c r="CE263" s="3" t="n">
        <v>0</v>
      </c>
      <c r="CF263" s="3" t="n">
        <v>0</v>
      </c>
      <c r="CG263" s="3" t="n">
        <v>0</v>
      </c>
      <c r="CH263" s="3" t="n">
        <v>0</v>
      </c>
      <c r="CI263" s="3" t="n">
        <v>0</v>
      </c>
      <c r="CJ263" s="3" t="n">
        <v>0</v>
      </c>
      <c r="CK263" s="3" t="n">
        <v>0</v>
      </c>
      <c r="CL263" s="3" t="n">
        <v>0</v>
      </c>
      <c r="CM263" s="3" t="n">
        <v>0</v>
      </c>
      <c r="CN263" s="3" t="n">
        <v>0</v>
      </c>
      <c r="CO263" s="3" t="n">
        <v>0</v>
      </c>
      <c r="CP263" s="3" t="n">
        <v>0</v>
      </c>
      <c r="CQ263" s="3" t="n">
        <v>0</v>
      </c>
      <c r="CR263" s="3" t="n">
        <v>0</v>
      </c>
      <c r="CS263" s="3" t="n">
        <v>0</v>
      </c>
      <c r="CU263" s="20" t="inlineStr">
        <is>
          <t>egy.mit.vat.cost.ind.coa.6</t>
        </is>
      </c>
      <c r="CV263" s="3" t="n">
        <v>0</v>
      </c>
      <c r="CW263" s="3" t="n">
        <v>0</v>
      </c>
      <c r="CX263" s="3" t="n">
        <v>0</v>
      </c>
      <c r="CY263" s="3" t="n">
        <v>0</v>
      </c>
      <c r="CZ263" s="3" t="n">
        <v>0</v>
      </c>
      <c r="DA263" s="3" t="n">
        <v>0</v>
      </c>
      <c r="DB263" s="3" t="n">
        <v>0</v>
      </c>
      <c r="DC263" s="3" t="n">
        <v>0</v>
      </c>
      <c r="DD263" s="3" t="n">
        <v>0</v>
      </c>
      <c r="DE263" s="3" t="n">
        <v>0</v>
      </c>
      <c r="DF263" s="3" t="n">
        <v>0</v>
      </c>
      <c r="DG263" s="3" t="n">
        <v>0</v>
      </c>
      <c r="DH263" s="3" t="n">
        <v>0</v>
      </c>
      <c r="DI263" s="3" t="n">
        <v>0</v>
      </c>
      <c r="DJ263" s="3" t="n">
        <v>0</v>
      </c>
      <c r="DK263" s="3" t="n">
        <v>0</v>
      </c>
      <c r="DL263" s="3" t="n">
        <v>0</v>
      </c>
      <c r="DM263" s="3" t="n">
        <v>0</v>
      </c>
      <c r="DN263" s="3" t="n">
        <v>0</v>
      </c>
      <c r="DO263" s="3" t="n">
        <v>0</v>
      </c>
    </row>
    <row r="264">
      <c r="A264" s="19" t="inlineStr">
        <is>
          <t>mit.rp.eff.ind.coa</t>
        </is>
      </c>
      <c r="B264" s="3" t="inlineStr">
        <is>
          <t>mit</t>
        </is>
      </c>
      <c r="C264" s="19" t="inlineStr">
        <is>
          <t>mit.rp.coa.ind</t>
        </is>
      </c>
      <c r="H264" s="3" t="inlineStr">
        <is>
          <t>Efficient price block: retail price of the scenario | Industry | Coal</t>
        </is>
      </c>
      <c r="I264" s="3" t="inlineStr">
        <is>
          <t>USD per price unit</t>
        </is>
      </c>
      <c r="K264" s="20" t="inlineStr">
        <is>
          <t>egy.mit.rp.eff.ind.coa.1</t>
        </is>
      </c>
      <c r="L264" s="3" t="n">
        <v>11.25134662435542</v>
      </c>
      <c r="M264" s="3" t="n">
        <v>8.777356272224875</v>
      </c>
      <c r="N264" s="3" t="n">
        <v>7.571528433437519</v>
      </c>
      <c r="O264" s="3" t="n">
        <v>6.816201516066926</v>
      </c>
      <c r="P264" s="3" t="n">
        <v>7.232382745402233</v>
      </c>
      <c r="Q264" s="3" t="n">
        <v>7.326262736153317</v>
      </c>
      <c r="R264" s="3" t="n">
        <v>7.281748372612745</v>
      </c>
      <c r="S264" s="3" t="n">
        <v>7.234012047909863</v>
      </c>
      <c r="T264" s="3" t="n">
        <v>7.182921773630079</v>
      </c>
      <c r="U264" s="3" t="n">
        <v>7.133617579482906</v>
      </c>
      <c r="V264" s="3" t="n">
        <v>7.133617579482906</v>
      </c>
      <c r="W264" s="3" t="n">
        <v>7.133617579482905</v>
      </c>
      <c r="X264" s="3" t="n">
        <v>7.133617579482908</v>
      </c>
      <c r="Y264" s="3" t="n">
        <v>7.133617579482906</v>
      </c>
      <c r="Z264" s="3" t="n">
        <v>7.133617579482907</v>
      </c>
      <c r="AA264" s="3" t="n">
        <v>7.133617579482906</v>
      </c>
      <c r="AB264" s="3" t="n">
        <v>7.133617579482907</v>
      </c>
      <c r="AC264" s="3" t="n">
        <v>7.133617579482907</v>
      </c>
      <c r="AD264" s="3" t="n">
        <v>7.133617579482906</v>
      </c>
      <c r="AE264" s="3" t="n">
        <v>7.133617579482906</v>
      </c>
      <c r="AG264" s="20" t="inlineStr">
        <is>
          <t>egy.mit.rp.eff.ind.coa.3</t>
        </is>
      </c>
      <c r="AH264" s="3" t="n">
        <v>11.25134662435542</v>
      </c>
      <c r="AI264" s="3" t="n">
        <v>8.777356272224875</v>
      </c>
      <c r="AJ264" s="3" t="n">
        <v>7.571528433437519</v>
      </c>
      <c r="AK264" s="3" t="n">
        <v>6.816201516066926</v>
      </c>
      <c r="AL264" s="3" t="n">
        <v>7.232382745402233</v>
      </c>
      <c r="AM264" s="3" t="n">
        <v>9.317343602104829</v>
      </c>
      <c r="AN264" s="3" t="n">
        <v>9.27282923856426</v>
      </c>
      <c r="AO264" s="3" t="n">
        <v>9.225092913861376</v>
      </c>
      <c r="AP264" s="3" t="n">
        <v>9.174002639581591</v>
      </c>
      <c r="AQ264" s="3" t="n">
        <v>9.124698445434419</v>
      </c>
      <c r="AR264" s="3" t="n">
        <v>9.124698445434419</v>
      </c>
      <c r="AS264" s="3" t="n">
        <v>9.124698445434419</v>
      </c>
      <c r="AT264" s="3" t="n">
        <v>9.12469844543442</v>
      </c>
      <c r="AU264" s="3" t="n">
        <v>9.12469844543442</v>
      </c>
      <c r="AV264" s="3" t="n">
        <v>9.124698445434419</v>
      </c>
      <c r="AW264" s="3" t="n">
        <v>9.124698445434417</v>
      </c>
      <c r="AX264" s="3" t="n">
        <v>9.124698445434419</v>
      </c>
      <c r="AY264" s="3" t="n">
        <v>9.124698445434417</v>
      </c>
      <c r="AZ264" s="3" t="n">
        <v>9.12469844543442</v>
      </c>
      <c r="BA264" s="3" t="n">
        <v>9.12469844543442</v>
      </c>
      <c r="BC264" s="20" t="inlineStr">
        <is>
          <t>egy.mit.rp.eff.ind.coa.4</t>
        </is>
      </c>
      <c r="BD264" s="3" t="n">
        <v>11.25134662435542</v>
      </c>
      <c r="BE264" s="3" t="n">
        <v>8.777356272224875</v>
      </c>
      <c r="BF264" s="3" t="n">
        <v>7.571528433437519</v>
      </c>
      <c r="BG264" s="3" t="n">
        <v>6.816201516066926</v>
      </c>
      <c r="BH264" s="3" t="n">
        <v>7.232382745402233</v>
      </c>
      <c r="BI264" s="3" t="n">
        <v>8.321803169129073</v>
      </c>
      <c r="BJ264" s="3" t="n">
        <v>9.604676049556177</v>
      </c>
      <c r="BK264" s="3" t="n">
        <v>10.88432696882097</v>
      </c>
      <c r="BL264" s="3" t="n">
        <v>12.16062393850886</v>
      </c>
      <c r="BM264" s="3" t="n">
        <v>13.43870698832936</v>
      </c>
      <c r="BN264" s="3" t="n">
        <v>14.76609423229704</v>
      </c>
      <c r="BO264" s="3" t="n">
        <v>16.09348147626471</v>
      </c>
      <c r="BP264" s="3" t="n">
        <v>17.4208687202324</v>
      </c>
      <c r="BQ264" s="3" t="n">
        <v>18.74825596420007</v>
      </c>
      <c r="BR264" s="3" t="n">
        <v>20.07564320816774</v>
      </c>
      <c r="BS264" s="3" t="n">
        <v>21.40303045213542</v>
      </c>
      <c r="BT264" s="3" t="n">
        <v>22.73041769610309</v>
      </c>
      <c r="BU264" s="3" t="n">
        <v>24.05780494007077</v>
      </c>
      <c r="BV264" s="3" t="n">
        <v>25.38519218403844</v>
      </c>
      <c r="BW264" s="3" t="n">
        <v>26.71257942800612</v>
      </c>
      <c r="BY264" s="20" t="inlineStr">
        <is>
          <t>egy.mit.rp.eff.ind.coa.5</t>
        </is>
      </c>
      <c r="BZ264" s="3" t="n">
        <v>11.25134662435542</v>
      </c>
      <c r="CA264" s="3" t="n">
        <v>8.777356272224875</v>
      </c>
      <c r="CB264" s="3" t="n">
        <v>7.571528433437519</v>
      </c>
      <c r="CC264" s="3" t="n">
        <v>6.816201516066926</v>
      </c>
      <c r="CD264" s="3" t="n">
        <v>7.232382745402233</v>
      </c>
      <c r="CE264" s="3" t="n">
        <v>7.326262736153317</v>
      </c>
      <c r="CF264" s="3" t="n">
        <v>7.281748372612745</v>
      </c>
      <c r="CG264" s="3" t="n">
        <v>7.234012047909862</v>
      </c>
      <c r="CH264" s="3" t="n">
        <v>7.182921773630079</v>
      </c>
      <c r="CI264" s="3" t="n">
        <v>7.133617579482906</v>
      </c>
      <c r="CJ264" s="3" t="n">
        <v>7.133617579482905</v>
      </c>
      <c r="CK264" s="3" t="n">
        <v>7.133617579482907</v>
      </c>
      <c r="CL264" s="3" t="n">
        <v>7.133617579482907</v>
      </c>
      <c r="CM264" s="3" t="n">
        <v>7.133617579482908</v>
      </c>
      <c r="CN264" s="3" t="n">
        <v>7.133617579482908</v>
      </c>
      <c r="CO264" s="3" t="n">
        <v>7.133617579482907</v>
      </c>
      <c r="CP264" s="3" t="n">
        <v>7.133617579482906</v>
      </c>
      <c r="CQ264" s="3" t="n">
        <v>7.133617579482906</v>
      </c>
      <c r="CR264" s="3" t="n">
        <v>7.133617579482907</v>
      </c>
      <c r="CS264" s="3" t="n">
        <v>7.133617579482906</v>
      </c>
      <c r="CU264" s="20" t="inlineStr">
        <is>
          <t>egy.mit.rp.eff.ind.coa.6</t>
        </is>
      </c>
      <c r="CV264" s="3" t="n">
        <v>11.25134662435542</v>
      </c>
      <c r="CW264" s="3" t="n">
        <v>8.777356272224875</v>
      </c>
      <c r="CX264" s="3" t="n">
        <v>7.571528433437519</v>
      </c>
      <c r="CY264" s="3" t="n">
        <v>6.816201516066926</v>
      </c>
      <c r="CZ264" s="3" t="n">
        <v>7.232382745402233</v>
      </c>
      <c r="DA264" s="3" t="n">
        <v>12.3039649010321</v>
      </c>
      <c r="DB264" s="3" t="n">
        <v>12.25945053749153</v>
      </c>
      <c r="DC264" s="3" t="n">
        <v>12.21171421278865</v>
      </c>
      <c r="DD264" s="3" t="n">
        <v>12.16062393850886</v>
      </c>
      <c r="DE264" s="3" t="n">
        <v>12.11131974436169</v>
      </c>
      <c r="DF264" s="3" t="n">
        <v>12.11131974436169</v>
      </c>
      <c r="DG264" s="3" t="n">
        <v>12.11131974436169</v>
      </c>
      <c r="DH264" s="3" t="n">
        <v>12.11131974436169</v>
      </c>
      <c r="DI264" s="3" t="n">
        <v>12.11131974436169</v>
      </c>
      <c r="DJ264" s="3" t="n">
        <v>12.11131974436169</v>
      </c>
      <c r="DK264" s="3" t="n">
        <v>12.11131974436169</v>
      </c>
      <c r="DL264" s="3" t="n">
        <v>12.11131974436169</v>
      </c>
      <c r="DM264" s="3" t="n">
        <v>12.11131974436169</v>
      </c>
      <c r="DN264" s="3" t="n">
        <v>12.11131974436169</v>
      </c>
      <c r="DO264" s="3" t="n">
        <v>12.11131974436169</v>
      </c>
    </row>
    <row r="265">
      <c r="A265" s="19" t="inlineStr">
        <is>
          <t>mit.tgap.ind.coa</t>
        </is>
      </c>
      <c r="B265" s="3" t="inlineStr">
        <is>
          <t>mit</t>
        </is>
      </c>
      <c r="C265" s="19" t="inlineStr">
        <is>
          <t>mit.tgap.coa.ind</t>
        </is>
      </c>
      <c r="H265" s="3" t="inlineStr">
        <is>
          <t>Tax gap: retail price - efficient price | Industry | Coal</t>
        </is>
      </c>
      <c r="I265" s="3" t="inlineStr">
        <is>
          <t>USD per price unit</t>
        </is>
      </c>
      <c r="K265" s="20" t="inlineStr">
        <is>
          <t>egy.mit.tgap.ind.coa.1</t>
        </is>
      </c>
      <c r="L265" s="3" t="n">
        <v>-6.567703569462546</v>
      </c>
      <c r="M265" s="3" t="n">
        <v>-6.905026527789884</v>
      </c>
      <c r="N265" s="3" t="n">
        <v>-7.086149884234436</v>
      </c>
      <c r="O265" s="3" t="n">
        <v>-6.86023786857148</v>
      </c>
      <c r="P265" s="3" t="n">
        <v>-7.245194824723666</v>
      </c>
      <c r="Q265" s="3" t="n">
        <v>-7.532513168774959</v>
      </c>
      <c r="R265" s="3" t="n">
        <v>-7.900614348716176</v>
      </c>
      <c r="S265" s="3" t="n">
        <v>-8.271676322850213</v>
      </c>
      <c r="T265" s="3" t="n">
        <v>-8.644856648397656</v>
      </c>
      <c r="U265" s="3" t="n">
        <v>-8.959102890765482</v>
      </c>
      <c r="V265" s="3" t="n">
        <v>-9.319049132102879</v>
      </c>
      <c r="W265" s="3" t="n">
        <v>-9.692486136433502</v>
      </c>
      <c r="X265" s="3" t="n">
        <v>-10.07984468980376</v>
      </c>
      <c r="Y265" s="3" t="n">
        <v>-10.48163882116863</v>
      </c>
      <c r="Z265" s="3" t="n">
        <v>-10.89830648788139</v>
      </c>
      <c r="AA265" s="3" t="n">
        <v>-11.33045977077316</v>
      </c>
      <c r="AB265" s="3" t="n">
        <v>-11.77846884970094</v>
      </c>
      <c r="AC265" s="3" t="n">
        <v>-12.24284404596264</v>
      </c>
      <c r="AD265" s="3" t="n">
        <v>-12.72410958861088</v>
      </c>
      <c r="AE265" s="3" t="n">
        <v>-13.13958233109927</v>
      </c>
      <c r="AG265" s="20" t="inlineStr">
        <is>
          <t>egy.mit.tgap.ind.coa.3</t>
        </is>
      </c>
      <c r="AH265" s="3" t="n">
        <v>-6.567703569462546</v>
      </c>
      <c r="AI265" s="3" t="n">
        <v>-6.905026527789884</v>
      </c>
      <c r="AJ265" s="3" t="n">
        <v>-7.086149884234436</v>
      </c>
      <c r="AK265" s="3" t="n">
        <v>-6.86023786857148</v>
      </c>
      <c r="AL265" s="3" t="n">
        <v>-7.245194824723666</v>
      </c>
      <c r="AM265" s="3" t="n">
        <v>-5.541432302823447</v>
      </c>
      <c r="AN265" s="3" t="n">
        <v>-5.909533482764662</v>
      </c>
      <c r="AO265" s="3" t="n">
        <v>-6.2805954568987</v>
      </c>
      <c r="AP265" s="3" t="n">
        <v>-6.653775782446143</v>
      </c>
      <c r="AQ265" s="3" t="n">
        <v>-6.968022024813969</v>
      </c>
      <c r="AR265" s="3" t="n">
        <v>-7.327968266151366</v>
      </c>
      <c r="AS265" s="3" t="n">
        <v>-7.701405270481988</v>
      </c>
      <c r="AT265" s="3" t="n">
        <v>-8.088763823852249</v>
      </c>
      <c r="AU265" s="3" t="n">
        <v>-8.490557955217115</v>
      </c>
      <c r="AV265" s="3" t="n">
        <v>-8.907225621929879</v>
      </c>
      <c r="AW265" s="3" t="n">
        <v>-9.339378904821645</v>
      </c>
      <c r="AX265" s="3" t="n">
        <v>-9.787387983749426</v>
      </c>
      <c r="AY265" s="3" t="n">
        <v>-10.25176318001113</v>
      </c>
      <c r="AZ265" s="3" t="n">
        <v>-10.73302872265937</v>
      </c>
      <c r="BA265" s="3" t="n">
        <v>-11.14850146514776</v>
      </c>
      <c r="BC265" s="20" t="inlineStr">
        <is>
          <t>egy.mit.tgap.ind.coa.4</t>
        </is>
      </c>
      <c r="BD265" s="3" t="n">
        <v>-6.567703569462546</v>
      </c>
      <c r="BE265" s="3" t="n">
        <v>-6.905026527789884</v>
      </c>
      <c r="BF265" s="3" t="n">
        <v>-7.086149884234436</v>
      </c>
      <c r="BG265" s="3" t="n">
        <v>-6.86023786857148</v>
      </c>
      <c r="BH265" s="3" t="n">
        <v>-7.245194824723666</v>
      </c>
      <c r="BI265" s="3" t="n">
        <v>-6.536972735799203</v>
      </c>
      <c r="BJ265" s="3" t="n">
        <v>-5.577686671772744</v>
      </c>
      <c r="BK265" s="3" t="n">
        <v>-4.621361401939108</v>
      </c>
      <c r="BL265" s="3" t="n">
        <v>-3.667154483518871</v>
      </c>
      <c r="BM265" s="3" t="n">
        <v>-2.654013481919023</v>
      </c>
      <c r="BN265" s="3" t="n">
        <v>-1.686572479288747</v>
      </c>
      <c r="BO265" s="3" t="n">
        <v>-0.7326222396516968</v>
      </c>
      <c r="BP265" s="3" t="n">
        <v>0.2074064509457259</v>
      </c>
      <c r="BQ265" s="3" t="n">
        <v>1.132999563548534</v>
      </c>
      <c r="BR265" s="3" t="n">
        <v>2.043719140803443</v>
      </c>
      <c r="BS265" s="3" t="n">
        <v>2.938953101879356</v>
      </c>
      <c r="BT265" s="3" t="n">
        <v>3.818331266919248</v>
      </c>
      <c r="BU265" s="3" t="n">
        <v>4.681343314625224</v>
      </c>
      <c r="BV265" s="3" t="n">
        <v>5.527465015944653</v>
      </c>
      <c r="BW265" s="3" t="n">
        <v>6.439379517423944</v>
      </c>
      <c r="BY265" s="20" t="inlineStr">
        <is>
          <t>egy.mit.tgap.ind.coa.5</t>
        </is>
      </c>
      <c r="BZ265" s="3" t="n">
        <v>-6.567703569462546</v>
      </c>
      <c r="CA265" s="3" t="n">
        <v>-6.905026527789884</v>
      </c>
      <c r="CB265" s="3" t="n">
        <v>-7.086149884234436</v>
      </c>
      <c r="CC265" s="3" t="n">
        <v>-6.86023786857148</v>
      </c>
      <c r="CD265" s="3" t="n">
        <v>-7.245194824723666</v>
      </c>
      <c r="CE265" s="3" t="n">
        <v>-7.532513168774959</v>
      </c>
      <c r="CF265" s="3" t="n">
        <v>-7.900614348716176</v>
      </c>
      <c r="CG265" s="3" t="n">
        <v>-8.271676322850215</v>
      </c>
      <c r="CH265" s="3" t="n">
        <v>-8.644856648397656</v>
      </c>
      <c r="CI265" s="3" t="n">
        <v>-8.959102890765482</v>
      </c>
      <c r="CJ265" s="3" t="n">
        <v>-9.319049132102879</v>
      </c>
      <c r="CK265" s="3" t="n">
        <v>-9.6924861364335</v>
      </c>
      <c r="CL265" s="3" t="n">
        <v>-10.07984468980376</v>
      </c>
      <c r="CM265" s="3" t="n">
        <v>-10.48163882116863</v>
      </c>
      <c r="CN265" s="3" t="n">
        <v>-10.89830648788139</v>
      </c>
      <c r="CO265" s="3" t="n">
        <v>-11.33045977077315</v>
      </c>
      <c r="CP265" s="3" t="n">
        <v>-11.77846884970094</v>
      </c>
      <c r="CQ265" s="3" t="n">
        <v>-12.24284404596264</v>
      </c>
      <c r="CR265" s="3" t="n">
        <v>-12.72410958861088</v>
      </c>
      <c r="CS265" s="3" t="n">
        <v>-13.13958233109927</v>
      </c>
      <c r="CU265" s="20" t="inlineStr">
        <is>
          <t>egy.mit.tgap.ind.coa.6</t>
        </is>
      </c>
      <c r="CV265" s="3" t="n">
        <v>-6.567703569462546</v>
      </c>
      <c r="CW265" s="3" t="n">
        <v>-6.905026527789884</v>
      </c>
      <c r="CX265" s="3" t="n">
        <v>-7.086149884234436</v>
      </c>
      <c r="CY265" s="3" t="n">
        <v>-6.86023786857148</v>
      </c>
      <c r="CZ265" s="3" t="n">
        <v>-7.245194824723666</v>
      </c>
      <c r="DA265" s="3" t="n">
        <v>-2.554811003896178</v>
      </c>
      <c r="DB265" s="3" t="n">
        <v>-2.922912183837393</v>
      </c>
      <c r="DC265" s="3" t="n">
        <v>-3.29397415797143</v>
      </c>
      <c r="DD265" s="3" t="n">
        <v>-3.667154483518873</v>
      </c>
      <c r="DE265" s="3" t="n">
        <v>-3.981400725886699</v>
      </c>
      <c r="DF265" s="3" t="n">
        <v>-4.341346967224096</v>
      </c>
      <c r="DG265" s="3" t="n">
        <v>-4.714783971554718</v>
      </c>
      <c r="DH265" s="3" t="n">
        <v>-5.102142524924979</v>
      </c>
      <c r="DI265" s="3" t="n">
        <v>-5.503936656289845</v>
      </c>
      <c r="DJ265" s="3" t="n">
        <v>-5.920604323002605</v>
      </c>
      <c r="DK265" s="3" t="n">
        <v>-6.352757605894373</v>
      </c>
      <c r="DL265" s="3" t="n">
        <v>-6.800766684822158</v>
      </c>
      <c r="DM265" s="3" t="n">
        <v>-7.265141881083855</v>
      </c>
      <c r="DN265" s="3" t="n">
        <v>-7.7464074237321</v>
      </c>
      <c r="DO265" s="3" t="n">
        <v>-8.16188016622049</v>
      </c>
    </row>
    <row r="266">
      <c r="A266" s="19" t="inlineStr">
        <is>
          <t>mit.txo.ind.coa</t>
        </is>
      </c>
      <c r="B266" s="3" t="inlineStr">
        <is>
          <t>mit</t>
        </is>
      </c>
      <c r="C266" s="19" t="inlineStr">
        <is>
          <t>mit.txo.ind.coa.a</t>
        </is>
      </c>
      <c r="H266" s="3" t="inlineStr">
        <is>
          <t>Excise and other taxes (before new policies) | Industry | Coal</t>
        </is>
      </c>
      <c r="I266" s="3" t="inlineStr">
        <is>
          <t>USD/GJ real</t>
        </is>
      </c>
      <c r="K266" s="20" t="inlineStr">
        <is>
          <t>egy.mit.txo.ind.coa.1</t>
        </is>
      </c>
      <c r="L266" s="3" t="n">
        <v>0.3513080422852588</v>
      </c>
      <c r="M266" s="3" t="n">
        <v>0.2168850913754605</v>
      </c>
      <c r="N266" s="3" t="n">
        <v>0.1663924373936654</v>
      </c>
      <c r="O266" s="3" t="n">
        <v>0.1663924373936654</v>
      </c>
      <c r="P266" s="3" t="n">
        <v>0.1663924373936654</v>
      </c>
      <c r="Q266" s="3" t="n">
        <v>0.1663924373936654</v>
      </c>
      <c r="R266" s="3" t="n">
        <v>0.1663924373936654</v>
      </c>
      <c r="S266" s="3" t="n">
        <v>0.1663924373936654</v>
      </c>
      <c r="T266" s="3" t="n">
        <v>0.1663924373936654</v>
      </c>
      <c r="U266" s="3" t="n">
        <v>0.1663924373936654</v>
      </c>
      <c r="V266" s="3" t="n">
        <v>0.1663924373936654</v>
      </c>
      <c r="W266" s="3" t="n">
        <v>0.1663924373936654</v>
      </c>
      <c r="X266" s="3" t="n">
        <v>0.1663924373936654</v>
      </c>
      <c r="Y266" s="3" t="n">
        <v>0.1663924373936654</v>
      </c>
      <c r="Z266" s="3" t="n">
        <v>0.1663924373936654</v>
      </c>
      <c r="AA266" s="3" t="n">
        <v>0.1663924373936654</v>
      </c>
      <c r="AB266" s="3" t="n">
        <v>0.1663924373936654</v>
      </c>
      <c r="AC266" s="3" t="n">
        <v>0.1663924373936654</v>
      </c>
      <c r="AD266" s="3" t="n">
        <v>0.1663924373936654</v>
      </c>
      <c r="AE266" s="3" t="n">
        <v>0.1663924373936654</v>
      </c>
      <c r="AG266" s="20" t="inlineStr">
        <is>
          <t>egy.mit.txo.ind.coa.3</t>
        </is>
      </c>
      <c r="AH266" s="3" t="n">
        <v>0.3513080422852588</v>
      </c>
      <c r="AI266" s="3" t="n">
        <v>0.2168850913754605</v>
      </c>
      <c r="AJ266" s="3" t="n">
        <v>0.1663924373936654</v>
      </c>
      <c r="AK266" s="3" t="n">
        <v>0.1663924373936654</v>
      </c>
      <c r="AL266" s="3" t="n">
        <v>0.1663924373936654</v>
      </c>
      <c r="AM266" s="3" t="n">
        <v>0.1663924373936654</v>
      </c>
      <c r="AN266" s="3" t="n">
        <v>0.1663924373936654</v>
      </c>
      <c r="AO266" s="3" t="n">
        <v>0.1663924373936654</v>
      </c>
      <c r="AP266" s="3" t="n">
        <v>0.1663924373936654</v>
      </c>
      <c r="AQ266" s="3" t="n">
        <v>0.1663924373936654</v>
      </c>
      <c r="AR266" s="3" t="n">
        <v>0.1663924373936654</v>
      </c>
      <c r="AS266" s="3" t="n">
        <v>0.1663924373936654</v>
      </c>
      <c r="AT266" s="3" t="n">
        <v>0.1663924373936654</v>
      </c>
      <c r="AU266" s="3" t="n">
        <v>0.1663924373936654</v>
      </c>
      <c r="AV266" s="3" t="n">
        <v>0.1663924373936654</v>
      </c>
      <c r="AW266" s="3" t="n">
        <v>0.1663924373936654</v>
      </c>
      <c r="AX266" s="3" t="n">
        <v>0.1663924373936654</v>
      </c>
      <c r="AY266" s="3" t="n">
        <v>0.1663924373936654</v>
      </c>
      <c r="AZ266" s="3" t="n">
        <v>0.1663924373936654</v>
      </c>
      <c r="BA266" s="3" t="n">
        <v>0.1663924373936654</v>
      </c>
      <c r="BC266" s="20" t="inlineStr">
        <is>
          <t>egy.mit.txo.ind.coa.4</t>
        </is>
      </c>
      <c r="BD266" s="3" t="n">
        <v>0.3513080422852588</v>
      </c>
      <c r="BE266" s="3" t="n">
        <v>0.2168850913754605</v>
      </c>
      <c r="BF266" s="3" t="n">
        <v>0.1663924373936654</v>
      </c>
      <c r="BG266" s="3" t="n">
        <v>0.1663924373936654</v>
      </c>
      <c r="BH266" s="3" t="n">
        <v>0.1663924373936654</v>
      </c>
      <c r="BI266" s="3" t="n">
        <v>0.1663924373936654</v>
      </c>
      <c r="BJ266" s="3" t="n">
        <v>0.1663924373936654</v>
      </c>
      <c r="BK266" s="3" t="n">
        <v>0.1663924373936654</v>
      </c>
      <c r="BL266" s="3" t="n">
        <v>0.1663924373936654</v>
      </c>
      <c r="BM266" s="3" t="n">
        <v>0.1663924373936654</v>
      </c>
      <c r="BN266" s="3" t="n">
        <v>0.1663924373936654</v>
      </c>
      <c r="BO266" s="3" t="n">
        <v>0.1663924373936654</v>
      </c>
      <c r="BP266" s="3" t="n">
        <v>0.1663924373936654</v>
      </c>
      <c r="BQ266" s="3" t="n">
        <v>0.1663924373936654</v>
      </c>
      <c r="BR266" s="3" t="n">
        <v>0.1663924373936654</v>
      </c>
      <c r="BS266" s="3" t="n">
        <v>0.1663924373936654</v>
      </c>
      <c r="BT266" s="3" t="n">
        <v>0.1663924373936654</v>
      </c>
      <c r="BU266" s="3" t="n">
        <v>0.1663924373936654</v>
      </c>
      <c r="BV266" s="3" t="n">
        <v>0.1663924373936654</v>
      </c>
      <c r="BW266" s="3" t="n">
        <v>0.1663924373936654</v>
      </c>
      <c r="BY266" s="20" t="inlineStr">
        <is>
          <t>egy.mit.txo.ind.coa.5</t>
        </is>
      </c>
      <c r="BZ266" s="3" t="n">
        <v>0.3513080422852588</v>
      </c>
      <c r="CA266" s="3" t="n">
        <v>0.2168850913754605</v>
      </c>
      <c r="CB266" s="3" t="n">
        <v>0.1663924373936654</v>
      </c>
      <c r="CC266" s="3" t="n">
        <v>0.1663924373936654</v>
      </c>
      <c r="CD266" s="3" t="n">
        <v>0.1663924373936654</v>
      </c>
      <c r="CE266" s="3" t="n">
        <v>0.1663924373936654</v>
      </c>
      <c r="CF266" s="3" t="n">
        <v>0.1663924373936654</v>
      </c>
      <c r="CG266" s="3" t="n">
        <v>0.1663924373936654</v>
      </c>
      <c r="CH266" s="3" t="n">
        <v>0.1663924373936654</v>
      </c>
      <c r="CI266" s="3" t="n">
        <v>0.1663924373936654</v>
      </c>
      <c r="CJ266" s="3" t="n">
        <v>0.1663924373936654</v>
      </c>
      <c r="CK266" s="3" t="n">
        <v>0.1663924373936654</v>
      </c>
      <c r="CL266" s="3" t="n">
        <v>0.1663924373936654</v>
      </c>
      <c r="CM266" s="3" t="n">
        <v>0.1663924373936654</v>
      </c>
      <c r="CN266" s="3" t="n">
        <v>0.1663924373936654</v>
      </c>
      <c r="CO266" s="3" t="n">
        <v>0.1663924373936654</v>
      </c>
      <c r="CP266" s="3" t="n">
        <v>0.1663924373936654</v>
      </c>
      <c r="CQ266" s="3" t="n">
        <v>0.1663924373936654</v>
      </c>
      <c r="CR266" s="3" t="n">
        <v>0.1663924373936654</v>
      </c>
      <c r="CS266" s="3" t="n">
        <v>0.1663924373936654</v>
      </c>
      <c r="CU266" s="20" t="inlineStr">
        <is>
          <t>egy.mit.txo.ind.coa.6</t>
        </is>
      </c>
      <c r="CV266" s="3" t="n">
        <v>0.3513080422852588</v>
      </c>
      <c r="CW266" s="3" t="n">
        <v>0.2168850913754605</v>
      </c>
      <c r="CX266" s="3" t="n">
        <v>0.1663924373936654</v>
      </c>
      <c r="CY266" s="3" t="n">
        <v>0.1663924373936654</v>
      </c>
      <c r="CZ266" s="3" t="n">
        <v>0.1663924373936654</v>
      </c>
      <c r="DA266" s="3" t="n">
        <v>0.1663924373936654</v>
      </c>
      <c r="DB266" s="3" t="n">
        <v>0.1663924373936654</v>
      </c>
      <c r="DC266" s="3" t="n">
        <v>0.1663924373936654</v>
      </c>
      <c r="DD266" s="3" t="n">
        <v>0.1663924373936654</v>
      </c>
      <c r="DE266" s="3" t="n">
        <v>0.1663924373936654</v>
      </c>
      <c r="DF266" s="3" t="n">
        <v>0.1663924373936654</v>
      </c>
      <c r="DG266" s="3" t="n">
        <v>0.1663924373936654</v>
      </c>
      <c r="DH266" s="3" t="n">
        <v>0.1663924373936654</v>
      </c>
      <c r="DI266" s="3" t="n">
        <v>0.1663924373936654</v>
      </c>
      <c r="DJ266" s="3" t="n">
        <v>0.1663924373936654</v>
      </c>
      <c r="DK266" s="3" t="n">
        <v>0.1663924373936654</v>
      </c>
      <c r="DL266" s="3" t="n">
        <v>0.1663924373936654</v>
      </c>
      <c r="DM266" s="3" t="n">
        <v>0.1663924373936654</v>
      </c>
      <c r="DN266" s="3" t="n">
        <v>0.1663924373936654</v>
      </c>
      <c r="DO266" s="3" t="n">
        <v>0.1663924373936654</v>
      </c>
    </row>
    <row r="267">
      <c r="A267" s="19" t="inlineStr">
        <is>
          <t>mit.txo.co2e.ind.coa</t>
        </is>
      </c>
      <c r="B267" s="3" t="inlineStr">
        <is>
          <t>mit</t>
        </is>
      </c>
      <c r="C267" s="19" t="inlineStr">
        <is>
          <t>mit.txo.co2e.coa.ind</t>
        </is>
      </c>
      <c r="H267" s="3" t="inlineStr">
        <is>
          <t>Excise and other taxes of scenario 1 per tonne of CO2 | Industry | Coal</t>
        </is>
      </c>
      <c r="I267" s="3" t="inlineStr">
        <is>
          <t>USD/tCO2</t>
        </is>
      </c>
      <c r="K267" s="20" t="inlineStr">
        <is>
          <t>egy.mit.txo.co2e.ind.coa.1</t>
        </is>
      </c>
      <c r="L267" s="3" t="n">
        <v>3.651749524807963</v>
      </c>
      <c r="M267" s="3" t="n">
        <v>2.254460285669079</v>
      </c>
      <c r="N267" s="3" t="n">
        <v>1.729603171710404</v>
      </c>
      <c r="O267" s="3" t="n">
        <v>1.729603171710404</v>
      </c>
      <c r="P267" s="3" t="n">
        <v>1.729603171710404</v>
      </c>
      <c r="Q267" s="3" t="n">
        <v>1.729603171710404</v>
      </c>
      <c r="R267" s="3" t="n">
        <v>1.729603171710404</v>
      </c>
      <c r="S267" s="3" t="n">
        <v>1.729603171710404</v>
      </c>
      <c r="T267" s="3" t="n">
        <v>1.729603171710404</v>
      </c>
      <c r="U267" s="3" t="n">
        <v>1.729603171710404</v>
      </c>
      <c r="V267" s="3" t="n">
        <v>1.729603171710404</v>
      </c>
      <c r="W267" s="3" t="n">
        <v>1.729603171710404</v>
      </c>
      <c r="X267" s="3" t="n">
        <v>1.729603171710404</v>
      </c>
      <c r="Y267" s="3" t="n">
        <v>1.729603171710404</v>
      </c>
      <c r="Z267" s="3" t="n">
        <v>1.729603171710404</v>
      </c>
      <c r="AA267" s="3" t="n">
        <v>1.729603171710404</v>
      </c>
      <c r="AB267" s="3" t="n">
        <v>1.729603171710404</v>
      </c>
      <c r="AC267" s="3" t="n">
        <v>1.729603171710404</v>
      </c>
      <c r="AD267" s="3" t="n">
        <v>1.729603171710404</v>
      </c>
      <c r="AE267" s="3" t="n">
        <v>1.729603171710404</v>
      </c>
      <c r="AG267" s="20" t="inlineStr">
        <is>
          <t>egy.mit.txo.co2e.ind.coa.3</t>
        </is>
      </c>
      <c r="AH267" s="3" t="n">
        <v>3.651749524807963</v>
      </c>
      <c r="AI267" s="3" t="n">
        <v>2.254460285669079</v>
      </c>
      <c r="AJ267" s="3" t="n">
        <v>1.729603171710404</v>
      </c>
      <c r="AK267" s="3" t="n">
        <v>1.729603171710404</v>
      </c>
      <c r="AL267" s="3" t="n">
        <v>1.729603171710404</v>
      </c>
      <c r="AM267" s="3" t="n">
        <v>1.729603171710404</v>
      </c>
      <c r="AN267" s="3" t="n">
        <v>1.729603171710404</v>
      </c>
      <c r="AO267" s="3" t="n">
        <v>1.729603171710404</v>
      </c>
      <c r="AP267" s="3" t="n">
        <v>1.729603171710404</v>
      </c>
      <c r="AQ267" s="3" t="n">
        <v>1.729603171710404</v>
      </c>
      <c r="AR267" s="3" t="n">
        <v>1.729603171710404</v>
      </c>
      <c r="AS267" s="3" t="n">
        <v>1.729603171710404</v>
      </c>
      <c r="AT267" s="3" t="n">
        <v>1.729603171710404</v>
      </c>
      <c r="AU267" s="3" t="n">
        <v>1.729603171710404</v>
      </c>
      <c r="AV267" s="3" t="n">
        <v>1.729603171710404</v>
      </c>
      <c r="AW267" s="3" t="n">
        <v>1.729603171710404</v>
      </c>
      <c r="AX267" s="3" t="n">
        <v>1.729603171710404</v>
      </c>
      <c r="AY267" s="3" t="n">
        <v>1.729603171710404</v>
      </c>
      <c r="AZ267" s="3" t="n">
        <v>1.729603171710404</v>
      </c>
      <c r="BA267" s="3" t="n">
        <v>1.729603171710404</v>
      </c>
      <c r="BC267" s="20" t="inlineStr">
        <is>
          <t>egy.mit.txo.co2e.ind.coa.4</t>
        </is>
      </c>
      <c r="BD267" s="3" t="n">
        <v>3.651749524807963</v>
      </c>
      <c r="BE267" s="3" t="n">
        <v>2.254460285669079</v>
      </c>
      <c r="BF267" s="3" t="n">
        <v>1.729603171710404</v>
      </c>
      <c r="BG267" s="3" t="n">
        <v>1.729603171710404</v>
      </c>
      <c r="BH267" s="3" t="n">
        <v>1.729603171710404</v>
      </c>
      <c r="BI267" s="3" t="n">
        <v>1.729603171710404</v>
      </c>
      <c r="BJ267" s="3" t="n">
        <v>1.729603171710404</v>
      </c>
      <c r="BK267" s="3" t="n">
        <v>1.729603171710404</v>
      </c>
      <c r="BL267" s="3" t="n">
        <v>1.729603171710404</v>
      </c>
      <c r="BM267" s="3" t="n">
        <v>1.729603171710404</v>
      </c>
      <c r="BN267" s="3" t="n">
        <v>1.729603171710404</v>
      </c>
      <c r="BO267" s="3" t="n">
        <v>1.729603171710404</v>
      </c>
      <c r="BP267" s="3" t="n">
        <v>1.729603171710404</v>
      </c>
      <c r="BQ267" s="3" t="n">
        <v>1.729603171710404</v>
      </c>
      <c r="BR267" s="3" t="n">
        <v>1.729603171710404</v>
      </c>
      <c r="BS267" s="3" t="n">
        <v>1.729603171710404</v>
      </c>
      <c r="BT267" s="3" t="n">
        <v>1.729603171710404</v>
      </c>
      <c r="BU267" s="3" t="n">
        <v>1.729603171710404</v>
      </c>
      <c r="BV267" s="3" t="n">
        <v>1.729603171710404</v>
      </c>
      <c r="BW267" s="3" t="n">
        <v>1.729603171710404</v>
      </c>
      <c r="BY267" s="20" t="inlineStr">
        <is>
          <t>egy.mit.txo.co2e.ind.coa.5</t>
        </is>
      </c>
      <c r="BZ267" s="3" t="n">
        <v>3.651749524807963</v>
      </c>
      <c r="CA267" s="3" t="n">
        <v>2.254460285669079</v>
      </c>
      <c r="CB267" s="3" t="n">
        <v>1.729603171710404</v>
      </c>
      <c r="CC267" s="3" t="n">
        <v>1.729603171710404</v>
      </c>
      <c r="CD267" s="3" t="n">
        <v>1.729603171710404</v>
      </c>
      <c r="CE267" s="3" t="n">
        <v>1.729603171710404</v>
      </c>
      <c r="CF267" s="3" t="n">
        <v>1.729603171710404</v>
      </c>
      <c r="CG267" s="3" t="n">
        <v>1.729603171710404</v>
      </c>
      <c r="CH267" s="3" t="n">
        <v>1.729603171710404</v>
      </c>
      <c r="CI267" s="3" t="n">
        <v>1.729603171710404</v>
      </c>
      <c r="CJ267" s="3" t="n">
        <v>1.729603171710404</v>
      </c>
      <c r="CK267" s="3" t="n">
        <v>1.729603171710404</v>
      </c>
      <c r="CL267" s="3" t="n">
        <v>1.729603171710404</v>
      </c>
      <c r="CM267" s="3" t="n">
        <v>1.729603171710404</v>
      </c>
      <c r="CN267" s="3" t="n">
        <v>1.729603171710404</v>
      </c>
      <c r="CO267" s="3" t="n">
        <v>1.729603171710404</v>
      </c>
      <c r="CP267" s="3" t="n">
        <v>1.729603171710404</v>
      </c>
      <c r="CQ267" s="3" t="n">
        <v>1.729603171710404</v>
      </c>
      <c r="CR267" s="3" t="n">
        <v>1.729603171710404</v>
      </c>
      <c r="CS267" s="3" t="n">
        <v>1.729603171710404</v>
      </c>
      <c r="CU267" s="20" t="inlineStr">
        <is>
          <t>egy.mit.txo.co2e.ind.coa.6</t>
        </is>
      </c>
      <c r="CV267" s="3" t="n">
        <v>3.651749524807963</v>
      </c>
      <c r="CW267" s="3" t="n">
        <v>2.254460285669079</v>
      </c>
      <c r="CX267" s="3" t="n">
        <v>1.729603171710404</v>
      </c>
      <c r="CY267" s="3" t="n">
        <v>1.729603171710404</v>
      </c>
      <c r="CZ267" s="3" t="n">
        <v>1.729603171710404</v>
      </c>
      <c r="DA267" s="3" t="n">
        <v>1.729603171710404</v>
      </c>
      <c r="DB267" s="3" t="n">
        <v>1.729603171710404</v>
      </c>
      <c r="DC267" s="3" t="n">
        <v>1.729603171710404</v>
      </c>
      <c r="DD267" s="3" t="n">
        <v>1.729603171710404</v>
      </c>
      <c r="DE267" s="3" t="n">
        <v>1.729603171710404</v>
      </c>
      <c r="DF267" s="3" t="n">
        <v>1.729603171710404</v>
      </c>
      <c r="DG267" s="3" t="n">
        <v>1.729603171710404</v>
      </c>
      <c r="DH267" s="3" t="n">
        <v>1.729603171710404</v>
      </c>
      <c r="DI267" s="3" t="n">
        <v>1.729603171710404</v>
      </c>
      <c r="DJ267" s="3" t="n">
        <v>1.729603171710404</v>
      </c>
      <c r="DK267" s="3" t="n">
        <v>1.729603171710404</v>
      </c>
      <c r="DL267" s="3" t="n">
        <v>1.729603171710404</v>
      </c>
      <c r="DM267" s="3" t="n">
        <v>1.729603171710404</v>
      </c>
      <c r="DN267" s="3" t="n">
        <v>1.729603171710404</v>
      </c>
      <c r="DO267" s="3" t="n">
        <v>1.729603171710404</v>
      </c>
    </row>
    <row r="268">
      <c r="A268" s="19" t="inlineStr">
        <is>
          <t>mit.pig.ind.coa</t>
        </is>
      </c>
      <c r="B268" s="3" t="inlineStr">
        <is>
          <t>mit</t>
        </is>
      </c>
      <c r="C268" s="19" t="inlineStr">
        <is>
          <t>mit.pig.coa.ind</t>
        </is>
      </c>
      <c r="H268" s="3" t="inlineStr">
        <is>
          <t>Pigouvian tax: all externalities (reference) | Industry | Coal</t>
        </is>
      </c>
      <c r="I268" s="3" t="inlineStr">
        <is>
          <t>USD per price unit</t>
        </is>
      </c>
      <c r="K268" s="20" t="inlineStr">
        <is>
          <t>egy.mit.pig.ind.coa.1</t>
        </is>
      </c>
      <c r="L268" s="3" t="n">
        <v>6.919011611747806</v>
      </c>
      <c r="M268" s="3" t="n">
        <v>7.121911619165346</v>
      </c>
      <c r="N268" s="3" t="n">
        <v>7.252542321628102</v>
      </c>
      <c r="O268" s="3" t="n">
        <v>7.026630305965146</v>
      </c>
      <c r="P268" s="3" t="n">
        <v>7.411587262117331</v>
      </c>
      <c r="Q268" s="3" t="n">
        <v>7.698905606168624</v>
      </c>
      <c r="R268" s="3" t="n">
        <v>8.067006786109841</v>
      </c>
      <c r="S268" s="3" t="n">
        <v>8.438068760243878</v>
      </c>
      <c r="T268" s="3" t="n">
        <v>8.811249085791321</v>
      </c>
      <c r="U268" s="3" t="n">
        <v>9.125495328159147</v>
      </c>
      <c r="V268" s="3" t="n">
        <v>9.485441569496546</v>
      </c>
      <c r="W268" s="3" t="n">
        <v>9.858878573827166</v>
      </c>
      <c r="X268" s="3" t="n">
        <v>10.24623712719743</v>
      </c>
      <c r="Y268" s="3" t="n">
        <v>10.64803125856229</v>
      </c>
      <c r="Z268" s="3" t="n">
        <v>11.06469892527505</v>
      </c>
      <c r="AA268" s="3" t="n">
        <v>11.49685220816682</v>
      </c>
      <c r="AB268" s="3" t="n">
        <v>11.9448612870946</v>
      </c>
      <c r="AC268" s="3" t="n">
        <v>12.4092364833563</v>
      </c>
      <c r="AD268" s="3" t="n">
        <v>12.89050202600455</v>
      </c>
      <c r="AE268" s="3" t="n">
        <v>13.30597476849294</v>
      </c>
      <c r="AG268" s="20" t="inlineStr">
        <is>
          <t>egy.mit.pig.ind.coa.3</t>
        </is>
      </c>
      <c r="AH268" s="3" t="n">
        <v>6.919011611747806</v>
      </c>
      <c r="AI268" s="3" t="n">
        <v>7.121911619165346</v>
      </c>
      <c r="AJ268" s="3" t="n">
        <v>7.252542321628102</v>
      </c>
      <c r="AK268" s="3" t="n">
        <v>7.026630305965146</v>
      </c>
      <c r="AL268" s="3" t="n">
        <v>7.411587262117331</v>
      </c>
      <c r="AM268" s="3" t="n">
        <v>7.698905606168624</v>
      </c>
      <c r="AN268" s="3" t="n">
        <v>8.067006786109841</v>
      </c>
      <c r="AO268" s="3" t="n">
        <v>8.438068760243878</v>
      </c>
      <c r="AP268" s="3" t="n">
        <v>8.811249085791321</v>
      </c>
      <c r="AQ268" s="3" t="n">
        <v>9.125495328159149</v>
      </c>
      <c r="AR268" s="3" t="n">
        <v>9.485441569496546</v>
      </c>
      <c r="AS268" s="3" t="n">
        <v>9.858878573827166</v>
      </c>
      <c r="AT268" s="3" t="n">
        <v>10.24623712719743</v>
      </c>
      <c r="AU268" s="3" t="n">
        <v>10.64803125856229</v>
      </c>
      <c r="AV268" s="3" t="n">
        <v>11.06469892527505</v>
      </c>
      <c r="AW268" s="3" t="n">
        <v>11.49685220816682</v>
      </c>
      <c r="AX268" s="3" t="n">
        <v>11.9448612870946</v>
      </c>
      <c r="AY268" s="3" t="n">
        <v>12.4092364833563</v>
      </c>
      <c r="AZ268" s="3" t="n">
        <v>12.89050202600455</v>
      </c>
      <c r="BA268" s="3" t="n">
        <v>13.30597476849294</v>
      </c>
      <c r="BC268" s="20" t="inlineStr">
        <is>
          <t>egy.mit.pig.ind.coa.4</t>
        </is>
      </c>
      <c r="BD268" s="3" t="n">
        <v>6.919011611747806</v>
      </c>
      <c r="BE268" s="3" t="n">
        <v>7.121911619165346</v>
      </c>
      <c r="BF268" s="3" t="n">
        <v>7.252542321628102</v>
      </c>
      <c r="BG268" s="3" t="n">
        <v>7.026630305965146</v>
      </c>
      <c r="BH268" s="3" t="n">
        <v>7.411587262117331</v>
      </c>
      <c r="BI268" s="3" t="n">
        <v>7.698905606168624</v>
      </c>
      <c r="BJ268" s="3" t="n">
        <v>8.067006786109841</v>
      </c>
      <c r="BK268" s="3" t="n">
        <v>8.438068760243878</v>
      </c>
      <c r="BL268" s="3" t="n">
        <v>8.811249085791321</v>
      </c>
      <c r="BM268" s="3" t="n">
        <v>9.125495328159149</v>
      </c>
      <c r="BN268" s="3" t="n">
        <v>9.485441569496546</v>
      </c>
      <c r="BO268" s="3" t="n">
        <v>9.858878573827166</v>
      </c>
      <c r="BP268" s="3" t="n">
        <v>10.24623712719743</v>
      </c>
      <c r="BQ268" s="3" t="n">
        <v>10.64803125856229</v>
      </c>
      <c r="BR268" s="3" t="n">
        <v>11.06469892527505</v>
      </c>
      <c r="BS268" s="3" t="n">
        <v>11.49685220816682</v>
      </c>
      <c r="BT268" s="3" t="n">
        <v>11.9448612870946</v>
      </c>
      <c r="BU268" s="3" t="n">
        <v>12.4092364833563</v>
      </c>
      <c r="BV268" s="3" t="n">
        <v>12.89050202600455</v>
      </c>
      <c r="BW268" s="3" t="n">
        <v>13.30597476849294</v>
      </c>
      <c r="BY268" s="20" t="inlineStr">
        <is>
          <t>egy.mit.pig.ind.coa.5</t>
        </is>
      </c>
      <c r="BZ268" s="3" t="n">
        <v>6.919011611747806</v>
      </c>
      <c r="CA268" s="3" t="n">
        <v>7.121911619165346</v>
      </c>
      <c r="CB268" s="3" t="n">
        <v>7.252542321628102</v>
      </c>
      <c r="CC268" s="3" t="n">
        <v>7.026630305965146</v>
      </c>
      <c r="CD268" s="3" t="n">
        <v>7.411587262117331</v>
      </c>
      <c r="CE268" s="3" t="n">
        <v>7.698905606168624</v>
      </c>
      <c r="CF268" s="3" t="n">
        <v>8.067006786109841</v>
      </c>
      <c r="CG268" s="3" t="n">
        <v>8.438068760243878</v>
      </c>
      <c r="CH268" s="3" t="n">
        <v>8.811249085791321</v>
      </c>
      <c r="CI268" s="3" t="n">
        <v>9.125495328159147</v>
      </c>
      <c r="CJ268" s="3" t="n">
        <v>9.485441569496546</v>
      </c>
      <c r="CK268" s="3" t="n">
        <v>9.858878573827166</v>
      </c>
      <c r="CL268" s="3" t="n">
        <v>10.24623712719743</v>
      </c>
      <c r="CM268" s="3" t="n">
        <v>10.64803125856229</v>
      </c>
      <c r="CN268" s="3" t="n">
        <v>11.06469892527505</v>
      </c>
      <c r="CO268" s="3" t="n">
        <v>11.49685220816682</v>
      </c>
      <c r="CP268" s="3" t="n">
        <v>11.9448612870946</v>
      </c>
      <c r="CQ268" s="3" t="n">
        <v>12.4092364833563</v>
      </c>
      <c r="CR268" s="3" t="n">
        <v>12.89050202600455</v>
      </c>
      <c r="CS268" s="3" t="n">
        <v>13.30597476849294</v>
      </c>
      <c r="CU268" s="20" t="inlineStr">
        <is>
          <t>egy.mit.pig.ind.coa.6</t>
        </is>
      </c>
      <c r="CV268" s="3" t="n">
        <v>6.919011611747806</v>
      </c>
      <c r="CW268" s="3" t="n">
        <v>7.121911619165346</v>
      </c>
      <c r="CX268" s="3" t="n">
        <v>7.252542321628102</v>
      </c>
      <c r="CY268" s="3" t="n">
        <v>7.026630305965146</v>
      </c>
      <c r="CZ268" s="3" t="n">
        <v>7.411587262117331</v>
      </c>
      <c r="DA268" s="3" t="n">
        <v>7.698905606168624</v>
      </c>
      <c r="DB268" s="3" t="n">
        <v>8.067006786109841</v>
      </c>
      <c r="DC268" s="3" t="n">
        <v>8.438068760243878</v>
      </c>
      <c r="DD268" s="3" t="n">
        <v>8.811249085791321</v>
      </c>
      <c r="DE268" s="3" t="n">
        <v>9.125495328159147</v>
      </c>
      <c r="DF268" s="3" t="n">
        <v>9.485441569496546</v>
      </c>
      <c r="DG268" s="3" t="n">
        <v>9.858878573827166</v>
      </c>
      <c r="DH268" s="3" t="n">
        <v>10.24623712719743</v>
      </c>
      <c r="DI268" s="3" t="n">
        <v>10.64803125856229</v>
      </c>
      <c r="DJ268" s="3" t="n">
        <v>11.06469892527505</v>
      </c>
      <c r="DK268" s="3" t="n">
        <v>11.49685220816682</v>
      </c>
      <c r="DL268" s="3" t="n">
        <v>11.9448612870946</v>
      </c>
      <c r="DM268" s="3" t="n">
        <v>12.4092364833563</v>
      </c>
      <c r="DN268" s="3" t="n">
        <v>12.89050202600455</v>
      </c>
      <c r="DO268" s="3" t="n">
        <v>13.30597476849294</v>
      </c>
    </row>
    <row r="269">
      <c r="A269" s="19" t="inlineStr">
        <is>
          <t>mit.pig.co2e.ind.coa</t>
        </is>
      </c>
      <c r="B269" s="3" t="inlineStr">
        <is>
          <t>mit</t>
        </is>
      </c>
      <c r="C269" s="19" t="inlineStr">
        <is>
          <t>mit.pig.co2e.coa.ind</t>
        </is>
      </c>
      <c r="H269" s="3" t="inlineStr">
        <is>
          <t>Pigouvian tax per tonne of CO2 (fuel lines; avg: weighted by the fuel use of the scenario) | Industry | Coal</t>
        </is>
      </c>
      <c r="I269" s="3" t="inlineStr">
        <is>
          <t>USD/tCO2</t>
        </is>
      </c>
      <c r="K269" s="20" t="inlineStr">
        <is>
          <t>egy.mit.pig.co2e.ind.coa.1</t>
        </is>
      </c>
      <c r="L269" s="3" t="n">
        <v>71.92120396954839</v>
      </c>
      <c r="M269" s="3" t="n">
        <v>74.0302931917897</v>
      </c>
      <c r="N269" s="3" t="n">
        <v>75.38816306160713</v>
      </c>
      <c r="O269" s="3" t="n">
        <v>73.03987040517048</v>
      </c>
      <c r="P269" s="3" t="n">
        <v>77.04139104374099</v>
      </c>
      <c r="Q269" s="3" t="n">
        <v>80.02798542835221</v>
      </c>
      <c r="R269" s="3" t="n">
        <v>83.85429495485062</v>
      </c>
      <c r="S269" s="3" t="n">
        <v>87.71138111463175</v>
      </c>
      <c r="T269" s="3" t="n">
        <v>91.59048694898951</v>
      </c>
      <c r="U269" s="3" t="n">
        <v>94.8569893574587</v>
      </c>
      <c r="V269" s="3" t="n">
        <v>98.59853056217997</v>
      </c>
      <c r="W269" s="3" t="n">
        <v>102.4803045011971</v>
      </c>
      <c r="X269" s="3" t="n">
        <v>106.5067890758131</v>
      </c>
      <c r="Y269" s="3" t="n">
        <v>110.6833274742449</v>
      </c>
      <c r="Z269" s="3" t="n">
        <v>115.0144721415386</v>
      </c>
      <c r="AA269" s="3" t="n">
        <v>119.5065854879299</v>
      </c>
      <c r="AB269" s="3" t="n">
        <v>124.1635154302161</v>
      </c>
      <c r="AC269" s="3" t="n">
        <v>128.9905666165488</v>
      </c>
      <c r="AD269" s="3" t="n">
        <v>133.9931882623269</v>
      </c>
      <c r="AE269" s="3" t="n">
        <v>138.3119120241948</v>
      </c>
      <c r="AG269" s="20" t="inlineStr">
        <is>
          <t>egy.mit.pig.co2e.ind.coa.3</t>
        </is>
      </c>
      <c r="AH269" s="3" t="n">
        <v>71.92120396954839</v>
      </c>
      <c r="AI269" s="3" t="n">
        <v>74.0302931917897</v>
      </c>
      <c r="AJ269" s="3" t="n">
        <v>75.38816306160713</v>
      </c>
      <c r="AK269" s="3" t="n">
        <v>73.03987040517048</v>
      </c>
      <c r="AL269" s="3" t="n">
        <v>77.04139104374099</v>
      </c>
      <c r="AM269" s="3" t="n">
        <v>80.02798542835221</v>
      </c>
      <c r="AN269" s="3" t="n">
        <v>83.85429495485062</v>
      </c>
      <c r="AO269" s="3" t="n">
        <v>87.71138111463175</v>
      </c>
      <c r="AP269" s="3" t="n">
        <v>91.59048694898951</v>
      </c>
      <c r="AQ269" s="3" t="n">
        <v>94.85698935745872</v>
      </c>
      <c r="AR269" s="3" t="n">
        <v>98.59853056217997</v>
      </c>
      <c r="AS269" s="3" t="n">
        <v>102.4803045011971</v>
      </c>
      <c r="AT269" s="3" t="n">
        <v>106.5067890758131</v>
      </c>
      <c r="AU269" s="3" t="n">
        <v>110.6833274742449</v>
      </c>
      <c r="AV269" s="3" t="n">
        <v>115.0144721415386</v>
      </c>
      <c r="AW269" s="3" t="n">
        <v>119.5065854879299</v>
      </c>
      <c r="AX269" s="3" t="n">
        <v>124.1635154302161</v>
      </c>
      <c r="AY269" s="3" t="n">
        <v>128.9905666165488</v>
      </c>
      <c r="AZ269" s="3" t="n">
        <v>133.9931882623269</v>
      </c>
      <c r="BA269" s="3" t="n">
        <v>138.3119120241948</v>
      </c>
      <c r="BC269" s="20" t="inlineStr">
        <is>
          <t>egy.mit.pig.co2e.ind.coa.4</t>
        </is>
      </c>
      <c r="BD269" s="3" t="n">
        <v>71.92120396954839</v>
      </c>
      <c r="BE269" s="3" t="n">
        <v>74.0302931917897</v>
      </c>
      <c r="BF269" s="3" t="n">
        <v>75.38816306160713</v>
      </c>
      <c r="BG269" s="3" t="n">
        <v>73.03987040517048</v>
      </c>
      <c r="BH269" s="3" t="n">
        <v>77.04139104374099</v>
      </c>
      <c r="BI269" s="3" t="n">
        <v>80.02798542835221</v>
      </c>
      <c r="BJ269" s="3" t="n">
        <v>83.85429495485062</v>
      </c>
      <c r="BK269" s="3" t="n">
        <v>87.71138111463175</v>
      </c>
      <c r="BL269" s="3" t="n">
        <v>91.59048694898951</v>
      </c>
      <c r="BM269" s="3" t="n">
        <v>94.85698935745872</v>
      </c>
      <c r="BN269" s="3" t="n">
        <v>98.59853056217997</v>
      </c>
      <c r="BO269" s="3" t="n">
        <v>102.4803045011971</v>
      </c>
      <c r="BP269" s="3" t="n">
        <v>106.5067890758131</v>
      </c>
      <c r="BQ269" s="3" t="n">
        <v>110.6833274742449</v>
      </c>
      <c r="BR269" s="3" t="n">
        <v>115.0144721415386</v>
      </c>
      <c r="BS269" s="3" t="n">
        <v>119.5065854879299</v>
      </c>
      <c r="BT269" s="3" t="n">
        <v>124.1635154302161</v>
      </c>
      <c r="BU269" s="3" t="n">
        <v>128.9905666165488</v>
      </c>
      <c r="BV269" s="3" t="n">
        <v>133.9931882623269</v>
      </c>
      <c r="BW269" s="3" t="n">
        <v>138.3119120241948</v>
      </c>
      <c r="BY269" s="20" t="inlineStr">
        <is>
          <t>egy.mit.pig.co2e.ind.coa.5</t>
        </is>
      </c>
      <c r="BZ269" s="3" t="n">
        <v>71.92120396954839</v>
      </c>
      <c r="CA269" s="3" t="n">
        <v>74.0302931917897</v>
      </c>
      <c r="CB269" s="3" t="n">
        <v>75.38816306160713</v>
      </c>
      <c r="CC269" s="3" t="n">
        <v>73.03987040517048</v>
      </c>
      <c r="CD269" s="3" t="n">
        <v>77.04139104374099</v>
      </c>
      <c r="CE269" s="3" t="n">
        <v>80.02798542835221</v>
      </c>
      <c r="CF269" s="3" t="n">
        <v>83.85429495485062</v>
      </c>
      <c r="CG269" s="3" t="n">
        <v>87.71138111463175</v>
      </c>
      <c r="CH269" s="3" t="n">
        <v>91.59048694898951</v>
      </c>
      <c r="CI269" s="3" t="n">
        <v>94.8569893574587</v>
      </c>
      <c r="CJ269" s="3" t="n">
        <v>98.59853056217997</v>
      </c>
      <c r="CK269" s="3" t="n">
        <v>102.4803045011971</v>
      </c>
      <c r="CL269" s="3" t="n">
        <v>106.5067890758131</v>
      </c>
      <c r="CM269" s="3" t="n">
        <v>110.6833274742449</v>
      </c>
      <c r="CN269" s="3" t="n">
        <v>115.0144721415386</v>
      </c>
      <c r="CO269" s="3" t="n">
        <v>119.5065854879299</v>
      </c>
      <c r="CP269" s="3" t="n">
        <v>124.1635154302161</v>
      </c>
      <c r="CQ269" s="3" t="n">
        <v>128.9905666165488</v>
      </c>
      <c r="CR269" s="3" t="n">
        <v>133.9931882623269</v>
      </c>
      <c r="CS269" s="3" t="n">
        <v>138.3119120241948</v>
      </c>
      <c r="CU269" s="20" t="inlineStr">
        <is>
          <t>egy.mit.pig.co2e.ind.coa.6</t>
        </is>
      </c>
      <c r="CV269" s="3" t="n">
        <v>71.92120396954839</v>
      </c>
      <c r="CW269" s="3" t="n">
        <v>74.0302931917897</v>
      </c>
      <c r="CX269" s="3" t="n">
        <v>75.38816306160713</v>
      </c>
      <c r="CY269" s="3" t="n">
        <v>73.03987040517048</v>
      </c>
      <c r="CZ269" s="3" t="n">
        <v>77.04139104374099</v>
      </c>
      <c r="DA269" s="3" t="n">
        <v>80.02798542835221</v>
      </c>
      <c r="DB269" s="3" t="n">
        <v>83.85429495485062</v>
      </c>
      <c r="DC269" s="3" t="n">
        <v>87.71138111463175</v>
      </c>
      <c r="DD269" s="3" t="n">
        <v>91.59048694898951</v>
      </c>
      <c r="DE269" s="3" t="n">
        <v>94.8569893574587</v>
      </c>
      <c r="DF269" s="3" t="n">
        <v>98.59853056217997</v>
      </c>
      <c r="DG269" s="3" t="n">
        <v>102.4803045011971</v>
      </c>
      <c r="DH269" s="3" t="n">
        <v>106.5067890758131</v>
      </c>
      <c r="DI269" s="3" t="n">
        <v>110.6833274742449</v>
      </c>
      <c r="DJ269" s="3" t="n">
        <v>115.0144721415386</v>
      </c>
      <c r="DK269" s="3" t="n">
        <v>119.5065854879299</v>
      </c>
      <c r="DL269" s="3" t="n">
        <v>124.1635154302161</v>
      </c>
      <c r="DM269" s="3" t="n">
        <v>128.9905666165488</v>
      </c>
      <c r="DN269" s="3" t="n">
        <v>133.9931882623269</v>
      </c>
      <c r="DO269" s="3" t="n">
        <v>138.3119120241948</v>
      </c>
    </row>
    <row r="270">
      <c r="A270" s="19" t="inlineStr">
        <is>
          <t>mit.eff.price.res.coa</t>
        </is>
      </c>
      <c r="B270" s="3" t="inlineStr">
        <is>
          <t>mit</t>
        </is>
      </c>
      <c r="C270" s="19" t="inlineStr">
        <is>
          <t>mit.eff.price.coa.res</t>
        </is>
      </c>
      <c r="H270" s="3" t="inlineStr">
        <is>
          <t>Efficient price | Residential | Coal</t>
        </is>
      </c>
      <c r="I270" s="3" t="inlineStr">
        <is>
          <t>USD per price unit</t>
        </is>
      </c>
      <c r="K270" s="20" t="inlineStr">
        <is>
          <t>egy.mit.eff.price.res.coa.1</t>
        </is>
      </c>
      <c r="L270" s="3" t="n">
        <v>29.38316194990936</v>
      </c>
      <c r="M270" s="3" t="n">
        <v>21.48585068235284</v>
      </c>
      <c r="N270" s="3" t="n">
        <v>20.9803812113669</v>
      </c>
      <c r="O270" s="3" t="n">
        <v>20.05041702461497</v>
      </c>
      <c r="P270" s="3" t="n">
        <v>20.97651908584855</v>
      </c>
      <c r="Q270" s="3" t="n">
        <v>21.4056651356433</v>
      </c>
      <c r="R270" s="3" t="n">
        <v>21.62802596146541</v>
      </c>
      <c r="S270" s="3" t="n">
        <v>21.8570103720394</v>
      </c>
      <c r="T270" s="3" t="n">
        <v>22.09287841112216</v>
      </c>
      <c r="U270" s="3" t="n">
        <v>22.34421470041006</v>
      </c>
      <c r="V270" s="3" t="n">
        <v>22.68638834521006</v>
      </c>
      <c r="W270" s="3" t="n">
        <v>23.04224893580206</v>
      </c>
      <c r="X270" s="3" t="n">
        <v>23.41234395001774</v>
      </c>
      <c r="Y270" s="3" t="n">
        <v>23.79724276480205</v>
      </c>
      <c r="Z270" s="3" t="n">
        <v>24.19753753217773</v>
      </c>
      <c r="AA270" s="3" t="n">
        <v>24.61384409024843</v>
      </c>
      <c r="AB270" s="3" t="n">
        <v>25.04680291064197</v>
      </c>
      <c r="AC270" s="3" t="n">
        <v>25.49708008385125</v>
      </c>
      <c r="AD270" s="3" t="n">
        <v>25.9653683439889</v>
      </c>
      <c r="AE270" s="3" t="n">
        <v>26.45238813453205</v>
      </c>
      <c r="AG270" s="20" t="inlineStr">
        <is>
          <t>egy.mit.eff.price.res.coa.3</t>
        </is>
      </c>
      <c r="AH270" s="3" t="n">
        <v>29.38316194990936</v>
      </c>
      <c r="AI270" s="3" t="n">
        <v>21.48585068235284</v>
      </c>
      <c r="AJ270" s="3" t="n">
        <v>20.9803812113669</v>
      </c>
      <c r="AK270" s="3" t="n">
        <v>20.05041702461497</v>
      </c>
      <c r="AL270" s="3" t="n">
        <v>20.97651908584855</v>
      </c>
      <c r="AM270" s="3" t="n">
        <v>21.4056651356433</v>
      </c>
      <c r="AN270" s="3" t="n">
        <v>21.62802596146541</v>
      </c>
      <c r="AO270" s="3" t="n">
        <v>21.8570103720394</v>
      </c>
      <c r="AP270" s="3" t="n">
        <v>22.09287841112216</v>
      </c>
      <c r="AQ270" s="3" t="n">
        <v>22.34421470041006</v>
      </c>
      <c r="AR270" s="3" t="n">
        <v>22.68638834521006</v>
      </c>
      <c r="AS270" s="3" t="n">
        <v>23.04224893580206</v>
      </c>
      <c r="AT270" s="3" t="n">
        <v>23.41234395001774</v>
      </c>
      <c r="AU270" s="3" t="n">
        <v>23.79724276480205</v>
      </c>
      <c r="AV270" s="3" t="n">
        <v>24.19753753217773</v>
      </c>
      <c r="AW270" s="3" t="n">
        <v>24.61384409024843</v>
      </c>
      <c r="AX270" s="3" t="n">
        <v>25.04680291064197</v>
      </c>
      <c r="AY270" s="3" t="n">
        <v>25.49708008385125</v>
      </c>
      <c r="AZ270" s="3" t="n">
        <v>25.9653683439889</v>
      </c>
      <c r="BA270" s="3" t="n">
        <v>26.45238813453205</v>
      </c>
      <c r="BC270" s="20" t="inlineStr">
        <is>
          <t>egy.mit.eff.price.res.coa.4</t>
        </is>
      </c>
      <c r="BD270" s="3" t="n">
        <v>29.38316194990936</v>
      </c>
      <c r="BE270" s="3" t="n">
        <v>21.48585068235284</v>
      </c>
      <c r="BF270" s="3" t="n">
        <v>20.9803812113669</v>
      </c>
      <c r="BG270" s="3" t="n">
        <v>20.05041702461497</v>
      </c>
      <c r="BH270" s="3" t="n">
        <v>20.97651908584855</v>
      </c>
      <c r="BI270" s="3" t="n">
        <v>21.4056651356433</v>
      </c>
      <c r="BJ270" s="3" t="n">
        <v>21.62802596146541</v>
      </c>
      <c r="BK270" s="3" t="n">
        <v>21.8570103720394</v>
      </c>
      <c r="BL270" s="3" t="n">
        <v>22.09287841112216</v>
      </c>
      <c r="BM270" s="3" t="n">
        <v>22.34421470041006</v>
      </c>
      <c r="BN270" s="3" t="n">
        <v>22.68638834521006</v>
      </c>
      <c r="BO270" s="3" t="n">
        <v>23.04224893580206</v>
      </c>
      <c r="BP270" s="3" t="n">
        <v>23.41234395001774</v>
      </c>
      <c r="BQ270" s="3" t="n">
        <v>23.79724276480205</v>
      </c>
      <c r="BR270" s="3" t="n">
        <v>24.19753753217773</v>
      </c>
      <c r="BS270" s="3" t="n">
        <v>24.61384409024843</v>
      </c>
      <c r="BT270" s="3" t="n">
        <v>25.04680291064197</v>
      </c>
      <c r="BU270" s="3" t="n">
        <v>25.49708008385125</v>
      </c>
      <c r="BV270" s="3" t="n">
        <v>25.9653683439889</v>
      </c>
      <c r="BW270" s="3" t="n">
        <v>26.45238813453205</v>
      </c>
      <c r="BY270" s="20" t="inlineStr">
        <is>
          <t>egy.mit.eff.price.res.coa.5</t>
        </is>
      </c>
      <c r="BZ270" s="3" t="n">
        <v>29.38316194990936</v>
      </c>
      <c r="CA270" s="3" t="n">
        <v>21.48585068235284</v>
      </c>
      <c r="CB270" s="3" t="n">
        <v>20.9803812113669</v>
      </c>
      <c r="CC270" s="3" t="n">
        <v>20.05041702461497</v>
      </c>
      <c r="CD270" s="3" t="n">
        <v>20.97651908584855</v>
      </c>
      <c r="CE270" s="3" t="n">
        <v>21.4056651356433</v>
      </c>
      <c r="CF270" s="3" t="n">
        <v>21.62802596146541</v>
      </c>
      <c r="CG270" s="3" t="n">
        <v>21.8570103720394</v>
      </c>
      <c r="CH270" s="3" t="n">
        <v>22.09287841112216</v>
      </c>
      <c r="CI270" s="3" t="n">
        <v>22.34421470041006</v>
      </c>
      <c r="CJ270" s="3" t="n">
        <v>22.68638834521006</v>
      </c>
      <c r="CK270" s="3" t="n">
        <v>23.04224893580206</v>
      </c>
      <c r="CL270" s="3" t="n">
        <v>23.41234395001774</v>
      </c>
      <c r="CM270" s="3" t="n">
        <v>23.79724276480205</v>
      </c>
      <c r="CN270" s="3" t="n">
        <v>24.19753753217773</v>
      </c>
      <c r="CO270" s="3" t="n">
        <v>24.61384409024843</v>
      </c>
      <c r="CP270" s="3" t="n">
        <v>25.04680291064197</v>
      </c>
      <c r="CQ270" s="3" t="n">
        <v>25.49708008385125</v>
      </c>
      <c r="CR270" s="3" t="n">
        <v>25.9653683439889</v>
      </c>
      <c r="CS270" s="3" t="n">
        <v>26.45238813453205</v>
      </c>
      <c r="CU270" s="20" t="inlineStr">
        <is>
          <t>egy.mit.eff.price.res.coa.6</t>
        </is>
      </c>
      <c r="CV270" s="3" t="n">
        <v>29.38316194990936</v>
      </c>
      <c r="CW270" s="3" t="n">
        <v>21.48585068235284</v>
      </c>
      <c r="CX270" s="3" t="n">
        <v>20.9803812113669</v>
      </c>
      <c r="CY270" s="3" t="n">
        <v>20.05041702461497</v>
      </c>
      <c r="CZ270" s="3" t="n">
        <v>20.97651908584855</v>
      </c>
      <c r="DA270" s="3" t="n">
        <v>21.4056651356433</v>
      </c>
      <c r="DB270" s="3" t="n">
        <v>21.62802596146541</v>
      </c>
      <c r="DC270" s="3" t="n">
        <v>21.8570103720394</v>
      </c>
      <c r="DD270" s="3" t="n">
        <v>22.09287841112216</v>
      </c>
      <c r="DE270" s="3" t="n">
        <v>22.34421470041006</v>
      </c>
      <c r="DF270" s="3" t="n">
        <v>22.68638834521006</v>
      </c>
      <c r="DG270" s="3" t="n">
        <v>23.04224893580206</v>
      </c>
      <c r="DH270" s="3" t="n">
        <v>23.41234395001774</v>
      </c>
      <c r="DI270" s="3" t="n">
        <v>23.79724276480205</v>
      </c>
      <c r="DJ270" s="3" t="n">
        <v>24.19753753217773</v>
      </c>
      <c r="DK270" s="3" t="n">
        <v>24.61384409024843</v>
      </c>
      <c r="DL270" s="3" t="n">
        <v>25.04680291064197</v>
      </c>
      <c r="DM270" s="3" t="n">
        <v>25.49708008385125</v>
      </c>
      <c r="DN270" s="3" t="n">
        <v>25.9653683439889</v>
      </c>
      <c r="DO270" s="3" t="n">
        <v>26.45238813453205</v>
      </c>
    </row>
    <row r="271">
      <c r="A271" s="19" t="inlineStr">
        <is>
          <t>mit.sup.cost.res.coa</t>
        </is>
      </c>
      <c r="B271" s="3" t="inlineStr">
        <is>
          <t>mit</t>
        </is>
      </c>
      <c r="C271" s="19" t="inlineStr">
        <is>
          <t>mit.sup.cost.coa.res</t>
        </is>
      </c>
      <c r="H271" s="3" t="inlineStr">
        <is>
          <t>Efficient price: supply cost of scenario 1 | Residential | Coal</t>
        </is>
      </c>
      <c r="I271" s="3" t="inlineStr">
        <is>
          <t>USD per price unit</t>
        </is>
      </c>
      <c r="K271" s="20" t="inlineStr">
        <is>
          <t>egy.mit.sup.cost.res.coa.1</t>
        </is>
      </c>
      <c r="L271" s="3" t="n">
        <v>20.50262749770246</v>
      </c>
      <c r="M271" s="3" t="n">
        <v>13.36427843484486</v>
      </c>
      <c r="N271" s="3" t="n">
        <v>12.70156580181755</v>
      </c>
      <c r="O271" s="3" t="n">
        <v>11.6577166486213</v>
      </c>
      <c r="P271" s="3" t="n">
        <v>12.23287213934597</v>
      </c>
      <c r="Q271" s="3" t="n">
        <v>12.36261271470998</v>
      </c>
      <c r="R271" s="3" t="n">
        <v>12.301094609611</v>
      </c>
      <c r="S271" s="3" t="n">
        <v>12.23512380813173</v>
      </c>
      <c r="T271" s="3" t="n">
        <v>12.16451790449312</v>
      </c>
      <c r="U271" s="3" t="n">
        <v>12.09638033369303</v>
      </c>
      <c r="V271" s="3" t="n">
        <v>12.09638033369303</v>
      </c>
      <c r="W271" s="3" t="n">
        <v>12.09638033369303</v>
      </c>
      <c r="X271" s="3" t="n">
        <v>12.09638033369304</v>
      </c>
      <c r="Y271" s="3" t="n">
        <v>12.09638033369304</v>
      </c>
      <c r="Z271" s="3" t="n">
        <v>12.09638033369304</v>
      </c>
      <c r="AA271" s="3" t="n">
        <v>12.09638033369303</v>
      </c>
      <c r="AB271" s="3" t="n">
        <v>12.09638033369303</v>
      </c>
      <c r="AC271" s="3" t="n">
        <v>12.09638033369303</v>
      </c>
      <c r="AD271" s="3" t="n">
        <v>12.09638033369303</v>
      </c>
      <c r="AE271" s="3" t="n">
        <v>12.09638033369303</v>
      </c>
      <c r="AG271" s="20" t="inlineStr">
        <is>
          <t>egy.mit.sup.cost.res.coa.3</t>
        </is>
      </c>
      <c r="AH271" s="3" t="n">
        <v>20.50262749770246</v>
      </c>
      <c r="AI271" s="3" t="n">
        <v>13.36427843484486</v>
      </c>
      <c r="AJ271" s="3" t="n">
        <v>12.70156580181755</v>
      </c>
      <c r="AK271" s="3" t="n">
        <v>11.6577166486213</v>
      </c>
      <c r="AL271" s="3" t="n">
        <v>12.23287213934597</v>
      </c>
      <c r="AM271" s="3" t="n">
        <v>12.36261271470998</v>
      </c>
      <c r="AN271" s="3" t="n">
        <v>12.301094609611</v>
      </c>
      <c r="AO271" s="3" t="n">
        <v>12.23512380813173</v>
      </c>
      <c r="AP271" s="3" t="n">
        <v>12.16451790449312</v>
      </c>
      <c r="AQ271" s="3" t="n">
        <v>12.09638033369303</v>
      </c>
      <c r="AR271" s="3" t="n">
        <v>12.09638033369303</v>
      </c>
      <c r="AS271" s="3" t="n">
        <v>12.09638033369303</v>
      </c>
      <c r="AT271" s="3" t="n">
        <v>12.09638033369304</v>
      </c>
      <c r="AU271" s="3" t="n">
        <v>12.09638033369304</v>
      </c>
      <c r="AV271" s="3" t="n">
        <v>12.09638033369304</v>
      </c>
      <c r="AW271" s="3" t="n">
        <v>12.09638033369303</v>
      </c>
      <c r="AX271" s="3" t="n">
        <v>12.09638033369303</v>
      </c>
      <c r="AY271" s="3" t="n">
        <v>12.09638033369303</v>
      </c>
      <c r="AZ271" s="3" t="n">
        <v>12.09638033369303</v>
      </c>
      <c r="BA271" s="3" t="n">
        <v>12.09638033369303</v>
      </c>
      <c r="BC271" s="20" t="inlineStr">
        <is>
          <t>egy.mit.sup.cost.res.coa.4</t>
        </is>
      </c>
      <c r="BD271" s="3" t="n">
        <v>20.50262749770246</v>
      </c>
      <c r="BE271" s="3" t="n">
        <v>13.36427843484486</v>
      </c>
      <c r="BF271" s="3" t="n">
        <v>12.70156580181755</v>
      </c>
      <c r="BG271" s="3" t="n">
        <v>11.6577166486213</v>
      </c>
      <c r="BH271" s="3" t="n">
        <v>12.23287213934597</v>
      </c>
      <c r="BI271" s="3" t="n">
        <v>12.36261271470998</v>
      </c>
      <c r="BJ271" s="3" t="n">
        <v>12.301094609611</v>
      </c>
      <c r="BK271" s="3" t="n">
        <v>12.23512380813173</v>
      </c>
      <c r="BL271" s="3" t="n">
        <v>12.16451790449312</v>
      </c>
      <c r="BM271" s="3" t="n">
        <v>12.09638033369303</v>
      </c>
      <c r="BN271" s="3" t="n">
        <v>12.09638033369303</v>
      </c>
      <c r="BO271" s="3" t="n">
        <v>12.09638033369303</v>
      </c>
      <c r="BP271" s="3" t="n">
        <v>12.09638033369304</v>
      </c>
      <c r="BQ271" s="3" t="n">
        <v>12.09638033369304</v>
      </c>
      <c r="BR271" s="3" t="n">
        <v>12.09638033369304</v>
      </c>
      <c r="BS271" s="3" t="n">
        <v>12.09638033369303</v>
      </c>
      <c r="BT271" s="3" t="n">
        <v>12.09638033369303</v>
      </c>
      <c r="BU271" s="3" t="n">
        <v>12.09638033369303</v>
      </c>
      <c r="BV271" s="3" t="n">
        <v>12.09638033369303</v>
      </c>
      <c r="BW271" s="3" t="n">
        <v>12.09638033369303</v>
      </c>
      <c r="BY271" s="20" t="inlineStr">
        <is>
          <t>egy.mit.sup.cost.res.coa.5</t>
        </is>
      </c>
      <c r="BZ271" s="3" t="n">
        <v>20.50262749770246</v>
      </c>
      <c r="CA271" s="3" t="n">
        <v>13.36427843484486</v>
      </c>
      <c r="CB271" s="3" t="n">
        <v>12.70156580181755</v>
      </c>
      <c r="CC271" s="3" t="n">
        <v>11.6577166486213</v>
      </c>
      <c r="CD271" s="3" t="n">
        <v>12.23287213934597</v>
      </c>
      <c r="CE271" s="3" t="n">
        <v>12.36261271470998</v>
      </c>
      <c r="CF271" s="3" t="n">
        <v>12.301094609611</v>
      </c>
      <c r="CG271" s="3" t="n">
        <v>12.23512380813173</v>
      </c>
      <c r="CH271" s="3" t="n">
        <v>12.16451790449312</v>
      </c>
      <c r="CI271" s="3" t="n">
        <v>12.09638033369303</v>
      </c>
      <c r="CJ271" s="3" t="n">
        <v>12.09638033369303</v>
      </c>
      <c r="CK271" s="3" t="n">
        <v>12.09638033369303</v>
      </c>
      <c r="CL271" s="3" t="n">
        <v>12.09638033369304</v>
      </c>
      <c r="CM271" s="3" t="n">
        <v>12.09638033369304</v>
      </c>
      <c r="CN271" s="3" t="n">
        <v>12.09638033369304</v>
      </c>
      <c r="CO271" s="3" t="n">
        <v>12.09638033369303</v>
      </c>
      <c r="CP271" s="3" t="n">
        <v>12.09638033369303</v>
      </c>
      <c r="CQ271" s="3" t="n">
        <v>12.09638033369303</v>
      </c>
      <c r="CR271" s="3" t="n">
        <v>12.09638033369303</v>
      </c>
      <c r="CS271" s="3" t="n">
        <v>12.09638033369303</v>
      </c>
      <c r="CU271" s="20" t="inlineStr">
        <is>
          <t>egy.mit.sup.cost.res.coa.6</t>
        </is>
      </c>
      <c r="CV271" s="3" t="n">
        <v>20.50262749770246</v>
      </c>
      <c r="CW271" s="3" t="n">
        <v>13.36427843484486</v>
      </c>
      <c r="CX271" s="3" t="n">
        <v>12.70156580181755</v>
      </c>
      <c r="CY271" s="3" t="n">
        <v>11.6577166486213</v>
      </c>
      <c r="CZ271" s="3" t="n">
        <v>12.23287213934597</v>
      </c>
      <c r="DA271" s="3" t="n">
        <v>12.36261271470998</v>
      </c>
      <c r="DB271" s="3" t="n">
        <v>12.301094609611</v>
      </c>
      <c r="DC271" s="3" t="n">
        <v>12.23512380813173</v>
      </c>
      <c r="DD271" s="3" t="n">
        <v>12.16451790449312</v>
      </c>
      <c r="DE271" s="3" t="n">
        <v>12.09638033369303</v>
      </c>
      <c r="DF271" s="3" t="n">
        <v>12.09638033369303</v>
      </c>
      <c r="DG271" s="3" t="n">
        <v>12.09638033369303</v>
      </c>
      <c r="DH271" s="3" t="n">
        <v>12.09638033369304</v>
      </c>
      <c r="DI271" s="3" t="n">
        <v>12.09638033369304</v>
      </c>
      <c r="DJ271" s="3" t="n">
        <v>12.09638033369304</v>
      </c>
      <c r="DK271" s="3" t="n">
        <v>12.09638033369303</v>
      </c>
      <c r="DL271" s="3" t="n">
        <v>12.09638033369303</v>
      </c>
      <c r="DM271" s="3" t="n">
        <v>12.09638033369303</v>
      </c>
      <c r="DN271" s="3" t="n">
        <v>12.09638033369303</v>
      </c>
      <c r="DO271" s="3" t="n">
        <v>12.09638033369303</v>
      </c>
    </row>
    <row r="272">
      <c r="A272" s="19" t="inlineStr">
        <is>
          <t>mit.airpol.cost.res.coa</t>
        </is>
      </c>
      <c r="B272" s="3" t="inlineStr">
        <is>
          <t>mit</t>
        </is>
      </c>
      <c r="C272" s="19" t="inlineStr">
        <is>
          <t>mit.airpol.cost.coa.res</t>
        </is>
      </c>
      <c r="H272" s="3" t="inlineStr">
        <is>
          <t>Air-pollution cost per unit of fuel, marginal damages (coal, gas, other oil products USD/GJ; gasoline, diesel, LPG, kerosene USD/l) | Residential | Coal</t>
        </is>
      </c>
      <c r="I272" s="3" t="inlineStr">
        <is>
          <t>USD per unit</t>
        </is>
      </c>
      <c r="K272" s="20" t="inlineStr">
        <is>
          <t>egy.mit.airpol.cost.res.coa.1</t>
        </is>
      </c>
      <c r="L272" s="3" t="n">
        <v>31.71236851198692</v>
      </c>
      <c r="M272" s="3" t="n">
        <v>31.71236851198692</v>
      </c>
      <c r="N272" s="3" t="n">
        <v>30.14315785080923</v>
      </c>
      <c r="O272" s="3" t="n">
        <v>21.42042372781679</v>
      </c>
      <c r="P272" s="3" t="n">
        <v>24.4273865652779</v>
      </c>
      <c r="Q272" s="3" t="n">
        <v>25.35021421981781</v>
      </c>
      <c r="R272" s="3" t="n">
        <v>27.68864793243904</v>
      </c>
      <c r="S272" s="3" t="n">
        <v>29.90500525950285</v>
      </c>
      <c r="T272" s="3" t="n">
        <v>31.9723399389604</v>
      </c>
      <c r="U272" s="3" t="n">
        <v>32.65057844567213</v>
      </c>
      <c r="V272" s="3" t="n">
        <v>34.02691059955268</v>
      </c>
      <c r="W272" s="3" t="n">
        <v>35.44753498983742</v>
      </c>
      <c r="X272" s="3" t="n">
        <v>36.91212433399139</v>
      </c>
      <c r="Y272" s="3" t="n">
        <v>38.42166047961955</v>
      </c>
      <c r="Z272" s="3" t="n">
        <v>39.97516157911693</v>
      </c>
      <c r="AA272" s="3" t="n">
        <v>41.57480951605023</v>
      </c>
      <c r="AB272" s="3" t="n">
        <v>43.21733146506936</v>
      </c>
      <c r="AC272" s="3" t="n">
        <v>44.90185467274767</v>
      </c>
      <c r="AD272" s="3" t="n">
        <v>46.62728819730177</v>
      </c>
      <c r="AE272" s="3" t="n">
        <v>46.62728819730177</v>
      </c>
      <c r="AG272" s="20" t="inlineStr">
        <is>
          <t>egy.mit.airpol.cost.res.coa.3</t>
        </is>
      </c>
      <c r="AH272" s="3" t="n">
        <v>31.71236851198692</v>
      </c>
      <c r="AI272" s="3" t="n">
        <v>31.71236851198692</v>
      </c>
      <c r="AJ272" s="3" t="n">
        <v>30.14315785080923</v>
      </c>
      <c r="AK272" s="3" t="n">
        <v>21.42042372781679</v>
      </c>
      <c r="AL272" s="3" t="n">
        <v>24.4273865652779</v>
      </c>
      <c r="AM272" s="3" t="n">
        <v>25.35021421981781</v>
      </c>
      <c r="AN272" s="3" t="n">
        <v>27.68864793243904</v>
      </c>
      <c r="AO272" s="3" t="n">
        <v>29.90500525950285</v>
      </c>
      <c r="AP272" s="3" t="n">
        <v>31.9723399389604</v>
      </c>
      <c r="AQ272" s="3" t="n">
        <v>32.65057844567213</v>
      </c>
      <c r="AR272" s="3" t="n">
        <v>34.02691059955268</v>
      </c>
      <c r="AS272" s="3" t="n">
        <v>35.44753498983742</v>
      </c>
      <c r="AT272" s="3" t="n">
        <v>36.91212433399139</v>
      </c>
      <c r="AU272" s="3" t="n">
        <v>38.42166047961955</v>
      </c>
      <c r="AV272" s="3" t="n">
        <v>39.97516157911693</v>
      </c>
      <c r="AW272" s="3" t="n">
        <v>41.57480951605023</v>
      </c>
      <c r="AX272" s="3" t="n">
        <v>43.21733146506936</v>
      </c>
      <c r="AY272" s="3" t="n">
        <v>44.90185467274767</v>
      </c>
      <c r="AZ272" s="3" t="n">
        <v>46.62728819730177</v>
      </c>
      <c r="BA272" s="3" t="n">
        <v>46.62728819730177</v>
      </c>
      <c r="BC272" s="20" t="inlineStr">
        <is>
          <t>egy.mit.airpol.cost.res.coa.4</t>
        </is>
      </c>
      <c r="BD272" s="3" t="n">
        <v>31.71236851198692</v>
      </c>
      <c r="BE272" s="3" t="n">
        <v>31.71236851198692</v>
      </c>
      <c r="BF272" s="3" t="n">
        <v>30.14315785080923</v>
      </c>
      <c r="BG272" s="3" t="n">
        <v>21.42042372781679</v>
      </c>
      <c r="BH272" s="3" t="n">
        <v>24.4273865652779</v>
      </c>
      <c r="BI272" s="3" t="n">
        <v>25.35021421981781</v>
      </c>
      <c r="BJ272" s="3" t="n">
        <v>27.68864793243904</v>
      </c>
      <c r="BK272" s="3" t="n">
        <v>29.90500525950285</v>
      </c>
      <c r="BL272" s="3" t="n">
        <v>31.9723399389604</v>
      </c>
      <c r="BM272" s="3" t="n">
        <v>32.65057844567213</v>
      </c>
      <c r="BN272" s="3" t="n">
        <v>34.02691059955268</v>
      </c>
      <c r="BO272" s="3" t="n">
        <v>35.44753498983742</v>
      </c>
      <c r="BP272" s="3" t="n">
        <v>36.91212433399139</v>
      </c>
      <c r="BQ272" s="3" t="n">
        <v>38.42166047961955</v>
      </c>
      <c r="BR272" s="3" t="n">
        <v>39.97516157911693</v>
      </c>
      <c r="BS272" s="3" t="n">
        <v>41.57480951605023</v>
      </c>
      <c r="BT272" s="3" t="n">
        <v>43.21733146506936</v>
      </c>
      <c r="BU272" s="3" t="n">
        <v>44.90185467274767</v>
      </c>
      <c r="BV272" s="3" t="n">
        <v>46.62728819730176</v>
      </c>
      <c r="BW272" s="3" t="n">
        <v>46.62728819730177</v>
      </c>
      <c r="BY272" s="20" t="inlineStr">
        <is>
          <t>egy.mit.airpol.cost.res.coa.5</t>
        </is>
      </c>
      <c r="BZ272" s="3" t="n">
        <v>31.71236851198692</v>
      </c>
      <c r="CA272" s="3" t="n">
        <v>31.71236851198692</v>
      </c>
      <c r="CB272" s="3" t="n">
        <v>30.14315785080923</v>
      </c>
      <c r="CC272" s="3" t="n">
        <v>21.42042372781679</v>
      </c>
      <c r="CD272" s="3" t="n">
        <v>24.4273865652779</v>
      </c>
      <c r="CE272" s="3" t="n">
        <v>25.35021421981781</v>
      </c>
      <c r="CF272" s="3" t="n">
        <v>27.68864793243904</v>
      </c>
      <c r="CG272" s="3" t="n">
        <v>29.90500525950285</v>
      </c>
      <c r="CH272" s="3" t="n">
        <v>31.97233993896039</v>
      </c>
      <c r="CI272" s="3" t="n">
        <v>32.65057844567213</v>
      </c>
      <c r="CJ272" s="3" t="n">
        <v>34.02691059955268</v>
      </c>
      <c r="CK272" s="3" t="n">
        <v>35.44753498983742</v>
      </c>
      <c r="CL272" s="3" t="n">
        <v>36.91212433399139</v>
      </c>
      <c r="CM272" s="3" t="n">
        <v>38.42166047961955</v>
      </c>
      <c r="CN272" s="3" t="n">
        <v>39.97516157911693</v>
      </c>
      <c r="CO272" s="3" t="n">
        <v>41.57480951605023</v>
      </c>
      <c r="CP272" s="3" t="n">
        <v>43.21733146506936</v>
      </c>
      <c r="CQ272" s="3" t="n">
        <v>44.90185467274767</v>
      </c>
      <c r="CR272" s="3" t="n">
        <v>46.62728819730177</v>
      </c>
      <c r="CS272" s="3" t="n">
        <v>46.62728819730177</v>
      </c>
      <c r="CU272" s="20" t="inlineStr">
        <is>
          <t>egy.mit.airpol.cost.res.coa.6</t>
        </is>
      </c>
      <c r="CV272" s="3" t="n">
        <v>31.71236851198692</v>
      </c>
      <c r="CW272" s="3" t="n">
        <v>31.71236851198692</v>
      </c>
      <c r="CX272" s="3" t="n">
        <v>30.14315785080923</v>
      </c>
      <c r="CY272" s="3" t="n">
        <v>21.42042372781679</v>
      </c>
      <c r="CZ272" s="3" t="n">
        <v>24.4273865652779</v>
      </c>
      <c r="DA272" s="3" t="n">
        <v>25.35021421981782</v>
      </c>
      <c r="DB272" s="3" t="n">
        <v>27.68864793243904</v>
      </c>
      <c r="DC272" s="3" t="n">
        <v>29.90500525950285</v>
      </c>
      <c r="DD272" s="3" t="n">
        <v>31.9723399389604</v>
      </c>
      <c r="DE272" s="3" t="n">
        <v>32.65057844567213</v>
      </c>
      <c r="DF272" s="3" t="n">
        <v>34.02691059955268</v>
      </c>
      <c r="DG272" s="3" t="n">
        <v>35.44753498983742</v>
      </c>
      <c r="DH272" s="3" t="n">
        <v>36.91212433399139</v>
      </c>
      <c r="DI272" s="3" t="n">
        <v>38.42166047961955</v>
      </c>
      <c r="DJ272" s="3" t="n">
        <v>39.97516157911693</v>
      </c>
      <c r="DK272" s="3" t="n">
        <v>41.57480951605023</v>
      </c>
      <c r="DL272" s="3" t="n">
        <v>43.21733146506936</v>
      </c>
      <c r="DM272" s="3" t="n">
        <v>44.90185467274767</v>
      </c>
      <c r="DN272" s="3" t="n">
        <v>46.62728819730177</v>
      </c>
      <c r="DO272" s="3" t="n">
        <v>46.62728819730177</v>
      </c>
    </row>
    <row r="273">
      <c r="A273" s="19" t="inlineStr">
        <is>
          <t>mit.scc.cost.res.coa</t>
        </is>
      </c>
      <c r="B273" s="3" t="inlineStr">
        <is>
          <t>mit</t>
        </is>
      </c>
      <c r="C273" s="19" t="inlineStr">
        <is>
          <t>mit.scc.cost.coa.res</t>
        </is>
      </c>
      <c r="H273" s="3" t="inlineStr">
        <is>
          <t>Efficient price: climate damage (national SCC) | Residential | Coal</t>
        </is>
      </c>
      <c r="I273" s="3" t="inlineStr">
        <is>
          <t>USD per price unit</t>
        </is>
      </c>
      <c r="K273" s="20" t="inlineStr">
        <is>
          <t>egy.mit.scc.cost.res.coa.1</t>
        </is>
      </c>
      <c r="L273" s="3" t="n">
        <v>5.272075967130314</v>
      </c>
      <c r="M273" s="3" t="n">
        <v>5.482959005815526</v>
      </c>
      <c r="N273" s="3" t="n">
        <v>5.702277366048148</v>
      </c>
      <c r="O273" s="3" t="n">
        <v>5.930368460690074</v>
      </c>
      <c r="P273" s="3" t="n">
        <v>6.167583199117677</v>
      </c>
      <c r="Q273" s="3" t="n">
        <v>6.414286527082384</v>
      </c>
      <c r="R273" s="3" t="n">
        <v>6.67085798816568</v>
      </c>
      <c r="S273" s="3" t="n">
        <v>6.937692307692306</v>
      </c>
      <c r="T273" s="3" t="n">
        <v>7.215199999999999</v>
      </c>
      <c r="U273" s="3" t="n">
        <v>7.503807999999999</v>
      </c>
      <c r="V273" s="3" t="n">
        <v>7.80396032</v>
      </c>
      <c r="W273" s="3" t="n">
        <v>8.1161187328</v>
      </c>
      <c r="X273" s="3" t="n">
        <v>8.440763482112001</v>
      </c>
      <c r="Y273" s="3" t="n">
        <v>8.77839402139648</v>
      </c>
      <c r="Z273" s="3" t="n">
        <v>9.129529782252341</v>
      </c>
      <c r="AA273" s="3" t="n">
        <v>9.494710973542434</v>
      </c>
      <c r="AB273" s="3" t="n">
        <v>9.874499412484131</v>
      </c>
      <c r="AC273" s="3" t="n">
        <v>10.2694793889835</v>
      </c>
      <c r="AD273" s="3" t="n">
        <v>10.68025856454284</v>
      </c>
      <c r="AE273" s="3" t="n">
        <v>11.10746890712455</v>
      </c>
      <c r="AG273" s="20" t="inlineStr">
        <is>
          <t>egy.mit.scc.cost.res.coa.3</t>
        </is>
      </c>
      <c r="AH273" s="3" t="n">
        <v>5.272075967130314</v>
      </c>
      <c r="AI273" s="3" t="n">
        <v>5.482959005815526</v>
      </c>
      <c r="AJ273" s="3" t="n">
        <v>5.702277366048148</v>
      </c>
      <c r="AK273" s="3" t="n">
        <v>5.930368460690074</v>
      </c>
      <c r="AL273" s="3" t="n">
        <v>6.167583199117677</v>
      </c>
      <c r="AM273" s="3" t="n">
        <v>6.414286527082384</v>
      </c>
      <c r="AN273" s="3" t="n">
        <v>6.67085798816568</v>
      </c>
      <c r="AO273" s="3" t="n">
        <v>6.937692307692306</v>
      </c>
      <c r="AP273" s="3" t="n">
        <v>7.215199999999999</v>
      </c>
      <c r="AQ273" s="3" t="n">
        <v>7.503807999999999</v>
      </c>
      <c r="AR273" s="3" t="n">
        <v>7.80396032</v>
      </c>
      <c r="AS273" s="3" t="n">
        <v>8.1161187328</v>
      </c>
      <c r="AT273" s="3" t="n">
        <v>8.440763482112001</v>
      </c>
      <c r="AU273" s="3" t="n">
        <v>8.77839402139648</v>
      </c>
      <c r="AV273" s="3" t="n">
        <v>9.129529782252341</v>
      </c>
      <c r="AW273" s="3" t="n">
        <v>9.494710973542434</v>
      </c>
      <c r="AX273" s="3" t="n">
        <v>9.874499412484131</v>
      </c>
      <c r="AY273" s="3" t="n">
        <v>10.2694793889835</v>
      </c>
      <c r="AZ273" s="3" t="n">
        <v>10.68025856454284</v>
      </c>
      <c r="BA273" s="3" t="n">
        <v>11.10746890712455</v>
      </c>
      <c r="BC273" s="20" t="inlineStr">
        <is>
          <t>egy.mit.scc.cost.res.coa.4</t>
        </is>
      </c>
      <c r="BD273" s="3" t="n">
        <v>5.272075967130314</v>
      </c>
      <c r="BE273" s="3" t="n">
        <v>5.482959005815526</v>
      </c>
      <c r="BF273" s="3" t="n">
        <v>5.702277366048148</v>
      </c>
      <c r="BG273" s="3" t="n">
        <v>5.930368460690074</v>
      </c>
      <c r="BH273" s="3" t="n">
        <v>6.167583199117677</v>
      </c>
      <c r="BI273" s="3" t="n">
        <v>6.414286527082384</v>
      </c>
      <c r="BJ273" s="3" t="n">
        <v>6.67085798816568</v>
      </c>
      <c r="BK273" s="3" t="n">
        <v>6.937692307692306</v>
      </c>
      <c r="BL273" s="3" t="n">
        <v>7.215199999999999</v>
      </c>
      <c r="BM273" s="3" t="n">
        <v>7.503807999999999</v>
      </c>
      <c r="BN273" s="3" t="n">
        <v>7.80396032</v>
      </c>
      <c r="BO273" s="3" t="n">
        <v>8.1161187328</v>
      </c>
      <c r="BP273" s="3" t="n">
        <v>8.440763482112001</v>
      </c>
      <c r="BQ273" s="3" t="n">
        <v>8.77839402139648</v>
      </c>
      <c r="BR273" s="3" t="n">
        <v>9.129529782252341</v>
      </c>
      <c r="BS273" s="3" t="n">
        <v>9.494710973542434</v>
      </c>
      <c r="BT273" s="3" t="n">
        <v>9.874499412484131</v>
      </c>
      <c r="BU273" s="3" t="n">
        <v>10.2694793889835</v>
      </c>
      <c r="BV273" s="3" t="n">
        <v>10.68025856454284</v>
      </c>
      <c r="BW273" s="3" t="n">
        <v>11.10746890712455</v>
      </c>
      <c r="BY273" s="20" t="inlineStr">
        <is>
          <t>egy.mit.scc.cost.res.coa.5</t>
        </is>
      </c>
      <c r="BZ273" s="3" t="n">
        <v>5.272075967130314</v>
      </c>
      <c r="CA273" s="3" t="n">
        <v>5.482959005815526</v>
      </c>
      <c r="CB273" s="3" t="n">
        <v>5.702277366048148</v>
      </c>
      <c r="CC273" s="3" t="n">
        <v>5.930368460690074</v>
      </c>
      <c r="CD273" s="3" t="n">
        <v>6.167583199117677</v>
      </c>
      <c r="CE273" s="3" t="n">
        <v>6.414286527082384</v>
      </c>
      <c r="CF273" s="3" t="n">
        <v>6.67085798816568</v>
      </c>
      <c r="CG273" s="3" t="n">
        <v>6.937692307692306</v>
      </c>
      <c r="CH273" s="3" t="n">
        <v>7.215199999999999</v>
      </c>
      <c r="CI273" s="3" t="n">
        <v>7.503807999999999</v>
      </c>
      <c r="CJ273" s="3" t="n">
        <v>7.80396032</v>
      </c>
      <c r="CK273" s="3" t="n">
        <v>8.1161187328</v>
      </c>
      <c r="CL273" s="3" t="n">
        <v>8.440763482112001</v>
      </c>
      <c r="CM273" s="3" t="n">
        <v>8.77839402139648</v>
      </c>
      <c r="CN273" s="3" t="n">
        <v>9.129529782252341</v>
      </c>
      <c r="CO273" s="3" t="n">
        <v>9.494710973542434</v>
      </c>
      <c r="CP273" s="3" t="n">
        <v>9.874499412484131</v>
      </c>
      <c r="CQ273" s="3" t="n">
        <v>10.2694793889835</v>
      </c>
      <c r="CR273" s="3" t="n">
        <v>10.68025856454284</v>
      </c>
      <c r="CS273" s="3" t="n">
        <v>11.10746890712455</v>
      </c>
      <c r="CU273" s="20" t="inlineStr">
        <is>
          <t>egy.mit.scc.cost.res.coa.6</t>
        </is>
      </c>
      <c r="CV273" s="3" t="n">
        <v>5.272075967130314</v>
      </c>
      <c r="CW273" s="3" t="n">
        <v>5.482959005815526</v>
      </c>
      <c r="CX273" s="3" t="n">
        <v>5.702277366048148</v>
      </c>
      <c r="CY273" s="3" t="n">
        <v>5.930368460690074</v>
      </c>
      <c r="CZ273" s="3" t="n">
        <v>6.167583199117677</v>
      </c>
      <c r="DA273" s="3" t="n">
        <v>6.414286527082384</v>
      </c>
      <c r="DB273" s="3" t="n">
        <v>6.67085798816568</v>
      </c>
      <c r="DC273" s="3" t="n">
        <v>6.937692307692306</v>
      </c>
      <c r="DD273" s="3" t="n">
        <v>7.215199999999999</v>
      </c>
      <c r="DE273" s="3" t="n">
        <v>7.503807999999999</v>
      </c>
      <c r="DF273" s="3" t="n">
        <v>7.80396032</v>
      </c>
      <c r="DG273" s="3" t="n">
        <v>8.1161187328</v>
      </c>
      <c r="DH273" s="3" t="n">
        <v>8.440763482112001</v>
      </c>
      <c r="DI273" s="3" t="n">
        <v>8.77839402139648</v>
      </c>
      <c r="DJ273" s="3" t="n">
        <v>9.129529782252341</v>
      </c>
      <c r="DK273" s="3" t="n">
        <v>9.494710973542434</v>
      </c>
      <c r="DL273" s="3" t="n">
        <v>9.874499412484131</v>
      </c>
      <c r="DM273" s="3" t="n">
        <v>10.2694793889835</v>
      </c>
      <c r="DN273" s="3" t="n">
        <v>10.68025856454284</v>
      </c>
      <c r="DO273" s="3" t="n">
        <v>11.10746890712455</v>
      </c>
    </row>
    <row r="274">
      <c r="A274" s="19" t="inlineStr">
        <is>
          <t>mit.vat.cost.res.coa</t>
        </is>
      </c>
      <c r="B274" s="3" t="inlineStr">
        <is>
          <t>mit</t>
        </is>
      </c>
      <c r="C274" s="19" t="inlineStr">
        <is>
          <t>mit.vat.cost.coa.res</t>
        </is>
      </c>
      <c r="H274" s="3" t="inlineStr">
        <is>
          <t>Efficient price: potential VAT | Residential | Coal</t>
        </is>
      </c>
      <c r="I274" s="3" t="inlineStr">
        <is>
          <t>USD per price unit</t>
        </is>
      </c>
      <c r="K274" s="20" t="inlineStr">
        <is>
          <t>egy.mit.vat.cost.res.coa.1</t>
        </is>
      </c>
      <c r="L274" s="3" t="n">
        <v>3.608458485076589</v>
      </c>
      <c r="M274" s="3" t="n">
        <v>2.638613241692455</v>
      </c>
      <c r="N274" s="3" t="n">
        <v>2.576538043501198</v>
      </c>
      <c r="O274" s="3" t="n">
        <v>2.462331915303592</v>
      </c>
      <c r="P274" s="3" t="n">
        <v>2.57606374738491</v>
      </c>
      <c r="Q274" s="3" t="n">
        <v>2.628765893850931</v>
      </c>
      <c r="R274" s="3" t="n">
        <v>2.656073363688735</v>
      </c>
      <c r="S274" s="3" t="n">
        <v>2.684194256215365</v>
      </c>
      <c r="T274" s="3" t="n">
        <v>2.713160506629037</v>
      </c>
      <c r="U274" s="3" t="n">
        <v>2.744026366717025</v>
      </c>
      <c r="V274" s="3" t="n">
        <v>2.786047691517025</v>
      </c>
      <c r="W274" s="3" t="n">
        <v>2.829749869309025</v>
      </c>
      <c r="X274" s="3" t="n">
        <v>2.875200134212706</v>
      </c>
      <c r="Y274" s="3" t="n">
        <v>2.922468409712532</v>
      </c>
      <c r="Z274" s="3" t="n">
        <v>2.971627416232353</v>
      </c>
      <c r="AA274" s="3" t="n">
        <v>3.022752783012966</v>
      </c>
      <c r="AB274" s="3" t="n">
        <v>3.075923164464804</v>
      </c>
      <c r="AC274" s="3" t="n">
        <v>3.131220361174715</v>
      </c>
      <c r="AD274" s="3" t="n">
        <v>3.188729445753022</v>
      </c>
      <c r="AE274" s="3" t="n">
        <v>3.248538893714462</v>
      </c>
      <c r="AG274" s="20" t="inlineStr">
        <is>
          <t>egy.mit.vat.cost.res.coa.3</t>
        </is>
      </c>
      <c r="AH274" s="3" t="n">
        <v>3.608458485076589</v>
      </c>
      <c r="AI274" s="3" t="n">
        <v>2.638613241692455</v>
      </c>
      <c r="AJ274" s="3" t="n">
        <v>2.576538043501198</v>
      </c>
      <c r="AK274" s="3" t="n">
        <v>2.462331915303592</v>
      </c>
      <c r="AL274" s="3" t="n">
        <v>2.57606374738491</v>
      </c>
      <c r="AM274" s="3" t="n">
        <v>2.628765893850931</v>
      </c>
      <c r="AN274" s="3" t="n">
        <v>2.656073363688735</v>
      </c>
      <c r="AO274" s="3" t="n">
        <v>2.684194256215365</v>
      </c>
      <c r="AP274" s="3" t="n">
        <v>2.713160506629037</v>
      </c>
      <c r="AQ274" s="3" t="n">
        <v>2.744026366717025</v>
      </c>
      <c r="AR274" s="3" t="n">
        <v>2.786047691517025</v>
      </c>
      <c r="AS274" s="3" t="n">
        <v>2.829749869309025</v>
      </c>
      <c r="AT274" s="3" t="n">
        <v>2.875200134212706</v>
      </c>
      <c r="AU274" s="3" t="n">
        <v>2.922468409712532</v>
      </c>
      <c r="AV274" s="3" t="n">
        <v>2.971627416232353</v>
      </c>
      <c r="AW274" s="3" t="n">
        <v>3.022752783012966</v>
      </c>
      <c r="AX274" s="3" t="n">
        <v>3.075923164464804</v>
      </c>
      <c r="AY274" s="3" t="n">
        <v>3.131220361174715</v>
      </c>
      <c r="AZ274" s="3" t="n">
        <v>3.188729445753022</v>
      </c>
      <c r="BA274" s="3" t="n">
        <v>3.248538893714462</v>
      </c>
      <c r="BC274" s="20" t="inlineStr">
        <is>
          <t>egy.mit.vat.cost.res.coa.4</t>
        </is>
      </c>
      <c r="BD274" s="3" t="n">
        <v>3.608458485076589</v>
      </c>
      <c r="BE274" s="3" t="n">
        <v>2.638613241692455</v>
      </c>
      <c r="BF274" s="3" t="n">
        <v>2.576538043501198</v>
      </c>
      <c r="BG274" s="3" t="n">
        <v>2.462331915303592</v>
      </c>
      <c r="BH274" s="3" t="n">
        <v>2.57606374738491</v>
      </c>
      <c r="BI274" s="3" t="n">
        <v>2.628765893850931</v>
      </c>
      <c r="BJ274" s="3" t="n">
        <v>2.656073363688735</v>
      </c>
      <c r="BK274" s="3" t="n">
        <v>2.684194256215365</v>
      </c>
      <c r="BL274" s="3" t="n">
        <v>2.713160506629037</v>
      </c>
      <c r="BM274" s="3" t="n">
        <v>2.744026366717025</v>
      </c>
      <c r="BN274" s="3" t="n">
        <v>2.786047691517025</v>
      </c>
      <c r="BO274" s="3" t="n">
        <v>2.829749869309025</v>
      </c>
      <c r="BP274" s="3" t="n">
        <v>2.875200134212706</v>
      </c>
      <c r="BQ274" s="3" t="n">
        <v>2.922468409712532</v>
      </c>
      <c r="BR274" s="3" t="n">
        <v>2.971627416232353</v>
      </c>
      <c r="BS274" s="3" t="n">
        <v>3.022752783012966</v>
      </c>
      <c r="BT274" s="3" t="n">
        <v>3.075923164464804</v>
      </c>
      <c r="BU274" s="3" t="n">
        <v>3.131220361174715</v>
      </c>
      <c r="BV274" s="3" t="n">
        <v>3.188729445753022</v>
      </c>
      <c r="BW274" s="3" t="n">
        <v>3.248538893714462</v>
      </c>
      <c r="BY274" s="20" t="inlineStr">
        <is>
          <t>egy.mit.vat.cost.res.coa.5</t>
        </is>
      </c>
      <c r="BZ274" s="3" t="n">
        <v>3.608458485076589</v>
      </c>
      <c r="CA274" s="3" t="n">
        <v>2.638613241692455</v>
      </c>
      <c r="CB274" s="3" t="n">
        <v>2.576538043501198</v>
      </c>
      <c r="CC274" s="3" t="n">
        <v>2.462331915303592</v>
      </c>
      <c r="CD274" s="3" t="n">
        <v>2.57606374738491</v>
      </c>
      <c r="CE274" s="3" t="n">
        <v>2.628765893850931</v>
      </c>
      <c r="CF274" s="3" t="n">
        <v>2.656073363688735</v>
      </c>
      <c r="CG274" s="3" t="n">
        <v>2.684194256215365</v>
      </c>
      <c r="CH274" s="3" t="n">
        <v>2.713160506629037</v>
      </c>
      <c r="CI274" s="3" t="n">
        <v>2.744026366717025</v>
      </c>
      <c r="CJ274" s="3" t="n">
        <v>2.786047691517025</v>
      </c>
      <c r="CK274" s="3" t="n">
        <v>2.829749869309025</v>
      </c>
      <c r="CL274" s="3" t="n">
        <v>2.875200134212706</v>
      </c>
      <c r="CM274" s="3" t="n">
        <v>2.922468409712532</v>
      </c>
      <c r="CN274" s="3" t="n">
        <v>2.971627416232353</v>
      </c>
      <c r="CO274" s="3" t="n">
        <v>3.022752783012966</v>
      </c>
      <c r="CP274" s="3" t="n">
        <v>3.075923164464804</v>
      </c>
      <c r="CQ274" s="3" t="n">
        <v>3.131220361174715</v>
      </c>
      <c r="CR274" s="3" t="n">
        <v>3.188729445753022</v>
      </c>
      <c r="CS274" s="3" t="n">
        <v>3.248538893714462</v>
      </c>
      <c r="CU274" s="20" t="inlineStr">
        <is>
          <t>egy.mit.vat.cost.res.coa.6</t>
        </is>
      </c>
      <c r="CV274" s="3" t="n">
        <v>3.608458485076589</v>
      </c>
      <c r="CW274" s="3" t="n">
        <v>2.638613241692455</v>
      </c>
      <c r="CX274" s="3" t="n">
        <v>2.576538043501198</v>
      </c>
      <c r="CY274" s="3" t="n">
        <v>2.462331915303592</v>
      </c>
      <c r="CZ274" s="3" t="n">
        <v>2.57606374738491</v>
      </c>
      <c r="DA274" s="3" t="n">
        <v>2.628765893850931</v>
      </c>
      <c r="DB274" s="3" t="n">
        <v>2.656073363688735</v>
      </c>
      <c r="DC274" s="3" t="n">
        <v>2.684194256215365</v>
      </c>
      <c r="DD274" s="3" t="n">
        <v>2.713160506629037</v>
      </c>
      <c r="DE274" s="3" t="n">
        <v>2.744026366717025</v>
      </c>
      <c r="DF274" s="3" t="n">
        <v>2.786047691517025</v>
      </c>
      <c r="DG274" s="3" t="n">
        <v>2.829749869309025</v>
      </c>
      <c r="DH274" s="3" t="n">
        <v>2.875200134212706</v>
      </c>
      <c r="DI274" s="3" t="n">
        <v>2.922468409712532</v>
      </c>
      <c r="DJ274" s="3" t="n">
        <v>2.971627416232353</v>
      </c>
      <c r="DK274" s="3" t="n">
        <v>3.022752783012966</v>
      </c>
      <c r="DL274" s="3" t="n">
        <v>3.075923164464804</v>
      </c>
      <c r="DM274" s="3" t="n">
        <v>3.131220361174715</v>
      </c>
      <c r="DN274" s="3" t="n">
        <v>3.188729445753022</v>
      </c>
      <c r="DO274" s="3" t="n">
        <v>3.248538893714462</v>
      </c>
    </row>
    <row r="275">
      <c r="A275" s="19" t="inlineStr">
        <is>
          <t>mit.rp.eff.res.coa</t>
        </is>
      </c>
      <c r="B275" s="3" t="inlineStr">
        <is>
          <t>mit</t>
        </is>
      </c>
      <c r="C275" s="19" t="inlineStr">
        <is>
          <t>mit.rp.coa.res</t>
        </is>
      </c>
      <c r="H275" s="3" t="inlineStr">
        <is>
          <t>Efficient price block: retail price of the scenario | Residential | Coal</t>
        </is>
      </c>
      <c r="I275" s="3" t="inlineStr">
        <is>
          <t>USD per price unit</t>
        </is>
      </c>
      <c r="K275" s="20" t="inlineStr">
        <is>
          <t>egy.mit.rp.eff.res.coa.1</t>
        </is>
      </c>
      <c r="L275" s="3" t="n">
        <v>23.57657960090451</v>
      </c>
      <c r="M275" s="3" t="n">
        <v>15.45297302294686</v>
      </c>
      <c r="N275" s="3" t="n">
        <v>14.48322663188887</v>
      </c>
      <c r="O275" s="3" t="n">
        <v>13.29323859724514</v>
      </c>
      <c r="P275" s="3" t="n">
        <v>13.94891585667126</v>
      </c>
      <c r="Q275" s="3" t="n">
        <v>14.09682011258624</v>
      </c>
      <c r="R275" s="3" t="n">
        <v>14.0266894727734</v>
      </c>
      <c r="S275" s="3" t="n">
        <v>13.95148275908703</v>
      </c>
      <c r="T275" s="3" t="n">
        <v>13.87099202893901</v>
      </c>
      <c r="U275" s="3" t="n">
        <v>13.79331519822692</v>
      </c>
      <c r="V275" s="3" t="n">
        <v>13.79331519822692</v>
      </c>
      <c r="W275" s="3" t="n">
        <v>13.79331519822692</v>
      </c>
      <c r="X275" s="3" t="n">
        <v>13.79331519822692</v>
      </c>
      <c r="Y275" s="3" t="n">
        <v>13.79331519822692</v>
      </c>
      <c r="Z275" s="3" t="n">
        <v>13.79331519822692</v>
      </c>
      <c r="AA275" s="3" t="n">
        <v>13.79331519822692</v>
      </c>
      <c r="AB275" s="3" t="n">
        <v>13.79331519822692</v>
      </c>
      <c r="AC275" s="3" t="n">
        <v>13.79331519822692</v>
      </c>
      <c r="AD275" s="3" t="n">
        <v>13.79331519822692</v>
      </c>
      <c r="AE275" s="3" t="n">
        <v>13.79331519822692</v>
      </c>
      <c r="AG275" s="20" t="inlineStr">
        <is>
          <t>egy.mit.rp.eff.res.coa.3</t>
        </is>
      </c>
      <c r="AH275" s="3" t="n">
        <v>23.57657960090451</v>
      </c>
      <c r="AI275" s="3" t="n">
        <v>15.45297302294686</v>
      </c>
      <c r="AJ275" s="3" t="n">
        <v>14.48322663188887</v>
      </c>
      <c r="AK275" s="3" t="n">
        <v>13.29323859724514</v>
      </c>
      <c r="AL275" s="3" t="n">
        <v>13.94891585667126</v>
      </c>
      <c r="AM275" s="3" t="n">
        <v>16.23727186510143</v>
      </c>
      <c r="AN275" s="3" t="n">
        <v>16.1671412252886</v>
      </c>
      <c r="AO275" s="3" t="n">
        <v>16.09193451160223</v>
      </c>
      <c r="AP275" s="3" t="n">
        <v>16.01144378145421</v>
      </c>
      <c r="AQ275" s="3" t="n">
        <v>15.93376695074211</v>
      </c>
      <c r="AR275" s="3" t="n">
        <v>15.93376695074211</v>
      </c>
      <c r="AS275" s="3" t="n">
        <v>15.93376695074211</v>
      </c>
      <c r="AT275" s="3" t="n">
        <v>15.93376695074212</v>
      </c>
      <c r="AU275" s="3" t="n">
        <v>15.93376695074212</v>
      </c>
      <c r="AV275" s="3" t="n">
        <v>15.93376695074212</v>
      </c>
      <c r="AW275" s="3" t="n">
        <v>15.93376695074211</v>
      </c>
      <c r="AX275" s="3" t="n">
        <v>15.93376695074211</v>
      </c>
      <c r="AY275" s="3" t="n">
        <v>15.93376695074211</v>
      </c>
      <c r="AZ275" s="3" t="n">
        <v>15.93376695074211</v>
      </c>
      <c r="BA275" s="3" t="n">
        <v>15.93376695074211</v>
      </c>
      <c r="BC275" s="20" t="inlineStr">
        <is>
          <t>egy.mit.rp.eff.res.coa.4</t>
        </is>
      </c>
      <c r="BD275" s="3" t="n">
        <v>23.57657960090451</v>
      </c>
      <c r="BE275" s="3" t="n">
        <v>15.45297302294686</v>
      </c>
      <c r="BF275" s="3" t="n">
        <v>14.48322663188887</v>
      </c>
      <c r="BG275" s="3" t="n">
        <v>13.29323859724514</v>
      </c>
      <c r="BH275" s="3" t="n">
        <v>13.94891585667126</v>
      </c>
      <c r="BI275" s="3" t="n">
        <v>15.16704598884384</v>
      </c>
      <c r="BJ275" s="3" t="n">
        <v>16.52388318404113</v>
      </c>
      <c r="BK275" s="3" t="n">
        <v>17.87564430536489</v>
      </c>
      <c r="BL275" s="3" t="n">
        <v>19.222121410227</v>
      </c>
      <c r="BM275" s="3" t="n">
        <v>20.57141241452504</v>
      </c>
      <c r="BN275" s="3" t="n">
        <v>21.99838024953517</v>
      </c>
      <c r="BO275" s="3" t="n">
        <v>23.4253480845453</v>
      </c>
      <c r="BP275" s="3" t="n">
        <v>24.85231591955543</v>
      </c>
      <c r="BQ275" s="3" t="n">
        <v>26.27928375456556</v>
      </c>
      <c r="BR275" s="3" t="n">
        <v>27.70625158957569</v>
      </c>
      <c r="BS275" s="3" t="n">
        <v>29.13321942458582</v>
      </c>
      <c r="BT275" s="3" t="n">
        <v>30.56018725959596</v>
      </c>
      <c r="BU275" s="3" t="n">
        <v>31.98715509460608</v>
      </c>
      <c r="BV275" s="3" t="n">
        <v>33.41412292961621</v>
      </c>
      <c r="BW275" s="3" t="n">
        <v>34.84109076462634</v>
      </c>
      <c r="BY275" s="20" t="inlineStr">
        <is>
          <t>egy.mit.rp.eff.res.coa.5</t>
        </is>
      </c>
      <c r="BZ275" s="3" t="n">
        <v>23.57657960090451</v>
      </c>
      <c r="CA275" s="3" t="n">
        <v>15.45297302294686</v>
      </c>
      <c r="CB275" s="3" t="n">
        <v>14.48322663188887</v>
      </c>
      <c r="CC275" s="3" t="n">
        <v>13.29323859724514</v>
      </c>
      <c r="CD275" s="3" t="n">
        <v>13.94891585667126</v>
      </c>
      <c r="CE275" s="3" t="n">
        <v>16.77238480323023</v>
      </c>
      <c r="CF275" s="3" t="n">
        <v>16.70225416341739</v>
      </c>
      <c r="CG275" s="3" t="n">
        <v>16.62704744973102</v>
      </c>
      <c r="CH275" s="3" t="n">
        <v>16.54655671958301</v>
      </c>
      <c r="CI275" s="3" t="n">
        <v>16.46887988887091</v>
      </c>
      <c r="CJ275" s="3" t="n">
        <v>16.46887988887091</v>
      </c>
      <c r="CK275" s="3" t="n">
        <v>16.46887988887091</v>
      </c>
      <c r="CL275" s="3" t="n">
        <v>16.46887988887092</v>
      </c>
      <c r="CM275" s="3" t="n">
        <v>16.46887988887092</v>
      </c>
      <c r="CN275" s="3" t="n">
        <v>16.46887988887092</v>
      </c>
      <c r="CO275" s="3" t="n">
        <v>16.46887988887091</v>
      </c>
      <c r="CP275" s="3" t="n">
        <v>16.46887988887091</v>
      </c>
      <c r="CQ275" s="3" t="n">
        <v>16.46887988887091</v>
      </c>
      <c r="CR275" s="3" t="n">
        <v>16.46887988887091</v>
      </c>
      <c r="CS275" s="3" t="n">
        <v>16.46887988887091</v>
      </c>
      <c r="CU275" s="20" t="inlineStr">
        <is>
          <t>egy.mit.rp.eff.res.coa.6</t>
        </is>
      </c>
      <c r="CV275" s="3" t="n">
        <v>23.57657960090451</v>
      </c>
      <c r="CW275" s="3" t="n">
        <v>15.45297302294686</v>
      </c>
      <c r="CX275" s="3" t="n">
        <v>14.48322663188887</v>
      </c>
      <c r="CY275" s="3" t="n">
        <v>13.29323859724514</v>
      </c>
      <c r="CZ275" s="3" t="n">
        <v>13.94891585667126</v>
      </c>
      <c r="DA275" s="3" t="n">
        <v>19.44794949387423</v>
      </c>
      <c r="DB275" s="3" t="n">
        <v>19.37781885406139</v>
      </c>
      <c r="DC275" s="3" t="n">
        <v>19.30261214037502</v>
      </c>
      <c r="DD275" s="3" t="n">
        <v>19.222121410227</v>
      </c>
      <c r="DE275" s="3" t="n">
        <v>19.14444457951491</v>
      </c>
      <c r="DF275" s="3" t="n">
        <v>19.14444457951491</v>
      </c>
      <c r="DG275" s="3" t="n">
        <v>19.14444457951491</v>
      </c>
      <c r="DH275" s="3" t="n">
        <v>19.14444457951491</v>
      </c>
      <c r="DI275" s="3" t="n">
        <v>19.14444457951491</v>
      </c>
      <c r="DJ275" s="3" t="n">
        <v>19.14444457951491</v>
      </c>
      <c r="DK275" s="3" t="n">
        <v>19.14444457951491</v>
      </c>
      <c r="DL275" s="3" t="n">
        <v>19.14444457951491</v>
      </c>
      <c r="DM275" s="3" t="n">
        <v>19.14444457951491</v>
      </c>
      <c r="DN275" s="3" t="n">
        <v>19.14444457951491</v>
      </c>
      <c r="DO275" s="3" t="n">
        <v>19.14444457951491</v>
      </c>
    </row>
    <row r="276">
      <c r="A276" s="19" t="inlineStr">
        <is>
          <t>mit.tgap.res.coa</t>
        </is>
      </c>
      <c r="B276" s="3" t="inlineStr">
        <is>
          <t>mit</t>
        </is>
      </c>
      <c r="C276" s="19" t="inlineStr">
        <is>
          <t>mit.tgap.coa.res</t>
        </is>
      </c>
      <c r="H276" s="3" t="inlineStr">
        <is>
          <t>Tax gap: retail price - efficient price | Residential | Coal</t>
        </is>
      </c>
      <c r="I276" s="3" t="inlineStr">
        <is>
          <t>USD per price unit</t>
        </is>
      </c>
      <c r="K276" s="20" t="inlineStr">
        <is>
          <t>egy.mit.tgap.res.coa.1</t>
        </is>
      </c>
      <c r="L276" s="3" t="n">
        <v>-5.806582349004856</v>
      </c>
      <c r="M276" s="3" t="n">
        <v>-6.032877659405989</v>
      </c>
      <c r="N276" s="3" t="n">
        <v>-6.49715457947803</v>
      </c>
      <c r="O276" s="3" t="n">
        <v>-6.757178427369825</v>
      </c>
      <c r="P276" s="3" t="n">
        <v>-7.027603229177293</v>
      </c>
      <c r="Q276" s="3" t="n">
        <v>-7.308845023057058</v>
      </c>
      <c r="R276" s="3" t="n">
        <v>-7.601336488692013</v>
      </c>
      <c r="S276" s="3" t="n">
        <v>-7.905527612952367</v>
      </c>
      <c r="T276" s="3" t="n">
        <v>-8.221886382183143</v>
      </c>
      <c r="U276" s="3" t="n">
        <v>-8.550899502183142</v>
      </c>
      <c r="V276" s="3" t="n">
        <v>-8.893073146983145</v>
      </c>
      <c r="W276" s="3" t="n">
        <v>-9.248933737575143</v>
      </c>
      <c r="X276" s="3" t="n">
        <v>-9.619028751790822</v>
      </c>
      <c r="Y276" s="3" t="n">
        <v>-10.00392756657513</v>
      </c>
      <c r="Z276" s="3" t="n">
        <v>-10.40422233395081</v>
      </c>
      <c r="AA276" s="3" t="n">
        <v>-10.82052889202151</v>
      </c>
      <c r="AB276" s="3" t="n">
        <v>-11.25348771241505</v>
      </c>
      <c r="AC276" s="3" t="n">
        <v>-11.70376488562433</v>
      </c>
      <c r="AD276" s="3" t="n">
        <v>-12.17205314576198</v>
      </c>
      <c r="AE276" s="3" t="n">
        <v>-12.65907293630513</v>
      </c>
      <c r="AG276" s="20" t="inlineStr">
        <is>
          <t>egy.mit.tgap.res.coa.3</t>
        </is>
      </c>
      <c r="AH276" s="3" t="n">
        <v>-5.806582349004856</v>
      </c>
      <c r="AI276" s="3" t="n">
        <v>-6.032877659405989</v>
      </c>
      <c r="AJ276" s="3" t="n">
        <v>-6.49715457947803</v>
      </c>
      <c r="AK276" s="3" t="n">
        <v>-6.757178427369825</v>
      </c>
      <c r="AL276" s="3" t="n">
        <v>-7.027603229177293</v>
      </c>
      <c r="AM276" s="3" t="n">
        <v>-5.168393270541863</v>
      </c>
      <c r="AN276" s="3" t="n">
        <v>-5.460884736176816</v>
      </c>
      <c r="AO276" s="3" t="n">
        <v>-5.765075860437172</v>
      </c>
      <c r="AP276" s="3" t="n">
        <v>-6.081434629667946</v>
      </c>
      <c r="AQ276" s="3" t="n">
        <v>-6.410447749667947</v>
      </c>
      <c r="AR276" s="3" t="n">
        <v>-6.752621394467949</v>
      </c>
      <c r="AS276" s="3" t="n">
        <v>-7.108481985059948</v>
      </c>
      <c r="AT276" s="3" t="n">
        <v>-7.478576999275626</v>
      </c>
      <c r="AU276" s="3" t="n">
        <v>-7.863475814059928</v>
      </c>
      <c r="AV276" s="3" t="n">
        <v>-8.26377058143561</v>
      </c>
      <c r="AW276" s="3" t="n">
        <v>-8.680077139506317</v>
      </c>
      <c r="AX276" s="3" t="n">
        <v>-9.113035959899854</v>
      </c>
      <c r="AY276" s="3" t="n">
        <v>-9.563313133109135</v>
      </c>
      <c r="AZ276" s="3" t="n">
        <v>-10.03160139324678</v>
      </c>
      <c r="BA276" s="3" t="n">
        <v>-10.51862118378994</v>
      </c>
      <c r="BC276" s="20" t="inlineStr">
        <is>
          <t>egy.mit.tgap.res.coa.4</t>
        </is>
      </c>
      <c r="BD276" s="3" t="n">
        <v>-5.806582349004856</v>
      </c>
      <c r="BE276" s="3" t="n">
        <v>-6.032877659405989</v>
      </c>
      <c r="BF276" s="3" t="n">
        <v>-6.49715457947803</v>
      </c>
      <c r="BG276" s="3" t="n">
        <v>-6.757178427369825</v>
      </c>
      <c r="BH276" s="3" t="n">
        <v>-7.027603229177293</v>
      </c>
      <c r="BI276" s="3" t="n">
        <v>-6.238619146799461</v>
      </c>
      <c r="BJ276" s="3" t="n">
        <v>-5.104142777424286</v>
      </c>
      <c r="BK276" s="3" t="n">
        <v>-3.981366066674507</v>
      </c>
      <c r="BL276" s="3" t="n">
        <v>-2.870757000895154</v>
      </c>
      <c r="BM276" s="3" t="n">
        <v>-1.772802285885025</v>
      </c>
      <c r="BN276" s="3" t="n">
        <v>-0.688008095674892</v>
      </c>
      <c r="BO276" s="3" t="n">
        <v>0.3830991487432378</v>
      </c>
      <c r="BP276" s="3" t="n">
        <v>1.439971969537687</v>
      </c>
      <c r="BQ276" s="3" t="n">
        <v>2.482040989763515</v>
      </c>
      <c r="BR276" s="3" t="n">
        <v>3.508714057397967</v>
      </c>
      <c r="BS276" s="3" t="n">
        <v>4.51937533433739</v>
      </c>
      <c r="BT276" s="3" t="n">
        <v>5.513384348953988</v>
      </c>
      <c r="BU276" s="3" t="n">
        <v>6.490075010754833</v>
      </c>
      <c r="BV276" s="3" t="n">
        <v>7.448754585627317</v>
      </c>
      <c r="BW276" s="3" t="n">
        <v>8.388702630094294</v>
      </c>
      <c r="BY276" s="20" t="inlineStr">
        <is>
          <t>egy.mit.tgap.res.coa.5</t>
        </is>
      </c>
      <c r="BZ276" s="3" t="n">
        <v>-5.806582349004856</v>
      </c>
      <c r="CA276" s="3" t="n">
        <v>-6.032877659405989</v>
      </c>
      <c r="CB276" s="3" t="n">
        <v>-6.49715457947803</v>
      </c>
      <c r="CC276" s="3" t="n">
        <v>-6.757178427369825</v>
      </c>
      <c r="CD276" s="3" t="n">
        <v>-7.027603229177293</v>
      </c>
      <c r="CE276" s="3" t="n">
        <v>-4.633280332413065</v>
      </c>
      <c r="CF276" s="3" t="n">
        <v>-4.925771798048018</v>
      </c>
      <c r="CG276" s="3" t="n">
        <v>-5.229962922308374</v>
      </c>
      <c r="CH276" s="3" t="n">
        <v>-5.546321691539148</v>
      </c>
      <c r="CI276" s="3" t="n">
        <v>-5.875334811539147</v>
      </c>
      <c r="CJ276" s="3" t="n">
        <v>-6.21750845633915</v>
      </c>
      <c r="CK276" s="3" t="n">
        <v>-6.573369046931148</v>
      </c>
      <c r="CL276" s="3" t="n">
        <v>-6.943464061146827</v>
      </c>
      <c r="CM276" s="3" t="n">
        <v>-7.328362875931131</v>
      </c>
      <c r="CN276" s="3" t="n">
        <v>-7.728657643306811</v>
      </c>
      <c r="CO276" s="3" t="n">
        <v>-8.144964201377519</v>
      </c>
      <c r="CP276" s="3" t="n">
        <v>-8.577923021771056</v>
      </c>
      <c r="CQ276" s="3" t="n">
        <v>-9.028200194980336</v>
      </c>
      <c r="CR276" s="3" t="n">
        <v>-9.496488455117984</v>
      </c>
      <c r="CS276" s="3" t="n">
        <v>-9.983508245661138</v>
      </c>
      <c r="CU276" s="20" t="inlineStr">
        <is>
          <t>egy.mit.tgap.res.coa.6</t>
        </is>
      </c>
      <c r="CV276" s="3" t="n">
        <v>-5.806582349004856</v>
      </c>
      <c r="CW276" s="3" t="n">
        <v>-6.032877659405989</v>
      </c>
      <c r="CX276" s="3" t="n">
        <v>-6.49715457947803</v>
      </c>
      <c r="CY276" s="3" t="n">
        <v>-6.757178427369825</v>
      </c>
      <c r="CZ276" s="3" t="n">
        <v>-7.027603229177293</v>
      </c>
      <c r="DA276" s="3" t="n">
        <v>-1.95771564176907</v>
      </c>
      <c r="DB276" s="3" t="n">
        <v>-2.250207107404023</v>
      </c>
      <c r="DC276" s="3" t="n">
        <v>-2.554398231664379</v>
      </c>
      <c r="DD276" s="3" t="n">
        <v>-2.870757000895154</v>
      </c>
      <c r="DE276" s="3" t="n">
        <v>-3.199770120895153</v>
      </c>
      <c r="DF276" s="3" t="n">
        <v>-3.541943765695155</v>
      </c>
      <c r="DG276" s="3" t="n">
        <v>-3.897804356287153</v>
      </c>
      <c r="DH276" s="3" t="n">
        <v>-4.267899370502832</v>
      </c>
      <c r="DI276" s="3" t="n">
        <v>-4.652798185287136</v>
      </c>
      <c r="DJ276" s="3" t="n">
        <v>-5.053092952662816</v>
      </c>
      <c r="DK276" s="3" t="n">
        <v>-5.469399510733524</v>
      </c>
      <c r="DL276" s="3" t="n">
        <v>-5.902358331127061</v>
      </c>
      <c r="DM276" s="3" t="n">
        <v>-6.352635504336341</v>
      </c>
      <c r="DN276" s="3" t="n">
        <v>-6.820923764473989</v>
      </c>
      <c r="DO276" s="3" t="n">
        <v>-7.307943555017143</v>
      </c>
    </row>
    <row r="277">
      <c r="A277" s="19" t="inlineStr">
        <is>
          <t>mit.txo.res.coa</t>
        </is>
      </c>
      <c r="B277" s="3" t="inlineStr">
        <is>
          <t>mit</t>
        </is>
      </c>
      <c r="C277" s="19" t="inlineStr">
        <is>
          <t>mit.txo.res.coa.a</t>
        </is>
      </c>
      <c r="H277" s="3" t="inlineStr">
        <is>
          <t>Excise and other taxes (before new policies) | Residential | Coal</t>
        </is>
      </c>
      <c r="I277" s="3" t="inlineStr">
        <is>
          <t>USD/GJ real</t>
        </is>
      </c>
      <c r="K277" s="20" t="inlineStr">
        <is>
          <t>egy.mit.txo.res.coa.1</t>
        </is>
      </c>
      <c r="L277" s="3" t="n">
        <v>0.1785826785295595</v>
      </c>
      <c r="M277" s="3" t="n">
        <v>0.1909610589681689</v>
      </c>
      <c r="N277" s="3" t="n">
        <v>0.003018962997242845</v>
      </c>
      <c r="O277" s="3" t="n">
        <v>0.003018962997242845</v>
      </c>
      <c r="P277" s="3" t="n">
        <v>0.003018962997242845</v>
      </c>
      <c r="Q277" s="3" t="n">
        <v>0.003018962997242845</v>
      </c>
      <c r="R277" s="3" t="n">
        <v>0.003018962997242845</v>
      </c>
      <c r="S277" s="3" t="n">
        <v>0.003018962997242845</v>
      </c>
      <c r="T277" s="3" t="n">
        <v>0.003018962997242845</v>
      </c>
      <c r="U277" s="3" t="n">
        <v>0.003018962997242845</v>
      </c>
      <c r="V277" s="3" t="n">
        <v>0.003018962997242845</v>
      </c>
      <c r="W277" s="3" t="n">
        <v>0.003018962997242845</v>
      </c>
      <c r="X277" s="3" t="n">
        <v>0.003018962997242845</v>
      </c>
      <c r="Y277" s="3" t="n">
        <v>0.003018962997242845</v>
      </c>
      <c r="Z277" s="3" t="n">
        <v>0.003018962997242845</v>
      </c>
      <c r="AA277" s="3" t="n">
        <v>0.003018962997242845</v>
      </c>
      <c r="AB277" s="3" t="n">
        <v>0.003018962997242845</v>
      </c>
      <c r="AC277" s="3" t="n">
        <v>0.003018962997242845</v>
      </c>
      <c r="AD277" s="3" t="n">
        <v>0.003018962997242845</v>
      </c>
      <c r="AE277" s="3" t="n">
        <v>0.003018962997242845</v>
      </c>
      <c r="AG277" s="20" t="inlineStr">
        <is>
          <t>egy.mit.txo.res.coa.3</t>
        </is>
      </c>
      <c r="AH277" s="3" t="n">
        <v>0.1785826785295595</v>
      </c>
      <c r="AI277" s="3" t="n">
        <v>0.1909610589681689</v>
      </c>
      <c r="AJ277" s="3" t="n">
        <v>0.003018962997242845</v>
      </c>
      <c r="AK277" s="3" t="n">
        <v>0.003018962997242845</v>
      </c>
      <c r="AL277" s="3" t="n">
        <v>0.003018962997242845</v>
      </c>
      <c r="AM277" s="3" t="n">
        <v>0.003018962997242845</v>
      </c>
      <c r="AN277" s="3" t="n">
        <v>0.003018962997242845</v>
      </c>
      <c r="AO277" s="3" t="n">
        <v>0.003018962997242845</v>
      </c>
      <c r="AP277" s="3" t="n">
        <v>0.003018962997242845</v>
      </c>
      <c r="AQ277" s="3" t="n">
        <v>0.003018962997242845</v>
      </c>
      <c r="AR277" s="3" t="n">
        <v>0.003018962997242845</v>
      </c>
      <c r="AS277" s="3" t="n">
        <v>0.003018962997242845</v>
      </c>
      <c r="AT277" s="3" t="n">
        <v>0.003018962997242845</v>
      </c>
      <c r="AU277" s="3" t="n">
        <v>0.003018962997242845</v>
      </c>
      <c r="AV277" s="3" t="n">
        <v>0.003018962997242845</v>
      </c>
      <c r="AW277" s="3" t="n">
        <v>0.003018962997242845</v>
      </c>
      <c r="AX277" s="3" t="n">
        <v>0.003018962997242845</v>
      </c>
      <c r="AY277" s="3" t="n">
        <v>0.003018962997242845</v>
      </c>
      <c r="AZ277" s="3" t="n">
        <v>0.003018962997242845</v>
      </c>
      <c r="BA277" s="3" t="n">
        <v>0.003018962997242845</v>
      </c>
      <c r="BC277" s="20" t="inlineStr">
        <is>
          <t>egy.mit.txo.res.coa.4</t>
        </is>
      </c>
      <c r="BD277" s="3" t="n">
        <v>0.1785826785295595</v>
      </c>
      <c r="BE277" s="3" t="n">
        <v>0.1909610589681689</v>
      </c>
      <c r="BF277" s="3" t="n">
        <v>0.003018962997242845</v>
      </c>
      <c r="BG277" s="3" t="n">
        <v>0.003018962997242845</v>
      </c>
      <c r="BH277" s="3" t="n">
        <v>0.003018962997242845</v>
      </c>
      <c r="BI277" s="3" t="n">
        <v>0.003018962997242845</v>
      </c>
      <c r="BJ277" s="3" t="n">
        <v>0.003018962997242845</v>
      </c>
      <c r="BK277" s="3" t="n">
        <v>0.003018962997242845</v>
      </c>
      <c r="BL277" s="3" t="n">
        <v>0.003018962997242845</v>
      </c>
      <c r="BM277" s="3" t="n">
        <v>0.003018962997242845</v>
      </c>
      <c r="BN277" s="3" t="n">
        <v>0.003018962997242845</v>
      </c>
      <c r="BO277" s="3" t="n">
        <v>0.003018962997242845</v>
      </c>
      <c r="BP277" s="3" t="n">
        <v>0.003018962997242845</v>
      </c>
      <c r="BQ277" s="3" t="n">
        <v>0.003018962997242845</v>
      </c>
      <c r="BR277" s="3" t="n">
        <v>0.003018962997242845</v>
      </c>
      <c r="BS277" s="3" t="n">
        <v>0.003018962997242845</v>
      </c>
      <c r="BT277" s="3" t="n">
        <v>0.003018962997242845</v>
      </c>
      <c r="BU277" s="3" t="n">
        <v>0.003018962997242845</v>
      </c>
      <c r="BV277" s="3" t="n">
        <v>0.003018962997242845</v>
      </c>
      <c r="BW277" s="3" t="n">
        <v>0.003018962997242845</v>
      </c>
      <c r="BY277" s="20" t="inlineStr">
        <is>
          <t>egy.mit.txo.res.coa.5</t>
        </is>
      </c>
      <c r="BZ277" s="3" t="n">
        <v>0.1785826785295595</v>
      </c>
      <c r="CA277" s="3" t="n">
        <v>0.1909610589681689</v>
      </c>
      <c r="CB277" s="3" t="n">
        <v>0.003018962997242845</v>
      </c>
      <c r="CC277" s="3" t="n">
        <v>0.003018962997242845</v>
      </c>
      <c r="CD277" s="3" t="n">
        <v>0.003018962997242845</v>
      </c>
      <c r="CE277" s="3" t="n">
        <v>0.003018962997242845</v>
      </c>
      <c r="CF277" s="3" t="n">
        <v>0.003018962997242845</v>
      </c>
      <c r="CG277" s="3" t="n">
        <v>0.003018962997242845</v>
      </c>
      <c r="CH277" s="3" t="n">
        <v>0.003018962997242845</v>
      </c>
      <c r="CI277" s="3" t="n">
        <v>0.003018962997242845</v>
      </c>
      <c r="CJ277" s="3" t="n">
        <v>0.003018962997242845</v>
      </c>
      <c r="CK277" s="3" t="n">
        <v>0.003018962997242845</v>
      </c>
      <c r="CL277" s="3" t="n">
        <v>0.003018962997242845</v>
      </c>
      <c r="CM277" s="3" t="n">
        <v>0.003018962997242845</v>
      </c>
      <c r="CN277" s="3" t="n">
        <v>0.003018962997242845</v>
      </c>
      <c r="CO277" s="3" t="n">
        <v>0.003018962997242845</v>
      </c>
      <c r="CP277" s="3" t="n">
        <v>0.003018962997242845</v>
      </c>
      <c r="CQ277" s="3" t="n">
        <v>0.003018962997242845</v>
      </c>
      <c r="CR277" s="3" t="n">
        <v>0.003018962997242845</v>
      </c>
      <c r="CS277" s="3" t="n">
        <v>0.003018962997242845</v>
      </c>
      <c r="CU277" s="20" t="inlineStr">
        <is>
          <t>egy.mit.txo.res.coa.6</t>
        </is>
      </c>
      <c r="CV277" s="3" t="n">
        <v>0.1785826785295595</v>
      </c>
      <c r="CW277" s="3" t="n">
        <v>0.1909610589681689</v>
      </c>
      <c r="CX277" s="3" t="n">
        <v>0.003018962997242845</v>
      </c>
      <c r="CY277" s="3" t="n">
        <v>0.003018962997242845</v>
      </c>
      <c r="CZ277" s="3" t="n">
        <v>0.003018962997242845</v>
      </c>
      <c r="DA277" s="3" t="n">
        <v>0.003018962997242845</v>
      </c>
      <c r="DB277" s="3" t="n">
        <v>0.003018962997242845</v>
      </c>
      <c r="DC277" s="3" t="n">
        <v>0.003018962997242845</v>
      </c>
      <c r="DD277" s="3" t="n">
        <v>0.003018962997242845</v>
      </c>
      <c r="DE277" s="3" t="n">
        <v>0.003018962997242845</v>
      </c>
      <c r="DF277" s="3" t="n">
        <v>0.003018962997242845</v>
      </c>
      <c r="DG277" s="3" t="n">
        <v>0.003018962997242845</v>
      </c>
      <c r="DH277" s="3" t="n">
        <v>0.003018962997242845</v>
      </c>
      <c r="DI277" s="3" t="n">
        <v>0.003018962997242845</v>
      </c>
      <c r="DJ277" s="3" t="n">
        <v>0.003018962997242845</v>
      </c>
      <c r="DK277" s="3" t="n">
        <v>0.003018962997242845</v>
      </c>
      <c r="DL277" s="3" t="n">
        <v>0.003018962997242845</v>
      </c>
      <c r="DM277" s="3" t="n">
        <v>0.003018962997242845</v>
      </c>
      <c r="DN277" s="3" t="n">
        <v>0.003018962997242845</v>
      </c>
      <c r="DO277" s="3" t="n">
        <v>0.003018962997242845</v>
      </c>
    </row>
    <row r="278">
      <c r="A278" s="19" t="inlineStr">
        <is>
          <t>mit.txo.co2e.res.coa</t>
        </is>
      </c>
      <c r="B278" s="3" t="inlineStr">
        <is>
          <t>mit</t>
        </is>
      </c>
      <c r="C278" s="19" t="inlineStr">
        <is>
          <t>mit.txo.co2e.coa.res</t>
        </is>
      </c>
      <c r="H278" s="3" t="inlineStr">
        <is>
          <t>Excise and other taxes of scenario 1 per tonne of CO2 | Residential | Coal</t>
        </is>
      </c>
      <c r="I278" s="3" t="inlineStr">
        <is>
          <t>USD/tCO2</t>
        </is>
      </c>
      <c r="K278" s="20" t="inlineStr">
        <is>
          <t>egy.mit.txo.co2e.res.coa.1</t>
        </is>
      </c>
      <c r="L278" s="3" t="n">
        <v>1.85631734251538</v>
      </c>
      <c r="M278" s="3" t="n">
        <v>1.984987169116957</v>
      </c>
      <c r="N278" s="3" t="n">
        <v>0.03138128184848839</v>
      </c>
      <c r="O278" s="3" t="n">
        <v>0.03138128184848839</v>
      </c>
      <c r="P278" s="3" t="n">
        <v>0.03138128184848839</v>
      </c>
      <c r="Q278" s="3" t="n">
        <v>0.03138128184848839</v>
      </c>
      <c r="R278" s="3" t="n">
        <v>0.03138128184848839</v>
      </c>
      <c r="S278" s="3" t="n">
        <v>0.03138128184848839</v>
      </c>
      <c r="T278" s="3" t="n">
        <v>0.03138128184848839</v>
      </c>
      <c r="U278" s="3" t="n">
        <v>0.03138128184848839</v>
      </c>
      <c r="V278" s="3" t="n">
        <v>0.03138128184848839</v>
      </c>
      <c r="W278" s="3" t="n">
        <v>0.03138128184848839</v>
      </c>
      <c r="X278" s="3" t="n">
        <v>0.03138128184848838</v>
      </c>
      <c r="Y278" s="3" t="n">
        <v>0.03138128184848839</v>
      </c>
      <c r="Z278" s="3" t="n">
        <v>0.03138128184848839</v>
      </c>
      <c r="AA278" s="3" t="n">
        <v>0.03138128184848839</v>
      </c>
      <c r="AB278" s="3" t="n">
        <v>0.03138128184848839</v>
      </c>
      <c r="AC278" s="3" t="n">
        <v>0.03138128184848839</v>
      </c>
      <c r="AD278" s="3" t="n">
        <v>0.03138128184848839</v>
      </c>
      <c r="AE278" s="3" t="n">
        <v>0.03138128184848839</v>
      </c>
      <c r="AG278" s="20" t="inlineStr">
        <is>
          <t>egy.mit.txo.co2e.res.coa.3</t>
        </is>
      </c>
      <c r="AH278" s="3" t="n">
        <v>1.85631734251538</v>
      </c>
      <c r="AI278" s="3" t="n">
        <v>1.984987169116957</v>
      </c>
      <c r="AJ278" s="3" t="n">
        <v>0.03138128184848839</v>
      </c>
      <c r="AK278" s="3" t="n">
        <v>0.03138128184848839</v>
      </c>
      <c r="AL278" s="3" t="n">
        <v>0.03138128184848839</v>
      </c>
      <c r="AM278" s="3" t="n">
        <v>0.03138128184848839</v>
      </c>
      <c r="AN278" s="3" t="n">
        <v>0.03138128184848839</v>
      </c>
      <c r="AO278" s="3" t="n">
        <v>0.03138128184848839</v>
      </c>
      <c r="AP278" s="3" t="n">
        <v>0.03138128184848839</v>
      </c>
      <c r="AQ278" s="3" t="n">
        <v>0.03138128184848839</v>
      </c>
      <c r="AR278" s="3" t="n">
        <v>0.03138128184848839</v>
      </c>
      <c r="AS278" s="3" t="n">
        <v>0.03138128184848839</v>
      </c>
      <c r="AT278" s="3" t="n">
        <v>0.03138128184848838</v>
      </c>
      <c r="AU278" s="3" t="n">
        <v>0.03138128184848839</v>
      </c>
      <c r="AV278" s="3" t="n">
        <v>0.03138128184848839</v>
      </c>
      <c r="AW278" s="3" t="n">
        <v>0.03138128184848839</v>
      </c>
      <c r="AX278" s="3" t="n">
        <v>0.03138128184848839</v>
      </c>
      <c r="AY278" s="3" t="n">
        <v>0.03138128184848839</v>
      </c>
      <c r="AZ278" s="3" t="n">
        <v>0.03138128184848839</v>
      </c>
      <c r="BA278" s="3" t="n">
        <v>0.03138128184848839</v>
      </c>
      <c r="BC278" s="20" t="inlineStr">
        <is>
          <t>egy.mit.txo.co2e.res.coa.4</t>
        </is>
      </c>
      <c r="BD278" s="3" t="n">
        <v>1.85631734251538</v>
      </c>
      <c r="BE278" s="3" t="n">
        <v>1.984987169116957</v>
      </c>
      <c r="BF278" s="3" t="n">
        <v>0.03138128184848839</v>
      </c>
      <c r="BG278" s="3" t="n">
        <v>0.03138128184848839</v>
      </c>
      <c r="BH278" s="3" t="n">
        <v>0.03138128184848839</v>
      </c>
      <c r="BI278" s="3" t="n">
        <v>0.03138128184848839</v>
      </c>
      <c r="BJ278" s="3" t="n">
        <v>0.03138128184848839</v>
      </c>
      <c r="BK278" s="3" t="n">
        <v>0.03138128184848839</v>
      </c>
      <c r="BL278" s="3" t="n">
        <v>0.03138128184848839</v>
      </c>
      <c r="BM278" s="3" t="n">
        <v>0.03138128184848839</v>
      </c>
      <c r="BN278" s="3" t="n">
        <v>0.03138128184848839</v>
      </c>
      <c r="BO278" s="3" t="n">
        <v>0.03138128184848839</v>
      </c>
      <c r="BP278" s="3" t="n">
        <v>0.03138128184848838</v>
      </c>
      <c r="BQ278" s="3" t="n">
        <v>0.03138128184848839</v>
      </c>
      <c r="BR278" s="3" t="n">
        <v>0.03138128184848839</v>
      </c>
      <c r="BS278" s="3" t="n">
        <v>0.03138128184848839</v>
      </c>
      <c r="BT278" s="3" t="n">
        <v>0.03138128184848839</v>
      </c>
      <c r="BU278" s="3" t="n">
        <v>0.03138128184848839</v>
      </c>
      <c r="BV278" s="3" t="n">
        <v>0.03138128184848839</v>
      </c>
      <c r="BW278" s="3" t="n">
        <v>0.03138128184848839</v>
      </c>
      <c r="BY278" s="20" t="inlineStr">
        <is>
          <t>egy.mit.txo.co2e.res.coa.5</t>
        </is>
      </c>
      <c r="BZ278" s="3" t="n">
        <v>1.85631734251538</v>
      </c>
      <c r="CA278" s="3" t="n">
        <v>1.984987169116957</v>
      </c>
      <c r="CB278" s="3" t="n">
        <v>0.03138128184848839</v>
      </c>
      <c r="CC278" s="3" t="n">
        <v>0.03138128184848839</v>
      </c>
      <c r="CD278" s="3" t="n">
        <v>0.03138128184848839</v>
      </c>
      <c r="CE278" s="3" t="n">
        <v>0.03138128184848839</v>
      </c>
      <c r="CF278" s="3" t="n">
        <v>0.03138128184848839</v>
      </c>
      <c r="CG278" s="3" t="n">
        <v>0.03138128184848839</v>
      </c>
      <c r="CH278" s="3" t="n">
        <v>0.03138128184848839</v>
      </c>
      <c r="CI278" s="3" t="n">
        <v>0.03138128184848839</v>
      </c>
      <c r="CJ278" s="3" t="n">
        <v>0.03138128184848839</v>
      </c>
      <c r="CK278" s="3" t="n">
        <v>0.03138128184848839</v>
      </c>
      <c r="CL278" s="3" t="n">
        <v>0.03138128184848838</v>
      </c>
      <c r="CM278" s="3" t="n">
        <v>0.03138128184848839</v>
      </c>
      <c r="CN278" s="3" t="n">
        <v>0.03138128184848839</v>
      </c>
      <c r="CO278" s="3" t="n">
        <v>0.03138128184848839</v>
      </c>
      <c r="CP278" s="3" t="n">
        <v>0.03138128184848839</v>
      </c>
      <c r="CQ278" s="3" t="n">
        <v>0.03138128184848839</v>
      </c>
      <c r="CR278" s="3" t="n">
        <v>0.03138128184848839</v>
      </c>
      <c r="CS278" s="3" t="n">
        <v>0.03138128184848839</v>
      </c>
      <c r="CU278" s="20" t="inlineStr">
        <is>
          <t>egy.mit.txo.co2e.res.coa.6</t>
        </is>
      </c>
      <c r="CV278" s="3" t="n">
        <v>1.85631734251538</v>
      </c>
      <c r="CW278" s="3" t="n">
        <v>1.984987169116957</v>
      </c>
      <c r="CX278" s="3" t="n">
        <v>0.03138128184848839</v>
      </c>
      <c r="CY278" s="3" t="n">
        <v>0.03138128184848839</v>
      </c>
      <c r="CZ278" s="3" t="n">
        <v>0.03138128184848839</v>
      </c>
      <c r="DA278" s="3" t="n">
        <v>0.03138128184848839</v>
      </c>
      <c r="DB278" s="3" t="n">
        <v>0.03138128184848839</v>
      </c>
      <c r="DC278" s="3" t="n">
        <v>0.03138128184848839</v>
      </c>
      <c r="DD278" s="3" t="n">
        <v>0.03138128184848839</v>
      </c>
      <c r="DE278" s="3" t="n">
        <v>0.03138128184848839</v>
      </c>
      <c r="DF278" s="3" t="n">
        <v>0.03138128184848839</v>
      </c>
      <c r="DG278" s="3" t="n">
        <v>0.03138128184848839</v>
      </c>
      <c r="DH278" s="3" t="n">
        <v>0.03138128184848838</v>
      </c>
      <c r="DI278" s="3" t="n">
        <v>0.03138128184848839</v>
      </c>
      <c r="DJ278" s="3" t="n">
        <v>0.03138128184848839</v>
      </c>
      <c r="DK278" s="3" t="n">
        <v>0.03138128184848839</v>
      </c>
      <c r="DL278" s="3" t="n">
        <v>0.03138128184848839</v>
      </c>
      <c r="DM278" s="3" t="n">
        <v>0.03138128184848839</v>
      </c>
      <c r="DN278" s="3" t="n">
        <v>0.03138128184848839</v>
      </c>
      <c r="DO278" s="3" t="n">
        <v>0.03138128184848839</v>
      </c>
    </row>
    <row r="279">
      <c r="A279" s="19" t="inlineStr">
        <is>
          <t>mit.pig.res.coa</t>
        </is>
      </c>
      <c r="B279" s="3" t="inlineStr">
        <is>
          <t>mit</t>
        </is>
      </c>
      <c r="C279" s="19" t="inlineStr">
        <is>
          <t>mit.pig.coa.res</t>
        </is>
      </c>
      <c r="H279" s="3" t="inlineStr">
        <is>
          <t>Pigouvian tax: all externalities (reference) | Residential | Coal</t>
        </is>
      </c>
      <c r="I279" s="3" t="inlineStr">
        <is>
          <t>USD per price unit</t>
        </is>
      </c>
      <c r="K279" s="20" t="inlineStr">
        <is>
          <t>egy.mit.pig.res.coa.1</t>
        </is>
      </c>
      <c r="L279" s="3" t="n">
        <v>5.272075967130314</v>
      </c>
      <c r="M279" s="3" t="n">
        <v>5.482959005815526</v>
      </c>
      <c r="N279" s="3" t="n">
        <v>5.702277366048148</v>
      </c>
      <c r="O279" s="3" t="n">
        <v>5.930368460690074</v>
      </c>
      <c r="P279" s="3" t="n">
        <v>6.167583199117677</v>
      </c>
      <c r="Q279" s="3" t="n">
        <v>6.414286527082384</v>
      </c>
      <c r="R279" s="3" t="n">
        <v>6.67085798816568</v>
      </c>
      <c r="S279" s="3" t="n">
        <v>6.937692307692306</v>
      </c>
      <c r="T279" s="3" t="n">
        <v>7.215199999999999</v>
      </c>
      <c r="U279" s="3" t="n">
        <v>7.503807999999999</v>
      </c>
      <c r="V279" s="3" t="n">
        <v>7.80396032</v>
      </c>
      <c r="W279" s="3" t="n">
        <v>8.1161187328</v>
      </c>
      <c r="X279" s="3" t="n">
        <v>8.440763482112001</v>
      </c>
      <c r="Y279" s="3" t="n">
        <v>8.77839402139648</v>
      </c>
      <c r="Z279" s="3" t="n">
        <v>9.129529782252341</v>
      </c>
      <c r="AA279" s="3" t="n">
        <v>9.494710973542434</v>
      </c>
      <c r="AB279" s="3" t="n">
        <v>9.874499412484131</v>
      </c>
      <c r="AC279" s="3" t="n">
        <v>10.2694793889835</v>
      </c>
      <c r="AD279" s="3" t="n">
        <v>10.68025856454284</v>
      </c>
      <c r="AE279" s="3" t="n">
        <v>11.10746890712455</v>
      </c>
      <c r="AG279" s="20" t="inlineStr">
        <is>
          <t>egy.mit.pig.res.coa.3</t>
        </is>
      </c>
      <c r="AH279" s="3" t="n">
        <v>5.272075967130314</v>
      </c>
      <c r="AI279" s="3" t="n">
        <v>5.482959005815526</v>
      </c>
      <c r="AJ279" s="3" t="n">
        <v>5.702277366048148</v>
      </c>
      <c r="AK279" s="3" t="n">
        <v>5.930368460690074</v>
      </c>
      <c r="AL279" s="3" t="n">
        <v>6.167583199117677</v>
      </c>
      <c r="AM279" s="3" t="n">
        <v>6.414286527082384</v>
      </c>
      <c r="AN279" s="3" t="n">
        <v>6.67085798816568</v>
      </c>
      <c r="AO279" s="3" t="n">
        <v>6.937692307692306</v>
      </c>
      <c r="AP279" s="3" t="n">
        <v>7.215199999999999</v>
      </c>
      <c r="AQ279" s="3" t="n">
        <v>7.503807999999999</v>
      </c>
      <c r="AR279" s="3" t="n">
        <v>7.80396032</v>
      </c>
      <c r="AS279" s="3" t="n">
        <v>8.1161187328</v>
      </c>
      <c r="AT279" s="3" t="n">
        <v>8.440763482112001</v>
      </c>
      <c r="AU279" s="3" t="n">
        <v>8.77839402139648</v>
      </c>
      <c r="AV279" s="3" t="n">
        <v>9.129529782252341</v>
      </c>
      <c r="AW279" s="3" t="n">
        <v>9.494710973542434</v>
      </c>
      <c r="AX279" s="3" t="n">
        <v>9.874499412484131</v>
      </c>
      <c r="AY279" s="3" t="n">
        <v>10.2694793889835</v>
      </c>
      <c r="AZ279" s="3" t="n">
        <v>10.68025856454284</v>
      </c>
      <c r="BA279" s="3" t="n">
        <v>11.10746890712455</v>
      </c>
      <c r="BC279" s="20" t="inlineStr">
        <is>
          <t>egy.mit.pig.res.coa.4</t>
        </is>
      </c>
      <c r="BD279" s="3" t="n">
        <v>5.272075967130314</v>
      </c>
      <c r="BE279" s="3" t="n">
        <v>5.482959005815526</v>
      </c>
      <c r="BF279" s="3" t="n">
        <v>5.702277366048148</v>
      </c>
      <c r="BG279" s="3" t="n">
        <v>5.930368460690074</v>
      </c>
      <c r="BH279" s="3" t="n">
        <v>6.167583199117677</v>
      </c>
      <c r="BI279" s="3" t="n">
        <v>6.414286527082384</v>
      </c>
      <c r="BJ279" s="3" t="n">
        <v>6.67085798816568</v>
      </c>
      <c r="BK279" s="3" t="n">
        <v>6.937692307692306</v>
      </c>
      <c r="BL279" s="3" t="n">
        <v>7.215199999999999</v>
      </c>
      <c r="BM279" s="3" t="n">
        <v>7.503807999999999</v>
      </c>
      <c r="BN279" s="3" t="n">
        <v>7.80396032</v>
      </c>
      <c r="BO279" s="3" t="n">
        <v>8.1161187328</v>
      </c>
      <c r="BP279" s="3" t="n">
        <v>8.440763482112001</v>
      </c>
      <c r="BQ279" s="3" t="n">
        <v>8.77839402139648</v>
      </c>
      <c r="BR279" s="3" t="n">
        <v>9.129529782252341</v>
      </c>
      <c r="BS279" s="3" t="n">
        <v>9.494710973542434</v>
      </c>
      <c r="BT279" s="3" t="n">
        <v>9.874499412484131</v>
      </c>
      <c r="BU279" s="3" t="n">
        <v>10.2694793889835</v>
      </c>
      <c r="BV279" s="3" t="n">
        <v>10.68025856454284</v>
      </c>
      <c r="BW279" s="3" t="n">
        <v>11.10746890712455</v>
      </c>
      <c r="BY279" s="20" t="inlineStr">
        <is>
          <t>egy.mit.pig.res.coa.5</t>
        </is>
      </c>
      <c r="BZ279" s="3" t="n">
        <v>5.272075967130314</v>
      </c>
      <c r="CA279" s="3" t="n">
        <v>5.482959005815526</v>
      </c>
      <c r="CB279" s="3" t="n">
        <v>5.702277366048148</v>
      </c>
      <c r="CC279" s="3" t="n">
        <v>5.930368460690074</v>
      </c>
      <c r="CD279" s="3" t="n">
        <v>6.167583199117677</v>
      </c>
      <c r="CE279" s="3" t="n">
        <v>6.414286527082384</v>
      </c>
      <c r="CF279" s="3" t="n">
        <v>6.67085798816568</v>
      </c>
      <c r="CG279" s="3" t="n">
        <v>6.937692307692306</v>
      </c>
      <c r="CH279" s="3" t="n">
        <v>7.215199999999999</v>
      </c>
      <c r="CI279" s="3" t="n">
        <v>7.503807999999999</v>
      </c>
      <c r="CJ279" s="3" t="n">
        <v>7.80396032</v>
      </c>
      <c r="CK279" s="3" t="n">
        <v>8.1161187328</v>
      </c>
      <c r="CL279" s="3" t="n">
        <v>8.440763482112001</v>
      </c>
      <c r="CM279" s="3" t="n">
        <v>8.77839402139648</v>
      </c>
      <c r="CN279" s="3" t="n">
        <v>9.129529782252341</v>
      </c>
      <c r="CO279" s="3" t="n">
        <v>9.494710973542434</v>
      </c>
      <c r="CP279" s="3" t="n">
        <v>9.874499412484131</v>
      </c>
      <c r="CQ279" s="3" t="n">
        <v>10.2694793889835</v>
      </c>
      <c r="CR279" s="3" t="n">
        <v>10.68025856454284</v>
      </c>
      <c r="CS279" s="3" t="n">
        <v>11.10746890712455</v>
      </c>
      <c r="CU279" s="20" t="inlineStr">
        <is>
          <t>egy.mit.pig.res.coa.6</t>
        </is>
      </c>
      <c r="CV279" s="3" t="n">
        <v>5.272075967130314</v>
      </c>
      <c r="CW279" s="3" t="n">
        <v>5.482959005815526</v>
      </c>
      <c r="CX279" s="3" t="n">
        <v>5.702277366048148</v>
      </c>
      <c r="CY279" s="3" t="n">
        <v>5.930368460690074</v>
      </c>
      <c r="CZ279" s="3" t="n">
        <v>6.167583199117677</v>
      </c>
      <c r="DA279" s="3" t="n">
        <v>6.414286527082384</v>
      </c>
      <c r="DB279" s="3" t="n">
        <v>6.67085798816568</v>
      </c>
      <c r="DC279" s="3" t="n">
        <v>6.937692307692306</v>
      </c>
      <c r="DD279" s="3" t="n">
        <v>7.215199999999999</v>
      </c>
      <c r="DE279" s="3" t="n">
        <v>7.503807999999999</v>
      </c>
      <c r="DF279" s="3" t="n">
        <v>7.80396032</v>
      </c>
      <c r="DG279" s="3" t="n">
        <v>8.1161187328</v>
      </c>
      <c r="DH279" s="3" t="n">
        <v>8.440763482112001</v>
      </c>
      <c r="DI279" s="3" t="n">
        <v>8.77839402139648</v>
      </c>
      <c r="DJ279" s="3" t="n">
        <v>9.129529782252341</v>
      </c>
      <c r="DK279" s="3" t="n">
        <v>9.494710973542434</v>
      </c>
      <c r="DL279" s="3" t="n">
        <v>9.874499412484131</v>
      </c>
      <c r="DM279" s="3" t="n">
        <v>10.2694793889835</v>
      </c>
      <c r="DN279" s="3" t="n">
        <v>10.68025856454284</v>
      </c>
      <c r="DO279" s="3" t="n">
        <v>11.10746890712455</v>
      </c>
    </row>
    <row r="280">
      <c r="A280" s="19" t="inlineStr">
        <is>
          <t>mit.pig.co2e.res.coa</t>
        </is>
      </c>
      <c r="B280" s="3" t="inlineStr">
        <is>
          <t>mit</t>
        </is>
      </c>
      <c r="C280" s="19" t="inlineStr">
        <is>
          <t>mit.pig.co2e.coa.res</t>
        </is>
      </c>
      <c r="H280" s="3" t="inlineStr">
        <is>
          <t>Pigouvian tax per tonne of CO2 (fuel lines; avg: weighted by the fuel use of the scenario) | Residential | Coal</t>
        </is>
      </c>
      <c r="I280" s="3" t="inlineStr">
        <is>
          <t>USD/tCO2</t>
        </is>
      </c>
      <c r="K280" s="20" t="inlineStr">
        <is>
          <t>egy.mit.pig.co2e.res.coa.1</t>
        </is>
      </c>
      <c r="L280" s="3" t="n">
        <v>54.80176537514879</v>
      </c>
      <c r="M280" s="3" t="n">
        <v>56.99383599015474</v>
      </c>
      <c r="N280" s="3" t="n">
        <v>59.27358942976094</v>
      </c>
      <c r="O280" s="3" t="n">
        <v>61.64453300695138</v>
      </c>
      <c r="P280" s="3" t="n">
        <v>64.11031432722943</v>
      </c>
      <c r="Q280" s="3" t="n">
        <v>66.6747269003186</v>
      </c>
      <c r="R280" s="3" t="n">
        <v>69.34171597633136</v>
      </c>
      <c r="S280" s="3" t="n">
        <v>72.11538461538461</v>
      </c>
      <c r="T280" s="3" t="n">
        <v>75</v>
      </c>
      <c r="U280" s="3" t="n">
        <v>78</v>
      </c>
      <c r="V280" s="3" t="n">
        <v>81.12</v>
      </c>
      <c r="W280" s="3" t="n">
        <v>84.3648</v>
      </c>
      <c r="X280" s="3" t="n">
        <v>87.73939200000001</v>
      </c>
      <c r="Y280" s="3" t="n">
        <v>91.24896768000001</v>
      </c>
      <c r="Z280" s="3" t="n">
        <v>94.89892638720002</v>
      </c>
      <c r="AA280" s="3" t="n">
        <v>98.69488344268802</v>
      </c>
      <c r="AB280" s="3" t="n">
        <v>102.6426787803955</v>
      </c>
      <c r="AC280" s="3" t="n">
        <v>106.7483859316114</v>
      </c>
      <c r="AD280" s="3" t="n">
        <v>111.0183213688758</v>
      </c>
      <c r="AE280" s="3" t="n">
        <v>115.4590542236309</v>
      </c>
      <c r="AG280" s="20" t="inlineStr">
        <is>
          <t>egy.mit.pig.co2e.res.coa.3</t>
        </is>
      </c>
      <c r="AH280" s="3" t="n">
        <v>54.80176537514879</v>
      </c>
      <c r="AI280" s="3" t="n">
        <v>56.99383599015474</v>
      </c>
      <c r="AJ280" s="3" t="n">
        <v>59.27358942976094</v>
      </c>
      <c r="AK280" s="3" t="n">
        <v>61.64453300695138</v>
      </c>
      <c r="AL280" s="3" t="n">
        <v>64.11031432722943</v>
      </c>
      <c r="AM280" s="3" t="n">
        <v>66.6747269003186</v>
      </c>
      <c r="AN280" s="3" t="n">
        <v>69.34171597633136</v>
      </c>
      <c r="AO280" s="3" t="n">
        <v>72.11538461538461</v>
      </c>
      <c r="AP280" s="3" t="n">
        <v>75</v>
      </c>
      <c r="AQ280" s="3" t="n">
        <v>78</v>
      </c>
      <c r="AR280" s="3" t="n">
        <v>81.12</v>
      </c>
      <c r="AS280" s="3" t="n">
        <v>84.3648</v>
      </c>
      <c r="AT280" s="3" t="n">
        <v>87.73939200000001</v>
      </c>
      <c r="AU280" s="3" t="n">
        <v>91.24896768000001</v>
      </c>
      <c r="AV280" s="3" t="n">
        <v>94.89892638720002</v>
      </c>
      <c r="AW280" s="3" t="n">
        <v>98.69488344268802</v>
      </c>
      <c r="AX280" s="3" t="n">
        <v>102.6426787803955</v>
      </c>
      <c r="AY280" s="3" t="n">
        <v>106.7483859316114</v>
      </c>
      <c r="AZ280" s="3" t="n">
        <v>111.0183213688758</v>
      </c>
      <c r="BA280" s="3" t="n">
        <v>115.4590542236309</v>
      </c>
      <c r="BC280" s="20" t="inlineStr">
        <is>
          <t>egy.mit.pig.co2e.res.coa.4</t>
        </is>
      </c>
      <c r="BD280" s="3" t="n">
        <v>54.80176537514879</v>
      </c>
      <c r="BE280" s="3" t="n">
        <v>56.99383599015474</v>
      </c>
      <c r="BF280" s="3" t="n">
        <v>59.27358942976094</v>
      </c>
      <c r="BG280" s="3" t="n">
        <v>61.64453300695138</v>
      </c>
      <c r="BH280" s="3" t="n">
        <v>64.11031432722943</v>
      </c>
      <c r="BI280" s="3" t="n">
        <v>66.6747269003186</v>
      </c>
      <c r="BJ280" s="3" t="n">
        <v>69.34171597633136</v>
      </c>
      <c r="BK280" s="3" t="n">
        <v>72.11538461538461</v>
      </c>
      <c r="BL280" s="3" t="n">
        <v>75</v>
      </c>
      <c r="BM280" s="3" t="n">
        <v>78</v>
      </c>
      <c r="BN280" s="3" t="n">
        <v>81.12</v>
      </c>
      <c r="BO280" s="3" t="n">
        <v>84.3648</v>
      </c>
      <c r="BP280" s="3" t="n">
        <v>87.73939200000001</v>
      </c>
      <c r="BQ280" s="3" t="n">
        <v>91.24896768000001</v>
      </c>
      <c r="BR280" s="3" t="n">
        <v>94.89892638720002</v>
      </c>
      <c r="BS280" s="3" t="n">
        <v>98.69488344268802</v>
      </c>
      <c r="BT280" s="3" t="n">
        <v>102.6426787803955</v>
      </c>
      <c r="BU280" s="3" t="n">
        <v>106.7483859316114</v>
      </c>
      <c r="BV280" s="3" t="n">
        <v>111.0183213688758</v>
      </c>
      <c r="BW280" s="3" t="n">
        <v>115.4590542236309</v>
      </c>
      <c r="BY280" s="20" t="inlineStr">
        <is>
          <t>egy.mit.pig.co2e.res.coa.5</t>
        </is>
      </c>
      <c r="BZ280" s="3" t="n">
        <v>54.80176537514879</v>
      </c>
      <c r="CA280" s="3" t="n">
        <v>56.99383599015474</v>
      </c>
      <c r="CB280" s="3" t="n">
        <v>59.27358942976094</v>
      </c>
      <c r="CC280" s="3" t="n">
        <v>61.64453300695138</v>
      </c>
      <c r="CD280" s="3" t="n">
        <v>64.11031432722943</v>
      </c>
      <c r="CE280" s="3" t="n">
        <v>66.6747269003186</v>
      </c>
      <c r="CF280" s="3" t="n">
        <v>69.34171597633136</v>
      </c>
      <c r="CG280" s="3" t="n">
        <v>72.11538461538461</v>
      </c>
      <c r="CH280" s="3" t="n">
        <v>75</v>
      </c>
      <c r="CI280" s="3" t="n">
        <v>78</v>
      </c>
      <c r="CJ280" s="3" t="n">
        <v>81.12</v>
      </c>
      <c r="CK280" s="3" t="n">
        <v>84.3648</v>
      </c>
      <c r="CL280" s="3" t="n">
        <v>87.73939200000001</v>
      </c>
      <c r="CM280" s="3" t="n">
        <v>91.24896768000001</v>
      </c>
      <c r="CN280" s="3" t="n">
        <v>94.89892638720002</v>
      </c>
      <c r="CO280" s="3" t="n">
        <v>98.69488344268802</v>
      </c>
      <c r="CP280" s="3" t="n">
        <v>102.6426787803955</v>
      </c>
      <c r="CQ280" s="3" t="n">
        <v>106.7483859316114</v>
      </c>
      <c r="CR280" s="3" t="n">
        <v>111.0183213688758</v>
      </c>
      <c r="CS280" s="3" t="n">
        <v>115.4590542236309</v>
      </c>
      <c r="CU280" s="20" t="inlineStr">
        <is>
          <t>egy.mit.pig.co2e.res.coa.6</t>
        </is>
      </c>
      <c r="CV280" s="3" t="n">
        <v>54.80176537514879</v>
      </c>
      <c r="CW280" s="3" t="n">
        <v>56.99383599015474</v>
      </c>
      <c r="CX280" s="3" t="n">
        <v>59.27358942976094</v>
      </c>
      <c r="CY280" s="3" t="n">
        <v>61.64453300695138</v>
      </c>
      <c r="CZ280" s="3" t="n">
        <v>64.11031432722943</v>
      </c>
      <c r="DA280" s="3" t="n">
        <v>66.6747269003186</v>
      </c>
      <c r="DB280" s="3" t="n">
        <v>69.34171597633136</v>
      </c>
      <c r="DC280" s="3" t="n">
        <v>72.11538461538461</v>
      </c>
      <c r="DD280" s="3" t="n">
        <v>75</v>
      </c>
      <c r="DE280" s="3" t="n">
        <v>78</v>
      </c>
      <c r="DF280" s="3" t="n">
        <v>81.12</v>
      </c>
      <c r="DG280" s="3" t="n">
        <v>84.3648</v>
      </c>
      <c r="DH280" s="3" t="n">
        <v>87.73939200000001</v>
      </c>
      <c r="DI280" s="3" t="n">
        <v>91.24896768000001</v>
      </c>
      <c r="DJ280" s="3" t="n">
        <v>94.89892638720002</v>
      </c>
      <c r="DK280" s="3" t="n">
        <v>98.69488344268802</v>
      </c>
      <c r="DL280" s="3" t="n">
        <v>102.6426787803955</v>
      </c>
      <c r="DM280" s="3" t="n">
        <v>106.7483859316114</v>
      </c>
      <c r="DN280" s="3" t="n">
        <v>111.0183213688758</v>
      </c>
      <c r="DO280" s="3" t="n">
        <v>115.4590542236309</v>
      </c>
    </row>
    <row r="281">
      <c r="A281" s="19" t="inlineStr">
        <is>
          <t>mit.eff.price.pow.coa</t>
        </is>
      </c>
      <c r="B281" s="3" t="inlineStr">
        <is>
          <t>mit</t>
        </is>
      </c>
      <c r="C281" s="19" t="inlineStr">
        <is>
          <t>mit.eff.price.coa.pow</t>
        </is>
      </c>
      <c r="H281" s="3" t="inlineStr">
        <is>
          <t>Efficient price | Power | Coal</t>
        </is>
      </c>
      <c r="I281" s="3" t="inlineStr">
        <is>
          <t>USD per price unit</t>
        </is>
      </c>
      <c r="K281" s="20" t="inlineStr">
        <is>
          <t>egy.mit.eff.price.pow.coa.1</t>
        </is>
      </c>
      <c r="L281" s="3" t="n">
        <v>19.25490285565434</v>
      </c>
      <c r="M281" s="3" t="n">
        <v>12.58830693540154</v>
      </c>
      <c r="N281" s="3" t="n">
        <v>11.99848631665396</v>
      </c>
      <c r="O281" s="3" t="n">
        <v>11.03039076301297</v>
      </c>
      <c r="P281" s="3" t="n">
        <v>11.89531691499937</v>
      </c>
      <c r="Q281" s="3" t="n">
        <v>12.28643446885043</v>
      </c>
      <c r="R281" s="3" t="n">
        <v>12.51700881783614</v>
      </c>
      <c r="S281" s="3" t="n">
        <v>12.75114659743234</v>
      </c>
      <c r="T281" s="3" t="n">
        <v>12.98866554465703</v>
      </c>
      <c r="U281" s="3" t="n">
        <v>13.2175182242039</v>
      </c>
      <c r="V281" s="3" t="n">
        <v>13.53762946084832</v>
      </c>
      <c r="W281" s="3" t="n">
        <v>13.87029318752189</v>
      </c>
      <c r="X281" s="3" t="n">
        <v>14.21597721334953</v>
      </c>
      <c r="Y281" s="3" t="n">
        <v>14.57518910350032</v>
      </c>
      <c r="Z281" s="3" t="n">
        <v>14.94842558183822</v>
      </c>
      <c r="AA281" s="3" t="n">
        <v>15.33625349745728</v>
      </c>
      <c r="AB281" s="3" t="n">
        <v>15.73917641725666</v>
      </c>
      <c r="AC281" s="3" t="n">
        <v>16.15775810895105</v>
      </c>
      <c r="AD281" s="3" t="n">
        <v>16.59258255110796</v>
      </c>
      <c r="AE281" s="3" t="n">
        <v>17.01723197413396</v>
      </c>
      <c r="AG281" s="20" t="inlineStr">
        <is>
          <t>egy.mit.eff.price.pow.coa.3</t>
        </is>
      </c>
      <c r="AH281" s="3" t="n">
        <v>19.25490285565434</v>
      </c>
      <c r="AI281" s="3" t="n">
        <v>12.58830693540154</v>
      </c>
      <c r="AJ281" s="3" t="n">
        <v>11.99848631665396</v>
      </c>
      <c r="AK281" s="3" t="n">
        <v>11.03039076301297</v>
      </c>
      <c r="AL281" s="3" t="n">
        <v>11.89531691499937</v>
      </c>
      <c r="AM281" s="3" t="n">
        <v>12.28643446885043</v>
      </c>
      <c r="AN281" s="3" t="n">
        <v>12.51700881783614</v>
      </c>
      <c r="AO281" s="3" t="n">
        <v>12.75114659743234</v>
      </c>
      <c r="AP281" s="3" t="n">
        <v>12.98866554465703</v>
      </c>
      <c r="AQ281" s="3" t="n">
        <v>13.2175182242039</v>
      </c>
      <c r="AR281" s="3" t="n">
        <v>13.53762946084832</v>
      </c>
      <c r="AS281" s="3" t="n">
        <v>13.87029318752189</v>
      </c>
      <c r="AT281" s="3" t="n">
        <v>14.21597721334953</v>
      </c>
      <c r="AU281" s="3" t="n">
        <v>14.57518910350032</v>
      </c>
      <c r="AV281" s="3" t="n">
        <v>14.94842558183822</v>
      </c>
      <c r="AW281" s="3" t="n">
        <v>15.33625349745728</v>
      </c>
      <c r="AX281" s="3" t="n">
        <v>15.73917641725666</v>
      </c>
      <c r="AY281" s="3" t="n">
        <v>16.15775810895105</v>
      </c>
      <c r="AZ281" s="3" t="n">
        <v>16.59258255110796</v>
      </c>
      <c r="BA281" s="3" t="n">
        <v>17.01723197413396</v>
      </c>
      <c r="BC281" s="20" t="inlineStr">
        <is>
          <t>egy.mit.eff.price.pow.coa.4</t>
        </is>
      </c>
      <c r="BD281" s="3" t="n">
        <v>19.25490285565434</v>
      </c>
      <c r="BE281" s="3" t="n">
        <v>12.58830693540154</v>
      </c>
      <c r="BF281" s="3" t="n">
        <v>11.99848631665396</v>
      </c>
      <c r="BG281" s="3" t="n">
        <v>11.03039076301297</v>
      </c>
      <c r="BH281" s="3" t="n">
        <v>11.89531691499937</v>
      </c>
      <c r="BI281" s="3" t="n">
        <v>12.28643446885043</v>
      </c>
      <c r="BJ281" s="3" t="n">
        <v>12.51700881783614</v>
      </c>
      <c r="BK281" s="3" t="n">
        <v>12.75114659743234</v>
      </c>
      <c r="BL281" s="3" t="n">
        <v>12.98866554465703</v>
      </c>
      <c r="BM281" s="3" t="n">
        <v>13.2175182242039</v>
      </c>
      <c r="BN281" s="3" t="n">
        <v>13.53762946084832</v>
      </c>
      <c r="BO281" s="3" t="n">
        <v>13.87029318752189</v>
      </c>
      <c r="BP281" s="3" t="n">
        <v>14.21597721334953</v>
      </c>
      <c r="BQ281" s="3" t="n">
        <v>14.57518910350032</v>
      </c>
      <c r="BR281" s="3" t="n">
        <v>14.94842558183822</v>
      </c>
      <c r="BS281" s="3" t="n">
        <v>15.33625349745728</v>
      </c>
      <c r="BT281" s="3" t="n">
        <v>15.73917641725666</v>
      </c>
      <c r="BU281" s="3" t="n">
        <v>16.15775810895105</v>
      </c>
      <c r="BV281" s="3" t="n">
        <v>16.59258255110796</v>
      </c>
      <c r="BW281" s="3" t="n">
        <v>17.01723197413396</v>
      </c>
      <c r="BY281" s="20" t="inlineStr">
        <is>
          <t>egy.mit.eff.price.pow.coa.5</t>
        </is>
      </c>
      <c r="BZ281" s="3" t="n">
        <v>19.25490285565434</v>
      </c>
      <c r="CA281" s="3" t="n">
        <v>12.58830693540154</v>
      </c>
      <c r="CB281" s="3" t="n">
        <v>11.99848631665396</v>
      </c>
      <c r="CC281" s="3" t="n">
        <v>11.03039076301297</v>
      </c>
      <c r="CD281" s="3" t="n">
        <v>11.89531691499937</v>
      </c>
      <c r="CE281" s="3" t="n">
        <v>12.28643446885043</v>
      </c>
      <c r="CF281" s="3" t="n">
        <v>12.51700881783614</v>
      </c>
      <c r="CG281" s="3" t="n">
        <v>12.75114659743234</v>
      </c>
      <c r="CH281" s="3" t="n">
        <v>12.98866554465703</v>
      </c>
      <c r="CI281" s="3" t="n">
        <v>13.2175182242039</v>
      </c>
      <c r="CJ281" s="3" t="n">
        <v>13.53762946084832</v>
      </c>
      <c r="CK281" s="3" t="n">
        <v>13.87029318752189</v>
      </c>
      <c r="CL281" s="3" t="n">
        <v>14.21597721334953</v>
      </c>
      <c r="CM281" s="3" t="n">
        <v>14.57518910350032</v>
      </c>
      <c r="CN281" s="3" t="n">
        <v>14.94842558183822</v>
      </c>
      <c r="CO281" s="3" t="n">
        <v>15.33625349745728</v>
      </c>
      <c r="CP281" s="3" t="n">
        <v>15.73917641725666</v>
      </c>
      <c r="CQ281" s="3" t="n">
        <v>16.15775810895105</v>
      </c>
      <c r="CR281" s="3" t="n">
        <v>16.59258255110796</v>
      </c>
      <c r="CS281" s="3" t="n">
        <v>17.01723197413396</v>
      </c>
      <c r="CU281" s="20" t="inlineStr">
        <is>
          <t>egy.mit.eff.price.pow.coa.6</t>
        </is>
      </c>
      <c r="CV281" s="3" t="n">
        <v>19.25490285565434</v>
      </c>
      <c r="CW281" s="3" t="n">
        <v>12.58830693540154</v>
      </c>
      <c r="CX281" s="3" t="n">
        <v>11.99848631665396</v>
      </c>
      <c r="CY281" s="3" t="n">
        <v>11.03039076301297</v>
      </c>
      <c r="CZ281" s="3" t="n">
        <v>11.89531691499937</v>
      </c>
      <c r="DA281" s="3" t="n">
        <v>12.28643446885043</v>
      </c>
      <c r="DB281" s="3" t="n">
        <v>12.51700881783614</v>
      </c>
      <c r="DC281" s="3" t="n">
        <v>12.75114659743234</v>
      </c>
      <c r="DD281" s="3" t="n">
        <v>12.98866554465703</v>
      </c>
      <c r="DE281" s="3" t="n">
        <v>13.2175182242039</v>
      </c>
      <c r="DF281" s="3" t="n">
        <v>13.53762946084832</v>
      </c>
      <c r="DG281" s="3" t="n">
        <v>13.87029318752189</v>
      </c>
      <c r="DH281" s="3" t="n">
        <v>14.21597721334953</v>
      </c>
      <c r="DI281" s="3" t="n">
        <v>14.57518910350032</v>
      </c>
      <c r="DJ281" s="3" t="n">
        <v>14.94842558183822</v>
      </c>
      <c r="DK281" s="3" t="n">
        <v>15.33625349745728</v>
      </c>
      <c r="DL281" s="3" t="n">
        <v>15.73917641725666</v>
      </c>
      <c r="DM281" s="3" t="n">
        <v>16.15775810895105</v>
      </c>
      <c r="DN281" s="3" t="n">
        <v>16.59258255110796</v>
      </c>
      <c r="DO281" s="3" t="n">
        <v>17.01723197413396</v>
      </c>
    </row>
    <row r="282">
      <c r="A282" s="19" t="inlineStr">
        <is>
          <t>mit.sup.cost.pow.coa</t>
        </is>
      </c>
      <c r="B282" s="3" t="inlineStr">
        <is>
          <t>mit</t>
        </is>
      </c>
      <c r="C282" s="19" t="inlineStr">
        <is>
          <t>mit.sup.cost.coa.pow</t>
        </is>
      </c>
      <c r="H282" s="3" t="inlineStr">
        <is>
          <t>Efficient price: supply cost of scenario 1 | Power | Coal</t>
        </is>
      </c>
      <c r="I282" s="3" t="inlineStr">
        <is>
          <t>USD per price unit</t>
        </is>
      </c>
      <c r="K282" s="20" t="inlineStr">
        <is>
          <t>egy.mit.sup.cost.pow.coa.1</t>
        </is>
      </c>
      <c r="L282" s="3" t="n">
        <v>13.46421248673108</v>
      </c>
      <c r="M282" s="3" t="n">
        <v>6.58847527233409</v>
      </c>
      <c r="N282" s="3" t="n">
        <v>5.8065680582894</v>
      </c>
      <c r="O282" s="3" t="n">
        <v>4.753248660508235</v>
      </c>
      <c r="P282" s="3" t="n">
        <v>5.333622207074439</v>
      </c>
      <c r="Q282" s="3" t="n">
        <v>5.464539844255792</v>
      </c>
      <c r="R282" s="3" t="n">
        <v>5.402463620677809</v>
      </c>
      <c r="S282" s="3" t="n">
        <v>5.335894303959473</v>
      </c>
      <c r="T282" s="3" t="n">
        <v>5.264647833458736</v>
      </c>
      <c r="U282" s="3" t="n">
        <v>5.195892089564461</v>
      </c>
      <c r="V282" s="3" t="n">
        <v>5.195892089564461</v>
      </c>
      <c r="W282" s="3" t="n">
        <v>5.195892089564461</v>
      </c>
      <c r="X282" s="3" t="n">
        <v>5.195892089564463</v>
      </c>
      <c r="Y282" s="3" t="n">
        <v>5.195892089564463</v>
      </c>
      <c r="Z282" s="3" t="n">
        <v>5.195892089564463</v>
      </c>
      <c r="AA282" s="3" t="n">
        <v>5.195892089564462</v>
      </c>
      <c r="AB282" s="3" t="n">
        <v>5.195892089564462</v>
      </c>
      <c r="AC282" s="3" t="n">
        <v>5.195892089564463</v>
      </c>
      <c r="AD282" s="3" t="n">
        <v>5.195892089564463</v>
      </c>
      <c r="AE282" s="3" t="n">
        <v>5.195892089564463</v>
      </c>
      <c r="AG282" s="20" t="inlineStr">
        <is>
          <t>egy.mit.sup.cost.pow.coa.3</t>
        </is>
      </c>
      <c r="AH282" s="3" t="n">
        <v>13.46421248673108</v>
      </c>
      <c r="AI282" s="3" t="n">
        <v>6.58847527233409</v>
      </c>
      <c r="AJ282" s="3" t="n">
        <v>5.8065680582894</v>
      </c>
      <c r="AK282" s="3" t="n">
        <v>4.753248660508235</v>
      </c>
      <c r="AL282" s="3" t="n">
        <v>5.333622207074439</v>
      </c>
      <c r="AM282" s="3" t="n">
        <v>5.464539844255792</v>
      </c>
      <c r="AN282" s="3" t="n">
        <v>5.402463620677809</v>
      </c>
      <c r="AO282" s="3" t="n">
        <v>5.335894303959473</v>
      </c>
      <c r="AP282" s="3" t="n">
        <v>5.264647833458736</v>
      </c>
      <c r="AQ282" s="3" t="n">
        <v>5.195892089564461</v>
      </c>
      <c r="AR282" s="3" t="n">
        <v>5.195892089564461</v>
      </c>
      <c r="AS282" s="3" t="n">
        <v>5.195892089564461</v>
      </c>
      <c r="AT282" s="3" t="n">
        <v>5.195892089564463</v>
      </c>
      <c r="AU282" s="3" t="n">
        <v>5.195892089564463</v>
      </c>
      <c r="AV282" s="3" t="n">
        <v>5.195892089564463</v>
      </c>
      <c r="AW282" s="3" t="n">
        <v>5.195892089564462</v>
      </c>
      <c r="AX282" s="3" t="n">
        <v>5.195892089564462</v>
      </c>
      <c r="AY282" s="3" t="n">
        <v>5.195892089564463</v>
      </c>
      <c r="AZ282" s="3" t="n">
        <v>5.195892089564463</v>
      </c>
      <c r="BA282" s="3" t="n">
        <v>5.195892089564463</v>
      </c>
      <c r="BC282" s="20" t="inlineStr">
        <is>
          <t>egy.mit.sup.cost.pow.coa.4</t>
        </is>
      </c>
      <c r="BD282" s="3" t="n">
        <v>13.46421248673108</v>
      </c>
      <c r="BE282" s="3" t="n">
        <v>6.58847527233409</v>
      </c>
      <c r="BF282" s="3" t="n">
        <v>5.8065680582894</v>
      </c>
      <c r="BG282" s="3" t="n">
        <v>4.753248660508235</v>
      </c>
      <c r="BH282" s="3" t="n">
        <v>5.333622207074439</v>
      </c>
      <c r="BI282" s="3" t="n">
        <v>5.464539844255792</v>
      </c>
      <c r="BJ282" s="3" t="n">
        <v>5.402463620677809</v>
      </c>
      <c r="BK282" s="3" t="n">
        <v>5.335894303959473</v>
      </c>
      <c r="BL282" s="3" t="n">
        <v>5.264647833458736</v>
      </c>
      <c r="BM282" s="3" t="n">
        <v>5.195892089564461</v>
      </c>
      <c r="BN282" s="3" t="n">
        <v>5.195892089564461</v>
      </c>
      <c r="BO282" s="3" t="n">
        <v>5.195892089564461</v>
      </c>
      <c r="BP282" s="3" t="n">
        <v>5.195892089564463</v>
      </c>
      <c r="BQ282" s="3" t="n">
        <v>5.195892089564463</v>
      </c>
      <c r="BR282" s="3" t="n">
        <v>5.195892089564463</v>
      </c>
      <c r="BS282" s="3" t="n">
        <v>5.195892089564462</v>
      </c>
      <c r="BT282" s="3" t="n">
        <v>5.195892089564462</v>
      </c>
      <c r="BU282" s="3" t="n">
        <v>5.195892089564463</v>
      </c>
      <c r="BV282" s="3" t="n">
        <v>5.195892089564463</v>
      </c>
      <c r="BW282" s="3" t="n">
        <v>5.195892089564463</v>
      </c>
      <c r="BY282" s="20" t="inlineStr">
        <is>
          <t>egy.mit.sup.cost.pow.coa.5</t>
        </is>
      </c>
      <c r="BZ282" s="3" t="n">
        <v>13.46421248673108</v>
      </c>
      <c r="CA282" s="3" t="n">
        <v>6.58847527233409</v>
      </c>
      <c r="CB282" s="3" t="n">
        <v>5.8065680582894</v>
      </c>
      <c r="CC282" s="3" t="n">
        <v>4.753248660508235</v>
      </c>
      <c r="CD282" s="3" t="n">
        <v>5.333622207074439</v>
      </c>
      <c r="CE282" s="3" t="n">
        <v>5.464539844255792</v>
      </c>
      <c r="CF282" s="3" t="n">
        <v>5.402463620677809</v>
      </c>
      <c r="CG282" s="3" t="n">
        <v>5.335894303959473</v>
      </c>
      <c r="CH282" s="3" t="n">
        <v>5.264647833458736</v>
      </c>
      <c r="CI282" s="3" t="n">
        <v>5.195892089564461</v>
      </c>
      <c r="CJ282" s="3" t="n">
        <v>5.195892089564461</v>
      </c>
      <c r="CK282" s="3" t="n">
        <v>5.195892089564461</v>
      </c>
      <c r="CL282" s="3" t="n">
        <v>5.195892089564463</v>
      </c>
      <c r="CM282" s="3" t="n">
        <v>5.195892089564463</v>
      </c>
      <c r="CN282" s="3" t="n">
        <v>5.195892089564463</v>
      </c>
      <c r="CO282" s="3" t="n">
        <v>5.195892089564462</v>
      </c>
      <c r="CP282" s="3" t="n">
        <v>5.195892089564462</v>
      </c>
      <c r="CQ282" s="3" t="n">
        <v>5.195892089564463</v>
      </c>
      <c r="CR282" s="3" t="n">
        <v>5.195892089564463</v>
      </c>
      <c r="CS282" s="3" t="n">
        <v>5.195892089564463</v>
      </c>
      <c r="CU282" s="20" t="inlineStr">
        <is>
          <t>egy.mit.sup.cost.pow.coa.6</t>
        </is>
      </c>
      <c r="CV282" s="3" t="n">
        <v>13.46421248673108</v>
      </c>
      <c r="CW282" s="3" t="n">
        <v>6.58847527233409</v>
      </c>
      <c r="CX282" s="3" t="n">
        <v>5.8065680582894</v>
      </c>
      <c r="CY282" s="3" t="n">
        <v>4.753248660508235</v>
      </c>
      <c r="CZ282" s="3" t="n">
        <v>5.333622207074439</v>
      </c>
      <c r="DA282" s="3" t="n">
        <v>5.464539844255792</v>
      </c>
      <c r="DB282" s="3" t="n">
        <v>5.402463620677809</v>
      </c>
      <c r="DC282" s="3" t="n">
        <v>5.335894303959473</v>
      </c>
      <c r="DD282" s="3" t="n">
        <v>5.264647833458736</v>
      </c>
      <c r="DE282" s="3" t="n">
        <v>5.195892089564461</v>
      </c>
      <c r="DF282" s="3" t="n">
        <v>5.195892089564461</v>
      </c>
      <c r="DG282" s="3" t="n">
        <v>5.195892089564461</v>
      </c>
      <c r="DH282" s="3" t="n">
        <v>5.195892089564463</v>
      </c>
      <c r="DI282" s="3" t="n">
        <v>5.195892089564463</v>
      </c>
      <c r="DJ282" s="3" t="n">
        <v>5.195892089564463</v>
      </c>
      <c r="DK282" s="3" t="n">
        <v>5.195892089564462</v>
      </c>
      <c r="DL282" s="3" t="n">
        <v>5.195892089564462</v>
      </c>
      <c r="DM282" s="3" t="n">
        <v>5.195892089564463</v>
      </c>
      <c r="DN282" s="3" t="n">
        <v>5.195892089564463</v>
      </c>
      <c r="DO282" s="3" t="n">
        <v>5.195892089564463</v>
      </c>
    </row>
    <row r="283">
      <c r="A283" s="19" t="inlineStr">
        <is>
          <t>mit.airpol.cost.pow.coa</t>
        </is>
      </c>
      <c r="B283" s="3" t="inlineStr">
        <is>
          <t>mit</t>
        </is>
      </c>
      <c r="C283" s="19" t="inlineStr">
        <is>
          <t>mit.airpol.cost.coa.pow</t>
        </is>
      </c>
      <c r="H283" s="3" t="inlineStr">
        <is>
          <t>Air-pollution cost per unit of fuel, marginal damages (coal, gas, other oil products USD/GJ; gasoline, diesel, LPG, kerosene USD/l) | Power | Coal</t>
        </is>
      </c>
      <c r="I283" s="3" t="inlineStr">
        <is>
          <t>USD per unit</t>
        </is>
      </c>
      <c r="K283" s="20" t="inlineStr">
        <is>
          <t>egy.mit.airpol.cost.pow.coa.1</t>
        </is>
      </c>
      <c r="L283" s="3" t="n">
        <v>0.5186144017929447</v>
      </c>
      <c r="M283" s="3" t="n">
        <v>0.5168726572519241</v>
      </c>
      <c r="N283" s="3" t="n">
        <v>0.4896408923164133</v>
      </c>
      <c r="O283" s="3" t="n">
        <v>0.3467736418146612</v>
      </c>
      <c r="P283" s="3" t="n">
        <v>0.3941115088072515</v>
      </c>
      <c r="Q283" s="3" t="n">
        <v>0.4076080975122535</v>
      </c>
      <c r="R283" s="3" t="n">
        <v>0.4436872089926524</v>
      </c>
      <c r="S283" s="3" t="n">
        <v>0.4775599857805631</v>
      </c>
      <c r="T283" s="3" t="n">
        <v>0.5088177111982911</v>
      </c>
      <c r="U283" s="3" t="n">
        <v>0.5178181346394432</v>
      </c>
      <c r="V283" s="3" t="n">
        <v>0.5377770512838581</v>
      </c>
      <c r="W283" s="3" t="n">
        <v>0.5582823651574287</v>
      </c>
      <c r="X283" s="3" t="n">
        <v>0.5793216416730614</v>
      </c>
      <c r="Y283" s="3" t="n">
        <v>0.6009029925393746</v>
      </c>
      <c r="Z283" s="3" t="n">
        <v>0.6230037100214199</v>
      </c>
      <c r="AA283" s="3" t="n">
        <v>0.6456504343503848</v>
      </c>
      <c r="AB283" s="3" t="n">
        <v>0.6687849152080704</v>
      </c>
      <c r="AC283" s="3" t="n">
        <v>0.6923866304030869</v>
      </c>
      <c r="AD283" s="3" t="n">
        <v>0.7164318970006542</v>
      </c>
      <c r="AE283" s="3" t="n">
        <v>0.713870977444944</v>
      </c>
      <c r="AG283" s="20" t="inlineStr">
        <is>
          <t>egy.mit.airpol.cost.pow.coa.3</t>
        </is>
      </c>
      <c r="AH283" s="3" t="n">
        <v>0.5186144017929447</v>
      </c>
      <c r="AI283" s="3" t="n">
        <v>0.5168726572519241</v>
      </c>
      <c r="AJ283" s="3" t="n">
        <v>0.4896408923164133</v>
      </c>
      <c r="AK283" s="3" t="n">
        <v>0.3467736418146612</v>
      </c>
      <c r="AL283" s="3" t="n">
        <v>0.3941115088072515</v>
      </c>
      <c r="AM283" s="3" t="n">
        <v>0.4076080975122535</v>
      </c>
      <c r="AN283" s="3" t="n">
        <v>0.4436872089926524</v>
      </c>
      <c r="AO283" s="3" t="n">
        <v>0.4775599857805631</v>
      </c>
      <c r="AP283" s="3" t="n">
        <v>0.5088177111982911</v>
      </c>
      <c r="AQ283" s="3" t="n">
        <v>0.5178181346394432</v>
      </c>
      <c r="AR283" s="3" t="n">
        <v>0.5377770512838581</v>
      </c>
      <c r="AS283" s="3" t="n">
        <v>0.5582823651574287</v>
      </c>
      <c r="AT283" s="3" t="n">
        <v>0.5793216416730614</v>
      </c>
      <c r="AU283" s="3" t="n">
        <v>0.6009029925393746</v>
      </c>
      <c r="AV283" s="3" t="n">
        <v>0.6230037100214199</v>
      </c>
      <c r="AW283" s="3" t="n">
        <v>0.6456504343503848</v>
      </c>
      <c r="AX283" s="3" t="n">
        <v>0.6687849152080704</v>
      </c>
      <c r="AY283" s="3" t="n">
        <v>0.6923866304030869</v>
      </c>
      <c r="AZ283" s="3" t="n">
        <v>0.7164318970006542</v>
      </c>
      <c r="BA283" s="3" t="n">
        <v>0.713870977444944</v>
      </c>
      <c r="BC283" s="20" t="inlineStr">
        <is>
          <t>egy.mit.airpol.cost.pow.coa.4</t>
        </is>
      </c>
      <c r="BD283" s="3" t="n">
        <v>0.5186144017929447</v>
      </c>
      <c r="BE283" s="3" t="n">
        <v>0.5168726572519241</v>
      </c>
      <c r="BF283" s="3" t="n">
        <v>0.4896408923164133</v>
      </c>
      <c r="BG283" s="3" t="n">
        <v>0.3467736418146612</v>
      </c>
      <c r="BH283" s="3" t="n">
        <v>0.3941115088072515</v>
      </c>
      <c r="BI283" s="3" t="n">
        <v>0.4076080975122535</v>
      </c>
      <c r="BJ283" s="3" t="n">
        <v>0.4436872089926524</v>
      </c>
      <c r="BK283" s="3" t="n">
        <v>0.4775599857805631</v>
      </c>
      <c r="BL283" s="3" t="n">
        <v>0.5088177111982911</v>
      </c>
      <c r="BM283" s="3" t="n">
        <v>0.5178181346394432</v>
      </c>
      <c r="BN283" s="3" t="n">
        <v>0.5377770512838581</v>
      </c>
      <c r="BO283" s="3" t="n">
        <v>0.5582823651574287</v>
      </c>
      <c r="BP283" s="3" t="n">
        <v>0.5793216416730614</v>
      </c>
      <c r="BQ283" s="3" t="n">
        <v>0.6009029925393746</v>
      </c>
      <c r="BR283" s="3" t="n">
        <v>0.6230037100214199</v>
      </c>
      <c r="BS283" s="3" t="n">
        <v>0.6456504343503848</v>
      </c>
      <c r="BT283" s="3" t="n">
        <v>0.6687849152080704</v>
      </c>
      <c r="BU283" s="3" t="n">
        <v>0.6923866304030869</v>
      </c>
      <c r="BV283" s="3" t="n">
        <v>0.7164318970006542</v>
      </c>
      <c r="BW283" s="3" t="n">
        <v>0.713870977444944</v>
      </c>
      <c r="BY283" s="20" t="inlineStr">
        <is>
          <t>egy.mit.airpol.cost.pow.coa.5</t>
        </is>
      </c>
      <c r="BZ283" s="3" t="n">
        <v>0.5186144017929447</v>
      </c>
      <c r="CA283" s="3" t="n">
        <v>0.5168726572519241</v>
      </c>
      <c r="CB283" s="3" t="n">
        <v>0.4896408923164133</v>
      </c>
      <c r="CC283" s="3" t="n">
        <v>0.3467736418146612</v>
      </c>
      <c r="CD283" s="3" t="n">
        <v>0.3941115088072515</v>
      </c>
      <c r="CE283" s="3" t="n">
        <v>0.4076080975122535</v>
      </c>
      <c r="CF283" s="3" t="n">
        <v>0.4436872089926524</v>
      </c>
      <c r="CG283" s="3" t="n">
        <v>0.4775599857805631</v>
      </c>
      <c r="CH283" s="3" t="n">
        <v>0.5088177111982911</v>
      </c>
      <c r="CI283" s="3" t="n">
        <v>0.5178181346394432</v>
      </c>
      <c r="CJ283" s="3" t="n">
        <v>0.5377770512838581</v>
      </c>
      <c r="CK283" s="3" t="n">
        <v>0.5582823651574287</v>
      </c>
      <c r="CL283" s="3" t="n">
        <v>0.5793216416730614</v>
      </c>
      <c r="CM283" s="3" t="n">
        <v>0.6009029925393746</v>
      </c>
      <c r="CN283" s="3" t="n">
        <v>0.6230037100214199</v>
      </c>
      <c r="CO283" s="3" t="n">
        <v>0.6456504343503848</v>
      </c>
      <c r="CP283" s="3" t="n">
        <v>0.6687849152080704</v>
      </c>
      <c r="CQ283" s="3" t="n">
        <v>0.6923866304030869</v>
      </c>
      <c r="CR283" s="3" t="n">
        <v>0.7164318970006542</v>
      </c>
      <c r="CS283" s="3" t="n">
        <v>0.713870977444944</v>
      </c>
      <c r="CU283" s="20" t="inlineStr">
        <is>
          <t>egy.mit.airpol.cost.pow.coa.6</t>
        </is>
      </c>
      <c r="CV283" s="3" t="n">
        <v>0.5186144017929447</v>
      </c>
      <c r="CW283" s="3" t="n">
        <v>0.5168726572519241</v>
      </c>
      <c r="CX283" s="3" t="n">
        <v>0.4896408923164133</v>
      </c>
      <c r="CY283" s="3" t="n">
        <v>0.3467736418146612</v>
      </c>
      <c r="CZ283" s="3" t="n">
        <v>0.3941115088072515</v>
      </c>
      <c r="DA283" s="3" t="n">
        <v>0.4076080975122535</v>
      </c>
      <c r="DB283" s="3" t="n">
        <v>0.4436872089926524</v>
      </c>
      <c r="DC283" s="3" t="n">
        <v>0.4775599857805631</v>
      </c>
      <c r="DD283" s="3" t="n">
        <v>0.5088177111982911</v>
      </c>
      <c r="DE283" s="3" t="n">
        <v>0.5178181346394432</v>
      </c>
      <c r="DF283" s="3" t="n">
        <v>0.5377770512838581</v>
      </c>
      <c r="DG283" s="3" t="n">
        <v>0.5582823651574287</v>
      </c>
      <c r="DH283" s="3" t="n">
        <v>0.5793216416730614</v>
      </c>
      <c r="DI283" s="3" t="n">
        <v>0.6009029925393746</v>
      </c>
      <c r="DJ283" s="3" t="n">
        <v>0.6230037100214199</v>
      </c>
      <c r="DK283" s="3" t="n">
        <v>0.6456504343503848</v>
      </c>
      <c r="DL283" s="3" t="n">
        <v>0.6687849152080704</v>
      </c>
      <c r="DM283" s="3" t="n">
        <v>0.6923866304030869</v>
      </c>
      <c r="DN283" s="3" t="n">
        <v>0.7164318970006542</v>
      </c>
      <c r="DO283" s="3" t="n">
        <v>0.713870977444944</v>
      </c>
    </row>
    <row r="284">
      <c r="A284" s="19" t="inlineStr">
        <is>
          <t>mit.scc.cost.pow.coa</t>
        </is>
      </c>
      <c r="B284" s="3" t="inlineStr">
        <is>
          <t>mit</t>
        </is>
      </c>
      <c r="C284" s="19" t="inlineStr">
        <is>
          <t>mit.scc.cost.coa.pow</t>
        </is>
      </c>
      <c r="H284" s="3" t="inlineStr">
        <is>
          <t>Efficient price: climate damage (national SCC) | Power | Coal</t>
        </is>
      </c>
      <c r="I284" s="3" t="inlineStr">
        <is>
          <t>USD per price unit</t>
        </is>
      </c>
      <c r="K284" s="20" t="inlineStr">
        <is>
          <t>egy.mit.scc.cost.pow.coa.1</t>
        </is>
      </c>
      <c r="L284" s="3" t="n">
        <v>5.272075967130314</v>
      </c>
      <c r="M284" s="3" t="n">
        <v>5.482959005815526</v>
      </c>
      <c r="N284" s="3" t="n">
        <v>5.702277366048148</v>
      </c>
      <c r="O284" s="3" t="n">
        <v>5.930368460690074</v>
      </c>
      <c r="P284" s="3" t="n">
        <v>6.167583199117677</v>
      </c>
      <c r="Q284" s="3" t="n">
        <v>6.414286527082384</v>
      </c>
      <c r="R284" s="3" t="n">
        <v>6.67085798816568</v>
      </c>
      <c r="S284" s="3" t="n">
        <v>6.937692307692306</v>
      </c>
      <c r="T284" s="3" t="n">
        <v>7.215199999999999</v>
      </c>
      <c r="U284" s="3" t="n">
        <v>7.503807999999999</v>
      </c>
      <c r="V284" s="3" t="n">
        <v>7.80396032</v>
      </c>
      <c r="W284" s="3" t="n">
        <v>8.1161187328</v>
      </c>
      <c r="X284" s="3" t="n">
        <v>8.440763482112001</v>
      </c>
      <c r="Y284" s="3" t="n">
        <v>8.77839402139648</v>
      </c>
      <c r="Z284" s="3" t="n">
        <v>9.129529782252341</v>
      </c>
      <c r="AA284" s="3" t="n">
        <v>9.494710973542434</v>
      </c>
      <c r="AB284" s="3" t="n">
        <v>9.874499412484131</v>
      </c>
      <c r="AC284" s="3" t="n">
        <v>10.2694793889835</v>
      </c>
      <c r="AD284" s="3" t="n">
        <v>10.68025856454284</v>
      </c>
      <c r="AE284" s="3" t="n">
        <v>11.10746890712455</v>
      </c>
      <c r="AG284" s="20" t="inlineStr">
        <is>
          <t>egy.mit.scc.cost.pow.coa.3</t>
        </is>
      </c>
      <c r="AH284" s="3" t="n">
        <v>5.272075967130314</v>
      </c>
      <c r="AI284" s="3" t="n">
        <v>5.482959005815526</v>
      </c>
      <c r="AJ284" s="3" t="n">
        <v>5.702277366048148</v>
      </c>
      <c r="AK284" s="3" t="n">
        <v>5.930368460690074</v>
      </c>
      <c r="AL284" s="3" t="n">
        <v>6.167583199117677</v>
      </c>
      <c r="AM284" s="3" t="n">
        <v>6.414286527082384</v>
      </c>
      <c r="AN284" s="3" t="n">
        <v>6.67085798816568</v>
      </c>
      <c r="AO284" s="3" t="n">
        <v>6.937692307692306</v>
      </c>
      <c r="AP284" s="3" t="n">
        <v>7.215199999999999</v>
      </c>
      <c r="AQ284" s="3" t="n">
        <v>7.503807999999999</v>
      </c>
      <c r="AR284" s="3" t="n">
        <v>7.80396032</v>
      </c>
      <c r="AS284" s="3" t="n">
        <v>8.1161187328</v>
      </c>
      <c r="AT284" s="3" t="n">
        <v>8.440763482112001</v>
      </c>
      <c r="AU284" s="3" t="n">
        <v>8.77839402139648</v>
      </c>
      <c r="AV284" s="3" t="n">
        <v>9.129529782252341</v>
      </c>
      <c r="AW284" s="3" t="n">
        <v>9.494710973542434</v>
      </c>
      <c r="AX284" s="3" t="n">
        <v>9.874499412484131</v>
      </c>
      <c r="AY284" s="3" t="n">
        <v>10.2694793889835</v>
      </c>
      <c r="AZ284" s="3" t="n">
        <v>10.68025856454284</v>
      </c>
      <c r="BA284" s="3" t="n">
        <v>11.10746890712455</v>
      </c>
      <c r="BC284" s="20" t="inlineStr">
        <is>
          <t>egy.mit.scc.cost.pow.coa.4</t>
        </is>
      </c>
      <c r="BD284" s="3" t="n">
        <v>5.272075967130314</v>
      </c>
      <c r="BE284" s="3" t="n">
        <v>5.482959005815526</v>
      </c>
      <c r="BF284" s="3" t="n">
        <v>5.702277366048148</v>
      </c>
      <c r="BG284" s="3" t="n">
        <v>5.930368460690074</v>
      </c>
      <c r="BH284" s="3" t="n">
        <v>6.167583199117677</v>
      </c>
      <c r="BI284" s="3" t="n">
        <v>6.414286527082384</v>
      </c>
      <c r="BJ284" s="3" t="n">
        <v>6.67085798816568</v>
      </c>
      <c r="BK284" s="3" t="n">
        <v>6.937692307692306</v>
      </c>
      <c r="BL284" s="3" t="n">
        <v>7.215199999999999</v>
      </c>
      <c r="BM284" s="3" t="n">
        <v>7.503807999999999</v>
      </c>
      <c r="BN284" s="3" t="n">
        <v>7.80396032</v>
      </c>
      <c r="BO284" s="3" t="n">
        <v>8.1161187328</v>
      </c>
      <c r="BP284" s="3" t="n">
        <v>8.440763482112001</v>
      </c>
      <c r="BQ284" s="3" t="n">
        <v>8.77839402139648</v>
      </c>
      <c r="BR284" s="3" t="n">
        <v>9.129529782252341</v>
      </c>
      <c r="BS284" s="3" t="n">
        <v>9.494710973542434</v>
      </c>
      <c r="BT284" s="3" t="n">
        <v>9.874499412484131</v>
      </c>
      <c r="BU284" s="3" t="n">
        <v>10.2694793889835</v>
      </c>
      <c r="BV284" s="3" t="n">
        <v>10.68025856454284</v>
      </c>
      <c r="BW284" s="3" t="n">
        <v>11.10746890712455</v>
      </c>
      <c r="BY284" s="20" t="inlineStr">
        <is>
          <t>egy.mit.scc.cost.pow.coa.5</t>
        </is>
      </c>
      <c r="BZ284" s="3" t="n">
        <v>5.272075967130314</v>
      </c>
      <c r="CA284" s="3" t="n">
        <v>5.482959005815526</v>
      </c>
      <c r="CB284" s="3" t="n">
        <v>5.702277366048148</v>
      </c>
      <c r="CC284" s="3" t="n">
        <v>5.930368460690074</v>
      </c>
      <c r="CD284" s="3" t="n">
        <v>6.167583199117677</v>
      </c>
      <c r="CE284" s="3" t="n">
        <v>6.414286527082384</v>
      </c>
      <c r="CF284" s="3" t="n">
        <v>6.67085798816568</v>
      </c>
      <c r="CG284" s="3" t="n">
        <v>6.937692307692306</v>
      </c>
      <c r="CH284" s="3" t="n">
        <v>7.215199999999999</v>
      </c>
      <c r="CI284" s="3" t="n">
        <v>7.503807999999999</v>
      </c>
      <c r="CJ284" s="3" t="n">
        <v>7.80396032</v>
      </c>
      <c r="CK284" s="3" t="n">
        <v>8.1161187328</v>
      </c>
      <c r="CL284" s="3" t="n">
        <v>8.440763482112001</v>
      </c>
      <c r="CM284" s="3" t="n">
        <v>8.77839402139648</v>
      </c>
      <c r="CN284" s="3" t="n">
        <v>9.129529782252341</v>
      </c>
      <c r="CO284" s="3" t="n">
        <v>9.494710973542434</v>
      </c>
      <c r="CP284" s="3" t="n">
        <v>9.874499412484131</v>
      </c>
      <c r="CQ284" s="3" t="n">
        <v>10.2694793889835</v>
      </c>
      <c r="CR284" s="3" t="n">
        <v>10.68025856454284</v>
      </c>
      <c r="CS284" s="3" t="n">
        <v>11.10746890712455</v>
      </c>
      <c r="CU284" s="20" t="inlineStr">
        <is>
          <t>egy.mit.scc.cost.pow.coa.6</t>
        </is>
      </c>
      <c r="CV284" s="3" t="n">
        <v>5.272075967130314</v>
      </c>
      <c r="CW284" s="3" t="n">
        <v>5.482959005815526</v>
      </c>
      <c r="CX284" s="3" t="n">
        <v>5.702277366048148</v>
      </c>
      <c r="CY284" s="3" t="n">
        <v>5.930368460690074</v>
      </c>
      <c r="CZ284" s="3" t="n">
        <v>6.167583199117677</v>
      </c>
      <c r="DA284" s="3" t="n">
        <v>6.414286527082384</v>
      </c>
      <c r="DB284" s="3" t="n">
        <v>6.67085798816568</v>
      </c>
      <c r="DC284" s="3" t="n">
        <v>6.937692307692306</v>
      </c>
      <c r="DD284" s="3" t="n">
        <v>7.215199999999999</v>
      </c>
      <c r="DE284" s="3" t="n">
        <v>7.503807999999999</v>
      </c>
      <c r="DF284" s="3" t="n">
        <v>7.80396032</v>
      </c>
      <c r="DG284" s="3" t="n">
        <v>8.1161187328</v>
      </c>
      <c r="DH284" s="3" t="n">
        <v>8.440763482112001</v>
      </c>
      <c r="DI284" s="3" t="n">
        <v>8.77839402139648</v>
      </c>
      <c r="DJ284" s="3" t="n">
        <v>9.129529782252341</v>
      </c>
      <c r="DK284" s="3" t="n">
        <v>9.494710973542434</v>
      </c>
      <c r="DL284" s="3" t="n">
        <v>9.874499412484131</v>
      </c>
      <c r="DM284" s="3" t="n">
        <v>10.2694793889835</v>
      </c>
      <c r="DN284" s="3" t="n">
        <v>10.68025856454284</v>
      </c>
      <c r="DO284" s="3" t="n">
        <v>11.10746890712455</v>
      </c>
    </row>
    <row r="285">
      <c r="A285" s="19" t="inlineStr">
        <is>
          <t>mit.vat.cost.pow.coa</t>
        </is>
      </c>
      <c r="B285" s="3" t="inlineStr">
        <is>
          <t>mit</t>
        </is>
      </c>
      <c r="C285" s="19" t="inlineStr">
        <is>
          <t>mit.vat.cost.coa.pow</t>
        </is>
      </c>
      <c r="H285" s="3" t="inlineStr">
        <is>
          <t>Efficient price: potential VAT | Power | Coal</t>
        </is>
      </c>
      <c r="I285" s="3" t="inlineStr">
        <is>
          <t>USD per price unit</t>
        </is>
      </c>
      <c r="K285" s="20" t="inlineStr">
        <is>
          <t>egy.mit.vat.cost.pow.coa.1</t>
        </is>
      </c>
      <c r="L285" s="3" t="n">
        <v>0</v>
      </c>
      <c r="M285" s="3" t="n">
        <v>0</v>
      </c>
      <c r="N285" s="3" t="n">
        <v>0</v>
      </c>
      <c r="O285" s="3" t="n">
        <v>0</v>
      </c>
      <c r="P285" s="3" t="n">
        <v>0</v>
      </c>
      <c r="Q285" s="3" t="n">
        <v>0</v>
      </c>
      <c r="R285" s="3" t="n">
        <v>0</v>
      </c>
      <c r="S285" s="3" t="n">
        <v>0</v>
      </c>
      <c r="T285" s="3" t="n">
        <v>0</v>
      </c>
      <c r="U285" s="3" t="n">
        <v>0</v>
      </c>
      <c r="V285" s="3" t="n">
        <v>0</v>
      </c>
      <c r="W285" s="3" t="n">
        <v>0</v>
      </c>
      <c r="X285" s="3" t="n">
        <v>0</v>
      </c>
      <c r="Y285" s="3" t="n">
        <v>0</v>
      </c>
      <c r="Z285" s="3" t="n">
        <v>0</v>
      </c>
      <c r="AA285" s="3" t="n">
        <v>0</v>
      </c>
      <c r="AB285" s="3" t="n">
        <v>0</v>
      </c>
      <c r="AC285" s="3" t="n">
        <v>0</v>
      </c>
      <c r="AD285" s="3" t="n">
        <v>0</v>
      </c>
      <c r="AE285" s="3" t="n">
        <v>0</v>
      </c>
      <c r="AG285" s="20" t="inlineStr">
        <is>
          <t>egy.mit.vat.cost.pow.coa.3</t>
        </is>
      </c>
      <c r="AH285" s="3" t="n">
        <v>0</v>
      </c>
      <c r="AI285" s="3" t="n">
        <v>0</v>
      </c>
      <c r="AJ285" s="3" t="n">
        <v>0</v>
      </c>
      <c r="AK285" s="3" t="n">
        <v>0</v>
      </c>
      <c r="AL285" s="3" t="n">
        <v>0</v>
      </c>
      <c r="AM285" s="3" t="n">
        <v>0</v>
      </c>
      <c r="AN285" s="3" t="n">
        <v>0</v>
      </c>
      <c r="AO285" s="3" t="n">
        <v>0</v>
      </c>
      <c r="AP285" s="3" t="n">
        <v>0</v>
      </c>
      <c r="AQ285" s="3" t="n">
        <v>0</v>
      </c>
      <c r="AR285" s="3" t="n">
        <v>0</v>
      </c>
      <c r="AS285" s="3" t="n">
        <v>0</v>
      </c>
      <c r="AT285" s="3" t="n">
        <v>0</v>
      </c>
      <c r="AU285" s="3" t="n">
        <v>0</v>
      </c>
      <c r="AV285" s="3" t="n">
        <v>0</v>
      </c>
      <c r="AW285" s="3" t="n">
        <v>0</v>
      </c>
      <c r="AX285" s="3" t="n">
        <v>0</v>
      </c>
      <c r="AY285" s="3" t="n">
        <v>0</v>
      </c>
      <c r="AZ285" s="3" t="n">
        <v>0</v>
      </c>
      <c r="BA285" s="3" t="n">
        <v>0</v>
      </c>
      <c r="BC285" s="20" t="inlineStr">
        <is>
          <t>egy.mit.vat.cost.pow.coa.4</t>
        </is>
      </c>
      <c r="BD285" s="3" t="n">
        <v>0</v>
      </c>
      <c r="BE285" s="3" t="n">
        <v>0</v>
      </c>
      <c r="BF285" s="3" t="n">
        <v>0</v>
      </c>
      <c r="BG285" s="3" t="n">
        <v>0</v>
      </c>
      <c r="BH285" s="3" t="n">
        <v>0</v>
      </c>
      <c r="BI285" s="3" t="n">
        <v>0</v>
      </c>
      <c r="BJ285" s="3" t="n">
        <v>0</v>
      </c>
      <c r="BK285" s="3" t="n">
        <v>0</v>
      </c>
      <c r="BL285" s="3" t="n">
        <v>0</v>
      </c>
      <c r="BM285" s="3" t="n">
        <v>0</v>
      </c>
      <c r="BN285" s="3" t="n">
        <v>0</v>
      </c>
      <c r="BO285" s="3" t="n">
        <v>0</v>
      </c>
      <c r="BP285" s="3" t="n">
        <v>0</v>
      </c>
      <c r="BQ285" s="3" t="n">
        <v>0</v>
      </c>
      <c r="BR285" s="3" t="n">
        <v>0</v>
      </c>
      <c r="BS285" s="3" t="n">
        <v>0</v>
      </c>
      <c r="BT285" s="3" t="n">
        <v>0</v>
      </c>
      <c r="BU285" s="3" t="n">
        <v>0</v>
      </c>
      <c r="BV285" s="3" t="n">
        <v>0</v>
      </c>
      <c r="BW285" s="3" t="n">
        <v>0</v>
      </c>
      <c r="BY285" s="20" t="inlineStr">
        <is>
          <t>egy.mit.vat.cost.pow.coa.5</t>
        </is>
      </c>
      <c r="BZ285" s="3" t="n">
        <v>0</v>
      </c>
      <c r="CA285" s="3" t="n">
        <v>0</v>
      </c>
      <c r="CB285" s="3" t="n">
        <v>0</v>
      </c>
      <c r="CC285" s="3" t="n">
        <v>0</v>
      </c>
      <c r="CD285" s="3" t="n">
        <v>0</v>
      </c>
      <c r="CE285" s="3" t="n">
        <v>0</v>
      </c>
      <c r="CF285" s="3" t="n">
        <v>0</v>
      </c>
      <c r="CG285" s="3" t="n">
        <v>0</v>
      </c>
      <c r="CH285" s="3" t="n">
        <v>0</v>
      </c>
      <c r="CI285" s="3" t="n">
        <v>0</v>
      </c>
      <c r="CJ285" s="3" t="n">
        <v>0</v>
      </c>
      <c r="CK285" s="3" t="n">
        <v>0</v>
      </c>
      <c r="CL285" s="3" t="n">
        <v>0</v>
      </c>
      <c r="CM285" s="3" t="n">
        <v>0</v>
      </c>
      <c r="CN285" s="3" t="n">
        <v>0</v>
      </c>
      <c r="CO285" s="3" t="n">
        <v>0</v>
      </c>
      <c r="CP285" s="3" t="n">
        <v>0</v>
      </c>
      <c r="CQ285" s="3" t="n">
        <v>0</v>
      </c>
      <c r="CR285" s="3" t="n">
        <v>0</v>
      </c>
      <c r="CS285" s="3" t="n">
        <v>0</v>
      </c>
      <c r="CU285" s="20" t="inlineStr">
        <is>
          <t>egy.mit.vat.cost.pow.coa.6</t>
        </is>
      </c>
      <c r="CV285" s="3" t="n">
        <v>0</v>
      </c>
      <c r="CW285" s="3" t="n">
        <v>0</v>
      </c>
      <c r="CX285" s="3" t="n">
        <v>0</v>
      </c>
      <c r="CY285" s="3" t="n">
        <v>0</v>
      </c>
      <c r="CZ285" s="3" t="n">
        <v>0</v>
      </c>
      <c r="DA285" s="3" t="n">
        <v>0</v>
      </c>
      <c r="DB285" s="3" t="n">
        <v>0</v>
      </c>
      <c r="DC285" s="3" t="n">
        <v>0</v>
      </c>
      <c r="DD285" s="3" t="n">
        <v>0</v>
      </c>
      <c r="DE285" s="3" t="n">
        <v>0</v>
      </c>
      <c r="DF285" s="3" t="n">
        <v>0</v>
      </c>
      <c r="DG285" s="3" t="n">
        <v>0</v>
      </c>
      <c r="DH285" s="3" t="n">
        <v>0</v>
      </c>
      <c r="DI285" s="3" t="n">
        <v>0</v>
      </c>
      <c r="DJ285" s="3" t="n">
        <v>0</v>
      </c>
      <c r="DK285" s="3" t="n">
        <v>0</v>
      </c>
      <c r="DL285" s="3" t="n">
        <v>0</v>
      </c>
      <c r="DM285" s="3" t="n">
        <v>0</v>
      </c>
      <c r="DN285" s="3" t="n">
        <v>0</v>
      </c>
      <c r="DO285" s="3" t="n">
        <v>0</v>
      </c>
    </row>
    <row r="286">
      <c r="A286" s="19" t="inlineStr">
        <is>
          <t>mit.rp.eff.pow.coa</t>
        </is>
      </c>
      <c r="B286" s="3" t="inlineStr">
        <is>
          <t>mit</t>
        </is>
      </c>
      <c r="C286" s="19" t="inlineStr">
        <is>
          <t>mit.rp.coa.pow</t>
        </is>
      </c>
      <c r="H286" s="3" t="inlineStr">
        <is>
          <t>Efficient price block: retail price of the scenario | Power | Coal</t>
        </is>
      </c>
      <c r="I286" s="3" t="inlineStr">
        <is>
          <t>USD per price unit</t>
        </is>
      </c>
      <c r="K286" s="20" t="inlineStr">
        <is>
          <t>egy.mit.rp.eff.pow.coa.1</t>
        </is>
      </c>
      <c r="L286" s="3" t="n">
        <v>13.46421248673108</v>
      </c>
      <c r="M286" s="3" t="n">
        <v>6.58847527233409</v>
      </c>
      <c r="N286" s="3" t="n">
        <v>5.8065680582894</v>
      </c>
      <c r="O286" s="3" t="n">
        <v>4.753248660508235</v>
      </c>
      <c r="P286" s="3" t="n">
        <v>5.333622207074439</v>
      </c>
      <c r="Q286" s="3" t="n">
        <v>5.464539844255792</v>
      </c>
      <c r="R286" s="3" t="n">
        <v>5.402463620677809</v>
      </c>
      <c r="S286" s="3" t="n">
        <v>5.335894303959473</v>
      </c>
      <c r="T286" s="3" t="n">
        <v>5.264647833458736</v>
      </c>
      <c r="U286" s="3" t="n">
        <v>5.195892089564461</v>
      </c>
      <c r="V286" s="3" t="n">
        <v>5.195892089564461</v>
      </c>
      <c r="W286" s="3" t="n">
        <v>5.195892089564461</v>
      </c>
      <c r="X286" s="3" t="n">
        <v>5.195892089564463</v>
      </c>
      <c r="Y286" s="3" t="n">
        <v>5.195892089564463</v>
      </c>
      <c r="Z286" s="3" t="n">
        <v>5.195892089564463</v>
      </c>
      <c r="AA286" s="3" t="n">
        <v>5.195892089564462</v>
      </c>
      <c r="AB286" s="3" t="n">
        <v>5.195892089564462</v>
      </c>
      <c r="AC286" s="3" t="n">
        <v>5.195892089564463</v>
      </c>
      <c r="AD286" s="3" t="n">
        <v>5.195892089564463</v>
      </c>
      <c r="AE286" s="3" t="n">
        <v>5.195892089564463</v>
      </c>
      <c r="AG286" s="20" t="inlineStr">
        <is>
          <t>egy.mit.rp.eff.pow.coa.3</t>
        </is>
      </c>
      <c r="AH286" s="3" t="n">
        <v>13.46421248673108</v>
      </c>
      <c r="AI286" s="3" t="n">
        <v>6.58847527233409</v>
      </c>
      <c r="AJ286" s="3" t="n">
        <v>5.8065680582894</v>
      </c>
      <c r="AK286" s="3" t="n">
        <v>4.753248660508235</v>
      </c>
      <c r="AL286" s="3" t="n">
        <v>5.333622207074439</v>
      </c>
      <c r="AM286" s="3" t="n">
        <v>5.464539844255792</v>
      </c>
      <c r="AN286" s="3" t="n">
        <v>5.402463620677809</v>
      </c>
      <c r="AO286" s="3" t="n">
        <v>5.335894303959473</v>
      </c>
      <c r="AP286" s="3" t="n">
        <v>5.264647833458736</v>
      </c>
      <c r="AQ286" s="3" t="n">
        <v>5.195892089564461</v>
      </c>
      <c r="AR286" s="3" t="n">
        <v>5.195892089564461</v>
      </c>
      <c r="AS286" s="3" t="n">
        <v>5.195892089564461</v>
      </c>
      <c r="AT286" s="3" t="n">
        <v>5.195892089564463</v>
      </c>
      <c r="AU286" s="3" t="n">
        <v>5.195892089564463</v>
      </c>
      <c r="AV286" s="3" t="n">
        <v>5.195892089564463</v>
      </c>
      <c r="AW286" s="3" t="n">
        <v>5.195892089564462</v>
      </c>
      <c r="AX286" s="3" t="n">
        <v>5.195892089564462</v>
      </c>
      <c r="AY286" s="3" t="n">
        <v>5.195892089564463</v>
      </c>
      <c r="AZ286" s="3" t="n">
        <v>5.195892089564463</v>
      </c>
      <c r="BA286" s="3" t="n">
        <v>5.195892089564463</v>
      </c>
      <c r="BC286" s="20" t="inlineStr">
        <is>
          <t>egy.mit.rp.eff.pow.coa.4</t>
        </is>
      </c>
      <c r="BD286" s="3" t="n">
        <v>13.46421248673108</v>
      </c>
      <c r="BE286" s="3" t="n">
        <v>6.58847527233409</v>
      </c>
      <c r="BF286" s="3" t="n">
        <v>5.8065680582894</v>
      </c>
      <c r="BG286" s="3" t="n">
        <v>4.753248660508235</v>
      </c>
      <c r="BH286" s="3" t="n">
        <v>5.333622207074439</v>
      </c>
      <c r="BI286" s="3" t="n">
        <v>5.464539844255792</v>
      </c>
      <c r="BJ286" s="3" t="n">
        <v>5.402463620677809</v>
      </c>
      <c r="BK286" s="3" t="n">
        <v>5.335894303959473</v>
      </c>
      <c r="BL286" s="3" t="n">
        <v>5.264647833458736</v>
      </c>
      <c r="BM286" s="3" t="n">
        <v>5.195892089564461</v>
      </c>
      <c r="BN286" s="3" t="n">
        <v>5.195892089564461</v>
      </c>
      <c r="BO286" s="3" t="n">
        <v>5.195892089564461</v>
      </c>
      <c r="BP286" s="3" t="n">
        <v>5.195892089564463</v>
      </c>
      <c r="BQ286" s="3" t="n">
        <v>5.195892089564463</v>
      </c>
      <c r="BR286" s="3" t="n">
        <v>5.195892089564463</v>
      </c>
      <c r="BS286" s="3" t="n">
        <v>5.195892089564462</v>
      </c>
      <c r="BT286" s="3" t="n">
        <v>5.195892089564462</v>
      </c>
      <c r="BU286" s="3" t="n">
        <v>5.195892089564463</v>
      </c>
      <c r="BV286" s="3" t="n">
        <v>5.195892089564463</v>
      </c>
      <c r="BW286" s="3" t="n">
        <v>5.195892089564463</v>
      </c>
      <c r="BY286" s="20" t="inlineStr">
        <is>
          <t>egy.mit.rp.eff.pow.coa.5</t>
        </is>
      </c>
      <c r="BZ286" s="3" t="n">
        <v>13.46421248673108</v>
      </c>
      <c r="CA286" s="3" t="n">
        <v>6.58847527233409</v>
      </c>
      <c r="CB286" s="3" t="n">
        <v>5.8065680582894</v>
      </c>
      <c r="CC286" s="3" t="n">
        <v>4.753248660508235</v>
      </c>
      <c r="CD286" s="3" t="n">
        <v>5.333622207074439</v>
      </c>
      <c r="CE286" s="3" t="n">
        <v>5.464539844255792</v>
      </c>
      <c r="CF286" s="3" t="n">
        <v>5.402463620677809</v>
      </c>
      <c r="CG286" s="3" t="n">
        <v>5.335894303959473</v>
      </c>
      <c r="CH286" s="3" t="n">
        <v>5.264647833458736</v>
      </c>
      <c r="CI286" s="3" t="n">
        <v>5.195892089564461</v>
      </c>
      <c r="CJ286" s="3" t="n">
        <v>5.195892089564461</v>
      </c>
      <c r="CK286" s="3" t="n">
        <v>5.195892089564461</v>
      </c>
      <c r="CL286" s="3" t="n">
        <v>5.195892089564463</v>
      </c>
      <c r="CM286" s="3" t="n">
        <v>5.195892089564463</v>
      </c>
      <c r="CN286" s="3" t="n">
        <v>5.195892089564463</v>
      </c>
      <c r="CO286" s="3" t="n">
        <v>5.195892089564462</v>
      </c>
      <c r="CP286" s="3" t="n">
        <v>5.195892089564462</v>
      </c>
      <c r="CQ286" s="3" t="n">
        <v>5.195892089564463</v>
      </c>
      <c r="CR286" s="3" t="n">
        <v>5.195892089564463</v>
      </c>
      <c r="CS286" s="3" t="n">
        <v>5.195892089564463</v>
      </c>
      <c r="CU286" s="20" t="inlineStr">
        <is>
          <t>egy.mit.rp.eff.pow.coa.6</t>
        </is>
      </c>
      <c r="CV286" s="3" t="n">
        <v>13.46421248673108</v>
      </c>
      <c r="CW286" s="3" t="n">
        <v>6.58847527233409</v>
      </c>
      <c r="CX286" s="3" t="n">
        <v>5.8065680582894</v>
      </c>
      <c r="CY286" s="3" t="n">
        <v>4.753248660508235</v>
      </c>
      <c r="CZ286" s="3" t="n">
        <v>5.333622207074439</v>
      </c>
      <c r="DA286" s="3" t="n">
        <v>5.464539844255792</v>
      </c>
      <c r="DB286" s="3" t="n">
        <v>5.402463620677809</v>
      </c>
      <c r="DC286" s="3" t="n">
        <v>5.335894303959473</v>
      </c>
      <c r="DD286" s="3" t="n">
        <v>5.264647833458736</v>
      </c>
      <c r="DE286" s="3" t="n">
        <v>5.195892089564461</v>
      </c>
      <c r="DF286" s="3" t="n">
        <v>5.195892089564461</v>
      </c>
      <c r="DG286" s="3" t="n">
        <v>5.195892089564461</v>
      </c>
      <c r="DH286" s="3" t="n">
        <v>5.195892089564463</v>
      </c>
      <c r="DI286" s="3" t="n">
        <v>5.195892089564463</v>
      </c>
      <c r="DJ286" s="3" t="n">
        <v>5.195892089564463</v>
      </c>
      <c r="DK286" s="3" t="n">
        <v>5.195892089564462</v>
      </c>
      <c r="DL286" s="3" t="n">
        <v>5.195892089564462</v>
      </c>
      <c r="DM286" s="3" t="n">
        <v>5.195892089564463</v>
      </c>
      <c r="DN286" s="3" t="n">
        <v>5.195892089564463</v>
      </c>
      <c r="DO286" s="3" t="n">
        <v>5.195892089564463</v>
      </c>
    </row>
    <row r="287">
      <c r="A287" s="19" t="inlineStr">
        <is>
          <t>mit.tgap.pow.coa</t>
        </is>
      </c>
      <c r="B287" s="3" t="inlineStr">
        <is>
          <t>mit</t>
        </is>
      </c>
      <c r="C287" s="19" t="inlineStr">
        <is>
          <t>mit.tgap.coa.pow</t>
        </is>
      </c>
      <c r="H287" s="3" t="inlineStr">
        <is>
          <t>Tax gap: retail price - efficient price | Power | Coal</t>
        </is>
      </c>
      <c r="I287" s="3" t="inlineStr">
        <is>
          <t>USD per price unit</t>
        </is>
      </c>
      <c r="K287" s="20" t="inlineStr">
        <is>
          <t>egy.mit.tgap.pow.coa.1</t>
        </is>
      </c>
      <c r="L287" s="3" t="n">
        <v>-5.79069036892326</v>
      </c>
      <c r="M287" s="3" t="n">
        <v>-5.99983166306745</v>
      </c>
      <c r="N287" s="3" t="n">
        <v>-6.191918258364561</v>
      </c>
      <c r="O287" s="3" t="n">
        <v>-6.277142102504736</v>
      </c>
      <c r="P287" s="3" t="n">
        <v>-6.561694707924929</v>
      </c>
      <c r="Q287" s="3" t="n">
        <v>-6.821894624594637</v>
      </c>
      <c r="R287" s="3" t="n">
        <v>-7.114545197158332</v>
      </c>
      <c r="S287" s="3" t="n">
        <v>-7.415252293472869</v>
      </c>
      <c r="T287" s="3" t="n">
        <v>-7.72401771119829</v>
      </c>
      <c r="U287" s="3" t="n">
        <v>-8.021626134639442</v>
      </c>
      <c r="V287" s="3" t="n">
        <v>-8.341737371283857</v>
      </c>
      <c r="W287" s="3" t="n">
        <v>-8.674401097957428</v>
      </c>
      <c r="X287" s="3" t="n">
        <v>-9.020085123785062</v>
      </c>
      <c r="Y287" s="3" t="n">
        <v>-9.379297013935854</v>
      </c>
      <c r="Z287" s="3" t="n">
        <v>-9.752533492273761</v>
      </c>
      <c r="AA287" s="3" t="n">
        <v>-10.14036140789282</v>
      </c>
      <c r="AB287" s="3" t="n">
        <v>-10.5432843276922</v>
      </c>
      <c r="AC287" s="3" t="n">
        <v>-10.96186601938658</v>
      </c>
      <c r="AD287" s="3" t="n">
        <v>-11.39669046154349</v>
      </c>
      <c r="AE287" s="3" t="n">
        <v>-11.8213398845695</v>
      </c>
      <c r="AG287" s="20" t="inlineStr">
        <is>
          <t>egy.mit.tgap.pow.coa.3</t>
        </is>
      </c>
      <c r="AH287" s="3" t="n">
        <v>-5.79069036892326</v>
      </c>
      <c r="AI287" s="3" t="n">
        <v>-5.99983166306745</v>
      </c>
      <c r="AJ287" s="3" t="n">
        <v>-6.191918258364561</v>
      </c>
      <c r="AK287" s="3" t="n">
        <v>-6.277142102504736</v>
      </c>
      <c r="AL287" s="3" t="n">
        <v>-6.561694707924929</v>
      </c>
      <c r="AM287" s="3" t="n">
        <v>-6.821894624594637</v>
      </c>
      <c r="AN287" s="3" t="n">
        <v>-7.114545197158332</v>
      </c>
      <c r="AO287" s="3" t="n">
        <v>-7.415252293472869</v>
      </c>
      <c r="AP287" s="3" t="n">
        <v>-7.72401771119829</v>
      </c>
      <c r="AQ287" s="3" t="n">
        <v>-8.021626134639442</v>
      </c>
      <c r="AR287" s="3" t="n">
        <v>-8.341737371283857</v>
      </c>
      <c r="AS287" s="3" t="n">
        <v>-8.674401097957428</v>
      </c>
      <c r="AT287" s="3" t="n">
        <v>-9.020085123785062</v>
      </c>
      <c r="AU287" s="3" t="n">
        <v>-9.379297013935854</v>
      </c>
      <c r="AV287" s="3" t="n">
        <v>-9.752533492273761</v>
      </c>
      <c r="AW287" s="3" t="n">
        <v>-10.14036140789282</v>
      </c>
      <c r="AX287" s="3" t="n">
        <v>-10.5432843276922</v>
      </c>
      <c r="AY287" s="3" t="n">
        <v>-10.96186601938658</v>
      </c>
      <c r="AZ287" s="3" t="n">
        <v>-11.39669046154349</v>
      </c>
      <c r="BA287" s="3" t="n">
        <v>-11.8213398845695</v>
      </c>
      <c r="BC287" s="20" t="inlineStr">
        <is>
          <t>egy.mit.tgap.pow.coa.4</t>
        </is>
      </c>
      <c r="BD287" s="3" t="n">
        <v>-5.79069036892326</v>
      </c>
      <c r="BE287" s="3" t="n">
        <v>-5.99983166306745</v>
      </c>
      <c r="BF287" s="3" t="n">
        <v>-6.191918258364561</v>
      </c>
      <c r="BG287" s="3" t="n">
        <v>-6.277142102504736</v>
      </c>
      <c r="BH287" s="3" t="n">
        <v>-6.561694707924929</v>
      </c>
      <c r="BI287" s="3" t="n">
        <v>-6.821894624594637</v>
      </c>
      <c r="BJ287" s="3" t="n">
        <v>-7.114545197158332</v>
      </c>
      <c r="BK287" s="3" t="n">
        <v>-7.415252293472869</v>
      </c>
      <c r="BL287" s="3" t="n">
        <v>-7.72401771119829</v>
      </c>
      <c r="BM287" s="3" t="n">
        <v>-8.021626134639442</v>
      </c>
      <c r="BN287" s="3" t="n">
        <v>-8.341737371283857</v>
      </c>
      <c r="BO287" s="3" t="n">
        <v>-8.674401097957428</v>
      </c>
      <c r="BP287" s="3" t="n">
        <v>-9.020085123785062</v>
      </c>
      <c r="BQ287" s="3" t="n">
        <v>-9.379297013935854</v>
      </c>
      <c r="BR287" s="3" t="n">
        <v>-9.752533492273761</v>
      </c>
      <c r="BS287" s="3" t="n">
        <v>-10.14036140789282</v>
      </c>
      <c r="BT287" s="3" t="n">
        <v>-10.5432843276922</v>
      </c>
      <c r="BU287" s="3" t="n">
        <v>-10.96186601938658</v>
      </c>
      <c r="BV287" s="3" t="n">
        <v>-11.39669046154349</v>
      </c>
      <c r="BW287" s="3" t="n">
        <v>-11.8213398845695</v>
      </c>
      <c r="BY287" s="20" t="inlineStr">
        <is>
          <t>egy.mit.tgap.pow.coa.5</t>
        </is>
      </c>
      <c r="BZ287" s="3" t="n">
        <v>-5.79069036892326</v>
      </c>
      <c r="CA287" s="3" t="n">
        <v>-5.99983166306745</v>
      </c>
      <c r="CB287" s="3" t="n">
        <v>-6.191918258364561</v>
      </c>
      <c r="CC287" s="3" t="n">
        <v>-6.277142102504736</v>
      </c>
      <c r="CD287" s="3" t="n">
        <v>-6.561694707924929</v>
      </c>
      <c r="CE287" s="3" t="n">
        <v>-6.821894624594637</v>
      </c>
      <c r="CF287" s="3" t="n">
        <v>-7.114545197158332</v>
      </c>
      <c r="CG287" s="3" t="n">
        <v>-7.415252293472869</v>
      </c>
      <c r="CH287" s="3" t="n">
        <v>-7.72401771119829</v>
      </c>
      <c r="CI287" s="3" t="n">
        <v>-8.021626134639442</v>
      </c>
      <c r="CJ287" s="3" t="n">
        <v>-8.341737371283857</v>
      </c>
      <c r="CK287" s="3" t="n">
        <v>-8.674401097957428</v>
      </c>
      <c r="CL287" s="3" t="n">
        <v>-9.020085123785062</v>
      </c>
      <c r="CM287" s="3" t="n">
        <v>-9.379297013935854</v>
      </c>
      <c r="CN287" s="3" t="n">
        <v>-9.752533492273761</v>
      </c>
      <c r="CO287" s="3" t="n">
        <v>-10.14036140789282</v>
      </c>
      <c r="CP287" s="3" t="n">
        <v>-10.5432843276922</v>
      </c>
      <c r="CQ287" s="3" t="n">
        <v>-10.96186601938658</v>
      </c>
      <c r="CR287" s="3" t="n">
        <v>-11.39669046154349</v>
      </c>
      <c r="CS287" s="3" t="n">
        <v>-11.8213398845695</v>
      </c>
      <c r="CU287" s="20" t="inlineStr">
        <is>
          <t>egy.mit.tgap.pow.coa.6</t>
        </is>
      </c>
      <c r="CV287" s="3" t="n">
        <v>-5.79069036892326</v>
      </c>
      <c r="CW287" s="3" t="n">
        <v>-5.99983166306745</v>
      </c>
      <c r="CX287" s="3" t="n">
        <v>-6.191918258364561</v>
      </c>
      <c r="CY287" s="3" t="n">
        <v>-6.277142102504736</v>
      </c>
      <c r="CZ287" s="3" t="n">
        <v>-6.561694707924929</v>
      </c>
      <c r="DA287" s="3" t="n">
        <v>-6.821894624594637</v>
      </c>
      <c r="DB287" s="3" t="n">
        <v>-7.114545197158332</v>
      </c>
      <c r="DC287" s="3" t="n">
        <v>-7.415252293472869</v>
      </c>
      <c r="DD287" s="3" t="n">
        <v>-7.72401771119829</v>
      </c>
      <c r="DE287" s="3" t="n">
        <v>-8.021626134639442</v>
      </c>
      <c r="DF287" s="3" t="n">
        <v>-8.341737371283857</v>
      </c>
      <c r="DG287" s="3" t="n">
        <v>-8.674401097957428</v>
      </c>
      <c r="DH287" s="3" t="n">
        <v>-9.020085123785062</v>
      </c>
      <c r="DI287" s="3" t="n">
        <v>-9.379297013935854</v>
      </c>
      <c r="DJ287" s="3" t="n">
        <v>-9.752533492273761</v>
      </c>
      <c r="DK287" s="3" t="n">
        <v>-10.14036140789282</v>
      </c>
      <c r="DL287" s="3" t="n">
        <v>-10.5432843276922</v>
      </c>
      <c r="DM287" s="3" t="n">
        <v>-10.96186601938658</v>
      </c>
      <c r="DN287" s="3" t="n">
        <v>-11.39669046154349</v>
      </c>
      <c r="DO287" s="3" t="n">
        <v>-11.8213398845695</v>
      </c>
    </row>
    <row r="288">
      <c r="A288" s="19" t="inlineStr">
        <is>
          <t>mit.txo.pow.coa</t>
        </is>
      </c>
      <c r="B288" s="3" t="inlineStr">
        <is>
          <t>mit</t>
        </is>
      </c>
      <c r="C288" s="19" t="inlineStr">
        <is>
          <t>mit.txo.pow.coa.a</t>
        </is>
      </c>
      <c r="H288" s="3" t="inlineStr">
        <is>
          <t>Excise and other taxes (before new policies) | Power | Coal</t>
        </is>
      </c>
      <c r="I288" s="3" t="inlineStr">
        <is>
          <t>USD/GJ real</t>
        </is>
      </c>
      <c r="K288" s="20" t="inlineStr">
        <is>
          <t>egy.mit.txo.pow.coa.1</t>
        </is>
      </c>
      <c r="L288" s="3" t="n">
        <v>0</v>
      </c>
      <c r="M288" s="3" t="n">
        <v>0</v>
      </c>
      <c r="N288" s="3" t="n">
        <v>0</v>
      </c>
      <c r="O288" s="3" t="n">
        <v>0</v>
      </c>
      <c r="P288" s="3" t="n">
        <v>0</v>
      </c>
      <c r="Q288" s="3" t="n">
        <v>0</v>
      </c>
      <c r="R288" s="3" t="n">
        <v>0</v>
      </c>
      <c r="S288" s="3" t="n">
        <v>0</v>
      </c>
      <c r="T288" s="3" t="n">
        <v>0</v>
      </c>
      <c r="U288" s="3" t="n">
        <v>0</v>
      </c>
      <c r="V288" s="3" t="n">
        <v>0</v>
      </c>
      <c r="W288" s="3" t="n">
        <v>0</v>
      </c>
      <c r="X288" s="3" t="n">
        <v>0</v>
      </c>
      <c r="Y288" s="3" t="n">
        <v>0</v>
      </c>
      <c r="Z288" s="3" t="n">
        <v>0</v>
      </c>
      <c r="AA288" s="3" t="n">
        <v>0</v>
      </c>
      <c r="AB288" s="3" t="n">
        <v>0</v>
      </c>
      <c r="AC288" s="3" t="n">
        <v>0</v>
      </c>
      <c r="AD288" s="3" t="n">
        <v>0</v>
      </c>
      <c r="AE288" s="3" t="n">
        <v>0</v>
      </c>
      <c r="AG288" s="20" t="inlineStr">
        <is>
          <t>egy.mit.txo.pow.coa.3</t>
        </is>
      </c>
      <c r="AH288" s="3" t="n">
        <v>0</v>
      </c>
      <c r="AI288" s="3" t="n">
        <v>0</v>
      </c>
      <c r="AJ288" s="3" t="n">
        <v>0</v>
      </c>
      <c r="AK288" s="3" t="n">
        <v>0</v>
      </c>
      <c r="AL288" s="3" t="n">
        <v>0</v>
      </c>
      <c r="AM288" s="3" t="n">
        <v>0</v>
      </c>
      <c r="AN288" s="3" t="n">
        <v>0</v>
      </c>
      <c r="AO288" s="3" t="n">
        <v>0</v>
      </c>
      <c r="AP288" s="3" t="n">
        <v>0</v>
      </c>
      <c r="AQ288" s="3" t="n">
        <v>0</v>
      </c>
      <c r="AR288" s="3" t="n">
        <v>0</v>
      </c>
      <c r="AS288" s="3" t="n">
        <v>0</v>
      </c>
      <c r="AT288" s="3" t="n">
        <v>0</v>
      </c>
      <c r="AU288" s="3" t="n">
        <v>0</v>
      </c>
      <c r="AV288" s="3" t="n">
        <v>0</v>
      </c>
      <c r="AW288" s="3" t="n">
        <v>0</v>
      </c>
      <c r="AX288" s="3" t="n">
        <v>0</v>
      </c>
      <c r="AY288" s="3" t="n">
        <v>0</v>
      </c>
      <c r="AZ288" s="3" t="n">
        <v>0</v>
      </c>
      <c r="BA288" s="3" t="n">
        <v>0</v>
      </c>
      <c r="BC288" s="20" t="inlineStr">
        <is>
          <t>egy.mit.txo.pow.coa.4</t>
        </is>
      </c>
      <c r="BD288" s="3" t="n">
        <v>0</v>
      </c>
      <c r="BE288" s="3" t="n">
        <v>0</v>
      </c>
      <c r="BF288" s="3" t="n">
        <v>0</v>
      </c>
      <c r="BG288" s="3" t="n">
        <v>0</v>
      </c>
      <c r="BH288" s="3" t="n">
        <v>0</v>
      </c>
      <c r="BI288" s="3" t="n">
        <v>0</v>
      </c>
      <c r="BJ288" s="3" t="n">
        <v>0</v>
      </c>
      <c r="BK288" s="3" t="n">
        <v>0</v>
      </c>
      <c r="BL288" s="3" t="n">
        <v>0</v>
      </c>
      <c r="BM288" s="3" t="n">
        <v>0</v>
      </c>
      <c r="BN288" s="3" t="n">
        <v>0</v>
      </c>
      <c r="BO288" s="3" t="n">
        <v>0</v>
      </c>
      <c r="BP288" s="3" t="n">
        <v>0</v>
      </c>
      <c r="BQ288" s="3" t="n">
        <v>0</v>
      </c>
      <c r="BR288" s="3" t="n">
        <v>0</v>
      </c>
      <c r="BS288" s="3" t="n">
        <v>0</v>
      </c>
      <c r="BT288" s="3" t="n">
        <v>0</v>
      </c>
      <c r="BU288" s="3" t="n">
        <v>0</v>
      </c>
      <c r="BV288" s="3" t="n">
        <v>0</v>
      </c>
      <c r="BW288" s="3" t="n">
        <v>0</v>
      </c>
      <c r="BY288" s="20" t="inlineStr">
        <is>
          <t>egy.mit.txo.pow.coa.5</t>
        </is>
      </c>
      <c r="BZ288" s="3" t="n">
        <v>0</v>
      </c>
      <c r="CA288" s="3" t="n">
        <v>0</v>
      </c>
      <c r="CB288" s="3" t="n">
        <v>0</v>
      </c>
      <c r="CC288" s="3" t="n">
        <v>0</v>
      </c>
      <c r="CD288" s="3" t="n">
        <v>0</v>
      </c>
      <c r="CE288" s="3" t="n">
        <v>0</v>
      </c>
      <c r="CF288" s="3" t="n">
        <v>0</v>
      </c>
      <c r="CG288" s="3" t="n">
        <v>0</v>
      </c>
      <c r="CH288" s="3" t="n">
        <v>0</v>
      </c>
      <c r="CI288" s="3" t="n">
        <v>0</v>
      </c>
      <c r="CJ288" s="3" t="n">
        <v>0</v>
      </c>
      <c r="CK288" s="3" t="n">
        <v>0</v>
      </c>
      <c r="CL288" s="3" t="n">
        <v>0</v>
      </c>
      <c r="CM288" s="3" t="n">
        <v>0</v>
      </c>
      <c r="CN288" s="3" t="n">
        <v>0</v>
      </c>
      <c r="CO288" s="3" t="n">
        <v>0</v>
      </c>
      <c r="CP288" s="3" t="n">
        <v>0</v>
      </c>
      <c r="CQ288" s="3" t="n">
        <v>0</v>
      </c>
      <c r="CR288" s="3" t="n">
        <v>0</v>
      </c>
      <c r="CS288" s="3" t="n">
        <v>0</v>
      </c>
      <c r="CU288" s="20" t="inlineStr">
        <is>
          <t>egy.mit.txo.pow.coa.6</t>
        </is>
      </c>
      <c r="CV288" s="3" t="n">
        <v>0</v>
      </c>
      <c r="CW288" s="3" t="n">
        <v>0</v>
      </c>
      <c r="CX288" s="3" t="n">
        <v>0</v>
      </c>
      <c r="CY288" s="3" t="n">
        <v>0</v>
      </c>
      <c r="CZ288" s="3" t="n">
        <v>0</v>
      </c>
      <c r="DA288" s="3" t="n">
        <v>0</v>
      </c>
      <c r="DB288" s="3" t="n">
        <v>0</v>
      </c>
      <c r="DC288" s="3" t="n">
        <v>0</v>
      </c>
      <c r="DD288" s="3" t="n">
        <v>0</v>
      </c>
      <c r="DE288" s="3" t="n">
        <v>0</v>
      </c>
      <c r="DF288" s="3" t="n">
        <v>0</v>
      </c>
      <c r="DG288" s="3" t="n">
        <v>0</v>
      </c>
      <c r="DH288" s="3" t="n">
        <v>0</v>
      </c>
      <c r="DI288" s="3" t="n">
        <v>0</v>
      </c>
      <c r="DJ288" s="3" t="n">
        <v>0</v>
      </c>
      <c r="DK288" s="3" t="n">
        <v>0</v>
      </c>
      <c r="DL288" s="3" t="n">
        <v>0</v>
      </c>
      <c r="DM288" s="3" t="n">
        <v>0</v>
      </c>
      <c r="DN288" s="3" t="n">
        <v>0</v>
      </c>
      <c r="DO288" s="3" t="n">
        <v>0</v>
      </c>
    </row>
    <row r="289">
      <c r="A289" s="19" t="inlineStr">
        <is>
          <t>mit.txo.co2e.pow.coa</t>
        </is>
      </c>
      <c r="B289" s="3" t="inlineStr">
        <is>
          <t>mit</t>
        </is>
      </c>
      <c r="C289" s="19" t="inlineStr">
        <is>
          <t>mit.txo.co2e.coa.pow</t>
        </is>
      </c>
      <c r="H289" s="3" t="inlineStr">
        <is>
          <t>Excise and other taxes of scenario 1 per tonne of CO2 | Power | Coal</t>
        </is>
      </c>
      <c r="I289" s="3" t="inlineStr">
        <is>
          <t>USD/tCO2</t>
        </is>
      </c>
      <c r="K289" s="20" t="inlineStr">
        <is>
          <t>egy.mit.txo.co2e.pow.coa.1</t>
        </is>
      </c>
      <c r="L289" s="3" t="n">
        <v>0</v>
      </c>
      <c r="M289" s="3" t="n">
        <v>0</v>
      </c>
      <c r="N289" s="3" t="n">
        <v>0</v>
      </c>
      <c r="O289" s="3" t="n">
        <v>0</v>
      </c>
      <c r="P289" s="3" t="n">
        <v>0</v>
      </c>
      <c r="Q289" s="3" t="n">
        <v>0</v>
      </c>
      <c r="R289" s="3" t="n">
        <v>0</v>
      </c>
      <c r="S289" s="3" t="n">
        <v>0</v>
      </c>
      <c r="T289" s="3" t="n">
        <v>0</v>
      </c>
      <c r="U289" s="3" t="n">
        <v>0</v>
      </c>
      <c r="V289" s="3" t="n">
        <v>0</v>
      </c>
      <c r="W289" s="3" t="n">
        <v>0</v>
      </c>
      <c r="X289" s="3" t="n">
        <v>0</v>
      </c>
      <c r="Y289" s="3" t="n">
        <v>0</v>
      </c>
      <c r="Z289" s="3" t="n">
        <v>0</v>
      </c>
      <c r="AA289" s="3" t="n">
        <v>0</v>
      </c>
      <c r="AB289" s="3" t="n">
        <v>0</v>
      </c>
      <c r="AC289" s="3" t="n">
        <v>0</v>
      </c>
      <c r="AD289" s="3" t="n">
        <v>0</v>
      </c>
      <c r="AE289" s="3" t="n">
        <v>0</v>
      </c>
      <c r="AG289" s="20" t="inlineStr">
        <is>
          <t>egy.mit.txo.co2e.pow.coa.3</t>
        </is>
      </c>
      <c r="AH289" s="3" t="n">
        <v>0</v>
      </c>
      <c r="AI289" s="3" t="n">
        <v>0</v>
      </c>
      <c r="AJ289" s="3" t="n">
        <v>0</v>
      </c>
      <c r="AK289" s="3" t="n">
        <v>0</v>
      </c>
      <c r="AL289" s="3" t="n">
        <v>0</v>
      </c>
      <c r="AM289" s="3" t="n">
        <v>0</v>
      </c>
      <c r="AN289" s="3" t="n">
        <v>0</v>
      </c>
      <c r="AO289" s="3" t="n">
        <v>0</v>
      </c>
      <c r="AP289" s="3" t="n">
        <v>0</v>
      </c>
      <c r="AQ289" s="3" t="n">
        <v>0</v>
      </c>
      <c r="AR289" s="3" t="n">
        <v>0</v>
      </c>
      <c r="AS289" s="3" t="n">
        <v>0</v>
      </c>
      <c r="AT289" s="3" t="n">
        <v>0</v>
      </c>
      <c r="AU289" s="3" t="n">
        <v>0</v>
      </c>
      <c r="AV289" s="3" t="n">
        <v>0</v>
      </c>
      <c r="AW289" s="3" t="n">
        <v>0</v>
      </c>
      <c r="AX289" s="3" t="n">
        <v>0</v>
      </c>
      <c r="AY289" s="3" t="n">
        <v>0</v>
      </c>
      <c r="AZ289" s="3" t="n">
        <v>0</v>
      </c>
      <c r="BA289" s="3" t="n">
        <v>0</v>
      </c>
      <c r="BC289" s="20" t="inlineStr">
        <is>
          <t>egy.mit.txo.co2e.pow.coa.4</t>
        </is>
      </c>
      <c r="BD289" s="3" t="n">
        <v>0</v>
      </c>
      <c r="BE289" s="3" t="n">
        <v>0</v>
      </c>
      <c r="BF289" s="3" t="n">
        <v>0</v>
      </c>
      <c r="BG289" s="3" t="n">
        <v>0</v>
      </c>
      <c r="BH289" s="3" t="n">
        <v>0</v>
      </c>
      <c r="BI289" s="3" t="n">
        <v>0</v>
      </c>
      <c r="BJ289" s="3" t="n">
        <v>0</v>
      </c>
      <c r="BK289" s="3" t="n">
        <v>0</v>
      </c>
      <c r="BL289" s="3" t="n">
        <v>0</v>
      </c>
      <c r="BM289" s="3" t="n">
        <v>0</v>
      </c>
      <c r="BN289" s="3" t="n">
        <v>0</v>
      </c>
      <c r="BO289" s="3" t="n">
        <v>0</v>
      </c>
      <c r="BP289" s="3" t="n">
        <v>0</v>
      </c>
      <c r="BQ289" s="3" t="n">
        <v>0</v>
      </c>
      <c r="BR289" s="3" t="n">
        <v>0</v>
      </c>
      <c r="BS289" s="3" t="n">
        <v>0</v>
      </c>
      <c r="BT289" s="3" t="n">
        <v>0</v>
      </c>
      <c r="BU289" s="3" t="n">
        <v>0</v>
      </c>
      <c r="BV289" s="3" t="n">
        <v>0</v>
      </c>
      <c r="BW289" s="3" t="n">
        <v>0</v>
      </c>
      <c r="BY289" s="20" t="inlineStr">
        <is>
          <t>egy.mit.txo.co2e.pow.coa.5</t>
        </is>
      </c>
      <c r="BZ289" s="3" t="n">
        <v>0</v>
      </c>
      <c r="CA289" s="3" t="n">
        <v>0</v>
      </c>
      <c r="CB289" s="3" t="n">
        <v>0</v>
      </c>
      <c r="CC289" s="3" t="n">
        <v>0</v>
      </c>
      <c r="CD289" s="3" t="n">
        <v>0</v>
      </c>
      <c r="CE289" s="3" t="n">
        <v>0</v>
      </c>
      <c r="CF289" s="3" t="n">
        <v>0</v>
      </c>
      <c r="CG289" s="3" t="n">
        <v>0</v>
      </c>
      <c r="CH289" s="3" t="n">
        <v>0</v>
      </c>
      <c r="CI289" s="3" t="n">
        <v>0</v>
      </c>
      <c r="CJ289" s="3" t="n">
        <v>0</v>
      </c>
      <c r="CK289" s="3" t="n">
        <v>0</v>
      </c>
      <c r="CL289" s="3" t="n">
        <v>0</v>
      </c>
      <c r="CM289" s="3" t="n">
        <v>0</v>
      </c>
      <c r="CN289" s="3" t="n">
        <v>0</v>
      </c>
      <c r="CO289" s="3" t="n">
        <v>0</v>
      </c>
      <c r="CP289" s="3" t="n">
        <v>0</v>
      </c>
      <c r="CQ289" s="3" t="n">
        <v>0</v>
      </c>
      <c r="CR289" s="3" t="n">
        <v>0</v>
      </c>
      <c r="CS289" s="3" t="n">
        <v>0</v>
      </c>
      <c r="CU289" s="20" t="inlineStr">
        <is>
          <t>egy.mit.txo.co2e.pow.coa.6</t>
        </is>
      </c>
      <c r="CV289" s="3" t="n">
        <v>0</v>
      </c>
      <c r="CW289" s="3" t="n">
        <v>0</v>
      </c>
      <c r="CX289" s="3" t="n">
        <v>0</v>
      </c>
      <c r="CY289" s="3" t="n">
        <v>0</v>
      </c>
      <c r="CZ289" s="3" t="n">
        <v>0</v>
      </c>
      <c r="DA289" s="3" t="n">
        <v>0</v>
      </c>
      <c r="DB289" s="3" t="n">
        <v>0</v>
      </c>
      <c r="DC289" s="3" t="n">
        <v>0</v>
      </c>
      <c r="DD289" s="3" t="n">
        <v>0</v>
      </c>
      <c r="DE289" s="3" t="n">
        <v>0</v>
      </c>
      <c r="DF289" s="3" t="n">
        <v>0</v>
      </c>
      <c r="DG289" s="3" t="n">
        <v>0</v>
      </c>
      <c r="DH289" s="3" t="n">
        <v>0</v>
      </c>
      <c r="DI289" s="3" t="n">
        <v>0</v>
      </c>
      <c r="DJ289" s="3" t="n">
        <v>0</v>
      </c>
      <c r="DK289" s="3" t="n">
        <v>0</v>
      </c>
      <c r="DL289" s="3" t="n">
        <v>0</v>
      </c>
      <c r="DM289" s="3" t="n">
        <v>0</v>
      </c>
      <c r="DN289" s="3" t="n">
        <v>0</v>
      </c>
      <c r="DO289" s="3" t="n">
        <v>0</v>
      </c>
    </row>
    <row r="290">
      <c r="A290" s="19" t="inlineStr">
        <is>
          <t>mit.pig.pow.coa</t>
        </is>
      </c>
      <c r="B290" s="3" t="inlineStr">
        <is>
          <t>mit</t>
        </is>
      </c>
      <c r="C290" s="19" t="inlineStr">
        <is>
          <t>mit.pig.coa.pow</t>
        </is>
      </c>
      <c r="H290" s="3" t="inlineStr">
        <is>
          <t>Pigouvian tax: all externalities (reference) | Power | Coal</t>
        </is>
      </c>
      <c r="I290" s="3" t="inlineStr">
        <is>
          <t>USD per price unit</t>
        </is>
      </c>
      <c r="K290" s="20" t="inlineStr">
        <is>
          <t>egy.mit.pig.pow.coa.1</t>
        </is>
      </c>
      <c r="L290" s="3" t="n">
        <v>5.790690368923259</v>
      </c>
      <c r="M290" s="3" t="n">
        <v>5.99983166306745</v>
      </c>
      <c r="N290" s="3" t="n">
        <v>6.191918258364561</v>
      </c>
      <c r="O290" s="3" t="n">
        <v>6.277142102504736</v>
      </c>
      <c r="P290" s="3" t="n">
        <v>6.561694707924929</v>
      </c>
      <c r="Q290" s="3" t="n">
        <v>6.821894624594637</v>
      </c>
      <c r="R290" s="3" t="n">
        <v>7.114545197158332</v>
      </c>
      <c r="S290" s="3" t="n">
        <v>7.41525229347287</v>
      </c>
      <c r="T290" s="3" t="n">
        <v>7.72401771119829</v>
      </c>
      <c r="U290" s="3" t="n">
        <v>8.021626134639442</v>
      </c>
      <c r="V290" s="3" t="n">
        <v>8.341737371283857</v>
      </c>
      <c r="W290" s="3" t="n">
        <v>8.674401097957428</v>
      </c>
      <c r="X290" s="3" t="n">
        <v>9.020085123785062</v>
      </c>
      <c r="Y290" s="3" t="n">
        <v>9.379297013935854</v>
      </c>
      <c r="Z290" s="3" t="n">
        <v>9.752533492273761</v>
      </c>
      <c r="AA290" s="3" t="n">
        <v>10.14036140789282</v>
      </c>
      <c r="AB290" s="3" t="n">
        <v>10.5432843276922</v>
      </c>
      <c r="AC290" s="3" t="n">
        <v>10.96186601938658</v>
      </c>
      <c r="AD290" s="3" t="n">
        <v>11.39669046154349</v>
      </c>
      <c r="AE290" s="3" t="n">
        <v>11.8213398845695</v>
      </c>
      <c r="AG290" s="20" t="inlineStr">
        <is>
          <t>egy.mit.pig.pow.coa.3</t>
        </is>
      </c>
      <c r="AH290" s="3" t="n">
        <v>5.790690368923259</v>
      </c>
      <c r="AI290" s="3" t="n">
        <v>5.99983166306745</v>
      </c>
      <c r="AJ290" s="3" t="n">
        <v>6.191918258364561</v>
      </c>
      <c r="AK290" s="3" t="n">
        <v>6.277142102504736</v>
      </c>
      <c r="AL290" s="3" t="n">
        <v>6.561694707924929</v>
      </c>
      <c r="AM290" s="3" t="n">
        <v>6.821894624594637</v>
      </c>
      <c r="AN290" s="3" t="n">
        <v>7.114545197158332</v>
      </c>
      <c r="AO290" s="3" t="n">
        <v>7.41525229347287</v>
      </c>
      <c r="AP290" s="3" t="n">
        <v>7.72401771119829</v>
      </c>
      <c r="AQ290" s="3" t="n">
        <v>8.021626134639442</v>
      </c>
      <c r="AR290" s="3" t="n">
        <v>8.341737371283857</v>
      </c>
      <c r="AS290" s="3" t="n">
        <v>8.674401097957428</v>
      </c>
      <c r="AT290" s="3" t="n">
        <v>9.020085123785062</v>
      </c>
      <c r="AU290" s="3" t="n">
        <v>9.379297013935854</v>
      </c>
      <c r="AV290" s="3" t="n">
        <v>9.752533492273761</v>
      </c>
      <c r="AW290" s="3" t="n">
        <v>10.14036140789282</v>
      </c>
      <c r="AX290" s="3" t="n">
        <v>10.5432843276922</v>
      </c>
      <c r="AY290" s="3" t="n">
        <v>10.96186601938658</v>
      </c>
      <c r="AZ290" s="3" t="n">
        <v>11.39669046154349</v>
      </c>
      <c r="BA290" s="3" t="n">
        <v>11.8213398845695</v>
      </c>
      <c r="BC290" s="20" t="inlineStr">
        <is>
          <t>egy.mit.pig.pow.coa.4</t>
        </is>
      </c>
      <c r="BD290" s="3" t="n">
        <v>5.790690368923259</v>
      </c>
      <c r="BE290" s="3" t="n">
        <v>5.99983166306745</v>
      </c>
      <c r="BF290" s="3" t="n">
        <v>6.191918258364561</v>
      </c>
      <c r="BG290" s="3" t="n">
        <v>6.277142102504736</v>
      </c>
      <c r="BH290" s="3" t="n">
        <v>6.561694707924929</v>
      </c>
      <c r="BI290" s="3" t="n">
        <v>6.821894624594637</v>
      </c>
      <c r="BJ290" s="3" t="n">
        <v>7.114545197158332</v>
      </c>
      <c r="BK290" s="3" t="n">
        <v>7.41525229347287</v>
      </c>
      <c r="BL290" s="3" t="n">
        <v>7.72401771119829</v>
      </c>
      <c r="BM290" s="3" t="n">
        <v>8.021626134639442</v>
      </c>
      <c r="BN290" s="3" t="n">
        <v>8.341737371283857</v>
      </c>
      <c r="BO290" s="3" t="n">
        <v>8.674401097957428</v>
      </c>
      <c r="BP290" s="3" t="n">
        <v>9.020085123785062</v>
      </c>
      <c r="BQ290" s="3" t="n">
        <v>9.379297013935854</v>
      </c>
      <c r="BR290" s="3" t="n">
        <v>9.752533492273761</v>
      </c>
      <c r="BS290" s="3" t="n">
        <v>10.14036140789282</v>
      </c>
      <c r="BT290" s="3" t="n">
        <v>10.5432843276922</v>
      </c>
      <c r="BU290" s="3" t="n">
        <v>10.96186601938658</v>
      </c>
      <c r="BV290" s="3" t="n">
        <v>11.39669046154349</v>
      </c>
      <c r="BW290" s="3" t="n">
        <v>11.8213398845695</v>
      </c>
      <c r="BY290" s="20" t="inlineStr">
        <is>
          <t>egy.mit.pig.pow.coa.5</t>
        </is>
      </c>
      <c r="BZ290" s="3" t="n">
        <v>5.790690368923259</v>
      </c>
      <c r="CA290" s="3" t="n">
        <v>5.99983166306745</v>
      </c>
      <c r="CB290" s="3" t="n">
        <v>6.191918258364561</v>
      </c>
      <c r="CC290" s="3" t="n">
        <v>6.277142102504736</v>
      </c>
      <c r="CD290" s="3" t="n">
        <v>6.561694707924929</v>
      </c>
      <c r="CE290" s="3" t="n">
        <v>6.821894624594637</v>
      </c>
      <c r="CF290" s="3" t="n">
        <v>7.114545197158332</v>
      </c>
      <c r="CG290" s="3" t="n">
        <v>7.41525229347287</v>
      </c>
      <c r="CH290" s="3" t="n">
        <v>7.72401771119829</v>
      </c>
      <c r="CI290" s="3" t="n">
        <v>8.021626134639442</v>
      </c>
      <c r="CJ290" s="3" t="n">
        <v>8.341737371283857</v>
      </c>
      <c r="CK290" s="3" t="n">
        <v>8.674401097957428</v>
      </c>
      <c r="CL290" s="3" t="n">
        <v>9.020085123785062</v>
      </c>
      <c r="CM290" s="3" t="n">
        <v>9.379297013935854</v>
      </c>
      <c r="CN290" s="3" t="n">
        <v>9.752533492273761</v>
      </c>
      <c r="CO290" s="3" t="n">
        <v>10.14036140789282</v>
      </c>
      <c r="CP290" s="3" t="n">
        <v>10.5432843276922</v>
      </c>
      <c r="CQ290" s="3" t="n">
        <v>10.96186601938658</v>
      </c>
      <c r="CR290" s="3" t="n">
        <v>11.39669046154349</v>
      </c>
      <c r="CS290" s="3" t="n">
        <v>11.8213398845695</v>
      </c>
      <c r="CU290" s="20" t="inlineStr">
        <is>
          <t>egy.mit.pig.pow.coa.6</t>
        </is>
      </c>
      <c r="CV290" s="3" t="n">
        <v>5.790690368923259</v>
      </c>
      <c r="CW290" s="3" t="n">
        <v>5.99983166306745</v>
      </c>
      <c r="CX290" s="3" t="n">
        <v>6.191918258364561</v>
      </c>
      <c r="CY290" s="3" t="n">
        <v>6.277142102504736</v>
      </c>
      <c r="CZ290" s="3" t="n">
        <v>6.561694707924929</v>
      </c>
      <c r="DA290" s="3" t="n">
        <v>6.821894624594637</v>
      </c>
      <c r="DB290" s="3" t="n">
        <v>7.114545197158332</v>
      </c>
      <c r="DC290" s="3" t="n">
        <v>7.41525229347287</v>
      </c>
      <c r="DD290" s="3" t="n">
        <v>7.72401771119829</v>
      </c>
      <c r="DE290" s="3" t="n">
        <v>8.021626134639442</v>
      </c>
      <c r="DF290" s="3" t="n">
        <v>8.341737371283857</v>
      </c>
      <c r="DG290" s="3" t="n">
        <v>8.674401097957428</v>
      </c>
      <c r="DH290" s="3" t="n">
        <v>9.020085123785062</v>
      </c>
      <c r="DI290" s="3" t="n">
        <v>9.379297013935854</v>
      </c>
      <c r="DJ290" s="3" t="n">
        <v>9.752533492273761</v>
      </c>
      <c r="DK290" s="3" t="n">
        <v>10.14036140789282</v>
      </c>
      <c r="DL290" s="3" t="n">
        <v>10.5432843276922</v>
      </c>
      <c r="DM290" s="3" t="n">
        <v>10.96186601938658</v>
      </c>
      <c r="DN290" s="3" t="n">
        <v>11.39669046154349</v>
      </c>
      <c r="DO290" s="3" t="n">
        <v>11.8213398845695</v>
      </c>
    </row>
    <row r="291">
      <c r="A291" s="19" t="inlineStr">
        <is>
          <t>mit.pig.co2e.pow.coa</t>
        </is>
      </c>
      <c r="B291" s="3" t="inlineStr">
        <is>
          <t>mit</t>
        </is>
      </c>
      <c r="C291" s="19" t="inlineStr">
        <is>
          <t>mit.pig.co2e.coa.pow</t>
        </is>
      </c>
      <c r="H291" s="3" t="inlineStr">
        <is>
          <t>Pigouvian tax per tonne of CO2 (fuel lines; avg: weighted by the fuel use of the scenario) | Power | Coal</t>
        </is>
      </c>
      <c r="I291" s="3" t="inlineStr">
        <is>
          <t>USD/tCO2</t>
        </is>
      </c>
      <c r="K291" s="20" t="inlineStr">
        <is>
          <t>egy.mit.pig.co2e.pow.coa.1</t>
        </is>
      </c>
      <c r="L291" s="3" t="n">
        <v>60.19261803820329</v>
      </c>
      <c r="M291" s="3" t="n">
        <v>62.36658370246963</v>
      </c>
      <c r="N291" s="3" t="n">
        <v>64.36327050911162</v>
      </c>
      <c r="O291" s="3" t="n">
        <v>65.24914869828352</v>
      </c>
      <c r="P291" s="3" t="n">
        <v>68.20699399800002</v>
      </c>
      <c r="Q291" s="3" t="n">
        <v>70.91169986204093</v>
      </c>
      <c r="R291" s="3" t="n">
        <v>73.95372128102824</v>
      </c>
      <c r="S291" s="3" t="n">
        <v>77.07948802673042</v>
      </c>
      <c r="T291" s="3" t="n">
        <v>80.2890187853243</v>
      </c>
      <c r="U291" s="3" t="n">
        <v>83.38257568715466</v>
      </c>
      <c r="V291" s="3" t="n">
        <v>86.71004308214454</v>
      </c>
      <c r="W291" s="3" t="n">
        <v>90.16799012457135</v>
      </c>
      <c r="X291" s="3" t="n">
        <v>93.76127956035587</v>
      </c>
      <c r="Y291" s="3" t="n">
        <v>97.49518738845619</v>
      </c>
      <c r="Z291" s="3" t="n">
        <v>101.3748769154746</v>
      </c>
      <c r="AA291" s="3" t="n">
        <v>105.4062403803029</v>
      </c>
      <c r="AB291" s="3" t="n">
        <v>109.5945122209939</v>
      </c>
      <c r="AC291" s="3" t="n">
        <v>113.9455526463568</v>
      </c>
      <c r="AD291" s="3" t="n">
        <v>118.4654319514029</v>
      </c>
      <c r="AE291" s="3" t="n">
        <v>122.879544758664</v>
      </c>
      <c r="AG291" s="20" t="inlineStr">
        <is>
          <t>egy.mit.pig.co2e.pow.coa.3</t>
        </is>
      </c>
      <c r="AH291" s="3" t="n">
        <v>60.19261803820329</v>
      </c>
      <c r="AI291" s="3" t="n">
        <v>62.36658370246963</v>
      </c>
      <c r="AJ291" s="3" t="n">
        <v>64.36327050911162</v>
      </c>
      <c r="AK291" s="3" t="n">
        <v>65.24914869828352</v>
      </c>
      <c r="AL291" s="3" t="n">
        <v>68.20699399800002</v>
      </c>
      <c r="AM291" s="3" t="n">
        <v>70.91169986204093</v>
      </c>
      <c r="AN291" s="3" t="n">
        <v>73.95372128102824</v>
      </c>
      <c r="AO291" s="3" t="n">
        <v>77.07948802673042</v>
      </c>
      <c r="AP291" s="3" t="n">
        <v>80.2890187853243</v>
      </c>
      <c r="AQ291" s="3" t="n">
        <v>83.38257568715466</v>
      </c>
      <c r="AR291" s="3" t="n">
        <v>86.71004308214454</v>
      </c>
      <c r="AS291" s="3" t="n">
        <v>90.16799012457135</v>
      </c>
      <c r="AT291" s="3" t="n">
        <v>93.76127956035587</v>
      </c>
      <c r="AU291" s="3" t="n">
        <v>97.49518738845619</v>
      </c>
      <c r="AV291" s="3" t="n">
        <v>101.3748769154746</v>
      </c>
      <c r="AW291" s="3" t="n">
        <v>105.4062403803029</v>
      </c>
      <c r="AX291" s="3" t="n">
        <v>109.5945122209939</v>
      </c>
      <c r="AY291" s="3" t="n">
        <v>113.9455526463568</v>
      </c>
      <c r="AZ291" s="3" t="n">
        <v>118.4654319514029</v>
      </c>
      <c r="BA291" s="3" t="n">
        <v>122.879544758664</v>
      </c>
      <c r="BC291" s="20" t="inlineStr">
        <is>
          <t>egy.mit.pig.co2e.pow.coa.4</t>
        </is>
      </c>
      <c r="BD291" s="3" t="n">
        <v>60.19261803820329</v>
      </c>
      <c r="BE291" s="3" t="n">
        <v>62.36658370246963</v>
      </c>
      <c r="BF291" s="3" t="n">
        <v>64.36327050911162</v>
      </c>
      <c r="BG291" s="3" t="n">
        <v>65.24914869828352</v>
      </c>
      <c r="BH291" s="3" t="n">
        <v>68.20699399800002</v>
      </c>
      <c r="BI291" s="3" t="n">
        <v>70.91169986204093</v>
      </c>
      <c r="BJ291" s="3" t="n">
        <v>73.95372128102824</v>
      </c>
      <c r="BK291" s="3" t="n">
        <v>77.07948802673042</v>
      </c>
      <c r="BL291" s="3" t="n">
        <v>80.2890187853243</v>
      </c>
      <c r="BM291" s="3" t="n">
        <v>83.38257568715466</v>
      </c>
      <c r="BN291" s="3" t="n">
        <v>86.71004308214454</v>
      </c>
      <c r="BO291" s="3" t="n">
        <v>90.16799012457135</v>
      </c>
      <c r="BP291" s="3" t="n">
        <v>93.76127956035587</v>
      </c>
      <c r="BQ291" s="3" t="n">
        <v>97.49518738845619</v>
      </c>
      <c r="BR291" s="3" t="n">
        <v>101.3748769154746</v>
      </c>
      <c r="BS291" s="3" t="n">
        <v>105.4062403803029</v>
      </c>
      <c r="BT291" s="3" t="n">
        <v>109.5945122209939</v>
      </c>
      <c r="BU291" s="3" t="n">
        <v>113.9455526463568</v>
      </c>
      <c r="BV291" s="3" t="n">
        <v>118.4654319514029</v>
      </c>
      <c r="BW291" s="3" t="n">
        <v>122.879544758664</v>
      </c>
      <c r="BY291" s="20" t="inlineStr">
        <is>
          <t>egy.mit.pig.co2e.pow.coa.5</t>
        </is>
      </c>
      <c r="BZ291" s="3" t="n">
        <v>60.19261803820329</v>
      </c>
      <c r="CA291" s="3" t="n">
        <v>62.36658370246963</v>
      </c>
      <c r="CB291" s="3" t="n">
        <v>64.36327050911162</v>
      </c>
      <c r="CC291" s="3" t="n">
        <v>65.24914869828352</v>
      </c>
      <c r="CD291" s="3" t="n">
        <v>68.20699399800002</v>
      </c>
      <c r="CE291" s="3" t="n">
        <v>70.91169986204093</v>
      </c>
      <c r="CF291" s="3" t="n">
        <v>73.95372128102824</v>
      </c>
      <c r="CG291" s="3" t="n">
        <v>77.07948802673042</v>
      </c>
      <c r="CH291" s="3" t="n">
        <v>80.2890187853243</v>
      </c>
      <c r="CI291" s="3" t="n">
        <v>83.38257568715466</v>
      </c>
      <c r="CJ291" s="3" t="n">
        <v>86.71004308214454</v>
      </c>
      <c r="CK291" s="3" t="n">
        <v>90.16799012457135</v>
      </c>
      <c r="CL291" s="3" t="n">
        <v>93.76127956035587</v>
      </c>
      <c r="CM291" s="3" t="n">
        <v>97.49518738845619</v>
      </c>
      <c r="CN291" s="3" t="n">
        <v>101.3748769154746</v>
      </c>
      <c r="CO291" s="3" t="n">
        <v>105.4062403803029</v>
      </c>
      <c r="CP291" s="3" t="n">
        <v>109.5945122209939</v>
      </c>
      <c r="CQ291" s="3" t="n">
        <v>113.9455526463568</v>
      </c>
      <c r="CR291" s="3" t="n">
        <v>118.4654319514029</v>
      </c>
      <c r="CS291" s="3" t="n">
        <v>122.879544758664</v>
      </c>
      <c r="CU291" s="20" t="inlineStr">
        <is>
          <t>egy.mit.pig.co2e.pow.coa.6</t>
        </is>
      </c>
      <c r="CV291" s="3" t="n">
        <v>60.19261803820329</v>
      </c>
      <c r="CW291" s="3" t="n">
        <v>62.36658370246963</v>
      </c>
      <c r="CX291" s="3" t="n">
        <v>64.36327050911162</v>
      </c>
      <c r="CY291" s="3" t="n">
        <v>65.24914869828352</v>
      </c>
      <c r="CZ291" s="3" t="n">
        <v>68.20699399800002</v>
      </c>
      <c r="DA291" s="3" t="n">
        <v>70.91169986204093</v>
      </c>
      <c r="DB291" s="3" t="n">
        <v>73.95372128102824</v>
      </c>
      <c r="DC291" s="3" t="n">
        <v>77.07948802673042</v>
      </c>
      <c r="DD291" s="3" t="n">
        <v>80.2890187853243</v>
      </c>
      <c r="DE291" s="3" t="n">
        <v>83.38257568715466</v>
      </c>
      <c r="DF291" s="3" t="n">
        <v>86.71004308214454</v>
      </c>
      <c r="DG291" s="3" t="n">
        <v>90.16799012457135</v>
      </c>
      <c r="DH291" s="3" t="n">
        <v>93.76127956035587</v>
      </c>
      <c r="DI291" s="3" t="n">
        <v>97.49518738845619</v>
      </c>
      <c r="DJ291" s="3" t="n">
        <v>101.3748769154746</v>
      </c>
      <c r="DK291" s="3" t="n">
        <v>105.4062403803029</v>
      </c>
      <c r="DL291" s="3" t="n">
        <v>109.5945122209939</v>
      </c>
      <c r="DM291" s="3" t="n">
        <v>113.9455526463568</v>
      </c>
      <c r="DN291" s="3" t="n">
        <v>118.4654319514029</v>
      </c>
      <c r="DO291" s="3" t="n">
        <v>122.879544758664</v>
      </c>
    </row>
    <row r="292">
      <c r="A292" s="19" t="inlineStr">
        <is>
          <t>mit.eff.price.ind.nga</t>
        </is>
      </c>
      <c r="B292" s="3" t="inlineStr">
        <is>
          <t>mit</t>
        </is>
      </c>
      <c r="C292" s="19" t="inlineStr">
        <is>
          <t>mit.eff.price.nga.ind</t>
        </is>
      </c>
      <c r="H292" s="3" t="inlineStr">
        <is>
          <t>Efficient price | Industry | Natural gas</t>
        </is>
      </c>
      <c r="I292" s="3" t="inlineStr">
        <is>
          <t>USD per price unit</t>
        </is>
      </c>
      <c r="K292" s="20" t="inlineStr">
        <is>
          <t>egy.mit.eff.price.ind.nga.1</t>
        </is>
      </c>
      <c r="L292" s="3" t="n">
        <v>15.24360186652304</v>
      </c>
      <c r="M292" s="3" t="n">
        <v>13.63740099867776</v>
      </c>
      <c r="N292" s="3" t="n">
        <v>12.92047777983593</v>
      </c>
      <c r="O292" s="3" t="n">
        <v>12.97362223641505</v>
      </c>
      <c r="P292" s="3" t="n">
        <v>13.07435952142557</v>
      </c>
      <c r="Q292" s="3" t="n">
        <v>13.2900438178057</v>
      </c>
      <c r="R292" s="3" t="n">
        <v>13.53223425805643</v>
      </c>
      <c r="S292" s="3" t="n">
        <v>13.72907891525606</v>
      </c>
      <c r="T292" s="3" t="n">
        <v>13.91114156926995</v>
      </c>
      <c r="U292" s="3" t="n">
        <v>14.08735641891064</v>
      </c>
      <c r="V292" s="3" t="n">
        <v>14.27022091372359</v>
      </c>
      <c r="W292" s="3" t="n">
        <v>14.46033142068721</v>
      </c>
      <c r="X292" s="3" t="n">
        <v>14.65796440751784</v>
      </c>
      <c r="Y292" s="3" t="n">
        <v>14.86341582459372</v>
      </c>
      <c r="Z292" s="3" t="n">
        <v>15.07698069934599</v>
      </c>
      <c r="AA292" s="3" t="n">
        <v>15.29898626676878</v>
      </c>
      <c r="AB292" s="3" t="n">
        <v>15.52973754316921</v>
      </c>
      <c r="AC292" s="3" t="n">
        <v>15.76956787054262</v>
      </c>
      <c r="AD292" s="3" t="n">
        <v>16.01882275694714</v>
      </c>
      <c r="AE292" s="3" t="n">
        <v>16.26661538559173</v>
      </c>
      <c r="AG292" s="20" t="inlineStr">
        <is>
          <t>egy.mit.eff.price.ind.nga.3</t>
        </is>
      </c>
      <c r="AH292" s="3" t="n">
        <v>15.24360186652304</v>
      </c>
      <c r="AI292" s="3" t="n">
        <v>13.63740099867776</v>
      </c>
      <c r="AJ292" s="3" t="n">
        <v>12.92047777983593</v>
      </c>
      <c r="AK292" s="3" t="n">
        <v>12.97362223641505</v>
      </c>
      <c r="AL292" s="3" t="n">
        <v>13.07435952142557</v>
      </c>
      <c r="AM292" s="3" t="n">
        <v>13.2900438178057</v>
      </c>
      <c r="AN292" s="3" t="n">
        <v>13.53223425805643</v>
      </c>
      <c r="AO292" s="3" t="n">
        <v>13.72907891525606</v>
      </c>
      <c r="AP292" s="3" t="n">
        <v>13.91114156926995</v>
      </c>
      <c r="AQ292" s="3" t="n">
        <v>14.08735641891064</v>
      </c>
      <c r="AR292" s="3" t="n">
        <v>14.27022091372359</v>
      </c>
      <c r="AS292" s="3" t="n">
        <v>14.46033142068721</v>
      </c>
      <c r="AT292" s="3" t="n">
        <v>14.65796440751784</v>
      </c>
      <c r="AU292" s="3" t="n">
        <v>14.86341582459372</v>
      </c>
      <c r="AV292" s="3" t="n">
        <v>15.07698069934599</v>
      </c>
      <c r="AW292" s="3" t="n">
        <v>15.29898626676878</v>
      </c>
      <c r="AX292" s="3" t="n">
        <v>15.52973754316921</v>
      </c>
      <c r="AY292" s="3" t="n">
        <v>15.76956787054262</v>
      </c>
      <c r="AZ292" s="3" t="n">
        <v>16.01882275694714</v>
      </c>
      <c r="BA292" s="3" t="n">
        <v>16.26661538559173</v>
      </c>
      <c r="BC292" s="20" t="inlineStr">
        <is>
          <t>egy.mit.eff.price.ind.nga.4</t>
        </is>
      </c>
      <c r="BD292" s="3" t="n">
        <v>15.24360186652304</v>
      </c>
      <c r="BE292" s="3" t="n">
        <v>13.63740099867776</v>
      </c>
      <c r="BF292" s="3" t="n">
        <v>12.92047777983593</v>
      </c>
      <c r="BG292" s="3" t="n">
        <v>12.97362223641505</v>
      </c>
      <c r="BH292" s="3" t="n">
        <v>13.07435952142557</v>
      </c>
      <c r="BI292" s="3" t="n">
        <v>13.2900438178057</v>
      </c>
      <c r="BJ292" s="3" t="n">
        <v>13.53223425805643</v>
      </c>
      <c r="BK292" s="3" t="n">
        <v>13.72907891525606</v>
      </c>
      <c r="BL292" s="3" t="n">
        <v>13.91114156926995</v>
      </c>
      <c r="BM292" s="3" t="n">
        <v>14.08735641891064</v>
      </c>
      <c r="BN292" s="3" t="n">
        <v>14.27022091372359</v>
      </c>
      <c r="BO292" s="3" t="n">
        <v>14.46033142068721</v>
      </c>
      <c r="BP292" s="3" t="n">
        <v>14.65796440751784</v>
      </c>
      <c r="BQ292" s="3" t="n">
        <v>14.86341582459372</v>
      </c>
      <c r="BR292" s="3" t="n">
        <v>15.07698069934599</v>
      </c>
      <c r="BS292" s="3" t="n">
        <v>15.29898626676878</v>
      </c>
      <c r="BT292" s="3" t="n">
        <v>15.52973754316921</v>
      </c>
      <c r="BU292" s="3" t="n">
        <v>15.76956787054262</v>
      </c>
      <c r="BV292" s="3" t="n">
        <v>16.01882275694714</v>
      </c>
      <c r="BW292" s="3" t="n">
        <v>16.26661538559173</v>
      </c>
      <c r="BY292" s="20" t="inlineStr">
        <is>
          <t>egy.mit.eff.price.ind.nga.5</t>
        </is>
      </c>
      <c r="BZ292" s="3" t="n">
        <v>15.24360186652304</v>
      </c>
      <c r="CA292" s="3" t="n">
        <v>13.63740099867776</v>
      </c>
      <c r="CB292" s="3" t="n">
        <v>12.92047777983593</v>
      </c>
      <c r="CC292" s="3" t="n">
        <v>12.97362223641505</v>
      </c>
      <c r="CD292" s="3" t="n">
        <v>13.07435952142557</v>
      </c>
      <c r="CE292" s="3" t="n">
        <v>13.2900438155894</v>
      </c>
      <c r="CF292" s="3" t="n">
        <v>13.53223425582694</v>
      </c>
      <c r="CG292" s="3" t="n">
        <v>13.7290789132281</v>
      </c>
      <c r="CH292" s="3" t="n">
        <v>13.91114156767089</v>
      </c>
      <c r="CI292" s="3" t="n">
        <v>14.08735641799542</v>
      </c>
      <c r="CJ292" s="3" t="n">
        <v>14.27022091365612</v>
      </c>
      <c r="CK292" s="3" t="n">
        <v>14.46033142169742</v>
      </c>
      <c r="CL292" s="3" t="n">
        <v>14.65796440982523</v>
      </c>
      <c r="CM292" s="3" t="n">
        <v>14.86341582843918</v>
      </c>
      <c r="CN292" s="3" t="n">
        <v>15.07698070429409</v>
      </c>
      <c r="CO292" s="3" t="n">
        <v>15.29898627299188</v>
      </c>
      <c r="CP292" s="3" t="n">
        <v>15.52973755084392</v>
      </c>
      <c r="CQ292" s="3" t="n">
        <v>15.76956787985741</v>
      </c>
      <c r="CR292" s="3" t="n">
        <v>16.01882276810749</v>
      </c>
      <c r="CS292" s="3" t="n">
        <v>16.26661539833446</v>
      </c>
      <c r="CU292" s="20" t="inlineStr">
        <is>
          <t>egy.mit.eff.price.ind.nga.6</t>
        </is>
      </c>
      <c r="CV292" s="3" t="n">
        <v>15.24360186652304</v>
      </c>
      <c r="CW292" s="3" t="n">
        <v>13.63740099867776</v>
      </c>
      <c r="CX292" s="3" t="n">
        <v>12.92047777983593</v>
      </c>
      <c r="CY292" s="3" t="n">
        <v>12.97362223641505</v>
      </c>
      <c r="CZ292" s="3" t="n">
        <v>13.07435952142557</v>
      </c>
      <c r="DA292" s="3" t="n">
        <v>13.2900438178057</v>
      </c>
      <c r="DB292" s="3" t="n">
        <v>13.53223425805643</v>
      </c>
      <c r="DC292" s="3" t="n">
        <v>13.72907891525606</v>
      </c>
      <c r="DD292" s="3" t="n">
        <v>13.91114156926995</v>
      </c>
      <c r="DE292" s="3" t="n">
        <v>14.08735641891064</v>
      </c>
      <c r="DF292" s="3" t="n">
        <v>14.27022091372359</v>
      </c>
      <c r="DG292" s="3" t="n">
        <v>14.46033142068721</v>
      </c>
      <c r="DH292" s="3" t="n">
        <v>14.65796440751784</v>
      </c>
      <c r="DI292" s="3" t="n">
        <v>14.86341582459372</v>
      </c>
      <c r="DJ292" s="3" t="n">
        <v>15.07698069934599</v>
      </c>
      <c r="DK292" s="3" t="n">
        <v>15.29898626676878</v>
      </c>
      <c r="DL292" s="3" t="n">
        <v>15.52973754316921</v>
      </c>
      <c r="DM292" s="3" t="n">
        <v>15.76956787054262</v>
      </c>
      <c r="DN292" s="3" t="n">
        <v>16.01882275694714</v>
      </c>
      <c r="DO292" s="3" t="n">
        <v>16.26661538559173</v>
      </c>
    </row>
    <row r="293">
      <c r="A293" s="19" t="inlineStr">
        <is>
          <t>mit.sup.cost.ind.nga</t>
        </is>
      </c>
      <c r="B293" s="3" t="inlineStr">
        <is>
          <t>mit</t>
        </is>
      </c>
      <c r="C293" s="19" t="inlineStr">
        <is>
          <t>mit.sup.cost.nga.ind</t>
        </is>
      </c>
      <c r="H293" s="3" t="inlineStr">
        <is>
          <t>Efficient price: supply cost of scenario 1 | Industry | Natural gas</t>
        </is>
      </c>
      <c r="I293" s="3" t="inlineStr">
        <is>
          <t>USD per price unit</t>
        </is>
      </c>
      <c r="K293" s="20" t="inlineStr">
        <is>
          <t>egy.mit.sup.cost.ind.nga.1</t>
        </is>
      </c>
      <c r="L293" s="3" t="n">
        <v>11.98362049247453</v>
      </c>
      <c r="M293" s="3" t="n">
        <v>10.25510226430741</v>
      </c>
      <c r="N293" s="3" t="n">
        <v>9.420966573414672</v>
      </c>
      <c r="O293" s="3" t="n">
        <v>9.397385865979537</v>
      </c>
      <c r="P293" s="3" t="n">
        <v>9.341375063734812</v>
      </c>
      <c r="Q293" s="3" t="n">
        <v>9.408085870425786</v>
      </c>
      <c r="R293" s="3" t="n">
        <v>9.486560134343589</v>
      </c>
      <c r="S293" s="3" t="n">
        <v>9.514513678898734</v>
      </c>
      <c r="T293" s="3" t="n">
        <v>9.522443849365558</v>
      </c>
      <c r="U293" s="3" t="n">
        <v>9.526937785601195</v>
      </c>
      <c r="V293" s="3" t="n">
        <v>9.526937785601195</v>
      </c>
      <c r="W293" s="3" t="n">
        <v>9.526937785601195</v>
      </c>
      <c r="X293" s="3" t="n">
        <v>9.526937785601195</v>
      </c>
      <c r="Y293" s="3" t="n">
        <v>9.526937785601195</v>
      </c>
      <c r="Z293" s="3" t="n">
        <v>9.526937785601195</v>
      </c>
      <c r="AA293" s="3" t="n">
        <v>9.526937785601195</v>
      </c>
      <c r="AB293" s="3" t="n">
        <v>9.526937785601195</v>
      </c>
      <c r="AC293" s="3" t="n">
        <v>9.526937785601195</v>
      </c>
      <c r="AD293" s="3" t="n">
        <v>9.526937785601195</v>
      </c>
      <c r="AE293" s="3" t="n">
        <v>9.526937785601195</v>
      </c>
      <c r="AG293" s="20" t="inlineStr">
        <is>
          <t>egy.mit.sup.cost.ind.nga.3</t>
        </is>
      </c>
      <c r="AH293" s="3" t="n">
        <v>11.98362049247453</v>
      </c>
      <c r="AI293" s="3" t="n">
        <v>10.25510226430741</v>
      </c>
      <c r="AJ293" s="3" t="n">
        <v>9.420966573414672</v>
      </c>
      <c r="AK293" s="3" t="n">
        <v>9.397385865979537</v>
      </c>
      <c r="AL293" s="3" t="n">
        <v>9.341375063734812</v>
      </c>
      <c r="AM293" s="3" t="n">
        <v>9.408085870425786</v>
      </c>
      <c r="AN293" s="3" t="n">
        <v>9.486560134343589</v>
      </c>
      <c r="AO293" s="3" t="n">
        <v>9.514513678898734</v>
      </c>
      <c r="AP293" s="3" t="n">
        <v>9.522443849365558</v>
      </c>
      <c r="AQ293" s="3" t="n">
        <v>9.526937785601195</v>
      </c>
      <c r="AR293" s="3" t="n">
        <v>9.526937785601195</v>
      </c>
      <c r="AS293" s="3" t="n">
        <v>9.526937785601195</v>
      </c>
      <c r="AT293" s="3" t="n">
        <v>9.526937785601195</v>
      </c>
      <c r="AU293" s="3" t="n">
        <v>9.526937785601195</v>
      </c>
      <c r="AV293" s="3" t="n">
        <v>9.526937785601195</v>
      </c>
      <c r="AW293" s="3" t="n">
        <v>9.526937785601195</v>
      </c>
      <c r="AX293" s="3" t="n">
        <v>9.526937785601195</v>
      </c>
      <c r="AY293" s="3" t="n">
        <v>9.526937785601195</v>
      </c>
      <c r="AZ293" s="3" t="n">
        <v>9.526937785601195</v>
      </c>
      <c r="BA293" s="3" t="n">
        <v>9.526937785601195</v>
      </c>
      <c r="BC293" s="20" t="inlineStr">
        <is>
          <t>egy.mit.sup.cost.ind.nga.4</t>
        </is>
      </c>
      <c r="BD293" s="3" t="n">
        <v>11.98362049247453</v>
      </c>
      <c r="BE293" s="3" t="n">
        <v>10.25510226430741</v>
      </c>
      <c r="BF293" s="3" t="n">
        <v>9.420966573414672</v>
      </c>
      <c r="BG293" s="3" t="n">
        <v>9.397385865979537</v>
      </c>
      <c r="BH293" s="3" t="n">
        <v>9.341375063734812</v>
      </c>
      <c r="BI293" s="3" t="n">
        <v>9.408085870425786</v>
      </c>
      <c r="BJ293" s="3" t="n">
        <v>9.486560134343589</v>
      </c>
      <c r="BK293" s="3" t="n">
        <v>9.514513678898734</v>
      </c>
      <c r="BL293" s="3" t="n">
        <v>9.522443849365558</v>
      </c>
      <c r="BM293" s="3" t="n">
        <v>9.526937785601195</v>
      </c>
      <c r="BN293" s="3" t="n">
        <v>9.526937785601195</v>
      </c>
      <c r="BO293" s="3" t="n">
        <v>9.526937785601195</v>
      </c>
      <c r="BP293" s="3" t="n">
        <v>9.526937785601195</v>
      </c>
      <c r="BQ293" s="3" t="n">
        <v>9.526937785601195</v>
      </c>
      <c r="BR293" s="3" t="n">
        <v>9.526937785601195</v>
      </c>
      <c r="BS293" s="3" t="n">
        <v>9.526937785601195</v>
      </c>
      <c r="BT293" s="3" t="n">
        <v>9.526937785601195</v>
      </c>
      <c r="BU293" s="3" t="n">
        <v>9.526937785601195</v>
      </c>
      <c r="BV293" s="3" t="n">
        <v>9.526937785601195</v>
      </c>
      <c r="BW293" s="3" t="n">
        <v>9.526937785601195</v>
      </c>
      <c r="BY293" s="20" t="inlineStr">
        <is>
          <t>egy.mit.sup.cost.ind.nga.5</t>
        </is>
      </c>
      <c r="BZ293" s="3" t="n">
        <v>11.98362049247453</v>
      </c>
      <c r="CA293" s="3" t="n">
        <v>10.25510226430741</v>
      </c>
      <c r="CB293" s="3" t="n">
        <v>9.420966573414672</v>
      </c>
      <c r="CC293" s="3" t="n">
        <v>9.397385865979537</v>
      </c>
      <c r="CD293" s="3" t="n">
        <v>9.341375063734812</v>
      </c>
      <c r="CE293" s="3" t="n">
        <v>9.408085870425786</v>
      </c>
      <c r="CF293" s="3" t="n">
        <v>9.486560134343589</v>
      </c>
      <c r="CG293" s="3" t="n">
        <v>9.514513678898734</v>
      </c>
      <c r="CH293" s="3" t="n">
        <v>9.522443849365558</v>
      </c>
      <c r="CI293" s="3" t="n">
        <v>9.526937785601195</v>
      </c>
      <c r="CJ293" s="3" t="n">
        <v>9.526937785601195</v>
      </c>
      <c r="CK293" s="3" t="n">
        <v>9.526937785601195</v>
      </c>
      <c r="CL293" s="3" t="n">
        <v>9.526937785601195</v>
      </c>
      <c r="CM293" s="3" t="n">
        <v>9.526937785601195</v>
      </c>
      <c r="CN293" s="3" t="n">
        <v>9.526937785601195</v>
      </c>
      <c r="CO293" s="3" t="n">
        <v>9.526937785601195</v>
      </c>
      <c r="CP293" s="3" t="n">
        <v>9.526937785601195</v>
      </c>
      <c r="CQ293" s="3" t="n">
        <v>9.526937785601195</v>
      </c>
      <c r="CR293" s="3" t="n">
        <v>9.526937785601195</v>
      </c>
      <c r="CS293" s="3" t="n">
        <v>9.526937785601195</v>
      </c>
      <c r="CU293" s="20" t="inlineStr">
        <is>
          <t>egy.mit.sup.cost.ind.nga.6</t>
        </is>
      </c>
      <c r="CV293" s="3" t="n">
        <v>11.98362049247453</v>
      </c>
      <c r="CW293" s="3" t="n">
        <v>10.25510226430741</v>
      </c>
      <c r="CX293" s="3" t="n">
        <v>9.420966573414672</v>
      </c>
      <c r="CY293" s="3" t="n">
        <v>9.397385865979537</v>
      </c>
      <c r="CZ293" s="3" t="n">
        <v>9.341375063734812</v>
      </c>
      <c r="DA293" s="3" t="n">
        <v>9.408085870425786</v>
      </c>
      <c r="DB293" s="3" t="n">
        <v>9.486560134343589</v>
      </c>
      <c r="DC293" s="3" t="n">
        <v>9.514513678898734</v>
      </c>
      <c r="DD293" s="3" t="n">
        <v>9.522443849365558</v>
      </c>
      <c r="DE293" s="3" t="n">
        <v>9.526937785601195</v>
      </c>
      <c r="DF293" s="3" t="n">
        <v>9.526937785601195</v>
      </c>
      <c r="DG293" s="3" t="n">
        <v>9.526937785601195</v>
      </c>
      <c r="DH293" s="3" t="n">
        <v>9.526937785601195</v>
      </c>
      <c r="DI293" s="3" t="n">
        <v>9.526937785601195</v>
      </c>
      <c r="DJ293" s="3" t="n">
        <v>9.526937785601195</v>
      </c>
      <c r="DK293" s="3" t="n">
        <v>9.526937785601195</v>
      </c>
      <c r="DL293" s="3" t="n">
        <v>9.526937785601195</v>
      </c>
      <c r="DM293" s="3" t="n">
        <v>9.526937785601195</v>
      </c>
      <c r="DN293" s="3" t="n">
        <v>9.526937785601195</v>
      </c>
      <c r="DO293" s="3" t="n">
        <v>9.526937785601195</v>
      </c>
    </row>
    <row r="294">
      <c r="A294" s="19" t="inlineStr">
        <is>
          <t>mit.airpol.cost.ind.nga</t>
        </is>
      </c>
      <c r="B294" s="3" t="inlineStr">
        <is>
          <t>mit</t>
        </is>
      </c>
      <c r="C294" s="19" t="inlineStr">
        <is>
          <t>mit.airpol.cost.nga.ind</t>
        </is>
      </c>
      <c r="H294" s="3" t="inlineStr">
        <is>
          <t>Air-pollution cost per unit of fuel, marginal damages (coal, gas, other oil products USD/GJ; gasoline, diesel, LPG, kerosene USD/l) | Industry | Natural gas</t>
        </is>
      </c>
      <c r="I294" s="3" t="inlineStr">
        <is>
          <t>USD per unit</t>
        </is>
      </c>
      <c r="K294" s="20" t="inlineStr">
        <is>
          <t>egy.mit.airpol.cost.ind.nga.1</t>
        </is>
      </c>
      <c r="L294" s="3" t="n">
        <v>0.2020428661152153</v>
      </c>
      <c r="M294" s="3" t="n">
        <v>0.2020426861197173</v>
      </c>
      <c r="N294" s="3" t="n">
        <v>0.1920449162405957</v>
      </c>
      <c r="O294" s="3" t="n">
        <v>0.1364714286476296</v>
      </c>
      <c r="P294" s="3" t="n">
        <v>0.1556289182313551</v>
      </c>
      <c r="Q294" s="3" t="n">
        <v>0.1615081863421373</v>
      </c>
      <c r="R294" s="3" t="n">
        <v>0.1764063722335561</v>
      </c>
      <c r="S294" s="3" t="n">
        <v>0.1905267748188695</v>
      </c>
      <c r="T294" s="3" t="n">
        <v>0.2036977199043904</v>
      </c>
      <c r="U294" s="3" t="n">
        <v>0.2080186333094487</v>
      </c>
      <c r="V294" s="3" t="n">
        <v>0.2167871281223921</v>
      </c>
      <c r="W294" s="3" t="n">
        <v>0.2258377950860143</v>
      </c>
      <c r="X294" s="3" t="n">
        <v>0.2351685483166424</v>
      </c>
      <c r="Y294" s="3" t="n">
        <v>0.2447856424485271</v>
      </c>
      <c r="Z294" s="3" t="n">
        <v>0.2546828213390341</v>
      </c>
      <c r="AA294" s="3" t="n">
        <v>0.2648739850655973</v>
      </c>
      <c r="AB294" s="3" t="n">
        <v>0.2753382816219426</v>
      </c>
      <c r="AC294" s="3" t="n">
        <v>0.2860701499575127</v>
      </c>
      <c r="AD294" s="3" t="n">
        <v>0.2970626389626759</v>
      </c>
      <c r="AE294" s="3" t="n">
        <v>0.2970623743119305</v>
      </c>
      <c r="AG294" s="20" t="inlineStr">
        <is>
          <t>egy.mit.airpol.cost.ind.nga.3</t>
        </is>
      </c>
      <c r="AH294" s="3" t="n">
        <v>0.2020428661152153</v>
      </c>
      <c r="AI294" s="3" t="n">
        <v>0.2020426861197173</v>
      </c>
      <c r="AJ294" s="3" t="n">
        <v>0.1920449162405957</v>
      </c>
      <c r="AK294" s="3" t="n">
        <v>0.1364714286476296</v>
      </c>
      <c r="AL294" s="3" t="n">
        <v>0.1556289182313551</v>
      </c>
      <c r="AM294" s="3" t="n">
        <v>0.1615081863421373</v>
      </c>
      <c r="AN294" s="3" t="n">
        <v>0.1764063722335561</v>
      </c>
      <c r="AO294" s="3" t="n">
        <v>0.1905267748188695</v>
      </c>
      <c r="AP294" s="3" t="n">
        <v>0.2036977199043905</v>
      </c>
      <c r="AQ294" s="3" t="n">
        <v>0.2080186333094487</v>
      </c>
      <c r="AR294" s="3" t="n">
        <v>0.2167871281223921</v>
      </c>
      <c r="AS294" s="3" t="n">
        <v>0.2258377950860143</v>
      </c>
      <c r="AT294" s="3" t="n">
        <v>0.2351685483166424</v>
      </c>
      <c r="AU294" s="3" t="n">
        <v>0.2447856424485271</v>
      </c>
      <c r="AV294" s="3" t="n">
        <v>0.2546828213390341</v>
      </c>
      <c r="AW294" s="3" t="n">
        <v>0.2648739850655974</v>
      </c>
      <c r="AX294" s="3" t="n">
        <v>0.2753382816219425</v>
      </c>
      <c r="AY294" s="3" t="n">
        <v>0.2860701499575128</v>
      </c>
      <c r="AZ294" s="3" t="n">
        <v>0.2970626389626758</v>
      </c>
      <c r="BA294" s="3" t="n">
        <v>0.2970623743119306</v>
      </c>
      <c r="BC294" s="20" t="inlineStr">
        <is>
          <t>egy.mit.airpol.cost.ind.nga.4</t>
        </is>
      </c>
      <c r="BD294" s="3" t="n">
        <v>0.2020428661152153</v>
      </c>
      <c r="BE294" s="3" t="n">
        <v>0.2020426861197173</v>
      </c>
      <c r="BF294" s="3" t="n">
        <v>0.1920449162405957</v>
      </c>
      <c r="BG294" s="3" t="n">
        <v>0.1364714286476296</v>
      </c>
      <c r="BH294" s="3" t="n">
        <v>0.1556289182313551</v>
      </c>
      <c r="BI294" s="3" t="n">
        <v>0.1615081863421372</v>
      </c>
      <c r="BJ294" s="3" t="n">
        <v>0.1764063722335561</v>
      </c>
      <c r="BK294" s="3" t="n">
        <v>0.1905267748188695</v>
      </c>
      <c r="BL294" s="3" t="n">
        <v>0.2036977199043904</v>
      </c>
      <c r="BM294" s="3" t="n">
        <v>0.2080186333094487</v>
      </c>
      <c r="BN294" s="3" t="n">
        <v>0.2167871281223921</v>
      </c>
      <c r="BO294" s="3" t="n">
        <v>0.2258377950860143</v>
      </c>
      <c r="BP294" s="3" t="n">
        <v>0.2351685483166424</v>
      </c>
      <c r="BQ294" s="3" t="n">
        <v>0.2447856424485271</v>
      </c>
      <c r="BR294" s="3" t="n">
        <v>0.2546828213390341</v>
      </c>
      <c r="BS294" s="3" t="n">
        <v>0.2648739850655974</v>
      </c>
      <c r="BT294" s="3" t="n">
        <v>0.2753382816219426</v>
      </c>
      <c r="BU294" s="3" t="n">
        <v>0.2860701499575128</v>
      </c>
      <c r="BV294" s="3" t="n">
        <v>0.2970626389626758</v>
      </c>
      <c r="BW294" s="3" t="n">
        <v>0.2970623743119305</v>
      </c>
      <c r="BY294" s="20" t="inlineStr">
        <is>
          <t>egy.mit.airpol.cost.ind.nga.5</t>
        </is>
      </c>
      <c r="BZ294" s="3" t="n">
        <v>0.2020428661152153</v>
      </c>
      <c r="CA294" s="3" t="n">
        <v>0.2020426861197173</v>
      </c>
      <c r="CB294" s="3" t="n">
        <v>0.1920449162405957</v>
      </c>
      <c r="CC294" s="3" t="n">
        <v>0.1364714286476296</v>
      </c>
      <c r="CD294" s="3" t="n">
        <v>0.1556289182313551</v>
      </c>
      <c r="CE294" s="3" t="n">
        <v>0.1615081841258396</v>
      </c>
      <c r="CF294" s="3" t="n">
        <v>0.1764063700040586</v>
      </c>
      <c r="CG294" s="3" t="n">
        <v>0.1905267727909045</v>
      </c>
      <c r="CH294" s="3" t="n">
        <v>0.2036977183053272</v>
      </c>
      <c r="CI294" s="3" t="n">
        <v>0.2080186323942242</v>
      </c>
      <c r="CJ294" s="3" t="n">
        <v>0.2167871280549286</v>
      </c>
      <c r="CK294" s="3" t="n">
        <v>0.2258377960962258</v>
      </c>
      <c r="CL294" s="3" t="n">
        <v>0.2351685506240351</v>
      </c>
      <c r="CM294" s="3" t="n">
        <v>0.2447856462939832</v>
      </c>
      <c r="CN294" s="3" t="n">
        <v>0.2546828262871326</v>
      </c>
      <c r="CO294" s="3" t="n">
        <v>0.2648739912886974</v>
      </c>
      <c r="CP294" s="3" t="n">
        <v>0.2753382892966513</v>
      </c>
      <c r="CQ294" s="3" t="n">
        <v>0.2860701592722994</v>
      </c>
      <c r="CR294" s="3" t="n">
        <v>0.2970626501230279</v>
      </c>
      <c r="CS294" s="3" t="n">
        <v>0.2970623870546586</v>
      </c>
      <c r="CU294" s="20" t="inlineStr">
        <is>
          <t>egy.mit.airpol.cost.ind.nga.6</t>
        </is>
      </c>
      <c r="CV294" s="3" t="n">
        <v>0.2020428661152153</v>
      </c>
      <c r="CW294" s="3" t="n">
        <v>0.2020426861197173</v>
      </c>
      <c r="CX294" s="3" t="n">
        <v>0.1920449162405957</v>
      </c>
      <c r="CY294" s="3" t="n">
        <v>0.1364714286476296</v>
      </c>
      <c r="CZ294" s="3" t="n">
        <v>0.1556289182313551</v>
      </c>
      <c r="DA294" s="3" t="n">
        <v>0.1615081863421372</v>
      </c>
      <c r="DB294" s="3" t="n">
        <v>0.1764063722335561</v>
      </c>
      <c r="DC294" s="3" t="n">
        <v>0.1905267748188695</v>
      </c>
      <c r="DD294" s="3" t="n">
        <v>0.2036977199043904</v>
      </c>
      <c r="DE294" s="3" t="n">
        <v>0.2080186333094487</v>
      </c>
      <c r="DF294" s="3" t="n">
        <v>0.2167871281223921</v>
      </c>
      <c r="DG294" s="3" t="n">
        <v>0.2258377950860143</v>
      </c>
      <c r="DH294" s="3" t="n">
        <v>0.2351685483166424</v>
      </c>
      <c r="DI294" s="3" t="n">
        <v>0.2447856424485271</v>
      </c>
      <c r="DJ294" s="3" t="n">
        <v>0.2546828213390341</v>
      </c>
      <c r="DK294" s="3" t="n">
        <v>0.2648739850655974</v>
      </c>
      <c r="DL294" s="3" t="n">
        <v>0.2753382816219426</v>
      </c>
      <c r="DM294" s="3" t="n">
        <v>0.2860701499575128</v>
      </c>
      <c r="DN294" s="3" t="n">
        <v>0.2970626389626759</v>
      </c>
      <c r="DO294" s="3" t="n">
        <v>0.2970623743119306</v>
      </c>
    </row>
    <row r="295">
      <c r="A295" s="19" t="inlineStr">
        <is>
          <t>mit.scc.cost.ind.nga</t>
        </is>
      </c>
      <c r="B295" s="3" t="inlineStr">
        <is>
          <t>mit</t>
        </is>
      </c>
      <c r="C295" s="19" t="inlineStr">
        <is>
          <t>mit.scc.cost.nga.ind</t>
        </is>
      </c>
      <c r="H295" s="3" t="inlineStr">
        <is>
          <t>Efficient price: climate damage (national SCC) | Industry | Natural gas</t>
        </is>
      </c>
      <c r="I295" s="3" t="inlineStr">
        <is>
          <t>USD per price unit</t>
        </is>
      </c>
      <c r="K295" s="20" t="inlineStr">
        <is>
          <t>egy.mit.scc.cost.ind.nga.1</t>
        </is>
      </c>
      <c r="L295" s="3" t="n">
        <v>3.057938507933302</v>
      </c>
      <c r="M295" s="3" t="n">
        <v>3.180256048250635</v>
      </c>
      <c r="N295" s="3" t="n">
        <v>3.30746629018066</v>
      </c>
      <c r="O295" s="3" t="n">
        <v>3.439764941787887</v>
      </c>
      <c r="P295" s="3" t="n">
        <v>3.577355539459402</v>
      </c>
      <c r="Q295" s="3" t="n">
        <v>3.720449761037778</v>
      </c>
      <c r="R295" s="3" t="n">
        <v>3.869267751479289</v>
      </c>
      <c r="S295" s="3" t="n">
        <v>4.024038461538461</v>
      </c>
      <c r="T295" s="3" t="n">
        <v>4.185</v>
      </c>
      <c r="U295" s="3" t="n">
        <v>4.352399999999999</v>
      </c>
      <c r="V295" s="3" t="n">
        <v>4.526496</v>
      </c>
      <c r="W295" s="3" t="n">
        <v>4.707555839999999</v>
      </c>
      <c r="X295" s="3" t="n">
        <v>4.8958580736</v>
      </c>
      <c r="Y295" s="3" t="n">
        <v>5.091692396544</v>
      </c>
      <c r="Z295" s="3" t="n">
        <v>5.295360092405761</v>
      </c>
      <c r="AA295" s="3" t="n">
        <v>5.507174496101992</v>
      </c>
      <c r="AB295" s="3" t="n">
        <v>5.727461475946071</v>
      </c>
      <c r="AC295" s="3" t="n">
        <v>5.956559934983914</v>
      </c>
      <c r="AD295" s="3" t="n">
        <v>6.194822332383271</v>
      </c>
      <c r="AE295" s="3" t="n">
        <v>6.442615225678602</v>
      </c>
      <c r="AG295" s="20" t="inlineStr">
        <is>
          <t>egy.mit.scc.cost.ind.nga.3</t>
        </is>
      </c>
      <c r="AH295" s="3" t="n">
        <v>3.057938507933302</v>
      </c>
      <c r="AI295" s="3" t="n">
        <v>3.180256048250635</v>
      </c>
      <c r="AJ295" s="3" t="n">
        <v>3.30746629018066</v>
      </c>
      <c r="AK295" s="3" t="n">
        <v>3.439764941787887</v>
      </c>
      <c r="AL295" s="3" t="n">
        <v>3.577355539459402</v>
      </c>
      <c r="AM295" s="3" t="n">
        <v>3.720449761037778</v>
      </c>
      <c r="AN295" s="3" t="n">
        <v>3.869267751479289</v>
      </c>
      <c r="AO295" s="3" t="n">
        <v>4.024038461538461</v>
      </c>
      <c r="AP295" s="3" t="n">
        <v>4.185</v>
      </c>
      <c r="AQ295" s="3" t="n">
        <v>4.352399999999999</v>
      </c>
      <c r="AR295" s="3" t="n">
        <v>4.526496</v>
      </c>
      <c r="AS295" s="3" t="n">
        <v>4.707555839999999</v>
      </c>
      <c r="AT295" s="3" t="n">
        <v>4.8958580736</v>
      </c>
      <c r="AU295" s="3" t="n">
        <v>5.091692396544</v>
      </c>
      <c r="AV295" s="3" t="n">
        <v>5.295360092405761</v>
      </c>
      <c r="AW295" s="3" t="n">
        <v>5.507174496101992</v>
      </c>
      <c r="AX295" s="3" t="n">
        <v>5.727461475946071</v>
      </c>
      <c r="AY295" s="3" t="n">
        <v>5.956559934983914</v>
      </c>
      <c r="AZ295" s="3" t="n">
        <v>6.194822332383271</v>
      </c>
      <c r="BA295" s="3" t="n">
        <v>6.442615225678602</v>
      </c>
      <c r="BC295" s="20" t="inlineStr">
        <is>
          <t>egy.mit.scc.cost.ind.nga.4</t>
        </is>
      </c>
      <c r="BD295" s="3" t="n">
        <v>3.057938507933302</v>
      </c>
      <c r="BE295" s="3" t="n">
        <v>3.180256048250635</v>
      </c>
      <c r="BF295" s="3" t="n">
        <v>3.30746629018066</v>
      </c>
      <c r="BG295" s="3" t="n">
        <v>3.439764941787887</v>
      </c>
      <c r="BH295" s="3" t="n">
        <v>3.577355539459402</v>
      </c>
      <c r="BI295" s="3" t="n">
        <v>3.720449761037778</v>
      </c>
      <c r="BJ295" s="3" t="n">
        <v>3.869267751479289</v>
      </c>
      <c r="BK295" s="3" t="n">
        <v>4.024038461538461</v>
      </c>
      <c r="BL295" s="3" t="n">
        <v>4.185</v>
      </c>
      <c r="BM295" s="3" t="n">
        <v>4.352399999999999</v>
      </c>
      <c r="BN295" s="3" t="n">
        <v>4.526496</v>
      </c>
      <c r="BO295" s="3" t="n">
        <v>4.707555839999999</v>
      </c>
      <c r="BP295" s="3" t="n">
        <v>4.8958580736</v>
      </c>
      <c r="BQ295" s="3" t="n">
        <v>5.091692396544</v>
      </c>
      <c r="BR295" s="3" t="n">
        <v>5.295360092405761</v>
      </c>
      <c r="BS295" s="3" t="n">
        <v>5.507174496101992</v>
      </c>
      <c r="BT295" s="3" t="n">
        <v>5.727461475946071</v>
      </c>
      <c r="BU295" s="3" t="n">
        <v>5.956559934983914</v>
      </c>
      <c r="BV295" s="3" t="n">
        <v>6.194822332383271</v>
      </c>
      <c r="BW295" s="3" t="n">
        <v>6.442615225678602</v>
      </c>
      <c r="BY295" s="20" t="inlineStr">
        <is>
          <t>egy.mit.scc.cost.ind.nga.5</t>
        </is>
      </c>
      <c r="BZ295" s="3" t="n">
        <v>3.057938507933302</v>
      </c>
      <c r="CA295" s="3" t="n">
        <v>3.180256048250635</v>
      </c>
      <c r="CB295" s="3" t="n">
        <v>3.30746629018066</v>
      </c>
      <c r="CC295" s="3" t="n">
        <v>3.439764941787887</v>
      </c>
      <c r="CD295" s="3" t="n">
        <v>3.577355539459402</v>
      </c>
      <c r="CE295" s="3" t="n">
        <v>3.720449761037778</v>
      </c>
      <c r="CF295" s="3" t="n">
        <v>3.869267751479289</v>
      </c>
      <c r="CG295" s="3" t="n">
        <v>4.024038461538461</v>
      </c>
      <c r="CH295" s="3" t="n">
        <v>4.185</v>
      </c>
      <c r="CI295" s="3" t="n">
        <v>4.352399999999999</v>
      </c>
      <c r="CJ295" s="3" t="n">
        <v>4.526496</v>
      </c>
      <c r="CK295" s="3" t="n">
        <v>4.707555839999999</v>
      </c>
      <c r="CL295" s="3" t="n">
        <v>4.8958580736</v>
      </c>
      <c r="CM295" s="3" t="n">
        <v>5.091692396544</v>
      </c>
      <c r="CN295" s="3" t="n">
        <v>5.295360092405761</v>
      </c>
      <c r="CO295" s="3" t="n">
        <v>5.507174496101992</v>
      </c>
      <c r="CP295" s="3" t="n">
        <v>5.727461475946071</v>
      </c>
      <c r="CQ295" s="3" t="n">
        <v>5.956559934983914</v>
      </c>
      <c r="CR295" s="3" t="n">
        <v>6.194822332383271</v>
      </c>
      <c r="CS295" s="3" t="n">
        <v>6.442615225678602</v>
      </c>
      <c r="CU295" s="20" t="inlineStr">
        <is>
          <t>egy.mit.scc.cost.ind.nga.6</t>
        </is>
      </c>
      <c r="CV295" s="3" t="n">
        <v>3.057938507933302</v>
      </c>
      <c r="CW295" s="3" t="n">
        <v>3.180256048250635</v>
      </c>
      <c r="CX295" s="3" t="n">
        <v>3.30746629018066</v>
      </c>
      <c r="CY295" s="3" t="n">
        <v>3.439764941787887</v>
      </c>
      <c r="CZ295" s="3" t="n">
        <v>3.577355539459402</v>
      </c>
      <c r="DA295" s="3" t="n">
        <v>3.720449761037778</v>
      </c>
      <c r="DB295" s="3" t="n">
        <v>3.869267751479289</v>
      </c>
      <c r="DC295" s="3" t="n">
        <v>4.024038461538461</v>
      </c>
      <c r="DD295" s="3" t="n">
        <v>4.185</v>
      </c>
      <c r="DE295" s="3" t="n">
        <v>4.352399999999999</v>
      </c>
      <c r="DF295" s="3" t="n">
        <v>4.526496</v>
      </c>
      <c r="DG295" s="3" t="n">
        <v>4.707555839999999</v>
      </c>
      <c r="DH295" s="3" t="n">
        <v>4.8958580736</v>
      </c>
      <c r="DI295" s="3" t="n">
        <v>5.091692396544</v>
      </c>
      <c r="DJ295" s="3" t="n">
        <v>5.295360092405761</v>
      </c>
      <c r="DK295" s="3" t="n">
        <v>5.507174496101992</v>
      </c>
      <c r="DL295" s="3" t="n">
        <v>5.727461475946071</v>
      </c>
      <c r="DM295" s="3" t="n">
        <v>5.956559934983914</v>
      </c>
      <c r="DN295" s="3" t="n">
        <v>6.194822332383271</v>
      </c>
      <c r="DO295" s="3" t="n">
        <v>6.442615225678602</v>
      </c>
    </row>
    <row r="296">
      <c r="A296" s="19" t="inlineStr">
        <is>
          <t>mit.vat.cost.ind.nga</t>
        </is>
      </c>
      <c r="B296" s="3" t="inlineStr">
        <is>
          <t>mit</t>
        </is>
      </c>
      <c r="C296" s="19" t="inlineStr">
        <is>
          <t>mit.vat.cost.nga.ind</t>
        </is>
      </c>
      <c r="H296" s="3" t="inlineStr">
        <is>
          <t>Efficient price: potential VAT | Industry | Natural gas</t>
        </is>
      </c>
      <c r="I296" s="3" t="inlineStr">
        <is>
          <t>USD per price unit</t>
        </is>
      </c>
      <c r="K296" s="20" t="inlineStr">
        <is>
          <t>egy.mit.vat.cost.ind.nga.1</t>
        </is>
      </c>
      <c r="L296" s="3" t="n">
        <v>0</v>
      </c>
      <c r="M296" s="3" t="n">
        <v>0</v>
      </c>
      <c r="N296" s="3" t="n">
        <v>0</v>
      </c>
      <c r="O296" s="3" t="n">
        <v>0</v>
      </c>
      <c r="P296" s="3" t="n">
        <v>0</v>
      </c>
      <c r="Q296" s="3" t="n">
        <v>0</v>
      </c>
      <c r="R296" s="3" t="n">
        <v>0</v>
      </c>
      <c r="S296" s="3" t="n">
        <v>0</v>
      </c>
      <c r="T296" s="3" t="n">
        <v>0</v>
      </c>
      <c r="U296" s="3" t="n">
        <v>0</v>
      </c>
      <c r="V296" s="3" t="n">
        <v>0</v>
      </c>
      <c r="W296" s="3" t="n">
        <v>0</v>
      </c>
      <c r="X296" s="3" t="n">
        <v>0</v>
      </c>
      <c r="Y296" s="3" t="n">
        <v>0</v>
      </c>
      <c r="Z296" s="3" t="n">
        <v>0</v>
      </c>
      <c r="AA296" s="3" t="n">
        <v>0</v>
      </c>
      <c r="AB296" s="3" t="n">
        <v>0</v>
      </c>
      <c r="AC296" s="3" t="n">
        <v>0</v>
      </c>
      <c r="AD296" s="3" t="n">
        <v>0</v>
      </c>
      <c r="AE296" s="3" t="n">
        <v>0</v>
      </c>
      <c r="AG296" s="20" t="inlineStr">
        <is>
          <t>egy.mit.vat.cost.ind.nga.3</t>
        </is>
      </c>
      <c r="AH296" s="3" t="n">
        <v>0</v>
      </c>
      <c r="AI296" s="3" t="n">
        <v>0</v>
      </c>
      <c r="AJ296" s="3" t="n">
        <v>0</v>
      </c>
      <c r="AK296" s="3" t="n">
        <v>0</v>
      </c>
      <c r="AL296" s="3" t="n">
        <v>0</v>
      </c>
      <c r="AM296" s="3" t="n">
        <v>0</v>
      </c>
      <c r="AN296" s="3" t="n">
        <v>0</v>
      </c>
      <c r="AO296" s="3" t="n">
        <v>0</v>
      </c>
      <c r="AP296" s="3" t="n">
        <v>0</v>
      </c>
      <c r="AQ296" s="3" t="n">
        <v>0</v>
      </c>
      <c r="AR296" s="3" t="n">
        <v>0</v>
      </c>
      <c r="AS296" s="3" t="n">
        <v>0</v>
      </c>
      <c r="AT296" s="3" t="n">
        <v>0</v>
      </c>
      <c r="AU296" s="3" t="n">
        <v>0</v>
      </c>
      <c r="AV296" s="3" t="n">
        <v>0</v>
      </c>
      <c r="AW296" s="3" t="n">
        <v>0</v>
      </c>
      <c r="AX296" s="3" t="n">
        <v>0</v>
      </c>
      <c r="AY296" s="3" t="n">
        <v>0</v>
      </c>
      <c r="AZ296" s="3" t="n">
        <v>0</v>
      </c>
      <c r="BA296" s="3" t="n">
        <v>0</v>
      </c>
      <c r="BC296" s="20" t="inlineStr">
        <is>
          <t>egy.mit.vat.cost.ind.nga.4</t>
        </is>
      </c>
      <c r="BD296" s="3" t="n">
        <v>0</v>
      </c>
      <c r="BE296" s="3" t="n">
        <v>0</v>
      </c>
      <c r="BF296" s="3" t="n">
        <v>0</v>
      </c>
      <c r="BG296" s="3" t="n">
        <v>0</v>
      </c>
      <c r="BH296" s="3" t="n">
        <v>0</v>
      </c>
      <c r="BI296" s="3" t="n">
        <v>0</v>
      </c>
      <c r="BJ296" s="3" t="n">
        <v>0</v>
      </c>
      <c r="BK296" s="3" t="n">
        <v>0</v>
      </c>
      <c r="BL296" s="3" t="n">
        <v>0</v>
      </c>
      <c r="BM296" s="3" t="n">
        <v>0</v>
      </c>
      <c r="BN296" s="3" t="n">
        <v>0</v>
      </c>
      <c r="BO296" s="3" t="n">
        <v>0</v>
      </c>
      <c r="BP296" s="3" t="n">
        <v>0</v>
      </c>
      <c r="BQ296" s="3" t="n">
        <v>0</v>
      </c>
      <c r="BR296" s="3" t="n">
        <v>0</v>
      </c>
      <c r="BS296" s="3" t="n">
        <v>0</v>
      </c>
      <c r="BT296" s="3" t="n">
        <v>0</v>
      </c>
      <c r="BU296" s="3" t="n">
        <v>0</v>
      </c>
      <c r="BV296" s="3" t="n">
        <v>0</v>
      </c>
      <c r="BW296" s="3" t="n">
        <v>0</v>
      </c>
      <c r="BY296" s="20" t="inlineStr">
        <is>
          <t>egy.mit.vat.cost.ind.nga.5</t>
        </is>
      </c>
      <c r="BZ296" s="3" t="n">
        <v>0</v>
      </c>
      <c r="CA296" s="3" t="n">
        <v>0</v>
      </c>
      <c r="CB296" s="3" t="n">
        <v>0</v>
      </c>
      <c r="CC296" s="3" t="n">
        <v>0</v>
      </c>
      <c r="CD296" s="3" t="n">
        <v>0</v>
      </c>
      <c r="CE296" s="3" t="n">
        <v>0</v>
      </c>
      <c r="CF296" s="3" t="n">
        <v>0</v>
      </c>
      <c r="CG296" s="3" t="n">
        <v>0</v>
      </c>
      <c r="CH296" s="3" t="n">
        <v>0</v>
      </c>
      <c r="CI296" s="3" t="n">
        <v>0</v>
      </c>
      <c r="CJ296" s="3" t="n">
        <v>0</v>
      </c>
      <c r="CK296" s="3" t="n">
        <v>0</v>
      </c>
      <c r="CL296" s="3" t="n">
        <v>0</v>
      </c>
      <c r="CM296" s="3" t="n">
        <v>0</v>
      </c>
      <c r="CN296" s="3" t="n">
        <v>0</v>
      </c>
      <c r="CO296" s="3" t="n">
        <v>0</v>
      </c>
      <c r="CP296" s="3" t="n">
        <v>0</v>
      </c>
      <c r="CQ296" s="3" t="n">
        <v>0</v>
      </c>
      <c r="CR296" s="3" t="n">
        <v>0</v>
      </c>
      <c r="CS296" s="3" t="n">
        <v>0</v>
      </c>
      <c r="CU296" s="20" t="inlineStr">
        <is>
          <t>egy.mit.vat.cost.ind.nga.6</t>
        </is>
      </c>
      <c r="CV296" s="3" t="n">
        <v>0</v>
      </c>
      <c r="CW296" s="3" t="n">
        <v>0</v>
      </c>
      <c r="CX296" s="3" t="n">
        <v>0</v>
      </c>
      <c r="CY296" s="3" t="n">
        <v>0</v>
      </c>
      <c r="CZ296" s="3" t="n">
        <v>0</v>
      </c>
      <c r="DA296" s="3" t="n">
        <v>0</v>
      </c>
      <c r="DB296" s="3" t="n">
        <v>0</v>
      </c>
      <c r="DC296" s="3" t="n">
        <v>0</v>
      </c>
      <c r="DD296" s="3" t="n">
        <v>0</v>
      </c>
      <c r="DE296" s="3" t="n">
        <v>0</v>
      </c>
      <c r="DF296" s="3" t="n">
        <v>0</v>
      </c>
      <c r="DG296" s="3" t="n">
        <v>0</v>
      </c>
      <c r="DH296" s="3" t="n">
        <v>0</v>
      </c>
      <c r="DI296" s="3" t="n">
        <v>0</v>
      </c>
      <c r="DJ296" s="3" t="n">
        <v>0</v>
      </c>
      <c r="DK296" s="3" t="n">
        <v>0</v>
      </c>
      <c r="DL296" s="3" t="n">
        <v>0</v>
      </c>
      <c r="DM296" s="3" t="n">
        <v>0</v>
      </c>
      <c r="DN296" s="3" t="n">
        <v>0</v>
      </c>
      <c r="DO296" s="3" t="n">
        <v>0</v>
      </c>
    </row>
    <row r="297">
      <c r="A297" s="19" t="inlineStr">
        <is>
          <t>mit.rp.eff.ind.nga</t>
        </is>
      </c>
      <c r="B297" s="3" t="inlineStr">
        <is>
          <t>mit</t>
        </is>
      </c>
      <c r="C297" s="19" t="inlineStr">
        <is>
          <t>mit.rp.nga.ind</t>
        </is>
      </c>
      <c r="H297" s="3" t="inlineStr">
        <is>
          <t>Efficient price block: retail price of the scenario | Industry | Natural gas</t>
        </is>
      </c>
      <c r="I297" s="3" t="inlineStr">
        <is>
          <t>USD per price unit</t>
        </is>
      </c>
      <c r="K297" s="20" t="inlineStr">
        <is>
          <t>egy.mit.rp.eff.ind.nga.1</t>
        </is>
      </c>
      <c r="L297" s="3" t="n">
        <v>4.899794962971504</v>
      </c>
      <c r="M297" s="3" t="n">
        <v>5.118455079782481</v>
      </c>
      <c r="N297" s="3" t="n">
        <v>4.885007238406946</v>
      </c>
      <c r="O297" s="3" t="n">
        <v>4.885007238406946</v>
      </c>
      <c r="P297" s="3" t="n">
        <v>4.885007238406946</v>
      </c>
      <c r="Q297" s="3" t="n">
        <v>4.885007238406947</v>
      </c>
      <c r="R297" s="3" t="n">
        <v>4.885007238406946</v>
      </c>
      <c r="S297" s="3" t="n">
        <v>4.885007238406946</v>
      </c>
      <c r="T297" s="3" t="n">
        <v>4.885007238406946</v>
      </c>
      <c r="U297" s="3" t="n">
        <v>4.885007238406946</v>
      </c>
      <c r="V297" s="3" t="n">
        <v>4.885007238406946</v>
      </c>
      <c r="W297" s="3" t="n">
        <v>4.885007238406946</v>
      </c>
      <c r="X297" s="3" t="n">
        <v>4.885007238406946</v>
      </c>
      <c r="Y297" s="3" t="n">
        <v>4.885007238406946</v>
      </c>
      <c r="Z297" s="3" t="n">
        <v>4.885007238406946</v>
      </c>
      <c r="AA297" s="3" t="n">
        <v>4.885007238406945</v>
      </c>
      <c r="AB297" s="3" t="n">
        <v>4.885007238406946</v>
      </c>
      <c r="AC297" s="3" t="n">
        <v>4.885007238406947</v>
      </c>
      <c r="AD297" s="3" t="n">
        <v>4.885007238406946</v>
      </c>
      <c r="AE297" s="3" t="n">
        <v>4.885007238406947</v>
      </c>
      <c r="AG297" s="20" t="inlineStr">
        <is>
          <t>egy.mit.rp.eff.ind.nga.3</t>
        </is>
      </c>
      <c r="AH297" s="3" t="n">
        <v>4.899794962971504</v>
      </c>
      <c r="AI297" s="3" t="n">
        <v>5.118455079782481</v>
      </c>
      <c r="AJ297" s="3" t="n">
        <v>4.885007238406946</v>
      </c>
      <c r="AK297" s="3" t="n">
        <v>4.885007238406946</v>
      </c>
      <c r="AL297" s="3" t="n">
        <v>4.885007238406946</v>
      </c>
      <c r="AM297" s="3" t="n">
        <v>5.99603036160789</v>
      </c>
      <c r="AN297" s="3" t="n">
        <v>5.99603036160789</v>
      </c>
      <c r="AO297" s="3" t="n">
        <v>5.99603036160789</v>
      </c>
      <c r="AP297" s="3" t="n">
        <v>5.99603036160789</v>
      </c>
      <c r="AQ297" s="3" t="n">
        <v>5.99603036160789</v>
      </c>
      <c r="AR297" s="3" t="n">
        <v>5.996030361607889</v>
      </c>
      <c r="AS297" s="3" t="n">
        <v>5.99603036160789</v>
      </c>
      <c r="AT297" s="3" t="n">
        <v>5.996030361607889</v>
      </c>
      <c r="AU297" s="3" t="n">
        <v>5.99603036160789</v>
      </c>
      <c r="AV297" s="3" t="n">
        <v>5.99603036160789</v>
      </c>
      <c r="AW297" s="3" t="n">
        <v>5.99603036160789</v>
      </c>
      <c r="AX297" s="3" t="n">
        <v>5.99603036160789</v>
      </c>
      <c r="AY297" s="3" t="n">
        <v>5.99603036160789</v>
      </c>
      <c r="AZ297" s="3" t="n">
        <v>5.99603036160789</v>
      </c>
      <c r="BA297" s="3" t="n">
        <v>5.99603036160789</v>
      </c>
      <c r="BC297" s="20" t="inlineStr">
        <is>
          <t>egy.mit.rp.eff.ind.nga.4</t>
        </is>
      </c>
      <c r="BD297" s="3" t="n">
        <v>4.899794962971504</v>
      </c>
      <c r="BE297" s="3" t="n">
        <v>5.118455079782481</v>
      </c>
      <c r="BF297" s="3" t="n">
        <v>4.885007238406946</v>
      </c>
      <c r="BG297" s="3" t="n">
        <v>4.885007238406946</v>
      </c>
      <c r="BH297" s="3" t="n">
        <v>4.885007238406946</v>
      </c>
      <c r="BI297" s="3" t="n">
        <v>5.440518800007418</v>
      </c>
      <c r="BJ297" s="3" t="n">
        <v>6.181200882141381</v>
      </c>
      <c r="BK297" s="3" t="n">
        <v>6.921882964275342</v>
      </c>
      <c r="BL297" s="3" t="n">
        <v>7.662565046409306</v>
      </c>
      <c r="BM297" s="3" t="n">
        <v>8.403247128543269</v>
      </c>
      <c r="BN297" s="3" t="n">
        <v>9.143929210677232</v>
      </c>
      <c r="BO297" s="3" t="n">
        <v>9.884611292811194</v>
      </c>
      <c r="BP297" s="3" t="n">
        <v>10.62529337494516</v>
      </c>
      <c r="BQ297" s="3" t="n">
        <v>11.36597545707912</v>
      </c>
      <c r="BR297" s="3" t="n">
        <v>12.10665753921308</v>
      </c>
      <c r="BS297" s="3" t="n">
        <v>12.84733962134704</v>
      </c>
      <c r="BT297" s="3" t="n">
        <v>13.58802170348101</v>
      </c>
      <c r="BU297" s="3" t="n">
        <v>14.32870378561497</v>
      </c>
      <c r="BV297" s="3" t="n">
        <v>15.06938586774893</v>
      </c>
      <c r="BW297" s="3" t="n">
        <v>15.8100679498829</v>
      </c>
      <c r="BY297" s="20" t="inlineStr">
        <is>
          <t>egy.mit.rp.eff.ind.nga.5</t>
        </is>
      </c>
      <c r="BZ297" s="3" t="n">
        <v>4.899794962971504</v>
      </c>
      <c r="CA297" s="3" t="n">
        <v>5.118455079782481</v>
      </c>
      <c r="CB297" s="3" t="n">
        <v>4.885007238406946</v>
      </c>
      <c r="CC297" s="3" t="n">
        <v>4.885007238406946</v>
      </c>
      <c r="CD297" s="3" t="n">
        <v>4.885007238406946</v>
      </c>
      <c r="CE297" s="3" t="n">
        <v>5.836395405568577</v>
      </c>
      <c r="CF297" s="3" t="n">
        <v>5.843820423683842</v>
      </c>
      <c r="CG297" s="3" t="n">
        <v>5.850637259096303</v>
      </c>
      <c r="CH297" s="3" t="n">
        <v>5.85691259349021</v>
      </c>
      <c r="CI297" s="3" t="n">
        <v>5.862642373030317</v>
      </c>
      <c r="CJ297" s="3" t="n">
        <v>5.867968655525083</v>
      </c>
      <c r="CK297" s="3" t="n">
        <v>5.87306259502222</v>
      </c>
      <c r="CL297" s="3" t="n">
        <v>5.877844842844239</v>
      </c>
      <c r="CM297" s="3" t="n">
        <v>5.882392011640539</v>
      </c>
      <c r="CN297" s="3" t="n">
        <v>5.884478644809802</v>
      </c>
      <c r="CO297" s="3" t="n">
        <v>5.886556316895933</v>
      </c>
      <c r="CP297" s="3" t="n">
        <v>5.888601962406106</v>
      </c>
      <c r="CQ297" s="3" t="n">
        <v>5.890617945785959</v>
      </c>
      <c r="CR297" s="3" t="n">
        <v>5.892617026043403</v>
      </c>
      <c r="CS297" s="3" t="n">
        <v>5.894601007452233</v>
      </c>
      <c r="CU297" s="20" t="inlineStr">
        <is>
          <t>egy.mit.rp.eff.ind.nga.6</t>
        </is>
      </c>
      <c r="CV297" s="3" t="n">
        <v>4.899794962971504</v>
      </c>
      <c r="CW297" s="3" t="n">
        <v>5.118455079782481</v>
      </c>
      <c r="CX297" s="3" t="n">
        <v>4.885007238406946</v>
      </c>
      <c r="CY297" s="3" t="n">
        <v>4.885007238406946</v>
      </c>
      <c r="CZ297" s="3" t="n">
        <v>4.885007238406946</v>
      </c>
      <c r="DA297" s="3" t="n">
        <v>7.662565046409306</v>
      </c>
      <c r="DB297" s="3" t="n">
        <v>7.662565046409306</v>
      </c>
      <c r="DC297" s="3" t="n">
        <v>7.662565046409306</v>
      </c>
      <c r="DD297" s="3" t="n">
        <v>7.662565046409306</v>
      </c>
      <c r="DE297" s="3" t="n">
        <v>7.662565046409305</v>
      </c>
      <c r="DF297" s="3" t="n">
        <v>7.662565046409305</v>
      </c>
      <c r="DG297" s="3" t="n">
        <v>7.662565046409306</v>
      </c>
      <c r="DH297" s="3" t="n">
        <v>7.662565046409306</v>
      </c>
      <c r="DI297" s="3" t="n">
        <v>7.662565046409305</v>
      </c>
      <c r="DJ297" s="3" t="n">
        <v>7.662565046409306</v>
      </c>
      <c r="DK297" s="3" t="n">
        <v>7.662565046409306</v>
      </c>
      <c r="DL297" s="3" t="n">
        <v>7.662565046409306</v>
      </c>
      <c r="DM297" s="3" t="n">
        <v>7.662565046409305</v>
      </c>
      <c r="DN297" s="3" t="n">
        <v>7.662565046409305</v>
      </c>
      <c r="DO297" s="3" t="n">
        <v>7.662565046409306</v>
      </c>
    </row>
    <row r="298">
      <c r="A298" s="19" t="inlineStr">
        <is>
          <t>mit.tgap.ind.nga</t>
        </is>
      </c>
      <c r="B298" s="3" t="inlineStr">
        <is>
          <t>mit</t>
        </is>
      </c>
      <c r="C298" s="19" t="inlineStr">
        <is>
          <t>mit.tgap.nga.ind</t>
        </is>
      </c>
      <c r="H298" s="3" t="inlineStr">
        <is>
          <t>Tax gap: retail price - efficient price | Industry | Natural gas</t>
        </is>
      </c>
      <c r="I298" s="3" t="inlineStr">
        <is>
          <t>USD per price unit</t>
        </is>
      </c>
      <c r="K298" s="20" t="inlineStr">
        <is>
          <t>egy.mit.tgap.ind.nga.1</t>
        </is>
      </c>
      <c r="L298" s="3" t="n">
        <v>-10.34380690355154</v>
      </c>
      <c r="M298" s="3" t="n">
        <v>-8.518945918895277</v>
      </c>
      <c r="N298" s="3" t="n">
        <v>-8.035470541428982</v>
      </c>
      <c r="O298" s="3" t="n">
        <v>-8.088614998008108</v>
      </c>
      <c r="P298" s="3" t="n">
        <v>-8.189352283018623</v>
      </c>
      <c r="Q298" s="3" t="n">
        <v>-8.405036579398754</v>
      </c>
      <c r="R298" s="3" t="n">
        <v>-8.647227019649488</v>
      </c>
      <c r="S298" s="3" t="n">
        <v>-8.844071676849119</v>
      </c>
      <c r="T298" s="3" t="n">
        <v>-9.026134330863002</v>
      </c>
      <c r="U298" s="3" t="n">
        <v>-9.202349180503697</v>
      </c>
      <c r="V298" s="3" t="n">
        <v>-9.385213675316642</v>
      </c>
      <c r="W298" s="3" t="n">
        <v>-9.575324182280262</v>
      </c>
      <c r="X298" s="3" t="n">
        <v>-9.772957169110892</v>
      </c>
      <c r="Y298" s="3" t="n">
        <v>-9.978408586186777</v>
      </c>
      <c r="Z298" s="3" t="n">
        <v>-10.19197346093904</v>
      </c>
      <c r="AA298" s="3" t="n">
        <v>-10.41397902836184</v>
      </c>
      <c r="AB298" s="3" t="n">
        <v>-10.64473030476226</v>
      </c>
      <c r="AC298" s="3" t="n">
        <v>-10.88456063213567</v>
      </c>
      <c r="AD298" s="3" t="n">
        <v>-11.1338155185402</v>
      </c>
      <c r="AE298" s="3" t="n">
        <v>-11.38160814718478</v>
      </c>
      <c r="AG298" s="20" t="inlineStr">
        <is>
          <t>egy.mit.tgap.ind.nga.3</t>
        </is>
      </c>
      <c r="AH298" s="3" t="n">
        <v>-10.34380690355154</v>
      </c>
      <c r="AI298" s="3" t="n">
        <v>-8.518945918895277</v>
      </c>
      <c r="AJ298" s="3" t="n">
        <v>-8.035470541428982</v>
      </c>
      <c r="AK298" s="3" t="n">
        <v>-8.088614998008108</v>
      </c>
      <c r="AL298" s="3" t="n">
        <v>-8.189352283018623</v>
      </c>
      <c r="AM298" s="3" t="n">
        <v>-7.294013456197812</v>
      </c>
      <c r="AN298" s="3" t="n">
        <v>-7.536203896448543</v>
      </c>
      <c r="AO298" s="3" t="n">
        <v>-7.733048553648175</v>
      </c>
      <c r="AP298" s="3" t="n">
        <v>-7.915111207662058</v>
      </c>
      <c r="AQ298" s="3" t="n">
        <v>-8.091326057302753</v>
      </c>
      <c r="AR298" s="3" t="n">
        <v>-8.274190552115698</v>
      </c>
      <c r="AS298" s="3" t="n">
        <v>-8.464301059079318</v>
      </c>
      <c r="AT298" s="3" t="n">
        <v>-8.661934045909948</v>
      </c>
      <c r="AU298" s="3" t="n">
        <v>-8.867385462985833</v>
      </c>
      <c r="AV298" s="3" t="n">
        <v>-9.0809503377381</v>
      </c>
      <c r="AW298" s="3" t="n">
        <v>-9.302955905160895</v>
      </c>
      <c r="AX298" s="3" t="n">
        <v>-9.533707181561319</v>
      </c>
      <c r="AY298" s="3" t="n">
        <v>-9.773537508934732</v>
      </c>
      <c r="AZ298" s="3" t="n">
        <v>-10.02279239533925</v>
      </c>
      <c r="BA298" s="3" t="n">
        <v>-10.27058502398384</v>
      </c>
      <c r="BC298" s="20" t="inlineStr">
        <is>
          <t>egy.mit.tgap.ind.nga.4</t>
        </is>
      </c>
      <c r="BD298" s="3" t="n">
        <v>-10.34380690355154</v>
      </c>
      <c r="BE298" s="3" t="n">
        <v>-8.518945918895277</v>
      </c>
      <c r="BF298" s="3" t="n">
        <v>-8.035470541428982</v>
      </c>
      <c r="BG298" s="3" t="n">
        <v>-8.088614998008108</v>
      </c>
      <c r="BH298" s="3" t="n">
        <v>-8.189352283018623</v>
      </c>
      <c r="BI298" s="3" t="n">
        <v>-7.849525017798284</v>
      </c>
      <c r="BJ298" s="3" t="n">
        <v>-7.351033375915053</v>
      </c>
      <c r="BK298" s="3" t="n">
        <v>-6.807195950980722</v>
      </c>
      <c r="BL298" s="3" t="n">
        <v>-6.248576522860642</v>
      </c>
      <c r="BM298" s="3" t="n">
        <v>-5.684109290367374</v>
      </c>
      <c r="BN298" s="3" t="n">
        <v>-5.126291703046356</v>
      </c>
      <c r="BO298" s="3" t="n">
        <v>-4.575720127876014</v>
      </c>
      <c r="BP298" s="3" t="n">
        <v>-4.032671032572681</v>
      </c>
      <c r="BQ298" s="3" t="n">
        <v>-3.497440367514603</v>
      </c>
      <c r="BR298" s="3" t="n">
        <v>-2.970323160132908</v>
      </c>
      <c r="BS298" s="3" t="n">
        <v>-2.451646645421739</v>
      </c>
      <c r="BT298" s="3" t="n">
        <v>-1.941715839688202</v>
      </c>
      <c r="BU298" s="3" t="n">
        <v>-1.440864084927652</v>
      </c>
      <c r="BV298" s="3" t="n">
        <v>-0.9494368891982088</v>
      </c>
      <c r="BW298" s="3" t="n">
        <v>-0.4565474357088313</v>
      </c>
      <c r="BY298" s="20" t="inlineStr">
        <is>
          <t>egy.mit.tgap.ind.nga.5</t>
        </is>
      </c>
      <c r="BZ298" s="3" t="n">
        <v>-10.34380690355154</v>
      </c>
      <c r="CA298" s="3" t="n">
        <v>-8.518945918895277</v>
      </c>
      <c r="CB298" s="3" t="n">
        <v>-8.035470541428982</v>
      </c>
      <c r="CC298" s="3" t="n">
        <v>-8.088614998008108</v>
      </c>
      <c r="CD298" s="3" t="n">
        <v>-8.189352283018623</v>
      </c>
      <c r="CE298" s="3" t="n">
        <v>-7.453648410020826</v>
      </c>
      <c r="CF298" s="3" t="n">
        <v>-7.688413832143095</v>
      </c>
      <c r="CG298" s="3" t="n">
        <v>-7.878441654131795</v>
      </c>
      <c r="CH298" s="3" t="n">
        <v>-8.054228974180674</v>
      </c>
      <c r="CI298" s="3" t="n">
        <v>-8.224714044965102</v>
      </c>
      <c r="CJ298" s="3" t="n">
        <v>-8.402252258131041</v>
      </c>
      <c r="CK298" s="3" t="n">
        <v>-8.587268826675199</v>
      </c>
      <c r="CL298" s="3" t="n">
        <v>-8.780119566980989</v>
      </c>
      <c r="CM298" s="3" t="n">
        <v>-8.98102381679864</v>
      </c>
      <c r="CN298" s="3" t="n">
        <v>-9.192502059484287</v>
      </c>
      <c r="CO298" s="3" t="n">
        <v>-9.412429956095949</v>
      </c>
      <c r="CP298" s="3" t="n">
        <v>-9.641135588437811</v>
      </c>
      <c r="CQ298" s="3" t="n">
        <v>-9.87894993407145</v>
      </c>
      <c r="CR298" s="3" t="n">
        <v>-10.12620574206409</v>
      </c>
      <c r="CS298" s="3" t="n">
        <v>-10.37201439088222</v>
      </c>
      <c r="CU298" s="20" t="inlineStr">
        <is>
          <t>egy.mit.tgap.ind.nga.6</t>
        </is>
      </c>
      <c r="CV298" s="3" t="n">
        <v>-10.34380690355154</v>
      </c>
      <c r="CW298" s="3" t="n">
        <v>-8.518945918895277</v>
      </c>
      <c r="CX298" s="3" t="n">
        <v>-8.035470541428982</v>
      </c>
      <c r="CY298" s="3" t="n">
        <v>-8.088614998008108</v>
      </c>
      <c r="CZ298" s="3" t="n">
        <v>-8.189352283018623</v>
      </c>
      <c r="DA298" s="3" t="n">
        <v>-5.627478771396395</v>
      </c>
      <c r="DB298" s="3" t="n">
        <v>-5.869669211647128</v>
      </c>
      <c r="DC298" s="3" t="n">
        <v>-6.066513868846758</v>
      </c>
      <c r="DD298" s="3" t="n">
        <v>-6.248576522860642</v>
      </c>
      <c r="DE298" s="3" t="n">
        <v>-6.424791372501338</v>
      </c>
      <c r="DF298" s="3" t="n">
        <v>-6.607655867314283</v>
      </c>
      <c r="DG298" s="3" t="n">
        <v>-6.797766374277901</v>
      </c>
      <c r="DH298" s="3" t="n">
        <v>-6.995399361108531</v>
      </c>
      <c r="DI298" s="3" t="n">
        <v>-7.200850778184418</v>
      </c>
      <c r="DJ298" s="3" t="n">
        <v>-7.414415652936684</v>
      </c>
      <c r="DK298" s="3" t="n">
        <v>-7.636421220359479</v>
      </c>
      <c r="DL298" s="3" t="n">
        <v>-7.867172496759902</v>
      </c>
      <c r="DM298" s="3" t="n">
        <v>-8.107002824133318</v>
      </c>
      <c r="DN298" s="3" t="n">
        <v>-8.356257710537836</v>
      </c>
      <c r="DO298" s="3" t="n">
        <v>-8.604050339182422</v>
      </c>
    </row>
    <row r="299">
      <c r="A299" s="19" t="inlineStr">
        <is>
          <t>mit.txo.ind.nga</t>
        </is>
      </c>
      <c r="B299" s="3" t="inlineStr">
        <is>
          <t>mit</t>
        </is>
      </c>
      <c r="C299" s="19" t="inlineStr">
        <is>
          <t>mit.txo.ind.nga.a</t>
        </is>
      </c>
      <c r="H299" s="3" t="inlineStr">
        <is>
          <t>Excise and other taxes (before new policies) | Industry | Natural gas</t>
        </is>
      </c>
      <c r="I299" s="3" t="inlineStr">
        <is>
          <t>USD/GJ real</t>
        </is>
      </c>
      <c r="K299" s="20" t="inlineStr">
        <is>
          <t>egy.mit.txo.ind.nga.1</t>
        </is>
      </c>
      <c r="L299" s="3" t="n">
        <v>-7.083825529503021</v>
      </c>
      <c r="M299" s="3" t="n">
        <v>-5.136647184524927</v>
      </c>
      <c r="N299" s="3" t="n">
        <v>-4.535959335007727</v>
      </c>
      <c r="O299" s="3" t="n">
        <v>-4.512378627572591</v>
      </c>
      <c r="P299" s="3" t="n">
        <v>-4.456367825327867</v>
      </c>
      <c r="Q299" s="3" t="n">
        <v>-4.523078632018841</v>
      </c>
      <c r="R299" s="3" t="n">
        <v>-4.601552895936644</v>
      </c>
      <c r="S299" s="3" t="n">
        <v>-4.629506440491788</v>
      </c>
      <c r="T299" s="3" t="n">
        <v>-4.637436610958613</v>
      </c>
      <c r="U299" s="3" t="n">
        <v>-4.641930547194249</v>
      </c>
      <c r="V299" s="3" t="n">
        <v>-4.641930547194249</v>
      </c>
      <c r="W299" s="3" t="n">
        <v>-4.641930547194249</v>
      </c>
      <c r="X299" s="3" t="n">
        <v>-4.641930547194249</v>
      </c>
      <c r="Y299" s="3" t="n">
        <v>-4.641930547194249</v>
      </c>
      <c r="Z299" s="3" t="n">
        <v>-4.641930547194249</v>
      </c>
      <c r="AA299" s="3" t="n">
        <v>-4.641930547194249</v>
      </c>
      <c r="AB299" s="3" t="n">
        <v>-4.641930547194249</v>
      </c>
      <c r="AC299" s="3" t="n">
        <v>-4.641930547194249</v>
      </c>
      <c r="AD299" s="3" t="n">
        <v>-4.641930547194249</v>
      </c>
      <c r="AE299" s="3" t="n">
        <v>-4.641930547194249</v>
      </c>
      <c r="AG299" s="20" t="inlineStr">
        <is>
          <t>egy.mit.txo.ind.nga.3</t>
        </is>
      </c>
      <c r="AH299" s="3" t="n">
        <v>-7.083825529503021</v>
      </c>
      <c r="AI299" s="3" t="n">
        <v>-5.136647184524927</v>
      </c>
      <c r="AJ299" s="3" t="n">
        <v>-4.535959335007727</v>
      </c>
      <c r="AK299" s="3" t="n">
        <v>-4.512378627572591</v>
      </c>
      <c r="AL299" s="3" t="n">
        <v>-4.456367825327867</v>
      </c>
      <c r="AM299" s="3" t="n">
        <v>-4.523078632018841</v>
      </c>
      <c r="AN299" s="3" t="n">
        <v>-4.601552895936644</v>
      </c>
      <c r="AO299" s="3" t="n">
        <v>-4.629506440491788</v>
      </c>
      <c r="AP299" s="3" t="n">
        <v>-4.637436610958613</v>
      </c>
      <c r="AQ299" s="3" t="n">
        <v>-4.641930547194249</v>
      </c>
      <c r="AR299" s="3" t="n">
        <v>-4.641930547194249</v>
      </c>
      <c r="AS299" s="3" t="n">
        <v>-4.641930547194249</v>
      </c>
      <c r="AT299" s="3" t="n">
        <v>-4.641930547194249</v>
      </c>
      <c r="AU299" s="3" t="n">
        <v>-4.641930547194249</v>
      </c>
      <c r="AV299" s="3" t="n">
        <v>-4.641930547194249</v>
      </c>
      <c r="AW299" s="3" t="n">
        <v>-4.641930547194249</v>
      </c>
      <c r="AX299" s="3" t="n">
        <v>-4.641930547194249</v>
      </c>
      <c r="AY299" s="3" t="n">
        <v>-4.641930547194249</v>
      </c>
      <c r="AZ299" s="3" t="n">
        <v>-4.641930547194249</v>
      </c>
      <c r="BA299" s="3" t="n">
        <v>-4.641930547194249</v>
      </c>
      <c r="BC299" s="20" t="inlineStr">
        <is>
          <t>egy.mit.txo.ind.nga.4</t>
        </is>
      </c>
      <c r="BD299" s="3" t="n">
        <v>-7.083825529503021</v>
      </c>
      <c r="BE299" s="3" t="n">
        <v>-5.136647184524927</v>
      </c>
      <c r="BF299" s="3" t="n">
        <v>-4.535959335007727</v>
      </c>
      <c r="BG299" s="3" t="n">
        <v>-4.512378627572591</v>
      </c>
      <c r="BH299" s="3" t="n">
        <v>-4.456367825327867</v>
      </c>
      <c r="BI299" s="3" t="n">
        <v>-4.523078632018841</v>
      </c>
      <c r="BJ299" s="3" t="n">
        <v>-4.601552895936644</v>
      </c>
      <c r="BK299" s="3" t="n">
        <v>-4.629506440491788</v>
      </c>
      <c r="BL299" s="3" t="n">
        <v>-4.637436610958613</v>
      </c>
      <c r="BM299" s="3" t="n">
        <v>-4.641930547194249</v>
      </c>
      <c r="BN299" s="3" t="n">
        <v>-4.641930547194249</v>
      </c>
      <c r="BO299" s="3" t="n">
        <v>-4.641930547194249</v>
      </c>
      <c r="BP299" s="3" t="n">
        <v>-4.641930547194249</v>
      </c>
      <c r="BQ299" s="3" t="n">
        <v>-4.641930547194249</v>
      </c>
      <c r="BR299" s="3" t="n">
        <v>-4.641930547194249</v>
      </c>
      <c r="BS299" s="3" t="n">
        <v>-4.641930547194249</v>
      </c>
      <c r="BT299" s="3" t="n">
        <v>-4.641930547194249</v>
      </c>
      <c r="BU299" s="3" t="n">
        <v>-4.641930547194249</v>
      </c>
      <c r="BV299" s="3" t="n">
        <v>-4.641930547194249</v>
      </c>
      <c r="BW299" s="3" t="n">
        <v>-4.641930547194249</v>
      </c>
      <c r="BY299" s="20" t="inlineStr">
        <is>
          <t>egy.mit.txo.ind.nga.5</t>
        </is>
      </c>
      <c r="BZ299" s="3" t="n">
        <v>-7.083825529503021</v>
      </c>
      <c r="CA299" s="3" t="n">
        <v>-5.136647184524927</v>
      </c>
      <c r="CB299" s="3" t="n">
        <v>-4.535959335007727</v>
      </c>
      <c r="CC299" s="3" t="n">
        <v>-4.512378627572591</v>
      </c>
      <c r="CD299" s="3" t="n">
        <v>-4.456367825327867</v>
      </c>
      <c r="CE299" s="3" t="n">
        <v>-4.523078632018841</v>
      </c>
      <c r="CF299" s="3" t="n">
        <v>-4.601552895936644</v>
      </c>
      <c r="CG299" s="3" t="n">
        <v>-4.629506440491788</v>
      </c>
      <c r="CH299" s="3" t="n">
        <v>-4.637436610958613</v>
      </c>
      <c r="CI299" s="3" t="n">
        <v>-4.641930547194249</v>
      </c>
      <c r="CJ299" s="3" t="n">
        <v>-4.641930547194249</v>
      </c>
      <c r="CK299" s="3" t="n">
        <v>-4.641930547194249</v>
      </c>
      <c r="CL299" s="3" t="n">
        <v>-4.641930547194249</v>
      </c>
      <c r="CM299" s="3" t="n">
        <v>-4.641930547194249</v>
      </c>
      <c r="CN299" s="3" t="n">
        <v>-4.641930547194249</v>
      </c>
      <c r="CO299" s="3" t="n">
        <v>-4.641930547194249</v>
      </c>
      <c r="CP299" s="3" t="n">
        <v>-4.641930547194249</v>
      </c>
      <c r="CQ299" s="3" t="n">
        <v>-4.641930547194249</v>
      </c>
      <c r="CR299" s="3" t="n">
        <v>-4.641930547194249</v>
      </c>
      <c r="CS299" s="3" t="n">
        <v>-4.641930547194249</v>
      </c>
      <c r="CU299" s="20" t="inlineStr">
        <is>
          <t>egy.mit.txo.ind.nga.6</t>
        </is>
      </c>
      <c r="CV299" s="3" t="n">
        <v>-7.083825529503021</v>
      </c>
      <c r="CW299" s="3" t="n">
        <v>-5.136647184524927</v>
      </c>
      <c r="CX299" s="3" t="n">
        <v>-4.535959335007727</v>
      </c>
      <c r="CY299" s="3" t="n">
        <v>-4.512378627572591</v>
      </c>
      <c r="CZ299" s="3" t="n">
        <v>-4.456367825327867</v>
      </c>
      <c r="DA299" s="3" t="n">
        <v>-4.523078632018841</v>
      </c>
      <c r="DB299" s="3" t="n">
        <v>-4.601552895936644</v>
      </c>
      <c r="DC299" s="3" t="n">
        <v>-4.629506440491788</v>
      </c>
      <c r="DD299" s="3" t="n">
        <v>-4.637436610958613</v>
      </c>
      <c r="DE299" s="3" t="n">
        <v>-4.641930547194249</v>
      </c>
      <c r="DF299" s="3" t="n">
        <v>-4.641930547194249</v>
      </c>
      <c r="DG299" s="3" t="n">
        <v>-4.641930547194249</v>
      </c>
      <c r="DH299" s="3" t="n">
        <v>-4.641930547194249</v>
      </c>
      <c r="DI299" s="3" t="n">
        <v>-4.641930547194249</v>
      </c>
      <c r="DJ299" s="3" t="n">
        <v>-4.641930547194249</v>
      </c>
      <c r="DK299" s="3" t="n">
        <v>-4.641930547194249</v>
      </c>
      <c r="DL299" s="3" t="n">
        <v>-4.641930547194249</v>
      </c>
      <c r="DM299" s="3" t="n">
        <v>-4.641930547194249</v>
      </c>
      <c r="DN299" s="3" t="n">
        <v>-4.641930547194249</v>
      </c>
      <c r="DO299" s="3" t="n">
        <v>-4.641930547194249</v>
      </c>
    </row>
    <row r="300">
      <c r="A300" s="19" t="inlineStr">
        <is>
          <t>mit.txo.co2e.ind.nga</t>
        </is>
      </c>
      <c r="B300" s="3" t="inlineStr">
        <is>
          <t>mit</t>
        </is>
      </c>
      <c r="C300" s="19" t="inlineStr">
        <is>
          <t>mit.txo.co2e.nga.ind</t>
        </is>
      </c>
      <c r="H300" s="3" t="inlineStr">
        <is>
          <t>Excise and other taxes of scenario 1 per tonne of CO2 | Industry | Natural gas</t>
        </is>
      </c>
      <c r="I300" s="3" t="inlineStr">
        <is>
          <t>USD/tCO2</t>
        </is>
      </c>
      <c r="K300" s="20" t="inlineStr">
        <is>
          <t>egy.mit.txo.co2e.ind.nga.1</t>
        </is>
      </c>
      <c r="L300" s="3" t="n">
        <v>-126.9502783065058</v>
      </c>
      <c r="M300" s="3" t="n">
        <v>-92.05460904166537</v>
      </c>
      <c r="N300" s="3" t="n">
        <v>-81.28959381734278</v>
      </c>
      <c r="O300" s="3" t="n">
        <v>-80.86700049413247</v>
      </c>
      <c r="P300" s="3" t="n">
        <v>-79.86322267612665</v>
      </c>
      <c r="Q300" s="3" t="n">
        <v>-81.05875684621579</v>
      </c>
      <c r="R300" s="3" t="n">
        <v>-82.46510566194704</v>
      </c>
      <c r="S300" s="3" t="n">
        <v>-82.96606524178833</v>
      </c>
      <c r="T300" s="3" t="n">
        <v>-83.10818299208984</v>
      </c>
      <c r="U300" s="3" t="n">
        <v>-83.18871948376793</v>
      </c>
      <c r="V300" s="3" t="n">
        <v>-83.18871948376791</v>
      </c>
      <c r="W300" s="3" t="n">
        <v>-83.18871948376793</v>
      </c>
      <c r="X300" s="3" t="n">
        <v>-83.18871948376791</v>
      </c>
      <c r="Y300" s="3" t="n">
        <v>-83.18871948376791</v>
      </c>
      <c r="Z300" s="3" t="n">
        <v>-83.18871948376791</v>
      </c>
      <c r="AA300" s="3" t="n">
        <v>-83.18871948376791</v>
      </c>
      <c r="AB300" s="3" t="n">
        <v>-83.18871948376791</v>
      </c>
      <c r="AC300" s="3" t="n">
        <v>-83.18871948376791</v>
      </c>
      <c r="AD300" s="3" t="n">
        <v>-83.18871948376791</v>
      </c>
      <c r="AE300" s="3" t="n">
        <v>-83.18871948376791</v>
      </c>
      <c r="AG300" s="20" t="inlineStr">
        <is>
          <t>egy.mit.txo.co2e.ind.nga.3</t>
        </is>
      </c>
      <c r="AH300" s="3" t="n">
        <v>-126.9502783065058</v>
      </c>
      <c r="AI300" s="3" t="n">
        <v>-92.05460904166537</v>
      </c>
      <c r="AJ300" s="3" t="n">
        <v>-81.28959381734278</v>
      </c>
      <c r="AK300" s="3" t="n">
        <v>-80.86700049413247</v>
      </c>
      <c r="AL300" s="3" t="n">
        <v>-79.86322267612665</v>
      </c>
      <c r="AM300" s="3" t="n">
        <v>-81.05875684621579</v>
      </c>
      <c r="AN300" s="3" t="n">
        <v>-82.46510566194704</v>
      </c>
      <c r="AO300" s="3" t="n">
        <v>-82.96606524178833</v>
      </c>
      <c r="AP300" s="3" t="n">
        <v>-83.10818299208984</v>
      </c>
      <c r="AQ300" s="3" t="n">
        <v>-83.18871948376793</v>
      </c>
      <c r="AR300" s="3" t="n">
        <v>-83.18871948376791</v>
      </c>
      <c r="AS300" s="3" t="n">
        <v>-83.18871948376793</v>
      </c>
      <c r="AT300" s="3" t="n">
        <v>-83.18871948376791</v>
      </c>
      <c r="AU300" s="3" t="n">
        <v>-83.18871948376791</v>
      </c>
      <c r="AV300" s="3" t="n">
        <v>-83.18871948376791</v>
      </c>
      <c r="AW300" s="3" t="n">
        <v>-83.18871948376791</v>
      </c>
      <c r="AX300" s="3" t="n">
        <v>-83.18871948376791</v>
      </c>
      <c r="AY300" s="3" t="n">
        <v>-83.18871948376791</v>
      </c>
      <c r="AZ300" s="3" t="n">
        <v>-83.18871948376791</v>
      </c>
      <c r="BA300" s="3" t="n">
        <v>-83.18871948376791</v>
      </c>
      <c r="BC300" s="20" t="inlineStr">
        <is>
          <t>egy.mit.txo.co2e.ind.nga.4</t>
        </is>
      </c>
      <c r="BD300" s="3" t="n">
        <v>-126.9502783065058</v>
      </c>
      <c r="BE300" s="3" t="n">
        <v>-92.05460904166537</v>
      </c>
      <c r="BF300" s="3" t="n">
        <v>-81.28959381734278</v>
      </c>
      <c r="BG300" s="3" t="n">
        <v>-80.86700049413247</v>
      </c>
      <c r="BH300" s="3" t="n">
        <v>-79.86322267612665</v>
      </c>
      <c r="BI300" s="3" t="n">
        <v>-81.05875684621579</v>
      </c>
      <c r="BJ300" s="3" t="n">
        <v>-82.46510566194704</v>
      </c>
      <c r="BK300" s="3" t="n">
        <v>-82.96606524178833</v>
      </c>
      <c r="BL300" s="3" t="n">
        <v>-83.10818299208984</v>
      </c>
      <c r="BM300" s="3" t="n">
        <v>-83.18871948376793</v>
      </c>
      <c r="BN300" s="3" t="n">
        <v>-83.18871948376791</v>
      </c>
      <c r="BO300" s="3" t="n">
        <v>-83.18871948376793</v>
      </c>
      <c r="BP300" s="3" t="n">
        <v>-83.18871948376791</v>
      </c>
      <c r="BQ300" s="3" t="n">
        <v>-83.18871948376791</v>
      </c>
      <c r="BR300" s="3" t="n">
        <v>-83.18871948376791</v>
      </c>
      <c r="BS300" s="3" t="n">
        <v>-83.18871948376791</v>
      </c>
      <c r="BT300" s="3" t="n">
        <v>-83.18871948376791</v>
      </c>
      <c r="BU300" s="3" t="n">
        <v>-83.18871948376791</v>
      </c>
      <c r="BV300" s="3" t="n">
        <v>-83.18871948376791</v>
      </c>
      <c r="BW300" s="3" t="n">
        <v>-83.18871948376791</v>
      </c>
      <c r="BY300" s="20" t="inlineStr">
        <is>
          <t>egy.mit.txo.co2e.ind.nga.5</t>
        </is>
      </c>
      <c r="BZ300" s="3" t="n">
        <v>-126.9502783065058</v>
      </c>
      <c r="CA300" s="3" t="n">
        <v>-92.05460904166537</v>
      </c>
      <c r="CB300" s="3" t="n">
        <v>-81.28959381734278</v>
      </c>
      <c r="CC300" s="3" t="n">
        <v>-80.86700049413247</v>
      </c>
      <c r="CD300" s="3" t="n">
        <v>-79.86322267612665</v>
      </c>
      <c r="CE300" s="3" t="n">
        <v>-81.05875684621579</v>
      </c>
      <c r="CF300" s="3" t="n">
        <v>-82.46510566194704</v>
      </c>
      <c r="CG300" s="3" t="n">
        <v>-82.96606524178833</v>
      </c>
      <c r="CH300" s="3" t="n">
        <v>-83.10818299208984</v>
      </c>
      <c r="CI300" s="3" t="n">
        <v>-83.18871948376793</v>
      </c>
      <c r="CJ300" s="3" t="n">
        <v>-83.18871948376791</v>
      </c>
      <c r="CK300" s="3" t="n">
        <v>-83.18871948376793</v>
      </c>
      <c r="CL300" s="3" t="n">
        <v>-83.18871948376791</v>
      </c>
      <c r="CM300" s="3" t="n">
        <v>-83.18871948376791</v>
      </c>
      <c r="CN300" s="3" t="n">
        <v>-83.18871948376791</v>
      </c>
      <c r="CO300" s="3" t="n">
        <v>-83.18871948376791</v>
      </c>
      <c r="CP300" s="3" t="n">
        <v>-83.18871948376791</v>
      </c>
      <c r="CQ300" s="3" t="n">
        <v>-83.18871948376791</v>
      </c>
      <c r="CR300" s="3" t="n">
        <v>-83.18871948376791</v>
      </c>
      <c r="CS300" s="3" t="n">
        <v>-83.18871948376791</v>
      </c>
      <c r="CU300" s="20" t="inlineStr">
        <is>
          <t>egy.mit.txo.co2e.ind.nga.6</t>
        </is>
      </c>
      <c r="CV300" s="3" t="n">
        <v>-126.9502783065058</v>
      </c>
      <c r="CW300" s="3" t="n">
        <v>-92.05460904166537</v>
      </c>
      <c r="CX300" s="3" t="n">
        <v>-81.28959381734278</v>
      </c>
      <c r="CY300" s="3" t="n">
        <v>-80.86700049413247</v>
      </c>
      <c r="CZ300" s="3" t="n">
        <v>-79.86322267612665</v>
      </c>
      <c r="DA300" s="3" t="n">
        <v>-81.05875684621579</v>
      </c>
      <c r="DB300" s="3" t="n">
        <v>-82.46510566194704</v>
      </c>
      <c r="DC300" s="3" t="n">
        <v>-82.96606524178833</v>
      </c>
      <c r="DD300" s="3" t="n">
        <v>-83.10818299208984</v>
      </c>
      <c r="DE300" s="3" t="n">
        <v>-83.18871948376793</v>
      </c>
      <c r="DF300" s="3" t="n">
        <v>-83.18871948376791</v>
      </c>
      <c r="DG300" s="3" t="n">
        <v>-83.18871948376793</v>
      </c>
      <c r="DH300" s="3" t="n">
        <v>-83.18871948376791</v>
      </c>
      <c r="DI300" s="3" t="n">
        <v>-83.18871948376791</v>
      </c>
      <c r="DJ300" s="3" t="n">
        <v>-83.18871948376791</v>
      </c>
      <c r="DK300" s="3" t="n">
        <v>-83.18871948376791</v>
      </c>
      <c r="DL300" s="3" t="n">
        <v>-83.18871948376791</v>
      </c>
      <c r="DM300" s="3" t="n">
        <v>-83.18871948376791</v>
      </c>
      <c r="DN300" s="3" t="n">
        <v>-83.18871948376791</v>
      </c>
      <c r="DO300" s="3" t="n">
        <v>-83.18871948376791</v>
      </c>
    </row>
    <row r="301">
      <c r="A301" s="19" t="inlineStr">
        <is>
          <t>mit.pig.ind.nga</t>
        </is>
      </c>
      <c r="B301" s="3" t="inlineStr">
        <is>
          <t>mit</t>
        </is>
      </c>
      <c r="C301" s="19" t="inlineStr">
        <is>
          <t>mit.pig.nga.ind</t>
        </is>
      </c>
      <c r="H301" s="3" t="inlineStr">
        <is>
          <t>Pigouvian tax: all externalities (reference) | Industry | Natural gas</t>
        </is>
      </c>
      <c r="I301" s="3" t="inlineStr">
        <is>
          <t>USD per price unit</t>
        </is>
      </c>
      <c r="K301" s="20" t="inlineStr">
        <is>
          <t>egy.mit.pig.ind.nga.1</t>
        </is>
      </c>
      <c r="L301" s="3" t="n">
        <v>3.259981374048517</v>
      </c>
      <c r="M301" s="3" t="n">
        <v>3.382298734370352</v>
      </c>
      <c r="N301" s="3" t="n">
        <v>3.499511206421256</v>
      </c>
      <c r="O301" s="3" t="n">
        <v>3.576236370435516</v>
      </c>
      <c r="P301" s="3" t="n">
        <v>3.732984457690757</v>
      </c>
      <c r="Q301" s="3" t="n">
        <v>3.881957947379915</v>
      </c>
      <c r="R301" s="3" t="n">
        <v>4.045674123712845</v>
      </c>
      <c r="S301" s="3" t="n">
        <v>4.21456523635733</v>
      </c>
      <c r="T301" s="3" t="n">
        <v>4.38869771990439</v>
      </c>
      <c r="U301" s="3" t="n">
        <v>4.560418633309448</v>
      </c>
      <c r="V301" s="3" t="n">
        <v>4.743283128122392</v>
      </c>
      <c r="W301" s="3" t="n">
        <v>4.933393635086014</v>
      </c>
      <c r="X301" s="3" t="n">
        <v>5.131026621916643</v>
      </c>
      <c r="Y301" s="3" t="n">
        <v>5.336478038992528</v>
      </c>
      <c r="Z301" s="3" t="n">
        <v>5.550042913744795</v>
      </c>
      <c r="AA301" s="3" t="n">
        <v>5.772048481167589</v>
      </c>
      <c r="AB301" s="3" t="n">
        <v>6.002799757568013</v>
      </c>
      <c r="AC301" s="3" t="n">
        <v>6.242630084941426</v>
      </c>
      <c r="AD301" s="3" t="n">
        <v>6.491884971345947</v>
      </c>
      <c r="AE301" s="3" t="n">
        <v>6.739677599990532</v>
      </c>
      <c r="AG301" s="20" t="inlineStr">
        <is>
          <t>egy.mit.pig.ind.nga.3</t>
        </is>
      </c>
      <c r="AH301" s="3" t="n">
        <v>3.259981374048517</v>
      </c>
      <c r="AI301" s="3" t="n">
        <v>3.382298734370352</v>
      </c>
      <c r="AJ301" s="3" t="n">
        <v>3.499511206421256</v>
      </c>
      <c r="AK301" s="3" t="n">
        <v>3.576236370435516</v>
      </c>
      <c r="AL301" s="3" t="n">
        <v>3.732984457690757</v>
      </c>
      <c r="AM301" s="3" t="n">
        <v>3.881957947379915</v>
      </c>
      <c r="AN301" s="3" t="n">
        <v>4.045674123712845</v>
      </c>
      <c r="AO301" s="3" t="n">
        <v>4.21456523635733</v>
      </c>
      <c r="AP301" s="3" t="n">
        <v>4.38869771990439</v>
      </c>
      <c r="AQ301" s="3" t="n">
        <v>4.560418633309448</v>
      </c>
      <c r="AR301" s="3" t="n">
        <v>4.743283128122392</v>
      </c>
      <c r="AS301" s="3" t="n">
        <v>4.933393635086014</v>
      </c>
      <c r="AT301" s="3" t="n">
        <v>5.131026621916643</v>
      </c>
      <c r="AU301" s="3" t="n">
        <v>5.336478038992528</v>
      </c>
      <c r="AV301" s="3" t="n">
        <v>5.550042913744795</v>
      </c>
      <c r="AW301" s="3" t="n">
        <v>5.772048481167589</v>
      </c>
      <c r="AX301" s="3" t="n">
        <v>6.002799757568013</v>
      </c>
      <c r="AY301" s="3" t="n">
        <v>6.242630084941426</v>
      </c>
      <c r="AZ301" s="3" t="n">
        <v>6.491884971345947</v>
      </c>
      <c r="BA301" s="3" t="n">
        <v>6.739677599990532</v>
      </c>
      <c r="BC301" s="20" t="inlineStr">
        <is>
          <t>egy.mit.pig.ind.nga.4</t>
        </is>
      </c>
      <c r="BD301" s="3" t="n">
        <v>3.259981374048517</v>
      </c>
      <c r="BE301" s="3" t="n">
        <v>3.382298734370352</v>
      </c>
      <c r="BF301" s="3" t="n">
        <v>3.499511206421256</v>
      </c>
      <c r="BG301" s="3" t="n">
        <v>3.576236370435516</v>
      </c>
      <c r="BH301" s="3" t="n">
        <v>3.732984457690757</v>
      </c>
      <c r="BI301" s="3" t="n">
        <v>3.881957947379915</v>
      </c>
      <c r="BJ301" s="3" t="n">
        <v>4.045674123712845</v>
      </c>
      <c r="BK301" s="3" t="n">
        <v>4.21456523635733</v>
      </c>
      <c r="BL301" s="3" t="n">
        <v>4.38869771990439</v>
      </c>
      <c r="BM301" s="3" t="n">
        <v>4.560418633309448</v>
      </c>
      <c r="BN301" s="3" t="n">
        <v>4.743283128122392</v>
      </c>
      <c r="BO301" s="3" t="n">
        <v>4.933393635086014</v>
      </c>
      <c r="BP301" s="3" t="n">
        <v>5.131026621916643</v>
      </c>
      <c r="BQ301" s="3" t="n">
        <v>5.336478038992528</v>
      </c>
      <c r="BR301" s="3" t="n">
        <v>5.550042913744795</v>
      </c>
      <c r="BS301" s="3" t="n">
        <v>5.772048481167589</v>
      </c>
      <c r="BT301" s="3" t="n">
        <v>6.002799757568013</v>
      </c>
      <c r="BU301" s="3" t="n">
        <v>6.242630084941426</v>
      </c>
      <c r="BV301" s="3" t="n">
        <v>6.491884971345947</v>
      </c>
      <c r="BW301" s="3" t="n">
        <v>6.739677599990532</v>
      </c>
      <c r="BY301" s="20" t="inlineStr">
        <is>
          <t>egy.mit.pig.ind.nga.5</t>
        </is>
      </c>
      <c r="BZ301" s="3" t="n">
        <v>3.259981374048517</v>
      </c>
      <c r="CA301" s="3" t="n">
        <v>3.382298734370352</v>
      </c>
      <c r="CB301" s="3" t="n">
        <v>3.499511206421256</v>
      </c>
      <c r="CC301" s="3" t="n">
        <v>3.576236370435516</v>
      </c>
      <c r="CD301" s="3" t="n">
        <v>3.732984457690757</v>
      </c>
      <c r="CE301" s="3" t="n">
        <v>3.881957945163617</v>
      </c>
      <c r="CF301" s="3" t="n">
        <v>4.045674121483348</v>
      </c>
      <c r="CG301" s="3" t="n">
        <v>4.214565234329365</v>
      </c>
      <c r="CH301" s="3" t="n">
        <v>4.388697718305327</v>
      </c>
      <c r="CI301" s="3" t="n">
        <v>4.560418632394224</v>
      </c>
      <c r="CJ301" s="3" t="n">
        <v>4.743283128054928</v>
      </c>
      <c r="CK301" s="3" t="n">
        <v>4.933393636096225</v>
      </c>
      <c r="CL301" s="3" t="n">
        <v>5.131026624224035</v>
      </c>
      <c r="CM301" s="3" t="n">
        <v>5.336478042837983</v>
      </c>
      <c r="CN301" s="3" t="n">
        <v>5.550042918692894</v>
      </c>
      <c r="CO301" s="3" t="n">
        <v>5.772048487390689</v>
      </c>
      <c r="CP301" s="3" t="n">
        <v>6.002799765242722</v>
      </c>
      <c r="CQ301" s="3" t="n">
        <v>6.242630094256214</v>
      </c>
      <c r="CR301" s="3" t="n">
        <v>6.491884982506298</v>
      </c>
      <c r="CS301" s="3" t="n">
        <v>6.739677612733261</v>
      </c>
      <c r="CU301" s="20" t="inlineStr">
        <is>
          <t>egy.mit.pig.ind.nga.6</t>
        </is>
      </c>
      <c r="CV301" s="3" t="n">
        <v>3.259981374048517</v>
      </c>
      <c r="CW301" s="3" t="n">
        <v>3.382298734370352</v>
      </c>
      <c r="CX301" s="3" t="n">
        <v>3.499511206421256</v>
      </c>
      <c r="CY301" s="3" t="n">
        <v>3.576236370435516</v>
      </c>
      <c r="CZ301" s="3" t="n">
        <v>3.732984457690757</v>
      </c>
      <c r="DA301" s="3" t="n">
        <v>3.881957947379915</v>
      </c>
      <c r="DB301" s="3" t="n">
        <v>4.045674123712845</v>
      </c>
      <c r="DC301" s="3" t="n">
        <v>4.21456523635733</v>
      </c>
      <c r="DD301" s="3" t="n">
        <v>4.38869771990439</v>
      </c>
      <c r="DE301" s="3" t="n">
        <v>4.560418633309448</v>
      </c>
      <c r="DF301" s="3" t="n">
        <v>4.743283128122392</v>
      </c>
      <c r="DG301" s="3" t="n">
        <v>4.933393635086014</v>
      </c>
      <c r="DH301" s="3" t="n">
        <v>5.131026621916643</v>
      </c>
      <c r="DI301" s="3" t="n">
        <v>5.336478038992528</v>
      </c>
      <c r="DJ301" s="3" t="n">
        <v>5.550042913744795</v>
      </c>
      <c r="DK301" s="3" t="n">
        <v>5.772048481167589</v>
      </c>
      <c r="DL301" s="3" t="n">
        <v>6.002799757568013</v>
      </c>
      <c r="DM301" s="3" t="n">
        <v>6.242630084941426</v>
      </c>
      <c r="DN301" s="3" t="n">
        <v>6.491884971345947</v>
      </c>
      <c r="DO301" s="3" t="n">
        <v>6.739677599990532</v>
      </c>
    </row>
    <row r="302">
      <c r="A302" s="19" t="inlineStr">
        <is>
          <t>mit.pig.co2e.ind.nga</t>
        </is>
      </c>
      <c r="B302" s="3" t="inlineStr">
        <is>
          <t>mit</t>
        </is>
      </c>
      <c r="C302" s="19" t="inlineStr">
        <is>
          <t>mit.pig.co2e.nga.ind</t>
        </is>
      </c>
      <c r="H302" s="3" t="inlineStr">
        <is>
          <t>Pigouvian tax per tonne of CO2 (fuel lines; avg: weighted by the fuel use of the scenario) | Industry | Natural gas</t>
        </is>
      </c>
      <c r="I302" s="3" t="inlineStr">
        <is>
          <t>USD/tCO2</t>
        </is>
      </c>
      <c r="K302" s="20" t="inlineStr">
        <is>
          <t>egy.mit.pig.co2e.ind.nga.1</t>
        </is>
      </c>
      <c r="L302" s="3" t="n">
        <v>58.42260526968669</v>
      </c>
      <c r="M302" s="3" t="n">
        <v>60.61467265896689</v>
      </c>
      <c r="N302" s="3" t="n">
        <v>62.71525459536302</v>
      </c>
      <c r="O302" s="3" t="n">
        <v>64.09025753468667</v>
      </c>
      <c r="P302" s="3" t="n">
        <v>66.89936304105299</v>
      </c>
      <c r="Q302" s="3" t="n">
        <v>69.56913884193396</v>
      </c>
      <c r="R302" s="3" t="n">
        <v>72.50312049664599</v>
      </c>
      <c r="S302" s="3" t="n">
        <v>75.52984294547188</v>
      </c>
      <c r="T302" s="3" t="n">
        <v>78.65049677248012</v>
      </c>
      <c r="U302" s="3" t="n">
        <v>81.7279324965851</v>
      </c>
      <c r="V302" s="3" t="n">
        <v>85.00507398068804</v>
      </c>
      <c r="W302" s="3" t="n">
        <v>88.41207231336944</v>
      </c>
      <c r="X302" s="3" t="n">
        <v>91.95388211320149</v>
      </c>
      <c r="Y302" s="3" t="n">
        <v>95.63580715040374</v>
      </c>
      <c r="Z302" s="3" t="n">
        <v>99.46313465492464</v>
      </c>
      <c r="AA302" s="3" t="n">
        <v>103.4417290531826</v>
      </c>
      <c r="AB302" s="3" t="n">
        <v>107.5770565872404</v>
      </c>
      <c r="AC302" s="3" t="n">
        <v>111.8750911279826</v>
      </c>
      <c r="AD302" s="3" t="n">
        <v>116.3420245760922</v>
      </c>
      <c r="AE302" s="3" t="n">
        <v>120.7827526880024</v>
      </c>
      <c r="AG302" s="20" t="inlineStr">
        <is>
          <t>egy.mit.pig.co2e.ind.nga.3</t>
        </is>
      </c>
      <c r="AH302" s="3" t="n">
        <v>58.42260526968669</v>
      </c>
      <c r="AI302" s="3" t="n">
        <v>60.61467265896689</v>
      </c>
      <c r="AJ302" s="3" t="n">
        <v>62.71525459536302</v>
      </c>
      <c r="AK302" s="3" t="n">
        <v>64.09025753468667</v>
      </c>
      <c r="AL302" s="3" t="n">
        <v>66.89936304105299</v>
      </c>
      <c r="AM302" s="3" t="n">
        <v>69.56913884193396</v>
      </c>
      <c r="AN302" s="3" t="n">
        <v>72.50312049664599</v>
      </c>
      <c r="AO302" s="3" t="n">
        <v>75.52984294547188</v>
      </c>
      <c r="AP302" s="3" t="n">
        <v>78.65049677248012</v>
      </c>
      <c r="AQ302" s="3" t="n">
        <v>81.7279324965851</v>
      </c>
      <c r="AR302" s="3" t="n">
        <v>85.00507398068804</v>
      </c>
      <c r="AS302" s="3" t="n">
        <v>88.41207231336944</v>
      </c>
      <c r="AT302" s="3" t="n">
        <v>91.95388211320149</v>
      </c>
      <c r="AU302" s="3" t="n">
        <v>95.63580715040374</v>
      </c>
      <c r="AV302" s="3" t="n">
        <v>99.46313465492464</v>
      </c>
      <c r="AW302" s="3" t="n">
        <v>103.4417290531826</v>
      </c>
      <c r="AX302" s="3" t="n">
        <v>107.5770565872404</v>
      </c>
      <c r="AY302" s="3" t="n">
        <v>111.8750911279826</v>
      </c>
      <c r="AZ302" s="3" t="n">
        <v>116.3420245760922</v>
      </c>
      <c r="BA302" s="3" t="n">
        <v>120.7827526880024</v>
      </c>
      <c r="BC302" s="20" t="inlineStr">
        <is>
          <t>egy.mit.pig.co2e.ind.nga.4</t>
        </is>
      </c>
      <c r="BD302" s="3" t="n">
        <v>58.42260526968669</v>
      </c>
      <c r="BE302" s="3" t="n">
        <v>60.61467265896689</v>
      </c>
      <c r="BF302" s="3" t="n">
        <v>62.71525459536302</v>
      </c>
      <c r="BG302" s="3" t="n">
        <v>64.09025753468667</v>
      </c>
      <c r="BH302" s="3" t="n">
        <v>66.89936304105299</v>
      </c>
      <c r="BI302" s="3" t="n">
        <v>69.56913884193396</v>
      </c>
      <c r="BJ302" s="3" t="n">
        <v>72.50312049664599</v>
      </c>
      <c r="BK302" s="3" t="n">
        <v>75.52984294547188</v>
      </c>
      <c r="BL302" s="3" t="n">
        <v>78.65049677248012</v>
      </c>
      <c r="BM302" s="3" t="n">
        <v>81.7279324965851</v>
      </c>
      <c r="BN302" s="3" t="n">
        <v>85.00507398068804</v>
      </c>
      <c r="BO302" s="3" t="n">
        <v>88.41207231336944</v>
      </c>
      <c r="BP302" s="3" t="n">
        <v>91.95388211320149</v>
      </c>
      <c r="BQ302" s="3" t="n">
        <v>95.63580715040374</v>
      </c>
      <c r="BR302" s="3" t="n">
        <v>99.46313465492464</v>
      </c>
      <c r="BS302" s="3" t="n">
        <v>103.4417290531826</v>
      </c>
      <c r="BT302" s="3" t="n">
        <v>107.5770565872404</v>
      </c>
      <c r="BU302" s="3" t="n">
        <v>111.8750911279826</v>
      </c>
      <c r="BV302" s="3" t="n">
        <v>116.3420245760922</v>
      </c>
      <c r="BW302" s="3" t="n">
        <v>120.7827526880024</v>
      </c>
      <c r="BY302" s="20" t="inlineStr">
        <is>
          <t>egy.mit.pig.co2e.ind.nga.5</t>
        </is>
      </c>
      <c r="BZ302" s="3" t="n">
        <v>58.42260526968669</v>
      </c>
      <c r="CA302" s="3" t="n">
        <v>60.61467265896689</v>
      </c>
      <c r="CB302" s="3" t="n">
        <v>62.71525459536302</v>
      </c>
      <c r="CC302" s="3" t="n">
        <v>64.09025753468667</v>
      </c>
      <c r="CD302" s="3" t="n">
        <v>66.89936304105299</v>
      </c>
      <c r="CE302" s="3" t="n">
        <v>69.56913880221538</v>
      </c>
      <c r="CF302" s="3" t="n">
        <v>72.50312045669082</v>
      </c>
      <c r="CG302" s="3" t="n">
        <v>75.52984290912842</v>
      </c>
      <c r="CH302" s="3" t="n">
        <v>78.65049674382307</v>
      </c>
      <c r="CI302" s="3" t="n">
        <v>81.72793248018323</v>
      </c>
      <c r="CJ302" s="3" t="n">
        <v>85.00507397947901</v>
      </c>
      <c r="CK302" s="3" t="n">
        <v>88.41207233147358</v>
      </c>
      <c r="CL302" s="3" t="n">
        <v>91.95388215455262</v>
      </c>
      <c r="CM302" s="3" t="n">
        <v>95.63580721931871</v>
      </c>
      <c r="CN302" s="3" t="n">
        <v>99.46313474360025</v>
      </c>
      <c r="CO302" s="3" t="n">
        <v>103.4417291647077</v>
      </c>
      <c r="CP302" s="3" t="n">
        <v>107.57705672478</v>
      </c>
      <c r="CQ302" s="3" t="n">
        <v>111.8750912949142</v>
      </c>
      <c r="CR302" s="3" t="n">
        <v>116.3420247760985</v>
      </c>
      <c r="CS302" s="3" t="n">
        <v>120.7827529163667</v>
      </c>
      <c r="CU302" s="20" t="inlineStr">
        <is>
          <t>egy.mit.pig.co2e.ind.nga.6</t>
        </is>
      </c>
      <c r="CV302" s="3" t="n">
        <v>58.42260526968669</v>
      </c>
      <c r="CW302" s="3" t="n">
        <v>60.61467265896689</v>
      </c>
      <c r="CX302" s="3" t="n">
        <v>62.71525459536302</v>
      </c>
      <c r="CY302" s="3" t="n">
        <v>64.09025753468667</v>
      </c>
      <c r="CZ302" s="3" t="n">
        <v>66.89936304105299</v>
      </c>
      <c r="DA302" s="3" t="n">
        <v>69.56913884193396</v>
      </c>
      <c r="DB302" s="3" t="n">
        <v>72.50312049664599</v>
      </c>
      <c r="DC302" s="3" t="n">
        <v>75.52984294547188</v>
      </c>
      <c r="DD302" s="3" t="n">
        <v>78.65049677248012</v>
      </c>
      <c r="DE302" s="3" t="n">
        <v>81.7279324965851</v>
      </c>
      <c r="DF302" s="3" t="n">
        <v>85.00507398068804</v>
      </c>
      <c r="DG302" s="3" t="n">
        <v>88.41207231336944</v>
      </c>
      <c r="DH302" s="3" t="n">
        <v>91.95388211320149</v>
      </c>
      <c r="DI302" s="3" t="n">
        <v>95.63580715040374</v>
      </c>
      <c r="DJ302" s="3" t="n">
        <v>99.46313465492464</v>
      </c>
      <c r="DK302" s="3" t="n">
        <v>103.4417290531826</v>
      </c>
      <c r="DL302" s="3" t="n">
        <v>107.5770565872404</v>
      </c>
      <c r="DM302" s="3" t="n">
        <v>111.8750911279826</v>
      </c>
      <c r="DN302" s="3" t="n">
        <v>116.3420245760922</v>
      </c>
      <c r="DO302" s="3" t="n">
        <v>120.7827526880024</v>
      </c>
    </row>
    <row r="303">
      <c r="A303" s="19" t="inlineStr">
        <is>
          <t>mit.eff.price.res.nga</t>
        </is>
      </c>
      <c r="B303" s="3" t="inlineStr">
        <is>
          <t>mit</t>
        </is>
      </c>
      <c r="C303" s="19" t="inlineStr">
        <is>
          <t>mit.eff.price.nga.res</t>
        </is>
      </c>
      <c r="H303" s="3" t="inlineStr">
        <is>
          <t>Efficient price | Residential | Natural gas</t>
        </is>
      </c>
      <c r="I303" s="3" t="inlineStr">
        <is>
          <t>USD per price unit</t>
        </is>
      </c>
      <c r="K303" s="20" t="inlineStr">
        <is>
          <t>egy.mit.eff.price.res.nga.1</t>
        </is>
      </c>
      <c r="L303" s="3" t="n">
        <v>22.86260117049401</v>
      </c>
      <c r="M303" s="3" t="n">
        <v>20.45304321471852</v>
      </c>
      <c r="N303" s="3" t="n">
        <v>19.97525963148836</v>
      </c>
      <c r="O303" s="3" t="n">
        <v>20.04541177219371</v>
      </c>
      <c r="P303" s="3" t="n">
        <v>20.03232721017025</v>
      </c>
      <c r="Q303" s="3" t="n">
        <v>20.40197080080772</v>
      </c>
      <c r="R303" s="3" t="n">
        <v>20.81569996407046</v>
      </c>
      <c r="S303" s="3" t="n">
        <v>21.08034544976652</v>
      </c>
      <c r="T303" s="3" t="n">
        <v>21.29017914907952</v>
      </c>
      <c r="U303" s="3" t="n">
        <v>21.49548973854404</v>
      </c>
      <c r="V303" s="3" t="n">
        <v>21.69521636865443</v>
      </c>
      <c r="W303" s="3" t="n">
        <v>21.90292223444858</v>
      </c>
      <c r="X303" s="3" t="n">
        <v>22.11892458807915</v>
      </c>
      <c r="Y303" s="3" t="n">
        <v>22.34355457954835</v>
      </c>
      <c r="Z303" s="3" t="n">
        <v>22.57715477527622</v>
      </c>
      <c r="AA303" s="3" t="n">
        <v>22.82008437007684</v>
      </c>
      <c r="AB303" s="3" t="n">
        <v>23.07271186431389</v>
      </c>
      <c r="AC303" s="3" t="n">
        <v>23.3354228102561</v>
      </c>
      <c r="AD303" s="3" t="n">
        <v>23.60861801485017</v>
      </c>
      <c r="AE303" s="3" t="n">
        <v>23.89110191320685</v>
      </c>
      <c r="AG303" s="20" t="inlineStr">
        <is>
          <t>egy.mit.eff.price.res.nga.3</t>
        </is>
      </c>
      <c r="AH303" s="3" t="n">
        <v>22.86260117049401</v>
      </c>
      <c r="AI303" s="3" t="n">
        <v>20.45304321471852</v>
      </c>
      <c r="AJ303" s="3" t="n">
        <v>19.97525963148836</v>
      </c>
      <c r="AK303" s="3" t="n">
        <v>20.04541177219371</v>
      </c>
      <c r="AL303" s="3" t="n">
        <v>20.03232721017025</v>
      </c>
      <c r="AM303" s="3" t="n">
        <v>20.40197080080772</v>
      </c>
      <c r="AN303" s="3" t="n">
        <v>20.81569996407046</v>
      </c>
      <c r="AO303" s="3" t="n">
        <v>21.08034544976652</v>
      </c>
      <c r="AP303" s="3" t="n">
        <v>21.29017914907952</v>
      </c>
      <c r="AQ303" s="3" t="n">
        <v>21.49548973854404</v>
      </c>
      <c r="AR303" s="3" t="n">
        <v>21.69521636865443</v>
      </c>
      <c r="AS303" s="3" t="n">
        <v>21.90292223444858</v>
      </c>
      <c r="AT303" s="3" t="n">
        <v>22.11892458807915</v>
      </c>
      <c r="AU303" s="3" t="n">
        <v>22.34355457954835</v>
      </c>
      <c r="AV303" s="3" t="n">
        <v>22.57715477527622</v>
      </c>
      <c r="AW303" s="3" t="n">
        <v>22.82008437007684</v>
      </c>
      <c r="AX303" s="3" t="n">
        <v>23.07271186431389</v>
      </c>
      <c r="AY303" s="3" t="n">
        <v>23.3354228102561</v>
      </c>
      <c r="AZ303" s="3" t="n">
        <v>23.60861801485017</v>
      </c>
      <c r="BA303" s="3" t="n">
        <v>23.89110191320685</v>
      </c>
      <c r="BC303" s="20" t="inlineStr">
        <is>
          <t>egy.mit.eff.price.res.nga.4</t>
        </is>
      </c>
      <c r="BD303" s="3" t="n">
        <v>22.86260117049401</v>
      </c>
      <c r="BE303" s="3" t="n">
        <v>20.45304321471852</v>
      </c>
      <c r="BF303" s="3" t="n">
        <v>19.97525963148836</v>
      </c>
      <c r="BG303" s="3" t="n">
        <v>20.04541177219371</v>
      </c>
      <c r="BH303" s="3" t="n">
        <v>20.03232721017025</v>
      </c>
      <c r="BI303" s="3" t="n">
        <v>20.40197080080772</v>
      </c>
      <c r="BJ303" s="3" t="n">
        <v>20.81569996407046</v>
      </c>
      <c r="BK303" s="3" t="n">
        <v>21.08034544976652</v>
      </c>
      <c r="BL303" s="3" t="n">
        <v>21.29017914907952</v>
      </c>
      <c r="BM303" s="3" t="n">
        <v>21.49548973854404</v>
      </c>
      <c r="BN303" s="3" t="n">
        <v>21.69521636865443</v>
      </c>
      <c r="BO303" s="3" t="n">
        <v>21.90292223444858</v>
      </c>
      <c r="BP303" s="3" t="n">
        <v>22.11892458807915</v>
      </c>
      <c r="BQ303" s="3" t="n">
        <v>22.34355457954835</v>
      </c>
      <c r="BR303" s="3" t="n">
        <v>22.57715477527622</v>
      </c>
      <c r="BS303" s="3" t="n">
        <v>22.82008437007684</v>
      </c>
      <c r="BT303" s="3" t="n">
        <v>23.07271186431389</v>
      </c>
      <c r="BU303" s="3" t="n">
        <v>23.3354228102561</v>
      </c>
      <c r="BV303" s="3" t="n">
        <v>23.60861801485017</v>
      </c>
      <c r="BW303" s="3" t="n">
        <v>23.89110191320685</v>
      </c>
      <c r="BY303" s="20" t="inlineStr">
        <is>
          <t>egy.mit.eff.price.res.nga.5</t>
        </is>
      </c>
      <c r="BZ303" s="3" t="n">
        <v>22.86260117049401</v>
      </c>
      <c r="CA303" s="3" t="n">
        <v>20.45304321471852</v>
      </c>
      <c r="CB303" s="3" t="n">
        <v>19.97525963148836</v>
      </c>
      <c r="CC303" s="3" t="n">
        <v>20.04541177219371</v>
      </c>
      <c r="CD303" s="3" t="n">
        <v>20.03232721017025</v>
      </c>
      <c r="CE303" s="3" t="n">
        <v>20.40197080080772</v>
      </c>
      <c r="CF303" s="3" t="n">
        <v>20.81569996407046</v>
      </c>
      <c r="CG303" s="3" t="n">
        <v>21.08034544976652</v>
      </c>
      <c r="CH303" s="3" t="n">
        <v>21.29017914907952</v>
      </c>
      <c r="CI303" s="3" t="n">
        <v>21.49548973854404</v>
      </c>
      <c r="CJ303" s="3" t="n">
        <v>21.69521636865443</v>
      </c>
      <c r="CK303" s="3" t="n">
        <v>21.90292223444858</v>
      </c>
      <c r="CL303" s="3" t="n">
        <v>22.11892458807915</v>
      </c>
      <c r="CM303" s="3" t="n">
        <v>22.34355457954835</v>
      </c>
      <c r="CN303" s="3" t="n">
        <v>22.57715477527622</v>
      </c>
      <c r="CO303" s="3" t="n">
        <v>22.82008437007684</v>
      </c>
      <c r="CP303" s="3" t="n">
        <v>23.07271186431389</v>
      </c>
      <c r="CQ303" s="3" t="n">
        <v>23.3354228102561</v>
      </c>
      <c r="CR303" s="3" t="n">
        <v>23.60861801485017</v>
      </c>
      <c r="CS303" s="3" t="n">
        <v>23.89110191320685</v>
      </c>
      <c r="CU303" s="20" t="inlineStr">
        <is>
          <t>egy.mit.eff.price.res.nga.6</t>
        </is>
      </c>
      <c r="CV303" s="3" t="n">
        <v>22.86260117049401</v>
      </c>
      <c r="CW303" s="3" t="n">
        <v>20.45304321471852</v>
      </c>
      <c r="CX303" s="3" t="n">
        <v>19.97525963148836</v>
      </c>
      <c r="CY303" s="3" t="n">
        <v>20.04541177219371</v>
      </c>
      <c r="CZ303" s="3" t="n">
        <v>20.03232721017025</v>
      </c>
      <c r="DA303" s="3" t="n">
        <v>20.40197080080772</v>
      </c>
      <c r="DB303" s="3" t="n">
        <v>20.81569996407046</v>
      </c>
      <c r="DC303" s="3" t="n">
        <v>21.08034544976652</v>
      </c>
      <c r="DD303" s="3" t="n">
        <v>21.29017914907952</v>
      </c>
      <c r="DE303" s="3" t="n">
        <v>21.49548973854404</v>
      </c>
      <c r="DF303" s="3" t="n">
        <v>21.69521636865443</v>
      </c>
      <c r="DG303" s="3" t="n">
        <v>21.90292223444858</v>
      </c>
      <c r="DH303" s="3" t="n">
        <v>22.11892458807915</v>
      </c>
      <c r="DI303" s="3" t="n">
        <v>22.34355457954835</v>
      </c>
      <c r="DJ303" s="3" t="n">
        <v>22.57715477527622</v>
      </c>
      <c r="DK303" s="3" t="n">
        <v>22.82008437007684</v>
      </c>
      <c r="DL303" s="3" t="n">
        <v>23.07271186431389</v>
      </c>
      <c r="DM303" s="3" t="n">
        <v>23.3354228102561</v>
      </c>
      <c r="DN303" s="3" t="n">
        <v>23.60861801485017</v>
      </c>
      <c r="DO303" s="3" t="n">
        <v>23.89110191320685</v>
      </c>
    </row>
    <row r="304">
      <c r="A304" s="19" t="inlineStr">
        <is>
          <t>mit.sup.cost.res.nga</t>
        </is>
      </c>
      <c r="B304" s="3" t="inlineStr">
        <is>
          <t>mit</t>
        </is>
      </c>
      <c r="C304" s="19" t="inlineStr">
        <is>
          <t>mit.sup.cost.nga.res</t>
        </is>
      </c>
      <c r="H304" s="3" t="inlineStr">
        <is>
          <t>Efficient price: supply cost of scenario 1 | Residential | Natural gas</t>
        </is>
      </c>
      <c r="I304" s="3" t="inlineStr">
        <is>
          <t>USD per price unit</t>
        </is>
      </c>
      <c r="K304" s="20" t="inlineStr">
        <is>
          <t>egy.mit.sup.cost.res.nga.1</t>
        </is>
      </c>
      <c r="L304" s="3" t="n">
        <v>16.97156498304895</v>
      </c>
      <c r="M304" s="3" t="n">
        <v>14.735600113104</v>
      </c>
      <c r="N304" s="3" t="n">
        <v>14.19053880878842</v>
      </c>
      <c r="O304" s="3" t="n">
        <v>14.12676629077407</v>
      </c>
      <c r="P304" s="3" t="n">
        <v>13.97528865148035</v>
      </c>
      <c r="Q304" s="3" t="n">
        <v>14.155703769778</v>
      </c>
      <c r="R304" s="3" t="n">
        <v>14.36793240724053</v>
      </c>
      <c r="S304" s="3" t="n">
        <v>14.44353098411155</v>
      </c>
      <c r="T304" s="3" t="n">
        <v>14.46497762392689</v>
      </c>
      <c r="U304" s="3" t="n">
        <v>14.47713118761156</v>
      </c>
      <c r="V304" s="3" t="n">
        <v>14.47713118761156</v>
      </c>
      <c r="W304" s="3" t="n">
        <v>14.47713118761156</v>
      </c>
      <c r="X304" s="3" t="n">
        <v>14.47713118761156</v>
      </c>
      <c r="Y304" s="3" t="n">
        <v>14.47713118761156</v>
      </c>
      <c r="Z304" s="3" t="n">
        <v>14.47713118761156</v>
      </c>
      <c r="AA304" s="3" t="n">
        <v>14.47713118761156</v>
      </c>
      <c r="AB304" s="3" t="n">
        <v>14.47713118761156</v>
      </c>
      <c r="AC304" s="3" t="n">
        <v>14.47713118761156</v>
      </c>
      <c r="AD304" s="3" t="n">
        <v>14.47713118761156</v>
      </c>
      <c r="AE304" s="3" t="n">
        <v>14.47713118761156</v>
      </c>
      <c r="AG304" s="20" t="inlineStr">
        <is>
          <t>egy.mit.sup.cost.res.nga.3</t>
        </is>
      </c>
      <c r="AH304" s="3" t="n">
        <v>16.97156498304895</v>
      </c>
      <c r="AI304" s="3" t="n">
        <v>14.735600113104</v>
      </c>
      <c r="AJ304" s="3" t="n">
        <v>14.19053880878842</v>
      </c>
      <c r="AK304" s="3" t="n">
        <v>14.12676629077407</v>
      </c>
      <c r="AL304" s="3" t="n">
        <v>13.97528865148035</v>
      </c>
      <c r="AM304" s="3" t="n">
        <v>14.155703769778</v>
      </c>
      <c r="AN304" s="3" t="n">
        <v>14.36793240724053</v>
      </c>
      <c r="AO304" s="3" t="n">
        <v>14.44353098411155</v>
      </c>
      <c r="AP304" s="3" t="n">
        <v>14.46497762392689</v>
      </c>
      <c r="AQ304" s="3" t="n">
        <v>14.47713118761156</v>
      </c>
      <c r="AR304" s="3" t="n">
        <v>14.47713118761156</v>
      </c>
      <c r="AS304" s="3" t="n">
        <v>14.47713118761156</v>
      </c>
      <c r="AT304" s="3" t="n">
        <v>14.47713118761156</v>
      </c>
      <c r="AU304" s="3" t="n">
        <v>14.47713118761156</v>
      </c>
      <c r="AV304" s="3" t="n">
        <v>14.47713118761156</v>
      </c>
      <c r="AW304" s="3" t="n">
        <v>14.47713118761156</v>
      </c>
      <c r="AX304" s="3" t="n">
        <v>14.47713118761156</v>
      </c>
      <c r="AY304" s="3" t="n">
        <v>14.47713118761156</v>
      </c>
      <c r="AZ304" s="3" t="n">
        <v>14.47713118761156</v>
      </c>
      <c r="BA304" s="3" t="n">
        <v>14.47713118761156</v>
      </c>
      <c r="BC304" s="20" t="inlineStr">
        <is>
          <t>egy.mit.sup.cost.res.nga.4</t>
        </is>
      </c>
      <c r="BD304" s="3" t="n">
        <v>16.97156498304895</v>
      </c>
      <c r="BE304" s="3" t="n">
        <v>14.735600113104</v>
      </c>
      <c r="BF304" s="3" t="n">
        <v>14.19053880878842</v>
      </c>
      <c r="BG304" s="3" t="n">
        <v>14.12676629077407</v>
      </c>
      <c r="BH304" s="3" t="n">
        <v>13.97528865148035</v>
      </c>
      <c r="BI304" s="3" t="n">
        <v>14.155703769778</v>
      </c>
      <c r="BJ304" s="3" t="n">
        <v>14.36793240724053</v>
      </c>
      <c r="BK304" s="3" t="n">
        <v>14.44353098411155</v>
      </c>
      <c r="BL304" s="3" t="n">
        <v>14.46497762392689</v>
      </c>
      <c r="BM304" s="3" t="n">
        <v>14.47713118761156</v>
      </c>
      <c r="BN304" s="3" t="n">
        <v>14.47713118761156</v>
      </c>
      <c r="BO304" s="3" t="n">
        <v>14.47713118761156</v>
      </c>
      <c r="BP304" s="3" t="n">
        <v>14.47713118761156</v>
      </c>
      <c r="BQ304" s="3" t="n">
        <v>14.47713118761156</v>
      </c>
      <c r="BR304" s="3" t="n">
        <v>14.47713118761156</v>
      </c>
      <c r="BS304" s="3" t="n">
        <v>14.47713118761156</v>
      </c>
      <c r="BT304" s="3" t="n">
        <v>14.47713118761156</v>
      </c>
      <c r="BU304" s="3" t="n">
        <v>14.47713118761156</v>
      </c>
      <c r="BV304" s="3" t="n">
        <v>14.47713118761156</v>
      </c>
      <c r="BW304" s="3" t="n">
        <v>14.47713118761156</v>
      </c>
      <c r="BY304" s="20" t="inlineStr">
        <is>
          <t>egy.mit.sup.cost.res.nga.5</t>
        </is>
      </c>
      <c r="BZ304" s="3" t="n">
        <v>16.97156498304895</v>
      </c>
      <c r="CA304" s="3" t="n">
        <v>14.735600113104</v>
      </c>
      <c r="CB304" s="3" t="n">
        <v>14.19053880878842</v>
      </c>
      <c r="CC304" s="3" t="n">
        <v>14.12676629077407</v>
      </c>
      <c r="CD304" s="3" t="n">
        <v>13.97528865148035</v>
      </c>
      <c r="CE304" s="3" t="n">
        <v>14.155703769778</v>
      </c>
      <c r="CF304" s="3" t="n">
        <v>14.36793240724053</v>
      </c>
      <c r="CG304" s="3" t="n">
        <v>14.44353098411155</v>
      </c>
      <c r="CH304" s="3" t="n">
        <v>14.46497762392689</v>
      </c>
      <c r="CI304" s="3" t="n">
        <v>14.47713118761156</v>
      </c>
      <c r="CJ304" s="3" t="n">
        <v>14.47713118761156</v>
      </c>
      <c r="CK304" s="3" t="n">
        <v>14.47713118761156</v>
      </c>
      <c r="CL304" s="3" t="n">
        <v>14.47713118761156</v>
      </c>
      <c r="CM304" s="3" t="n">
        <v>14.47713118761156</v>
      </c>
      <c r="CN304" s="3" t="n">
        <v>14.47713118761156</v>
      </c>
      <c r="CO304" s="3" t="n">
        <v>14.47713118761156</v>
      </c>
      <c r="CP304" s="3" t="n">
        <v>14.47713118761156</v>
      </c>
      <c r="CQ304" s="3" t="n">
        <v>14.47713118761156</v>
      </c>
      <c r="CR304" s="3" t="n">
        <v>14.47713118761156</v>
      </c>
      <c r="CS304" s="3" t="n">
        <v>14.47713118761156</v>
      </c>
      <c r="CU304" s="20" t="inlineStr">
        <is>
          <t>egy.mit.sup.cost.res.nga.6</t>
        </is>
      </c>
      <c r="CV304" s="3" t="n">
        <v>16.97156498304895</v>
      </c>
      <c r="CW304" s="3" t="n">
        <v>14.735600113104</v>
      </c>
      <c r="CX304" s="3" t="n">
        <v>14.19053880878842</v>
      </c>
      <c r="CY304" s="3" t="n">
        <v>14.12676629077407</v>
      </c>
      <c r="CZ304" s="3" t="n">
        <v>13.97528865148035</v>
      </c>
      <c r="DA304" s="3" t="n">
        <v>14.155703769778</v>
      </c>
      <c r="DB304" s="3" t="n">
        <v>14.36793240724053</v>
      </c>
      <c r="DC304" s="3" t="n">
        <v>14.44353098411155</v>
      </c>
      <c r="DD304" s="3" t="n">
        <v>14.46497762392689</v>
      </c>
      <c r="DE304" s="3" t="n">
        <v>14.47713118761156</v>
      </c>
      <c r="DF304" s="3" t="n">
        <v>14.47713118761156</v>
      </c>
      <c r="DG304" s="3" t="n">
        <v>14.47713118761156</v>
      </c>
      <c r="DH304" s="3" t="n">
        <v>14.47713118761156</v>
      </c>
      <c r="DI304" s="3" t="n">
        <v>14.47713118761156</v>
      </c>
      <c r="DJ304" s="3" t="n">
        <v>14.47713118761156</v>
      </c>
      <c r="DK304" s="3" t="n">
        <v>14.47713118761156</v>
      </c>
      <c r="DL304" s="3" t="n">
        <v>14.47713118761156</v>
      </c>
      <c r="DM304" s="3" t="n">
        <v>14.47713118761156</v>
      </c>
      <c r="DN304" s="3" t="n">
        <v>14.47713118761156</v>
      </c>
      <c r="DO304" s="3" t="n">
        <v>14.47713118761156</v>
      </c>
    </row>
    <row r="305">
      <c r="A305" s="19" t="inlineStr">
        <is>
          <t>mit.airpol.cost.res.nga</t>
        </is>
      </c>
      <c r="B305" s="3" t="inlineStr">
        <is>
          <t>mit</t>
        </is>
      </c>
      <c r="C305" s="19" t="inlineStr">
        <is>
          <t>mit.airpol.cost.nga.res</t>
        </is>
      </c>
      <c r="H305" s="3" t="inlineStr">
        <is>
          <t>Air-pollution cost per unit of fuel, marginal damages (coal, gas, other oil products USD/GJ; gasoline, diesel, LPG, kerosene USD/l) | Residential | Natural gas</t>
        </is>
      </c>
      <c r="I305" s="3" t="inlineStr">
        <is>
          <t>USD per unit</t>
        </is>
      </c>
      <c r="K305" s="20" t="inlineStr">
        <is>
          <t>egy.mit.airpol.cost.res.nga.1</t>
        </is>
      </c>
      <c r="L305" s="3" t="n">
        <v>0.02540981646862925</v>
      </c>
      <c r="M305" s="3" t="n">
        <v>0.02540981646862925</v>
      </c>
      <c r="N305" s="3" t="n">
        <v>0.02415247251193078</v>
      </c>
      <c r="O305" s="3" t="n">
        <v>0.01716330445007161</v>
      </c>
      <c r="P305" s="3" t="n">
        <v>0.0195726600867846</v>
      </c>
      <c r="Q305" s="3" t="n">
        <v>0.02031208392783802</v>
      </c>
      <c r="R305" s="3" t="n">
        <v>0.02218577467532352</v>
      </c>
      <c r="S305" s="3" t="n">
        <v>0.02396165063641127</v>
      </c>
      <c r="T305" s="3" t="n">
        <v>0.02561812087969796</v>
      </c>
      <c r="U305" s="3" t="n">
        <v>0.02616156549724485</v>
      </c>
      <c r="V305" s="3" t="n">
        <v>0.02726436383968838</v>
      </c>
      <c r="W305" s="3" t="n">
        <v>0.02840265172929679</v>
      </c>
      <c r="X305" s="3" t="n">
        <v>0.02957616692803684</v>
      </c>
      <c r="Y305" s="3" t="n">
        <v>0.03078569615000824</v>
      </c>
      <c r="Z305" s="3" t="n">
        <v>0.03203045268111129</v>
      </c>
      <c r="AA305" s="3" t="n">
        <v>0.03331218477490088</v>
      </c>
      <c r="AB305" s="3" t="n">
        <v>0.03462827005104466</v>
      </c>
      <c r="AC305" s="3" t="n">
        <v>0.03597800920812064</v>
      </c>
      <c r="AD305" s="3" t="n">
        <v>0.03736052811935137</v>
      </c>
      <c r="AE305" s="3" t="n">
        <v>0.03736052811935137</v>
      </c>
      <c r="AG305" s="20" t="inlineStr">
        <is>
          <t>egy.mit.airpol.cost.res.nga.3</t>
        </is>
      </c>
      <c r="AH305" s="3" t="n">
        <v>0.02540981646862925</v>
      </c>
      <c r="AI305" s="3" t="n">
        <v>0.02540981646862925</v>
      </c>
      <c r="AJ305" s="3" t="n">
        <v>0.02415247251193078</v>
      </c>
      <c r="AK305" s="3" t="n">
        <v>0.01716330445007161</v>
      </c>
      <c r="AL305" s="3" t="n">
        <v>0.0195726600867846</v>
      </c>
      <c r="AM305" s="3" t="n">
        <v>0.02031208392783802</v>
      </c>
      <c r="AN305" s="3" t="n">
        <v>0.02218577467532352</v>
      </c>
      <c r="AO305" s="3" t="n">
        <v>0.02396165063641127</v>
      </c>
      <c r="AP305" s="3" t="n">
        <v>0.02561812087969796</v>
      </c>
      <c r="AQ305" s="3" t="n">
        <v>0.02616156549724485</v>
      </c>
      <c r="AR305" s="3" t="n">
        <v>0.02726436383968839</v>
      </c>
      <c r="AS305" s="3" t="n">
        <v>0.0284026517292968</v>
      </c>
      <c r="AT305" s="3" t="n">
        <v>0.02957616692803684</v>
      </c>
      <c r="AU305" s="3" t="n">
        <v>0.03078569615000824</v>
      </c>
      <c r="AV305" s="3" t="n">
        <v>0.03203045268111129</v>
      </c>
      <c r="AW305" s="3" t="n">
        <v>0.03331218477490088</v>
      </c>
      <c r="AX305" s="3" t="n">
        <v>0.03462827005104466</v>
      </c>
      <c r="AY305" s="3" t="n">
        <v>0.03597800920812064</v>
      </c>
      <c r="AZ305" s="3" t="n">
        <v>0.03736052811935138</v>
      </c>
      <c r="BA305" s="3" t="n">
        <v>0.03736052811935137</v>
      </c>
      <c r="BC305" s="20" t="inlineStr">
        <is>
          <t>egy.mit.airpol.cost.res.nga.4</t>
        </is>
      </c>
      <c r="BD305" s="3" t="n">
        <v>0.02540981646862925</v>
      </c>
      <c r="BE305" s="3" t="n">
        <v>0.02540981646862925</v>
      </c>
      <c r="BF305" s="3" t="n">
        <v>0.02415247251193078</v>
      </c>
      <c r="BG305" s="3" t="n">
        <v>0.01716330445007161</v>
      </c>
      <c r="BH305" s="3" t="n">
        <v>0.0195726600867846</v>
      </c>
      <c r="BI305" s="3" t="n">
        <v>0.02031208392783802</v>
      </c>
      <c r="BJ305" s="3" t="n">
        <v>0.02218577467532352</v>
      </c>
      <c r="BK305" s="3" t="n">
        <v>0.02396165063641127</v>
      </c>
      <c r="BL305" s="3" t="n">
        <v>0.02561812087969796</v>
      </c>
      <c r="BM305" s="3" t="n">
        <v>0.02616156549724485</v>
      </c>
      <c r="BN305" s="3" t="n">
        <v>0.02726436383968838</v>
      </c>
      <c r="BO305" s="3" t="n">
        <v>0.0284026517292968</v>
      </c>
      <c r="BP305" s="3" t="n">
        <v>0.02957616692803684</v>
      </c>
      <c r="BQ305" s="3" t="n">
        <v>0.03078569615000824</v>
      </c>
      <c r="BR305" s="3" t="n">
        <v>0.03203045268111129</v>
      </c>
      <c r="BS305" s="3" t="n">
        <v>0.03331218477490088</v>
      </c>
      <c r="BT305" s="3" t="n">
        <v>0.03462827005104466</v>
      </c>
      <c r="BU305" s="3" t="n">
        <v>0.03597800920812064</v>
      </c>
      <c r="BV305" s="3" t="n">
        <v>0.03736052811935138</v>
      </c>
      <c r="BW305" s="3" t="n">
        <v>0.03736052811935137</v>
      </c>
      <c r="BY305" s="20" t="inlineStr">
        <is>
          <t>egy.mit.airpol.cost.res.nga.5</t>
        </is>
      </c>
      <c r="BZ305" s="3" t="n">
        <v>0.02540981646862925</v>
      </c>
      <c r="CA305" s="3" t="n">
        <v>0.02540981646862925</v>
      </c>
      <c r="CB305" s="3" t="n">
        <v>0.02415247251193078</v>
      </c>
      <c r="CC305" s="3" t="n">
        <v>0.01716330445007161</v>
      </c>
      <c r="CD305" s="3" t="n">
        <v>0.0195726600867846</v>
      </c>
      <c r="CE305" s="3" t="n">
        <v>0.02031208392783802</v>
      </c>
      <c r="CF305" s="3" t="n">
        <v>0.02218577467532352</v>
      </c>
      <c r="CG305" s="3" t="n">
        <v>0.02396165063641127</v>
      </c>
      <c r="CH305" s="3" t="n">
        <v>0.02561812087969796</v>
      </c>
      <c r="CI305" s="3" t="n">
        <v>0.02616156549724485</v>
      </c>
      <c r="CJ305" s="3" t="n">
        <v>0.02726436383968839</v>
      </c>
      <c r="CK305" s="3" t="n">
        <v>0.02840265172929679</v>
      </c>
      <c r="CL305" s="3" t="n">
        <v>0.02957616692803684</v>
      </c>
      <c r="CM305" s="3" t="n">
        <v>0.03078569615000825</v>
      </c>
      <c r="CN305" s="3" t="n">
        <v>0.03203045268111129</v>
      </c>
      <c r="CO305" s="3" t="n">
        <v>0.03331218477490088</v>
      </c>
      <c r="CP305" s="3" t="n">
        <v>0.03462827005104466</v>
      </c>
      <c r="CQ305" s="3" t="n">
        <v>0.03597800920812064</v>
      </c>
      <c r="CR305" s="3" t="n">
        <v>0.03736052811935138</v>
      </c>
      <c r="CS305" s="3" t="n">
        <v>0.03736052811935137</v>
      </c>
      <c r="CU305" s="20" t="inlineStr">
        <is>
          <t>egy.mit.airpol.cost.res.nga.6</t>
        </is>
      </c>
      <c r="CV305" s="3" t="n">
        <v>0.02540981646862925</v>
      </c>
      <c r="CW305" s="3" t="n">
        <v>0.02540981646862925</v>
      </c>
      <c r="CX305" s="3" t="n">
        <v>0.02415247251193078</v>
      </c>
      <c r="CY305" s="3" t="n">
        <v>0.01716330445007161</v>
      </c>
      <c r="CZ305" s="3" t="n">
        <v>0.0195726600867846</v>
      </c>
      <c r="DA305" s="3" t="n">
        <v>0.02031208392783802</v>
      </c>
      <c r="DB305" s="3" t="n">
        <v>0.02218577467532352</v>
      </c>
      <c r="DC305" s="3" t="n">
        <v>0.02396165063641127</v>
      </c>
      <c r="DD305" s="3" t="n">
        <v>0.02561812087969796</v>
      </c>
      <c r="DE305" s="3" t="n">
        <v>0.02616156549724485</v>
      </c>
      <c r="DF305" s="3" t="n">
        <v>0.02726436383968838</v>
      </c>
      <c r="DG305" s="3" t="n">
        <v>0.0284026517292968</v>
      </c>
      <c r="DH305" s="3" t="n">
        <v>0.02957616692803684</v>
      </c>
      <c r="DI305" s="3" t="n">
        <v>0.03078569615000824</v>
      </c>
      <c r="DJ305" s="3" t="n">
        <v>0.03203045268111129</v>
      </c>
      <c r="DK305" s="3" t="n">
        <v>0.03331218477490088</v>
      </c>
      <c r="DL305" s="3" t="n">
        <v>0.03462827005104466</v>
      </c>
      <c r="DM305" s="3" t="n">
        <v>0.03597800920812064</v>
      </c>
      <c r="DN305" s="3" t="n">
        <v>0.03736052811935138</v>
      </c>
      <c r="DO305" s="3" t="n">
        <v>0.03736052811935137</v>
      </c>
    </row>
    <row r="306">
      <c r="A306" s="19" t="inlineStr">
        <is>
          <t>mit.scc.cost.res.nga</t>
        </is>
      </c>
      <c r="B306" s="3" t="inlineStr">
        <is>
          <t>mit</t>
        </is>
      </c>
      <c r="C306" s="19" t="inlineStr">
        <is>
          <t>mit.scc.cost.nga.res</t>
        </is>
      </c>
      <c r="H306" s="3" t="inlineStr">
        <is>
          <t>Efficient price: climate damage (national SCC) | Residential | Natural gas</t>
        </is>
      </c>
      <c r="I306" s="3" t="inlineStr">
        <is>
          <t>USD per price unit</t>
        </is>
      </c>
      <c r="K306" s="20" t="inlineStr">
        <is>
          <t>egy.mit.scc.cost.res.nga.1</t>
        </is>
      </c>
      <c r="L306" s="3" t="n">
        <v>3.057938507933302</v>
      </c>
      <c r="M306" s="3" t="n">
        <v>3.180256048250635</v>
      </c>
      <c r="N306" s="3" t="n">
        <v>3.30746629018066</v>
      </c>
      <c r="O306" s="3" t="n">
        <v>3.439764941787887</v>
      </c>
      <c r="P306" s="3" t="n">
        <v>3.577355539459402</v>
      </c>
      <c r="Q306" s="3" t="n">
        <v>3.720449761037778</v>
      </c>
      <c r="R306" s="3" t="n">
        <v>3.869267751479289</v>
      </c>
      <c r="S306" s="3" t="n">
        <v>4.024038461538461</v>
      </c>
      <c r="T306" s="3" t="n">
        <v>4.185</v>
      </c>
      <c r="U306" s="3" t="n">
        <v>4.352399999999999</v>
      </c>
      <c r="V306" s="3" t="n">
        <v>4.526496</v>
      </c>
      <c r="W306" s="3" t="n">
        <v>4.707555839999999</v>
      </c>
      <c r="X306" s="3" t="n">
        <v>4.8958580736</v>
      </c>
      <c r="Y306" s="3" t="n">
        <v>5.091692396544</v>
      </c>
      <c r="Z306" s="3" t="n">
        <v>5.295360092405761</v>
      </c>
      <c r="AA306" s="3" t="n">
        <v>5.507174496101992</v>
      </c>
      <c r="AB306" s="3" t="n">
        <v>5.727461475946071</v>
      </c>
      <c r="AC306" s="3" t="n">
        <v>5.956559934983914</v>
      </c>
      <c r="AD306" s="3" t="n">
        <v>6.194822332383271</v>
      </c>
      <c r="AE306" s="3" t="n">
        <v>6.442615225678602</v>
      </c>
      <c r="AG306" s="20" t="inlineStr">
        <is>
          <t>egy.mit.scc.cost.res.nga.3</t>
        </is>
      </c>
      <c r="AH306" s="3" t="n">
        <v>3.057938507933302</v>
      </c>
      <c r="AI306" s="3" t="n">
        <v>3.180256048250635</v>
      </c>
      <c r="AJ306" s="3" t="n">
        <v>3.30746629018066</v>
      </c>
      <c r="AK306" s="3" t="n">
        <v>3.439764941787887</v>
      </c>
      <c r="AL306" s="3" t="n">
        <v>3.577355539459402</v>
      </c>
      <c r="AM306" s="3" t="n">
        <v>3.720449761037778</v>
      </c>
      <c r="AN306" s="3" t="n">
        <v>3.869267751479289</v>
      </c>
      <c r="AO306" s="3" t="n">
        <v>4.024038461538461</v>
      </c>
      <c r="AP306" s="3" t="n">
        <v>4.185</v>
      </c>
      <c r="AQ306" s="3" t="n">
        <v>4.352399999999999</v>
      </c>
      <c r="AR306" s="3" t="n">
        <v>4.526496</v>
      </c>
      <c r="AS306" s="3" t="n">
        <v>4.707555839999999</v>
      </c>
      <c r="AT306" s="3" t="n">
        <v>4.8958580736</v>
      </c>
      <c r="AU306" s="3" t="n">
        <v>5.091692396544</v>
      </c>
      <c r="AV306" s="3" t="n">
        <v>5.295360092405761</v>
      </c>
      <c r="AW306" s="3" t="n">
        <v>5.507174496101992</v>
      </c>
      <c r="AX306" s="3" t="n">
        <v>5.727461475946071</v>
      </c>
      <c r="AY306" s="3" t="n">
        <v>5.956559934983914</v>
      </c>
      <c r="AZ306" s="3" t="n">
        <v>6.194822332383271</v>
      </c>
      <c r="BA306" s="3" t="n">
        <v>6.442615225678602</v>
      </c>
      <c r="BC306" s="20" t="inlineStr">
        <is>
          <t>egy.mit.scc.cost.res.nga.4</t>
        </is>
      </c>
      <c r="BD306" s="3" t="n">
        <v>3.057938507933302</v>
      </c>
      <c r="BE306" s="3" t="n">
        <v>3.180256048250635</v>
      </c>
      <c r="BF306" s="3" t="n">
        <v>3.30746629018066</v>
      </c>
      <c r="BG306" s="3" t="n">
        <v>3.439764941787887</v>
      </c>
      <c r="BH306" s="3" t="n">
        <v>3.577355539459402</v>
      </c>
      <c r="BI306" s="3" t="n">
        <v>3.720449761037778</v>
      </c>
      <c r="BJ306" s="3" t="n">
        <v>3.869267751479289</v>
      </c>
      <c r="BK306" s="3" t="n">
        <v>4.024038461538461</v>
      </c>
      <c r="BL306" s="3" t="n">
        <v>4.185</v>
      </c>
      <c r="BM306" s="3" t="n">
        <v>4.352399999999999</v>
      </c>
      <c r="BN306" s="3" t="n">
        <v>4.526496</v>
      </c>
      <c r="BO306" s="3" t="n">
        <v>4.707555839999999</v>
      </c>
      <c r="BP306" s="3" t="n">
        <v>4.8958580736</v>
      </c>
      <c r="BQ306" s="3" t="n">
        <v>5.091692396544</v>
      </c>
      <c r="BR306" s="3" t="n">
        <v>5.295360092405761</v>
      </c>
      <c r="BS306" s="3" t="n">
        <v>5.507174496101992</v>
      </c>
      <c r="BT306" s="3" t="n">
        <v>5.727461475946071</v>
      </c>
      <c r="BU306" s="3" t="n">
        <v>5.956559934983914</v>
      </c>
      <c r="BV306" s="3" t="n">
        <v>6.194822332383271</v>
      </c>
      <c r="BW306" s="3" t="n">
        <v>6.442615225678602</v>
      </c>
      <c r="BY306" s="20" t="inlineStr">
        <is>
          <t>egy.mit.scc.cost.res.nga.5</t>
        </is>
      </c>
      <c r="BZ306" s="3" t="n">
        <v>3.057938507933302</v>
      </c>
      <c r="CA306" s="3" t="n">
        <v>3.180256048250635</v>
      </c>
      <c r="CB306" s="3" t="n">
        <v>3.30746629018066</v>
      </c>
      <c r="CC306" s="3" t="n">
        <v>3.439764941787887</v>
      </c>
      <c r="CD306" s="3" t="n">
        <v>3.577355539459402</v>
      </c>
      <c r="CE306" s="3" t="n">
        <v>3.720449761037778</v>
      </c>
      <c r="CF306" s="3" t="n">
        <v>3.869267751479289</v>
      </c>
      <c r="CG306" s="3" t="n">
        <v>4.024038461538461</v>
      </c>
      <c r="CH306" s="3" t="n">
        <v>4.185</v>
      </c>
      <c r="CI306" s="3" t="n">
        <v>4.352399999999999</v>
      </c>
      <c r="CJ306" s="3" t="n">
        <v>4.526496</v>
      </c>
      <c r="CK306" s="3" t="n">
        <v>4.707555839999999</v>
      </c>
      <c r="CL306" s="3" t="n">
        <v>4.8958580736</v>
      </c>
      <c r="CM306" s="3" t="n">
        <v>5.091692396544</v>
      </c>
      <c r="CN306" s="3" t="n">
        <v>5.295360092405761</v>
      </c>
      <c r="CO306" s="3" t="n">
        <v>5.507174496101992</v>
      </c>
      <c r="CP306" s="3" t="n">
        <v>5.727461475946071</v>
      </c>
      <c r="CQ306" s="3" t="n">
        <v>5.956559934983914</v>
      </c>
      <c r="CR306" s="3" t="n">
        <v>6.194822332383271</v>
      </c>
      <c r="CS306" s="3" t="n">
        <v>6.442615225678602</v>
      </c>
      <c r="CU306" s="20" t="inlineStr">
        <is>
          <t>egy.mit.scc.cost.res.nga.6</t>
        </is>
      </c>
      <c r="CV306" s="3" t="n">
        <v>3.057938507933302</v>
      </c>
      <c r="CW306" s="3" t="n">
        <v>3.180256048250635</v>
      </c>
      <c r="CX306" s="3" t="n">
        <v>3.30746629018066</v>
      </c>
      <c r="CY306" s="3" t="n">
        <v>3.439764941787887</v>
      </c>
      <c r="CZ306" s="3" t="n">
        <v>3.577355539459402</v>
      </c>
      <c r="DA306" s="3" t="n">
        <v>3.720449761037778</v>
      </c>
      <c r="DB306" s="3" t="n">
        <v>3.869267751479289</v>
      </c>
      <c r="DC306" s="3" t="n">
        <v>4.024038461538461</v>
      </c>
      <c r="DD306" s="3" t="n">
        <v>4.185</v>
      </c>
      <c r="DE306" s="3" t="n">
        <v>4.352399999999999</v>
      </c>
      <c r="DF306" s="3" t="n">
        <v>4.526496</v>
      </c>
      <c r="DG306" s="3" t="n">
        <v>4.707555839999999</v>
      </c>
      <c r="DH306" s="3" t="n">
        <v>4.8958580736</v>
      </c>
      <c r="DI306" s="3" t="n">
        <v>5.091692396544</v>
      </c>
      <c r="DJ306" s="3" t="n">
        <v>5.295360092405761</v>
      </c>
      <c r="DK306" s="3" t="n">
        <v>5.507174496101992</v>
      </c>
      <c r="DL306" s="3" t="n">
        <v>5.727461475946071</v>
      </c>
      <c r="DM306" s="3" t="n">
        <v>5.956559934983914</v>
      </c>
      <c r="DN306" s="3" t="n">
        <v>6.194822332383271</v>
      </c>
      <c r="DO306" s="3" t="n">
        <v>6.442615225678602</v>
      </c>
    </row>
    <row r="307">
      <c r="A307" s="19" t="inlineStr">
        <is>
          <t>mit.vat.cost.res.nga</t>
        </is>
      </c>
      <c r="B307" s="3" t="inlineStr">
        <is>
          <t>mit</t>
        </is>
      </c>
      <c r="C307" s="19" t="inlineStr">
        <is>
          <t>mit.vat.cost.nga.res</t>
        </is>
      </c>
      <c r="H307" s="3" t="inlineStr">
        <is>
          <t>Efficient price: potential VAT | Residential | Natural gas</t>
        </is>
      </c>
      <c r="I307" s="3" t="inlineStr">
        <is>
          <t>USD per price unit</t>
        </is>
      </c>
      <c r="K307" s="20" t="inlineStr">
        <is>
          <t>egy.mit.vat.cost.res.nga.1</t>
        </is>
      </c>
      <c r="L307" s="3" t="n">
        <v>2.807687863043124</v>
      </c>
      <c r="M307" s="3" t="n">
        <v>2.511777236895257</v>
      </c>
      <c r="N307" s="3" t="n">
        <v>2.453102060007342</v>
      </c>
      <c r="O307" s="3" t="n">
        <v>2.461717235181684</v>
      </c>
      <c r="P307" s="3" t="n">
        <v>2.460110359143715</v>
      </c>
      <c r="Q307" s="3" t="n">
        <v>2.505505186064106</v>
      </c>
      <c r="R307" s="3" t="n">
        <v>2.55631403067532</v>
      </c>
      <c r="S307" s="3" t="n">
        <v>2.588814353480098</v>
      </c>
      <c r="T307" s="3" t="n">
        <v>2.614583404272923</v>
      </c>
      <c r="U307" s="3" t="n">
        <v>2.639796985435233</v>
      </c>
      <c r="V307" s="3" t="n">
        <v>2.664324817203175</v>
      </c>
      <c r="W307" s="3" t="n">
        <v>2.689832555107721</v>
      </c>
      <c r="X307" s="3" t="n">
        <v>2.716359159939544</v>
      </c>
      <c r="Y307" s="3" t="n">
        <v>2.74394529924278</v>
      </c>
      <c r="Z307" s="3" t="n">
        <v>2.772633042577781</v>
      </c>
      <c r="AA307" s="3" t="n">
        <v>2.802466501588385</v>
      </c>
      <c r="AB307" s="3" t="n">
        <v>2.833490930705215</v>
      </c>
      <c r="AC307" s="3" t="n">
        <v>2.865753678452504</v>
      </c>
      <c r="AD307" s="3" t="n">
        <v>2.899303966735987</v>
      </c>
      <c r="AE307" s="3" t="n">
        <v>2.933994971797333</v>
      </c>
      <c r="AG307" s="20" t="inlineStr">
        <is>
          <t>egy.mit.vat.cost.res.nga.3</t>
        </is>
      </c>
      <c r="AH307" s="3" t="n">
        <v>2.807687863043124</v>
      </c>
      <c r="AI307" s="3" t="n">
        <v>2.511777236895257</v>
      </c>
      <c r="AJ307" s="3" t="n">
        <v>2.453102060007342</v>
      </c>
      <c r="AK307" s="3" t="n">
        <v>2.461717235181684</v>
      </c>
      <c r="AL307" s="3" t="n">
        <v>2.460110359143715</v>
      </c>
      <c r="AM307" s="3" t="n">
        <v>2.505505186064106</v>
      </c>
      <c r="AN307" s="3" t="n">
        <v>2.55631403067532</v>
      </c>
      <c r="AO307" s="3" t="n">
        <v>2.588814353480098</v>
      </c>
      <c r="AP307" s="3" t="n">
        <v>2.614583404272923</v>
      </c>
      <c r="AQ307" s="3" t="n">
        <v>2.639796985435233</v>
      </c>
      <c r="AR307" s="3" t="n">
        <v>2.664324817203175</v>
      </c>
      <c r="AS307" s="3" t="n">
        <v>2.689832555107721</v>
      </c>
      <c r="AT307" s="3" t="n">
        <v>2.716359159939544</v>
      </c>
      <c r="AU307" s="3" t="n">
        <v>2.74394529924278</v>
      </c>
      <c r="AV307" s="3" t="n">
        <v>2.772633042577781</v>
      </c>
      <c r="AW307" s="3" t="n">
        <v>2.802466501588385</v>
      </c>
      <c r="AX307" s="3" t="n">
        <v>2.833490930705215</v>
      </c>
      <c r="AY307" s="3" t="n">
        <v>2.865753678452504</v>
      </c>
      <c r="AZ307" s="3" t="n">
        <v>2.899303966735987</v>
      </c>
      <c r="BA307" s="3" t="n">
        <v>2.933994971797333</v>
      </c>
      <c r="BC307" s="20" t="inlineStr">
        <is>
          <t>egy.mit.vat.cost.res.nga.4</t>
        </is>
      </c>
      <c r="BD307" s="3" t="n">
        <v>2.807687863043124</v>
      </c>
      <c r="BE307" s="3" t="n">
        <v>2.511777236895257</v>
      </c>
      <c r="BF307" s="3" t="n">
        <v>2.453102060007342</v>
      </c>
      <c r="BG307" s="3" t="n">
        <v>2.461717235181684</v>
      </c>
      <c r="BH307" s="3" t="n">
        <v>2.460110359143715</v>
      </c>
      <c r="BI307" s="3" t="n">
        <v>2.505505186064106</v>
      </c>
      <c r="BJ307" s="3" t="n">
        <v>2.55631403067532</v>
      </c>
      <c r="BK307" s="3" t="n">
        <v>2.588814353480098</v>
      </c>
      <c r="BL307" s="3" t="n">
        <v>2.614583404272923</v>
      </c>
      <c r="BM307" s="3" t="n">
        <v>2.639796985435233</v>
      </c>
      <c r="BN307" s="3" t="n">
        <v>2.664324817203175</v>
      </c>
      <c r="BO307" s="3" t="n">
        <v>2.689832555107721</v>
      </c>
      <c r="BP307" s="3" t="n">
        <v>2.716359159939544</v>
      </c>
      <c r="BQ307" s="3" t="n">
        <v>2.74394529924278</v>
      </c>
      <c r="BR307" s="3" t="n">
        <v>2.772633042577781</v>
      </c>
      <c r="BS307" s="3" t="n">
        <v>2.802466501588385</v>
      </c>
      <c r="BT307" s="3" t="n">
        <v>2.833490930705215</v>
      </c>
      <c r="BU307" s="3" t="n">
        <v>2.865753678452504</v>
      </c>
      <c r="BV307" s="3" t="n">
        <v>2.899303966735987</v>
      </c>
      <c r="BW307" s="3" t="n">
        <v>2.933994971797333</v>
      </c>
      <c r="BY307" s="20" t="inlineStr">
        <is>
          <t>egy.mit.vat.cost.res.nga.5</t>
        </is>
      </c>
      <c r="BZ307" s="3" t="n">
        <v>2.807687863043124</v>
      </c>
      <c r="CA307" s="3" t="n">
        <v>2.511777236895257</v>
      </c>
      <c r="CB307" s="3" t="n">
        <v>2.453102060007342</v>
      </c>
      <c r="CC307" s="3" t="n">
        <v>2.461717235181684</v>
      </c>
      <c r="CD307" s="3" t="n">
        <v>2.460110359143715</v>
      </c>
      <c r="CE307" s="3" t="n">
        <v>2.505505186064106</v>
      </c>
      <c r="CF307" s="3" t="n">
        <v>2.55631403067532</v>
      </c>
      <c r="CG307" s="3" t="n">
        <v>2.588814353480098</v>
      </c>
      <c r="CH307" s="3" t="n">
        <v>2.614583404272923</v>
      </c>
      <c r="CI307" s="3" t="n">
        <v>2.639796985435233</v>
      </c>
      <c r="CJ307" s="3" t="n">
        <v>2.664324817203175</v>
      </c>
      <c r="CK307" s="3" t="n">
        <v>2.689832555107721</v>
      </c>
      <c r="CL307" s="3" t="n">
        <v>2.716359159939544</v>
      </c>
      <c r="CM307" s="3" t="n">
        <v>2.74394529924278</v>
      </c>
      <c r="CN307" s="3" t="n">
        <v>2.772633042577781</v>
      </c>
      <c r="CO307" s="3" t="n">
        <v>2.802466501588385</v>
      </c>
      <c r="CP307" s="3" t="n">
        <v>2.833490930705215</v>
      </c>
      <c r="CQ307" s="3" t="n">
        <v>2.865753678452504</v>
      </c>
      <c r="CR307" s="3" t="n">
        <v>2.899303966735987</v>
      </c>
      <c r="CS307" s="3" t="n">
        <v>2.933994971797333</v>
      </c>
      <c r="CU307" s="20" t="inlineStr">
        <is>
          <t>egy.mit.vat.cost.res.nga.6</t>
        </is>
      </c>
      <c r="CV307" s="3" t="n">
        <v>2.807687863043124</v>
      </c>
      <c r="CW307" s="3" t="n">
        <v>2.511777236895257</v>
      </c>
      <c r="CX307" s="3" t="n">
        <v>2.453102060007342</v>
      </c>
      <c r="CY307" s="3" t="n">
        <v>2.461717235181684</v>
      </c>
      <c r="CZ307" s="3" t="n">
        <v>2.460110359143715</v>
      </c>
      <c r="DA307" s="3" t="n">
        <v>2.505505186064106</v>
      </c>
      <c r="DB307" s="3" t="n">
        <v>2.55631403067532</v>
      </c>
      <c r="DC307" s="3" t="n">
        <v>2.588814353480098</v>
      </c>
      <c r="DD307" s="3" t="n">
        <v>2.614583404272923</v>
      </c>
      <c r="DE307" s="3" t="n">
        <v>2.639796985435233</v>
      </c>
      <c r="DF307" s="3" t="n">
        <v>2.664324817203175</v>
      </c>
      <c r="DG307" s="3" t="n">
        <v>2.689832555107721</v>
      </c>
      <c r="DH307" s="3" t="n">
        <v>2.716359159939544</v>
      </c>
      <c r="DI307" s="3" t="n">
        <v>2.74394529924278</v>
      </c>
      <c r="DJ307" s="3" t="n">
        <v>2.772633042577781</v>
      </c>
      <c r="DK307" s="3" t="n">
        <v>2.802466501588385</v>
      </c>
      <c r="DL307" s="3" t="n">
        <v>2.833490930705215</v>
      </c>
      <c r="DM307" s="3" t="n">
        <v>2.865753678452504</v>
      </c>
      <c r="DN307" s="3" t="n">
        <v>2.899303966735987</v>
      </c>
      <c r="DO307" s="3" t="n">
        <v>2.933994971797333</v>
      </c>
    </row>
    <row r="308">
      <c r="A308" s="19" t="inlineStr">
        <is>
          <t>mit.rp.eff.res.nga</t>
        </is>
      </c>
      <c r="B308" s="3" t="inlineStr">
        <is>
          <t>mit</t>
        </is>
      </c>
      <c r="C308" s="19" t="inlineStr">
        <is>
          <t>mit.rp.nga.res</t>
        </is>
      </c>
      <c r="H308" s="3" t="inlineStr">
        <is>
          <t>Efficient price block: retail price of the scenario | Residential | Natural gas</t>
        </is>
      </c>
      <c r="I308" s="3" t="inlineStr">
        <is>
          <t>USD per price unit</t>
        </is>
      </c>
      <c r="K308" s="20" t="inlineStr">
        <is>
          <t>egy.mit.rp.eff.res.nga.1</t>
        </is>
      </c>
      <c r="L308" s="3" t="n">
        <v>4.956488507231395</v>
      </c>
      <c r="M308" s="3" t="n">
        <v>2.734846935064834</v>
      </c>
      <c r="N308" s="3" t="n">
        <v>1.797160127284108</v>
      </c>
      <c r="O308" s="3" t="n">
        <v>1.797160127284109</v>
      </c>
      <c r="P308" s="3" t="n">
        <v>1.797160127284108</v>
      </c>
      <c r="Q308" s="3" t="n">
        <v>1.797160127284108</v>
      </c>
      <c r="R308" s="3" t="n">
        <v>1.797160127284109</v>
      </c>
      <c r="S308" s="3" t="n">
        <v>1.797160127284108</v>
      </c>
      <c r="T308" s="3" t="n">
        <v>1.797160127284108</v>
      </c>
      <c r="U308" s="3" t="n">
        <v>1.797160127284109</v>
      </c>
      <c r="V308" s="3" t="n">
        <v>1.797160127284108</v>
      </c>
      <c r="W308" s="3" t="n">
        <v>1.797160127284108</v>
      </c>
      <c r="X308" s="3" t="n">
        <v>1.797160127284108</v>
      </c>
      <c r="Y308" s="3" t="n">
        <v>1.797160127284109</v>
      </c>
      <c r="Z308" s="3" t="n">
        <v>1.797160127284109</v>
      </c>
      <c r="AA308" s="3" t="n">
        <v>1.797160127284108</v>
      </c>
      <c r="AB308" s="3" t="n">
        <v>1.797160127284108</v>
      </c>
      <c r="AC308" s="3" t="n">
        <v>1.797160127284108</v>
      </c>
      <c r="AD308" s="3" t="n">
        <v>1.797160127284108</v>
      </c>
      <c r="AE308" s="3" t="n">
        <v>1.797160127284108</v>
      </c>
      <c r="AG308" s="20" t="inlineStr">
        <is>
          <t>egy.mit.rp.eff.res.nga.3</t>
        </is>
      </c>
      <c r="AH308" s="3" t="n">
        <v>4.956488507231395</v>
      </c>
      <c r="AI308" s="3" t="n">
        <v>2.734846935064834</v>
      </c>
      <c r="AJ308" s="3" t="n">
        <v>1.797160127284108</v>
      </c>
      <c r="AK308" s="3" t="n">
        <v>1.797160127284109</v>
      </c>
      <c r="AL308" s="3" t="n">
        <v>1.797160127284108</v>
      </c>
      <c r="AM308" s="3" t="n">
        <v>2.908183250485053</v>
      </c>
      <c r="AN308" s="3" t="n">
        <v>2.908183250485052</v>
      </c>
      <c r="AO308" s="3" t="n">
        <v>2.908183250485052</v>
      </c>
      <c r="AP308" s="3" t="n">
        <v>2.908183250485052</v>
      </c>
      <c r="AQ308" s="3" t="n">
        <v>2.908183250485052</v>
      </c>
      <c r="AR308" s="3" t="n">
        <v>2.908183250485053</v>
      </c>
      <c r="AS308" s="3" t="n">
        <v>2.908183250485052</v>
      </c>
      <c r="AT308" s="3" t="n">
        <v>2.908183250485052</v>
      </c>
      <c r="AU308" s="3" t="n">
        <v>2.908183250485052</v>
      </c>
      <c r="AV308" s="3" t="n">
        <v>2.908183250485053</v>
      </c>
      <c r="AW308" s="3" t="n">
        <v>2.908183250485053</v>
      </c>
      <c r="AX308" s="3" t="n">
        <v>2.908183250485052</v>
      </c>
      <c r="AY308" s="3" t="n">
        <v>2.908183250485053</v>
      </c>
      <c r="AZ308" s="3" t="n">
        <v>2.908183250485052</v>
      </c>
      <c r="BA308" s="3" t="n">
        <v>2.908183250485053</v>
      </c>
      <c r="BC308" s="20" t="inlineStr">
        <is>
          <t>egy.mit.rp.eff.res.nga.4</t>
        </is>
      </c>
      <c r="BD308" s="3" t="n">
        <v>4.956488507231395</v>
      </c>
      <c r="BE308" s="3" t="n">
        <v>2.734846935064834</v>
      </c>
      <c r="BF308" s="3" t="n">
        <v>1.797160127284108</v>
      </c>
      <c r="BG308" s="3" t="n">
        <v>1.797160127284109</v>
      </c>
      <c r="BH308" s="3" t="n">
        <v>1.797160127284108</v>
      </c>
      <c r="BI308" s="3" t="n">
        <v>2.35267168888458</v>
      </c>
      <c r="BJ308" s="3" t="n">
        <v>3.093353771018544</v>
      </c>
      <c r="BK308" s="3" t="n">
        <v>3.834035853152507</v>
      </c>
      <c r="BL308" s="3" t="n">
        <v>4.574717935286468</v>
      </c>
      <c r="BM308" s="3" t="n">
        <v>5.315400017420432</v>
      </c>
      <c r="BN308" s="3" t="n">
        <v>6.056082099554394</v>
      </c>
      <c r="BO308" s="3" t="n">
        <v>6.796764181688356</v>
      </c>
      <c r="BP308" s="3" t="n">
        <v>7.53744626382232</v>
      </c>
      <c r="BQ308" s="3" t="n">
        <v>8.278128345956283</v>
      </c>
      <c r="BR308" s="3" t="n">
        <v>9.018810428090244</v>
      </c>
      <c r="BS308" s="3" t="n">
        <v>9.759492510224208</v>
      </c>
      <c r="BT308" s="3" t="n">
        <v>10.50017459235817</v>
      </c>
      <c r="BU308" s="3" t="n">
        <v>11.24085667449213</v>
      </c>
      <c r="BV308" s="3" t="n">
        <v>11.98153875662609</v>
      </c>
      <c r="BW308" s="3" t="n">
        <v>12.72222083876006</v>
      </c>
      <c r="BY308" s="20" t="inlineStr">
        <is>
          <t>egy.mit.rp.eff.res.nga.5</t>
        </is>
      </c>
      <c r="BZ308" s="3" t="n">
        <v>4.956488507231395</v>
      </c>
      <c r="CA308" s="3" t="n">
        <v>2.734846935064834</v>
      </c>
      <c r="CB308" s="3" t="n">
        <v>1.797160127284108</v>
      </c>
      <c r="CC308" s="3" t="n">
        <v>1.797160127284109</v>
      </c>
      <c r="CD308" s="3" t="n">
        <v>1.797160127284108</v>
      </c>
      <c r="CE308" s="3" t="n">
        <v>3.185939031285288</v>
      </c>
      <c r="CF308" s="3" t="n">
        <v>3.185939031285289</v>
      </c>
      <c r="CG308" s="3" t="n">
        <v>3.185939031285288</v>
      </c>
      <c r="CH308" s="3" t="n">
        <v>3.185939031285288</v>
      </c>
      <c r="CI308" s="3" t="n">
        <v>3.185939031285288</v>
      </c>
      <c r="CJ308" s="3" t="n">
        <v>3.185939031285288</v>
      </c>
      <c r="CK308" s="3" t="n">
        <v>3.185939031285288</v>
      </c>
      <c r="CL308" s="3" t="n">
        <v>3.185939031285288</v>
      </c>
      <c r="CM308" s="3" t="n">
        <v>3.185939031285288</v>
      </c>
      <c r="CN308" s="3" t="n">
        <v>3.185939031285289</v>
      </c>
      <c r="CO308" s="3" t="n">
        <v>3.185939031285288</v>
      </c>
      <c r="CP308" s="3" t="n">
        <v>3.185939031285288</v>
      </c>
      <c r="CQ308" s="3" t="n">
        <v>3.185939031285288</v>
      </c>
      <c r="CR308" s="3" t="n">
        <v>3.185939031285288</v>
      </c>
      <c r="CS308" s="3" t="n">
        <v>3.185939031285288</v>
      </c>
      <c r="CU308" s="20" t="inlineStr">
        <is>
          <t>egy.mit.rp.eff.res.nga.6</t>
        </is>
      </c>
      <c r="CV308" s="3" t="n">
        <v>4.956488507231395</v>
      </c>
      <c r="CW308" s="3" t="n">
        <v>2.734846935064834</v>
      </c>
      <c r="CX308" s="3" t="n">
        <v>1.797160127284108</v>
      </c>
      <c r="CY308" s="3" t="n">
        <v>1.797160127284109</v>
      </c>
      <c r="CZ308" s="3" t="n">
        <v>1.797160127284108</v>
      </c>
      <c r="DA308" s="3" t="n">
        <v>4.574717935286468</v>
      </c>
      <c r="DB308" s="3" t="n">
        <v>4.574717935286468</v>
      </c>
      <c r="DC308" s="3" t="n">
        <v>4.574717935286468</v>
      </c>
      <c r="DD308" s="3" t="n">
        <v>4.574717935286469</v>
      </c>
      <c r="DE308" s="3" t="n">
        <v>4.574717935286468</v>
      </c>
      <c r="DF308" s="3" t="n">
        <v>4.574717935286468</v>
      </c>
      <c r="DG308" s="3" t="n">
        <v>4.574717935286468</v>
      </c>
      <c r="DH308" s="3" t="n">
        <v>4.574717935286468</v>
      </c>
      <c r="DI308" s="3" t="n">
        <v>4.574717935286468</v>
      </c>
      <c r="DJ308" s="3" t="n">
        <v>4.574717935286468</v>
      </c>
      <c r="DK308" s="3" t="n">
        <v>4.574717935286468</v>
      </c>
      <c r="DL308" s="3" t="n">
        <v>4.574717935286468</v>
      </c>
      <c r="DM308" s="3" t="n">
        <v>4.574717935286468</v>
      </c>
      <c r="DN308" s="3" t="n">
        <v>4.574717935286468</v>
      </c>
      <c r="DO308" s="3" t="n">
        <v>4.574717935286468</v>
      </c>
    </row>
    <row r="309">
      <c r="A309" s="19" t="inlineStr">
        <is>
          <t>mit.tgap.res.nga</t>
        </is>
      </c>
      <c r="B309" s="3" t="inlineStr">
        <is>
          <t>mit</t>
        </is>
      </c>
      <c r="C309" s="19" t="inlineStr">
        <is>
          <t>mit.tgap.nga.res</t>
        </is>
      </c>
      <c r="H309" s="3" t="inlineStr">
        <is>
          <t>Tax gap: retail price - efficient price | Residential | Natural gas</t>
        </is>
      </c>
      <c r="I309" s="3" t="inlineStr">
        <is>
          <t>USD per price unit</t>
        </is>
      </c>
      <c r="K309" s="20" t="inlineStr">
        <is>
          <t>egy.mit.tgap.res.nga.1</t>
        </is>
      </c>
      <c r="L309" s="3" t="n">
        <v>-17.90611266326261</v>
      </c>
      <c r="M309" s="3" t="n">
        <v>-17.71819627965368</v>
      </c>
      <c r="N309" s="3" t="n">
        <v>-18.17809950420425</v>
      </c>
      <c r="O309" s="3" t="n">
        <v>-18.2482516449096</v>
      </c>
      <c r="P309" s="3" t="n">
        <v>-18.23516708288614</v>
      </c>
      <c r="Q309" s="3" t="n">
        <v>-18.60481067352361</v>
      </c>
      <c r="R309" s="3" t="n">
        <v>-19.01853983678635</v>
      </c>
      <c r="S309" s="3" t="n">
        <v>-19.28318532248241</v>
      </c>
      <c r="T309" s="3" t="n">
        <v>-19.49301902179541</v>
      </c>
      <c r="U309" s="3" t="n">
        <v>-19.69832961125993</v>
      </c>
      <c r="V309" s="3" t="n">
        <v>-19.89805624137032</v>
      </c>
      <c r="W309" s="3" t="n">
        <v>-20.10576210716447</v>
      </c>
      <c r="X309" s="3" t="n">
        <v>-20.32176446079504</v>
      </c>
      <c r="Y309" s="3" t="n">
        <v>-20.54639445226424</v>
      </c>
      <c r="Z309" s="3" t="n">
        <v>-20.77999464799211</v>
      </c>
      <c r="AA309" s="3" t="n">
        <v>-21.02292424279273</v>
      </c>
      <c r="AB309" s="3" t="n">
        <v>-21.27555173702978</v>
      </c>
      <c r="AC309" s="3" t="n">
        <v>-21.53826268297199</v>
      </c>
      <c r="AD309" s="3" t="n">
        <v>-21.81145788756606</v>
      </c>
      <c r="AE309" s="3" t="n">
        <v>-22.09394178592274</v>
      </c>
      <c r="AG309" s="20" t="inlineStr">
        <is>
          <t>egy.mit.tgap.res.nga.3</t>
        </is>
      </c>
      <c r="AH309" s="3" t="n">
        <v>-17.90611266326261</v>
      </c>
      <c r="AI309" s="3" t="n">
        <v>-17.71819627965368</v>
      </c>
      <c r="AJ309" s="3" t="n">
        <v>-18.17809950420425</v>
      </c>
      <c r="AK309" s="3" t="n">
        <v>-18.2482516449096</v>
      </c>
      <c r="AL309" s="3" t="n">
        <v>-18.23516708288614</v>
      </c>
      <c r="AM309" s="3" t="n">
        <v>-17.49378755032267</v>
      </c>
      <c r="AN309" s="3" t="n">
        <v>-17.90751671358541</v>
      </c>
      <c r="AO309" s="3" t="n">
        <v>-18.17216219928146</v>
      </c>
      <c r="AP309" s="3" t="n">
        <v>-18.38199589859446</v>
      </c>
      <c r="AQ309" s="3" t="n">
        <v>-18.58730648805899</v>
      </c>
      <c r="AR309" s="3" t="n">
        <v>-18.78703311816938</v>
      </c>
      <c r="AS309" s="3" t="n">
        <v>-18.99473898396353</v>
      </c>
      <c r="AT309" s="3" t="n">
        <v>-19.21074133759409</v>
      </c>
      <c r="AU309" s="3" t="n">
        <v>-19.4353713290633</v>
      </c>
      <c r="AV309" s="3" t="n">
        <v>-19.66897152479116</v>
      </c>
      <c r="AW309" s="3" t="n">
        <v>-19.91190111959179</v>
      </c>
      <c r="AX309" s="3" t="n">
        <v>-20.16452861382884</v>
      </c>
      <c r="AY309" s="3" t="n">
        <v>-20.42723955977105</v>
      </c>
      <c r="AZ309" s="3" t="n">
        <v>-20.70043476436512</v>
      </c>
      <c r="BA309" s="3" t="n">
        <v>-20.9829186627218</v>
      </c>
      <c r="BC309" s="20" t="inlineStr">
        <is>
          <t>egy.mit.tgap.res.nga.4</t>
        </is>
      </c>
      <c r="BD309" s="3" t="n">
        <v>-17.90611266326261</v>
      </c>
      <c r="BE309" s="3" t="n">
        <v>-17.71819627965368</v>
      </c>
      <c r="BF309" s="3" t="n">
        <v>-18.17809950420425</v>
      </c>
      <c r="BG309" s="3" t="n">
        <v>-18.2482516449096</v>
      </c>
      <c r="BH309" s="3" t="n">
        <v>-18.23516708288614</v>
      </c>
      <c r="BI309" s="3" t="n">
        <v>-18.04929911192314</v>
      </c>
      <c r="BJ309" s="3" t="n">
        <v>-17.72234619305192</v>
      </c>
      <c r="BK309" s="3" t="n">
        <v>-17.24630959661401</v>
      </c>
      <c r="BL309" s="3" t="n">
        <v>-16.71546121379305</v>
      </c>
      <c r="BM309" s="3" t="n">
        <v>-16.18008972112361</v>
      </c>
      <c r="BN309" s="3" t="n">
        <v>-15.63913426910003</v>
      </c>
      <c r="BO309" s="3" t="n">
        <v>-15.10615805276023</v>
      </c>
      <c r="BP309" s="3" t="n">
        <v>-14.58147832425683</v>
      </c>
      <c r="BQ309" s="3" t="n">
        <v>-14.06542623359207</v>
      </c>
      <c r="BR309" s="3" t="n">
        <v>-13.55834434718597</v>
      </c>
      <c r="BS309" s="3" t="n">
        <v>-13.06059185985263</v>
      </c>
      <c r="BT309" s="3" t="n">
        <v>-12.57253727195572</v>
      </c>
      <c r="BU309" s="3" t="n">
        <v>-12.09456613576397</v>
      </c>
      <c r="BV309" s="3" t="n">
        <v>-11.62707925822408</v>
      </c>
      <c r="BW309" s="3" t="n">
        <v>-11.16888107444679</v>
      </c>
      <c r="BY309" s="20" t="inlineStr">
        <is>
          <t>egy.mit.tgap.res.nga.5</t>
        </is>
      </c>
      <c r="BZ309" s="3" t="n">
        <v>-17.90611266326261</v>
      </c>
      <c r="CA309" s="3" t="n">
        <v>-17.71819627965368</v>
      </c>
      <c r="CB309" s="3" t="n">
        <v>-18.17809950420425</v>
      </c>
      <c r="CC309" s="3" t="n">
        <v>-18.2482516449096</v>
      </c>
      <c r="CD309" s="3" t="n">
        <v>-18.23516708288614</v>
      </c>
      <c r="CE309" s="3" t="n">
        <v>-17.21603176952243</v>
      </c>
      <c r="CF309" s="3" t="n">
        <v>-17.62976093278517</v>
      </c>
      <c r="CG309" s="3" t="n">
        <v>-17.89440641848122</v>
      </c>
      <c r="CH309" s="3" t="n">
        <v>-18.10424011779423</v>
      </c>
      <c r="CI309" s="3" t="n">
        <v>-18.30955070725875</v>
      </c>
      <c r="CJ309" s="3" t="n">
        <v>-18.50927733736914</v>
      </c>
      <c r="CK309" s="3" t="n">
        <v>-18.7169832031633</v>
      </c>
      <c r="CL309" s="3" t="n">
        <v>-18.93298555679386</v>
      </c>
      <c r="CM309" s="3" t="n">
        <v>-19.15761554826307</v>
      </c>
      <c r="CN309" s="3" t="n">
        <v>-19.39121574399093</v>
      </c>
      <c r="CO309" s="3" t="n">
        <v>-19.63414533879155</v>
      </c>
      <c r="CP309" s="3" t="n">
        <v>-19.8867728330286</v>
      </c>
      <c r="CQ309" s="3" t="n">
        <v>-20.14948377897081</v>
      </c>
      <c r="CR309" s="3" t="n">
        <v>-20.42267898356489</v>
      </c>
      <c r="CS309" s="3" t="n">
        <v>-20.70516288192156</v>
      </c>
      <c r="CU309" s="20" t="inlineStr">
        <is>
          <t>egy.mit.tgap.res.nga.6</t>
        </is>
      </c>
      <c r="CV309" s="3" t="n">
        <v>-17.90611266326261</v>
      </c>
      <c r="CW309" s="3" t="n">
        <v>-17.71819627965368</v>
      </c>
      <c r="CX309" s="3" t="n">
        <v>-18.17809950420425</v>
      </c>
      <c r="CY309" s="3" t="n">
        <v>-18.2482516449096</v>
      </c>
      <c r="CZ309" s="3" t="n">
        <v>-18.23516708288614</v>
      </c>
      <c r="DA309" s="3" t="n">
        <v>-15.82725286552125</v>
      </c>
      <c r="DB309" s="3" t="n">
        <v>-16.24098202878399</v>
      </c>
      <c r="DC309" s="3" t="n">
        <v>-16.50562751448005</v>
      </c>
      <c r="DD309" s="3" t="n">
        <v>-16.71546121379305</v>
      </c>
      <c r="DE309" s="3" t="n">
        <v>-16.92077180325757</v>
      </c>
      <c r="DF309" s="3" t="n">
        <v>-17.12049843336796</v>
      </c>
      <c r="DG309" s="3" t="n">
        <v>-17.32820429916211</v>
      </c>
      <c r="DH309" s="3" t="n">
        <v>-17.54420665279268</v>
      </c>
      <c r="DI309" s="3" t="n">
        <v>-17.76883664426189</v>
      </c>
      <c r="DJ309" s="3" t="n">
        <v>-18.00243683998975</v>
      </c>
      <c r="DK309" s="3" t="n">
        <v>-18.24536643479037</v>
      </c>
      <c r="DL309" s="3" t="n">
        <v>-18.49799392902742</v>
      </c>
      <c r="DM309" s="3" t="n">
        <v>-18.76070487496963</v>
      </c>
      <c r="DN309" s="3" t="n">
        <v>-19.0339000795637</v>
      </c>
      <c r="DO309" s="3" t="n">
        <v>-19.31638397792038</v>
      </c>
    </row>
    <row r="310">
      <c r="A310" s="19" t="inlineStr">
        <is>
          <t>mit.txo.res.nga</t>
        </is>
      </c>
      <c r="B310" s="3" t="inlineStr">
        <is>
          <t>mit</t>
        </is>
      </c>
      <c r="C310" s="19" t="inlineStr">
        <is>
          <t>mit.txo.res.nga.a</t>
        </is>
      </c>
      <c r="H310" s="3" t="inlineStr">
        <is>
          <t>Excise and other taxes (before new policies) | Residential | Natural gas</t>
        </is>
      </c>
      <c r="I310" s="3" t="inlineStr">
        <is>
          <t>USD/GJ real</t>
        </is>
      </c>
      <c r="K310" s="20" t="inlineStr">
        <is>
          <t>egy.mit.txo.res.nga.1</t>
        </is>
      </c>
      <c r="L310" s="3" t="n">
        <v>-12.01507647581756</v>
      </c>
      <c r="M310" s="3" t="n">
        <v>-12.00075317803916</v>
      </c>
      <c r="N310" s="3" t="n">
        <v>-12.39337868150431</v>
      </c>
      <c r="O310" s="3" t="n">
        <v>-12.32960616348996</v>
      </c>
      <c r="P310" s="3" t="n">
        <v>-12.17812852419624</v>
      </c>
      <c r="Q310" s="3" t="n">
        <v>-12.35854364249389</v>
      </c>
      <c r="R310" s="3" t="n">
        <v>-12.57077227995642</v>
      </c>
      <c r="S310" s="3" t="n">
        <v>-12.64637085682744</v>
      </c>
      <c r="T310" s="3" t="n">
        <v>-12.66781749664279</v>
      </c>
      <c r="U310" s="3" t="n">
        <v>-12.67997106032746</v>
      </c>
      <c r="V310" s="3" t="n">
        <v>-12.67997106032746</v>
      </c>
      <c r="W310" s="3" t="n">
        <v>-12.67997106032746</v>
      </c>
      <c r="X310" s="3" t="n">
        <v>-12.67997106032746</v>
      </c>
      <c r="Y310" s="3" t="n">
        <v>-12.67997106032746</v>
      </c>
      <c r="Z310" s="3" t="n">
        <v>-12.67997106032746</v>
      </c>
      <c r="AA310" s="3" t="n">
        <v>-12.67997106032746</v>
      </c>
      <c r="AB310" s="3" t="n">
        <v>-12.67997106032746</v>
      </c>
      <c r="AC310" s="3" t="n">
        <v>-12.67997106032746</v>
      </c>
      <c r="AD310" s="3" t="n">
        <v>-12.67997106032746</v>
      </c>
      <c r="AE310" s="3" t="n">
        <v>-12.67997106032746</v>
      </c>
      <c r="AG310" s="20" t="inlineStr">
        <is>
          <t>egy.mit.txo.res.nga.3</t>
        </is>
      </c>
      <c r="AH310" s="3" t="n">
        <v>-12.01507647581756</v>
      </c>
      <c r="AI310" s="3" t="n">
        <v>-12.00075317803916</v>
      </c>
      <c r="AJ310" s="3" t="n">
        <v>-12.39337868150431</v>
      </c>
      <c r="AK310" s="3" t="n">
        <v>-12.32960616348996</v>
      </c>
      <c r="AL310" s="3" t="n">
        <v>-12.17812852419624</v>
      </c>
      <c r="AM310" s="3" t="n">
        <v>-12.35854364249389</v>
      </c>
      <c r="AN310" s="3" t="n">
        <v>-12.57077227995642</v>
      </c>
      <c r="AO310" s="3" t="n">
        <v>-12.64637085682744</v>
      </c>
      <c r="AP310" s="3" t="n">
        <v>-12.66781749664279</v>
      </c>
      <c r="AQ310" s="3" t="n">
        <v>-12.67997106032746</v>
      </c>
      <c r="AR310" s="3" t="n">
        <v>-12.67997106032746</v>
      </c>
      <c r="AS310" s="3" t="n">
        <v>-12.67997106032746</v>
      </c>
      <c r="AT310" s="3" t="n">
        <v>-12.67997106032746</v>
      </c>
      <c r="AU310" s="3" t="n">
        <v>-12.67997106032746</v>
      </c>
      <c r="AV310" s="3" t="n">
        <v>-12.67997106032746</v>
      </c>
      <c r="AW310" s="3" t="n">
        <v>-12.67997106032746</v>
      </c>
      <c r="AX310" s="3" t="n">
        <v>-12.67997106032746</v>
      </c>
      <c r="AY310" s="3" t="n">
        <v>-12.67997106032746</v>
      </c>
      <c r="AZ310" s="3" t="n">
        <v>-12.67997106032746</v>
      </c>
      <c r="BA310" s="3" t="n">
        <v>-12.67997106032746</v>
      </c>
      <c r="BC310" s="20" t="inlineStr">
        <is>
          <t>egy.mit.txo.res.nga.4</t>
        </is>
      </c>
      <c r="BD310" s="3" t="n">
        <v>-12.01507647581756</v>
      </c>
      <c r="BE310" s="3" t="n">
        <v>-12.00075317803916</v>
      </c>
      <c r="BF310" s="3" t="n">
        <v>-12.39337868150431</v>
      </c>
      <c r="BG310" s="3" t="n">
        <v>-12.32960616348996</v>
      </c>
      <c r="BH310" s="3" t="n">
        <v>-12.17812852419624</v>
      </c>
      <c r="BI310" s="3" t="n">
        <v>-12.35854364249389</v>
      </c>
      <c r="BJ310" s="3" t="n">
        <v>-12.57077227995642</v>
      </c>
      <c r="BK310" s="3" t="n">
        <v>-12.64637085682744</v>
      </c>
      <c r="BL310" s="3" t="n">
        <v>-12.66781749664279</v>
      </c>
      <c r="BM310" s="3" t="n">
        <v>-12.67997106032746</v>
      </c>
      <c r="BN310" s="3" t="n">
        <v>-12.67997106032746</v>
      </c>
      <c r="BO310" s="3" t="n">
        <v>-12.67997106032746</v>
      </c>
      <c r="BP310" s="3" t="n">
        <v>-12.67997106032746</v>
      </c>
      <c r="BQ310" s="3" t="n">
        <v>-12.67997106032746</v>
      </c>
      <c r="BR310" s="3" t="n">
        <v>-12.67997106032746</v>
      </c>
      <c r="BS310" s="3" t="n">
        <v>-12.67997106032746</v>
      </c>
      <c r="BT310" s="3" t="n">
        <v>-12.67997106032746</v>
      </c>
      <c r="BU310" s="3" t="n">
        <v>-12.67997106032746</v>
      </c>
      <c r="BV310" s="3" t="n">
        <v>-12.67997106032746</v>
      </c>
      <c r="BW310" s="3" t="n">
        <v>-12.67997106032746</v>
      </c>
      <c r="BY310" s="20" t="inlineStr">
        <is>
          <t>egy.mit.txo.res.nga.5</t>
        </is>
      </c>
      <c r="BZ310" s="3" t="n">
        <v>-12.01507647581756</v>
      </c>
      <c r="CA310" s="3" t="n">
        <v>-12.00075317803916</v>
      </c>
      <c r="CB310" s="3" t="n">
        <v>-12.39337868150431</v>
      </c>
      <c r="CC310" s="3" t="n">
        <v>-12.32960616348996</v>
      </c>
      <c r="CD310" s="3" t="n">
        <v>-12.17812852419624</v>
      </c>
      <c r="CE310" s="3" t="n">
        <v>-12.35854364249389</v>
      </c>
      <c r="CF310" s="3" t="n">
        <v>-12.57077227995642</v>
      </c>
      <c r="CG310" s="3" t="n">
        <v>-12.64637085682744</v>
      </c>
      <c r="CH310" s="3" t="n">
        <v>-12.66781749664279</v>
      </c>
      <c r="CI310" s="3" t="n">
        <v>-12.67997106032746</v>
      </c>
      <c r="CJ310" s="3" t="n">
        <v>-12.67997106032746</v>
      </c>
      <c r="CK310" s="3" t="n">
        <v>-12.67997106032746</v>
      </c>
      <c r="CL310" s="3" t="n">
        <v>-12.67997106032746</v>
      </c>
      <c r="CM310" s="3" t="n">
        <v>-12.67997106032746</v>
      </c>
      <c r="CN310" s="3" t="n">
        <v>-12.67997106032746</v>
      </c>
      <c r="CO310" s="3" t="n">
        <v>-12.67997106032746</v>
      </c>
      <c r="CP310" s="3" t="n">
        <v>-12.67997106032746</v>
      </c>
      <c r="CQ310" s="3" t="n">
        <v>-12.67997106032746</v>
      </c>
      <c r="CR310" s="3" t="n">
        <v>-12.67997106032746</v>
      </c>
      <c r="CS310" s="3" t="n">
        <v>-12.67997106032746</v>
      </c>
      <c r="CU310" s="20" t="inlineStr">
        <is>
          <t>egy.mit.txo.res.nga.6</t>
        </is>
      </c>
      <c r="CV310" s="3" t="n">
        <v>-12.01507647581756</v>
      </c>
      <c r="CW310" s="3" t="n">
        <v>-12.00075317803916</v>
      </c>
      <c r="CX310" s="3" t="n">
        <v>-12.39337868150431</v>
      </c>
      <c r="CY310" s="3" t="n">
        <v>-12.32960616348996</v>
      </c>
      <c r="CZ310" s="3" t="n">
        <v>-12.17812852419624</v>
      </c>
      <c r="DA310" s="3" t="n">
        <v>-12.35854364249389</v>
      </c>
      <c r="DB310" s="3" t="n">
        <v>-12.57077227995642</v>
      </c>
      <c r="DC310" s="3" t="n">
        <v>-12.64637085682744</v>
      </c>
      <c r="DD310" s="3" t="n">
        <v>-12.66781749664279</v>
      </c>
      <c r="DE310" s="3" t="n">
        <v>-12.67997106032746</v>
      </c>
      <c r="DF310" s="3" t="n">
        <v>-12.67997106032746</v>
      </c>
      <c r="DG310" s="3" t="n">
        <v>-12.67997106032746</v>
      </c>
      <c r="DH310" s="3" t="n">
        <v>-12.67997106032746</v>
      </c>
      <c r="DI310" s="3" t="n">
        <v>-12.67997106032746</v>
      </c>
      <c r="DJ310" s="3" t="n">
        <v>-12.67997106032746</v>
      </c>
      <c r="DK310" s="3" t="n">
        <v>-12.67997106032746</v>
      </c>
      <c r="DL310" s="3" t="n">
        <v>-12.67997106032746</v>
      </c>
      <c r="DM310" s="3" t="n">
        <v>-12.67997106032746</v>
      </c>
      <c r="DN310" s="3" t="n">
        <v>-12.67997106032746</v>
      </c>
      <c r="DO310" s="3" t="n">
        <v>-12.67997106032746</v>
      </c>
    </row>
    <row r="311">
      <c r="A311" s="19" t="inlineStr">
        <is>
          <t>mit.txo.co2e.res.nga</t>
        </is>
      </c>
      <c r="B311" s="3" t="inlineStr">
        <is>
          <t>mit</t>
        </is>
      </c>
      <c r="C311" s="19" t="inlineStr">
        <is>
          <t>mit.txo.co2e.nga.res</t>
        </is>
      </c>
      <c r="H311" s="3" t="inlineStr">
        <is>
          <t>Excise and other taxes of scenario 1 per tonne of CO2 | Residential | Natural gas</t>
        </is>
      </c>
      <c r="I311" s="3" t="inlineStr">
        <is>
          <t>USD/tCO2</t>
        </is>
      </c>
      <c r="K311" s="20" t="inlineStr">
        <is>
          <t>egy.mit.txo.co2e.res.nga.1</t>
        </is>
      </c>
      <c r="L311" s="3" t="n">
        <v>-215.3239511795261</v>
      </c>
      <c r="M311" s="3" t="n">
        <v>-215.0672612551821</v>
      </c>
      <c r="N311" s="3" t="n">
        <v>-222.1035606004357</v>
      </c>
      <c r="O311" s="3" t="n">
        <v>-220.9606839335118</v>
      </c>
      <c r="P311" s="3" t="n">
        <v>-218.2460308995742</v>
      </c>
      <c r="Q311" s="3" t="n">
        <v>-221.4792767472024</v>
      </c>
      <c r="R311" s="3" t="n">
        <v>-225.2826573468893</v>
      </c>
      <c r="S311" s="3" t="n">
        <v>-226.6374705524631</v>
      </c>
      <c r="T311" s="3" t="n">
        <v>-227.0218189362506</v>
      </c>
      <c r="U311" s="3" t="n">
        <v>-227.2396247370512</v>
      </c>
      <c r="V311" s="3" t="n">
        <v>-227.2396247370512</v>
      </c>
      <c r="W311" s="3" t="n">
        <v>-227.2396247370512</v>
      </c>
      <c r="X311" s="3" t="n">
        <v>-227.2396247370512</v>
      </c>
      <c r="Y311" s="3" t="n">
        <v>-227.2396247370512</v>
      </c>
      <c r="Z311" s="3" t="n">
        <v>-227.2396247370512</v>
      </c>
      <c r="AA311" s="3" t="n">
        <v>-227.2396247370511</v>
      </c>
      <c r="AB311" s="3" t="n">
        <v>-227.2396247370512</v>
      </c>
      <c r="AC311" s="3" t="n">
        <v>-227.2396247370512</v>
      </c>
      <c r="AD311" s="3" t="n">
        <v>-227.2396247370512</v>
      </c>
      <c r="AE311" s="3" t="n">
        <v>-227.2396247370512</v>
      </c>
      <c r="AG311" s="20" t="inlineStr">
        <is>
          <t>egy.mit.txo.co2e.res.nga.3</t>
        </is>
      </c>
      <c r="AH311" s="3" t="n">
        <v>-215.3239511795261</v>
      </c>
      <c r="AI311" s="3" t="n">
        <v>-215.0672612551821</v>
      </c>
      <c r="AJ311" s="3" t="n">
        <v>-222.1035606004357</v>
      </c>
      <c r="AK311" s="3" t="n">
        <v>-220.9606839335118</v>
      </c>
      <c r="AL311" s="3" t="n">
        <v>-218.2460308995742</v>
      </c>
      <c r="AM311" s="3" t="n">
        <v>-221.4792767472024</v>
      </c>
      <c r="AN311" s="3" t="n">
        <v>-225.2826573468893</v>
      </c>
      <c r="AO311" s="3" t="n">
        <v>-226.6374705524631</v>
      </c>
      <c r="AP311" s="3" t="n">
        <v>-227.0218189362506</v>
      </c>
      <c r="AQ311" s="3" t="n">
        <v>-227.2396247370512</v>
      </c>
      <c r="AR311" s="3" t="n">
        <v>-227.2396247370512</v>
      </c>
      <c r="AS311" s="3" t="n">
        <v>-227.2396247370512</v>
      </c>
      <c r="AT311" s="3" t="n">
        <v>-227.2396247370512</v>
      </c>
      <c r="AU311" s="3" t="n">
        <v>-227.2396247370512</v>
      </c>
      <c r="AV311" s="3" t="n">
        <v>-227.2396247370512</v>
      </c>
      <c r="AW311" s="3" t="n">
        <v>-227.2396247370511</v>
      </c>
      <c r="AX311" s="3" t="n">
        <v>-227.2396247370512</v>
      </c>
      <c r="AY311" s="3" t="n">
        <v>-227.2396247370512</v>
      </c>
      <c r="AZ311" s="3" t="n">
        <v>-227.2396247370512</v>
      </c>
      <c r="BA311" s="3" t="n">
        <v>-227.2396247370512</v>
      </c>
      <c r="BC311" s="20" t="inlineStr">
        <is>
          <t>egy.mit.txo.co2e.res.nga.4</t>
        </is>
      </c>
      <c r="BD311" s="3" t="n">
        <v>-215.3239511795261</v>
      </c>
      <c r="BE311" s="3" t="n">
        <v>-215.0672612551821</v>
      </c>
      <c r="BF311" s="3" t="n">
        <v>-222.1035606004357</v>
      </c>
      <c r="BG311" s="3" t="n">
        <v>-220.9606839335118</v>
      </c>
      <c r="BH311" s="3" t="n">
        <v>-218.2460308995742</v>
      </c>
      <c r="BI311" s="3" t="n">
        <v>-221.4792767472024</v>
      </c>
      <c r="BJ311" s="3" t="n">
        <v>-225.2826573468893</v>
      </c>
      <c r="BK311" s="3" t="n">
        <v>-226.6374705524631</v>
      </c>
      <c r="BL311" s="3" t="n">
        <v>-227.0218189362506</v>
      </c>
      <c r="BM311" s="3" t="n">
        <v>-227.2396247370512</v>
      </c>
      <c r="BN311" s="3" t="n">
        <v>-227.2396247370512</v>
      </c>
      <c r="BO311" s="3" t="n">
        <v>-227.2396247370512</v>
      </c>
      <c r="BP311" s="3" t="n">
        <v>-227.2396247370512</v>
      </c>
      <c r="BQ311" s="3" t="n">
        <v>-227.2396247370512</v>
      </c>
      <c r="BR311" s="3" t="n">
        <v>-227.2396247370512</v>
      </c>
      <c r="BS311" s="3" t="n">
        <v>-227.2396247370511</v>
      </c>
      <c r="BT311" s="3" t="n">
        <v>-227.2396247370512</v>
      </c>
      <c r="BU311" s="3" t="n">
        <v>-227.2396247370512</v>
      </c>
      <c r="BV311" s="3" t="n">
        <v>-227.2396247370512</v>
      </c>
      <c r="BW311" s="3" t="n">
        <v>-227.2396247370512</v>
      </c>
      <c r="BY311" s="20" t="inlineStr">
        <is>
          <t>egy.mit.txo.co2e.res.nga.5</t>
        </is>
      </c>
      <c r="BZ311" s="3" t="n">
        <v>-215.3239511795261</v>
      </c>
      <c r="CA311" s="3" t="n">
        <v>-215.0672612551821</v>
      </c>
      <c r="CB311" s="3" t="n">
        <v>-222.1035606004357</v>
      </c>
      <c r="CC311" s="3" t="n">
        <v>-220.9606839335118</v>
      </c>
      <c r="CD311" s="3" t="n">
        <v>-218.2460308995742</v>
      </c>
      <c r="CE311" s="3" t="n">
        <v>-221.4792767472024</v>
      </c>
      <c r="CF311" s="3" t="n">
        <v>-225.2826573468893</v>
      </c>
      <c r="CG311" s="3" t="n">
        <v>-226.6374705524631</v>
      </c>
      <c r="CH311" s="3" t="n">
        <v>-227.0218189362506</v>
      </c>
      <c r="CI311" s="3" t="n">
        <v>-227.2396247370512</v>
      </c>
      <c r="CJ311" s="3" t="n">
        <v>-227.2396247370512</v>
      </c>
      <c r="CK311" s="3" t="n">
        <v>-227.2396247370512</v>
      </c>
      <c r="CL311" s="3" t="n">
        <v>-227.2396247370512</v>
      </c>
      <c r="CM311" s="3" t="n">
        <v>-227.2396247370512</v>
      </c>
      <c r="CN311" s="3" t="n">
        <v>-227.2396247370512</v>
      </c>
      <c r="CO311" s="3" t="n">
        <v>-227.2396247370511</v>
      </c>
      <c r="CP311" s="3" t="n">
        <v>-227.2396247370512</v>
      </c>
      <c r="CQ311" s="3" t="n">
        <v>-227.2396247370512</v>
      </c>
      <c r="CR311" s="3" t="n">
        <v>-227.2396247370512</v>
      </c>
      <c r="CS311" s="3" t="n">
        <v>-227.2396247370512</v>
      </c>
      <c r="CU311" s="20" t="inlineStr">
        <is>
          <t>egy.mit.txo.co2e.res.nga.6</t>
        </is>
      </c>
      <c r="CV311" s="3" t="n">
        <v>-215.3239511795261</v>
      </c>
      <c r="CW311" s="3" t="n">
        <v>-215.0672612551821</v>
      </c>
      <c r="CX311" s="3" t="n">
        <v>-222.1035606004357</v>
      </c>
      <c r="CY311" s="3" t="n">
        <v>-220.9606839335118</v>
      </c>
      <c r="CZ311" s="3" t="n">
        <v>-218.2460308995742</v>
      </c>
      <c r="DA311" s="3" t="n">
        <v>-221.4792767472024</v>
      </c>
      <c r="DB311" s="3" t="n">
        <v>-225.2826573468893</v>
      </c>
      <c r="DC311" s="3" t="n">
        <v>-226.6374705524631</v>
      </c>
      <c r="DD311" s="3" t="n">
        <v>-227.0218189362506</v>
      </c>
      <c r="DE311" s="3" t="n">
        <v>-227.2396247370512</v>
      </c>
      <c r="DF311" s="3" t="n">
        <v>-227.2396247370512</v>
      </c>
      <c r="DG311" s="3" t="n">
        <v>-227.2396247370512</v>
      </c>
      <c r="DH311" s="3" t="n">
        <v>-227.2396247370512</v>
      </c>
      <c r="DI311" s="3" t="n">
        <v>-227.2396247370512</v>
      </c>
      <c r="DJ311" s="3" t="n">
        <v>-227.2396247370512</v>
      </c>
      <c r="DK311" s="3" t="n">
        <v>-227.2396247370511</v>
      </c>
      <c r="DL311" s="3" t="n">
        <v>-227.2396247370512</v>
      </c>
      <c r="DM311" s="3" t="n">
        <v>-227.2396247370512</v>
      </c>
      <c r="DN311" s="3" t="n">
        <v>-227.2396247370512</v>
      </c>
      <c r="DO311" s="3" t="n">
        <v>-227.2396247370512</v>
      </c>
    </row>
    <row r="312">
      <c r="A312" s="19" t="inlineStr">
        <is>
          <t>mit.pig.res.nga</t>
        </is>
      </c>
      <c r="B312" s="3" t="inlineStr">
        <is>
          <t>mit</t>
        </is>
      </c>
      <c r="C312" s="19" t="inlineStr">
        <is>
          <t>mit.pig.nga.res</t>
        </is>
      </c>
      <c r="H312" s="3" t="inlineStr">
        <is>
          <t>Pigouvian tax: all externalities (reference) | Residential | Natural gas</t>
        </is>
      </c>
      <c r="I312" s="3" t="inlineStr">
        <is>
          <t>USD per price unit</t>
        </is>
      </c>
      <c r="K312" s="20" t="inlineStr">
        <is>
          <t>egy.mit.pig.res.nga.1</t>
        </is>
      </c>
      <c r="L312" s="3" t="n">
        <v>3.083348324401932</v>
      </c>
      <c r="M312" s="3" t="n">
        <v>3.205665864719264</v>
      </c>
      <c r="N312" s="3" t="n">
        <v>3.331618762692591</v>
      </c>
      <c r="O312" s="3" t="n">
        <v>3.456928246237958</v>
      </c>
      <c r="P312" s="3" t="n">
        <v>3.596928199546186</v>
      </c>
      <c r="Q312" s="3" t="n">
        <v>3.740761844965616</v>
      </c>
      <c r="R312" s="3" t="n">
        <v>3.891453526154613</v>
      </c>
      <c r="S312" s="3" t="n">
        <v>4.048000112174872</v>
      </c>
      <c r="T312" s="3" t="n">
        <v>4.210618120879698</v>
      </c>
      <c r="U312" s="3" t="n">
        <v>4.378561565497244</v>
      </c>
      <c r="V312" s="3" t="n">
        <v>4.553760363839689</v>
      </c>
      <c r="W312" s="3" t="n">
        <v>4.735958491729297</v>
      </c>
      <c r="X312" s="3" t="n">
        <v>4.925434240528038</v>
      </c>
      <c r="Y312" s="3" t="n">
        <v>5.122478092694009</v>
      </c>
      <c r="Z312" s="3" t="n">
        <v>5.327390545086872</v>
      </c>
      <c r="AA312" s="3" t="n">
        <v>5.540486680876892</v>
      </c>
      <c r="AB312" s="3" t="n">
        <v>5.762089745997115</v>
      </c>
      <c r="AC312" s="3" t="n">
        <v>5.992537944192034</v>
      </c>
      <c r="AD312" s="3" t="n">
        <v>6.232182860502622</v>
      </c>
      <c r="AE312" s="3" t="n">
        <v>6.479975753797953</v>
      </c>
      <c r="AG312" s="20" t="inlineStr">
        <is>
          <t>egy.mit.pig.res.nga.3</t>
        </is>
      </c>
      <c r="AH312" s="3" t="n">
        <v>3.083348324401932</v>
      </c>
      <c r="AI312" s="3" t="n">
        <v>3.205665864719264</v>
      </c>
      <c r="AJ312" s="3" t="n">
        <v>3.331618762692591</v>
      </c>
      <c r="AK312" s="3" t="n">
        <v>3.456928246237958</v>
      </c>
      <c r="AL312" s="3" t="n">
        <v>3.596928199546186</v>
      </c>
      <c r="AM312" s="3" t="n">
        <v>3.740761844965616</v>
      </c>
      <c r="AN312" s="3" t="n">
        <v>3.891453526154613</v>
      </c>
      <c r="AO312" s="3" t="n">
        <v>4.048000112174872</v>
      </c>
      <c r="AP312" s="3" t="n">
        <v>4.210618120879698</v>
      </c>
      <c r="AQ312" s="3" t="n">
        <v>4.378561565497244</v>
      </c>
      <c r="AR312" s="3" t="n">
        <v>4.553760363839689</v>
      </c>
      <c r="AS312" s="3" t="n">
        <v>4.735958491729297</v>
      </c>
      <c r="AT312" s="3" t="n">
        <v>4.925434240528038</v>
      </c>
      <c r="AU312" s="3" t="n">
        <v>5.122478092694009</v>
      </c>
      <c r="AV312" s="3" t="n">
        <v>5.327390545086872</v>
      </c>
      <c r="AW312" s="3" t="n">
        <v>5.540486680876892</v>
      </c>
      <c r="AX312" s="3" t="n">
        <v>5.762089745997115</v>
      </c>
      <c r="AY312" s="3" t="n">
        <v>5.992537944192034</v>
      </c>
      <c r="AZ312" s="3" t="n">
        <v>6.232182860502622</v>
      </c>
      <c r="BA312" s="3" t="n">
        <v>6.479975753797953</v>
      </c>
      <c r="BC312" s="20" t="inlineStr">
        <is>
          <t>egy.mit.pig.res.nga.4</t>
        </is>
      </c>
      <c r="BD312" s="3" t="n">
        <v>3.083348324401932</v>
      </c>
      <c r="BE312" s="3" t="n">
        <v>3.205665864719264</v>
      </c>
      <c r="BF312" s="3" t="n">
        <v>3.331618762692591</v>
      </c>
      <c r="BG312" s="3" t="n">
        <v>3.456928246237958</v>
      </c>
      <c r="BH312" s="3" t="n">
        <v>3.596928199546186</v>
      </c>
      <c r="BI312" s="3" t="n">
        <v>3.740761844965616</v>
      </c>
      <c r="BJ312" s="3" t="n">
        <v>3.891453526154613</v>
      </c>
      <c r="BK312" s="3" t="n">
        <v>4.048000112174872</v>
      </c>
      <c r="BL312" s="3" t="n">
        <v>4.210618120879698</v>
      </c>
      <c r="BM312" s="3" t="n">
        <v>4.378561565497244</v>
      </c>
      <c r="BN312" s="3" t="n">
        <v>4.553760363839689</v>
      </c>
      <c r="BO312" s="3" t="n">
        <v>4.735958491729297</v>
      </c>
      <c r="BP312" s="3" t="n">
        <v>4.925434240528038</v>
      </c>
      <c r="BQ312" s="3" t="n">
        <v>5.122478092694009</v>
      </c>
      <c r="BR312" s="3" t="n">
        <v>5.327390545086872</v>
      </c>
      <c r="BS312" s="3" t="n">
        <v>5.540486680876892</v>
      </c>
      <c r="BT312" s="3" t="n">
        <v>5.762089745997115</v>
      </c>
      <c r="BU312" s="3" t="n">
        <v>5.992537944192034</v>
      </c>
      <c r="BV312" s="3" t="n">
        <v>6.232182860502622</v>
      </c>
      <c r="BW312" s="3" t="n">
        <v>6.479975753797953</v>
      </c>
      <c r="BY312" s="20" t="inlineStr">
        <is>
          <t>egy.mit.pig.res.nga.5</t>
        </is>
      </c>
      <c r="BZ312" s="3" t="n">
        <v>3.083348324401932</v>
      </c>
      <c r="CA312" s="3" t="n">
        <v>3.205665864719264</v>
      </c>
      <c r="CB312" s="3" t="n">
        <v>3.331618762692591</v>
      </c>
      <c r="CC312" s="3" t="n">
        <v>3.456928246237958</v>
      </c>
      <c r="CD312" s="3" t="n">
        <v>3.596928199546186</v>
      </c>
      <c r="CE312" s="3" t="n">
        <v>3.740761844965616</v>
      </c>
      <c r="CF312" s="3" t="n">
        <v>3.891453526154613</v>
      </c>
      <c r="CG312" s="3" t="n">
        <v>4.048000112174872</v>
      </c>
      <c r="CH312" s="3" t="n">
        <v>4.210618120879698</v>
      </c>
      <c r="CI312" s="3" t="n">
        <v>4.378561565497244</v>
      </c>
      <c r="CJ312" s="3" t="n">
        <v>4.553760363839689</v>
      </c>
      <c r="CK312" s="3" t="n">
        <v>4.735958491729297</v>
      </c>
      <c r="CL312" s="3" t="n">
        <v>4.925434240528038</v>
      </c>
      <c r="CM312" s="3" t="n">
        <v>5.122478092694009</v>
      </c>
      <c r="CN312" s="3" t="n">
        <v>5.327390545086872</v>
      </c>
      <c r="CO312" s="3" t="n">
        <v>5.540486680876892</v>
      </c>
      <c r="CP312" s="3" t="n">
        <v>5.762089745997115</v>
      </c>
      <c r="CQ312" s="3" t="n">
        <v>5.992537944192034</v>
      </c>
      <c r="CR312" s="3" t="n">
        <v>6.232182860502622</v>
      </c>
      <c r="CS312" s="3" t="n">
        <v>6.479975753797953</v>
      </c>
      <c r="CU312" s="20" t="inlineStr">
        <is>
          <t>egy.mit.pig.res.nga.6</t>
        </is>
      </c>
      <c r="CV312" s="3" t="n">
        <v>3.083348324401932</v>
      </c>
      <c r="CW312" s="3" t="n">
        <v>3.205665864719264</v>
      </c>
      <c r="CX312" s="3" t="n">
        <v>3.331618762692591</v>
      </c>
      <c r="CY312" s="3" t="n">
        <v>3.456928246237958</v>
      </c>
      <c r="CZ312" s="3" t="n">
        <v>3.596928199546186</v>
      </c>
      <c r="DA312" s="3" t="n">
        <v>3.740761844965616</v>
      </c>
      <c r="DB312" s="3" t="n">
        <v>3.891453526154613</v>
      </c>
      <c r="DC312" s="3" t="n">
        <v>4.048000112174872</v>
      </c>
      <c r="DD312" s="3" t="n">
        <v>4.210618120879698</v>
      </c>
      <c r="DE312" s="3" t="n">
        <v>4.378561565497244</v>
      </c>
      <c r="DF312" s="3" t="n">
        <v>4.553760363839689</v>
      </c>
      <c r="DG312" s="3" t="n">
        <v>4.735958491729297</v>
      </c>
      <c r="DH312" s="3" t="n">
        <v>4.925434240528038</v>
      </c>
      <c r="DI312" s="3" t="n">
        <v>5.122478092694009</v>
      </c>
      <c r="DJ312" s="3" t="n">
        <v>5.327390545086872</v>
      </c>
      <c r="DK312" s="3" t="n">
        <v>5.540486680876892</v>
      </c>
      <c r="DL312" s="3" t="n">
        <v>5.762089745997115</v>
      </c>
      <c r="DM312" s="3" t="n">
        <v>5.992537944192034</v>
      </c>
      <c r="DN312" s="3" t="n">
        <v>6.232182860502622</v>
      </c>
      <c r="DO312" s="3" t="n">
        <v>6.479975753797953</v>
      </c>
    </row>
    <row r="313">
      <c r="A313" s="19" t="inlineStr">
        <is>
          <t>mit.pig.co2e.res.nga</t>
        </is>
      </c>
      <c r="B313" s="3" t="inlineStr">
        <is>
          <t>mit</t>
        </is>
      </c>
      <c r="C313" s="19" t="inlineStr">
        <is>
          <t>mit.pig.co2e.nga.res</t>
        </is>
      </c>
      <c r="H313" s="3" t="inlineStr">
        <is>
          <t>Pigouvian tax per tonne of CO2 (fuel lines; avg: weighted by the fuel use of the scenario) | Residential | Natural gas</t>
        </is>
      </c>
      <c r="I313" s="3" t="inlineStr">
        <is>
          <t>USD/tCO2</t>
        </is>
      </c>
      <c r="K313" s="20" t="inlineStr">
        <is>
          <t>egy.mit.pig.co2e.res.nga.1</t>
        </is>
      </c>
      <c r="L313" s="3" t="n">
        <v>55.25713843014215</v>
      </c>
      <c r="M313" s="3" t="n">
        <v>57.4492090451481</v>
      </c>
      <c r="N313" s="3" t="n">
        <v>59.70642943893533</v>
      </c>
      <c r="O313" s="3" t="n">
        <v>61.95211910820714</v>
      </c>
      <c r="P313" s="3" t="n">
        <v>64.46107884491374</v>
      </c>
      <c r="Q313" s="3" t="n">
        <v>67.03874274131928</v>
      </c>
      <c r="R313" s="3" t="n">
        <v>69.73931050456297</v>
      </c>
      <c r="S313" s="3" t="n">
        <v>72.54480487768589</v>
      </c>
      <c r="T313" s="3" t="n">
        <v>75.45910610895515</v>
      </c>
      <c r="U313" s="3" t="n">
        <v>78.46884525980725</v>
      </c>
      <c r="V313" s="3" t="n">
        <v>81.60860867096217</v>
      </c>
      <c r="W313" s="3" t="n">
        <v>84.87380809550712</v>
      </c>
      <c r="X313" s="3" t="n">
        <v>88.2694308338358</v>
      </c>
      <c r="Y313" s="3" t="n">
        <v>91.80068266476719</v>
      </c>
      <c r="Z313" s="3" t="n">
        <v>95.47294883668229</v>
      </c>
      <c r="AA313" s="3" t="n">
        <v>99.29187600137801</v>
      </c>
      <c r="AB313" s="3" t="n">
        <v>103.2632570967225</v>
      </c>
      <c r="AC313" s="3" t="n">
        <v>107.3931531217211</v>
      </c>
      <c r="AD313" s="3" t="n">
        <v>111.6878648835595</v>
      </c>
      <c r="AE313" s="3" t="n">
        <v>116.1285977383146</v>
      </c>
      <c r="AG313" s="20" t="inlineStr">
        <is>
          <t>egy.mit.pig.co2e.res.nga.3</t>
        </is>
      </c>
      <c r="AH313" s="3" t="n">
        <v>55.25713843014215</v>
      </c>
      <c r="AI313" s="3" t="n">
        <v>57.4492090451481</v>
      </c>
      <c r="AJ313" s="3" t="n">
        <v>59.70642943893533</v>
      </c>
      <c r="AK313" s="3" t="n">
        <v>61.95211910820714</v>
      </c>
      <c r="AL313" s="3" t="n">
        <v>64.46107884491374</v>
      </c>
      <c r="AM313" s="3" t="n">
        <v>67.03874274131928</v>
      </c>
      <c r="AN313" s="3" t="n">
        <v>69.73931050456297</v>
      </c>
      <c r="AO313" s="3" t="n">
        <v>72.54480487768589</v>
      </c>
      <c r="AP313" s="3" t="n">
        <v>75.45910610895515</v>
      </c>
      <c r="AQ313" s="3" t="n">
        <v>78.46884525980725</v>
      </c>
      <c r="AR313" s="3" t="n">
        <v>81.60860867096217</v>
      </c>
      <c r="AS313" s="3" t="n">
        <v>84.87380809550712</v>
      </c>
      <c r="AT313" s="3" t="n">
        <v>88.2694308338358</v>
      </c>
      <c r="AU313" s="3" t="n">
        <v>91.80068266476719</v>
      </c>
      <c r="AV313" s="3" t="n">
        <v>95.47294883668229</v>
      </c>
      <c r="AW313" s="3" t="n">
        <v>99.29187600137801</v>
      </c>
      <c r="AX313" s="3" t="n">
        <v>103.2632570967225</v>
      </c>
      <c r="AY313" s="3" t="n">
        <v>107.3931531217211</v>
      </c>
      <c r="AZ313" s="3" t="n">
        <v>111.6878648835595</v>
      </c>
      <c r="BA313" s="3" t="n">
        <v>116.1285977383146</v>
      </c>
      <c r="BC313" s="20" t="inlineStr">
        <is>
          <t>egy.mit.pig.co2e.res.nga.4</t>
        </is>
      </c>
      <c r="BD313" s="3" t="n">
        <v>55.25713843014215</v>
      </c>
      <c r="BE313" s="3" t="n">
        <v>57.4492090451481</v>
      </c>
      <c r="BF313" s="3" t="n">
        <v>59.70642943893533</v>
      </c>
      <c r="BG313" s="3" t="n">
        <v>61.95211910820714</v>
      </c>
      <c r="BH313" s="3" t="n">
        <v>64.46107884491374</v>
      </c>
      <c r="BI313" s="3" t="n">
        <v>67.03874274131928</v>
      </c>
      <c r="BJ313" s="3" t="n">
        <v>69.73931050456297</v>
      </c>
      <c r="BK313" s="3" t="n">
        <v>72.54480487768589</v>
      </c>
      <c r="BL313" s="3" t="n">
        <v>75.45910610895515</v>
      </c>
      <c r="BM313" s="3" t="n">
        <v>78.46884525980725</v>
      </c>
      <c r="BN313" s="3" t="n">
        <v>81.60860867096217</v>
      </c>
      <c r="BO313" s="3" t="n">
        <v>84.87380809550712</v>
      </c>
      <c r="BP313" s="3" t="n">
        <v>88.2694308338358</v>
      </c>
      <c r="BQ313" s="3" t="n">
        <v>91.80068266476719</v>
      </c>
      <c r="BR313" s="3" t="n">
        <v>95.47294883668229</v>
      </c>
      <c r="BS313" s="3" t="n">
        <v>99.29187600137801</v>
      </c>
      <c r="BT313" s="3" t="n">
        <v>103.2632570967225</v>
      </c>
      <c r="BU313" s="3" t="n">
        <v>107.3931531217211</v>
      </c>
      <c r="BV313" s="3" t="n">
        <v>111.6878648835595</v>
      </c>
      <c r="BW313" s="3" t="n">
        <v>116.1285977383146</v>
      </c>
      <c r="BY313" s="20" t="inlineStr">
        <is>
          <t>egy.mit.pig.co2e.res.nga.5</t>
        </is>
      </c>
      <c r="BZ313" s="3" t="n">
        <v>55.25713843014215</v>
      </c>
      <c r="CA313" s="3" t="n">
        <v>57.4492090451481</v>
      </c>
      <c r="CB313" s="3" t="n">
        <v>59.70642943893533</v>
      </c>
      <c r="CC313" s="3" t="n">
        <v>61.95211910820714</v>
      </c>
      <c r="CD313" s="3" t="n">
        <v>64.46107884491374</v>
      </c>
      <c r="CE313" s="3" t="n">
        <v>67.03874274131928</v>
      </c>
      <c r="CF313" s="3" t="n">
        <v>69.73931050456297</v>
      </c>
      <c r="CG313" s="3" t="n">
        <v>72.54480487768589</v>
      </c>
      <c r="CH313" s="3" t="n">
        <v>75.45910610895515</v>
      </c>
      <c r="CI313" s="3" t="n">
        <v>78.46884525980725</v>
      </c>
      <c r="CJ313" s="3" t="n">
        <v>81.60860867096217</v>
      </c>
      <c r="CK313" s="3" t="n">
        <v>84.87380809550712</v>
      </c>
      <c r="CL313" s="3" t="n">
        <v>88.2694308338358</v>
      </c>
      <c r="CM313" s="3" t="n">
        <v>91.80068266476719</v>
      </c>
      <c r="CN313" s="3" t="n">
        <v>95.47294883668229</v>
      </c>
      <c r="CO313" s="3" t="n">
        <v>99.29187600137801</v>
      </c>
      <c r="CP313" s="3" t="n">
        <v>103.2632570967225</v>
      </c>
      <c r="CQ313" s="3" t="n">
        <v>107.3931531217211</v>
      </c>
      <c r="CR313" s="3" t="n">
        <v>111.6878648835595</v>
      </c>
      <c r="CS313" s="3" t="n">
        <v>116.1285977383146</v>
      </c>
      <c r="CU313" s="20" t="inlineStr">
        <is>
          <t>egy.mit.pig.co2e.res.nga.6</t>
        </is>
      </c>
      <c r="CV313" s="3" t="n">
        <v>55.25713843014215</v>
      </c>
      <c r="CW313" s="3" t="n">
        <v>57.4492090451481</v>
      </c>
      <c r="CX313" s="3" t="n">
        <v>59.70642943893533</v>
      </c>
      <c r="CY313" s="3" t="n">
        <v>61.95211910820714</v>
      </c>
      <c r="CZ313" s="3" t="n">
        <v>64.46107884491374</v>
      </c>
      <c r="DA313" s="3" t="n">
        <v>67.03874274131928</v>
      </c>
      <c r="DB313" s="3" t="n">
        <v>69.73931050456297</v>
      </c>
      <c r="DC313" s="3" t="n">
        <v>72.54480487768589</v>
      </c>
      <c r="DD313" s="3" t="n">
        <v>75.45910610895515</v>
      </c>
      <c r="DE313" s="3" t="n">
        <v>78.46884525980725</v>
      </c>
      <c r="DF313" s="3" t="n">
        <v>81.60860867096217</v>
      </c>
      <c r="DG313" s="3" t="n">
        <v>84.87380809550712</v>
      </c>
      <c r="DH313" s="3" t="n">
        <v>88.2694308338358</v>
      </c>
      <c r="DI313" s="3" t="n">
        <v>91.80068266476719</v>
      </c>
      <c r="DJ313" s="3" t="n">
        <v>95.47294883668229</v>
      </c>
      <c r="DK313" s="3" t="n">
        <v>99.29187600137801</v>
      </c>
      <c r="DL313" s="3" t="n">
        <v>103.2632570967225</v>
      </c>
      <c r="DM313" s="3" t="n">
        <v>107.3931531217211</v>
      </c>
      <c r="DN313" s="3" t="n">
        <v>111.6878648835595</v>
      </c>
      <c r="DO313" s="3" t="n">
        <v>116.1285977383146</v>
      </c>
    </row>
    <row r="314">
      <c r="A314" s="19" t="inlineStr">
        <is>
          <t>mit.eff.price.pow.nga</t>
        </is>
      </c>
      <c r="B314" s="3" t="inlineStr">
        <is>
          <t>mit</t>
        </is>
      </c>
      <c r="C314" s="19" t="inlineStr">
        <is>
          <t>mit.eff.price.nga.pow</t>
        </is>
      </c>
      <c r="H314" s="3" t="inlineStr">
        <is>
          <t>Efficient price | Power | Natural gas</t>
        </is>
      </c>
      <c r="I314" s="3" t="inlineStr">
        <is>
          <t>USD per price unit</t>
        </is>
      </c>
      <c r="K314" s="20" t="inlineStr">
        <is>
          <t>egy.mit.eff.price.pow.nga.1</t>
        </is>
      </c>
      <c r="L314" s="3" t="n">
        <v>15.0445350246563</v>
      </c>
      <c r="M314" s="3" t="n">
        <v>13.07484630861803</v>
      </c>
      <c r="N314" s="3" t="n">
        <v>12.56335521643026</v>
      </c>
      <c r="O314" s="3" t="n">
        <v>12.60243699992209</v>
      </c>
      <c r="P314" s="3" t="n">
        <v>12.80544235816311</v>
      </c>
      <c r="Q314" s="3" t="n">
        <v>12.92345276351238</v>
      </c>
      <c r="R314" s="3" t="n">
        <v>13.05781043513399</v>
      </c>
      <c r="S314" s="3" t="n">
        <v>13.22345230330444</v>
      </c>
      <c r="T314" s="3" t="n">
        <v>13.40406202498537</v>
      </c>
      <c r="U314" s="3" t="n">
        <v>13.57632300155072</v>
      </c>
      <c r="V314" s="3" t="n">
        <v>13.76592004948052</v>
      </c>
      <c r="W314" s="3" t="n">
        <v>13.96293564603915</v>
      </c>
      <c r="X314" s="3" t="n">
        <v>14.16764112058923</v>
      </c>
      <c r="Y314" s="3" t="n">
        <v>14.38033440759838</v>
      </c>
      <c r="Z314" s="3" t="n">
        <v>14.60130183492247</v>
      </c>
      <c r="AA314" s="3" t="n">
        <v>14.83087900995602</v>
      </c>
      <c r="AB314" s="3" t="n">
        <v>15.06934997537247</v>
      </c>
      <c r="AC314" s="3" t="n">
        <v>15.31704018491349</v>
      </c>
      <c r="AD314" s="3" t="n">
        <v>15.57428619260744</v>
      </c>
      <c r="AE314" s="3" t="n">
        <v>15.82090056775088</v>
      </c>
      <c r="AG314" s="20" t="inlineStr">
        <is>
          <t>egy.mit.eff.price.pow.nga.3</t>
        </is>
      </c>
      <c r="AH314" s="3" t="n">
        <v>15.0445350246563</v>
      </c>
      <c r="AI314" s="3" t="n">
        <v>13.07484630861803</v>
      </c>
      <c r="AJ314" s="3" t="n">
        <v>12.56335521643026</v>
      </c>
      <c r="AK314" s="3" t="n">
        <v>12.60243699992209</v>
      </c>
      <c r="AL314" s="3" t="n">
        <v>12.80544235816311</v>
      </c>
      <c r="AM314" s="3" t="n">
        <v>12.92345276351238</v>
      </c>
      <c r="AN314" s="3" t="n">
        <v>13.05781043513399</v>
      </c>
      <c r="AO314" s="3" t="n">
        <v>13.22345230330444</v>
      </c>
      <c r="AP314" s="3" t="n">
        <v>13.40406202498537</v>
      </c>
      <c r="AQ314" s="3" t="n">
        <v>13.57632300155072</v>
      </c>
      <c r="AR314" s="3" t="n">
        <v>13.76592004948052</v>
      </c>
      <c r="AS314" s="3" t="n">
        <v>13.96293564603915</v>
      </c>
      <c r="AT314" s="3" t="n">
        <v>14.16764112058923</v>
      </c>
      <c r="AU314" s="3" t="n">
        <v>14.38033440759838</v>
      </c>
      <c r="AV314" s="3" t="n">
        <v>14.60130183492247</v>
      </c>
      <c r="AW314" s="3" t="n">
        <v>14.83087900995602</v>
      </c>
      <c r="AX314" s="3" t="n">
        <v>15.06934997537247</v>
      </c>
      <c r="AY314" s="3" t="n">
        <v>15.31704018491349</v>
      </c>
      <c r="AZ314" s="3" t="n">
        <v>15.57428619260744</v>
      </c>
      <c r="BA314" s="3" t="n">
        <v>15.82090056775088</v>
      </c>
      <c r="BC314" s="20" t="inlineStr">
        <is>
          <t>egy.mit.eff.price.pow.nga.4</t>
        </is>
      </c>
      <c r="BD314" s="3" t="n">
        <v>15.0445350246563</v>
      </c>
      <c r="BE314" s="3" t="n">
        <v>13.07484630861803</v>
      </c>
      <c r="BF314" s="3" t="n">
        <v>12.56335521643026</v>
      </c>
      <c r="BG314" s="3" t="n">
        <v>12.60243699992209</v>
      </c>
      <c r="BH314" s="3" t="n">
        <v>12.80544235816311</v>
      </c>
      <c r="BI314" s="3" t="n">
        <v>12.92345276351238</v>
      </c>
      <c r="BJ314" s="3" t="n">
        <v>13.05781043513399</v>
      </c>
      <c r="BK314" s="3" t="n">
        <v>13.22345230330444</v>
      </c>
      <c r="BL314" s="3" t="n">
        <v>13.40406202498537</v>
      </c>
      <c r="BM314" s="3" t="n">
        <v>13.57632300155072</v>
      </c>
      <c r="BN314" s="3" t="n">
        <v>13.76592004948052</v>
      </c>
      <c r="BO314" s="3" t="n">
        <v>13.96293564603915</v>
      </c>
      <c r="BP314" s="3" t="n">
        <v>14.16764112058923</v>
      </c>
      <c r="BQ314" s="3" t="n">
        <v>14.38033440759838</v>
      </c>
      <c r="BR314" s="3" t="n">
        <v>14.60130183492247</v>
      </c>
      <c r="BS314" s="3" t="n">
        <v>14.83087900995602</v>
      </c>
      <c r="BT314" s="3" t="n">
        <v>15.06934997537247</v>
      </c>
      <c r="BU314" s="3" t="n">
        <v>15.31704018491349</v>
      </c>
      <c r="BV314" s="3" t="n">
        <v>15.57428619260744</v>
      </c>
      <c r="BW314" s="3" t="n">
        <v>15.82090056775088</v>
      </c>
      <c r="BY314" s="20" t="inlineStr">
        <is>
          <t>egy.mit.eff.price.pow.nga.5</t>
        </is>
      </c>
      <c r="BZ314" s="3" t="n">
        <v>15.0445350246563</v>
      </c>
      <c r="CA314" s="3" t="n">
        <v>13.07484630861803</v>
      </c>
      <c r="CB314" s="3" t="n">
        <v>12.56335521643026</v>
      </c>
      <c r="CC314" s="3" t="n">
        <v>12.60243699992209</v>
      </c>
      <c r="CD314" s="3" t="n">
        <v>12.80544235816311</v>
      </c>
      <c r="CE314" s="3" t="n">
        <v>12.92345276351238</v>
      </c>
      <c r="CF314" s="3" t="n">
        <v>13.05781043513399</v>
      </c>
      <c r="CG314" s="3" t="n">
        <v>13.22345230330444</v>
      </c>
      <c r="CH314" s="3" t="n">
        <v>13.40406202498537</v>
      </c>
      <c r="CI314" s="3" t="n">
        <v>13.57632300155072</v>
      </c>
      <c r="CJ314" s="3" t="n">
        <v>13.76592004948052</v>
      </c>
      <c r="CK314" s="3" t="n">
        <v>13.96293564603915</v>
      </c>
      <c r="CL314" s="3" t="n">
        <v>14.16764112058923</v>
      </c>
      <c r="CM314" s="3" t="n">
        <v>14.38033440759838</v>
      </c>
      <c r="CN314" s="3" t="n">
        <v>14.60130183492247</v>
      </c>
      <c r="CO314" s="3" t="n">
        <v>14.83087900995602</v>
      </c>
      <c r="CP314" s="3" t="n">
        <v>15.06934997537247</v>
      </c>
      <c r="CQ314" s="3" t="n">
        <v>15.31704018491349</v>
      </c>
      <c r="CR314" s="3" t="n">
        <v>15.57428619260744</v>
      </c>
      <c r="CS314" s="3" t="n">
        <v>15.82090056775088</v>
      </c>
      <c r="CU314" s="20" t="inlineStr">
        <is>
          <t>egy.mit.eff.price.pow.nga.6</t>
        </is>
      </c>
      <c r="CV314" s="3" t="n">
        <v>15.0445350246563</v>
      </c>
      <c r="CW314" s="3" t="n">
        <v>13.07484630861803</v>
      </c>
      <c r="CX314" s="3" t="n">
        <v>12.56335521643026</v>
      </c>
      <c r="CY314" s="3" t="n">
        <v>12.60243699992209</v>
      </c>
      <c r="CZ314" s="3" t="n">
        <v>12.80544235816311</v>
      </c>
      <c r="DA314" s="3" t="n">
        <v>12.92345276351238</v>
      </c>
      <c r="DB314" s="3" t="n">
        <v>13.05781043513399</v>
      </c>
      <c r="DC314" s="3" t="n">
        <v>13.22345230330444</v>
      </c>
      <c r="DD314" s="3" t="n">
        <v>13.40406202498537</v>
      </c>
      <c r="DE314" s="3" t="n">
        <v>13.57632300155072</v>
      </c>
      <c r="DF314" s="3" t="n">
        <v>13.76592004948052</v>
      </c>
      <c r="DG314" s="3" t="n">
        <v>13.96293564603915</v>
      </c>
      <c r="DH314" s="3" t="n">
        <v>14.16764112058923</v>
      </c>
      <c r="DI314" s="3" t="n">
        <v>14.38033440759838</v>
      </c>
      <c r="DJ314" s="3" t="n">
        <v>14.60130183492247</v>
      </c>
      <c r="DK314" s="3" t="n">
        <v>14.83087900995602</v>
      </c>
      <c r="DL314" s="3" t="n">
        <v>15.06934997537247</v>
      </c>
      <c r="DM314" s="3" t="n">
        <v>15.31704018491349</v>
      </c>
      <c r="DN314" s="3" t="n">
        <v>15.57428619260744</v>
      </c>
      <c r="DO314" s="3" t="n">
        <v>15.82090056775088</v>
      </c>
    </row>
    <row r="315">
      <c r="A315" s="19" t="inlineStr">
        <is>
          <t>mit.sup.cost.pow.nga</t>
        </is>
      </c>
      <c r="B315" s="3" t="inlineStr">
        <is>
          <t>mit</t>
        </is>
      </c>
      <c r="C315" s="19" t="inlineStr">
        <is>
          <t>mit.sup.cost.nga.pow</t>
        </is>
      </c>
      <c r="H315" s="3" t="inlineStr">
        <is>
          <t>Efficient price: supply cost of scenario 1 | Power | Natural gas</t>
        </is>
      </c>
      <c r="I315" s="3" t="inlineStr">
        <is>
          <t>USD per price unit</t>
        </is>
      </c>
      <c r="K315" s="20" t="inlineStr">
        <is>
          <t>egy.mit.sup.cost.pow.nga.1</t>
        </is>
      </c>
      <c r="L315" s="3" t="n">
        <v>11.60240327842508</v>
      </c>
      <c r="M315" s="3" t="n">
        <v>9.511198561326328</v>
      </c>
      <c r="N315" s="3" t="n">
        <v>8.892230324900334</v>
      </c>
      <c r="O315" s="3" t="n">
        <v>8.904789269497227</v>
      </c>
      <c r="P315" s="3" t="n">
        <v>8.934620289798632</v>
      </c>
      <c r="Q315" s="3" t="n">
        <v>8.899090510738755</v>
      </c>
      <c r="R315" s="3" t="n">
        <v>8.857295584291505</v>
      </c>
      <c r="S315" s="3" t="n">
        <v>8.842407692640224</v>
      </c>
      <c r="T315" s="3" t="n">
        <v>8.83818413099303</v>
      </c>
      <c r="U315" s="3" t="n">
        <v>8.835790687269572</v>
      </c>
      <c r="V315" s="3" t="n">
        <v>8.835790687269572</v>
      </c>
      <c r="W315" s="3" t="n">
        <v>8.835790687269572</v>
      </c>
      <c r="X315" s="3" t="n">
        <v>8.835790687269572</v>
      </c>
      <c r="Y315" s="3" t="n">
        <v>8.835790687269572</v>
      </c>
      <c r="Z315" s="3" t="n">
        <v>8.835790687269572</v>
      </c>
      <c r="AA315" s="3" t="n">
        <v>8.835790687269572</v>
      </c>
      <c r="AB315" s="3" t="n">
        <v>8.835790687269572</v>
      </c>
      <c r="AC315" s="3" t="n">
        <v>8.835790687269572</v>
      </c>
      <c r="AD315" s="3" t="n">
        <v>8.835790687269572</v>
      </c>
      <c r="AE315" s="3" t="n">
        <v>8.835790687269572</v>
      </c>
      <c r="AG315" s="20" t="inlineStr">
        <is>
          <t>egy.mit.sup.cost.pow.nga.3</t>
        </is>
      </c>
      <c r="AH315" s="3" t="n">
        <v>11.60240327842508</v>
      </c>
      <c r="AI315" s="3" t="n">
        <v>9.511198561326328</v>
      </c>
      <c r="AJ315" s="3" t="n">
        <v>8.892230324900334</v>
      </c>
      <c r="AK315" s="3" t="n">
        <v>8.904789269497227</v>
      </c>
      <c r="AL315" s="3" t="n">
        <v>8.934620289798632</v>
      </c>
      <c r="AM315" s="3" t="n">
        <v>8.899090510738755</v>
      </c>
      <c r="AN315" s="3" t="n">
        <v>8.857295584291505</v>
      </c>
      <c r="AO315" s="3" t="n">
        <v>8.842407692640224</v>
      </c>
      <c r="AP315" s="3" t="n">
        <v>8.83818413099303</v>
      </c>
      <c r="AQ315" s="3" t="n">
        <v>8.835790687269572</v>
      </c>
      <c r="AR315" s="3" t="n">
        <v>8.835790687269572</v>
      </c>
      <c r="AS315" s="3" t="n">
        <v>8.835790687269572</v>
      </c>
      <c r="AT315" s="3" t="n">
        <v>8.835790687269572</v>
      </c>
      <c r="AU315" s="3" t="n">
        <v>8.835790687269572</v>
      </c>
      <c r="AV315" s="3" t="n">
        <v>8.835790687269572</v>
      </c>
      <c r="AW315" s="3" t="n">
        <v>8.835790687269572</v>
      </c>
      <c r="AX315" s="3" t="n">
        <v>8.835790687269572</v>
      </c>
      <c r="AY315" s="3" t="n">
        <v>8.835790687269572</v>
      </c>
      <c r="AZ315" s="3" t="n">
        <v>8.835790687269572</v>
      </c>
      <c r="BA315" s="3" t="n">
        <v>8.835790687269572</v>
      </c>
      <c r="BC315" s="20" t="inlineStr">
        <is>
          <t>egy.mit.sup.cost.pow.nga.4</t>
        </is>
      </c>
      <c r="BD315" s="3" t="n">
        <v>11.60240327842508</v>
      </c>
      <c r="BE315" s="3" t="n">
        <v>9.511198561326328</v>
      </c>
      <c r="BF315" s="3" t="n">
        <v>8.892230324900334</v>
      </c>
      <c r="BG315" s="3" t="n">
        <v>8.904789269497227</v>
      </c>
      <c r="BH315" s="3" t="n">
        <v>8.934620289798632</v>
      </c>
      <c r="BI315" s="3" t="n">
        <v>8.899090510738755</v>
      </c>
      <c r="BJ315" s="3" t="n">
        <v>8.857295584291505</v>
      </c>
      <c r="BK315" s="3" t="n">
        <v>8.842407692640224</v>
      </c>
      <c r="BL315" s="3" t="n">
        <v>8.83818413099303</v>
      </c>
      <c r="BM315" s="3" t="n">
        <v>8.835790687269572</v>
      </c>
      <c r="BN315" s="3" t="n">
        <v>8.835790687269572</v>
      </c>
      <c r="BO315" s="3" t="n">
        <v>8.835790687269572</v>
      </c>
      <c r="BP315" s="3" t="n">
        <v>8.835790687269572</v>
      </c>
      <c r="BQ315" s="3" t="n">
        <v>8.835790687269572</v>
      </c>
      <c r="BR315" s="3" t="n">
        <v>8.835790687269572</v>
      </c>
      <c r="BS315" s="3" t="n">
        <v>8.835790687269572</v>
      </c>
      <c r="BT315" s="3" t="n">
        <v>8.835790687269572</v>
      </c>
      <c r="BU315" s="3" t="n">
        <v>8.835790687269572</v>
      </c>
      <c r="BV315" s="3" t="n">
        <v>8.835790687269572</v>
      </c>
      <c r="BW315" s="3" t="n">
        <v>8.835790687269572</v>
      </c>
      <c r="BY315" s="20" t="inlineStr">
        <is>
          <t>egy.mit.sup.cost.pow.nga.5</t>
        </is>
      </c>
      <c r="BZ315" s="3" t="n">
        <v>11.60240327842508</v>
      </c>
      <c r="CA315" s="3" t="n">
        <v>9.511198561326328</v>
      </c>
      <c r="CB315" s="3" t="n">
        <v>8.892230324900334</v>
      </c>
      <c r="CC315" s="3" t="n">
        <v>8.904789269497227</v>
      </c>
      <c r="CD315" s="3" t="n">
        <v>8.934620289798632</v>
      </c>
      <c r="CE315" s="3" t="n">
        <v>8.899090510738755</v>
      </c>
      <c r="CF315" s="3" t="n">
        <v>8.857295584291505</v>
      </c>
      <c r="CG315" s="3" t="n">
        <v>8.842407692640224</v>
      </c>
      <c r="CH315" s="3" t="n">
        <v>8.83818413099303</v>
      </c>
      <c r="CI315" s="3" t="n">
        <v>8.835790687269572</v>
      </c>
      <c r="CJ315" s="3" t="n">
        <v>8.835790687269572</v>
      </c>
      <c r="CK315" s="3" t="n">
        <v>8.835790687269572</v>
      </c>
      <c r="CL315" s="3" t="n">
        <v>8.835790687269572</v>
      </c>
      <c r="CM315" s="3" t="n">
        <v>8.835790687269572</v>
      </c>
      <c r="CN315" s="3" t="n">
        <v>8.835790687269572</v>
      </c>
      <c r="CO315" s="3" t="n">
        <v>8.835790687269572</v>
      </c>
      <c r="CP315" s="3" t="n">
        <v>8.835790687269572</v>
      </c>
      <c r="CQ315" s="3" t="n">
        <v>8.835790687269572</v>
      </c>
      <c r="CR315" s="3" t="n">
        <v>8.835790687269572</v>
      </c>
      <c r="CS315" s="3" t="n">
        <v>8.835790687269572</v>
      </c>
      <c r="CU315" s="20" t="inlineStr">
        <is>
          <t>egy.mit.sup.cost.pow.nga.6</t>
        </is>
      </c>
      <c r="CV315" s="3" t="n">
        <v>11.60240327842508</v>
      </c>
      <c r="CW315" s="3" t="n">
        <v>9.511198561326328</v>
      </c>
      <c r="CX315" s="3" t="n">
        <v>8.892230324900334</v>
      </c>
      <c r="CY315" s="3" t="n">
        <v>8.904789269497227</v>
      </c>
      <c r="CZ315" s="3" t="n">
        <v>8.934620289798632</v>
      </c>
      <c r="DA315" s="3" t="n">
        <v>8.899090510738755</v>
      </c>
      <c r="DB315" s="3" t="n">
        <v>8.857295584291505</v>
      </c>
      <c r="DC315" s="3" t="n">
        <v>8.842407692640224</v>
      </c>
      <c r="DD315" s="3" t="n">
        <v>8.83818413099303</v>
      </c>
      <c r="DE315" s="3" t="n">
        <v>8.835790687269572</v>
      </c>
      <c r="DF315" s="3" t="n">
        <v>8.835790687269572</v>
      </c>
      <c r="DG315" s="3" t="n">
        <v>8.835790687269572</v>
      </c>
      <c r="DH315" s="3" t="n">
        <v>8.835790687269572</v>
      </c>
      <c r="DI315" s="3" t="n">
        <v>8.835790687269572</v>
      </c>
      <c r="DJ315" s="3" t="n">
        <v>8.835790687269572</v>
      </c>
      <c r="DK315" s="3" t="n">
        <v>8.835790687269572</v>
      </c>
      <c r="DL315" s="3" t="n">
        <v>8.835790687269572</v>
      </c>
      <c r="DM315" s="3" t="n">
        <v>8.835790687269572</v>
      </c>
      <c r="DN315" s="3" t="n">
        <v>8.835790687269572</v>
      </c>
      <c r="DO315" s="3" t="n">
        <v>8.835790687269572</v>
      </c>
    </row>
    <row r="316">
      <c r="A316" s="19" t="inlineStr">
        <is>
          <t>mit.airpol.cost.pow.nga</t>
        </is>
      </c>
      <c r="B316" s="3" t="inlineStr">
        <is>
          <t>mit</t>
        </is>
      </c>
      <c r="C316" s="19" t="inlineStr">
        <is>
          <t>mit.airpol.cost.nga.pow</t>
        </is>
      </c>
      <c r="H316" s="3" t="inlineStr">
        <is>
          <t>Air-pollution cost per unit of fuel, marginal damages (coal, gas, other oil products USD/GJ; gasoline, diesel, LPG, kerosene USD/l) | Power | Natural gas</t>
        </is>
      </c>
      <c r="I316" s="3" t="inlineStr">
        <is>
          <t>USD per unit</t>
        </is>
      </c>
      <c r="K316" s="20" t="inlineStr">
        <is>
          <t>egy.mit.airpol.cost.pow.nga.1</t>
        </is>
      </c>
      <c r="L316" s="3" t="n">
        <v>0.3841932382979173</v>
      </c>
      <c r="M316" s="3" t="n">
        <v>0.3833916990410631</v>
      </c>
      <c r="N316" s="3" t="n">
        <v>0.363658601349268</v>
      </c>
      <c r="O316" s="3" t="n">
        <v>0.2578827886369751</v>
      </c>
      <c r="P316" s="3" t="n">
        <v>0.2934665289050769</v>
      </c>
      <c r="Q316" s="3" t="n">
        <v>0.3039124917358505</v>
      </c>
      <c r="R316" s="3" t="n">
        <v>0.3312470993631918</v>
      </c>
      <c r="S316" s="3" t="n">
        <v>0.3570061491257512</v>
      </c>
      <c r="T316" s="3" t="n">
        <v>0.3808778939923376</v>
      </c>
      <c r="U316" s="3" t="n">
        <v>0.3881323142811484</v>
      </c>
      <c r="V316" s="3" t="n">
        <v>0.4036333622109438</v>
      </c>
      <c r="W316" s="3" t="n">
        <v>0.4195891187695747</v>
      </c>
      <c r="X316" s="3" t="n">
        <v>0.4359923597196574</v>
      </c>
      <c r="Y316" s="3" t="n">
        <v>0.452851323784807</v>
      </c>
      <c r="Z316" s="3" t="n">
        <v>0.4701510552471407</v>
      </c>
      <c r="AA316" s="3" t="n">
        <v>0.4879138265844611</v>
      </c>
      <c r="AB316" s="3" t="n">
        <v>0.5060978121568287</v>
      </c>
      <c r="AC316" s="3" t="n">
        <v>0.5246895626600027</v>
      </c>
      <c r="AD316" s="3" t="n">
        <v>0.5436731729545946</v>
      </c>
      <c r="AE316" s="3" t="n">
        <v>0.5424946548027048</v>
      </c>
      <c r="AG316" s="20" t="inlineStr">
        <is>
          <t>egy.mit.airpol.cost.pow.nga.3</t>
        </is>
      </c>
      <c r="AH316" s="3" t="n">
        <v>0.3841932382979173</v>
      </c>
      <c r="AI316" s="3" t="n">
        <v>0.3833916990410631</v>
      </c>
      <c r="AJ316" s="3" t="n">
        <v>0.363658601349268</v>
      </c>
      <c r="AK316" s="3" t="n">
        <v>0.2578827886369751</v>
      </c>
      <c r="AL316" s="3" t="n">
        <v>0.2934665289050769</v>
      </c>
      <c r="AM316" s="3" t="n">
        <v>0.3039124917358505</v>
      </c>
      <c r="AN316" s="3" t="n">
        <v>0.3312470993631918</v>
      </c>
      <c r="AO316" s="3" t="n">
        <v>0.3570061491257512</v>
      </c>
      <c r="AP316" s="3" t="n">
        <v>0.3808778939923376</v>
      </c>
      <c r="AQ316" s="3" t="n">
        <v>0.3881323142811484</v>
      </c>
      <c r="AR316" s="3" t="n">
        <v>0.4036333622109438</v>
      </c>
      <c r="AS316" s="3" t="n">
        <v>0.4195891187695747</v>
      </c>
      <c r="AT316" s="3" t="n">
        <v>0.4359923597196574</v>
      </c>
      <c r="AU316" s="3" t="n">
        <v>0.452851323784807</v>
      </c>
      <c r="AV316" s="3" t="n">
        <v>0.4701510552471407</v>
      </c>
      <c r="AW316" s="3" t="n">
        <v>0.4879138265844611</v>
      </c>
      <c r="AX316" s="3" t="n">
        <v>0.5060978121568287</v>
      </c>
      <c r="AY316" s="3" t="n">
        <v>0.5246895626600027</v>
      </c>
      <c r="AZ316" s="3" t="n">
        <v>0.5436731729545946</v>
      </c>
      <c r="BA316" s="3" t="n">
        <v>0.5424946548027048</v>
      </c>
      <c r="BC316" s="20" t="inlineStr">
        <is>
          <t>egy.mit.airpol.cost.pow.nga.4</t>
        </is>
      </c>
      <c r="BD316" s="3" t="n">
        <v>0.3841932382979173</v>
      </c>
      <c r="BE316" s="3" t="n">
        <v>0.3833916990410631</v>
      </c>
      <c r="BF316" s="3" t="n">
        <v>0.363658601349268</v>
      </c>
      <c r="BG316" s="3" t="n">
        <v>0.2578827886369751</v>
      </c>
      <c r="BH316" s="3" t="n">
        <v>0.2934665289050769</v>
      </c>
      <c r="BI316" s="3" t="n">
        <v>0.3039124917358505</v>
      </c>
      <c r="BJ316" s="3" t="n">
        <v>0.3312470993631918</v>
      </c>
      <c r="BK316" s="3" t="n">
        <v>0.3570061491257512</v>
      </c>
      <c r="BL316" s="3" t="n">
        <v>0.3808778939923376</v>
      </c>
      <c r="BM316" s="3" t="n">
        <v>0.3881323142811484</v>
      </c>
      <c r="BN316" s="3" t="n">
        <v>0.4036333622109438</v>
      </c>
      <c r="BO316" s="3" t="n">
        <v>0.4195891187695747</v>
      </c>
      <c r="BP316" s="3" t="n">
        <v>0.4359923597196574</v>
      </c>
      <c r="BQ316" s="3" t="n">
        <v>0.452851323784807</v>
      </c>
      <c r="BR316" s="3" t="n">
        <v>0.4701510552471407</v>
      </c>
      <c r="BS316" s="3" t="n">
        <v>0.4879138265844611</v>
      </c>
      <c r="BT316" s="3" t="n">
        <v>0.5060978121568287</v>
      </c>
      <c r="BU316" s="3" t="n">
        <v>0.5246895626600027</v>
      </c>
      <c r="BV316" s="3" t="n">
        <v>0.5436731729545946</v>
      </c>
      <c r="BW316" s="3" t="n">
        <v>0.5424946548027048</v>
      </c>
      <c r="BY316" s="20" t="inlineStr">
        <is>
          <t>egy.mit.airpol.cost.pow.nga.5</t>
        </is>
      </c>
      <c r="BZ316" s="3" t="n">
        <v>0.3841932382979173</v>
      </c>
      <c r="CA316" s="3" t="n">
        <v>0.3833916990410631</v>
      </c>
      <c r="CB316" s="3" t="n">
        <v>0.363658601349268</v>
      </c>
      <c r="CC316" s="3" t="n">
        <v>0.2578827886369751</v>
      </c>
      <c r="CD316" s="3" t="n">
        <v>0.2934665289050769</v>
      </c>
      <c r="CE316" s="3" t="n">
        <v>0.3039124917358505</v>
      </c>
      <c r="CF316" s="3" t="n">
        <v>0.3312470993631918</v>
      </c>
      <c r="CG316" s="3" t="n">
        <v>0.3570061491257512</v>
      </c>
      <c r="CH316" s="3" t="n">
        <v>0.3808778939923376</v>
      </c>
      <c r="CI316" s="3" t="n">
        <v>0.3881323142811484</v>
      </c>
      <c r="CJ316" s="3" t="n">
        <v>0.4036333622109438</v>
      </c>
      <c r="CK316" s="3" t="n">
        <v>0.4195891187695747</v>
      </c>
      <c r="CL316" s="3" t="n">
        <v>0.4359923597196574</v>
      </c>
      <c r="CM316" s="3" t="n">
        <v>0.452851323784807</v>
      </c>
      <c r="CN316" s="3" t="n">
        <v>0.4701510552471407</v>
      </c>
      <c r="CO316" s="3" t="n">
        <v>0.4879138265844611</v>
      </c>
      <c r="CP316" s="3" t="n">
        <v>0.5060978121568287</v>
      </c>
      <c r="CQ316" s="3" t="n">
        <v>0.5246895626600027</v>
      </c>
      <c r="CR316" s="3" t="n">
        <v>0.5436731729545946</v>
      </c>
      <c r="CS316" s="3" t="n">
        <v>0.5424946548027048</v>
      </c>
      <c r="CU316" s="20" t="inlineStr">
        <is>
          <t>egy.mit.airpol.cost.pow.nga.6</t>
        </is>
      </c>
      <c r="CV316" s="3" t="n">
        <v>0.3841932382979173</v>
      </c>
      <c r="CW316" s="3" t="n">
        <v>0.3833916990410631</v>
      </c>
      <c r="CX316" s="3" t="n">
        <v>0.363658601349268</v>
      </c>
      <c r="CY316" s="3" t="n">
        <v>0.2578827886369751</v>
      </c>
      <c r="CZ316" s="3" t="n">
        <v>0.2934665289050769</v>
      </c>
      <c r="DA316" s="3" t="n">
        <v>0.3039124917358505</v>
      </c>
      <c r="DB316" s="3" t="n">
        <v>0.3312470993631918</v>
      </c>
      <c r="DC316" s="3" t="n">
        <v>0.3570061491257512</v>
      </c>
      <c r="DD316" s="3" t="n">
        <v>0.3808778939923376</v>
      </c>
      <c r="DE316" s="3" t="n">
        <v>0.3881323142811484</v>
      </c>
      <c r="DF316" s="3" t="n">
        <v>0.4036333622109438</v>
      </c>
      <c r="DG316" s="3" t="n">
        <v>0.4195891187695747</v>
      </c>
      <c r="DH316" s="3" t="n">
        <v>0.4359923597196574</v>
      </c>
      <c r="DI316" s="3" t="n">
        <v>0.452851323784807</v>
      </c>
      <c r="DJ316" s="3" t="n">
        <v>0.4701510552471407</v>
      </c>
      <c r="DK316" s="3" t="n">
        <v>0.4879138265844611</v>
      </c>
      <c r="DL316" s="3" t="n">
        <v>0.5060978121568287</v>
      </c>
      <c r="DM316" s="3" t="n">
        <v>0.5246895626600027</v>
      </c>
      <c r="DN316" s="3" t="n">
        <v>0.5436731729545946</v>
      </c>
      <c r="DO316" s="3" t="n">
        <v>0.5424946548027048</v>
      </c>
    </row>
    <row r="317">
      <c r="A317" s="19" t="inlineStr">
        <is>
          <t>mit.scc.cost.pow.nga</t>
        </is>
      </c>
      <c r="B317" s="3" t="inlineStr">
        <is>
          <t>mit</t>
        </is>
      </c>
      <c r="C317" s="19" t="inlineStr">
        <is>
          <t>mit.scc.cost.nga.pow</t>
        </is>
      </c>
      <c r="H317" s="3" t="inlineStr">
        <is>
          <t>Efficient price: climate damage (national SCC) | Power | Natural gas</t>
        </is>
      </c>
      <c r="I317" s="3" t="inlineStr">
        <is>
          <t>USD per price unit</t>
        </is>
      </c>
      <c r="K317" s="20" t="inlineStr">
        <is>
          <t>egy.mit.scc.cost.pow.nga.1</t>
        </is>
      </c>
      <c r="L317" s="3" t="n">
        <v>3.057938507933302</v>
      </c>
      <c r="M317" s="3" t="n">
        <v>3.180256048250635</v>
      </c>
      <c r="N317" s="3" t="n">
        <v>3.30746629018066</v>
      </c>
      <c r="O317" s="3" t="n">
        <v>3.439764941787887</v>
      </c>
      <c r="P317" s="3" t="n">
        <v>3.577355539459402</v>
      </c>
      <c r="Q317" s="3" t="n">
        <v>3.720449761037778</v>
      </c>
      <c r="R317" s="3" t="n">
        <v>3.869267751479289</v>
      </c>
      <c r="S317" s="3" t="n">
        <v>4.024038461538461</v>
      </c>
      <c r="T317" s="3" t="n">
        <v>4.185</v>
      </c>
      <c r="U317" s="3" t="n">
        <v>4.352399999999999</v>
      </c>
      <c r="V317" s="3" t="n">
        <v>4.526496</v>
      </c>
      <c r="W317" s="3" t="n">
        <v>4.707555839999999</v>
      </c>
      <c r="X317" s="3" t="n">
        <v>4.8958580736</v>
      </c>
      <c r="Y317" s="3" t="n">
        <v>5.091692396544</v>
      </c>
      <c r="Z317" s="3" t="n">
        <v>5.295360092405761</v>
      </c>
      <c r="AA317" s="3" t="n">
        <v>5.507174496101992</v>
      </c>
      <c r="AB317" s="3" t="n">
        <v>5.727461475946071</v>
      </c>
      <c r="AC317" s="3" t="n">
        <v>5.956559934983914</v>
      </c>
      <c r="AD317" s="3" t="n">
        <v>6.194822332383271</v>
      </c>
      <c r="AE317" s="3" t="n">
        <v>6.442615225678602</v>
      </c>
      <c r="AG317" s="20" t="inlineStr">
        <is>
          <t>egy.mit.scc.cost.pow.nga.3</t>
        </is>
      </c>
      <c r="AH317" s="3" t="n">
        <v>3.057938507933302</v>
      </c>
      <c r="AI317" s="3" t="n">
        <v>3.180256048250635</v>
      </c>
      <c r="AJ317" s="3" t="n">
        <v>3.30746629018066</v>
      </c>
      <c r="AK317" s="3" t="n">
        <v>3.439764941787887</v>
      </c>
      <c r="AL317" s="3" t="n">
        <v>3.577355539459402</v>
      </c>
      <c r="AM317" s="3" t="n">
        <v>3.720449761037778</v>
      </c>
      <c r="AN317" s="3" t="n">
        <v>3.869267751479289</v>
      </c>
      <c r="AO317" s="3" t="n">
        <v>4.024038461538461</v>
      </c>
      <c r="AP317" s="3" t="n">
        <v>4.185</v>
      </c>
      <c r="AQ317" s="3" t="n">
        <v>4.352399999999999</v>
      </c>
      <c r="AR317" s="3" t="n">
        <v>4.526496</v>
      </c>
      <c r="AS317" s="3" t="n">
        <v>4.707555839999999</v>
      </c>
      <c r="AT317" s="3" t="n">
        <v>4.8958580736</v>
      </c>
      <c r="AU317" s="3" t="n">
        <v>5.091692396544</v>
      </c>
      <c r="AV317" s="3" t="n">
        <v>5.295360092405761</v>
      </c>
      <c r="AW317" s="3" t="n">
        <v>5.507174496101992</v>
      </c>
      <c r="AX317" s="3" t="n">
        <v>5.727461475946071</v>
      </c>
      <c r="AY317" s="3" t="n">
        <v>5.956559934983914</v>
      </c>
      <c r="AZ317" s="3" t="n">
        <v>6.194822332383271</v>
      </c>
      <c r="BA317" s="3" t="n">
        <v>6.442615225678602</v>
      </c>
      <c r="BC317" s="20" t="inlineStr">
        <is>
          <t>egy.mit.scc.cost.pow.nga.4</t>
        </is>
      </c>
      <c r="BD317" s="3" t="n">
        <v>3.057938507933302</v>
      </c>
      <c r="BE317" s="3" t="n">
        <v>3.180256048250635</v>
      </c>
      <c r="BF317" s="3" t="n">
        <v>3.30746629018066</v>
      </c>
      <c r="BG317" s="3" t="n">
        <v>3.439764941787887</v>
      </c>
      <c r="BH317" s="3" t="n">
        <v>3.577355539459402</v>
      </c>
      <c r="BI317" s="3" t="n">
        <v>3.720449761037778</v>
      </c>
      <c r="BJ317" s="3" t="n">
        <v>3.869267751479289</v>
      </c>
      <c r="BK317" s="3" t="n">
        <v>4.024038461538461</v>
      </c>
      <c r="BL317" s="3" t="n">
        <v>4.185</v>
      </c>
      <c r="BM317" s="3" t="n">
        <v>4.352399999999999</v>
      </c>
      <c r="BN317" s="3" t="n">
        <v>4.526496</v>
      </c>
      <c r="BO317" s="3" t="n">
        <v>4.707555839999999</v>
      </c>
      <c r="BP317" s="3" t="n">
        <v>4.8958580736</v>
      </c>
      <c r="BQ317" s="3" t="n">
        <v>5.091692396544</v>
      </c>
      <c r="BR317" s="3" t="n">
        <v>5.295360092405761</v>
      </c>
      <c r="BS317" s="3" t="n">
        <v>5.507174496101992</v>
      </c>
      <c r="BT317" s="3" t="n">
        <v>5.727461475946071</v>
      </c>
      <c r="BU317" s="3" t="n">
        <v>5.956559934983914</v>
      </c>
      <c r="BV317" s="3" t="n">
        <v>6.194822332383271</v>
      </c>
      <c r="BW317" s="3" t="n">
        <v>6.442615225678602</v>
      </c>
      <c r="BY317" s="20" t="inlineStr">
        <is>
          <t>egy.mit.scc.cost.pow.nga.5</t>
        </is>
      </c>
      <c r="BZ317" s="3" t="n">
        <v>3.057938507933302</v>
      </c>
      <c r="CA317" s="3" t="n">
        <v>3.180256048250635</v>
      </c>
      <c r="CB317" s="3" t="n">
        <v>3.30746629018066</v>
      </c>
      <c r="CC317" s="3" t="n">
        <v>3.439764941787887</v>
      </c>
      <c r="CD317" s="3" t="n">
        <v>3.577355539459402</v>
      </c>
      <c r="CE317" s="3" t="n">
        <v>3.720449761037778</v>
      </c>
      <c r="CF317" s="3" t="n">
        <v>3.869267751479289</v>
      </c>
      <c r="CG317" s="3" t="n">
        <v>4.024038461538461</v>
      </c>
      <c r="CH317" s="3" t="n">
        <v>4.185</v>
      </c>
      <c r="CI317" s="3" t="n">
        <v>4.352399999999999</v>
      </c>
      <c r="CJ317" s="3" t="n">
        <v>4.526496</v>
      </c>
      <c r="CK317" s="3" t="n">
        <v>4.707555839999999</v>
      </c>
      <c r="CL317" s="3" t="n">
        <v>4.8958580736</v>
      </c>
      <c r="CM317" s="3" t="n">
        <v>5.091692396544</v>
      </c>
      <c r="CN317" s="3" t="n">
        <v>5.295360092405761</v>
      </c>
      <c r="CO317" s="3" t="n">
        <v>5.507174496101992</v>
      </c>
      <c r="CP317" s="3" t="n">
        <v>5.727461475946071</v>
      </c>
      <c r="CQ317" s="3" t="n">
        <v>5.956559934983914</v>
      </c>
      <c r="CR317" s="3" t="n">
        <v>6.194822332383271</v>
      </c>
      <c r="CS317" s="3" t="n">
        <v>6.442615225678602</v>
      </c>
      <c r="CU317" s="20" t="inlineStr">
        <is>
          <t>egy.mit.scc.cost.pow.nga.6</t>
        </is>
      </c>
      <c r="CV317" s="3" t="n">
        <v>3.057938507933302</v>
      </c>
      <c r="CW317" s="3" t="n">
        <v>3.180256048250635</v>
      </c>
      <c r="CX317" s="3" t="n">
        <v>3.30746629018066</v>
      </c>
      <c r="CY317" s="3" t="n">
        <v>3.439764941787887</v>
      </c>
      <c r="CZ317" s="3" t="n">
        <v>3.577355539459402</v>
      </c>
      <c r="DA317" s="3" t="n">
        <v>3.720449761037778</v>
      </c>
      <c r="DB317" s="3" t="n">
        <v>3.869267751479289</v>
      </c>
      <c r="DC317" s="3" t="n">
        <v>4.024038461538461</v>
      </c>
      <c r="DD317" s="3" t="n">
        <v>4.185</v>
      </c>
      <c r="DE317" s="3" t="n">
        <v>4.352399999999999</v>
      </c>
      <c r="DF317" s="3" t="n">
        <v>4.526496</v>
      </c>
      <c r="DG317" s="3" t="n">
        <v>4.707555839999999</v>
      </c>
      <c r="DH317" s="3" t="n">
        <v>4.8958580736</v>
      </c>
      <c r="DI317" s="3" t="n">
        <v>5.091692396544</v>
      </c>
      <c r="DJ317" s="3" t="n">
        <v>5.295360092405761</v>
      </c>
      <c r="DK317" s="3" t="n">
        <v>5.507174496101992</v>
      </c>
      <c r="DL317" s="3" t="n">
        <v>5.727461475946071</v>
      </c>
      <c r="DM317" s="3" t="n">
        <v>5.956559934983914</v>
      </c>
      <c r="DN317" s="3" t="n">
        <v>6.194822332383271</v>
      </c>
      <c r="DO317" s="3" t="n">
        <v>6.442615225678602</v>
      </c>
    </row>
    <row r="318">
      <c r="A318" s="19" t="inlineStr">
        <is>
          <t>mit.vat.cost.pow.nga</t>
        </is>
      </c>
      <c r="B318" s="3" t="inlineStr">
        <is>
          <t>mit</t>
        </is>
      </c>
      <c r="C318" s="19" t="inlineStr">
        <is>
          <t>mit.vat.cost.nga.pow</t>
        </is>
      </c>
      <c r="H318" s="3" t="inlineStr">
        <is>
          <t>Efficient price: potential VAT | Power | Natural gas</t>
        </is>
      </c>
      <c r="I318" s="3" t="inlineStr">
        <is>
          <t>USD per price unit</t>
        </is>
      </c>
      <c r="K318" s="20" t="inlineStr">
        <is>
          <t>egy.mit.vat.cost.pow.nga.1</t>
        </is>
      </c>
      <c r="L318" s="3" t="n">
        <v>0</v>
      </c>
      <c r="M318" s="3" t="n">
        <v>0</v>
      </c>
      <c r="N318" s="3" t="n">
        <v>0</v>
      </c>
      <c r="O318" s="3" t="n">
        <v>0</v>
      </c>
      <c r="P318" s="3" t="n">
        <v>0</v>
      </c>
      <c r="Q318" s="3" t="n">
        <v>0</v>
      </c>
      <c r="R318" s="3" t="n">
        <v>0</v>
      </c>
      <c r="S318" s="3" t="n">
        <v>0</v>
      </c>
      <c r="T318" s="3" t="n">
        <v>0</v>
      </c>
      <c r="U318" s="3" t="n">
        <v>0</v>
      </c>
      <c r="V318" s="3" t="n">
        <v>0</v>
      </c>
      <c r="W318" s="3" t="n">
        <v>0</v>
      </c>
      <c r="X318" s="3" t="n">
        <v>0</v>
      </c>
      <c r="Y318" s="3" t="n">
        <v>0</v>
      </c>
      <c r="Z318" s="3" t="n">
        <v>0</v>
      </c>
      <c r="AA318" s="3" t="n">
        <v>0</v>
      </c>
      <c r="AB318" s="3" t="n">
        <v>0</v>
      </c>
      <c r="AC318" s="3" t="n">
        <v>0</v>
      </c>
      <c r="AD318" s="3" t="n">
        <v>0</v>
      </c>
      <c r="AE318" s="3" t="n">
        <v>0</v>
      </c>
      <c r="AG318" s="20" t="inlineStr">
        <is>
          <t>egy.mit.vat.cost.pow.nga.3</t>
        </is>
      </c>
      <c r="AH318" s="3" t="n">
        <v>0</v>
      </c>
      <c r="AI318" s="3" t="n">
        <v>0</v>
      </c>
      <c r="AJ318" s="3" t="n">
        <v>0</v>
      </c>
      <c r="AK318" s="3" t="n">
        <v>0</v>
      </c>
      <c r="AL318" s="3" t="n">
        <v>0</v>
      </c>
      <c r="AM318" s="3" t="n">
        <v>0</v>
      </c>
      <c r="AN318" s="3" t="n">
        <v>0</v>
      </c>
      <c r="AO318" s="3" t="n">
        <v>0</v>
      </c>
      <c r="AP318" s="3" t="n">
        <v>0</v>
      </c>
      <c r="AQ318" s="3" t="n">
        <v>0</v>
      </c>
      <c r="AR318" s="3" t="n">
        <v>0</v>
      </c>
      <c r="AS318" s="3" t="n">
        <v>0</v>
      </c>
      <c r="AT318" s="3" t="n">
        <v>0</v>
      </c>
      <c r="AU318" s="3" t="n">
        <v>0</v>
      </c>
      <c r="AV318" s="3" t="n">
        <v>0</v>
      </c>
      <c r="AW318" s="3" t="n">
        <v>0</v>
      </c>
      <c r="AX318" s="3" t="n">
        <v>0</v>
      </c>
      <c r="AY318" s="3" t="n">
        <v>0</v>
      </c>
      <c r="AZ318" s="3" t="n">
        <v>0</v>
      </c>
      <c r="BA318" s="3" t="n">
        <v>0</v>
      </c>
      <c r="BC318" s="20" t="inlineStr">
        <is>
          <t>egy.mit.vat.cost.pow.nga.4</t>
        </is>
      </c>
      <c r="BD318" s="3" t="n">
        <v>0</v>
      </c>
      <c r="BE318" s="3" t="n">
        <v>0</v>
      </c>
      <c r="BF318" s="3" t="n">
        <v>0</v>
      </c>
      <c r="BG318" s="3" t="n">
        <v>0</v>
      </c>
      <c r="BH318" s="3" t="n">
        <v>0</v>
      </c>
      <c r="BI318" s="3" t="n">
        <v>0</v>
      </c>
      <c r="BJ318" s="3" t="n">
        <v>0</v>
      </c>
      <c r="BK318" s="3" t="n">
        <v>0</v>
      </c>
      <c r="BL318" s="3" t="n">
        <v>0</v>
      </c>
      <c r="BM318" s="3" t="n">
        <v>0</v>
      </c>
      <c r="BN318" s="3" t="n">
        <v>0</v>
      </c>
      <c r="BO318" s="3" t="n">
        <v>0</v>
      </c>
      <c r="BP318" s="3" t="n">
        <v>0</v>
      </c>
      <c r="BQ318" s="3" t="n">
        <v>0</v>
      </c>
      <c r="BR318" s="3" t="n">
        <v>0</v>
      </c>
      <c r="BS318" s="3" t="n">
        <v>0</v>
      </c>
      <c r="BT318" s="3" t="n">
        <v>0</v>
      </c>
      <c r="BU318" s="3" t="n">
        <v>0</v>
      </c>
      <c r="BV318" s="3" t="n">
        <v>0</v>
      </c>
      <c r="BW318" s="3" t="n">
        <v>0</v>
      </c>
      <c r="BY318" s="20" t="inlineStr">
        <is>
          <t>egy.mit.vat.cost.pow.nga.5</t>
        </is>
      </c>
      <c r="BZ318" s="3" t="n">
        <v>0</v>
      </c>
      <c r="CA318" s="3" t="n">
        <v>0</v>
      </c>
      <c r="CB318" s="3" t="n">
        <v>0</v>
      </c>
      <c r="CC318" s="3" t="n">
        <v>0</v>
      </c>
      <c r="CD318" s="3" t="n">
        <v>0</v>
      </c>
      <c r="CE318" s="3" t="n">
        <v>0</v>
      </c>
      <c r="CF318" s="3" t="n">
        <v>0</v>
      </c>
      <c r="CG318" s="3" t="n">
        <v>0</v>
      </c>
      <c r="CH318" s="3" t="n">
        <v>0</v>
      </c>
      <c r="CI318" s="3" t="n">
        <v>0</v>
      </c>
      <c r="CJ318" s="3" t="n">
        <v>0</v>
      </c>
      <c r="CK318" s="3" t="n">
        <v>0</v>
      </c>
      <c r="CL318" s="3" t="n">
        <v>0</v>
      </c>
      <c r="CM318" s="3" t="n">
        <v>0</v>
      </c>
      <c r="CN318" s="3" t="n">
        <v>0</v>
      </c>
      <c r="CO318" s="3" t="n">
        <v>0</v>
      </c>
      <c r="CP318" s="3" t="n">
        <v>0</v>
      </c>
      <c r="CQ318" s="3" t="n">
        <v>0</v>
      </c>
      <c r="CR318" s="3" t="n">
        <v>0</v>
      </c>
      <c r="CS318" s="3" t="n">
        <v>0</v>
      </c>
      <c r="CU318" s="20" t="inlineStr">
        <is>
          <t>egy.mit.vat.cost.pow.nga.6</t>
        </is>
      </c>
      <c r="CV318" s="3" t="n">
        <v>0</v>
      </c>
      <c r="CW318" s="3" t="n">
        <v>0</v>
      </c>
      <c r="CX318" s="3" t="n">
        <v>0</v>
      </c>
      <c r="CY318" s="3" t="n">
        <v>0</v>
      </c>
      <c r="CZ318" s="3" t="n">
        <v>0</v>
      </c>
      <c r="DA318" s="3" t="n">
        <v>0</v>
      </c>
      <c r="DB318" s="3" t="n">
        <v>0</v>
      </c>
      <c r="DC318" s="3" t="n">
        <v>0</v>
      </c>
      <c r="DD318" s="3" t="n">
        <v>0</v>
      </c>
      <c r="DE318" s="3" t="n">
        <v>0</v>
      </c>
      <c r="DF318" s="3" t="n">
        <v>0</v>
      </c>
      <c r="DG318" s="3" t="n">
        <v>0</v>
      </c>
      <c r="DH318" s="3" t="n">
        <v>0</v>
      </c>
      <c r="DI318" s="3" t="n">
        <v>0</v>
      </c>
      <c r="DJ318" s="3" t="n">
        <v>0</v>
      </c>
      <c r="DK318" s="3" t="n">
        <v>0</v>
      </c>
      <c r="DL318" s="3" t="n">
        <v>0</v>
      </c>
      <c r="DM318" s="3" t="n">
        <v>0</v>
      </c>
      <c r="DN318" s="3" t="n">
        <v>0</v>
      </c>
      <c r="DO318" s="3" t="n">
        <v>0</v>
      </c>
    </row>
    <row r="319">
      <c r="A319" s="19" t="inlineStr">
        <is>
          <t>mit.rp.eff.pow.nga</t>
        </is>
      </c>
      <c r="B319" s="3" t="inlineStr">
        <is>
          <t>mit</t>
        </is>
      </c>
      <c r="C319" s="19" t="inlineStr">
        <is>
          <t>mit.rp.nga.pow</t>
        </is>
      </c>
      <c r="H319" s="3" t="inlineStr">
        <is>
          <t>Efficient price block: retail price of the scenario | Power | Natural gas</t>
        </is>
      </c>
      <c r="I319" s="3" t="inlineStr">
        <is>
          <t>USD per price unit</t>
        </is>
      </c>
      <c r="K319" s="20" t="inlineStr">
        <is>
          <t>egy.mit.rp.eff.pow.nga.1</t>
        </is>
      </c>
      <c r="L319" s="3" t="n">
        <v>3.154220453650453</v>
      </c>
      <c r="M319" s="3" t="n">
        <v>2.623715048675657</v>
      </c>
      <c r="N319" s="3" t="n">
        <v>2.77897804122306</v>
      </c>
      <c r="O319" s="3" t="n">
        <v>2.77897804122306</v>
      </c>
      <c r="P319" s="3" t="n">
        <v>2.77897804122306</v>
      </c>
      <c r="Q319" s="3" t="n">
        <v>2.77897804122306</v>
      </c>
      <c r="R319" s="3" t="n">
        <v>2.77897804122306</v>
      </c>
      <c r="S319" s="3" t="n">
        <v>2.77897804122306</v>
      </c>
      <c r="T319" s="3" t="n">
        <v>2.77897804122306</v>
      </c>
      <c r="U319" s="3" t="n">
        <v>2.77897804122306</v>
      </c>
      <c r="V319" s="3" t="n">
        <v>2.77897804122306</v>
      </c>
      <c r="W319" s="3" t="n">
        <v>2.77897804122306</v>
      </c>
      <c r="X319" s="3" t="n">
        <v>2.77897804122306</v>
      </c>
      <c r="Y319" s="3" t="n">
        <v>2.77897804122306</v>
      </c>
      <c r="Z319" s="3" t="n">
        <v>2.77897804122306</v>
      </c>
      <c r="AA319" s="3" t="n">
        <v>2.77897804122306</v>
      </c>
      <c r="AB319" s="3" t="n">
        <v>2.77897804122306</v>
      </c>
      <c r="AC319" s="3" t="n">
        <v>2.77897804122306</v>
      </c>
      <c r="AD319" s="3" t="n">
        <v>2.77897804122306</v>
      </c>
      <c r="AE319" s="3" t="n">
        <v>2.77897804122306</v>
      </c>
      <c r="AG319" s="20" t="inlineStr">
        <is>
          <t>egy.mit.rp.eff.pow.nga.3</t>
        </is>
      </c>
      <c r="AH319" s="3" t="n">
        <v>3.154220453650453</v>
      </c>
      <c r="AI319" s="3" t="n">
        <v>2.623715048675657</v>
      </c>
      <c r="AJ319" s="3" t="n">
        <v>2.77897804122306</v>
      </c>
      <c r="AK319" s="3" t="n">
        <v>2.77897804122306</v>
      </c>
      <c r="AL319" s="3" t="n">
        <v>2.77897804122306</v>
      </c>
      <c r="AM319" s="3" t="n">
        <v>2.77897804122306</v>
      </c>
      <c r="AN319" s="3" t="n">
        <v>2.77897804122306</v>
      </c>
      <c r="AO319" s="3" t="n">
        <v>2.77897804122306</v>
      </c>
      <c r="AP319" s="3" t="n">
        <v>2.77897804122306</v>
      </c>
      <c r="AQ319" s="3" t="n">
        <v>2.77897804122306</v>
      </c>
      <c r="AR319" s="3" t="n">
        <v>2.77897804122306</v>
      </c>
      <c r="AS319" s="3" t="n">
        <v>2.77897804122306</v>
      </c>
      <c r="AT319" s="3" t="n">
        <v>2.77897804122306</v>
      </c>
      <c r="AU319" s="3" t="n">
        <v>2.77897804122306</v>
      </c>
      <c r="AV319" s="3" t="n">
        <v>2.77897804122306</v>
      </c>
      <c r="AW319" s="3" t="n">
        <v>2.77897804122306</v>
      </c>
      <c r="AX319" s="3" t="n">
        <v>2.77897804122306</v>
      </c>
      <c r="AY319" s="3" t="n">
        <v>2.77897804122306</v>
      </c>
      <c r="AZ319" s="3" t="n">
        <v>2.77897804122306</v>
      </c>
      <c r="BA319" s="3" t="n">
        <v>2.77897804122306</v>
      </c>
      <c r="BC319" s="20" t="inlineStr">
        <is>
          <t>egy.mit.rp.eff.pow.nga.4</t>
        </is>
      </c>
      <c r="BD319" s="3" t="n">
        <v>3.154220453650453</v>
      </c>
      <c r="BE319" s="3" t="n">
        <v>2.623715048675657</v>
      </c>
      <c r="BF319" s="3" t="n">
        <v>2.77897804122306</v>
      </c>
      <c r="BG319" s="3" t="n">
        <v>2.77897804122306</v>
      </c>
      <c r="BH319" s="3" t="n">
        <v>2.77897804122306</v>
      </c>
      <c r="BI319" s="3" t="n">
        <v>2.77897804122306</v>
      </c>
      <c r="BJ319" s="3" t="n">
        <v>2.77897804122306</v>
      </c>
      <c r="BK319" s="3" t="n">
        <v>2.77897804122306</v>
      </c>
      <c r="BL319" s="3" t="n">
        <v>2.77897804122306</v>
      </c>
      <c r="BM319" s="3" t="n">
        <v>2.77897804122306</v>
      </c>
      <c r="BN319" s="3" t="n">
        <v>2.77897804122306</v>
      </c>
      <c r="BO319" s="3" t="n">
        <v>2.77897804122306</v>
      </c>
      <c r="BP319" s="3" t="n">
        <v>2.77897804122306</v>
      </c>
      <c r="BQ319" s="3" t="n">
        <v>2.77897804122306</v>
      </c>
      <c r="BR319" s="3" t="n">
        <v>2.77897804122306</v>
      </c>
      <c r="BS319" s="3" t="n">
        <v>2.77897804122306</v>
      </c>
      <c r="BT319" s="3" t="n">
        <v>2.77897804122306</v>
      </c>
      <c r="BU319" s="3" t="n">
        <v>2.77897804122306</v>
      </c>
      <c r="BV319" s="3" t="n">
        <v>2.77897804122306</v>
      </c>
      <c r="BW319" s="3" t="n">
        <v>2.77897804122306</v>
      </c>
      <c r="BY319" s="20" t="inlineStr">
        <is>
          <t>egy.mit.rp.eff.pow.nga.5</t>
        </is>
      </c>
      <c r="BZ319" s="3" t="n">
        <v>3.154220453650453</v>
      </c>
      <c r="CA319" s="3" t="n">
        <v>2.623715048675657</v>
      </c>
      <c r="CB319" s="3" t="n">
        <v>2.77897804122306</v>
      </c>
      <c r="CC319" s="3" t="n">
        <v>2.77897804122306</v>
      </c>
      <c r="CD319" s="3" t="n">
        <v>2.77897804122306</v>
      </c>
      <c r="CE319" s="3" t="n">
        <v>2.77897804122306</v>
      </c>
      <c r="CF319" s="3" t="n">
        <v>2.77897804122306</v>
      </c>
      <c r="CG319" s="3" t="n">
        <v>2.77897804122306</v>
      </c>
      <c r="CH319" s="3" t="n">
        <v>2.77897804122306</v>
      </c>
      <c r="CI319" s="3" t="n">
        <v>2.77897804122306</v>
      </c>
      <c r="CJ319" s="3" t="n">
        <v>2.77897804122306</v>
      </c>
      <c r="CK319" s="3" t="n">
        <v>2.77897804122306</v>
      </c>
      <c r="CL319" s="3" t="n">
        <v>2.77897804122306</v>
      </c>
      <c r="CM319" s="3" t="n">
        <v>2.77897804122306</v>
      </c>
      <c r="CN319" s="3" t="n">
        <v>2.77897804122306</v>
      </c>
      <c r="CO319" s="3" t="n">
        <v>2.77897804122306</v>
      </c>
      <c r="CP319" s="3" t="n">
        <v>2.77897804122306</v>
      </c>
      <c r="CQ319" s="3" t="n">
        <v>2.77897804122306</v>
      </c>
      <c r="CR319" s="3" t="n">
        <v>2.77897804122306</v>
      </c>
      <c r="CS319" s="3" t="n">
        <v>2.77897804122306</v>
      </c>
      <c r="CU319" s="20" t="inlineStr">
        <is>
          <t>egy.mit.rp.eff.pow.nga.6</t>
        </is>
      </c>
      <c r="CV319" s="3" t="n">
        <v>3.154220453650453</v>
      </c>
      <c r="CW319" s="3" t="n">
        <v>2.623715048675657</v>
      </c>
      <c r="CX319" s="3" t="n">
        <v>2.77897804122306</v>
      </c>
      <c r="CY319" s="3" t="n">
        <v>2.77897804122306</v>
      </c>
      <c r="CZ319" s="3" t="n">
        <v>2.77897804122306</v>
      </c>
      <c r="DA319" s="3" t="n">
        <v>2.77897804122306</v>
      </c>
      <c r="DB319" s="3" t="n">
        <v>2.77897804122306</v>
      </c>
      <c r="DC319" s="3" t="n">
        <v>2.77897804122306</v>
      </c>
      <c r="DD319" s="3" t="n">
        <v>2.77897804122306</v>
      </c>
      <c r="DE319" s="3" t="n">
        <v>2.77897804122306</v>
      </c>
      <c r="DF319" s="3" t="n">
        <v>2.77897804122306</v>
      </c>
      <c r="DG319" s="3" t="n">
        <v>2.77897804122306</v>
      </c>
      <c r="DH319" s="3" t="n">
        <v>2.77897804122306</v>
      </c>
      <c r="DI319" s="3" t="n">
        <v>2.77897804122306</v>
      </c>
      <c r="DJ319" s="3" t="n">
        <v>2.77897804122306</v>
      </c>
      <c r="DK319" s="3" t="n">
        <v>2.77897804122306</v>
      </c>
      <c r="DL319" s="3" t="n">
        <v>2.77897804122306</v>
      </c>
      <c r="DM319" s="3" t="n">
        <v>2.77897804122306</v>
      </c>
      <c r="DN319" s="3" t="n">
        <v>2.77897804122306</v>
      </c>
      <c r="DO319" s="3" t="n">
        <v>2.77897804122306</v>
      </c>
    </row>
    <row r="320">
      <c r="A320" s="19" t="inlineStr">
        <is>
          <t>mit.tgap.pow.nga</t>
        </is>
      </c>
      <c r="B320" s="3" t="inlineStr">
        <is>
          <t>mit</t>
        </is>
      </c>
      <c r="C320" s="19" t="inlineStr">
        <is>
          <t>mit.tgap.nga.pow</t>
        </is>
      </c>
      <c r="H320" s="3" t="inlineStr">
        <is>
          <t>Tax gap: retail price - efficient price | Power | Natural gas</t>
        </is>
      </c>
      <c r="I320" s="3" t="inlineStr">
        <is>
          <t>USD per price unit</t>
        </is>
      </c>
      <c r="K320" s="20" t="inlineStr">
        <is>
          <t>egy.mit.tgap.pow.nga.1</t>
        </is>
      </c>
      <c r="L320" s="3" t="n">
        <v>-11.89031457100585</v>
      </c>
      <c r="M320" s="3" t="n">
        <v>-10.45113125994237</v>
      </c>
      <c r="N320" s="3" t="n">
        <v>-9.784377175207201</v>
      </c>
      <c r="O320" s="3" t="n">
        <v>-9.823458958699028</v>
      </c>
      <c r="P320" s="3" t="n">
        <v>-10.02646431694005</v>
      </c>
      <c r="Q320" s="3" t="n">
        <v>-10.14447472228932</v>
      </c>
      <c r="R320" s="3" t="n">
        <v>-10.27883239391092</v>
      </c>
      <c r="S320" s="3" t="n">
        <v>-10.44447426208137</v>
      </c>
      <c r="T320" s="3" t="n">
        <v>-10.62508398376231</v>
      </c>
      <c r="U320" s="3" t="n">
        <v>-10.79734496032766</v>
      </c>
      <c r="V320" s="3" t="n">
        <v>-10.98694200825746</v>
      </c>
      <c r="W320" s="3" t="n">
        <v>-11.18395760481609</v>
      </c>
      <c r="X320" s="3" t="n">
        <v>-11.38866307936617</v>
      </c>
      <c r="Y320" s="3" t="n">
        <v>-11.60135636637532</v>
      </c>
      <c r="Z320" s="3" t="n">
        <v>-11.82232379369941</v>
      </c>
      <c r="AA320" s="3" t="n">
        <v>-12.05190096873297</v>
      </c>
      <c r="AB320" s="3" t="n">
        <v>-12.29037193414941</v>
      </c>
      <c r="AC320" s="3" t="n">
        <v>-12.53806214369043</v>
      </c>
      <c r="AD320" s="3" t="n">
        <v>-12.79530815138438</v>
      </c>
      <c r="AE320" s="3" t="n">
        <v>-13.04192252652782</v>
      </c>
      <c r="AG320" s="20" t="inlineStr">
        <is>
          <t>egy.mit.tgap.pow.nga.3</t>
        </is>
      </c>
      <c r="AH320" s="3" t="n">
        <v>-11.89031457100585</v>
      </c>
      <c r="AI320" s="3" t="n">
        <v>-10.45113125994237</v>
      </c>
      <c r="AJ320" s="3" t="n">
        <v>-9.784377175207201</v>
      </c>
      <c r="AK320" s="3" t="n">
        <v>-9.823458958699028</v>
      </c>
      <c r="AL320" s="3" t="n">
        <v>-10.02646431694005</v>
      </c>
      <c r="AM320" s="3" t="n">
        <v>-10.14447472228932</v>
      </c>
      <c r="AN320" s="3" t="n">
        <v>-10.27883239391092</v>
      </c>
      <c r="AO320" s="3" t="n">
        <v>-10.44447426208137</v>
      </c>
      <c r="AP320" s="3" t="n">
        <v>-10.62508398376231</v>
      </c>
      <c r="AQ320" s="3" t="n">
        <v>-10.79734496032766</v>
      </c>
      <c r="AR320" s="3" t="n">
        <v>-10.98694200825746</v>
      </c>
      <c r="AS320" s="3" t="n">
        <v>-11.18395760481609</v>
      </c>
      <c r="AT320" s="3" t="n">
        <v>-11.38866307936617</v>
      </c>
      <c r="AU320" s="3" t="n">
        <v>-11.60135636637532</v>
      </c>
      <c r="AV320" s="3" t="n">
        <v>-11.82232379369941</v>
      </c>
      <c r="AW320" s="3" t="n">
        <v>-12.05190096873297</v>
      </c>
      <c r="AX320" s="3" t="n">
        <v>-12.29037193414941</v>
      </c>
      <c r="AY320" s="3" t="n">
        <v>-12.53806214369043</v>
      </c>
      <c r="AZ320" s="3" t="n">
        <v>-12.79530815138438</v>
      </c>
      <c r="BA320" s="3" t="n">
        <v>-13.04192252652782</v>
      </c>
      <c r="BC320" s="20" t="inlineStr">
        <is>
          <t>egy.mit.tgap.pow.nga.4</t>
        </is>
      </c>
      <c r="BD320" s="3" t="n">
        <v>-11.89031457100585</v>
      </c>
      <c r="BE320" s="3" t="n">
        <v>-10.45113125994237</v>
      </c>
      <c r="BF320" s="3" t="n">
        <v>-9.784377175207201</v>
      </c>
      <c r="BG320" s="3" t="n">
        <v>-9.823458958699028</v>
      </c>
      <c r="BH320" s="3" t="n">
        <v>-10.02646431694005</v>
      </c>
      <c r="BI320" s="3" t="n">
        <v>-10.14447472228932</v>
      </c>
      <c r="BJ320" s="3" t="n">
        <v>-10.27883239391092</v>
      </c>
      <c r="BK320" s="3" t="n">
        <v>-10.44447426208137</v>
      </c>
      <c r="BL320" s="3" t="n">
        <v>-10.62508398376231</v>
      </c>
      <c r="BM320" s="3" t="n">
        <v>-10.79734496032766</v>
      </c>
      <c r="BN320" s="3" t="n">
        <v>-10.98694200825746</v>
      </c>
      <c r="BO320" s="3" t="n">
        <v>-11.18395760481609</v>
      </c>
      <c r="BP320" s="3" t="n">
        <v>-11.38866307936617</v>
      </c>
      <c r="BQ320" s="3" t="n">
        <v>-11.60135636637532</v>
      </c>
      <c r="BR320" s="3" t="n">
        <v>-11.82232379369941</v>
      </c>
      <c r="BS320" s="3" t="n">
        <v>-12.05190096873297</v>
      </c>
      <c r="BT320" s="3" t="n">
        <v>-12.29037193414941</v>
      </c>
      <c r="BU320" s="3" t="n">
        <v>-12.53806214369043</v>
      </c>
      <c r="BV320" s="3" t="n">
        <v>-12.79530815138438</v>
      </c>
      <c r="BW320" s="3" t="n">
        <v>-13.04192252652782</v>
      </c>
      <c r="BY320" s="20" t="inlineStr">
        <is>
          <t>egy.mit.tgap.pow.nga.5</t>
        </is>
      </c>
      <c r="BZ320" s="3" t="n">
        <v>-11.89031457100585</v>
      </c>
      <c r="CA320" s="3" t="n">
        <v>-10.45113125994237</v>
      </c>
      <c r="CB320" s="3" t="n">
        <v>-9.784377175207201</v>
      </c>
      <c r="CC320" s="3" t="n">
        <v>-9.823458958699028</v>
      </c>
      <c r="CD320" s="3" t="n">
        <v>-10.02646431694005</v>
      </c>
      <c r="CE320" s="3" t="n">
        <v>-10.14447472228932</v>
      </c>
      <c r="CF320" s="3" t="n">
        <v>-10.27883239391092</v>
      </c>
      <c r="CG320" s="3" t="n">
        <v>-10.44447426208137</v>
      </c>
      <c r="CH320" s="3" t="n">
        <v>-10.62508398376231</v>
      </c>
      <c r="CI320" s="3" t="n">
        <v>-10.79734496032766</v>
      </c>
      <c r="CJ320" s="3" t="n">
        <v>-10.98694200825746</v>
      </c>
      <c r="CK320" s="3" t="n">
        <v>-11.18395760481609</v>
      </c>
      <c r="CL320" s="3" t="n">
        <v>-11.38866307936617</v>
      </c>
      <c r="CM320" s="3" t="n">
        <v>-11.60135636637532</v>
      </c>
      <c r="CN320" s="3" t="n">
        <v>-11.82232379369941</v>
      </c>
      <c r="CO320" s="3" t="n">
        <v>-12.05190096873297</v>
      </c>
      <c r="CP320" s="3" t="n">
        <v>-12.29037193414941</v>
      </c>
      <c r="CQ320" s="3" t="n">
        <v>-12.53806214369043</v>
      </c>
      <c r="CR320" s="3" t="n">
        <v>-12.79530815138438</v>
      </c>
      <c r="CS320" s="3" t="n">
        <v>-13.04192252652782</v>
      </c>
      <c r="CU320" s="20" t="inlineStr">
        <is>
          <t>egy.mit.tgap.pow.nga.6</t>
        </is>
      </c>
      <c r="CV320" s="3" t="n">
        <v>-11.89031457100585</v>
      </c>
      <c r="CW320" s="3" t="n">
        <v>-10.45113125994237</v>
      </c>
      <c r="CX320" s="3" t="n">
        <v>-9.784377175207201</v>
      </c>
      <c r="CY320" s="3" t="n">
        <v>-9.823458958699028</v>
      </c>
      <c r="CZ320" s="3" t="n">
        <v>-10.02646431694005</v>
      </c>
      <c r="DA320" s="3" t="n">
        <v>-10.14447472228932</v>
      </c>
      <c r="DB320" s="3" t="n">
        <v>-10.27883239391092</v>
      </c>
      <c r="DC320" s="3" t="n">
        <v>-10.44447426208137</v>
      </c>
      <c r="DD320" s="3" t="n">
        <v>-10.62508398376231</v>
      </c>
      <c r="DE320" s="3" t="n">
        <v>-10.79734496032766</v>
      </c>
      <c r="DF320" s="3" t="n">
        <v>-10.98694200825746</v>
      </c>
      <c r="DG320" s="3" t="n">
        <v>-11.18395760481609</v>
      </c>
      <c r="DH320" s="3" t="n">
        <v>-11.38866307936617</v>
      </c>
      <c r="DI320" s="3" t="n">
        <v>-11.60135636637532</v>
      </c>
      <c r="DJ320" s="3" t="n">
        <v>-11.82232379369941</v>
      </c>
      <c r="DK320" s="3" t="n">
        <v>-12.05190096873297</v>
      </c>
      <c r="DL320" s="3" t="n">
        <v>-12.29037193414941</v>
      </c>
      <c r="DM320" s="3" t="n">
        <v>-12.53806214369043</v>
      </c>
      <c r="DN320" s="3" t="n">
        <v>-12.79530815138438</v>
      </c>
      <c r="DO320" s="3" t="n">
        <v>-13.04192252652782</v>
      </c>
    </row>
    <row r="321">
      <c r="A321" s="19" t="inlineStr">
        <is>
          <t>mit.txo.pow.nga</t>
        </is>
      </c>
      <c r="B321" s="3" t="inlineStr">
        <is>
          <t>mit</t>
        </is>
      </c>
      <c r="C321" s="19" t="inlineStr">
        <is>
          <t>mit.txo.pow.nga.a</t>
        </is>
      </c>
      <c r="H321" s="3" t="inlineStr">
        <is>
          <t>Excise and other taxes (before new policies) | Power | Natural gas</t>
        </is>
      </c>
      <c r="I321" s="3" t="inlineStr">
        <is>
          <t>USD/GJ real</t>
        </is>
      </c>
      <c r="K321" s="20" t="inlineStr">
        <is>
          <t>egy.mit.txo.pow.nga.1</t>
        </is>
      </c>
      <c r="L321" s="3" t="n">
        <v>-8.448182824774628</v>
      </c>
      <c r="M321" s="3" t="n">
        <v>-6.887483512650671</v>
      </c>
      <c r="N321" s="3" t="n">
        <v>-6.113252283677274</v>
      </c>
      <c r="O321" s="3" t="n">
        <v>-6.125811228274167</v>
      </c>
      <c r="P321" s="3" t="n">
        <v>-6.155642248575572</v>
      </c>
      <c r="Q321" s="3" t="n">
        <v>-6.120112469515695</v>
      </c>
      <c r="R321" s="3" t="n">
        <v>-6.078317543068445</v>
      </c>
      <c r="S321" s="3" t="n">
        <v>-6.063429651417164</v>
      </c>
      <c r="T321" s="3" t="n">
        <v>-6.05920608976997</v>
      </c>
      <c r="U321" s="3" t="n">
        <v>-6.056812646046512</v>
      </c>
      <c r="V321" s="3" t="n">
        <v>-6.056812646046512</v>
      </c>
      <c r="W321" s="3" t="n">
        <v>-6.056812646046512</v>
      </c>
      <c r="X321" s="3" t="n">
        <v>-6.056812646046512</v>
      </c>
      <c r="Y321" s="3" t="n">
        <v>-6.056812646046512</v>
      </c>
      <c r="Z321" s="3" t="n">
        <v>-6.056812646046512</v>
      </c>
      <c r="AA321" s="3" t="n">
        <v>-6.056812646046512</v>
      </c>
      <c r="AB321" s="3" t="n">
        <v>-6.056812646046512</v>
      </c>
      <c r="AC321" s="3" t="n">
        <v>-6.056812646046512</v>
      </c>
      <c r="AD321" s="3" t="n">
        <v>-6.056812646046512</v>
      </c>
      <c r="AE321" s="3" t="n">
        <v>-6.056812646046512</v>
      </c>
      <c r="AG321" s="20" t="inlineStr">
        <is>
          <t>egy.mit.txo.pow.nga.3</t>
        </is>
      </c>
      <c r="AH321" s="3" t="n">
        <v>-8.448182824774628</v>
      </c>
      <c r="AI321" s="3" t="n">
        <v>-6.887483512650671</v>
      </c>
      <c r="AJ321" s="3" t="n">
        <v>-6.113252283677274</v>
      </c>
      <c r="AK321" s="3" t="n">
        <v>-6.125811228274167</v>
      </c>
      <c r="AL321" s="3" t="n">
        <v>-6.155642248575572</v>
      </c>
      <c r="AM321" s="3" t="n">
        <v>-6.120112469515695</v>
      </c>
      <c r="AN321" s="3" t="n">
        <v>-6.078317543068445</v>
      </c>
      <c r="AO321" s="3" t="n">
        <v>-6.063429651417164</v>
      </c>
      <c r="AP321" s="3" t="n">
        <v>-6.05920608976997</v>
      </c>
      <c r="AQ321" s="3" t="n">
        <v>-6.056812646046512</v>
      </c>
      <c r="AR321" s="3" t="n">
        <v>-6.056812646046512</v>
      </c>
      <c r="AS321" s="3" t="n">
        <v>-6.056812646046512</v>
      </c>
      <c r="AT321" s="3" t="n">
        <v>-6.056812646046512</v>
      </c>
      <c r="AU321" s="3" t="n">
        <v>-6.056812646046512</v>
      </c>
      <c r="AV321" s="3" t="n">
        <v>-6.056812646046512</v>
      </c>
      <c r="AW321" s="3" t="n">
        <v>-6.056812646046512</v>
      </c>
      <c r="AX321" s="3" t="n">
        <v>-6.056812646046512</v>
      </c>
      <c r="AY321" s="3" t="n">
        <v>-6.056812646046512</v>
      </c>
      <c r="AZ321" s="3" t="n">
        <v>-6.056812646046512</v>
      </c>
      <c r="BA321" s="3" t="n">
        <v>-6.056812646046512</v>
      </c>
      <c r="BC321" s="20" t="inlineStr">
        <is>
          <t>egy.mit.txo.pow.nga.4</t>
        </is>
      </c>
      <c r="BD321" s="3" t="n">
        <v>-8.448182824774628</v>
      </c>
      <c r="BE321" s="3" t="n">
        <v>-6.887483512650671</v>
      </c>
      <c r="BF321" s="3" t="n">
        <v>-6.113252283677274</v>
      </c>
      <c r="BG321" s="3" t="n">
        <v>-6.125811228274167</v>
      </c>
      <c r="BH321" s="3" t="n">
        <v>-6.155642248575572</v>
      </c>
      <c r="BI321" s="3" t="n">
        <v>-6.120112469515695</v>
      </c>
      <c r="BJ321" s="3" t="n">
        <v>-6.078317543068445</v>
      </c>
      <c r="BK321" s="3" t="n">
        <v>-6.063429651417164</v>
      </c>
      <c r="BL321" s="3" t="n">
        <v>-6.05920608976997</v>
      </c>
      <c r="BM321" s="3" t="n">
        <v>-6.056812646046512</v>
      </c>
      <c r="BN321" s="3" t="n">
        <v>-6.056812646046512</v>
      </c>
      <c r="BO321" s="3" t="n">
        <v>-6.056812646046512</v>
      </c>
      <c r="BP321" s="3" t="n">
        <v>-6.056812646046512</v>
      </c>
      <c r="BQ321" s="3" t="n">
        <v>-6.056812646046512</v>
      </c>
      <c r="BR321" s="3" t="n">
        <v>-6.056812646046512</v>
      </c>
      <c r="BS321" s="3" t="n">
        <v>-6.056812646046512</v>
      </c>
      <c r="BT321" s="3" t="n">
        <v>-6.056812646046512</v>
      </c>
      <c r="BU321" s="3" t="n">
        <v>-6.056812646046512</v>
      </c>
      <c r="BV321" s="3" t="n">
        <v>-6.056812646046512</v>
      </c>
      <c r="BW321" s="3" t="n">
        <v>-6.056812646046512</v>
      </c>
      <c r="BY321" s="20" t="inlineStr">
        <is>
          <t>egy.mit.txo.pow.nga.5</t>
        </is>
      </c>
      <c r="BZ321" s="3" t="n">
        <v>-8.448182824774628</v>
      </c>
      <c r="CA321" s="3" t="n">
        <v>-6.887483512650671</v>
      </c>
      <c r="CB321" s="3" t="n">
        <v>-6.113252283677274</v>
      </c>
      <c r="CC321" s="3" t="n">
        <v>-6.125811228274167</v>
      </c>
      <c r="CD321" s="3" t="n">
        <v>-6.155642248575572</v>
      </c>
      <c r="CE321" s="3" t="n">
        <v>-6.120112469515695</v>
      </c>
      <c r="CF321" s="3" t="n">
        <v>-6.078317543068445</v>
      </c>
      <c r="CG321" s="3" t="n">
        <v>-6.063429651417164</v>
      </c>
      <c r="CH321" s="3" t="n">
        <v>-6.05920608976997</v>
      </c>
      <c r="CI321" s="3" t="n">
        <v>-6.056812646046512</v>
      </c>
      <c r="CJ321" s="3" t="n">
        <v>-6.056812646046512</v>
      </c>
      <c r="CK321" s="3" t="n">
        <v>-6.056812646046512</v>
      </c>
      <c r="CL321" s="3" t="n">
        <v>-6.056812646046512</v>
      </c>
      <c r="CM321" s="3" t="n">
        <v>-6.056812646046512</v>
      </c>
      <c r="CN321" s="3" t="n">
        <v>-6.056812646046512</v>
      </c>
      <c r="CO321" s="3" t="n">
        <v>-6.056812646046512</v>
      </c>
      <c r="CP321" s="3" t="n">
        <v>-6.056812646046512</v>
      </c>
      <c r="CQ321" s="3" t="n">
        <v>-6.056812646046512</v>
      </c>
      <c r="CR321" s="3" t="n">
        <v>-6.056812646046512</v>
      </c>
      <c r="CS321" s="3" t="n">
        <v>-6.056812646046512</v>
      </c>
      <c r="CU321" s="20" t="inlineStr">
        <is>
          <t>egy.mit.txo.pow.nga.6</t>
        </is>
      </c>
      <c r="CV321" s="3" t="n">
        <v>-8.448182824774628</v>
      </c>
      <c r="CW321" s="3" t="n">
        <v>-6.887483512650671</v>
      </c>
      <c r="CX321" s="3" t="n">
        <v>-6.113252283677274</v>
      </c>
      <c r="CY321" s="3" t="n">
        <v>-6.125811228274167</v>
      </c>
      <c r="CZ321" s="3" t="n">
        <v>-6.155642248575572</v>
      </c>
      <c r="DA321" s="3" t="n">
        <v>-6.120112469515695</v>
      </c>
      <c r="DB321" s="3" t="n">
        <v>-6.078317543068445</v>
      </c>
      <c r="DC321" s="3" t="n">
        <v>-6.063429651417164</v>
      </c>
      <c r="DD321" s="3" t="n">
        <v>-6.05920608976997</v>
      </c>
      <c r="DE321" s="3" t="n">
        <v>-6.056812646046512</v>
      </c>
      <c r="DF321" s="3" t="n">
        <v>-6.056812646046512</v>
      </c>
      <c r="DG321" s="3" t="n">
        <v>-6.056812646046512</v>
      </c>
      <c r="DH321" s="3" t="n">
        <v>-6.056812646046512</v>
      </c>
      <c r="DI321" s="3" t="n">
        <v>-6.056812646046512</v>
      </c>
      <c r="DJ321" s="3" t="n">
        <v>-6.056812646046512</v>
      </c>
      <c r="DK321" s="3" t="n">
        <v>-6.056812646046512</v>
      </c>
      <c r="DL321" s="3" t="n">
        <v>-6.056812646046512</v>
      </c>
      <c r="DM321" s="3" t="n">
        <v>-6.056812646046512</v>
      </c>
      <c r="DN321" s="3" t="n">
        <v>-6.056812646046512</v>
      </c>
      <c r="DO321" s="3" t="n">
        <v>-6.056812646046512</v>
      </c>
    </row>
    <row r="322">
      <c r="A322" s="19" t="inlineStr">
        <is>
          <t>mit.txo.co2e.pow.nga</t>
        </is>
      </c>
      <c r="B322" s="3" t="inlineStr">
        <is>
          <t>mit</t>
        </is>
      </c>
      <c r="C322" s="19" t="inlineStr">
        <is>
          <t>mit.txo.co2e.nga.pow</t>
        </is>
      </c>
      <c r="H322" s="3" t="inlineStr">
        <is>
          <t>Excise and other taxes of scenario 1 per tonne of CO2 | Power | Natural gas</t>
        </is>
      </c>
      <c r="I322" s="3" t="inlineStr">
        <is>
          <t>USD/tCO2</t>
        </is>
      </c>
      <c r="K322" s="20" t="inlineStr">
        <is>
          <t>egy.mit.txo.co2e.pow.nga.1</t>
        </is>
      </c>
      <c r="L322" s="3" t="n">
        <v>-151.4011258920185</v>
      </c>
      <c r="M322" s="3" t="n">
        <v>-123.4316041693669</v>
      </c>
      <c r="N322" s="3" t="n">
        <v>-109.5564925390192</v>
      </c>
      <c r="O322" s="3" t="n">
        <v>-109.7815632307199</v>
      </c>
      <c r="P322" s="3" t="n">
        <v>-110.3161693293113</v>
      </c>
      <c r="Q322" s="3" t="n">
        <v>-109.6794349375573</v>
      </c>
      <c r="R322" s="3" t="n">
        <v>-108.9304219187893</v>
      </c>
      <c r="S322" s="3" t="n">
        <v>-108.6636138246804</v>
      </c>
      <c r="T322" s="3" t="n">
        <v>-108.5879227557342</v>
      </c>
      <c r="U322" s="3" t="n">
        <v>-108.5450294990414</v>
      </c>
      <c r="V322" s="3" t="n">
        <v>-108.5450294990414</v>
      </c>
      <c r="W322" s="3" t="n">
        <v>-108.5450294990414</v>
      </c>
      <c r="X322" s="3" t="n">
        <v>-108.5450294990414</v>
      </c>
      <c r="Y322" s="3" t="n">
        <v>-108.5450294990414</v>
      </c>
      <c r="Z322" s="3" t="n">
        <v>-108.5450294990414</v>
      </c>
      <c r="AA322" s="3" t="n">
        <v>-108.5450294990414</v>
      </c>
      <c r="AB322" s="3" t="n">
        <v>-108.5450294990414</v>
      </c>
      <c r="AC322" s="3" t="n">
        <v>-108.5450294990414</v>
      </c>
      <c r="AD322" s="3" t="n">
        <v>-108.5450294990415</v>
      </c>
      <c r="AE322" s="3" t="n">
        <v>-108.5450294990414</v>
      </c>
      <c r="AG322" s="20" t="inlineStr">
        <is>
          <t>egy.mit.txo.co2e.pow.nga.3</t>
        </is>
      </c>
      <c r="AH322" s="3" t="n">
        <v>-151.4011258920185</v>
      </c>
      <c r="AI322" s="3" t="n">
        <v>-123.4316041693669</v>
      </c>
      <c r="AJ322" s="3" t="n">
        <v>-109.5564925390192</v>
      </c>
      <c r="AK322" s="3" t="n">
        <v>-109.7815632307199</v>
      </c>
      <c r="AL322" s="3" t="n">
        <v>-110.3161693293113</v>
      </c>
      <c r="AM322" s="3" t="n">
        <v>-109.6794349375573</v>
      </c>
      <c r="AN322" s="3" t="n">
        <v>-108.9304219187893</v>
      </c>
      <c r="AO322" s="3" t="n">
        <v>-108.6636138246804</v>
      </c>
      <c r="AP322" s="3" t="n">
        <v>-108.5879227557342</v>
      </c>
      <c r="AQ322" s="3" t="n">
        <v>-108.5450294990414</v>
      </c>
      <c r="AR322" s="3" t="n">
        <v>-108.5450294990414</v>
      </c>
      <c r="AS322" s="3" t="n">
        <v>-108.5450294990414</v>
      </c>
      <c r="AT322" s="3" t="n">
        <v>-108.5450294990414</v>
      </c>
      <c r="AU322" s="3" t="n">
        <v>-108.5450294990414</v>
      </c>
      <c r="AV322" s="3" t="n">
        <v>-108.5450294990414</v>
      </c>
      <c r="AW322" s="3" t="n">
        <v>-108.5450294990414</v>
      </c>
      <c r="AX322" s="3" t="n">
        <v>-108.5450294990414</v>
      </c>
      <c r="AY322" s="3" t="n">
        <v>-108.5450294990414</v>
      </c>
      <c r="AZ322" s="3" t="n">
        <v>-108.5450294990415</v>
      </c>
      <c r="BA322" s="3" t="n">
        <v>-108.5450294990414</v>
      </c>
      <c r="BC322" s="20" t="inlineStr">
        <is>
          <t>egy.mit.txo.co2e.pow.nga.4</t>
        </is>
      </c>
      <c r="BD322" s="3" t="n">
        <v>-151.4011258920185</v>
      </c>
      <c r="BE322" s="3" t="n">
        <v>-123.4316041693669</v>
      </c>
      <c r="BF322" s="3" t="n">
        <v>-109.5564925390192</v>
      </c>
      <c r="BG322" s="3" t="n">
        <v>-109.7815632307199</v>
      </c>
      <c r="BH322" s="3" t="n">
        <v>-110.3161693293113</v>
      </c>
      <c r="BI322" s="3" t="n">
        <v>-109.6794349375573</v>
      </c>
      <c r="BJ322" s="3" t="n">
        <v>-108.9304219187893</v>
      </c>
      <c r="BK322" s="3" t="n">
        <v>-108.6636138246804</v>
      </c>
      <c r="BL322" s="3" t="n">
        <v>-108.5879227557342</v>
      </c>
      <c r="BM322" s="3" t="n">
        <v>-108.5450294990414</v>
      </c>
      <c r="BN322" s="3" t="n">
        <v>-108.5450294990414</v>
      </c>
      <c r="BO322" s="3" t="n">
        <v>-108.5450294990414</v>
      </c>
      <c r="BP322" s="3" t="n">
        <v>-108.5450294990414</v>
      </c>
      <c r="BQ322" s="3" t="n">
        <v>-108.5450294990414</v>
      </c>
      <c r="BR322" s="3" t="n">
        <v>-108.5450294990414</v>
      </c>
      <c r="BS322" s="3" t="n">
        <v>-108.5450294990414</v>
      </c>
      <c r="BT322" s="3" t="n">
        <v>-108.5450294990414</v>
      </c>
      <c r="BU322" s="3" t="n">
        <v>-108.5450294990414</v>
      </c>
      <c r="BV322" s="3" t="n">
        <v>-108.5450294990415</v>
      </c>
      <c r="BW322" s="3" t="n">
        <v>-108.5450294990414</v>
      </c>
      <c r="BY322" s="20" t="inlineStr">
        <is>
          <t>egy.mit.txo.co2e.pow.nga.5</t>
        </is>
      </c>
      <c r="BZ322" s="3" t="n">
        <v>-151.4011258920185</v>
      </c>
      <c r="CA322" s="3" t="n">
        <v>-123.4316041693669</v>
      </c>
      <c r="CB322" s="3" t="n">
        <v>-109.5564925390192</v>
      </c>
      <c r="CC322" s="3" t="n">
        <v>-109.7815632307199</v>
      </c>
      <c r="CD322" s="3" t="n">
        <v>-110.3161693293113</v>
      </c>
      <c r="CE322" s="3" t="n">
        <v>-109.6794349375573</v>
      </c>
      <c r="CF322" s="3" t="n">
        <v>-108.9304219187893</v>
      </c>
      <c r="CG322" s="3" t="n">
        <v>-108.6636138246804</v>
      </c>
      <c r="CH322" s="3" t="n">
        <v>-108.5879227557342</v>
      </c>
      <c r="CI322" s="3" t="n">
        <v>-108.5450294990414</v>
      </c>
      <c r="CJ322" s="3" t="n">
        <v>-108.5450294990414</v>
      </c>
      <c r="CK322" s="3" t="n">
        <v>-108.5450294990414</v>
      </c>
      <c r="CL322" s="3" t="n">
        <v>-108.5450294990414</v>
      </c>
      <c r="CM322" s="3" t="n">
        <v>-108.5450294990414</v>
      </c>
      <c r="CN322" s="3" t="n">
        <v>-108.5450294990414</v>
      </c>
      <c r="CO322" s="3" t="n">
        <v>-108.5450294990414</v>
      </c>
      <c r="CP322" s="3" t="n">
        <v>-108.5450294990414</v>
      </c>
      <c r="CQ322" s="3" t="n">
        <v>-108.5450294990414</v>
      </c>
      <c r="CR322" s="3" t="n">
        <v>-108.5450294990415</v>
      </c>
      <c r="CS322" s="3" t="n">
        <v>-108.5450294990414</v>
      </c>
      <c r="CU322" s="20" t="inlineStr">
        <is>
          <t>egy.mit.txo.co2e.pow.nga.6</t>
        </is>
      </c>
      <c r="CV322" s="3" t="n">
        <v>-151.4011258920185</v>
      </c>
      <c r="CW322" s="3" t="n">
        <v>-123.4316041693669</v>
      </c>
      <c r="CX322" s="3" t="n">
        <v>-109.5564925390192</v>
      </c>
      <c r="CY322" s="3" t="n">
        <v>-109.7815632307199</v>
      </c>
      <c r="CZ322" s="3" t="n">
        <v>-110.3161693293113</v>
      </c>
      <c r="DA322" s="3" t="n">
        <v>-109.6794349375573</v>
      </c>
      <c r="DB322" s="3" t="n">
        <v>-108.9304219187893</v>
      </c>
      <c r="DC322" s="3" t="n">
        <v>-108.6636138246804</v>
      </c>
      <c r="DD322" s="3" t="n">
        <v>-108.5879227557342</v>
      </c>
      <c r="DE322" s="3" t="n">
        <v>-108.5450294990414</v>
      </c>
      <c r="DF322" s="3" t="n">
        <v>-108.5450294990414</v>
      </c>
      <c r="DG322" s="3" t="n">
        <v>-108.5450294990414</v>
      </c>
      <c r="DH322" s="3" t="n">
        <v>-108.5450294990414</v>
      </c>
      <c r="DI322" s="3" t="n">
        <v>-108.5450294990414</v>
      </c>
      <c r="DJ322" s="3" t="n">
        <v>-108.5450294990414</v>
      </c>
      <c r="DK322" s="3" t="n">
        <v>-108.5450294990414</v>
      </c>
      <c r="DL322" s="3" t="n">
        <v>-108.5450294990414</v>
      </c>
      <c r="DM322" s="3" t="n">
        <v>-108.5450294990414</v>
      </c>
      <c r="DN322" s="3" t="n">
        <v>-108.5450294990415</v>
      </c>
      <c r="DO322" s="3" t="n">
        <v>-108.5450294990414</v>
      </c>
    </row>
    <row r="323">
      <c r="A323" s="19" t="inlineStr">
        <is>
          <t>mit.pig.pow.nga</t>
        </is>
      </c>
      <c r="B323" s="3" t="inlineStr">
        <is>
          <t>mit</t>
        </is>
      </c>
      <c r="C323" s="19" t="inlineStr">
        <is>
          <t>mit.pig.nga.pow</t>
        </is>
      </c>
      <c r="H323" s="3" t="inlineStr">
        <is>
          <t>Pigouvian tax: all externalities (reference) | Power | Natural gas</t>
        </is>
      </c>
      <c r="I323" s="3" t="inlineStr">
        <is>
          <t>USD per price unit</t>
        </is>
      </c>
      <c r="K323" s="20" t="inlineStr">
        <is>
          <t>egy.mit.pig.pow.nga.1</t>
        </is>
      </c>
      <c r="L323" s="3" t="n">
        <v>3.442131746231219</v>
      </c>
      <c r="M323" s="3" t="n">
        <v>3.563647747291698</v>
      </c>
      <c r="N323" s="3" t="n">
        <v>3.671124891529928</v>
      </c>
      <c r="O323" s="3" t="n">
        <v>3.697647730424862</v>
      </c>
      <c r="P323" s="3" t="n">
        <v>3.870822068364479</v>
      </c>
      <c r="Q323" s="3" t="n">
        <v>4.024362252773628</v>
      </c>
      <c r="R323" s="3" t="n">
        <v>4.200514850842481</v>
      </c>
      <c r="S323" s="3" t="n">
        <v>4.381044610664212</v>
      </c>
      <c r="T323" s="3" t="n">
        <v>4.565877893992337</v>
      </c>
      <c r="U323" s="3" t="n">
        <v>4.740532314281148</v>
      </c>
      <c r="V323" s="3" t="n">
        <v>4.930129362210944</v>
      </c>
      <c r="W323" s="3" t="n">
        <v>5.127144958769574</v>
      </c>
      <c r="X323" s="3" t="n">
        <v>5.331850433319658</v>
      </c>
      <c r="Y323" s="3" t="n">
        <v>5.544543720328807</v>
      </c>
      <c r="Z323" s="3" t="n">
        <v>5.765511147652902</v>
      </c>
      <c r="AA323" s="3" t="n">
        <v>5.995088322686453</v>
      </c>
      <c r="AB323" s="3" t="n">
        <v>6.233559288102899</v>
      </c>
      <c r="AC323" s="3" t="n">
        <v>6.481249497643916</v>
      </c>
      <c r="AD323" s="3" t="n">
        <v>6.738495505337865</v>
      </c>
      <c r="AE323" s="3" t="n">
        <v>6.985109880481307</v>
      </c>
      <c r="AG323" s="20" t="inlineStr">
        <is>
          <t>egy.mit.pig.pow.nga.3</t>
        </is>
      </c>
      <c r="AH323" s="3" t="n">
        <v>3.442131746231219</v>
      </c>
      <c r="AI323" s="3" t="n">
        <v>3.563647747291698</v>
      </c>
      <c r="AJ323" s="3" t="n">
        <v>3.671124891529928</v>
      </c>
      <c r="AK323" s="3" t="n">
        <v>3.697647730424862</v>
      </c>
      <c r="AL323" s="3" t="n">
        <v>3.870822068364479</v>
      </c>
      <c r="AM323" s="3" t="n">
        <v>4.024362252773628</v>
      </c>
      <c r="AN323" s="3" t="n">
        <v>4.200514850842481</v>
      </c>
      <c r="AO323" s="3" t="n">
        <v>4.381044610664212</v>
      </c>
      <c r="AP323" s="3" t="n">
        <v>4.565877893992337</v>
      </c>
      <c r="AQ323" s="3" t="n">
        <v>4.740532314281148</v>
      </c>
      <c r="AR323" s="3" t="n">
        <v>4.930129362210944</v>
      </c>
      <c r="AS323" s="3" t="n">
        <v>5.127144958769574</v>
      </c>
      <c r="AT323" s="3" t="n">
        <v>5.331850433319658</v>
      </c>
      <c r="AU323" s="3" t="n">
        <v>5.544543720328807</v>
      </c>
      <c r="AV323" s="3" t="n">
        <v>5.765511147652902</v>
      </c>
      <c r="AW323" s="3" t="n">
        <v>5.995088322686453</v>
      </c>
      <c r="AX323" s="3" t="n">
        <v>6.233559288102899</v>
      </c>
      <c r="AY323" s="3" t="n">
        <v>6.481249497643916</v>
      </c>
      <c r="AZ323" s="3" t="n">
        <v>6.738495505337865</v>
      </c>
      <c r="BA323" s="3" t="n">
        <v>6.985109880481307</v>
      </c>
      <c r="BC323" s="20" t="inlineStr">
        <is>
          <t>egy.mit.pig.pow.nga.4</t>
        </is>
      </c>
      <c r="BD323" s="3" t="n">
        <v>3.442131746231219</v>
      </c>
      <c r="BE323" s="3" t="n">
        <v>3.563647747291698</v>
      </c>
      <c r="BF323" s="3" t="n">
        <v>3.671124891529928</v>
      </c>
      <c r="BG323" s="3" t="n">
        <v>3.697647730424862</v>
      </c>
      <c r="BH323" s="3" t="n">
        <v>3.870822068364479</v>
      </c>
      <c r="BI323" s="3" t="n">
        <v>4.024362252773628</v>
      </c>
      <c r="BJ323" s="3" t="n">
        <v>4.200514850842481</v>
      </c>
      <c r="BK323" s="3" t="n">
        <v>4.381044610664212</v>
      </c>
      <c r="BL323" s="3" t="n">
        <v>4.565877893992337</v>
      </c>
      <c r="BM323" s="3" t="n">
        <v>4.740532314281148</v>
      </c>
      <c r="BN323" s="3" t="n">
        <v>4.930129362210944</v>
      </c>
      <c r="BO323" s="3" t="n">
        <v>5.127144958769574</v>
      </c>
      <c r="BP323" s="3" t="n">
        <v>5.331850433319658</v>
      </c>
      <c r="BQ323" s="3" t="n">
        <v>5.544543720328807</v>
      </c>
      <c r="BR323" s="3" t="n">
        <v>5.765511147652902</v>
      </c>
      <c r="BS323" s="3" t="n">
        <v>5.995088322686453</v>
      </c>
      <c r="BT323" s="3" t="n">
        <v>6.233559288102899</v>
      </c>
      <c r="BU323" s="3" t="n">
        <v>6.481249497643916</v>
      </c>
      <c r="BV323" s="3" t="n">
        <v>6.738495505337865</v>
      </c>
      <c r="BW323" s="3" t="n">
        <v>6.985109880481307</v>
      </c>
      <c r="BY323" s="20" t="inlineStr">
        <is>
          <t>egy.mit.pig.pow.nga.5</t>
        </is>
      </c>
      <c r="BZ323" s="3" t="n">
        <v>3.442131746231219</v>
      </c>
      <c r="CA323" s="3" t="n">
        <v>3.563647747291698</v>
      </c>
      <c r="CB323" s="3" t="n">
        <v>3.671124891529928</v>
      </c>
      <c r="CC323" s="3" t="n">
        <v>3.697647730424862</v>
      </c>
      <c r="CD323" s="3" t="n">
        <v>3.870822068364479</v>
      </c>
      <c r="CE323" s="3" t="n">
        <v>4.024362252773628</v>
      </c>
      <c r="CF323" s="3" t="n">
        <v>4.200514850842481</v>
      </c>
      <c r="CG323" s="3" t="n">
        <v>4.381044610664212</v>
      </c>
      <c r="CH323" s="3" t="n">
        <v>4.565877893992337</v>
      </c>
      <c r="CI323" s="3" t="n">
        <v>4.740532314281148</v>
      </c>
      <c r="CJ323" s="3" t="n">
        <v>4.930129362210944</v>
      </c>
      <c r="CK323" s="3" t="n">
        <v>5.127144958769574</v>
      </c>
      <c r="CL323" s="3" t="n">
        <v>5.331850433319658</v>
      </c>
      <c r="CM323" s="3" t="n">
        <v>5.544543720328807</v>
      </c>
      <c r="CN323" s="3" t="n">
        <v>5.765511147652902</v>
      </c>
      <c r="CO323" s="3" t="n">
        <v>5.995088322686453</v>
      </c>
      <c r="CP323" s="3" t="n">
        <v>6.233559288102899</v>
      </c>
      <c r="CQ323" s="3" t="n">
        <v>6.481249497643916</v>
      </c>
      <c r="CR323" s="3" t="n">
        <v>6.738495505337865</v>
      </c>
      <c r="CS323" s="3" t="n">
        <v>6.985109880481307</v>
      </c>
      <c r="CU323" s="20" t="inlineStr">
        <is>
          <t>egy.mit.pig.pow.nga.6</t>
        </is>
      </c>
      <c r="CV323" s="3" t="n">
        <v>3.442131746231219</v>
      </c>
      <c r="CW323" s="3" t="n">
        <v>3.563647747291698</v>
      </c>
      <c r="CX323" s="3" t="n">
        <v>3.671124891529928</v>
      </c>
      <c r="CY323" s="3" t="n">
        <v>3.697647730424862</v>
      </c>
      <c r="CZ323" s="3" t="n">
        <v>3.870822068364479</v>
      </c>
      <c r="DA323" s="3" t="n">
        <v>4.024362252773628</v>
      </c>
      <c r="DB323" s="3" t="n">
        <v>4.200514850842481</v>
      </c>
      <c r="DC323" s="3" t="n">
        <v>4.381044610664212</v>
      </c>
      <c r="DD323" s="3" t="n">
        <v>4.565877893992337</v>
      </c>
      <c r="DE323" s="3" t="n">
        <v>4.740532314281148</v>
      </c>
      <c r="DF323" s="3" t="n">
        <v>4.930129362210944</v>
      </c>
      <c r="DG323" s="3" t="n">
        <v>5.127144958769574</v>
      </c>
      <c r="DH323" s="3" t="n">
        <v>5.331850433319658</v>
      </c>
      <c r="DI323" s="3" t="n">
        <v>5.544543720328807</v>
      </c>
      <c r="DJ323" s="3" t="n">
        <v>5.765511147652902</v>
      </c>
      <c r="DK323" s="3" t="n">
        <v>5.995088322686453</v>
      </c>
      <c r="DL323" s="3" t="n">
        <v>6.233559288102899</v>
      </c>
      <c r="DM323" s="3" t="n">
        <v>6.481249497643916</v>
      </c>
      <c r="DN323" s="3" t="n">
        <v>6.738495505337865</v>
      </c>
      <c r="DO323" s="3" t="n">
        <v>6.985109880481307</v>
      </c>
    </row>
    <row r="324">
      <c r="A324" s="19" t="inlineStr">
        <is>
          <t>mit.pig.co2e.pow.nga</t>
        </is>
      </c>
      <c r="B324" s="3" t="inlineStr">
        <is>
          <t>mit</t>
        </is>
      </c>
      <c r="C324" s="19" t="inlineStr">
        <is>
          <t>mit.pig.co2e.nga.pow</t>
        </is>
      </c>
      <c r="H324" s="3" t="inlineStr">
        <is>
          <t>Pigouvian tax per tonne of CO2 (fuel lines; avg: weighted by the fuel use of the scenario) | Power | Natural gas</t>
        </is>
      </c>
      <c r="I324" s="3" t="inlineStr">
        <is>
          <t>USD/tCO2</t>
        </is>
      </c>
      <c r="K324" s="20" t="inlineStr">
        <is>
          <t>egy.mit.pig.co2e.pow.nga.1</t>
        </is>
      </c>
      <c r="L324" s="3" t="n">
        <v>61.68694885719032</v>
      </c>
      <c r="M324" s="3" t="n">
        <v>63.86465496938527</v>
      </c>
      <c r="N324" s="3" t="n">
        <v>65.79076866541091</v>
      </c>
      <c r="O324" s="3" t="n">
        <v>66.26608835886849</v>
      </c>
      <c r="P324" s="3" t="n">
        <v>69.36957111764301</v>
      </c>
      <c r="Q324" s="3" t="n">
        <v>72.12118732569226</v>
      </c>
      <c r="R324" s="3" t="n">
        <v>75.27804392190828</v>
      </c>
      <c r="S324" s="3" t="n">
        <v>78.51334427713643</v>
      </c>
      <c r="T324" s="3" t="n">
        <v>81.82576870954011</v>
      </c>
      <c r="U324" s="3" t="n">
        <v>84.95577624159763</v>
      </c>
      <c r="V324" s="3" t="n">
        <v>88.35357279947928</v>
      </c>
      <c r="W324" s="3" t="n">
        <v>91.88431825751927</v>
      </c>
      <c r="X324" s="3" t="n">
        <v>95.5528751490978</v>
      </c>
      <c r="Y324" s="3" t="n">
        <v>99.36458280159152</v>
      </c>
      <c r="Z324" s="3" t="n">
        <v>103.3245725385825</v>
      </c>
      <c r="AA324" s="3" t="n">
        <v>107.4388588295063</v>
      </c>
      <c r="AB324" s="3" t="n">
        <v>111.7125320448548</v>
      </c>
      <c r="AC324" s="3" t="n">
        <v>116.1514246889591</v>
      </c>
      <c r="AD324" s="3" t="n">
        <v>120.7615681960191</v>
      </c>
      <c r="AE324" s="3" t="n">
        <v>125.1811806537869</v>
      </c>
      <c r="AG324" s="20" t="inlineStr">
        <is>
          <t>egy.mit.pig.co2e.pow.nga.3</t>
        </is>
      </c>
      <c r="AH324" s="3" t="n">
        <v>61.68694885719032</v>
      </c>
      <c r="AI324" s="3" t="n">
        <v>63.86465496938527</v>
      </c>
      <c r="AJ324" s="3" t="n">
        <v>65.79076866541091</v>
      </c>
      <c r="AK324" s="3" t="n">
        <v>66.26608835886849</v>
      </c>
      <c r="AL324" s="3" t="n">
        <v>69.36957111764301</v>
      </c>
      <c r="AM324" s="3" t="n">
        <v>72.12118732569226</v>
      </c>
      <c r="AN324" s="3" t="n">
        <v>75.27804392190828</v>
      </c>
      <c r="AO324" s="3" t="n">
        <v>78.51334427713643</v>
      </c>
      <c r="AP324" s="3" t="n">
        <v>81.82576870954011</v>
      </c>
      <c r="AQ324" s="3" t="n">
        <v>84.95577624159763</v>
      </c>
      <c r="AR324" s="3" t="n">
        <v>88.35357279947928</v>
      </c>
      <c r="AS324" s="3" t="n">
        <v>91.88431825751927</v>
      </c>
      <c r="AT324" s="3" t="n">
        <v>95.5528751490978</v>
      </c>
      <c r="AU324" s="3" t="n">
        <v>99.36458280159152</v>
      </c>
      <c r="AV324" s="3" t="n">
        <v>103.3245725385825</v>
      </c>
      <c r="AW324" s="3" t="n">
        <v>107.4388588295063</v>
      </c>
      <c r="AX324" s="3" t="n">
        <v>111.7125320448548</v>
      </c>
      <c r="AY324" s="3" t="n">
        <v>116.1514246889591</v>
      </c>
      <c r="AZ324" s="3" t="n">
        <v>120.7615681960191</v>
      </c>
      <c r="BA324" s="3" t="n">
        <v>125.1811806537869</v>
      </c>
      <c r="BC324" s="20" t="inlineStr">
        <is>
          <t>egy.mit.pig.co2e.pow.nga.4</t>
        </is>
      </c>
      <c r="BD324" s="3" t="n">
        <v>61.68694885719032</v>
      </c>
      <c r="BE324" s="3" t="n">
        <v>63.86465496938527</v>
      </c>
      <c r="BF324" s="3" t="n">
        <v>65.79076866541091</v>
      </c>
      <c r="BG324" s="3" t="n">
        <v>66.26608835886849</v>
      </c>
      <c r="BH324" s="3" t="n">
        <v>69.36957111764301</v>
      </c>
      <c r="BI324" s="3" t="n">
        <v>72.12118732569226</v>
      </c>
      <c r="BJ324" s="3" t="n">
        <v>75.27804392190828</v>
      </c>
      <c r="BK324" s="3" t="n">
        <v>78.51334427713643</v>
      </c>
      <c r="BL324" s="3" t="n">
        <v>81.82576870954011</v>
      </c>
      <c r="BM324" s="3" t="n">
        <v>84.95577624159763</v>
      </c>
      <c r="BN324" s="3" t="n">
        <v>88.35357279947928</v>
      </c>
      <c r="BO324" s="3" t="n">
        <v>91.88431825751927</v>
      </c>
      <c r="BP324" s="3" t="n">
        <v>95.5528751490978</v>
      </c>
      <c r="BQ324" s="3" t="n">
        <v>99.36458280159152</v>
      </c>
      <c r="BR324" s="3" t="n">
        <v>103.3245725385825</v>
      </c>
      <c r="BS324" s="3" t="n">
        <v>107.4388588295063</v>
      </c>
      <c r="BT324" s="3" t="n">
        <v>111.7125320448548</v>
      </c>
      <c r="BU324" s="3" t="n">
        <v>116.1514246889591</v>
      </c>
      <c r="BV324" s="3" t="n">
        <v>120.7615681960191</v>
      </c>
      <c r="BW324" s="3" t="n">
        <v>125.1811806537869</v>
      </c>
      <c r="BY324" s="20" t="inlineStr">
        <is>
          <t>egy.mit.pig.co2e.pow.nga.5</t>
        </is>
      </c>
      <c r="BZ324" s="3" t="n">
        <v>61.68694885719032</v>
      </c>
      <c r="CA324" s="3" t="n">
        <v>63.86465496938527</v>
      </c>
      <c r="CB324" s="3" t="n">
        <v>65.79076866541091</v>
      </c>
      <c r="CC324" s="3" t="n">
        <v>66.26608835886849</v>
      </c>
      <c r="CD324" s="3" t="n">
        <v>69.36957111764301</v>
      </c>
      <c r="CE324" s="3" t="n">
        <v>72.12118732569226</v>
      </c>
      <c r="CF324" s="3" t="n">
        <v>75.27804392190828</v>
      </c>
      <c r="CG324" s="3" t="n">
        <v>78.51334427713643</v>
      </c>
      <c r="CH324" s="3" t="n">
        <v>81.82576870954011</v>
      </c>
      <c r="CI324" s="3" t="n">
        <v>84.95577624159763</v>
      </c>
      <c r="CJ324" s="3" t="n">
        <v>88.35357279947928</v>
      </c>
      <c r="CK324" s="3" t="n">
        <v>91.88431825751927</v>
      </c>
      <c r="CL324" s="3" t="n">
        <v>95.5528751490978</v>
      </c>
      <c r="CM324" s="3" t="n">
        <v>99.36458280159152</v>
      </c>
      <c r="CN324" s="3" t="n">
        <v>103.3245725385825</v>
      </c>
      <c r="CO324" s="3" t="n">
        <v>107.4388588295063</v>
      </c>
      <c r="CP324" s="3" t="n">
        <v>111.7125320448548</v>
      </c>
      <c r="CQ324" s="3" t="n">
        <v>116.1514246889591</v>
      </c>
      <c r="CR324" s="3" t="n">
        <v>120.7615681960191</v>
      </c>
      <c r="CS324" s="3" t="n">
        <v>125.1811806537869</v>
      </c>
      <c r="CU324" s="20" t="inlineStr">
        <is>
          <t>egy.mit.pig.co2e.pow.nga.6</t>
        </is>
      </c>
      <c r="CV324" s="3" t="n">
        <v>61.68694885719032</v>
      </c>
      <c r="CW324" s="3" t="n">
        <v>63.86465496938527</v>
      </c>
      <c r="CX324" s="3" t="n">
        <v>65.79076866541091</v>
      </c>
      <c r="CY324" s="3" t="n">
        <v>66.26608835886849</v>
      </c>
      <c r="CZ324" s="3" t="n">
        <v>69.36957111764301</v>
      </c>
      <c r="DA324" s="3" t="n">
        <v>72.12118732569226</v>
      </c>
      <c r="DB324" s="3" t="n">
        <v>75.27804392190828</v>
      </c>
      <c r="DC324" s="3" t="n">
        <v>78.51334427713643</v>
      </c>
      <c r="DD324" s="3" t="n">
        <v>81.82576870954011</v>
      </c>
      <c r="DE324" s="3" t="n">
        <v>84.95577624159763</v>
      </c>
      <c r="DF324" s="3" t="n">
        <v>88.35357279947928</v>
      </c>
      <c r="DG324" s="3" t="n">
        <v>91.88431825751927</v>
      </c>
      <c r="DH324" s="3" t="n">
        <v>95.5528751490978</v>
      </c>
      <c r="DI324" s="3" t="n">
        <v>99.36458280159152</v>
      </c>
      <c r="DJ324" s="3" t="n">
        <v>103.3245725385825</v>
      </c>
      <c r="DK324" s="3" t="n">
        <v>107.4388588295063</v>
      </c>
      <c r="DL324" s="3" t="n">
        <v>111.7125320448548</v>
      </c>
      <c r="DM324" s="3" t="n">
        <v>116.1514246889591</v>
      </c>
      <c r="DN324" s="3" t="n">
        <v>120.7615681960191</v>
      </c>
      <c r="DO324" s="3" t="n">
        <v>125.1811806537869</v>
      </c>
    </row>
    <row r="325">
      <c r="A325" s="19" t="inlineStr">
        <is>
          <t>mit.eff.price.ind.ecy</t>
        </is>
      </c>
      <c r="B325" s="3" t="inlineStr">
        <is>
          <t>mit</t>
        </is>
      </c>
      <c r="C325" s="19" t="inlineStr">
        <is>
          <t>mit.eff.price.ecy.ind</t>
        </is>
      </c>
      <c r="H325" s="3" t="inlineStr">
        <is>
          <t>Efficient price | Industry | Electricity</t>
        </is>
      </c>
      <c r="I325" s="3" t="inlineStr">
        <is>
          <t>USD per price unit</t>
        </is>
      </c>
      <c r="K325" s="20" t="inlineStr">
        <is>
          <t>egy.mit.eff.price.ind.ecy.1</t>
        </is>
      </c>
      <c r="L325" s="3" t="n">
        <v>0.069938336359058</v>
      </c>
      <c r="M325" s="3" t="n">
        <v>0.07097874958774571</v>
      </c>
      <c r="N325" s="3" t="n">
        <v>0.1137617628043682</v>
      </c>
      <c r="O325" s="3" t="n">
        <v>0.1105333402242985</v>
      </c>
      <c r="P325" s="3" t="n">
        <v>0.1114423307551036</v>
      </c>
      <c r="Q325" s="3" t="n">
        <v>0.1124359859865048</v>
      </c>
      <c r="R325" s="3" t="n">
        <v>0.1134370235512334</v>
      </c>
      <c r="S325" s="3" t="n">
        <v>0.1150689758993866</v>
      </c>
      <c r="T325" s="3" t="n">
        <v>0.1166128381854904</v>
      </c>
      <c r="U325" s="3" t="n">
        <v>0.1170670815549349</v>
      </c>
      <c r="V325" s="3" t="n">
        <v>0.1156986318761495</v>
      </c>
      <c r="W325" s="3" t="n">
        <v>0.1143480388622281</v>
      </c>
      <c r="X325" s="3" t="n">
        <v>0.112945278844291</v>
      </c>
      <c r="Y325" s="3" t="n">
        <v>0.1116404471636387</v>
      </c>
      <c r="Z325" s="3" t="n">
        <v>0.1104200754219354</v>
      </c>
      <c r="AA325" s="3" t="n">
        <v>0.1092805121236627</v>
      </c>
      <c r="AB325" s="3" t="n">
        <v>0.1082128075950371</v>
      </c>
      <c r="AC325" s="3" t="n">
        <v>0.1072065805843277</v>
      </c>
      <c r="AD325" s="3" t="n">
        <v>0.1062550605212304</v>
      </c>
      <c r="AE325" s="3" t="n">
        <v>0.1050985031254011</v>
      </c>
      <c r="AG325" s="20" t="inlineStr">
        <is>
          <t>egy.mit.eff.price.ind.ecy.3</t>
        </is>
      </c>
      <c r="AH325" s="3" t="n">
        <v>0.069938336359058</v>
      </c>
      <c r="AI325" s="3" t="n">
        <v>0.07097874958774571</v>
      </c>
      <c r="AJ325" s="3" t="n">
        <v>0.1137617628043682</v>
      </c>
      <c r="AK325" s="3" t="n">
        <v>0.1105333402242985</v>
      </c>
      <c r="AL325" s="3" t="n">
        <v>0.1114423307551036</v>
      </c>
      <c r="AM325" s="3" t="n">
        <v>0.1124359859865048</v>
      </c>
      <c r="AN325" s="3" t="n">
        <v>0.1134370235512334</v>
      </c>
      <c r="AO325" s="3" t="n">
        <v>0.1150689758993866</v>
      </c>
      <c r="AP325" s="3" t="n">
        <v>0.1166128381854904</v>
      </c>
      <c r="AQ325" s="3" t="n">
        <v>0.1170670815549349</v>
      </c>
      <c r="AR325" s="3" t="n">
        <v>0.1156986318761495</v>
      </c>
      <c r="AS325" s="3" t="n">
        <v>0.1143480388622281</v>
      </c>
      <c r="AT325" s="3" t="n">
        <v>0.112945278844291</v>
      </c>
      <c r="AU325" s="3" t="n">
        <v>0.1116404471636387</v>
      </c>
      <c r="AV325" s="3" t="n">
        <v>0.1104200754219354</v>
      </c>
      <c r="AW325" s="3" t="n">
        <v>0.1092805121236627</v>
      </c>
      <c r="AX325" s="3" t="n">
        <v>0.1082128075950371</v>
      </c>
      <c r="AY325" s="3" t="n">
        <v>0.1072065805843277</v>
      </c>
      <c r="AZ325" s="3" t="n">
        <v>0.1062550605212304</v>
      </c>
      <c r="BA325" s="3" t="n">
        <v>0.1050985031254011</v>
      </c>
      <c r="BC325" s="20" t="inlineStr">
        <is>
          <t>egy.mit.eff.price.ind.ecy.4</t>
        </is>
      </c>
      <c r="BD325" s="3" t="n">
        <v>0.069938336359058</v>
      </c>
      <c r="BE325" s="3" t="n">
        <v>0.07097874958774571</v>
      </c>
      <c r="BF325" s="3" t="n">
        <v>0.1137617628043682</v>
      </c>
      <c r="BG325" s="3" t="n">
        <v>0.1105333402242985</v>
      </c>
      <c r="BH325" s="3" t="n">
        <v>0.1114423307551036</v>
      </c>
      <c r="BI325" s="3" t="n">
        <v>0.1124359859865048</v>
      </c>
      <c r="BJ325" s="3" t="n">
        <v>0.1134370235512334</v>
      </c>
      <c r="BK325" s="3" t="n">
        <v>0.1150689758993866</v>
      </c>
      <c r="BL325" s="3" t="n">
        <v>0.1166128381854904</v>
      </c>
      <c r="BM325" s="3" t="n">
        <v>0.1170670815549349</v>
      </c>
      <c r="BN325" s="3" t="n">
        <v>0.1156986318761495</v>
      </c>
      <c r="BO325" s="3" t="n">
        <v>0.1143480388622281</v>
      </c>
      <c r="BP325" s="3" t="n">
        <v>0.112945278844291</v>
      </c>
      <c r="BQ325" s="3" t="n">
        <v>0.1116404471636387</v>
      </c>
      <c r="BR325" s="3" t="n">
        <v>0.1104200754219354</v>
      </c>
      <c r="BS325" s="3" t="n">
        <v>0.1092805121236627</v>
      </c>
      <c r="BT325" s="3" t="n">
        <v>0.1082128075950371</v>
      </c>
      <c r="BU325" s="3" t="n">
        <v>0.1072065805843277</v>
      </c>
      <c r="BV325" s="3" t="n">
        <v>0.1062550605212304</v>
      </c>
      <c r="BW325" s="3" t="n">
        <v>0.1050985031254011</v>
      </c>
      <c r="BY325" s="20" t="inlineStr">
        <is>
          <t>egy.mit.eff.price.ind.ecy.5</t>
        </is>
      </c>
      <c r="BZ325" s="3" t="n">
        <v>0.069938336359058</v>
      </c>
      <c r="CA325" s="3" t="n">
        <v>0.07097874958774571</v>
      </c>
      <c r="CB325" s="3" t="n">
        <v>0.1137617628043682</v>
      </c>
      <c r="CC325" s="3" t="n">
        <v>0.1105333402242985</v>
      </c>
      <c r="CD325" s="3" t="n">
        <v>0.1114423307551036</v>
      </c>
      <c r="CE325" s="3" t="n">
        <v>0.1124359859865048</v>
      </c>
      <c r="CF325" s="3" t="n">
        <v>0.1134370235512334</v>
      </c>
      <c r="CG325" s="3" t="n">
        <v>0.1150689758993866</v>
      </c>
      <c r="CH325" s="3" t="n">
        <v>0.1166128381854904</v>
      </c>
      <c r="CI325" s="3" t="n">
        <v>0.1170670815549349</v>
      </c>
      <c r="CJ325" s="3" t="n">
        <v>0.1156986318761495</v>
      </c>
      <c r="CK325" s="3" t="n">
        <v>0.1143480388622281</v>
      </c>
      <c r="CL325" s="3" t="n">
        <v>0.112945278844291</v>
      </c>
      <c r="CM325" s="3" t="n">
        <v>0.1116404471636387</v>
      </c>
      <c r="CN325" s="3" t="n">
        <v>0.1104200754219354</v>
      </c>
      <c r="CO325" s="3" t="n">
        <v>0.1092805121236627</v>
      </c>
      <c r="CP325" s="3" t="n">
        <v>0.1082128075950371</v>
      </c>
      <c r="CQ325" s="3" t="n">
        <v>0.1072065805843277</v>
      </c>
      <c r="CR325" s="3" t="n">
        <v>0.1062550605212304</v>
      </c>
      <c r="CS325" s="3" t="n">
        <v>0.1050985031254011</v>
      </c>
      <c r="CU325" s="20" t="inlineStr">
        <is>
          <t>egy.mit.eff.price.ind.ecy.6</t>
        </is>
      </c>
      <c r="CV325" s="3" t="n">
        <v>0.069938336359058</v>
      </c>
      <c r="CW325" s="3" t="n">
        <v>0.07097874958774571</v>
      </c>
      <c r="CX325" s="3" t="n">
        <v>0.1137617628043682</v>
      </c>
      <c r="CY325" s="3" t="n">
        <v>0.1105333402242985</v>
      </c>
      <c r="CZ325" s="3" t="n">
        <v>0.1114423307551036</v>
      </c>
      <c r="DA325" s="3" t="n">
        <v>0.1124359859865048</v>
      </c>
      <c r="DB325" s="3" t="n">
        <v>0.1134370235512334</v>
      </c>
      <c r="DC325" s="3" t="n">
        <v>0.1150689758993866</v>
      </c>
      <c r="DD325" s="3" t="n">
        <v>0.1166128381854904</v>
      </c>
      <c r="DE325" s="3" t="n">
        <v>0.1170670815549349</v>
      </c>
      <c r="DF325" s="3" t="n">
        <v>0.1156986318761495</v>
      </c>
      <c r="DG325" s="3" t="n">
        <v>0.1143480388622281</v>
      </c>
      <c r="DH325" s="3" t="n">
        <v>0.112945278844291</v>
      </c>
      <c r="DI325" s="3" t="n">
        <v>0.1116404471636387</v>
      </c>
      <c r="DJ325" s="3" t="n">
        <v>0.1104200754219354</v>
      </c>
      <c r="DK325" s="3" t="n">
        <v>0.1092805121236627</v>
      </c>
      <c r="DL325" s="3" t="n">
        <v>0.1082128075950371</v>
      </c>
      <c r="DM325" s="3" t="n">
        <v>0.1072065805843277</v>
      </c>
      <c r="DN325" s="3" t="n">
        <v>0.1062550605212304</v>
      </c>
      <c r="DO325" s="3" t="n">
        <v>0.1050985031254011</v>
      </c>
    </row>
    <row r="326">
      <c r="A326" s="19" t="inlineStr">
        <is>
          <t>mit.sup.cost.ind.ecy</t>
        </is>
      </c>
      <c r="B326" s="3" t="inlineStr">
        <is>
          <t>mit</t>
        </is>
      </c>
      <c r="C326" s="19" t="inlineStr">
        <is>
          <t>mit.sup.cost.ecy.ind</t>
        </is>
      </c>
      <c r="H326" s="3" t="inlineStr">
        <is>
          <t>Efficient price: supply cost of scenario 1 | Industry | Electricity</t>
        </is>
      </c>
      <c r="I326" s="3" t="inlineStr">
        <is>
          <t>USD per price unit</t>
        </is>
      </c>
      <c r="K326" s="20" t="inlineStr">
        <is>
          <t>egy.mit.sup.cost.ind.ecy.1</t>
        </is>
      </c>
      <c r="L326" s="3" t="n">
        <v>0.06232214664946173</v>
      </c>
      <c r="M326" s="3" t="n">
        <v>0.0635111409345652</v>
      </c>
      <c r="N326" s="3" t="n">
        <v>0.1071059769947588</v>
      </c>
      <c r="O326" s="3" t="n">
        <v>0.1057245920293683</v>
      </c>
      <c r="P326" s="3" t="n">
        <v>0.1057335921471882</v>
      </c>
      <c r="Q326" s="3" t="n">
        <v>0.1062653317564135</v>
      </c>
      <c r="R326" s="3" t="n">
        <v>0.1064352876620497</v>
      </c>
      <c r="S326" s="3" t="n">
        <v>0.1072316373022316</v>
      </c>
      <c r="T326" s="3" t="n">
        <v>0.1079037344568096</v>
      </c>
      <c r="U326" s="3" t="n">
        <v>0.1086590218636384</v>
      </c>
      <c r="V326" s="3" t="n">
        <v>0.1074167971917689</v>
      </c>
      <c r="W326" s="3" t="n">
        <v>0.1062540049701071</v>
      </c>
      <c r="X326" s="3" t="n">
        <v>0.1050394592858352</v>
      </c>
      <c r="Y326" s="3" t="n">
        <v>0.1039071524520008</v>
      </c>
      <c r="Z326" s="3" t="n">
        <v>0.1028482615038122</v>
      </c>
      <c r="AA326" s="3" t="n">
        <v>0.1018583249236122</v>
      </c>
      <c r="AB326" s="3" t="n">
        <v>0.1009300932863205</v>
      </c>
      <c r="AC326" s="3" t="n">
        <v>0.1000540346692088</v>
      </c>
      <c r="AD326" s="3" t="n">
        <v>0.09922414955184913</v>
      </c>
      <c r="AE326" s="3" t="n">
        <v>0.09843367123480826</v>
      </c>
      <c r="AG326" s="20" t="inlineStr">
        <is>
          <t>egy.mit.sup.cost.ind.ecy.3</t>
        </is>
      </c>
      <c r="AH326" s="3" t="n">
        <v>0.06232214664946173</v>
      </c>
      <c r="AI326" s="3" t="n">
        <v>0.0635111409345652</v>
      </c>
      <c r="AJ326" s="3" t="n">
        <v>0.1071059769947588</v>
      </c>
      <c r="AK326" s="3" t="n">
        <v>0.1057245920293683</v>
      </c>
      <c r="AL326" s="3" t="n">
        <v>0.1057335921471882</v>
      </c>
      <c r="AM326" s="3" t="n">
        <v>0.1062653317564135</v>
      </c>
      <c r="AN326" s="3" t="n">
        <v>0.1064352876620497</v>
      </c>
      <c r="AO326" s="3" t="n">
        <v>0.1072316373022316</v>
      </c>
      <c r="AP326" s="3" t="n">
        <v>0.1079037344568096</v>
      </c>
      <c r="AQ326" s="3" t="n">
        <v>0.1086590218636384</v>
      </c>
      <c r="AR326" s="3" t="n">
        <v>0.1074167971917689</v>
      </c>
      <c r="AS326" s="3" t="n">
        <v>0.1062540049701071</v>
      </c>
      <c r="AT326" s="3" t="n">
        <v>0.1050394592858352</v>
      </c>
      <c r="AU326" s="3" t="n">
        <v>0.1039071524520008</v>
      </c>
      <c r="AV326" s="3" t="n">
        <v>0.1028482615038122</v>
      </c>
      <c r="AW326" s="3" t="n">
        <v>0.1018583249236122</v>
      </c>
      <c r="AX326" s="3" t="n">
        <v>0.1009300932863205</v>
      </c>
      <c r="AY326" s="3" t="n">
        <v>0.1000540346692088</v>
      </c>
      <c r="AZ326" s="3" t="n">
        <v>0.09922414955184913</v>
      </c>
      <c r="BA326" s="3" t="n">
        <v>0.09843367123480826</v>
      </c>
      <c r="BC326" s="20" t="inlineStr">
        <is>
          <t>egy.mit.sup.cost.ind.ecy.4</t>
        </is>
      </c>
      <c r="BD326" s="3" t="n">
        <v>0.06232214664946173</v>
      </c>
      <c r="BE326" s="3" t="n">
        <v>0.0635111409345652</v>
      </c>
      <c r="BF326" s="3" t="n">
        <v>0.1071059769947588</v>
      </c>
      <c r="BG326" s="3" t="n">
        <v>0.1057245920293683</v>
      </c>
      <c r="BH326" s="3" t="n">
        <v>0.1057335921471882</v>
      </c>
      <c r="BI326" s="3" t="n">
        <v>0.1062653317564135</v>
      </c>
      <c r="BJ326" s="3" t="n">
        <v>0.1064352876620497</v>
      </c>
      <c r="BK326" s="3" t="n">
        <v>0.1072316373022316</v>
      </c>
      <c r="BL326" s="3" t="n">
        <v>0.1079037344568096</v>
      </c>
      <c r="BM326" s="3" t="n">
        <v>0.1086590218636384</v>
      </c>
      <c r="BN326" s="3" t="n">
        <v>0.1074167971917689</v>
      </c>
      <c r="BO326" s="3" t="n">
        <v>0.1062540049701071</v>
      </c>
      <c r="BP326" s="3" t="n">
        <v>0.1050394592858352</v>
      </c>
      <c r="BQ326" s="3" t="n">
        <v>0.1039071524520008</v>
      </c>
      <c r="BR326" s="3" t="n">
        <v>0.1028482615038122</v>
      </c>
      <c r="BS326" s="3" t="n">
        <v>0.1018583249236122</v>
      </c>
      <c r="BT326" s="3" t="n">
        <v>0.1009300932863205</v>
      </c>
      <c r="BU326" s="3" t="n">
        <v>0.1000540346692088</v>
      </c>
      <c r="BV326" s="3" t="n">
        <v>0.09922414955184913</v>
      </c>
      <c r="BW326" s="3" t="n">
        <v>0.09843367123480826</v>
      </c>
      <c r="BY326" s="20" t="inlineStr">
        <is>
          <t>egy.mit.sup.cost.ind.ecy.5</t>
        </is>
      </c>
      <c r="BZ326" s="3" t="n">
        <v>0.06232214664946173</v>
      </c>
      <c r="CA326" s="3" t="n">
        <v>0.0635111409345652</v>
      </c>
      <c r="CB326" s="3" t="n">
        <v>0.1071059769947588</v>
      </c>
      <c r="CC326" s="3" t="n">
        <v>0.1057245920293683</v>
      </c>
      <c r="CD326" s="3" t="n">
        <v>0.1057335921471882</v>
      </c>
      <c r="CE326" s="3" t="n">
        <v>0.1062653317564135</v>
      </c>
      <c r="CF326" s="3" t="n">
        <v>0.1064352876620497</v>
      </c>
      <c r="CG326" s="3" t="n">
        <v>0.1072316373022316</v>
      </c>
      <c r="CH326" s="3" t="n">
        <v>0.1079037344568096</v>
      </c>
      <c r="CI326" s="3" t="n">
        <v>0.1086590218636384</v>
      </c>
      <c r="CJ326" s="3" t="n">
        <v>0.1074167971917689</v>
      </c>
      <c r="CK326" s="3" t="n">
        <v>0.1062540049701071</v>
      </c>
      <c r="CL326" s="3" t="n">
        <v>0.1050394592858352</v>
      </c>
      <c r="CM326" s="3" t="n">
        <v>0.1039071524520008</v>
      </c>
      <c r="CN326" s="3" t="n">
        <v>0.1028482615038122</v>
      </c>
      <c r="CO326" s="3" t="n">
        <v>0.1018583249236122</v>
      </c>
      <c r="CP326" s="3" t="n">
        <v>0.1009300932863205</v>
      </c>
      <c r="CQ326" s="3" t="n">
        <v>0.1000540346692088</v>
      </c>
      <c r="CR326" s="3" t="n">
        <v>0.09922414955184913</v>
      </c>
      <c r="CS326" s="3" t="n">
        <v>0.09843367123480826</v>
      </c>
      <c r="CU326" s="20" t="inlineStr">
        <is>
          <t>egy.mit.sup.cost.ind.ecy.6</t>
        </is>
      </c>
      <c r="CV326" s="3" t="n">
        <v>0.06232214664946173</v>
      </c>
      <c r="CW326" s="3" t="n">
        <v>0.0635111409345652</v>
      </c>
      <c r="CX326" s="3" t="n">
        <v>0.1071059769947588</v>
      </c>
      <c r="CY326" s="3" t="n">
        <v>0.1057245920293683</v>
      </c>
      <c r="CZ326" s="3" t="n">
        <v>0.1057335921471882</v>
      </c>
      <c r="DA326" s="3" t="n">
        <v>0.1062653317564135</v>
      </c>
      <c r="DB326" s="3" t="n">
        <v>0.1064352876620497</v>
      </c>
      <c r="DC326" s="3" t="n">
        <v>0.1072316373022316</v>
      </c>
      <c r="DD326" s="3" t="n">
        <v>0.1079037344568096</v>
      </c>
      <c r="DE326" s="3" t="n">
        <v>0.1086590218636384</v>
      </c>
      <c r="DF326" s="3" t="n">
        <v>0.1074167971917689</v>
      </c>
      <c r="DG326" s="3" t="n">
        <v>0.1062540049701071</v>
      </c>
      <c r="DH326" s="3" t="n">
        <v>0.1050394592858352</v>
      </c>
      <c r="DI326" s="3" t="n">
        <v>0.1039071524520008</v>
      </c>
      <c r="DJ326" s="3" t="n">
        <v>0.1028482615038122</v>
      </c>
      <c r="DK326" s="3" t="n">
        <v>0.1018583249236122</v>
      </c>
      <c r="DL326" s="3" t="n">
        <v>0.1009300932863205</v>
      </c>
      <c r="DM326" s="3" t="n">
        <v>0.1000540346692088</v>
      </c>
      <c r="DN326" s="3" t="n">
        <v>0.09922414955184913</v>
      </c>
      <c r="DO326" s="3" t="n">
        <v>0.09843367123480826</v>
      </c>
    </row>
    <row r="327">
      <c r="A327" s="19" t="inlineStr">
        <is>
          <t>mit.airpol.cost.s.ind.ecy</t>
        </is>
      </c>
      <c r="B327" s="3" t="inlineStr">
        <is>
          <t>mit</t>
        </is>
      </c>
      <c r="C327" s="19" t="inlineStr">
        <is>
          <t>mit.airpol.cost.ecy.ind</t>
        </is>
      </c>
      <c r="H327" s="3" t="inlineStr">
        <is>
          <t>Efficient price: air-pollution cost | Industry | Electricity</t>
        </is>
      </c>
      <c r="I327" s="3" t="inlineStr">
        <is>
          <t>USD per price unit</t>
        </is>
      </c>
      <c r="K327" s="20" t="inlineStr">
        <is>
          <t>egy.mit.airpol.cost.s.ind.ecy.1</t>
        </is>
      </c>
      <c r="L327" s="3" t="n">
        <v>0.007616189709596273</v>
      </c>
      <c r="M327" s="3" t="n">
        <v>0.007467608653180516</v>
      </c>
      <c r="N327" s="3" t="n">
        <v>0.006655785809609397</v>
      </c>
      <c r="O327" s="3" t="n">
        <v>0.004808748194930148</v>
      </c>
      <c r="P327" s="3" t="n">
        <v>0.005708738607915468</v>
      </c>
      <c r="Q327" s="3" t="n">
        <v>0.006170654230091311</v>
      </c>
      <c r="R327" s="3" t="n">
        <v>0.007001735889183701</v>
      </c>
      <c r="S327" s="3" t="n">
        <v>0.007837338597155054</v>
      </c>
      <c r="T327" s="3" t="n">
        <v>0.008709103728680704</v>
      </c>
      <c r="U327" s="3" t="n">
        <v>0.008408059691296569</v>
      </c>
      <c r="V327" s="3" t="n">
        <v>0.008281834684380589</v>
      </c>
      <c r="W327" s="3" t="n">
        <v>0.008094033892121022</v>
      </c>
      <c r="X327" s="3" t="n">
        <v>0.007905819558455703</v>
      </c>
      <c r="Y327" s="3" t="n">
        <v>0.007733294711637893</v>
      </c>
      <c r="Z327" s="3" t="n">
        <v>0.007571813918123129</v>
      </c>
      <c r="AA327" s="3" t="n">
        <v>0.007422187200050424</v>
      </c>
      <c r="AB327" s="3" t="n">
        <v>0.007282714308716584</v>
      </c>
      <c r="AC327" s="3" t="n">
        <v>0.007152545915118889</v>
      </c>
      <c r="AD327" s="3" t="n">
        <v>0.007030910969381268</v>
      </c>
      <c r="AE327" s="3" t="n">
        <v>0.006664831890592877</v>
      </c>
      <c r="AG327" s="20" t="inlineStr">
        <is>
          <t>egy.mit.airpol.cost.s.ind.ecy.3</t>
        </is>
      </c>
      <c r="AH327" s="3" t="n">
        <v>0.007616189709596273</v>
      </c>
      <c r="AI327" s="3" t="n">
        <v>0.007467608653180516</v>
      </c>
      <c r="AJ327" s="3" t="n">
        <v>0.006655785809609397</v>
      </c>
      <c r="AK327" s="3" t="n">
        <v>0.004808748194930148</v>
      </c>
      <c r="AL327" s="3" t="n">
        <v>0.005708738607915468</v>
      </c>
      <c r="AM327" s="3" t="n">
        <v>0.006170654230091311</v>
      </c>
      <c r="AN327" s="3" t="n">
        <v>0.007001735889183701</v>
      </c>
      <c r="AO327" s="3" t="n">
        <v>0.007837338597155054</v>
      </c>
      <c r="AP327" s="3" t="n">
        <v>0.008709103728680704</v>
      </c>
      <c r="AQ327" s="3" t="n">
        <v>0.008408059691296569</v>
      </c>
      <c r="AR327" s="3" t="n">
        <v>0.008281834684380589</v>
      </c>
      <c r="AS327" s="3" t="n">
        <v>0.008094033892121022</v>
      </c>
      <c r="AT327" s="3" t="n">
        <v>0.007905819558455703</v>
      </c>
      <c r="AU327" s="3" t="n">
        <v>0.007733294711637893</v>
      </c>
      <c r="AV327" s="3" t="n">
        <v>0.007571813918123129</v>
      </c>
      <c r="AW327" s="3" t="n">
        <v>0.007422187200050424</v>
      </c>
      <c r="AX327" s="3" t="n">
        <v>0.007282714308716584</v>
      </c>
      <c r="AY327" s="3" t="n">
        <v>0.007152545915118889</v>
      </c>
      <c r="AZ327" s="3" t="n">
        <v>0.007030910969381268</v>
      </c>
      <c r="BA327" s="3" t="n">
        <v>0.006664831890592877</v>
      </c>
      <c r="BC327" s="20" t="inlineStr">
        <is>
          <t>egy.mit.airpol.cost.s.ind.ecy.4</t>
        </is>
      </c>
      <c r="BD327" s="3" t="n">
        <v>0.007616189709596273</v>
      </c>
      <c r="BE327" s="3" t="n">
        <v>0.007467608653180516</v>
      </c>
      <c r="BF327" s="3" t="n">
        <v>0.006655785809609397</v>
      </c>
      <c r="BG327" s="3" t="n">
        <v>0.004808748194930148</v>
      </c>
      <c r="BH327" s="3" t="n">
        <v>0.005708738607915468</v>
      </c>
      <c r="BI327" s="3" t="n">
        <v>0.006170654230091311</v>
      </c>
      <c r="BJ327" s="3" t="n">
        <v>0.007001735889183701</v>
      </c>
      <c r="BK327" s="3" t="n">
        <v>0.007837338597155054</v>
      </c>
      <c r="BL327" s="3" t="n">
        <v>0.008709103728680704</v>
      </c>
      <c r="BM327" s="3" t="n">
        <v>0.008408059691296569</v>
      </c>
      <c r="BN327" s="3" t="n">
        <v>0.008281834684380589</v>
      </c>
      <c r="BO327" s="3" t="n">
        <v>0.008094033892121022</v>
      </c>
      <c r="BP327" s="3" t="n">
        <v>0.007905819558455703</v>
      </c>
      <c r="BQ327" s="3" t="n">
        <v>0.007733294711637893</v>
      </c>
      <c r="BR327" s="3" t="n">
        <v>0.007571813918123129</v>
      </c>
      <c r="BS327" s="3" t="n">
        <v>0.007422187200050424</v>
      </c>
      <c r="BT327" s="3" t="n">
        <v>0.007282714308716584</v>
      </c>
      <c r="BU327" s="3" t="n">
        <v>0.007152545915118889</v>
      </c>
      <c r="BV327" s="3" t="n">
        <v>0.007030910969381268</v>
      </c>
      <c r="BW327" s="3" t="n">
        <v>0.006664831890592877</v>
      </c>
      <c r="BY327" s="20" t="inlineStr">
        <is>
          <t>egy.mit.airpol.cost.s.ind.ecy.5</t>
        </is>
      </c>
      <c r="BZ327" s="3" t="n">
        <v>0.007616189709596273</v>
      </c>
      <c r="CA327" s="3" t="n">
        <v>0.007467608653180516</v>
      </c>
      <c r="CB327" s="3" t="n">
        <v>0.006655785809609397</v>
      </c>
      <c r="CC327" s="3" t="n">
        <v>0.004808748194930148</v>
      </c>
      <c r="CD327" s="3" t="n">
        <v>0.005708738607915468</v>
      </c>
      <c r="CE327" s="3" t="n">
        <v>0.006170654230091311</v>
      </c>
      <c r="CF327" s="3" t="n">
        <v>0.007001735889183701</v>
      </c>
      <c r="CG327" s="3" t="n">
        <v>0.007837338597155054</v>
      </c>
      <c r="CH327" s="3" t="n">
        <v>0.008709103728680704</v>
      </c>
      <c r="CI327" s="3" t="n">
        <v>0.008408059691296569</v>
      </c>
      <c r="CJ327" s="3" t="n">
        <v>0.008281834684380589</v>
      </c>
      <c r="CK327" s="3" t="n">
        <v>0.008094033892121022</v>
      </c>
      <c r="CL327" s="3" t="n">
        <v>0.007905819558455703</v>
      </c>
      <c r="CM327" s="3" t="n">
        <v>0.007733294711637893</v>
      </c>
      <c r="CN327" s="3" t="n">
        <v>0.007571813918123129</v>
      </c>
      <c r="CO327" s="3" t="n">
        <v>0.007422187200050424</v>
      </c>
      <c r="CP327" s="3" t="n">
        <v>0.007282714308716584</v>
      </c>
      <c r="CQ327" s="3" t="n">
        <v>0.007152545915118889</v>
      </c>
      <c r="CR327" s="3" t="n">
        <v>0.007030910969381268</v>
      </c>
      <c r="CS327" s="3" t="n">
        <v>0.006664831890592877</v>
      </c>
      <c r="CU327" s="20" t="inlineStr">
        <is>
          <t>egy.mit.airpol.cost.s.ind.ecy.6</t>
        </is>
      </c>
      <c r="CV327" s="3" t="n">
        <v>0.007616189709596273</v>
      </c>
      <c r="CW327" s="3" t="n">
        <v>0.007467608653180516</v>
      </c>
      <c r="CX327" s="3" t="n">
        <v>0.006655785809609397</v>
      </c>
      <c r="CY327" s="3" t="n">
        <v>0.004808748194930148</v>
      </c>
      <c r="CZ327" s="3" t="n">
        <v>0.005708738607915468</v>
      </c>
      <c r="DA327" s="3" t="n">
        <v>0.006170654230091311</v>
      </c>
      <c r="DB327" s="3" t="n">
        <v>0.007001735889183701</v>
      </c>
      <c r="DC327" s="3" t="n">
        <v>0.007837338597155054</v>
      </c>
      <c r="DD327" s="3" t="n">
        <v>0.008709103728680704</v>
      </c>
      <c r="DE327" s="3" t="n">
        <v>0.008408059691296569</v>
      </c>
      <c r="DF327" s="3" t="n">
        <v>0.008281834684380589</v>
      </c>
      <c r="DG327" s="3" t="n">
        <v>0.008094033892121022</v>
      </c>
      <c r="DH327" s="3" t="n">
        <v>0.007905819558455703</v>
      </c>
      <c r="DI327" s="3" t="n">
        <v>0.007733294711637893</v>
      </c>
      <c r="DJ327" s="3" t="n">
        <v>0.007571813918123129</v>
      </c>
      <c r="DK327" s="3" t="n">
        <v>0.007422187200050424</v>
      </c>
      <c r="DL327" s="3" t="n">
        <v>0.007282714308716584</v>
      </c>
      <c r="DM327" s="3" t="n">
        <v>0.007152545915118889</v>
      </c>
      <c r="DN327" s="3" t="n">
        <v>0.007030910969381268</v>
      </c>
      <c r="DO327" s="3" t="n">
        <v>0.006664831890592877</v>
      </c>
    </row>
    <row r="328">
      <c r="A328" s="19" t="inlineStr">
        <is>
          <t>mit.scc.cost.ind.ecy</t>
        </is>
      </c>
      <c r="B328" s="3" t="inlineStr">
        <is>
          <t>mit</t>
        </is>
      </c>
      <c r="C328" s="19" t="inlineStr">
        <is>
          <t>mit.scc.cost.ecy.ind</t>
        </is>
      </c>
      <c r="H328" s="3" t="inlineStr">
        <is>
          <t>Efficient price: climate damage (national SCC) | Industry | Electricity</t>
        </is>
      </c>
      <c r="I328" s="3" t="inlineStr">
        <is>
          <t>USD per price unit</t>
        </is>
      </c>
      <c r="K328" s="20" t="inlineStr">
        <is>
          <t>egy.mit.scc.cost.ind.ecy.1</t>
        </is>
      </c>
      <c r="L328" s="3" t="n">
        <v>0</v>
      </c>
      <c r="M328" s="3" t="n">
        <v>0</v>
      </c>
      <c r="N328" s="3" t="n">
        <v>0</v>
      </c>
      <c r="O328" s="3" t="n">
        <v>0</v>
      </c>
      <c r="P328" s="3" t="n">
        <v>0</v>
      </c>
      <c r="Q328" s="3" t="n">
        <v>0</v>
      </c>
      <c r="R328" s="3" t="n">
        <v>0</v>
      </c>
      <c r="S328" s="3" t="n">
        <v>0</v>
      </c>
      <c r="T328" s="3" t="n">
        <v>0</v>
      </c>
      <c r="U328" s="3" t="n">
        <v>0</v>
      </c>
      <c r="V328" s="3" t="n">
        <v>0</v>
      </c>
      <c r="W328" s="3" t="n">
        <v>0</v>
      </c>
      <c r="X328" s="3" t="n">
        <v>0</v>
      </c>
      <c r="Y328" s="3" t="n">
        <v>0</v>
      </c>
      <c r="Z328" s="3" t="n">
        <v>0</v>
      </c>
      <c r="AA328" s="3" t="n">
        <v>0</v>
      </c>
      <c r="AB328" s="3" t="n">
        <v>0</v>
      </c>
      <c r="AC328" s="3" t="n">
        <v>0</v>
      </c>
      <c r="AD328" s="3" t="n">
        <v>0</v>
      </c>
      <c r="AE328" s="3" t="n">
        <v>0</v>
      </c>
      <c r="AG328" s="20" t="inlineStr">
        <is>
          <t>egy.mit.scc.cost.ind.ecy.3</t>
        </is>
      </c>
      <c r="AH328" s="3" t="n">
        <v>0</v>
      </c>
      <c r="AI328" s="3" t="n">
        <v>0</v>
      </c>
      <c r="AJ328" s="3" t="n">
        <v>0</v>
      </c>
      <c r="AK328" s="3" t="n">
        <v>0</v>
      </c>
      <c r="AL328" s="3" t="n">
        <v>0</v>
      </c>
      <c r="AM328" s="3" t="n">
        <v>0</v>
      </c>
      <c r="AN328" s="3" t="n">
        <v>0</v>
      </c>
      <c r="AO328" s="3" t="n">
        <v>0</v>
      </c>
      <c r="AP328" s="3" t="n">
        <v>0</v>
      </c>
      <c r="AQ328" s="3" t="n">
        <v>0</v>
      </c>
      <c r="AR328" s="3" t="n">
        <v>0</v>
      </c>
      <c r="AS328" s="3" t="n">
        <v>0</v>
      </c>
      <c r="AT328" s="3" t="n">
        <v>0</v>
      </c>
      <c r="AU328" s="3" t="n">
        <v>0</v>
      </c>
      <c r="AV328" s="3" t="n">
        <v>0</v>
      </c>
      <c r="AW328" s="3" t="n">
        <v>0</v>
      </c>
      <c r="AX328" s="3" t="n">
        <v>0</v>
      </c>
      <c r="AY328" s="3" t="n">
        <v>0</v>
      </c>
      <c r="AZ328" s="3" t="n">
        <v>0</v>
      </c>
      <c r="BA328" s="3" t="n">
        <v>0</v>
      </c>
      <c r="BC328" s="20" t="inlineStr">
        <is>
          <t>egy.mit.scc.cost.ind.ecy.4</t>
        </is>
      </c>
      <c r="BD328" s="3" t="n">
        <v>0</v>
      </c>
      <c r="BE328" s="3" t="n">
        <v>0</v>
      </c>
      <c r="BF328" s="3" t="n">
        <v>0</v>
      </c>
      <c r="BG328" s="3" t="n">
        <v>0</v>
      </c>
      <c r="BH328" s="3" t="n">
        <v>0</v>
      </c>
      <c r="BI328" s="3" t="n">
        <v>0</v>
      </c>
      <c r="BJ328" s="3" t="n">
        <v>0</v>
      </c>
      <c r="BK328" s="3" t="n">
        <v>0</v>
      </c>
      <c r="BL328" s="3" t="n">
        <v>0</v>
      </c>
      <c r="BM328" s="3" t="n">
        <v>0</v>
      </c>
      <c r="BN328" s="3" t="n">
        <v>0</v>
      </c>
      <c r="BO328" s="3" t="n">
        <v>0</v>
      </c>
      <c r="BP328" s="3" t="n">
        <v>0</v>
      </c>
      <c r="BQ328" s="3" t="n">
        <v>0</v>
      </c>
      <c r="BR328" s="3" t="n">
        <v>0</v>
      </c>
      <c r="BS328" s="3" t="n">
        <v>0</v>
      </c>
      <c r="BT328" s="3" t="n">
        <v>0</v>
      </c>
      <c r="BU328" s="3" t="n">
        <v>0</v>
      </c>
      <c r="BV328" s="3" t="n">
        <v>0</v>
      </c>
      <c r="BW328" s="3" t="n">
        <v>0</v>
      </c>
      <c r="BY328" s="20" t="inlineStr">
        <is>
          <t>egy.mit.scc.cost.ind.ecy.5</t>
        </is>
      </c>
      <c r="BZ328" s="3" t="n">
        <v>0</v>
      </c>
      <c r="CA328" s="3" t="n">
        <v>0</v>
      </c>
      <c r="CB328" s="3" t="n">
        <v>0</v>
      </c>
      <c r="CC328" s="3" t="n">
        <v>0</v>
      </c>
      <c r="CD328" s="3" t="n">
        <v>0</v>
      </c>
      <c r="CE328" s="3" t="n">
        <v>0</v>
      </c>
      <c r="CF328" s="3" t="n">
        <v>0</v>
      </c>
      <c r="CG328" s="3" t="n">
        <v>0</v>
      </c>
      <c r="CH328" s="3" t="n">
        <v>0</v>
      </c>
      <c r="CI328" s="3" t="n">
        <v>0</v>
      </c>
      <c r="CJ328" s="3" t="n">
        <v>0</v>
      </c>
      <c r="CK328" s="3" t="n">
        <v>0</v>
      </c>
      <c r="CL328" s="3" t="n">
        <v>0</v>
      </c>
      <c r="CM328" s="3" t="n">
        <v>0</v>
      </c>
      <c r="CN328" s="3" t="n">
        <v>0</v>
      </c>
      <c r="CO328" s="3" t="n">
        <v>0</v>
      </c>
      <c r="CP328" s="3" t="n">
        <v>0</v>
      </c>
      <c r="CQ328" s="3" t="n">
        <v>0</v>
      </c>
      <c r="CR328" s="3" t="n">
        <v>0</v>
      </c>
      <c r="CS328" s="3" t="n">
        <v>0</v>
      </c>
      <c r="CU328" s="20" t="inlineStr">
        <is>
          <t>egy.mit.scc.cost.ind.ecy.6</t>
        </is>
      </c>
      <c r="CV328" s="3" t="n">
        <v>0</v>
      </c>
      <c r="CW328" s="3" t="n">
        <v>0</v>
      </c>
      <c r="CX328" s="3" t="n">
        <v>0</v>
      </c>
      <c r="CY328" s="3" t="n">
        <v>0</v>
      </c>
      <c r="CZ328" s="3" t="n">
        <v>0</v>
      </c>
      <c r="DA328" s="3" t="n">
        <v>0</v>
      </c>
      <c r="DB328" s="3" t="n">
        <v>0</v>
      </c>
      <c r="DC328" s="3" t="n">
        <v>0</v>
      </c>
      <c r="DD328" s="3" t="n">
        <v>0</v>
      </c>
      <c r="DE328" s="3" t="n">
        <v>0</v>
      </c>
      <c r="DF328" s="3" t="n">
        <v>0</v>
      </c>
      <c r="DG328" s="3" t="n">
        <v>0</v>
      </c>
      <c r="DH328" s="3" t="n">
        <v>0</v>
      </c>
      <c r="DI328" s="3" t="n">
        <v>0</v>
      </c>
      <c r="DJ328" s="3" t="n">
        <v>0</v>
      </c>
      <c r="DK328" s="3" t="n">
        <v>0</v>
      </c>
      <c r="DL328" s="3" t="n">
        <v>0</v>
      </c>
      <c r="DM328" s="3" t="n">
        <v>0</v>
      </c>
      <c r="DN328" s="3" t="n">
        <v>0</v>
      </c>
      <c r="DO328" s="3" t="n">
        <v>0</v>
      </c>
    </row>
    <row r="329">
      <c r="A329" s="19" t="inlineStr">
        <is>
          <t>mit.vat.cost.ind.ecy</t>
        </is>
      </c>
      <c r="B329" s="3" t="inlineStr">
        <is>
          <t>mit</t>
        </is>
      </c>
      <c r="C329" s="19" t="inlineStr">
        <is>
          <t>mit.vat.cost.ecy.ind</t>
        </is>
      </c>
      <c r="H329" s="3" t="inlineStr">
        <is>
          <t>Efficient price: potential VAT | Industry | Electricity</t>
        </is>
      </c>
      <c r="I329" s="3" t="inlineStr">
        <is>
          <t>USD per price unit</t>
        </is>
      </c>
      <c r="K329" s="20" t="inlineStr">
        <is>
          <t>egy.mit.vat.cost.ind.ecy.1</t>
        </is>
      </c>
      <c r="L329" s="3" t="n">
        <v>0</v>
      </c>
      <c r="M329" s="3" t="n">
        <v>0</v>
      </c>
      <c r="N329" s="3" t="n">
        <v>0</v>
      </c>
      <c r="O329" s="3" t="n">
        <v>0</v>
      </c>
      <c r="P329" s="3" t="n">
        <v>0</v>
      </c>
      <c r="Q329" s="3" t="n">
        <v>0</v>
      </c>
      <c r="R329" s="3" t="n">
        <v>0</v>
      </c>
      <c r="S329" s="3" t="n">
        <v>0</v>
      </c>
      <c r="T329" s="3" t="n">
        <v>0</v>
      </c>
      <c r="U329" s="3" t="n">
        <v>0</v>
      </c>
      <c r="V329" s="3" t="n">
        <v>0</v>
      </c>
      <c r="W329" s="3" t="n">
        <v>0</v>
      </c>
      <c r="X329" s="3" t="n">
        <v>0</v>
      </c>
      <c r="Y329" s="3" t="n">
        <v>0</v>
      </c>
      <c r="Z329" s="3" t="n">
        <v>0</v>
      </c>
      <c r="AA329" s="3" t="n">
        <v>0</v>
      </c>
      <c r="AB329" s="3" t="n">
        <v>0</v>
      </c>
      <c r="AC329" s="3" t="n">
        <v>0</v>
      </c>
      <c r="AD329" s="3" t="n">
        <v>0</v>
      </c>
      <c r="AE329" s="3" t="n">
        <v>0</v>
      </c>
      <c r="AG329" s="20" t="inlineStr">
        <is>
          <t>egy.mit.vat.cost.ind.ecy.3</t>
        </is>
      </c>
      <c r="AH329" s="3" t="n">
        <v>0</v>
      </c>
      <c r="AI329" s="3" t="n">
        <v>0</v>
      </c>
      <c r="AJ329" s="3" t="n">
        <v>0</v>
      </c>
      <c r="AK329" s="3" t="n">
        <v>0</v>
      </c>
      <c r="AL329" s="3" t="n">
        <v>0</v>
      </c>
      <c r="AM329" s="3" t="n">
        <v>0</v>
      </c>
      <c r="AN329" s="3" t="n">
        <v>0</v>
      </c>
      <c r="AO329" s="3" t="n">
        <v>0</v>
      </c>
      <c r="AP329" s="3" t="n">
        <v>0</v>
      </c>
      <c r="AQ329" s="3" t="n">
        <v>0</v>
      </c>
      <c r="AR329" s="3" t="n">
        <v>0</v>
      </c>
      <c r="AS329" s="3" t="n">
        <v>0</v>
      </c>
      <c r="AT329" s="3" t="n">
        <v>0</v>
      </c>
      <c r="AU329" s="3" t="n">
        <v>0</v>
      </c>
      <c r="AV329" s="3" t="n">
        <v>0</v>
      </c>
      <c r="AW329" s="3" t="n">
        <v>0</v>
      </c>
      <c r="AX329" s="3" t="n">
        <v>0</v>
      </c>
      <c r="AY329" s="3" t="n">
        <v>0</v>
      </c>
      <c r="AZ329" s="3" t="n">
        <v>0</v>
      </c>
      <c r="BA329" s="3" t="n">
        <v>0</v>
      </c>
      <c r="BC329" s="20" t="inlineStr">
        <is>
          <t>egy.mit.vat.cost.ind.ecy.4</t>
        </is>
      </c>
      <c r="BD329" s="3" t="n">
        <v>0</v>
      </c>
      <c r="BE329" s="3" t="n">
        <v>0</v>
      </c>
      <c r="BF329" s="3" t="n">
        <v>0</v>
      </c>
      <c r="BG329" s="3" t="n">
        <v>0</v>
      </c>
      <c r="BH329" s="3" t="n">
        <v>0</v>
      </c>
      <c r="BI329" s="3" t="n">
        <v>0</v>
      </c>
      <c r="BJ329" s="3" t="n">
        <v>0</v>
      </c>
      <c r="BK329" s="3" t="n">
        <v>0</v>
      </c>
      <c r="BL329" s="3" t="n">
        <v>0</v>
      </c>
      <c r="BM329" s="3" t="n">
        <v>0</v>
      </c>
      <c r="BN329" s="3" t="n">
        <v>0</v>
      </c>
      <c r="BO329" s="3" t="n">
        <v>0</v>
      </c>
      <c r="BP329" s="3" t="n">
        <v>0</v>
      </c>
      <c r="BQ329" s="3" t="n">
        <v>0</v>
      </c>
      <c r="BR329" s="3" t="n">
        <v>0</v>
      </c>
      <c r="BS329" s="3" t="n">
        <v>0</v>
      </c>
      <c r="BT329" s="3" t="n">
        <v>0</v>
      </c>
      <c r="BU329" s="3" t="n">
        <v>0</v>
      </c>
      <c r="BV329" s="3" t="n">
        <v>0</v>
      </c>
      <c r="BW329" s="3" t="n">
        <v>0</v>
      </c>
      <c r="BY329" s="20" t="inlineStr">
        <is>
          <t>egy.mit.vat.cost.ind.ecy.5</t>
        </is>
      </c>
      <c r="BZ329" s="3" t="n">
        <v>0</v>
      </c>
      <c r="CA329" s="3" t="n">
        <v>0</v>
      </c>
      <c r="CB329" s="3" t="n">
        <v>0</v>
      </c>
      <c r="CC329" s="3" t="n">
        <v>0</v>
      </c>
      <c r="CD329" s="3" t="n">
        <v>0</v>
      </c>
      <c r="CE329" s="3" t="n">
        <v>0</v>
      </c>
      <c r="CF329" s="3" t="n">
        <v>0</v>
      </c>
      <c r="CG329" s="3" t="n">
        <v>0</v>
      </c>
      <c r="CH329" s="3" t="n">
        <v>0</v>
      </c>
      <c r="CI329" s="3" t="n">
        <v>0</v>
      </c>
      <c r="CJ329" s="3" t="n">
        <v>0</v>
      </c>
      <c r="CK329" s="3" t="n">
        <v>0</v>
      </c>
      <c r="CL329" s="3" t="n">
        <v>0</v>
      </c>
      <c r="CM329" s="3" t="n">
        <v>0</v>
      </c>
      <c r="CN329" s="3" t="n">
        <v>0</v>
      </c>
      <c r="CO329" s="3" t="n">
        <v>0</v>
      </c>
      <c r="CP329" s="3" t="n">
        <v>0</v>
      </c>
      <c r="CQ329" s="3" t="n">
        <v>0</v>
      </c>
      <c r="CR329" s="3" t="n">
        <v>0</v>
      </c>
      <c r="CS329" s="3" t="n">
        <v>0</v>
      </c>
      <c r="CU329" s="20" t="inlineStr">
        <is>
          <t>egy.mit.vat.cost.ind.ecy.6</t>
        </is>
      </c>
      <c r="CV329" s="3" t="n">
        <v>0</v>
      </c>
      <c r="CW329" s="3" t="n">
        <v>0</v>
      </c>
      <c r="CX329" s="3" t="n">
        <v>0</v>
      </c>
      <c r="CY329" s="3" t="n">
        <v>0</v>
      </c>
      <c r="CZ329" s="3" t="n">
        <v>0</v>
      </c>
      <c r="DA329" s="3" t="n">
        <v>0</v>
      </c>
      <c r="DB329" s="3" t="n">
        <v>0</v>
      </c>
      <c r="DC329" s="3" t="n">
        <v>0</v>
      </c>
      <c r="DD329" s="3" t="n">
        <v>0</v>
      </c>
      <c r="DE329" s="3" t="n">
        <v>0</v>
      </c>
      <c r="DF329" s="3" t="n">
        <v>0</v>
      </c>
      <c r="DG329" s="3" t="n">
        <v>0</v>
      </c>
      <c r="DH329" s="3" t="n">
        <v>0</v>
      </c>
      <c r="DI329" s="3" t="n">
        <v>0</v>
      </c>
      <c r="DJ329" s="3" t="n">
        <v>0</v>
      </c>
      <c r="DK329" s="3" t="n">
        <v>0</v>
      </c>
      <c r="DL329" s="3" t="n">
        <v>0</v>
      </c>
      <c r="DM329" s="3" t="n">
        <v>0</v>
      </c>
      <c r="DN329" s="3" t="n">
        <v>0</v>
      </c>
      <c r="DO329" s="3" t="n">
        <v>0</v>
      </c>
    </row>
    <row r="330">
      <c r="A330" s="19" t="inlineStr">
        <is>
          <t>mit.rp.ind.ecy</t>
        </is>
      </c>
      <c r="B330" s="3" t="inlineStr">
        <is>
          <t>mit</t>
        </is>
      </c>
      <c r="C330" s="19" t="inlineStr">
        <is>
          <t>mit.rp.ecy.ind</t>
        </is>
      </c>
      <c r="H330" s="3" t="inlineStr">
        <is>
          <t>End-user electricity price | Industry | Electricity</t>
        </is>
      </c>
      <c r="I330" s="3" t="inlineStr">
        <is>
          <t>USD/kWh real</t>
        </is>
      </c>
      <c r="K330" s="20" t="inlineStr">
        <is>
          <t>egy.mit.rp.ind.ecy.1</t>
        </is>
      </c>
      <c r="L330" s="26" t="n">
        <v>0.06232636786375494</v>
      </c>
      <c r="M330" s="26" t="n">
        <v>0.06351364169897267</v>
      </c>
      <c r="N330" s="26" t="n">
        <v>0.05314551198561693</v>
      </c>
      <c r="O330" s="26" t="n">
        <v>0.05176412702022645</v>
      </c>
      <c r="P330" s="26" t="n">
        <v>0.0517731271380463</v>
      </c>
      <c r="Q330" s="26" t="n">
        <v>0.05230486674727164</v>
      </c>
      <c r="R330" s="26" t="n">
        <v>0.05247482265290784</v>
      </c>
      <c r="S330" s="26" t="n">
        <v>0.05327117229308972</v>
      </c>
      <c r="T330" s="26" t="n">
        <v>0.05394326944766778</v>
      </c>
      <c r="U330" s="26" t="n">
        <v>0.05469855685449651</v>
      </c>
      <c r="V330" s="26" t="n">
        <v>0.05345633218262702</v>
      </c>
      <c r="W330" s="26" t="n">
        <v>0.0522935399609652</v>
      </c>
      <c r="X330" s="26" t="n">
        <v>0.05107899427669338</v>
      </c>
      <c r="Y330" s="26" t="n">
        <v>0.04994668744285893</v>
      </c>
      <c r="Z330" s="26" t="n">
        <v>0.04888779649467037</v>
      </c>
      <c r="AA330" s="26" t="n">
        <v>0.04789785991447038</v>
      </c>
      <c r="AB330" s="26" t="n">
        <v>0.0469696282771786</v>
      </c>
      <c r="AC330" s="26" t="n">
        <v>0.04609356966006697</v>
      </c>
      <c r="AD330" s="26" t="n">
        <v>0.04526368454270727</v>
      </c>
      <c r="AE330" s="26" t="n">
        <v>0.04447320622566639</v>
      </c>
      <c r="AG330" s="20" t="inlineStr">
        <is>
          <t>egy.mit.rp.ind.ecy.3</t>
        </is>
      </c>
      <c r="AH330" s="26" t="n">
        <v>0.06232636786375494</v>
      </c>
      <c r="AI330" s="26" t="n">
        <v>0.06351364169897267</v>
      </c>
      <c r="AJ330" s="26" t="n">
        <v>0.05314551198561693</v>
      </c>
      <c r="AK330" s="26" t="n">
        <v>0.05176584371891163</v>
      </c>
      <c r="AL330" s="26" t="n">
        <v>0.05177738288018888</v>
      </c>
      <c r="AM330" s="26" t="n">
        <v>0.06151434731437089</v>
      </c>
      <c r="AN330" s="26" t="n">
        <v>0.06148706611987425</v>
      </c>
      <c r="AO330" s="26" t="n">
        <v>0.06315093425273446</v>
      </c>
      <c r="AP330" s="26" t="n">
        <v>0.06241298288800553</v>
      </c>
      <c r="AQ330" s="26" t="n">
        <v>0.0628116752558535</v>
      </c>
      <c r="AR330" s="26" t="n">
        <v>0.06101008007216711</v>
      </c>
      <c r="AS330" s="26" t="n">
        <v>0.0595085832703436</v>
      </c>
      <c r="AT330" s="26" t="n">
        <v>0.05793780760772969</v>
      </c>
      <c r="AU330" s="26" t="n">
        <v>0.05648254322132246</v>
      </c>
      <c r="AV330" s="26" t="n">
        <v>0.05514711104485458</v>
      </c>
      <c r="AW330" s="26" t="n">
        <v>0.05390689613129294</v>
      </c>
      <c r="AX330" s="26" t="n">
        <v>0.05274846170433316</v>
      </c>
      <c r="AY330" s="26" t="n">
        <v>0.05166316819804186</v>
      </c>
      <c r="AZ330" s="26" t="n">
        <v>0.05064069366321705</v>
      </c>
      <c r="BA330" s="26" t="n">
        <v>0.04967422206986165</v>
      </c>
      <c r="BC330" s="20" t="inlineStr">
        <is>
          <t>egy.mit.rp.ind.ecy.4</t>
        </is>
      </c>
      <c r="BD330" s="26" t="n">
        <v>0.06232636786375494</v>
      </c>
      <c r="BE330" s="26" t="n">
        <v>0.06351364169897267</v>
      </c>
      <c r="BF330" s="26" t="n">
        <v>0.05314551198561693</v>
      </c>
      <c r="BG330" s="26" t="n">
        <v>0.05176984806169327</v>
      </c>
      <c r="BH330" s="26" t="n">
        <v>0.05178747886422652</v>
      </c>
      <c r="BI330" s="26" t="n">
        <v>0.05692177683445836</v>
      </c>
      <c r="BJ330" s="26" t="n">
        <v>0.06304380578972921</v>
      </c>
      <c r="BK330" s="26" t="n">
        <v>0.06957674565183564</v>
      </c>
      <c r="BL330" s="26" t="n">
        <v>0.07440047010355236</v>
      </c>
      <c r="BM330" s="26" t="n">
        <v>0.07955572291895778</v>
      </c>
      <c r="BN330" s="26" t="n">
        <v>0.08322456640156525</v>
      </c>
      <c r="BO330" s="26" t="n">
        <v>0.0867468558242325</v>
      </c>
      <c r="BP330" s="26" t="n">
        <v>0.0891205261549515</v>
      </c>
      <c r="BQ330" s="26" t="n">
        <v>0.0912918161647196</v>
      </c>
      <c r="BR330" s="26" t="n">
        <v>0.0924245385773062</v>
      </c>
      <c r="BS330" s="26" t="n">
        <v>0.09356201857444085</v>
      </c>
      <c r="BT330" s="26" t="n">
        <v>0.09361845411683395</v>
      </c>
      <c r="BU330" s="26" t="n">
        <v>0.09399740766198277</v>
      </c>
      <c r="BV330" s="26" t="n">
        <v>0.09307411023660855</v>
      </c>
      <c r="BW330" s="26" t="n">
        <v>0.093111150415363</v>
      </c>
      <c r="BY330" s="20" t="inlineStr">
        <is>
          <t>egy.mit.rp.ind.ecy.5</t>
        </is>
      </c>
      <c r="BZ330" s="26" t="n">
        <v>0.06232636786375494</v>
      </c>
      <c r="CA330" s="26" t="n">
        <v>0.06351364169897267</v>
      </c>
      <c r="CB330" s="26" t="n">
        <v>0.05314551198561693</v>
      </c>
      <c r="CC330" s="26" t="n">
        <v>0.05177395277454247</v>
      </c>
      <c r="CD330" s="26" t="n">
        <v>0.051797696731221</v>
      </c>
      <c r="CE330" s="26" t="n">
        <v>0.05233934790470254</v>
      </c>
      <c r="CF330" s="26" t="n">
        <v>0.05251933404368123</v>
      </c>
      <c r="CG330" s="26" t="n">
        <v>0.05332262746994346</v>
      </c>
      <c r="CH330" s="26" t="n">
        <v>0.05399723651133012</v>
      </c>
      <c r="CI330" s="26" t="n">
        <v>0.05476904114079204</v>
      </c>
      <c r="CJ330" s="26" t="n">
        <v>0.05344065591316724</v>
      </c>
      <c r="CK330" s="26" t="n">
        <v>0.05215232236900791</v>
      </c>
      <c r="CL330" s="26" t="n">
        <v>0.05085682896006477</v>
      </c>
      <c r="CM330" s="26" t="n">
        <v>0.04943977342092473</v>
      </c>
      <c r="CN330" s="26" t="n">
        <v>0.0481744793578561</v>
      </c>
      <c r="CO330" s="26" t="n">
        <v>0.04698685464979135</v>
      </c>
      <c r="CP330" s="26" t="n">
        <v>0.04585465625745624</v>
      </c>
      <c r="CQ330" s="26" t="n">
        <v>0.0448184395467775</v>
      </c>
      <c r="CR330" s="26" t="n">
        <v>0.04385127814263654</v>
      </c>
      <c r="CS330" s="26" t="n">
        <v>0.04293490684946105</v>
      </c>
      <c r="CU330" s="20" t="inlineStr">
        <is>
          <t>egy.mit.rp.ind.ecy.6</t>
        </is>
      </c>
      <c r="CV330" s="26" t="n">
        <v>0.06232636786375494</v>
      </c>
      <c r="CW330" s="26" t="n">
        <v>0.06351364169897267</v>
      </c>
      <c r="CX330" s="26" t="n">
        <v>0.05314551198561693</v>
      </c>
      <c r="CY330" s="26" t="n">
        <v>0.05176813476786471</v>
      </c>
      <c r="CZ330" s="26" t="n">
        <v>0.05178312905993418</v>
      </c>
      <c r="DA330" s="26" t="n">
        <v>0.07531359101724233</v>
      </c>
      <c r="DB330" s="26" t="n">
        <v>0.07469698749904255</v>
      </c>
      <c r="DC330" s="26" t="n">
        <v>0.07759205906768339</v>
      </c>
      <c r="DD330" s="26" t="n">
        <v>0.07619214178846753</v>
      </c>
      <c r="DE330" s="26" t="n">
        <v>0.07514852933624953</v>
      </c>
      <c r="DF330" s="26" t="n">
        <v>0.07244832188776691</v>
      </c>
      <c r="DG330" s="26" t="n">
        <v>0.06982177639650779</v>
      </c>
      <c r="DH330" s="26" t="n">
        <v>0.06684376942172826</v>
      </c>
      <c r="DI330" s="26" t="n">
        <v>0.06420124813678847</v>
      </c>
      <c r="DJ330" s="26" t="n">
        <v>0.06170457511699848</v>
      </c>
      <c r="DK330" s="26" t="n">
        <v>0.05951030039165175</v>
      </c>
      <c r="DL330" s="26" t="n">
        <v>0.05743327439017899</v>
      </c>
      <c r="DM330" s="26" t="n">
        <v>0.0556211156459673</v>
      </c>
      <c r="DN330" s="26" t="n">
        <v>0.0539111988761149</v>
      </c>
      <c r="DO330" s="26" t="n">
        <v>0.05240701266933088</v>
      </c>
    </row>
    <row r="331">
      <c r="A331" s="19" t="inlineStr">
        <is>
          <t>mit.tgap.ind.ecy</t>
        </is>
      </c>
      <c r="B331" s="3" t="inlineStr">
        <is>
          <t>mit</t>
        </is>
      </c>
      <c r="C331" s="19" t="inlineStr">
        <is>
          <t>mit.tgap.ecy.ind</t>
        </is>
      </c>
      <c r="H331" s="3" t="inlineStr">
        <is>
          <t>Tax gap: retail price - efficient price | Industry | Electricity</t>
        </is>
      </c>
      <c r="I331" s="3" t="inlineStr">
        <is>
          <t>USD per price unit</t>
        </is>
      </c>
      <c r="K331" s="20" t="inlineStr">
        <is>
          <t>egy.mit.tgap.ind.ecy.1</t>
        </is>
      </c>
      <c r="L331" s="3" t="n">
        <v>-0.007611968495303052</v>
      </c>
      <c r="M331" s="3" t="n">
        <v>-0.00746510788877304</v>
      </c>
      <c r="N331" s="3" t="n">
        <v>-0.06061625081875126</v>
      </c>
      <c r="O331" s="3" t="n">
        <v>-0.05876921320407201</v>
      </c>
      <c r="P331" s="3" t="n">
        <v>-0.05966920361705734</v>
      </c>
      <c r="Q331" s="3" t="n">
        <v>-0.06013111923923317</v>
      </c>
      <c r="R331" s="3" t="n">
        <v>-0.06096220089832557</v>
      </c>
      <c r="S331" s="3" t="n">
        <v>-0.06179780360629691</v>
      </c>
      <c r="T331" s="3" t="n">
        <v>-0.06266956873782258</v>
      </c>
      <c r="U331" s="3" t="n">
        <v>-0.06236852470043844</v>
      </c>
      <c r="V331" s="3" t="n">
        <v>-0.06224229969352246</v>
      </c>
      <c r="W331" s="3" t="n">
        <v>-0.06205449890126288</v>
      </c>
      <c r="X331" s="3" t="n">
        <v>-0.06186628456759757</v>
      </c>
      <c r="Y331" s="3" t="n">
        <v>-0.06169375972077976</v>
      </c>
      <c r="Z331" s="3" t="n">
        <v>-0.061532278927265</v>
      </c>
      <c r="AA331" s="3" t="n">
        <v>-0.06138265220919228</v>
      </c>
      <c r="AB331" s="3" t="n">
        <v>-0.06124317931785846</v>
      </c>
      <c r="AC331" s="3" t="n">
        <v>-0.06111301092426076</v>
      </c>
      <c r="AD331" s="3" t="n">
        <v>-0.06099137597852314</v>
      </c>
      <c r="AE331" s="3" t="n">
        <v>-0.06062529689973474</v>
      </c>
      <c r="AG331" s="20" t="inlineStr">
        <is>
          <t>egy.mit.tgap.ind.ecy.3</t>
        </is>
      </c>
      <c r="AH331" s="3" t="n">
        <v>-0.007611968495303052</v>
      </c>
      <c r="AI331" s="3" t="n">
        <v>-0.00746510788877304</v>
      </c>
      <c r="AJ331" s="3" t="n">
        <v>-0.06061625081875126</v>
      </c>
      <c r="AK331" s="3" t="n">
        <v>-0.05876749650538683</v>
      </c>
      <c r="AL331" s="3" t="n">
        <v>-0.05966494787491476</v>
      </c>
      <c r="AM331" s="3" t="n">
        <v>-0.05092163867213392</v>
      </c>
      <c r="AN331" s="3" t="n">
        <v>-0.05194995743135917</v>
      </c>
      <c r="AO331" s="3" t="n">
        <v>-0.05191804164665217</v>
      </c>
      <c r="AP331" s="3" t="n">
        <v>-0.05419985529748483</v>
      </c>
      <c r="AQ331" s="3" t="n">
        <v>-0.05425540629908145</v>
      </c>
      <c r="AR331" s="3" t="n">
        <v>-0.05468855180398237</v>
      </c>
      <c r="AS331" s="3" t="n">
        <v>-0.05483945559188448</v>
      </c>
      <c r="AT331" s="3" t="n">
        <v>-0.05500747123656126</v>
      </c>
      <c r="AU331" s="3" t="n">
        <v>-0.05515790394231623</v>
      </c>
      <c r="AV331" s="3" t="n">
        <v>-0.05527296437708079</v>
      </c>
      <c r="AW331" s="3" t="n">
        <v>-0.05537361599236972</v>
      </c>
      <c r="AX331" s="3" t="n">
        <v>-0.05546434589070389</v>
      </c>
      <c r="AY331" s="3" t="n">
        <v>-0.05554341238628588</v>
      </c>
      <c r="AZ331" s="3" t="n">
        <v>-0.05561436685801335</v>
      </c>
      <c r="BA331" s="3" t="n">
        <v>-0.05542428105553948</v>
      </c>
      <c r="BC331" s="20" t="inlineStr">
        <is>
          <t>egy.mit.tgap.ind.ecy.4</t>
        </is>
      </c>
      <c r="BD331" s="3" t="n">
        <v>-0.007611968495303052</v>
      </c>
      <c r="BE331" s="3" t="n">
        <v>-0.00746510788877304</v>
      </c>
      <c r="BF331" s="3" t="n">
        <v>-0.06061625081875126</v>
      </c>
      <c r="BG331" s="3" t="n">
        <v>-0.05876349216260519</v>
      </c>
      <c r="BH331" s="3" t="n">
        <v>-0.05965485189087712</v>
      </c>
      <c r="BI331" s="3" t="n">
        <v>-0.05551420915204645</v>
      </c>
      <c r="BJ331" s="3" t="n">
        <v>-0.05039321776150421</v>
      </c>
      <c r="BK331" s="3" t="n">
        <v>-0.045492230247551</v>
      </c>
      <c r="BL331" s="3" t="n">
        <v>-0.042212368081938</v>
      </c>
      <c r="BM331" s="3" t="n">
        <v>-0.03751135863597717</v>
      </c>
      <c r="BN331" s="3" t="n">
        <v>-0.03247406547458423</v>
      </c>
      <c r="BO331" s="3" t="n">
        <v>-0.02760118303799558</v>
      </c>
      <c r="BP331" s="3" t="n">
        <v>-0.02382475268933945</v>
      </c>
      <c r="BQ331" s="3" t="n">
        <v>-0.02034863099891909</v>
      </c>
      <c r="BR331" s="3" t="n">
        <v>-0.01799553684462916</v>
      </c>
      <c r="BS331" s="3" t="n">
        <v>-0.01571849354922181</v>
      </c>
      <c r="BT331" s="3" t="n">
        <v>-0.01459435347820311</v>
      </c>
      <c r="BU331" s="3" t="n">
        <v>-0.01320917292234497</v>
      </c>
      <c r="BV331" s="3" t="n">
        <v>-0.01318095028462185</v>
      </c>
      <c r="BW331" s="3" t="n">
        <v>-0.01198735271003813</v>
      </c>
      <c r="BY331" s="20" t="inlineStr">
        <is>
          <t>egy.mit.tgap.ind.ecy.5</t>
        </is>
      </c>
      <c r="BZ331" s="3" t="n">
        <v>-0.007611968495303052</v>
      </c>
      <c r="CA331" s="3" t="n">
        <v>-0.00746510788877304</v>
      </c>
      <c r="CB331" s="3" t="n">
        <v>-0.06061625081875126</v>
      </c>
      <c r="CC331" s="3" t="n">
        <v>-0.05875938744975599</v>
      </c>
      <c r="CD331" s="3" t="n">
        <v>-0.05964463402388263</v>
      </c>
      <c r="CE331" s="3" t="n">
        <v>-0.06009663808180227</v>
      </c>
      <c r="CF331" s="3" t="n">
        <v>-0.06091768950755219</v>
      </c>
      <c r="CG331" s="3" t="n">
        <v>-0.06174634842944318</v>
      </c>
      <c r="CH331" s="3" t="n">
        <v>-0.06261560167416023</v>
      </c>
      <c r="CI331" s="3" t="n">
        <v>-0.06229804041414291</v>
      </c>
      <c r="CJ331" s="3" t="n">
        <v>-0.06225797596298224</v>
      </c>
      <c r="CK331" s="3" t="n">
        <v>-0.06219571649322017</v>
      </c>
      <c r="CL331" s="3" t="n">
        <v>-0.06208844988422618</v>
      </c>
      <c r="CM331" s="3" t="n">
        <v>-0.06220067374271396</v>
      </c>
      <c r="CN331" s="3" t="n">
        <v>-0.06224559606407927</v>
      </c>
      <c r="CO331" s="3" t="n">
        <v>-0.06229365747387131</v>
      </c>
      <c r="CP331" s="3" t="n">
        <v>-0.06235815133758081</v>
      </c>
      <c r="CQ331" s="3" t="n">
        <v>-0.06238814103755023</v>
      </c>
      <c r="CR331" s="3" t="n">
        <v>-0.06240378237859387</v>
      </c>
      <c r="CS331" s="3" t="n">
        <v>-0.06216359627594008</v>
      </c>
      <c r="CU331" s="20" t="inlineStr">
        <is>
          <t>egy.mit.tgap.ind.ecy.6</t>
        </is>
      </c>
      <c r="CV331" s="3" t="n">
        <v>-0.007611968495303052</v>
      </c>
      <c r="CW331" s="3" t="n">
        <v>-0.00746510788877304</v>
      </c>
      <c r="CX331" s="3" t="n">
        <v>-0.06061625081875126</v>
      </c>
      <c r="CY331" s="3" t="n">
        <v>-0.05876520545643375</v>
      </c>
      <c r="CZ331" s="3" t="n">
        <v>-0.05965920169516946</v>
      </c>
      <c r="DA331" s="3" t="n">
        <v>-0.03712239496926248</v>
      </c>
      <c r="DB331" s="3" t="n">
        <v>-0.03874003605219087</v>
      </c>
      <c r="DC331" s="3" t="n">
        <v>-0.03747691683170325</v>
      </c>
      <c r="DD331" s="3" t="n">
        <v>-0.04042069639702282</v>
      </c>
      <c r="DE331" s="3" t="n">
        <v>-0.04191855221868541</v>
      </c>
      <c r="DF331" s="3" t="n">
        <v>-0.04325030998838257</v>
      </c>
      <c r="DG331" s="3" t="n">
        <v>-0.04452626246572029</v>
      </c>
      <c r="DH331" s="3" t="n">
        <v>-0.04610150942256269</v>
      </c>
      <c r="DI331" s="3" t="n">
        <v>-0.04743919902685022</v>
      </c>
      <c r="DJ331" s="3" t="n">
        <v>-0.04871550030493689</v>
      </c>
      <c r="DK331" s="3" t="n">
        <v>-0.04977021173201091</v>
      </c>
      <c r="DL331" s="3" t="n">
        <v>-0.05077953320485806</v>
      </c>
      <c r="DM331" s="3" t="n">
        <v>-0.05158546493836044</v>
      </c>
      <c r="DN331" s="3" t="n">
        <v>-0.05234386164511551</v>
      </c>
      <c r="DO331" s="3" t="n">
        <v>-0.05269149045607025</v>
      </c>
    </row>
    <row r="332">
      <c r="A332" s="19" t="inlineStr">
        <is>
          <t>mit.txe.ind.ecy</t>
        </is>
      </c>
      <c r="B332" s="3" t="inlineStr">
        <is>
          <t>mit</t>
        </is>
      </c>
      <c r="C332" s="19" t="inlineStr">
        <is>
          <t>mit.txo.ind.ecy.t</t>
        </is>
      </c>
      <c r="H332" s="3" t="inlineStr">
        <is>
          <t>Electricity consumer tax / subsidy (dataset, last price year held) | Industry | Electricity</t>
        </is>
      </c>
      <c r="I332" s="3" t="inlineStr">
        <is>
          <t>USD/kWh real</t>
        </is>
      </c>
      <c r="K332" s="20" t="inlineStr">
        <is>
          <t>egy.mit.txe.ind.ecy.1</t>
        </is>
      </c>
      <c r="L332" s="3" t="n">
        <v>4.221214293216369e-06</v>
      </c>
      <c r="M332" s="3" t="n">
        <v>2.500764407465073e-06</v>
      </c>
      <c r="N332" s="3" t="n">
        <v>-0.05396046500914186</v>
      </c>
      <c r="O332" s="3" t="n">
        <v>-0.05396046500914186</v>
      </c>
      <c r="P332" s="3" t="n">
        <v>-0.05396046500914186</v>
      </c>
      <c r="Q332" s="3" t="n">
        <v>-0.05396046500914186</v>
      </c>
      <c r="R332" s="3" t="n">
        <v>-0.05396046500914186</v>
      </c>
      <c r="S332" s="3" t="n">
        <v>-0.05396046500914186</v>
      </c>
      <c r="T332" s="3" t="n">
        <v>-0.05396046500914186</v>
      </c>
      <c r="U332" s="3" t="n">
        <v>-0.05396046500914186</v>
      </c>
      <c r="V332" s="3" t="n">
        <v>-0.05396046500914186</v>
      </c>
      <c r="W332" s="3" t="n">
        <v>-0.05396046500914186</v>
      </c>
      <c r="X332" s="3" t="n">
        <v>-0.05396046500914186</v>
      </c>
      <c r="Y332" s="3" t="n">
        <v>-0.05396046500914186</v>
      </c>
      <c r="Z332" s="3" t="n">
        <v>-0.05396046500914186</v>
      </c>
      <c r="AA332" s="3" t="n">
        <v>-0.05396046500914186</v>
      </c>
      <c r="AB332" s="3" t="n">
        <v>-0.05396046500914186</v>
      </c>
      <c r="AC332" s="3" t="n">
        <v>-0.05396046500914186</v>
      </c>
      <c r="AD332" s="3" t="n">
        <v>-0.05396046500914186</v>
      </c>
      <c r="AE332" s="3" t="n">
        <v>-0.05396046500914186</v>
      </c>
      <c r="AG332" s="20" t="inlineStr">
        <is>
          <t>egy.mit.txe.ind.ecy.3</t>
        </is>
      </c>
      <c r="AH332" s="3" t="n">
        <v>4.221214293216369e-06</v>
      </c>
      <c r="AI332" s="3" t="n">
        <v>2.500764407465073e-06</v>
      </c>
      <c r="AJ332" s="3" t="n">
        <v>-0.05396046500914186</v>
      </c>
      <c r="AK332" s="3" t="n">
        <v>-0.05396046500914186</v>
      </c>
      <c r="AL332" s="3" t="n">
        <v>-0.05396046500914186</v>
      </c>
      <c r="AM332" s="3" t="n">
        <v>-0.05396046500914186</v>
      </c>
      <c r="AN332" s="3" t="n">
        <v>-0.05396046500914186</v>
      </c>
      <c r="AO332" s="3" t="n">
        <v>-0.05396046500914186</v>
      </c>
      <c r="AP332" s="3" t="n">
        <v>-0.05396046500914186</v>
      </c>
      <c r="AQ332" s="3" t="n">
        <v>-0.05396046500914186</v>
      </c>
      <c r="AR332" s="3" t="n">
        <v>-0.05396046500914186</v>
      </c>
      <c r="AS332" s="3" t="n">
        <v>-0.05396046500914186</v>
      </c>
      <c r="AT332" s="3" t="n">
        <v>-0.05396046500914186</v>
      </c>
      <c r="AU332" s="3" t="n">
        <v>-0.05396046500914186</v>
      </c>
      <c r="AV332" s="3" t="n">
        <v>-0.05396046500914186</v>
      </c>
      <c r="AW332" s="3" t="n">
        <v>-0.05396046500914186</v>
      </c>
      <c r="AX332" s="3" t="n">
        <v>-0.05396046500914186</v>
      </c>
      <c r="AY332" s="3" t="n">
        <v>-0.05396046500914186</v>
      </c>
      <c r="AZ332" s="3" t="n">
        <v>-0.05396046500914186</v>
      </c>
      <c r="BA332" s="3" t="n">
        <v>-0.05396046500914186</v>
      </c>
      <c r="BC332" s="20" t="inlineStr">
        <is>
          <t>egy.mit.txe.ind.ecy.4</t>
        </is>
      </c>
      <c r="BD332" s="3" t="n">
        <v>4.221214293216369e-06</v>
      </c>
      <c r="BE332" s="3" t="n">
        <v>2.500764407465073e-06</v>
      </c>
      <c r="BF332" s="3" t="n">
        <v>-0.05396046500914186</v>
      </c>
      <c r="BG332" s="3" t="n">
        <v>-0.05396046500914186</v>
      </c>
      <c r="BH332" s="3" t="n">
        <v>-0.05396046500914186</v>
      </c>
      <c r="BI332" s="3" t="n">
        <v>-0.05396046500914186</v>
      </c>
      <c r="BJ332" s="3" t="n">
        <v>-0.05396046500914186</v>
      </c>
      <c r="BK332" s="3" t="n">
        <v>-0.05396046500914186</v>
      </c>
      <c r="BL332" s="3" t="n">
        <v>-0.05396046500914186</v>
      </c>
      <c r="BM332" s="3" t="n">
        <v>-0.05396046500914186</v>
      </c>
      <c r="BN332" s="3" t="n">
        <v>-0.05396046500914186</v>
      </c>
      <c r="BO332" s="3" t="n">
        <v>-0.05396046500914186</v>
      </c>
      <c r="BP332" s="3" t="n">
        <v>-0.05396046500914186</v>
      </c>
      <c r="BQ332" s="3" t="n">
        <v>-0.05396046500914186</v>
      </c>
      <c r="BR332" s="3" t="n">
        <v>-0.05396046500914186</v>
      </c>
      <c r="BS332" s="3" t="n">
        <v>-0.05396046500914186</v>
      </c>
      <c r="BT332" s="3" t="n">
        <v>-0.05396046500914186</v>
      </c>
      <c r="BU332" s="3" t="n">
        <v>-0.05396046500914186</v>
      </c>
      <c r="BV332" s="3" t="n">
        <v>-0.05396046500914186</v>
      </c>
      <c r="BW332" s="3" t="n">
        <v>-0.05396046500914186</v>
      </c>
      <c r="BY332" s="20" t="inlineStr">
        <is>
          <t>egy.mit.txe.ind.ecy.5</t>
        </is>
      </c>
      <c r="BZ332" s="3" t="n">
        <v>4.221214293216369e-06</v>
      </c>
      <c r="CA332" s="3" t="n">
        <v>2.500764407465073e-06</v>
      </c>
      <c r="CB332" s="3" t="n">
        <v>-0.05396046500914186</v>
      </c>
      <c r="CC332" s="3" t="n">
        <v>-0.05396046500914186</v>
      </c>
      <c r="CD332" s="3" t="n">
        <v>-0.05396046500914186</v>
      </c>
      <c r="CE332" s="3" t="n">
        <v>-0.05396046500914186</v>
      </c>
      <c r="CF332" s="3" t="n">
        <v>-0.05396046500914186</v>
      </c>
      <c r="CG332" s="3" t="n">
        <v>-0.05396046500914186</v>
      </c>
      <c r="CH332" s="3" t="n">
        <v>-0.05396046500914186</v>
      </c>
      <c r="CI332" s="3" t="n">
        <v>-0.05396046500914186</v>
      </c>
      <c r="CJ332" s="3" t="n">
        <v>-0.05396046500914186</v>
      </c>
      <c r="CK332" s="3" t="n">
        <v>-0.05396046500914186</v>
      </c>
      <c r="CL332" s="3" t="n">
        <v>-0.05396046500914186</v>
      </c>
      <c r="CM332" s="3" t="n">
        <v>-0.05396046500914186</v>
      </c>
      <c r="CN332" s="3" t="n">
        <v>-0.05396046500914186</v>
      </c>
      <c r="CO332" s="3" t="n">
        <v>-0.05396046500914186</v>
      </c>
      <c r="CP332" s="3" t="n">
        <v>-0.05396046500914186</v>
      </c>
      <c r="CQ332" s="3" t="n">
        <v>-0.05396046500914186</v>
      </c>
      <c r="CR332" s="3" t="n">
        <v>-0.05396046500914186</v>
      </c>
      <c r="CS332" s="3" t="n">
        <v>-0.05396046500914186</v>
      </c>
      <c r="CU332" s="20" t="inlineStr">
        <is>
          <t>egy.mit.txe.ind.ecy.6</t>
        </is>
      </c>
      <c r="CV332" s="3" t="n">
        <v>4.221214293216369e-06</v>
      </c>
      <c r="CW332" s="3" t="n">
        <v>2.500764407465073e-06</v>
      </c>
      <c r="CX332" s="3" t="n">
        <v>-0.05396046500914186</v>
      </c>
      <c r="CY332" s="3" t="n">
        <v>-0.05396046500914186</v>
      </c>
      <c r="CZ332" s="3" t="n">
        <v>-0.05396046500914186</v>
      </c>
      <c r="DA332" s="3" t="n">
        <v>-0.05396046500914186</v>
      </c>
      <c r="DB332" s="3" t="n">
        <v>-0.05396046500914186</v>
      </c>
      <c r="DC332" s="3" t="n">
        <v>-0.05396046500914186</v>
      </c>
      <c r="DD332" s="3" t="n">
        <v>-0.05396046500914186</v>
      </c>
      <c r="DE332" s="3" t="n">
        <v>-0.05396046500914186</v>
      </c>
      <c r="DF332" s="3" t="n">
        <v>-0.05396046500914186</v>
      </c>
      <c r="DG332" s="3" t="n">
        <v>-0.05396046500914186</v>
      </c>
      <c r="DH332" s="3" t="n">
        <v>-0.05396046500914186</v>
      </c>
      <c r="DI332" s="3" t="n">
        <v>-0.05396046500914186</v>
      </c>
      <c r="DJ332" s="3" t="n">
        <v>-0.05396046500914186</v>
      </c>
      <c r="DK332" s="3" t="n">
        <v>-0.05396046500914186</v>
      </c>
      <c r="DL332" s="3" t="n">
        <v>-0.05396046500914186</v>
      </c>
      <c r="DM332" s="3" t="n">
        <v>-0.05396046500914186</v>
      </c>
      <c r="DN332" s="3" t="n">
        <v>-0.05396046500914186</v>
      </c>
      <c r="DO332" s="3" t="n">
        <v>-0.05396046500914186</v>
      </c>
    </row>
    <row r="333">
      <c r="A333" s="19" t="inlineStr">
        <is>
          <t>mit.txo.co2e.ind.ecy</t>
        </is>
      </c>
      <c r="B333" s="3" t="inlineStr">
        <is>
          <t>mit</t>
        </is>
      </c>
      <c r="C333" s="19" t="inlineStr">
        <is>
          <t>mit.txo.co2e.ecy.ind</t>
        </is>
      </c>
      <c r="H333" s="3" t="inlineStr">
        <is>
          <t>Excise and other taxes of scenario 1 per tonne of CO2 | Industry | Electricity</t>
        </is>
      </c>
      <c r="I333" s="3" t="inlineStr">
        <is>
          <t>USD/tCO2</t>
        </is>
      </c>
      <c r="K333" s="20" t="inlineStr">
        <is>
          <t>egy.mit.txo.co2e.ind.ecy.1</t>
        </is>
      </c>
      <c r="L333" s="3" t="n">
        <v>0</v>
      </c>
      <c r="M333" s="3" t="n">
        <v>0</v>
      </c>
      <c r="N333" s="3" t="n">
        <v>0</v>
      </c>
      <c r="O333" s="3" t="n">
        <v>0</v>
      </c>
      <c r="P333" s="3" t="n">
        <v>0</v>
      </c>
      <c r="Q333" s="3" t="n">
        <v>0</v>
      </c>
      <c r="R333" s="3" t="n">
        <v>0</v>
      </c>
      <c r="S333" s="3" t="n">
        <v>0</v>
      </c>
      <c r="T333" s="3" t="n">
        <v>0</v>
      </c>
      <c r="U333" s="3" t="n">
        <v>0</v>
      </c>
      <c r="V333" s="3" t="n">
        <v>0</v>
      </c>
      <c r="W333" s="3" t="n">
        <v>0</v>
      </c>
      <c r="X333" s="3" t="n">
        <v>0</v>
      </c>
      <c r="Y333" s="3" t="n">
        <v>0</v>
      </c>
      <c r="Z333" s="3" t="n">
        <v>0</v>
      </c>
      <c r="AA333" s="3" t="n">
        <v>0</v>
      </c>
      <c r="AB333" s="3" t="n">
        <v>0</v>
      </c>
      <c r="AC333" s="3" t="n">
        <v>0</v>
      </c>
      <c r="AD333" s="3" t="n">
        <v>0</v>
      </c>
      <c r="AE333" s="3" t="n">
        <v>0</v>
      </c>
      <c r="AG333" s="20" t="inlineStr">
        <is>
          <t>egy.mit.txo.co2e.ind.ecy.3</t>
        </is>
      </c>
      <c r="AH333" s="3" t="n">
        <v>0</v>
      </c>
      <c r="AI333" s="3" t="n">
        <v>0</v>
      </c>
      <c r="AJ333" s="3" t="n">
        <v>0</v>
      </c>
      <c r="AK333" s="3" t="n">
        <v>0</v>
      </c>
      <c r="AL333" s="3" t="n">
        <v>0</v>
      </c>
      <c r="AM333" s="3" t="n">
        <v>0</v>
      </c>
      <c r="AN333" s="3" t="n">
        <v>0</v>
      </c>
      <c r="AO333" s="3" t="n">
        <v>0</v>
      </c>
      <c r="AP333" s="3" t="n">
        <v>0</v>
      </c>
      <c r="AQ333" s="3" t="n">
        <v>0</v>
      </c>
      <c r="AR333" s="3" t="n">
        <v>0</v>
      </c>
      <c r="AS333" s="3" t="n">
        <v>0</v>
      </c>
      <c r="AT333" s="3" t="n">
        <v>0</v>
      </c>
      <c r="AU333" s="3" t="n">
        <v>0</v>
      </c>
      <c r="AV333" s="3" t="n">
        <v>0</v>
      </c>
      <c r="AW333" s="3" t="n">
        <v>0</v>
      </c>
      <c r="AX333" s="3" t="n">
        <v>0</v>
      </c>
      <c r="AY333" s="3" t="n">
        <v>0</v>
      </c>
      <c r="AZ333" s="3" t="n">
        <v>0</v>
      </c>
      <c r="BA333" s="3" t="n">
        <v>0</v>
      </c>
      <c r="BC333" s="20" t="inlineStr">
        <is>
          <t>egy.mit.txo.co2e.ind.ecy.4</t>
        </is>
      </c>
      <c r="BD333" s="3" t="n">
        <v>0</v>
      </c>
      <c r="BE333" s="3" t="n">
        <v>0</v>
      </c>
      <c r="BF333" s="3" t="n">
        <v>0</v>
      </c>
      <c r="BG333" s="3" t="n">
        <v>0</v>
      </c>
      <c r="BH333" s="3" t="n">
        <v>0</v>
      </c>
      <c r="BI333" s="3" t="n">
        <v>0</v>
      </c>
      <c r="BJ333" s="3" t="n">
        <v>0</v>
      </c>
      <c r="BK333" s="3" t="n">
        <v>0</v>
      </c>
      <c r="BL333" s="3" t="n">
        <v>0</v>
      </c>
      <c r="BM333" s="3" t="n">
        <v>0</v>
      </c>
      <c r="BN333" s="3" t="n">
        <v>0</v>
      </c>
      <c r="BO333" s="3" t="n">
        <v>0</v>
      </c>
      <c r="BP333" s="3" t="n">
        <v>0</v>
      </c>
      <c r="BQ333" s="3" t="n">
        <v>0</v>
      </c>
      <c r="BR333" s="3" t="n">
        <v>0</v>
      </c>
      <c r="BS333" s="3" t="n">
        <v>0</v>
      </c>
      <c r="BT333" s="3" t="n">
        <v>0</v>
      </c>
      <c r="BU333" s="3" t="n">
        <v>0</v>
      </c>
      <c r="BV333" s="3" t="n">
        <v>0</v>
      </c>
      <c r="BW333" s="3" t="n">
        <v>0</v>
      </c>
      <c r="BY333" s="20" t="inlineStr">
        <is>
          <t>egy.mit.txo.co2e.ind.ecy.5</t>
        </is>
      </c>
      <c r="BZ333" s="3" t="n">
        <v>0</v>
      </c>
      <c r="CA333" s="3" t="n">
        <v>0</v>
      </c>
      <c r="CB333" s="3" t="n">
        <v>0</v>
      </c>
      <c r="CC333" s="3" t="n">
        <v>0</v>
      </c>
      <c r="CD333" s="3" t="n">
        <v>0</v>
      </c>
      <c r="CE333" s="3" t="n">
        <v>0</v>
      </c>
      <c r="CF333" s="3" t="n">
        <v>0</v>
      </c>
      <c r="CG333" s="3" t="n">
        <v>0</v>
      </c>
      <c r="CH333" s="3" t="n">
        <v>0</v>
      </c>
      <c r="CI333" s="3" t="n">
        <v>0</v>
      </c>
      <c r="CJ333" s="3" t="n">
        <v>0</v>
      </c>
      <c r="CK333" s="3" t="n">
        <v>0</v>
      </c>
      <c r="CL333" s="3" t="n">
        <v>0</v>
      </c>
      <c r="CM333" s="3" t="n">
        <v>0</v>
      </c>
      <c r="CN333" s="3" t="n">
        <v>0</v>
      </c>
      <c r="CO333" s="3" t="n">
        <v>0</v>
      </c>
      <c r="CP333" s="3" t="n">
        <v>0</v>
      </c>
      <c r="CQ333" s="3" t="n">
        <v>0</v>
      </c>
      <c r="CR333" s="3" t="n">
        <v>0</v>
      </c>
      <c r="CS333" s="3" t="n">
        <v>0</v>
      </c>
      <c r="CU333" s="20" t="inlineStr">
        <is>
          <t>egy.mit.txo.co2e.ind.ecy.6</t>
        </is>
      </c>
      <c r="CV333" s="3" t="n">
        <v>0</v>
      </c>
      <c r="CW333" s="3" t="n">
        <v>0</v>
      </c>
      <c r="CX333" s="3" t="n">
        <v>0</v>
      </c>
      <c r="CY333" s="3" t="n">
        <v>0</v>
      </c>
      <c r="CZ333" s="3" t="n">
        <v>0</v>
      </c>
      <c r="DA333" s="3" t="n">
        <v>0</v>
      </c>
      <c r="DB333" s="3" t="n">
        <v>0</v>
      </c>
      <c r="DC333" s="3" t="n">
        <v>0</v>
      </c>
      <c r="DD333" s="3" t="n">
        <v>0</v>
      </c>
      <c r="DE333" s="3" t="n">
        <v>0</v>
      </c>
      <c r="DF333" s="3" t="n">
        <v>0</v>
      </c>
      <c r="DG333" s="3" t="n">
        <v>0</v>
      </c>
      <c r="DH333" s="3" t="n">
        <v>0</v>
      </c>
      <c r="DI333" s="3" t="n">
        <v>0</v>
      </c>
      <c r="DJ333" s="3" t="n">
        <v>0</v>
      </c>
      <c r="DK333" s="3" t="n">
        <v>0</v>
      </c>
      <c r="DL333" s="3" t="n">
        <v>0</v>
      </c>
      <c r="DM333" s="3" t="n">
        <v>0</v>
      </c>
      <c r="DN333" s="3" t="n">
        <v>0</v>
      </c>
      <c r="DO333" s="3" t="n">
        <v>0</v>
      </c>
    </row>
    <row r="334">
      <c r="A334" s="19" t="inlineStr">
        <is>
          <t>mit.pig.ind.ecy</t>
        </is>
      </c>
      <c r="B334" s="3" t="inlineStr">
        <is>
          <t>mit</t>
        </is>
      </c>
      <c r="C334" s="19" t="inlineStr">
        <is>
          <t>mit.pig.ecy.ind</t>
        </is>
      </c>
      <c r="H334" s="3" t="inlineStr">
        <is>
          <t>Pigouvian tax: all externalities (reference) | Industry | Electricity</t>
        </is>
      </c>
      <c r="I334" s="3" t="inlineStr">
        <is>
          <t>USD per price unit</t>
        </is>
      </c>
      <c r="K334" s="20" t="inlineStr">
        <is>
          <t>egy.mit.pig.ind.ecy.1</t>
        </is>
      </c>
      <c r="L334" s="3" t="n">
        <v>0.007616189709596273</v>
      </c>
      <c r="M334" s="3" t="n">
        <v>0.007467608653180516</v>
      </c>
      <c r="N334" s="3" t="n">
        <v>0.006655785809609397</v>
      </c>
      <c r="O334" s="3" t="n">
        <v>0.004808748194930148</v>
      </c>
      <c r="P334" s="3" t="n">
        <v>0.005708738607915468</v>
      </c>
      <c r="Q334" s="3" t="n">
        <v>0.006170654230091311</v>
      </c>
      <c r="R334" s="3" t="n">
        <v>0.007001735889183701</v>
      </c>
      <c r="S334" s="3" t="n">
        <v>0.007837338597155054</v>
      </c>
      <c r="T334" s="3" t="n">
        <v>0.008709103728680704</v>
      </c>
      <c r="U334" s="3" t="n">
        <v>0.008408059691296569</v>
      </c>
      <c r="V334" s="3" t="n">
        <v>0.008281834684380589</v>
      </c>
      <c r="W334" s="3" t="n">
        <v>0.008094033892121022</v>
      </c>
      <c r="X334" s="3" t="n">
        <v>0.007905819558455703</v>
      </c>
      <c r="Y334" s="3" t="n">
        <v>0.007733294711637893</v>
      </c>
      <c r="Z334" s="3" t="n">
        <v>0.007571813918123129</v>
      </c>
      <c r="AA334" s="3" t="n">
        <v>0.007422187200050424</v>
      </c>
      <c r="AB334" s="3" t="n">
        <v>0.007282714308716584</v>
      </c>
      <c r="AC334" s="3" t="n">
        <v>0.007152545915118889</v>
      </c>
      <c r="AD334" s="3" t="n">
        <v>0.007030910969381268</v>
      </c>
      <c r="AE334" s="3" t="n">
        <v>0.006664831890592877</v>
      </c>
      <c r="AG334" s="20" t="inlineStr">
        <is>
          <t>egy.mit.pig.ind.ecy.3</t>
        </is>
      </c>
      <c r="AH334" s="3" t="n">
        <v>0.007616189709596273</v>
      </c>
      <c r="AI334" s="3" t="n">
        <v>0.007467608653180516</v>
      </c>
      <c r="AJ334" s="3" t="n">
        <v>0.006655785809609397</v>
      </c>
      <c r="AK334" s="3" t="n">
        <v>0.004808748194930148</v>
      </c>
      <c r="AL334" s="3" t="n">
        <v>0.005708738607915468</v>
      </c>
      <c r="AM334" s="3" t="n">
        <v>0.006170654230091311</v>
      </c>
      <c r="AN334" s="3" t="n">
        <v>0.007001735889183701</v>
      </c>
      <c r="AO334" s="3" t="n">
        <v>0.007837338597155054</v>
      </c>
      <c r="AP334" s="3" t="n">
        <v>0.008709103728680704</v>
      </c>
      <c r="AQ334" s="3" t="n">
        <v>0.008408059691296569</v>
      </c>
      <c r="AR334" s="3" t="n">
        <v>0.008281834684380589</v>
      </c>
      <c r="AS334" s="3" t="n">
        <v>0.008094033892121022</v>
      </c>
      <c r="AT334" s="3" t="n">
        <v>0.007905819558455703</v>
      </c>
      <c r="AU334" s="3" t="n">
        <v>0.007733294711637893</v>
      </c>
      <c r="AV334" s="3" t="n">
        <v>0.007571813918123129</v>
      </c>
      <c r="AW334" s="3" t="n">
        <v>0.007422187200050424</v>
      </c>
      <c r="AX334" s="3" t="n">
        <v>0.007282714308716584</v>
      </c>
      <c r="AY334" s="3" t="n">
        <v>0.007152545915118889</v>
      </c>
      <c r="AZ334" s="3" t="n">
        <v>0.007030910969381268</v>
      </c>
      <c r="BA334" s="3" t="n">
        <v>0.006664831890592877</v>
      </c>
      <c r="BC334" s="20" t="inlineStr">
        <is>
          <t>egy.mit.pig.ind.ecy.4</t>
        </is>
      </c>
      <c r="BD334" s="3" t="n">
        <v>0.007616189709596273</v>
      </c>
      <c r="BE334" s="3" t="n">
        <v>0.007467608653180516</v>
      </c>
      <c r="BF334" s="3" t="n">
        <v>0.006655785809609397</v>
      </c>
      <c r="BG334" s="3" t="n">
        <v>0.004808748194930148</v>
      </c>
      <c r="BH334" s="3" t="n">
        <v>0.005708738607915468</v>
      </c>
      <c r="BI334" s="3" t="n">
        <v>0.006170654230091311</v>
      </c>
      <c r="BJ334" s="3" t="n">
        <v>0.007001735889183701</v>
      </c>
      <c r="BK334" s="3" t="n">
        <v>0.007837338597155054</v>
      </c>
      <c r="BL334" s="3" t="n">
        <v>0.008709103728680704</v>
      </c>
      <c r="BM334" s="3" t="n">
        <v>0.008408059691296569</v>
      </c>
      <c r="BN334" s="3" t="n">
        <v>0.008281834684380589</v>
      </c>
      <c r="BO334" s="3" t="n">
        <v>0.008094033892121022</v>
      </c>
      <c r="BP334" s="3" t="n">
        <v>0.007905819558455703</v>
      </c>
      <c r="BQ334" s="3" t="n">
        <v>0.007733294711637893</v>
      </c>
      <c r="BR334" s="3" t="n">
        <v>0.007571813918123129</v>
      </c>
      <c r="BS334" s="3" t="n">
        <v>0.007422187200050424</v>
      </c>
      <c r="BT334" s="3" t="n">
        <v>0.007282714308716584</v>
      </c>
      <c r="BU334" s="3" t="n">
        <v>0.007152545915118889</v>
      </c>
      <c r="BV334" s="3" t="n">
        <v>0.007030910969381268</v>
      </c>
      <c r="BW334" s="3" t="n">
        <v>0.006664831890592877</v>
      </c>
      <c r="BY334" s="20" t="inlineStr">
        <is>
          <t>egy.mit.pig.ind.ecy.5</t>
        </is>
      </c>
      <c r="BZ334" s="3" t="n">
        <v>0.007616189709596273</v>
      </c>
      <c r="CA334" s="3" t="n">
        <v>0.007467608653180516</v>
      </c>
      <c r="CB334" s="3" t="n">
        <v>0.006655785809609397</v>
      </c>
      <c r="CC334" s="3" t="n">
        <v>0.004808748194930148</v>
      </c>
      <c r="CD334" s="3" t="n">
        <v>0.005708738607915468</v>
      </c>
      <c r="CE334" s="3" t="n">
        <v>0.006170654230091311</v>
      </c>
      <c r="CF334" s="3" t="n">
        <v>0.007001735889183701</v>
      </c>
      <c r="CG334" s="3" t="n">
        <v>0.007837338597155054</v>
      </c>
      <c r="CH334" s="3" t="n">
        <v>0.008709103728680704</v>
      </c>
      <c r="CI334" s="3" t="n">
        <v>0.008408059691296569</v>
      </c>
      <c r="CJ334" s="3" t="n">
        <v>0.008281834684380589</v>
      </c>
      <c r="CK334" s="3" t="n">
        <v>0.008094033892121022</v>
      </c>
      <c r="CL334" s="3" t="n">
        <v>0.007905819558455703</v>
      </c>
      <c r="CM334" s="3" t="n">
        <v>0.007733294711637893</v>
      </c>
      <c r="CN334" s="3" t="n">
        <v>0.007571813918123129</v>
      </c>
      <c r="CO334" s="3" t="n">
        <v>0.007422187200050424</v>
      </c>
      <c r="CP334" s="3" t="n">
        <v>0.007282714308716584</v>
      </c>
      <c r="CQ334" s="3" t="n">
        <v>0.007152545915118889</v>
      </c>
      <c r="CR334" s="3" t="n">
        <v>0.007030910969381268</v>
      </c>
      <c r="CS334" s="3" t="n">
        <v>0.006664831890592877</v>
      </c>
      <c r="CU334" s="20" t="inlineStr">
        <is>
          <t>egy.mit.pig.ind.ecy.6</t>
        </is>
      </c>
      <c r="CV334" s="3" t="n">
        <v>0.007616189709596273</v>
      </c>
      <c r="CW334" s="3" t="n">
        <v>0.007467608653180516</v>
      </c>
      <c r="CX334" s="3" t="n">
        <v>0.006655785809609397</v>
      </c>
      <c r="CY334" s="3" t="n">
        <v>0.004808748194930148</v>
      </c>
      <c r="CZ334" s="3" t="n">
        <v>0.005708738607915468</v>
      </c>
      <c r="DA334" s="3" t="n">
        <v>0.006170654230091311</v>
      </c>
      <c r="DB334" s="3" t="n">
        <v>0.007001735889183701</v>
      </c>
      <c r="DC334" s="3" t="n">
        <v>0.007837338597155054</v>
      </c>
      <c r="DD334" s="3" t="n">
        <v>0.008709103728680704</v>
      </c>
      <c r="DE334" s="3" t="n">
        <v>0.008408059691296569</v>
      </c>
      <c r="DF334" s="3" t="n">
        <v>0.008281834684380589</v>
      </c>
      <c r="DG334" s="3" t="n">
        <v>0.008094033892121022</v>
      </c>
      <c r="DH334" s="3" t="n">
        <v>0.007905819558455703</v>
      </c>
      <c r="DI334" s="3" t="n">
        <v>0.007733294711637893</v>
      </c>
      <c r="DJ334" s="3" t="n">
        <v>0.007571813918123129</v>
      </c>
      <c r="DK334" s="3" t="n">
        <v>0.007422187200050424</v>
      </c>
      <c r="DL334" s="3" t="n">
        <v>0.007282714308716584</v>
      </c>
      <c r="DM334" s="3" t="n">
        <v>0.007152545915118889</v>
      </c>
      <c r="DN334" s="3" t="n">
        <v>0.007030910969381268</v>
      </c>
      <c r="DO334" s="3" t="n">
        <v>0.006664831890592877</v>
      </c>
    </row>
    <row r="335">
      <c r="A335" s="19" t="inlineStr">
        <is>
          <t>mit.pig.co2e.ind.ecy</t>
        </is>
      </c>
      <c r="B335" s="3" t="inlineStr">
        <is>
          <t>mit</t>
        </is>
      </c>
      <c r="C335" s="19" t="inlineStr">
        <is>
          <t>mit.pig.co2e.ecy.ind</t>
        </is>
      </c>
      <c r="H335" s="3" t="inlineStr">
        <is>
          <t>Pigouvian tax per tonne of CO2 (fuel lines; avg: weighted by the fuel use of the scenario) | Industry | Electricity</t>
        </is>
      </c>
      <c r="I335" s="3" t="inlineStr">
        <is>
          <t>USD/tCO2</t>
        </is>
      </c>
      <c r="K335" s="20" t="inlineStr">
        <is>
          <t>egy.mit.pig.co2e.ind.ecy.1</t>
        </is>
      </c>
      <c r="L335" s="3" t="n">
        <v>0</v>
      </c>
      <c r="M335" s="3" t="n">
        <v>0</v>
      </c>
      <c r="N335" s="3" t="n">
        <v>0</v>
      </c>
      <c r="O335" s="3" t="n">
        <v>0</v>
      </c>
      <c r="P335" s="3" t="n">
        <v>0</v>
      </c>
      <c r="Q335" s="3" t="n">
        <v>0</v>
      </c>
      <c r="R335" s="3" t="n">
        <v>0</v>
      </c>
      <c r="S335" s="3" t="n">
        <v>0</v>
      </c>
      <c r="T335" s="3" t="n">
        <v>0</v>
      </c>
      <c r="U335" s="3" t="n">
        <v>0</v>
      </c>
      <c r="V335" s="3" t="n">
        <v>0</v>
      </c>
      <c r="W335" s="3" t="n">
        <v>0</v>
      </c>
      <c r="X335" s="3" t="n">
        <v>0</v>
      </c>
      <c r="Y335" s="3" t="n">
        <v>0</v>
      </c>
      <c r="Z335" s="3" t="n">
        <v>0</v>
      </c>
      <c r="AA335" s="3" t="n">
        <v>0</v>
      </c>
      <c r="AB335" s="3" t="n">
        <v>0</v>
      </c>
      <c r="AC335" s="3" t="n">
        <v>0</v>
      </c>
      <c r="AD335" s="3" t="n">
        <v>0</v>
      </c>
      <c r="AE335" s="3" t="n">
        <v>0</v>
      </c>
      <c r="AG335" s="20" t="inlineStr">
        <is>
          <t>egy.mit.pig.co2e.ind.ecy.3</t>
        </is>
      </c>
      <c r="AH335" s="3" t="n">
        <v>0</v>
      </c>
      <c r="AI335" s="3" t="n">
        <v>0</v>
      </c>
      <c r="AJ335" s="3" t="n">
        <v>0</v>
      </c>
      <c r="AK335" s="3" t="n">
        <v>0</v>
      </c>
      <c r="AL335" s="3" t="n">
        <v>0</v>
      </c>
      <c r="AM335" s="3" t="n">
        <v>0</v>
      </c>
      <c r="AN335" s="3" t="n">
        <v>0</v>
      </c>
      <c r="AO335" s="3" t="n">
        <v>0</v>
      </c>
      <c r="AP335" s="3" t="n">
        <v>0</v>
      </c>
      <c r="AQ335" s="3" t="n">
        <v>0</v>
      </c>
      <c r="AR335" s="3" t="n">
        <v>0</v>
      </c>
      <c r="AS335" s="3" t="n">
        <v>0</v>
      </c>
      <c r="AT335" s="3" t="n">
        <v>0</v>
      </c>
      <c r="AU335" s="3" t="n">
        <v>0</v>
      </c>
      <c r="AV335" s="3" t="n">
        <v>0</v>
      </c>
      <c r="AW335" s="3" t="n">
        <v>0</v>
      </c>
      <c r="AX335" s="3" t="n">
        <v>0</v>
      </c>
      <c r="AY335" s="3" t="n">
        <v>0</v>
      </c>
      <c r="AZ335" s="3" t="n">
        <v>0</v>
      </c>
      <c r="BA335" s="3" t="n">
        <v>0</v>
      </c>
      <c r="BC335" s="20" t="inlineStr">
        <is>
          <t>egy.mit.pig.co2e.ind.ecy.4</t>
        </is>
      </c>
      <c r="BD335" s="3" t="n">
        <v>0</v>
      </c>
      <c r="BE335" s="3" t="n">
        <v>0</v>
      </c>
      <c r="BF335" s="3" t="n">
        <v>0</v>
      </c>
      <c r="BG335" s="3" t="n">
        <v>0</v>
      </c>
      <c r="BH335" s="3" t="n">
        <v>0</v>
      </c>
      <c r="BI335" s="3" t="n">
        <v>0</v>
      </c>
      <c r="BJ335" s="3" t="n">
        <v>0</v>
      </c>
      <c r="BK335" s="3" t="n">
        <v>0</v>
      </c>
      <c r="BL335" s="3" t="n">
        <v>0</v>
      </c>
      <c r="BM335" s="3" t="n">
        <v>0</v>
      </c>
      <c r="BN335" s="3" t="n">
        <v>0</v>
      </c>
      <c r="BO335" s="3" t="n">
        <v>0</v>
      </c>
      <c r="BP335" s="3" t="n">
        <v>0</v>
      </c>
      <c r="BQ335" s="3" t="n">
        <v>0</v>
      </c>
      <c r="BR335" s="3" t="n">
        <v>0</v>
      </c>
      <c r="BS335" s="3" t="n">
        <v>0</v>
      </c>
      <c r="BT335" s="3" t="n">
        <v>0</v>
      </c>
      <c r="BU335" s="3" t="n">
        <v>0</v>
      </c>
      <c r="BV335" s="3" t="n">
        <v>0</v>
      </c>
      <c r="BW335" s="3" t="n">
        <v>0</v>
      </c>
      <c r="BY335" s="20" t="inlineStr">
        <is>
          <t>egy.mit.pig.co2e.ind.ecy.5</t>
        </is>
      </c>
      <c r="BZ335" s="3" t="n">
        <v>0</v>
      </c>
      <c r="CA335" s="3" t="n">
        <v>0</v>
      </c>
      <c r="CB335" s="3" t="n">
        <v>0</v>
      </c>
      <c r="CC335" s="3" t="n">
        <v>0</v>
      </c>
      <c r="CD335" s="3" t="n">
        <v>0</v>
      </c>
      <c r="CE335" s="3" t="n">
        <v>0</v>
      </c>
      <c r="CF335" s="3" t="n">
        <v>0</v>
      </c>
      <c r="CG335" s="3" t="n">
        <v>0</v>
      </c>
      <c r="CH335" s="3" t="n">
        <v>0</v>
      </c>
      <c r="CI335" s="3" t="n">
        <v>0</v>
      </c>
      <c r="CJ335" s="3" t="n">
        <v>0</v>
      </c>
      <c r="CK335" s="3" t="n">
        <v>0</v>
      </c>
      <c r="CL335" s="3" t="n">
        <v>0</v>
      </c>
      <c r="CM335" s="3" t="n">
        <v>0</v>
      </c>
      <c r="CN335" s="3" t="n">
        <v>0</v>
      </c>
      <c r="CO335" s="3" t="n">
        <v>0</v>
      </c>
      <c r="CP335" s="3" t="n">
        <v>0</v>
      </c>
      <c r="CQ335" s="3" t="n">
        <v>0</v>
      </c>
      <c r="CR335" s="3" t="n">
        <v>0</v>
      </c>
      <c r="CS335" s="3" t="n">
        <v>0</v>
      </c>
      <c r="CU335" s="20" t="inlineStr">
        <is>
          <t>egy.mit.pig.co2e.ind.ecy.6</t>
        </is>
      </c>
      <c r="CV335" s="3" t="n">
        <v>0</v>
      </c>
      <c r="CW335" s="3" t="n">
        <v>0</v>
      </c>
      <c r="CX335" s="3" t="n">
        <v>0</v>
      </c>
      <c r="CY335" s="3" t="n">
        <v>0</v>
      </c>
      <c r="CZ335" s="3" t="n">
        <v>0</v>
      </c>
      <c r="DA335" s="3" t="n">
        <v>0</v>
      </c>
      <c r="DB335" s="3" t="n">
        <v>0</v>
      </c>
      <c r="DC335" s="3" t="n">
        <v>0</v>
      </c>
      <c r="DD335" s="3" t="n">
        <v>0</v>
      </c>
      <c r="DE335" s="3" t="n">
        <v>0</v>
      </c>
      <c r="DF335" s="3" t="n">
        <v>0</v>
      </c>
      <c r="DG335" s="3" t="n">
        <v>0</v>
      </c>
      <c r="DH335" s="3" t="n">
        <v>0</v>
      </c>
      <c r="DI335" s="3" t="n">
        <v>0</v>
      </c>
      <c r="DJ335" s="3" t="n">
        <v>0</v>
      </c>
      <c r="DK335" s="3" t="n">
        <v>0</v>
      </c>
      <c r="DL335" s="3" t="n">
        <v>0</v>
      </c>
      <c r="DM335" s="3" t="n">
        <v>0</v>
      </c>
      <c r="DN335" s="3" t="n">
        <v>0</v>
      </c>
      <c r="DO335" s="3" t="n">
        <v>0</v>
      </c>
    </row>
    <row r="336">
      <c r="A336" s="19" t="inlineStr">
        <is>
          <t>mit.eff.price.res.ecy</t>
        </is>
      </c>
      <c r="B336" s="3" t="inlineStr">
        <is>
          <t>mit</t>
        </is>
      </c>
      <c r="C336" s="19" t="inlineStr">
        <is>
          <t>mit.eff.price.ecy.res</t>
        </is>
      </c>
      <c r="H336" s="3" t="inlineStr">
        <is>
          <t>Efficient price | Residential | Electricity</t>
        </is>
      </c>
      <c r="I336" s="3" t="inlineStr">
        <is>
          <t>USD per price unit</t>
        </is>
      </c>
      <c r="K336" s="20" t="inlineStr">
        <is>
          <t>egy.mit.eff.price.res.ecy.1</t>
        </is>
      </c>
      <c r="L336" s="3" t="n">
        <v>0.07600195099187249</v>
      </c>
      <c r="M336" s="3" t="n">
        <v>0.06777259904629522</v>
      </c>
      <c r="N336" s="3" t="n">
        <v>0.1224348959074338</v>
      </c>
      <c r="O336" s="3" t="n">
        <v>0.1190130443980088</v>
      </c>
      <c r="P336" s="3" t="n">
        <v>0.120047609074478</v>
      </c>
      <c r="Q336" s="3" t="n">
        <v>0.1210808517183386</v>
      </c>
      <c r="R336" s="3" t="n">
        <v>0.1221902243372202</v>
      </c>
      <c r="S336" s="3" t="n">
        <v>0.1239251188357548</v>
      </c>
      <c r="T336" s="3" t="n">
        <v>0.1256851218419131</v>
      </c>
      <c r="U336" s="3" t="n">
        <v>0.1262029592830799</v>
      </c>
      <c r="V336" s="3" t="n">
        <v>0.1246429266492645</v>
      </c>
      <c r="W336" s="3" t="n">
        <v>0.1232627120018022</v>
      </c>
      <c r="X336" s="3" t="n">
        <v>0.1218908889388059</v>
      </c>
      <c r="Y336" s="3" t="n">
        <v>0.1206153117485298</v>
      </c>
      <c r="Z336" s="3" t="n">
        <v>0.1194222778282479</v>
      </c>
      <c r="AA336" s="3" t="n">
        <v>0.1183084595237277</v>
      </c>
      <c r="AB336" s="3" t="n">
        <v>0.1172650110628969</v>
      </c>
      <c r="AC336" s="3" t="n">
        <v>0.116281881883973</v>
      </c>
      <c r="AD336" s="3" t="n">
        <v>0.1153524764514465</v>
      </c>
      <c r="AE336" s="3" t="n">
        <v>0.1141819527912624</v>
      </c>
      <c r="AG336" s="20" t="inlineStr">
        <is>
          <t>egy.mit.eff.price.res.ecy.3</t>
        </is>
      </c>
      <c r="AH336" s="3" t="n">
        <v>0.07600195099187249</v>
      </c>
      <c r="AI336" s="3" t="n">
        <v>0.06777259904629522</v>
      </c>
      <c r="AJ336" s="3" t="n">
        <v>0.1224348959074338</v>
      </c>
      <c r="AK336" s="3" t="n">
        <v>0.1190130443980088</v>
      </c>
      <c r="AL336" s="3" t="n">
        <v>0.120047609074478</v>
      </c>
      <c r="AM336" s="3" t="n">
        <v>0.1210808517183386</v>
      </c>
      <c r="AN336" s="3" t="n">
        <v>0.1221902243372202</v>
      </c>
      <c r="AO336" s="3" t="n">
        <v>0.1239251188357548</v>
      </c>
      <c r="AP336" s="3" t="n">
        <v>0.1256851218419131</v>
      </c>
      <c r="AQ336" s="3" t="n">
        <v>0.1262029592830799</v>
      </c>
      <c r="AR336" s="3" t="n">
        <v>0.1246429266492645</v>
      </c>
      <c r="AS336" s="3" t="n">
        <v>0.1232627120018022</v>
      </c>
      <c r="AT336" s="3" t="n">
        <v>0.1218908889388059</v>
      </c>
      <c r="AU336" s="3" t="n">
        <v>0.1206153117485298</v>
      </c>
      <c r="AV336" s="3" t="n">
        <v>0.1194222778282479</v>
      </c>
      <c r="AW336" s="3" t="n">
        <v>0.1183084595237277</v>
      </c>
      <c r="AX336" s="3" t="n">
        <v>0.1172650110628969</v>
      </c>
      <c r="AY336" s="3" t="n">
        <v>0.116281881883973</v>
      </c>
      <c r="AZ336" s="3" t="n">
        <v>0.1153524764514465</v>
      </c>
      <c r="BA336" s="3" t="n">
        <v>0.1141819527912624</v>
      </c>
      <c r="BC336" s="20" t="inlineStr">
        <is>
          <t>egy.mit.eff.price.res.ecy.4</t>
        </is>
      </c>
      <c r="BD336" s="3" t="n">
        <v>0.07600195099187249</v>
      </c>
      <c r="BE336" s="3" t="n">
        <v>0.06777259904629522</v>
      </c>
      <c r="BF336" s="3" t="n">
        <v>0.1224348959074338</v>
      </c>
      <c r="BG336" s="3" t="n">
        <v>0.1190130443980088</v>
      </c>
      <c r="BH336" s="3" t="n">
        <v>0.120047609074478</v>
      </c>
      <c r="BI336" s="3" t="n">
        <v>0.1210808517183386</v>
      </c>
      <c r="BJ336" s="3" t="n">
        <v>0.1221902243372202</v>
      </c>
      <c r="BK336" s="3" t="n">
        <v>0.1239251188357548</v>
      </c>
      <c r="BL336" s="3" t="n">
        <v>0.1256851218419131</v>
      </c>
      <c r="BM336" s="3" t="n">
        <v>0.1262029592830799</v>
      </c>
      <c r="BN336" s="3" t="n">
        <v>0.1246429266492645</v>
      </c>
      <c r="BO336" s="3" t="n">
        <v>0.1232627120018022</v>
      </c>
      <c r="BP336" s="3" t="n">
        <v>0.1218908889388059</v>
      </c>
      <c r="BQ336" s="3" t="n">
        <v>0.1206153117485298</v>
      </c>
      <c r="BR336" s="3" t="n">
        <v>0.1194222778282479</v>
      </c>
      <c r="BS336" s="3" t="n">
        <v>0.1183084595237277</v>
      </c>
      <c r="BT336" s="3" t="n">
        <v>0.1172650110628969</v>
      </c>
      <c r="BU336" s="3" t="n">
        <v>0.116281881883973</v>
      </c>
      <c r="BV336" s="3" t="n">
        <v>0.1153524764514465</v>
      </c>
      <c r="BW336" s="3" t="n">
        <v>0.1141819527912624</v>
      </c>
      <c r="BY336" s="20" t="inlineStr">
        <is>
          <t>egy.mit.eff.price.res.ecy.5</t>
        </is>
      </c>
      <c r="BZ336" s="3" t="n">
        <v>0.07600195099187249</v>
      </c>
      <c r="CA336" s="3" t="n">
        <v>0.06777259904629522</v>
      </c>
      <c r="CB336" s="3" t="n">
        <v>0.1224348959074338</v>
      </c>
      <c r="CC336" s="3" t="n">
        <v>0.1190130443980088</v>
      </c>
      <c r="CD336" s="3" t="n">
        <v>0.120047609074478</v>
      </c>
      <c r="CE336" s="3" t="n">
        <v>0.1210808517183386</v>
      </c>
      <c r="CF336" s="3" t="n">
        <v>0.1221902243372202</v>
      </c>
      <c r="CG336" s="3" t="n">
        <v>0.1239251188357548</v>
      </c>
      <c r="CH336" s="3" t="n">
        <v>0.1256851218419131</v>
      </c>
      <c r="CI336" s="3" t="n">
        <v>0.1262029592830799</v>
      </c>
      <c r="CJ336" s="3" t="n">
        <v>0.1246429266492645</v>
      </c>
      <c r="CK336" s="3" t="n">
        <v>0.1232627120018022</v>
      </c>
      <c r="CL336" s="3" t="n">
        <v>0.1218908889388059</v>
      </c>
      <c r="CM336" s="3" t="n">
        <v>0.1206153117485298</v>
      </c>
      <c r="CN336" s="3" t="n">
        <v>0.1194222778282479</v>
      </c>
      <c r="CO336" s="3" t="n">
        <v>0.1183084595237277</v>
      </c>
      <c r="CP336" s="3" t="n">
        <v>0.1172650110628969</v>
      </c>
      <c r="CQ336" s="3" t="n">
        <v>0.116281881883973</v>
      </c>
      <c r="CR336" s="3" t="n">
        <v>0.1153524764514465</v>
      </c>
      <c r="CS336" s="3" t="n">
        <v>0.1141819527912624</v>
      </c>
      <c r="CU336" s="20" t="inlineStr">
        <is>
          <t>egy.mit.eff.price.res.ecy.6</t>
        </is>
      </c>
      <c r="CV336" s="3" t="n">
        <v>0.07600195099187249</v>
      </c>
      <c r="CW336" s="3" t="n">
        <v>0.06777259904629522</v>
      </c>
      <c r="CX336" s="3" t="n">
        <v>0.1224348959074338</v>
      </c>
      <c r="CY336" s="3" t="n">
        <v>0.1190130443980088</v>
      </c>
      <c r="CZ336" s="3" t="n">
        <v>0.120047609074478</v>
      </c>
      <c r="DA336" s="3" t="n">
        <v>0.1210808517183386</v>
      </c>
      <c r="DB336" s="3" t="n">
        <v>0.1221902243372202</v>
      </c>
      <c r="DC336" s="3" t="n">
        <v>0.1239251188357548</v>
      </c>
      <c r="DD336" s="3" t="n">
        <v>0.1256851218419131</v>
      </c>
      <c r="DE336" s="3" t="n">
        <v>0.1262029592830799</v>
      </c>
      <c r="DF336" s="3" t="n">
        <v>0.1246429266492645</v>
      </c>
      <c r="DG336" s="3" t="n">
        <v>0.1232627120018022</v>
      </c>
      <c r="DH336" s="3" t="n">
        <v>0.1218908889388059</v>
      </c>
      <c r="DI336" s="3" t="n">
        <v>0.1206153117485298</v>
      </c>
      <c r="DJ336" s="3" t="n">
        <v>0.1194222778282479</v>
      </c>
      <c r="DK336" s="3" t="n">
        <v>0.1183084595237277</v>
      </c>
      <c r="DL336" s="3" t="n">
        <v>0.1172650110628969</v>
      </c>
      <c r="DM336" s="3" t="n">
        <v>0.116281881883973</v>
      </c>
      <c r="DN336" s="3" t="n">
        <v>0.1153524764514465</v>
      </c>
      <c r="DO336" s="3" t="n">
        <v>0.1141819527912624</v>
      </c>
    </row>
    <row r="337">
      <c r="A337" s="19" t="inlineStr">
        <is>
          <t>mit.sup.cost.res.ecy</t>
        </is>
      </c>
      <c r="B337" s="3" t="inlineStr">
        <is>
          <t>mit</t>
        </is>
      </c>
      <c r="C337" s="19" t="inlineStr">
        <is>
          <t>mit.sup.cost.ecy.res</t>
        </is>
      </c>
      <c r="H337" s="3" t="inlineStr">
        <is>
          <t>Efficient price: supply cost of scenario 1 | Residential | Electricity</t>
        </is>
      </c>
      <c r="I337" s="3" t="inlineStr">
        <is>
          <t>USD per price unit</t>
        </is>
      </c>
      <c r="K337" s="20" t="inlineStr">
        <is>
          <t>egy.mit.sup.cost.res.ecy.1</t>
        </is>
      </c>
      <c r="L337" s="3" t="n">
        <v>0.05905218835344977</v>
      </c>
      <c r="M337" s="3" t="n">
        <v>0.05198203963304336</v>
      </c>
      <c r="N337" s="3" t="n">
        <v>0.1007432456881396</v>
      </c>
      <c r="O337" s="3" t="n">
        <v>0.09958865917174425</v>
      </c>
      <c r="P337" s="3" t="n">
        <v>0.09959618163285475</v>
      </c>
      <c r="Q337" s="3" t="n">
        <v>0.1000406192070478</v>
      </c>
      <c r="R337" s="3" t="n">
        <v>0.1001826714241673</v>
      </c>
      <c r="S337" s="3" t="n">
        <v>0.1008689059956124</v>
      </c>
      <c r="T337" s="3" t="n">
        <v>0.1015410031501904</v>
      </c>
      <c r="U337" s="3" t="n">
        <v>0.1022962905570191</v>
      </c>
      <c r="V337" s="3" t="n">
        <v>0.1010540658851496</v>
      </c>
      <c r="W337" s="3" t="n">
        <v>0.1000311520743721</v>
      </c>
      <c r="X337" s="3" t="n">
        <v>0.09901601284400563</v>
      </c>
      <c r="Y337" s="3" t="n">
        <v>0.09806961033093213</v>
      </c>
      <c r="Z337" s="3" t="n">
        <v>0.09718457014174348</v>
      </c>
      <c r="AA337" s="3" t="n">
        <v>0.09635716325935983</v>
      </c>
      <c r="AB337" s="3" t="n">
        <v>0.09558133048329825</v>
      </c>
      <c r="AC337" s="3" t="n">
        <v>0.09484910486029599</v>
      </c>
      <c r="AD337" s="3" t="n">
        <v>0.09415547188276478</v>
      </c>
      <c r="AE337" s="3" t="n">
        <v>0.09349477582104078</v>
      </c>
      <c r="AG337" s="20" t="inlineStr">
        <is>
          <t>egy.mit.sup.cost.res.ecy.3</t>
        </is>
      </c>
      <c r="AH337" s="3" t="n">
        <v>0.05905218835344977</v>
      </c>
      <c r="AI337" s="3" t="n">
        <v>0.05198203963304336</v>
      </c>
      <c r="AJ337" s="3" t="n">
        <v>0.1007432456881396</v>
      </c>
      <c r="AK337" s="3" t="n">
        <v>0.09958865917174425</v>
      </c>
      <c r="AL337" s="3" t="n">
        <v>0.09959618163285475</v>
      </c>
      <c r="AM337" s="3" t="n">
        <v>0.1000406192070478</v>
      </c>
      <c r="AN337" s="3" t="n">
        <v>0.1001826714241673</v>
      </c>
      <c r="AO337" s="3" t="n">
        <v>0.1008689059956124</v>
      </c>
      <c r="AP337" s="3" t="n">
        <v>0.1015410031501904</v>
      </c>
      <c r="AQ337" s="3" t="n">
        <v>0.1022962905570191</v>
      </c>
      <c r="AR337" s="3" t="n">
        <v>0.1010540658851496</v>
      </c>
      <c r="AS337" s="3" t="n">
        <v>0.1000311520743721</v>
      </c>
      <c r="AT337" s="3" t="n">
        <v>0.09901601284400563</v>
      </c>
      <c r="AU337" s="3" t="n">
        <v>0.09806961033093213</v>
      </c>
      <c r="AV337" s="3" t="n">
        <v>0.09718457014174348</v>
      </c>
      <c r="AW337" s="3" t="n">
        <v>0.09635716325935983</v>
      </c>
      <c r="AX337" s="3" t="n">
        <v>0.09558133048329825</v>
      </c>
      <c r="AY337" s="3" t="n">
        <v>0.09484910486029599</v>
      </c>
      <c r="AZ337" s="3" t="n">
        <v>0.09415547188276478</v>
      </c>
      <c r="BA337" s="3" t="n">
        <v>0.09349477582104078</v>
      </c>
      <c r="BC337" s="20" t="inlineStr">
        <is>
          <t>egy.mit.sup.cost.res.ecy.4</t>
        </is>
      </c>
      <c r="BD337" s="3" t="n">
        <v>0.05905218835344977</v>
      </c>
      <c r="BE337" s="3" t="n">
        <v>0.05198203963304336</v>
      </c>
      <c r="BF337" s="3" t="n">
        <v>0.1007432456881396</v>
      </c>
      <c r="BG337" s="3" t="n">
        <v>0.09958865917174425</v>
      </c>
      <c r="BH337" s="3" t="n">
        <v>0.09959618163285475</v>
      </c>
      <c r="BI337" s="3" t="n">
        <v>0.1000406192070478</v>
      </c>
      <c r="BJ337" s="3" t="n">
        <v>0.1001826714241673</v>
      </c>
      <c r="BK337" s="3" t="n">
        <v>0.1008689059956124</v>
      </c>
      <c r="BL337" s="3" t="n">
        <v>0.1015410031501904</v>
      </c>
      <c r="BM337" s="3" t="n">
        <v>0.1022962905570191</v>
      </c>
      <c r="BN337" s="3" t="n">
        <v>0.1010540658851496</v>
      </c>
      <c r="BO337" s="3" t="n">
        <v>0.1000311520743721</v>
      </c>
      <c r="BP337" s="3" t="n">
        <v>0.09901601284400563</v>
      </c>
      <c r="BQ337" s="3" t="n">
        <v>0.09806961033093213</v>
      </c>
      <c r="BR337" s="3" t="n">
        <v>0.09718457014174348</v>
      </c>
      <c r="BS337" s="3" t="n">
        <v>0.09635716325935983</v>
      </c>
      <c r="BT337" s="3" t="n">
        <v>0.09558133048329825</v>
      </c>
      <c r="BU337" s="3" t="n">
        <v>0.09484910486029599</v>
      </c>
      <c r="BV337" s="3" t="n">
        <v>0.09415547188276478</v>
      </c>
      <c r="BW337" s="3" t="n">
        <v>0.09349477582104078</v>
      </c>
      <c r="BY337" s="20" t="inlineStr">
        <is>
          <t>egy.mit.sup.cost.res.ecy.5</t>
        </is>
      </c>
      <c r="BZ337" s="3" t="n">
        <v>0.05905218835344977</v>
      </c>
      <c r="CA337" s="3" t="n">
        <v>0.05198203963304336</v>
      </c>
      <c r="CB337" s="3" t="n">
        <v>0.1007432456881396</v>
      </c>
      <c r="CC337" s="3" t="n">
        <v>0.09958865917174425</v>
      </c>
      <c r="CD337" s="3" t="n">
        <v>0.09959618163285475</v>
      </c>
      <c r="CE337" s="3" t="n">
        <v>0.1000406192070478</v>
      </c>
      <c r="CF337" s="3" t="n">
        <v>0.1001826714241673</v>
      </c>
      <c r="CG337" s="3" t="n">
        <v>0.1008689059956124</v>
      </c>
      <c r="CH337" s="3" t="n">
        <v>0.1015410031501904</v>
      </c>
      <c r="CI337" s="3" t="n">
        <v>0.1022962905570191</v>
      </c>
      <c r="CJ337" s="3" t="n">
        <v>0.1010540658851496</v>
      </c>
      <c r="CK337" s="3" t="n">
        <v>0.1000311520743721</v>
      </c>
      <c r="CL337" s="3" t="n">
        <v>0.09901601284400563</v>
      </c>
      <c r="CM337" s="3" t="n">
        <v>0.09806961033093213</v>
      </c>
      <c r="CN337" s="3" t="n">
        <v>0.09718457014174348</v>
      </c>
      <c r="CO337" s="3" t="n">
        <v>0.09635716325935983</v>
      </c>
      <c r="CP337" s="3" t="n">
        <v>0.09558133048329825</v>
      </c>
      <c r="CQ337" s="3" t="n">
        <v>0.09484910486029599</v>
      </c>
      <c r="CR337" s="3" t="n">
        <v>0.09415547188276478</v>
      </c>
      <c r="CS337" s="3" t="n">
        <v>0.09349477582104078</v>
      </c>
      <c r="CU337" s="20" t="inlineStr">
        <is>
          <t>egy.mit.sup.cost.res.ecy.6</t>
        </is>
      </c>
      <c r="CV337" s="3" t="n">
        <v>0.05905218835344977</v>
      </c>
      <c r="CW337" s="3" t="n">
        <v>0.05198203963304336</v>
      </c>
      <c r="CX337" s="3" t="n">
        <v>0.1007432456881396</v>
      </c>
      <c r="CY337" s="3" t="n">
        <v>0.09958865917174425</v>
      </c>
      <c r="CZ337" s="3" t="n">
        <v>0.09959618163285475</v>
      </c>
      <c r="DA337" s="3" t="n">
        <v>0.1000406192070478</v>
      </c>
      <c r="DB337" s="3" t="n">
        <v>0.1001826714241673</v>
      </c>
      <c r="DC337" s="3" t="n">
        <v>0.1008689059956124</v>
      </c>
      <c r="DD337" s="3" t="n">
        <v>0.1015410031501904</v>
      </c>
      <c r="DE337" s="3" t="n">
        <v>0.1022962905570191</v>
      </c>
      <c r="DF337" s="3" t="n">
        <v>0.1010540658851496</v>
      </c>
      <c r="DG337" s="3" t="n">
        <v>0.1000311520743721</v>
      </c>
      <c r="DH337" s="3" t="n">
        <v>0.09901601284400563</v>
      </c>
      <c r="DI337" s="3" t="n">
        <v>0.09806961033093213</v>
      </c>
      <c r="DJ337" s="3" t="n">
        <v>0.09718457014174348</v>
      </c>
      <c r="DK337" s="3" t="n">
        <v>0.09635716325935983</v>
      </c>
      <c r="DL337" s="3" t="n">
        <v>0.09558133048329825</v>
      </c>
      <c r="DM337" s="3" t="n">
        <v>0.09484910486029599</v>
      </c>
      <c r="DN337" s="3" t="n">
        <v>0.09415547188276478</v>
      </c>
      <c r="DO337" s="3" t="n">
        <v>0.09349477582104078</v>
      </c>
    </row>
    <row r="338">
      <c r="A338" s="19" t="inlineStr">
        <is>
          <t>mit.airpol.cost.s.res.ecy</t>
        </is>
      </c>
      <c r="B338" s="3" t="inlineStr">
        <is>
          <t>mit</t>
        </is>
      </c>
      <c r="C338" s="19" t="inlineStr">
        <is>
          <t>mit.airpol.cost.ecy.res</t>
        </is>
      </c>
      <c r="H338" s="3" t="inlineStr">
        <is>
          <t>Efficient price: air-pollution cost | Residential | Electricity</t>
        </is>
      </c>
      <c r="I338" s="3" t="inlineStr">
        <is>
          <t>USD per price unit</t>
        </is>
      </c>
      <c r="K338" s="20" t="inlineStr">
        <is>
          <t>egy.mit.airpol.cost.s.res.ecy.1</t>
        </is>
      </c>
      <c r="L338" s="3" t="n">
        <v>0.007616189709596273</v>
      </c>
      <c r="M338" s="3" t="n">
        <v>0.007467608653180516</v>
      </c>
      <c r="N338" s="3" t="n">
        <v>0.006655785809609397</v>
      </c>
      <c r="O338" s="3" t="n">
        <v>0.004808748194930148</v>
      </c>
      <c r="P338" s="3" t="n">
        <v>0.005708738607915468</v>
      </c>
      <c r="Q338" s="3" t="n">
        <v>0.006170654230091311</v>
      </c>
      <c r="R338" s="3" t="n">
        <v>0.007001735889183701</v>
      </c>
      <c r="S338" s="3" t="n">
        <v>0.007837338597155054</v>
      </c>
      <c r="T338" s="3" t="n">
        <v>0.008709103728680704</v>
      </c>
      <c r="U338" s="3" t="n">
        <v>0.008408059691296569</v>
      </c>
      <c r="V338" s="3" t="n">
        <v>0.008281834684380589</v>
      </c>
      <c r="W338" s="3" t="n">
        <v>0.008094033892121022</v>
      </c>
      <c r="X338" s="3" t="n">
        <v>0.007905819558455703</v>
      </c>
      <c r="Y338" s="3" t="n">
        <v>0.007733294711637893</v>
      </c>
      <c r="Z338" s="3" t="n">
        <v>0.007571813918123129</v>
      </c>
      <c r="AA338" s="3" t="n">
        <v>0.007422187200050424</v>
      </c>
      <c r="AB338" s="3" t="n">
        <v>0.007282714308716584</v>
      </c>
      <c r="AC338" s="3" t="n">
        <v>0.007152545915118889</v>
      </c>
      <c r="AD338" s="3" t="n">
        <v>0.007030910969381268</v>
      </c>
      <c r="AE338" s="3" t="n">
        <v>0.006664831890592877</v>
      </c>
      <c r="AG338" s="20" t="inlineStr">
        <is>
          <t>egy.mit.airpol.cost.s.res.ecy.3</t>
        </is>
      </c>
      <c r="AH338" s="3" t="n">
        <v>0.007616189709596273</v>
      </c>
      <c r="AI338" s="3" t="n">
        <v>0.007467608653180516</v>
      </c>
      <c r="AJ338" s="3" t="n">
        <v>0.006655785809609397</v>
      </c>
      <c r="AK338" s="3" t="n">
        <v>0.004808748194930148</v>
      </c>
      <c r="AL338" s="3" t="n">
        <v>0.005708738607915468</v>
      </c>
      <c r="AM338" s="3" t="n">
        <v>0.006170654230091311</v>
      </c>
      <c r="AN338" s="3" t="n">
        <v>0.007001735889183701</v>
      </c>
      <c r="AO338" s="3" t="n">
        <v>0.007837338597155054</v>
      </c>
      <c r="AP338" s="3" t="n">
        <v>0.008709103728680704</v>
      </c>
      <c r="AQ338" s="3" t="n">
        <v>0.008408059691296569</v>
      </c>
      <c r="AR338" s="3" t="n">
        <v>0.008281834684380589</v>
      </c>
      <c r="AS338" s="3" t="n">
        <v>0.008094033892121022</v>
      </c>
      <c r="AT338" s="3" t="n">
        <v>0.007905819558455703</v>
      </c>
      <c r="AU338" s="3" t="n">
        <v>0.007733294711637893</v>
      </c>
      <c r="AV338" s="3" t="n">
        <v>0.007571813918123129</v>
      </c>
      <c r="AW338" s="3" t="n">
        <v>0.007422187200050424</v>
      </c>
      <c r="AX338" s="3" t="n">
        <v>0.007282714308716584</v>
      </c>
      <c r="AY338" s="3" t="n">
        <v>0.007152545915118889</v>
      </c>
      <c r="AZ338" s="3" t="n">
        <v>0.007030910969381268</v>
      </c>
      <c r="BA338" s="3" t="n">
        <v>0.006664831890592877</v>
      </c>
      <c r="BC338" s="20" t="inlineStr">
        <is>
          <t>egy.mit.airpol.cost.s.res.ecy.4</t>
        </is>
      </c>
      <c r="BD338" s="3" t="n">
        <v>0.007616189709596273</v>
      </c>
      <c r="BE338" s="3" t="n">
        <v>0.007467608653180516</v>
      </c>
      <c r="BF338" s="3" t="n">
        <v>0.006655785809609397</v>
      </c>
      <c r="BG338" s="3" t="n">
        <v>0.004808748194930148</v>
      </c>
      <c r="BH338" s="3" t="n">
        <v>0.005708738607915468</v>
      </c>
      <c r="BI338" s="3" t="n">
        <v>0.006170654230091311</v>
      </c>
      <c r="BJ338" s="3" t="n">
        <v>0.007001735889183701</v>
      </c>
      <c r="BK338" s="3" t="n">
        <v>0.007837338597155054</v>
      </c>
      <c r="BL338" s="3" t="n">
        <v>0.008709103728680704</v>
      </c>
      <c r="BM338" s="3" t="n">
        <v>0.008408059691296569</v>
      </c>
      <c r="BN338" s="3" t="n">
        <v>0.008281834684380589</v>
      </c>
      <c r="BO338" s="3" t="n">
        <v>0.008094033892121022</v>
      </c>
      <c r="BP338" s="3" t="n">
        <v>0.007905819558455703</v>
      </c>
      <c r="BQ338" s="3" t="n">
        <v>0.007733294711637893</v>
      </c>
      <c r="BR338" s="3" t="n">
        <v>0.007571813918123129</v>
      </c>
      <c r="BS338" s="3" t="n">
        <v>0.007422187200050424</v>
      </c>
      <c r="BT338" s="3" t="n">
        <v>0.007282714308716584</v>
      </c>
      <c r="BU338" s="3" t="n">
        <v>0.007152545915118889</v>
      </c>
      <c r="BV338" s="3" t="n">
        <v>0.007030910969381268</v>
      </c>
      <c r="BW338" s="3" t="n">
        <v>0.006664831890592877</v>
      </c>
      <c r="BY338" s="20" t="inlineStr">
        <is>
          <t>egy.mit.airpol.cost.s.res.ecy.5</t>
        </is>
      </c>
      <c r="BZ338" s="3" t="n">
        <v>0.007616189709596273</v>
      </c>
      <c r="CA338" s="3" t="n">
        <v>0.007467608653180516</v>
      </c>
      <c r="CB338" s="3" t="n">
        <v>0.006655785809609397</v>
      </c>
      <c r="CC338" s="3" t="n">
        <v>0.004808748194930148</v>
      </c>
      <c r="CD338" s="3" t="n">
        <v>0.005708738607915468</v>
      </c>
      <c r="CE338" s="3" t="n">
        <v>0.006170654230091311</v>
      </c>
      <c r="CF338" s="3" t="n">
        <v>0.007001735889183701</v>
      </c>
      <c r="CG338" s="3" t="n">
        <v>0.007837338597155054</v>
      </c>
      <c r="CH338" s="3" t="n">
        <v>0.008709103728680704</v>
      </c>
      <c r="CI338" s="3" t="n">
        <v>0.008408059691296569</v>
      </c>
      <c r="CJ338" s="3" t="n">
        <v>0.008281834684380589</v>
      </c>
      <c r="CK338" s="3" t="n">
        <v>0.008094033892121022</v>
      </c>
      <c r="CL338" s="3" t="n">
        <v>0.007905819558455703</v>
      </c>
      <c r="CM338" s="3" t="n">
        <v>0.007733294711637893</v>
      </c>
      <c r="CN338" s="3" t="n">
        <v>0.007571813918123129</v>
      </c>
      <c r="CO338" s="3" t="n">
        <v>0.007422187200050424</v>
      </c>
      <c r="CP338" s="3" t="n">
        <v>0.007282714308716584</v>
      </c>
      <c r="CQ338" s="3" t="n">
        <v>0.007152545915118889</v>
      </c>
      <c r="CR338" s="3" t="n">
        <v>0.007030910969381268</v>
      </c>
      <c r="CS338" s="3" t="n">
        <v>0.006664831890592877</v>
      </c>
      <c r="CU338" s="20" t="inlineStr">
        <is>
          <t>egy.mit.airpol.cost.s.res.ecy.6</t>
        </is>
      </c>
      <c r="CV338" s="3" t="n">
        <v>0.007616189709596273</v>
      </c>
      <c r="CW338" s="3" t="n">
        <v>0.007467608653180516</v>
      </c>
      <c r="CX338" s="3" t="n">
        <v>0.006655785809609397</v>
      </c>
      <c r="CY338" s="3" t="n">
        <v>0.004808748194930148</v>
      </c>
      <c r="CZ338" s="3" t="n">
        <v>0.005708738607915468</v>
      </c>
      <c r="DA338" s="3" t="n">
        <v>0.006170654230091311</v>
      </c>
      <c r="DB338" s="3" t="n">
        <v>0.007001735889183701</v>
      </c>
      <c r="DC338" s="3" t="n">
        <v>0.007837338597155054</v>
      </c>
      <c r="DD338" s="3" t="n">
        <v>0.008709103728680704</v>
      </c>
      <c r="DE338" s="3" t="n">
        <v>0.008408059691296569</v>
      </c>
      <c r="DF338" s="3" t="n">
        <v>0.008281834684380589</v>
      </c>
      <c r="DG338" s="3" t="n">
        <v>0.008094033892121022</v>
      </c>
      <c r="DH338" s="3" t="n">
        <v>0.007905819558455703</v>
      </c>
      <c r="DI338" s="3" t="n">
        <v>0.007733294711637893</v>
      </c>
      <c r="DJ338" s="3" t="n">
        <v>0.007571813918123129</v>
      </c>
      <c r="DK338" s="3" t="n">
        <v>0.007422187200050424</v>
      </c>
      <c r="DL338" s="3" t="n">
        <v>0.007282714308716584</v>
      </c>
      <c r="DM338" s="3" t="n">
        <v>0.007152545915118889</v>
      </c>
      <c r="DN338" s="3" t="n">
        <v>0.007030910969381268</v>
      </c>
      <c r="DO338" s="3" t="n">
        <v>0.006664831890592877</v>
      </c>
    </row>
    <row r="339">
      <c r="A339" s="19" t="inlineStr">
        <is>
          <t>mit.scc.cost.res.ecy</t>
        </is>
      </c>
      <c r="B339" s="3" t="inlineStr">
        <is>
          <t>mit</t>
        </is>
      </c>
      <c r="C339" s="19" t="inlineStr">
        <is>
          <t>mit.scc.cost.ecy.res</t>
        </is>
      </c>
      <c r="H339" s="3" t="inlineStr">
        <is>
          <t>Efficient price: climate damage (national SCC) | Residential | Electricity</t>
        </is>
      </c>
      <c r="I339" s="3" t="inlineStr">
        <is>
          <t>USD per price unit</t>
        </is>
      </c>
      <c r="K339" s="20" t="inlineStr">
        <is>
          <t>egy.mit.scc.cost.res.ecy.1</t>
        </is>
      </c>
      <c r="L339" s="3" t="n">
        <v>0</v>
      </c>
      <c r="M339" s="3" t="n">
        <v>0</v>
      </c>
      <c r="N339" s="3" t="n">
        <v>0</v>
      </c>
      <c r="O339" s="3" t="n">
        <v>0</v>
      </c>
      <c r="P339" s="3" t="n">
        <v>0</v>
      </c>
      <c r="Q339" s="3" t="n">
        <v>0</v>
      </c>
      <c r="R339" s="3" t="n">
        <v>0</v>
      </c>
      <c r="S339" s="3" t="n">
        <v>0</v>
      </c>
      <c r="T339" s="3" t="n">
        <v>0</v>
      </c>
      <c r="U339" s="3" t="n">
        <v>0</v>
      </c>
      <c r="V339" s="3" t="n">
        <v>0</v>
      </c>
      <c r="W339" s="3" t="n">
        <v>0</v>
      </c>
      <c r="X339" s="3" t="n">
        <v>0</v>
      </c>
      <c r="Y339" s="3" t="n">
        <v>0</v>
      </c>
      <c r="Z339" s="3" t="n">
        <v>0</v>
      </c>
      <c r="AA339" s="3" t="n">
        <v>0</v>
      </c>
      <c r="AB339" s="3" t="n">
        <v>0</v>
      </c>
      <c r="AC339" s="3" t="n">
        <v>0</v>
      </c>
      <c r="AD339" s="3" t="n">
        <v>0</v>
      </c>
      <c r="AE339" s="3" t="n">
        <v>0</v>
      </c>
      <c r="AG339" s="20" t="inlineStr">
        <is>
          <t>egy.mit.scc.cost.res.ecy.3</t>
        </is>
      </c>
      <c r="AH339" s="3" t="n">
        <v>0</v>
      </c>
      <c r="AI339" s="3" t="n">
        <v>0</v>
      </c>
      <c r="AJ339" s="3" t="n">
        <v>0</v>
      </c>
      <c r="AK339" s="3" t="n">
        <v>0</v>
      </c>
      <c r="AL339" s="3" t="n">
        <v>0</v>
      </c>
      <c r="AM339" s="3" t="n">
        <v>0</v>
      </c>
      <c r="AN339" s="3" t="n">
        <v>0</v>
      </c>
      <c r="AO339" s="3" t="n">
        <v>0</v>
      </c>
      <c r="AP339" s="3" t="n">
        <v>0</v>
      </c>
      <c r="AQ339" s="3" t="n">
        <v>0</v>
      </c>
      <c r="AR339" s="3" t="n">
        <v>0</v>
      </c>
      <c r="AS339" s="3" t="n">
        <v>0</v>
      </c>
      <c r="AT339" s="3" t="n">
        <v>0</v>
      </c>
      <c r="AU339" s="3" t="n">
        <v>0</v>
      </c>
      <c r="AV339" s="3" t="n">
        <v>0</v>
      </c>
      <c r="AW339" s="3" t="n">
        <v>0</v>
      </c>
      <c r="AX339" s="3" t="n">
        <v>0</v>
      </c>
      <c r="AY339" s="3" t="n">
        <v>0</v>
      </c>
      <c r="AZ339" s="3" t="n">
        <v>0</v>
      </c>
      <c r="BA339" s="3" t="n">
        <v>0</v>
      </c>
      <c r="BC339" s="20" t="inlineStr">
        <is>
          <t>egy.mit.scc.cost.res.ecy.4</t>
        </is>
      </c>
      <c r="BD339" s="3" t="n">
        <v>0</v>
      </c>
      <c r="BE339" s="3" t="n">
        <v>0</v>
      </c>
      <c r="BF339" s="3" t="n">
        <v>0</v>
      </c>
      <c r="BG339" s="3" t="n">
        <v>0</v>
      </c>
      <c r="BH339" s="3" t="n">
        <v>0</v>
      </c>
      <c r="BI339" s="3" t="n">
        <v>0</v>
      </c>
      <c r="BJ339" s="3" t="n">
        <v>0</v>
      </c>
      <c r="BK339" s="3" t="n">
        <v>0</v>
      </c>
      <c r="BL339" s="3" t="n">
        <v>0</v>
      </c>
      <c r="BM339" s="3" t="n">
        <v>0</v>
      </c>
      <c r="BN339" s="3" t="n">
        <v>0</v>
      </c>
      <c r="BO339" s="3" t="n">
        <v>0</v>
      </c>
      <c r="BP339" s="3" t="n">
        <v>0</v>
      </c>
      <c r="BQ339" s="3" t="n">
        <v>0</v>
      </c>
      <c r="BR339" s="3" t="n">
        <v>0</v>
      </c>
      <c r="BS339" s="3" t="n">
        <v>0</v>
      </c>
      <c r="BT339" s="3" t="n">
        <v>0</v>
      </c>
      <c r="BU339" s="3" t="n">
        <v>0</v>
      </c>
      <c r="BV339" s="3" t="n">
        <v>0</v>
      </c>
      <c r="BW339" s="3" t="n">
        <v>0</v>
      </c>
      <c r="BY339" s="20" t="inlineStr">
        <is>
          <t>egy.mit.scc.cost.res.ecy.5</t>
        </is>
      </c>
      <c r="BZ339" s="3" t="n">
        <v>0</v>
      </c>
      <c r="CA339" s="3" t="n">
        <v>0</v>
      </c>
      <c r="CB339" s="3" t="n">
        <v>0</v>
      </c>
      <c r="CC339" s="3" t="n">
        <v>0</v>
      </c>
      <c r="CD339" s="3" t="n">
        <v>0</v>
      </c>
      <c r="CE339" s="3" t="n">
        <v>0</v>
      </c>
      <c r="CF339" s="3" t="n">
        <v>0</v>
      </c>
      <c r="CG339" s="3" t="n">
        <v>0</v>
      </c>
      <c r="CH339" s="3" t="n">
        <v>0</v>
      </c>
      <c r="CI339" s="3" t="n">
        <v>0</v>
      </c>
      <c r="CJ339" s="3" t="n">
        <v>0</v>
      </c>
      <c r="CK339" s="3" t="n">
        <v>0</v>
      </c>
      <c r="CL339" s="3" t="n">
        <v>0</v>
      </c>
      <c r="CM339" s="3" t="n">
        <v>0</v>
      </c>
      <c r="CN339" s="3" t="n">
        <v>0</v>
      </c>
      <c r="CO339" s="3" t="n">
        <v>0</v>
      </c>
      <c r="CP339" s="3" t="n">
        <v>0</v>
      </c>
      <c r="CQ339" s="3" t="n">
        <v>0</v>
      </c>
      <c r="CR339" s="3" t="n">
        <v>0</v>
      </c>
      <c r="CS339" s="3" t="n">
        <v>0</v>
      </c>
      <c r="CU339" s="20" t="inlineStr">
        <is>
          <t>egy.mit.scc.cost.res.ecy.6</t>
        </is>
      </c>
      <c r="CV339" s="3" t="n">
        <v>0</v>
      </c>
      <c r="CW339" s="3" t="n">
        <v>0</v>
      </c>
      <c r="CX339" s="3" t="n">
        <v>0</v>
      </c>
      <c r="CY339" s="3" t="n">
        <v>0</v>
      </c>
      <c r="CZ339" s="3" t="n">
        <v>0</v>
      </c>
      <c r="DA339" s="3" t="n">
        <v>0</v>
      </c>
      <c r="DB339" s="3" t="n">
        <v>0</v>
      </c>
      <c r="DC339" s="3" t="n">
        <v>0</v>
      </c>
      <c r="DD339" s="3" t="n">
        <v>0</v>
      </c>
      <c r="DE339" s="3" t="n">
        <v>0</v>
      </c>
      <c r="DF339" s="3" t="n">
        <v>0</v>
      </c>
      <c r="DG339" s="3" t="n">
        <v>0</v>
      </c>
      <c r="DH339" s="3" t="n">
        <v>0</v>
      </c>
      <c r="DI339" s="3" t="n">
        <v>0</v>
      </c>
      <c r="DJ339" s="3" t="n">
        <v>0</v>
      </c>
      <c r="DK339" s="3" t="n">
        <v>0</v>
      </c>
      <c r="DL339" s="3" t="n">
        <v>0</v>
      </c>
      <c r="DM339" s="3" t="n">
        <v>0</v>
      </c>
      <c r="DN339" s="3" t="n">
        <v>0</v>
      </c>
      <c r="DO339" s="3" t="n">
        <v>0</v>
      </c>
    </row>
    <row r="340">
      <c r="A340" s="19" t="inlineStr">
        <is>
          <t>mit.vat.cost.res.ecy</t>
        </is>
      </c>
      <c r="B340" s="3" t="inlineStr">
        <is>
          <t>mit</t>
        </is>
      </c>
      <c r="C340" s="19" t="inlineStr">
        <is>
          <t>mit.vat.cost.ecy.res</t>
        </is>
      </c>
      <c r="H340" s="3" t="inlineStr">
        <is>
          <t>Efficient price: potential VAT | Residential | Electricity</t>
        </is>
      </c>
      <c r="I340" s="3" t="inlineStr">
        <is>
          <t>USD per price unit</t>
        </is>
      </c>
      <c r="K340" s="20" t="inlineStr">
        <is>
          <t>egy.mit.vat.cost.res.ecy.1</t>
        </is>
      </c>
      <c r="L340" s="3" t="n">
        <v>0.009333572928826446</v>
      </c>
      <c r="M340" s="3" t="n">
        <v>0.008322950760071344</v>
      </c>
      <c r="N340" s="3" t="n">
        <v>0.01503586440968485</v>
      </c>
      <c r="O340" s="3" t="n">
        <v>0.01461563703133442</v>
      </c>
      <c r="P340" s="3" t="n">
        <v>0.01474268883370783</v>
      </c>
      <c r="Q340" s="3" t="n">
        <v>0.01486957828119947</v>
      </c>
      <c r="R340" s="3" t="n">
        <v>0.01500581702386914</v>
      </c>
      <c r="S340" s="3" t="n">
        <v>0.01521887424298744</v>
      </c>
      <c r="T340" s="3" t="n">
        <v>0.01543501496304196</v>
      </c>
      <c r="U340" s="3" t="n">
        <v>0.0154986090347642</v>
      </c>
      <c r="V340" s="3" t="n">
        <v>0.01530702607973424</v>
      </c>
      <c r="W340" s="3" t="n">
        <v>0.01513752603530904</v>
      </c>
      <c r="X340" s="3" t="n">
        <v>0.01496905653634459</v>
      </c>
      <c r="Y340" s="3" t="n">
        <v>0.0148124067059598</v>
      </c>
      <c r="Z340" s="3" t="n">
        <v>0.01466589376838133</v>
      </c>
      <c r="AA340" s="3" t="n">
        <v>0.01452910906431744</v>
      </c>
      <c r="AB340" s="3" t="n">
        <v>0.01440096627088208</v>
      </c>
      <c r="AC340" s="3" t="n">
        <v>0.01428023110855809</v>
      </c>
      <c r="AD340" s="3" t="n">
        <v>0.01416609359930045</v>
      </c>
      <c r="AE340" s="3" t="n">
        <v>0.01402234507962871</v>
      </c>
      <c r="AG340" s="20" t="inlineStr">
        <is>
          <t>egy.mit.vat.cost.res.ecy.3</t>
        </is>
      </c>
      <c r="AH340" s="3" t="n">
        <v>0.009333572928826446</v>
      </c>
      <c r="AI340" s="3" t="n">
        <v>0.008322950760071344</v>
      </c>
      <c r="AJ340" s="3" t="n">
        <v>0.01503586440968485</v>
      </c>
      <c r="AK340" s="3" t="n">
        <v>0.01461563703133442</v>
      </c>
      <c r="AL340" s="3" t="n">
        <v>0.01474268883370783</v>
      </c>
      <c r="AM340" s="3" t="n">
        <v>0.01486957828119947</v>
      </c>
      <c r="AN340" s="3" t="n">
        <v>0.01500581702386914</v>
      </c>
      <c r="AO340" s="3" t="n">
        <v>0.01521887424298744</v>
      </c>
      <c r="AP340" s="3" t="n">
        <v>0.01543501496304196</v>
      </c>
      <c r="AQ340" s="3" t="n">
        <v>0.0154986090347642</v>
      </c>
      <c r="AR340" s="3" t="n">
        <v>0.01530702607973424</v>
      </c>
      <c r="AS340" s="3" t="n">
        <v>0.01513752603530904</v>
      </c>
      <c r="AT340" s="3" t="n">
        <v>0.01496905653634459</v>
      </c>
      <c r="AU340" s="3" t="n">
        <v>0.0148124067059598</v>
      </c>
      <c r="AV340" s="3" t="n">
        <v>0.01466589376838133</v>
      </c>
      <c r="AW340" s="3" t="n">
        <v>0.01452910906431744</v>
      </c>
      <c r="AX340" s="3" t="n">
        <v>0.01440096627088208</v>
      </c>
      <c r="AY340" s="3" t="n">
        <v>0.01428023110855809</v>
      </c>
      <c r="AZ340" s="3" t="n">
        <v>0.01416609359930045</v>
      </c>
      <c r="BA340" s="3" t="n">
        <v>0.01402234507962871</v>
      </c>
      <c r="BC340" s="20" t="inlineStr">
        <is>
          <t>egy.mit.vat.cost.res.ecy.4</t>
        </is>
      </c>
      <c r="BD340" s="3" t="n">
        <v>0.009333572928826446</v>
      </c>
      <c r="BE340" s="3" t="n">
        <v>0.008322950760071344</v>
      </c>
      <c r="BF340" s="3" t="n">
        <v>0.01503586440968485</v>
      </c>
      <c r="BG340" s="3" t="n">
        <v>0.01461563703133442</v>
      </c>
      <c r="BH340" s="3" t="n">
        <v>0.01474268883370783</v>
      </c>
      <c r="BI340" s="3" t="n">
        <v>0.01486957828119947</v>
      </c>
      <c r="BJ340" s="3" t="n">
        <v>0.01500581702386914</v>
      </c>
      <c r="BK340" s="3" t="n">
        <v>0.01521887424298744</v>
      </c>
      <c r="BL340" s="3" t="n">
        <v>0.01543501496304196</v>
      </c>
      <c r="BM340" s="3" t="n">
        <v>0.0154986090347642</v>
      </c>
      <c r="BN340" s="3" t="n">
        <v>0.01530702607973424</v>
      </c>
      <c r="BO340" s="3" t="n">
        <v>0.01513752603530904</v>
      </c>
      <c r="BP340" s="3" t="n">
        <v>0.01496905653634459</v>
      </c>
      <c r="BQ340" s="3" t="n">
        <v>0.0148124067059598</v>
      </c>
      <c r="BR340" s="3" t="n">
        <v>0.01466589376838133</v>
      </c>
      <c r="BS340" s="3" t="n">
        <v>0.01452910906431744</v>
      </c>
      <c r="BT340" s="3" t="n">
        <v>0.01440096627088208</v>
      </c>
      <c r="BU340" s="3" t="n">
        <v>0.01428023110855809</v>
      </c>
      <c r="BV340" s="3" t="n">
        <v>0.01416609359930045</v>
      </c>
      <c r="BW340" s="3" t="n">
        <v>0.01402234507962871</v>
      </c>
      <c r="BY340" s="20" t="inlineStr">
        <is>
          <t>egy.mit.vat.cost.res.ecy.5</t>
        </is>
      </c>
      <c r="BZ340" s="3" t="n">
        <v>0.009333572928826446</v>
      </c>
      <c r="CA340" s="3" t="n">
        <v>0.008322950760071344</v>
      </c>
      <c r="CB340" s="3" t="n">
        <v>0.01503586440968485</v>
      </c>
      <c r="CC340" s="3" t="n">
        <v>0.01461563703133442</v>
      </c>
      <c r="CD340" s="3" t="n">
        <v>0.01474268883370783</v>
      </c>
      <c r="CE340" s="3" t="n">
        <v>0.01486957828119947</v>
      </c>
      <c r="CF340" s="3" t="n">
        <v>0.01500581702386914</v>
      </c>
      <c r="CG340" s="3" t="n">
        <v>0.01521887424298744</v>
      </c>
      <c r="CH340" s="3" t="n">
        <v>0.01543501496304196</v>
      </c>
      <c r="CI340" s="3" t="n">
        <v>0.0154986090347642</v>
      </c>
      <c r="CJ340" s="3" t="n">
        <v>0.01530702607973424</v>
      </c>
      <c r="CK340" s="3" t="n">
        <v>0.01513752603530904</v>
      </c>
      <c r="CL340" s="3" t="n">
        <v>0.01496905653634459</v>
      </c>
      <c r="CM340" s="3" t="n">
        <v>0.0148124067059598</v>
      </c>
      <c r="CN340" s="3" t="n">
        <v>0.01466589376838133</v>
      </c>
      <c r="CO340" s="3" t="n">
        <v>0.01452910906431744</v>
      </c>
      <c r="CP340" s="3" t="n">
        <v>0.01440096627088208</v>
      </c>
      <c r="CQ340" s="3" t="n">
        <v>0.01428023110855809</v>
      </c>
      <c r="CR340" s="3" t="n">
        <v>0.01416609359930045</v>
      </c>
      <c r="CS340" s="3" t="n">
        <v>0.01402234507962871</v>
      </c>
      <c r="CU340" s="20" t="inlineStr">
        <is>
          <t>egy.mit.vat.cost.res.ecy.6</t>
        </is>
      </c>
      <c r="CV340" s="3" t="n">
        <v>0.009333572928826446</v>
      </c>
      <c r="CW340" s="3" t="n">
        <v>0.008322950760071344</v>
      </c>
      <c r="CX340" s="3" t="n">
        <v>0.01503586440968485</v>
      </c>
      <c r="CY340" s="3" t="n">
        <v>0.01461563703133442</v>
      </c>
      <c r="CZ340" s="3" t="n">
        <v>0.01474268883370783</v>
      </c>
      <c r="DA340" s="3" t="n">
        <v>0.01486957828119947</v>
      </c>
      <c r="DB340" s="3" t="n">
        <v>0.01500581702386914</v>
      </c>
      <c r="DC340" s="3" t="n">
        <v>0.01521887424298744</v>
      </c>
      <c r="DD340" s="3" t="n">
        <v>0.01543501496304196</v>
      </c>
      <c r="DE340" s="3" t="n">
        <v>0.0154986090347642</v>
      </c>
      <c r="DF340" s="3" t="n">
        <v>0.01530702607973424</v>
      </c>
      <c r="DG340" s="3" t="n">
        <v>0.01513752603530904</v>
      </c>
      <c r="DH340" s="3" t="n">
        <v>0.01496905653634459</v>
      </c>
      <c r="DI340" s="3" t="n">
        <v>0.0148124067059598</v>
      </c>
      <c r="DJ340" s="3" t="n">
        <v>0.01466589376838133</v>
      </c>
      <c r="DK340" s="3" t="n">
        <v>0.01452910906431744</v>
      </c>
      <c r="DL340" s="3" t="n">
        <v>0.01440096627088208</v>
      </c>
      <c r="DM340" s="3" t="n">
        <v>0.01428023110855809</v>
      </c>
      <c r="DN340" s="3" t="n">
        <v>0.01416609359930045</v>
      </c>
      <c r="DO340" s="3" t="n">
        <v>0.01402234507962871</v>
      </c>
    </row>
    <row r="341">
      <c r="A341" s="19" t="inlineStr">
        <is>
          <t>mit.rp.res.ecy</t>
        </is>
      </c>
      <c r="B341" s="3" t="inlineStr">
        <is>
          <t>mit</t>
        </is>
      </c>
      <c r="C341" s="19" t="inlineStr">
        <is>
          <t>mit.rp.ecy.res</t>
        </is>
      </c>
      <c r="H341" s="3" t="inlineStr">
        <is>
          <t>End-user electricity price | Residential | Electricity</t>
        </is>
      </c>
      <c r="I341" s="3" t="inlineStr">
        <is>
          <t>USD/kWh real</t>
        </is>
      </c>
      <c r="K341" s="20" t="inlineStr">
        <is>
          <t>egy.mit.rp.res.ecy.1</t>
        </is>
      </c>
      <c r="L341" s="26" t="n">
        <v>0.06113555457898331</v>
      </c>
      <c r="M341" s="26" t="n">
        <v>0.05321854123828935</v>
      </c>
      <c r="N341" s="26" t="n">
        <v>0.04512806452045624</v>
      </c>
      <c r="O341" s="26" t="n">
        <v>0.04397347800406094</v>
      </c>
      <c r="P341" s="26" t="n">
        <v>0.04398100046517144</v>
      </c>
      <c r="Q341" s="26" t="n">
        <v>0.04442543803936448</v>
      </c>
      <c r="R341" s="26" t="n">
        <v>0.04456749025648402</v>
      </c>
      <c r="S341" s="26" t="n">
        <v>0.04525372482792904</v>
      </c>
      <c r="T341" s="26" t="n">
        <v>0.0459258219825071</v>
      </c>
      <c r="U341" s="26" t="n">
        <v>0.04668110938933583</v>
      </c>
      <c r="V341" s="26" t="n">
        <v>0.04543888471746634</v>
      </c>
      <c r="W341" s="26" t="n">
        <v>0.04441597090668882</v>
      </c>
      <c r="X341" s="26" t="n">
        <v>0.04340083167632232</v>
      </c>
      <c r="Y341" s="26" t="n">
        <v>0.04245442916324882</v>
      </c>
      <c r="Z341" s="26" t="n">
        <v>0.04156938897406016</v>
      </c>
      <c r="AA341" s="26" t="n">
        <v>0.04074198209167652</v>
      </c>
      <c r="AB341" s="26" t="n">
        <v>0.03996614931561494</v>
      </c>
      <c r="AC341" s="26" t="n">
        <v>0.03923392369261268</v>
      </c>
      <c r="AD341" s="26" t="n">
        <v>0.03854029071508147</v>
      </c>
      <c r="AE341" s="26" t="n">
        <v>0.03787959465335747</v>
      </c>
      <c r="AG341" s="20" t="inlineStr">
        <is>
          <t>egy.mit.rp.res.ecy.3</t>
        </is>
      </c>
      <c r="AH341" s="26" t="n">
        <v>0.06113555457898331</v>
      </c>
      <c r="AI341" s="26" t="n">
        <v>0.05321854123828935</v>
      </c>
      <c r="AJ341" s="26" t="n">
        <v>0.04512806452045624</v>
      </c>
      <c r="AK341" s="26" t="n">
        <v>0.04397481254527748</v>
      </c>
      <c r="AL341" s="26" t="n">
        <v>0.04398445802372765</v>
      </c>
      <c r="AM341" s="26" t="n">
        <v>0.05363387985287833</v>
      </c>
      <c r="AN341" s="26" t="n">
        <v>0.05357842539071554</v>
      </c>
      <c r="AO341" s="26" t="n">
        <v>0.05513348678757378</v>
      </c>
      <c r="AP341" s="26" t="n">
        <v>0.05439553542284484</v>
      </c>
      <c r="AQ341" s="26" t="n">
        <v>0.05479422779069282</v>
      </c>
      <c r="AR341" s="26" t="n">
        <v>0.05304133520668748</v>
      </c>
      <c r="AS341" s="26" t="n">
        <v>0.05174003400268574</v>
      </c>
      <c r="AT341" s="26" t="n">
        <v>0.05036846750747638</v>
      </c>
      <c r="AU341" s="26" t="n">
        <v>0.04910498078647862</v>
      </c>
      <c r="AV341" s="26" t="n">
        <v>0.04794444929677801</v>
      </c>
      <c r="AW341" s="26" t="n">
        <v>0.04686688480010575</v>
      </c>
      <c r="AX341" s="26" t="n">
        <v>0.04586016628091997</v>
      </c>
      <c r="AY341" s="26" t="n">
        <v>0.04491723173091318</v>
      </c>
      <c r="AZ341" s="26" t="n">
        <v>0.04402888496393817</v>
      </c>
      <c r="BA341" s="26" t="n">
        <v>0.04318963634895112</v>
      </c>
      <c r="BC341" s="20" t="inlineStr">
        <is>
          <t>egy.mit.rp.res.ecy.4</t>
        </is>
      </c>
      <c r="BD341" s="26" t="n">
        <v>0.06113555457898331</v>
      </c>
      <c r="BE341" s="26" t="n">
        <v>0.05321854123828935</v>
      </c>
      <c r="BF341" s="26" t="n">
        <v>0.04512806452045624</v>
      </c>
      <c r="BG341" s="26" t="n">
        <v>0.04397792744885552</v>
      </c>
      <c r="BH341" s="26" t="n">
        <v>0.04399266785110272</v>
      </c>
      <c r="BI341" s="26" t="n">
        <v>0.04903883942493214</v>
      </c>
      <c r="BJ341" s="26" t="n">
        <v>0.05513204163857777</v>
      </c>
      <c r="BK341" s="26" t="n">
        <v>0.06155929818667498</v>
      </c>
      <c r="BL341" s="26" t="n">
        <v>0.06641154390264804</v>
      </c>
      <c r="BM341" s="26" t="n">
        <v>0.07161154198290665</v>
      </c>
      <c r="BN341" s="26" t="n">
        <v>0.07535282597392505</v>
      </c>
      <c r="BO341" s="26" t="n">
        <v>0.07902718424450123</v>
      </c>
      <c r="BP341" s="26" t="n">
        <v>0.0815188737900428</v>
      </c>
      <c r="BQ341" s="26" t="n">
        <v>0.08385205538234268</v>
      </c>
      <c r="BR341" s="26" t="n">
        <v>0.08513447237539057</v>
      </c>
      <c r="BS341" s="26" t="n">
        <v>0.08643178246756263</v>
      </c>
      <c r="BT341" s="26" t="n">
        <v>0.08663754781479069</v>
      </c>
      <c r="BU341" s="26" t="n">
        <v>0.0871723086296859</v>
      </c>
      <c r="BV341" s="26" t="n">
        <v>0.08639141099692496</v>
      </c>
      <c r="BW341" s="26" t="n">
        <v>0.0865790507542136</v>
      </c>
      <c r="BY341" s="20" t="inlineStr">
        <is>
          <t>egy.mit.rp.res.ecy.5</t>
        </is>
      </c>
      <c r="BZ341" s="26" t="n">
        <v>0.06113555457898331</v>
      </c>
      <c r="CA341" s="26" t="n">
        <v>0.05321854123828935</v>
      </c>
      <c r="CB341" s="26" t="n">
        <v>0.04512806452045624</v>
      </c>
      <c r="CC341" s="26" t="n">
        <v>0.04398111934062107</v>
      </c>
      <c r="CD341" s="26" t="n">
        <v>0.04400097485720596</v>
      </c>
      <c r="CE341" s="26" t="n">
        <v>0.04445392227468571</v>
      </c>
      <c r="CF341" s="26" t="n">
        <v>0.04460443290001774</v>
      </c>
      <c r="CG341" s="26" t="n">
        <v>0.04530518000478277</v>
      </c>
      <c r="CH341" s="26" t="n">
        <v>0.04597978904616946</v>
      </c>
      <c r="CI341" s="26" t="n">
        <v>0.04675159367563135</v>
      </c>
      <c r="CJ341" s="26" t="n">
        <v>0.04542320844800658</v>
      </c>
      <c r="CK341" s="26" t="n">
        <v>0.04429752506271041</v>
      </c>
      <c r="CL341" s="26" t="n">
        <v>0.0432141887335908</v>
      </c>
      <c r="CM341" s="26" t="n">
        <v>0.04202919795298703</v>
      </c>
      <c r="CN341" s="26" t="n">
        <v>0.04097111535983834</v>
      </c>
      <c r="CO341" s="26" t="n">
        <v>0.03997798256369679</v>
      </c>
      <c r="CP341" s="26" t="n">
        <v>0.039031199166946</v>
      </c>
      <c r="CQ341" s="26" t="n">
        <v>0.03816467896717525</v>
      </c>
      <c r="CR341" s="26" t="n">
        <v>0.03735590519959353</v>
      </c>
      <c r="CS341" s="26" t="n">
        <v>0.0365896038768649</v>
      </c>
      <c r="CU341" s="20" t="inlineStr">
        <is>
          <t>egy.mit.rp.res.ecy.6</t>
        </is>
      </c>
      <c r="CV341" s="26" t="n">
        <v>0.06113555457898331</v>
      </c>
      <c r="CW341" s="26" t="n">
        <v>0.05321854123828935</v>
      </c>
      <c r="CX341" s="26" t="n">
        <v>0.04512806452045624</v>
      </c>
      <c r="CY341" s="26" t="n">
        <v>0.04397659436341776</v>
      </c>
      <c r="CZ341" s="26" t="n">
        <v>0.04398912940437925</v>
      </c>
      <c r="DA341" s="26" t="n">
        <v>0.06743171878657192</v>
      </c>
      <c r="DB341" s="26" t="n">
        <v>0.06678657252291843</v>
      </c>
      <c r="DC341" s="26" t="n">
        <v>0.06957461160252271</v>
      </c>
      <c r="DD341" s="26" t="n">
        <v>0.06817469432330685</v>
      </c>
      <c r="DE341" s="26" t="n">
        <v>0.06713108187108885</v>
      </c>
      <c r="DF341" s="26" t="n">
        <v>0.06451173469928914</v>
      </c>
      <c r="DG341" s="26" t="n">
        <v>0.06214464317715516</v>
      </c>
      <c r="DH341" s="26" t="n">
        <v>0.05939033193282592</v>
      </c>
      <c r="DI341" s="26" t="n">
        <v>0.0569844050254196</v>
      </c>
      <c r="DJ341" s="26" t="n">
        <v>0.05469485995040173</v>
      </c>
      <c r="DK341" s="26" t="n">
        <v>0.05269702134002763</v>
      </c>
      <c r="DL341" s="26" t="n">
        <v>0.05079557417675326</v>
      </c>
      <c r="DM341" s="26" t="n">
        <v>0.04914972396864836</v>
      </c>
      <c r="DN341" s="26" t="n">
        <v>0.04758860584314901</v>
      </c>
      <c r="DO341" s="26" t="n">
        <v>0.04622653566832314</v>
      </c>
    </row>
    <row r="342">
      <c r="A342" s="19" t="inlineStr">
        <is>
          <t>mit.tgap.res.ecy</t>
        </is>
      </c>
      <c r="B342" s="3" t="inlineStr">
        <is>
          <t>mit</t>
        </is>
      </c>
      <c r="C342" s="19" t="inlineStr">
        <is>
          <t>mit.tgap.ecy.res</t>
        </is>
      </c>
      <c r="H342" s="3" t="inlineStr">
        <is>
          <t>Tax gap: retail price - efficient price | Residential | Electricity</t>
        </is>
      </c>
      <c r="I342" s="3" t="inlineStr">
        <is>
          <t>USD per price unit</t>
        </is>
      </c>
      <c r="K342" s="20" t="inlineStr">
        <is>
          <t>egy.mit.tgap.res.ecy.1</t>
        </is>
      </c>
      <c r="L342" s="3" t="n">
        <v>-0.01486639641288917</v>
      </c>
      <c r="M342" s="3" t="n">
        <v>-0.01455405780800587</v>
      </c>
      <c r="N342" s="3" t="n">
        <v>-0.07730683138697755</v>
      </c>
      <c r="O342" s="3" t="n">
        <v>-0.07503956639394788</v>
      </c>
      <c r="P342" s="3" t="n">
        <v>-0.07606660860930661</v>
      </c>
      <c r="Q342" s="3" t="n">
        <v>-0.07665541367897409</v>
      </c>
      <c r="R342" s="3" t="n">
        <v>-0.07762273408073615</v>
      </c>
      <c r="S342" s="3" t="n">
        <v>-0.0786713940078258</v>
      </c>
      <c r="T342" s="3" t="n">
        <v>-0.07975929985940598</v>
      </c>
      <c r="U342" s="3" t="n">
        <v>-0.07952184989374407</v>
      </c>
      <c r="V342" s="3" t="n">
        <v>-0.07920404193179814</v>
      </c>
      <c r="W342" s="3" t="n">
        <v>-0.07884674109511337</v>
      </c>
      <c r="X342" s="3" t="n">
        <v>-0.07849005726248361</v>
      </c>
      <c r="Y342" s="3" t="n">
        <v>-0.07816088258528101</v>
      </c>
      <c r="Z342" s="3" t="n">
        <v>-0.07785288885418777</v>
      </c>
      <c r="AA342" s="3" t="n">
        <v>-0.07756647743205117</v>
      </c>
      <c r="AB342" s="3" t="n">
        <v>-0.07729886174728198</v>
      </c>
      <c r="AC342" s="3" t="n">
        <v>-0.07704795819136029</v>
      </c>
      <c r="AD342" s="3" t="n">
        <v>-0.07681218573636503</v>
      </c>
      <c r="AE342" s="3" t="n">
        <v>-0.0763023581379049</v>
      </c>
      <c r="AG342" s="20" t="inlineStr">
        <is>
          <t>egy.mit.tgap.res.ecy.3</t>
        </is>
      </c>
      <c r="AH342" s="3" t="n">
        <v>-0.01486639641288917</v>
      </c>
      <c r="AI342" s="3" t="n">
        <v>-0.01455405780800587</v>
      </c>
      <c r="AJ342" s="3" t="n">
        <v>-0.07730683138697755</v>
      </c>
      <c r="AK342" s="3" t="n">
        <v>-0.07503823185273134</v>
      </c>
      <c r="AL342" s="3" t="n">
        <v>-0.0760631510507504</v>
      </c>
      <c r="AM342" s="3" t="n">
        <v>-0.06744697186546025</v>
      </c>
      <c r="AN342" s="3" t="n">
        <v>-0.06861179894650463</v>
      </c>
      <c r="AO342" s="3" t="n">
        <v>-0.06879163204818106</v>
      </c>
      <c r="AP342" s="3" t="n">
        <v>-0.07128958641906824</v>
      </c>
      <c r="AQ342" s="3" t="n">
        <v>-0.07140873149238708</v>
      </c>
      <c r="AR342" s="3" t="n">
        <v>-0.071601591442577</v>
      </c>
      <c r="AS342" s="3" t="n">
        <v>-0.07152267799911645</v>
      </c>
      <c r="AT342" s="3" t="n">
        <v>-0.07152242143132954</v>
      </c>
      <c r="AU342" s="3" t="n">
        <v>-0.0715103309620512</v>
      </c>
      <c r="AV342" s="3" t="n">
        <v>-0.07147782853146993</v>
      </c>
      <c r="AW342" s="3" t="n">
        <v>-0.07144157472362195</v>
      </c>
      <c r="AX342" s="3" t="n">
        <v>-0.07140484478197695</v>
      </c>
      <c r="AY342" s="3" t="n">
        <v>-0.07136465015305979</v>
      </c>
      <c r="AZ342" s="3" t="n">
        <v>-0.07132359148750833</v>
      </c>
      <c r="BA342" s="3" t="n">
        <v>-0.07099231644231124</v>
      </c>
      <c r="BC342" s="20" t="inlineStr">
        <is>
          <t>egy.mit.tgap.res.ecy.4</t>
        </is>
      </c>
      <c r="BD342" s="3" t="n">
        <v>-0.01486639641288917</v>
      </c>
      <c r="BE342" s="3" t="n">
        <v>-0.01455405780800587</v>
      </c>
      <c r="BF342" s="3" t="n">
        <v>-0.07730683138697755</v>
      </c>
      <c r="BG342" s="3" t="n">
        <v>-0.0750351169491533</v>
      </c>
      <c r="BH342" s="3" t="n">
        <v>-0.07605494122337533</v>
      </c>
      <c r="BI342" s="3" t="n">
        <v>-0.07204201229340643</v>
      </c>
      <c r="BJ342" s="3" t="n">
        <v>-0.06705818269864239</v>
      </c>
      <c r="BK342" s="3" t="n">
        <v>-0.06236582064907986</v>
      </c>
      <c r="BL342" s="3" t="n">
        <v>-0.05927357793926503</v>
      </c>
      <c r="BM342" s="3" t="n">
        <v>-0.05459141730017325</v>
      </c>
      <c r="BN342" s="3" t="n">
        <v>-0.04929010067533943</v>
      </c>
      <c r="BO342" s="3" t="n">
        <v>-0.04423552775730097</v>
      </c>
      <c r="BP342" s="3" t="n">
        <v>-0.04037201514876312</v>
      </c>
      <c r="BQ342" s="3" t="n">
        <v>-0.03676325636618714</v>
      </c>
      <c r="BR342" s="3" t="n">
        <v>-0.03428780545285737</v>
      </c>
      <c r="BS342" s="3" t="n">
        <v>-0.03187667705616506</v>
      </c>
      <c r="BT342" s="3" t="n">
        <v>-0.03062746324810624</v>
      </c>
      <c r="BU342" s="3" t="n">
        <v>-0.02910957325428706</v>
      </c>
      <c r="BV342" s="3" t="n">
        <v>-0.02896106545452154</v>
      </c>
      <c r="BW342" s="3" t="n">
        <v>-0.02760290203704877</v>
      </c>
      <c r="BY342" s="20" t="inlineStr">
        <is>
          <t>egy.mit.tgap.res.ecy.5</t>
        </is>
      </c>
      <c r="BZ342" s="3" t="n">
        <v>-0.01486639641288917</v>
      </c>
      <c r="CA342" s="3" t="n">
        <v>-0.01455405780800587</v>
      </c>
      <c r="CB342" s="3" t="n">
        <v>-0.07730683138697755</v>
      </c>
      <c r="CC342" s="3" t="n">
        <v>-0.07503192505738775</v>
      </c>
      <c r="CD342" s="3" t="n">
        <v>-0.07604663421727209</v>
      </c>
      <c r="CE342" s="3" t="n">
        <v>-0.07662692944365286</v>
      </c>
      <c r="CF342" s="3" t="n">
        <v>-0.07758579143720243</v>
      </c>
      <c r="CG342" s="3" t="n">
        <v>-0.07861993883097207</v>
      </c>
      <c r="CH342" s="3" t="n">
        <v>-0.07970533279574361</v>
      </c>
      <c r="CI342" s="3" t="n">
        <v>-0.07945136560744855</v>
      </c>
      <c r="CJ342" s="3" t="n">
        <v>-0.07921971820125789</v>
      </c>
      <c r="CK342" s="3" t="n">
        <v>-0.07896518693909178</v>
      </c>
      <c r="CL342" s="3" t="n">
        <v>-0.07867670020521512</v>
      </c>
      <c r="CM342" s="3" t="n">
        <v>-0.0785861137955428</v>
      </c>
      <c r="CN342" s="3" t="n">
        <v>-0.07845116246840959</v>
      </c>
      <c r="CO342" s="3" t="n">
        <v>-0.0783304769600309</v>
      </c>
      <c r="CP342" s="3" t="n">
        <v>-0.07823381189595092</v>
      </c>
      <c r="CQ342" s="3" t="n">
        <v>-0.07811720291679772</v>
      </c>
      <c r="CR342" s="3" t="n">
        <v>-0.07799657125185297</v>
      </c>
      <c r="CS342" s="3" t="n">
        <v>-0.07759234891439747</v>
      </c>
      <c r="CU342" s="20" t="inlineStr">
        <is>
          <t>egy.mit.tgap.res.ecy.6</t>
        </is>
      </c>
      <c r="CV342" s="3" t="n">
        <v>-0.01486639641288917</v>
      </c>
      <c r="CW342" s="3" t="n">
        <v>-0.01455405780800587</v>
      </c>
      <c r="CX342" s="3" t="n">
        <v>-0.07730683138697755</v>
      </c>
      <c r="CY342" s="3" t="n">
        <v>-0.07503645003459106</v>
      </c>
      <c r="CZ342" s="3" t="n">
        <v>-0.07605847967009879</v>
      </c>
      <c r="DA342" s="3" t="n">
        <v>-0.05364913293176665</v>
      </c>
      <c r="DB342" s="3" t="n">
        <v>-0.05540365181430174</v>
      </c>
      <c r="DC342" s="3" t="n">
        <v>-0.05435050723323213</v>
      </c>
      <c r="DD342" s="3" t="n">
        <v>-0.05751042751860623</v>
      </c>
      <c r="DE342" s="3" t="n">
        <v>-0.05907187741199105</v>
      </c>
      <c r="DF342" s="3" t="n">
        <v>-0.06013119194997534</v>
      </c>
      <c r="DG342" s="3" t="n">
        <v>-0.06111806882464703</v>
      </c>
      <c r="DH342" s="3" t="n">
        <v>-0.06250055700598001</v>
      </c>
      <c r="DI342" s="3" t="n">
        <v>-0.06363090672311023</v>
      </c>
      <c r="DJ342" s="3" t="n">
        <v>-0.06472741787784621</v>
      </c>
      <c r="DK342" s="3" t="n">
        <v>-0.06561143818370005</v>
      </c>
      <c r="DL342" s="3" t="n">
        <v>-0.06646943688614367</v>
      </c>
      <c r="DM342" s="3" t="n">
        <v>-0.06713215791532462</v>
      </c>
      <c r="DN342" s="3" t="n">
        <v>-0.06776387060829749</v>
      </c>
      <c r="DO342" s="3" t="n">
        <v>-0.06795541712293923</v>
      </c>
    </row>
    <row r="343">
      <c r="A343" s="19" t="inlineStr">
        <is>
          <t>mit.txe.res.ecy</t>
        </is>
      </c>
      <c r="B343" s="3" t="inlineStr">
        <is>
          <t>mit</t>
        </is>
      </c>
      <c r="C343" s="19" t="inlineStr">
        <is>
          <t>mit.txo.res.ecy.t</t>
        </is>
      </c>
      <c r="H343" s="3" t="inlineStr">
        <is>
          <t>Electricity consumer tax / subsidy (dataset, last price year held) | Residential | Electricity</t>
        </is>
      </c>
      <c r="I343" s="3" t="inlineStr">
        <is>
          <t>USD/kWh real</t>
        </is>
      </c>
      <c r="K343" s="20" t="inlineStr">
        <is>
          <t>egy.mit.txe.res.ecy.1</t>
        </is>
      </c>
      <c r="L343" s="3" t="n">
        <v>0.002083366225533542</v>
      </c>
      <c r="M343" s="3" t="n">
        <v>0.001236501605245988</v>
      </c>
      <c r="N343" s="3" t="n">
        <v>-0.05561518116768331</v>
      </c>
      <c r="O343" s="3" t="n">
        <v>-0.05561518116768331</v>
      </c>
      <c r="P343" s="3" t="n">
        <v>-0.05561518116768331</v>
      </c>
      <c r="Q343" s="3" t="n">
        <v>-0.05561518116768331</v>
      </c>
      <c r="R343" s="3" t="n">
        <v>-0.05561518116768331</v>
      </c>
      <c r="S343" s="3" t="n">
        <v>-0.05561518116768331</v>
      </c>
      <c r="T343" s="3" t="n">
        <v>-0.05561518116768331</v>
      </c>
      <c r="U343" s="3" t="n">
        <v>-0.05561518116768331</v>
      </c>
      <c r="V343" s="3" t="n">
        <v>-0.05561518116768331</v>
      </c>
      <c r="W343" s="3" t="n">
        <v>-0.05561518116768331</v>
      </c>
      <c r="X343" s="3" t="n">
        <v>-0.05561518116768331</v>
      </c>
      <c r="Y343" s="3" t="n">
        <v>-0.05561518116768331</v>
      </c>
      <c r="Z343" s="3" t="n">
        <v>-0.05561518116768331</v>
      </c>
      <c r="AA343" s="3" t="n">
        <v>-0.05561518116768331</v>
      </c>
      <c r="AB343" s="3" t="n">
        <v>-0.05561518116768331</v>
      </c>
      <c r="AC343" s="3" t="n">
        <v>-0.05561518116768331</v>
      </c>
      <c r="AD343" s="3" t="n">
        <v>-0.05561518116768331</v>
      </c>
      <c r="AE343" s="3" t="n">
        <v>-0.05561518116768331</v>
      </c>
      <c r="AG343" s="20" t="inlineStr">
        <is>
          <t>egy.mit.txe.res.ecy.3</t>
        </is>
      </c>
      <c r="AH343" s="3" t="n">
        <v>0.002083366225533542</v>
      </c>
      <c r="AI343" s="3" t="n">
        <v>0.001236501605245988</v>
      </c>
      <c r="AJ343" s="3" t="n">
        <v>-0.05561518116768331</v>
      </c>
      <c r="AK343" s="3" t="n">
        <v>-0.05561518116768331</v>
      </c>
      <c r="AL343" s="3" t="n">
        <v>-0.05561518116768331</v>
      </c>
      <c r="AM343" s="3" t="n">
        <v>-0.05561518116768331</v>
      </c>
      <c r="AN343" s="3" t="n">
        <v>-0.05561518116768331</v>
      </c>
      <c r="AO343" s="3" t="n">
        <v>-0.05561518116768331</v>
      </c>
      <c r="AP343" s="3" t="n">
        <v>-0.05561518116768331</v>
      </c>
      <c r="AQ343" s="3" t="n">
        <v>-0.05561518116768331</v>
      </c>
      <c r="AR343" s="3" t="n">
        <v>-0.05561518116768331</v>
      </c>
      <c r="AS343" s="3" t="n">
        <v>-0.05561518116768331</v>
      </c>
      <c r="AT343" s="3" t="n">
        <v>-0.05561518116768331</v>
      </c>
      <c r="AU343" s="3" t="n">
        <v>-0.05561518116768331</v>
      </c>
      <c r="AV343" s="3" t="n">
        <v>-0.05561518116768331</v>
      </c>
      <c r="AW343" s="3" t="n">
        <v>-0.05561518116768331</v>
      </c>
      <c r="AX343" s="3" t="n">
        <v>-0.05561518116768331</v>
      </c>
      <c r="AY343" s="3" t="n">
        <v>-0.05561518116768331</v>
      </c>
      <c r="AZ343" s="3" t="n">
        <v>-0.05561518116768331</v>
      </c>
      <c r="BA343" s="3" t="n">
        <v>-0.05561518116768331</v>
      </c>
      <c r="BC343" s="20" t="inlineStr">
        <is>
          <t>egy.mit.txe.res.ecy.4</t>
        </is>
      </c>
      <c r="BD343" s="3" t="n">
        <v>0.002083366225533542</v>
      </c>
      <c r="BE343" s="3" t="n">
        <v>0.001236501605245988</v>
      </c>
      <c r="BF343" s="3" t="n">
        <v>-0.05561518116768331</v>
      </c>
      <c r="BG343" s="3" t="n">
        <v>-0.05561518116768331</v>
      </c>
      <c r="BH343" s="3" t="n">
        <v>-0.05561518116768331</v>
      </c>
      <c r="BI343" s="3" t="n">
        <v>-0.05561518116768331</v>
      </c>
      <c r="BJ343" s="3" t="n">
        <v>-0.05561518116768331</v>
      </c>
      <c r="BK343" s="3" t="n">
        <v>-0.05561518116768331</v>
      </c>
      <c r="BL343" s="3" t="n">
        <v>-0.05561518116768331</v>
      </c>
      <c r="BM343" s="3" t="n">
        <v>-0.05561518116768331</v>
      </c>
      <c r="BN343" s="3" t="n">
        <v>-0.05561518116768331</v>
      </c>
      <c r="BO343" s="3" t="n">
        <v>-0.05561518116768331</v>
      </c>
      <c r="BP343" s="3" t="n">
        <v>-0.05561518116768331</v>
      </c>
      <c r="BQ343" s="3" t="n">
        <v>-0.05561518116768331</v>
      </c>
      <c r="BR343" s="3" t="n">
        <v>-0.05561518116768331</v>
      </c>
      <c r="BS343" s="3" t="n">
        <v>-0.05561518116768331</v>
      </c>
      <c r="BT343" s="3" t="n">
        <v>-0.05561518116768331</v>
      </c>
      <c r="BU343" s="3" t="n">
        <v>-0.05561518116768331</v>
      </c>
      <c r="BV343" s="3" t="n">
        <v>-0.05561518116768331</v>
      </c>
      <c r="BW343" s="3" t="n">
        <v>-0.05561518116768331</v>
      </c>
      <c r="BY343" s="20" t="inlineStr">
        <is>
          <t>egy.mit.txe.res.ecy.5</t>
        </is>
      </c>
      <c r="BZ343" s="3" t="n">
        <v>0.002083366225533542</v>
      </c>
      <c r="CA343" s="3" t="n">
        <v>0.001236501605245988</v>
      </c>
      <c r="CB343" s="3" t="n">
        <v>-0.05561518116768331</v>
      </c>
      <c r="CC343" s="3" t="n">
        <v>-0.05561518116768331</v>
      </c>
      <c r="CD343" s="3" t="n">
        <v>-0.05561518116768331</v>
      </c>
      <c r="CE343" s="3" t="n">
        <v>-0.05561518116768331</v>
      </c>
      <c r="CF343" s="3" t="n">
        <v>-0.05561518116768331</v>
      </c>
      <c r="CG343" s="3" t="n">
        <v>-0.05561518116768331</v>
      </c>
      <c r="CH343" s="3" t="n">
        <v>-0.05561518116768331</v>
      </c>
      <c r="CI343" s="3" t="n">
        <v>-0.05561518116768331</v>
      </c>
      <c r="CJ343" s="3" t="n">
        <v>-0.05561518116768331</v>
      </c>
      <c r="CK343" s="3" t="n">
        <v>-0.05561518116768331</v>
      </c>
      <c r="CL343" s="3" t="n">
        <v>-0.05561518116768331</v>
      </c>
      <c r="CM343" s="3" t="n">
        <v>-0.05561518116768331</v>
      </c>
      <c r="CN343" s="3" t="n">
        <v>-0.05561518116768331</v>
      </c>
      <c r="CO343" s="3" t="n">
        <v>-0.05561518116768331</v>
      </c>
      <c r="CP343" s="3" t="n">
        <v>-0.05561518116768331</v>
      </c>
      <c r="CQ343" s="3" t="n">
        <v>-0.05561518116768331</v>
      </c>
      <c r="CR343" s="3" t="n">
        <v>-0.05561518116768331</v>
      </c>
      <c r="CS343" s="3" t="n">
        <v>-0.05561518116768331</v>
      </c>
      <c r="CU343" s="20" t="inlineStr">
        <is>
          <t>egy.mit.txe.res.ecy.6</t>
        </is>
      </c>
      <c r="CV343" s="3" t="n">
        <v>0.002083366225533542</v>
      </c>
      <c r="CW343" s="3" t="n">
        <v>0.001236501605245988</v>
      </c>
      <c r="CX343" s="3" t="n">
        <v>-0.05561518116768331</v>
      </c>
      <c r="CY343" s="3" t="n">
        <v>-0.05561518116768331</v>
      </c>
      <c r="CZ343" s="3" t="n">
        <v>-0.05561518116768331</v>
      </c>
      <c r="DA343" s="3" t="n">
        <v>-0.05561518116768331</v>
      </c>
      <c r="DB343" s="3" t="n">
        <v>-0.05561518116768331</v>
      </c>
      <c r="DC343" s="3" t="n">
        <v>-0.05561518116768331</v>
      </c>
      <c r="DD343" s="3" t="n">
        <v>-0.05561518116768331</v>
      </c>
      <c r="DE343" s="3" t="n">
        <v>-0.05561518116768331</v>
      </c>
      <c r="DF343" s="3" t="n">
        <v>-0.05561518116768331</v>
      </c>
      <c r="DG343" s="3" t="n">
        <v>-0.05561518116768331</v>
      </c>
      <c r="DH343" s="3" t="n">
        <v>-0.05561518116768331</v>
      </c>
      <c r="DI343" s="3" t="n">
        <v>-0.05561518116768331</v>
      </c>
      <c r="DJ343" s="3" t="n">
        <v>-0.05561518116768331</v>
      </c>
      <c r="DK343" s="3" t="n">
        <v>-0.05561518116768331</v>
      </c>
      <c r="DL343" s="3" t="n">
        <v>-0.05561518116768331</v>
      </c>
      <c r="DM343" s="3" t="n">
        <v>-0.05561518116768331</v>
      </c>
      <c r="DN343" s="3" t="n">
        <v>-0.05561518116768331</v>
      </c>
      <c r="DO343" s="3" t="n">
        <v>-0.05561518116768331</v>
      </c>
    </row>
    <row r="344">
      <c r="A344" s="19" t="inlineStr">
        <is>
          <t>mit.txo.co2e.res.ecy</t>
        </is>
      </c>
      <c r="B344" s="3" t="inlineStr">
        <is>
          <t>mit</t>
        </is>
      </c>
      <c r="C344" s="19" t="inlineStr">
        <is>
          <t>mit.txo.co2e.ecy.res</t>
        </is>
      </c>
      <c r="H344" s="3" t="inlineStr">
        <is>
          <t>Excise and other taxes of scenario 1 per tonne of CO2 | Residential | Electricity</t>
        </is>
      </c>
      <c r="I344" s="3" t="inlineStr">
        <is>
          <t>USD/tCO2</t>
        </is>
      </c>
      <c r="K344" s="20" t="inlineStr">
        <is>
          <t>egy.mit.txo.co2e.res.ecy.1</t>
        </is>
      </c>
      <c r="L344" s="3" t="n">
        <v>0</v>
      </c>
      <c r="M344" s="3" t="n">
        <v>0</v>
      </c>
      <c r="N344" s="3" t="n">
        <v>0</v>
      </c>
      <c r="O344" s="3" t="n">
        <v>0</v>
      </c>
      <c r="P344" s="3" t="n">
        <v>0</v>
      </c>
      <c r="Q344" s="3" t="n">
        <v>0</v>
      </c>
      <c r="R344" s="3" t="n">
        <v>0</v>
      </c>
      <c r="S344" s="3" t="n">
        <v>0</v>
      </c>
      <c r="T344" s="3" t="n">
        <v>0</v>
      </c>
      <c r="U344" s="3" t="n">
        <v>0</v>
      </c>
      <c r="V344" s="3" t="n">
        <v>0</v>
      </c>
      <c r="W344" s="3" t="n">
        <v>0</v>
      </c>
      <c r="X344" s="3" t="n">
        <v>0</v>
      </c>
      <c r="Y344" s="3" t="n">
        <v>0</v>
      </c>
      <c r="Z344" s="3" t="n">
        <v>0</v>
      </c>
      <c r="AA344" s="3" t="n">
        <v>0</v>
      </c>
      <c r="AB344" s="3" t="n">
        <v>0</v>
      </c>
      <c r="AC344" s="3" t="n">
        <v>0</v>
      </c>
      <c r="AD344" s="3" t="n">
        <v>0</v>
      </c>
      <c r="AE344" s="3" t="n">
        <v>0</v>
      </c>
      <c r="AG344" s="20" t="inlineStr">
        <is>
          <t>egy.mit.txo.co2e.res.ecy.3</t>
        </is>
      </c>
      <c r="AH344" s="3" t="n">
        <v>0</v>
      </c>
      <c r="AI344" s="3" t="n">
        <v>0</v>
      </c>
      <c r="AJ344" s="3" t="n">
        <v>0</v>
      </c>
      <c r="AK344" s="3" t="n">
        <v>0</v>
      </c>
      <c r="AL344" s="3" t="n">
        <v>0</v>
      </c>
      <c r="AM344" s="3" t="n">
        <v>0</v>
      </c>
      <c r="AN344" s="3" t="n">
        <v>0</v>
      </c>
      <c r="AO344" s="3" t="n">
        <v>0</v>
      </c>
      <c r="AP344" s="3" t="n">
        <v>0</v>
      </c>
      <c r="AQ344" s="3" t="n">
        <v>0</v>
      </c>
      <c r="AR344" s="3" t="n">
        <v>0</v>
      </c>
      <c r="AS344" s="3" t="n">
        <v>0</v>
      </c>
      <c r="AT344" s="3" t="n">
        <v>0</v>
      </c>
      <c r="AU344" s="3" t="n">
        <v>0</v>
      </c>
      <c r="AV344" s="3" t="n">
        <v>0</v>
      </c>
      <c r="AW344" s="3" t="n">
        <v>0</v>
      </c>
      <c r="AX344" s="3" t="n">
        <v>0</v>
      </c>
      <c r="AY344" s="3" t="n">
        <v>0</v>
      </c>
      <c r="AZ344" s="3" t="n">
        <v>0</v>
      </c>
      <c r="BA344" s="3" t="n">
        <v>0</v>
      </c>
      <c r="BC344" s="20" t="inlineStr">
        <is>
          <t>egy.mit.txo.co2e.res.ecy.4</t>
        </is>
      </c>
      <c r="BD344" s="3" t="n">
        <v>0</v>
      </c>
      <c r="BE344" s="3" t="n">
        <v>0</v>
      </c>
      <c r="BF344" s="3" t="n">
        <v>0</v>
      </c>
      <c r="BG344" s="3" t="n">
        <v>0</v>
      </c>
      <c r="BH344" s="3" t="n">
        <v>0</v>
      </c>
      <c r="BI344" s="3" t="n">
        <v>0</v>
      </c>
      <c r="BJ344" s="3" t="n">
        <v>0</v>
      </c>
      <c r="BK344" s="3" t="n">
        <v>0</v>
      </c>
      <c r="BL344" s="3" t="n">
        <v>0</v>
      </c>
      <c r="BM344" s="3" t="n">
        <v>0</v>
      </c>
      <c r="BN344" s="3" t="n">
        <v>0</v>
      </c>
      <c r="BO344" s="3" t="n">
        <v>0</v>
      </c>
      <c r="BP344" s="3" t="n">
        <v>0</v>
      </c>
      <c r="BQ344" s="3" t="n">
        <v>0</v>
      </c>
      <c r="BR344" s="3" t="n">
        <v>0</v>
      </c>
      <c r="BS344" s="3" t="n">
        <v>0</v>
      </c>
      <c r="BT344" s="3" t="n">
        <v>0</v>
      </c>
      <c r="BU344" s="3" t="n">
        <v>0</v>
      </c>
      <c r="BV344" s="3" t="n">
        <v>0</v>
      </c>
      <c r="BW344" s="3" t="n">
        <v>0</v>
      </c>
      <c r="BY344" s="20" t="inlineStr">
        <is>
          <t>egy.mit.txo.co2e.res.ecy.5</t>
        </is>
      </c>
      <c r="BZ344" s="3" t="n">
        <v>0</v>
      </c>
      <c r="CA344" s="3" t="n">
        <v>0</v>
      </c>
      <c r="CB344" s="3" t="n">
        <v>0</v>
      </c>
      <c r="CC344" s="3" t="n">
        <v>0</v>
      </c>
      <c r="CD344" s="3" t="n">
        <v>0</v>
      </c>
      <c r="CE344" s="3" t="n">
        <v>0</v>
      </c>
      <c r="CF344" s="3" t="n">
        <v>0</v>
      </c>
      <c r="CG344" s="3" t="n">
        <v>0</v>
      </c>
      <c r="CH344" s="3" t="n">
        <v>0</v>
      </c>
      <c r="CI344" s="3" t="n">
        <v>0</v>
      </c>
      <c r="CJ344" s="3" t="n">
        <v>0</v>
      </c>
      <c r="CK344" s="3" t="n">
        <v>0</v>
      </c>
      <c r="CL344" s="3" t="n">
        <v>0</v>
      </c>
      <c r="CM344" s="3" t="n">
        <v>0</v>
      </c>
      <c r="CN344" s="3" t="n">
        <v>0</v>
      </c>
      <c r="CO344" s="3" t="n">
        <v>0</v>
      </c>
      <c r="CP344" s="3" t="n">
        <v>0</v>
      </c>
      <c r="CQ344" s="3" t="n">
        <v>0</v>
      </c>
      <c r="CR344" s="3" t="n">
        <v>0</v>
      </c>
      <c r="CS344" s="3" t="n">
        <v>0</v>
      </c>
      <c r="CU344" s="20" t="inlineStr">
        <is>
          <t>egy.mit.txo.co2e.res.ecy.6</t>
        </is>
      </c>
      <c r="CV344" s="3" t="n">
        <v>0</v>
      </c>
      <c r="CW344" s="3" t="n">
        <v>0</v>
      </c>
      <c r="CX344" s="3" t="n">
        <v>0</v>
      </c>
      <c r="CY344" s="3" t="n">
        <v>0</v>
      </c>
      <c r="CZ344" s="3" t="n">
        <v>0</v>
      </c>
      <c r="DA344" s="3" t="n">
        <v>0</v>
      </c>
      <c r="DB344" s="3" t="n">
        <v>0</v>
      </c>
      <c r="DC344" s="3" t="n">
        <v>0</v>
      </c>
      <c r="DD344" s="3" t="n">
        <v>0</v>
      </c>
      <c r="DE344" s="3" t="n">
        <v>0</v>
      </c>
      <c r="DF344" s="3" t="n">
        <v>0</v>
      </c>
      <c r="DG344" s="3" t="n">
        <v>0</v>
      </c>
      <c r="DH344" s="3" t="n">
        <v>0</v>
      </c>
      <c r="DI344" s="3" t="n">
        <v>0</v>
      </c>
      <c r="DJ344" s="3" t="n">
        <v>0</v>
      </c>
      <c r="DK344" s="3" t="n">
        <v>0</v>
      </c>
      <c r="DL344" s="3" t="n">
        <v>0</v>
      </c>
      <c r="DM344" s="3" t="n">
        <v>0</v>
      </c>
      <c r="DN344" s="3" t="n">
        <v>0</v>
      </c>
      <c r="DO344" s="3" t="n">
        <v>0</v>
      </c>
    </row>
    <row r="345">
      <c r="A345" s="19" t="inlineStr">
        <is>
          <t>mit.pig.res.ecy</t>
        </is>
      </c>
      <c r="B345" s="3" t="inlineStr">
        <is>
          <t>mit</t>
        </is>
      </c>
      <c r="C345" s="19" t="inlineStr">
        <is>
          <t>mit.pig.ecy.res</t>
        </is>
      </c>
      <c r="H345" s="3" t="inlineStr">
        <is>
          <t>Pigouvian tax: all externalities (reference) | Residential | Electricity</t>
        </is>
      </c>
      <c r="I345" s="3" t="inlineStr">
        <is>
          <t>USD per price unit</t>
        </is>
      </c>
      <c r="K345" s="20" t="inlineStr">
        <is>
          <t>egy.mit.pig.res.ecy.1</t>
        </is>
      </c>
      <c r="L345" s="3" t="n">
        <v>0.007616189709596273</v>
      </c>
      <c r="M345" s="3" t="n">
        <v>0.007467608653180516</v>
      </c>
      <c r="N345" s="3" t="n">
        <v>0.006655785809609397</v>
      </c>
      <c r="O345" s="3" t="n">
        <v>0.004808748194930148</v>
      </c>
      <c r="P345" s="3" t="n">
        <v>0.005708738607915468</v>
      </c>
      <c r="Q345" s="3" t="n">
        <v>0.006170654230091311</v>
      </c>
      <c r="R345" s="3" t="n">
        <v>0.007001735889183701</v>
      </c>
      <c r="S345" s="3" t="n">
        <v>0.007837338597155054</v>
      </c>
      <c r="T345" s="3" t="n">
        <v>0.008709103728680704</v>
      </c>
      <c r="U345" s="3" t="n">
        <v>0.008408059691296569</v>
      </c>
      <c r="V345" s="3" t="n">
        <v>0.008281834684380589</v>
      </c>
      <c r="W345" s="3" t="n">
        <v>0.008094033892121022</v>
      </c>
      <c r="X345" s="3" t="n">
        <v>0.007905819558455703</v>
      </c>
      <c r="Y345" s="3" t="n">
        <v>0.007733294711637893</v>
      </c>
      <c r="Z345" s="3" t="n">
        <v>0.007571813918123129</v>
      </c>
      <c r="AA345" s="3" t="n">
        <v>0.007422187200050424</v>
      </c>
      <c r="AB345" s="3" t="n">
        <v>0.007282714308716584</v>
      </c>
      <c r="AC345" s="3" t="n">
        <v>0.007152545915118889</v>
      </c>
      <c r="AD345" s="3" t="n">
        <v>0.007030910969381268</v>
      </c>
      <c r="AE345" s="3" t="n">
        <v>0.006664831890592877</v>
      </c>
      <c r="AG345" s="20" t="inlineStr">
        <is>
          <t>egy.mit.pig.res.ecy.3</t>
        </is>
      </c>
      <c r="AH345" s="3" t="n">
        <v>0.007616189709596273</v>
      </c>
      <c r="AI345" s="3" t="n">
        <v>0.007467608653180516</v>
      </c>
      <c r="AJ345" s="3" t="n">
        <v>0.006655785809609397</v>
      </c>
      <c r="AK345" s="3" t="n">
        <v>0.004808748194930148</v>
      </c>
      <c r="AL345" s="3" t="n">
        <v>0.005708738607915468</v>
      </c>
      <c r="AM345" s="3" t="n">
        <v>0.006170654230091311</v>
      </c>
      <c r="AN345" s="3" t="n">
        <v>0.007001735889183701</v>
      </c>
      <c r="AO345" s="3" t="n">
        <v>0.007837338597155054</v>
      </c>
      <c r="AP345" s="3" t="n">
        <v>0.008709103728680704</v>
      </c>
      <c r="AQ345" s="3" t="n">
        <v>0.008408059691296569</v>
      </c>
      <c r="AR345" s="3" t="n">
        <v>0.008281834684380589</v>
      </c>
      <c r="AS345" s="3" t="n">
        <v>0.008094033892121022</v>
      </c>
      <c r="AT345" s="3" t="n">
        <v>0.007905819558455703</v>
      </c>
      <c r="AU345" s="3" t="n">
        <v>0.007733294711637893</v>
      </c>
      <c r="AV345" s="3" t="n">
        <v>0.007571813918123129</v>
      </c>
      <c r="AW345" s="3" t="n">
        <v>0.007422187200050424</v>
      </c>
      <c r="AX345" s="3" t="n">
        <v>0.007282714308716584</v>
      </c>
      <c r="AY345" s="3" t="n">
        <v>0.007152545915118889</v>
      </c>
      <c r="AZ345" s="3" t="n">
        <v>0.007030910969381268</v>
      </c>
      <c r="BA345" s="3" t="n">
        <v>0.006664831890592877</v>
      </c>
      <c r="BC345" s="20" t="inlineStr">
        <is>
          <t>egy.mit.pig.res.ecy.4</t>
        </is>
      </c>
      <c r="BD345" s="3" t="n">
        <v>0.007616189709596273</v>
      </c>
      <c r="BE345" s="3" t="n">
        <v>0.007467608653180516</v>
      </c>
      <c r="BF345" s="3" t="n">
        <v>0.006655785809609397</v>
      </c>
      <c r="BG345" s="3" t="n">
        <v>0.004808748194930148</v>
      </c>
      <c r="BH345" s="3" t="n">
        <v>0.005708738607915468</v>
      </c>
      <c r="BI345" s="3" t="n">
        <v>0.006170654230091311</v>
      </c>
      <c r="BJ345" s="3" t="n">
        <v>0.007001735889183701</v>
      </c>
      <c r="BK345" s="3" t="n">
        <v>0.007837338597155054</v>
      </c>
      <c r="BL345" s="3" t="n">
        <v>0.008709103728680704</v>
      </c>
      <c r="BM345" s="3" t="n">
        <v>0.008408059691296569</v>
      </c>
      <c r="BN345" s="3" t="n">
        <v>0.008281834684380589</v>
      </c>
      <c r="BO345" s="3" t="n">
        <v>0.008094033892121022</v>
      </c>
      <c r="BP345" s="3" t="n">
        <v>0.007905819558455703</v>
      </c>
      <c r="BQ345" s="3" t="n">
        <v>0.007733294711637893</v>
      </c>
      <c r="BR345" s="3" t="n">
        <v>0.007571813918123129</v>
      </c>
      <c r="BS345" s="3" t="n">
        <v>0.007422187200050424</v>
      </c>
      <c r="BT345" s="3" t="n">
        <v>0.007282714308716584</v>
      </c>
      <c r="BU345" s="3" t="n">
        <v>0.007152545915118889</v>
      </c>
      <c r="BV345" s="3" t="n">
        <v>0.007030910969381268</v>
      </c>
      <c r="BW345" s="3" t="n">
        <v>0.006664831890592877</v>
      </c>
      <c r="BY345" s="20" t="inlineStr">
        <is>
          <t>egy.mit.pig.res.ecy.5</t>
        </is>
      </c>
      <c r="BZ345" s="3" t="n">
        <v>0.007616189709596273</v>
      </c>
      <c r="CA345" s="3" t="n">
        <v>0.007467608653180516</v>
      </c>
      <c r="CB345" s="3" t="n">
        <v>0.006655785809609397</v>
      </c>
      <c r="CC345" s="3" t="n">
        <v>0.004808748194930148</v>
      </c>
      <c r="CD345" s="3" t="n">
        <v>0.005708738607915468</v>
      </c>
      <c r="CE345" s="3" t="n">
        <v>0.006170654230091311</v>
      </c>
      <c r="CF345" s="3" t="n">
        <v>0.007001735889183701</v>
      </c>
      <c r="CG345" s="3" t="n">
        <v>0.007837338597155054</v>
      </c>
      <c r="CH345" s="3" t="n">
        <v>0.008709103728680704</v>
      </c>
      <c r="CI345" s="3" t="n">
        <v>0.008408059691296569</v>
      </c>
      <c r="CJ345" s="3" t="n">
        <v>0.008281834684380589</v>
      </c>
      <c r="CK345" s="3" t="n">
        <v>0.008094033892121022</v>
      </c>
      <c r="CL345" s="3" t="n">
        <v>0.007905819558455703</v>
      </c>
      <c r="CM345" s="3" t="n">
        <v>0.007733294711637893</v>
      </c>
      <c r="CN345" s="3" t="n">
        <v>0.007571813918123129</v>
      </c>
      <c r="CO345" s="3" t="n">
        <v>0.007422187200050424</v>
      </c>
      <c r="CP345" s="3" t="n">
        <v>0.007282714308716584</v>
      </c>
      <c r="CQ345" s="3" t="n">
        <v>0.007152545915118889</v>
      </c>
      <c r="CR345" s="3" t="n">
        <v>0.007030910969381268</v>
      </c>
      <c r="CS345" s="3" t="n">
        <v>0.006664831890592877</v>
      </c>
      <c r="CU345" s="20" t="inlineStr">
        <is>
          <t>egy.mit.pig.res.ecy.6</t>
        </is>
      </c>
      <c r="CV345" s="3" t="n">
        <v>0.007616189709596273</v>
      </c>
      <c r="CW345" s="3" t="n">
        <v>0.007467608653180516</v>
      </c>
      <c r="CX345" s="3" t="n">
        <v>0.006655785809609397</v>
      </c>
      <c r="CY345" s="3" t="n">
        <v>0.004808748194930148</v>
      </c>
      <c r="CZ345" s="3" t="n">
        <v>0.005708738607915468</v>
      </c>
      <c r="DA345" s="3" t="n">
        <v>0.006170654230091311</v>
      </c>
      <c r="DB345" s="3" t="n">
        <v>0.007001735889183701</v>
      </c>
      <c r="DC345" s="3" t="n">
        <v>0.007837338597155054</v>
      </c>
      <c r="DD345" s="3" t="n">
        <v>0.008709103728680704</v>
      </c>
      <c r="DE345" s="3" t="n">
        <v>0.008408059691296569</v>
      </c>
      <c r="DF345" s="3" t="n">
        <v>0.008281834684380589</v>
      </c>
      <c r="DG345" s="3" t="n">
        <v>0.008094033892121022</v>
      </c>
      <c r="DH345" s="3" t="n">
        <v>0.007905819558455703</v>
      </c>
      <c r="DI345" s="3" t="n">
        <v>0.007733294711637893</v>
      </c>
      <c r="DJ345" s="3" t="n">
        <v>0.007571813918123129</v>
      </c>
      <c r="DK345" s="3" t="n">
        <v>0.007422187200050424</v>
      </c>
      <c r="DL345" s="3" t="n">
        <v>0.007282714308716584</v>
      </c>
      <c r="DM345" s="3" t="n">
        <v>0.007152545915118889</v>
      </c>
      <c r="DN345" s="3" t="n">
        <v>0.007030910969381268</v>
      </c>
      <c r="DO345" s="3" t="n">
        <v>0.006664831890592877</v>
      </c>
    </row>
    <row r="346">
      <c r="A346" s="19" t="inlineStr">
        <is>
          <t>mit.pig.co2e.res.ecy</t>
        </is>
      </c>
      <c r="B346" s="3" t="inlineStr">
        <is>
          <t>mit</t>
        </is>
      </c>
      <c r="C346" s="19" t="inlineStr">
        <is>
          <t>mit.pig.co2e.ecy.res</t>
        </is>
      </c>
      <c r="H346" s="3" t="inlineStr">
        <is>
          <t>Pigouvian tax per tonne of CO2 (fuel lines; avg: weighted by the fuel use of the scenario) | Residential | Electricity</t>
        </is>
      </c>
      <c r="I346" s="3" t="inlineStr">
        <is>
          <t>USD/tCO2</t>
        </is>
      </c>
      <c r="K346" s="20" t="inlineStr">
        <is>
          <t>egy.mit.pig.co2e.res.ecy.1</t>
        </is>
      </c>
      <c r="L346" s="3" t="n">
        <v>0</v>
      </c>
      <c r="M346" s="3" t="n">
        <v>0</v>
      </c>
      <c r="N346" s="3" t="n">
        <v>0</v>
      </c>
      <c r="O346" s="3" t="n">
        <v>0</v>
      </c>
      <c r="P346" s="3" t="n">
        <v>0</v>
      </c>
      <c r="Q346" s="3" t="n">
        <v>0</v>
      </c>
      <c r="R346" s="3" t="n">
        <v>0</v>
      </c>
      <c r="S346" s="3" t="n">
        <v>0</v>
      </c>
      <c r="T346" s="3" t="n">
        <v>0</v>
      </c>
      <c r="U346" s="3" t="n">
        <v>0</v>
      </c>
      <c r="V346" s="3" t="n">
        <v>0</v>
      </c>
      <c r="W346" s="3" t="n">
        <v>0</v>
      </c>
      <c r="X346" s="3" t="n">
        <v>0</v>
      </c>
      <c r="Y346" s="3" t="n">
        <v>0</v>
      </c>
      <c r="Z346" s="3" t="n">
        <v>0</v>
      </c>
      <c r="AA346" s="3" t="n">
        <v>0</v>
      </c>
      <c r="AB346" s="3" t="n">
        <v>0</v>
      </c>
      <c r="AC346" s="3" t="n">
        <v>0</v>
      </c>
      <c r="AD346" s="3" t="n">
        <v>0</v>
      </c>
      <c r="AE346" s="3" t="n">
        <v>0</v>
      </c>
      <c r="AG346" s="20" t="inlineStr">
        <is>
          <t>egy.mit.pig.co2e.res.ecy.3</t>
        </is>
      </c>
      <c r="AH346" s="3" t="n">
        <v>0</v>
      </c>
      <c r="AI346" s="3" t="n">
        <v>0</v>
      </c>
      <c r="AJ346" s="3" t="n">
        <v>0</v>
      </c>
      <c r="AK346" s="3" t="n">
        <v>0</v>
      </c>
      <c r="AL346" s="3" t="n">
        <v>0</v>
      </c>
      <c r="AM346" s="3" t="n">
        <v>0</v>
      </c>
      <c r="AN346" s="3" t="n">
        <v>0</v>
      </c>
      <c r="AO346" s="3" t="n">
        <v>0</v>
      </c>
      <c r="AP346" s="3" t="n">
        <v>0</v>
      </c>
      <c r="AQ346" s="3" t="n">
        <v>0</v>
      </c>
      <c r="AR346" s="3" t="n">
        <v>0</v>
      </c>
      <c r="AS346" s="3" t="n">
        <v>0</v>
      </c>
      <c r="AT346" s="3" t="n">
        <v>0</v>
      </c>
      <c r="AU346" s="3" t="n">
        <v>0</v>
      </c>
      <c r="AV346" s="3" t="n">
        <v>0</v>
      </c>
      <c r="AW346" s="3" t="n">
        <v>0</v>
      </c>
      <c r="AX346" s="3" t="n">
        <v>0</v>
      </c>
      <c r="AY346" s="3" t="n">
        <v>0</v>
      </c>
      <c r="AZ346" s="3" t="n">
        <v>0</v>
      </c>
      <c r="BA346" s="3" t="n">
        <v>0</v>
      </c>
      <c r="BC346" s="20" t="inlineStr">
        <is>
          <t>egy.mit.pig.co2e.res.ecy.4</t>
        </is>
      </c>
      <c r="BD346" s="3" t="n">
        <v>0</v>
      </c>
      <c r="BE346" s="3" t="n">
        <v>0</v>
      </c>
      <c r="BF346" s="3" t="n">
        <v>0</v>
      </c>
      <c r="BG346" s="3" t="n">
        <v>0</v>
      </c>
      <c r="BH346" s="3" t="n">
        <v>0</v>
      </c>
      <c r="BI346" s="3" t="n">
        <v>0</v>
      </c>
      <c r="BJ346" s="3" t="n">
        <v>0</v>
      </c>
      <c r="BK346" s="3" t="n">
        <v>0</v>
      </c>
      <c r="BL346" s="3" t="n">
        <v>0</v>
      </c>
      <c r="BM346" s="3" t="n">
        <v>0</v>
      </c>
      <c r="BN346" s="3" t="n">
        <v>0</v>
      </c>
      <c r="BO346" s="3" t="n">
        <v>0</v>
      </c>
      <c r="BP346" s="3" t="n">
        <v>0</v>
      </c>
      <c r="BQ346" s="3" t="n">
        <v>0</v>
      </c>
      <c r="BR346" s="3" t="n">
        <v>0</v>
      </c>
      <c r="BS346" s="3" t="n">
        <v>0</v>
      </c>
      <c r="BT346" s="3" t="n">
        <v>0</v>
      </c>
      <c r="BU346" s="3" t="n">
        <v>0</v>
      </c>
      <c r="BV346" s="3" t="n">
        <v>0</v>
      </c>
      <c r="BW346" s="3" t="n">
        <v>0</v>
      </c>
      <c r="BY346" s="20" t="inlineStr">
        <is>
          <t>egy.mit.pig.co2e.res.ecy.5</t>
        </is>
      </c>
      <c r="BZ346" s="3" t="n">
        <v>0</v>
      </c>
      <c r="CA346" s="3" t="n">
        <v>0</v>
      </c>
      <c r="CB346" s="3" t="n">
        <v>0</v>
      </c>
      <c r="CC346" s="3" t="n">
        <v>0</v>
      </c>
      <c r="CD346" s="3" t="n">
        <v>0</v>
      </c>
      <c r="CE346" s="3" t="n">
        <v>0</v>
      </c>
      <c r="CF346" s="3" t="n">
        <v>0</v>
      </c>
      <c r="CG346" s="3" t="n">
        <v>0</v>
      </c>
      <c r="CH346" s="3" t="n">
        <v>0</v>
      </c>
      <c r="CI346" s="3" t="n">
        <v>0</v>
      </c>
      <c r="CJ346" s="3" t="n">
        <v>0</v>
      </c>
      <c r="CK346" s="3" t="n">
        <v>0</v>
      </c>
      <c r="CL346" s="3" t="n">
        <v>0</v>
      </c>
      <c r="CM346" s="3" t="n">
        <v>0</v>
      </c>
      <c r="CN346" s="3" t="n">
        <v>0</v>
      </c>
      <c r="CO346" s="3" t="n">
        <v>0</v>
      </c>
      <c r="CP346" s="3" t="n">
        <v>0</v>
      </c>
      <c r="CQ346" s="3" t="n">
        <v>0</v>
      </c>
      <c r="CR346" s="3" t="n">
        <v>0</v>
      </c>
      <c r="CS346" s="3" t="n">
        <v>0</v>
      </c>
      <c r="CU346" s="20" t="inlineStr">
        <is>
          <t>egy.mit.pig.co2e.res.ecy.6</t>
        </is>
      </c>
      <c r="CV346" s="3" t="n">
        <v>0</v>
      </c>
      <c r="CW346" s="3" t="n">
        <v>0</v>
      </c>
      <c r="CX346" s="3" t="n">
        <v>0</v>
      </c>
      <c r="CY346" s="3" t="n">
        <v>0</v>
      </c>
      <c r="CZ346" s="3" t="n">
        <v>0</v>
      </c>
      <c r="DA346" s="3" t="n">
        <v>0</v>
      </c>
      <c r="DB346" s="3" t="n">
        <v>0</v>
      </c>
      <c r="DC346" s="3" t="n">
        <v>0</v>
      </c>
      <c r="DD346" s="3" t="n">
        <v>0</v>
      </c>
      <c r="DE346" s="3" t="n">
        <v>0</v>
      </c>
      <c r="DF346" s="3" t="n">
        <v>0</v>
      </c>
      <c r="DG346" s="3" t="n">
        <v>0</v>
      </c>
      <c r="DH346" s="3" t="n">
        <v>0</v>
      </c>
      <c r="DI346" s="3" t="n">
        <v>0</v>
      </c>
      <c r="DJ346" s="3" t="n">
        <v>0</v>
      </c>
      <c r="DK346" s="3" t="n">
        <v>0</v>
      </c>
      <c r="DL346" s="3" t="n">
        <v>0</v>
      </c>
      <c r="DM346" s="3" t="n">
        <v>0</v>
      </c>
      <c r="DN346" s="3" t="n">
        <v>0</v>
      </c>
      <c r="DO346" s="3" t="n">
        <v>0</v>
      </c>
    </row>
    <row r="347">
      <c r="A347" s="19" t="inlineStr">
        <is>
          <t>mit.pig.co2e.avg</t>
        </is>
      </c>
      <c r="B347" s="3" t="inlineStr">
        <is>
          <t>mit</t>
        </is>
      </c>
      <c r="C347" s="19" t="inlineStr">
        <is>
          <t>mit.pig.co2e.all.all</t>
        </is>
      </c>
      <c r="H347" s="3" t="inlineStr">
        <is>
          <t xml:space="preserve">Pigouvian tax per tonne of CO2 (fuel lines; avg: weighted by the fuel use of the scenario) |  | </t>
        </is>
      </c>
      <c r="I347" s="3" t="inlineStr">
        <is>
          <t>USD/tCO2</t>
        </is>
      </c>
      <c r="K347" s="20" t="inlineStr">
        <is>
          <t>egy.mit.pig.co2e.avg.1</t>
        </is>
      </c>
      <c r="L347" s="3" t="n">
        <v>90.9295328815185</v>
      </c>
      <c r="M347" s="3" t="n">
        <v>94.29036184596542</v>
      </c>
      <c r="N347" s="3" t="n">
        <v>95.66891743546859</v>
      </c>
      <c r="O347" s="3" t="n">
        <v>91.4086120644352</v>
      </c>
      <c r="P347" s="3" t="n">
        <v>96.30875983516893</v>
      </c>
      <c r="Q347" s="3" t="n">
        <v>100.0678004335334</v>
      </c>
      <c r="R347" s="3" t="n">
        <v>105.0520181393366</v>
      </c>
      <c r="S347" s="3" t="n">
        <v>110.07226481837</v>
      </c>
      <c r="T347" s="3" t="n">
        <v>115.3036219672891</v>
      </c>
      <c r="U347" s="3" t="n">
        <v>119.394014512752</v>
      </c>
      <c r="V347" s="3" t="n">
        <v>124.2215862690104</v>
      </c>
      <c r="W347" s="3" t="n">
        <v>128.7733754420474</v>
      </c>
      <c r="X347" s="3" t="n">
        <v>133.6197372593842</v>
      </c>
      <c r="Y347" s="3" t="n">
        <v>138.586142979739</v>
      </c>
      <c r="Z347" s="3" t="n">
        <v>143.7536307780308</v>
      </c>
      <c r="AA347" s="3" t="n">
        <v>149.1212754510697</v>
      </c>
      <c r="AB347" s="3" t="n">
        <v>154.7004367204342</v>
      </c>
      <c r="AC347" s="3" t="n">
        <v>160.49789681209</v>
      </c>
      <c r="AD347" s="3" t="n">
        <v>166.518650871593</v>
      </c>
      <c r="AE347" s="3" t="n">
        <v>171.6805883588301</v>
      </c>
      <c r="AG347" s="20" t="inlineStr">
        <is>
          <t>egy.mit.pig.co2e.avg.3</t>
        </is>
      </c>
      <c r="AH347" s="3" t="n">
        <v>90.9295328815185</v>
      </c>
      <c r="AI347" s="3" t="n">
        <v>94.29954326269767</v>
      </c>
      <c r="AJ347" s="3" t="n">
        <v>95.67623062183945</v>
      </c>
      <c r="AK347" s="3" t="n">
        <v>91.41422018560013</v>
      </c>
      <c r="AL347" s="3" t="n">
        <v>96.31469598971707</v>
      </c>
      <c r="AM347" s="3" t="n">
        <v>99.44031606770473</v>
      </c>
      <c r="AN347" s="3" t="n">
        <v>106.0910455928592</v>
      </c>
      <c r="AO347" s="3" t="n">
        <v>110.1926046684392</v>
      </c>
      <c r="AP347" s="3" t="n">
        <v>115.6797702700059</v>
      </c>
      <c r="AQ347" s="3" t="n">
        <v>119.6705314071487</v>
      </c>
      <c r="AR347" s="3" t="n">
        <v>124.6228157284343</v>
      </c>
      <c r="AS347" s="3" t="n">
        <v>129.1527002011687</v>
      </c>
      <c r="AT347" s="3" t="n">
        <v>134.1363971764314</v>
      </c>
      <c r="AU347" s="3" t="n">
        <v>139.1627449095478</v>
      </c>
      <c r="AV347" s="3" t="n">
        <v>144.3895960879027</v>
      </c>
      <c r="AW347" s="3" t="n">
        <v>149.8099884359617</v>
      </c>
      <c r="AX347" s="3" t="n">
        <v>155.453953773258</v>
      </c>
      <c r="AY347" s="3" t="n">
        <v>161.3182282562759</v>
      </c>
      <c r="AZ347" s="3" t="n">
        <v>167.4215112780466</v>
      </c>
      <c r="BA347" s="3" t="n">
        <v>172.6918131503683</v>
      </c>
      <c r="BC347" s="20" t="inlineStr">
        <is>
          <t>egy.mit.pig.co2e.avg.4</t>
        </is>
      </c>
      <c r="BD347" s="3" t="n">
        <v>90.9295328815185</v>
      </c>
      <c r="BE347" s="3" t="n">
        <v>94.32254645557951</v>
      </c>
      <c r="BF347" s="3" t="n">
        <v>95.69455077932885</v>
      </c>
      <c r="BG347" s="3" t="n">
        <v>91.42826900888186</v>
      </c>
      <c r="BH347" s="3" t="n">
        <v>96.32952727604614</v>
      </c>
      <c r="BI347" s="3" t="n">
        <v>99.57691615390686</v>
      </c>
      <c r="BJ347" s="3" t="n">
        <v>104.713135956221</v>
      </c>
      <c r="BK347" s="3" t="n">
        <v>109.9097274415611</v>
      </c>
      <c r="BL347" s="3" t="n">
        <v>114.6648920666041</v>
      </c>
      <c r="BM347" s="3" t="n">
        <v>118.5566514302665</v>
      </c>
      <c r="BN347" s="3" t="n">
        <v>123.9252511394179</v>
      </c>
      <c r="BO347" s="3" t="n">
        <v>128.8888405325511</v>
      </c>
      <c r="BP347" s="3" t="n">
        <v>134.6961387338514</v>
      </c>
      <c r="BQ347" s="3" t="n">
        <v>140.3755927876281</v>
      </c>
      <c r="BR347" s="3" t="n">
        <v>146.7401802403814</v>
      </c>
      <c r="BS347" s="3" t="n">
        <v>153.0405631137952</v>
      </c>
      <c r="BT347" s="3" t="n">
        <v>160.1241712620435</v>
      </c>
      <c r="BU347" s="3" t="n">
        <v>167.0256788594063</v>
      </c>
      <c r="BV347" s="3" t="n">
        <v>174.9863623653221</v>
      </c>
      <c r="BW347" s="3" t="n">
        <v>181.340100482028</v>
      </c>
      <c r="BY347" s="20" t="inlineStr">
        <is>
          <t>egy.mit.pig.co2e.avg.5</t>
        </is>
      </c>
      <c r="BZ347" s="3" t="n">
        <v>90.9295328815185</v>
      </c>
      <c r="CA347" s="3" t="n">
        <v>94.34483491228563</v>
      </c>
      <c r="CB347" s="3" t="n">
        <v>95.71231930739863</v>
      </c>
      <c r="CC347" s="3" t="n">
        <v>91.4419117559943</v>
      </c>
      <c r="CD347" s="3" t="n">
        <v>96.34397988454538</v>
      </c>
      <c r="CE347" s="3" t="n">
        <v>99.15432900931191</v>
      </c>
      <c r="CF347" s="3" t="n">
        <v>104.274346025155</v>
      </c>
      <c r="CG347" s="3" t="n">
        <v>109.4332925946857</v>
      </c>
      <c r="CH347" s="3" t="n">
        <v>114.852256394648</v>
      </c>
      <c r="CI347" s="3" t="n">
        <v>119.3057447677469</v>
      </c>
      <c r="CJ347" s="3" t="n">
        <v>124.7202076539553</v>
      </c>
      <c r="CK347" s="3" t="n">
        <v>129.5998160217323</v>
      </c>
      <c r="CL347" s="3" t="n">
        <v>135.536265576225</v>
      </c>
      <c r="CM347" s="3" t="n">
        <v>141.4760680505902</v>
      </c>
      <c r="CN347" s="3" t="n">
        <v>147.5809957720678</v>
      </c>
      <c r="CO347" s="3" t="n">
        <v>154.0902635024151</v>
      </c>
      <c r="CP347" s="3" t="n">
        <v>160.7526552871326</v>
      </c>
      <c r="CQ347" s="3" t="n">
        <v>167.6445069219205</v>
      </c>
      <c r="CR347" s="3" t="n">
        <v>174.8679270643339</v>
      </c>
      <c r="CS347" s="3" t="n">
        <v>181.1068074695773</v>
      </c>
      <c r="CU347" s="20" t="inlineStr">
        <is>
          <t>egy.mit.pig.co2e.avg.6</t>
        </is>
      </c>
      <c r="CV347" s="3" t="n">
        <v>90.9295328815185</v>
      </c>
      <c r="CW347" s="3" t="n">
        <v>94.31242147516168</v>
      </c>
      <c r="CX347" s="3" t="n">
        <v>95.68648749279465</v>
      </c>
      <c r="CY347" s="3" t="n">
        <v>91.42208568562845</v>
      </c>
      <c r="CZ347" s="3" t="n">
        <v>96.32300609267506</v>
      </c>
      <c r="DA347" s="3" t="n">
        <v>98.36466084405396</v>
      </c>
      <c r="DB347" s="3" t="n">
        <v>107.3497851634121</v>
      </c>
      <c r="DC347" s="3" t="n">
        <v>111.4369849125423</v>
      </c>
      <c r="DD347" s="3" t="n">
        <v>116.7584114058493</v>
      </c>
      <c r="DE347" s="3" t="n">
        <v>120.0991017208985</v>
      </c>
      <c r="DF347" s="3" t="n">
        <v>125.8049660397585</v>
      </c>
      <c r="DG347" s="3" t="n">
        <v>130.7688130341245</v>
      </c>
      <c r="DH347" s="3" t="n">
        <v>136.6475255372762</v>
      </c>
      <c r="DI347" s="3" t="n">
        <v>142.3335216512211</v>
      </c>
      <c r="DJ347" s="3" t="n">
        <v>148.4428061370901</v>
      </c>
      <c r="DK347" s="3" t="n">
        <v>154.567042359409</v>
      </c>
      <c r="DL347" s="3" t="n">
        <v>161.123691872066</v>
      </c>
      <c r="DM347" s="3" t="n">
        <v>167.7091290519126</v>
      </c>
      <c r="DN347" s="3" t="n">
        <v>174.7277205255272</v>
      </c>
      <c r="DO347" s="3" t="n">
        <v>180.6706853701289</v>
      </c>
    </row>
    <row r="348">
      <c r="A348" s="19" t="inlineStr">
        <is>
          <t>mit.app.all.gso</t>
        </is>
      </c>
      <c r="B348" s="3" t="inlineStr">
        <is>
          <t>mit</t>
        </is>
      </c>
      <c r="C348" s="19" t="inlineStr">
        <is>
          <t>mit.app.gso.all</t>
        </is>
      </c>
      <c r="H348" s="3" t="inlineStr">
        <is>
          <t>Air-pollution part of the Pigouvian tax per tonne of CO2 | All sectors | Gasoline</t>
        </is>
      </c>
      <c r="I348" s="3" t="inlineStr">
        <is>
          <t>USD/tCO2</t>
        </is>
      </c>
      <c r="K348" s="20" t="inlineStr">
        <is>
          <t>egy.mit.app.all.gso.1</t>
        </is>
      </c>
      <c r="L348" s="3" t="n">
        <v>17.897345219079</v>
      </c>
      <c r="M348" s="3" t="n">
        <v>17.71363913862663</v>
      </c>
      <c r="N348" s="3" t="n">
        <v>16.66250627375669</v>
      </c>
      <c r="O348" s="3" t="n">
        <v>11.71667552366023</v>
      </c>
      <c r="P348" s="3" t="n">
        <v>13.21993758472495</v>
      </c>
      <c r="Q348" s="3" t="n">
        <v>13.57251485779879</v>
      </c>
      <c r="R348" s="3" t="n">
        <v>14.66411607232869</v>
      </c>
      <c r="S348" s="3" t="n">
        <v>15.66467933812675</v>
      </c>
      <c r="T348" s="3" t="n">
        <v>16.56236742853739</v>
      </c>
      <c r="U348" s="3" t="n">
        <v>16.72456870345486</v>
      </c>
      <c r="V348" s="3" t="n">
        <v>17.23245180412502</v>
      </c>
      <c r="W348" s="3" t="n">
        <v>17.74656364138448</v>
      </c>
      <c r="X348" s="3" t="n">
        <v>18.26597252000417</v>
      </c>
      <c r="Y348" s="3" t="n">
        <v>18.79039456808118</v>
      </c>
      <c r="Z348" s="3" t="n">
        <v>19.31857417872334</v>
      </c>
      <c r="AA348" s="3" t="n">
        <v>19.85078908760938</v>
      </c>
      <c r="AB348" s="3" t="n">
        <v>20.38469360295274</v>
      </c>
      <c r="AC348" s="3" t="n">
        <v>20.9191360287644</v>
      </c>
      <c r="AD348" s="3" t="n">
        <v>21.45288450517866</v>
      </c>
      <c r="AE348" s="3" t="n">
        <v>21.18277802121764</v>
      </c>
      <c r="AG348" s="20" t="inlineStr">
        <is>
          <t>egy.mit.app.all.gso.3</t>
        </is>
      </c>
      <c r="AH348" s="3" t="n">
        <v>17.897345219079</v>
      </c>
      <c r="AI348" s="3" t="n">
        <v>17.71363913862663</v>
      </c>
      <c r="AJ348" s="3" t="n">
        <v>16.66250627375669</v>
      </c>
      <c r="AK348" s="3" t="n">
        <v>11.71667552366023</v>
      </c>
      <c r="AL348" s="3" t="n">
        <v>13.21993758472495</v>
      </c>
      <c r="AM348" s="3" t="n">
        <v>13.57251485779879</v>
      </c>
      <c r="AN348" s="3" t="n">
        <v>14.66411607232868</v>
      </c>
      <c r="AO348" s="3" t="n">
        <v>15.66467933812675</v>
      </c>
      <c r="AP348" s="3" t="n">
        <v>16.56236742853739</v>
      </c>
      <c r="AQ348" s="3" t="n">
        <v>16.72456870345486</v>
      </c>
      <c r="AR348" s="3" t="n">
        <v>17.23245180412502</v>
      </c>
      <c r="AS348" s="3" t="n">
        <v>17.74656364138448</v>
      </c>
      <c r="AT348" s="3" t="n">
        <v>18.26597252000417</v>
      </c>
      <c r="AU348" s="3" t="n">
        <v>18.79039456808118</v>
      </c>
      <c r="AV348" s="3" t="n">
        <v>19.31857417872333</v>
      </c>
      <c r="AW348" s="3" t="n">
        <v>19.85078908760938</v>
      </c>
      <c r="AX348" s="3" t="n">
        <v>20.38469360295274</v>
      </c>
      <c r="AY348" s="3" t="n">
        <v>20.9191360287644</v>
      </c>
      <c r="AZ348" s="3" t="n">
        <v>21.45288450517866</v>
      </c>
      <c r="BA348" s="3" t="n">
        <v>21.18277802121764</v>
      </c>
      <c r="BC348" s="20" t="inlineStr">
        <is>
          <t>egy.mit.app.all.gso.4</t>
        </is>
      </c>
      <c r="BD348" s="3" t="n">
        <v>17.897345219079</v>
      </c>
      <c r="BE348" s="3" t="n">
        <v>17.71363913862663</v>
      </c>
      <c r="BF348" s="3" t="n">
        <v>16.66250627375669</v>
      </c>
      <c r="BG348" s="3" t="n">
        <v>11.71667552366023</v>
      </c>
      <c r="BH348" s="3" t="n">
        <v>13.21993758472495</v>
      </c>
      <c r="BI348" s="3" t="n">
        <v>13.57251485779879</v>
      </c>
      <c r="BJ348" s="3" t="n">
        <v>14.66411607232868</v>
      </c>
      <c r="BK348" s="3" t="n">
        <v>15.66467933812675</v>
      </c>
      <c r="BL348" s="3" t="n">
        <v>16.56236742853739</v>
      </c>
      <c r="BM348" s="3" t="n">
        <v>16.72456870345486</v>
      </c>
      <c r="BN348" s="3" t="n">
        <v>17.23245180412502</v>
      </c>
      <c r="BO348" s="3" t="n">
        <v>17.74656364138448</v>
      </c>
      <c r="BP348" s="3" t="n">
        <v>18.26597252000417</v>
      </c>
      <c r="BQ348" s="3" t="n">
        <v>18.79039456808118</v>
      </c>
      <c r="BR348" s="3" t="n">
        <v>19.31857417872333</v>
      </c>
      <c r="BS348" s="3" t="n">
        <v>19.85078908760938</v>
      </c>
      <c r="BT348" s="3" t="n">
        <v>20.38469360295274</v>
      </c>
      <c r="BU348" s="3" t="n">
        <v>20.9191360287644</v>
      </c>
      <c r="BV348" s="3" t="n">
        <v>21.45288450517866</v>
      </c>
      <c r="BW348" s="3" t="n">
        <v>21.18277802121764</v>
      </c>
      <c r="BY348" s="20" t="inlineStr">
        <is>
          <t>egy.mit.app.all.gso.5</t>
        </is>
      </c>
      <c r="BZ348" s="3" t="n">
        <v>17.897345219079</v>
      </c>
      <c r="CA348" s="3" t="n">
        <v>17.71363913862663</v>
      </c>
      <c r="CB348" s="3" t="n">
        <v>16.66250627375669</v>
      </c>
      <c r="CC348" s="3" t="n">
        <v>11.71667552366023</v>
      </c>
      <c r="CD348" s="3" t="n">
        <v>13.21993758472495</v>
      </c>
      <c r="CE348" s="3" t="n">
        <v>13.57251485779879</v>
      </c>
      <c r="CF348" s="3" t="n">
        <v>14.66411607232869</v>
      </c>
      <c r="CG348" s="3" t="n">
        <v>15.66467933812676</v>
      </c>
      <c r="CH348" s="3" t="n">
        <v>16.56236742853739</v>
      </c>
      <c r="CI348" s="3" t="n">
        <v>16.72456870345487</v>
      </c>
      <c r="CJ348" s="3" t="n">
        <v>17.23245180412502</v>
      </c>
      <c r="CK348" s="3" t="n">
        <v>17.74656364138448</v>
      </c>
      <c r="CL348" s="3" t="n">
        <v>18.26597252000417</v>
      </c>
      <c r="CM348" s="3" t="n">
        <v>18.79039456808118</v>
      </c>
      <c r="CN348" s="3" t="n">
        <v>19.31857417872334</v>
      </c>
      <c r="CO348" s="3" t="n">
        <v>19.85078908760938</v>
      </c>
      <c r="CP348" s="3" t="n">
        <v>20.38469360295274</v>
      </c>
      <c r="CQ348" s="3" t="n">
        <v>20.9191360287644</v>
      </c>
      <c r="CR348" s="3" t="n">
        <v>21.45288450517866</v>
      </c>
      <c r="CS348" s="3" t="n">
        <v>21.18277802121764</v>
      </c>
      <c r="CU348" s="20" t="inlineStr">
        <is>
          <t>egy.mit.app.all.gso.6</t>
        </is>
      </c>
      <c r="CV348" s="3" t="n">
        <v>17.897345219079</v>
      </c>
      <c r="CW348" s="3" t="n">
        <v>17.71363913862663</v>
      </c>
      <c r="CX348" s="3" t="n">
        <v>16.66250627375669</v>
      </c>
      <c r="CY348" s="3" t="n">
        <v>11.71667552366023</v>
      </c>
      <c r="CZ348" s="3" t="n">
        <v>13.21993758472495</v>
      </c>
      <c r="DA348" s="3" t="n">
        <v>13.57251485779879</v>
      </c>
      <c r="DB348" s="3" t="n">
        <v>14.66411607232868</v>
      </c>
      <c r="DC348" s="3" t="n">
        <v>15.66467933812676</v>
      </c>
      <c r="DD348" s="3" t="n">
        <v>16.56236742853739</v>
      </c>
      <c r="DE348" s="3" t="n">
        <v>16.72456870345486</v>
      </c>
      <c r="DF348" s="3" t="n">
        <v>17.23245180412502</v>
      </c>
      <c r="DG348" s="3" t="n">
        <v>17.74656364138448</v>
      </c>
      <c r="DH348" s="3" t="n">
        <v>18.26597252000417</v>
      </c>
      <c r="DI348" s="3" t="n">
        <v>18.79039456808117</v>
      </c>
      <c r="DJ348" s="3" t="n">
        <v>19.31857417872333</v>
      </c>
      <c r="DK348" s="3" t="n">
        <v>19.85078908760938</v>
      </c>
      <c r="DL348" s="3" t="n">
        <v>20.38469360295275</v>
      </c>
      <c r="DM348" s="3" t="n">
        <v>20.9191360287644</v>
      </c>
      <c r="DN348" s="3" t="n">
        <v>21.45288450517866</v>
      </c>
      <c r="DO348" s="3" t="n">
        <v>21.18277802121764</v>
      </c>
    </row>
    <row r="349">
      <c r="A349" s="19" t="inlineStr">
        <is>
          <t>mit.app.all.die</t>
        </is>
      </c>
      <c r="B349" s="3" t="inlineStr">
        <is>
          <t>mit</t>
        </is>
      </c>
      <c r="C349" s="19" t="inlineStr">
        <is>
          <t>mit.app.die.all</t>
        </is>
      </c>
      <c r="H349" s="3" t="inlineStr">
        <is>
          <t>Air-pollution part of the Pigouvian tax per tonne of CO2 | All sectors | Diesel</t>
        </is>
      </c>
      <c r="I349" s="3" t="inlineStr">
        <is>
          <t>USD/tCO2</t>
        </is>
      </c>
      <c r="K349" s="20" t="inlineStr">
        <is>
          <t>egy.mit.app.all.die.1</t>
        </is>
      </c>
      <c r="L349" s="3" t="n">
        <v>60.73510992432909</v>
      </c>
      <c r="M349" s="3" t="n">
        <v>61.36181202841068</v>
      </c>
      <c r="N349" s="3" t="n">
        <v>58.53846282974247</v>
      </c>
      <c r="O349" s="3" t="n">
        <v>41.59536317130578</v>
      </c>
      <c r="P349" s="3" t="n">
        <v>47.43102729420093</v>
      </c>
      <c r="Q349" s="3" t="n">
        <v>49.21796609084572</v>
      </c>
      <c r="R349" s="3" t="n">
        <v>53.75093844065483</v>
      </c>
      <c r="S349" s="3" t="n">
        <v>58.04681776905949</v>
      </c>
      <c r="T349" s="3" t="n">
        <v>62.05382663063679</v>
      </c>
      <c r="U349" s="3" t="n">
        <v>63.36456490171479</v>
      </c>
      <c r="V349" s="3" t="n">
        <v>66.02995096648344</v>
      </c>
      <c r="W349" s="3" t="n">
        <v>68.78104992492341</v>
      </c>
      <c r="X349" s="3" t="n">
        <v>71.61723001384198</v>
      </c>
      <c r="Y349" s="3" t="n">
        <v>74.54040074882865</v>
      </c>
      <c r="Z349" s="3" t="n">
        <v>77.54866294167763</v>
      </c>
      <c r="AA349" s="3" t="n">
        <v>80.64625617908307</v>
      </c>
      <c r="AB349" s="3" t="n">
        <v>83.82683988850692</v>
      </c>
      <c r="AC349" s="3" t="n">
        <v>87.0887314257443</v>
      </c>
      <c r="AD349" s="3" t="n">
        <v>90.42982656662569</v>
      </c>
      <c r="AE349" s="3" t="n">
        <v>90.42465434067286</v>
      </c>
      <c r="AG349" s="20" t="inlineStr">
        <is>
          <t>egy.mit.app.all.die.3</t>
        </is>
      </c>
      <c r="AH349" s="3" t="n">
        <v>60.73510992432909</v>
      </c>
      <c r="AI349" s="3" t="n">
        <v>61.36181202841068</v>
      </c>
      <c r="AJ349" s="3" t="n">
        <v>58.53846282974247</v>
      </c>
      <c r="AK349" s="3" t="n">
        <v>41.59536317130578</v>
      </c>
      <c r="AL349" s="3" t="n">
        <v>47.43102729420093</v>
      </c>
      <c r="AM349" s="3" t="n">
        <v>48.89838720999773</v>
      </c>
      <c r="AN349" s="3" t="n">
        <v>53.40154460072495</v>
      </c>
      <c r="AO349" s="3" t="n">
        <v>57.66888740312573</v>
      </c>
      <c r="AP349" s="3" t="n">
        <v>61.64971412238238</v>
      </c>
      <c r="AQ349" s="3" t="n">
        <v>62.95132041117064</v>
      </c>
      <c r="AR349" s="3" t="n">
        <v>65.59894731000587</v>
      </c>
      <c r="AS349" s="3" t="n">
        <v>68.33127014196535</v>
      </c>
      <c r="AT349" s="3" t="n">
        <v>71.14784662609227</v>
      </c>
      <c r="AU349" s="3" t="n">
        <v>74.05086303377229</v>
      </c>
      <c r="AV349" s="3" t="n">
        <v>77.03824236294032</v>
      </c>
      <c r="AW349" s="3" t="n">
        <v>80.11405847986963</v>
      </c>
      <c r="AX349" s="3" t="n">
        <v>83.27243068455687</v>
      </c>
      <c r="AY349" s="3" t="n">
        <v>86.51160044298392</v>
      </c>
      <c r="AZ349" s="3" t="n">
        <v>89.82964362470943</v>
      </c>
      <c r="BA349" s="3" t="n">
        <v>89.82366937625982</v>
      </c>
      <c r="BC349" s="20" t="inlineStr">
        <is>
          <t>egy.mit.app.all.die.4</t>
        </is>
      </c>
      <c r="BD349" s="3" t="n">
        <v>60.73510992432909</v>
      </c>
      <c r="BE349" s="3" t="n">
        <v>61.36181202841068</v>
      </c>
      <c r="BF349" s="3" t="n">
        <v>58.53846282974247</v>
      </c>
      <c r="BG349" s="3" t="n">
        <v>41.59536317130578</v>
      </c>
      <c r="BH349" s="3" t="n">
        <v>47.43102729420093</v>
      </c>
      <c r="BI349" s="3" t="n">
        <v>49.26469729679569</v>
      </c>
      <c r="BJ349" s="3" t="n">
        <v>53.8130240193075</v>
      </c>
      <c r="BK349" s="3" t="n">
        <v>58.0849609477458</v>
      </c>
      <c r="BL349" s="3" t="n">
        <v>62.03960694818657</v>
      </c>
      <c r="BM349" s="3" t="n">
        <v>63.08958772254428</v>
      </c>
      <c r="BN349" s="3" t="n">
        <v>65.50658224567006</v>
      </c>
      <c r="BO349" s="3" t="n">
        <v>68.0177566309786</v>
      </c>
      <c r="BP349" s="3" t="n">
        <v>70.6194277637681</v>
      </c>
      <c r="BQ349" s="3" t="n">
        <v>73.31133898917105</v>
      </c>
      <c r="BR349" s="3" t="n">
        <v>76.0898822393772</v>
      </c>
      <c r="BS349" s="3" t="n">
        <v>78.95774372392309</v>
      </c>
      <c r="BT349" s="3" t="n">
        <v>81.90770733459151</v>
      </c>
      <c r="BU349" s="3" t="n">
        <v>84.93731025269577</v>
      </c>
      <c r="BV349" s="3" t="n">
        <v>88.0439490240412</v>
      </c>
      <c r="BW349" s="3" t="n">
        <v>87.89733036662535</v>
      </c>
      <c r="BY349" s="20" t="inlineStr">
        <is>
          <t>egy.mit.app.all.die.5</t>
        </is>
      </c>
      <c r="BZ349" s="3" t="n">
        <v>60.73510992432909</v>
      </c>
      <c r="CA349" s="3" t="n">
        <v>61.36181202841068</v>
      </c>
      <c r="CB349" s="3" t="n">
        <v>58.53846282974247</v>
      </c>
      <c r="CC349" s="3" t="n">
        <v>41.59536317130578</v>
      </c>
      <c r="CD349" s="3" t="n">
        <v>47.43102729420093</v>
      </c>
      <c r="CE349" s="3" t="n">
        <v>48.83015562507658</v>
      </c>
      <c r="CF349" s="3" t="n">
        <v>53.32694553657414</v>
      </c>
      <c r="CG349" s="3" t="n">
        <v>57.58825594792071</v>
      </c>
      <c r="CH349" s="3" t="n">
        <v>61.56337623314803</v>
      </c>
      <c r="CI349" s="3" t="n">
        <v>62.86296137023797</v>
      </c>
      <c r="CJ349" s="3" t="n">
        <v>65.50676947838427</v>
      </c>
      <c r="CK349" s="3" t="n">
        <v>68.23509569440911</v>
      </c>
      <c r="CL349" s="3" t="n">
        <v>71.04772449853732</v>
      </c>
      <c r="CM349" s="3" t="n">
        <v>73.94663393811246</v>
      </c>
      <c r="CN349" s="3" t="n">
        <v>76.92978571174025</v>
      </c>
      <c r="CO349" s="3" t="n">
        <v>80.00130002334367</v>
      </c>
      <c r="CP349" s="3" t="n">
        <v>83.15523278904799</v>
      </c>
      <c r="CQ349" s="3" t="n">
        <v>86.38977024725406</v>
      </c>
      <c r="CR349" s="3" t="n">
        <v>89.70300035728435</v>
      </c>
      <c r="CS349" s="3" t="n">
        <v>89.69678692852683</v>
      </c>
      <c r="CU349" s="20" t="inlineStr">
        <is>
          <t>egy.mit.app.all.die.6</t>
        </is>
      </c>
      <c r="CV349" s="3" t="n">
        <v>60.73510992432909</v>
      </c>
      <c r="CW349" s="3" t="n">
        <v>61.36181202841068</v>
      </c>
      <c r="CX349" s="3" t="n">
        <v>58.53846282974247</v>
      </c>
      <c r="CY349" s="3" t="n">
        <v>41.59536317130578</v>
      </c>
      <c r="CZ349" s="3" t="n">
        <v>47.43102729420093</v>
      </c>
      <c r="DA349" s="3" t="n">
        <v>48.53877382897461</v>
      </c>
      <c r="DB349" s="3" t="n">
        <v>53.00836251622015</v>
      </c>
      <c r="DC349" s="3" t="n">
        <v>57.24357979754642</v>
      </c>
      <c r="DD349" s="3" t="n">
        <v>61.1948875924096</v>
      </c>
      <c r="DE349" s="3" t="n">
        <v>62.48614398255194</v>
      </c>
      <c r="DF349" s="3" t="n">
        <v>65.11375571340822</v>
      </c>
      <c r="DG349" s="3" t="n">
        <v>67.82488744257977</v>
      </c>
      <c r="DH349" s="3" t="n">
        <v>70.61941938584263</v>
      </c>
      <c r="DI349" s="3" t="n">
        <v>73.49973761152265</v>
      </c>
      <c r="DJ349" s="3" t="n">
        <v>76.46361205838781</v>
      </c>
      <c r="DK349" s="3" t="n">
        <v>79.51493343719679</v>
      </c>
      <c r="DL349" s="3" t="n">
        <v>82.64831450211378</v>
      </c>
      <c r="DM349" s="3" t="n">
        <v>85.86187736557956</v>
      </c>
      <c r="DN349" s="3" t="n">
        <v>89.15390723428365</v>
      </c>
      <c r="DO349" s="3" t="n">
        <v>89.14693870338499</v>
      </c>
    </row>
    <row r="350">
      <c r="A350" s="19" t="inlineStr">
        <is>
          <t>mit.app.all.lpg</t>
        </is>
      </c>
      <c r="B350" s="3" t="inlineStr">
        <is>
          <t>mit</t>
        </is>
      </c>
      <c r="C350" s="19" t="inlineStr">
        <is>
          <t>mit.app.lpg.all</t>
        </is>
      </c>
      <c r="H350" s="3" t="inlineStr">
        <is>
          <t>Air-pollution part of the Pigouvian tax per tonne of CO2 | All sectors | LPG</t>
        </is>
      </c>
      <c r="I350" s="3" t="inlineStr">
        <is>
          <t>USD/tCO2</t>
        </is>
      </c>
      <c r="K350" s="20" t="inlineStr">
        <is>
          <t>egy.mit.app.all.lpg.1</t>
        </is>
      </c>
      <c r="L350" s="3" t="n">
        <v>1.467214335680863</v>
      </c>
      <c r="M350" s="3" t="n">
        <v>1.490481151347291</v>
      </c>
      <c r="N350" s="3" t="n">
        <v>1.415855038838908</v>
      </c>
      <c r="O350" s="3" t="n">
        <v>1.011028705521518</v>
      </c>
      <c r="P350" s="3" t="n">
        <v>1.158307808262319</v>
      </c>
      <c r="Q350" s="3" t="n">
        <v>1.208315866594373</v>
      </c>
      <c r="R350" s="3" t="n">
        <v>1.327487883420817</v>
      </c>
      <c r="S350" s="3" t="n">
        <v>1.441562966609929</v>
      </c>
      <c r="T350" s="3" t="n">
        <v>1.54892368310154</v>
      </c>
      <c r="U350" s="3" t="n">
        <v>1.589532092001396</v>
      </c>
      <c r="V350" s="3" t="n">
        <v>1.664517676882341</v>
      </c>
      <c r="W350" s="3" t="n">
        <v>1.742226723518524</v>
      </c>
      <c r="X350" s="3" t="n">
        <v>1.82266264938081</v>
      </c>
      <c r="Y350" s="3" t="n">
        <v>1.905892924188151</v>
      </c>
      <c r="Z350" s="3" t="n">
        <v>1.991887473087022</v>
      </c>
      <c r="AA350" s="3" t="n">
        <v>2.080773114041295</v>
      </c>
      <c r="AB350" s="3" t="n">
        <v>2.172403820391671</v>
      </c>
      <c r="AC350" s="3" t="n">
        <v>2.266751324328219</v>
      </c>
      <c r="AD350" s="3" t="n">
        <v>2.363775032096108</v>
      </c>
      <c r="AE350" s="3" t="n">
        <v>2.373572345124709</v>
      </c>
      <c r="AG350" s="20" t="inlineStr">
        <is>
          <t>egy.mit.app.all.lpg.3</t>
        </is>
      </c>
      <c r="AH350" s="3" t="n">
        <v>1.467214335680863</v>
      </c>
      <c r="AI350" s="3" t="n">
        <v>1.490481151347291</v>
      </c>
      <c r="AJ350" s="3" t="n">
        <v>1.415855038838908</v>
      </c>
      <c r="AK350" s="3" t="n">
        <v>1.011028705521518</v>
      </c>
      <c r="AL350" s="3" t="n">
        <v>1.158307808262319</v>
      </c>
      <c r="AM350" s="3" t="n">
        <v>1.200912189677442</v>
      </c>
      <c r="AN350" s="3" t="n">
        <v>1.319386163065807</v>
      </c>
      <c r="AO350" s="3" t="n">
        <v>1.432886367058086</v>
      </c>
      <c r="AP350" s="3" t="n">
        <v>1.539423159173329</v>
      </c>
      <c r="AQ350" s="3" t="n">
        <v>1.579854845313896</v>
      </c>
      <c r="AR350" s="3" t="n">
        <v>1.654331432156168</v>
      </c>
      <c r="AS350" s="3" t="n">
        <v>1.731726212990506</v>
      </c>
      <c r="AT350" s="3" t="n">
        <v>1.811946485170641</v>
      </c>
      <c r="AU350" s="3" t="n">
        <v>1.894910155551798</v>
      </c>
      <c r="AV350" s="3" t="n">
        <v>1.980683186501827</v>
      </c>
      <c r="AW350" s="3" t="n">
        <v>2.069460545477365</v>
      </c>
      <c r="AX350" s="3" t="n">
        <v>2.160882243458962</v>
      </c>
      <c r="AY350" s="3" t="n">
        <v>2.254963350559366</v>
      </c>
      <c r="AZ350" s="3" t="n">
        <v>2.351577756586154</v>
      </c>
      <c r="BA350" s="3" t="n">
        <v>2.361378610025201</v>
      </c>
      <c r="BC350" s="20" t="inlineStr">
        <is>
          <t>egy.mit.app.all.lpg.4</t>
        </is>
      </c>
      <c r="BD350" s="3" t="n">
        <v>1.467214335680863</v>
      </c>
      <c r="BE350" s="3" t="n">
        <v>1.490481151347291</v>
      </c>
      <c r="BF350" s="3" t="n">
        <v>1.415855038838908</v>
      </c>
      <c r="BG350" s="3" t="n">
        <v>1.011028705521518</v>
      </c>
      <c r="BH350" s="3" t="n">
        <v>1.158307808262319</v>
      </c>
      <c r="BI350" s="3" t="n">
        <v>1.197252539815169</v>
      </c>
      <c r="BJ350" s="3" t="n">
        <v>1.303545312652843</v>
      </c>
      <c r="BK350" s="3" t="n">
        <v>1.406078087425863</v>
      </c>
      <c r="BL350" s="3" t="n">
        <v>1.502680977549613</v>
      </c>
      <c r="BM350" s="3" t="n">
        <v>1.541082199626955</v>
      </c>
      <c r="BN350" s="3" t="n">
        <v>1.612606178524815</v>
      </c>
      <c r="BO350" s="3" t="n">
        <v>1.68670730487294</v>
      </c>
      <c r="BP350" s="3" t="n">
        <v>1.763486225837456</v>
      </c>
      <c r="BQ350" s="3" t="n">
        <v>1.842986140047973</v>
      </c>
      <c r="BR350" s="3" t="n">
        <v>1.925192699638102</v>
      </c>
      <c r="BS350" s="3" t="n">
        <v>2.01028900521467</v>
      </c>
      <c r="BT350" s="3" t="n">
        <v>2.098085087985046</v>
      </c>
      <c r="BU350" s="3" t="n">
        <v>2.188520890312124</v>
      </c>
      <c r="BV350" s="3" t="n">
        <v>2.281460820968459</v>
      </c>
      <c r="BW350" s="3" t="n">
        <v>2.290136351482605</v>
      </c>
      <c r="BY350" s="20" t="inlineStr">
        <is>
          <t>egy.mit.app.all.lpg.5</t>
        </is>
      </c>
      <c r="BZ350" s="3" t="n">
        <v>1.467214335680863</v>
      </c>
      <c r="CA350" s="3" t="n">
        <v>1.490481151347291</v>
      </c>
      <c r="CB350" s="3" t="n">
        <v>1.415855038838908</v>
      </c>
      <c r="CC350" s="3" t="n">
        <v>1.011028705521518</v>
      </c>
      <c r="CD350" s="3" t="n">
        <v>1.158307808262319</v>
      </c>
      <c r="CE350" s="3" t="n">
        <v>1.19935554126557</v>
      </c>
      <c r="CF350" s="3" t="n">
        <v>1.317682485435048</v>
      </c>
      <c r="CG350" s="3" t="n">
        <v>1.431030129926037</v>
      </c>
      <c r="CH350" s="3" t="n">
        <v>1.537448780195038</v>
      </c>
      <c r="CI350" s="3" t="n">
        <v>1.57787816410873</v>
      </c>
      <c r="CJ350" s="3" t="n">
        <v>1.652257795124275</v>
      </c>
      <c r="CK350" s="3" t="n">
        <v>1.729578615871874</v>
      </c>
      <c r="CL350" s="3" t="n">
        <v>1.809630599242857</v>
      </c>
      <c r="CM350" s="3" t="n">
        <v>1.892436045885569</v>
      </c>
      <c r="CN350" s="3" t="n">
        <v>1.978042860812536</v>
      </c>
      <c r="CO350" s="3" t="n">
        <v>2.066619238643362</v>
      </c>
      <c r="CP350" s="3" t="n">
        <v>2.157840672144042</v>
      </c>
      <c r="CQ350" s="3" t="n">
        <v>2.251751885099846</v>
      </c>
      <c r="CR350" s="3" t="n">
        <v>2.348221136114477</v>
      </c>
      <c r="CS350" s="3" t="n">
        <v>2.358054421521635</v>
      </c>
      <c r="CU350" s="20" t="inlineStr">
        <is>
          <t>egy.mit.app.all.lpg.6</t>
        </is>
      </c>
      <c r="CV350" s="3" t="n">
        <v>1.467214335680863</v>
      </c>
      <c r="CW350" s="3" t="n">
        <v>1.490481151347291</v>
      </c>
      <c r="CX350" s="3" t="n">
        <v>1.415855038838908</v>
      </c>
      <c r="CY350" s="3" t="n">
        <v>1.011028705521518</v>
      </c>
      <c r="CZ350" s="3" t="n">
        <v>1.158307808262319</v>
      </c>
      <c r="DA350" s="3" t="n">
        <v>1.192748085157658</v>
      </c>
      <c r="DB350" s="3" t="n">
        <v>1.310450983518083</v>
      </c>
      <c r="DC350" s="3" t="n">
        <v>1.423318716749413</v>
      </c>
      <c r="DD350" s="3" t="n">
        <v>1.528931245765451</v>
      </c>
      <c r="DE350" s="3" t="n">
        <v>1.569188834081406</v>
      </c>
      <c r="DF350" s="3" t="n">
        <v>1.643083762430303</v>
      </c>
      <c r="DG350" s="3" t="n">
        <v>1.720149878277242</v>
      </c>
      <c r="DH350" s="3" t="n">
        <v>1.8001188995913</v>
      </c>
      <c r="DI350" s="3" t="n">
        <v>1.882785830267613</v>
      </c>
      <c r="DJ350" s="3" t="n">
        <v>1.968308447700407</v>
      </c>
      <c r="DK350" s="3" t="n">
        <v>2.056963018819832</v>
      </c>
      <c r="DL350" s="3" t="n">
        <v>2.148141061153583</v>
      </c>
      <c r="DM350" s="3" t="n">
        <v>2.24192833640749</v>
      </c>
      <c r="DN350" s="3" t="n">
        <v>2.3380905196368</v>
      </c>
      <c r="DO350" s="3" t="n">
        <v>2.347905770940756</v>
      </c>
    </row>
    <row r="351">
      <c r="A351" s="19" t="inlineStr">
        <is>
          <t>mit.app.all.ker</t>
        </is>
      </c>
      <c r="B351" s="3" t="inlineStr">
        <is>
          <t>mit</t>
        </is>
      </c>
      <c r="C351" s="19" t="inlineStr">
        <is>
          <t>mit.app.ker.all</t>
        </is>
      </c>
      <c r="H351" s="3" t="inlineStr">
        <is>
          <t>Air-pollution part of the Pigouvian tax per tonne of CO2 | All sectors | Kerosene</t>
        </is>
      </c>
      <c r="I351" s="3" t="inlineStr">
        <is>
          <t>USD/tCO2</t>
        </is>
      </c>
      <c r="K351" s="20" t="inlineStr">
        <is>
          <t>egy.mit.app.all.ker.1</t>
        </is>
      </c>
      <c r="L351" s="3" t="n">
        <v>25.67466580774134</v>
      </c>
      <c r="M351" s="3" t="n">
        <v>25.41120594234502</v>
      </c>
      <c r="N351" s="3" t="n">
        <v>24.05151418399238</v>
      </c>
      <c r="O351" s="3" t="n">
        <v>16.99468206660846</v>
      </c>
      <c r="P351" s="3" t="n">
        <v>19.27310771575838</v>
      </c>
      <c r="Q351" s="3" t="n">
        <v>19.88531503462613</v>
      </c>
      <c r="R351" s="3" t="n">
        <v>21.58728824683668</v>
      </c>
      <c r="S351" s="3" t="n">
        <v>23.17847324818416</v>
      </c>
      <c r="T351" s="3" t="n">
        <v>24.64171838204125</v>
      </c>
      <c r="U351" s="3" t="n">
        <v>25.0251303744921</v>
      </c>
      <c r="V351" s="3" t="n">
        <v>25.93738472852496</v>
      </c>
      <c r="W351" s="3" t="n">
        <v>26.87427730584516</v>
      </c>
      <c r="X351" s="3" t="n">
        <v>27.8352662213978</v>
      </c>
      <c r="Y351" s="3" t="n">
        <v>28.82080762230835</v>
      </c>
      <c r="Z351" s="3" t="n">
        <v>29.82988720582606</v>
      </c>
      <c r="AA351" s="3" t="n">
        <v>30.86386460186894</v>
      </c>
      <c r="AB351" s="3" t="n">
        <v>31.92004704850794</v>
      </c>
      <c r="AC351" s="3" t="n">
        <v>32.99756396001215</v>
      </c>
      <c r="AD351" s="3" t="n">
        <v>34.09540612038725</v>
      </c>
      <c r="AE351" s="3" t="n">
        <v>33.9281101482106</v>
      </c>
      <c r="AG351" s="20" t="inlineStr">
        <is>
          <t>egy.mit.app.all.ker.3</t>
        </is>
      </c>
      <c r="AH351" s="3" t="n">
        <v>25.67466580774134</v>
      </c>
      <c r="AI351" s="3" t="n">
        <v>25.41120594234502</v>
      </c>
      <c r="AJ351" s="3" t="n">
        <v>24.05151418399238</v>
      </c>
      <c r="AK351" s="3" t="n">
        <v>16.99468206660846</v>
      </c>
      <c r="AL351" s="3" t="n">
        <v>19.27310771575838</v>
      </c>
      <c r="AM351" s="3" t="n">
        <v>19.91512734518396</v>
      </c>
      <c r="AN351" s="3" t="n">
        <v>21.61924054974293</v>
      </c>
      <c r="AO351" s="3" t="n">
        <v>23.21161749699481</v>
      </c>
      <c r="AP351" s="3" t="n">
        <v>24.67819700060728</v>
      </c>
      <c r="AQ351" s="3" t="n">
        <v>25.0613913312185</v>
      </c>
      <c r="AR351" s="3" t="n">
        <v>25.97515370459782</v>
      </c>
      <c r="AS351" s="3" t="n">
        <v>26.91193204576987</v>
      </c>
      <c r="AT351" s="3" t="n">
        <v>27.87198897450537</v>
      </c>
      <c r="AU351" s="3" t="n">
        <v>28.85692804569279</v>
      </c>
      <c r="AV351" s="3" t="n">
        <v>29.8650197354559</v>
      </c>
      <c r="AW351" s="3" t="n">
        <v>30.89715292601439</v>
      </c>
      <c r="AX351" s="3" t="n">
        <v>31.95218698913306</v>
      </c>
      <c r="AY351" s="3" t="n">
        <v>33.02891739583745</v>
      </c>
      <c r="AZ351" s="3" t="n">
        <v>34.12689765867049</v>
      </c>
      <c r="BA351" s="3" t="n">
        <v>33.95882615755639</v>
      </c>
      <c r="BC351" s="20" t="inlineStr">
        <is>
          <t>egy.mit.app.all.ker.4</t>
        </is>
      </c>
      <c r="BD351" s="3" t="n">
        <v>25.67466580774134</v>
      </c>
      <c r="BE351" s="3" t="n">
        <v>25.41120594234502</v>
      </c>
      <c r="BF351" s="3" t="n">
        <v>24.05151418399238</v>
      </c>
      <c r="BG351" s="3" t="n">
        <v>16.99468206660846</v>
      </c>
      <c r="BH351" s="3" t="n">
        <v>19.27310771575838</v>
      </c>
      <c r="BI351" s="3" t="n">
        <v>19.97531414804025</v>
      </c>
      <c r="BJ351" s="3" t="n">
        <v>21.79026035085382</v>
      </c>
      <c r="BK351" s="3" t="n">
        <v>23.48716576127169</v>
      </c>
      <c r="BL351" s="3" t="n">
        <v>25.0505589346374</v>
      </c>
      <c r="BM351" s="3" t="n">
        <v>25.43381630654007</v>
      </c>
      <c r="BN351" s="3" t="n">
        <v>26.35638953331477</v>
      </c>
      <c r="BO351" s="3" t="n">
        <v>27.30436113957569</v>
      </c>
      <c r="BP351" s="3" t="n">
        <v>28.27638298042792</v>
      </c>
      <c r="BQ351" s="3" t="n">
        <v>29.27305325805667</v>
      </c>
      <c r="BR351" s="3" t="n">
        <v>30.29319119753156</v>
      </c>
      <c r="BS351" s="3" t="n">
        <v>31.33770266912568</v>
      </c>
      <c r="BT351" s="3" t="n">
        <v>32.40419268443826</v>
      </c>
      <c r="BU351" s="3" t="n">
        <v>33.49198512592027</v>
      </c>
      <c r="BV351" s="3" t="n">
        <v>34.60069172729528</v>
      </c>
      <c r="BW351" s="3" t="n">
        <v>34.4260988707864</v>
      </c>
      <c r="BY351" s="20" t="inlineStr">
        <is>
          <t>egy.mit.app.all.ker.5</t>
        </is>
      </c>
      <c r="BZ351" s="3" t="n">
        <v>25.67466580774134</v>
      </c>
      <c r="CA351" s="3" t="n">
        <v>25.41120594234502</v>
      </c>
      <c r="CB351" s="3" t="n">
        <v>24.05151418399238</v>
      </c>
      <c r="CC351" s="3" t="n">
        <v>16.99468206660846</v>
      </c>
      <c r="CD351" s="3" t="n">
        <v>19.27310771575838</v>
      </c>
      <c r="CE351" s="3" t="n">
        <v>19.92203558465167</v>
      </c>
      <c r="CF351" s="3" t="n">
        <v>21.6266493002334</v>
      </c>
      <c r="CG351" s="3" t="n">
        <v>23.21957989023532</v>
      </c>
      <c r="CH351" s="3" t="n">
        <v>24.68645240301668</v>
      </c>
      <c r="CI351" s="3" t="n">
        <v>25.06933150355147</v>
      </c>
      <c r="CJ351" s="3" t="n">
        <v>25.98336143671217</v>
      </c>
      <c r="CK351" s="3" t="n">
        <v>26.92020462603504</v>
      </c>
      <c r="CL351" s="3" t="n">
        <v>27.88101936904849</v>
      </c>
      <c r="CM351" s="3" t="n">
        <v>28.866600308381</v>
      </c>
      <c r="CN351" s="3" t="n">
        <v>29.87535386609504</v>
      </c>
      <c r="CO351" s="3" t="n">
        <v>30.90835759167352</v>
      </c>
      <c r="CP351" s="3" t="n">
        <v>31.96421166316613</v>
      </c>
      <c r="CQ351" s="3" t="n">
        <v>33.04150767394164</v>
      </c>
      <c r="CR351" s="3" t="n">
        <v>34.13985036069217</v>
      </c>
      <c r="CS351" s="3" t="n">
        <v>33.97129487920551</v>
      </c>
      <c r="CU351" s="20" t="inlineStr">
        <is>
          <t>egy.mit.app.all.ker.6</t>
        </is>
      </c>
      <c r="CV351" s="3" t="n">
        <v>25.67466580774134</v>
      </c>
      <c r="CW351" s="3" t="n">
        <v>25.41120594234502</v>
      </c>
      <c r="CX351" s="3" t="n">
        <v>24.05151418399238</v>
      </c>
      <c r="CY351" s="3" t="n">
        <v>16.99468206660846</v>
      </c>
      <c r="CZ351" s="3" t="n">
        <v>19.27310771575838</v>
      </c>
      <c r="DA351" s="3" t="n">
        <v>19.95382469465147</v>
      </c>
      <c r="DB351" s="3" t="n">
        <v>21.66075041321628</v>
      </c>
      <c r="DC351" s="3" t="n">
        <v>23.25482107887083</v>
      </c>
      <c r="DD351" s="3" t="n">
        <v>24.72558143403161</v>
      </c>
      <c r="DE351" s="3" t="n">
        <v>25.10840671599949</v>
      </c>
      <c r="DF351" s="3" t="n">
        <v>26.02418896359678</v>
      </c>
      <c r="DG351" s="3" t="n">
        <v>26.96087912626025</v>
      </c>
      <c r="DH351" s="3" t="n">
        <v>27.92017995145276</v>
      </c>
      <c r="DI351" s="3" t="n">
        <v>28.90464878087158</v>
      </c>
      <c r="DJ351" s="3" t="n">
        <v>29.91186596567102</v>
      </c>
      <c r="DK351" s="3" t="n">
        <v>30.94215142808989</v>
      </c>
      <c r="DL351" s="3" t="n">
        <v>31.9961815856392</v>
      </c>
      <c r="DM351" s="3" t="n">
        <v>33.07221656153965</v>
      </c>
      <c r="DN351" s="3" t="n">
        <v>34.17053465533539</v>
      </c>
      <c r="DO351" s="3" t="n">
        <v>34.00139548371227</v>
      </c>
    </row>
    <row r="352">
      <c r="A352" s="19" t="inlineStr">
        <is>
          <t>mit.app.ind.coa</t>
        </is>
      </c>
      <c r="B352" s="3" t="inlineStr">
        <is>
          <t>mit</t>
        </is>
      </c>
      <c r="C352" s="19" t="inlineStr">
        <is>
          <t>mit.app.coa.ind</t>
        </is>
      </c>
      <c r="H352" s="3" t="inlineStr">
        <is>
          <t>Air-pollution part of the Pigouvian tax per tonne of CO2 | Industry | Coal</t>
        </is>
      </c>
      <c r="I352" s="3" t="inlineStr">
        <is>
          <t>USD/tCO2</t>
        </is>
      </c>
      <c r="K352" s="20" t="inlineStr">
        <is>
          <t>egy.mit.app.ind.coa.1</t>
        </is>
      </c>
      <c r="L352" s="3" t="n">
        <v>17.1194385943996</v>
      </c>
      <c r="M352" s="3" t="n">
        <v>17.03645720163495</v>
      </c>
      <c r="N352" s="3" t="n">
        <v>16.11457363184618</v>
      </c>
      <c r="O352" s="3" t="n">
        <v>11.3953373982191</v>
      </c>
      <c r="P352" s="3" t="n">
        <v>12.93107671651155</v>
      </c>
      <c r="Q352" s="3" t="n">
        <v>13.3532585280336</v>
      </c>
      <c r="R352" s="3" t="n">
        <v>14.51257897851925</v>
      </c>
      <c r="S352" s="3" t="n">
        <v>15.59599649924713</v>
      </c>
      <c r="T352" s="3" t="n">
        <v>16.59048694898951</v>
      </c>
      <c r="U352" s="3" t="n">
        <v>16.85698935745872</v>
      </c>
      <c r="V352" s="3" t="n">
        <v>17.47853056217997</v>
      </c>
      <c r="W352" s="3" t="n">
        <v>18.11550450119711</v>
      </c>
      <c r="X352" s="3" t="n">
        <v>18.76739707581314</v>
      </c>
      <c r="Y352" s="3" t="n">
        <v>19.43435979424493</v>
      </c>
      <c r="Z352" s="3" t="n">
        <v>20.11554575433855</v>
      </c>
      <c r="AA352" s="3" t="n">
        <v>20.81170204524186</v>
      </c>
      <c r="AB352" s="3" t="n">
        <v>21.52083664982057</v>
      </c>
      <c r="AC352" s="3" t="n">
        <v>22.24218068493742</v>
      </c>
      <c r="AD352" s="3" t="n">
        <v>22.9748668934511</v>
      </c>
      <c r="AE352" s="3" t="n">
        <v>22.85285780056396</v>
      </c>
      <c r="AG352" s="20" t="inlineStr">
        <is>
          <t>egy.mit.app.ind.coa.3</t>
        </is>
      </c>
      <c r="AH352" s="3" t="n">
        <v>17.1194385943996</v>
      </c>
      <c r="AI352" s="3" t="n">
        <v>17.03645720163495</v>
      </c>
      <c r="AJ352" s="3" t="n">
        <v>16.11457363184618</v>
      </c>
      <c r="AK352" s="3" t="n">
        <v>11.3953373982191</v>
      </c>
      <c r="AL352" s="3" t="n">
        <v>12.93107671651155</v>
      </c>
      <c r="AM352" s="3" t="n">
        <v>13.3532585280336</v>
      </c>
      <c r="AN352" s="3" t="n">
        <v>14.51257897851925</v>
      </c>
      <c r="AO352" s="3" t="n">
        <v>15.59599649924714</v>
      </c>
      <c r="AP352" s="3" t="n">
        <v>16.59048694898951</v>
      </c>
      <c r="AQ352" s="3" t="n">
        <v>16.85698935745872</v>
      </c>
      <c r="AR352" s="3" t="n">
        <v>17.47853056217997</v>
      </c>
      <c r="AS352" s="3" t="n">
        <v>18.11550450119711</v>
      </c>
      <c r="AT352" s="3" t="n">
        <v>18.76739707581314</v>
      </c>
      <c r="AU352" s="3" t="n">
        <v>19.43435979424493</v>
      </c>
      <c r="AV352" s="3" t="n">
        <v>20.11554575433856</v>
      </c>
      <c r="AW352" s="3" t="n">
        <v>20.81170204524185</v>
      </c>
      <c r="AX352" s="3" t="n">
        <v>21.52083664982057</v>
      </c>
      <c r="AY352" s="3" t="n">
        <v>22.24218068493741</v>
      </c>
      <c r="AZ352" s="3" t="n">
        <v>22.9748668934511</v>
      </c>
      <c r="BA352" s="3" t="n">
        <v>22.85285780056396</v>
      </c>
      <c r="BC352" s="20" t="inlineStr">
        <is>
          <t>egy.mit.app.ind.coa.4</t>
        </is>
      </c>
      <c r="BD352" s="3" t="n">
        <v>17.1194385943996</v>
      </c>
      <c r="BE352" s="3" t="n">
        <v>17.03645720163495</v>
      </c>
      <c r="BF352" s="3" t="n">
        <v>16.11457363184618</v>
      </c>
      <c r="BG352" s="3" t="n">
        <v>11.3953373982191</v>
      </c>
      <c r="BH352" s="3" t="n">
        <v>12.93107671651155</v>
      </c>
      <c r="BI352" s="3" t="n">
        <v>13.3532585280336</v>
      </c>
      <c r="BJ352" s="3" t="n">
        <v>14.51257897851925</v>
      </c>
      <c r="BK352" s="3" t="n">
        <v>15.59599649924713</v>
      </c>
      <c r="BL352" s="3" t="n">
        <v>16.59048694898951</v>
      </c>
      <c r="BM352" s="3" t="n">
        <v>16.85698935745872</v>
      </c>
      <c r="BN352" s="3" t="n">
        <v>17.47853056217997</v>
      </c>
      <c r="BO352" s="3" t="n">
        <v>18.11550450119711</v>
      </c>
      <c r="BP352" s="3" t="n">
        <v>18.76739707581314</v>
      </c>
      <c r="BQ352" s="3" t="n">
        <v>19.43435979424493</v>
      </c>
      <c r="BR352" s="3" t="n">
        <v>20.11554575433856</v>
      </c>
      <c r="BS352" s="3" t="n">
        <v>20.81170204524186</v>
      </c>
      <c r="BT352" s="3" t="n">
        <v>21.52083664982057</v>
      </c>
      <c r="BU352" s="3" t="n">
        <v>22.24218068493742</v>
      </c>
      <c r="BV352" s="3" t="n">
        <v>22.9748668934511</v>
      </c>
      <c r="BW352" s="3" t="n">
        <v>22.85285780056395</v>
      </c>
      <c r="BY352" s="20" t="inlineStr">
        <is>
          <t>egy.mit.app.ind.coa.5</t>
        </is>
      </c>
      <c r="BZ352" s="3" t="n">
        <v>17.1194385943996</v>
      </c>
      <c r="CA352" s="3" t="n">
        <v>17.03645720163495</v>
      </c>
      <c r="CB352" s="3" t="n">
        <v>16.11457363184618</v>
      </c>
      <c r="CC352" s="3" t="n">
        <v>11.3953373982191</v>
      </c>
      <c r="CD352" s="3" t="n">
        <v>12.93107671651155</v>
      </c>
      <c r="CE352" s="3" t="n">
        <v>13.3532585280336</v>
      </c>
      <c r="CF352" s="3" t="n">
        <v>14.51257897851925</v>
      </c>
      <c r="CG352" s="3" t="n">
        <v>15.59599649924713</v>
      </c>
      <c r="CH352" s="3" t="n">
        <v>16.59048694898951</v>
      </c>
      <c r="CI352" s="3" t="n">
        <v>16.85698935745872</v>
      </c>
      <c r="CJ352" s="3" t="n">
        <v>17.47853056217997</v>
      </c>
      <c r="CK352" s="3" t="n">
        <v>18.11550450119711</v>
      </c>
      <c r="CL352" s="3" t="n">
        <v>18.76739707581314</v>
      </c>
      <c r="CM352" s="3" t="n">
        <v>19.43435979424493</v>
      </c>
      <c r="CN352" s="3" t="n">
        <v>20.11554575433856</v>
      </c>
      <c r="CO352" s="3" t="n">
        <v>20.81170204524186</v>
      </c>
      <c r="CP352" s="3" t="n">
        <v>21.52083664982057</v>
      </c>
      <c r="CQ352" s="3" t="n">
        <v>22.24218068493742</v>
      </c>
      <c r="CR352" s="3" t="n">
        <v>22.9748668934511</v>
      </c>
      <c r="CS352" s="3" t="n">
        <v>22.85285780056395</v>
      </c>
      <c r="CU352" s="20" t="inlineStr">
        <is>
          <t>egy.mit.app.ind.coa.6</t>
        </is>
      </c>
      <c r="CV352" s="3" t="n">
        <v>17.1194385943996</v>
      </c>
      <c r="CW352" s="3" t="n">
        <v>17.03645720163495</v>
      </c>
      <c r="CX352" s="3" t="n">
        <v>16.11457363184618</v>
      </c>
      <c r="CY352" s="3" t="n">
        <v>11.3953373982191</v>
      </c>
      <c r="CZ352" s="3" t="n">
        <v>12.93107671651155</v>
      </c>
      <c r="DA352" s="3" t="n">
        <v>13.3532585280336</v>
      </c>
      <c r="DB352" s="3" t="n">
        <v>14.51257897851925</v>
      </c>
      <c r="DC352" s="3" t="n">
        <v>15.59599649924713</v>
      </c>
      <c r="DD352" s="3" t="n">
        <v>16.59048694898951</v>
      </c>
      <c r="DE352" s="3" t="n">
        <v>16.85698935745872</v>
      </c>
      <c r="DF352" s="3" t="n">
        <v>17.47853056217997</v>
      </c>
      <c r="DG352" s="3" t="n">
        <v>18.11550450119711</v>
      </c>
      <c r="DH352" s="3" t="n">
        <v>18.76739707581314</v>
      </c>
      <c r="DI352" s="3" t="n">
        <v>19.43435979424493</v>
      </c>
      <c r="DJ352" s="3" t="n">
        <v>20.11554575433856</v>
      </c>
      <c r="DK352" s="3" t="n">
        <v>20.81170204524186</v>
      </c>
      <c r="DL352" s="3" t="n">
        <v>21.52083664982057</v>
      </c>
      <c r="DM352" s="3" t="n">
        <v>22.24218068493742</v>
      </c>
      <c r="DN352" s="3" t="n">
        <v>22.9748668934511</v>
      </c>
      <c r="DO352" s="3" t="n">
        <v>22.85285780056395</v>
      </c>
    </row>
    <row r="353">
      <c r="A353" s="19" t="inlineStr">
        <is>
          <t>mit.app.res.coa</t>
        </is>
      </c>
      <c r="B353" s="3" t="inlineStr">
        <is>
          <t>mit</t>
        </is>
      </c>
      <c r="C353" s="19" t="inlineStr">
        <is>
          <t>mit.app.coa.res</t>
        </is>
      </c>
      <c r="H353" s="3" t="inlineStr">
        <is>
          <t>Air-pollution part of the Pigouvian tax per tonne of CO2 | Residential | Coal</t>
        </is>
      </c>
      <c r="I353" s="3" t="inlineStr">
        <is>
          <t>USD/tCO2</t>
        </is>
      </c>
      <c r="K353" s="20" t="inlineStr">
        <is>
          <t>egy.mit.app.res.coa.1</t>
        </is>
      </c>
      <c r="L353" s="3" t="n">
        <v>0</v>
      </c>
      <c r="M353" s="3" t="n">
        <v>0</v>
      </c>
      <c r="N353" s="3" t="n">
        <v>0</v>
      </c>
      <c r="O353" s="3" t="n">
        <v>0</v>
      </c>
      <c r="P353" s="3" t="n">
        <v>0</v>
      </c>
      <c r="Q353" s="3" t="n">
        <v>0</v>
      </c>
      <c r="R353" s="3" t="n">
        <v>0</v>
      </c>
      <c r="S353" s="3" t="n">
        <v>0</v>
      </c>
      <c r="T353" s="3" t="n">
        <v>0</v>
      </c>
      <c r="U353" s="3" t="n">
        <v>0</v>
      </c>
      <c r="V353" s="3" t="n">
        <v>0</v>
      </c>
      <c r="W353" s="3" t="n">
        <v>0</v>
      </c>
      <c r="X353" s="3" t="n">
        <v>0</v>
      </c>
      <c r="Y353" s="3" t="n">
        <v>0</v>
      </c>
      <c r="Z353" s="3" t="n">
        <v>0</v>
      </c>
      <c r="AA353" s="3" t="n">
        <v>0</v>
      </c>
      <c r="AB353" s="3" t="n">
        <v>0</v>
      </c>
      <c r="AC353" s="3" t="n">
        <v>0</v>
      </c>
      <c r="AD353" s="3" t="n">
        <v>0</v>
      </c>
      <c r="AE353" s="3" t="n">
        <v>0</v>
      </c>
      <c r="AG353" s="20" t="inlineStr">
        <is>
          <t>egy.mit.app.res.coa.3</t>
        </is>
      </c>
      <c r="AH353" s="3" t="n">
        <v>0</v>
      </c>
      <c r="AI353" s="3" t="n">
        <v>0</v>
      </c>
      <c r="AJ353" s="3" t="n">
        <v>0</v>
      </c>
      <c r="AK353" s="3" t="n">
        <v>0</v>
      </c>
      <c r="AL353" s="3" t="n">
        <v>0</v>
      </c>
      <c r="AM353" s="3" t="n">
        <v>0</v>
      </c>
      <c r="AN353" s="3" t="n">
        <v>0</v>
      </c>
      <c r="AO353" s="3" t="n">
        <v>0</v>
      </c>
      <c r="AP353" s="3" t="n">
        <v>0</v>
      </c>
      <c r="AQ353" s="3" t="n">
        <v>0</v>
      </c>
      <c r="AR353" s="3" t="n">
        <v>0</v>
      </c>
      <c r="AS353" s="3" t="n">
        <v>0</v>
      </c>
      <c r="AT353" s="3" t="n">
        <v>0</v>
      </c>
      <c r="AU353" s="3" t="n">
        <v>0</v>
      </c>
      <c r="AV353" s="3" t="n">
        <v>0</v>
      </c>
      <c r="AW353" s="3" t="n">
        <v>0</v>
      </c>
      <c r="AX353" s="3" t="n">
        <v>0</v>
      </c>
      <c r="AY353" s="3" t="n">
        <v>0</v>
      </c>
      <c r="AZ353" s="3" t="n">
        <v>0</v>
      </c>
      <c r="BA353" s="3" t="n">
        <v>0</v>
      </c>
      <c r="BC353" s="20" t="inlineStr">
        <is>
          <t>egy.mit.app.res.coa.4</t>
        </is>
      </c>
      <c r="BD353" s="3" t="n">
        <v>0</v>
      </c>
      <c r="BE353" s="3" t="n">
        <v>0</v>
      </c>
      <c r="BF353" s="3" t="n">
        <v>0</v>
      </c>
      <c r="BG353" s="3" t="n">
        <v>0</v>
      </c>
      <c r="BH353" s="3" t="n">
        <v>0</v>
      </c>
      <c r="BI353" s="3" t="n">
        <v>0</v>
      </c>
      <c r="BJ353" s="3" t="n">
        <v>0</v>
      </c>
      <c r="BK353" s="3" t="n">
        <v>0</v>
      </c>
      <c r="BL353" s="3" t="n">
        <v>0</v>
      </c>
      <c r="BM353" s="3" t="n">
        <v>0</v>
      </c>
      <c r="BN353" s="3" t="n">
        <v>0</v>
      </c>
      <c r="BO353" s="3" t="n">
        <v>0</v>
      </c>
      <c r="BP353" s="3" t="n">
        <v>0</v>
      </c>
      <c r="BQ353" s="3" t="n">
        <v>0</v>
      </c>
      <c r="BR353" s="3" t="n">
        <v>0</v>
      </c>
      <c r="BS353" s="3" t="n">
        <v>0</v>
      </c>
      <c r="BT353" s="3" t="n">
        <v>0</v>
      </c>
      <c r="BU353" s="3" t="n">
        <v>0</v>
      </c>
      <c r="BV353" s="3" t="n">
        <v>0</v>
      </c>
      <c r="BW353" s="3" t="n">
        <v>0</v>
      </c>
      <c r="BY353" s="20" t="inlineStr">
        <is>
          <t>egy.mit.app.res.coa.5</t>
        </is>
      </c>
      <c r="BZ353" s="3" t="n">
        <v>0</v>
      </c>
      <c r="CA353" s="3" t="n">
        <v>0</v>
      </c>
      <c r="CB353" s="3" t="n">
        <v>0</v>
      </c>
      <c r="CC353" s="3" t="n">
        <v>0</v>
      </c>
      <c r="CD353" s="3" t="n">
        <v>0</v>
      </c>
      <c r="CE353" s="3" t="n">
        <v>0</v>
      </c>
      <c r="CF353" s="3" t="n">
        <v>0</v>
      </c>
      <c r="CG353" s="3" t="n">
        <v>0</v>
      </c>
      <c r="CH353" s="3" t="n">
        <v>0</v>
      </c>
      <c r="CI353" s="3" t="n">
        <v>0</v>
      </c>
      <c r="CJ353" s="3" t="n">
        <v>0</v>
      </c>
      <c r="CK353" s="3" t="n">
        <v>0</v>
      </c>
      <c r="CL353" s="3" t="n">
        <v>0</v>
      </c>
      <c r="CM353" s="3" t="n">
        <v>0</v>
      </c>
      <c r="CN353" s="3" t="n">
        <v>0</v>
      </c>
      <c r="CO353" s="3" t="n">
        <v>0</v>
      </c>
      <c r="CP353" s="3" t="n">
        <v>0</v>
      </c>
      <c r="CQ353" s="3" t="n">
        <v>0</v>
      </c>
      <c r="CR353" s="3" t="n">
        <v>0</v>
      </c>
      <c r="CS353" s="3" t="n">
        <v>0</v>
      </c>
      <c r="CU353" s="20" t="inlineStr">
        <is>
          <t>egy.mit.app.res.coa.6</t>
        </is>
      </c>
      <c r="CV353" s="3" t="n">
        <v>0</v>
      </c>
      <c r="CW353" s="3" t="n">
        <v>0</v>
      </c>
      <c r="CX353" s="3" t="n">
        <v>0</v>
      </c>
      <c r="CY353" s="3" t="n">
        <v>0</v>
      </c>
      <c r="CZ353" s="3" t="n">
        <v>0</v>
      </c>
      <c r="DA353" s="3" t="n">
        <v>0</v>
      </c>
      <c r="DB353" s="3" t="n">
        <v>0</v>
      </c>
      <c r="DC353" s="3" t="n">
        <v>0</v>
      </c>
      <c r="DD353" s="3" t="n">
        <v>0</v>
      </c>
      <c r="DE353" s="3" t="n">
        <v>0</v>
      </c>
      <c r="DF353" s="3" t="n">
        <v>0</v>
      </c>
      <c r="DG353" s="3" t="n">
        <v>0</v>
      </c>
      <c r="DH353" s="3" t="n">
        <v>0</v>
      </c>
      <c r="DI353" s="3" t="n">
        <v>0</v>
      </c>
      <c r="DJ353" s="3" t="n">
        <v>0</v>
      </c>
      <c r="DK353" s="3" t="n">
        <v>0</v>
      </c>
      <c r="DL353" s="3" t="n">
        <v>0</v>
      </c>
      <c r="DM353" s="3" t="n">
        <v>0</v>
      </c>
      <c r="DN353" s="3" t="n">
        <v>0</v>
      </c>
      <c r="DO353" s="3" t="n">
        <v>0</v>
      </c>
    </row>
    <row r="354">
      <c r="A354" s="19" t="inlineStr">
        <is>
          <t>mit.app.pow.coa</t>
        </is>
      </c>
      <c r="B354" s="3" t="inlineStr">
        <is>
          <t>mit</t>
        </is>
      </c>
      <c r="C354" s="19" t="inlineStr">
        <is>
          <t>mit.app.coa.pow</t>
        </is>
      </c>
      <c r="H354" s="3" t="inlineStr">
        <is>
          <t>Air-pollution part of the Pigouvian tax per tonne of CO2 | Power | Coal</t>
        </is>
      </c>
      <c r="I354" s="3" t="inlineStr">
        <is>
          <t>USD/tCO2</t>
        </is>
      </c>
      <c r="K354" s="20" t="inlineStr">
        <is>
          <t>egy.mit.app.pow.coa.1</t>
        </is>
      </c>
      <c r="L354" s="3" t="n">
        <v>5.390852663054504</v>
      </c>
      <c r="M354" s="3" t="n">
        <v>5.372747712314879</v>
      </c>
      <c r="N354" s="3" t="n">
        <v>5.089681079350676</v>
      </c>
      <c r="O354" s="3" t="n">
        <v>3.604615691332131</v>
      </c>
      <c r="P354" s="3" t="n">
        <v>4.096679670770578</v>
      </c>
      <c r="Q354" s="3" t="n">
        <v>4.236972961722338</v>
      </c>
      <c r="R354" s="3" t="n">
        <v>4.61200530469688</v>
      </c>
      <c r="S354" s="3" t="n">
        <v>4.964103411345802</v>
      </c>
      <c r="T354" s="3" t="n">
        <v>5.289018785324294</v>
      </c>
      <c r="U354" s="3" t="n">
        <v>5.382575687154652</v>
      </c>
      <c r="V354" s="3" t="n">
        <v>5.59004308214455</v>
      </c>
      <c r="W354" s="3" t="n">
        <v>5.803190124571342</v>
      </c>
      <c r="X354" s="3" t="n">
        <v>6.021887560355862</v>
      </c>
      <c r="Y354" s="3" t="n">
        <v>6.246219708456189</v>
      </c>
      <c r="Z354" s="3" t="n">
        <v>6.475950528274544</v>
      </c>
      <c r="AA354" s="3" t="n">
        <v>6.711356937614879</v>
      </c>
      <c r="AB354" s="3" t="n">
        <v>6.951833440598359</v>
      </c>
      <c r="AC354" s="3" t="n">
        <v>7.19716671474547</v>
      </c>
      <c r="AD354" s="3" t="n">
        <v>7.447110582527037</v>
      </c>
      <c r="AE354" s="3" t="n">
        <v>7.420490535033098</v>
      </c>
      <c r="AG354" s="20" t="inlineStr">
        <is>
          <t>egy.mit.app.pow.coa.3</t>
        </is>
      </c>
      <c r="AH354" s="3" t="n">
        <v>5.390852663054504</v>
      </c>
      <c r="AI354" s="3" t="n">
        <v>5.372747712314879</v>
      </c>
      <c r="AJ354" s="3" t="n">
        <v>5.089681079350676</v>
      </c>
      <c r="AK354" s="3" t="n">
        <v>3.604615691332131</v>
      </c>
      <c r="AL354" s="3" t="n">
        <v>4.096679670770578</v>
      </c>
      <c r="AM354" s="3" t="n">
        <v>4.236972961722338</v>
      </c>
      <c r="AN354" s="3" t="n">
        <v>4.61200530469688</v>
      </c>
      <c r="AO354" s="3" t="n">
        <v>4.964103411345802</v>
      </c>
      <c r="AP354" s="3" t="n">
        <v>5.289018785324294</v>
      </c>
      <c r="AQ354" s="3" t="n">
        <v>5.382575687154652</v>
      </c>
      <c r="AR354" s="3" t="n">
        <v>5.59004308214455</v>
      </c>
      <c r="AS354" s="3" t="n">
        <v>5.803190124571342</v>
      </c>
      <c r="AT354" s="3" t="n">
        <v>6.021887560355862</v>
      </c>
      <c r="AU354" s="3" t="n">
        <v>6.246219708456189</v>
      </c>
      <c r="AV354" s="3" t="n">
        <v>6.475950528274544</v>
      </c>
      <c r="AW354" s="3" t="n">
        <v>6.711356937614879</v>
      </c>
      <c r="AX354" s="3" t="n">
        <v>6.951833440598359</v>
      </c>
      <c r="AY354" s="3" t="n">
        <v>7.19716671474547</v>
      </c>
      <c r="AZ354" s="3" t="n">
        <v>7.447110582527037</v>
      </c>
      <c r="BA354" s="3" t="n">
        <v>7.420490535033098</v>
      </c>
      <c r="BC354" s="20" t="inlineStr">
        <is>
          <t>egy.mit.app.pow.coa.4</t>
        </is>
      </c>
      <c r="BD354" s="3" t="n">
        <v>5.390852663054504</v>
      </c>
      <c r="BE354" s="3" t="n">
        <v>5.372747712314879</v>
      </c>
      <c r="BF354" s="3" t="n">
        <v>5.089681079350676</v>
      </c>
      <c r="BG354" s="3" t="n">
        <v>3.604615691332131</v>
      </c>
      <c r="BH354" s="3" t="n">
        <v>4.096679670770578</v>
      </c>
      <c r="BI354" s="3" t="n">
        <v>4.236972961722338</v>
      </c>
      <c r="BJ354" s="3" t="n">
        <v>4.61200530469688</v>
      </c>
      <c r="BK354" s="3" t="n">
        <v>4.964103411345802</v>
      </c>
      <c r="BL354" s="3" t="n">
        <v>5.289018785324294</v>
      </c>
      <c r="BM354" s="3" t="n">
        <v>5.382575687154652</v>
      </c>
      <c r="BN354" s="3" t="n">
        <v>5.59004308214455</v>
      </c>
      <c r="BO354" s="3" t="n">
        <v>5.803190124571342</v>
      </c>
      <c r="BP354" s="3" t="n">
        <v>6.021887560355862</v>
      </c>
      <c r="BQ354" s="3" t="n">
        <v>6.246219708456189</v>
      </c>
      <c r="BR354" s="3" t="n">
        <v>6.475950528274544</v>
      </c>
      <c r="BS354" s="3" t="n">
        <v>6.711356937614879</v>
      </c>
      <c r="BT354" s="3" t="n">
        <v>6.951833440598359</v>
      </c>
      <c r="BU354" s="3" t="n">
        <v>7.19716671474547</v>
      </c>
      <c r="BV354" s="3" t="n">
        <v>7.447110582527037</v>
      </c>
      <c r="BW354" s="3" t="n">
        <v>7.420490535033098</v>
      </c>
      <c r="BY354" s="20" t="inlineStr">
        <is>
          <t>egy.mit.app.pow.coa.5</t>
        </is>
      </c>
      <c r="BZ354" s="3" t="n">
        <v>5.390852663054504</v>
      </c>
      <c r="CA354" s="3" t="n">
        <v>5.372747712314879</v>
      </c>
      <c r="CB354" s="3" t="n">
        <v>5.089681079350676</v>
      </c>
      <c r="CC354" s="3" t="n">
        <v>3.604615691332131</v>
      </c>
      <c r="CD354" s="3" t="n">
        <v>4.096679670770578</v>
      </c>
      <c r="CE354" s="3" t="n">
        <v>4.236972961722338</v>
      </c>
      <c r="CF354" s="3" t="n">
        <v>4.61200530469688</v>
      </c>
      <c r="CG354" s="3" t="n">
        <v>4.964103411345802</v>
      </c>
      <c r="CH354" s="3" t="n">
        <v>5.289018785324294</v>
      </c>
      <c r="CI354" s="3" t="n">
        <v>5.382575687154652</v>
      </c>
      <c r="CJ354" s="3" t="n">
        <v>5.59004308214455</v>
      </c>
      <c r="CK354" s="3" t="n">
        <v>5.803190124571342</v>
      </c>
      <c r="CL354" s="3" t="n">
        <v>6.021887560355862</v>
      </c>
      <c r="CM354" s="3" t="n">
        <v>6.246219708456189</v>
      </c>
      <c r="CN354" s="3" t="n">
        <v>6.475950528274544</v>
      </c>
      <c r="CO354" s="3" t="n">
        <v>6.711356937614879</v>
      </c>
      <c r="CP354" s="3" t="n">
        <v>6.951833440598359</v>
      </c>
      <c r="CQ354" s="3" t="n">
        <v>7.19716671474547</v>
      </c>
      <c r="CR354" s="3" t="n">
        <v>7.447110582527037</v>
      </c>
      <c r="CS354" s="3" t="n">
        <v>7.420490535033098</v>
      </c>
      <c r="CU354" s="20" t="inlineStr">
        <is>
          <t>egy.mit.app.pow.coa.6</t>
        </is>
      </c>
      <c r="CV354" s="3" t="n">
        <v>5.390852663054504</v>
      </c>
      <c r="CW354" s="3" t="n">
        <v>5.372747712314879</v>
      </c>
      <c r="CX354" s="3" t="n">
        <v>5.089681079350676</v>
      </c>
      <c r="CY354" s="3" t="n">
        <v>3.604615691332131</v>
      </c>
      <c r="CZ354" s="3" t="n">
        <v>4.096679670770578</v>
      </c>
      <c r="DA354" s="3" t="n">
        <v>4.236972961722338</v>
      </c>
      <c r="DB354" s="3" t="n">
        <v>4.61200530469688</v>
      </c>
      <c r="DC354" s="3" t="n">
        <v>4.964103411345802</v>
      </c>
      <c r="DD354" s="3" t="n">
        <v>5.289018785324294</v>
      </c>
      <c r="DE354" s="3" t="n">
        <v>5.382575687154652</v>
      </c>
      <c r="DF354" s="3" t="n">
        <v>5.59004308214455</v>
      </c>
      <c r="DG354" s="3" t="n">
        <v>5.803190124571342</v>
      </c>
      <c r="DH354" s="3" t="n">
        <v>6.021887560355862</v>
      </c>
      <c r="DI354" s="3" t="n">
        <v>6.246219708456189</v>
      </c>
      <c r="DJ354" s="3" t="n">
        <v>6.475950528274544</v>
      </c>
      <c r="DK354" s="3" t="n">
        <v>6.711356937614879</v>
      </c>
      <c r="DL354" s="3" t="n">
        <v>6.951833440598359</v>
      </c>
      <c r="DM354" s="3" t="n">
        <v>7.19716671474547</v>
      </c>
      <c r="DN354" s="3" t="n">
        <v>7.447110582527037</v>
      </c>
      <c r="DO354" s="3" t="n">
        <v>7.420490535033098</v>
      </c>
    </row>
    <row r="355">
      <c r="A355" s="19" t="inlineStr">
        <is>
          <t>mit.app.ind.nga</t>
        </is>
      </c>
      <c r="B355" s="3" t="inlineStr">
        <is>
          <t>mit</t>
        </is>
      </c>
      <c r="C355" s="19" t="inlineStr">
        <is>
          <t>mit.app.nga.ind</t>
        </is>
      </c>
      <c r="H355" s="3" t="inlineStr">
        <is>
          <t>Air-pollution part of the Pigouvian tax per tonne of CO2 | Industry | Natural gas</t>
        </is>
      </c>
      <c r="I355" s="3" t="inlineStr">
        <is>
          <t>USD/tCO2</t>
        </is>
      </c>
      <c r="K355" s="20" t="inlineStr">
        <is>
          <t>egy.mit.app.ind.nga.1</t>
        </is>
      </c>
      <c r="L355" s="3" t="n">
        <v>3.620839894537909</v>
      </c>
      <c r="M355" s="3" t="n">
        <v>3.620836668812139</v>
      </c>
      <c r="N355" s="3" t="n">
        <v>3.441665165602074</v>
      </c>
      <c r="O355" s="3" t="n">
        <v>2.445724527735298</v>
      </c>
      <c r="P355" s="3" t="n">
        <v>2.789048713823568</v>
      </c>
      <c r="Q355" s="3" t="n">
        <v>2.894411941615363</v>
      </c>
      <c r="R355" s="3" t="n">
        <v>3.161404520314626</v>
      </c>
      <c r="S355" s="3" t="n">
        <v>3.414458330087267</v>
      </c>
      <c r="T355" s="3" t="n">
        <v>3.650496772480116</v>
      </c>
      <c r="U355" s="3" t="n">
        <v>3.727932496585103</v>
      </c>
      <c r="V355" s="3" t="n">
        <v>3.885073980688032</v>
      </c>
      <c r="W355" s="3" t="n">
        <v>4.047272313369432</v>
      </c>
      <c r="X355" s="3" t="n">
        <v>4.214490113201476</v>
      </c>
      <c r="Y355" s="3" t="n">
        <v>4.386839470403712</v>
      </c>
      <c r="Z355" s="3" t="n">
        <v>4.564208267724625</v>
      </c>
      <c r="AA355" s="3" t="n">
        <v>4.746845610494576</v>
      </c>
      <c r="AB355" s="3" t="n">
        <v>4.934377806844848</v>
      </c>
      <c r="AC355" s="3" t="n">
        <v>5.126705196371197</v>
      </c>
      <c r="AD355" s="3" t="n">
        <v>5.323703207216414</v>
      </c>
      <c r="AE355" s="3" t="n">
        <v>5.323698464371515</v>
      </c>
      <c r="AG355" s="20" t="inlineStr">
        <is>
          <t>egy.mit.app.ind.nga.3</t>
        </is>
      </c>
      <c r="AH355" s="3" t="n">
        <v>3.620839894537909</v>
      </c>
      <c r="AI355" s="3" t="n">
        <v>3.620836668812139</v>
      </c>
      <c r="AJ355" s="3" t="n">
        <v>3.441665165602074</v>
      </c>
      <c r="AK355" s="3" t="n">
        <v>2.445724527735298</v>
      </c>
      <c r="AL355" s="3" t="n">
        <v>2.789048713823568</v>
      </c>
      <c r="AM355" s="3" t="n">
        <v>2.894411941615363</v>
      </c>
      <c r="AN355" s="3" t="n">
        <v>3.161404520314626</v>
      </c>
      <c r="AO355" s="3" t="n">
        <v>3.414458330087267</v>
      </c>
      <c r="AP355" s="3" t="n">
        <v>3.650496772480116</v>
      </c>
      <c r="AQ355" s="3" t="n">
        <v>3.727932496585103</v>
      </c>
      <c r="AR355" s="3" t="n">
        <v>3.885073980688032</v>
      </c>
      <c r="AS355" s="3" t="n">
        <v>4.047272313369431</v>
      </c>
      <c r="AT355" s="3" t="n">
        <v>4.214490113201476</v>
      </c>
      <c r="AU355" s="3" t="n">
        <v>4.386839470403712</v>
      </c>
      <c r="AV355" s="3" t="n">
        <v>4.564208267724625</v>
      </c>
      <c r="AW355" s="3" t="n">
        <v>4.746845610494576</v>
      </c>
      <c r="AX355" s="3" t="n">
        <v>4.934377806844848</v>
      </c>
      <c r="AY355" s="3" t="n">
        <v>5.126705196371197</v>
      </c>
      <c r="AZ355" s="3" t="n">
        <v>5.323703207216413</v>
      </c>
      <c r="BA355" s="3" t="n">
        <v>5.323698464371516</v>
      </c>
      <c r="BC355" s="20" t="inlineStr">
        <is>
          <t>egy.mit.app.ind.nga.4</t>
        </is>
      </c>
      <c r="BD355" s="3" t="n">
        <v>3.620839894537909</v>
      </c>
      <c r="BE355" s="3" t="n">
        <v>3.620836668812139</v>
      </c>
      <c r="BF355" s="3" t="n">
        <v>3.441665165602074</v>
      </c>
      <c r="BG355" s="3" t="n">
        <v>2.445724527735298</v>
      </c>
      <c r="BH355" s="3" t="n">
        <v>2.789048713823568</v>
      </c>
      <c r="BI355" s="3" t="n">
        <v>2.894411941615363</v>
      </c>
      <c r="BJ355" s="3" t="n">
        <v>3.161404520314626</v>
      </c>
      <c r="BK355" s="3" t="n">
        <v>3.414458330087267</v>
      </c>
      <c r="BL355" s="3" t="n">
        <v>3.650496772480116</v>
      </c>
      <c r="BM355" s="3" t="n">
        <v>3.727932496585102</v>
      </c>
      <c r="BN355" s="3" t="n">
        <v>3.885073980688032</v>
      </c>
      <c r="BO355" s="3" t="n">
        <v>4.047272313369432</v>
      </c>
      <c r="BP355" s="3" t="n">
        <v>4.214490113201476</v>
      </c>
      <c r="BQ355" s="3" t="n">
        <v>4.386839470403712</v>
      </c>
      <c r="BR355" s="3" t="n">
        <v>4.564208267724626</v>
      </c>
      <c r="BS355" s="3" t="n">
        <v>4.746845610494576</v>
      </c>
      <c r="BT355" s="3" t="n">
        <v>4.934377806844848</v>
      </c>
      <c r="BU355" s="3" t="n">
        <v>5.126705196371197</v>
      </c>
      <c r="BV355" s="3" t="n">
        <v>5.323703207216413</v>
      </c>
      <c r="BW355" s="3" t="n">
        <v>5.323698464371515</v>
      </c>
      <c r="BY355" s="20" t="inlineStr">
        <is>
          <t>egy.mit.app.ind.nga.5</t>
        </is>
      </c>
      <c r="BZ355" s="3" t="n">
        <v>3.620839894537909</v>
      </c>
      <c r="CA355" s="3" t="n">
        <v>3.620836668812139</v>
      </c>
      <c r="CB355" s="3" t="n">
        <v>3.441665165602074</v>
      </c>
      <c r="CC355" s="3" t="n">
        <v>2.445724527735298</v>
      </c>
      <c r="CD355" s="3" t="n">
        <v>2.789048713823568</v>
      </c>
      <c r="CE355" s="3" t="n">
        <v>2.894411901896769</v>
      </c>
      <c r="CF355" s="3" t="n">
        <v>3.161404480359473</v>
      </c>
      <c r="CG355" s="3" t="n">
        <v>3.414458293743808</v>
      </c>
      <c r="CH355" s="3" t="n">
        <v>3.650496743823069</v>
      </c>
      <c r="CI355" s="3" t="n">
        <v>3.72793248018323</v>
      </c>
      <c r="CJ355" s="3" t="n">
        <v>3.885073979479008</v>
      </c>
      <c r="CK355" s="3" t="n">
        <v>4.047272331473581</v>
      </c>
      <c r="CL355" s="3" t="n">
        <v>4.214490154552601</v>
      </c>
      <c r="CM355" s="3" t="n">
        <v>4.386839539318696</v>
      </c>
      <c r="CN355" s="3" t="n">
        <v>4.564208356400226</v>
      </c>
      <c r="CO355" s="3" t="n">
        <v>4.746845722019667</v>
      </c>
      <c r="CP355" s="3" t="n">
        <v>4.934377944384432</v>
      </c>
      <c r="CQ355" s="3" t="n">
        <v>5.126705363302858</v>
      </c>
      <c r="CR355" s="3" t="n">
        <v>5.323703407222722</v>
      </c>
      <c r="CS355" s="3" t="n">
        <v>5.323698692735817</v>
      </c>
      <c r="CU355" s="20" t="inlineStr">
        <is>
          <t>egy.mit.app.ind.nga.6</t>
        </is>
      </c>
      <c r="CV355" s="3" t="n">
        <v>3.620839894537909</v>
      </c>
      <c r="CW355" s="3" t="n">
        <v>3.620836668812139</v>
      </c>
      <c r="CX355" s="3" t="n">
        <v>3.441665165602074</v>
      </c>
      <c r="CY355" s="3" t="n">
        <v>2.445724527735298</v>
      </c>
      <c r="CZ355" s="3" t="n">
        <v>2.789048713823568</v>
      </c>
      <c r="DA355" s="3" t="n">
        <v>2.894411941615363</v>
      </c>
      <c r="DB355" s="3" t="n">
        <v>3.161404520314626</v>
      </c>
      <c r="DC355" s="3" t="n">
        <v>3.414458330087267</v>
      </c>
      <c r="DD355" s="3" t="n">
        <v>3.650496772480116</v>
      </c>
      <c r="DE355" s="3" t="n">
        <v>3.727932496585103</v>
      </c>
      <c r="DF355" s="3" t="n">
        <v>3.885073980688032</v>
      </c>
      <c r="DG355" s="3" t="n">
        <v>4.047272313369431</v>
      </c>
      <c r="DH355" s="3" t="n">
        <v>4.214490113201476</v>
      </c>
      <c r="DI355" s="3" t="n">
        <v>4.386839470403711</v>
      </c>
      <c r="DJ355" s="3" t="n">
        <v>4.564208267724626</v>
      </c>
      <c r="DK355" s="3" t="n">
        <v>4.746845610494576</v>
      </c>
      <c r="DL355" s="3" t="n">
        <v>4.934377806844848</v>
      </c>
      <c r="DM355" s="3" t="n">
        <v>5.126705196371197</v>
      </c>
      <c r="DN355" s="3" t="n">
        <v>5.323703207216414</v>
      </c>
      <c r="DO355" s="3" t="n">
        <v>5.323698464371516</v>
      </c>
    </row>
    <row r="356">
      <c r="A356" s="19" t="inlineStr">
        <is>
          <t>mit.app.res.nga</t>
        </is>
      </c>
      <c r="B356" s="3" t="inlineStr">
        <is>
          <t>mit</t>
        </is>
      </c>
      <c r="C356" s="19" t="inlineStr">
        <is>
          <t>mit.app.nga.res</t>
        </is>
      </c>
      <c r="H356" s="3" t="inlineStr">
        <is>
          <t>Air-pollution part of the Pigouvian tax per tonne of CO2 | Residential | Natural gas</t>
        </is>
      </c>
      <c r="I356" s="3" t="inlineStr">
        <is>
          <t>USD/tCO2</t>
        </is>
      </c>
      <c r="K356" s="20" t="inlineStr">
        <is>
          <t>egy.mit.app.res.nga.1</t>
        </is>
      </c>
      <c r="L356" s="3" t="n">
        <v>0.4553730549933558</v>
      </c>
      <c r="M356" s="3" t="n">
        <v>0.4553730549933557</v>
      </c>
      <c r="N356" s="3" t="n">
        <v>0.4328400091743868</v>
      </c>
      <c r="O356" s="3" t="n">
        <v>0.3075861012557635</v>
      </c>
      <c r="P356" s="3" t="n">
        <v>0.3507645176843119</v>
      </c>
      <c r="Q356" s="3" t="n">
        <v>0.3640158410006813</v>
      </c>
      <c r="R356" s="3" t="n">
        <v>0.3975945282316045</v>
      </c>
      <c r="S356" s="3" t="n">
        <v>0.4294202623012773</v>
      </c>
      <c r="T356" s="3" t="n">
        <v>0.4591061089551607</v>
      </c>
      <c r="U356" s="3" t="n">
        <v>0.4688452598072554</v>
      </c>
      <c r="V356" s="3" t="n">
        <v>0.4886086709621575</v>
      </c>
      <c r="W356" s="3" t="n">
        <v>0.5090080955071111</v>
      </c>
      <c r="X356" s="3" t="n">
        <v>0.5300388338357858</v>
      </c>
      <c r="Y356" s="3" t="n">
        <v>0.5517149847671728</v>
      </c>
      <c r="Z356" s="3" t="n">
        <v>0.5740224494822811</v>
      </c>
      <c r="AA356" s="3" t="n">
        <v>0.59699255868998</v>
      </c>
      <c r="AB356" s="3" t="n">
        <v>0.6205783163269653</v>
      </c>
      <c r="AC356" s="3" t="n">
        <v>0.644767190109689</v>
      </c>
      <c r="AD356" s="3" t="n">
        <v>0.6695435146837164</v>
      </c>
      <c r="AE356" s="3" t="n">
        <v>0.6695435146837164</v>
      </c>
      <c r="AG356" s="20" t="inlineStr">
        <is>
          <t>egy.mit.app.res.nga.3</t>
        </is>
      </c>
      <c r="AH356" s="3" t="n">
        <v>0.4553730549933558</v>
      </c>
      <c r="AI356" s="3" t="n">
        <v>0.4553730549933557</v>
      </c>
      <c r="AJ356" s="3" t="n">
        <v>0.4328400091743868</v>
      </c>
      <c r="AK356" s="3" t="n">
        <v>0.3075861012557635</v>
      </c>
      <c r="AL356" s="3" t="n">
        <v>0.3507645176843119</v>
      </c>
      <c r="AM356" s="3" t="n">
        <v>0.3640158410006814</v>
      </c>
      <c r="AN356" s="3" t="n">
        <v>0.3975945282316045</v>
      </c>
      <c r="AO356" s="3" t="n">
        <v>0.4294202623012773</v>
      </c>
      <c r="AP356" s="3" t="n">
        <v>0.4591061089551607</v>
      </c>
      <c r="AQ356" s="3" t="n">
        <v>0.4688452598072554</v>
      </c>
      <c r="AR356" s="3" t="n">
        <v>0.4886086709621575</v>
      </c>
      <c r="AS356" s="3" t="n">
        <v>0.5090080955071111</v>
      </c>
      <c r="AT356" s="3" t="n">
        <v>0.5300388338357858</v>
      </c>
      <c r="AU356" s="3" t="n">
        <v>0.5517149847671727</v>
      </c>
      <c r="AV356" s="3" t="n">
        <v>0.5740224494822811</v>
      </c>
      <c r="AW356" s="3" t="n">
        <v>0.59699255868998</v>
      </c>
      <c r="AX356" s="3" t="n">
        <v>0.6205783163269653</v>
      </c>
      <c r="AY356" s="3" t="n">
        <v>0.644767190109689</v>
      </c>
      <c r="AZ356" s="3" t="n">
        <v>0.6695435146837165</v>
      </c>
      <c r="BA356" s="3" t="n">
        <v>0.6695435146837164</v>
      </c>
      <c r="BC356" s="20" t="inlineStr">
        <is>
          <t>egy.mit.app.res.nga.4</t>
        </is>
      </c>
      <c r="BD356" s="3" t="n">
        <v>0.4553730549933558</v>
      </c>
      <c r="BE356" s="3" t="n">
        <v>0.4553730549933557</v>
      </c>
      <c r="BF356" s="3" t="n">
        <v>0.4328400091743868</v>
      </c>
      <c r="BG356" s="3" t="n">
        <v>0.3075861012557635</v>
      </c>
      <c r="BH356" s="3" t="n">
        <v>0.3507645176843119</v>
      </c>
      <c r="BI356" s="3" t="n">
        <v>0.3640158410006814</v>
      </c>
      <c r="BJ356" s="3" t="n">
        <v>0.3975945282316045</v>
      </c>
      <c r="BK356" s="3" t="n">
        <v>0.4294202623012773</v>
      </c>
      <c r="BL356" s="3" t="n">
        <v>0.4591061089551607</v>
      </c>
      <c r="BM356" s="3" t="n">
        <v>0.4688452598072554</v>
      </c>
      <c r="BN356" s="3" t="n">
        <v>0.4886086709621575</v>
      </c>
      <c r="BO356" s="3" t="n">
        <v>0.5090080955071111</v>
      </c>
      <c r="BP356" s="3" t="n">
        <v>0.5300388338357858</v>
      </c>
      <c r="BQ356" s="3" t="n">
        <v>0.5517149847671728</v>
      </c>
      <c r="BR356" s="3" t="n">
        <v>0.5740224494822811</v>
      </c>
      <c r="BS356" s="3" t="n">
        <v>0.59699255868998</v>
      </c>
      <c r="BT356" s="3" t="n">
        <v>0.6205783163269653</v>
      </c>
      <c r="BU356" s="3" t="n">
        <v>0.644767190109689</v>
      </c>
      <c r="BV356" s="3" t="n">
        <v>0.6695435146837165</v>
      </c>
      <c r="BW356" s="3" t="n">
        <v>0.6695435146837164</v>
      </c>
      <c r="BY356" s="20" t="inlineStr">
        <is>
          <t>egy.mit.app.res.nga.5</t>
        </is>
      </c>
      <c r="BZ356" s="3" t="n">
        <v>0.4553730549933558</v>
      </c>
      <c r="CA356" s="3" t="n">
        <v>0.4553730549933557</v>
      </c>
      <c r="CB356" s="3" t="n">
        <v>0.4328400091743868</v>
      </c>
      <c r="CC356" s="3" t="n">
        <v>0.3075861012557635</v>
      </c>
      <c r="CD356" s="3" t="n">
        <v>0.3507645176843119</v>
      </c>
      <c r="CE356" s="3" t="n">
        <v>0.3640158410006814</v>
      </c>
      <c r="CF356" s="3" t="n">
        <v>0.3975945282316045</v>
      </c>
      <c r="CG356" s="3" t="n">
        <v>0.4294202623012773</v>
      </c>
      <c r="CH356" s="3" t="n">
        <v>0.4591061089551607</v>
      </c>
      <c r="CI356" s="3" t="n">
        <v>0.4688452598072554</v>
      </c>
      <c r="CJ356" s="3" t="n">
        <v>0.4886086709621575</v>
      </c>
      <c r="CK356" s="3" t="n">
        <v>0.5090080955071111</v>
      </c>
      <c r="CL356" s="3" t="n">
        <v>0.5300388338357858</v>
      </c>
      <c r="CM356" s="3" t="n">
        <v>0.551714984767173</v>
      </c>
      <c r="CN356" s="3" t="n">
        <v>0.5740224494822811</v>
      </c>
      <c r="CO356" s="3" t="n">
        <v>0.59699255868998</v>
      </c>
      <c r="CP356" s="3" t="n">
        <v>0.6205783163269653</v>
      </c>
      <c r="CQ356" s="3" t="n">
        <v>0.644767190109689</v>
      </c>
      <c r="CR356" s="3" t="n">
        <v>0.6695435146837165</v>
      </c>
      <c r="CS356" s="3" t="n">
        <v>0.6695435146837164</v>
      </c>
      <c r="CU356" s="20" t="inlineStr">
        <is>
          <t>egy.mit.app.res.nga.6</t>
        </is>
      </c>
      <c r="CV356" s="3" t="n">
        <v>0.4553730549933558</v>
      </c>
      <c r="CW356" s="3" t="n">
        <v>0.4553730549933557</v>
      </c>
      <c r="CX356" s="3" t="n">
        <v>0.4328400091743868</v>
      </c>
      <c r="CY356" s="3" t="n">
        <v>0.3075861012557635</v>
      </c>
      <c r="CZ356" s="3" t="n">
        <v>0.3507645176843119</v>
      </c>
      <c r="DA356" s="3" t="n">
        <v>0.3640158410006813</v>
      </c>
      <c r="DB356" s="3" t="n">
        <v>0.3975945282316044</v>
      </c>
      <c r="DC356" s="3" t="n">
        <v>0.4294202623012773</v>
      </c>
      <c r="DD356" s="3" t="n">
        <v>0.4591061089551607</v>
      </c>
      <c r="DE356" s="3" t="n">
        <v>0.4688452598072554</v>
      </c>
      <c r="DF356" s="3" t="n">
        <v>0.4886086709621575</v>
      </c>
      <c r="DG356" s="3" t="n">
        <v>0.5090080955071111</v>
      </c>
      <c r="DH356" s="3" t="n">
        <v>0.5300388338357858</v>
      </c>
      <c r="DI356" s="3" t="n">
        <v>0.5517149847671728</v>
      </c>
      <c r="DJ356" s="3" t="n">
        <v>0.5740224494822811</v>
      </c>
      <c r="DK356" s="3" t="n">
        <v>0.59699255868998</v>
      </c>
      <c r="DL356" s="3" t="n">
        <v>0.6205783163269653</v>
      </c>
      <c r="DM356" s="3" t="n">
        <v>0.644767190109689</v>
      </c>
      <c r="DN356" s="3" t="n">
        <v>0.6695435146837165</v>
      </c>
      <c r="DO356" s="3" t="n">
        <v>0.6695435146837164</v>
      </c>
    </row>
    <row r="357">
      <c r="A357" s="19" t="inlineStr">
        <is>
          <t>mit.app.pow.nga</t>
        </is>
      </c>
      <c r="B357" s="3" t="inlineStr">
        <is>
          <t>mit</t>
        </is>
      </c>
      <c r="C357" s="19" t="inlineStr">
        <is>
          <t>mit.app.nga.pow</t>
        </is>
      </c>
      <c r="H357" s="3" t="inlineStr">
        <is>
          <t>Air-pollution part of the Pigouvian tax per tonne of CO2 | Power | Natural gas</t>
        </is>
      </c>
      <c r="I357" s="3" t="inlineStr">
        <is>
          <t>USD/tCO2</t>
        </is>
      </c>
      <c r="K357" s="20" t="inlineStr">
        <is>
          <t>egy.mit.app.pow.nga.1</t>
        </is>
      </c>
      <c r="L357" s="3" t="n">
        <v>6.88518348204153</v>
      </c>
      <c r="M357" s="3" t="n">
        <v>6.870818979230522</v>
      </c>
      <c r="N357" s="3" t="n">
        <v>6.517179235649966</v>
      </c>
      <c r="O357" s="3" t="n">
        <v>4.621555351917116</v>
      </c>
      <c r="P357" s="3" t="n">
        <v>5.259256790413565</v>
      </c>
      <c r="Q357" s="3" t="n">
        <v>5.446460425373665</v>
      </c>
      <c r="R357" s="3" t="n">
        <v>5.936327945576915</v>
      </c>
      <c r="S357" s="3" t="n">
        <v>6.397959661751814</v>
      </c>
      <c r="T357" s="3" t="n">
        <v>6.825768709540101</v>
      </c>
      <c r="U357" s="3" t="n">
        <v>6.955776241597643</v>
      </c>
      <c r="V357" s="3" t="n">
        <v>7.233572799479279</v>
      </c>
      <c r="W357" s="3" t="n">
        <v>7.519518257519261</v>
      </c>
      <c r="X357" s="3" t="n">
        <v>7.813483149097803</v>
      </c>
      <c r="Y357" s="3" t="n">
        <v>8.115615121591523</v>
      </c>
      <c r="Z357" s="3" t="n">
        <v>8.42564615138245</v>
      </c>
      <c r="AA357" s="3" t="n">
        <v>8.743975386818299</v>
      </c>
      <c r="AB357" s="3" t="n">
        <v>9.069853264459296</v>
      </c>
      <c r="AC357" s="3" t="n">
        <v>9.403038757347719</v>
      </c>
      <c r="AD357" s="3" t="n">
        <v>9.743246827143274</v>
      </c>
      <c r="AE357" s="3" t="n">
        <v>9.722126430156001</v>
      </c>
      <c r="AG357" s="20" t="inlineStr">
        <is>
          <t>egy.mit.app.pow.nga.3</t>
        </is>
      </c>
      <c r="AH357" s="3" t="n">
        <v>6.88518348204153</v>
      </c>
      <c r="AI357" s="3" t="n">
        <v>6.870818979230522</v>
      </c>
      <c r="AJ357" s="3" t="n">
        <v>6.517179235649966</v>
      </c>
      <c r="AK357" s="3" t="n">
        <v>4.621555351917116</v>
      </c>
      <c r="AL357" s="3" t="n">
        <v>5.259256790413565</v>
      </c>
      <c r="AM357" s="3" t="n">
        <v>5.446460425373665</v>
      </c>
      <c r="AN357" s="3" t="n">
        <v>5.936327945576915</v>
      </c>
      <c r="AO357" s="3" t="n">
        <v>6.397959661751814</v>
      </c>
      <c r="AP357" s="3" t="n">
        <v>6.825768709540101</v>
      </c>
      <c r="AQ357" s="3" t="n">
        <v>6.955776241597643</v>
      </c>
      <c r="AR357" s="3" t="n">
        <v>7.233572799479279</v>
      </c>
      <c r="AS357" s="3" t="n">
        <v>7.519518257519261</v>
      </c>
      <c r="AT357" s="3" t="n">
        <v>7.813483149097803</v>
      </c>
      <c r="AU357" s="3" t="n">
        <v>8.115615121591523</v>
      </c>
      <c r="AV357" s="3" t="n">
        <v>8.42564615138245</v>
      </c>
      <c r="AW357" s="3" t="n">
        <v>8.743975386818299</v>
      </c>
      <c r="AX357" s="3" t="n">
        <v>9.069853264459296</v>
      </c>
      <c r="AY357" s="3" t="n">
        <v>9.403038757347719</v>
      </c>
      <c r="AZ357" s="3" t="n">
        <v>9.743246827143274</v>
      </c>
      <c r="BA357" s="3" t="n">
        <v>9.722126430156001</v>
      </c>
      <c r="BC357" s="20" t="inlineStr">
        <is>
          <t>egy.mit.app.pow.nga.4</t>
        </is>
      </c>
      <c r="BD357" s="3" t="n">
        <v>6.88518348204153</v>
      </c>
      <c r="BE357" s="3" t="n">
        <v>6.870818979230522</v>
      </c>
      <c r="BF357" s="3" t="n">
        <v>6.517179235649966</v>
      </c>
      <c r="BG357" s="3" t="n">
        <v>4.621555351917116</v>
      </c>
      <c r="BH357" s="3" t="n">
        <v>5.259256790413565</v>
      </c>
      <c r="BI357" s="3" t="n">
        <v>5.446460425373665</v>
      </c>
      <c r="BJ357" s="3" t="n">
        <v>5.936327945576915</v>
      </c>
      <c r="BK357" s="3" t="n">
        <v>6.397959661751814</v>
      </c>
      <c r="BL357" s="3" t="n">
        <v>6.825768709540101</v>
      </c>
      <c r="BM357" s="3" t="n">
        <v>6.955776241597643</v>
      </c>
      <c r="BN357" s="3" t="n">
        <v>7.233572799479279</v>
      </c>
      <c r="BO357" s="3" t="n">
        <v>7.519518257519261</v>
      </c>
      <c r="BP357" s="3" t="n">
        <v>7.813483149097803</v>
      </c>
      <c r="BQ357" s="3" t="n">
        <v>8.115615121591523</v>
      </c>
      <c r="BR357" s="3" t="n">
        <v>8.42564615138245</v>
      </c>
      <c r="BS357" s="3" t="n">
        <v>8.743975386818299</v>
      </c>
      <c r="BT357" s="3" t="n">
        <v>9.069853264459296</v>
      </c>
      <c r="BU357" s="3" t="n">
        <v>9.403038757347719</v>
      </c>
      <c r="BV357" s="3" t="n">
        <v>9.743246827143274</v>
      </c>
      <c r="BW357" s="3" t="n">
        <v>9.722126430156001</v>
      </c>
      <c r="BY357" s="20" t="inlineStr">
        <is>
          <t>egy.mit.app.pow.nga.5</t>
        </is>
      </c>
      <c r="BZ357" s="3" t="n">
        <v>6.88518348204153</v>
      </c>
      <c r="CA357" s="3" t="n">
        <v>6.870818979230522</v>
      </c>
      <c r="CB357" s="3" t="n">
        <v>6.517179235649966</v>
      </c>
      <c r="CC357" s="3" t="n">
        <v>4.621555351917116</v>
      </c>
      <c r="CD357" s="3" t="n">
        <v>5.259256790413565</v>
      </c>
      <c r="CE357" s="3" t="n">
        <v>5.446460425373665</v>
      </c>
      <c r="CF357" s="3" t="n">
        <v>5.936327945576915</v>
      </c>
      <c r="CG357" s="3" t="n">
        <v>6.397959661751814</v>
      </c>
      <c r="CH357" s="3" t="n">
        <v>6.825768709540101</v>
      </c>
      <c r="CI357" s="3" t="n">
        <v>6.955776241597643</v>
      </c>
      <c r="CJ357" s="3" t="n">
        <v>7.233572799479279</v>
      </c>
      <c r="CK357" s="3" t="n">
        <v>7.519518257519261</v>
      </c>
      <c r="CL357" s="3" t="n">
        <v>7.813483149097803</v>
      </c>
      <c r="CM357" s="3" t="n">
        <v>8.115615121591523</v>
      </c>
      <c r="CN357" s="3" t="n">
        <v>8.42564615138245</v>
      </c>
      <c r="CO357" s="3" t="n">
        <v>8.743975386818299</v>
      </c>
      <c r="CP357" s="3" t="n">
        <v>9.069853264459296</v>
      </c>
      <c r="CQ357" s="3" t="n">
        <v>9.403038757347719</v>
      </c>
      <c r="CR357" s="3" t="n">
        <v>9.743246827143274</v>
      </c>
      <c r="CS357" s="3" t="n">
        <v>9.722126430156001</v>
      </c>
      <c r="CU357" s="20" t="inlineStr">
        <is>
          <t>egy.mit.app.pow.nga.6</t>
        </is>
      </c>
      <c r="CV357" s="3" t="n">
        <v>6.88518348204153</v>
      </c>
      <c r="CW357" s="3" t="n">
        <v>6.870818979230522</v>
      </c>
      <c r="CX357" s="3" t="n">
        <v>6.517179235649966</v>
      </c>
      <c r="CY357" s="3" t="n">
        <v>4.621555351917116</v>
      </c>
      <c r="CZ357" s="3" t="n">
        <v>5.259256790413565</v>
      </c>
      <c r="DA357" s="3" t="n">
        <v>5.446460425373665</v>
      </c>
      <c r="DB357" s="3" t="n">
        <v>5.936327945576915</v>
      </c>
      <c r="DC357" s="3" t="n">
        <v>6.397959661751814</v>
      </c>
      <c r="DD357" s="3" t="n">
        <v>6.825768709540101</v>
      </c>
      <c r="DE357" s="3" t="n">
        <v>6.955776241597643</v>
      </c>
      <c r="DF357" s="3" t="n">
        <v>7.233572799479279</v>
      </c>
      <c r="DG357" s="3" t="n">
        <v>7.519518257519261</v>
      </c>
      <c r="DH357" s="3" t="n">
        <v>7.813483149097803</v>
      </c>
      <c r="DI357" s="3" t="n">
        <v>8.115615121591523</v>
      </c>
      <c r="DJ357" s="3" t="n">
        <v>8.42564615138245</v>
      </c>
      <c r="DK357" s="3" t="n">
        <v>8.743975386818299</v>
      </c>
      <c r="DL357" s="3" t="n">
        <v>9.069853264459296</v>
      </c>
      <c r="DM357" s="3" t="n">
        <v>9.403038757347719</v>
      </c>
      <c r="DN357" s="3" t="n">
        <v>9.743246827143274</v>
      </c>
      <c r="DO357" s="3" t="n">
        <v>9.722126430156001</v>
      </c>
    </row>
    <row r="358">
      <c r="A358" s="19" t="inlineStr">
        <is>
          <t>mit.app.avg</t>
        </is>
      </c>
      <c r="B358" s="3" t="inlineStr">
        <is>
          <t>mit</t>
        </is>
      </c>
      <c r="C358" s="19" t="inlineStr">
        <is>
          <t>mit.app.co2e.all.all</t>
        </is>
      </c>
      <c r="H358" s="3" t="inlineStr">
        <is>
          <t xml:space="preserve">Air-pollution part of the Pigouvian tax per tonne of CO2 |  | </t>
        </is>
      </c>
      <c r="I358" s="3" t="inlineStr">
        <is>
          <t>USD/tCO2</t>
        </is>
      </c>
      <c r="K358" s="20" t="inlineStr">
        <is>
          <t>egy.mit.app.avg.1</t>
        </is>
      </c>
      <c r="L358" s="3" t="n">
        <v>18.9187178376114</v>
      </c>
      <c r="M358" s="3" t="n">
        <v>19.98373848901692</v>
      </c>
      <c r="N358" s="3" t="n">
        <v>19.32688577444693</v>
      </c>
      <c r="O358" s="3" t="n">
        <v>13.40589562327196</v>
      </c>
      <c r="P358" s="3" t="n">
        <v>15.29644094047685</v>
      </c>
      <c r="Q358" s="3" t="n">
        <v>15.93923035777098</v>
      </c>
      <c r="R358" s="3" t="n">
        <v>17.48963095277191</v>
      </c>
      <c r="S358" s="3" t="n">
        <v>18.96881864250509</v>
      </c>
      <c r="T358" s="3" t="n">
        <v>20.43914188387298</v>
      </c>
      <c r="U358" s="3" t="n">
        <v>20.92112072915228</v>
      </c>
      <c r="V358" s="3" t="n">
        <v>21.87670232873192</v>
      </c>
      <c r="W358" s="3" t="n">
        <v>22.66970732211735</v>
      </c>
      <c r="X358" s="3" t="n">
        <v>23.52841390629185</v>
      </c>
      <c r="Y358" s="3" t="n">
        <v>24.37876749278967</v>
      </c>
      <c r="Z358" s="3" t="n">
        <v>25.25085089774641</v>
      </c>
      <c r="AA358" s="3" t="n">
        <v>26.14160017291573</v>
      </c>
      <c r="AB358" s="3" t="n">
        <v>27.04952873625039</v>
      </c>
      <c r="AC358" s="3" t="n">
        <v>27.97348578267421</v>
      </c>
      <c r="AD358" s="3" t="n">
        <v>28.91152729085715</v>
      </c>
      <c r="AE358" s="3" t="n">
        <v>28.77296088215224</v>
      </c>
      <c r="AG358" s="20" t="inlineStr">
        <is>
          <t>egy.mit.app.avg.3</t>
        </is>
      </c>
      <c r="AH358" s="3" t="n">
        <v>18.9187178376114</v>
      </c>
      <c r="AI358" s="3" t="n">
        <v>19.98769551059358</v>
      </c>
      <c r="AJ358" s="3" t="n">
        <v>19.33002116854364</v>
      </c>
      <c r="AK358" s="3" t="n">
        <v>13.40785499875759</v>
      </c>
      <c r="AL358" s="3" t="n">
        <v>15.29865267184398</v>
      </c>
      <c r="AM358" s="3" t="n">
        <v>15.44634300197085</v>
      </c>
      <c r="AN358" s="3" t="n">
        <v>17.55561129997772</v>
      </c>
      <c r="AO358" s="3" t="n">
        <v>18.62567969326402</v>
      </c>
      <c r="AP358" s="3" t="n">
        <v>20.1316584244376</v>
      </c>
      <c r="AQ358" s="3" t="n">
        <v>20.52415100801791</v>
      </c>
      <c r="AR358" s="3" t="n">
        <v>21.47212022474208</v>
      </c>
      <c r="AS358" s="3" t="n">
        <v>22.20659604690547</v>
      </c>
      <c r="AT358" s="3" t="n">
        <v>23.06750213349464</v>
      </c>
      <c r="AU358" s="3" t="n">
        <v>23.89085791485318</v>
      </c>
      <c r="AV358" s="3" t="n">
        <v>24.73536836882124</v>
      </c>
      <c r="AW358" s="3" t="n">
        <v>25.59534733520031</v>
      </c>
      <c r="AX358" s="3" t="n">
        <v>26.4770760786562</v>
      </c>
      <c r="AY358" s="3" t="n">
        <v>27.3751996728049</v>
      </c>
      <c r="AZ358" s="3" t="n">
        <v>28.29341979534503</v>
      </c>
      <c r="BA358" s="3" t="n">
        <v>28.15872363294343</v>
      </c>
      <c r="BC358" s="20" t="inlineStr">
        <is>
          <t>egy.mit.app.avg.4</t>
        </is>
      </c>
      <c r="BD358" s="3" t="n">
        <v>18.9187178376114</v>
      </c>
      <c r="BE358" s="3" t="n">
        <v>19.9976094632242</v>
      </c>
      <c r="BF358" s="3" t="n">
        <v>19.33787559898342</v>
      </c>
      <c r="BG358" s="3" t="n">
        <v>13.41276340196978</v>
      </c>
      <c r="BH358" s="3" t="n">
        <v>15.30417860987568</v>
      </c>
      <c r="BI358" s="3" t="n">
        <v>15.65380999055492</v>
      </c>
      <c r="BJ358" s="3" t="n">
        <v>17.08905280675709</v>
      </c>
      <c r="BK358" s="3" t="n">
        <v>18.43067004431173</v>
      </c>
      <c r="BL358" s="3" t="n">
        <v>19.47974880831437</v>
      </c>
      <c r="BM358" s="3" t="n">
        <v>19.62834634718648</v>
      </c>
      <c r="BN358" s="3" t="n">
        <v>20.49571427189771</v>
      </c>
      <c r="BO358" s="3" t="n">
        <v>21.14838815062475</v>
      </c>
      <c r="BP358" s="3" t="n">
        <v>22.04372401561404</v>
      </c>
      <c r="BQ358" s="3" t="n">
        <v>22.82162254866713</v>
      </c>
      <c r="BR358" s="3" t="n">
        <v>23.77112967356644</v>
      </c>
      <c r="BS358" s="3" t="n">
        <v>24.6211372085252</v>
      </c>
      <c r="BT358" s="3" t="n">
        <v>25.66064649192442</v>
      </c>
      <c r="BU358" s="3" t="n">
        <v>26.55134553647434</v>
      </c>
      <c r="BV358" s="3" t="n">
        <v>27.70808490845162</v>
      </c>
      <c r="BW358" s="3" t="n">
        <v>27.54163742014191</v>
      </c>
      <c r="BY358" s="20" t="inlineStr">
        <is>
          <t>egy.mit.app.avg.5</t>
        </is>
      </c>
      <c r="BZ358" s="3" t="n">
        <v>18.9187178376114</v>
      </c>
      <c r="CA358" s="3" t="n">
        <v>20.00721537772178</v>
      </c>
      <c r="CB358" s="3" t="n">
        <v>19.3454935284593</v>
      </c>
      <c r="CC358" s="3" t="n">
        <v>13.41752992955767</v>
      </c>
      <c r="CD358" s="3" t="n">
        <v>15.30956345751238</v>
      </c>
      <c r="CE358" s="3" t="n">
        <v>15.28782010059375</v>
      </c>
      <c r="CF358" s="3" t="n">
        <v>16.80056409301612</v>
      </c>
      <c r="CG358" s="3" t="n">
        <v>18.24624740604067</v>
      </c>
      <c r="CH358" s="3" t="n">
        <v>19.70286435834409</v>
      </c>
      <c r="CI358" s="3" t="n">
        <v>20.26406891599439</v>
      </c>
      <c r="CJ358" s="3" t="n">
        <v>21.37637215305565</v>
      </c>
      <c r="CK358" s="3" t="n">
        <v>22.23479340150853</v>
      </c>
      <c r="CL358" s="3" t="n">
        <v>23.45554062650866</v>
      </c>
      <c r="CM358" s="3" t="n">
        <v>24.62546211458928</v>
      </c>
      <c r="CN358" s="3" t="n">
        <v>25.80409885104508</v>
      </c>
      <c r="CO358" s="3" t="n">
        <v>27.08132247362477</v>
      </c>
      <c r="CP358" s="3" t="n">
        <v>28.35185917605759</v>
      </c>
      <c r="CQ358" s="3" t="n">
        <v>29.64067025698456</v>
      </c>
      <c r="CR358" s="3" t="n">
        <v>30.98328269188591</v>
      </c>
      <c r="CS358" s="3" t="n">
        <v>31.1411734738766</v>
      </c>
      <c r="CU358" s="20" t="inlineStr">
        <is>
          <t>egy.mit.app.avg.6</t>
        </is>
      </c>
      <c r="CV358" s="3" t="n">
        <v>18.9187178376114</v>
      </c>
      <c r="CW358" s="3" t="n">
        <v>19.99324578307059</v>
      </c>
      <c r="CX358" s="3" t="n">
        <v>19.33441861324323</v>
      </c>
      <c r="CY358" s="3" t="n">
        <v>13.41060306134122</v>
      </c>
      <c r="CZ358" s="3" t="n">
        <v>15.30174890453427</v>
      </c>
      <c r="DA358" s="3" t="n">
        <v>14.77374225994378</v>
      </c>
      <c r="DB358" s="3" t="n">
        <v>17.62770074274457</v>
      </c>
      <c r="DC358" s="3" t="n">
        <v>18.63516474091589</v>
      </c>
      <c r="DD358" s="3" t="n">
        <v>20.00161929920493</v>
      </c>
      <c r="DE358" s="3" t="n">
        <v>20.08881307250298</v>
      </c>
      <c r="DF358" s="3" t="n">
        <v>21.24821795933983</v>
      </c>
      <c r="DG358" s="3" t="n">
        <v>22.08567044159365</v>
      </c>
      <c r="DH358" s="3" t="n">
        <v>23.21722500597382</v>
      </c>
      <c r="DI358" s="3" t="n">
        <v>24.22610249718062</v>
      </c>
      <c r="DJ358" s="3" t="n">
        <v>25.33903949294877</v>
      </c>
      <c r="DK358" s="3" t="n">
        <v>26.39939220621496</v>
      </c>
      <c r="DL358" s="3" t="n">
        <v>27.55790303039489</v>
      </c>
      <c r="DM358" s="3" t="n">
        <v>28.65873357305042</v>
      </c>
      <c r="DN358" s="3" t="n">
        <v>29.84913524595095</v>
      </c>
      <c r="DO358" s="3" t="n">
        <v>29.85230934412914</v>
      </c>
    </row>
    <row r="359">
      <c r="A359" s="19" t="inlineStr">
        <is>
          <t>mit.scc.all.glo</t>
        </is>
      </c>
      <c r="B359" s="3" t="inlineStr">
        <is>
          <t>mit</t>
        </is>
      </c>
      <c r="C359" s="19" t="inlineStr">
        <is>
          <t>mit.scc</t>
        </is>
      </c>
      <c r="H359" s="3" t="inlineStr">
        <is>
          <t xml:space="preserve">Social cost of carbon: target-consistent, Ricke national and global, manual, US EPA; selected national and global | All sectors | </t>
        </is>
      </c>
      <c r="I359" s="3" t="inlineStr">
        <is>
          <t>USD/tCO2 real</t>
        </is>
      </c>
      <c r="K359" s="20" t="inlineStr">
        <is>
          <t>egy.mit.scc.all.glo.1</t>
        </is>
      </c>
      <c r="L359" s="3" t="n">
        <v>54.80176537514879</v>
      </c>
      <c r="M359" s="3" t="n">
        <v>56.99383599015474</v>
      </c>
      <c r="N359" s="3" t="n">
        <v>59.27358942976094</v>
      </c>
      <c r="O359" s="3" t="n">
        <v>61.64453300695138</v>
      </c>
      <c r="P359" s="3" t="n">
        <v>64.11031432722943</v>
      </c>
      <c r="Q359" s="3" t="n">
        <v>66.6747269003186</v>
      </c>
      <c r="R359" s="3" t="n">
        <v>69.34171597633136</v>
      </c>
      <c r="S359" s="3" t="n">
        <v>72.11538461538461</v>
      </c>
      <c r="T359" s="3" t="n">
        <v>75</v>
      </c>
      <c r="U359" s="3" t="n">
        <v>78</v>
      </c>
      <c r="V359" s="3" t="n">
        <v>81.12</v>
      </c>
      <c r="W359" s="3" t="n">
        <v>84.3648</v>
      </c>
      <c r="X359" s="3" t="n">
        <v>87.73939200000001</v>
      </c>
      <c r="Y359" s="3" t="n">
        <v>91.24896768000001</v>
      </c>
      <c r="Z359" s="3" t="n">
        <v>94.89892638720002</v>
      </c>
      <c r="AA359" s="3" t="n">
        <v>98.69488344268802</v>
      </c>
      <c r="AB359" s="3" t="n">
        <v>102.6426787803955</v>
      </c>
      <c r="AC359" s="3" t="n">
        <v>106.7483859316114</v>
      </c>
      <c r="AD359" s="3" t="n">
        <v>111.0183213688758</v>
      </c>
      <c r="AE359" s="3" t="n">
        <v>115.4590542236309</v>
      </c>
      <c r="AG359" s="20" t="inlineStr">
        <is>
          <t>egy.mit.scc.all.glo.3</t>
        </is>
      </c>
      <c r="AH359" s="3" t="n">
        <v>54.80176537514879</v>
      </c>
      <c r="AI359" s="3" t="n">
        <v>56.99383599015474</v>
      </c>
      <c r="AJ359" s="3" t="n">
        <v>59.27358942976094</v>
      </c>
      <c r="AK359" s="3" t="n">
        <v>61.64453300695138</v>
      </c>
      <c r="AL359" s="3" t="n">
        <v>64.11031432722943</v>
      </c>
      <c r="AM359" s="3" t="n">
        <v>66.6747269003186</v>
      </c>
      <c r="AN359" s="3" t="n">
        <v>69.34171597633136</v>
      </c>
      <c r="AO359" s="3" t="n">
        <v>72.11538461538461</v>
      </c>
      <c r="AP359" s="3" t="n">
        <v>75</v>
      </c>
      <c r="AQ359" s="3" t="n">
        <v>78</v>
      </c>
      <c r="AR359" s="3" t="n">
        <v>81.12</v>
      </c>
      <c r="AS359" s="3" t="n">
        <v>84.3648</v>
      </c>
      <c r="AT359" s="3" t="n">
        <v>87.73939200000001</v>
      </c>
      <c r="AU359" s="3" t="n">
        <v>91.24896768000001</v>
      </c>
      <c r="AV359" s="3" t="n">
        <v>94.89892638720002</v>
      </c>
      <c r="AW359" s="3" t="n">
        <v>98.69488344268802</v>
      </c>
      <c r="AX359" s="3" t="n">
        <v>102.6426787803955</v>
      </c>
      <c r="AY359" s="3" t="n">
        <v>106.7483859316114</v>
      </c>
      <c r="AZ359" s="3" t="n">
        <v>111.0183213688758</v>
      </c>
      <c r="BA359" s="3" t="n">
        <v>115.4590542236309</v>
      </c>
      <c r="BC359" s="20" t="inlineStr">
        <is>
          <t>egy.mit.scc.all.glo.4</t>
        </is>
      </c>
      <c r="BD359" s="3" t="n">
        <v>54.80176537514879</v>
      </c>
      <c r="BE359" s="3" t="n">
        <v>56.99383599015474</v>
      </c>
      <c r="BF359" s="3" t="n">
        <v>59.27358942976094</v>
      </c>
      <c r="BG359" s="3" t="n">
        <v>61.64453300695138</v>
      </c>
      <c r="BH359" s="3" t="n">
        <v>64.11031432722943</v>
      </c>
      <c r="BI359" s="3" t="n">
        <v>66.6747269003186</v>
      </c>
      <c r="BJ359" s="3" t="n">
        <v>69.34171597633136</v>
      </c>
      <c r="BK359" s="3" t="n">
        <v>72.11538461538461</v>
      </c>
      <c r="BL359" s="3" t="n">
        <v>75</v>
      </c>
      <c r="BM359" s="3" t="n">
        <v>78</v>
      </c>
      <c r="BN359" s="3" t="n">
        <v>81.12</v>
      </c>
      <c r="BO359" s="3" t="n">
        <v>84.3648</v>
      </c>
      <c r="BP359" s="3" t="n">
        <v>87.73939200000001</v>
      </c>
      <c r="BQ359" s="3" t="n">
        <v>91.24896768000001</v>
      </c>
      <c r="BR359" s="3" t="n">
        <v>94.89892638720002</v>
      </c>
      <c r="BS359" s="3" t="n">
        <v>98.69488344268802</v>
      </c>
      <c r="BT359" s="3" t="n">
        <v>102.6426787803955</v>
      </c>
      <c r="BU359" s="3" t="n">
        <v>106.7483859316114</v>
      </c>
      <c r="BV359" s="3" t="n">
        <v>111.0183213688758</v>
      </c>
      <c r="BW359" s="3" t="n">
        <v>115.4590542236309</v>
      </c>
      <c r="BY359" s="20" t="inlineStr">
        <is>
          <t>egy.mit.scc.all.glo.5</t>
        </is>
      </c>
      <c r="BZ359" s="3" t="n">
        <v>54.80176537514879</v>
      </c>
      <c r="CA359" s="3" t="n">
        <v>56.99383599015474</v>
      </c>
      <c r="CB359" s="3" t="n">
        <v>59.27358942976094</v>
      </c>
      <c r="CC359" s="3" t="n">
        <v>61.64453300695138</v>
      </c>
      <c r="CD359" s="3" t="n">
        <v>64.11031432722943</v>
      </c>
      <c r="CE359" s="3" t="n">
        <v>66.6747269003186</v>
      </c>
      <c r="CF359" s="3" t="n">
        <v>69.34171597633136</v>
      </c>
      <c r="CG359" s="3" t="n">
        <v>72.11538461538461</v>
      </c>
      <c r="CH359" s="3" t="n">
        <v>75</v>
      </c>
      <c r="CI359" s="3" t="n">
        <v>78</v>
      </c>
      <c r="CJ359" s="3" t="n">
        <v>81.12</v>
      </c>
      <c r="CK359" s="3" t="n">
        <v>84.3648</v>
      </c>
      <c r="CL359" s="3" t="n">
        <v>87.73939200000001</v>
      </c>
      <c r="CM359" s="3" t="n">
        <v>91.24896768000001</v>
      </c>
      <c r="CN359" s="3" t="n">
        <v>94.89892638720002</v>
      </c>
      <c r="CO359" s="3" t="n">
        <v>98.69488344268802</v>
      </c>
      <c r="CP359" s="3" t="n">
        <v>102.6426787803955</v>
      </c>
      <c r="CQ359" s="3" t="n">
        <v>106.7483859316114</v>
      </c>
      <c r="CR359" s="3" t="n">
        <v>111.0183213688758</v>
      </c>
      <c r="CS359" s="3" t="n">
        <v>115.4590542236309</v>
      </c>
      <c r="CU359" s="20" t="inlineStr">
        <is>
          <t>egy.mit.scc.all.glo.6</t>
        </is>
      </c>
      <c r="CV359" s="3" t="n">
        <v>54.80176537514879</v>
      </c>
      <c r="CW359" s="3" t="n">
        <v>56.99383599015474</v>
      </c>
      <c r="CX359" s="3" t="n">
        <v>59.27358942976094</v>
      </c>
      <c r="CY359" s="3" t="n">
        <v>61.64453300695138</v>
      </c>
      <c r="CZ359" s="3" t="n">
        <v>64.11031432722943</v>
      </c>
      <c r="DA359" s="3" t="n">
        <v>66.6747269003186</v>
      </c>
      <c r="DB359" s="3" t="n">
        <v>69.34171597633136</v>
      </c>
      <c r="DC359" s="3" t="n">
        <v>72.11538461538461</v>
      </c>
      <c r="DD359" s="3" t="n">
        <v>75</v>
      </c>
      <c r="DE359" s="3" t="n">
        <v>78</v>
      </c>
      <c r="DF359" s="3" t="n">
        <v>81.12</v>
      </c>
      <c r="DG359" s="3" t="n">
        <v>84.3648</v>
      </c>
      <c r="DH359" s="3" t="n">
        <v>87.73939200000001</v>
      </c>
      <c r="DI359" s="3" t="n">
        <v>91.24896768000001</v>
      </c>
      <c r="DJ359" s="3" t="n">
        <v>94.89892638720002</v>
      </c>
      <c r="DK359" s="3" t="n">
        <v>98.69488344268802</v>
      </c>
      <c r="DL359" s="3" t="n">
        <v>102.6426787803955</v>
      </c>
      <c r="DM359" s="3" t="n">
        <v>106.7483859316114</v>
      </c>
      <c r="DN359" s="3" t="n">
        <v>111.0183213688758</v>
      </c>
      <c r="DO359" s="3" t="n">
        <v>115.4590542236309</v>
      </c>
    </row>
    <row r="360">
      <c r="A360" s="5" t="n"/>
      <c r="B360" s="18" t="inlineStr">
        <is>
          <t>Energy consumption</t>
        </is>
      </c>
      <c r="C360" s="5" t="n"/>
      <c r="D360" s="5" t="n"/>
      <c r="E360" s="5" t="n"/>
      <c r="F360" s="5" t="n"/>
      <c r="G360" s="5" t="n"/>
      <c r="H360" s="5" t="n"/>
      <c r="I360" s="5" t="n"/>
      <c r="J360" s="5" t="n"/>
      <c r="K360" s="5" t="n"/>
      <c r="L360" s="5" t="n"/>
      <c r="M360" s="5" t="n"/>
      <c r="N360" s="5" t="n"/>
      <c r="O360" s="5" t="n"/>
      <c r="P360" s="5" t="n"/>
      <c r="Q360" s="5" t="n"/>
      <c r="R360" s="5" t="n"/>
      <c r="S360" s="5" t="n"/>
      <c r="T360" s="5" t="n"/>
      <c r="U360" s="5" t="n"/>
      <c r="V360" s="5" t="n"/>
      <c r="W360" s="5" t="n"/>
      <c r="X360" s="5" t="n"/>
      <c r="Y360" s="5" t="n"/>
      <c r="Z360" s="5" t="n"/>
      <c r="AA360" s="5" t="n"/>
      <c r="AB360" s="5" t="n"/>
      <c r="AC360" s="5" t="n"/>
      <c r="AD360" s="5" t="n"/>
      <c r="AE360" s="5" t="n"/>
      <c r="AF360" s="5" t="n"/>
      <c r="AG360" s="5" t="n"/>
      <c r="AH360" s="5" t="n"/>
      <c r="AI360" s="5" t="n"/>
      <c r="AJ360" s="5" t="n"/>
      <c r="AK360" s="5" t="n"/>
      <c r="AL360" s="5" t="n"/>
      <c r="AM360" s="5" t="n"/>
      <c r="AN360" s="5" t="n"/>
      <c r="AO360" s="5" t="n"/>
      <c r="AP360" s="5" t="n"/>
      <c r="AQ360" s="5" t="n"/>
      <c r="AR360" s="5" t="n"/>
      <c r="AS360" s="5" t="n"/>
      <c r="AT360" s="5" t="n"/>
      <c r="AU360" s="5" t="n"/>
      <c r="AV360" s="5" t="n"/>
      <c r="AW360" s="5" t="n"/>
      <c r="AX360" s="5" t="n"/>
      <c r="AY360" s="5" t="n"/>
      <c r="AZ360" s="5" t="n"/>
      <c r="BA360" s="5" t="n"/>
      <c r="BB360" s="5" t="n"/>
      <c r="BC360" s="5" t="n"/>
      <c r="BD360" s="5" t="n"/>
      <c r="BE360" s="5" t="n"/>
      <c r="BF360" s="5" t="n"/>
      <c r="BG360" s="5" t="n"/>
      <c r="BH360" s="5" t="n"/>
      <c r="BI360" s="5" t="n"/>
      <c r="BJ360" s="5" t="n"/>
      <c r="BK360" s="5" t="n"/>
      <c r="BL360" s="5" t="n"/>
      <c r="BM360" s="5" t="n"/>
      <c r="BN360" s="5" t="n"/>
      <c r="BO360" s="5" t="n"/>
      <c r="BP360" s="5" t="n"/>
      <c r="BQ360" s="5" t="n"/>
      <c r="BR360" s="5" t="n"/>
      <c r="BS360" s="5" t="n"/>
      <c r="BT360" s="5" t="n"/>
      <c r="BU360" s="5" t="n"/>
      <c r="BV360" s="5" t="n"/>
      <c r="BW360" s="5" t="n"/>
      <c r="BX360" s="5" t="n"/>
      <c r="BY360" s="5" t="n"/>
      <c r="BZ360" s="5" t="n"/>
      <c r="CA360" s="5" t="n"/>
      <c r="CB360" s="5" t="n"/>
      <c r="CC360" s="5" t="n"/>
      <c r="CD360" s="5" t="n"/>
      <c r="CE360" s="5" t="n"/>
      <c r="CF360" s="5" t="n"/>
      <c r="CG360" s="5" t="n"/>
      <c r="CH360" s="5" t="n"/>
      <c r="CI360" s="5" t="n"/>
      <c r="CJ360" s="5" t="n"/>
      <c r="CK360" s="5" t="n"/>
      <c r="CL360" s="5" t="n"/>
      <c r="CM360" s="5" t="n"/>
      <c r="CN360" s="5" t="n"/>
      <c r="CO360" s="5" t="n"/>
      <c r="CP360" s="5" t="n"/>
      <c r="CQ360" s="5" t="n"/>
      <c r="CR360" s="5" t="n"/>
      <c r="CS360" s="5" t="n"/>
      <c r="CT360" s="5" t="n"/>
      <c r="CU360" s="5" t="n"/>
      <c r="CV360" s="5" t="n"/>
      <c r="CW360" s="5" t="n"/>
      <c r="CX360" s="5" t="n"/>
      <c r="CY360" s="5" t="n"/>
      <c r="CZ360" s="5" t="n"/>
      <c r="DA360" s="5" t="n"/>
      <c r="DB360" s="5" t="n"/>
      <c r="DC360" s="5" t="n"/>
      <c r="DD360" s="5" t="n"/>
      <c r="DE360" s="5" t="n"/>
      <c r="DF360" s="5" t="n"/>
      <c r="DG360" s="5" t="n"/>
      <c r="DH360" s="5" t="n"/>
      <c r="DI360" s="5" t="n"/>
      <c r="DJ360" s="5" t="n"/>
      <c r="DK360" s="5" t="n"/>
      <c r="DL360" s="5" t="n"/>
      <c r="DM360" s="5" t="n"/>
      <c r="DN360" s="5" t="n"/>
      <c r="DO360" s="5" t="n"/>
      <c r="DP360" s="5" t="n"/>
      <c r="DQ360" s="5" t="n"/>
      <c r="DR360" s="5" t="n"/>
      <c r="DS360" s="5" t="n"/>
      <c r="DT360" s="5" t="n"/>
      <c r="DU360" s="5" t="n"/>
      <c r="DV360" s="5" t="n"/>
      <c r="DW360" s="5" t="n"/>
      <c r="DX360" s="5" t="n"/>
      <c r="DY360" s="5" t="n"/>
      <c r="DZ360" s="5" t="n"/>
      <c r="EA360" s="5" t="n"/>
      <c r="EB360" s="5" t="n"/>
      <c r="EC360" s="5" t="n"/>
      <c r="ED360" s="5" t="n"/>
      <c r="EE360" s="5" t="n"/>
      <c r="EF360" s="5" t="n"/>
      <c r="EG360" s="5" t="n"/>
      <c r="EH360" s="5" t="n"/>
      <c r="EI360" s="5" t="n"/>
      <c r="EJ360" s="5" t="n"/>
      <c r="EK360" s="5" t="n"/>
      <c r="EL360" s="5" t="n"/>
      <c r="EM360" s="5" t="n"/>
      <c r="EN360" s="5" t="n"/>
      <c r="EO360" s="5" t="n"/>
      <c r="EP360" s="5" t="n"/>
      <c r="EQ360" s="5" t="n"/>
      <c r="ER360" s="5" t="n"/>
      <c r="ES360" s="5" t="n"/>
      <c r="ET360" s="5" t="n"/>
      <c r="EU360" s="5" t="n"/>
      <c r="EV360" s="5" t="n"/>
      <c r="EW360" s="5" t="n"/>
      <c r="EX360" s="5" t="n"/>
      <c r="EY360" s="5" t="n"/>
      <c r="EZ360" s="5" t="n"/>
      <c r="FA360" s="5" t="n"/>
      <c r="FB360" s="5" t="n"/>
      <c r="FC360" s="5" t="n"/>
      <c r="FD360" s="5" t="n"/>
      <c r="FE360" s="5" t="n"/>
      <c r="FF360" s="5" t="n"/>
      <c r="FG360" s="5" t="n"/>
      <c r="FH360" s="5" t="n"/>
      <c r="FI360" s="5" t="n"/>
      <c r="FJ360" s="5" t="n"/>
      <c r="FK360" s="5" t="n"/>
      <c r="FL360" s="5" t="n"/>
      <c r="FM360" s="5" t="n"/>
      <c r="FN360" s="5" t="n"/>
      <c r="FO360" s="5" t="n"/>
      <c r="FP360" s="5" t="n"/>
      <c r="FQ360" s="5" t="n"/>
      <c r="FR360" s="5" t="n"/>
      <c r="FS360" s="5" t="n"/>
      <c r="FT360" s="5" t="n"/>
      <c r="FU360" s="5" t="n"/>
      <c r="FV360" s="5" t="n"/>
      <c r="FW360" s="5" t="n"/>
      <c r="FX360" s="5" t="n"/>
      <c r="FY360" s="5" t="n"/>
      <c r="FZ360" s="5" t="n"/>
      <c r="GA360" s="5" t="n"/>
      <c r="GB360" s="5" t="n"/>
      <c r="GC360" s="5" t="n"/>
      <c r="GD360" s="5" t="n"/>
      <c r="GE360" s="5" t="n"/>
      <c r="GF360" s="5" t="n"/>
      <c r="GG360" s="5" t="n"/>
      <c r="GH360" s="5" t="n"/>
      <c r="GI360" s="5" t="n"/>
      <c r="GJ360" s="5" t="n"/>
      <c r="GK360" s="5" t="n"/>
      <c r="GL360" s="5" t="n"/>
      <c r="GM360" s="5" t="n"/>
      <c r="GN360" s="5" t="n"/>
      <c r="GO360" s="5" t="n"/>
      <c r="GP360" s="5" t="n"/>
      <c r="GQ360" s="5" t="n"/>
      <c r="GR360" s="5" t="n"/>
      <c r="GS360" s="5" t="n"/>
      <c r="GT360" s="5" t="n"/>
      <c r="GU360" s="5" t="n"/>
      <c r="GV360" s="5" t="n"/>
      <c r="GW360" s="5" t="n"/>
      <c r="GX360" s="5" t="n"/>
      <c r="GY360" s="5" t="n"/>
      <c r="GZ360" s="5" t="n"/>
      <c r="HA360" s="5" t="n"/>
      <c r="HB360" s="5" t="n"/>
      <c r="HC360" s="5" t="n"/>
      <c r="HD360" s="5" t="n"/>
      <c r="HE360" s="5" t="n"/>
      <c r="HF360" s="5" t="n"/>
      <c r="HG360" s="5" t="n"/>
      <c r="HH360" s="5" t="n"/>
      <c r="HI360" s="5" t="n"/>
      <c r="HJ360" s="5" t="n"/>
      <c r="HK360" s="5" t="n"/>
      <c r="HL360" s="5" t="n"/>
      <c r="HM360" s="5" t="n"/>
      <c r="HN360" s="5" t="n"/>
      <c r="HO360" s="5" t="n"/>
      <c r="HP360" s="5" t="n"/>
      <c r="HQ360" s="5" t="n"/>
      <c r="HR360" s="5" t="n"/>
      <c r="HS360" s="5" t="n"/>
      <c r="HT360" s="5" t="n"/>
      <c r="HU360" s="5" t="n"/>
      <c r="HV360" s="5" t="n"/>
    </row>
    <row r="361">
      <c r="A361" s="14" t="n"/>
      <c r="B361" s="3" t="inlineStr">
        <is>
          <t>mit</t>
        </is>
      </c>
      <c r="C361" s="19" t="inlineStr">
        <is>
          <t>mit.ener.con.tot</t>
        </is>
      </c>
      <c r="H361" s="14" t="inlineStr">
        <is>
          <t>Total Energy consumption, ktoe (baseline)</t>
        </is>
      </c>
      <c r="I361" s="14" t="inlineStr">
        <is>
          <t>ktoe</t>
        </is>
      </c>
    </row>
    <row r="362">
      <c r="A362" s="19" t="inlineStr">
        <is>
          <t>mit.ener.tot.coa</t>
        </is>
      </c>
      <c r="B362" s="3" t="inlineStr">
        <is>
          <t>mit</t>
        </is>
      </c>
      <c r="C362" s="19" t="inlineStr">
        <is>
          <t>mit.ener.con.coa</t>
        </is>
      </c>
      <c r="H362" s="3" t="inlineStr">
        <is>
          <t>Fuel use | All sectors | Coal</t>
        </is>
      </c>
      <c r="I362" s="3" t="inlineStr">
        <is>
          <t>ktoe</t>
        </is>
      </c>
      <c r="K362" s="20" t="inlineStr">
        <is>
          <t>egy.mit.ener.tot.coa.1</t>
        </is>
      </c>
      <c r="L362" s="3" t="n">
        <v>1650.146533298692</v>
      </c>
      <c r="M362" s="3" t="n">
        <v>1532.786664288859</v>
      </c>
      <c r="N362" s="3" t="n">
        <v>1839.878321759066</v>
      </c>
      <c r="O362" s="3" t="n">
        <v>1991.737154005476</v>
      </c>
      <c r="P362" s="3" t="n">
        <v>1958.267685252716</v>
      </c>
      <c r="Q362" s="3" t="n">
        <v>1983.135691843965</v>
      </c>
      <c r="R362" s="3" t="n">
        <v>2036.903264001814</v>
      </c>
      <c r="S362" s="3" t="n">
        <v>2089.080010370621</v>
      </c>
      <c r="T362" s="3" t="n">
        <v>2138.855360796442</v>
      </c>
      <c r="U362" s="3" t="n">
        <v>2188.717019929356</v>
      </c>
      <c r="V362" s="3" t="n">
        <v>2230.134854273929</v>
      </c>
      <c r="W362" s="3" t="n">
        <v>2271.65696884375</v>
      </c>
      <c r="X362" s="3" t="n">
        <v>2313.271531587302</v>
      </c>
      <c r="Y362" s="3" t="n">
        <v>2354.966814836205</v>
      </c>
      <c r="Z362" s="3" t="n">
        <v>2396.731185363894</v>
      </c>
      <c r="AA362" s="3" t="n">
        <v>2438.553093378465</v>
      </c>
      <c r="AB362" s="3" t="n">
        <v>2480.421060504355</v>
      </c>
      <c r="AC362" s="3" t="n">
        <v>2522.323666804121</v>
      </c>
      <c r="AD362" s="3" t="n">
        <v>2564.249536887997</v>
      </c>
      <c r="AE362" s="3" t="n">
        <v>2606.187325155465</v>
      </c>
      <c r="AG362" s="20" t="inlineStr">
        <is>
          <t>egy.mit.ener.tot.coa.3</t>
        </is>
      </c>
      <c r="AH362" s="3" t="n">
        <v>1650.146533298692</v>
      </c>
      <c r="AI362" s="3" t="n">
        <v>1532.786664288859</v>
      </c>
      <c r="AJ362" s="3" t="n">
        <v>1839.878321759066</v>
      </c>
      <c r="AK362" s="3" t="n">
        <v>1991.737154005476</v>
      </c>
      <c r="AL362" s="3" t="n">
        <v>1958.267685252716</v>
      </c>
      <c r="AM362" s="3" t="n">
        <v>1725.125643143156</v>
      </c>
      <c r="AN362" s="3" t="n">
        <v>1770.556130628022</v>
      </c>
      <c r="AO362" s="3" t="n">
        <v>1814.945811412463</v>
      </c>
      <c r="AP362" s="3" t="n">
        <v>1855.326792228876</v>
      </c>
      <c r="AQ362" s="3" t="n">
        <v>1897.141194045165</v>
      </c>
      <c r="AR362" s="3" t="n">
        <v>1932.540519606279</v>
      </c>
      <c r="AS362" s="3" t="n">
        <v>1969.187784026381</v>
      </c>
      <c r="AT362" s="3" t="n">
        <v>2006.480051762342</v>
      </c>
      <c r="AU362" s="3" t="n">
        <v>2043.589179400644</v>
      </c>
      <c r="AV362" s="3" t="n">
        <v>2081.009313198109</v>
      </c>
      <c r="AW362" s="3" t="n">
        <v>2119.056307858204</v>
      </c>
      <c r="AX362" s="3" t="n">
        <v>2156.631942875857</v>
      </c>
      <c r="AY362" s="3" t="n">
        <v>2193.963826790606</v>
      </c>
      <c r="AZ362" s="3" t="n">
        <v>2230.656958615677</v>
      </c>
      <c r="BA362" s="3" t="n">
        <v>2267.172146235037</v>
      </c>
      <c r="BC362" s="20" t="inlineStr">
        <is>
          <t>egy.mit.ener.tot.coa.4</t>
        </is>
      </c>
      <c r="BD362" s="3" t="n">
        <v>1650.146533298692</v>
      </c>
      <c r="BE362" s="3" t="n">
        <v>1532.786664288859</v>
      </c>
      <c r="BF362" s="3" t="n">
        <v>1839.878321759066</v>
      </c>
      <c r="BG362" s="3" t="n">
        <v>1991.737154005476</v>
      </c>
      <c r="BH362" s="3" t="n">
        <v>1958.267685252716</v>
      </c>
      <c r="BI362" s="3" t="n">
        <v>1812.237636125087</v>
      </c>
      <c r="BJ362" s="3" t="n">
        <v>1680.311059614262</v>
      </c>
      <c r="BK362" s="3" t="n">
        <v>1578.820776027927</v>
      </c>
      <c r="BL362" s="3" t="n">
        <v>1496.171413859921</v>
      </c>
      <c r="BM362" s="3" t="n">
        <v>1445.417142044528</v>
      </c>
      <c r="BN362" s="3" t="n">
        <v>1399.5911018933</v>
      </c>
      <c r="BO362" s="3" t="n">
        <v>1360.702595231216</v>
      </c>
      <c r="BP362" s="3" t="n">
        <v>1327.664791041659</v>
      </c>
      <c r="BQ362" s="3" t="n">
        <v>1299.286110881455</v>
      </c>
      <c r="BR362" s="3" t="n">
        <v>1274.780127246697</v>
      </c>
      <c r="BS362" s="3" t="n">
        <v>1253.675872970996</v>
      </c>
      <c r="BT362" s="3" t="n">
        <v>1235.295148183428</v>
      </c>
      <c r="BU362" s="3" t="n">
        <v>1219.138637379859</v>
      </c>
      <c r="BV362" s="3" t="n">
        <v>1204.640750590843</v>
      </c>
      <c r="BW362" s="3" t="n">
        <v>1191.510210140438</v>
      </c>
      <c r="BY362" s="20" t="inlineStr">
        <is>
          <t>egy.mit.ener.tot.coa.5</t>
        </is>
      </c>
      <c r="BZ362" s="3" t="n">
        <v>1650.146533298692</v>
      </c>
      <c r="CA362" s="3" t="n">
        <v>1532.786664288859</v>
      </c>
      <c r="CB362" s="3" t="n">
        <v>1839.878321759066</v>
      </c>
      <c r="CC362" s="3" t="n">
        <v>1991.737154005476</v>
      </c>
      <c r="CD362" s="3" t="n">
        <v>1958.267685252716</v>
      </c>
      <c r="CE362" s="3" t="n">
        <v>1789.635733648577</v>
      </c>
      <c r="CF362" s="3" t="n">
        <v>1780.151383896623</v>
      </c>
      <c r="CG362" s="3" t="n">
        <v>1772.782913052373</v>
      </c>
      <c r="CH362" s="3" t="n">
        <v>1764.501837365858</v>
      </c>
      <c r="CI362" s="3" t="n">
        <v>1760.722982288877</v>
      </c>
      <c r="CJ362" s="3" t="n">
        <v>1753.193066660991</v>
      </c>
      <c r="CK362" s="3" t="n">
        <v>1748.058420427416</v>
      </c>
      <c r="CL362" s="3" t="n">
        <v>1744.745467890976</v>
      </c>
      <c r="CM362" s="3" t="n">
        <v>1742.462868345084</v>
      </c>
      <c r="CN362" s="3" t="n">
        <v>1758.279684499716</v>
      </c>
      <c r="CO362" s="3" t="n">
        <v>1774.131423260612</v>
      </c>
      <c r="CP362" s="3" t="n">
        <v>1789.430475432286</v>
      </c>
      <c r="CQ362" s="3" t="n">
        <v>1804.481311908424</v>
      </c>
      <c r="CR362" s="3" t="n">
        <v>1818.842928280204</v>
      </c>
      <c r="CS362" s="3" t="n">
        <v>1832.984281405942</v>
      </c>
      <c r="CU362" s="20" t="inlineStr">
        <is>
          <t>egy.mit.ener.tot.coa.6</t>
        </is>
      </c>
      <c r="CV362" s="3" t="n">
        <v>1650.146533298692</v>
      </c>
      <c r="CW362" s="3" t="n">
        <v>1532.786664288859</v>
      </c>
      <c r="CX362" s="3" t="n">
        <v>1839.878321759066</v>
      </c>
      <c r="CY362" s="3" t="n">
        <v>1991.737154005476</v>
      </c>
      <c r="CZ362" s="3" t="n">
        <v>1958.267685252716</v>
      </c>
      <c r="DA362" s="3" t="n">
        <v>1468.287188970895</v>
      </c>
      <c r="DB362" s="3" t="n">
        <v>1505.935636582204</v>
      </c>
      <c r="DC362" s="3" t="n">
        <v>1543.073533741617</v>
      </c>
      <c r="DD362" s="3" t="n">
        <v>1574.95330267873</v>
      </c>
      <c r="DE362" s="3" t="n">
        <v>1609.519216590356</v>
      </c>
      <c r="DF362" s="3" t="n">
        <v>1638.990574656416</v>
      </c>
      <c r="DG362" s="3" t="n">
        <v>1670.789025700697</v>
      </c>
      <c r="DH362" s="3" t="n">
        <v>1703.519499855777</v>
      </c>
      <c r="DI362" s="3" t="n">
        <v>1735.90778547232</v>
      </c>
      <c r="DJ362" s="3" t="n">
        <v>1768.782471236893</v>
      </c>
      <c r="DK362" s="3" t="n">
        <v>1802.746146150572</v>
      </c>
      <c r="DL362" s="3" t="n">
        <v>1835.789484670458</v>
      </c>
      <c r="DM362" s="3" t="n">
        <v>1868.424196846173</v>
      </c>
      <c r="DN362" s="3" t="n">
        <v>1899.892218298179</v>
      </c>
      <c r="DO362" s="3" t="n">
        <v>1931.072204836543</v>
      </c>
    </row>
    <row r="363">
      <c r="A363" s="19" t="inlineStr">
        <is>
          <t>mit.ener.tot.nga</t>
        </is>
      </c>
      <c r="B363" s="3" t="inlineStr">
        <is>
          <t>mit</t>
        </is>
      </c>
      <c r="C363" s="19" t="inlineStr">
        <is>
          <t>mit.ener.con.nga</t>
        </is>
      </c>
      <c r="H363" s="3" t="inlineStr">
        <is>
          <t>Fuel use | All sectors | Natural gas</t>
        </is>
      </c>
      <c r="I363" s="3" t="inlineStr">
        <is>
          <t>ktoe</t>
        </is>
      </c>
      <c r="K363" s="20" t="inlineStr">
        <is>
          <t>egy.mit.ener.tot.nga.1</t>
        </is>
      </c>
      <c r="L363" s="3" t="n">
        <v>41784.58076331811</v>
      </c>
      <c r="M363" s="3" t="n">
        <v>38421.15728921743</v>
      </c>
      <c r="N363" s="3" t="n">
        <v>45942.06781711052</v>
      </c>
      <c r="O363" s="3" t="n">
        <v>49717.0976406847</v>
      </c>
      <c r="P363" s="3" t="n">
        <v>50303.24284800283</v>
      </c>
      <c r="Q363" s="3" t="n">
        <v>50536.21363925395</v>
      </c>
      <c r="R363" s="3" t="n">
        <v>50847.62411773636</v>
      </c>
      <c r="S363" s="3" t="n">
        <v>51114.8679851334</v>
      </c>
      <c r="T363" s="3" t="n">
        <v>50753.34693208348</v>
      </c>
      <c r="U363" s="3" t="n">
        <v>51135.46693584661</v>
      </c>
      <c r="V363" s="3" t="n">
        <v>51347.00877995646</v>
      </c>
      <c r="W363" s="3" t="n">
        <v>52805.92291282739</v>
      </c>
      <c r="X363" s="3" t="n">
        <v>53985.34087778068</v>
      </c>
      <c r="Y363" s="3" t="n">
        <v>55368.5231238726</v>
      </c>
      <c r="Z363" s="3" t="n">
        <v>56753.5916730657</v>
      </c>
      <c r="AA363" s="3" t="n">
        <v>58166.38615105546</v>
      </c>
      <c r="AB363" s="3" t="n">
        <v>59600.76161289991</v>
      </c>
      <c r="AC363" s="3" t="n">
        <v>61058.1388023629</v>
      </c>
      <c r="AD363" s="3" t="n">
        <v>62543.93059078633</v>
      </c>
      <c r="AE363" s="3" t="n">
        <v>64060.08019520374</v>
      </c>
      <c r="AG363" s="20" t="inlineStr">
        <is>
          <t>egy.mit.ener.tot.nga.3</t>
        </is>
      </c>
      <c r="AH363" s="3" t="n">
        <v>41784.58076331811</v>
      </c>
      <c r="AI363" s="3" t="n">
        <v>38400.03170545927</v>
      </c>
      <c r="AJ363" s="3" t="n">
        <v>45921.71910378708</v>
      </c>
      <c r="AK363" s="3" t="n">
        <v>49697.50140467197</v>
      </c>
      <c r="AL363" s="3" t="n">
        <v>50283.59300887474</v>
      </c>
      <c r="AM363" s="3" t="n">
        <v>47695.47757350675</v>
      </c>
      <c r="AN363" s="3" t="n">
        <v>43602.30453092382</v>
      </c>
      <c r="AO363" s="3" t="n">
        <v>46570.87608245527</v>
      </c>
      <c r="AP363" s="3" t="n">
        <v>45815.55819013058</v>
      </c>
      <c r="AQ363" s="3" t="n">
        <v>46674.79224139658</v>
      </c>
      <c r="AR363" s="3" t="n">
        <v>46787.75754589321</v>
      </c>
      <c r="AS363" s="3" t="n">
        <v>48387.87086812971</v>
      </c>
      <c r="AT363" s="3" t="n">
        <v>49371.62143801709</v>
      </c>
      <c r="AU363" s="3" t="n">
        <v>50710.09547954825</v>
      </c>
      <c r="AV363" s="3" t="n">
        <v>52055.98720963967</v>
      </c>
      <c r="AW363" s="3" t="n">
        <v>53456.79794634927</v>
      </c>
      <c r="AX363" s="3" t="n">
        <v>54834.42289695087</v>
      </c>
      <c r="AY363" s="3" t="n">
        <v>56220.94229147943</v>
      </c>
      <c r="AZ363" s="3" t="n">
        <v>57579.66898922028</v>
      </c>
      <c r="BA363" s="3" t="n">
        <v>58956.7165040982</v>
      </c>
      <c r="BC363" s="20" t="inlineStr">
        <is>
          <t>egy.mit.ener.tot.nga.4</t>
        </is>
      </c>
      <c r="BD363" s="3" t="n">
        <v>41784.58076331811</v>
      </c>
      <c r="BE363" s="3" t="n">
        <v>38347.15943243118</v>
      </c>
      <c r="BF363" s="3" t="n">
        <v>45870.78753181059</v>
      </c>
      <c r="BG363" s="3" t="n">
        <v>49648.44950682821</v>
      </c>
      <c r="BH363" s="3" t="n">
        <v>50234.53635029662</v>
      </c>
      <c r="BI363" s="3" t="n">
        <v>48701.62020836602</v>
      </c>
      <c r="BJ363" s="3" t="n">
        <v>44924.87643394911</v>
      </c>
      <c r="BK363" s="3" t="n">
        <v>41973.00782581875</v>
      </c>
      <c r="BL363" s="3" t="n">
        <v>40586.86295776553</v>
      </c>
      <c r="BM363" s="3" t="n">
        <v>40063.13138163753</v>
      </c>
      <c r="BN363" s="3" t="n">
        <v>38112.24845622701</v>
      </c>
      <c r="BO363" s="3" t="n">
        <v>37579.4669650001</v>
      </c>
      <c r="BP363" s="3" t="n">
        <v>36141.62853340232</v>
      </c>
      <c r="BQ363" s="3" t="n">
        <v>35490.26681092082</v>
      </c>
      <c r="BR363" s="3" t="n">
        <v>34323.4264563057</v>
      </c>
      <c r="BS363" s="3" t="n">
        <v>33767.31610196498</v>
      </c>
      <c r="BT363" s="3" t="n">
        <v>32671.38765333809</v>
      </c>
      <c r="BU363" s="3" t="n">
        <v>32269.27299682295</v>
      </c>
      <c r="BV363" s="3" t="n">
        <v>31107.25844706759</v>
      </c>
      <c r="BW363" s="3" t="n">
        <v>30968.24524821357</v>
      </c>
      <c r="BY363" s="20" t="inlineStr">
        <is>
          <t>egy.mit.ener.tot.nga.5</t>
        </is>
      </c>
      <c r="BZ363" s="3" t="n">
        <v>41784.58076331811</v>
      </c>
      <c r="CA363" s="3" t="n">
        <v>38296.0060867245</v>
      </c>
      <c r="CB363" s="3" t="n">
        <v>45821.44911523857</v>
      </c>
      <c r="CC363" s="3" t="n">
        <v>49600.86783040257</v>
      </c>
      <c r="CD363" s="3" t="n">
        <v>50186.78412234886</v>
      </c>
      <c r="CE363" s="3" t="n">
        <v>47397.04821268018</v>
      </c>
      <c r="CF363" s="3" t="n">
        <v>47531.90390169288</v>
      </c>
      <c r="CG363" s="3" t="n">
        <v>47655.281853454</v>
      </c>
      <c r="CH363" s="3" t="n">
        <v>47054.50741378171</v>
      </c>
      <c r="CI363" s="3" t="n">
        <v>46832.09087869215</v>
      </c>
      <c r="CJ363" s="3" t="n">
        <v>45909.87495681459</v>
      </c>
      <c r="CK363" s="3" t="n">
        <v>46752.83469041526</v>
      </c>
      <c r="CL363" s="3" t="n">
        <v>45698.72812527628</v>
      </c>
      <c r="CM363" s="3" t="n">
        <v>45179.68119209178</v>
      </c>
      <c r="CN363" s="3" t="n">
        <v>44817.12260200587</v>
      </c>
      <c r="CO363" s="3" t="n">
        <v>44184.87484149584</v>
      </c>
      <c r="CP363" s="3" t="n">
        <v>43770.2788149629</v>
      </c>
      <c r="CQ363" s="3" t="n">
        <v>43442.04645136587</v>
      </c>
      <c r="CR363" s="3" t="n">
        <v>43030.57992770842</v>
      </c>
      <c r="CS363" s="3" t="n">
        <v>42791.87900119549</v>
      </c>
      <c r="CU363" s="20" t="inlineStr">
        <is>
          <t>egy.mit.ener.tot.nga.6</t>
        </is>
      </c>
      <c r="CV363" s="3" t="n">
        <v>41784.58076331811</v>
      </c>
      <c r="CW363" s="3" t="n">
        <v>38370.4216077247</v>
      </c>
      <c r="CX363" s="3" t="n">
        <v>45893.19645272976</v>
      </c>
      <c r="CY363" s="3" t="n">
        <v>49670.03201952761</v>
      </c>
      <c r="CZ363" s="3" t="n">
        <v>50256.09947240418</v>
      </c>
      <c r="DA363" s="3" t="n">
        <v>45224.45622572546</v>
      </c>
      <c r="DB363" s="3" t="n">
        <v>36232.37459452851</v>
      </c>
      <c r="DC363" s="3" t="n">
        <v>39113.65631031987</v>
      </c>
      <c r="DD363" s="3" t="n">
        <v>39180.79150715405</v>
      </c>
      <c r="DE363" s="3" t="n">
        <v>41605.90606903973</v>
      </c>
      <c r="DF363" s="3" t="n">
        <v>40434.52131148635</v>
      </c>
      <c r="DG363" s="3" t="n">
        <v>41245.50135189707</v>
      </c>
      <c r="DH363" s="3" t="n">
        <v>40709.22533309725</v>
      </c>
      <c r="DI363" s="3" t="n">
        <v>40950.22379538265</v>
      </c>
      <c r="DJ363" s="3" t="n">
        <v>40850.23225435481</v>
      </c>
      <c r="DK363" s="3" t="n">
        <v>41166.05929050402</v>
      </c>
      <c r="DL363" s="3" t="n">
        <v>41148.75716758047</v>
      </c>
      <c r="DM363" s="3" t="n">
        <v>41494.05360162376</v>
      </c>
      <c r="DN363" s="3" t="n">
        <v>41545.96700118888</v>
      </c>
      <c r="DO363" s="3" t="n">
        <v>41928.47665454952</v>
      </c>
    </row>
    <row r="364">
      <c r="A364" s="19" t="inlineStr">
        <is>
          <t>mit.ener.tot.oop</t>
        </is>
      </c>
      <c r="B364" s="3" t="inlineStr">
        <is>
          <t>mit</t>
        </is>
      </c>
      <c r="C364" s="19" t="inlineStr">
        <is>
          <t>mit.ener.con.oop</t>
        </is>
      </c>
      <c r="H364" s="3" t="inlineStr">
        <is>
          <t>Fuel use | All sectors | Other oil products</t>
        </is>
      </c>
      <c r="I364" s="3" t="inlineStr">
        <is>
          <t>ktoe</t>
        </is>
      </c>
      <c r="K364" s="20" t="inlineStr">
        <is>
          <t>egy.mit.ener.tot.oop.1</t>
        </is>
      </c>
      <c r="L364" s="3" t="n">
        <v>7576.711516083882</v>
      </c>
      <c r="M364" s="3" t="n">
        <v>7062.99937955822</v>
      </c>
      <c r="N364" s="3" t="n">
        <v>7302.399739910614</v>
      </c>
      <c r="O364" s="3" t="n">
        <v>8314.647357126803</v>
      </c>
      <c r="P364" s="3" t="n">
        <v>9381.79956241756</v>
      </c>
      <c r="Q364" s="3" t="n">
        <v>10526.69313102646</v>
      </c>
      <c r="R364" s="3" t="n">
        <v>11758.24317098493</v>
      </c>
      <c r="S364" s="3" t="n">
        <v>13057.07440058922</v>
      </c>
      <c r="T364" s="3" t="n">
        <v>14426.40514238058</v>
      </c>
      <c r="U364" s="3" t="n">
        <v>14246.97354772708</v>
      </c>
      <c r="V364" s="3" t="n">
        <v>14080.36886727603</v>
      </c>
      <c r="W364" s="3" t="n">
        <v>13924.14035053879</v>
      </c>
      <c r="X364" s="3" t="n">
        <v>13788.6341115878</v>
      </c>
      <c r="Y364" s="3" t="n">
        <v>13657.33802260918</v>
      </c>
      <c r="Z364" s="3" t="n">
        <v>13535.97232349106</v>
      </c>
      <c r="AA364" s="3" t="n">
        <v>13423.19985781427</v>
      </c>
      <c r="AB364" s="3" t="n">
        <v>13318.88281980441</v>
      </c>
      <c r="AC364" s="3" t="n">
        <v>13222.75959943044</v>
      </c>
      <c r="AD364" s="3" t="n">
        <v>13134.45782954959</v>
      </c>
      <c r="AE364" s="3" t="n">
        <v>13053.72204186716</v>
      </c>
      <c r="AG364" s="20" t="inlineStr">
        <is>
          <t>egy.mit.ener.tot.oop.3</t>
        </is>
      </c>
      <c r="AH364" s="3" t="n">
        <v>7576.711516083882</v>
      </c>
      <c r="AI364" s="3" t="n">
        <v>7061.657447959316</v>
      </c>
      <c r="AJ364" s="3" t="n">
        <v>7301.096149214534</v>
      </c>
      <c r="AK364" s="3" t="n">
        <v>8313.378839563808</v>
      </c>
      <c r="AL364" s="3" t="n">
        <v>9380.562862470582</v>
      </c>
      <c r="AM364" s="3" t="n">
        <v>9974.604575760161</v>
      </c>
      <c r="AN364" s="3" t="n">
        <v>11184.01597579782</v>
      </c>
      <c r="AO364" s="3" t="n">
        <v>11047.08233689029</v>
      </c>
      <c r="AP364" s="3" t="n">
        <v>12277.93014349859</v>
      </c>
      <c r="AQ364" s="3" t="n">
        <v>12117.21943388087</v>
      </c>
      <c r="AR364" s="3" t="n">
        <v>11968.68203940003</v>
      </c>
      <c r="AS364" s="3" t="n">
        <v>11827.09782266536</v>
      </c>
      <c r="AT364" s="3" t="n">
        <v>11702.89894567085</v>
      </c>
      <c r="AU364" s="3" t="n">
        <v>11583.25678893672</v>
      </c>
      <c r="AV364" s="3" t="n">
        <v>11473.12244438776</v>
      </c>
      <c r="AW364" s="3" t="n">
        <v>11372.36946581545</v>
      </c>
      <c r="AX364" s="3" t="n">
        <v>11277.86114213433</v>
      </c>
      <c r="AY364" s="3" t="n">
        <v>11189.75369941923</v>
      </c>
      <c r="AZ364" s="3" t="n">
        <v>11106.7920393663</v>
      </c>
      <c r="BA364" s="3" t="n">
        <v>11029.94237660179</v>
      </c>
      <c r="BC364" s="20" t="inlineStr">
        <is>
          <t>egy.mit.ener.tot.oop.4</t>
        </is>
      </c>
      <c r="BD364" s="3" t="n">
        <v>7576.711516083882</v>
      </c>
      <c r="BE364" s="3" t="n">
        <v>7058.986346055789</v>
      </c>
      <c r="BF364" s="3" t="n">
        <v>7298.501364508251</v>
      </c>
      <c r="BG364" s="3" t="n">
        <v>8310.852862953312</v>
      </c>
      <c r="BH364" s="3" t="n">
        <v>9378.098201110482</v>
      </c>
      <c r="BI364" s="3" t="n">
        <v>10166.1909400451</v>
      </c>
      <c r="BJ364" s="3" t="n">
        <v>11028.41890538154</v>
      </c>
      <c r="BK364" s="3" t="n">
        <v>10618.42830222562</v>
      </c>
      <c r="BL364" s="3" t="n">
        <v>10251.65398337611</v>
      </c>
      <c r="BM364" s="3" t="n">
        <v>9945.576055484267</v>
      </c>
      <c r="BN364" s="3" t="n">
        <v>9662.709377083745</v>
      </c>
      <c r="BO364" s="3" t="n">
        <v>9399.463567198214</v>
      </c>
      <c r="BP364" s="3" t="n">
        <v>9153.795243186987</v>
      </c>
      <c r="BQ364" s="3" t="n">
        <v>8922.696378144585</v>
      </c>
      <c r="BR364" s="3" t="n">
        <v>8704.573515378568</v>
      </c>
      <c r="BS364" s="3" t="n">
        <v>8498.311941088488</v>
      </c>
      <c r="BT364" s="3" t="n">
        <v>8302.438618072712</v>
      </c>
      <c r="BU364" s="3" t="n">
        <v>8115.722238134706</v>
      </c>
      <c r="BV364" s="3" t="n">
        <v>7936.849154873304</v>
      </c>
      <c r="BW364" s="3" t="n">
        <v>7765.050379632828</v>
      </c>
      <c r="BY364" s="20" t="inlineStr">
        <is>
          <t>egy.mit.ener.tot.oop.5</t>
        </is>
      </c>
      <c r="BZ364" s="3" t="n">
        <v>7576.711516083882</v>
      </c>
      <c r="CA364" s="3" t="n">
        <v>7055.902811027555</v>
      </c>
      <c r="CB364" s="3" t="n">
        <v>7295.505930480824</v>
      </c>
      <c r="CC364" s="3" t="n">
        <v>8307.939730637172</v>
      </c>
      <c r="CD364" s="3" t="n">
        <v>9375.261613209543</v>
      </c>
      <c r="CE364" s="3" t="n">
        <v>9867.748452176165</v>
      </c>
      <c r="CF364" s="3" t="n">
        <v>11073.17946452892</v>
      </c>
      <c r="CG364" s="3" t="n">
        <v>12347.86841941897</v>
      </c>
      <c r="CH364" s="3" t="n">
        <v>13690.64805960914</v>
      </c>
      <c r="CI364" s="3" t="n">
        <v>13476.04067569306</v>
      </c>
      <c r="CJ364" s="3" t="n">
        <v>13269.46737418677</v>
      </c>
      <c r="CK364" s="3" t="n">
        <v>13076.42563301786</v>
      </c>
      <c r="CL364" s="3" t="n">
        <v>12893.62038579137</v>
      </c>
      <c r="CM364" s="3" t="n">
        <v>12720.17709870438</v>
      </c>
      <c r="CN364" s="3" t="n">
        <v>12556.90253177622</v>
      </c>
      <c r="CO364" s="3" t="n">
        <v>12404.09525978729</v>
      </c>
      <c r="CP364" s="3" t="n">
        <v>12259.1026476504</v>
      </c>
      <c r="CQ364" s="3" t="n">
        <v>12122.67679616113</v>
      </c>
      <c r="CR364" s="3" t="n">
        <v>11993.40398755006</v>
      </c>
      <c r="CS364" s="3" t="n">
        <v>11872.65297929681</v>
      </c>
      <c r="CU364" s="20" t="inlineStr">
        <is>
          <t>egy.mit.ener.tot.oop.6</t>
        </is>
      </c>
      <c r="CV364" s="3" t="n">
        <v>7576.711516083882</v>
      </c>
      <c r="CW364" s="3" t="n">
        <v>7060.048647282575</v>
      </c>
      <c r="CX364" s="3" t="n">
        <v>7299.533314271415</v>
      </c>
      <c r="CY364" s="3" t="n">
        <v>8311.857655095959</v>
      </c>
      <c r="CZ364" s="3" t="n">
        <v>9379.079024690116</v>
      </c>
      <c r="DA364" s="3" t="n">
        <v>9485.809515004896</v>
      </c>
      <c r="DB364" s="3" t="n">
        <v>10675.64929300702</v>
      </c>
      <c r="DC364" s="3" t="n">
        <v>10520.8228412003</v>
      </c>
      <c r="DD364" s="3" t="n">
        <v>10363.26832871624</v>
      </c>
      <c r="DE364" s="3" t="n">
        <v>10217.98666777085</v>
      </c>
      <c r="DF364" s="3" t="n">
        <v>10081.82234849403</v>
      </c>
      <c r="DG364" s="3" t="n">
        <v>9956.991533246364</v>
      </c>
      <c r="DH364" s="3" t="n">
        <v>9844.011511958042</v>
      </c>
      <c r="DI364" s="3" t="n">
        <v>9736.589683556722</v>
      </c>
      <c r="DJ364" s="3" t="n">
        <v>9637.804349609067</v>
      </c>
      <c r="DK364" s="3" t="n">
        <v>9548.380560711046</v>
      </c>
      <c r="DL364" s="3" t="n">
        <v>9463.300138912284</v>
      </c>
      <c r="DM364" s="3" t="n">
        <v>9383.138228040936</v>
      </c>
      <c r="DN364" s="3" t="n">
        <v>9306.03143618194</v>
      </c>
      <c r="DO364" s="3" t="n">
        <v>9233.792533465055</v>
      </c>
    </row>
    <row r="365">
      <c r="A365" s="19" t="inlineStr">
        <is>
          <t>mit.ener.tot.gso</t>
        </is>
      </c>
      <c r="B365" s="3" t="inlineStr">
        <is>
          <t>mit</t>
        </is>
      </c>
      <c r="C365" s="19" t="inlineStr">
        <is>
          <t>mit.ener.con.gso</t>
        </is>
      </c>
      <c r="H365" s="3" t="inlineStr">
        <is>
          <t>Fuel use | All sectors | Gasoline</t>
        </is>
      </c>
      <c r="I365" s="3" t="inlineStr">
        <is>
          <t>ktoe</t>
        </is>
      </c>
      <c r="K365" s="20" t="inlineStr">
        <is>
          <t>egy.mit.ener.tot.gso.1</t>
        </is>
      </c>
      <c r="L365" s="3" t="n">
        <v>7328.942890599129</v>
      </c>
      <c r="M365" s="3" t="n">
        <v>7997.906609259908</v>
      </c>
      <c r="N365" s="3" t="n">
        <v>10130.34679068121</v>
      </c>
      <c r="O365" s="3" t="n">
        <v>10383.07993798776</v>
      </c>
      <c r="P365" s="3" t="n">
        <v>10628.04530105534</v>
      </c>
      <c r="Q365" s="3" t="n">
        <v>10919.65421757317</v>
      </c>
      <c r="R365" s="3" t="n">
        <v>11268.38418503122</v>
      </c>
      <c r="S365" s="3" t="n">
        <v>11599.97646409353</v>
      </c>
      <c r="T365" s="3" t="n">
        <v>11907.22100899735</v>
      </c>
      <c r="U365" s="3" t="n">
        <v>12215.98872668111</v>
      </c>
      <c r="V365" s="3" t="n">
        <v>12527.42634917021</v>
      </c>
      <c r="W365" s="3" t="n">
        <v>12841.42265441394</v>
      </c>
      <c r="X365" s="3" t="n">
        <v>13157.86543244902</v>
      </c>
      <c r="Y365" s="3" t="n">
        <v>13476.6414927005</v>
      </c>
      <c r="Z365" s="3" t="n">
        <v>13797.63665825386</v>
      </c>
      <c r="AA365" s="3" t="n">
        <v>14120.73574732352</v>
      </c>
      <c r="AB365" s="3" t="n">
        <v>14445.82254215771</v>
      </c>
      <c r="AC365" s="3" t="n">
        <v>14772.77974563054</v>
      </c>
      <c r="AD365" s="3" t="n">
        <v>15101.48892577925</v>
      </c>
      <c r="AE365" s="3" t="n">
        <v>15431.83044854945</v>
      </c>
      <c r="AG365" s="20" t="inlineStr">
        <is>
          <t>egy.mit.ener.tot.gso.3</t>
        </is>
      </c>
      <c r="AH365" s="3" t="n">
        <v>7328.942890599129</v>
      </c>
      <c r="AI365" s="3" t="n">
        <v>7997.906609259908</v>
      </c>
      <c r="AJ365" s="3" t="n">
        <v>10130.34679068121</v>
      </c>
      <c r="AK365" s="3" t="n">
        <v>10383.07993798776</v>
      </c>
      <c r="AL365" s="3" t="n">
        <v>10628.04530105534</v>
      </c>
      <c r="AM365" s="3" t="n">
        <v>10018.33959521673</v>
      </c>
      <c r="AN365" s="3" t="n">
        <v>10338.28381532863</v>
      </c>
      <c r="AO365" s="3" t="n">
        <v>10646.83302871543</v>
      </c>
      <c r="AP365" s="3" t="n">
        <v>10918.85735280967</v>
      </c>
      <c r="AQ365" s="3" t="n">
        <v>11203.75370884477</v>
      </c>
      <c r="AR365" s="3" t="n">
        <v>11485.22381966177</v>
      </c>
      <c r="AS365" s="3" t="n">
        <v>11778.68469656821</v>
      </c>
      <c r="AT365" s="3" t="n">
        <v>12079.22134768986</v>
      </c>
      <c r="AU365" s="3" t="n">
        <v>12379.878392991</v>
      </c>
      <c r="AV365" s="3" t="n">
        <v>12684.81338948406</v>
      </c>
      <c r="AW365" s="3" t="n">
        <v>12996.75692757311</v>
      </c>
      <c r="AX365" s="3" t="n">
        <v>13306.285215258</v>
      </c>
      <c r="AY365" s="3" t="n">
        <v>13615.27355821871</v>
      </c>
      <c r="AZ365" s="3" t="n">
        <v>13920.20387100762</v>
      </c>
      <c r="BA365" s="3" t="n">
        <v>14225.00547490355</v>
      </c>
      <c r="BC365" s="20" t="inlineStr">
        <is>
          <t>egy.mit.ener.tot.gso.4</t>
        </is>
      </c>
      <c r="BD365" s="3" t="n">
        <v>7328.942890599129</v>
      </c>
      <c r="BE365" s="3" t="n">
        <v>7997.906609259908</v>
      </c>
      <c r="BF365" s="3" t="n">
        <v>10130.34679068121</v>
      </c>
      <c r="BG365" s="3" t="n">
        <v>10383.07993798776</v>
      </c>
      <c r="BH365" s="3" t="n">
        <v>10628.04530105534</v>
      </c>
      <c r="BI365" s="3" t="n">
        <v>10282.39443814714</v>
      </c>
      <c r="BJ365" s="3" t="n">
        <v>9877.813740532483</v>
      </c>
      <c r="BK365" s="3" t="n">
        <v>9541.714407802656</v>
      </c>
      <c r="BL365" s="3" t="n">
        <v>9242.594558383546</v>
      </c>
      <c r="BM365" s="3" t="n">
        <v>9105.188949609568</v>
      </c>
      <c r="BN365" s="3" t="n">
        <v>8986.064835332569</v>
      </c>
      <c r="BO365" s="3" t="n">
        <v>8886.81645486498</v>
      </c>
      <c r="BP365" s="3" t="n">
        <v>8806.956040381738</v>
      </c>
      <c r="BQ365" s="3" t="n">
        <v>8742.551147998352</v>
      </c>
      <c r="BR365" s="3" t="n">
        <v>8691.615489905878</v>
      </c>
      <c r="BS365" s="3" t="n">
        <v>8653.897247911143</v>
      </c>
      <c r="BT365" s="3" t="n">
        <v>8626.215689703929</v>
      </c>
      <c r="BU365" s="3" t="n">
        <v>8606.34874717288</v>
      </c>
      <c r="BV365" s="3" t="n">
        <v>8590.819030804843</v>
      </c>
      <c r="BW365" s="3" t="n">
        <v>8578.39861941384</v>
      </c>
      <c r="BY365" s="20" t="inlineStr">
        <is>
          <t>egy.mit.ener.tot.gso.5</t>
        </is>
      </c>
      <c r="BZ365" s="3" t="n">
        <v>7328.942890599129</v>
      </c>
      <c r="CA365" s="3" t="n">
        <v>7997.906609259908</v>
      </c>
      <c r="CB365" s="3" t="n">
        <v>10130.34679068121</v>
      </c>
      <c r="CC365" s="3" t="n">
        <v>10383.07993798776</v>
      </c>
      <c r="CD365" s="3" t="n">
        <v>10628.04530105534</v>
      </c>
      <c r="CE365" s="3" t="n">
        <v>9821.541462074561</v>
      </c>
      <c r="CF365" s="3" t="n">
        <v>10135.1945376668</v>
      </c>
      <c r="CG365" s="3" t="n">
        <v>10437.05331619346</v>
      </c>
      <c r="CH365" s="3" t="n">
        <v>10704.31976384346</v>
      </c>
      <c r="CI365" s="3" t="n">
        <v>10985.58328137156</v>
      </c>
      <c r="CJ365" s="3" t="n">
        <v>11261.0644223876</v>
      </c>
      <c r="CK365" s="3" t="n">
        <v>11549.47402444405</v>
      </c>
      <c r="CL365" s="3" t="n">
        <v>11840.75279930977</v>
      </c>
      <c r="CM365" s="3" t="n">
        <v>12132.81375850572</v>
      </c>
      <c r="CN365" s="3" t="n">
        <v>12428.92768520507</v>
      </c>
      <c r="CO365" s="3" t="n">
        <v>12730.65662074066</v>
      </c>
      <c r="CP365" s="3" t="n">
        <v>13030.28452009344</v>
      </c>
      <c r="CQ365" s="3" t="n">
        <v>13330.84321490835</v>
      </c>
      <c r="CR365" s="3" t="n">
        <v>13628.59154526581</v>
      </c>
      <c r="CS365" s="3" t="n">
        <v>13928.38430125603</v>
      </c>
      <c r="CU365" s="20" t="inlineStr">
        <is>
          <t>egy.mit.ener.tot.gso.6</t>
        </is>
      </c>
      <c r="CV365" s="3" t="n">
        <v>7328.942890599129</v>
      </c>
      <c r="CW365" s="3" t="n">
        <v>7997.906609259908</v>
      </c>
      <c r="CX365" s="3" t="n">
        <v>10130.34679068121</v>
      </c>
      <c r="CY365" s="3" t="n">
        <v>10383.07993798776</v>
      </c>
      <c r="CZ365" s="3" t="n">
        <v>10628.04530105534</v>
      </c>
      <c r="DA365" s="3" t="n">
        <v>8968.109828685105</v>
      </c>
      <c r="DB365" s="3" t="n">
        <v>9254.512495518851</v>
      </c>
      <c r="DC365" s="3" t="n">
        <v>9535.135112912827</v>
      </c>
      <c r="DD365" s="3" t="n">
        <v>9768.267591630853</v>
      </c>
      <c r="DE365" s="3" t="n">
        <v>10025.83907002065</v>
      </c>
      <c r="DF365" s="3" t="n">
        <v>10272.79789664958</v>
      </c>
      <c r="DG365" s="3" t="n">
        <v>10541.63083002246</v>
      </c>
      <c r="DH365" s="3" t="n">
        <v>10820.30065504103</v>
      </c>
      <c r="DI365" s="3" t="n">
        <v>11097.52981420991</v>
      </c>
      <c r="DJ365" s="3" t="n">
        <v>11380.69460673427</v>
      </c>
      <c r="DK365" s="3" t="n">
        <v>11675.31371362624</v>
      </c>
      <c r="DL365" s="3" t="n">
        <v>11963.2036996218</v>
      </c>
      <c r="DM365" s="3" t="n">
        <v>12248.8771911343</v>
      </c>
      <c r="DN365" s="3" t="n">
        <v>12525.23898894703</v>
      </c>
      <c r="DO365" s="3" t="n">
        <v>12800.24006086305</v>
      </c>
    </row>
    <row r="366">
      <c r="A366" s="19" t="inlineStr">
        <is>
          <t>mit.ener.tot.die</t>
        </is>
      </c>
      <c r="B366" s="3" t="inlineStr">
        <is>
          <t>mit</t>
        </is>
      </c>
      <c r="C366" s="19" t="inlineStr">
        <is>
          <t>mit.ener.con.die</t>
        </is>
      </c>
      <c r="H366" s="3" t="inlineStr">
        <is>
          <t>Fuel use | All sectors | Diesel</t>
        </is>
      </c>
      <c r="I366" s="3" t="inlineStr">
        <is>
          <t>ktoe</t>
        </is>
      </c>
      <c r="K366" s="20" t="inlineStr">
        <is>
          <t>egy.mit.ener.tot.die.1</t>
        </is>
      </c>
      <c r="L366" s="3" t="n">
        <v>15367.3423246519</v>
      </c>
      <c r="M366" s="3" t="n">
        <v>16107.72515780221</v>
      </c>
      <c r="N366" s="3" t="n">
        <v>19471.25230922393</v>
      </c>
      <c r="O366" s="3" t="n">
        <v>19859.07148247977</v>
      </c>
      <c r="P366" s="3" t="n">
        <v>20233.22583128588</v>
      </c>
      <c r="Q366" s="3" t="n">
        <v>20676.25668039097</v>
      </c>
      <c r="R366" s="3" t="n">
        <v>21202.83778821352</v>
      </c>
      <c r="S366" s="3" t="n">
        <v>21700.59646803885</v>
      </c>
      <c r="T366" s="3" t="n">
        <v>22159.36844466505</v>
      </c>
      <c r="U366" s="3" t="n">
        <v>22618.06384351781</v>
      </c>
      <c r="V366" s="3" t="n">
        <v>23078.40876674858</v>
      </c>
      <c r="W366" s="3" t="n">
        <v>23540.2525427682</v>
      </c>
      <c r="X366" s="3" t="n">
        <v>24003.44557779636</v>
      </c>
      <c r="Y366" s="3" t="n">
        <v>24467.83928852292</v>
      </c>
      <c r="Z366" s="3" t="n">
        <v>24933.28601938592</v>
      </c>
      <c r="AA366" s="3" t="n">
        <v>25399.63894516341</v>
      </c>
      <c r="AB366" s="3" t="n">
        <v>25866.75195955071</v>
      </c>
      <c r="AC366" s="3" t="n">
        <v>26334.47955036596</v>
      </c>
      <c r="AD366" s="3" t="n">
        <v>26802.67666199613</v>
      </c>
      <c r="AE366" s="3" t="n">
        <v>27271.19854566396</v>
      </c>
      <c r="AG366" s="20" t="inlineStr">
        <is>
          <t>egy.mit.ener.tot.die.3</t>
        </is>
      </c>
      <c r="AH366" s="3" t="n">
        <v>15367.3423246519</v>
      </c>
      <c r="AI366" s="3" t="n">
        <v>16107.72515780221</v>
      </c>
      <c r="AJ366" s="3" t="n">
        <v>19471.25230922393</v>
      </c>
      <c r="AK366" s="3" t="n">
        <v>19859.07148247977</v>
      </c>
      <c r="AL366" s="3" t="n">
        <v>20233.22583128588</v>
      </c>
      <c r="AM366" s="3" t="n">
        <v>18010.7669721004</v>
      </c>
      <c r="AN366" s="3" t="n">
        <v>18469.40272347468</v>
      </c>
      <c r="AO366" s="3" t="n">
        <v>18908.92851551117</v>
      </c>
      <c r="AP366" s="3" t="n">
        <v>19294.10877806919</v>
      </c>
      <c r="AQ366" s="3" t="n">
        <v>19695.49169816023</v>
      </c>
      <c r="AR366" s="3" t="n">
        <v>20089.99218880223</v>
      </c>
      <c r="AS366" s="3" t="n">
        <v>20499.26800252865</v>
      </c>
      <c r="AT366" s="3" t="n">
        <v>20916.29989513628</v>
      </c>
      <c r="AU366" s="3" t="n">
        <v>21331.39028145638</v>
      </c>
      <c r="AV366" s="3" t="n">
        <v>21750.31633760136</v>
      </c>
      <c r="AW366" s="3" t="n">
        <v>22176.78888628957</v>
      </c>
      <c r="AX366" s="3" t="n">
        <v>22597.89434405813</v>
      </c>
      <c r="AY366" s="3" t="n">
        <v>23016.28020603158</v>
      </c>
      <c r="AZ366" s="3" t="n">
        <v>23427.26428150837</v>
      </c>
      <c r="BA366" s="3" t="n">
        <v>23836.25096179076</v>
      </c>
      <c r="BC366" s="20" t="inlineStr">
        <is>
          <t>egy.mit.ener.tot.die.4</t>
        </is>
      </c>
      <c r="BD366" s="3" t="n">
        <v>15367.3423246519</v>
      </c>
      <c r="BE366" s="3" t="n">
        <v>16107.72515780221</v>
      </c>
      <c r="BF366" s="3" t="n">
        <v>19471.25230922393</v>
      </c>
      <c r="BG366" s="3" t="n">
        <v>19859.07148247977</v>
      </c>
      <c r="BH366" s="3" t="n">
        <v>20233.22583128588</v>
      </c>
      <c r="BI366" s="3" t="n">
        <v>18906.82063936251</v>
      </c>
      <c r="BJ366" s="3" t="n">
        <v>17495.17261982396</v>
      </c>
      <c r="BK366" s="3" t="n">
        <v>16390.30641791661</v>
      </c>
      <c r="BL366" s="3" t="n">
        <v>15478.77638199681</v>
      </c>
      <c r="BM366" s="3" t="n">
        <v>14915.3641387164</v>
      </c>
      <c r="BN366" s="3" t="n">
        <v>14435.03690750142</v>
      </c>
      <c r="BO366" s="3" t="n">
        <v>14026.65978300173</v>
      </c>
      <c r="BP366" s="3" t="n">
        <v>13679.71977876407</v>
      </c>
      <c r="BQ366" s="3" t="n">
        <v>13381.8057944252</v>
      </c>
      <c r="BR366" s="3" t="n">
        <v>13124.81058358106</v>
      </c>
      <c r="BS366" s="3" t="n">
        <v>12904.03469260287</v>
      </c>
      <c r="BT366" s="3" t="n">
        <v>12712.14300465346</v>
      </c>
      <c r="BU366" s="3" t="n">
        <v>12543.75100792516</v>
      </c>
      <c r="BV366" s="3" t="n">
        <v>12392.58354398055</v>
      </c>
      <c r="BW366" s="3" t="n">
        <v>12255.50991847817</v>
      </c>
      <c r="BY366" s="20" t="inlineStr">
        <is>
          <t>egy.mit.ener.tot.die.5</t>
        </is>
      </c>
      <c r="BZ366" s="3" t="n">
        <v>15367.3423246519</v>
      </c>
      <c r="CA366" s="3" t="n">
        <v>16107.72515780221</v>
      </c>
      <c r="CB366" s="3" t="n">
        <v>19471.25230922393</v>
      </c>
      <c r="CC366" s="3" t="n">
        <v>19859.07148247977</v>
      </c>
      <c r="CD366" s="3" t="n">
        <v>20233.22583128588</v>
      </c>
      <c r="CE366" s="3" t="n">
        <v>17471.41108197107</v>
      </c>
      <c r="CF366" s="3" t="n">
        <v>17916.29101023755</v>
      </c>
      <c r="CG366" s="3" t="n">
        <v>18341.72363013711</v>
      </c>
      <c r="CH366" s="3" t="n">
        <v>18716.08909530288</v>
      </c>
      <c r="CI366" s="3" t="n">
        <v>19108.09169007491</v>
      </c>
      <c r="CJ366" s="3" t="n">
        <v>19490.00374977806</v>
      </c>
      <c r="CK366" s="3" t="n">
        <v>19887.8788711737</v>
      </c>
      <c r="CL366" s="3" t="n">
        <v>20287.66695708004</v>
      </c>
      <c r="CM366" s="3" t="n">
        <v>20686.51227751121</v>
      </c>
      <c r="CN366" s="3" t="n">
        <v>21088.91298325548</v>
      </c>
      <c r="CO366" s="3" t="n">
        <v>21496.96314647495</v>
      </c>
      <c r="CP366" s="3" t="n">
        <v>21900.1995830496</v>
      </c>
      <c r="CQ366" s="3" t="n">
        <v>22302.78862506006</v>
      </c>
      <c r="CR366" s="3" t="n">
        <v>22699.76372807437</v>
      </c>
      <c r="CS366" s="3" t="n">
        <v>23097.68630628646</v>
      </c>
      <c r="CU366" s="20" t="inlineStr">
        <is>
          <t>egy.mit.ener.tot.die.6</t>
        </is>
      </c>
      <c r="CV366" s="3" t="n">
        <v>15367.3423246519</v>
      </c>
      <c r="CW366" s="3" t="n">
        <v>16107.72515780221</v>
      </c>
      <c r="CX366" s="3" t="n">
        <v>19471.25230922393</v>
      </c>
      <c r="CY366" s="3" t="n">
        <v>19859.07148247977</v>
      </c>
      <c r="CZ366" s="3" t="n">
        <v>20233.22583128588</v>
      </c>
      <c r="DA366" s="3" t="n">
        <v>15284.7209269073</v>
      </c>
      <c r="DB366" s="3" t="n">
        <v>15673.8781767031</v>
      </c>
      <c r="DC366" s="3" t="n">
        <v>16052.67822209657</v>
      </c>
      <c r="DD366" s="3" t="n">
        <v>16365.0078481469</v>
      </c>
      <c r="DE366" s="3" t="n">
        <v>16708.61048939942</v>
      </c>
      <c r="DF366" s="3" t="n">
        <v>17036.15745816956</v>
      </c>
      <c r="DG366" s="3" t="n">
        <v>17391.14217567697</v>
      </c>
      <c r="DH366" s="3" t="n">
        <v>17757.23506800642</v>
      </c>
      <c r="DI366" s="3" t="n">
        <v>18119.44282664237</v>
      </c>
      <c r="DJ366" s="3" t="n">
        <v>18487.51405866653</v>
      </c>
      <c r="DK366" s="3" t="n">
        <v>18868.57761000152</v>
      </c>
      <c r="DL366" s="3" t="n">
        <v>19238.88745303811</v>
      </c>
      <c r="DM366" s="3" t="n">
        <v>19604.45135860541</v>
      </c>
      <c r="DN366" s="3" t="n">
        <v>19956.24816001606</v>
      </c>
      <c r="DO366" s="3" t="n">
        <v>20304.65452236659</v>
      </c>
    </row>
    <row r="367">
      <c r="A367" s="19" t="inlineStr">
        <is>
          <t>mit.ener.tot.lpg</t>
        </is>
      </c>
      <c r="B367" s="3" t="inlineStr">
        <is>
          <t>mit</t>
        </is>
      </c>
      <c r="C367" s="19" t="inlineStr">
        <is>
          <t>mit.ener.con.lpg</t>
        </is>
      </c>
      <c r="H367" s="3" t="inlineStr">
        <is>
          <t>Fuel use | All sectors | LPG</t>
        </is>
      </c>
      <c r="I367" s="3" t="inlineStr">
        <is>
          <t>ktoe</t>
        </is>
      </c>
      <c r="K367" s="20" t="inlineStr">
        <is>
          <t>egy.mit.ener.tot.lpg.1</t>
        </is>
      </c>
      <c r="L367" s="3" t="n">
        <v>5269.695225509289</v>
      </c>
      <c r="M367" s="3" t="n">
        <v>5887.559798528224</v>
      </c>
      <c r="N367" s="3" t="n">
        <v>5914.149343224699</v>
      </c>
      <c r="O367" s="3" t="n">
        <v>6059.639856456284</v>
      </c>
      <c r="P367" s="3" t="n">
        <v>6201.578302430198</v>
      </c>
      <c r="Q367" s="3" t="n">
        <v>6368.666565271387</v>
      </c>
      <c r="R367" s="3" t="n">
        <v>6566.546418866439</v>
      </c>
      <c r="S367" s="3" t="n">
        <v>6756.081982132918</v>
      </c>
      <c r="T367" s="3" t="n">
        <v>6933.442313288</v>
      </c>
      <c r="U367" s="3" t="n">
        <v>7112.309640423115</v>
      </c>
      <c r="V367" s="3" t="n">
        <v>7293.313184365086</v>
      </c>
      <c r="W367" s="3" t="n">
        <v>7476.416615787532</v>
      </c>
      <c r="X367" s="3" t="n">
        <v>7661.582671314199</v>
      </c>
      <c r="Y367" s="3" t="n">
        <v>7848.773128775922</v>
      </c>
      <c r="Z367" s="3" t="n">
        <v>8037.948776264398</v>
      </c>
      <c r="AA367" s="3" t="n">
        <v>8229.069374956447</v>
      </c>
      <c r="AB367" s="3" t="n">
        <v>8422.093615685657</v>
      </c>
      <c r="AC367" s="3" t="n">
        <v>8616.979069240868</v>
      </c>
      <c r="AD367" s="3" t="n">
        <v>8813.682130371948</v>
      </c>
      <c r="AE367" s="3" t="n">
        <v>9012.157955483994</v>
      </c>
      <c r="AG367" s="20" t="inlineStr">
        <is>
          <t>egy.mit.ener.tot.lpg.3</t>
        </is>
      </c>
      <c r="AH367" s="3" t="n">
        <v>5269.695225509289</v>
      </c>
      <c r="AI367" s="3" t="n">
        <v>5887.559798528224</v>
      </c>
      <c r="AJ367" s="3" t="n">
        <v>5914.149343224699</v>
      </c>
      <c r="AK367" s="3" t="n">
        <v>6059.639856456284</v>
      </c>
      <c r="AL367" s="3" t="n">
        <v>6201.578302430198</v>
      </c>
      <c r="AM367" s="3" t="n">
        <v>5343.159321905959</v>
      </c>
      <c r="AN367" s="3" t="n">
        <v>5508.78472500191</v>
      </c>
      <c r="AO367" s="3" t="n">
        <v>5669.499912870617</v>
      </c>
      <c r="AP367" s="3" t="n">
        <v>5813.162730387226</v>
      </c>
      <c r="AQ367" s="3" t="n">
        <v>5963.615205406053</v>
      </c>
      <c r="AR367" s="3" t="n">
        <v>6113.000393344591</v>
      </c>
      <c r="AS367" s="3" t="n">
        <v>6268.806870039033</v>
      </c>
      <c r="AT367" s="3" t="n">
        <v>6428.686448631172</v>
      </c>
      <c r="AU367" s="3" t="n">
        <v>6589.282982844416</v>
      </c>
      <c r="AV367" s="3" t="n">
        <v>6752.638539070173</v>
      </c>
      <c r="AW367" s="3" t="n">
        <v>6920.111934267201</v>
      </c>
      <c r="AX367" s="3" t="n">
        <v>7087.121772150373</v>
      </c>
      <c r="AY367" s="3" t="n">
        <v>7254.594577577012</v>
      </c>
      <c r="AZ367" s="3" t="n">
        <v>7420.812632558908</v>
      </c>
      <c r="BA367" s="3" t="n">
        <v>7587.711275193113</v>
      </c>
      <c r="BC367" s="20" t="inlineStr">
        <is>
          <t>egy.mit.ener.tot.lpg.4</t>
        </is>
      </c>
      <c r="BD367" s="3" t="n">
        <v>5269.695225509289</v>
      </c>
      <c r="BE367" s="3" t="n">
        <v>5887.559798528224</v>
      </c>
      <c r="BF367" s="3" t="n">
        <v>5914.149343224699</v>
      </c>
      <c r="BG367" s="3" t="n">
        <v>6059.639856456284</v>
      </c>
      <c r="BH367" s="3" t="n">
        <v>6201.578302430198</v>
      </c>
      <c r="BI367" s="3" t="n">
        <v>5754.275372709393</v>
      </c>
      <c r="BJ367" s="3" t="n">
        <v>5299.300008582317</v>
      </c>
      <c r="BK367" s="3" t="n">
        <v>4958.777546369797</v>
      </c>
      <c r="BL367" s="3" t="n">
        <v>4686.388254791351</v>
      </c>
      <c r="BM367" s="3" t="n">
        <v>4491.263114421379</v>
      </c>
      <c r="BN367" s="3" t="n">
        <v>4331.366528490868</v>
      </c>
      <c r="BO367" s="3" t="n">
        <v>4200.22906724715</v>
      </c>
      <c r="BP367" s="3" t="n">
        <v>4092.652102369115</v>
      </c>
      <c r="BQ367" s="3" t="n">
        <v>4003.437778595954</v>
      </c>
      <c r="BR367" s="3" t="n">
        <v>3929.208931163762</v>
      </c>
      <c r="BS367" s="3" t="n">
        <v>3867.963637732107</v>
      </c>
      <c r="BT367" s="3" t="n">
        <v>3816.970099094237</v>
      </c>
      <c r="BU367" s="3" t="n">
        <v>3774.241567600986</v>
      </c>
      <c r="BV367" s="3" t="n">
        <v>3737.548288675526</v>
      </c>
      <c r="BW367" s="3" t="n">
        <v>3705.750532735614</v>
      </c>
      <c r="BY367" s="20" t="inlineStr">
        <is>
          <t>egy.mit.ener.tot.lpg.5</t>
        </is>
      </c>
      <c r="BZ367" s="3" t="n">
        <v>5269.695225509289</v>
      </c>
      <c r="CA367" s="3" t="n">
        <v>5887.559798528224</v>
      </c>
      <c r="CB367" s="3" t="n">
        <v>5914.149343224699</v>
      </c>
      <c r="CC367" s="3" t="n">
        <v>6059.639856456284</v>
      </c>
      <c r="CD367" s="3" t="n">
        <v>6201.578302430198</v>
      </c>
      <c r="CE367" s="3" t="n">
        <v>5149.322139990132</v>
      </c>
      <c r="CF367" s="3" t="n">
        <v>5308.856988631483</v>
      </c>
      <c r="CG367" s="3" t="n">
        <v>5463.3638567732</v>
      </c>
      <c r="CH367" s="3" t="n">
        <v>5602.018266837359</v>
      </c>
      <c r="CI367" s="3" t="n">
        <v>5747.866783111304</v>
      </c>
      <c r="CJ367" s="3" t="n">
        <v>5891.534093271076</v>
      </c>
      <c r="CK367" s="3" t="n">
        <v>6041.94345402228</v>
      </c>
      <c r="CL367" s="3" t="n">
        <v>6194.332272720903</v>
      </c>
      <c r="CM367" s="3" t="n">
        <v>6347.722002926097</v>
      </c>
      <c r="CN367" s="3" t="n">
        <v>6503.695084162355</v>
      </c>
      <c r="CO367" s="3" t="n">
        <v>6663.024438023749</v>
      </c>
      <c r="CP367" s="3" t="n">
        <v>6822.026008558182</v>
      </c>
      <c r="CQ367" s="3" t="n">
        <v>6982.167741401694</v>
      </c>
      <c r="CR367" s="3" t="n">
        <v>7141.657894413747</v>
      </c>
      <c r="CS367" s="3" t="n">
        <v>7302.848948997028</v>
      </c>
      <c r="CU367" s="20" t="inlineStr">
        <is>
          <t>egy.mit.ener.tot.lpg.6</t>
        </is>
      </c>
      <c r="CV367" s="3" t="n">
        <v>5269.695225509289</v>
      </c>
      <c r="CW367" s="3" t="n">
        <v>5887.559798528224</v>
      </c>
      <c r="CX367" s="3" t="n">
        <v>5914.149343224699</v>
      </c>
      <c r="CY367" s="3" t="n">
        <v>6059.639856456284</v>
      </c>
      <c r="CZ367" s="3" t="n">
        <v>6201.578302430198</v>
      </c>
      <c r="DA367" s="3" t="n">
        <v>4401.158920096862</v>
      </c>
      <c r="DB367" s="3" t="n">
        <v>4537.229215650031</v>
      </c>
      <c r="DC367" s="3" t="n">
        <v>4671.210603370877</v>
      </c>
      <c r="DD367" s="3" t="n">
        <v>4784.613766558537</v>
      </c>
      <c r="DE367" s="3" t="n">
        <v>4909.310343964558</v>
      </c>
      <c r="DF367" s="3" t="n">
        <v>5029.767816501791</v>
      </c>
      <c r="DG367" s="3" t="n">
        <v>5160.447058394408</v>
      </c>
      <c r="DH367" s="3" t="n">
        <v>5296.033557096069</v>
      </c>
      <c r="DI367" s="3" t="n">
        <v>5431.521118138543</v>
      </c>
      <c r="DJ367" s="3" t="n">
        <v>5570.220038600163</v>
      </c>
      <c r="DK367" s="3" t="n">
        <v>5714.629582144246</v>
      </c>
      <c r="DL367" s="3" t="n">
        <v>5856.622866648546</v>
      </c>
      <c r="DM367" s="3" t="n">
        <v>5998.226051306301</v>
      </c>
      <c r="DN367" s="3" t="n">
        <v>6136.246792632818</v>
      </c>
      <c r="DO367" s="3" t="n">
        <v>6274.262316270826</v>
      </c>
    </row>
    <row r="368">
      <c r="A368" s="19" t="inlineStr">
        <is>
          <t>mit.ener.tot.ker</t>
        </is>
      </c>
      <c r="B368" s="3" t="inlineStr">
        <is>
          <t>mit</t>
        </is>
      </c>
      <c r="C368" s="19" t="inlineStr">
        <is>
          <t>mit.ener.con.ker</t>
        </is>
      </c>
      <c r="H368" s="3" t="inlineStr">
        <is>
          <t>Fuel use | All sectors | Kerosene</t>
        </is>
      </c>
      <c r="I368" s="3" t="inlineStr">
        <is>
          <t>ktoe</t>
        </is>
      </c>
      <c r="K368" s="20" t="inlineStr">
        <is>
          <t>egy.mit.ener.tot.ker.1</t>
        </is>
      </c>
      <c r="L368" s="3" t="n">
        <v>6.900188755265148</v>
      </c>
      <c r="M368" s="3" t="n">
        <v>7.301740306315738</v>
      </c>
      <c r="N368" s="3" t="n">
        <v>7.921214540302447</v>
      </c>
      <c r="O368" s="3" t="n">
        <v>8.137395200366129</v>
      </c>
      <c r="P368" s="3" t="n">
        <v>8.348943658262943</v>
      </c>
      <c r="Q368" s="3" t="n">
        <v>8.598081580576558</v>
      </c>
      <c r="R368" s="3" t="n">
        <v>8.893411912760589</v>
      </c>
      <c r="S368" s="3" t="n">
        <v>9.177319125131328</v>
      </c>
      <c r="T368" s="3" t="n">
        <v>9.443992261172614</v>
      </c>
      <c r="U368" s="3" t="n">
        <v>9.713644290482696</v>
      </c>
      <c r="V368" s="3" t="n">
        <v>9.987213503187331</v>
      </c>
      <c r="W368" s="3" t="n">
        <v>10.26465171285382</v>
      </c>
      <c r="X368" s="3" t="n">
        <v>10.54590871697775</v>
      </c>
      <c r="Y368" s="3" t="n">
        <v>10.83093226540751</v>
      </c>
      <c r="Z368" s="3" t="n">
        <v>11.1196680188481</v>
      </c>
      <c r="AA368" s="3" t="n">
        <v>11.41205949728576</v>
      </c>
      <c r="AB368" s="3" t="n">
        <v>11.70804801818755</v>
      </c>
      <c r="AC368" s="3" t="n">
        <v>12.00757262434151</v>
      </c>
      <c r="AD368" s="3" t="n">
        <v>12.31057000121125</v>
      </c>
      <c r="AE368" s="3" t="n">
        <v>12.61697438368668</v>
      </c>
      <c r="AG368" s="20" t="inlineStr">
        <is>
          <t>egy.mit.ener.tot.ker.3</t>
        </is>
      </c>
      <c r="AH368" s="3" t="n">
        <v>6.900188755265148</v>
      </c>
      <c r="AI368" s="3" t="n">
        <v>7.301740306315738</v>
      </c>
      <c r="AJ368" s="3" t="n">
        <v>7.921214540302447</v>
      </c>
      <c r="AK368" s="3" t="n">
        <v>8.137395200366129</v>
      </c>
      <c r="AL368" s="3" t="n">
        <v>8.348943658262943</v>
      </c>
      <c r="AM368" s="3" t="n">
        <v>7.715204407358927</v>
      </c>
      <c r="AN368" s="3" t="n">
        <v>7.979917867767812</v>
      </c>
      <c r="AO368" s="3" t="n">
        <v>8.23769494146112</v>
      </c>
      <c r="AP368" s="3" t="n">
        <v>8.469142709176095</v>
      </c>
      <c r="AQ368" s="3" t="n">
        <v>8.71204425912387</v>
      </c>
      <c r="AR368" s="3" t="n">
        <v>8.953910315069221</v>
      </c>
      <c r="AS368" s="3" t="n">
        <v>9.206707280800096</v>
      </c>
      <c r="AT368" s="3" t="n">
        <v>9.466723972724736</v>
      </c>
      <c r="AU368" s="3" t="n">
        <v>9.728590590929283</v>
      </c>
      <c r="AV368" s="3" t="n">
        <v>9.995593453749546</v>
      </c>
      <c r="AW368" s="3" t="n">
        <v>10.26994461259089</v>
      </c>
      <c r="AX368" s="3" t="n">
        <v>10.54425091021912</v>
      </c>
      <c r="AY368" s="3" t="n">
        <v>10.81999677115007</v>
      </c>
      <c r="AZ368" s="3" t="n">
        <v>11.09437754765935</v>
      </c>
      <c r="BA368" s="3" t="n">
        <v>11.37052246024301</v>
      </c>
      <c r="BC368" s="20" t="inlineStr">
        <is>
          <t>egy.mit.ener.tot.ker.4</t>
        </is>
      </c>
      <c r="BD368" s="3" t="n">
        <v>6.900188755265148</v>
      </c>
      <c r="BE368" s="3" t="n">
        <v>7.301740306315738</v>
      </c>
      <c r="BF368" s="3" t="n">
        <v>7.921214540302447</v>
      </c>
      <c r="BG368" s="3" t="n">
        <v>8.137395200366129</v>
      </c>
      <c r="BH368" s="3" t="n">
        <v>8.348943658262943</v>
      </c>
      <c r="BI368" s="3" t="n">
        <v>8.076830486114281</v>
      </c>
      <c r="BJ368" s="3" t="n">
        <v>7.754766786936983</v>
      </c>
      <c r="BK368" s="3" t="n">
        <v>7.490185714498338</v>
      </c>
      <c r="BL368" s="3" t="n">
        <v>7.257752035593776</v>
      </c>
      <c r="BM368" s="3" t="n">
        <v>7.100449240400236</v>
      </c>
      <c r="BN368" s="3" t="n">
        <v>6.968370514386304</v>
      </c>
      <c r="BO368" s="3" t="n">
        <v>6.860269384811225</v>
      </c>
      <c r="BP368" s="3" t="n">
        <v>6.773941205048864</v>
      </c>
      <c r="BQ368" s="3" t="n">
        <v>6.705025648340187</v>
      </c>
      <c r="BR368" s="3" t="n">
        <v>6.650989397148097</v>
      </c>
      <c r="BS368" s="3" t="n">
        <v>6.610859168328736</v>
      </c>
      <c r="BT368" s="3" t="n">
        <v>6.581615164721008</v>
      </c>
      <c r="BU368" s="3" t="n">
        <v>6.561098364849458</v>
      </c>
      <c r="BV368" s="3" t="n">
        <v>6.546291932944294</v>
      </c>
      <c r="BW368" s="3" t="n">
        <v>6.535956352528251</v>
      </c>
      <c r="BY368" s="20" t="inlineStr">
        <is>
          <t>egy.mit.ener.tot.ker.5</t>
        </is>
      </c>
      <c r="BZ368" s="3" t="n">
        <v>6.900188755265148</v>
      </c>
      <c r="CA368" s="3" t="n">
        <v>7.301740306315738</v>
      </c>
      <c r="CB368" s="3" t="n">
        <v>7.921214540302447</v>
      </c>
      <c r="CC368" s="3" t="n">
        <v>8.137395200366129</v>
      </c>
      <c r="CD368" s="3" t="n">
        <v>8.348943658262943</v>
      </c>
      <c r="CE368" s="3" t="n">
        <v>7.529564121492294</v>
      </c>
      <c r="CF368" s="3" t="n">
        <v>7.787838914979658</v>
      </c>
      <c r="CG368" s="3" t="n">
        <v>8.038869194319071</v>
      </c>
      <c r="CH368" s="3" t="n">
        <v>8.265133321679915</v>
      </c>
      <c r="CI368" s="3" t="n">
        <v>8.503632587264947</v>
      </c>
      <c r="CJ368" s="3" t="n">
        <v>8.739264343746092</v>
      </c>
      <c r="CK368" s="3" t="n">
        <v>8.986464766846785</v>
      </c>
      <c r="CL368" s="3" t="n">
        <v>9.237552802222352</v>
      </c>
      <c r="CM368" s="3" t="n">
        <v>9.49094127979051</v>
      </c>
      <c r="CN368" s="3" t="n">
        <v>9.749212166201685</v>
      </c>
      <c r="CO368" s="3" t="n">
        <v>10.01364547776442</v>
      </c>
      <c r="CP368" s="3" t="n">
        <v>10.27821777000097</v>
      </c>
      <c r="CQ368" s="3" t="n">
        <v>10.54532554822067</v>
      </c>
      <c r="CR368" s="3" t="n">
        <v>10.81201406722922</v>
      </c>
      <c r="CS368" s="3" t="n">
        <v>11.08214871098305</v>
      </c>
      <c r="CU368" s="20" t="inlineStr">
        <is>
          <t>egy.mit.ener.tot.ker.6</t>
        </is>
      </c>
      <c r="CV368" s="3" t="n">
        <v>6.900188755265148</v>
      </c>
      <c r="CW368" s="3" t="n">
        <v>7.301740306315738</v>
      </c>
      <c r="CX368" s="3" t="n">
        <v>7.921214540302447</v>
      </c>
      <c r="CY368" s="3" t="n">
        <v>8.137395200366129</v>
      </c>
      <c r="CZ368" s="3" t="n">
        <v>8.348943658262943</v>
      </c>
      <c r="DA368" s="3" t="n">
        <v>6.750903091298191</v>
      </c>
      <c r="DB368" s="3" t="n">
        <v>6.982209640565364</v>
      </c>
      <c r="DC368" s="3" t="n">
        <v>7.210747240134308</v>
      </c>
      <c r="DD368" s="3" t="n">
        <v>7.405198264300324</v>
      </c>
      <c r="DE368" s="3" t="n">
        <v>7.619314683022248</v>
      </c>
      <c r="DF368" s="3" t="n">
        <v>7.826830736662457</v>
      </c>
      <c r="DG368" s="3" t="n">
        <v>8.052313517464208</v>
      </c>
      <c r="DH368" s="3" t="n">
        <v>8.286802240568289</v>
      </c>
      <c r="DI368" s="3" t="n">
        <v>8.521773941334954</v>
      </c>
      <c r="DJ368" s="3" t="n">
        <v>8.76289307321681</v>
      </c>
      <c r="DK368" s="3" t="n">
        <v>9.014483530292319</v>
      </c>
      <c r="DL368" s="3" t="n">
        <v>9.262587803880676</v>
      </c>
      <c r="DM368" s="3" t="n">
        <v>9.510663634276456</v>
      </c>
      <c r="DN368" s="3" t="n">
        <v>9.753164173192822</v>
      </c>
      <c r="DO368" s="3" t="n">
        <v>9.996245041115689</v>
      </c>
    </row>
    <row r="369">
      <c r="A369" s="19" t="inlineStr">
        <is>
          <t>mit.pe.pow.nuc</t>
        </is>
      </c>
      <c r="B369" s="3" t="inlineStr">
        <is>
          <t>mit</t>
        </is>
      </c>
      <c r="C369" s="19" t="inlineStr">
        <is>
          <t>mit.ener.con.nuc</t>
        </is>
      </c>
      <c r="H369" s="3" t="inlineStr">
        <is>
          <t>Fuel use (primary energy) of power generation | Power | Nuclear</t>
        </is>
      </c>
      <c r="I369" s="3" t="inlineStr">
        <is>
          <t>ktoe</t>
        </is>
      </c>
      <c r="K369" s="20" t="inlineStr">
        <is>
          <t>egy.mit.pe.pow.nuc.1</t>
        </is>
      </c>
      <c r="L369" s="3" t="n">
        <v>0</v>
      </c>
      <c r="M369" s="3" t="n">
        <v>0</v>
      </c>
      <c r="N369" s="3" t="n">
        <v>0</v>
      </c>
      <c r="O369" s="3" t="n">
        <v>0</v>
      </c>
      <c r="P369" s="3" t="n">
        <v>0</v>
      </c>
      <c r="Q369" s="3" t="n">
        <v>0</v>
      </c>
      <c r="R369" s="3" t="n">
        <v>0</v>
      </c>
      <c r="S369" s="3" t="n">
        <v>0</v>
      </c>
      <c r="T369" s="3" t="n">
        <v>0</v>
      </c>
      <c r="U369" s="3" t="n">
        <v>0</v>
      </c>
      <c r="V369" s="3" t="n">
        <v>0</v>
      </c>
      <c r="W369" s="3" t="n">
        <v>0</v>
      </c>
      <c r="X369" s="3" t="n">
        <v>0</v>
      </c>
      <c r="Y369" s="3" t="n">
        <v>0</v>
      </c>
      <c r="Z369" s="3" t="n">
        <v>0</v>
      </c>
      <c r="AA369" s="3" t="n">
        <v>0</v>
      </c>
      <c r="AB369" s="3" t="n">
        <v>0</v>
      </c>
      <c r="AC369" s="3" t="n">
        <v>0</v>
      </c>
      <c r="AD369" s="3" t="n">
        <v>0</v>
      </c>
      <c r="AE369" s="3" t="n">
        <v>0</v>
      </c>
      <c r="AG369" s="20" t="inlineStr">
        <is>
          <t>egy.mit.pe.pow.nuc.3</t>
        </is>
      </c>
      <c r="AH369" s="3" t="n">
        <v>0</v>
      </c>
      <c r="AI369" s="3" t="n">
        <v>0</v>
      </c>
      <c r="AJ369" s="3" t="n">
        <v>0</v>
      </c>
      <c r="AK369" s="3" t="n">
        <v>0</v>
      </c>
      <c r="AL369" s="3" t="n">
        <v>0</v>
      </c>
      <c r="AM369" s="3" t="n">
        <v>0</v>
      </c>
      <c r="AN369" s="3" t="n">
        <v>0</v>
      </c>
      <c r="AO369" s="3" t="n">
        <v>0</v>
      </c>
      <c r="AP369" s="3" t="n">
        <v>0</v>
      </c>
      <c r="AQ369" s="3" t="n">
        <v>0</v>
      </c>
      <c r="AR369" s="3" t="n">
        <v>0</v>
      </c>
      <c r="AS369" s="3" t="n">
        <v>0</v>
      </c>
      <c r="AT369" s="3" t="n">
        <v>0</v>
      </c>
      <c r="AU369" s="3" t="n">
        <v>0</v>
      </c>
      <c r="AV369" s="3" t="n">
        <v>0</v>
      </c>
      <c r="AW369" s="3" t="n">
        <v>0</v>
      </c>
      <c r="AX369" s="3" t="n">
        <v>0</v>
      </c>
      <c r="AY369" s="3" t="n">
        <v>0</v>
      </c>
      <c r="AZ369" s="3" t="n">
        <v>0</v>
      </c>
      <c r="BA369" s="3" t="n">
        <v>0</v>
      </c>
      <c r="BC369" s="20" t="inlineStr">
        <is>
          <t>egy.mit.pe.pow.nuc.4</t>
        </is>
      </c>
      <c r="BD369" s="3" t="n">
        <v>0</v>
      </c>
      <c r="BE369" s="3" t="n">
        <v>0</v>
      </c>
      <c r="BF369" s="3" t="n">
        <v>0</v>
      </c>
      <c r="BG369" s="3" t="n">
        <v>0</v>
      </c>
      <c r="BH369" s="3" t="n">
        <v>0</v>
      </c>
      <c r="BI369" s="3" t="n">
        <v>0</v>
      </c>
      <c r="BJ369" s="3" t="n">
        <v>0</v>
      </c>
      <c r="BK369" s="3" t="n">
        <v>0</v>
      </c>
      <c r="BL369" s="3" t="n">
        <v>0</v>
      </c>
      <c r="BM369" s="3" t="n">
        <v>0</v>
      </c>
      <c r="BN369" s="3" t="n">
        <v>0</v>
      </c>
      <c r="BO369" s="3" t="n">
        <v>0</v>
      </c>
      <c r="BP369" s="3" t="n">
        <v>0</v>
      </c>
      <c r="BQ369" s="3" t="n">
        <v>0</v>
      </c>
      <c r="BR369" s="3" t="n">
        <v>0</v>
      </c>
      <c r="BS369" s="3" t="n">
        <v>0</v>
      </c>
      <c r="BT369" s="3" t="n">
        <v>0</v>
      </c>
      <c r="BU369" s="3" t="n">
        <v>0</v>
      </c>
      <c r="BV369" s="3" t="n">
        <v>0</v>
      </c>
      <c r="BW369" s="3" t="n">
        <v>0</v>
      </c>
      <c r="BY369" s="20" t="inlineStr">
        <is>
          <t>egy.mit.pe.pow.nuc.5</t>
        </is>
      </c>
      <c r="BZ369" s="3" t="n">
        <v>0</v>
      </c>
      <c r="CA369" s="3" t="n">
        <v>0</v>
      </c>
      <c r="CB369" s="3" t="n">
        <v>0</v>
      </c>
      <c r="CC369" s="3" t="n">
        <v>0</v>
      </c>
      <c r="CD369" s="3" t="n">
        <v>0</v>
      </c>
      <c r="CE369" s="3" t="n">
        <v>0</v>
      </c>
      <c r="CF369" s="3" t="n">
        <v>0</v>
      </c>
      <c r="CG369" s="3" t="n">
        <v>0</v>
      </c>
      <c r="CH369" s="3" t="n">
        <v>0</v>
      </c>
      <c r="CI369" s="3" t="n">
        <v>0</v>
      </c>
      <c r="CJ369" s="3" t="n">
        <v>0</v>
      </c>
      <c r="CK369" s="3" t="n">
        <v>0</v>
      </c>
      <c r="CL369" s="3" t="n">
        <v>0</v>
      </c>
      <c r="CM369" s="3" t="n">
        <v>0</v>
      </c>
      <c r="CN369" s="3" t="n">
        <v>0</v>
      </c>
      <c r="CO369" s="3" t="n">
        <v>0</v>
      </c>
      <c r="CP369" s="3" t="n">
        <v>0</v>
      </c>
      <c r="CQ369" s="3" t="n">
        <v>0</v>
      </c>
      <c r="CR369" s="3" t="n">
        <v>0</v>
      </c>
      <c r="CS369" s="3" t="n">
        <v>0</v>
      </c>
      <c r="CU369" s="20" t="inlineStr">
        <is>
          <t>egy.mit.pe.pow.nuc.6</t>
        </is>
      </c>
      <c r="CV369" s="3" t="n">
        <v>0</v>
      </c>
      <c r="CW369" s="3" t="n">
        <v>0</v>
      </c>
      <c r="CX369" s="3" t="n">
        <v>0</v>
      </c>
      <c r="CY369" s="3" t="n">
        <v>0</v>
      </c>
      <c r="CZ369" s="3" t="n">
        <v>0</v>
      </c>
      <c r="DA369" s="3" t="n">
        <v>0</v>
      </c>
      <c r="DB369" s="3" t="n">
        <v>0</v>
      </c>
      <c r="DC369" s="3" t="n">
        <v>0</v>
      </c>
      <c r="DD369" s="3" t="n">
        <v>0</v>
      </c>
      <c r="DE369" s="3" t="n">
        <v>0</v>
      </c>
      <c r="DF369" s="3" t="n">
        <v>0</v>
      </c>
      <c r="DG369" s="3" t="n">
        <v>0</v>
      </c>
      <c r="DH369" s="3" t="n">
        <v>0</v>
      </c>
      <c r="DI369" s="3" t="n">
        <v>0</v>
      </c>
      <c r="DJ369" s="3" t="n">
        <v>0</v>
      </c>
      <c r="DK369" s="3" t="n">
        <v>0</v>
      </c>
      <c r="DL369" s="3" t="n">
        <v>0</v>
      </c>
      <c r="DM369" s="3" t="n">
        <v>0</v>
      </c>
      <c r="DN369" s="3" t="n">
        <v>0</v>
      </c>
      <c r="DO369" s="3" t="n">
        <v>0</v>
      </c>
    </row>
    <row r="370">
      <c r="A370" s="14" t="n"/>
      <c r="B370" s="3" t="inlineStr">
        <is>
          <t>mit</t>
        </is>
      </c>
      <c r="C370" s="19" t="inlineStr">
        <is>
          <t>mit.ener.con.rnw</t>
        </is>
      </c>
      <c r="H370" s="14" t="inlineStr">
        <is>
          <t>Energy consumption - Non-biomass renewable final electricity (baseline)</t>
        </is>
      </c>
      <c r="I370" s="14" t="inlineStr">
        <is>
          <t>ktoe</t>
        </is>
      </c>
    </row>
    <row r="371">
      <c r="A371" s="19" t="inlineStr">
        <is>
          <t>mit.ener.tot.bio</t>
        </is>
      </c>
      <c r="B371" s="3" t="inlineStr">
        <is>
          <t>mit</t>
        </is>
      </c>
      <c r="C371" s="19" t="inlineStr">
        <is>
          <t>mit.ener.con.bio</t>
        </is>
      </c>
      <c r="H371" s="3" t="inlineStr">
        <is>
          <t>Fuel use | All sectors | Biomass</t>
        </is>
      </c>
      <c r="I371" s="3" t="inlineStr">
        <is>
          <t>ktoe</t>
        </is>
      </c>
      <c r="K371" s="20" t="inlineStr">
        <is>
          <t>egy.mit.ener.tot.bio.1</t>
        </is>
      </c>
      <c r="L371" s="3" t="n">
        <v>1494.644271668726</v>
      </c>
      <c r="M371" s="3" t="n">
        <v>1177.075024141229</v>
      </c>
      <c r="N371" s="3" t="n">
        <v>1284.475530209442</v>
      </c>
      <c r="O371" s="3" t="n">
        <v>1279.998886843436</v>
      </c>
      <c r="P371" s="3" t="n">
        <v>1275.537845437416</v>
      </c>
      <c r="Q371" s="3" t="n">
        <v>1271.092351615563</v>
      </c>
      <c r="R371" s="3" t="n">
        <v>1266.662351191567</v>
      </c>
      <c r="S371" s="3" t="n">
        <v>1262.247790167966</v>
      </c>
      <c r="T371" s="3" t="n">
        <v>1257.848614735491</v>
      </c>
      <c r="U371" s="3" t="n">
        <v>1253.46477127241</v>
      </c>
      <c r="V371" s="3" t="n">
        <v>1249.096206343871</v>
      </c>
      <c r="W371" s="3" t="n">
        <v>1244.742866701254</v>
      </c>
      <c r="X371" s="3" t="n">
        <v>1240.404699281519</v>
      </c>
      <c r="Y371" s="3" t="n">
        <v>1236.081651206561</v>
      </c>
      <c r="Z371" s="3" t="n">
        <v>1231.773669782568</v>
      </c>
      <c r="AA371" s="3" t="n">
        <v>1227.480702499373</v>
      </c>
      <c r="AB371" s="3" t="n">
        <v>1223.202697029819</v>
      </c>
      <c r="AC371" s="3" t="n">
        <v>1218.939601229117</v>
      </c>
      <c r="AD371" s="3" t="n">
        <v>1214.691363134216</v>
      </c>
      <c r="AE371" s="3" t="n">
        <v>1210.457930963162</v>
      </c>
      <c r="AG371" s="20" t="inlineStr">
        <is>
          <t>egy.mit.ener.tot.bio.3</t>
        </is>
      </c>
      <c r="AH371" s="3" t="n">
        <v>1494.644271668726</v>
      </c>
      <c r="AI371" s="3" t="n">
        <v>1177.075024141229</v>
      </c>
      <c r="AJ371" s="3" t="n">
        <v>1284.475530209442</v>
      </c>
      <c r="AK371" s="3" t="n">
        <v>1279.998886843436</v>
      </c>
      <c r="AL371" s="3" t="n">
        <v>1275.537845437416</v>
      </c>
      <c r="AM371" s="3" t="n">
        <v>1271.092351615563</v>
      </c>
      <c r="AN371" s="3" t="n">
        <v>1266.662351191567</v>
      </c>
      <c r="AO371" s="3" t="n">
        <v>1262.247790167966</v>
      </c>
      <c r="AP371" s="3" t="n">
        <v>1257.848614735491</v>
      </c>
      <c r="AQ371" s="3" t="n">
        <v>1253.46477127241</v>
      </c>
      <c r="AR371" s="3" t="n">
        <v>1249.096206343871</v>
      </c>
      <c r="AS371" s="3" t="n">
        <v>1244.742866701254</v>
      </c>
      <c r="AT371" s="3" t="n">
        <v>1240.404699281519</v>
      </c>
      <c r="AU371" s="3" t="n">
        <v>1236.081651206561</v>
      </c>
      <c r="AV371" s="3" t="n">
        <v>1231.773669782568</v>
      </c>
      <c r="AW371" s="3" t="n">
        <v>1227.480702499373</v>
      </c>
      <c r="AX371" s="3" t="n">
        <v>1223.202697029819</v>
      </c>
      <c r="AY371" s="3" t="n">
        <v>1218.939601229117</v>
      </c>
      <c r="AZ371" s="3" t="n">
        <v>1214.691363134216</v>
      </c>
      <c r="BA371" s="3" t="n">
        <v>1210.457930963162</v>
      </c>
      <c r="BC371" s="20" t="inlineStr">
        <is>
          <t>egy.mit.ener.tot.bio.4</t>
        </is>
      </c>
      <c r="BD371" s="3" t="n">
        <v>1494.644271668726</v>
      </c>
      <c r="BE371" s="3" t="n">
        <v>1177.075024141229</v>
      </c>
      <c r="BF371" s="3" t="n">
        <v>1284.475530209442</v>
      </c>
      <c r="BG371" s="3" t="n">
        <v>1279.998886843436</v>
      </c>
      <c r="BH371" s="3" t="n">
        <v>1275.537845437416</v>
      </c>
      <c r="BI371" s="3" t="n">
        <v>1271.092351615563</v>
      </c>
      <c r="BJ371" s="3" t="n">
        <v>1266.662351191567</v>
      </c>
      <c r="BK371" s="3" t="n">
        <v>1262.247790167966</v>
      </c>
      <c r="BL371" s="3" t="n">
        <v>1257.848614735491</v>
      </c>
      <c r="BM371" s="3" t="n">
        <v>1253.46477127241</v>
      </c>
      <c r="BN371" s="3" t="n">
        <v>1249.096206343871</v>
      </c>
      <c r="BO371" s="3" t="n">
        <v>1244.742866701254</v>
      </c>
      <c r="BP371" s="3" t="n">
        <v>1240.404699281519</v>
      </c>
      <c r="BQ371" s="3" t="n">
        <v>1236.081651206561</v>
      </c>
      <c r="BR371" s="3" t="n">
        <v>1231.773669782568</v>
      </c>
      <c r="BS371" s="3" t="n">
        <v>1227.480702499373</v>
      </c>
      <c r="BT371" s="3" t="n">
        <v>1223.202697029819</v>
      </c>
      <c r="BU371" s="3" t="n">
        <v>1218.939601229117</v>
      </c>
      <c r="BV371" s="3" t="n">
        <v>1214.691363134216</v>
      </c>
      <c r="BW371" s="3" t="n">
        <v>1210.457930963162</v>
      </c>
      <c r="BY371" s="20" t="inlineStr">
        <is>
          <t>egy.mit.ener.tot.bio.5</t>
        </is>
      </c>
      <c r="BZ371" s="3" t="n">
        <v>1494.644271668726</v>
      </c>
      <c r="CA371" s="3" t="n">
        <v>1177.075024141229</v>
      </c>
      <c r="CB371" s="3" t="n">
        <v>1284.475530209442</v>
      </c>
      <c r="CC371" s="3" t="n">
        <v>1279.998886843436</v>
      </c>
      <c r="CD371" s="3" t="n">
        <v>1275.537845437416</v>
      </c>
      <c r="CE371" s="3" t="n">
        <v>1271.092351615563</v>
      </c>
      <c r="CF371" s="3" t="n">
        <v>1266.662351191567</v>
      </c>
      <c r="CG371" s="3" t="n">
        <v>1262.247790167966</v>
      </c>
      <c r="CH371" s="3" t="n">
        <v>1257.848614735491</v>
      </c>
      <c r="CI371" s="3" t="n">
        <v>1253.46477127241</v>
      </c>
      <c r="CJ371" s="3" t="n">
        <v>1249.096206343871</v>
      </c>
      <c r="CK371" s="3" t="n">
        <v>1244.742866701254</v>
      </c>
      <c r="CL371" s="3" t="n">
        <v>1240.404699281519</v>
      </c>
      <c r="CM371" s="3" t="n">
        <v>1236.081651206561</v>
      </c>
      <c r="CN371" s="3" t="n">
        <v>1231.773669782568</v>
      </c>
      <c r="CO371" s="3" t="n">
        <v>1227.480702499373</v>
      </c>
      <c r="CP371" s="3" t="n">
        <v>1223.202697029819</v>
      </c>
      <c r="CQ371" s="3" t="n">
        <v>1218.939601229117</v>
      </c>
      <c r="CR371" s="3" t="n">
        <v>1214.691363134216</v>
      </c>
      <c r="CS371" s="3" t="n">
        <v>1210.457930963162</v>
      </c>
      <c r="CU371" s="20" t="inlineStr">
        <is>
          <t>egy.mit.ener.tot.bio.6</t>
        </is>
      </c>
      <c r="CV371" s="3" t="n">
        <v>1494.644271668726</v>
      </c>
      <c r="CW371" s="3" t="n">
        <v>1177.075024141229</v>
      </c>
      <c r="CX371" s="3" t="n">
        <v>1284.475530209442</v>
      </c>
      <c r="CY371" s="3" t="n">
        <v>1279.998886843436</v>
      </c>
      <c r="CZ371" s="3" t="n">
        <v>1275.537845437416</v>
      </c>
      <c r="DA371" s="3" t="n">
        <v>1271.092351615563</v>
      </c>
      <c r="DB371" s="3" t="n">
        <v>1266.662351191567</v>
      </c>
      <c r="DC371" s="3" t="n">
        <v>1262.247790167966</v>
      </c>
      <c r="DD371" s="3" t="n">
        <v>1257.848614735491</v>
      </c>
      <c r="DE371" s="3" t="n">
        <v>1253.46477127241</v>
      </c>
      <c r="DF371" s="3" t="n">
        <v>1249.096206343871</v>
      </c>
      <c r="DG371" s="3" t="n">
        <v>1244.742866701254</v>
      </c>
      <c r="DH371" s="3" t="n">
        <v>1240.404699281519</v>
      </c>
      <c r="DI371" s="3" t="n">
        <v>1236.081651206561</v>
      </c>
      <c r="DJ371" s="3" t="n">
        <v>1231.773669782568</v>
      </c>
      <c r="DK371" s="3" t="n">
        <v>1227.480702499373</v>
      </c>
      <c r="DL371" s="3" t="n">
        <v>1223.202697029819</v>
      </c>
      <c r="DM371" s="3" t="n">
        <v>1218.939601229117</v>
      </c>
      <c r="DN371" s="3" t="n">
        <v>1214.691363134216</v>
      </c>
      <c r="DO371" s="3" t="n">
        <v>1210.457930963162</v>
      </c>
    </row>
    <row r="372">
      <c r="A372" s="19" t="inlineStr">
        <is>
          <t>mit.pe.pow.coa</t>
        </is>
      </c>
      <c r="B372" s="3" t="inlineStr">
        <is>
          <t>mit</t>
        </is>
      </c>
      <c r="C372" s="19" t="inlineStr">
        <is>
          <t>mit.ener.coa.pow</t>
        </is>
      </c>
      <c r="H372" s="3" t="inlineStr">
        <is>
          <t>Fuel use (primary energy) of power generation | Power | Coal</t>
        </is>
      </c>
      <c r="I372" s="3" t="inlineStr">
        <is>
          <t>ktoe</t>
        </is>
      </c>
      <c r="K372" s="20" t="inlineStr">
        <is>
          <t>egy.mit.pe.pow.coa.1</t>
        </is>
      </c>
      <c r="L372" s="3" t="n">
        <v>0</v>
      </c>
      <c r="M372" s="3" t="n">
        <v>0</v>
      </c>
      <c r="N372" s="3" t="n">
        <v>0</v>
      </c>
      <c r="O372" s="3" t="n">
        <v>0</v>
      </c>
      <c r="P372" s="3" t="n">
        <v>0</v>
      </c>
      <c r="Q372" s="3" t="n">
        <v>0</v>
      </c>
      <c r="R372" s="3" t="n">
        <v>0</v>
      </c>
      <c r="S372" s="3" t="n">
        <v>0</v>
      </c>
      <c r="T372" s="3" t="n">
        <v>0</v>
      </c>
      <c r="U372" s="3" t="n">
        <v>0</v>
      </c>
      <c r="V372" s="3" t="n">
        <v>0</v>
      </c>
      <c r="W372" s="3" t="n">
        <v>0</v>
      </c>
      <c r="X372" s="3" t="n">
        <v>0</v>
      </c>
      <c r="Y372" s="3" t="n">
        <v>0</v>
      </c>
      <c r="Z372" s="3" t="n">
        <v>0</v>
      </c>
      <c r="AA372" s="3" t="n">
        <v>0</v>
      </c>
      <c r="AB372" s="3" t="n">
        <v>0</v>
      </c>
      <c r="AC372" s="3" t="n">
        <v>0</v>
      </c>
      <c r="AD372" s="3" t="n">
        <v>0</v>
      </c>
      <c r="AE372" s="3" t="n">
        <v>0</v>
      </c>
      <c r="AG372" s="20" t="inlineStr">
        <is>
          <t>egy.mit.pe.pow.coa.3</t>
        </is>
      </c>
      <c r="AH372" s="3" t="n">
        <v>0</v>
      </c>
      <c r="AI372" s="3" t="n">
        <v>0</v>
      </c>
      <c r="AJ372" s="3" t="n">
        <v>0</v>
      </c>
      <c r="AK372" s="3" t="n">
        <v>0</v>
      </c>
      <c r="AL372" s="3" t="n">
        <v>0</v>
      </c>
      <c r="AM372" s="3" t="n">
        <v>0</v>
      </c>
      <c r="AN372" s="3" t="n">
        <v>0</v>
      </c>
      <c r="AO372" s="3" t="n">
        <v>0</v>
      </c>
      <c r="AP372" s="3" t="n">
        <v>0</v>
      </c>
      <c r="AQ372" s="3" t="n">
        <v>0</v>
      </c>
      <c r="AR372" s="3" t="n">
        <v>0</v>
      </c>
      <c r="AS372" s="3" t="n">
        <v>0</v>
      </c>
      <c r="AT372" s="3" t="n">
        <v>0</v>
      </c>
      <c r="AU372" s="3" t="n">
        <v>0</v>
      </c>
      <c r="AV372" s="3" t="n">
        <v>0</v>
      </c>
      <c r="AW372" s="3" t="n">
        <v>0</v>
      </c>
      <c r="AX372" s="3" t="n">
        <v>0</v>
      </c>
      <c r="AY372" s="3" t="n">
        <v>0</v>
      </c>
      <c r="AZ372" s="3" t="n">
        <v>0</v>
      </c>
      <c r="BA372" s="3" t="n">
        <v>0</v>
      </c>
      <c r="BC372" s="20" t="inlineStr">
        <is>
          <t>egy.mit.pe.pow.coa.4</t>
        </is>
      </c>
      <c r="BD372" s="3" t="n">
        <v>0</v>
      </c>
      <c r="BE372" s="3" t="n">
        <v>0</v>
      </c>
      <c r="BF372" s="3" t="n">
        <v>0</v>
      </c>
      <c r="BG372" s="3" t="n">
        <v>0</v>
      </c>
      <c r="BH372" s="3" t="n">
        <v>0</v>
      </c>
      <c r="BI372" s="3" t="n">
        <v>0</v>
      </c>
      <c r="BJ372" s="3" t="n">
        <v>0</v>
      </c>
      <c r="BK372" s="3" t="n">
        <v>0</v>
      </c>
      <c r="BL372" s="3" t="n">
        <v>0</v>
      </c>
      <c r="BM372" s="3" t="n">
        <v>0</v>
      </c>
      <c r="BN372" s="3" t="n">
        <v>0</v>
      </c>
      <c r="BO372" s="3" t="n">
        <v>0</v>
      </c>
      <c r="BP372" s="3" t="n">
        <v>0</v>
      </c>
      <c r="BQ372" s="3" t="n">
        <v>0</v>
      </c>
      <c r="BR372" s="3" t="n">
        <v>0</v>
      </c>
      <c r="BS372" s="3" t="n">
        <v>0</v>
      </c>
      <c r="BT372" s="3" t="n">
        <v>0</v>
      </c>
      <c r="BU372" s="3" t="n">
        <v>0</v>
      </c>
      <c r="BV372" s="3" t="n">
        <v>0</v>
      </c>
      <c r="BW372" s="3" t="n">
        <v>0</v>
      </c>
      <c r="BY372" s="20" t="inlineStr">
        <is>
          <t>egy.mit.pe.pow.coa.5</t>
        </is>
      </c>
      <c r="BZ372" s="3" t="n">
        <v>0</v>
      </c>
      <c r="CA372" s="3" t="n">
        <v>0</v>
      </c>
      <c r="CB372" s="3" t="n">
        <v>0</v>
      </c>
      <c r="CC372" s="3" t="n">
        <v>0</v>
      </c>
      <c r="CD372" s="3" t="n">
        <v>0</v>
      </c>
      <c r="CE372" s="3" t="n">
        <v>0</v>
      </c>
      <c r="CF372" s="3" t="n">
        <v>0</v>
      </c>
      <c r="CG372" s="3" t="n">
        <v>0</v>
      </c>
      <c r="CH372" s="3" t="n">
        <v>0</v>
      </c>
      <c r="CI372" s="3" t="n">
        <v>0</v>
      </c>
      <c r="CJ372" s="3" t="n">
        <v>0</v>
      </c>
      <c r="CK372" s="3" t="n">
        <v>0</v>
      </c>
      <c r="CL372" s="3" t="n">
        <v>0</v>
      </c>
      <c r="CM372" s="3" t="n">
        <v>0</v>
      </c>
      <c r="CN372" s="3" t="n">
        <v>0</v>
      </c>
      <c r="CO372" s="3" t="n">
        <v>0</v>
      </c>
      <c r="CP372" s="3" t="n">
        <v>0</v>
      </c>
      <c r="CQ372" s="3" t="n">
        <v>0</v>
      </c>
      <c r="CR372" s="3" t="n">
        <v>0</v>
      </c>
      <c r="CS372" s="3" t="n">
        <v>0</v>
      </c>
      <c r="CU372" s="20" t="inlineStr">
        <is>
          <t>egy.mit.pe.pow.coa.6</t>
        </is>
      </c>
      <c r="CV372" s="3" t="n">
        <v>0</v>
      </c>
      <c r="CW372" s="3" t="n">
        <v>0</v>
      </c>
      <c r="CX372" s="3" t="n">
        <v>0</v>
      </c>
      <c r="CY372" s="3" t="n">
        <v>0</v>
      </c>
      <c r="CZ372" s="3" t="n">
        <v>0</v>
      </c>
      <c r="DA372" s="3" t="n">
        <v>0</v>
      </c>
      <c r="DB372" s="3" t="n">
        <v>0</v>
      </c>
      <c r="DC372" s="3" t="n">
        <v>0</v>
      </c>
      <c r="DD372" s="3" t="n">
        <v>0</v>
      </c>
      <c r="DE372" s="3" t="n">
        <v>0</v>
      </c>
      <c r="DF372" s="3" t="n">
        <v>0</v>
      </c>
      <c r="DG372" s="3" t="n">
        <v>0</v>
      </c>
      <c r="DH372" s="3" t="n">
        <v>0</v>
      </c>
      <c r="DI372" s="3" t="n">
        <v>0</v>
      </c>
      <c r="DJ372" s="3" t="n">
        <v>0</v>
      </c>
      <c r="DK372" s="3" t="n">
        <v>0</v>
      </c>
      <c r="DL372" s="3" t="n">
        <v>0</v>
      </c>
      <c r="DM372" s="3" t="n">
        <v>0</v>
      </c>
      <c r="DN372" s="3" t="n">
        <v>0</v>
      </c>
      <c r="DO372" s="3" t="n">
        <v>0</v>
      </c>
    </row>
    <row r="373">
      <c r="A373" s="19" t="inlineStr">
        <is>
          <t>mit.fuq.tra.coa</t>
        </is>
      </c>
      <c r="B373" s="3" t="inlineStr">
        <is>
          <t>mit</t>
        </is>
      </c>
      <c r="C373" s="19" t="inlineStr">
        <is>
          <t>mit.ener.coa.tra</t>
        </is>
      </c>
      <c r="H373" s="3" t="inlineStr">
        <is>
          <t>Fuel use by sector group (weights of the costs per unit) | Transport | Coal</t>
        </is>
      </c>
      <c r="I373" s="3" t="inlineStr">
        <is>
          <t>ktoe</t>
        </is>
      </c>
      <c r="K373" s="20" t="inlineStr">
        <is>
          <t>egy.mit.fuq.tra.coa.1</t>
        </is>
      </c>
      <c r="L373" s="3" t="n">
        <v>0</v>
      </c>
      <c r="M373" s="3" t="n">
        <v>0</v>
      </c>
      <c r="N373" s="3" t="n">
        <v>0</v>
      </c>
      <c r="O373" s="3" t="n">
        <v>0</v>
      </c>
      <c r="P373" s="3" t="n">
        <v>0</v>
      </c>
      <c r="Q373" s="3" t="n">
        <v>0</v>
      </c>
      <c r="R373" s="3" t="n">
        <v>0</v>
      </c>
      <c r="S373" s="3" t="n">
        <v>0</v>
      </c>
      <c r="T373" s="3" t="n">
        <v>0</v>
      </c>
      <c r="U373" s="3" t="n">
        <v>0</v>
      </c>
      <c r="V373" s="3" t="n">
        <v>0</v>
      </c>
      <c r="W373" s="3" t="n">
        <v>0</v>
      </c>
      <c r="X373" s="3" t="n">
        <v>0</v>
      </c>
      <c r="Y373" s="3" t="n">
        <v>0</v>
      </c>
      <c r="Z373" s="3" t="n">
        <v>0</v>
      </c>
      <c r="AA373" s="3" t="n">
        <v>0</v>
      </c>
      <c r="AB373" s="3" t="n">
        <v>0</v>
      </c>
      <c r="AC373" s="3" t="n">
        <v>0</v>
      </c>
      <c r="AD373" s="3" t="n">
        <v>0</v>
      </c>
      <c r="AE373" s="3" t="n">
        <v>0</v>
      </c>
      <c r="AG373" s="20" t="inlineStr">
        <is>
          <t>egy.mit.fuq.tra.coa.3</t>
        </is>
      </c>
      <c r="AH373" s="3" t="n">
        <v>0</v>
      </c>
      <c r="AI373" s="3" t="n">
        <v>0</v>
      </c>
      <c r="AJ373" s="3" t="n">
        <v>0</v>
      </c>
      <c r="AK373" s="3" t="n">
        <v>0</v>
      </c>
      <c r="AL373" s="3" t="n">
        <v>0</v>
      </c>
      <c r="AM373" s="3" t="n">
        <v>0</v>
      </c>
      <c r="AN373" s="3" t="n">
        <v>0</v>
      </c>
      <c r="AO373" s="3" t="n">
        <v>0</v>
      </c>
      <c r="AP373" s="3" t="n">
        <v>0</v>
      </c>
      <c r="AQ373" s="3" t="n">
        <v>0</v>
      </c>
      <c r="AR373" s="3" t="n">
        <v>0</v>
      </c>
      <c r="AS373" s="3" t="n">
        <v>0</v>
      </c>
      <c r="AT373" s="3" t="n">
        <v>0</v>
      </c>
      <c r="AU373" s="3" t="n">
        <v>0</v>
      </c>
      <c r="AV373" s="3" t="n">
        <v>0</v>
      </c>
      <c r="AW373" s="3" t="n">
        <v>0</v>
      </c>
      <c r="AX373" s="3" t="n">
        <v>0</v>
      </c>
      <c r="AY373" s="3" t="n">
        <v>0</v>
      </c>
      <c r="AZ373" s="3" t="n">
        <v>0</v>
      </c>
      <c r="BA373" s="3" t="n">
        <v>0</v>
      </c>
      <c r="BC373" s="20" t="inlineStr">
        <is>
          <t>egy.mit.fuq.tra.coa.4</t>
        </is>
      </c>
      <c r="BD373" s="3" t="n">
        <v>0</v>
      </c>
      <c r="BE373" s="3" t="n">
        <v>0</v>
      </c>
      <c r="BF373" s="3" t="n">
        <v>0</v>
      </c>
      <c r="BG373" s="3" t="n">
        <v>0</v>
      </c>
      <c r="BH373" s="3" t="n">
        <v>0</v>
      </c>
      <c r="BI373" s="3" t="n">
        <v>0</v>
      </c>
      <c r="BJ373" s="3" t="n">
        <v>0</v>
      </c>
      <c r="BK373" s="3" t="n">
        <v>0</v>
      </c>
      <c r="BL373" s="3" t="n">
        <v>0</v>
      </c>
      <c r="BM373" s="3" t="n">
        <v>0</v>
      </c>
      <c r="BN373" s="3" t="n">
        <v>0</v>
      </c>
      <c r="BO373" s="3" t="n">
        <v>0</v>
      </c>
      <c r="BP373" s="3" t="n">
        <v>0</v>
      </c>
      <c r="BQ373" s="3" t="n">
        <v>0</v>
      </c>
      <c r="BR373" s="3" t="n">
        <v>0</v>
      </c>
      <c r="BS373" s="3" t="n">
        <v>0</v>
      </c>
      <c r="BT373" s="3" t="n">
        <v>0</v>
      </c>
      <c r="BU373" s="3" t="n">
        <v>0</v>
      </c>
      <c r="BV373" s="3" t="n">
        <v>0</v>
      </c>
      <c r="BW373" s="3" t="n">
        <v>0</v>
      </c>
      <c r="BY373" s="20" t="inlineStr">
        <is>
          <t>egy.mit.fuq.tra.coa.5</t>
        </is>
      </c>
      <c r="BZ373" s="3" t="n">
        <v>0</v>
      </c>
      <c r="CA373" s="3" t="n">
        <v>0</v>
      </c>
      <c r="CB373" s="3" t="n">
        <v>0</v>
      </c>
      <c r="CC373" s="3" t="n">
        <v>0</v>
      </c>
      <c r="CD373" s="3" t="n">
        <v>0</v>
      </c>
      <c r="CE373" s="3" t="n">
        <v>0</v>
      </c>
      <c r="CF373" s="3" t="n">
        <v>0</v>
      </c>
      <c r="CG373" s="3" t="n">
        <v>0</v>
      </c>
      <c r="CH373" s="3" t="n">
        <v>0</v>
      </c>
      <c r="CI373" s="3" t="n">
        <v>0</v>
      </c>
      <c r="CJ373" s="3" t="n">
        <v>0</v>
      </c>
      <c r="CK373" s="3" t="n">
        <v>0</v>
      </c>
      <c r="CL373" s="3" t="n">
        <v>0</v>
      </c>
      <c r="CM373" s="3" t="n">
        <v>0</v>
      </c>
      <c r="CN373" s="3" t="n">
        <v>0</v>
      </c>
      <c r="CO373" s="3" t="n">
        <v>0</v>
      </c>
      <c r="CP373" s="3" t="n">
        <v>0</v>
      </c>
      <c r="CQ373" s="3" t="n">
        <v>0</v>
      </c>
      <c r="CR373" s="3" t="n">
        <v>0</v>
      </c>
      <c r="CS373" s="3" t="n">
        <v>0</v>
      </c>
      <c r="CU373" s="20" t="inlineStr">
        <is>
          <t>egy.mit.fuq.tra.coa.6</t>
        </is>
      </c>
      <c r="CV373" s="3" t="n">
        <v>0</v>
      </c>
      <c r="CW373" s="3" t="n">
        <v>0</v>
      </c>
      <c r="CX373" s="3" t="n">
        <v>0</v>
      </c>
      <c r="CY373" s="3" t="n">
        <v>0</v>
      </c>
      <c r="CZ373" s="3" t="n">
        <v>0</v>
      </c>
      <c r="DA373" s="3" t="n">
        <v>0</v>
      </c>
      <c r="DB373" s="3" t="n">
        <v>0</v>
      </c>
      <c r="DC373" s="3" t="n">
        <v>0</v>
      </c>
      <c r="DD373" s="3" t="n">
        <v>0</v>
      </c>
      <c r="DE373" s="3" t="n">
        <v>0</v>
      </c>
      <c r="DF373" s="3" t="n">
        <v>0</v>
      </c>
      <c r="DG373" s="3" t="n">
        <v>0</v>
      </c>
      <c r="DH373" s="3" t="n">
        <v>0</v>
      </c>
      <c r="DI373" s="3" t="n">
        <v>0</v>
      </c>
      <c r="DJ373" s="3" t="n">
        <v>0</v>
      </c>
      <c r="DK373" s="3" t="n">
        <v>0</v>
      </c>
      <c r="DL373" s="3" t="n">
        <v>0</v>
      </c>
      <c r="DM373" s="3" t="n">
        <v>0</v>
      </c>
      <c r="DN373" s="3" t="n">
        <v>0</v>
      </c>
      <c r="DO373" s="3" t="n">
        <v>0</v>
      </c>
    </row>
    <row r="374">
      <c r="A374" s="19" t="inlineStr">
        <is>
          <t>mit.fuq.bld.coa</t>
        </is>
      </c>
      <c r="B374" s="3" t="inlineStr">
        <is>
          <t>mit</t>
        </is>
      </c>
      <c r="C374" s="19" t="inlineStr">
        <is>
          <t>mit.ener.coa.res</t>
        </is>
      </c>
      <c r="H374" s="3" t="inlineStr">
        <is>
          <t>Fuel use by sector group (weights of the costs per unit) | Buildings | Coal</t>
        </is>
      </c>
      <c r="I374" s="3" t="inlineStr">
        <is>
          <t>ktoe</t>
        </is>
      </c>
      <c r="K374" s="20" t="inlineStr">
        <is>
          <t>egy.mit.fuq.bld.coa.1</t>
        </is>
      </c>
      <c r="L374" s="3" t="n">
        <v>1.644886914655364</v>
      </c>
      <c r="M374" s="3" t="n">
        <v>1.677350421582733</v>
      </c>
      <c r="N374" s="3" t="n">
        <v>1.909655286875112</v>
      </c>
      <c r="O374" s="3" t="n">
        <v>2.026434143285457</v>
      </c>
      <c r="P374" s="3" t="n">
        <v>1.988566367725465</v>
      </c>
      <c r="Q374" s="3" t="n">
        <v>1.997635816617431</v>
      </c>
      <c r="R374" s="3" t="n">
        <v>2.028704214637992</v>
      </c>
      <c r="S374" s="3" t="n">
        <v>2.058571458937762</v>
      </c>
      <c r="T374" s="3" t="n">
        <v>2.08681556351154</v>
      </c>
      <c r="U374" s="3" t="n">
        <v>2.114747501257254</v>
      </c>
      <c r="V374" s="3" t="n">
        <v>2.135694650010281</v>
      </c>
      <c r="W374" s="3" t="n">
        <v>2.156462047750408</v>
      </c>
      <c r="X374" s="3" t="n">
        <v>2.177046835367228</v>
      </c>
      <c r="Y374" s="3" t="n">
        <v>2.197446288935714</v>
      </c>
      <c r="Z374" s="3" t="n">
        <v>2.217657807952803</v>
      </c>
      <c r="AA374" s="3" t="n">
        <v>2.237678903621845</v>
      </c>
      <c r="AB374" s="3" t="n">
        <v>2.257507187203775</v>
      </c>
      <c r="AC374" s="3" t="n">
        <v>2.277140358450515</v>
      </c>
      <c r="AD374" s="3" t="n">
        <v>2.29657619413301</v>
      </c>
      <c r="AE374" s="3" t="n">
        <v>2.315812536673478</v>
      </c>
      <c r="AG374" s="20" t="inlineStr">
        <is>
          <t>egy.mit.fuq.bld.coa.3</t>
        </is>
      </c>
      <c r="AH374" s="3" t="n">
        <v>1.644886914655364</v>
      </c>
      <c r="AI374" s="3" t="n">
        <v>1.677350421582733</v>
      </c>
      <c r="AJ374" s="3" t="n">
        <v>1.909655286875112</v>
      </c>
      <c r="AK374" s="3" t="n">
        <v>2.026434143285457</v>
      </c>
      <c r="AL374" s="3" t="n">
        <v>1.988566367725465</v>
      </c>
      <c r="AM374" s="3" t="n">
        <v>1.840386416799157</v>
      </c>
      <c r="AN374" s="3" t="n">
        <v>1.86829497517006</v>
      </c>
      <c r="AO374" s="3" t="n">
        <v>1.895346466138568</v>
      </c>
      <c r="AP374" s="3" t="n">
        <v>1.91974006359624</v>
      </c>
      <c r="AQ374" s="3" t="n">
        <v>1.94471753423354</v>
      </c>
      <c r="AR374" s="3" t="n">
        <v>1.963675601949919</v>
      </c>
      <c r="AS374" s="3" t="n">
        <v>1.983173503584524</v>
      </c>
      <c r="AT374" s="3" t="n">
        <v>2.002834983108545</v>
      </c>
      <c r="AU374" s="3" t="n">
        <v>2.02216309895093</v>
      </c>
      <c r="AV374" s="3" t="n">
        <v>2.04145665908851</v>
      </c>
      <c r="AW374" s="3" t="n">
        <v>2.060900153536243</v>
      </c>
      <c r="AX374" s="3" t="n">
        <v>2.079853300587483</v>
      </c>
      <c r="AY374" s="3" t="n">
        <v>2.098458246474616</v>
      </c>
      <c r="AZ374" s="3" t="n">
        <v>2.116497813847917</v>
      </c>
      <c r="BA374" s="3" t="n">
        <v>2.134245119530093</v>
      </c>
      <c r="BC374" s="20" t="inlineStr">
        <is>
          <t>egy.mit.fuq.bld.coa.4</t>
        </is>
      </c>
      <c r="BD374" s="3" t="n">
        <v>1.644886914655364</v>
      </c>
      <c r="BE374" s="3" t="n">
        <v>1.677350421582733</v>
      </c>
      <c r="BF374" s="3" t="n">
        <v>1.909655286875112</v>
      </c>
      <c r="BG374" s="3" t="n">
        <v>2.026434143285457</v>
      </c>
      <c r="BH374" s="3" t="n">
        <v>1.988566367725465</v>
      </c>
      <c r="BI374" s="3" t="n">
        <v>1.914626343267692</v>
      </c>
      <c r="BJ374" s="3" t="n">
        <v>1.844793058273113</v>
      </c>
      <c r="BK374" s="3" t="n">
        <v>1.783104810326062</v>
      </c>
      <c r="BL374" s="3" t="n">
        <v>1.727000257318246</v>
      </c>
      <c r="BM374" s="3" t="n">
        <v>1.676943016535465</v>
      </c>
      <c r="BN374" s="3" t="n">
        <v>1.628643926657466</v>
      </c>
      <c r="BO374" s="3" t="n">
        <v>1.585556403698105</v>
      </c>
      <c r="BP374" s="3" t="n">
        <v>1.547052794997441</v>
      </c>
      <c r="BQ374" s="3" t="n">
        <v>1.512360003242457</v>
      </c>
      <c r="BR374" s="3" t="n">
        <v>1.480946379996688</v>
      </c>
      <c r="BS374" s="3" t="n">
        <v>1.452476257000759</v>
      </c>
      <c r="BT374" s="3" t="n">
        <v>1.4264561983842</v>
      </c>
      <c r="BU374" s="3" t="n">
        <v>1.402511581948967</v>
      </c>
      <c r="BV374" s="3" t="n">
        <v>1.380220944386482</v>
      </c>
      <c r="BW374" s="3" t="n">
        <v>1.359353514195736</v>
      </c>
      <c r="BY374" s="20" t="inlineStr">
        <is>
          <t>egy.mit.fuq.bld.coa.5</t>
        </is>
      </c>
      <c r="BZ374" s="3" t="n">
        <v>1.644886914655364</v>
      </c>
      <c r="CA374" s="3" t="n">
        <v>1.677350421582733</v>
      </c>
      <c r="CB374" s="3" t="n">
        <v>1.909655286875112</v>
      </c>
      <c r="CC374" s="3" t="n">
        <v>2.026434143285457</v>
      </c>
      <c r="CD374" s="3" t="n">
        <v>1.988566367725465</v>
      </c>
      <c r="CE374" s="3" t="n">
        <v>1.806099341131063</v>
      </c>
      <c r="CF374" s="3" t="n">
        <v>1.833340311992184</v>
      </c>
      <c r="CG374" s="3" t="n">
        <v>1.859676137903456</v>
      </c>
      <c r="CH374" s="3" t="n">
        <v>1.883479312854422</v>
      </c>
      <c r="CI374" s="3" t="n">
        <v>1.907956816829304</v>
      </c>
      <c r="CJ374" s="3" t="n">
        <v>1.926519283945906</v>
      </c>
      <c r="CK374" s="3" t="n">
        <v>1.945697076418657</v>
      </c>
      <c r="CL374" s="3" t="n">
        <v>1.964744568806184</v>
      </c>
      <c r="CM374" s="3" t="n">
        <v>1.983518702770152</v>
      </c>
      <c r="CN374" s="3" t="n">
        <v>2.002254704429591</v>
      </c>
      <c r="CO374" s="3" t="n">
        <v>2.021058012949164</v>
      </c>
      <c r="CP374" s="3" t="n">
        <v>2.039405774313419</v>
      </c>
      <c r="CQ374" s="3" t="n">
        <v>2.057515255762214</v>
      </c>
      <c r="CR374" s="3" t="n">
        <v>2.075149877662295</v>
      </c>
      <c r="CS374" s="3" t="n">
        <v>2.092639100034664</v>
      </c>
      <c r="CU374" s="20" t="inlineStr">
        <is>
          <t>egy.mit.fuq.bld.coa.6</t>
        </is>
      </c>
      <c r="CV374" s="3" t="n">
        <v>1.644886914655364</v>
      </c>
      <c r="CW374" s="3" t="n">
        <v>1.677350421582733</v>
      </c>
      <c r="CX374" s="3" t="n">
        <v>1.909655286875112</v>
      </c>
      <c r="CY374" s="3" t="n">
        <v>2.026434143285457</v>
      </c>
      <c r="CZ374" s="3" t="n">
        <v>1.988566367725465</v>
      </c>
      <c r="DA374" s="3" t="n">
        <v>1.657523867494638</v>
      </c>
      <c r="DB374" s="3" t="n">
        <v>1.681960767119653</v>
      </c>
      <c r="DC374" s="3" t="n">
        <v>1.705887256395047</v>
      </c>
      <c r="DD374" s="3" t="n">
        <v>1.726210963235207</v>
      </c>
      <c r="DE374" s="3" t="n">
        <v>1.748046632953911</v>
      </c>
      <c r="DF374" s="3" t="n">
        <v>1.764725375473386</v>
      </c>
      <c r="DG374" s="3" t="n">
        <v>1.78270821547012</v>
      </c>
      <c r="DH374" s="3" t="n">
        <v>1.801074183197146</v>
      </c>
      <c r="DI374" s="3" t="n">
        <v>1.819010806370536</v>
      </c>
      <c r="DJ374" s="3" t="n">
        <v>1.837045306507311</v>
      </c>
      <c r="DK374" s="3" t="n">
        <v>1.855546691439992</v>
      </c>
      <c r="DL374" s="3" t="n">
        <v>1.873271324574237</v>
      </c>
      <c r="DM374" s="3" t="n">
        <v>1.890549216410247</v>
      </c>
      <c r="DN374" s="3" t="n">
        <v>1.906934170712315</v>
      </c>
      <c r="DO374" s="3" t="n">
        <v>1.922972147640365</v>
      </c>
    </row>
    <row r="375">
      <c r="A375" s="19" t="inlineStr">
        <is>
          <t>mit.fuq.ind.coa</t>
        </is>
      </c>
      <c r="B375" s="3" t="inlineStr">
        <is>
          <t>mit</t>
        </is>
      </c>
      <c r="C375" s="19" t="inlineStr">
        <is>
          <t>mit.ener.coa.ind</t>
        </is>
      </c>
      <c r="H375" s="3" t="inlineStr">
        <is>
          <t>Fuel use by sector group (weights of the costs per unit) | Industry | Coal</t>
        </is>
      </c>
      <c r="I375" s="3" t="inlineStr">
        <is>
          <t>ktoe</t>
        </is>
      </c>
      <c r="K375" s="20" t="inlineStr">
        <is>
          <t>egy.mit.fuq.ind.coa.1</t>
        </is>
      </c>
      <c r="L375" s="3" t="n">
        <v>1648.501646384037</v>
      </c>
      <c r="M375" s="3" t="n">
        <v>1531.109313867276</v>
      </c>
      <c r="N375" s="3" t="n">
        <v>1837.968666472191</v>
      </c>
      <c r="O375" s="3" t="n">
        <v>1989.710719862191</v>
      </c>
      <c r="P375" s="3" t="n">
        <v>1956.279118884991</v>
      </c>
      <c r="Q375" s="3" t="n">
        <v>1981.138056027348</v>
      </c>
      <c r="R375" s="3" t="n">
        <v>2034.874559787176</v>
      </c>
      <c r="S375" s="3" t="n">
        <v>2087.021438911684</v>
      </c>
      <c r="T375" s="3" t="n">
        <v>2136.768545232931</v>
      </c>
      <c r="U375" s="3" t="n">
        <v>2186.602272428098</v>
      </c>
      <c r="V375" s="3" t="n">
        <v>2227.999159623919</v>
      </c>
      <c r="W375" s="3" t="n">
        <v>2269.500506796</v>
      </c>
      <c r="X375" s="3" t="n">
        <v>2311.094484751935</v>
      </c>
      <c r="Y375" s="3" t="n">
        <v>2352.769368547269</v>
      </c>
      <c r="Z375" s="3" t="n">
        <v>2394.513527555941</v>
      </c>
      <c r="AA375" s="3" t="n">
        <v>2436.315414474843</v>
      </c>
      <c r="AB375" s="3" t="n">
        <v>2478.163553317152</v>
      </c>
      <c r="AC375" s="3" t="n">
        <v>2520.04652644567</v>
      </c>
      <c r="AD375" s="3" t="n">
        <v>2561.952960693864</v>
      </c>
      <c r="AE375" s="3" t="n">
        <v>2603.871512618791</v>
      </c>
      <c r="AG375" s="20" t="inlineStr">
        <is>
          <t>egy.mit.fuq.ind.coa.3</t>
        </is>
      </c>
      <c r="AH375" s="3" t="n">
        <v>1648.501646384037</v>
      </c>
      <c r="AI375" s="3" t="n">
        <v>1531.109313867276</v>
      </c>
      <c r="AJ375" s="3" t="n">
        <v>1837.968666472191</v>
      </c>
      <c r="AK375" s="3" t="n">
        <v>1989.710719862191</v>
      </c>
      <c r="AL375" s="3" t="n">
        <v>1956.279118884991</v>
      </c>
      <c r="AM375" s="3" t="n">
        <v>1723.285256726357</v>
      </c>
      <c r="AN375" s="3" t="n">
        <v>1768.687835652852</v>
      </c>
      <c r="AO375" s="3" t="n">
        <v>1813.050464946324</v>
      </c>
      <c r="AP375" s="3" t="n">
        <v>1853.40705216528</v>
      </c>
      <c r="AQ375" s="3" t="n">
        <v>1895.196476510931</v>
      </c>
      <c r="AR375" s="3" t="n">
        <v>1930.576844004329</v>
      </c>
      <c r="AS375" s="3" t="n">
        <v>1967.204610522796</v>
      </c>
      <c r="AT375" s="3" t="n">
        <v>2004.477216779233</v>
      </c>
      <c r="AU375" s="3" t="n">
        <v>2041.567016301693</v>
      </c>
      <c r="AV375" s="3" t="n">
        <v>2078.96785653902</v>
      </c>
      <c r="AW375" s="3" t="n">
        <v>2116.995407704667</v>
      </c>
      <c r="AX375" s="3" t="n">
        <v>2154.552089575269</v>
      </c>
      <c r="AY375" s="3" t="n">
        <v>2191.865368544132</v>
      </c>
      <c r="AZ375" s="3" t="n">
        <v>2228.540460801828</v>
      </c>
      <c r="BA375" s="3" t="n">
        <v>2265.037901115506</v>
      </c>
      <c r="BC375" s="20" t="inlineStr">
        <is>
          <t>egy.mit.fuq.ind.coa.4</t>
        </is>
      </c>
      <c r="BD375" s="3" t="n">
        <v>1648.501646384037</v>
      </c>
      <c r="BE375" s="3" t="n">
        <v>1531.109313867276</v>
      </c>
      <c r="BF375" s="3" t="n">
        <v>1837.968666472191</v>
      </c>
      <c r="BG375" s="3" t="n">
        <v>1989.710719862191</v>
      </c>
      <c r="BH375" s="3" t="n">
        <v>1956.279118884991</v>
      </c>
      <c r="BI375" s="3" t="n">
        <v>1810.323009781819</v>
      </c>
      <c r="BJ375" s="3" t="n">
        <v>1678.466266555989</v>
      </c>
      <c r="BK375" s="3" t="n">
        <v>1577.037671217601</v>
      </c>
      <c r="BL375" s="3" t="n">
        <v>1494.444413602603</v>
      </c>
      <c r="BM375" s="3" t="n">
        <v>1443.740199027992</v>
      </c>
      <c r="BN375" s="3" t="n">
        <v>1397.962457966643</v>
      </c>
      <c r="BO375" s="3" t="n">
        <v>1359.117038827518</v>
      </c>
      <c r="BP375" s="3" t="n">
        <v>1326.117738246661</v>
      </c>
      <c r="BQ375" s="3" t="n">
        <v>1297.773750878212</v>
      </c>
      <c r="BR375" s="3" t="n">
        <v>1273.2991808667</v>
      </c>
      <c r="BS375" s="3" t="n">
        <v>1252.223396713995</v>
      </c>
      <c r="BT375" s="3" t="n">
        <v>1233.868691985044</v>
      </c>
      <c r="BU375" s="3" t="n">
        <v>1217.73612579791</v>
      </c>
      <c r="BV375" s="3" t="n">
        <v>1203.260529646456</v>
      </c>
      <c r="BW375" s="3" t="n">
        <v>1190.150856626243</v>
      </c>
      <c r="BY375" s="20" t="inlineStr">
        <is>
          <t>egy.mit.fuq.ind.coa.5</t>
        </is>
      </c>
      <c r="BZ375" s="3" t="n">
        <v>1648.501646384037</v>
      </c>
      <c r="CA375" s="3" t="n">
        <v>1531.109313867276</v>
      </c>
      <c r="CB375" s="3" t="n">
        <v>1837.968666472191</v>
      </c>
      <c r="CC375" s="3" t="n">
        <v>1989.710719862191</v>
      </c>
      <c r="CD375" s="3" t="n">
        <v>1956.279118884991</v>
      </c>
      <c r="CE375" s="3" t="n">
        <v>1787.829634307446</v>
      </c>
      <c r="CF375" s="3" t="n">
        <v>1778.318043584631</v>
      </c>
      <c r="CG375" s="3" t="n">
        <v>1770.92323691447</v>
      </c>
      <c r="CH375" s="3" t="n">
        <v>1762.618358053003</v>
      </c>
      <c r="CI375" s="3" t="n">
        <v>1758.815025472047</v>
      </c>
      <c r="CJ375" s="3" t="n">
        <v>1751.266547377045</v>
      </c>
      <c r="CK375" s="3" t="n">
        <v>1746.112723350997</v>
      </c>
      <c r="CL375" s="3" t="n">
        <v>1742.78072332217</v>
      </c>
      <c r="CM375" s="3" t="n">
        <v>1740.479349642314</v>
      </c>
      <c r="CN375" s="3" t="n">
        <v>1756.277429795286</v>
      </c>
      <c r="CO375" s="3" t="n">
        <v>1772.110365247663</v>
      </c>
      <c r="CP375" s="3" t="n">
        <v>1787.391069657973</v>
      </c>
      <c r="CQ375" s="3" t="n">
        <v>1802.423796652661</v>
      </c>
      <c r="CR375" s="3" t="n">
        <v>1816.767778402542</v>
      </c>
      <c r="CS375" s="3" t="n">
        <v>1830.891642305907</v>
      </c>
      <c r="CU375" s="20" t="inlineStr">
        <is>
          <t>egy.mit.fuq.ind.coa.6</t>
        </is>
      </c>
      <c r="CV375" s="3" t="n">
        <v>1648.501646384037</v>
      </c>
      <c r="CW375" s="3" t="n">
        <v>1531.109313867276</v>
      </c>
      <c r="CX375" s="3" t="n">
        <v>1837.968666472191</v>
      </c>
      <c r="CY375" s="3" t="n">
        <v>1989.710719862191</v>
      </c>
      <c r="CZ375" s="3" t="n">
        <v>1956.279118884991</v>
      </c>
      <c r="DA375" s="3" t="n">
        <v>1466.629665103401</v>
      </c>
      <c r="DB375" s="3" t="n">
        <v>1504.253675815084</v>
      </c>
      <c r="DC375" s="3" t="n">
        <v>1541.367646485222</v>
      </c>
      <c r="DD375" s="3" t="n">
        <v>1573.227091715494</v>
      </c>
      <c r="DE375" s="3" t="n">
        <v>1607.771169957402</v>
      </c>
      <c r="DF375" s="3" t="n">
        <v>1637.225849280943</v>
      </c>
      <c r="DG375" s="3" t="n">
        <v>1669.006317485227</v>
      </c>
      <c r="DH375" s="3" t="n">
        <v>1701.71842567258</v>
      </c>
      <c r="DI375" s="3" t="n">
        <v>1734.08877466595</v>
      </c>
      <c r="DJ375" s="3" t="n">
        <v>1766.945425930385</v>
      </c>
      <c r="DK375" s="3" t="n">
        <v>1800.890599459132</v>
      </c>
      <c r="DL375" s="3" t="n">
        <v>1833.916213345884</v>
      </c>
      <c r="DM375" s="3" t="n">
        <v>1866.533647629762</v>
      </c>
      <c r="DN375" s="3" t="n">
        <v>1897.985284127466</v>
      </c>
      <c r="DO375" s="3" t="n">
        <v>1929.149232688902</v>
      </c>
    </row>
    <row r="376">
      <c r="A376" s="19" t="inlineStr">
        <is>
          <t>mit.ener.oen.coa</t>
        </is>
      </c>
      <c r="B376" s="3" t="inlineStr">
        <is>
          <t>mit</t>
        </is>
      </c>
      <c r="C376" s="19" t="inlineStr">
        <is>
          <t>mit.ener.coa.oen</t>
        </is>
      </c>
      <c r="H376" s="3" t="inlineStr">
        <is>
          <t>Fuel use | Other energy use | Coal</t>
        </is>
      </c>
      <c r="I376" s="3" t="inlineStr">
        <is>
          <t>ktoe</t>
        </is>
      </c>
      <c r="K376" s="20" t="inlineStr">
        <is>
          <t>egy.mit.ener.oen.coa.1</t>
        </is>
      </c>
      <c r="L376" s="3" t="n">
        <v>0</v>
      </c>
      <c r="M376" s="3" t="n">
        <v>0</v>
      </c>
      <c r="N376" s="3" t="n">
        <v>0</v>
      </c>
      <c r="O376" s="3" t="n">
        <v>0</v>
      </c>
      <c r="P376" s="3" t="n">
        <v>0</v>
      </c>
      <c r="Q376" s="3" t="n">
        <v>0</v>
      </c>
      <c r="R376" s="3" t="n">
        <v>0</v>
      </c>
      <c r="S376" s="3" t="n">
        <v>0</v>
      </c>
      <c r="T376" s="3" t="n">
        <v>0</v>
      </c>
      <c r="U376" s="3" t="n">
        <v>0</v>
      </c>
      <c r="V376" s="3" t="n">
        <v>0</v>
      </c>
      <c r="W376" s="3" t="n">
        <v>0</v>
      </c>
      <c r="X376" s="3" t="n">
        <v>0</v>
      </c>
      <c r="Y376" s="3" t="n">
        <v>0</v>
      </c>
      <c r="Z376" s="3" t="n">
        <v>0</v>
      </c>
      <c r="AA376" s="3" t="n">
        <v>0</v>
      </c>
      <c r="AB376" s="3" t="n">
        <v>0</v>
      </c>
      <c r="AC376" s="3" t="n">
        <v>0</v>
      </c>
      <c r="AD376" s="3" t="n">
        <v>0</v>
      </c>
      <c r="AE376" s="3" t="n">
        <v>0</v>
      </c>
      <c r="AG376" s="20" t="inlineStr">
        <is>
          <t>egy.mit.ener.oen.coa.3</t>
        </is>
      </c>
      <c r="AH376" s="3" t="n">
        <v>0</v>
      </c>
      <c r="AI376" s="3" t="n">
        <v>0</v>
      </c>
      <c r="AJ376" s="3" t="n">
        <v>0</v>
      </c>
      <c r="AK376" s="3" t="n">
        <v>0</v>
      </c>
      <c r="AL376" s="3" t="n">
        <v>0</v>
      </c>
      <c r="AM376" s="3" t="n">
        <v>0</v>
      </c>
      <c r="AN376" s="3" t="n">
        <v>0</v>
      </c>
      <c r="AO376" s="3" t="n">
        <v>0</v>
      </c>
      <c r="AP376" s="3" t="n">
        <v>0</v>
      </c>
      <c r="AQ376" s="3" t="n">
        <v>0</v>
      </c>
      <c r="AR376" s="3" t="n">
        <v>0</v>
      </c>
      <c r="AS376" s="3" t="n">
        <v>0</v>
      </c>
      <c r="AT376" s="3" t="n">
        <v>0</v>
      </c>
      <c r="AU376" s="3" t="n">
        <v>0</v>
      </c>
      <c r="AV376" s="3" t="n">
        <v>0</v>
      </c>
      <c r="AW376" s="3" t="n">
        <v>0</v>
      </c>
      <c r="AX376" s="3" t="n">
        <v>0</v>
      </c>
      <c r="AY376" s="3" t="n">
        <v>0</v>
      </c>
      <c r="AZ376" s="3" t="n">
        <v>0</v>
      </c>
      <c r="BA376" s="3" t="n">
        <v>0</v>
      </c>
      <c r="BC376" s="20" t="inlineStr">
        <is>
          <t>egy.mit.ener.oen.coa.4</t>
        </is>
      </c>
      <c r="BD376" s="3" t="n">
        <v>0</v>
      </c>
      <c r="BE376" s="3" t="n">
        <v>0</v>
      </c>
      <c r="BF376" s="3" t="n">
        <v>0</v>
      </c>
      <c r="BG376" s="3" t="n">
        <v>0</v>
      </c>
      <c r="BH376" s="3" t="n">
        <v>0</v>
      </c>
      <c r="BI376" s="3" t="n">
        <v>0</v>
      </c>
      <c r="BJ376" s="3" t="n">
        <v>0</v>
      </c>
      <c r="BK376" s="3" t="n">
        <v>0</v>
      </c>
      <c r="BL376" s="3" t="n">
        <v>0</v>
      </c>
      <c r="BM376" s="3" t="n">
        <v>0</v>
      </c>
      <c r="BN376" s="3" t="n">
        <v>0</v>
      </c>
      <c r="BO376" s="3" t="n">
        <v>0</v>
      </c>
      <c r="BP376" s="3" t="n">
        <v>0</v>
      </c>
      <c r="BQ376" s="3" t="n">
        <v>0</v>
      </c>
      <c r="BR376" s="3" t="n">
        <v>0</v>
      </c>
      <c r="BS376" s="3" t="n">
        <v>0</v>
      </c>
      <c r="BT376" s="3" t="n">
        <v>0</v>
      </c>
      <c r="BU376" s="3" t="n">
        <v>0</v>
      </c>
      <c r="BV376" s="3" t="n">
        <v>0</v>
      </c>
      <c r="BW376" s="3" t="n">
        <v>0</v>
      </c>
      <c r="BY376" s="20" t="inlineStr">
        <is>
          <t>egy.mit.ener.oen.coa.5</t>
        </is>
      </c>
      <c r="BZ376" s="3" t="n">
        <v>0</v>
      </c>
      <c r="CA376" s="3" t="n">
        <v>0</v>
      </c>
      <c r="CB376" s="3" t="n">
        <v>0</v>
      </c>
      <c r="CC376" s="3" t="n">
        <v>0</v>
      </c>
      <c r="CD376" s="3" t="n">
        <v>0</v>
      </c>
      <c r="CE376" s="3" t="n">
        <v>0</v>
      </c>
      <c r="CF376" s="3" t="n">
        <v>0</v>
      </c>
      <c r="CG376" s="3" t="n">
        <v>0</v>
      </c>
      <c r="CH376" s="3" t="n">
        <v>0</v>
      </c>
      <c r="CI376" s="3" t="n">
        <v>0</v>
      </c>
      <c r="CJ376" s="3" t="n">
        <v>0</v>
      </c>
      <c r="CK376" s="3" t="n">
        <v>0</v>
      </c>
      <c r="CL376" s="3" t="n">
        <v>0</v>
      </c>
      <c r="CM376" s="3" t="n">
        <v>0</v>
      </c>
      <c r="CN376" s="3" t="n">
        <v>0</v>
      </c>
      <c r="CO376" s="3" t="n">
        <v>0</v>
      </c>
      <c r="CP376" s="3" t="n">
        <v>0</v>
      </c>
      <c r="CQ376" s="3" t="n">
        <v>0</v>
      </c>
      <c r="CR376" s="3" t="n">
        <v>0</v>
      </c>
      <c r="CS376" s="3" t="n">
        <v>0</v>
      </c>
      <c r="CU376" s="20" t="inlineStr">
        <is>
          <t>egy.mit.ener.oen.coa.6</t>
        </is>
      </c>
      <c r="CV376" s="3" t="n">
        <v>0</v>
      </c>
      <c r="CW376" s="3" t="n">
        <v>0</v>
      </c>
      <c r="CX376" s="3" t="n">
        <v>0</v>
      </c>
      <c r="CY376" s="3" t="n">
        <v>0</v>
      </c>
      <c r="CZ376" s="3" t="n">
        <v>0</v>
      </c>
      <c r="DA376" s="3" t="n">
        <v>0</v>
      </c>
      <c r="DB376" s="3" t="n">
        <v>0</v>
      </c>
      <c r="DC376" s="3" t="n">
        <v>0</v>
      </c>
      <c r="DD376" s="3" t="n">
        <v>0</v>
      </c>
      <c r="DE376" s="3" t="n">
        <v>0</v>
      </c>
      <c r="DF376" s="3" t="n">
        <v>0</v>
      </c>
      <c r="DG376" s="3" t="n">
        <v>0</v>
      </c>
      <c r="DH376" s="3" t="n">
        <v>0</v>
      </c>
      <c r="DI376" s="3" t="n">
        <v>0</v>
      </c>
      <c r="DJ376" s="3" t="n">
        <v>0</v>
      </c>
      <c r="DK376" s="3" t="n">
        <v>0</v>
      </c>
      <c r="DL376" s="3" t="n">
        <v>0</v>
      </c>
      <c r="DM376" s="3" t="n">
        <v>0</v>
      </c>
      <c r="DN376" s="3" t="n">
        <v>0</v>
      </c>
      <c r="DO376" s="3" t="n">
        <v>0</v>
      </c>
    </row>
    <row r="377">
      <c r="A377" s="19" t="inlineStr">
        <is>
          <t>mit.pe.pow.nga</t>
        </is>
      </c>
      <c r="B377" s="3" t="inlineStr">
        <is>
          <t>mit</t>
        </is>
      </c>
      <c r="C377" s="19" t="inlineStr">
        <is>
          <t>mit.ener.nga.pow</t>
        </is>
      </c>
      <c r="H377" s="3" t="inlineStr">
        <is>
          <t>Fuel use (primary energy) of power generation | Power | Natural gas</t>
        </is>
      </c>
      <c r="I377" s="3" t="inlineStr">
        <is>
          <t>ktoe</t>
        </is>
      </c>
      <c r="K377" s="20" t="inlineStr">
        <is>
          <t>egy.mit.pe.pow.nga.1</t>
        </is>
      </c>
      <c r="L377" s="3" t="n">
        <v>28567.57143804305</v>
      </c>
      <c r="M377" s="3" t="n">
        <v>26971.08611516793</v>
      </c>
      <c r="N377" s="3" t="n">
        <v>31838.0904863605</v>
      </c>
      <c r="O377" s="3" t="n">
        <v>35182.43462184446</v>
      </c>
      <c r="P377" s="3" t="n">
        <v>35344.98014726717</v>
      </c>
      <c r="Q377" s="3" t="n">
        <v>35071.91308486616</v>
      </c>
      <c r="R377" s="3" t="n">
        <v>34774.62257909709</v>
      </c>
      <c r="S377" s="3" t="n">
        <v>34452.81555454002</v>
      </c>
      <c r="T377" s="3" t="n">
        <v>33535.3041140038</v>
      </c>
      <c r="U377" s="3" t="n">
        <v>33351.02483524334</v>
      </c>
      <c r="V377" s="3" t="n">
        <v>32983.62401296655</v>
      </c>
      <c r="W377" s="3" t="n">
        <v>33851.05831465081</v>
      </c>
      <c r="X377" s="3" t="n">
        <v>34426.47485757964</v>
      </c>
      <c r="Y377" s="3" t="n">
        <v>35193.15919338621</v>
      </c>
      <c r="Z377" s="3" t="n">
        <v>35949.26816907199</v>
      </c>
      <c r="AA377" s="3" t="n">
        <v>36720.68617339574</v>
      </c>
      <c r="AB377" s="3" t="n">
        <v>37501.32320130833</v>
      </c>
      <c r="AC377" s="3" t="n">
        <v>38292.66537681581</v>
      </c>
      <c r="AD377" s="3" t="n">
        <v>39100.20168150486</v>
      </c>
      <c r="AE377" s="3" t="n">
        <v>39925.96248980645</v>
      </c>
      <c r="AG377" s="20" t="inlineStr">
        <is>
          <t>egy.mit.pe.pow.nga.3</t>
        </is>
      </c>
      <c r="AH377" s="3" t="n">
        <v>28567.57143804305</v>
      </c>
      <c r="AI377" s="3" t="n">
        <v>26949.96053140978</v>
      </c>
      <c r="AJ377" s="3" t="n">
        <v>31817.74177303707</v>
      </c>
      <c r="AK377" s="3" t="n">
        <v>35162.83838583173</v>
      </c>
      <c r="AL377" s="3" t="n">
        <v>35325.33030813907</v>
      </c>
      <c r="AM377" s="3" t="n">
        <v>35051.70590890895</v>
      </c>
      <c r="AN377" s="3" t="n">
        <v>30444.35350507397</v>
      </c>
      <c r="AO377" s="3" t="n">
        <v>32908.2196842983</v>
      </c>
      <c r="AP377" s="3" t="n">
        <v>31697.92145686327</v>
      </c>
      <c r="AQ377" s="3" t="n">
        <v>32075.24023504426</v>
      </c>
      <c r="AR377" s="3" t="n">
        <v>31704.88213390741</v>
      </c>
      <c r="AS377" s="3" t="n">
        <v>32795.28846660404</v>
      </c>
      <c r="AT377" s="3" t="n">
        <v>33250.34597909346</v>
      </c>
      <c r="AU377" s="3" t="n">
        <v>34052.32166156862</v>
      </c>
      <c r="AV377" s="3" t="n">
        <v>34846.8510596515</v>
      </c>
      <c r="AW377" s="3" t="n">
        <v>35676.48641821073</v>
      </c>
      <c r="AX377" s="3" t="n">
        <v>36478.98482350282</v>
      </c>
      <c r="AY377" s="3" t="n">
        <v>37283.26279557415</v>
      </c>
      <c r="AZ377" s="3" t="n">
        <v>38058.86618713925</v>
      </c>
      <c r="BA377" s="3" t="n">
        <v>38845.08848200849</v>
      </c>
      <c r="BC377" s="20" t="inlineStr">
        <is>
          <t>egy.mit.pe.pow.nga.4</t>
        </is>
      </c>
      <c r="BD377" s="3" t="n">
        <v>28567.57143804305</v>
      </c>
      <c r="BE377" s="3" t="n">
        <v>26897.08825838168</v>
      </c>
      <c r="BF377" s="3" t="n">
        <v>31766.81020106058</v>
      </c>
      <c r="BG377" s="3" t="n">
        <v>35113.78648798796</v>
      </c>
      <c r="BH377" s="3" t="n">
        <v>35276.27364956096</v>
      </c>
      <c r="BI377" s="3" t="n">
        <v>35001.38386243633</v>
      </c>
      <c r="BJ377" s="3" t="n">
        <v>32410.01402262253</v>
      </c>
      <c r="BK377" s="3" t="n">
        <v>30304.29254394606</v>
      </c>
      <c r="BL377" s="3" t="n">
        <v>29581.30434212555</v>
      </c>
      <c r="BM377" s="3" t="n">
        <v>29484.12568902007</v>
      </c>
      <c r="BN377" s="3" t="n">
        <v>27874.20928196369</v>
      </c>
      <c r="BO377" s="3" t="n">
        <v>27612.01273643179</v>
      </c>
      <c r="BP377" s="3" t="n">
        <v>26386.52924955965</v>
      </c>
      <c r="BQ377" s="3" t="n">
        <v>25902.56914820201</v>
      </c>
      <c r="BR377" s="3" t="n">
        <v>24866.32483480482</v>
      </c>
      <c r="BS377" s="3" t="n">
        <v>24408.19877995916</v>
      </c>
      <c r="BT377" s="3" t="n">
        <v>23384.86708334211</v>
      </c>
      <c r="BU377" s="3" t="n">
        <v>23035.12202168729</v>
      </c>
      <c r="BV377" s="3" t="n">
        <v>21911.65194036801</v>
      </c>
      <c r="BW377" s="3" t="n">
        <v>21800.28977669052</v>
      </c>
      <c r="BY377" s="20" t="inlineStr">
        <is>
          <t>egy.mit.pe.pow.nga.5</t>
        </is>
      </c>
      <c r="BZ377" s="3" t="n">
        <v>28567.57143804305</v>
      </c>
      <c r="CA377" s="3" t="n">
        <v>26845.934912675</v>
      </c>
      <c r="CB377" s="3" t="n">
        <v>31717.47178448856</v>
      </c>
      <c r="CC377" s="3" t="n">
        <v>35066.20481156232</v>
      </c>
      <c r="CD377" s="3" t="n">
        <v>35228.5214216132</v>
      </c>
      <c r="CE377" s="3" t="n">
        <v>34952.23625374667</v>
      </c>
      <c r="CF377" s="3" t="n">
        <v>34653.51622062574</v>
      </c>
      <c r="CG377" s="3" t="n">
        <v>34353.07874119285</v>
      </c>
      <c r="CH377" s="3" t="n">
        <v>33374.48479955666</v>
      </c>
      <c r="CI377" s="3" t="n">
        <v>32744.22874758181</v>
      </c>
      <c r="CJ377" s="3" t="n">
        <v>31416.25503071617</v>
      </c>
      <c r="CK377" s="3" t="n">
        <v>31827.52947668411</v>
      </c>
      <c r="CL377" s="3" t="n">
        <v>30330.36540278302</v>
      </c>
      <c r="CM377" s="3" t="n">
        <v>29360.84261363065</v>
      </c>
      <c r="CN377" s="3" t="n">
        <v>28505.55332082835</v>
      </c>
      <c r="CO377" s="3" t="n">
        <v>27365.77523882051</v>
      </c>
      <c r="CP377" s="3" t="n">
        <v>26441.14120626203</v>
      </c>
      <c r="CQ377" s="3" t="n">
        <v>25595.35641866017</v>
      </c>
      <c r="CR377" s="3" t="n">
        <v>24665.30695771274</v>
      </c>
      <c r="CS377" s="3" t="n">
        <v>23898.80229659714</v>
      </c>
      <c r="CU377" s="20" t="inlineStr">
        <is>
          <t>egy.mit.pe.pow.nga.6</t>
        </is>
      </c>
      <c r="CV377" s="3" t="n">
        <v>28567.57143804305</v>
      </c>
      <c r="CW377" s="3" t="n">
        <v>26920.3504336752</v>
      </c>
      <c r="CX377" s="3" t="n">
        <v>31789.21912197975</v>
      </c>
      <c r="CY377" s="3" t="n">
        <v>35135.36900068737</v>
      </c>
      <c r="CZ377" s="3" t="n">
        <v>35297.83677166852</v>
      </c>
      <c r="DA377" s="3" t="n">
        <v>35023.48222561174</v>
      </c>
      <c r="DB377" s="3" t="n">
        <v>25607.63540079011</v>
      </c>
      <c r="DC377" s="3" t="n">
        <v>28066.44863634085</v>
      </c>
      <c r="DD377" s="3" t="n">
        <v>27773.1106889893</v>
      </c>
      <c r="DE377" s="3" t="n">
        <v>29796.91650345568</v>
      </c>
      <c r="DF377" s="3" t="n">
        <v>28234.02441949039</v>
      </c>
      <c r="DG377" s="3" t="n">
        <v>28615.12336185454</v>
      </c>
      <c r="DH377" s="3" t="n">
        <v>27627.65373234648</v>
      </c>
      <c r="DI377" s="3" t="n">
        <v>27412.91959910862</v>
      </c>
      <c r="DJ377" s="3" t="n">
        <v>26841.23598563121</v>
      </c>
      <c r="DK377" s="3" t="n">
        <v>26660.35248688798</v>
      </c>
      <c r="DL377" s="3" t="n">
        <v>26149.6605336759</v>
      </c>
      <c r="DM377" s="3" t="n">
        <v>25997.96981360602</v>
      </c>
      <c r="DN377" s="3" t="n">
        <v>25561.0003675826</v>
      </c>
      <c r="DO377" s="3" t="n">
        <v>25450.09406409854</v>
      </c>
    </row>
    <row r="378">
      <c r="A378" s="19" t="inlineStr">
        <is>
          <t>mit.fuq.tra.nga</t>
        </is>
      </c>
      <c r="B378" s="3" t="inlineStr">
        <is>
          <t>mit</t>
        </is>
      </c>
      <c r="C378" s="19" t="inlineStr">
        <is>
          <t>mit.ener.nga.tra</t>
        </is>
      </c>
      <c r="H378" s="3" t="inlineStr">
        <is>
          <t>Fuel use by sector group (weights of the costs per unit) | Transport | Natural gas</t>
        </is>
      </c>
      <c r="I378" s="3" t="inlineStr">
        <is>
          <t>ktoe</t>
        </is>
      </c>
      <c r="K378" s="20" t="inlineStr">
        <is>
          <t>egy.mit.fuq.tra.nga.1</t>
        </is>
      </c>
      <c r="L378" s="3" t="n">
        <v>482.8457966168376</v>
      </c>
      <c r="M378" s="3" t="n">
        <v>587.8979268383657</v>
      </c>
      <c r="N378" s="3" t="n">
        <v>867.7752651361785</v>
      </c>
      <c r="O378" s="3" t="n">
        <v>882.5570750812217</v>
      </c>
      <c r="P378" s="3" t="n">
        <v>896.7426898970103</v>
      </c>
      <c r="Q378" s="3" t="n">
        <v>913.5997111355865</v>
      </c>
      <c r="R378" s="3" t="n">
        <v>933.6825774130397</v>
      </c>
      <c r="S378" s="3" t="n">
        <v>952.5490415616089</v>
      </c>
      <c r="T378" s="3" t="n">
        <v>969.813397752138</v>
      </c>
      <c r="U378" s="3" t="n">
        <v>987.0089426724046</v>
      </c>
      <c r="V378" s="3" t="n">
        <v>1004.203825495336</v>
      </c>
      <c r="W378" s="3" t="n">
        <v>1021.392557955216</v>
      </c>
      <c r="X378" s="3" t="n">
        <v>1038.569734922321</v>
      </c>
      <c r="Y378" s="3" t="n">
        <v>1055.730029955596</v>
      </c>
      <c r="Z378" s="3" t="n">
        <v>1072.868190388918</v>
      </c>
      <c r="AA378" s="3" t="n">
        <v>1089.979031981967</v>
      </c>
      <c r="AB378" s="3" t="n">
        <v>1107.057433164854</v>
      </c>
      <c r="AC378" s="3" t="n">
        <v>1124.098328903836</v>
      </c>
      <c r="AD378" s="3" t="n">
        <v>1141.096704213528</v>
      </c>
      <c r="AE378" s="3" t="n">
        <v>1158.047587339221</v>
      </c>
      <c r="AG378" s="20" t="inlineStr">
        <is>
          <t>egy.mit.fuq.tra.nga.3</t>
        </is>
      </c>
      <c r="AH378" s="3" t="n">
        <v>482.8457966168376</v>
      </c>
      <c r="AI378" s="3" t="n">
        <v>587.8979268383657</v>
      </c>
      <c r="AJ378" s="3" t="n">
        <v>867.7752651361785</v>
      </c>
      <c r="AK378" s="3" t="n">
        <v>882.5570750812217</v>
      </c>
      <c r="AL378" s="3" t="n">
        <v>896.7426898970103</v>
      </c>
      <c r="AM378" s="3" t="n">
        <v>652.2761069072486</v>
      </c>
      <c r="AN378" s="3" t="n">
        <v>666.6144609090279</v>
      </c>
      <c r="AO378" s="3" t="n">
        <v>680.2818951263598</v>
      </c>
      <c r="AP378" s="3" t="n">
        <v>692.1599919022717</v>
      </c>
      <c r="AQ378" s="3" t="n">
        <v>704.5114907085097</v>
      </c>
      <c r="AR378" s="3" t="n">
        <v>716.5994818117312</v>
      </c>
      <c r="AS378" s="3" t="n">
        <v>729.1124042982796</v>
      </c>
      <c r="AT378" s="3" t="n">
        <v>741.8252882385596</v>
      </c>
      <c r="AU378" s="3" t="n">
        <v>754.4313145790198</v>
      </c>
      <c r="AV378" s="3" t="n">
        <v>767.1130959520199</v>
      </c>
      <c r="AW378" s="3" t="n">
        <v>779.9865154466512</v>
      </c>
      <c r="AX378" s="3" t="n">
        <v>792.6468412732403</v>
      </c>
      <c r="AY378" s="3" t="n">
        <v>805.1784933775253</v>
      </c>
      <c r="AZ378" s="3" t="n">
        <v>817.4371498877407</v>
      </c>
      <c r="BA378" s="3" t="n">
        <v>829.5926153735454</v>
      </c>
      <c r="BC378" s="20" t="inlineStr">
        <is>
          <t>egy.mit.fuq.tra.nga.4</t>
        </is>
      </c>
      <c r="BD378" s="3" t="n">
        <v>482.8457966168376</v>
      </c>
      <c r="BE378" s="3" t="n">
        <v>587.8979268383657</v>
      </c>
      <c r="BF378" s="3" t="n">
        <v>867.7752651361785</v>
      </c>
      <c r="BG378" s="3" t="n">
        <v>882.5570750812217</v>
      </c>
      <c r="BH378" s="3" t="n">
        <v>896.7426898970103</v>
      </c>
      <c r="BI378" s="3" t="n">
        <v>725.2065529096731</v>
      </c>
      <c r="BJ378" s="3" t="n">
        <v>595.2661162354294</v>
      </c>
      <c r="BK378" s="3" t="n">
        <v>514.7547870964397</v>
      </c>
      <c r="BL378" s="3" t="n">
        <v>458.5819565375047</v>
      </c>
      <c r="BM378" s="3" t="n">
        <v>424.6694055704418</v>
      </c>
      <c r="BN378" s="3" t="n">
        <v>397.6354370271845</v>
      </c>
      <c r="BO378" s="3" t="n">
        <v>375.6476402254305</v>
      </c>
      <c r="BP378" s="3" t="n">
        <v>357.4738508068047</v>
      </c>
      <c r="BQ378" s="3" t="n">
        <v>342.1805277548675</v>
      </c>
      <c r="BR378" s="3" t="n">
        <v>329.1442667700499</v>
      </c>
      <c r="BS378" s="3" t="n">
        <v>317.9490099474197</v>
      </c>
      <c r="BT378" s="3" t="n">
        <v>308.2083890297454</v>
      </c>
      <c r="BU378" s="3" t="n">
        <v>299.6401758117634</v>
      </c>
      <c r="BV378" s="3" t="n">
        <v>291.9872512101225</v>
      </c>
      <c r="BW378" s="3" t="n">
        <v>285.089520163658</v>
      </c>
      <c r="BY378" s="20" t="inlineStr">
        <is>
          <t>egy.mit.fuq.tra.nga.5</t>
        </is>
      </c>
      <c r="BZ378" s="3" t="n">
        <v>482.8457966168376</v>
      </c>
      <c r="CA378" s="3" t="n">
        <v>587.8979268383657</v>
      </c>
      <c r="CB378" s="3" t="n">
        <v>867.7752651361785</v>
      </c>
      <c r="CC378" s="3" t="n">
        <v>882.5570750812217</v>
      </c>
      <c r="CD378" s="3" t="n">
        <v>896.7426898970103</v>
      </c>
      <c r="CE378" s="3" t="n">
        <v>611.9283040607111</v>
      </c>
      <c r="CF378" s="3" t="n">
        <v>625.3794568790604</v>
      </c>
      <c r="CG378" s="3" t="n">
        <v>638.1739808888269</v>
      </c>
      <c r="CH378" s="3" t="n">
        <v>649.3429329092844</v>
      </c>
      <c r="CI378" s="3" t="n">
        <v>661.0148198447685</v>
      </c>
      <c r="CJ378" s="3" t="n">
        <v>672.3348359795838</v>
      </c>
      <c r="CK378" s="3" t="n">
        <v>684.1034420975778</v>
      </c>
      <c r="CL378" s="3" t="n">
        <v>695.8884233596034</v>
      </c>
      <c r="CM378" s="3" t="n">
        <v>707.6030047385101</v>
      </c>
      <c r="CN378" s="3" t="n">
        <v>719.3845257833439</v>
      </c>
      <c r="CO378" s="3" t="n">
        <v>731.2960685523257</v>
      </c>
      <c r="CP378" s="3" t="n">
        <v>743.020960310319</v>
      </c>
      <c r="CQ378" s="3" t="n">
        <v>754.6863286992104</v>
      </c>
      <c r="CR378" s="3" t="n">
        <v>766.1436557394535</v>
      </c>
      <c r="CS378" s="3" t="n">
        <v>777.5912633369381</v>
      </c>
      <c r="CU378" s="20" t="inlineStr">
        <is>
          <t>egy.mit.fuq.tra.nga.6</t>
        </is>
      </c>
      <c r="CV378" s="3" t="n">
        <v>482.8457966168376</v>
      </c>
      <c r="CW378" s="3" t="n">
        <v>587.8979268383657</v>
      </c>
      <c r="CX378" s="3" t="n">
        <v>867.7752651361785</v>
      </c>
      <c r="CY378" s="3" t="n">
        <v>882.5570750812217</v>
      </c>
      <c r="CZ378" s="3" t="n">
        <v>896.7426898970103</v>
      </c>
      <c r="DA378" s="3" t="n">
        <v>475.0197860726787</v>
      </c>
      <c r="DB378" s="3" t="n">
        <v>485.4616272040411</v>
      </c>
      <c r="DC378" s="3" t="n">
        <v>495.5789877785536</v>
      </c>
      <c r="DD378" s="3" t="n">
        <v>503.8457151822849</v>
      </c>
      <c r="DE378" s="3" t="n">
        <v>512.9353150427212</v>
      </c>
      <c r="DF378" s="3" t="n">
        <v>521.557882260273</v>
      </c>
      <c r="DG378" s="3" t="n">
        <v>530.8935601335321</v>
      </c>
      <c r="DH378" s="3" t="n">
        <v>540.4963112352758</v>
      </c>
      <c r="DI378" s="3" t="n">
        <v>549.9610295382221</v>
      </c>
      <c r="DJ378" s="3" t="n">
        <v>559.550491784828</v>
      </c>
      <c r="DK378" s="3" t="n">
        <v>569.4545051532119</v>
      </c>
      <c r="DL378" s="3" t="n">
        <v>579.0375770069184</v>
      </c>
      <c r="DM378" s="3" t="n">
        <v>588.4622907052411</v>
      </c>
      <c r="DN378" s="3" t="n">
        <v>597.4907854087222</v>
      </c>
      <c r="DO378" s="3" t="n">
        <v>606.4007810023221</v>
      </c>
    </row>
    <row r="379">
      <c r="A379" s="19" t="inlineStr">
        <is>
          <t>mit.fuq.bld.nga</t>
        </is>
      </c>
      <c r="B379" s="3" t="inlineStr">
        <is>
          <t>mit</t>
        </is>
      </c>
      <c r="C379" s="19" t="inlineStr">
        <is>
          <t>mit.ener.nga.res</t>
        </is>
      </c>
      <c r="H379" s="3" t="inlineStr">
        <is>
          <t>Fuel use by sector group (weights of the costs per unit) | Buildings | Natural gas</t>
        </is>
      </c>
      <c r="I379" s="3" t="inlineStr">
        <is>
          <t>ktoe</t>
        </is>
      </c>
      <c r="K379" s="20" t="inlineStr">
        <is>
          <t>egy.mit.fuq.bld.nga.1</t>
        </is>
      </c>
      <c r="L379" s="3" t="n">
        <v>1870.269872568074</v>
      </c>
      <c r="M379" s="3" t="n">
        <v>2257.731705536974</v>
      </c>
      <c r="N379" s="3" t="n">
        <v>3313.173703098768</v>
      </c>
      <c r="O379" s="3" t="n">
        <v>3336.94550153105</v>
      </c>
      <c r="P379" s="3" t="n">
        <v>3358.982399959825</v>
      </c>
      <c r="Q379" s="3" t="n">
        <v>3386.602161711121</v>
      </c>
      <c r="R379" s="3" t="n">
        <v>3420.847783365807</v>
      </c>
      <c r="S379" s="3" t="n">
        <v>3451.836299426656</v>
      </c>
      <c r="T379" s="3" t="n">
        <v>3478.838601511677</v>
      </c>
      <c r="U379" s="3" t="n">
        <v>3505.23882246997</v>
      </c>
      <c r="V379" s="3" t="n">
        <v>3531.194759645613</v>
      </c>
      <c r="W379" s="3" t="n">
        <v>3556.70421668765</v>
      </c>
      <c r="X379" s="3" t="n">
        <v>3581.765275411225</v>
      </c>
      <c r="Y379" s="3" t="n">
        <v>3606.376273203502</v>
      </c>
      <c r="Z379" s="3" t="n">
        <v>3630.535780782088</v>
      </c>
      <c r="AA379" s="3" t="n">
        <v>3654.242580339331</v>
      </c>
      <c r="AB379" s="3" t="n">
        <v>3677.495644099273</v>
      </c>
      <c r="AC379" s="3" t="n">
        <v>3700.294113307997</v>
      </c>
      <c r="AD379" s="3" t="n">
        <v>3722.637277672597</v>
      </c>
      <c r="AE379" s="3" t="n">
        <v>3744.524555259113</v>
      </c>
      <c r="AG379" s="20" t="inlineStr">
        <is>
          <t>egy.mit.fuq.bld.nga.3</t>
        </is>
      </c>
      <c r="AH379" s="3" t="n">
        <v>1870.269872568074</v>
      </c>
      <c r="AI379" s="3" t="n">
        <v>2257.731705536974</v>
      </c>
      <c r="AJ379" s="3" t="n">
        <v>3313.173703098768</v>
      </c>
      <c r="AK379" s="3" t="n">
        <v>3336.94550153105</v>
      </c>
      <c r="AL379" s="3" t="n">
        <v>3358.982399959825</v>
      </c>
      <c r="AM379" s="3" t="n">
        <v>2417.907559058251</v>
      </c>
      <c r="AN379" s="3" t="n">
        <v>2442.357515935571</v>
      </c>
      <c r="AO379" s="3" t="n">
        <v>2464.911517937205</v>
      </c>
      <c r="AP379" s="3" t="n">
        <v>2483.221558025553</v>
      </c>
      <c r="AQ379" s="3" t="n">
        <v>2502.234517369835</v>
      </c>
      <c r="AR379" s="3" t="n">
        <v>2520.371986747261</v>
      </c>
      <c r="AS379" s="3" t="n">
        <v>2539.095466389415</v>
      </c>
      <c r="AT379" s="3" t="n">
        <v>2557.919696963573</v>
      </c>
      <c r="AU379" s="3" t="n">
        <v>2576.2104502367</v>
      </c>
      <c r="AV379" s="3" t="n">
        <v>2594.351039052487</v>
      </c>
      <c r="AW379" s="3" t="n">
        <v>2612.57607915756</v>
      </c>
      <c r="AX379" s="3" t="n">
        <v>2630.074903464077</v>
      </c>
      <c r="AY379" s="3" t="n">
        <v>2647.031837189648</v>
      </c>
      <c r="AZ379" s="3" t="n">
        <v>2663.177270773285</v>
      </c>
      <c r="BA379" s="3" t="n">
        <v>2678.85969043171</v>
      </c>
      <c r="BC379" s="20" t="inlineStr">
        <is>
          <t>egy.mit.fuq.bld.nga.4</t>
        </is>
      </c>
      <c r="BD379" s="3" t="n">
        <v>1870.269872568074</v>
      </c>
      <c r="BE379" s="3" t="n">
        <v>2257.731705536974</v>
      </c>
      <c r="BF379" s="3" t="n">
        <v>3313.173703098768</v>
      </c>
      <c r="BG379" s="3" t="n">
        <v>3336.94550153105</v>
      </c>
      <c r="BH379" s="3" t="n">
        <v>3358.982399959825</v>
      </c>
      <c r="BI379" s="3" t="n">
        <v>2804.67161694226</v>
      </c>
      <c r="BJ379" s="3" t="n">
        <v>2339.072721746983</v>
      </c>
      <c r="BK379" s="3" t="n">
        <v>2031.16177594441</v>
      </c>
      <c r="BL379" s="3" t="n">
        <v>1808.759116177136</v>
      </c>
      <c r="BM379" s="3" t="n">
        <v>1640.583479222591</v>
      </c>
      <c r="BN379" s="3" t="n">
        <v>1508.217430390236</v>
      </c>
      <c r="BO379" s="3" t="n">
        <v>1401.189631022238</v>
      </c>
      <c r="BP379" s="3" t="n">
        <v>1312.783849272829</v>
      </c>
      <c r="BQ379" s="3" t="n">
        <v>1238.323760131941</v>
      </c>
      <c r="BR379" s="3" t="n">
        <v>1174.651584317511</v>
      </c>
      <c r="BS379" s="3" t="n">
        <v>1119.586932979764</v>
      </c>
      <c r="BT379" s="3" t="n">
        <v>1071.364636236902</v>
      </c>
      <c r="BU379" s="3" t="n">
        <v>1028.684248197236</v>
      </c>
      <c r="BV379" s="3" t="n">
        <v>990.4715742642732</v>
      </c>
      <c r="BW379" s="3" t="n">
        <v>955.9777303205213</v>
      </c>
      <c r="BY379" s="20" t="inlineStr">
        <is>
          <t>egy.mit.fuq.bld.nga.5</t>
        </is>
      </c>
      <c r="BZ379" s="3" t="n">
        <v>1870.269872568074</v>
      </c>
      <c r="CA379" s="3" t="n">
        <v>2257.731705536974</v>
      </c>
      <c r="CB379" s="3" t="n">
        <v>3313.173703098768</v>
      </c>
      <c r="CC379" s="3" t="n">
        <v>3336.94550153105</v>
      </c>
      <c r="CD379" s="3" t="n">
        <v>3358.982399959825</v>
      </c>
      <c r="CE379" s="3" t="n">
        <v>2268.343085221163</v>
      </c>
      <c r="CF379" s="3" t="n">
        <v>2291.280038015758</v>
      </c>
      <c r="CG379" s="3" t="n">
        <v>2312.379171542935</v>
      </c>
      <c r="CH379" s="3" t="n">
        <v>2329.612305042196</v>
      </c>
      <c r="CI379" s="3" t="n">
        <v>2347.629111719965</v>
      </c>
      <c r="CJ379" s="3" t="n">
        <v>2364.600215514234</v>
      </c>
      <c r="CK379" s="3" t="n">
        <v>2382.226270355183</v>
      </c>
      <c r="CL379" s="3" t="n">
        <v>2399.591412945107</v>
      </c>
      <c r="CM379" s="3" t="n">
        <v>2416.522933076876</v>
      </c>
      <c r="CN379" s="3" t="n">
        <v>2433.309562722146</v>
      </c>
      <c r="CO379" s="3" t="n">
        <v>2450.079851637065</v>
      </c>
      <c r="CP379" s="3" t="n">
        <v>2466.201301817719</v>
      </c>
      <c r="CQ379" s="3" t="n">
        <v>2481.940472447408</v>
      </c>
      <c r="CR379" s="3" t="n">
        <v>2497.015194446861</v>
      </c>
      <c r="CS379" s="3" t="n">
        <v>2511.825531892155</v>
      </c>
      <c r="CU379" s="20" t="inlineStr">
        <is>
          <t>egy.mit.fuq.bld.nga.6</t>
        </is>
      </c>
      <c r="CV379" s="3" t="n">
        <v>1870.269872568074</v>
      </c>
      <c r="CW379" s="3" t="n">
        <v>2257.731705536974</v>
      </c>
      <c r="CX379" s="3" t="n">
        <v>3313.173703098768</v>
      </c>
      <c r="CY379" s="3" t="n">
        <v>3336.94550153105</v>
      </c>
      <c r="CZ379" s="3" t="n">
        <v>3358.982399959825</v>
      </c>
      <c r="DA379" s="3" t="n">
        <v>1760.840082858991</v>
      </c>
      <c r="DB379" s="3" t="n">
        <v>1778.645623552806</v>
      </c>
      <c r="DC379" s="3" t="n">
        <v>1795.42720783758</v>
      </c>
      <c r="DD379" s="3" t="n">
        <v>1807.932455693449</v>
      </c>
      <c r="DE379" s="3" t="n">
        <v>1821.985044522836</v>
      </c>
      <c r="DF379" s="3" t="n">
        <v>1834.815258648731</v>
      </c>
      <c r="DG379" s="3" t="n">
        <v>1848.923308499141</v>
      </c>
      <c r="DH379" s="3" t="n">
        <v>1863.346626863512</v>
      </c>
      <c r="DI379" s="3" t="n">
        <v>1877.24410224257</v>
      </c>
      <c r="DJ379" s="3" t="n">
        <v>1891.162099790587</v>
      </c>
      <c r="DK379" s="3" t="n">
        <v>1905.479120998789</v>
      </c>
      <c r="DL379" s="3" t="n">
        <v>1918.917976945887</v>
      </c>
      <c r="DM379" s="3" t="n">
        <v>1931.82211327759</v>
      </c>
      <c r="DN379" s="3" t="n">
        <v>1943.740417208817</v>
      </c>
      <c r="DO379" s="3" t="n">
        <v>1955.235064712423</v>
      </c>
    </row>
    <row r="380">
      <c r="A380" s="19" t="inlineStr">
        <is>
          <t>mit.fuq.ind.nga</t>
        </is>
      </c>
      <c r="B380" s="3" t="inlineStr">
        <is>
          <t>mit</t>
        </is>
      </c>
      <c r="C380" s="19" t="inlineStr">
        <is>
          <t>mit.ener.nga.ind</t>
        </is>
      </c>
      <c r="H380" s="3" t="inlineStr">
        <is>
          <t>Fuel use by sector group (weights of the costs per unit) | Industry | Natural gas</t>
        </is>
      </c>
      <c r="I380" s="3" t="inlineStr">
        <is>
          <t>ktoe</t>
        </is>
      </c>
      <c r="K380" s="20" t="inlineStr">
        <is>
          <t>egy.mit.fuq.ind.nga.1</t>
        </is>
      </c>
      <c r="L380" s="3" t="n">
        <v>10863.89365609015</v>
      </c>
      <c r="M380" s="3" t="n">
        <v>8604.441541674158</v>
      </c>
      <c r="N380" s="3" t="n">
        <v>9923.028362515066</v>
      </c>
      <c r="O380" s="3" t="n">
        <v>10315.16044222797</v>
      </c>
      <c r="P380" s="3" t="n">
        <v>10702.53761087883</v>
      </c>
      <c r="Q380" s="3" t="n">
        <v>11164.09868154109</v>
      </c>
      <c r="R380" s="3" t="n">
        <v>11718.47117786041</v>
      </c>
      <c r="S380" s="3" t="n">
        <v>12257.66708960512</v>
      </c>
      <c r="T380" s="3" t="n">
        <v>12769.39081881586</v>
      </c>
      <c r="U380" s="3" t="n">
        <v>13292.19433546088</v>
      </c>
      <c r="V380" s="3" t="n">
        <v>13827.98618184896</v>
      </c>
      <c r="W380" s="3" t="n">
        <v>14376.76782353371</v>
      </c>
      <c r="X380" s="3" t="n">
        <v>14938.53100986749</v>
      </c>
      <c r="Y380" s="3" t="n">
        <v>15513.25762732729</v>
      </c>
      <c r="Z380" s="3" t="n">
        <v>16100.91953282271</v>
      </c>
      <c r="AA380" s="3" t="n">
        <v>16701.47836533841</v>
      </c>
      <c r="AB380" s="3" t="n">
        <v>17314.88533432746</v>
      </c>
      <c r="AC380" s="3" t="n">
        <v>17941.08098333526</v>
      </c>
      <c r="AD380" s="3" t="n">
        <v>18579.99492739534</v>
      </c>
      <c r="AE380" s="3" t="n">
        <v>19231.54556279895</v>
      </c>
      <c r="AG380" s="20" t="inlineStr">
        <is>
          <t>egy.mit.fuq.ind.nga.3</t>
        </is>
      </c>
      <c r="AH380" s="3" t="n">
        <v>10863.89365609015</v>
      </c>
      <c r="AI380" s="3" t="n">
        <v>8604.441541674158</v>
      </c>
      <c r="AJ380" s="3" t="n">
        <v>9923.028362515066</v>
      </c>
      <c r="AK380" s="3" t="n">
        <v>10315.16044222797</v>
      </c>
      <c r="AL380" s="3" t="n">
        <v>10702.53761087883</v>
      </c>
      <c r="AM380" s="3" t="n">
        <v>9573.587998632305</v>
      </c>
      <c r="AN380" s="3" t="n">
        <v>10048.97904900525</v>
      </c>
      <c r="AO380" s="3" t="n">
        <v>10517.4629850934</v>
      </c>
      <c r="AP380" s="3" t="n">
        <v>10942.25518333949</v>
      </c>
      <c r="AQ380" s="3" t="n">
        <v>11392.80599827398</v>
      </c>
      <c r="AR380" s="3" t="n">
        <v>11845.90394342681</v>
      </c>
      <c r="AS380" s="3" t="n">
        <v>12324.37453083798</v>
      </c>
      <c r="AT380" s="3" t="n">
        <v>12821.53047372149</v>
      </c>
      <c r="AU380" s="3" t="n">
        <v>13327.13205316392</v>
      </c>
      <c r="AV380" s="3" t="n">
        <v>13847.67201498367</v>
      </c>
      <c r="AW380" s="3" t="n">
        <v>14387.74893353433</v>
      </c>
      <c r="AX380" s="3" t="n">
        <v>14932.71632871073</v>
      </c>
      <c r="AY380" s="3" t="n">
        <v>15485.46916533811</v>
      </c>
      <c r="AZ380" s="3" t="n">
        <v>16040.18838142001</v>
      </c>
      <c r="BA380" s="3" t="n">
        <v>16603.17571628446</v>
      </c>
      <c r="BC380" s="20" t="inlineStr">
        <is>
          <t>egy.mit.fuq.ind.nga.4</t>
        </is>
      </c>
      <c r="BD380" s="3" t="n">
        <v>10863.89365609015</v>
      </c>
      <c r="BE380" s="3" t="n">
        <v>8604.441541674158</v>
      </c>
      <c r="BF380" s="3" t="n">
        <v>9923.028362515066</v>
      </c>
      <c r="BG380" s="3" t="n">
        <v>10315.16044222797</v>
      </c>
      <c r="BH380" s="3" t="n">
        <v>10702.53761087883</v>
      </c>
      <c r="BI380" s="3" t="n">
        <v>10170.35817607775</v>
      </c>
      <c r="BJ380" s="3" t="n">
        <v>9580.52357334417</v>
      </c>
      <c r="BK380" s="3" t="n">
        <v>9122.79871883184</v>
      </c>
      <c r="BL380" s="3" t="n">
        <v>8738.21754292534</v>
      </c>
      <c r="BM380" s="3" t="n">
        <v>8513.75280782442</v>
      </c>
      <c r="BN380" s="3" t="n">
        <v>8332.186306845893</v>
      </c>
      <c r="BO380" s="3" t="n">
        <v>8190.616957320643</v>
      </c>
      <c r="BP380" s="3" t="n">
        <v>8084.841583763039</v>
      </c>
      <c r="BQ380" s="3" t="n">
        <v>8007.193374832005</v>
      </c>
      <c r="BR380" s="3" t="n">
        <v>7953.305770413319</v>
      </c>
      <c r="BS380" s="3" t="n">
        <v>7921.581379078635</v>
      </c>
      <c r="BT380" s="3" t="n">
        <v>7906.947544729338</v>
      </c>
      <c r="BU380" s="3" t="n">
        <v>7905.826551126655</v>
      </c>
      <c r="BV380" s="3" t="n">
        <v>7913.147681225182</v>
      </c>
      <c r="BW380" s="3" t="n">
        <v>7926.888221038867</v>
      </c>
      <c r="BY380" s="20" t="inlineStr">
        <is>
          <t>egy.mit.fuq.ind.nga.5</t>
        </is>
      </c>
      <c r="BZ380" s="3" t="n">
        <v>10863.89365609015</v>
      </c>
      <c r="CA380" s="3" t="n">
        <v>8604.441541674158</v>
      </c>
      <c r="CB380" s="3" t="n">
        <v>9923.028362515066</v>
      </c>
      <c r="CC380" s="3" t="n">
        <v>10315.16044222797</v>
      </c>
      <c r="CD380" s="3" t="n">
        <v>10702.53761087883</v>
      </c>
      <c r="CE380" s="3" t="n">
        <v>9564.540569651639</v>
      </c>
      <c r="CF380" s="3" t="n">
        <v>9961.728186172324</v>
      </c>
      <c r="CG380" s="3" t="n">
        <v>10351.64995982938</v>
      </c>
      <c r="CH380" s="3" t="n">
        <v>10701.06737627357</v>
      </c>
      <c r="CI380" s="3" t="n">
        <v>11079.2181995456</v>
      </c>
      <c r="CJ380" s="3" t="n">
        <v>11456.68487460461</v>
      </c>
      <c r="CK380" s="3" t="n">
        <v>11858.97550127838</v>
      </c>
      <c r="CL380" s="3" t="n">
        <v>12272.88288618855</v>
      </c>
      <c r="CM380" s="3" t="n">
        <v>12694.71264064574</v>
      </c>
      <c r="CN380" s="3" t="n">
        <v>13158.87519267203</v>
      </c>
      <c r="CO380" s="3" t="n">
        <v>13637.72368248594</v>
      </c>
      <c r="CP380" s="3" t="n">
        <v>14119.91534657283</v>
      </c>
      <c r="CQ380" s="3" t="n">
        <v>14610.06323155908</v>
      </c>
      <c r="CR380" s="3" t="n">
        <v>15102.11411980936</v>
      </c>
      <c r="CS380" s="3" t="n">
        <v>15603.65990936926</v>
      </c>
      <c r="CU380" s="20" t="inlineStr">
        <is>
          <t>egy.mit.fuq.ind.nga.6</t>
        </is>
      </c>
      <c r="CV380" s="3" t="n">
        <v>10863.89365609015</v>
      </c>
      <c r="CW380" s="3" t="n">
        <v>8604.441541674158</v>
      </c>
      <c r="CX380" s="3" t="n">
        <v>9923.028362515066</v>
      </c>
      <c r="CY380" s="3" t="n">
        <v>10315.16044222797</v>
      </c>
      <c r="CZ380" s="3" t="n">
        <v>10702.53761087883</v>
      </c>
      <c r="DA380" s="3" t="n">
        <v>7965.114131182047</v>
      </c>
      <c r="DB380" s="3" t="n">
        <v>8360.631942981552</v>
      </c>
      <c r="DC380" s="3" t="n">
        <v>8756.201478362887</v>
      </c>
      <c r="DD380" s="3" t="n">
        <v>9095.902647289013</v>
      </c>
      <c r="DE380" s="3" t="n">
        <v>9474.069206018496</v>
      </c>
      <c r="DF380" s="3" t="n">
        <v>9844.123751086963</v>
      </c>
      <c r="DG380" s="3" t="n">
        <v>10250.56112140986</v>
      </c>
      <c r="DH380" s="3" t="n">
        <v>10677.72866265198</v>
      </c>
      <c r="DI380" s="3" t="n">
        <v>11110.09906449324</v>
      </c>
      <c r="DJ380" s="3" t="n">
        <v>11558.28367714819</v>
      </c>
      <c r="DK380" s="3" t="n">
        <v>12030.77317746405</v>
      </c>
      <c r="DL380" s="3" t="n">
        <v>12501.14107995177</v>
      </c>
      <c r="DM380" s="3" t="n">
        <v>12975.79938403491</v>
      </c>
      <c r="DN380" s="3" t="n">
        <v>13443.73543098874</v>
      </c>
      <c r="DO380" s="3" t="n">
        <v>13916.74674473624</v>
      </c>
    </row>
    <row r="381">
      <c r="A381" s="19" t="inlineStr">
        <is>
          <t>mit.ener.oen.nga</t>
        </is>
      </c>
      <c r="B381" s="3" t="inlineStr">
        <is>
          <t>mit</t>
        </is>
      </c>
      <c r="C381" s="19" t="inlineStr">
        <is>
          <t>mit.ener.nga.oen</t>
        </is>
      </c>
      <c r="H381" s="3" t="inlineStr">
        <is>
          <t>Fuel use | Other energy use | Natural gas</t>
        </is>
      </c>
      <c r="I381" s="3" t="inlineStr">
        <is>
          <t>ktoe</t>
        </is>
      </c>
      <c r="K381" s="20" t="inlineStr">
        <is>
          <t>egy.mit.ener.oen.nga.1</t>
        </is>
      </c>
      <c r="L381" s="3" t="n">
        <v>0</v>
      </c>
      <c r="M381" s="3" t="n">
        <v>0</v>
      </c>
      <c r="N381" s="3" t="n">
        <v>0</v>
      </c>
      <c r="O381" s="3" t="n">
        <v>0</v>
      </c>
      <c r="P381" s="3" t="n">
        <v>0</v>
      </c>
      <c r="Q381" s="3" t="n">
        <v>0</v>
      </c>
      <c r="R381" s="3" t="n">
        <v>0</v>
      </c>
      <c r="S381" s="3" t="n">
        <v>0</v>
      </c>
      <c r="T381" s="3" t="n">
        <v>0</v>
      </c>
      <c r="U381" s="3" t="n">
        <v>0</v>
      </c>
      <c r="V381" s="3" t="n">
        <v>0</v>
      </c>
      <c r="W381" s="3" t="n">
        <v>0</v>
      </c>
      <c r="X381" s="3" t="n">
        <v>0</v>
      </c>
      <c r="Y381" s="3" t="n">
        <v>0</v>
      </c>
      <c r="Z381" s="3" t="n">
        <v>0</v>
      </c>
      <c r="AA381" s="3" t="n">
        <v>0</v>
      </c>
      <c r="AB381" s="3" t="n">
        <v>0</v>
      </c>
      <c r="AC381" s="3" t="n">
        <v>0</v>
      </c>
      <c r="AD381" s="3" t="n">
        <v>0</v>
      </c>
      <c r="AE381" s="3" t="n">
        <v>0</v>
      </c>
      <c r="AG381" s="20" t="inlineStr">
        <is>
          <t>egy.mit.ener.oen.nga.3</t>
        </is>
      </c>
      <c r="AH381" s="3" t="n">
        <v>0</v>
      </c>
      <c r="AI381" s="3" t="n">
        <v>0</v>
      </c>
      <c r="AJ381" s="3" t="n">
        <v>0</v>
      </c>
      <c r="AK381" s="3" t="n">
        <v>0</v>
      </c>
      <c r="AL381" s="3" t="n">
        <v>0</v>
      </c>
      <c r="AM381" s="3" t="n">
        <v>0</v>
      </c>
      <c r="AN381" s="3" t="n">
        <v>0</v>
      </c>
      <c r="AO381" s="3" t="n">
        <v>0</v>
      </c>
      <c r="AP381" s="3" t="n">
        <v>0</v>
      </c>
      <c r="AQ381" s="3" t="n">
        <v>0</v>
      </c>
      <c r="AR381" s="3" t="n">
        <v>0</v>
      </c>
      <c r="AS381" s="3" t="n">
        <v>0</v>
      </c>
      <c r="AT381" s="3" t="n">
        <v>0</v>
      </c>
      <c r="AU381" s="3" t="n">
        <v>0</v>
      </c>
      <c r="AV381" s="3" t="n">
        <v>0</v>
      </c>
      <c r="AW381" s="3" t="n">
        <v>0</v>
      </c>
      <c r="AX381" s="3" t="n">
        <v>0</v>
      </c>
      <c r="AY381" s="3" t="n">
        <v>0</v>
      </c>
      <c r="AZ381" s="3" t="n">
        <v>0</v>
      </c>
      <c r="BA381" s="3" t="n">
        <v>0</v>
      </c>
      <c r="BC381" s="20" t="inlineStr">
        <is>
          <t>egy.mit.ener.oen.nga.4</t>
        </is>
      </c>
      <c r="BD381" s="3" t="n">
        <v>0</v>
      </c>
      <c r="BE381" s="3" t="n">
        <v>0</v>
      </c>
      <c r="BF381" s="3" t="n">
        <v>0</v>
      </c>
      <c r="BG381" s="3" t="n">
        <v>0</v>
      </c>
      <c r="BH381" s="3" t="n">
        <v>0</v>
      </c>
      <c r="BI381" s="3" t="n">
        <v>0</v>
      </c>
      <c r="BJ381" s="3" t="n">
        <v>0</v>
      </c>
      <c r="BK381" s="3" t="n">
        <v>0</v>
      </c>
      <c r="BL381" s="3" t="n">
        <v>0</v>
      </c>
      <c r="BM381" s="3" t="n">
        <v>0</v>
      </c>
      <c r="BN381" s="3" t="n">
        <v>0</v>
      </c>
      <c r="BO381" s="3" t="n">
        <v>0</v>
      </c>
      <c r="BP381" s="3" t="n">
        <v>0</v>
      </c>
      <c r="BQ381" s="3" t="n">
        <v>0</v>
      </c>
      <c r="BR381" s="3" t="n">
        <v>0</v>
      </c>
      <c r="BS381" s="3" t="n">
        <v>0</v>
      </c>
      <c r="BT381" s="3" t="n">
        <v>0</v>
      </c>
      <c r="BU381" s="3" t="n">
        <v>0</v>
      </c>
      <c r="BV381" s="3" t="n">
        <v>0</v>
      </c>
      <c r="BW381" s="3" t="n">
        <v>0</v>
      </c>
      <c r="BY381" s="20" t="inlineStr">
        <is>
          <t>egy.mit.ener.oen.nga.5</t>
        </is>
      </c>
      <c r="BZ381" s="3" t="n">
        <v>0</v>
      </c>
      <c r="CA381" s="3" t="n">
        <v>0</v>
      </c>
      <c r="CB381" s="3" t="n">
        <v>0</v>
      </c>
      <c r="CC381" s="3" t="n">
        <v>0</v>
      </c>
      <c r="CD381" s="3" t="n">
        <v>0</v>
      </c>
      <c r="CE381" s="3" t="n">
        <v>0</v>
      </c>
      <c r="CF381" s="3" t="n">
        <v>0</v>
      </c>
      <c r="CG381" s="3" t="n">
        <v>0</v>
      </c>
      <c r="CH381" s="3" t="n">
        <v>0</v>
      </c>
      <c r="CI381" s="3" t="n">
        <v>0</v>
      </c>
      <c r="CJ381" s="3" t="n">
        <v>0</v>
      </c>
      <c r="CK381" s="3" t="n">
        <v>0</v>
      </c>
      <c r="CL381" s="3" t="n">
        <v>0</v>
      </c>
      <c r="CM381" s="3" t="n">
        <v>0</v>
      </c>
      <c r="CN381" s="3" t="n">
        <v>0</v>
      </c>
      <c r="CO381" s="3" t="n">
        <v>0</v>
      </c>
      <c r="CP381" s="3" t="n">
        <v>0</v>
      </c>
      <c r="CQ381" s="3" t="n">
        <v>0</v>
      </c>
      <c r="CR381" s="3" t="n">
        <v>0</v>
      </c>
      <c r="CS381" s="3" t="n">
        <v>0</v>
      </c>
      <c r="CU381" s="20" t="inlineStr">
        <is>
          <t>egy.mit.ener.oen.nga.6</t>
        </is>
      </c>
      <c r="CV381" s="3" t="n">
        <v>0</v>
      </c>
      <c r="CW381" s="3" t="n">
        <v>0</v>
      </c>
      <c r="CX381" s="3" t="n">
        <v>0</v>
      </c>
      <c r="CY381" s="3" t="n">
        <v>0</v>
      </c>
      <c r="CZ381" s="3" t="n">
        <v>0</v>
      </c>
      <c r="DA381" s="3" t="n">
        <v>0</v>
      </c>
      <c r="DB381" s="3" t="n">
        <v>0</v>
      </c>
      <c r="DC381" s="3" t="n">
        <v>0</v>
      </c>
      <c r="DD381" s="3" t="n">
        <v>0</v>
      </c>
      <c r="DE381" s="3" t="n">
        <v>0</v>
      </c>
      <c r="DF381" s="3" t="n">
        <v>0</v>
      </c>
      <c r="DG381" s="3" t="n">
        <v>0</v>
      </c>
      <c r="DH381" s="3" t="n">
        <v>0</v>
      </c>
      <c r="DI381" s="3" t="n">
        <v>0</v>
      </c>
      <c r="DJ381" s="3" t="n">
        <v>0</v>
      </c>
      <c r="DK381" s="3" t="n">
        <v>0</v>
      </c>
      <c r="DL381" s="3" t="n">
        <v>0</v>
      </c>
      <c r="DM381" s="3" t="n">
        <v>0</v>
      </c>
      <c r="DN381" s="3" t="n">
        <v>0</v>
      </c>
      <c r="DO381" s="3" t="n">
        <v>0</v>
      </c>
    </row>
    <row r="382">
      <c r="A382" s="14" t="n"/>
      <c r="B382" s="3" t="inlineStr">
        <is>
          <t>mit</t>
        </is>
      </c>
      <c r="C382" s="19" t="inlineStr">
        <is>
          <t>mit.ener.gso.pow</t>
        </is>
      </c>
      <c r="H382" s="14" t="inlineStr">
        <is>
          <t>Gasoline consumption: Power sector (baseline)</t>
        </is>
      </c>
      <c r="I382" s="14" t="inlineStr">
        <is>
          <t>ktoe</t>
        </is>
      </c>
    </row>
    <row r="383">
      <c r="A383" s="19" t="inlineStr">
        <is>
          <t>mit.fuq.tra.gso</t>
        </is>
      </c>
      <c r="B383" s="3" t="inlineStr">
        <is>
          <t>mit</t>
        </is>
      </c>
      <c r="C383" s="19" t="inlineStr">
        <is>
          <t>mit.ener.gso.tra</t>
        </is>
      </c>
      <c r="H383" s="3" t="inlineStr">
        <is>
          <t>Fuel use by sector group (weights of the costs per unit) | Transport | Gasoline</t>
        </is>
      </c>
      <c r="I383" s="3" t="inlineStr">
        <is>
          <t>ktoe</t>
        </is>
      </c>
      <c r="K383" s="20" t="inlineStr">
        <is>
          <t>egy.mit.fuq.tra.gso.1</t>
        </is>
      </c>
      <c r="L383" s="3" t="n">
        <v>7328.942890599129</v>
      </c>
      <c r="M383" s="3" t="n">
        <v>7997.906609259908</v>
      </c>
      <c r="N383" s="3" t="n">
        <v>10130.34679068121</v>
      </c>
      <c r="O383" s="3" t="n">
        <v>10383.07993798776</v>
      </c>
      <c r="P383" s="3" t="n">
        <v>10628.04530105534</v>
      </c>
      <c r="Q383" s="3" t="n">
        <v>10919.65421757317</v>
      </c>
      <c r="R383" s="3" t="n">
        <v>11268.38418503122</v>
      </c>
      <c r="S383" s="3" t="n">
        <v>11599.97646409353</v>
      </c>
      <c r="T383" s="3" t="n">
        <v>11907.22100899735</v>
      </c>
      <c r="U383" s="3" t="n">
        <v>12215.98872668111</v>
      </c>
      <c r="V383" s="3" t="n">
        <v>12527.42634917021</v>
      </c>
      <c r="W383" s="3" t="n">
        <v>12841.42265441394</v>
      </c>
      <c r="X383" s="3" t="n">
        <v>13157.86543244902</v>
      </c>
      <c r="Y383" s="3" t="n">
        <v>13476.6414927005</v>
      </c>
      <c r="Z383" s="3" t="n">
        <v>13797.63665825386</v>
      </c>
      <c r="AA383" s="3" t="n">
        <v>14120.73574732352</v>
      </c>
      <c r="AB383" s="3" t="n">
        <v>14445.82254215771</v>
      </c>
      <c r="AC383" s="3" t="n">
        <v>14772.77974563054</v>
      </c>
      <c r="AD383" s="3" t="n">
        <v>15101.48892577925</v>
      </c>
      <c r="AE383" s="3" t="n">
        <v>15431.83044854945</v>
      </c>
      <c r="AG383" s="20" t="inlineStr">
        <is>
          <t>egy.mit.fuq.tra.gso.3</t>
        </is>
      </c>
      <c r="AH383" s="3" t="n">
        <v>7328.942890599129</v>
      </c>
      <c r="AI383" s="3" t="n">
        <v>7997.906609259908</v>
      </c>
      <c r="AJ383" s="3" t="n">
        <v>10130.34679068121</v>
      </c>
      <c r="AK383" s="3" t="n">
        <v>10383.07993798776</v>
      </c>
      <c r="AL383" s="3" t="n">
        <v>10628.04530105534</v>
      </c>
      <c r="AM383" s="3" t="n">
        <v>10018.33959521673</v>
      </c>
      <c r="AN383" s="3" t="n">
        <v>10338.28381532863</v>
      </c>
      <c r="AO383" s="3" t="n">
        <v>10646.83302871543</v>
      </c>
      <c r="AP383" s="3" t="n">
        <v>10918.85735280967</v>
      </c>
      <c r="AQ383" s="3" t="n">
        <v>11203.75370884477</v>
      </c>
      <c r="AR383" s="3" t="n">
        <v>11485.22381966177</v>
      </c>
      <c r="AS383" s="3" t="n">
        <v>11778.68469656821</v>
      </c>
      <c r="AT383" s="3" t="n">
        <v>12079.22134768986</v>
      </c>
      <c r="AU383" s="3" t="n">
        <v>12379.878392991</v>
      </c>
      <c r="AV383" s="3" t="n">
        <v>12684.81338948406</v>
      </c>
      <c r="AW383" s="3" t="n">
        <v>12996.75692757311</v>
      </c>
      <c r="AX383" s="3" t="n">
        <v>13306.285215258</v>
      </c>
      <c r="AY383" s="3" t="n">
        <v>13615.27355821871</v>
      </c>
      <c r="AZ383" s="3" t="n">
        <v>13920.20387100762</v>
      </c>
      <c r="BA383" s="3" t="n">
        <v>14225.00547490355</v>
      </c>
      <c r="BC383" s="20" t="inlineStr">
        <is>
          <t>egy.mit.fuq.tra.gso.4</t>
        </is>
      </c>
      <c r="BD383" s="3" t="n">
        <v>7328.942890599129</v>
      </c>
      <c r="BE383" s="3" t="n">
        <v>7997.906609259908</v>
      </c>
      <c r="BF383" s="3" t="n">
        <v>10130.34679068121</v>
      </c>
      <c r="BG383" s="3" t="n">
        <v>10383.07993798776</v>
      </c>
      <c r="BH383" s="3" t="n">
        <v>10628.04530105534</v>
      </c>
      <c r="BI383" s="3" t="n">
        <v>10282.39443814714</v>
      </c>
      <c r="BJ383" s="3" t="n">
        <v>9877.813740532483</v>
      </c>
      <c r="BK383" s="3" t="n">
        <v>9541.714407802656</v>
      </c>
      <c r="BL383" s="3" t="n">
        <v>9242.594558383546</v>
      </c>
      <c r="BM383" s="3" t="n">
        <v>9105.188949609568</v>
      </c>
      <c r="BN383" s="3" t="n">
        <v>8986.064835332569</v>
      </c>
      <c r="BO383" s="3" t="n">
        <v>8886.81645486498</v>
      </c>
      <c r="BP383" s="3" t="n">
        <v>8806.956040381738</v>
      </c>
      <c r="BQ383" s="3" t="n">
        <v>8742.551147998352</v>
      </c>
      <c r="BR383" s="3" t="n">
        <v>8691.615489905878</v>
      </c>
      <c r="BS383" s="3" t="n">
        <v>8653.897247911143</v>
      </c>
      <c r="BT383" s="3" t="n">
        <v>8626.215689703929</v>
      </c>
      <c r="BU383" s="3" t="n">
        <v>8606.34874717288</v>
      </c>
      <c r="BV383" s="3" t="n">
        <v>8590.819030804843</v>
      </c>
      <c r="BW383" s="3" t="n">
        <v>8578.39861941384</v>
      </c>
      <c r="BY383" s="20" t="inlineStr">
        <is>
          <t>egy.mit.fuq.tra.gso.5</t>
        </is>
      </c>
      <c r="BZ383" s="3" t="n">
        <v>7328.942890599129</v>
      </c>
      <c r="CA383" s="3" t="n">
        <v>7997.906609259908</v>
      </c>
      <c r="CB383" s="3" t="n">
        <v>10130.34679068121</v>
      </c>
      <c r="CC383" s="3" t="n">
        <v>10383.07993798776</v>
      </c>
      <c r="CD383" s="3" t="n">
        <v>10628.04530105534</v>
      </c>
      <c r="CE383" s="3" t="n">
        <v>9821.541462074561</v>
      </c>
      <c r="CF383" s="3" t="n">
        <v>10135.1945376668</v>
      </c>
      <c r="CG383" s="3" t="n">
        <v>10437.05331619346</v>
      </c>
      <c r="CH383" s="3" t="n">
        <v>10704.31976384346</v>
      </c>
      <c r="CI383" s="3" t="n">
        <v>10985.58328137156</v>
      </c>
      <c r="CJ383" s="3" t="n">
        <v>11261.0644223876</v>
      </c>
      <c r="CK383" s="3" t="n">
        <v>11549.47402444405</v>
      </c>
      <c r="CL383" s="3" t="n">
        <v>11840.75279930977</v>
      </c>
      <c r="CM383" s="3" t="n">
        <v>12132.81375850572</v>
      </c>
      <c r="CN383" s="3" t="n">
        <v>12428.92768520507</v>
      </c>
      <c r="CO383" s="3" t="n">
        <v>12730.65662074066</v>
      </c>
      <c r="CP383" s="3" t="n">
        <v>13030.28452009344</v>
      </c>
      <c r="CQ383" s="3" t="n">
        <v>13330.84321490835</v>
      </c>
      <c r="CR383" s="3" t="n">
        <v>13628.59154526581</v>
      </c>
      <c r="CS383" s="3" t="n">
        <v>13928.38430125603</v>
      </c>
      <c r="CU383" s="20" t="inlineStr">
        <is>
          <t>egy.mit.fuq.tra.gso.6</t>
        </is>
      </c>
      <c r="CV383" s="3" t="n">
        <v>7328.942890599129</v>
      </c>
      <c r="CW383" s="3" t="n">
        <v>7997.906609259908</v>
      </c>
      <c r="CX383" s="3" t="n">
        <v>10130.34679068121</v>
      </c>
      <c r="CY383" s="3" t="n">
        <v>10383.07993798776</v>
      </c>
      <c r="CZ383" s="3" t="n">
        <v>10628.04530105534</v>
      </c>
      <c r="DA383" s="3" t="n">
        <v>8968.109828685105</v>
      </c>
      <c r="DB383" s="3" t="n">
        <v>9254.512495518851</v>
      </c>
      <c r="DC383" s="3" t="n">
        <v>9535.135112912827</v>
      </c>
      <c r="DD383" s="3" t="n">
        <v>9768.267591630853</v>
      </c>
      <c r="DE383" s="3" t="n">
        <v>10025.83907002065</v>
      </c>
      <c r="DF383" s="3" t="n">
        <v>10272.79789664958</v>
      </c>
      <c r="DG383" s="3" t="n">
        <v>10541.63083002246</v>
      </c>
      <c r="DH383" s="3" t="n">
        <v>10820.30065504103</v>
      </c>
      <c r="DI383" s="3" t="n">
        <v>11097.52981420991</v>
      </c>
      <c r="DJ383" s="3" t="n">
        <v>11380.69460673427</v>
      </c>
      <c r="DK383" s="3" t="n">
        <v>11675.31371362624</v>
      </c>
      <c r="DL383" s="3" t="n">
        <v>11963.2036996218</v>
      </c>
      <c r="DM383" s="3" t="n">
        <v>12248.8771911343</v>
      </c>
      <c r="DN383" s="3" t="n">
        <v>12525.23898894703</v>
      </c>
      <c r="DO383" s="3" t="n">
        <v>12800.24006086305</v>
      </c>
    </row>
    <row r="384">
      <c r="A384" s="19" t="inlineStr">
        <is>
          <t>mit.fuq.bld.gso</t>
        </is>
      </c>
      <c r="B384" s="3" t="inlineStr">
        <is>
          <t>mit</t>
        </is>
      </c>
      <c r="C384" s="19" t="inlineStr">
        <is>
          <t>mit.ener.gso.res</t>
        </is>
      </c>
      <c r="H384" s="3" t="inlineStr">
        <is>
          <t>Fuel use by sector group (weights of the costs per unit) | Buildings | Gasoline</t>
        </is>
      </c>
      <c r="I384" s="3" t="inlineStr">
        <is>
          <t>ktoe</t>
        </is>
      </c>
      <c r="K384" s="20" t="inlineStr">
        <is>
          <t>egy.mit.fuq.bld.gso.1</t>
        </is>
      </c>
      <c r="L384" s="3" t="n">
        <v>0</v>
      </c>
      <c r="M384" s="3" t="n">
        <v>0</v>
      </c>
      <c r="N384" s="3" t="n">
        <v>0</v>
      </c>
      <c r="O384" s="3" t="n">
        <v>0</v>
      </c>
      <c r="P384" s="3" t="n">
        <v>0</v>
      </c>
      <c r="Q384" s="3" t="n">
        <v>0</v>
      </c>
      <c r="R384" s="3" t="n">
        <v>0</v>
      </c>
      <c r="S384" s="3" t="n">
        <v>0</v>
      </c>
      <c r="T384" s="3" t="n">
        <v>0</v>
      </c>
      <c r="U384" s="3" t="n">
        <v>0</v>
      </c>
      <c r="V384" s="3" t="n">
        <v>0</v>
      </c>
      <c r="W384" s="3" t="n">
        <v>0</v>
      </c>
      <c r="X384" s="3" t="n">
        <v>0</v>
      </c>
      <c r="Y384" s="3" t="n">
        <v>0</v>
      </c>
      <c r="Z384" s="3" t="n">
        <v>0</v>
      </c>
      <c r="AA384" s="3" t="n">
        <v>0</v>
      </c>
      <c r="AB384" s="3" t="n">
        <v>0</v>
      </c>
      <c r="AC384" s="3" t="n">
        <v>0</v>
      </c>
      <c r="AD384" s="3" t="n">
        <v>0</v>
      </c>
      <c r="AE384" s="3" t="n">
        <v>0</v>
      </c>
      <c r="AG384" s="20" t="inlineStr">
        <is>
          <t>egy.mit.fuq.bld.gso.3</t>
        </is>
      </c>
      <c r="AH384" s="3" t="n">
        <v>0</v>
      </c>
      <c r="AI384" s="3" t="n">
        <v>0</v>
      </c>
      <c r="AJ384" s="3" t="n">
        <v>0</v>
      </c>
      <c r="AK384" s="3" t="n">
        <v>0</v>
      </c>
      <c r="AL384" s="3" t="n">
        <v>0</v>
      </c>
      <c r="AM384" s="3" t="n">
        <v>0</v>
      </c>
      <c r="AN384" s="3" t="n">
        <v>0</v>
      </c>
      <c r="AO384" s="3" t="n">
        <v>0</v>
      </c>
      <c r="AP384" s="3" t="n">
        <v>0</v>
      </c>
      <c r="AQ384" s="3" t="n">
        <v>0</v>
      </c>
      <c r="AR384" s="3" t="n">
        <v>0</v>
      </c>
      <c r="AS384" s="3" t="n">
        <v>0</v>
      </c>
      <c r="AT384" s="3" t="n">
        <v>0</v>
      </c>
      <c r="AU384" s="3" t="n">
        <v>0</v>
      </c>
      <c r="AV384" s="3" t="n">
        <v>0</v>
      </c>
      <c r="AW384" s="3" t="n">
        <v>0</v>
      </c>
      <c r="AX384" s="3" t="n">
        <v>0</v>
      </c>
      <c r="AY384" s="3" t="n">
        <v>0</v>
      </c>
      <c r="AZ384" s="3" t="n">
        <v>0</v>
      </c>
      <c r="BA384" s="3" t="n">
        <v>0</v>
      </c>
      <c r="BC384" s="20" t="inlineStr">
        <is>
          <t>egy.mit.fuq.bld.gso.4</t>
        </is>
      </c>
      <c r="BD384" s="3" t="n">
        <v>0</v>
      </c>
      <c r="BE384" s="3" t="n">
        <v>0</v>
      </c>
      <c r="BF384" s="3" t="n">
        <v>0</v>
      </c>
      <c r="BG384" s="3" t="n">
        <v>0</v>
      </c>
      <c r="BH384" s="3" t="n">
        <v>0</v>
      </c>
      <c r="BI384" s="3" t="n">
        <v>0</v>
      </c>
      <c r="BJ384" s="3" t="n">
        <v>0</v>
      </c>
      <c r="BK384" s="3" t="n">
        <v>0</v>
      </c>
      <c r="BL384" s="3" t="n">
        <v>0</v>
      </c>
      <c r="BM384" s="3" t="n">
        <v>0</v>
      </c>
      <c r="BN384" s="3" t="n">
        <v>0</v>
      </c>
      <c r="BO384" s="3" t="n">
        <v>0</v>
      </c>
      <c r="BP384" s="3" t="n">
        <v>0</v>
      </c>
      <c r="BQ384" s="3" t="n">
        <v>0</v>
      </c>
      <c r="BR384" s="3" t="n">
        <v>0</v>
      </c>
      <c r="BS384" s="3" t="n">
        <v>0</v>
      </c>
      <c r="BT384" s="3" t="n">
        <v>0</v>
      </c>
      <c r="BU384" s="3" t="n">
        <v>0</v>
      </c>
      <c r="BV384" s="3" t="n">
        <v>0</v>
      </c>
      <c r="BW384" s="3" t="n">
        <v>0</v>
      </c>
      <c r="BY384" s="20" t="inlineStr">
        <is>
          <t>egy.mit.fuq.bld.gso.5</t>
        </is>
      </c>
      <c r="BZ384" s="3" t="n">
        <v>0</v>
      </c>
      <c r="CA384" s="3" t="n">
        <v>0</v>
      </c>
      <c r="CB384" s="3" t="n">
        <v>0</v>
      </c>
      <c r="CC384" s="3" t="n">
        <v>0</v>
      </c>
      <c r="CD384" s="3" t="n">
        <v>0</v>
      </c>
      <c r="CE384" s="3" t="n">
        <v>0</v>
      </c>
      <c r="CF384" s="3" t="n">
        <v>0</v>
      </c>
      <c r="CG384" s="3" t="n">
        <v>0</v>
      </c>
      <c r="CH384" s="3" t="n">
        <v>0</v>
      </c>
      <c r="CI384" s="3" t="n">
        <v>0</v>
      </c>
      <c r="CJ384" s="3" t="n">
        <v>0</v>
      </c>
      <c r="CK384" s="3" t="n">
        <v>0</v>
      </c>
      <c r="CL384" s="3" t="n">
        <v>0</v>
      </c>
      <c r="CM384" s="3" t="n">
        <v>0</v>
      </c>
      <c r="CN384" s="3" t="n">
        <v>0</v>
      </c>
      <c r="CO384" s="3" t="n">
        <v>0</v>
      </c>
      <c r="CP384" s="3" t="n">
        <v>0</v>
      </c>
      <c r="CQ384" s="3" t="n">
        <v>0</v>
      </c>
      <c r="CR384" s="3" t="n">
        <v>0</v>
      </c>
      <c r="CS384" s="3" t="n">
        <v>0</v>
      </c>
      <c r="CU384" s="20" t="inlineStr">
        <is>
          <t>egy.mit.fuq.bld.gso.6</t>
        </is>
      </c>
      <c r="CV384" s="3" t="n">
        <v>0</v>
      </c>
      <c r="CW384" s="3" t="n">
        <v>0</v>
      </c>
      <c r="CX384" s="3" t="n">
        <v>0</v>
      </c>
      <c r="CY384" s="3" t="n">
        <v>0</v>
      </c>
      <c r="CZ384" s="3" t="n">
        <v>0</v>
      </c>
      <c r="DA384" s="3" t="n">
        <v>0</v>
      </c>
      <c r="DB384" s="3" t="n">
        <v>0</v>
      </c>
      <c r="DC384" s="3" t="n">
        <v>0</v>
      </c>
      <c r="DD384" s="3" t="n">
        <v>0</v>
      </c>
      <c r="DE384" s="3" t="n">
        <v>0</v>
      </c>
      <c r="DF384" s="3" t="n">
        <v>0</v>
      </c>
      <c r="DG384" s="3" t="n">
        <v>0</v>
      </c>
      <c r="DH384" s="3" t="n">
        <v>0</v>
      </c>
      <c r="DI384" s="3" t="n">
        <v>0</v>
      </c>
      <c r="DJ384" s="3" t="n">
        <v>0</v>
      </c>
      <c r="DK384" s="3" t="n">
        <v>0</v>
      </c>
      <c r="DL384" s="3" t="n">
        <v>0</v>
      </c>
      <c r="DM384" s="3" t="n">
        <v>0</v>
      </c>
      <c r="DN384" s="3" t="n">
        <v>0</v>
      </c>
      <c r="DO384" s="3" t="n">
        <v>0</v>
      </c>
    </row>
    <row r="385">
      <c r="A385" s="19" t="inlineStr">
        <is>
          <t>mit.fuq.ind.gso</t>
        </is>
      </c>
      <c r="B385" s="3" t="inlineStr">
        <is>
          <t>mit</t>
        </is>
      </c>
      <c r="C385" s="19" t="inlineStr">
        <is>
          <t>mit.ener.gso.ind</t>
        </is>
      </c>
      <c r="H385" s="3" t="inlineStr">
        <is>
          <t>Fuel use by sector group (weights of the costs per unit) | Industry | Gasoline</t>
        </is>
      </c>
      <c r="I385" s="3" t="inlineStr">
        <is>
          <t>ktoe</t>
        </is>
      </c>
      <c r="K385" s="20" t="inlineStr">
        <is>
          <t>egy.mit.fuq.ind.gso.1</t>
        </is>
      </c>
      <c r="L385" s="3" t="n">
        <v>0</v>
      </c>
      <c r="M385" s="3" t="n">
        <v>0</v>
      </c>
      <c r="N385" s="3" t="n">
        <v>0</v>
      </c>
      <c r="O385" s="3" t="n">
        <v>0</v>
      </c>
      <c r="P385" s="3" t="n">
        <v>0</v>
      </c>
      <c r="Q385" s="3" t="n">
        <v>0</v>
      </c>
      <c r="R385" s="3" t="n">
        <v>0</v>
      </c>
      <c r="S385" s="3" t="n">
        <v>0</v>
      </c>
      <c r="T385" s="3" t="n">
        <v>0</v>
      </c>
      <c r="U385" s="3" t="n">
        <v>0</v>
      </c>
      <c r="V385" s="3" t="n">
        <v>0</v>
      </c>
      <c r="W385" s="3" t="n">
        <v>0</v>
      </c>
      <c r="X385" s="3" t="n">
        <v>0</v>
      </c>
      <c r="Y385" s="3" t="n">
        <v>0</v>
      </c>
      <c r="Z385" s="3" t="n">
        <v>0</v>
      </c>
      <c r="AA385" s="3" t="n">
        <v>0</v>
      </c>
      <c r="AB385" s="3" t="n">
        <v>0</v>
      </c>
      <c r="AC385" s="3" t="n">
        <v>0</v>
      </c>
      <c r="AD385" s="3" t="n">
        <v>0</v>
      </c>
      <c r="AE385" s="3" t="n">
        <v>0</v>
      </c>
      <c r="AG385" s="20" t="inlineStr">
        <is>
          <t>egy.mit.fuq.ind.gso.3</t>
        </is>
      </c>
      <c r="AH385" s="3" t="n">
        <v>0</v>
      </c>
      <c r="AI385" s="3" t="n">
        <v>0</v>
      </c>
      <c r="AJ385" s="3" t="n">
        <v>0</v>
      </c>
      <c r="AK385" s="3" t="n">
        <v>0</v>
      </c>
      <c r="AL385" s="3" t="n">
        <v>0</v>
      </c>
      <c r="AM385" s="3" t="n">
        <v>0</v>
      </c>
      <c r="AN385" s="3" t="n">
        <v>0</v>
      </c>
      <c r="AO385" s="3" t="n">
        <v>0</v>
      </c>
      <c r="AP385" s="3" t="n">
        <v>0</v>
      </c>
      <c r="AQ385" s="3" t="n">
        <v>0</v>
      </c>
      <c r="AR385" s="3" t="n">
        <v>0</v>
      </c>
      <c r="AS385" s="3" t="n">
        <v>0</v>
      </c>
      <c r="AT385" s="3" t="n">
        <v>0</v>
      </c>
      <c r="AU385" s="3" t="n">
        <v>0</v>
      </c>
      <c r="AV385" s="3" t="n">
        <v>0</v>
      </c>
      <c r="AW385" s="3" t="n">
        <v>0</v>
      </c>
      <c r="AX385" s="3" t="n">
        <v>0</v>
      </c>
      <c r="AY385" s="3" t="n">
        <v>0</v>
      </c>
      <c r="AZ385" s="3" t="n">
        <v>0</v>
      </c>
      <c r="BA385" s="3" t="n">
        <v>0</v>
      </c>
      <c r="BC385" s="20" t="inlineStr">
        <is>
          <t>egy.mit.fuq.ind.gso.4</t>
        </is>
      </c>
      <c r="BD385" s="3" t="n">
        <v>0</v>
      </c>
      <c r="BE385" s="3" t="n">
        <v>0</v>
      </c>
      <c r="BF385" s="3" t="n">
        <v>0</v>
      </c>
      <c r="BG385" s="3" t="n">
        <v>0</v>
      </c>
      <c r="BH385" s="3" t="n">
        <v>0</v>
      </c>
      <c r="BI385" s="3" t="n">
        <v>0</v>
      </c>
      <c r="BJ385" s="3" t="n">
        <v>0</v>
      </c>
      <c r="BK385" s="3" t="n">
        <v>0</v>
      </c>
      <c r="BL385" s="3" t="n">
        <v>0</v>
      </c>
      <c r="BM385" s="3" t="n">
        <v>0</v>
      </c>
      <c r="BN385" s="3" t="n">
        <v>0</v>
      </c>
      <c r="BO385" s="3" t="n">
        <v>0</v>
      </c>
      <c r="BP385" s="3" t="n">
        <v>0</v>
      </c>
      <c r="BQ385" s="3" t="n">
        <v>0</v>
      </c>
      <c r="BR385" s="3" t="n">
        <v>0</v>
      </c>
      <c r="BS385" s="3" t="n">
        <v>0</v>
      </c>
      <c r="BT385" s="3" t="n">
        <v>0</v>
      </c>
      <c r="BU385" s="3" t="n">
        <v>0</v>
      </c>
      <c r="BV385" s="3" t="n">
        <v>0</v>
      </c>
      <c r="BW385" s="3" t="n">
        <v>0</v>
      </c>
      <c r="BY385" s="20" t="inlineStr">
        <is>
          <t>egy.mit.fuq.ind.gso.5</t>
        </is>
      </c>
      <c r="BZ385" s="3" t="n">
        <v>0</v>
      </c>
      <c r="CA385" s="3" t="n">
        <v>0</v>
      </c>
      <c r="CB385" s="3" t="n">
        <v>0</v>
      </c>
      <c r="CC385" s="3" t="n">
        <v>0</v>
      </c>
      <c r="CD385" s="3" t="n">
        <v>0</v>
      </c>
      <c r="CE385" s="3" t="n">
        <v>0</v>
      </c>
      <c r="CF385" s="3" t="n">
        <v>0</v>
      </c>
      <c r="CG385" s="3" t="n">
        <v>0</v>
      </c>
      <c r="CH385" s="3" t="n">
        <v>0</v>
      </c>
      <c r="CI385" s="3" t="n">
        <v>0</v>
      </c>
      <c r="CJ385" s="3" t="n">
        <v>0</v>
      </c>
      <c r="CK385" s="3" t="n">
        <v>0</v>
      </c>
      <c r="CL385" s="3" t="n">
        <v>0</v>
      </c>
      <c r="CM385" s="3" t="n">
        <v>0</v>
      </c>
      <c r="CN385" s="3" t="n">
        <v>0</v>
      </c>
      <c r="CO385" s="3" t="n">
        <v>0</v>
      </c>
      <c r="CP385" s="3" t="n">
        <v>0</v>
      </c>
      <c r="CQ385" s="3" t="n">
        <v>0</v>
      </c>
      <c r="CR385" s="3" t="n">
        <v>0</v>
      </c>
      <c r="CS385" s="3" t="n">
        <v>0</v>
      </c>
      <c r="CU385" s="20" t="inlineStr">
        <is>
          <t>egy.mit.fuq.ind.gso.6</t>
        </is>
      </c>
      <c r="CV385" s="3" t="n">
        <v>0</v>
      </c>
      <c r="CW385" s="3" t="n">
        <v>0</v>
      </c>
      <c r="CX385" s="3" t="n">
        <v>0</v>
      </c>
      <c r="CY385" s="3" t="n">
        <v>0</v>
      </c>
      <c r="CZ385" s="3" t="n">
        <v>0</v>
      </c>
      <c r="DA385" s="3" t="n">
        <v>0</v>
      </c>
      <c r="DB385" s="3" t="n">
        <v>0</v>
      </c>
      <c r="DC385" s="3" t="n">
        <v>0</v>
      </c>
      <c r="DD385" s="3" t="n">
        <v>0</v>
      </c>
      <c r="DE385" s="3" t="n">
        <v>0</v>
      </c>
      <c r="DF385" s="3" t="n">
        <v>0</v>
      </c>
      <c r="DG385" s="3" t="n">
        <v>0</v>
      </c>
      <c r="DH385" s="3" t="n">
        <v>0</v>
      </c>
      <c r="DI385" s="3" t="n">
        <v>0</v>
      </c>
      <c r="DJ385" s="3" t="n">
        <v>0</v>
      </c>
      <c r="DK385" s="3" t="n">
        <v>0</v>
      </c>
      <c r="DL385" s="3" t="n">
        <v>0</v>
      </c>
      <c r="DM385" s="3" t="n">
        <v>0</v>
      </c>
      <c r="DN385" s="3" t="n">
        <v>0</v>
      </c>
      <c r="DO385" s="3" t="n">
        <v>0</v>
      </c>
    </row>
    <row r="386">
      <c r="A386" s="19" t="inlineStr">
        <is>
          <t>mit.ener.oen.gso</t>
        </is>
      </c>
      <c r="B386" s="3" t="inlineStr">
        <is>
          <t>mit</t>
        </is>
      </c>
      <c r="C386" s="19" t="inlineStr">
        <is>
          <t>mit.ener.gso.oen</t>
        </is>
      </c>
      <c r="H386" s="3" t="inlineStr">
        <is>
          <t>Fuel use | Other energy use | Gasoline</t>
        </is>
      </c>
      <c r="I386" s="3" t="inlineStr">
        <is>
          <t>ktoe</t>
        </is>
      </c>
      <c r="K386" s="20" t="inlineStr">
        <is>
          <t>egy.mit.ener.oen.gso.1</t>
        </is>
      </c>
      <c r="L386" s="3" t="n">
        <v>0</v>
      </c>
      <c r="M386" s="3" t="n">
        <v>0</v>
      </c>
      <c r="N386" s="3" t="n">
        <v>0</v>
      </c>
      <c r="O386" s="3" t="n">
        <v>0</v>
      </c>
      <c r="P386" s="3" t="n">
        <v>0</v>
      </c>
      <c r="Q386" s="3" t="n">
        <v>0</v>
      </c>
      <c r="R386" s="3" t="n">
        <v>0</v>
      </c>
      <c r="S386" s="3" t="n">
        <v>0</v>
      </c>
      <c r="T386" s="3" t="n">
        <v>0</v>
      </c>
      <c r="U386" s="3" t="n">
        <v>0</v>
      </c>
      <c r="V386" s="3" t="n">
        <v>0</v>
      </c>
      <c r="W386" s="3" t="n">
        <v>0</v>
      </c>
      <c r="X386" s="3" t="n">
        <v>0</v>
      </c>
      <c r="Y386" s="3" t="n">
        <v>0</v>
      </c>
      <c r="Z386" s="3" t="n">
        <v>0</v>
      </c>
      <c r="AA386" s="3" t="n">
        <v>0</v>
      </c>
      <c r="AB386" s="3" t="n">
        <v>0</v>
      </c>
      <c r="AC386" s="3" t="n">
        <v>0</v>
      </c>
      <c r="AD386" s="3" t="n">
        <v>0</v>
      </c>
      <c r="AE386" s="3" t="n">
        <v>0</v>
      </c>
      <c r="AG386" s="20" t="inlineStr">
        <is>
          <t>egy.mit.ener.oen.gso.3</t>
        </is>
      </c>
      <c r="AH386" s="3" t="n">
        <v>0</v>
      </c>
      <c r="AI386" s="3" t="n">
        <v>0</v>
      </c>
      <c r="AJ386" s="3" t="n">
        <v>0</v>
      </c>
      <c r="AK386" s="3" t="n">
        <v>0</v>
      </c>
      <c r="AL386" s="3" t="n">
        <v>0</v>
      </c>
      <c r="AM386" s="3" t="n">
        <v>0</v>
      </c>
      <c r="AN386" s="3" t="n">
        <v>0</v>
      </c>
      <c r="AO386" s="3" t="n">
        <v>0</v>
      </c>
      <c r="AP386" s="3" t="n">
        <v>0</v>
      </c>
      <c r="AQ386" s="3" t="n">
        <v>0</v>
      </c>
      <c r="AR386" s="3" t="n">
        <v>0</v>
      </c>
      <c r="AS386" s="3" t="n">
        <v>0</v>
      </c>
      <c r="AT386" s="3" t="n">
        <v>0</v>
      </c>
      <c r="AU386" s="3" t="n">
        <v>0</v>
      </c>
      <c r="AV386" s="3" t="n">
        <v>0</v>
      </c>
      <c r="AW386" s="3" t="n">
        <v>0</v>
      </c>
      <c r="AX386" s="3" t="n">
        <v>0</v>
      </c>
      <c r="AY386" s="3" t="n">
        <v>0</v>
      </c>
      <c r="AZ386" s="3" t="n">
        <v>0</v>
      </c>
      <c r="BA386" s="3" t="n">
        <v>0</v>
      </c>
      <c r="BC386" s="20" t="inlineStr">
        <is>
          <t>egy.mit.ener.oen.gso.4</t>
        </is>
      </c>
      <c r="BD386" s="3" t="n">
        <v>0</v>
      </c>
      <c r="BE386" s="3" t="n">
        <v>0</v>
      </c>
      <c r="BF386" s="3" t="n">
        <v>0</v>
      </c>
      <c r="BG386" s="3" t="n">
        <v>0</v>
      </c>
      <c r="BH386" s="3" t="n">
        <v>0</v>
      </c>
      <c r="BI386" s="3" t="n">
        <v>0</v>
      </c>
      <c r="BJ386" s="3" t="n">
        <v>0</v>
      </c>
      <c r="BK386" s="3" t="n">
        <v>0</v>
      </c>
      <c r="BL386" s="3" t="n">
        <v>0</v>
      </c>
      <c r="BM386" s="3" t="n">
        <v>0</v>
      </c>
      <c r="BN386" s="3" t="n">
        <v>0</v>
      </c>
      <c r="BO386" s="3" t="n">
        <v>0</v>
      </c>
      <c r="BP386" s="3" t="n">
        <v>0</v>
      </c>
      <c r="BQ386" s="3" t="n">
        <v>0</v>
      </c>
      <c r="BR386" s="3" t="n">
        <v>0</v>
      </c>
      <c r="BS386" s="3" t="n">
        <v>0</v>
      </c>
      <c r="BT386" s="3" t="n">
        <v>0</v>
      </c>
      <c r="BU386" s="3" t="n">
        <v>0</v>
      </c>
      <c r="BV386" s="3" t="n">
        <v>0</v>
      </c>
      <c r="BW386" s="3" t="n">
        <v>0</v>
      </c>
      <c r="BY386" s="20" t="inlineStr">
        <is>
          <t>egy.mit.ener.oen.gso.5</t>
        </is>
      </c>
      <c r="BZ386" s="3" t="n">
        <v>0</v>
      </c>
      <c r="CA386" s="3" t="n">
        <v>0</v>
      </c>
      <c r="CB386" s="3" t="n">
        <v>0</v>
      </c>
      <c r="CC386" s="3" t="n">
        <v>0</v>
      </c>
      <c r="CD386" s="3" t="n">
        <v>0</v>
      </c>
      <c r="CE386" s="3" t="n">
        <v>0</v>
      </c>
      <c r="CF386" s="3" t="n">
        <v>0</v>
      </c>
      <c r="CG386" s="3" t="n">
        <v>0</v>
      </c>
      <c r="CH386" s="3" t="n">
        <v>0</v>
      </c>
      <c r="CI386" s="3" t="n">
        <v>0</v>
      </c>
      <c r="CJ386" s="3" t="n">
        <v>0</v>
      </c>
      <c r="CK386" s="3" t="n">
        <v>0</v>
      </c>
      <c r="CL386" s="3" t="n">
        <v>0</v>
      </c>
      <c r="CM386" s="3" t="n">
        <v>0</v>
      </c>
      <c r="CN386" s="3" t="n">
        <v>0</v>
      </c>
      <c r="CO386" s="3" t="n">
        <v>0</v>
      </c>
      <c r="CP386" s="3" t="n">
        <v>0</v>
      </c>
      <c r="CQ386" s="3" t="n">
        <v>0</v>
      </c>
      <c r="CR386" s="3" t="n">
        <v>0</v>
      </c>
      <c r="CS386" s="3" t="n">
        <v>0</v>
      </c>
      <c r="CU386" s="20" t="inlineStr">
        <is>
          <t>egy.mit.ener.oen.gso.6</t>
        </is>
      </c>
      <c r="CV386" s="3" t="n">
        <v>0</v>
      </c>
      <c r="CW386" s="3" t="n">
        <v>0</v>
      </c>
      <c r="CX386" s="3" t="n">
        <v>0</v>
      </c>
      <c r="CY386" s="3" t="n">
        <v>0</v>
      </c>
      <c r="CZ386" s="3" t="n">
        <v>0</v>
      </c>
      <c r="DA386" s="3" t="n">
        <v>0</v>
      </c>
      <c r="DB386" s="3" t="n">
        <v>0</v>
      </c>
      <c r="DC386" s="3" t="n">
        <v>0</v>
      </c>
      <c r="DD386" s="3" t="n">
        <v>0</v>
      </c>
      <c r="DE386" s="3" t="n">
        <v>0</v>
      </c>
      <c r="DF386" s="3" t="n">
        <v>0</v>
      </c>
      <c r="DG386" s="3" t="n">
        <v>0</v>
      </c>
      <c r="DH386" s="3" t="n">
        <v>0</v>
      </c>
      <c r="DI386" s="3" t="n">
        <v>0</v>
      </c>
      <c r="DJ386" s="3" t="n">
        <v>0</v>
      </c>
      <c r="DK386" s="3" t="n">
        <v>0</v>
      </c>
      <c r="DL386" s="3" t="n">
        <v>0</v>
      </c>
      <c r="DM386" s="3" t="n">
        <v>0</v>
      </c>
      <c r="DN386" s="3" t="n">
        <v>0</v>
      </c>
      <c r="DO386" s="3" t="n">
        <v>0</v>
      </c>
    </row>
    <row r="387">
      <c r="A387" s="14" t="n"/>
      <c r="B387" s="3" t="inlineStr">
        <is>
          <t>mit</t>
        </is>
      </c>
      <c r="C387" s="19" t="inlineStr">
        <is>
          <t>mit.ener.die.pow</t>
        </is>
      </c>
      <c r="H387" s="14" t="inlineStr">
        <is>
          <t>Diesel consumption: Power sector (baseline)</t>
        </is>
      </c>
      <c r="I387" s="14" t="inlineStr">
        <is>
          <t>ktoe</t>
        </is>
      </c>
    </row>
    <row r="388">
      <c r="A388" s="19" t="inlineStr">
        <is>
          <t>mit.fuq.tra.die</t>
        </is>
      </c>
      <c r="B388" s="3" t="inlineStr">
        <is>
          <t>mit</t>
        </is>
      </c>
      <c r="C388" s="19" t="inlineStr">
        <is>
          <t>mit.ener.die.tra</t>
        </is>
      </c>
      <c r="H388" s="3" t="inlineStr">
        <is>
          <t>Fuel use by sector group (weights of the costs per unit) | Transport | Diesel</t>
        </is>
      </c>
      <c r="I388" s="3" t="inlineStr">
        <is>
          <t>ktoe</t>
        </is>
      </c>
      <c r="K388" s="20" t="inlineStr">
        <is>
          <t>egy.mit.fuq.tra.die.1</t>
        </is>
      </c>
      <c r="L388" s="3" t="n">
        <v>10089.05169337568</v>
      </c>
      <c r="M388" s="3" t="n">
        <v>9806.122633248557</v>
      </c>
      <c r="N388" s="3" t="n">
        <v>11513.82603436346</v>
      </c>
      <c r="O388" s="3" t="n">
        <v>11737.89354968295</v>
      </c>
      <c r="P388" s="3" t="n">
        <v>11952.75677735927</v>
      </c>
      <c r="Q388" s="3" t="n">
        <v>12210.73131502036</v>
      </c>
      <c r="R388" s="3" t="n">
        <v>12521.07160981618</v>
      </c>
      <c r="S388" s="3" t="n">
        <v>12812.53513463861</v>
      </c>
      <c r="T388" s="3" t="n">
        <v>13078.68060832446</v>
      </c>
      <c r="U388" s="3" t="n">
        <v>13344.1614058559</v>
      </c>
      <c r="V388" s="3" t="n">
        <v>13610.06156419485</v>
      </c>
      <c r="W388" s="3" t="n">
        <v>13876.27613355162</v>
      </c>
      <c r="X388" s="3" t="n">
        <v>14142.70114823205</v>
      </c>
      <c r="Y388" s="3" t="n">
        <v>14409.23359410269</v>
      </c>
      <c r="Z388" s="3" t="n">
        <v>14675.77136591747</v>
      </c>
      <c r="AA388" s="3" t="n">
        <v>14942.21321502443</v>
      </c>
      <c r="AB388" s="3" t="n">
        <v>15208.45868795598</v>
      </c>
      <c r="AC388" s="3" t="n">
        <v>15474.40805638995</v>
      </c>
      <c r="AD388" s="3" t="n">
        <v>15739.96223894924</v>
      </c>
      <c r="AE388" s="3" t="n">
        <v>16005.02271528944</v>
      </c>
      <c r="AG388" s="20" t="inlineStr">
        <is>
          <t>egy.mit.fuq.tra.die.3</t>
        </is>
      </c>
      <c r="AH388" s="3" t="n">
        <v>10089.05169337568</v>
      </c>
      <c r="AI388" s="3" t="n">
        <v>9806.122633248557</v>
      </c>
      <c r="AJ388" s="3" t="n">
        <v>11513.82603436346</v>
      </c>
      <c r="AK388" s="3" t="n">
        <v>11737.89354968295</v>
      </c>
      <c r="AL388" s="3" t="n">
        <v>11952.75677735927</v>
      </c>
      <c r="AM388" s="3" t="n">
        <v>11095.80041521342</v>
      </c>
      <c r="AN388" s="3" t="n">
        <v>11377.80303014417</v>
      </c>
      <c r="AO388" s="3" t="n">
        <v>11646.71082267515</v>
      </c>
      <c r="AP388" s="3" t="n">
        <v>11879.33831289358</v>
      </c>
      <c r="AQ388" s="3" t="n">
        <v>12122.10438181974</v>
      </c>
      <c r="AR388" s="3" t="n">
        <v>12359.81506410006</v>
      </c>
      <c r="AS388" s="3" t="n">
        <v>12606.70039606767</v>
      </c>
      <c r="AT388" s="3" t="n">
        <v>12858.13173464981</v>
      </c>
      <c r="AU388" s="3" t="n">
        <v>13107.72799772245</v>
      </c>
      <c r="AV388" s="3" t="n">
        <v>13359.27567159773</v>
      </c>
      <c r="AW388" s="3" t="n">
        <v>13615.1995672501</v>
      </c>
      <c r="AX388" s="3" t="n">
        <v>13867.01676237283</v>
      </c>
      <c r="AY388" s="3" t="n">
        <v>14116.46067539037</v>
      </c>
      <c r="AZ388" s="3" t="n">
        <v>14360.45932339392</v>
      </c>
      <c r="BA388" s="3" t="n">
        <v>14602.55334596094</v>
      </c>
      <c r="BC388" s="20" t="inlineStr">
        <is>
          <t>egy.mit.fuq.tra.die.4</t>
        </is>
      </c>
      <c r="BD388" s="3" t="n">
        <v>10089.05169337568</v>
      </c>
      <c r="BE388" s="3" t="n">
        <v>9806.122633248557</v>
      </c>
      <c r="BF388" s="3" t="n">
        <v>11513.82603436346</v>
      </c>
      <c r="BG388" s="3" t="n">
        <v>11737.89354968295</v>
      </c>
      <c r="BH388" s="3" t="n">
        <v>11952.75677735927</v>
      </c>
      <c r="BI388" s="3" t="n">
        <v>11397.66228890028</v>
      </c>
      <c r="BJ388" s="3" t="n">
        <v>10805.49759761708</v>
      </c>
      <c r="BK388" s="3" t="n">
        <v>10338.84648040996</v>
      </c>
      <c r="BL388" s="3" t="n">
        <v>9945.300129773514</v>
      </c>
      <c r="BM388" s="3" t="n">
        <v>9748.841412151423</v>
      </c>
      <c r="BN388" s="3" t="n">
        <v>9579.343040189256</v>
      </c>
      <c r="BO388" s="3" t="n">
        <v>9435.967298426691</v>
      </c>
      <c r="BP388" s="3" t="n">
        <v>9316.541665587763</v>
      </c>
      <c r="BQ388" s="3" t="n">
        <v>9216.189405006406</v>
      </c>
      <c r="BR388" s="3" t="n">
        <v>9132.119019005348</v>
      </c>
      <c r="BS388" s="3" t="n">
        <v>9063.322700969031</v>
      </c>
      <c r="BT388" s="3" t="n">
        <v>9006.323504138132</v>
      </c>
      <c r="BU388" s="3" t="n">
        <v>8958.645950588925</v>
      </c>
      <c r="BV388" s="3" t="n">
        <v>8916.804789269163</v>
      </c>
      <c r="BW388" s="3" t="n">
        <v>8879.409160738254</v>
      </c>
      <c r="BY388" s="20" t="inlineStr">
        <is>
          <t>egy.mit.fuq.tra.die.5</t>
        </is>
      </c>
      <c r="BZ388" s="3" t="n">
        <v>10089.05169337568</v>
      </c>
      <c r="CA388" s="3" t="n">
        <v>9806.122633248557</v>
      </c>
      <c r="CB388" s="3" t="n">
        <v>11513.82603436346</v>
      </c>
      <c r="CC388" s="3" t="n">
        <v>11737.89354968295</v>
      </c>
      <c r="CD388" s="3" t="n">
        <v>11952.75677735927</v>
      </c>
      <c r="CE388" s="3" t="n">
        <v>10861.19689144619</v>
      </c>
      <c r="CF388" s="3" t="n">
        <v>11137.2311312884</v>
      </c>
      <c r="CG388" s="3" t="n">
        <v>11399.86410755654</v>
      </c>
      <c r="CH388" s="3" t="n">
        <v>11628.12165244878</v>
      </c>
      <c r="CI388" s="3" t="n">
        <v>11867.57330659369</v>
      </c>
      <c r="CJ388" s="3" t="n">
        <v>12099.8249385001</v>
      </c>
      <c r="CK388" s="3" t="n">
        <v>12342.13644532272</v>
      </c>
      <c r="CL388" s="3" t="n">
        <v>12585.18515443193</v>
      </c>
      <c r="CM388" s="3" t="n">
        <v>12827.07222022726</v>
      </c>
      <c r="CN388" s="3" t="n">
        <v>13070.76813191686</v>
      </c>
      <c r="CO388" s="3" t="n">
        <v>13317.64854172809</v>
      </c>
      <c r="CP388" s="3" t="n">
        <v>13560.78417185893</v>
      </c>
      <c r="CQ388" s="3" t="n">
        <v>13802.92625290331</v>
      </c>
      <c r="CR388" s="3" t="n">
        <v>14040.78866246731</v>
      </c>
      <c r="CS388" s="3" t="n">
        <v>14278.70300670858</v>
      </c>
      <c r="CU388" s="20" t="inlineStr">
        <is>
          <t>egy.mit.fuq.tra.die.6</t>
        </is>
      </c>
      <c r="CV388" s="3" t="n">
        <v>10089.05169337568</v>
      </c>
      <c r="CW388" s="3" t="n">
        <v>9806.122633248557</v>
      </c>
      <c r="CX388" s="3" t="n">
        <v>11513.82603436346</v>
      </c>
      <c r="CY388" s="3" t="n">
        <v>11737.89354968295</v>
      </c>
      <c r="CZ388" s="3" t="n">
        <v>11952.75677735927</v>
      </c>
      <c r="DA388" s="3" t="n">
        <v>9875.075019259722</v>
      </c>
      <c r="DB388" s="3" t="n">
        <v>10126.05111264878</v>
      </c>
      <c r="DC388" s="3" t="n">
        <v>10369.49365711401</v>
      </c>
      <c r="DD388" s="3" t="n">
        <v>10566.88631983608</v>
      </c>
      <c r="DE388" s="3" t="n">
        <v>10785.31752173644</v>
      </c>
      <c r="DF388" s="3" t="n">
        <v>10992.30304540248</v>
      </c>
      <c r="DG388" s="3" t="n">
        <v>11217.66557045175</v>
      </c>
      <c r="DH388" s="3" t="n">
        <v>11450.18974152401</v>
      </c>
      <c r="DI388" s="3" t="n">
        <v>11679.5891082353</v>
      </c>
      <c r="DJ388" s="3" t="n">
        <v>11912.5370838774</v>
      </c>
      <c r="DK388" s="3" t="n">
        <v>12153.90478996298</v>
      </c>
      <c r="DL388" s="3" t="n">
        <v>12387.42251333361</v>
      </c>
      <c r="DM388" s="3" t="n">
        <v>12617.20272180229</v>
      </c>
      <c r="DN388" s="3" t="n">
        <v>12837.07363192263</v>
      </c>
      <c r="DO388" s="3" t="n">
        <v>13054.13630120018</v>
      </c>
    </row>
    <row r="389">
      <c r="A389" s="19" t="inlineStr">
        <is>
          <t>mit.fuq.bld.die</t>
        </is>
      </c>
      <c r="B389" s="3" t="inlineStr">
        <is>
          <t>mit</t>
        </is>
      </c>
      <c r="C389" s="19" t="inlineStr">
        <is>
          <t>mit.ener.die.res</t>
        </is>
      </c>
      <c r="H389" s="3" t="inlineStr">
        <is>
          <t>Fuel use by sector group (weights of the costs per unit) | Buildings | Diesel</t>
        </is>
      </c>
      <c r="I389" s="3" t="inlineStr">
        <is>
          <t>ktoe</t>
        </is>
      </c>
      <c r="K389" s="20" t="inlineStr">
        <is>
          <t>egy.mit.fuq.bld.die.1</t>
        </is>
      </c>
      <c r="L389" s="3" t="n">
        <v>874.1246972853596</v>
      </c>
      <c r="M389" s="3" t="n">
        <v>1043.59285685189</v>
      </c>
      <c r="N389" s="3" t="n">
        <v>1317.809745538995</v>
      </c>
      <c r="O389" s="3" t="n">
        <v>1344.928253863532</v>
      </c>
      <c r="P389" s="3" t="n">
        <v>1371.308063685438</v>
      </c>
      <c r="Q389" s="3" t="n">
        <v>1401.954783148595</v>
      </c>
      <c r="R389" s="3" t="n">
        <v>1437.76589103032</v>
      </c>
      <c r="S389" s="3" t="n">
        <v>1471.929923008747</v>
      </c>
      <c r="T389" s="3" t="n">
        <v>1503.830323220541</v>
      </c>
      <c r="U389" s="3" t="n">
        <v>1535.82811695519</v>
      </c>
      <c r="V389" s="3" t="n">
        <v>1568.029635045657</v>
      </c>
      <c r="W389" s="3" t="n">
        <v>1600.427305617465</v>
      </c>
      <c r="X389" s="3" t="n">
        <v>1633.013572315762</v>
      </c>
      <c r="Y389" s="3" t="n">
        <v>1665.780888541558</v>
      </c>
      <c r="Z389" s="3" t="n">
        <v>1698.721710819342</v>
      </c>
      <c r="AA389" s="3" t="n">
        <v>1731.828491325738</v>
      </c>
      <c r="AB389" s="3" t="n">
        <v>1765.09366960695</v>
      </c>
      <c r="AC389" s="3" t="n">
        <v>1798.509663510865</v>
      </c>
      <c r="AD389" s="3" t="n">
        <v>1832.068859357622</v>
      </c>
      <c r="AE389" s="3" t="n">
        <v>1865.763601370438</v>
      </c>
      <c r="AG389" s="20" t="inlineStr">
        <is>
          <t>egy.mit.fuq.bld.die.3</t>
        </is>
      </c>
      <c r="AH389" s="3" t="n">
        <v>874.1246972853596</v>
      </c>
      <c r="AI389" s="3" t="n">
        <v>1043.59285685189</v>
      </c>
      <c r="AJ389" s="3" t="n">
        <v>1317.809745538995</v>
      </c>
      <c r="AK389" s="3" t="n">
        <v>1344.928253863532</v>
      </c>
      <c r="AL389" s="3" t="n">
        <v>1371.308063685438</v>
      </c>
      <c r="AM389" s="3" t="n">
        <v>1141.384875662678</v>
      </c>
      <c r="AN389" s="3" t="n">
        <v>1170.539953828127</v>
      </c>
      <c r="AO389" s="3" t="n">
        <v>1198.70217305932</v>
      </c>
      <c r="AP389" s="3" t="n">
        <v>1223.882544599279</v>
      </c>
      <c r="AQ389" s="3" t="n">
        <v>1250.063853424922</v>
      </c>
      <c r="AR389" s="3" t="n">
        <v>1275.943590434473</v>
      </c>
      <c r="AS389" s="3" t="n">
        <v>1302.747774996504</v>
      </c>
      <c r="AT389" s="3" t="n">
        <v>1330.081814317028</v>
      </c>
      <c r="AU389" s="3" t="n">
        <v>1357.398286165698</v>
      </c>
      <c r="AV389" s="3" t="n">
        <v>1385.025773943676</v>
      </c>
      <c r="AW389" s="3" t="n">
        <v>1413.176546841614</v>
      </c>
      <c r="AX389" s="3" t="n">
        <v>1441.119279611408</v>
      </c>
      <c r="AY389" s="3" t="n">
        <v>1469.004849818714</v>
      </c>
      <c r="AZ389" s="3" t="n">
        <v>1496.567476449816</v>
      </c>
      <c r="BA389" s="3" t="n">
        <v>1524.11479049803</v>
      </c>
      <c r="BC389" s="20" t="inlineStr">
        <is>
          <t>egy.mit.fuq.bld.die.4</t>
        </is>
      </c>
      <c r="BD389" s="3" t="n">
        <v>874.1246972853596</v>
      </c>
      <c r="BE389" s="3" t="n">
        <v>1043.59285685189</v>
      </c>
      <c r="BF389" s="3" t="n">
        <v>1317.809745538995</v>
      </c>
      <c r="BG389" s="3" t="n">
        <v>1344.928253863532</v>
      </c>
      <c r="BH389" s="3" t="n">
        <v>1371.308063685438</v>
      </c>
      <c r="BI389" s="3" t="n">
        <v>1258.696618650623</v>
      </c>
      <c r="BJ389" s="3" t="n">
        <v>1135.147081673367</v>
      </c>
      <c r="BK389" s="3" t="n">
        <v>1036.436524730439</v>
      </c>
      <c r="BL389" s="3" t="n">
        <v>954.6606162073123</v>
      </c>
      <c r="BM389" s="3" t="n">
        <v>887.1441812415927</v>
      </c>
      <c r="BN389" s="3" t="n">
        <v>830.4120275818699</v>
      </c>
      <c r="BO389" s="3" t="n">
        <v>782.3599631572046</v>
      </c>
      <c r="BP389" s="3" t="n">
        <v>741.3290412331601</v>
      </c>
      <c r="BQ389" s="3" t="n">
        <v>705.8714747594473</v>
      </c>
      <c r="BR389" s="3" t="n">
        <v>674.9662202256002</v>
      </c>
      <c r="BS389" s="3" t="n">
        <v>647.9005833211318</v>
      </c>
      <c r="BT389" s="3" t="n">
        <v>623.9572113865099</v>
      </c>
      <c r="BU389" s="3" t="n">
        <v>602.5960956427574</v>
      </c>
      <c r="BV389" s="3" t="n">
        <v>583.3098528709778</v>
      </c>
      <c r="BW389" s="3" t="n">
        <v>565.776760904631</v>
      </c>
      <c r="BY389" s="20" t="inlineStr">
        <is>
          <t>egy.mit.fuq.bld.die.5</t>
        </is>
      </c>
      <c r="BZ389" s="3" t="n">
        <v>874.1246972853596</v>
      </c>
      <c r="CA389" s="3" t="n">
        <v>1043.59285685189</v>
      </c>
      <c r="CB389" s="3" t="n">
        <v>1317.809745538995</v>
      </c>
      <c r="CC389" s="3" t="n">
        <v>1344.928253863532</v>
      </c>
      <c r="CD389" s="3" t="n">
        <v>1371.308063685438</v>
      </c>
      <c r="CE389" s="3" t="n">
        <v>1090.3682432037</v>
      </c>
      <c r="CF389" s="3" t="n">
        <v>1118.219682106178</v>
      </c>
      <c r="CG389" s="3" t="n">
        <v>1145.073813652326</v>
      </c>
      <c r="CH389" s="3" t="n">
        <v>1169.174611562196</v>
      </c>
      <c r="CI389" s="3" t="n">
        <v>1194.338198752623</v>
      </c>
      <c r="CJ389" s="3" t="n">
        <v>1219.024989986674</v>
      </c>
      <c r="CK389" s="3" t="n">
        <v>1244.685523857351</v>
      </c>
      <c r="CL389" s="3" t="n">
        <v>1270.54000209258</v>
      </c>
      <c r="CM389" s="3" t="n">
        <v>1296.43058467142</v>
      </c>
      <c r="CN389" s="3" t="n">
        <v>1322.609262471215</v>
      </c>
      <c r="CO389" s="3" t="n">
        <v>1349.194540317918</v>
      </c>
      <c r="CP389" s="3" t="n">
        <v>1375.603493193888</v>
      </c>
      <c r="CQ389" s="3" t="n">
        <v>1402.069544960669</v>
      </c>
      <c r="CR389" s="3" t="n">
        <v>1428.315506593428</v>
      </c>
      <c r="CS389" s="3" t="n">
        <v>1454.709189452144</v>
      </c>
      <c r="CU389" s="20" t="inlineStr">
        <is>
          <t>egy.mit.fuq.bld.die.6</t>
        </is>
      </c>
      <c r="CV389" s="3" t="n">
        <v>874.1246972853596</v>
      </c>
      <c r="CW389" s="3" t="n">
        <v>1043.59285685189</v>
      </c>
      <c r="CX389" s="3" t="n">
        <v>1317.809745538995</v>
      </c>
      <c r="CY389" s="3" t="n">
        <v>1344.928253863532</v>
      </c>
      <c r="CZ389" s="3" t="n">
        <v>1371.308063685438</v>
      </c>
      <c r="DA389" s="3" t="n">
        <v>890.019752580881</v>
      </c>
      <c r="DB389" s="3" t="n">
        <v>912.7539501117418</v>
      </c>
      <c r="DC389" s="3" t="n">
        <v>935.0235868944035</v>
      </c>
      <c r="DD389" s="3" t="n">
        <v>953.9335431854785</v>
      </c>
      <c r="DE389" s="3" t="n">
        <v>974.5273224058357</v>
      </c>
      <c r="DF389" s="3" t="n">
        <v>994.3626442317338</v>
      </c>
      <c r="DG389" s="3" t="n">
        <v>1015.688681763597</v>
      </c>
      <c r="DH389" s="3" t="n">
        <v>1037.664020311692</v>
      </c>
      <c r="DI389" s="3" t="n">
        <v>1059.514265991236</v>
      </c>
      <c r="DJ389" s="3" t="n">
        <v>1081.745363786948</v>
      </c>
      <c r="DK389" s="3" t="n">
        <v>1104.728764872349</v>
      </c>
      <c r="DL389" s="3" t="n">
        <v>1127.234431708694</v>
      </c>
      <c r="DM389" s="3" t="n">
        <v>1149.57418823978</v>
      </c>
      <c r="DN389" s="3" t="n">
        <v>1171.279240867943</v>
      </c>
      <c r="DO389" s="3" t="n">
        <v>1192.888507575512</v>
      </c>
    </row>
    <row r="390">
      <c r="A390" s="19" t="inlineStr">
        <is>
          <t>mit.fuq.ind.die</t>
        </is>
      </c>
      <c r="B390" s="3" t="inlineStr">
        <is>
          <t>mit</t>
        </is>
      </c>
      <c r="C390" s="19" t="inlineStr">
        <is>
          <t>mit.ener.die.ind</t>
        </is>
      </c>
      <c r="H390" s="3" t="inlineStr">
        <is>
          <t>Fuel use by sector group (weights of the costs per unit) | Industry | Diesel</t>
        </is>
      </c>
      <c r="I390" s="3" t="inlineStr">
        <is>
          <t>ktoe</t>
        </is>
      </c>
      <c r="K390" s="20" t="inlineStr">
        <is>
          <t>egy.mit.fuq.ind.die.1</t>
        </is>
      </c>
      <c r="L390" s="3" t="n">
        <v>4404.165933990858</v>
      </c>
      <c r="M390" s="3" t="n">
        <v>5258.009667701759</v>
      </c>
      <c r="N390" s="3" t="n">
        <v>6639.616529321474</v>
      </c>
      <c r="O390" s="3" t="n">
        <v>6776.249678933289</v>
      </c>
      <c r="P390" s="3" t="n">
        <v>6909.160990241166</v>
      </c>
      <c r="Q390" s="3" t="n">
        <v>7063.570582222008</v>
      </c>
      <c r="R390" s="3" t="n">
        <v>7244.000287367012</v>
      </c>
      <c r="S390" s="3" t="n">
        <v>7416.131410391492</v>
      </c>
      <c r="T390" s="3" t="n">
        <v>7576.857513120055</v>
      </c>
      <c r="U390" s="3" t="n">
        <v>7738.074320706719</v>
      </c>
      <c r="V390" s="3" t="n">
        <v>7900.317567508068</v>
      </c>
      <c r="W390" s="3" t="n">
        <v>8063.549103599119</v>
      </c>
      <c r="X390" s="3" t="n">
        <v>8227.730857248547</v>
      </c>
      <c r="Y390" s="3" t="n">
        <v>8392.824805878676</v>
      </c>
      <c r="Z390" s="3" t="n">
        <v>8558.792942649101</v>
      </c>
      <c r="AA390" s="3" t="n">
        <v>8725.597238813247</v>
      </c>
      <c r="AB390" s="3" t="n">
        <v>8893.199601987775</v>
      </c>
      <c r="AC390" s="3" t="n">
        <v>9061.561830465145</v>
      </c>
      <c r="AD390" s="3" t="n">
        <v>9230.64556368927</v>
      </c>
      <c r="AE390" s="3" t="n">
        <v>9400.412229004083</v>
      </c>
      <c r="AG390" s="20" t="inlineStr">
        <is>
          <t>egy.mit.fuq.ind.die.3</t>
        </is>
      </c>
      <c r="AH390" s="3" t="n">
        <v>4404.165933990858</v>
      </c>
      <c r="AI390" s="3" t="n">
        <v>5258.009667701759</v>
      </c>
      <c r="AJ390" s="3" t="n">
        <v>6639.616529321474</v>
      </c>
      <c r="AK390" s="3" t="n">
        <v>6776.249678933289</v>
      </c>
      <c r="AL390" s="3" t="n">
        <v>6909.160990241166</v>
      </c>
      <c r="AM390" s="3" t="n">
        <v>5773.581681224299</v>
      </c>
      <c r="AN390" s="3" t="n">
        <v>5921.059739502378</v>
      </c>
      <c r="AO390" s="3" t="n">
        <v>6063.515519776705</v>
      </c>
      <c r="AP390" s="3" t="n">
        <v>6190.887920576321</v>
      </c>
      <c r="AQ390" s="3" t="n">
        <v>6323.323462915573</v>
      </c>
      <c r="AR390" s="3" t="n">
        <v>6454.233534267705</v>
      </c>
      <c r="AS390" s="3" t="n">
        <v>6589.819831464476</v>
      </c>
      <c r="AT390" s="3" t="n">
        <v>6728.086346169444</v>
      </c>
      <c r="AU390" s="3" t="n">
        <v>6866.263997568227</v>
      </c>
      <c r="AV390" s="3" t="n">
        <v>7006.014892059951</v>
      </c>
      <c r="AW390" s="3" t="n">
        <v>7148.412772197862</v>
      </c>
      <c r="AX390" s="3" t="n">
        <v>7289.758302073895</v>
      </c>
      <c r="AY390" s="3" t="n">
        <v>7430.814680822493</v>
      </c>
      <c r="AZ390" s="3" t="n">
        <v>7570.237481664636</v>
      </c>
      <c r="BA390" s="3" t="n">
        <v>7709.582825331789</v>
      </c>
      <c r="BC390" s="20" t="inlineStr">
        <is>
          <t>egy.mit.fuq.ind.die.4</t>
        </is>
      </c>
      <c r="BD390" s="3" t="n">
        <v>4404.165933990858</v>
      </c>
      <c r="BE390" s="3" t="n">
        <v>5258.009667701759</v>
      </c>
      <c r="BF390" s="3" t="n">
        <v>6639.616529321474</v>
      </c>
      <c r="BG390" s="3" t="n">
        <v>6776.249678933289</v>
      </c>
      <c r="BH390" s="3" t="n">
        <v>6909.160990241166</v>
      </c>
      <c r="BI390" s="3" t="n">
        <v>6250.461731811603</v>
      </c>
      <c r="BJ390" s="3" t="n">
        <v>5554.527940533513</v>
      </c>
      <c r="BK390" s="3" t="n">
        <v>5015.023412776216</v>
      </c>
      <c r="BL390" s="3" t="n">
        <v>4578.815636015985</v>
      </c>
      <c r="BM390" s="3" t="n">
        <v>4279.378545323379</v>
      </c>
      <c r="BN390" s="3" t="n">
        <v>4025.28183973029</v>
      </c>
      <c r="BO390" s="3" t="n">
        <v>3808.332521417834</v>
      </c>
      <c r="BP390" s="3" t="n">
        <v>3621.849071943143</v>
      </c>
      <c r="BQ390" s="3" t="n">
        <v>3459.744914659349</v>
      </c>
      <c r="BR390" s="3" t="n">
        <v>3317.725344350112</v>
      </c>
      <c r="BS390" s="3" t="n">
        <v>3192.811408312702</v>
      </c>
      <c r="BT390" s="3" t="n">
        <v>3081.862289128818</v>
      </c>
      <c r="BU390" s="3" t="n">
        <v>2982.508961693473</v>
      </c>
      <c r="BV390" s="3" t="n">
        <v>2892.468901840407</v>
      </c>
      <c r="BW390" s="3" t="n">
        <v>2810.323996835282</v>
      </c>
      <c r="BY390" s="20" t="inlineStr">
        <is>
          <t>egy.mit.fuq.ind.die.5</t>
        </is>
      </c>
      <c r="BZ390" s="3" t="n">
        <v>4404.165933990858</v>
      </c>
      <c r="CA390" s="3" t="n">
        <v>5258.009667701759</v>
      </c>
      <c r="CB390" s="3" t="n">
        <v>6639.616529321474</v>
      </c>
      <c r="CC390" s="3" t="n">
        <v>6776.249678933289</v>
      </c>
      <c r="CD390" s="3" t="n">
        <v>6909.160990241166</v>
      </c>
      <c r="CE390" s="3" t="n">
        <v>5519.845947321181</v>
      </c>
      <c r="CF390" s="3" t="n">
        <v>5660.840196842977</v>
      </c>
      <c r="CG390" s="3" t="n">
        <v>5796.78570892824</v>
      </c>
      <c r="CH390" s="3" t="n">
        <v>5918.792831291901</v>
      </c>
      <c r="CI390" s="3" t="n">
        <v>6046.180184728601</v>
      </c>
      <c r="CJ390" s="3" t="n">
        <v>6171.153821291293</v>
      </c>
      <c r="CK390" s="3" t="n">
        <v>6301.056901993627</v>
      </c>
      <c r="CL390" s="3" t="n">
        <v>6431.941800555527</v>
      </c>
      <c r="CM390" s="3" t="n">
        <v>6563.009472612533</v>
      </c>
      <c r="CN390" s="3" t="n">
        <v>6695.535588867395</v>
      </c>
      <c r="CO390" s="3" t="n">
        <v>6830.120064428939</v>
      </c>
      <c r="CP390" s="3" t="n">
        <v>6963.811917996784</v>
      </c>
      <c r="CQ390" s="3" t="n">
        <v>7097.792827196071</v>
      </c>
      <c r="CR390" s="3" t="n">
        <v>7230.659559013629</v>
      </c>
      <c r="CS390" s="3" t="n">
        <v>7364.274110125741</v>
      </c>
      <c r="CU390" s="20" t="inlineStr">
        <is>
          <t>egy.mit.fuq.ind.die.6</t>
        </is>
      </c>
      <c r="CV390" s="3" t="n">
        <v>4404.165933990858</v>
      </c>
      <c r="CW390" s="3" t="n">
        <v>5258.009667701759</v>
      </c>
      <c r="CX390" s="3" t="n">
        <v>6639.616529321474</v>
      </c>
      <c r="CY390" s="3" t="n">
        <v>6776.249678933289</v>
      </c>
      <c r="CZ390" s="3" t="n">
        <v>6909.160990241166</v>
      </c>
      <c r="DA390" s="3" t="n">
        <v>4519.626155066695</v>
      </c>
      <c r="DB390" s="3" t="n">
        <v>4635.073113942581</v>
      </c>
      <c r="DC390" s="3" t="n">
        <v>4748.160978088164</v>
      </c>
      <c r="DD390" s="3" t="n">
        <v>4844.187985125342</v>
      </c>
      <c r="DE390" s="3" t="n">
        <v>4948.765645257146</v>
      </c>
      <c r="DF390" s="3" t="n">
        <v>5049.491768535347</v>
      </c>
      <c r="DG390" s="3" t="n">
        <v>5157.787923461622</v>
      </c>
      <c r="DH390" s="3" t="n">
        <v>5269.381306170721</v>
      </c>
      <c r="DI390" s="3" t="n">
        <v>5380.339452415827</v>
      </c>
      <c r="DJ390" s="3" t="n">
        <v>5493.231611002174</v>
      </c>
      <c r="DK390" s="3" t="n">
        <v>5609.944055166188</v>
      </c>
      <c r="DL390" s="3" t="n">
        <v>5724.230507995808</v>
      </c>
      <c r="DM390" s="3" t="n">
        <v>5837.674448563343</v>
      </c>
      <c r="DN390" s="3" t="n">
        <v>5947.895287225494</v>
      </c>
      <c r="DO390" s="3" t="n">
        <v>6057.629713590894</v>
      </c>
    </row>
    <row r="391">
      <c r="A391" s="19" t="inlineStr">
        <is>
          <t>mit.ener.oen.die</t>
        </is>
      </c>
      <c r="B391" s="3" t="inlineStr">
        <is>
          <t>mit</t>
        </is>
      </c>
      <c r="C391" s="19" t="inlineStr">
        <is>
          <t>mit.ener.die.oen</t>
        </is>
      </c>
      <c r="H391" s="3" t="inlineStr">
        <is>
          <t>Fuel use | Other energy use | Diesel</t>
        </is>
      </c>
      <c r="I391" s="3" t="inlineStr">
        <is>
          <t>ktoe</t>
        </is>
      </c>
      <c r="K391" s="20" t="inlineStr">
        <is>
          <t>egy.mit.ener.oen.die.1</t>
        </is>
      </c>
      <c r="L391" s="3" t="n">
        <v>0</v>
      </c>
      <c r="M391" s="3" t="n">
        <v>0</v>
      </c>
      <c r="N391" s="3" t="n">
        <v>0</v>
      </c>
      <c r="O391" s="3" t="n">
        <v>0</v>
      </c>
      <c r="P391" s="3" t="n">
        <v>0</v>
      </c>
      <c r="Q391" s="3" t="n">
        <v>0</v>
      </c>
      <c r="R391" s="3" t="n">
        <v>0</v>
      </c>
      <c r="S391" s="3" t="n">
        <v>0</v>
      </c>
      <c r="T391" s="3" t="n">
        <v>0</v>
      </c>
      <c r="U391" s="3" t="n">
        <v>0</v>
      </c>
      <c r="V391" s="3" t="n">
        <v>0</v>
      </c>
      <c r="W391" s="3" t="n">
        <v>0</v>
      </c>
      <c r="X391" s="3" t="n">
        <v>0</v>
      </c>
      <c r="Y391" s="3" t="n">
        <v>0</v>
      </c>
      <c r="Z391" s="3" t="n">
        <v>0</v>
      </c>
      <c r="AA391" s="3" t="n">
        <v>0</v>
      </c>
      <c r="AB391" s="3" t="n">
        <v>0</v>
      </c>
      <c r="AC391" s="3" t="n">
        <v>0</v>
      </c>
      <c r="AD391" s="3" t="n">
        <v>0</v>
      </c>
      <c r="AE391" s="3" t="n">
        <v>0</v>
      </c>
      <c r="AG391" s="20" t="inlineStr">
        <is>
          <t>egy.mit.ener.oen.die.3</t>
        </is>
      </c>
      <c r="AH391" s="3" t="n">
        <v>0</v>
      </c>
      <c r="AI391" s="3" t="n">
        <v>0</v>
      </c>
      <c r="AJ391" s="3" t="n">
        <v>0</v>
      </c>
      <c r="AK391" s="3" t="n">
        <v>0</v>
      </c>
      <c r="AL391" s="3" t="n">
        <v>0</v>
      </c>
      <c r="AM391" s="3" t="n">
        <v>0</v>
      </c>
      <c r="AN391" s="3" t="n">
        <v>0</v>
      </c>
      <c r="AO391" s="3" t="n">
        <v>0</v>
      </c>
      <c r="AP391" s="3" t="n">
        <v>0</v>
      </c>
      <c r="AQ391" s="3" t="n">
        <v>0</v>
      </c>
      <c r="AR391" s="3" t="n">
        <v>0</v>
      </c>
      <c r="AS391" s="3" t="n">
        <v>0</v>
      </c>
      <c r="AT391" s="3" t="n">
        <v>0</v>
      </c>
      <c r="AU391" s="3" t="n">
        <v>0</v>
      </c>
      <c r="AV391" s="3" t="n">
        <v>0</v>
      </c>
      <c r="AW391" s="3" t="n">
        <v>0</v>
      </c>
      <c r="AX391" s="3" t="n">
        <v>0</v>
      </c>
      <c r="AY391" s="3" t="n">
        <v>0</v>
      </c>
      <c r="AZ391" s="3" t="n">
        <v>0</v>
      </c>
      <c r="BA391" s="3" t="n">
        <v>0</v>
      </c>
      <c r="BC391" s="20" t="inlineStr">
        <is>
          <t>egy.mit.ener.oen.die.4</t>
        </is>
      </c>
      <c r="BD391" s="3" t="n">
        <v>0</v>
      </c>
      <c r="BE391" s="3" t="n">
        <v>0</v>
      </c>
      <c r="BF391" s="3" t="n">
        <v>0</v>
      </c>
      <c r="BG391" s="3" t="n">
        <v>0</v>
      </c>
      <c r="BH391" s="3" t="n">
        <v>0</v>
      </c>
      <c r="BI391" s="3" t="n">
        <v>0</v>
      </c>
      <c r="BJ391" s="3" t="n">
        <v>0</v>
      </c>
      <c r="BK391" s="3" t="n">
        <v>0</v>
      </c>
      <c r="BL391" s="3" t="n">
        <v>0</v>
      </c>
      <c r="BM391" s="3" t="n">
        <v>0</v>
      </c>
      <c r="BN391" s="3" t="n">
        <v>0</v>
      </c>
      <c r="BO391" s="3" t="n">
        <v>0</v>
      </c>
      <c r="BP391" s="3" t="n">
        <v>0</v>
      </c>
      <c r="BQ391" s="3" t="n">
        <v>0</v>
      </c>
      <c r="BR391" s="3" t="n">
        <v>0</v>
      </c>
      <c r="BS391" s="3" t="n">
        <v>0</v>
      </c>
      <c r="BT391" s="3" t="n">
        <v>0</v>
      </c>
      <c r="BU391" s="3" t="n">
        <v>0</v>
      </c>
      <c r="BV391" s="3" t="n">
        <v>0</v>
      </c>
      <c r="BW391" s="3" t="n">
        <v>0</v>
      </c>
      <c r="BY391" s="20" t="inlineStr">
        <is>
          <t>egy.mit.ener.oen.die.5</t>
        </is>
      </c>
      <c r="BZ391" s="3" t="n">
        <v>0</v>
      </c>
      <c r="CA391" s="3" t="n">
        <v>0</v>
      </c>
      <c r="CB391" s="3" t="n">
        <v>0</v>
      </c>
      <c r="CC391" s="3" t="n">
        <v>0</v>
      </c>
      <c r="CD391" s="3" t="n">
        <v>0</v>
      </c>
      <c r="CE391" s="3" t="n">
        <v>0</v>
      </c>
      <c r="CF391" s="3" t="n">
        <v>0</v>
      </c>
      <c r="CG391" s="3" t="n">
        <v>0</v>
      </c>
      <c r="CH391" s="3" t="n">
        <v>0</v>
      </c>
      <c r="CI391" s="3" t="n">
        <v>0</v>
      </c>
      <c r="CJ391" s="3" t="n">
        <v>0</v>
      </c>
      <c r="CK391" s="3" t="n">
        <v>0</v>
      </c>
      <c r="CL391" s="3" t="n">
        <v>0</v>
      </c>
      <c r="CM391" s="3" t="n">
        <v>0</v>
      </c>
      <c r="CN391" s="3" t="n">
        <v>0</v>
      </c>
      <c r="CO391" s="3" t="n">
        <v>0</v>
      </c>
      <c r="CP391" s="3" t="n">
        <v>0</v>
      </c>
      <c r="CQ391" s="3" t="n">
        <v>0</v>
      </c>
      <c r="CR391" s="3" t="n">
        <v>0</v>
      </c>
      <c r="CS391" s="3" t="n">
        <v>0</v>
      </c>
      <c r="CU391" s="20" t="inlineStr">
        <is>
          <t>egy.mit.ener.oen.die.6</t>
        </is>
      </c>
      <c r="CV391" s="3" t="n">
        <v>0</v>
      </c>
      <c r="CW391" s="3" t="n">
        <v>0</v>
      </c>
      <c r="CX391" s="3" t="n">
        <v>0</v>
      </c>
      <c r="CY391" s="3" t="n">
        <v>0</v>
      </c>
      <c r="CZ391" s="3" t="n">
        <v>0</v>
      </c>
      <c r="DA391" s="3" t="n">
        <v>0</v>
      </c>
      <c r="DB391" s="3" t="n">
        <v>0</v>
      </c>
      <c r="DC391" s="3" t="n">
        <v>0</v>
      </c>
      <c r="DD391" s="3" t="n">
        <v>0</v>
      </c>
      <c r="DE391" s="3" t="n">
        <v>0</v>
      </c>
      <c r="DF391" s="3" t="n">
        <v>0</v>
      </c>
      <c r="DG391" s="3" t="n">
        <v>0</v>
      </c>
      <c r="DH391" s="3" t="n">
        <v>0</v>
      </c>
      <c r="DI391" s="3" t="n">
        <v>0</v>
      </c>
      <c r="DJ391" s="3" t="n">
        <v>0</v>
      </c>
      <c r="DK391" s="3" t="n">
        <v>0</v>
      </c>
      <c r="DL391" s="3" t="n">
        <v>0</v>
      </c>
      <c r="DM391" s="3" t="n">
        <v>0</v>
      </c>
      <c r="DN391" s="3" t="n">
        <v>0</v>
      </c>
      <c r="DO391" s="3" t="n">
        <v>0</v>
      </c>
    </row>
    <row r="392">
      <c r="A392" s="14" t="n"/>
      <c r="B392" s="3" t="inlineStr">
        <is>
          <t>mit</t>
        </is>
      </c>
      <c r="C392" s="19" t="inlineStr">
        <is>
          <t>mit.ener.lpg.pow</t>
        </is>
      </c>
      <c r="H392" s="14" t="inlineStr">
        <is>
          <t>LPG consumption: Power sector (baseline)</t>
        </is>
      </c>
      <c r="I392" s="14" t="inlineStr">
        <is>
          <t>ktoe</t>
        </is>
      </c>
    </row>
    <row r="393">
      <c r="A393" s="19" t="inlineStr">
        <is>
          <t>mit.fuq.tra.lpg</t>
        </is>
      </c>
      <c r="B393" s="3" t="inlineStr">
        <is>
          <t>mit</t>
        </is>
      </c>
      <c r="C393" s="19" t="inlineStr">
        <is>
          <t>mit.ener.lpg.tra</t>
        </is>
      </c>
      <c r="H393" s="3" t="inlineStr">
        <is>
          <t>Fuel use by sector group (weights of the costs per unit) | Transport | LPG</t>
        </is>
      </c>
      <c r="I393" s="3" t="inlineStr">
        <is>
          <t>ktoe</t>
        </is>
      </c>
      <c r="K393" s="20" t="inlineStr">
        <is>
          <t>egy.mit.fuq.tra.lpg.1</t>
        </is>
      </c>
      <c r="L393" s="3" t="n">
        <v>0</v>
      </c>
      <c r="M393" s="3" t="n">
        <v>0</v>
      </c>
      <c r="N393" s="3" t="n">
        <v>0</v>
      </c>
      <c r="O393" s="3" t="n">
        <v>0</v>
      </c>
      <c r="P393" s="3" t="n">
        <v>0</v>
      </c>
      <c r="Q393" s="3" t="n">
        <v>0</v>
      </c>
      <c r="R393" s="3" t="n">
        <v>0</v>
      </c>
      <c r="S393" s="3" t="n">
        <v>0</v>
      </c>
      <c r="T393" s="3" t="n">
        <v>0</v>
      </c>
      <c r="U393" s="3" t="n">
        <v>0</v>
      </c>
      <c r="V393" s="3" t="n">
        <v>0</v>
      </c>
      <c r="W393" s="3" t="n">
        <v>0</v>
      </c>
      <c r="X393" s="3" t="n">
        <v>0</v>
      </c>
      <c r="Y393" s="3" t="n">
        <v>0</v>
      </c>
      <c r="Z393" s="3" t="n">
        <v>0</v>
      </c>
      <c r="AA393" s="3" t="n">
        <v>0</v>
      </c>
      <c r="AB393" s="3" t="n">
        <v>0</v>
      </c>
      <c r="AC393" s="3" t="n">
        <v>0</v>
      </c>
      <c r="AD393" s="3" t="n">
        <v>0</v>
      </c>
      <c r="AE393" s="3" t="n">
        <v>0</v>
      </c>
      <c r="AG393" s="20" t="inlineStr">
        <is>
          <t>egy.mit.fuq.tra.lpg.3</t>
        </is>
      </c>
      <c r="AH393" s="3" t="n">
        <v>0</v>
      </c>
      <c r="AI393" s="3" t="n">
        <v>0</v>
      </c>
      <c r="AJ393" s="3" t="n">
        <v>0</v>
      </c>
      <c r="AK393" s="3" t="n">
        <v>0</v>
      </c>
      <c r="AL393" s="3" t="n">
        <v>0</v>
      </c>
      <c r="AM393" s="3" t="n">
        <v>0</v>
      </c>
      <c r="AN393" s="3" t="n">
        <v>0</v>
      </c>
      <c r="AO393" s="3" t="n">
        <v>0</v>
      </c>
      <c r="AP393" s="3" t="n">
        <v>0</v>
      </c>
      <c r="AQ393" s="3" t="n">
        <v>0</v>
      </c>
      <c r="AR393" s="3" t="n">
        <v>0</v>
      </c>
      <c r="AS393" s="3" t="n">
        <v>0</v>
      </c>
      <c r="AT393" s="3" t="n">
        <v>0</v>
      </c>
      <c r="AU393" s="3" t="n">
        <v>0</v>
      </c>
      <c r="AV393" s="3" t="n">
        <v>0</v>
      </c>
      <c r="AW393" s="3" t="n">
        <v>0</v>
      </c>
      <c r="AX393" s="3" t="n">
        <v>0</v>
      </c>
      <c r="AY393" s="3" t="n">
        <v>0</v>
      </c>
      <c r="AZ393" s="3" t="n">
        <v>0</v>
      </c>
      <c r="BA393" s="3" t="n">
        <v>0</v>
      </c>
      <c r="BC393" s="20" t="inlineStr">
        <is>
          <t>egy.mit.fuq.tra.lpg.4</t>
        </is>
      </c>
      <c r="BD393" s="3" t="n">
        <v>0</v>
      </c>
      <c r="BE393" s="3" t="n">
        <v>0</v>
      </c>
      <c r="BF393" s="3" t="n">
        <v>0</v>
      </c>
      <c r="BG393" s="3" t="n">
        <v>0</v>
      </c>
      <c r="BH393" s="3" t="n">
        <v>0</v>
      </c>
      <c r="BI393" s="3" t="n">
        <v>0</v>
      </c>
      <c r="BJ393" s="3" t="n">
        <v>0</v>
      </c>
      <c r="BK393" s="3" t="n">
        <v>0</v>
      </c>
      <c r="BL393" s="3" t="n">
        <v>0</v>
      </c>
      <c r="BM393" s="3" t="n">
        <v>0</v>
      </c>
      <c r="BN393" s="3" t="n">
        <v>0</v>
      </c>
      <c r="BO393" s="3" t="n">
        <v>0</v>
      </c>
      <c r="BP393" s="3" t="n">
        <v>0</v>
      </c>
      <c r="BQ393" s="3" t="n">
        <v>0</v>
      </c>
      <c r="BR393" s="3" t="n">
        <v>0</v>
      </c>
      <c r="BS393" s="3" t="n">
        <v>0</v>
      </c>
      <c r="BT393" s="3" t="n">
        <v>0</v>
      </c>
      <c r="BU393" s="3" t="n">
        <v>0</v>
      </c>
      <c r="BV393" s="3" t="n">
        <v>0</v>
      </c>
      <c r="BW393" s="3" t="n">
        <v>0</v>
      </c>
      <c r="BY393" s="20" t="inlineStr">
        <is>
          <t>egy.mit.fuq.tra.lpg.5</t>
        </is>
      </c>
      <c r="BZ393" s="3" t="n">
        <v>0</v>
      </c>
      <c r="CA393" s="3" t="n">
        <v>0</v>
      </c>
      <c r="CB393" s="3" t="n">
        <v>0</v>
      </c>
      <c r="CC393" s="3" t="n">
        <v>0</v>
      </c>
      <c r="CD393" s="3" t="n">
        <v>0</v>
      </c>
      <c r="CE393" s="3" t="n">
        <v>0</v>
      </c>
      <c r="CF393" s="3" t="n">
        <v>0</v>
      </c>
      <c r="CG393" s="3" t="n">
        <v>0</v>
      </c>
      <c r="CH393" s="3" t="n">
        <v>0</v>
      </c>
      <c r="CI393" s="3" t="n">
        <v>0</v>
      </c>
      <c r="CJ393" s="3" t="n">
        <v>0</v>
      </c>
      <c r="CK393" s="3" t="n">
        <v>0</v>
      </c>
      <c r="CL393" s="3" t="n">
        <v>0</v>
      </c>
      <c r="CM393" s="3" t="n">
        <v>0</v>
      </c>
      <c r="CN393" s="3" t="n">
        <v>0</v>
      </c>
      <c r="CO393" s="3" t="n">
        <v>0</v>
      </c>
      <c r="CP393" s="3" t="n">
        <v>0</v>
      </c>
      <c r="CQ393" s="3" t="n">
        <v>0</v>
      </c>
      <c r="CR393" s="3" t="n">
        <v>0</v>
      </c>
      <c r="CS393" s="3" t="n">
        <v>0</v>
      </c>
      <c r="CU393" s="20" t="inlineStr">
        <is>
          <t>egy.mit.fuq.tra.lpg.6</t>
        </is>
      </c>
      <c r="CV393" s="3" t="n">
        <v>0</v>
      </c>
      <c r="CW393" s="3" t="n">
        <v>0</v>
      </c>
      <c r="CX393" s="3" t="n">
        <v>0</v>
      </c>
      <c r="CY393" s="3" t="n">
        <v>0</v>
      </c>
      <c r="CZ393" s="3" t="n">
        <v>0</v>
      </c>
      <c r="DA393" s="3" t="n">
        <v>0</v>
      </c>
      <c r="DB393" s="3" t="n">
        <v>0</v>
      </c>
      <c r="DC393" s="3" t="n">
        <v>0</v>
      </c>
      <c r="DD393" s="3" t="n">
        <v>0</v>
      </c>
      <c r="DE393" s="3" t="n">
        <v>0</v>
      </c>
      <c r="DF393" s="3" t="n">
        <v>0</v>
      </c>
      <c r="DG393" s="3" t="n">
        <v>0</v>
      </c>
      <c r="DH393" s="3" t="n">
        <v>0</v>
      </c>
      <c r="DI393" s="3" t="n">
        <v>0</v>
      </c>
      <c r="DJ393" s="3" t="n">
        <v>0</v>
      </c>
      <c r="DK393" s="3" t="n">
        <v>0</v>
      </c>
      <c r="DL393" s="3" t="n">
        <v>0</v>
      </c>
      <c r="DM393" s="3" t="n">
        <v>0</v>
      </c>
      <c r="DN393" s="3" t="n">
        <v>0</v>
      </c>
      <c r="DO393" s="3" t="n">
        <v>0</v>
      </c>
    </row>
    <row r="394">
      <c r="A394" s="19" t="inlineStr">
        <is>
          <t>mit.fuq.bld.lpg</t>
        </is>
      </c>
      <c r="B394" s="3" t="inlineStr">
        <is>
          <t>mit</t>
        </is>
      </c>
      <c r="C394" s="19" t="inlineStr">
        <is>
          <t>mit.ener.lpg.res</t>
        </is>
      </c>
      <c r="H394" s="3" t="inlineStr">
        <is>
          <t>Fuel use by sector group (weights of the costs per unit) | Buildings | LPG</t>
        </is>
      </c>
      <c r="I394" s="3" t="inlineStr">
        <is>
          <t>ktoe</t>
        </is>
      </c>
      <c r="K394" s="20" t="inlineStr">
        <is>
          <t>egy.mit.fuq.bld.lpg.1</t>
        </is>
      </c>
      <c r="L394" s="3" t="n">
        <v>3039.04374235591</v>
      </c>
      <c r="M394" s="3" t="n">
        <v>3332.01827066203</v>
      </c>
      <c r="N394" s="3" t="n">
        <v>3349.579022378979</v>
      </c>
      <c r="O394" s="3" t="n">
        <v>3411.695051606468</v>
      </c>
      <c r="P394" s="3" t="n">
        <v>3471.680047446227</v>
      </c>
      <c r="Q394" s="3" t="n">
        <v>3542.193205218965</v>
      </c>
      <c r="R394" s="3" t="n">
        <v>3625.433893997705</v>
      </c>
      <c r="S394" s="3" t="n">
        <v>3704.183763387115</v>
      </c>
      <c r="T394" s="3" t="n">
        <v>3776.92014372577</v>
      </c>
      <c r="U394" s="3" t="n">
        <v>3849.595998765976</v>
      </c>
      <c r="V394" s="3" t="n">
        <v>3922.476784320742</v>
      </c>
      <c r="W394" s="3" t="n">
        <v>3995.541475614431</v>
      </c>
      <c r="X394" s="3" t="n">
        <v>4068.769246906429</v>
      </c>
      <c r="Y394" s="3" t="n">
        <v>4142.139455988579</v>
      </c>
      <c r="Z394" s="3" t="n">
        <v>4215.631626703828</v>
      </c>
      <c r="AA394" s="3" t="n">
        <v>4289.225429588329</v>
      </c>
      <c r="AB394" s="3" t="n">
        <v>4362.900660733253</v>
      </c>
      <c r="AC394" s="3" t="n">
        <v>4436.637218956495</v>
      </c>
      <c r="AD394" s="3" t="n">
        <v>4510.415081368234</v>
      </c>
      <c r="AE394" s="3" t="n">
        <v>4584.214277408158</v>
      </c>
      <c r="AG394" s="20" t="inlineStr">
        <is>
          <t>egy.mit.fuq.bld.lpg.3</t>
        </is>
      </c>
      <c r="AH394" s="3" t="n">
        <v>3039.04374235591</v>
      </c>
      <c r="AI394" s="3" t="n">
        <v>3332.01827066203</v>
      </c>
      <c r="AJ394" s="3" t="n">
        <v>3349.579022378979</v>
      </c>
      <c r="AK394" s="3" t="n">
        <v>3411.695051606468</v>
      </c>
      <c r="AL394" s="3" t="n">
        <v>3471.680047446227</v>
      </c>
      <c r="AM394" s="3" t="n">
        <v>2994.701156942305</v>
      </c>
      <c r="AN394" s="3" t="n">
        <v>3065.075623524696</v>
      </c>
      <c r="AO394" s="3" t="n">
        <v>3132.563044300329</v>
      </c>
      <c r="AP394" s="3" t="n">
        <v>3191.99236277433</v>
      </c>
      <c r="AQ394" s="3" t="n">
        <v>3253.777678459706</v>
      </c>
      <c r="AR394" s="3" t="n">
        <v>3314.520641752702</v>
      </c>
      <c r="AS394" s="3" t="n">
        <v>3377.40520838562</v>
      </c>
      <c r="AT394" s="3" t="n">
        <v>3441.396871391707</v>
      </c>
      <c r="AU394" s="3" t="n">
        <v>3505.07468172982</v>
      </c>
      <c r="AV394" s="3" t="n">
        <v>3569.286503896086</v>
      </c>
      <c r="AW394" s="3" t="n">
        <v>3634.574297896771</v>
      </c>
      <c r="AX394" s="3" t="n">
        <v>3699.053677561169</v>
      </c>
      <c r="AY394" s="3" t="n">
        <v>3763.115169719776</v>
      </c>
      <c r="AZ394" s="3" t="n">
        <v>3826.08098778801</v>
      </c>
      <c r="BA394" s="3" t="n">
        <v>3888.741803215542</v>
      </c>
      <c r="BC394" s="20" t="inlineStr">
        <is>
          <t>egy.mit.fuq.bld.lpg.4</t>
        </is>
      </c>
      <c r="BD394" s="3" t="n">
        <v>3039.04374235591</v>
      </c>
      <c r="BE394" s="3" t="n">
        <v>3332.01827066203</v>
      </c>
      <c r="BF394" s="3" t="n">
        <v>3349.579022378979</v>
      </c>
      <c r="BG394" s="3" t="n">
        <v>3411.695051606468</v>
      </c>
      <c r="BH394" s="3" t="n">
        <v>3471.680047446227</v>
      </c>
      <c r="BI394" s="3" t="n">
        <v>3237.303730382519</v>
      </c>
      <c r="BJ394" s="3" t="n">
        <v>2992.981181114443</v>
      </c>
      <c r="BK394" s="3" t="n">
        <v>2805.060775720999</v>
      </c>
      <c r="BL394" s="3" t="n">
        <v>2652.265136798503</v>
      </c>
      <c r="BM394" s="3" t="n">
        <v>2528.672064467062</v>
      </c>
      <c r="BN394" s="3" t="n">
        <v>2426.396748700708</v>
      </c>
      <c r="BO394" s="3" t="n">
        <v>2341.161803268935</v>
      </c>
      <c r="BP394" s="3" t="n">
        <v>2269.672415807262</v>
      </c>
      <c r="BQ394" s="3" t="n">
        <v>2208.916958206069</v>
      </c>
      <c r="BR394" s="3" t="n">
        <v>2156.87690353786</v>
      </c>
      <c r="BS394" s="3" t="n">
        <v>2112.263138106864</v>
      </c>
      <c r="BT394" s="3" t="n">
        <v>2073.569002735857</v>
      </c>
      <c r="BU394" s="3" t="n">
        <v>2039.685432875441</v>
      </c>
      <c r="BV394" s="3" t="n">
        <v>2009.461117959011</v>
      </c>
      <c r="BW394" s="3" t="n">
        <v>1982.253497675165</v>
      </c>
      <c r="BY394" s="20" t="inlineStr">
        <is>
          <t>egy.mit.fuq.bld.lpg.5</t>
        </is>
      </c>
      <c r="BZ394" s="3" t="n">
        <v>3039.04374235591</v>
      </c>
      <c r="CA394" s="3" t="n">
        <v>3332.01827066203</v>
      </c>
      <c r="CB394" s="3" t="n">
        <v>3349.579022378979</v>
      </c>
      <c r="CC394" s="3" t="n">
        <v>3411.695051606468</v>
      </c>
      <c r="CD394" s="3" t="n">
        <v>3471.680047446227</v>
      </c>
      <c r="CE394" s="3" t="n">
        <v>2890.697689730376</v>
      </c>
      <c r="CF394" s="3" t="n">
        <v>2958.626811262969</v>
      </c>
      <c r="CG394" s="3" t="n">
        <v>3023.640227715354</v>
      </c>
      <c r="CH394" s="3" t="n">
        <v>3081.126882371148</v>
      </c>
      <c r="CI394" s="3" t="n">
        <v>3141.167569146904</v>
      </c>
      <c r="CJ394" s="3" t="n">
        <v>3199.705194355714</v>
      </c>
      <c r="CK394" s="3" t="n">
        <v>3260.547800535727</v>
      </c>
      <c r="CL394" s="3" t="n">
        <v>3321.642214312538</v>
      </c>
      <c r="CM394" s="3" t="n">
        <v>3382.57435237028</v>
      </c>
      <c r="CN394" s="3" t="n">
        <v>3444.000601287427</v>
      </c>
      <c r="CO394" s="3" t="n">
        <v>3506.225219276329</v>
      </c>
      <c r="CP394" s="3" t="n">
        <v>3567.730814312218</v>
      </c>
      <c r="CQ394" s="3" t="n">
        <v>3629.125112435592</v>
      </c>
      <c r="CR394" s="3" t="n">
        <v>3689.69197065216</v>
      </c>
      <c r="CS394" s="3" t="n">
        <v>3750.383830424946</v>
      </c>
      <c r="CU394" s="20" t="inlineStr">
        <is>
          <t>egy.mit.fuq.bld.lpg.6</t>
        </is>
      </c>
      <c r="CV394" s="3" t="n">
        <v>3039.04374235591</v>
      </c>
      <c r="CW394" s="3" t="n">
        <v>3332.01827066203</v>
      </c>
      <c r="CX394" s="3" t="n">
        <v>3349.579022378979</v>
      </c>
      <c r="CY394" s="3" t="n">
        <v>3411.695051606468</v>
      </c>
      <c r="CZ394" s="3" t="n">
        <v>3471.680047446227</v>
      </c>
      <c r="DA394" s="3" t="n">
        <v>2487.521536937053</v>
      </c>
      <c r="DB394" s="3" t="n">
        <v>2545.97714511359</v>
      </c>
      <c r="DC394" s="3" t="n">
        <v>2602.896631876682</v>
      </c>
      <c r="DD394" s="3" t="n">
        <v>2650.245161956157</v>
      </c>
      <c r="DE394" s="3" t="n">
        <v>2702.063340066249</v>
      </c>
      <c r="DF394" s="3" t="n">
        <v>2751.565663954577</v>
      </c>
      <c r="DG394" s="3" t="n">
        <v>2804.976771001117</v>
      </c>
      <c r="DH394" s="3" t="n">
        <v>2859.953617184813</v>
      </c>
      <c r="DI394" s="3" t="n">
        <v>2914.356093702943</v>
      </c>
      <c r="DJ394" s="3" t="n">
        <v>2969.575862857856</v>
      </c>
      <c r="DK394" s="3" t="n">
        <v>3026.625031718526</v>
      </c>
      <c r="DL394" s="3" t="n">
        <v>3082.128763987179</v>
      </c>
      <c r="DM394" s="3" t="n">
        <v>3136.946498670045</v>
      </c>
      <c r="DN394" s="3" t="n">
        <v>3189.804962332998</v>
      </c>
      <c r="DO394" s="3" t="n">
        <v>3242.179929936003</v>
      </c>
    </row>
    <row r="395">
      <c r="A395" s="19" t="inlineStr">
        <is>
          <t>mit.fuq.ind.lpg</t>
        </is>
      </c>
      <c r="B395" s="3" t="inlineStr">
        <is>
          <t>mit</t>
        </is>
      </c>
      <c r="C395" s="19" t="inlineStr">
        <is>
          <t>mit.ener.lpg.ind</t>
        </is>
      </c>
      <c r="H395" s="3" t="inlineStr">
        <is>
          <t>Fuel use by sector group (weights of the costs per unit) | Industry | LPG</t>
        </is>
      </c>
      <c r="I395" s="3" t="inlineStr">
        <is>
          <t>ktoe</t>
        </is>
      </c>
      <c r="K395" s="20" t="inlineStr">
        <is>
          <t>egy.mit.fuq.ind.lpg.1</t>
        </is>
      </c>
      <c r="L395" s="3" t="n">
        <v>2230.651483153379</v>
      </c>
      <c r="M395" s="3" t="n">
        <v>2555.541527866194</v>
      </c>
      <c r="N395" s="3" t="n">
        <v>2564.57032084572</v>
      </c>
      <c r="O395" s="3" t="n">
        <v>2647.944804849817</v>
      </c>
      <c r="P395" s="3" t="n">
        <v>2729.89825498397</v>
      </c>
      <c r="Q395" s="3" t="n">
        <v>2826.473360052422</v>
      </c>
      <c r="R395" s="3" t="n">
        <v>2941.112524868735</v>
      </c>
      <c r="S395" s="3" t="n">
        <v>3051.898218745803</v>
      </c>
      <c r="T395" s="3" t="n">
        <v>3156.52216956223</v>
      </c>
      <c r="U395" s="3" t="n">
        <v>3262.713641657138</v>
      </c>
      <c r="V395" s="3" t="n">
        <v>3370.836400044344</v>
      </c>
      <c r="W395" s="3" t="n">
        <v>3480.875140173101</v>
      </c>
      <c r="X395" s="3" t="n">
        <v>3592.813424407771</v>
      </c>
      <c r="Y395" s="3" t="n">
        <v>3706.633672787342</v>
      </c>
      <c r="Z395" s="3" t="n">
        <v>3822.317149560569</v>
      </c>
      <c r="AA395" s="3" t="n">
        <v>3939.843945368118</v>
      </c>
      <c r="AB395" s="3" t="n">
        <v>4059.192954952404</v>
      </c>
      <c r="AC395" s="3" t="n">
        <v>4180.341850284372</v>
      </c>
      <c r="AD395" s="3" t="n">
        <v>4303.267049003713</v>
      </c>
      <c r="AE395" s="3" t="n">
        <v>4427.943678075837</v>
      </c>
      <c r="AG395" s="20" t="inlineStr">
        <is>
          <t>egy.mit.fuq.ind.lpg.3</t>
        </is>
      </c>
      <c r="AH395" s="3" t="n">
        <v>2230.651483153379</v>
      </c>
      <c r="AI395" s="3" t="n">
        <v>2555.541527866194</v>
      </c>
      <c r="AJ395" s="3" t="n">
        <v>2564.57032084572</v>
      </c>
      <c r="AK395" s="3" t="n">
        <v>2647.944804849817</v>
      </c>
      <c r="AL395" s="3" t="n">
        <v>2729.89825498397</v>
      </c>
      <c r="AM395" s="3" t="n">
        <v>2348.458164963654</v>
      </c>
      <c r="AN395" s="3" t="n">
        <v>2443.709101477215</v>
      </c>
      <c r="AO395" s="3" t="n">
        <v>2536.936868570288</v>
      </c>
      <c r="AP395" s="3" t="n">
        <v>2621.170367612895</v>
      </c>
      <c r="AQ395" s="3" t="n">
        <v>2709.837526946347</v>
      </c>
      <c r="AR395" s="3" t="n">
        <v>2798.479751591889</v>
      </c>
      <c r="AS395" s="3" t="n">
        <v>2891.401661653413</v>
      </c>
      <c r="AT395" s="3" t="n">
        <v>2987.289577239466</v>
      </c>
      <c r="AU395" s="3" t="n">
        <v>3084.208301114595</v>
      </c>
      <c r="AV395" s="3" t="n">
        <v>3183.352035174086</v>
      </c>
      <c r="AW395" s="3" t="n">
        <v>3285.537636370429</v>
      </c>
      <c r="AX395" s="3" t="n">
        <v>3388.068094589203</v>
      </c>
      <c r="AY395" s="3" t="n">
        <v>3491.479407857236</v>
      </c>
      <c r="AZ395" s="3" t="n">
        <v>3594.731644770899</v>
      </c>
      <c r="BA395" s="3" t="n">
        <v>3698.969471977571</v>
      </c>
      <c r="BC395" s="20" t="inlineStr">
        <is>
          <t>egy.mit.fuq.ind.lpg.4</t>
        </is>
      </c>
      <c r="BD395" s="3" t="n">
        <v>2230.651483153379</v>
      </c>
      <c r="BE395" s="3" t="n">
        <v>2555.541527866194</v>
      </c>
      <c r="BF395" s="3" t="n">
        <v>2564.57032084572</v>
      </c>
      <c r="BG395" s="3" t="n">
        <v>2647.944804849817</v>
      </c>
      <c r="BH395" s="3" t="n">
        <v>2729.89825498397</v>
      </c>
      <c r="BI395" s="3" t="n">
        <v>2516.971642326874</v>
      </c>
      <c r="BJ395" s="3" t="n">
        <v>2306.318827467875</v>
      </c>
      <c r="BK395" s="3" t="n">
        <v>2153.716770648798</v>
      </c>
      <c r="BL395" s="3" t="n">
        <v>2034.123117992848</v>
      </c>
      <c r="BM395" s="3" t="n">
        <v>1962.591049954317</v>
      </c>
      <c r="BN395" s="3" t="n">
        <v>1904.96977979016</v>
      </c>
      <c r="BO395" s="3" t="n">
        <v>1859.067263978214</v>
      </c>
      <c r="BP395" s="3" t="n">
        <v>1822.979686561853</v>
      </c>
      <c r="BQ395" s="3" t="n">
        <v>1794.520820389884</v>
      </c>
      <c r="BR395" s="3" t="n">
        <v>1772.332027625903</v>
      </c>
      <c r="BS395" s="3" t="n">
        <v>1755.700499625243</v>
      </c>
      <c r="BT395" s="3" t="n">
        <v>1743.401096358381</v>
      </c>
      <c r="BU395" s="3" t="n">
        <v>1734.556134725545</v>
      </c>
      <c r="BV395" s="3" t="n">
        <v>1728.087170716515</v>
      </c>
      <c r="BW395" s="3" t="n">
        <v>1723.497035060449</v>
      </c>
      <c r="BY395" s="20" t="inlineStr">
        <is>
          <t>egy.mit.fuq.ind.lpg.5</t>
        </is>
      </c>
      <c r="BZ395" s="3" t="n">
        <v>2230.651483153379</v>
      </c>
      <c r="CA395" s="3" t="n">
        <v>2555.541527866194</v>
      </c>
      <c r="CB395" s="3" t="n">
        <v>2564.57032084572</v>
      </c>
      <c r="CC395" s="3" t="n">
        <v>2647.944804849817</v>
      </c>
      <c r="CD395" s="3" t="n">
        <v>2729.89825498397</v>
      </c>
      <c r="CE395" s="3" t="n">
        <v>2258.624450259756</v>
      </c>
      <c r="CF395" s="3" t="n">
        <v>2350.230177368514</v>
      </c>
      <c r="CG395" s="3" t="n">
        <v>2439.723629057847</v>
      </c>
      <c r="CH395" s="3" t="n">
        <v>2520.891384466211</v>
      </c>
      <c r="CI395" s="3" t="n">
        <v>2606.6992139644</v>
      </c>
      <c r="CJ395" s="3" t="n">
        <v>2691.828898915362</v>
      </c>
      <c r="CK395" s="3" t="n">
        <v>2781.395653486553</v>
      </c>
      <c r="CL395" s="3" t="n">
        <v>2872.690058408365</v>
      </c>
      <c r="CM395" s="3" t="n">
        <v>2965.147650555817</v>
      </c>
      <c r="CN395" s="3" t="n">
        <v>3059.694482874928</v>
      </c>
      <c r="CO395" s="3" t="n">
        <v>3156.79921874742</v>
      </c>
      <c r="CP395" s="3" t="n">
        <v>3254.295194245964</v>
      </c>
      <c r="CQ395" s="3" t="n">
        <v>3353.042628966102</v>
      </c>
      <c r="CR395" s="3" t="n">
        <v>3451.965923761588</v>
      </c>
      <c r="CS395" s="3" t="n">
        <v>3552.465118572082</v>
      </c>
      <c r="CU395" s="20" t="inlineStr">
        <is>
          <t>egy.mit.fuq.ind.lpg.6</t>
        </is>
      </c>
      <c r="CV395" s="3" t="n">
        <v>2230.651483153379</v>
      </c>
      <c r="CW395" s="3" t="n">
        <v>2555.541527866194</v>
      </c>
      <c r="CX395" s="3" t="n">
        <v>2564.57032084572</v>
      </c>
      <c r="CY395" s="3" t="n">
        <v>2647.944804849817</v>
      </c>
      <c r="CZ395" s="3" t="n">
        <v>2729.89825498397</v>
      </c>
      <c r="DA395" s="3" t="n">
        <v>1913.637383159809</v>
      </c>
      <c r="DB395" s="3" t="n">
        <v>1991.25207053644</v>
      </c>
      <c r="DC395" s="3" t="n">
        <v>2068.313971494194</v>
      </c>
      <c r="DD395" s="3" t="n">
        <v>2134.368604602381</v>
      </c>
      <c r="DE395" s="3" t="n">
        <v>2207.24700389831</v>
      </c>
      <c r="DF395" s="3" t="n">
        <v>2278.202152547214</v>
      </c>
      <c r="DG395" s="3" t="n">
        <v>2355.470287393291</v>
      </c>
      <c r="DH395" s="3" t="n">
        <v>2436.079939911256</v>
      </c>
      <c r="DI395" s="3" t="n">
        <v>2517.165024435601</v>
      </c>
      <c r="DJ395" s="3" t="n">
        <v>2600.644175742307</v>
      </c>
      <c r="DK395" s="3" t="n">
        <v>2688.00455042572</v>
      </c>
      <c r="DL395" s="3" t="n">
        <v>2774.494102661366</v>
      </c>
      <c r="DM395" s="3" t="n">
        <v>2861.279552636256</v>
      </c>
      <c r="DN395" s="3" t="n">
        <v>2946.441830299821</v>
      </c>
      <c r="DO395" s="3" t="n">
        <v>3032.082386334822</v>
      </c>
    </row>
    <row r="396">
      <c r="A396" s="19" t="inlineStr">
        <is>
          <t>mit.ener.oen.lpg</t>
        </is>
      </c>
      <c r="B396" s="3" t="inlineStr">
        <is>
          <t>mit</t>
        </is>
      </c>
      <c r="C396" s="19" t="inlineStr">
        <is>
          <t>mit.ener.lpg.oen</t>
        </is>
      </c>
      <c r="H396" s="3" t="inlineStr">
        <is>
          <t>Fuel use | Other energy use | LPG</t>
        </is>
      </c>
      <c r="I396" s="3" t="inlineStr">
        <is>
          <t>ktoe</t>
        </is>
      </c>
      <c r="K396" s="20" t="inlineStr">
        <is>
          <t>egy.mit.ener.oen.lpg.1</t>
        </is>
      </c>
      <c r="L396" s="3" t="n">
        <v>0</v>
      </c>
      <c r="M396" s="3" t="n">
        <v>0</v>
      </c>
      <c r="N396" s="3" t="n">
        <v>0</v>
      </c>
      <c r="O396" s="3" t="n">
        <v>0</v>
      </c>
      <c r="P396" s="3" t="n">
        <v>0</v>
      </c>
      <c r="Q396" s="3" t="n">
        <v>0</v>
      </c>
      <c r="R396" s="3" t="n">
        <v>0</v>
      </c>
      <c r="S396" s="3" t="n">
        <v>0</v>
      </c>
      <c r="T396" s="3" t="n">
        <v>0</v>
      </c>
      <c r="U396" s="3" t="n">
        <v>0</v>
      </c>
      <c r="V396" s="3" t="n">
        <v>0</v>
      </c>
      <c r="W396" s="3" t="n">
        <v>0</v>
      </c>
      <c r="X396" s="3" t="n">
        <v>0</v>
      </c>
      <c r="Y396" s="3" t="n">
        <v>0</v>
      </c>
      <c r="Z396" s="3" t="n">
        <v>0</v>
      </c>
      <c r="AA396" s="3" t="n">
        <v>0</v>
      </c>
      <c r="AB396" s="3" t="n">
        <v>0</v>
      </c>
      <c r="AC396" s="3" t="n">
        <v>0</v>
      </c>
      <c r="AD396" s="3" t="n">
        <v>0</v>
      </c>
      <c r="AE396" s="3" t="n">
        <v>0</v>
      </c>
      <c r="AG396" s="20" t="inlineStr">
        <is>
          <t>egy.mit.ener.oen.lpg.3</t>
        </is>
      </c>
      <c r="AH396" s="3" t="n">
        <v>0</v>
      </c>
      <c r="AI396" s="3" t="n">
        <v>0</v>
      </c>
      <c r="AJ396" s="3" t="n">
        <v>0</v>
      </c>
      <c r="AK396" s="3" t="n">
        <v>0</v>
      </c>
      <c r="AL396" s="3" t="n">
        <v>0</v>
      </c>
      <c r="AM396" s="3" t="n">
        <v>0</v>
      </c>
      <c r="AN396" s="3" t="n">
        <v>0</v>
      </c>
      <c r="AO396" s="3" t="n">
        <v>0</v>
      </c>
      <c r="AP396" s="3" t="n">
        <v>0</v>
      </c>
      <c r="AQ396" s="3" t="n">
        <v>0</v>
      </c>
      <c r="AR396" s="3" t="n">
        <v>0</v>
      </c>
      <c r="AS396" s="3" t="n">
        <v>0</v>
      </c>
      <c r="AT396" s="3" t="n">
        <v>0</v>
      </c>
      <c r="AU396" s="3" t="n">
        <v>0</v>
      </c>
      <c r="AV396" s="3" t="n">
        <v>0</v>
      </c>
      <c r="AW396" s="3" t="n">
        <v>0</v>
      </c>
      <c r="AX396" s="3" t="n">
        <v>0</v>
      </c>
      <c r="AY396" s="3" t="n">
        <v>0</v>
      </c>
      <c r="AZ396" s="3" t="n">
        <v>0</v>
      </c>
      <c r="BA396" s="3" t="n">
        <v>0</v>
      </c>
      <c r="BC396" s="20" t="inlineStr">
        <is>
          <t>egy.mit.ener.oen.lpg.4</t>
        </is>
      </c>
      <c r="BD396" s="3" t="n">
        <v>0</v>
      </c>
      <c r="BE396" s="3" t="n">
        <v>0</v>
      </c>
      <c r="BF396" s="3" t="n">
        <v>0</v>
      </c>
      <c r="BG396" s="3" t="n">
        <v>0</v>
      </c>
      <c r="BH396" s="3" t="n">
        <v>0</v>
      </c>
      <c r="BI396" s="3" t="n">
        <v>0</v>
      </c>
      <c r="BJ396" s="3" t="n">
        <v>0</v>
      </c>
      <c r="BK396" s="3" t="n">
        <v>0</v>
      </c>
      <c r="BL396" s="3" t="n">
        <v>0</v>
      </c>
      <c r="BM396" s="3" t="n">
        <v>0</v>
      </c>
      <c r="BN396" s="3" t="n">
        <v>0</v>
      </c>
      <c r="BO396" s="3" t="n">
        <v>0</v>
      </c>
      <c r="BP396" s="3" t="n">
        <v>0</v>
      </c>
      <c r="BQ396" s="3" t="n">
        <v>0</v>
      </c>
      <c r="BR396" s="3" t="n">
        <v>0</v>
      </c>
      <c r="BS396" s="3" t="n">
        <v>0</v>
      </c>
      <c r="BT396" s="3" t="n">
        <v>0</v>
      </c>
      <c r="BU396" s="3" t="n">
        <v>0</v>
      </c>
      <c r="BV396" s="3" t="n">
        <v>0</v>
      </c>
      <c r="BW396" s="3" t="n">
        <v>0</v>
      </c>
      <c r="BY396" s="20" t="inlineStr">
        <is>
          <t>egy.mit.ener.oen.lpg.5</t>
        </is>
      </c>
      <c r="BZ396" s="3" t="n">
        <v>0</v>
      </c>
      <c r="CA396" s="3" t="n">
        <v>0</v>
      </c>
      <c r="CB396" s="3" t="n">
        <v>0</v>
      </c>
      <c r="CC396" s="3" t="n">
        <v>0</v>
      </c>
      <c r="CD396" s="3" t="n">
        <v>0</v>
      </c>
      <c r="CE396" s="3" t="n">
        <v>0</v>
      </c>
      <c r="CF396" s="3" t="n">
        <v>0</v>
      </c>
      <c r="CG396" s="3" t="n">
        <v>0</v>
      </c>
      <c r="CH396" s="3" t="n">
        <v>0</v>
      </c>
      <c r="CI396" s="3" t="n">
        <v>0</v>
      </c>
      <c r="CJ396" s="3" t="n">
        <v>0</v>
      </c>
      <c r="CK396" s="3" t="n">
        <v>0</v>
      </c>
      <c r="CL396" s="3" t="n">
        <v>0</v>
      </c>
      <c r="CM396" s="3" t="n">
        <v>0</v>
      </c>
      <c r="CN396" s="3" t="n">
        <v>0</v>
      </c>
      <c r="CO396" s="3" t="n">
        <v>0</v>
      </c>
      <c r="CP396" s="3" t="n">
        <v>0</v>
      </c>
      <c r="CQ396" s="3" t="n">
        <v>0</v>
      </c>
      <c r="CR396" s="3" t="n">
        <v>0</v>
      </c>
      <c r="CS396" s="3" t="n">
        <v>0</v>
      </c>
      <c r="CU396" s="20" t="inlineStr">
        <is>
          <t>egy.mit.ener.oen.lpg.6</t>
        </is>
      </c>
      <c r="CV396" s="3" t="n">
        <v>0</v>
      </c>
      <c r="CW396" s="3" t="n">
        <v>0</v>
      </c>
      <c r="CX396" s="3" t="n">
        <v>0</v>
      </c>
      <c r="CY396" s="3" t="n">
        <v>0</v>
      </c>
      <c r="CZ396" s="3" t="n">
        <v>0</v>
      </c>
      <c r="DA396" s="3" t="n">
        <v>0</v>
      </c>
      <c r="DB396" s="3" t="n">
        <v>0</v>
      </c>
      <c r="DC396" s="3" t="n">
        <v>0</v>
      </c>
      <c r="DD396" s="3" t="n">
        <v>0</v>
      </c>
      <c r="DE396" s="3" t="n">
        <v>0</v>
      </c>
      <c r="DF396" s="3" t="n">
        <v>0</v>
      </c>
      <c r="DG396" s="3" t="n">
        <v>0</v>
      </c>
      <c r="DH396" s="3" t="n">
        <v>0</v>
      </c>
      <c r="DI396" s="3" t="n">
        <v>0</v>
      </c>
      <c r="DJ396" s="3" t="n">
        <v>0</v>
      </c>
      <c r="DK396" s="3" t="n">
        <v>0</v>
      </c>
      <c r="DL396" s="3" t="n">
        <v>0</v>
      </c>
      <c r="DM396" s="3" t="n">
        <v>0</v>
      </c>
      <c r="DN396" s="3" t="n">
        <v>0</v>
      </c>
      <c r="DO396" s="3" t="n">
        <v>0</v>
      </c>
    </row>
    <row r="397">
      <c r="A397" s="14" t="n"/>
      <c r="B397" s="3" t="inlineStr">
        <is>
          <t>mit</t>
        </is>
      </c>
      <c r="C397" s="19" t="inlineStr">
        <is>
          <t>mit.ener.ker.pow</t>
        </is>
      </c>
      <c r="H397" s="14" t="inlineStr">
        <is>
          <t>Kerosene and jet fuel consumption: Power sector (baseline)</t>
        </is>
      </c>
      <c r="I397" s="14" t="inlineStr">
        <is>
          <t>ktoe</t>
        </is>
      </c>
    </row>
    <row r="398">
      <c r="A398" s="19" t="inlineStr">
        <is>
          <t>mit.fuq.tra.ker</t>
        </is>
      </c>
      <c r="B398" s="3" t="inlineStr">
        <is>
          <t>mit</t>
        </is>
      </c>
      <c r="C398" s="19" t="inlineStr">
        <is>
          <t>mit.ener.ker.tra</t>
        </is>
      </c>
      <c r="H398" s="3" t="inlineStr">
        <is>
          <t>Fuel use by sector group (weights of the costs per unit) | Transport | Kerosene</t>
        </is>
      </c>
      <c r="I398" s="3" t="inlineStr">
        <is>
          <t>ktoe</t>
        </is>
      </c>
      <c r="K398" s="20" t="inlineStr">
        <is>
          <t>egy.mit.fuq.tra.ker.1</t>
        </is>
      </c>
      <c r="L398" s="3" t="n">
        <v>0</v>
      </c>
      <c r="M398" s="3" t="n">
        <v>0</v>
      </c>
      <c r="N398" s="3" t="n">
        <v>0</v>
      </c>
      <c r="O398" s="3" t="n">
        <v>0</v>
      </c>
      <c r="P398" s="3" t="n">
        <v>0</v>
      </c>
      <c r="Q398" s="3" t="n">
        <v>0</v>
      </c>
      <c r="R398" s="3" t="n">
        <v>0</v>
      </c>
      <c r="S398" s="3" t="n">
        <v>0</v>
      </c>
      <c r="T398" s="3" t="n">
        <v>0</v>
      </c>
      <c r="U398" s="3" t="n">
        <v>0</v>
      </c>
      <c r="V398" s="3" t="n">
        <v>0</v>
      </c>
      <c r="W398" s="3" t="n">
        <v>0</v>
      </c>
      <c r="X398" s="3" t="n">
        <v>0</v>
      </c>
      <c r="Y398" s="3" t="n">
        <v>0</v>
      </c>
      <c r="Z398" s="3" t="n">
        <v>0</v>
      </c>
      <c r="AA398" s="3" t="n">
        <v>0</v>
      </c>
      <c r="AB398" s="3" t="n">
        <v>0</v>
      </c>
      <c r="AC398" s="3" t="n">
        <v>0</v>
      </c>
      <c r="AD398" s="3" t="n">
        <v>0</v>
      </c>
      <c r="AE398" s="3" t="n">
        <v>0</v>
      </c>
      <c r="AG398" s="20" t="inlineStr">
        <is>
          <t>egy.mit.fuq.tra.ker.3</t>
        </is>
      </c>
      <c r="AH398" s="3" t="n">
        <v>0</v>
      </c>
      <c r="AI398" s="3" t="n">
        <v>0</v>
      </c>
      <c r="AJ398" s="3" t="n">
        <v>0</v>
      </c>
      <c r="AK398" s="3" t="n">
        <v>0</v>
      </c>
      <c r="AL398" s="3" t="n">
        <v>0</v>
      </c>
      <c r="AM398" s="3" t="n">
        <v>0</v>
      </c>
      <c r="AN398" s="3" t="n">
        <v>0</v>
      </c>
      <c r="AO398" s="3" t="n">
        <v>0</v>
      </c>
      <c r="AP398" s="3" t="n">
        <v>0</v>
      </c>
      <c r="AQ398" s="3" t="n">
        <v>0</v>
      </c>
      <c r="AR398" s="3" t="n">
        <v>0</v>
      </c>
      <c r="AS398" s="3" t="n">
        <v>0</v>
      </c>
      <c r="AT398" s="3" t="n">
        <v>0</v>
      </c>
      <c r="AU398" s="3" t="n">
        <v>0</v>
      </c>
      <c r="AV398" s="3" t="n">
        <v>0</v>
      </c>
      <c r="AW398" s="3" t="n">
        <v>0</v>
      </c>
      <c r="AX398" s="3" t="n">
        <v>0</v>
      </c>
      <c r="AY398" s="3" t="n">
        <v>0</v>
      </c>
      <c r="AZ398" s="3" t="n">
        <v>0</v>
      </c>
      <c r="BA398" s="3" t="n">
        <v>0</v>
      </c>
      <c r="BC398" s="20" t="inlineStr">
        <is>
          <t>egy.mit.fuq.tra.ker.4</t>
        </is>
      </c>
      <c r="BD398" s="3" t="n">
        <v>0</v>
      </c>
      <c r="BE398" s="3" t="n">
        <v>0</v>
      </c>
      <c r="BF398" s="3" t="n">
        <v>0</v>
      </c>
      <c r="BG398" s="3" t="n">
        <v>0</v>
      </c>
      <c r="BH398" s="3" t="n">
        <v>0</v>
      </c>
      <c r="BI398" s="3" t="n">
        <v>0</v>
      </c>
      <c r="BJ398" s="3" t="n">
        <v>0</v>
      </c>
      <c r="BK398" s="3" t="n">
        <v>0</v>
      </c>
      <c r="BL398" s="3" t="n">
        <v>0</v>
      </c>
      <c r="BM398" s="3" t="n">
        <v>0</v>
      </c>
      <c r="BN398" s="3" t="n">
        <v>0</v>
      </c>
      <c r="BO398" s="3" t="n">
        <v>0</v>
      </c>
      <c r="BP398" s="3" t="n">
        <v>0</v>
      </c>
      <c r="BQ398" s="3" t="n">
        <v>0</v>
      </c>
      <c r="BR398" s="3" t="n">
        <v>0</v>
      </c>
      <c r="BS398" s="3" t="n">
        <v>0</v>
      </c>
      <c r="BT398" s="3" t="n">
        <v>0</v>
      </c>
      <c r="BU398" s="3" t="n">
        <v>0</v>
      </c>
      <c r="BV398" s="3" t="n">
        <v>0</v>
      </c>
      <c r="BW398" s="3" t="n">
        <v>0</v>
      </c>
      <c r="BY398" s="20" t="inlineStr">
        <is>
          <t>egy.mit.fuq.tra.ker.5</t>
        </is>
      </c>
      <c r="BZ398" s="3" t="n">
        <v>0</v>
      </c>
      <c r="CA398" s="3" t="n">
        <v>0</v>
      </c>
      <c r="CB398" s="3" t="n">
        <v>0</v>
      </c>
      <c r="CC398" s="3" t="n">
        <v>0</v>
      </c>
      <c r="CD398" s="3" t="n">
        <v>0</v>
      </c>
      <c r="CE398" s="3" t="n">
        <v>0</v>
      </c>
      <c r="CF398" s="3" t="n">
        <v>0</v>
      </c>
      <c r="CG398" s="3" t="n">
        <v>0</v>
      </c>
      <c r="CH398" s="3" t="n">
        <v>0</v>
      </c>
      <c r="CI398" s="3" t="n">
        <v>0</v>
      </c>
      <c r="CJ398" s="3" t="n">
        <v>0</v>
      </c>
      <c r="CK398" s="3" t="n">
        <v>0</v>
      </c>
      <c r="CL398" s="3" t="n">
        <v>0</v>
      </c>
      <c r="CM398" s="3" t="n">
        <v>0</v>
      </c>
      <c r="CN398" s="3" t="n">
        <v>0</v>
      </c>
      <c r="CO398" s="3" t="n">
        <v>0</v>
      </c>
      <c r="CP398" s="3" t="n">
        <v>0</v>
      </c>
      <c r="CQ398" s="3" t="n">
        <v>0</v>
      </c>
      <c r="CR398" s="3" t="n">
        <v>0</v>
      </c>
      <c r="CS398" s="3" t="n">
        <v>0</v>
      </c>
      <c r="CU398" s="20" t="inlineStr">
        <is>
          <t>egy.mit.fuq.tra.ker.6</t>
        </is>
      </c>
      <c r="CV398" s="3" t="n">
        <v>0</v>
      </c>
      <c r="CW398" s="3" t="n">
        <v>0</v>
      </c>
      <c r="CX398" s="3" t="n">
        <v>0</v>
      </c>
      <c r="CY398" s="3" t="n">
        <v>0</v>
      </c>
      <c r="CZ398" s="3" t="n">
        <v>0</v>
      </c>
      <c r="DA398" s="3" t="n">
        <v>0</v>
      </c>
      <c r="DB398" s="3" t="n">
        <v>0</v>
      </c>
      <c r="DC398" s="3" t="n">
        <v>0</v>
      </c>
      <c r="DD398" s="3" t="n">
        <v>0</v>
      </c>
      <c r="DE398" s="3" t="n">
        <v>0</v>
      </c>
      <c r="DF398" s="3" t="n">
        <v>0</v>
      </c>
      <c r="DG398" s="3" t="n">
        <v>0</v>
      </c>
      <c r="DH398" s="3" t="n">
        <v>0</v>
      </c>
      <c r="DI398" s="3" t="n">
        <v>0</v>
      </c>
      <c r="DJ398" s="3" t="n">
        <v>0</v>
      </c>
      <c r="DK398" s="3" t="n">
        <v>0</v>
      </c>
      <c r="DL398" s="3" t="n">
        <v>0</v>
      </c>
      <c r="DM398" s="3" t="n">
        <v>0</v>
      </c>
      <c r="DN398" s="3" t="n">
        <v>0</v>
      </c>
      <c r="DO398" s="3" t="n">
        <v>0</v>
      </c>
    </row>
    <row r="399">
      <c r="A399" s="19" t="inlineStr">
        <is>
          <t>mit.fuq.bld.ker</t>
        </is>
      </c>
      <c r="B399" s="3" t="inlineStr">
        <is>
          <t>mit</t>
        </is>
      </c>
      <c r="C399" s="19" t="inlineStr">
        <is>
          <t>mit.ener.ker.res</t>
        </is>
      </c>
      <c r="H399" s="3" t="inlineStr">
        <is>
          <t>Fuel use by sector group (weights of the costs per unit) | Buildings | Kerosene</t>
        </is>
      </c>
      <c r="I399" s="3" t="inlineStr">
        <is>
          <t>ktoe</t>
        </is>
      </c>
      <c r="K399" s="20" t="inlineStr">
        <is>
          <t>egy.mit.fuq.bld.ker.1</t>
        </is>
      </c>
      <c r="L399" s="3" t="n">
        <v>2.968203246085892</v>
      </c>
      <c r="M399" s="3" t="n">
        <v>3.080761538746703</v>
      </c>
      <c r="N399" s="3" t="n">
        <v>3.332217803390196</v>
      </c>
      <c r="O399" s="3" t="n">
        <v>3.399209637580554</v>
      </c>
      <c r="P399" s="3" t="n">
        <v>3.464112042457341</v>
      </c>
      <c r="Q399" s="3" t="n">
        <v>3.54044018122798</v>
      </c>
      <c r="R399" s="3" t="n">
        <v>3.630637221106377</v>
      </c>
      <c r="S399" s="3" t="n">
        <v>3.716306473860249</v>
      </c>
      <c r="T399" s="3" t="n">
        <v>3.795767364248969</v>
      </c>
      <c r="U399" s="3" t="n">
        <v>3.875402253077308</v>
      </c>
      <c r="V399" s="3" t="n">
        <v>3.955498515794277</v>
      </c>
      <c r="W399" s="3" t="n">
        <v>4.036035351659379</v>
      </c>
      <c r="X399" s="3" t="n">
        <v>4.116991971382438</v>
      </c>
      <c r="Y399" s="3" t="n">
        <v>4.198347582082901</v>
      </c>
      <c r="Z399" s="3" t="n">
        <v>4.280081369887421</v>
      </c>
      <c r="AA399" s="3" t="n">
        <v>4.362172480237398</v>
      </c>
      <c r="AB399" s="3" t="n">
        <v>4.444599995974243</v>
      </c>
      <c r="AC399" s="3" t="n">
        <v>4.527342913265962</v>
      </c>
      <c r="AD399" s="3" t="n">
        <v>4.610380115434261</v>
      </c>
      <c r="AE399" s="3" t="n">
        <v>4.693690344736883</v>
      </c>
      <c r="AG399" s="20" t="inlineStr">
        <is>
          <t>egy.mit.fuq.bld.ker.3</t>
        </is>
      </c>
      <c r="AH399" s="3" t="n">
        <v>2.968203246085892</v>
      </c>
      <c r="AI399" s="3" t="n">
        <v>3.080761538746703</v>
      </c>
      <c r="AJ399" s="3" t="n">
        <v>3.332217803390196</v>
      </c>
      <c r="AK399" s="3" t="n">
        <v>3.399209637580554</v>
      </c>
      <c r="AL399" s="3" t="n">
        <v>3.464112042457341</v>
      </c>
      <c r="AM399" s="3" t="n">
        <v>3.192252951172738</v>
      </c>
      <c r="AN399" s="3" t="n">
        <v>3.273520366668247</v>
      </c>
      <c r="AO399" s="3" t="n">
        <v>3.351747865571864</v>
      </c>
      <c r="AP399" s="3" t="n">
        <v>3.42096833333393</v>
      </c>
      <c r="AQ399" s="3" t="n">
        <v>3.493103691485677</v>
      </c>
      <c r="AR399" s="3" t="n">
        <v>3.564251577943714</v>
      </c>
      <c r="AS399" s="3" t="n">
        <v>3.638088026219136</v>
      </c>
      <c r="AT399" s="3" t="n">
        <v>3.713431900079205</v>
      </c>
      <c r="AU399" s="3" t="n">
        <v>3.788640442009478</v>
      </c>
      <c r="AV399" s="3" t="n">
        <v>3.864700028502293</v>
      </c>
      <c r="AW399" s="3" t="n">
        <v>3.942249506722931</v>
      </c>
      <c r="AX399" s="3" t="n">
        <v>4.019089955385868</v>
      </c>
      <c r="AY399" s="3" t="n">
        <v>4.095673507654185</v>
      </c>
      <c r="AZ399" s="3" t="n">
        <v>4.171198344436577</v>
      </c>
      <c r="BA399" s="3" t="n">
        <v>4.246589145498137</v>
      </c>
      <c r="BC399" s="20" t="inlineStr">
        <is>
          <t>egy.mit.fuq.bld.ker.4</t>
        </is>
      </c>
      <c r="BD399" s="3" t="n">
        <v>2.968203246085892</v>
      </c>
      <c r="BE399" s="3" t="n">
        <v>3.080761538746703</v>
      </c>
      <c r="BF399" s="3" t="n">
        <v>3.332217803390196</v>
      </c>
      <c r="BG399" s="3" t="n">
        <v>3.399209637580554</v>
      </c>
      <c r="BH399" s="3" t="n">
        <v>3.464112042457341</v>
      </c>
      <c r="BI399" s="3" t="n">
        <v>3.354182522417965</v>
      </c>
      <c r="BJ399" s="3" t="n">
        <v>3.222815989838918</v>
      </c>
      <c r="BK399" s="3" t="n">
        <v>3.111588155728553</v>
      </c>
      <c r="BL399" s="3" t="n">
        <v>3.012482431237689</v>
      </c>
      <c r="BM399" s="3" t="n">
        <v>2.928389411359813</v>
      </c>
      <c r="BN399" s="3" t="n">
        <v>2.856046573995199</v>
      </c>
      <c r="BO399" s="3" t="n">
        <v>2.794329366926851</v>
      </c>
      <c r="BP399" s="3" t="n">
        <v>2.741965041393617</v>
      </c>
      <c r="BQ399" s="3" t="n">
        <v>2.697129236135209</v>
      </c>
      <c r="BR399" s="3" t="n">
        <v>2.658671896695612</v>
      </c>
      <c r="BS399" s="3" t="n">
        <v>2.625996919014153</v>
      </c>
      <c r="BT399" s="3" t="n">
        <v>2.59793305404665</v>
      </c>
      <c r="BU399" s="3" t="n">
        <v>2.57362591986437</v>
      </c>
      <c r="BV399" s="3" t="n">
        <v>2.552004978128016</v>
      </c>
      <c r="BW399" s="3" t="n">
        <v>2.532573840182796</v>
      </c>
      <c r="BY399" s="20" t="inlineStr">
        <is>
          <t>egy.mit.fuq.bld.ker.5</t>
        </is>
      </c>
      <c r="BZ399" s="3" t="n">
        <v>2.968203246085892</v>
      </c>
      <c r="CA399" s="3" t="n">
        <v>3.080761538746703</v>
      </c>
      <c r="CB399" s="3" t="n">
        <v>3.332217803390196</v>
      </c>
      <c r="CC399" s="3" t="n">
        <v>3.399209637580554</v>
      </c>
      <c r="CD399" s="3" t="n">
        <v>3.464112042457341</v>
      </c>
      <c r="CE399" s="3" t="n">
        <v>3.11886350075498</v>
      </c>
      <c r="CF399" s="3" t="n">
        <v>3.19824824575499</v>
      </c>
      <c r="CG399" s="3" t="n">
        <v>3.274513383030759</v>
      </c>
      <c r="CH399" s="3" t="n">
        <v>3.342271004751698</v>
      </c>
      <c r="CI399" s="3" t="n">
        <v>3.413202507228409</v>
      </c>
      <c r="CJ399" s="3" t="n">
        <v>3.482590798925849</v>
      </c>
      <c r="CK399" s="3" t="n">
        <v>3.554882932187058</v>
      </c>
      <c r="CL399" s="3" t="n">
        <v>3.627688877145967</v>
      </c>
      <c r="CM399" s="3" t="n">
        <v>3.700523762004305</v>
      </c>
      <c r="CN399" s="3" t="n">
        <v>3.774161133113415</v>
      </c>
      <c r="CO399" s="3" t="n">
        <v>3.848965788730245</v>
      </c>
      <c r="CP399" s="3" t="n">
        <v>3.92314540209476</v>
      </c>
      <c r="CQ399" s="3" t="n">
        <v>3.997416619297765</v>
      </c>
      <c r="CR399" s="3" t="n">
        <v>4.070925153156652</v>
      </c>
      <c r="CS399" s="3" t="n">
        <v>4.144802353189258</v>
      </c>
      <c r="CU399" s="20" t="inlineStr">
        <is>
          <t>egy.mit.fuq.bld.ker.6</t>
        </is>
      </c>
      <c r="CV399" s="3" t="n">
        <v>2.968203246085892</v>
      </c>
      <c r="CW399" s="3" t="n">
        <v>3.080761538746703</v>
      </c>
      <c r="CX399" s="3" t="n">
        <v>3.332217803390196</v>
      </c>
      <c r="CY399" s="3" t="n">
        <v>3.399209637580554</v>
      </c>
      <c r="CZ399" s="3" t="n">
        <v>3.464112042457341</v>
      </c>
      <c r="DA399" s="3" t="n">
        <v>2.810268430463863</v>
      </c>
      <c r="DB399" s="3" t="n">
        <v>2.881747872486113</v>
      </c>
      <c r="DC399" s="3" t="n">
        <v>2.95159668356448</v>
      </c>
      <c r="DD399" s="3" t="n">
        <v>3.010025502570076</v>
      </c>
      <c r="DE399" s="3" t="n">
        <v>3.074067958053753</v>
      </c>
      <c r="DF399" s="3" t="n">
        <v>3.135470479114015</v>
      </c>
      <c r="DG399" s="3" t="n">
        <v>3.201839786782365</v>
      </c>
      <c r="DH399" s="3" t="n">
        <v>3.270334056859198</v>
      </c>
      <c r="DI399" s="3" t="n">
        <v>3.338332276983619</v>
      </c>
      <c r="DJ399" s="3" t="n">
        <v>3.407547975126603</v>
      </c>
      <c r="DK399" s="3" t="n">
        <v>3.479242636117436</v>
      </c>
      <c r="DL399" s="3" t="n">
        <v>3.549244344225464</v>
      </c>
      <c r="DM399" s="3" t="n">
        <v>3.618608285296395</v>
      </c>
      <c r="DN399" s="3" t="n">
        <v>3.685739432858944</v>
      </c>
      <c r="DO399" s="3" t="n">
        <v>3.752466020470144</v>
      </c>
    </row>
    <row r="400">
      <c r="A400" s="19" t="inlineStr">
        <is>
          <t>mit.fuq.ind.ker</t>
        </is>
      </c>
      <c r="B400" s="3" t="inlineStr">
        <is>
          <t>mit</t>
        </is>
      </c>
      <c r="C400" s="19" t="inlineStr">
        <is>
          <t>mit.ener.ker.ind</t>
        </is>
      </c>
      <c r="H400" s="3" t="inlineStr">
        <is>
          <t>Fuel use by sector group (weights of the costs per unit) | Industry | Kerosene</t>
        </is>
      </c>
      <c r="I400" s="3" t="inlineStr">
        <is>
          <t>ktoe</t>
        </is>
      </c>
      <c r="K400" s="20" t="inlineStr">
        <is>
          <t>egy.mit.fuq.ind.ker.1</t>
        </is>
      </c>
      <c r="L400" s="3" t="n">
        <v>3.931985509179256</v>
      </c>
      <c r="M400" s="3" t="n">
        <v>4.220978767569035</v>
      </c>
      <c r="N400" s="3" t="n">
        <v>4.588996736912251</v>
      </c>
      <c r="O400" s="3" t="n">
        <v>4.738185562785574</v>
      </c>
      <c r="P400" s="3" t="n">
        <v>4.884831615805602</v>
      </c>
      <c r="Q400" s="3" t="n">
        <v>5.057641399348578</v>
      </c>
      <c r="R400" s="3" t="n">
        <v>5.262774691654213</v>
      </c>
      <c r="S400" s="3" t="n">
        <v>5.461012651271078</v>
      </c>
      <c r="T400" s="3" t="n">
        <v>5.648224896923645</v>
      </c>
      <c r="U400" s="3" t="n">
        <v>5.838242037405387</v>
      </c>
      <c r="V400" s="3" t="n">
        <v>6.031714987393054</v>
      </c>
      <c r="W400" s="3" t="n">
        <v>6.228616361194446</v>
      </c>
      <c r="X400" s="3" t="n">
        <v>6.428916745595315</v>
      </c>
      <c r="Y400" s="3" t="n">
        <v>6.632584683324606</v>
      </c>
      <c r="Z400" s="3" t="n">
        <v>6.839586648960682</v>
      </c>
      <c r="AA400" s="3" t="n">
        <v>7.049887017048357</v>
      </c>
      <c r="AB400" s="3" t="n">
        <v>7.263448022213302</v>
      </c>
      <c r="AC400" s="3" t="n">
        <v>7.480229711075546</v>
      </c>
      <c r="AD400" s="3" t="n">
        <v>7.700189885776985</v>
      </c>
      <c r="AE400" s="3" t="n">
        <v>7.923284038949794</v>
      </c>
      <c r="AG400" s="20" t="inlineStr">
        <is>
          <t>egy.mit.fuq.ind.ker.3</t>
        </is>
      </c>
      <c r="AH400" s="3" t="n">
        <v>3.931985509179256</v>
      </c>
      <c r="AI400" s="3" t="n">
        <v>4.220978767569035</v>
      </c>
      <c r="AJ400" s="3" t="n">
        <v>4.588996736912251</v>
      </c>
      <c r="AK400" s="3" t="n">
        <v>4.738185562785574</v>
      </c>
      <c r="AL400" s="3" t="n">
        <v>4.884831615805602</v>
      </c>
      <c r="AM400" s="3" t="n">
        <v>4.522951456186189</v>
      </c>
      <c r="AN400" s="3" t="n">
        <v>4.706397501099565</v>
      </c>
      <c r="AO400" s="3" t="n">
        <v>4.885947075889256</v>
      </c>
      <c r="AP400" s="3" t="n">
        <v>5.048174375842166</v>
      </c>
      <c r="AQ400" s="3" t="n">
        <v>5.218940567638192</v>
      </c>
      <c r="AR400" s="3" t="n">
        <v>5.389658737125508</v>
      </c>
      <c r="AS400" s="3" t="n">
        <v>5.568619254580959</v>
      </c>
      <c r="AT400" s="3" t="n">
        <v>5.753292072645532</v>
      </c>
      <c r="AU400" s="3" t="n">
        <v>5.939950148919804</v>
      </c>
      <c r="AV400" s="3" t="n">
        <v>6.130893425247254</v>
      </c>
      <c r="AW400" s="3" t="n">
        <v>6.327695105867956</v>
      </c>
      <c r="AX400" s="3" t="n">
        <v>6.525160954833255</v>
      </c>
      <c r="AY400" s="3" t="n">
        <v>6.724323263495888</v>
      </c>
      <c r="AZ400" s="3" t="n">
        <v>6.923179203222777</v>
      </c>
      <c r="BA400" s="3" t="n">
        <v>7.123933314744876</v>
      </c>
      <c r="BC400" s="20" t="inlineStr">
        <is>
          <t>egy.mit.fuq.ind.ker.4</t>
        </is>
      </c>
      <c r="BD400" s="3" t="n">
        <v>3.931985509179256</v>
      </c>
      <c r="BE400" s="3" t="n">
        <v>4.220978767569035</v>
      </c>
      <c r="BF400" s="3" t="n">
        <v>4.588996736912251</v>
      </c>
      <c r="BG400" s="3" t="n">
        <v>4.738185562785574</v>
      </c>
      <c r="BH400" s="3" t="n">
        <v>4.884831615805602</v>
      </c>
      <c r="BI400" s="3" t="n">
        <v>4.722647963696316</v>
      </c>
      <c r="BJ400" s="3" t="n">
        <v>4.531950797098066</v>
      </c>
      <c r="BK400" s="3" t="n">
        <v>4.378597558769785</v>
      </c>
      <c r="BL400" s="3" t="n">
        <v>4.245269604356086</v>
      </c>
      <c r="BM400" s="3" t="n">
        <v>4.172059829040423</v>
      </c>
      <c r="BN400" s="3" t="n">
        <v>4.112323940391104</v>
      </c>
      <c r="BO400" s="3" t="n">
        <v>4.065940017884374</v>
      </c>
      <c r="BP400" s="3" t="n">
        <v>4.031976163655246</v>
      </c>
      <c r="BQ400" s="3" t="n">
        <v>4.007896412204977</v>
      </c>
      <c r="BR400" s="3" t="n">
        <v>3.992317500452485</v>
      </c>
      <c r="BS400" s="3" t="n">
        <v>3.984862249314584</v>
      </c>
      <c r="BT400" s="3" t="n">
        <v>3.983682110674358</v>
      </c>
      <c r="BU400" s="3" t="n">
        <v>3.987472444985087</v>
      </c>
      <c r="BV400" s="3" t="n">
        <v>3.994286954816278</v>
      </c>
      <c r="BW400" s="3" t="n">
        <v>4.003382512345454</v>
      </c>
      <c r="BY400" s="20" t="inlineStr">
        <is>
          <t>egy.mit.fuq.ind.ker.5</t>
        </is>
      </c>
      <c r="BZ400" s="3" t="n">
        <v>3.931985509179256</v>
      </c>
      <c r="CA400" s="3" t="n">
        <v>4.220978767569035</v>
      </c>
      <c r="CB400" s="3" t="n">
        <v>4.588996736912251</v>
      </c>
      <c r="CC400" s="3" t="n">
        <v>4.738185562785574</v>
      </c>
      <c r="CD400" s="3" t="n">
        <v>4.884831615805602</v>
      </c>
      <c r="CE400" s="3" t="n">
        <v>4.410700620737314</v>
      </c>
      <c r="CF400" s="3" t="n">
        <v>4.589590669224668</v>
      </c>
      <c r="CG400" s="3" t="n">
        <v>4.764355811288312</v>
      </c>
      <c r="CH400" s="3" t="n">
        <v>4.922862316928218</v>
      </c>
      <c r="CI400" s="3" t="n">
        <v>5.090430080036538</v>
      </c>
      <c r="CJ400" s="3" t="n">
        <v>5.256673544820243</v>
      </c>
      <c r="CK400" s="3" t="n">
        <v>5.431581834659728</v>
      </c>
      <c r="CL400" s="3" t="n">
        <v>5.609863925076385</v>
      </c>
      <c r="CM400" s="3" t="n">
        <v>5.790417517786206</v>
      </c>
      <c r="CN400" s="3" t="n">
        <v>5.97505103308827</v>
      </c>
      <c r="CO400" s="3" t="n">
        <v>6.164679689034179</v>
      </c>
      <c r="CP400" s="3" t="n">
        <v>6.355072367906208</v>
      </c>
      <c r="CQ400" s="3" t="n">
        <v>6.547908928922909</v>
      </c>
      <c r="CR400" s="3" t="n">
        <v>6.741088914072564</v>
      </c>
      <c r="CS400" s="3" t="n">
        <v>6.937346357793794</v>
      </c>
      <c r="CU400" s="20" t="inlineStr">
        <is>
          <t>egy.mit.fuq.ind.ker.6</t>
        </is>
      </c>
      <c r="CV400" s="3" t="n">
        <v>3.931985509179256</v>
      </c>
      <c r="CW400" s="3" t="n">
        <v>4.220978767569035</v>
      </c>
      <c r="CX400" s="3" t="n">
        <v>4.588996736912251</v>
      </c>
      <c r="CY400" s="3" t="n">
        <v>4.738185562785574</v>
      </c>
      <c r="CZ400" s="3" t="n">
        <v>4.884831615805602</v>
      </c>
      <c r="DA400" s="3" t="n">
        <v>3.940634660834329</v>
      </c>
      <c r="DB400" s="3" t="n">
        <v>4.100461768079251</v>
      </c>
      <c r="DC400" s="3" t="n">
        <v>4.259150556569828</v>
      </c>
      <c r="DD400" s="3" t="n">
        <v>4.395172761730248</v>
      </c>
      <c r="DE400" s="3" t="n">
        <v>4.545246724968495</v>
      </c>
      <c r="DF400" s="3" t="n">
        <v>4.691360257548442</v>
      </c>
      <c r="DG400" s="3" t="n">
        <v>4.850473730681843</v>
      </c>
      <c r="DH400" s="3" t="n">
        <v>5.016468183709089</v>
      </c>
      <c r="DI400" s="3" t="n">
        <v>5.183441664351335</v>
      </c>
      <c r="DJ400" s="3" t="n">
        <v>5.355345098090207</v>
      </c>
      <c r="DK400" s="3" t="n">
        <v>5.535240894174883</v>
      </c>
      <c r="DL400" s="3" t="n">
        <v>5.713343459655212</v>
      </c>
      <c r="DM400" s="3" t="n">
        <v>5.892055348980063</v>
      </c>
      <c r="DN400" s="3" t="n">
        <v>6.067424740333877</v>
      </c>
      <c r="DO400" s="3" t="n">
        <v>6.243779020645546</v>
      </c>
    </row>
    <row r="401">
      <c r="A401" s="19" t="inlineStr">
        <is>
          <t>mit.ener.oen.ker</t>
        </is>
      </c>
      <c r="B401" s="3" t="inlineStr">
        <is>
          <t>mit</t>
        </is>
      </c>
      <c r="C401" s="19" t="inlineStr">
        <is>
          <t>mit.ener.ker.oen</t>
        </is>
      </c>
      <c r="H401" s="3" t="inlineStr">
        <is>
          <t>Fuel use | Other energy use | Kerosene</t>
        </is>
      </c>
      <c r="I401" s="3" t="inlineStr">
        <is>
          <t>ktoe</t>
        </is>
      </c>
      <c r="K401" s="20" t="inlineStr">
        <is>
          <t>egy.mit.ener.oen.ker.1</t>
        </is>
      </c>
      <c r="L401" s="3" t="n">
        <v>0</v>
      </c>
      <c r="M401" s="3" t="n">
        <v>0</v>
      </c>
      <c r="N401" s="3" t="n">
        <v>0</v>
      </c>
      <c r="O401" s="3" t="n">
        <v>0</v>
      </c>
      <c r="P401" s="3" t="n">
        <v>0</v>
      </c>
      <c r="Q401" s="3" t="n">
        <v>0</v>
      </c>
      <c r="R401" s="3" t="n">
        <v>0</v>
      </c>
      <c r="S401" s="3" t="n">
        <v>0</v>
      </c>
      <c r="T401" s="3" t="n">
        <v>0</v>
      </c>
      <c r="U401" s="3" t="n">
        <v>0</v>
      </c>
      <c r="V401" s="3" t="n">
        <v>0</v>
      </c>
      <c r="W401" s="3" t="n">
        <v>0</v>
      </c>
      <c r="X401" s="3" t="n">
        <v>0</v>
      </c>
      <c r="Y401" s="3" t="n">
        <v>0</v>
      </c>
      <c r="Z401" s="3" t="n">
        <v>0</v>
      </c>
      <c r="AA401" s="3" t="n">
        <v>0</v>
      </c>
      <c r="AB401" s="3" t="n">
        <v>0</v>
      </c>
      <c r="AC401" s="3" t="n">
        <v>0</v>
      </c>
      <c r="AD401" s="3" t="n">
        <v>0</v>
      </c>
      <c r="AE401" s="3" t="n">
        <v>0</v>
      </c>
      <c r="AG401" s="20" t="inlineStr">
        <is>
          <t>egy.mit.ener.oen.ker.3</t>
        </is>
      </c>
      <c r="AH401" s="3" t="n">
        <v>0</v>
      </c>
      <c r="AI401" s="3" t="n">
        <v>0</v>
      </c>
      <c r="AJ401" s="3" t="n">
        <v>0</v>
      </c>
      <c r="AK401" s="3" t="n">
        <v>0</v>
      </c>
      <c r="AL401" s="3" t="n">
        <v>0</v>
      </c>
      <c r="AM401" s="3" t="n">
        <v>0</v>
      </c>
      <c r="AN401" s="3" t="n">
        <v>0</v>
      </c>
      <c r="AO401" s="3" t="n">
        <v>0</v>
      </c>
      <c r="AP401" s="3" t="n">
        <v>0</v>
      </c>
      <c r="AQ401" s="3" t="n">
        <v>0</v>
      </c>
      <c r="AR401" s="3" t="n">
        <v>0</v>
      </c>
      <c r="AS401" s="3" t="n">
        <v>0</v>
      </c>
      <c r="AT401" s="3" t="n">
        <v>0</v>
      </c>
      <c r="AU401" s="3" t="n">
        <v>0</v>
      </c>
      <c r="AV401" s="3" t="n">
        <v>0</v>
      </c>
      <c r="AW401" s="3" t="n">
        <v>0</v>
      </c>
      <c r="AX401" s="3" t="n">
        <v>0</v>
      </c>
      <c r="AY401" s="3" t="n">
        <v>0</v>
      </c>
      <c r="AZ401" s="3" t="n">
        <v>0</v>
      </c>
      <c r="BA401" s="3" t="n">
        <v>0</v>
      </c>
      <c r="BC401" s="20" t="inlineStr">
        <is>
          <t>egy.mit.ener.oen.ker.4</t>
        </is>
      </c>
      <c r="BD401" s="3" t="n">
        <v>0</v>
      </c>
      <c r="BE401" s="3" t="n">
        <v>0</v>
      </c>
      <c r="BF401" s="3" t="n">
        <v>0</v>
      </c>
      <c r="BG401" s="3" t="n">
        <v>0</v>
      </c>
      <c r="BH401" s="3" t="n">
        <v>0</v>
      </c>
      <c r="BI401" s="3" t="n">
        <v>0</v>
      </c>
      <c r="BJ401" s="3" t="n">
        <v>0</v>
      </c>
      <c r="BK401" s="3" t="n">
        <v>0</v>
      </c>
      <c r="BL401" s="3" t="n">
        <v>0</v>
      </c>
      <c r="BM401" s="3" t="n">
        <v>0</v>
      </c>
      <c r="BN401" s="3" t="n">
        <v>0</v>
      </c>
      <c r="BO401" s="3" t="n">
        <v>0</v>
      </c>
      <c r="BP401" s="3" t="n">
        <v>0</v>
      </c>
      <c r="BQ401" s="3" t="n">
        <v>0</v>
      </c>
      <c r="BR401" s="3" t="n">
        <v>0</v>
      </c>
      <c r="BS401" s="3" t="n">
        <v>0</v>
      </c>
      <c r="BT401" s="3" t="n">
        <v>0</v>
      </c>
      <c r="BU401" s="3" t="n">
        <v>0</v>
      </c>
      <c r="BV401" s="3" t="n">
        <v>0</v>
      </c>
      <c r="BW401" s="3" t="n">
        <v>0</v>
      </c>
      <c r="BY401" s="20" t="inlineStr">
        <is>
          <t>egy.mit.ener.oen.ker.5</t>
        </is>
      </c>
      <c r="BZ401" s="3" t="n">
        <v>0</v>
      </c>
      <c r="CA401" s="3" t="n">
        <v>0</v>
      </c>
      <c r="CB401" s="3" t="n">
        <v>0</v>
      </c>
      <c r="CC401" s="3" t="n">
        <v>0</v>
      </c>
      <c r="CD401" s="3" t="n">
        <v>0</v>
      </c>
      <c r="CE401" s="3" t="n">
        <v>0</v>
      </c>
      <c r="CF401" s="3" t="n">
        <v>0</v>
      </c>
      <c r="CG401" s="3" t="n">
        <v>0</v>
      </c>
      <c r="CH401" s="3" t="n">
        <v>0</v>
      </c>
      <c r="CI401" s="3" t="n">
        <v>0</v>
      </c>
      <c r="CJ401" s="3" t="n">
        <v>0</v>
      </c>
      <c r="CK401" s="3" t="n">
        <v>0</v>
      </c>
      <c r="CL401" s="3" t="n">
        <v>0</v>
      </c>
      <c r="CM401" s="3" t="n">
        <v>0</v>
      </c>
      <c r="CN401" s="3" t="n">
        <v>0</v>
      </c>
      <c r="CO401" s="3" t="n">
        <v>0</v>
      </c>
      <c r="CP401" s="3" t="n">
        <v>0</v>
      </c>
      <c r="CQ401" s="3" t="n">
        <v>0</v>
      </c>
      <c r="CR401" s="3" t="n">
        <v>0</v>
      </c>
      <c r="CS401" s="3" t="n">
        <v>0</v>
      </c>
      <c r="CU401" s="20" t="inlineStr">
        <is>
          <t>egy.mit.ener.oen.ker.6</t>
        </is>
      </c>
      <c r="CV401" s="3" t="n">
        <v>0</v>
      </c>
      <c r="CW401" s="3" t="n">
        <v>0</v>
      </c>
      <c r="CX401" s="3" t="n">
        <v>0</v>
      </c>
      <c r="CY401" s="3" t="n">
        <v>0</v>
      </c>
      <c r="CZ401" s="3" t="n">
        <v>0</v>
      </c>
      <c r="DA401" s="3" t="n">
        <v>0</v>
      </c>
      <c r="DB401" s="3" t="n">
        <v>0</v>
      </c>
      <c r="DC401" s="3" t="n">
        <v>0</v>
      </c>
      <c r="DD401" s="3" t="n">
        <v>0</v>
      </c>
      <c r="DE401" s="3" t="n">
        <v>0</v>
      </c>
      <c r="DF401" s="3" t="n">
        <v>0</v>
      </c>
      <c r="DG401" s="3" t="n">
        <v>0</v>
      </c>
      <c r="DH401" s="3" t="n">
        <v>0</v>
      </c>
      <c r="DI401" s="3" t="n">
        <v>0</v>
      </c>
      <c r="DJ401" s="3" t="n">
        <v>0</v>
      </c>
      <c r="DK401" s="3" t="n">
        <v>0</v>
      </c>
      <c r="DL401" s="3" t="n">
        <v>0</v>
      </c>
      <c r="DM401" s="3" t="n">
        <v>0</v>
      </c>
      <c r="DN401" s="3" t="n">
        <v>0</v>
      </c>
      <c r="DO401" s="3" t="n">
        <v>0</v>
      </c>
    </row>
    <row r="402">
      <c r="A402" s="19" t="inlineStr">
        <is>
          <t>mit.pe.pow.oop</t>
        </is>
      </c>
      <c r="B402" s="3" t="inlineStr">
        <is>
          <t>mit</t>
        </is>
      </c>
      <c r="C402" s="19" t="inlineStr">
        <is>
          <t>mit.ener.oop.pow</t>
        </is>
      </c>
      <c r="H402" s="3" t="inlineStr">
        <is>
          <t>Fuel use (primary energy) of power generation | Power | Other oil products</t>
        </is>
      </c>
      <c r="I402" s="3" t="inlineStr">
        <is>
          <t>ktoe</t>
        </is>
      </c>
      <c r="K402" s="20" t="inlineStr">
        <is>
          <t>egy.mit.pe.pow.oop.1</t>
        </is>
      </c>
      <c r="L402" s="3" t="n">
        <v>4653.506300974022</v>
      </c>
      <c r="M402" s="3" t="n">
        <v>4528.295483410443</v>
      </c>
      <c r="N402" s="3" t="n">
        <v>4398.915612455859</v>
      </c>
      <c r="O402" s="3" t="n">
        <v>5317.827035568718</v>
      </c>
      <c r="P402" s="3" t="n">
        <v>6293.312947249052</v>
      </c>
      <c r="Q402" s="3" t="n">
        <v>7330.064415788531</v>
      </c>
      <c r="R402" s="3" t="n">
        <v>8433.121607328794</v>
      </c>
      <c r="S402" s="3" t="n">
        <v>9607.900690582379</v>
      </c>
      <c r="T402" s="3" t="n">
        <v>10860.22279337002</v>
      </c>
      <c r="U402" s="3" t="n">
        <v>10562.08899498402</v>
      </c>
      <c r="V402" s="3" t="n">
        <v>10274.67921235936</v>
      </c>
      <c r="W402" s="3" t="n">
        <v>9995.561736426163</v>
      </c>
      <c r="X402" s="3" t="n">
        <v>9735.102962252093</v>
      </c>
      <c r="Y402" s="3" t="n">
        <v>9476.812291182978</v>
      </c>
      <c r="Z402" s="3" t="n">
        <v>9226.432753784229</v>
      </c>
      <c r="AA402" s="3" t="n">
        <v>8982.651264083308</v>
      </c>
      <c r="AB402" s="3" t="n">
        <v>8745.355389795634</v>
      </c>
      <c r="AC402" s="3" t="n">
        <v>8514.310225832032</v>
      </c>
      <c r="AD402" s="3" t="n">
        <v>8289.171475092748</v>
      </c>
      <c r="AE402" s="3" t="n">
        <v>8069.713143413497</v>
      </c>
      <c r="AG402" s="20" t="inlineStr">
        <is>
          <t>egy.mit.pe.pow.oop.3</t>
        </is>
      </c>
      <c r="AH402" s="3" t="n">
        <v>4653.506300974022</v>
      </c>
      <c r="AI402" s="3" t="n">
        <v>4526.953551811539</v>
      </c>
      <c r="AJ402" s="3" t="n">
        <v>4397.612021759781</v>
      </c>
      <c r="AK402" s="3" t="n">
        <v>5316.558518005721</v>
      </c>
      <c r="AL402" s="3" t="n">
        <v>6292.076247302075</v>
      </c>
      <c r="AM402" s="3" t="n">
        <v>7328.856280331722</v>
      </c>
      <c r="AN402" s="3" t="n">
        <v>8431.938775449835</v>
      </c>
      <c r="AO402" s="3" t="n">
        <v>8191.026239008412</v>
      </c>
      <c r="AP402" s="3" t="n">
        <v>9328.087518059549</v>
      </c>
      <c r="AQ402" s="3" t="n">
        <v>9068.665179446054</v>
      </c>
      <c r="AR402" s="3" t="n">
        <v>8821.510060901439</v>
      </c>
      <c r="AS402" s="3" t="n">
        <v>8576.562309440566</v>
      </c>
      <c r="AT402" s="3" t="n">
        <v>8345.735050490563</v>
      </c>
      <c r="AU402" s="3" t="n">
        <v>8118.376769974227</v>
      </c>
      <c r="AV402" s="3" t="n">
        <v>7898.098200260463</v>
      </c>
      <c r="AW402" s="3" t="n">
        <v>7683.858002924769</v>
      </c>
      <c r="AX402" s="3" t="n">
        <v>7475.549307203519</v>
      </c>
      <c r="AY402" s="3" t="n">
        <v>7272.72696089436</v>
      </c>
      <c r="AZ402" s="3" t="n">
        <v>7075.302710163435</v>
      </c>
      <c r="BA402" s="3" t="n">
        <v>6882.958831059067</v>
      </c>
      <c r="BC402" s="20" t="inlineStr">
        <is>
          <t>egy.mit.pe.pow.oop.4</t>
        </is>
      </c>
      <c r="BD402" s="3" t="n">
        <v>4653.506300974022</v>
      </c>
      <c r="BE402" s="3" t="n">
        <v>4524.282449908012</v>
      </c>
      <c r="BF402" s="3" t="n">
        <v>4395.017237053497</v>
      </c>
      <c r="BG402" s="3" t="n">
        <v>5314.032541395226</v>
      </c>
      <c r="BH402" s="3" t="n">
        <v>6289.611585941975</v>
      </c>
      <c r="BI402" s="3" t="n">
        <v>7326.445433842595</v>
      </c>
      <c r="BJ402" s="3" t="n">
        <v>8429.574211343881</v>
      </c>
      <c r="BK402" s="3" t="n">
        <v>8191.412710873039</v>
      </c>
      <c r="BL402" s="3" t="n">
        <v>7957.80323443088</v>
      </c>
      <c r="BM402" s="3" t="n">
        <v>7730.708311955488</v>
      </c>
      <c r="BN402" s="3" t="n">
        <v>7510.482725169574</v>
      </c>
      <c r="BO402" s="3" t="n">
        <v>7296.269846448481</v>
      </c>
      <c r="BP402" s="3" t="n">
        <v>7088.319210534191</v>
      </c>
      <c r="BQ402" s="3" t="n">
        <v>6886.175011754042</v>
      </c>
      <c r="BR402" s="3" t="n">
        <v>6689.826711821089</v>
      </c>
      <c r="BS402" s="3" t="n">
        <v>6498.989863772197</v>
      </c>
      <c r="BT402" s="3" t="n">
        <v>6313.594014268109</v>
      </c>
      <c r="BU402" s="3" t="n">
        <v>6133.411585496492</v>
      </c>
      <c r="BV402" s="3" t="n">
        <v>5958.361893199877</v>
      </c>
      <c r="BW402" s="3" t="n">
        <v>5788.245772524725</v>
      </c>
      <c r="BY402" s="20" t="inlineStr">
        <is>
          <t>egy.mit.pe.pow.oop.5</t>
        </is>
      </c>
      <c r="BZ402" s="3" t="n">
        <v>4653.506300974022</v>
      </c>
      <c r="CA402" s="3" t="n">
        <v>4521.198914879778</v>
      </c>
      <c r="CB402" s="3" t="n">
        <v>4392.021803026069</v>
      </c>
      <c r="CC402" s="3" t="n">
        <v>5311.119409079087</v>
      </c>
      <c r="CD402" s="3" t="n">
        <v>6286.774998041035</v>
      </c>
      <c r="CE402" s="3" t="n">
        <v>7323.679659474457</v>
      </c>
      <c r="CF402" s="3" t="n">
        <v>8426.873529997027</v>
      </c>
      <c r="CG402" s="3" t="n">
        <v>9601.772696231767</v>
      </c>
      <c r="CH402" s="3" t="n">
        <v>10854.19814935412</v>
      </c>
      <c r="CI402" s="3" t="n">
        <v>10544.07820267681</v>
      </c>
      <c r="CJ402" s="3" t="n">
        <v>10242.8188254725</v>
      </c>
      <c r="CK402" s="3" t="n">
        <v>9950.166859030542</v>
      </c>
      <c r="CL402" s="3" t="n">
        <v>9665.876377343957</v>
      </c>
      <c r="CM402" s="3" t="n">
        <v>9389.708480848414</v>
      </c>
      <c r="CN402" s="3" t="n">
        <v>9121.431095681317</v>
      </c>
      <c r="CO402" s="3" t="n">
        <v>8860.818778661851</v>
      </c>
      <c r="CP402" s="3" t="n">
        <v>8607.65252784294</v>
      </c>
      <c r="CQ402" s="3" t="n">
        <v>8361.719598476</v>
      </c>
      <c r="CR402" s="3" t="n">
        <v>8122.813324233827</v>
      </c>
      <c r="CS402" s="3" t="n">
        <v>7890.732943541434</v>
      </c>
      <c r="CU402" s="20" t="inlineStr">
        <is>
          <t>egy.mit.pe.pow.oop.6</t>
        </is>
      </c>
      <c r="CV402" s="3" t="n">
        <v>4653.506300974022</v>
      </c>
      <c r="CW402" s="3" t="n">
        <v>4525.344751134799</v>
      </c>
      <c r="CX402" s="3" t="n">
        <v>4396.049186816662</v>
      </c>
      <c r="CY402" s="3" t="n">
        <v>5315.037333537874</v>
      </c>
      <c r="CZ402" s="3" t="n">
        <v>6290.592409521609</v>
      </c>
      <c r="DA402" s="3" t="n">
        <v>7327.405483451717</v>
      </c>
      <c r="DB402" s="3" t="n">
        <v>8430.516697774485</v>
      </c>
      <c r="DC402" s="3" t="n">
        <v>8189.644792123784</v>
      </c>
      <c r="DD402" s="3" t="n">
        <v>7958.505814443136</v>
      </c>
      <c r="DE402" s="3" t="n">
        <v>7732.004214873091</v>
      </c>
      <c r="DF402" s="3" t="n">
        <v>7516.840501233533</v>
      </c>
      <c r="DG402" s="3" t="n">
        <v>7305.958475821718</v>
      </c>
      <c r="DH402" s="3" t="n">
        <v>7103.225800831336</v>
      </c>
      <c r="DI402" s="3" t="n">
        <v>6905.576944049069</v>
      </c>
      <c r="DJ402" s="3" t="n">
        <v>6713.933308743404</v>
      </c>
      <c r="DK402" s="3" t="n">
        <v>6527.35100539167</v>
      </c>
      <c r="DL402" s="3" t="n">
        <v>6346.154977393982</v>
      </c>
      <c r="DM402" s="3" t="n">
        <v>6169.608600707734</v>
      </c>
      <c r="DN402" s="3" t="n">
        <v>5998.003021301731</v>
      </c>
      <c r="DO402" s="3" t="n">
        <v>5830.790210085188</v>
      </c>
    </row>
    <row r="403">
      <c r="A403" s="19" t="inlineStr">
        <is>
          <t>mit.fuq.tra.oop</t>
        </is>
      </c>
      <c r="B403" s="3" t="inlineStr">
        <is>
          <t>mit</t>
        </is>
      </c>
      <c r="C403" s="19" t="inlineStr">
        <is>
          <t>mit.ener.oop.tra</t>
        </is>
      </c>
      <c r="H403" s="3" t="inlineStr">
        <is>
          <t>Fuel use by sector group (weights of the costs per unit) | Transport | Other oil products</t>
        </is>
      </c>
      <c r="I403" s="3" t="inlineStr">
        <is>
          <t>ktoe</t>
        </is>
      </c>
      <c r="K403" s="20" t="inlineStr">
        <is>
          <t>egy.mit.fuq.tra.oop.1</t>
        </is>
      </c>
      <c r="L403" s="3" t="n">
        <v>263.8514166917642</v>
      </c>
      <c r="M403" s="3" t="n">
        <v>226.7115632524926</v>
      </c>
      <c r="N403" s="3" t="n">
        <v>258.0579602982324</v>
      </c>
      <c r="O403" s="3" t="n">
        <v>265.3910372849016</v>
      </c>
      <c r="P403" s="3" t="n">
        <v>272.5200500450365</v>
      </c>
      <c r="Q403" s="3" t="n">
        <v>281.0422223755627</v>
      </c>
      <c r="R403" s="3" t="n">
        <v>291.281559115429</v>
      </c>
      <c r="S403" s="3" t="n">
        <v>301.0551570688597</v>
      </c>
      <c r="T403" s="3" t="n">
        <v>310.1412583471189</v>
      </c>
      <c r="U403" s="3" t="n">
        <v>319.303982220036</v>
      </c>
      <c r="V403" s="3" t="n">
        <v>328.5774285923993</v>
      </c>
      <c r="W403" s="3" t="n">
        <v>337.9583431185025</v>
      </c>
      <c r="X403" s="3" t="n">
        <v>347.4434006849994</v>
      </c>
      <c r="Y403" s="3" t="n">
        <v>357.0292063546953</v>
      </c>
      <c r="Z403" s="3" t="n">
        <v>366.7122959028793</v>
      </c>
      <c r="AA403" s="3" t="n">
        <v>376.4891359450826</v>
      </c>
      <c r="AB403" s="3" t="n">
        <v>386.3561236562491</v>
      </c>
      <c r="AC403" s="3" t="n">
        <v>396.3095860822933</v>
      </c>
      <c r="AD403" s="3" t="n">
        <v>406.3457790458553</v>
      </c>
      <c r="AE403" s="3" t="n">
        <v>416.4608856488321</v>
      </c>
      <c r="AG403" s="20" t="inlineStr">
        <is>
          <t>egy.mit.fuq.tra.oop.3</t>
        </is>
      </c>
      <c r="AH403" s="3" t="n">
        <v>263.8514166917642</v>
      </c>
      <c r="AI403" s="3" t="n">
        <v>226.7115632524926</v>
      </c>
      <c r="AJ403" s="3" t="n">
        <v>258.0579602982324</v>
      </c>
      <c r="AK403" s="3" t="n">
        <v>265.3910372849016</v>
      </c>
      <c r="AL403" s="3" t="n">
        <v>272.5200500450365</v>
      </c>
      <c r="AM403" s="3" t="n">
        <v>237.4905768998892</v>
      </c>
      <c r="AN403" s="3" t="n">
        <v>246.1431397503808</v>
      </c>
      <c r="AO403" s="3" t="n">
        <v>254.5203812562431</v>
      </c>
      <c r="AP403" s="3" t="n">
        <v>261.9285448065819</v>
      </c>
      <c r="AQ403" s="3" t="n">
        <v>269.7152537716493</v>
      </c>
      <c r="AR403" s="3" t="n">
        <v>277.4336274126879</v>
      </c>
      <c r="AS403" s="3" t="n">
        <v>285.5091512794119</v>
      </c>
      <c r="AT403" s="3" t="n">
        <v>293.8079924882049</v>
      </c>
      <c r="AU403" s="3" t="n">
        <v>302.1375194281235</v>
      </c>
      <c r="AV403" s="3" t="n">
        <v>310.6134814087712</v>
      </c>
      <c r="AW403" s="3" t="n">
        <v>319.3131137995554</v>
      </c>
      <c r="AX403" s="3" t="n">
        <v>327.9722612382004</v>
      </c>
      <c r="AY403" s="3" t="n">
        <v>336.6426556830959</v>
      </c>
      <c r="AZ403" s="3" t="n">
        <v>345.2238641792164</v>
      </c>
      <c r="BA403" s="3" t="n">
        <v>353.8260116382115</v>
      </c>
      <c r="BC403" s="20" t="inlineStr">
        <is>
          <t>egy.mit.fuq.tra.oop.4</t>
        </is>
      </c>
      <c r="BD403" s="3" t="n">
        <v>263.8514166917642</v>
      </c>
      <c r="BE403" s="3" t="n">
        <v>226.7115632524926</v>
      </c>
      <c r="BF403" s="3" t="n">
        <v>258.0579602982324</v>
      </c>
      <c r="BG403" s="3" t="n">
        <v>265.3910372849016</v>
      </c>
      <c r="BH403" s="3" t="n">
        <v>272.5200500450365</v>
      </c>
      <c r="BI403" s="3" t="n">
        <v>256.7820841434317</v>
      </c>
      <c r="BJ403" s="3" t="n">
        <v>240.3398463383497</v>
      </c>
      <c r="BK403" s="3" t="n">
        <v>227.8378426577672</v>
      </c>
      <c r="BL403" s="3" t="n">
        <v>217.5979225807911</v>
      </c>
      <c r="BM403" s="3" t="n">
        <v>209.5095298097994</v>
      </c>
      <c r="BN403" s="3" t="n">
        <v>202.9751948058683</v>
      </c>
      <c r="BO403" s="3" t="n">
        <v>197.7311050420243</v>
      </c>
      <c r="BP403" s="3" t="n">
        <v>193.5556474736764</v>
      </c>
      <c r="BQ403" s="3" t="n">
        <v>190.2041589270237</v>
      </c>
      <c r="BR403" s="3" t="n">
        <v>187.5242463746192</v>
      </c>
      <c r="BS403" s="3" t="n">
        <v>185.4345276896909</v>
      </c>
      <c r="BT403" s="3" t="n">
        <v>183.8011931099856</v>
      </c>
      <c r="BU403" s="3" t="n">
        <v>182.5285587666887</v>
      </c>
      <c r="BV403" s="3" t="n">
        <v>181.5009178489513</v>
      </c>
      <c r="BW403" s="3" t="n">
        <v>180.6645942825143</v>
      </c>
      <c r="BY403" s="20" t="inlineStr">
        <is>
          <t>egy.mit.fuq.tra.oop.5</t>
        </is>
      </c>
      <c r="BZ403" s="3" t="n">
        <v>263.8514166917642</v>
      </c>
      <c r="CA403" s="3" t="n">
        <v>226.7115632524926</v>
      </c>
      <c r="CB403" s="3" t="n">
        <v>258.0579602982324</v>
      </c>
      <c r="CC403" s="3" t="n">
        <v>265.3910372849016</v>
      </c>
      <c r="CD403" s="3" t="n">
        <v>272.5200500450365</v>
      </c>
      <c r="CE403" s="3" t="n">
        <v>229.2235660066322</v>
      </c>
      <c r="CF403" s="3" t="n">
        <v>237.5747676083459</v>
      </c>
      <c r="CG403" s="3" t="n">
        <v>245.6434693695106</v>
      </c>
      <c r="CH403" s="3" t="n">
        <v>252.8095057259536</v>
      </c>
      <c r="CI403" s="3" t="n">
        <v>260.3783448176327</v>
      </c>
      <c r="CJ403" s="3" t="n">
        <v>267.8157214961541</v>
      </c>
      <c r="CK403" s="3" t="n">
        <v>275.6297323671792</v>
      </c>
      <c r="CL403" s="3" t="n">
        <v>283.5480980931114</v>
      </c>
      <c r="CM403" s="3" t="n">
        <v>291.5136979506839</v>
      </c>
      <c r="CN403" s="3" t="n">
        <v>299.6162619362562</v>
      </c>
      <c r="CO403" s="3" t="n">
        <v>307.899478847878</v>
      </c>
      <c r="CP403" s="3" t="n">
        <v>316.1503112046478</v>
      </c>
      <c r="CQ403" s="3" t="n">
        <v>324.4519727130733</v>
      </c>
      <c r="CR403" s="3" t="n">
        <v>332.6997844609275</v>
      </c>
      <c r="CS403" s="3" t="n">
        <v>341.0283763289552</v>
      </c>
      <c r="CU403" s="20" t="inlineStr">
        <is>
          <t>egy.mit.fuq.tra.oop.6</t>
        </is>
      </c>
      <c r="CV403" s="3" t="n">
        <v>263.8514166917642</v>
      </c>
      <c r="CW403" s="3" t="n">
        <v>226.7115632524926</v>
      </c>
      <c r="CX403" s="3" t="n">
        <v>258.0579602982324</v>
      </c>
      <c r="CY403" s="3" t="n">
        <v>265.3910372849016</v>
      </c>
      <c r="CZ403" s="3" t="n">
        <v>272.5200500450365</v>
      </c>
      <c r="DA403" s="3" t="n">
        <v>197.1930130226518</v>
      </c>
      <c r="DB403" s="3" t="n">
        <v>204.3773634553476</v>
      </c>
      <c r="DC403" s="3" t="n">
        <v>211.4451329181282</v>
      </c>
      <c r="DD403" s="3" t="n">
        <v>217.3328257707036</v>
      </c>
      <c r="DE403" s="3" t="n">
        <v>223.8625848609103</v>
      </c>
      <c r="DF403" s="3" t="n">
        <v>230.1428629603938</v>
      </c>
      <c r="DG403" s="3" t="n">
        <v>237.0050278148159</v>
      </c>
      <c r="DH403" s="3" t="n">
        <v>244.1440473407357</v>
      </c>
      <c r="DI403" s="3" t="n">
        <v>251.270190147927</v>
      </c>
      <c r="DJ403" s="3" t="n">
        <v>258.5740218864343</v>
      </c>
      <c r="DK403" s="3" t="n">
        <v>266.2003548935463</v>
      </c>
      <c r="DL403" s="3" t="n">
        <v>273.6762510172885</v>
      </c>
      <c r="DM403" s="3" t="n">
        <v>281.1177529056372</v>
      </c>
      <c r="DN403" s="3" t="n">
        <v>288.3371014185096</v>
      </c>
      <c r="DO403" s="3" t="n">
        <v>295.5414023598162</v>
      </c>
    </row>
    <row r="404">
      <c r="A404" s="19" t="inlineStr">
        <is>
          <t>mit.fuq.bld.oop</t>
        </is>
      </c>
      <c r="B404" s="3" t="inlineStr">
        <is>
          <t>mit</t>
        </is>
      </c>
      <c r="C404" s="19" t="inlineStr">
        <is>
          <t>mit.ener.oop.res</t>
        </is>
      </c>
      <c r="H404" s="3" t="inlineStr">
        <is>
          <t>Fuel use by sector group (weights of the costs per unit) | Buildings | Other oil products</t>
        </is>
      </c>
      <c r="I404" s="3" t="inlineStr">
        <is>
          <t>ktoe</t>
        </is>
      </c>
      <c r="K404" s="20" t="inlineStr">
        <is>
          <t>egy.mit.fuq.bld.oop.1</t>
        </is>
      </c>
      <c r="L404" s="3" t="n">
        <v>0</v>
      </c>
      <c r="M404" s="3" t="n">
        <v>0</v>
      </c>
      <c r="N404" s="3" t="n">
        <v>0</v>
      </c>
      <c r="O404" s="3" t="n">
        <v>0</v>
      </c>
      <c r="P404" s="3" t="n">
        <v>0</v>
      </c>
      <c r="Q404" s="3" t="n">
        <v>0</v>
      </c>
      <c r="R404" s="3" t="n">
        <v>0</v>
      </c>
      <c r="S404" s="3" t="n">
        <v>0</v>
      </c>
      <c r="T404" s="3" t="n">
        <v>0</v>
      </c>
      <c r="U404" s="3" t="n">
        <v>0</v>
      </c>
      <c r="V404" s="3" t="n">
        <v>0</v>
      </c>
      <c r="W404" s="3" t="n">
        <v>0</v>
      </c>
      <c r="X404" s="3" t="n">
        <v>0</v>
      </c>
      <c r="Y404" s="3" t="n">
        <v>0</v>
      </c>
      <c r="Z404" s="3" t="n">
        <v>0</v>
      </c>
      <c r="AA404" s="3" t="n">
        <v>0</v>
      </c>
      <c r="AB404" s="3" t="n">
        <v>0</v>
      </c>
      <c r="AC404" s="3" t="n">
        <v>0</v>
      </c>
      <c r="AD404" s="3" t="n">
        <v>0</v>
      </c>
      <c r="AE404" s="3" t="n">
        <v>0</v>
      </c>
      <c r="AG404" s="20" t="inlineStr">
        <is>
          <t>egy.mit.fuq.bld.oop.3</t>
        </is>
      </c>
      <c r="AH404" s="3" t="n">
        <v>0</v>
      </c>
      <c r="AI404" s="3" t="n">
        <v>0</v>
      </c>
      <c r="AJ404" s="3" t="n">
        <v>0</v>
      </c>
      <c r="AK404" s="3" t="n">
        <v>0</v>
      </c>
      <c r="AL404" s="3" t="n">
        <v>0</v>
      </c>
      <c r="AM404" s="3" t="n">
        <v>0</v>
      </c>
      <c r="AN404" s="3" t="n">
        <v>0</v>
      </c>
      <c r="AO404" s="3" t="n">
        <v>0</v>
      </c>
      <c r="AP404" s="3" t="n">
        <v>0</v>
      </c>
      <c r="AQ404" s="3" t="n">
        <v>0</v>
      </c>
      <c r="AR404" s="3" t="n">
        <v>0</v>
      </c>
      <c r="AS404" s="3" t="n">
        <v>0</v>
      </c>
      <c r="AT404" s="3" t="n">
        <v>0</v>
      </c>
      <c r="AU404" s="3" t="n">
        <v>0</v>
      </c>
      <c r="AV404" s="3" t="n">
        <v>0</v>
      </c>
      <c r="AW404" s="3" t="n">
        <v>0</v>
      </c>
      <c r="AX404" s="3" t="n">
        <v>0</v>
      </c>
      <c r="AY404" s="3" t="n">
        <v>0</v>
      </c>
      <c r="AZ404" s="3" t="n">
        <v>0</v>
      </c>
      <c r="BA404" s="3" t="n">
        <v>0</v>
      </c>
      <c r="BC404" s="20" t="inlineStr">
        <is>
          <t>egy.mit.fuq.bld.oop.4</t>
        </is>
      </c>
      <c r="BD404" s="3" t="n">
        <v>0</v>
      </c>
      <c r="BE404" s="3" t="n">
        <v>0</v>
      </c>
      <c r="BF404" s="3" t="n">
        <v>0</v>
      </c>
      <c r="BG404" s="3" t="n">
        <v>0</v>
      </c>
      <c r="BH404" s="3" t="n">
        <v>0</v>
      </c>
      <c r="BI404" s="3" t="n">
        <v>0</v>
      </c>
      <c r="BJ404" s="3" t="n">
        <v>0</v>
      </c>
      <c r="BK404" s="3" t="n">
        <v>0</v>
      </c>
      <c r="BL404" s="3" t="n">
        <v>0</v>
      </c>
      <c r="BM404" s="3" t="n">
        <v>0</v>
      </c>
      <c r="BN404" s="3" t="n">
        <v>0</v>
      </c>
      <c r="BO404" s="3" t="n">
        <v>0</v>
      </c>
      <c r="BP404" s="3" t="n">
        <v>0</v>
      </c>
      <c r="BQ404" s="3" t="n">
        <v>0</v>
      </c>
      <c r="BR404" s="3" t="n">
        <v>0</v>
      </c>
      <c r="BS404" s="3" t="n">
        <v>0</v>
      </c>
      <c r="BT404" s="3" t="n">
        <v>0</v>
      </c>
      <c r="BU404" s="3" t="n">
        <v>0</v>
      </c>
      <c r="BV404" s="3" t="n">
        <v>0</v>
      </c>
      <c r="BW404" s="3" t="n">
        <v>0</v>
      </c>
      <c r="BY404" s="20" t="inlineStr">
        <is>
          <t>egy.mit.fuq.bld.oop.5</t>
        </is>
      </c>
      <c r="BZ404" s="3" t="n">
        <v>0</v>
      </c>
      <c r="CA404" s="3" t="n">
        <v>0</v>
      </c>
      <c r="CB404" s="3" t="n">
        <v>0</v>
      </c>
      <c r="CC404" s="3" t="n">
        <v>0</v>
      </c>
      <c r="CD404" s="3" t="n">
        <v>0</v>
      </c>
      <c r="CE404" s="3" t="n">
        <v>0</v>
      </c>
      <c r="CF404" s="3" t="n">
        <v>0</v>
      </c>
      <c r="CG404" s="3" t="n">
        <v>0</v>
      </c>
      <c r="CH404" s="3" t="n">
        <v>0</v>
      </c>
      <c r="CI404" s="3" t="n">
        <v>0</v>
      </c>
      <c r="CJ404" s="3" t="n">
        <v>0</v>
      </c>
      <c r="CK404" s="3" t="n">
        <v>0</v>
      </c>
      <c r="CL404" s="3" t="n">
        <v>0</v>
      </c>
      <c r="CM404" s="3" t="n">
        <v>0</v>
      </c>
      <c r="CN404" s="3" t="n">
        <v>0</v>
      </c>
      <c r="CO404" s="3" t="n">
        <v>0</v>
      </c>
      <c r="CP404" s="3" t="n">
        <v>0</v>
      </c>
      <c r="CQ404" s="3" t="n">
        <v>0</v>
      </c>
      <c r="CR404" s="3" t="n">
        <v>0</v>
      </c>
      <c r="CS404" s="3" t="n">
        <v>0</v>
      </c>
      <c r="CU404" s="20" t="inlineStr">
        <is>
          <t>egy.mit.fuq.bld.oop.6</t>
        </is>
      </c>
      <c r="CV404" s="3" t="n">
        <v>0</v>
      </c>
      <c r="CW404" s="3" t="n">
        <v>0</v>
      </c>
      <c r="CX404" s="3" t="n">
        <v>0</v>
      </c>
      <c r="CY404" s="3" t="n">
        <v>0</v>
      </c>
      <c r="CZ404" s="3" t="n">
        <v>0</v>
      </c>
      <c r="DA404" s="3" t="n">
        <v>0</v>
      </c>
      <c r="DB404" s="3" t="n">
        <v>0</v>
      </c>
      <c r="DC404" s="3" t="n">
        <v>0</v>
      </c>
      <c r="DD404" s="3" t="n">
        <v>0</v>
      </c>
      <c r="DE404" s="3" t="n">
        <v>0</v>
      </c>
      <c r="DF404" s="3" t="n">
        <v>0</v>
      </c>
      <c r="DG404" s="3" t="n">
        <v>0</v>
      </c>
      <c r="DH404" s="3" t="n">
        <v>0</v>
      </c>
      <c r="DI404" s="3" t="n">
        <v>0</v>
      </c>
      <c r="DJ404" s="3" t="n">
        <v>0</v>
      </c>
      <c r="DK404" s="3" t="n">
        <v>0</v>
      </c>
      <c r="DL404" s="3" t="n">
        <v>0</v>
      </c>
      <c r="DM404" s="3" t="n">
        <v>0</v>
      </c>
      <c r="DN404" s="3" t="n">
        <v>0</v>
      </c>
      <c r="DO404" s="3" t="n">
        <v>0</v>
      </c>
    </row>
    <row r="405">
      <c r="A405" s="19" t="inlineStr">
        <is>
          <t>mit.fuq.ind.oop</t>
        </is>
      </c>
      <c r="B405" s="3" t="inlineStr">
        <is>
          <t>mit</t>
        </is>
      </c>
      <c r="C405" s="19" t="inlineStr">
        <is>
          <t>mit.ener.oop.ind</t>
        </is>
      </c>
      <c r="H405" s="3" t="inlineStr">
        <is>
          <t>Fuel use by sector group (weights of the costs per unit) | Industry | Other oil products</t>
        </is>
      </c>
      <c r="I405" s="3" t="inlineStr">
        <is>
          <t>ktoe</t>
        </is>
      </c>
      <c r="K405" s="20" t="inlineStr">
        <is>
          <t>egy.mit.fuq.ind.oop.1</t>
        </is>
      </c>
      <c r="L405" s="3" t="n">
        <v>2563.536691989556</v>
      </c>
      <c r="M405" s="3" t="n">
        <v>2224.834857899355</v>
      </c>
      <c r="N405" s="3" t="n">
        <v>2550.110876367437</v>
      </c>
      <c r="O405" s="3" t="n">
        <v>2633.015282123897</v>
      </c>
      <c r="P405" s="3" t="n">
        <v>2714.506666019357</v>
      </c>
      <c r="Q405" s="3" t="n">
        <v>2810.537265695085</v>
      </c>
      <c r="R405" s="3" t="n">
        <v>2924.530077153401</v>
      </c>
      <c r="S405" s="3" t="n">
        <v>3034.691144138166</v>
      </c>
      <c r="T405" s="3" t="n">
        <v>3138.725208923536</v>
      </c>
      <c r="U405" s="3" t="n">
        <v>3244.31795705976</v>
      </c>
      <c r="V405" s="3" t="n">
        <v>3351.831102597191</v>
      </c>
      <c r="W405" s="3" t="n">
        <v>3461.249427274509</v>
      </c>
      <c r="X405" s="3" t="n">
        <v>3572.556586134012</v>
      </c>
      <c r="Y405" s="3" t="n">
        <v>3685.735098333229</v>
      </c>
      <c r="Z405" s="3" t="n">
        <v>3800.766333755982</v>
      </c>
      <c r="AA405" s="3" t="n">
        <v>3917.630495294982</v>
      </c>
      <c r="AB405" s="3" t="n">
        <v>4036.306596687358</v>
      </c>
      <c r="AC405" s="3" t="n">
        <v>4156.77243579294</v>
      </c>
      <c r="AD405" s="3" t="n">
        <v>4279.004563212417</v>
      </c>
      <c r="AE405" s="3" t="n">
        <v>4402.978246149216</v>
      </c>
      <c r="AG405" s="20" t="inlineStr">
        <is>
          <t>egy.mit.fuq.ind.oop.3</t>
        </is>
      </c>
      <c r="AH405" s="3" t="n">
        <v>2563.536691989556</v>
      </c>
      <c r="AI405" s="3" t="n">
        <v>2224.834857899355</v>
      </c>
      <c r="AJ405" s="3" t="n">
        <v>2550.110876367437</v>
      </c>
      <c r="AK405" s="3" t="n">
        <v>2633.015282123897</v>
      </c>
      <c r="AL405" s="3" t="n">
        <v>2714.506666019357</v>
      </c>
      <c r="AM405" s="3" t="n">
        <v>2303.208486381971</v>
      </c>
      <c r="AN405" s="3" t="n">
        <v>2396.624144615448</v>
      </c>
      <c r="AO405" s="3" t="n">
        <v>2488.055615500743</v>
      </c>
      <c r="AP405" s="3" t="n">
        <v>2570.666118309332</v>
      </c>
      <c r="AQ405" s="3" t="n">
        <v>2657.624854422626</v>
      </c>
      <c r="AR405" s="3" t="n">
        <v>2744.55913628519</v>
      </c>
      <c r="AS405" s="3" t="n">
        <v>2835.690643338388</v>
      </c>
      <c r="AT405" s="3" t="n">
        <v>2929.731007443699</v>
      </c>
      <c r="AU405" s="3" t="n">
        <v>3024.782318405401</v>
      </c>
      <c r="AV405" s="3" t="n">
        <v>3122.015768446846</v>
      </c>
      <c r="AW405" s="3" t="n">
        <v>3222.232475464534</v>
      </c>
      <c r="AX405" s="3" t="n">
        <v>3322.787394860241</v>
      </c>
      <c r="AY405" s="3" t="n">
        <v>3424.206197145153</v>
      </c>
      <c r="AZ405" s="3" t="n">
        <v>3525.468988130893</v>
      </c>
      <c r="BA405" s="3" t="n">
        <v>3627.698379229345</v>
      </c>
      <c r="BC405" s="20" t="inlineStr">
        <is>
          <t>egy.mit.fuq.ind.oop.4</t>
        </is>
      </c>
      <c r="BD405" s="3" t="n">
        <v>2563.536691989556</v>
      </c>
      <c r="BE405" s="3" t="n">
        <v>2224.834857899355</v>
      </c>
      <c r="BF405" s="3" t="n">
        <v>2550.110876367437</v>
      </c>
      <c r="BG405" s="3" t="n">
        <v>2633.015282123897</v>
      </c>
      <c r="BH405" s="3" t="n">
        <v>2714.506666019357</v>
      </c>
      <c r="BI405" s="3" t="n">
        <v>2480.092062301617</v>
      </c>
      <c r="BJ405" s="3" t="n">
        <v>2254.141713124026</v>
      </c>
      <c r="BK405" s="3" t="n">
        <v>2093.311003073601</v>
      </c>
      <c r="BL405" s="3" t="n">
        <v>1969.05940704976</v>
      </c>
      <c r="BM405" s="3" t="n">
        <v>1894.589613646848</v>
      </c>
      <c r="BN405" s="3" t="n">
        <v>1834.867869566235</v>
      </c>
      <c r="BO405" s="3" t="n">
        <v>1787.356513891649</v>
      </c>
      <c r="BP405" s="3" t="n">
        <v>1749.947066360406</v>
      </c>
      <c r="BQ405" s="3" t="n">
        <v>1720.354066828336</v>
      </c>
      <c r="BR405" s="3" t="n">
        <v>1697.146828513058</v>
      </c>
      <c r="BS405" s="3" t="n">
        <v>1679.551350031958</v>
      </c>
      <c r="BT405" s="3" t="n">
        <v>1666.328787252397</v>
      </c>
      <c r="BU405" s="3" t="n">
        <v>1656.591346168702</v>
      </c>
      <c r="BV405" s="3" t="n">
        <v>1649.272702859381</v>
      </c>
      <c r="BW405" s="3" t="n">
        <v>1643.871136108439</v>
      </c>
      <c r="BY405" s="20" t="inlineStr">
        <is>
          <t>egy.mit.fuq.ind.oop.5</t>
        </is>
      </c>
      <c r="BZ405" s="3" t="n">
        <v>2563.536691989556</v>
      </c>
      <c r="CA405" s="3" t="n">
        <v>2224.834857899355</v>
      </c>
      <c r="CB405" s="3" t="n">
        <v>2550.110876367437</v>
      </c>
      <c r="CC405" s="3" t="n">
        <v>2633.015282123897</v>
      </c>
      <c r="CD405" s="3" t="n">
        <v>2714.506666019357</v>
      </c>
      <c r="CE405" s="3" t="n">
        <v>2209.795973182873</v>
      </c>
      <c r="CF405" s="3" t="n">
        <v>2299.42130547844</v>
      </c>
      <c r="CG405" s="3" t="n">
        <v>2386.980026958933</v>
      </c>
      <c r="CH405" s="3" t="n">
        <v>2466.393042714194</v>
      </c>
      <c r="CI405" s="3" t="n">
        <v>2550.34582028678</v>
      </c>
      <c r="CJ405" s="3" t="n">
        <v>2633.635113901451</v>
      </c>
      <c r="CK405" s="3" t="n">
        <v>2721.265553552326</v>
      </c>
      <c r="CL405" s="3" t="n">
        <v>2810.586294035387</v>
      </c>
      <c r="CM405" s="3" t="n">
        <v>2901.045075172785</v>
      </c>
      <c r="CN405" s="3" t="n">
        <v>2993.54792986912</v>
      </c>
      <c r="CO405" s="3" t="n">
        <v>3088.553389622882</v>
      </c>
      <c r="CP405" s="3" t="n">
        <v>3183.941630918791</v>
      </c>
      <c r="CQ405" s="3" t="n">
        <v>3280.554276541043</v>
      </c>
      <c r="CR405" s="3" t="n">
        <v>3377.338980376117</v>
      </c>
      <c r="CS405" s="3" t="n">
        <v>3475.665515349565</v>
      </c>
      <c r="CU405" s="20" t="inlineStr">
        <is>
          <t>egy.mit.fuq.ind.oop.6</t>
        </is>
      </c>
      <c r="CV405" s="3" t="n">
        <v>2563.536691989556</v>
      </c>
      <c r="CW405" s="3" t="n">
        <v>2224.834857899355</v>
      </c>
      <c r="CX405" s="3" t="n">
        <v>2550.110876367437</v>
      </c>
      <c r="CY405" s="3" t="n">
        <v>2633.015282123897</v>
      </c>
      <c r="CZ405" s="3" t="n">
        <v>2714.506666019357</v>
      </c>
      <c r="DA405" s="3" t="n">
        <v>1856.161780049694</v>
      </c>
      <c r="DB405" s="3" t="n">
        <v>1931.445330395647</v>
      </c>
      <c r="DC405" s="3" t="n">
        <v>2006.192697119624</v>
      </c>
      <c r="DD405" s="3" t="n">
        <v>2070.263396432662</v>
      </c>
      <c r="DE405" s="3" t="n">
        <v>2140.952911883566</v>
      </c>
      <c r="DF405" s="3" t="n">
        <v>2209.776941022446</v>
      </c>
      <c r="DG405" s="3" t="n">
        <v>2284.724347453332</v>
      </c>
      <c r="DH405" s="3" t="n">
        <v>2362.912909938389</v>
      </c>
      <c r="DI405" s="3" t="n">
        <v>2441.562624952666</v>
      </c>
      <c r="DJ405" s="3" t="n">
        <v>2522.534501573638</v>
      </c>
      <c r="DK405" s="3" t="n">
        <v>2607.271030032557</v>
      </c>
      <c r="DL405" s="3" t="n">
        <v>2691.162890970355</v>
      </c>
      <c r="DM405" s="3" t="n">
        <v>2775.341762435447</v>
      </c>
      <c r="DN405" s="3" t="n">
        <v>2857.946213149132</v>
      </c>
      <c r="DO405" s="3" t="n">
        <v>2941.014577267257</v>
      </c>
    </row>
    <row r="406">
      <c r="A406" s="19" t="inlineStr">
        <is>
          <t>mit.ener.oen.oop</t>
        </is>
      </c>
      <c r="B406" s="3" t="inlineStr">
        <is>
          <t>mit</t>
        </is>
      </c>
      <c r="C406" s="19" t="inlineStr">
        <is>
          <t>mit.ener.oop.oen</t>
        </is>
      </c>
      <c r="H406" s="3" t="inlineStr">
        <is>
          <t>Fuel use | Other energy use | Other oil products</t>
        </is>
      </c>
      <c r="I406" s="3" t="inlineStr">
        <is>
          <t>ktoe</t>
        </is>
      </c>
      <c r="K406" s="20" t="inlineStr">
        <is>
          <t>egy.mit.ener.oen.oop.1</t>
        </is>
      </c>
      <c r="L406" s="3" t="n">
        <v>95.81710642853916</v>
      </c>
      <c r="M406" s="3" t="n">
        <v>83.15747499592833</v>
      </c>
      <c r="N406" s="3" t="n">
        <v>95.31529078908513</v>
      </c>
      <c r="O406" s="3" t="n">
        <v>98.4140021492867</v>
      </c>
      <c r="P406" s="3" t="n">
        <v>101.4598991041145</v>
      </c>
      <c r="Q406" s="3" t="n">
        <v>105.0492271672851</v>
      </c>
      <c r="R406" s="3" t="n">
        <v>109.3099273873053</v>
      </c>
      <c r="S406" s="3" t="n">
        <v>113.4274087998178</v>
      </c>
      <c r="T406" s="3" t="n">
        <v>117.3158817399094</v>
      </c>
      <c r="U406" s="3" t="n">
        <v>121.2626134632608</v>
      </c>
      <c r="V406" s="3" t="n">
        <v>125.281123727076</v>
      </c>
      <c r="W406" s="3" t="n">
        <v>129.3708437196158</v>
      </c>
      <c r="X406" s="3" t="n">
        <v>133.5311625167001</v>
      </c>
      <c r="Y406" s="3" t="n">
        <v>137.7614267382743</v>
      </c>
      <c r="Z406" s="3" t="n">
        <v>142.0609400479722</v>
      </c>
      <c r="AA406" s="3" t="n">
        <v>146.4289624908942</v>
      </c>
      <c r="AB406" s="3" t="n">
        <v>150.8647096651671</v>
      </c>
      <c r="AC406" s="3" t="n">
        <v>155.3673517231688</v>
      </c>
      <c r="AD406" s="3" t="n">
        <v>159.9360121985721</v>
      </c>
      <c r="AE406" s="3" t="n">
        <v>164.5697666556125</v>
      </c>
      <c r="AG406" s="20" t="inlineStr">
        <is>
          <t>egy.mit.ener.oen.oop.3</t>
        </is>
      </c>
      <c r="AH406" s="3" t="n">
        <v>95.81710642853916</v>
      </c>
      <c r="AI406" s="3" t="n">
        <v>83.15747499592833</v>
      </c>
      <c r="AJ406" s="3" t="n">
        <v>95.31529078908513</v>
      </c>
      <c r="AK406" s="3" t="n">
        <v>98.4140021492867</v>
      </c>
      <c r="AL406" s="3" t="n">
        <v>101.4598991041145</v>
      </c>
      <c r="AM406" s="3" t="n">
        <v>105.0492321465779</v>
      </c>
      <c r="AN406" s="3" t="n">
        <v>109.309915982156</v>
      </c>
      <c r="AO406" s="3" t="n">
        <v>113.4801011248915</v>
      </c>
      <c r="AP406" s="3" t="n">
        <v>117.2479623231268</v>
      </c>
      <c r="AQ406" s="3" t="n">
        <v>121.2141462405404</v>
      </c>
      <c r="AR406" s="3" t="n">
        <v>125.1792148007132</v>
      </c>
      <c r="AS406" s="3" t="n">
        <v>129.3357186069914</v>
      </c>
      <c r="AT406" s="3" t="n">
        <v>133.6248952483844</v>
      </c>
      <c r="AU406" s="3" t="n">
        <v>137.9601811289681</v>
      </c>
      <c r="AV406" s="3" t="n">
        <v>142.3949942716818</v>
      </c>
      <c r="AW406" s="3" t="n">
        <v>146.965873626596</v>
      </c>
      <c r="AX406" s="3" t="n">
        <v>151.5521788323716</v>
      </c>
      <c r="AY406" s="3" t="n">
        <v>156.1778856966214</v>
      </c>
      <c r="AZ406" s="3" t="n">
        <v>160.7964768927583</v>
      </c>
      <c r="BA406" s="3" t="n">
        <v>165.4591546751653</v>
      </c>
      <c r="BC406" s="20" t="inlineStr">
        <is>
          <t>egy.mit.ener.oen.oop.4</t>
        </is>
      </c>
      <c r="BD406" s="3" t="n">
        <v>95.81710642853916</v>
      </c>
      <c r="BE406" s="3" t="n">
        <v>83.15747499592833</v>
      </c>
      <c r="BF406" s="3" t="n">
        <v>95.31529078908513</v>
      </c>
      <c r="BG406" s="3" t="n">
        <v>98.4140021492867</v>
      </c>
      <c r="BH406" s="3" t="n">
        <v>101.4598991041145</v>
      </c>
      <c r="BI406" s="3" t="n">
        <v>102.8713597574591</v>
      </c>
      <c r="BJ406" s="3" t="n">
        <v>104.3631345752855</v>
      </c>
      <c r="BK406" s="3" t="n">
        <v>105.8667456212162</v>
      </c>
      <c r="BL406" s="3" t="n">
        <v>107.1934193146778</v>
      </c>
      <c r="BM406" s="3" t="n">
        <v>110.7686000721306</v>
      </c>
      <c r="BN406" s="3" t="n">
        <v>114.3835875420671</v>
      </c>
      <c r="BO406" s="3" t="n">
        <v>118.1061018160607</v>
      </c>
      <c r="BP406" s="3" t="n">
        <v>121.9733188187141</v>
      </c>
      <c r="BQ406" s="3" t="n">
        <v>125.9631406351829</v>
      </c>
      <c r="BR406" s="3" t="n">
        <v>130.0757286698019</v>
      </c>
      <c r="BS406" s="3" t="n">
        <v>134.3361995946427</v>
      </c>
      <c r="BT406" s="3" t="n">
        <v>138.7146234422214</v>
      </c>
      <c r="BU406" s="3" t="n">
        <v>143.1907477028222</v>
      </c>
      <c r="BV406" s="3" t="n">
        <v>147.7136409650938</v>
      </c>
      <c r="BW406" s="3" t="n">
        <v>152.2688767171506</v>
      </c>
      <c r="BY406" s="20" t="inlineStr">
        <is>
          <t>egy.mit.ener.oen.oop.5</t>
        </is>
      </c>
      <c r="BZ406" s="3" t="n">
        <v>95.81710642853916</v>
      </c>
      <c r="CA406" s="3" t="n">
        <v>83.15747499592833</v>
      </c>
      <c r="CB406" s="3" t="n">
        <v>95.31529078908513</v>
      </c>
      <c r="CC406" s="3" t="n">
        <v>98.4140021492867</v>
      </c>
      <c r="CD406" s="3" t="n">
        <v>101.4598991041145</v>
      </c>
      <c r="CE406" s="3" t="n">
        <v>105.049253512203</v>
      </c>
      <c r="CF406" s="3" t="n">
        <v>109.3098614451025</v>
      </c>
      <c r="CG406" s="3" t="n">
        <v>113.4722268587567</v>
      </c>
      <c r="CH406" s="3" t="n">
        <v>117.2473618148708</v>
      </c>
      <c r="CI406" s="3" t="n">
        <v>121.2383079118417</v>
      </c>
      <c r="CJ406" s="3" t="n">
        <v>125.1977133166663</v>
      </c>
      <c r="CK406" s="3" t="n">
        <v>129.3634880678129</v>
      </c>
      <c r="CL406" s="3" t="n">
        <v>133.6096163189146</v>
      </c>
      <c r="CM406" s="3" t="n">
        <v>137.9098447324999</v>
      </c>
      <c r="CN406" s="3" t="n">
        <v>142.3072442895285</v>
      </c>
      <c r="CO406" s="3" t="n">
        <v>146.8236126546772</v>
      </c>
      <c r="CP406" s="3" t="n">
        <v>151.3581776840198</v>
      </c>
      <c r="CQ406" s="3" t="n">
        <v>155.9509484310125</v>
      </c>
      <c r="CR406" s="3" t="n">
        <v>160.5518984791881</v>
      </c>
      <c r="CS406" s="3" t="n">
        <v>165.2261440768596</v>
      </c>
      <c r="CU406" s="20" t="inlineStr">
        <is>
          <t>egy.mit.ener.oen.oop.6</t>
        </is>
      </c>
      <c r="CV406" s="3" t="n">
        <v>95.81710642853916</v>
      </c>
      <c r="CW406" s="3" t="n">
        <v>83.15747499592833</v>
      </c>
      <c r="CX406" s="3" t="n">
        <v>95.31529078908513</v>
      </c>
      <c r="CY406" s="3" t="n">
        <v>98.4140021492867</v>
      </c>
      <c r="CZ406" s="3" t="n">
        <v>101.4598991041145</v>
      </c>
      <c r="DA406" s="3" t="n">
        <v>105.049238480832</v>
      </c>
      <c r="DB406" s="3" t="n">
        <v>109.3099013815432</v>
      </c>
      <c r="DC406" s="3" t="n">
        <v>113.5402190387632</v>
      </c>
      <c r="DD406" s="3" t="n">
        <v>117.1662920697405</v>
      </c>
      <c r="DE406" s="3" t="n">
        <v>121.166956153287</v>
      </c>
      <c r="DF406" s="3" t="n">
        <v>125.0620432776584</v>
      </c>
      <c r="DG406" s="3" t="n">
        <v>129.3036821564997</v>
      </c>
      <c r="DH406" s="3" t="n">
        <v>133.7287538475816</v>
      </c>
      <c r="DI406" s="3" t="n">
        <v>138.179924407059</v>
      </c>
      <c r="DJ406" s="3" t="n">
        <v>142.7625174055902</v>
      </c>
      <c r="DK406" s="3" t="n">
        <v>147.5581703932734</v>
      </c>
      <c r="DL406" s="3" t="n">
        <v>152.3060195306582</v>
      </c>
      <c r="DM406" s="3" t="n">
        <v>157.0701119921176</v>
      </c>
      <c r="DN406" s="3" t="n">
        <v>161.7451003125686</v>
      </c>
      <c r="DO406" s="3" t="n">
        <v>166.446343752795</v>
      </c>
    </row>
    <row r="407">
      <c r="A407" s="14" t="n"/>
      <c r="B407" s="3" t="inlineStr">
        <is>
          <t>mit</t>
        </is>
      </c>
      <c r="C407" s="19" t="inlineStr">
        <is>
          <t>mit.ener.tot.tot</t>
        </is>
      </c>
      <c r="H407" s="14" t="inlineStr">
        <is>
          <t>Total fossil fuel energy consumption (baseline)</t>
        </is>
      </c>
      <c r="I407" s="14" t="inlineStr">
        <is>
          <t>ktoe</t>
        </is>
      </c>
    </row>
    <row r="408">
      <c r="A408" s="19" t="inlineStr">
        <is>
          <t>mit.pe.pow.bio</t>
        </is>
      </c>
      <c r="B408" s="3" t="inlineStr">
        <is>
          <t>mit</t>
        </is>
      </c>
      <c r="C408" s="19" t="inlineStr">
        <is>
          <t>mit.ener.bio.pow</t>
        </is>
      </c>
      <c r="H408" s="3" t="inlineStr">
        <is>
          <t>Fuel use (primary energy) of power generation | Power | Biomass</t>
        </is>
      </c>
      <c r="I408" s="3" t="inlineStr">
        <is>
          <t>ktoe</t>
        </is>
      </c>
      <c r="K408" s="20" t="inlineStr">
        <is>
          <t>egy.mit.pe.pow.bio.1</t>
        </is>
      </c>
      <c r="L408" s="3" t="n">
        <v>0</v>
      </c>
      <c r="M408" s="3" t="n">
        <v>0</v>
      </c>
      <c r="N408" s="3" t="n">
        <v>0</v>
      </c>
      <c r="O408" s="3" t="n">
        <v>0</v>
      </c>
      <c r="P408" s="3" t="n">
        <v>0</v>
      </c>
      <c r="Q408" s="3" t="n">
        <v>0</v>
      </c>
      <c r="R408" s="3" t="n">
        <v>0</v>
      </c>
      <c r="S408" s="3" t="n">
        <v>0</v>
      </c>
      <c r="T408" s="3" t="n">
        <v>0</v>
      </c>
      <c r="U408" s="3" t="n">
        <v>0</v>
      </c>
      <c r="V408" s="3" t="n">
        <v>0</v>
      </c>
      <c r="W408" s="3" t="n">
        <v>0</v>
      </c>
      <c r="X408" s="3" t="n">
        <v>0</v>
      </c>
      <c r="Y408" s="3" t="n">
        <v>0</v>
      </c>
      <c r="Z408" s="3" t="n">
        <v>0</v>
      </c>
      <c r="AA408" s="3" t="n">
        <v>0</v>
      </c>
      <c r="AB408" s="3" t="n">
        <v>0</v>
      </c>
      <c r="AC408" s="3" t="n">
        <v>0</v>
      </c>
      <c r="AD408" s="3" t="n">
        <v>0</v>
      </c>
      <c r="AE408" s="3" t="n">
        <v>0</v>
      </c>
      <c r="AG408" s="20" t="inlineStr">
        <is>
          <t>egy.mit.pe.pow.bio.3</t>
        </is>
      </c>
      <c r="AH408" s="3" t="n">
        <v>0</v>
      </c>
      <c r="AI408" s="3" t="n">
        <v>0</v>
      </c>
      <c r="AJ408" s="3" t="n">
        <v>0</v>
      </c>
      <c r="AK408" s="3" t="n">
        <v>0</v>
      </c>
      <c r="AL408" s="3" t="n">
        <v>0</v>
      </c>
      <c r="AM408" s="3" t="n">
        <v>0</v>
      </c>
      <c r="AN408" s="3" t="n">
        <v>0</v>
      </c>
      <c r="AO408" s="3" t="n">
        <v>0</v>
      </c>
      <c r="AP408" s="3" t="n">
        <v>0</v>
      </c>
      <c r="AQ408" s="3" t="n">
        <v>0</v>
      </c>
      <c r="AR408" s="3" t="n">
        <v>0</v>
      </c>
      <c r="AS408" s="3" t="n">
        <v>0</v>
      </c>
      <c r="AT408" s="3" t="n">
        <v>0</v>
      </c>
      <c r="AU408" s="3" t="n">
        <v>0</v>
      </c>
      <c r="AV408" s="3" t="n">
        <v>0</v>
      </c>
      <c r="AW408" s="3" t="n">
        <v>0</v>
      </c>
      <c r="AX408" s="3" t="n">
        <v>0</v>
      </c>
      <c r="AY408" s="3" t="n">
        <v>0</v>
      </c>
      <c r="AZ408" s="3" t="n">
        <v>0</v>
      </c>
      <c r="BA408" s="3" t="n">
        <v>0</v>
      </c>
      <c r="BC408" s="20" t="inlineStr">
        <is>
          <t>egy.mit.pe.pow.bio.4</t>
        </is>
      </c>
      <c r="BD408" s="3" t="n">
        <v>0</v>
      </c>
      <c r="BE408" s="3" t="n">
        <v>0</v>
      </c>
      <c r="BF408" s="3" t="n">
        <v>0</v>
      </c>
      <c r="BG408" s="3" t="n">
        <v>0</v>
      </c>
      <c r="BH408" s="3" t="n">
        <v>0</v>
      </c>
      <c r="BI408" s="3" t="n">
        <v>0</v>
      </c>
      <c r="BJ408" s="3" t="n">
        <v>0</v>
      </c>
      <c r="BK408" s="3" t="n">
        <v>0</v>
      </c>
      <c r="BL408" s="3" t="n">
        <v>0</v>
      </c>
      <c r="BM408" s="3" t="n">
        <v>0</v>
      </c>
      <c r="BN408" s="3" t="n">
        <v>0</v>
      </c>
      <c r="BO408" s="3" t="n">
        <v>0</v>
      </c>
      <c r="BP408" s="3" t="n">
        <v>0</v>
      </c>
      <c r="BQ408" s="3" t="n">
        <v>0</v>
      </c>
      <c r="BR408" s="3" t="n">
        <v>0</v>
      </c>
      <c r="BS408" s="3" t="n">
        <v>0</v>
      </c>
      <c r="BT408" s="3" t="n">
        <v>0</v>
      </c>
      <c r="BU408" s="3" t="n">
        <v>0</v>
      </c>
      <c r="BV408" s="3" t="n">
        <v>0</v>
      </c>
      <c r="BW408" s="3" t="n">
        <v>0</v>
      </c>
      <c r="BY408" s="20" t="inlineStr">
        <is>
          <t>egy.mit.pe.pow.bio.5</t>
        </is>
      </c>
      <c r="BZ408" s="3" t="n">
        <v>0</v>
      </c>
      <c r="CA408" s="3" t="n">
        <v>0</v>
      </c>
      <c r="CB408" s="3" t="n">
        <v>0</v>
      </c>
      <c r="CC408" s="3" t="n">
        <v>0</v>
      </c>
      <c r="CD408" s="3" t="n">
        <v>0</v>
      </c>
      <c r="CE408" s="3" t="n">
        <v>0</v>
      </c>
      <c r="CF408" s="3" t="n">
        <v>0</v>
      </c>
      <c r="CG408" s="3" t="n">
        <v>0</v>
      </c>
      <c r="CH408" s="3" t="n">
        <v>0</v>
      </c>
      <c r="CI408" s="3" t="n">
        <v>0</v>
      </c>
      <c r="CJ408" s="3" t="n">
        <v>0</v>
      </c>
      <c r="CK408" s="3" t="n">
        <v>0</v>
      </c>
      <c r="CL408" s="3" t="n">
        <v>0</v>
      </c>
      <c r="CM408" s="3" t="n">
        <v>0</v>
      </c>
      <c r="CN408" s="3" t="n">
        <v>0</v>
      </c>
      <c r="CO408" s="3" t="n">
        <v>0</v>
      </c>
      <c r="CP408" s="3" t="n">
        <v>0</v>
      </c>
      <c r="CQ408" s="3" t="n">
        <v>0</v>
      </c>
      <c r="CR408" s="3" t="n">
        <v>0</v>
      </c>
      <c r="CS408" s="3" t="n">
        <v>0</v>
      </c>
      <c r="CU408" s="20" t="inlineStr">
        <is>
          <t>egy.mit.pe.pow.bio.6</t>
        </is>
      </c>
      <c r="CV408" s="3" t="n">
        <v>0</v>
      </c>
      <c r="CW408" s="3" t="n">
        <v>0</v>
      </c>
      <c r="CX408" s="3" t="n">
        <v>0</v>
      </c>
      <c r="CY408" s="3" t="n">
        <v>0</v>
      </c>
      <c r="CZ408" s="3" t="n">
        <v>0</v>
      </c>
      <c r="DA408" s="3" t="n">
        <v>0</v>
      </c>
      <c r="DB408" s="3" t="n">
        <v>0</v>
      </c>
      <c r="DC408" s="3" t="n">
        <v>0</v>
      </c>
      <c r="DD408" s="3" t="n">
        <v>0</v>
      </c>
      <c r="DE408" s="3" t="n">
        <v>0</v>
      </c>
      <c r="DF408" s="3" t="n">
        <v>0</v>
      </c>
      <c r="DG408" s="3" t="n">
        <v>0</v>
      </c>
      <c r="DH408" s="3" t="n">
        <v>0</v>
      </c>
      <c r="DI408" s="3" t="n">
        <v>0</v>
      </c>
      <c r="DJ408" s="3" t="n">
        <v>0</v>
      </c>
      <c r="DK408" s="3" t="n">
        <v>0</v>
      </c>
      <c r="DL408" s="3" t="n">
        <v>0</v>
      </c>
      <c r="DM408" s="3" t="n">
        <v>0</v>
      </c>
      <c r="DN408" s="3" t="n">
        <v>0</v>
      </c>
      <c r="DO408" s="3" t="n">
        <v>0</v>
      </c>
    </row>
    <row r="409">
      <c r="A409" s="14" t="n"/>
      <c r="B409" s="3" t="inlineStr">
        <is>
          <t>mit</t>
        </is>
      </c>
      <c r="C409" s="19" t="inlineStr">
        <is>
          <t>mit.ener.bio.tra</t>
        </is>
      </c>
      <c r="H409" s="14" t="inlineStr">
        <is>
          <t>Biomass consumption: Transport (baseline)</t>
        </is>
      </c>
      <c r="I409" s="14" t="inlineStr">
        <is>
          <t>ktoe</t>
        </is>
      </c>
    </row>
    <row r="410">
      <c r="A410" s="14" t="n"/>
      <c r="B410" s="3" t="inlineStr">
        <is>
          <t>mit</t>
        </is>
      </c>
      <c r="C410" s="19" t="inlineStr">
        <is>
          <t>mit.ener.bio.res</t>
        </is>
      </c>
      <c r="H410" s="14" t="inlineStr">
        <is>
          <t>Biomass consumption: Buildings (baseline)</t>
        </is>
      </c>
      <c r="I410" s="14" t="inlineStr">
        <is>
          <t>ktoe</t>
        </is>
      </c>
    </row>
    <row r="411">
      <c r="A411" s="14" t="n"/>
      <c r="B411" s="3" t="inlineStr">
        <is>
          <t>mit</t>
        </is>
      </c>
      <c r="C411" s="19" t="inlineStr">
        <is>
          <t>mit.ener.bio.ind</t>
        </is>
      </c>
      <c r="H411" s="14" t="inlineStr">
        <is>
          <t>Biomass consumption: Industry (baseline)</t>
        </is>
      </c>
      <c r="I411" s="14" t="inlineStr">
        <is>
          <t>ktoe</t>
        </is>
      </c>
    </row>
    <row r="412">
      <c r="A412" s="19" t="inlineStr">
        <is>
          <t>mit.ener.oen.bio</t>
        </is>
      </c>
      <c r="B412" s="3" t="inlineStr">
        <is>
          <t>mit</t>
        </is>
      </c>
      <c r="C412" s="19" t="inlineStr">
        <is>
          <t>mit.ener.bio.oen</t>
        </is>
      </c>
      <c r="H412" s="3" t="inlineStr">
        <is>
          <t>Fuel use | Other energy use | Biomass</t>
        </is>
      </c>
      <c r="I412" s="3" t="inlineStr">
        <is>
          <t>ktoe</t>
        </is>
      </c>
      <c r="K412" s="20" t="inlineStr">
        <is>
          <t>egy.mit.ener.oen.bio.1</t>
        </is>
      </c>
      <c r="L412" s="3" t="n">
        <v>0</v>
      </c>
      <c r="M412" s="3" t="n">
        <v>0</v>
      </c>
      <c r="N412" s="3" t="n">
        <v>0</v>
      </c>
      <c r="O412" s="3" t="n">
        <v>0</v>
      </c>
      <c r="P412" s="3" t="n">
        <v>0</v>
      </c>
      <c r="Q412" s="3" t="n">
        <v>0</v>
      </c>
      <c r="R412" s="3" t="n">
        <v>0</v>
      </c>
      <c r="S412" s="3" t="n">
        <v>0</v>
      </c>
      <c r="T412" s="3" t="n">
        <v>0</v>
      </c>
      <c r="U412" s="3" t="n">
        <v>0</v>
      </c>
      <c r="V412" s="3" t="n">
        <v>0</v>
      </c>
      <c r="W412" s="3" t="n">
        <v>0</v>
      </c>
      <c r="X412" s="3" t="n">
        <v>0</v>
      </c>
      <c r="Y412" s="3" t="n">
        <v>0</v>
      </c>
      <c r="Z412" s="3" t="n">
        <v>0</v>
      </c>
      <c r="AA412" s="3" t="n">
        <v>0</v>
      </c>
      <c r="AB412" s="3" t="n">
        <v>0</v>
      </c>
      <c r="AC412" s="3" t="n">
        <v>0</v>
      </c>
      <c r="AD412" s="3" t="n">
        <v>0</v>
      </c>
      <c r="AE412" s="3" t="n">
        <v>0</v>
      </c>
      <c r="AG412" s="20" t="inlineStr">
        <is>
          <t>egy.mit.ener.oen.bio.3</t>
        </is>
      </c>
      <c r="AH412" s="3" t="n">
        <v>0</v>
      </c>
      <c r="AI412" s="3" t="n">
        <v>0</v>
      </c>
      <c r="AJ412" s="3" t="n">
        <v>0</v>
      </c>
      <c r="AK412" s="3" t="n">
        <v>0</v>
      </c>
      <c r="AL412" s="3" t="n">
        <v>0</v>
      </c>
      <c r="AM412" s="3" t="n">
        <v>0</v>
      </c>
      <c r="AN412" s="3" t="n">
        <v>0</v>
      </c>
      <c r="AO412" s="3" t="n">
        <v>0</v>
      </c>
      <c r="AP412" s="3" t="n">
        <v>0</v>
      </c>
      <c r="AQ412" s="3" t="n">
        <v>0</v>
      </c>
      <c r="AR412" s="3" t="n">
        <v>0</v>
      </c>
      <c r="AS412" s="3" t="n">
        <v>0</v>
      </c>
      <c r="AT412" s="3" t="n">
        <v>0</v>
      </c>
      <c r="AU412" s="3" t="n">
        <v>0</v>
      </c>
      <c r="AV412" s="3" t="n">
        <v>0</v>
      </c>
      <c r="AW412" s="3" t="n">
        <v>0</v>
      </c>
      <c r="AX412" s="3" t="n">
        <v>0</v>
      </c>
      <c r="AY412" s="3" t="n">
        <v>0</v>
      </c>
      <c r="AZ412" s="3" t="n">
        <v>0</v>
      </c>
      <c r="BA412" s="3" t="n">
        <v>0</v>
      </c>
      <c r="BC412" s="20" t="inlineStr">
        <is>
          <t>egy.mit.ener.oen.bio.4</t>
        </is>
      </c>
      <c r="BD412" s="3" t="n">
        <v>0</v>
      </c>
      <c r="BE412" s="3" t="n">
        <v>0</v>
      </c>
      <c r="BF412" s="3" t="n">
        <v>0</v>
      </c>
      <c r="BG412" s="3" t="n">
        <v>0</v>
      </c>
      <c r="BH412" s="3" t="n">
        <v>0</v>
      </c>
      <c r="BI412" s="3" t="n">
        <v>0</v>
      </c>
      <c r="BJ412" s="3" t="n">
        <v>0</v>
      </c>
      <c r="BK412" s="3" t="n">
        <v>0</v>
      </c>
      <c r="BL412" s="3" t="n">
        <v>0</v>
      </c>
      <c r="BM412" s="3" t="n">
        <v>0</v>
      </c>
      <c r="BN412" s="3" t="n">
        <v>0</v>
      </c>
      <c r="BO412" s="3" t="n">
        <v>0</v>
      </c>
      <c r="BP412" s="3" t="n">
        <v>0</v>
      </c>
      <c r="BQ412" s="3" t="n">
        <v>0</v>
      </c>
      <c r="BR412" s="3" t="n">
        <v>0</v>
      </c>
      <c r="BS412" s="3" t="n">
        <v>0</v>
      </c>
      <c r="BT412" s="3" t="n">
        <v>0</v>
      </c>
      <c r="BU412" s="3" t="n">
        <v>0</v>
      </c>
      <c r="BV412" s="3" t="n">
        <v>0</v>
      </c>
      <c r="BW412" s="3" t="n">
        <v>0</v>
      </c>
      <c r="BY412" s="20" t="inlineStr">
        <is>
          <t>egy.mit.ener.oen.bio.5</t>
        </is>
      </c>
      <c r="BZ412" s="3" t="n">
        <v>0</v>
      </c>
      <c r="CA412" s="3" t="n">
        <v>0</v>
      </c>
      <c r="CB412" s="3" t="n">
        <v>0</v>
      </c>
      <c r="CC412" s="3" t="n">
        <v>0</v>
      </c>
      <c r="CD412" s="3" t="n">
        <v>0</v>
      </c>
      <c r="CE412" s="3" t="n">
        <v>0</v>
      </c>
      <c r="CF412" s="3" t="n">
        <v>0</v>
      </c>
      <c r="CG412" s="3" t="n">
        <v>0</v>
      </c>
      <c r="CH412" s="3" t="n">
        <v>0</v>
      </c>
      <c r="CI412" s="3" t="n">
        <v>0</v>
      </c>
      <c r="CJ412" s="3" t="n">
        <v>0</v>
      </c>
      <c r="CK412" s="3" t="n">
        <v>0</v>
      </c>
      <c r="CL412" s="3" t="n">
        <v>0</v>
      </c>
      <c r="CM412" s="3" t="n">
        <v>0</v>
      </c>
      <c r="CN412" s="3" t="n">
        <v>0</v>
      </c>
      <c r="CO412" s="3" t="n">
        <v>0</v>
      </c>
      <c r="CP412" s="3" t="n">
        <v>0</v>
      </c>
      <c r="CQ412" s="3" t="n">
        <v>0</v>
      </c>
      <c r="CR412" s="3" t="n">
        <v>0</v>
      </c>
      <c r="CS412" s="3" t="n">
        <v>0</v>
      </c>
      <c r="CU412" s="20" t="inlineStr">
        <is>
          <t>egy.mit.ener.oen.bio.6</t>
        </is>
      </c>
      <c r="CV412" s="3" t="n">
        <v>0</v>
      </c>
      <c r="CW412" s="3" t="n">
        <v>0</v>
      </c>
      <c r="CX412" s="3" t="n">
        <v>0</v>
      </c>
      <c r="CY412" s="3" t="n">
        <v>0</v>
      </c>
      <c r="CZ412" s="3" t="n">
        <v>0</v>
      </c>
      <c r="DA412" s="3" t="n">
        <v>0</v>
      </c>
      <c r="DB412" s="3" t="n">
        <v>0</v>
      </c>
      <c r="DC412" s="3" t="n">
        <v>0</v>
      </c>
      <c r="DD412" s="3" t="n">
        <v>0</v>
      </c>
      <c r="DE412" s="3" t="n">
        <v>0</v>
      </c>
      <c r="DF412" s="3" t="n">
        <v>0</v>
      </c>
      <c r="DG412" s="3" t="n">
        <v>0</v>
      </c>
      <c r="DH412" s="3" t="n">
        <v>0</v>
      </c>
      <c r="DI412" s="3" t="n">
        <v>0</v>
      </c>
      <c r="DJ412" s="3" t="n">
        <v>0</v>
      </c>
      <c r="DK412" s="3" t="n">
        <v>0</v>
      </c>
      <c r="DL412" s="3" t="n">
        <v>0</v>
      </c>
      <c r="DM412" s="3" t="n">
        <v>0</v>
      </c>
      <c r="DN412" s="3" t="n">
        <v>0</v>
      </c>
      <c r="DO412" s="3" t="n">
        <v>0</v>
      </c>
    </row>
    <row r="413">
      <c r="A413" s="14" t="n"/>
      <c r="B413" s="3" t="inlineStr">
        <is>
          <t>mit</t>
        </is>
      </c>
      <c r="C413" s="19" t="inlineStr">
        <is>
          <t>mit.ener.con.tot</t>
        </is>
      </c>
      <c r="H413" s="14" t="inlineStr">
        <is>
          <t>Total energy consumption (baseline)</t>
        </is>
      </c>
      <c r="I413" s="14" t="inlineStr">
        <is>
          <t>ktoe</t>
        </is>
      </c>
    </row>
    <row r="414">
      <c r="A414" s="14" t="n"/>
      <c r="B414" s="3" t="inlineStr">
        <is>
          <t>mit</t>
        </is>
      </c>
      <c r="C414" s="19" t="inlineStr">
        <is>
          <t>mit.ener.con.nrn</t>
        </is>
      </c>
      <c r="H414" s="14" t="inlineStr">
        <is>
          <t>Total consumption by fuel type: Nuclear &amp; renewables (baseline)</t>
        </is>
      </c>
      <c r="I414" s="14" t="inlineStr">
        <is>
          <t>ktoe</t>
        </is>
      </c>
    </row>
    <row r="415">
      <c r="A415" s="14" t="n"/>
      <c r="B415" s="3" t="inlineStr">
        <is>
          <t>mit</t>
        </is>
      </c>
      <c r="C415" s="19" t="inlineStr">
        <is>
          <t>mit.ener.con.nrn</t>
        </is>
      </c>
      <c r="H415" s="14" t="inlineStr">
        <is>
          <t>Total consumption by fuel type: Nuclear and renewables (policy)</t>
        </is>
      </c>
      <c r="I415" s="14" t="inlineStr">
        <is>
          <t>ktoe</t>
        </is>
      </c>
    </row>
    <row r="416">
      <c r="A416" s="19" t="inlineStr">
        <is>
          <t>mit.gen_mwy.pow.tot</t>
        </is>
      </c>
      <c r="B416" s="3" t="inlineStr">
        <is>
          <t>mit</t>
        </is>
      </c>
      <c r="C416" s="19" t="inlineStr">
        <is>
          <t>mit.elec.twh.tot</t>
        </is>
      </c>
      <c r="H416" s="3" t="inlineStr">
        <is>
          <t>Generation, total</t>
        </is>
      </c>
      <c r="I416" s="3" t="inlineStr">
        <is>
          <t>MWy</t>
        </is>
      </c>
      <c r="K416" s="20" t="inlineStr">
        <is>
          <t>egy.mit.gen_mwy.pow.tot.1</t>
        </is>
      </c>
      <c r="L416" s="23" t="n">
        <v>24192.48488439988</v>
      </c>
      <c r="M416" s="23" t="n">
        <v>23573.90156472828</v>
      </c>
      <c r="N416" s="23" t="n">
        <v>26717.98643467805</v>
      </c>
      <c r="O416" s="23" t="n">
        <v>30251.40341301123</v>
      </c>
      <c r="P416" s="23" t="n">
        <v>31717.86506675257</v>
      </c>
      <c r="Q416" s="23" t="n">
        <v>32965.92225088148</v>
      </c>
      <c r="R416" s="23" t="n">
        <v>34278.23234224743</v>
      </c>
      <c r="S416" s="23" t="n">
        <v>35661.74386306156</v>
      </c>
      <c r="T416" s="23" t="n">
        <v>36740.92385438177</v>
      </c>
      <c r="U416" s="23" t="n">
        <v>37863.93785507329</v>
      </c>
      <c r="V416" s="23" t="n">
        <v>38972.24851743015</v>
      </c>
      <c r="W416" s="23" t="n">
        <v>40913.62316540359</v>
      </c>
      <c r="X416" s="23" t="n">
        <v>42886.67932975746</v>
      </c>
      <c r="Y416" s="23" t="n">
        <v>44961.67488225171</v>
      </c>
      <c r="Z416" s="23" t="n">
        <v>47090.46178101845</v>
      </c>
      <c r="AA416" s="23" t="n">
        <v>49273.84072056838</v>
      </c>
      <c r="AB416" s="23" t="n">
        <v>51510.80185174825</v>
      </c>
      <c r="AC416" s="23" t="n">
        <v>53802.09651360512</v>
      </c>
      <c r="AD416" s="23" t="n">
        <v>56150.5107106555</v>
      </c>
      <c r="AE416" s="23" t="n">
        <v>58557.47317225004</v>
      </c>
      <c r="AG416" s="20" t="inlineStr">
        <is>
          <t>egy.mit.gen_mwy.pow.tot.3</t>
        </is>
      </c>
      <c r="AH416" s="23" t="n">
        <v>24192.48488439988</v>
      </c>
      <c r="AI416" s="23" t="n">
        <v>23573.90156472828</v>
      </c>
      <c r="AJ416" s="23" t="n">
        <v>26717.98643467805</v>
      </c>
      <c r="AK416" s="23" t="n">
        <v>30251.40341301123</v>
      </c>
      <c r="AL416" s="23" t="n">
        <v>31717.3399316914</v>
      </c>
      <c r="AM416" s="23" t="n">
        <v>32964.54896522355</v>
      </c>
      <c r="AN416" s="23" t="n">
        <v>31384.93060647518</v>
      </c>
      <c r="AO416" s="23" t="n">
        <v>32730.11846351582</v>
      </c>
      <c r="AP416" s="23" t="n">
        <v>33467.47574033176</v>
      </c>
      <c r="AQ416" s="23" t="n">
        <v>34953.58402367398</v>
      </c>
      <c r="AR416" s="23" t="n">
        <v>36107.16718870113</v>
      </c>
      <c r="AS416" s="23" t="n">
        <v>38040.64968013595</v>
      </c>
      <c r="AT416" s="23" t="n">
        <v>39968.48115081099</v>
      </c>
      <c r="AU416" s="23" t="n">
        <v>42006.62851202318</v>
      </c>
      <c r="AV416" s="23" t="n">
        <v>44107.28641497057</v>
      </c>
      <c r="AW416" s="23" t="n">
        <v>46278.55338488305</v>
      </c>
      <c r="AX416" s="23" t="n">
        <v>48483.7600941947</v>
      </c>
      <c r="AY416" s="23" t="n">
        <v>50733.20375268651</v>
      </c>
      <c r="AZ416" s="23" t="n">
        <v>53010.07287930881</v>
      </c>
      <c r="BA416" s="23" t="n">
        <v>55335.08298205656</v>
      </c>
      <c r="BC416" s="20" t="inlineStr">
        <is>
          <t>egy.mit.gen_mwy.pow.tot.4</t>
        </is>
      </c>
      <c r="BD416" s="23" t="n">
        <v>24192.48488439988</v>
      </c>
      <c r="BE416" s="23" t="n">
        <v>23573.90156472828</v>
      </c>
      <c r="BF416" s="23" t="n">
        <v>26717.98643467805</v>
      </c>
      <c r="BG416" s="23" t="n">
        <v>30251.40341301123</v>
      </c>
      <c r="BH416" s="23" t="n">
        <v>31716.11485755555</v>
      </c>
      <c r="BI416" s="23" t="n">
        <v>32961.29045563116</v>
      </c>
      <c r="BJ416" s="23" t="n">
        <v>32732.9747241307</v>
      </c>
      <c r="BK416" s="23" t="n">
        <v>32283.81478441546</v>
      </c>
      <c r="BL416" s="23" t="n">
        <v>31782.21635162112</v>
      </c>
      <c r="BM416" s="23" t="n">
        <v>31796.40445409017</v>
      </c>
      <c r="BN416" s="23" t="n">
        <v>31789.36718667428</v>
      </c>
      <c r="BO416" s="23" t="n">
        <v>32153.8344841861</v>
      </c>
      <c r="BP416" s="23" t="n">
        <v>32588.64560420554</v>
      </c>
      <c r="BQ416" s="23" t="n">
        <v>33287.49182638205</v>
      </c>
      <c r="BR416" s="23" t="n">
        <v>34050.25610736323</v>
      </c>
      <c r="BS416" s="23" t="n">
        <v>35054.64206832148</v>
      </c>
      <c r="BT416" s="23" t="n">
        <v>36085.0240711913</v>
      </c>
      <c r="BU416" s="23" t="n">
        <v>37365.07181535178</v>
      </c>
      <c r="BV416" s="23" t="n">
        <v>38592.65239399676</v>
      </c>
      <c r="BW416" s="23" t="n">
        <v>40126.89222155725</v>
      </c>
      <c r="BY416" s="20" t="inlineStr">
        <is>
          <t>egy.mit.gen_mwy.pow.tot.5</t>
        </is>
      </c>
      <c r="BZ416" s="23" t="n">
        <v>24192.48488439988</v>
      </c>
      <c r="CA416" s="23" t="n">
        <v>23573.90156472828</v>
      </c>
      <c r="CB416" s="23" t="n">
        <v>26717.98643467805</v>
      </c>
      <c r="CC416" s="23" t="n">
        <v>30251.40341301123</v>
      </c>
      <c r="CD416" s="23" t="n">
        <v>31714.85936479596</v>
      </c>
      <c r="CE416" s="23" t="n">
        <v>32957.99369446711</v>
      </c>
      <c r="CF416" s="23" t="n">
        <v>34266.66506368075</v>
      </c>
      <c r="CG416" s="23" t="n">
        <v>35661.91331585388</v>
      </c>
      <c r="CH416" s="23" t="n">
        <v>36697.59241870695</v>
      </c>
      <c r="CI416" s="23" t="n">
        <v>37834.72049569427</v>
      </c>
      <c r="CJ416" s="23" t="n">
        <v>38915.80975854474</v>
      </c>
      <c r="CK416" s="23" t="n">
        <v>40917.6291884763</v>
      </c>
      <c r="CL416" s="23" t="n">
        <v>42975.09031544036</v>
      </c>
      <c r="CM416" s="23" t="n">
        <v>45118.08411386675</v>
      </c>
      <c r="CN416" s="23" t="n">
        <v>47433.40336644395</v>
      </c>
      <c r="CO416" s="23" t="n">
        <v>49803.62715038015</v>
      </c>
      <c r="CP416" s="23" t="n">
        <v>52222.16308082342</v>
      </c>
      <c r="CQ416" s="23" t="n">
        <v>54714.23107792136</v>
      </c>
      <c r="CR416" s="23" t="n">
        <v>57231.20007042499</v>
      </c>
      <c r="CS416" s="23" t="n">
        <v>59810.41566987627</v>
      </c>
      <c r="CU416" s="20" t="inlineStr">
        <is>
          <t>egy.mit.gen_mwy.pow.tot.6</t>
        </is>
      </c>
      <c r="CV416" s="23" t="n">
        <v>24192.48488439988</v>
      </c>
      <c r="CW416" s="23" t="n">
        <v>23573.90156472828</v>
      </c>
      <c r="CX416" s="23" t="n">
        <v>26717.98643467805</v>
      </c>
      <c r="CY416" s="23" t="n">
        <v>30251.40341301123</v>
      </c>
      <c r="CZ416" s="23" t="n">
        <v>31716.63904364742</v>
      </c>
      <c r="DA416" s="23" t="n">
        <v>32962.69447762721</v>
      </c>
      <c r="DB416" s="23" t="n">
        <v>28156.58307956539</v>
      </c>
      <c r="DC416" s="23" t="n">
        <v>29497.77814089263</v>
      </c>
      <c r="DD416" s="23" t="n">
        <v>29939.76475050501</v>
      </c>
      <c r="DE416" s="23" t="n">
        <v>31380.73363398892</v>
      </c>
      <c r="DF416" s="23" t="n">
        <v>32745.59102499548</v>
      </c>
      <c r="DG416" s="23" t="n">
        <v>34651.62564886298</v>
      </c>
      <c r="DH416" s="23" t="n">
        <v>36673.57403837181</v>
      </c>
      <c r="DI416" s="23" t="n">
        <v>38921.91165817327</v>
      </c>
      <c r="DJ416" s="23" t="n">
        <v>41233.30045945552</v>
      </c>
      <c r="DK416" s="23" t="n">
        <v>43694.97263765315</v>
      </c>
      <c r="DL416" s="23" t="n">
        <v>46152.34583588846</v>
      </c>
      <c r="DM416" s="23" t="n">
        <v>48690.43245200474</v>
      </c>
      <c r="DN416" s="23" t="n">
        <v>51192.67768344616</v>
      </c>
      <c r="DO416" s="23" t="n">
        <v>53765.66329281681</v>
      </c>
    </row>
    <row r="417">
      <c r="A417" s="19" t="inlineStr">
        <is>
          <t>mit.gen_mwy.pow.coa</t>
        </is>
      </c>
      <c r="B417" s="3" t="inlineStr">
        <is>
          <t>mit</t>
        </is>
      </c>
      <c r="C417" s="19" t="inlineStr">
        <is>
          <t>mit.elec.twh.coa</t>
        </is>
      </c>
      <c r="H417" s="3" t="inlineStr">
        <is>
          <t>Generation | Power | Coal</t>
        </is>
      </c>
      <c r="I417" s="3" t="inlineStr">
        <is>
          <t>MWy</t>
        </is>
      </c>
      <c r="K417" s="20" t="inlineStr">
        <is>
          <t>egy.mit.gen_mwy.pow.coa.1</t>
        </is>
      </c>
      <c r="L417" s="3" t="n">
        <v>0</v>
      </c>
      <c r="M417" s="3" t="n">
        <v>0</v>
      </c>
      <c r="N417" s="3" t="n">
        <v>0</v>
      </c>
      <c r="O417" s="3" t="n">
        <v>0</v>
      </c>
      <c r="P417" s="3" t="n">
        <v>0</v>
      </c>
      <c r="Q417" s="3" t="n">
        <v>0</v>
      </c>
      <c r="R417" s="3" t="n">
        <v>0</v>
      </c>
      <c r="S417" s="3" t="n">
        <v>0</v>
      </c>
      <c r="T417" s="3" t="n">
        <v>0</v>
      </c>
      <c r="U417" s="3" t="n">
        <v>0</v>
      </c>
      <c r="V417" s="3" t="n">
        <v>0</v>
      </c>
      <c r="W417" s="3" t="n">
        <v>0</v>
      </c>
      <c r="X417" s="3" t="n">
        <v>0</v>
      </c>
      <c r="Y417" s="3" t="n">
        <v>0</v>
      </c>
      <c r="Z417" s="3" t="n">
        <v>0</v>
      </c>
      <c r="AA417" s="3" t="n">
        <v>0</v>
      </c>
      <c r="AB417" s="3" t="n">
        <v>0</v>
      </c>
      <c r="AC417" s="3" t="n">
        <v>0</v>
      </c>
      <c r="AD417" s="3" t="n">
        <v>0</v>
      </c>
      <c r="AE417" s="3" t="n">
        <v>0</v>
      </c>
      <c r="AG417" s="20" t="inlineStr">
        <is>
          <t>egy.mit.gen_mwy.pow.coa.3</t>
        </is>
      </c>
      <c r="AH417" s="3" t="n">
        <v>0</v>
      </c>
      <c r="AI417" s="3" t="n">
        <v>0</v>
      </c>
      <c r="AJ417" s="3" t="n">
        <v>0</v>
      </c>
      <c r="AK417" s="3" t="n">
        <v>0</v>
      </c>
      <c r="AL417" s="3" t="n">
        <v>0</v>
      </c>
      <c r="AM417" s="3" t="n">
        <v>0</v>
      </c>
      <c r="AN417" s="3" t="n">
        <v>0</v>
      </c>
      <c r="AO417" s="3" t="n">
        <v>0</v>
      </c>
      <c r="AP417" s="3" t="n">
        <v>0</v>
      </c>
      <c r="AQ417" s="3" t="n">
        <v>0</v>
      </c>
      <c r="AR417" s="3" t="n">
        <v>0</v>
      </c>
      <c r="AS417" s="3" t="n">
        <v>0</v>
      </c>
      <c r="AT417" s="3" t="n">
        <v>0</v>
      </c>
      <c r="AU417" s="3" t="n">
        <v>0</v>
      </c>
      <c r="AV417" s="3" t="n">
        <v>0</v>
      </c>
      <c r="AW417" s="3" t="n">
        <v>0</v>
      </c>
      <c r="AX417" s="3" t="n">
        <v>0</v>
      </c>
      <c r="AY417" s="3" t="n">
        <v>0</v>
      </c>
      <c r="AZ417" s="3" t="n">
        <v>0</v>
      </c>
      <c r="BA417" s="3" t="n">
        <v>0</v>
      </c>
      <c r="BC417" s="20" t="inlineStr">
        <is>
          <t>egy.mit.gen_mwy.pow.coa.4</t>
        </is>
      </c>
      <c r="BD417" s="3" t="n">
        <v>0</v>
      </c>
      <c r="BE417" s="3" t="n">
        <v>0</v>
      </c>
      <c r="BF417" s="3" t="n">
        <v>0</v>
      </c>
      <c r="BG417" s="3" t="n">
        <v>0</v>
      </c>
      <c r="BH417" s="3" t="n">
        <v>0</v>
      </c>
      <c r="BI417" s="3" t="n">
        <v>0</v>
      </c>
      <c r="BJ417" s="3" t="n">
        <v>0</v>
      </c>
      <c r="BK417" s="3" t="n">
        <v>0</v>
      </c>
      <c r="BL417" s="3" t="n">
        <v>0</v>
      </c>
      <c r="BM417" s="3" t="n">
        <v>0</v>
      </c>
      <c r="BN417" s="3" t="n">
        <v>0</v>
      </c>
      <c r="BO417" s="3" t="n">
        <v>0</v>
      </c>
      <c r="BP417" s="3" t="n">
        <v>0</v>
      </c>
      <c r="BQ417" s="3" t="n">
        <v>0</v>
      </c>
      <c r="BR417" s="3" t="n">
        <v>0</v>
      </c>
      <c r="BS417" s="3" t="n">
        <v>0</v>
      </c>
      <c r="BT417" s="3" t="n">
        <v>0</v>
      </c>
      <c r="BU417" s="3" t="n">
        <v>0</v>
      </c>
      <c r="BV417" s="3" t="n">
        <v>0</v>
      </c>
      <c r="BW417" s="3" t="n">
        <v>0</v>
      </c>
      <c r="BY417" s="20" t="inlineStr">
        <is>
          <t>egy.mit.gen_mwy.pow.coa.5</t>
        </is>
      </c>
      <c r="BZ417" s="3" t="n">
        <v>0</v>
      </c>
      <c r="CA417" s="3" t="n">
        <v>0</v>
      </c>
      <c r="CB417" s="3" t="n">
        <v>0</v>
      </c>
      <c r="CC417" s="3" t="n">
        <v>0</v>
      </c>
      <c r="CD417" s="3" t="n">
        <v>0</v>
      </c>
      <c r="CE417" s="3" t="n">
        <v>0</v>
      </c>
      <c r="CF417" s="3" t="n">
        <v>0</v>
      </c>
      <c r="CG417" s="3" t="n">
        <v>0</v>
      </c>
      <c r="CH417" s="3" t="n">
        <v>0</v>
      </c>
      <c r="CI417" s="3" t="n">
        <v>0</v>
      </c>
      <c r="CJ417" s="3" t="n">
        <v>0</v>
      </c>
      <c r="CK417" s="3" t="n">
        <v>0</v>
      </c>
      <c r="CL417" s="3" t="n">
        <v>0</v>
      </c>
      <c r="CM417" s="3" t="n">
        <v>0</v>
      </c>
      <c r="CN417" s="3" t="n">
        <v>0</v>
      </c>
      <c r="CO417" s="3" t="n">
        <v>0</v>
      </c>
      <c r="CP417" s="3" t="n">
        <v>0</v>
      </c>
      <c r="CQ417" s="3" t="n">
        <v>0</v>
      </c>
      <c r="CR417" s="3" t="n">
        <v>0</v>
      </c>
      <c r="CS417" s="3" t="n">
        <v>0</v>
      </c>
      <c r="CU417" s="20" t="inlineStr">
        <is>
          <t>egy.mit.gen_mwy.pow.coa.6</t>
        </is>
      </c>
      <c r="CV417" s="3" t="n">
        <v>0</v>
      </c>
      <c r="CW417" s="3" t="n">
        <v>0</v>
      </c>
      <c r="CX417" s="3" t="n">
        <v>0</v>
      </c>
      <c r="CY417" s="3" t="n">
        <v>0</v>
      </c>
      <c r="CZ417" s="3" t="n">
        <v>0</v>
      </c>
      <c r="DA417" s="3" t="n">
        <v>0</v>
      </c>
      <c r="DB417" s="3" t="n">
        <v>0</v>
      </c>
      <c r="DC417" s="3" t="n">
        <v>0</v>
      </c>
      <c r="DD417" s="3" t="n">
        <v>0</v>
      </c>
      <c r="DE417" s="3" t="n">
        <v>0</v>
      </c>
      <c r="DF417" s="3" t="n">
        <v>0</v>
      </c>
      <c r="DG417" s="3" t="n">
        <v>0</v>
      </c>
      <c r="DH417" s="3" t="n">
        <v>0</v>
      </c>
      <c r="DI417" s="3" t="n">
        <v>0</v>
      </c>
      <c r="DJ417" s="3" t="n">
        <v>0</v>
      </c>
      <c r="DK417" s="3" t="n">
        <v>0</v>
      </c>
      <c r="DL417" s="3" t="n">
        <v>0</v>
      </c>
      <c r="DM417" s="3" t="n">
        <v>0</v>
      </c>
      <c r="DN417" s="3" t="n">
        <v>0</v>
      </c>
      <c r="DO417" s="3" t="n">
        <v>0</v>
      </c>
    </row>
    <row r="418">
      <c r="A418" s="19" t="inlineStr">
        <is>
          <t>mit.gen_mwy.pow.nga</t>
        </is>
      </c>
      <c r="B418" s="3" t="inlineStr">
        <is>
          <t>mit</t>
        </is>
      </c>
      <c r="C418" s="19" t="inlineStr">
        <is>
          <t>mit.elec.twh.nga</t>
        </is>
      </c>
      <c r="H418" s="3" t="inlineStr">
        <is>
          <t>Generation | Power | Natural gas</t>
        </is>
      </c>
      <c r="I418" s="3" t="inlineStr">
        <is>
          <t>MWy</t>
        </is>
      </c>
      <c r="K418" s="20" t="inlineStr">
        <is>
          <t>egy.mit.gen_mwy.pow.nga.1</t>
        </is>
      </c>
      <c r="L418" s="3" t="n">
        <v>19164.97547681277</v>
      </c>
      <c r="M418" s="3" t="n">
        <v>18093.94981653392</v>
      </c>
      <c r="N418" s="3" t="n">
        <v>21359.05128383022</v>
      </c>
      <c r="O418" s="3" t="n">
        <v>23602.6537364076</v>
      </c>
      <c r="P418" s="3" t="n">
        <v>23711.69979288978</v>
      </c>
      <c r="Q418" s="3" t="n">
        <v>23528.50873775264</v>
      </c>
      <c r="R418" s="3" t="n">
        <v>23329.06702934876</v>
      </c>
      <c r="S418" s="3" t="n">
        <v>23113.17805372203</v>
      </c>
      <c r="T418" s="3" t="n">
        <v>22497.65200889502</v>
      </c>
      <c r="U418" s="3" t="n">
        <v>22374.02554432178</v>
      </c>
      <c r="V418" s="3" t="n">
        <v>22127.549298892</v>
      </c>
      <c r="W418" s="3" t="n">
        <v>22709.48035857553</v>
      </c>
      <c r="X418" s="3" t="n">
        <v>23095.50700974188</v>
      </c>
      <c r="Y418" s="3" t="n">
        <v>23609.84847296554</v>
      </c>
      <c r="Z418" s="3" t="n">
        <v>24117.09530030763</v>
      </c>
      <c r="AA418" s="3" t="n">
        <v>24634.6124146798</v>
      </c>
      <c r="AB418" s="3" t="n">
        <v>25158.31424662178</v>
      </c>
      <c r="AC418" s="3" t="n">
        <v>25689.19778428127</v>
      </c>
      <c r="AD418" s="3" t="n">
        <v>26230.94539168874</v>
      </c>
      <c r="AE418" s="3" t="n">
        <v>26784.91917539435</v>
      </c>
      <c r="AG418" s="20" t="inlineStr">
        <is>
          <t>egy.mit.gen_mwy.pow.nga.3</t>
        </is>
      </c>
      <c r="AH418" s="3" t="n">
        <v>19164.97547681277</v>
      </c>
      <c r="AI418" s="3" t="n">
        <v>18079.77740795042</v>
      </c>
      <c r="AJ418" s="3" t="n">
        <v>21345.40005020422</v>
      </c>
      <c r="AK418" s="3" t="n">
        <v>23589.50731325307</v>
      </c>
      <c r="AL418" s="3" t="n">
        <v>23698.5174092969</v>
      </c>
      <c r="AM418" s="3" t="n">
        <v>23514.95245655053</v>
      </c>
      <c r="AN418" s="3" t="n">
        <v>20424.04233056957</v>
      </c>
      <c r="AO418" s="3" t="n">
        <v>22076.96319594284</v>
      </c>
      <c r="AP418" s="3" t="n">
        <v>21265.01682875765</v>
      </c>
      <c r="AQ418" s="3" t="n">
        <v>21518.14668078105</v>
      </c>
      <c r="AR418" s="3" t="n">
        <v>21269.68650133175</v>
      </c>
      <c r="AS418" s="3" t="n">
        <v>22001.20162753752</v>
      </c>
      <c r="AT418" s="3" t="n">
        <v>22306.4836528687</v>
      </c>
      <c r="AU418" s="3" t="n">
        <v>22844.50083507723</v>
      </c>
      <c r="AV418" s="3" t="n">
        <v>23377.52256787974</v>
      </c>
      <c r="AW418" s="3" t="n">
        <v>23934.09565061336</v>
      </c>
      <c r="AX418" s="3" t="n">
        <v>24472.46350911193</v>
      </c>
      <c r="AY418" s="3" t="n">
        <v>25012.02521615858</v>
      </c>
      <c r="AZ418" s="3" t="n">
        <v>25532.35015912112</v>
      </c>
      <c r="BA418" s="3" t="n">
        <v>26059.79894955022</v>
      </c>
      <c r="BC418" s="20" t="inlineStr">
        <is>
          <t>egy.mit.gen_mwy.pow.nga.4</t>
        </is>
      </c>
      <c r="BD418" s="3" t="n">
        <v>19164.97547681277</v>
      </c>
      <c r="BE418" s="3" t="n">
        <v>18044.30726593347</v>
      </c>
      <c r="BF418" s="3" t="n">
        <v>21311.23185603195</v>
      </c>
      <c r="BG418" s="3" t="n">
        <v>23556.60012611937</v>
      </c>
      <c r="BH418" s="3" t="n">
        <v>23665.60702835455</v>
      </c>
      <c r="BI418" s="3" t="n">
        <v>23481.19317152757</v>
      </c>
      <c r="BJ418" s="3" t="n">
        <v>21742.73460009831</v>
      </c>
      <c r="BK418" s="3" t="n">
        <v>20330.08037475205</v>
      </c>
      <c r="BL418" s="3" t="n">
        <v>19845.05310570449</v>
      </c>
      <c r="BM418" s="3" t="n">
        <v>19779.85937694546</v>
      </c>
      <c r="BN418" s="3" t="n">
        <v>18699.82327629652</v>
      </c>
      <c r="BO418" s="3" t="n">
        <v>18523.92486728678</v>
      </c>
      <c r="BP418" s="3" t="n">
        <v>17701.79124546035</v>
      </c>
      <c r="BQ418" s="3" t="n">
        <v>17377.11949328181</v>
      </c>
      <c r="BR418" s="3" t="n">
        <v>16681.93975434898</v>
      </c>
      <c r="BS418" s="3" t="n">
        <v>16374.59915224537</v>
      </c>
      <c r="BT418" s="3" t="n">
        <v>15688.08203220086</v>
      </c>
      <c r="BU418" s="3" t="n">
        <v>15453.45041346883</v>
      </c>
      <c r="BV418" s="3" t="n">
        <v>14699.75398519128</v>
      </c>
      <c r="BW418" s="3" t="n">
        <v>14625.04503975108</v>
      </c>
      <c r="BY418" s="20" t="inlineStr">
        <is>
          <t>egy.mit.gen_mwy.pow.nga.5</t>
        </is>
      </c>
      <c r="BZ418" s="3" t="n">
        <v>19164.97547681277</v>
      </c>
      <c r="CA418" s="3" t="n">
        <v>18009.99029159242</v>
      </c>
      <c r="CB418" s="3" t="n">
        <v>21278.13245359524</v>
      </c>
      <c r="CC418" s="3" t="n">
        <v>23524.67925864833</v>
      </c>
      <c r="CD418" s="3" t="n">
        <v>23633.5717438864</v>
      </c>
      <c r="CE418" s="3" t="n">
        <v>23448.22177536517</v>
      </c>
      <c r="CF418" s="3" t="n">
        <v>23247.82104751151</v>
      </c>
      <c r="CG418" s="3" t="n">
        <v>23046.26814553892</v>
      </c>
      <c r="CH418" s="3" t="n">
        <v>22389.76400643525</v>
      </c>
      <c r="CI418" s="3" t="n">
        <v>21966.94746403481</v>
      </c>
      <c r="CJ418" s="3" t="n">
        <v>21076.05676397027</v>
      </c>
      <c r="CK418" s="3" t="n">
        <v>21351.96627515536</v>
      </c>
      <c r="CL418" s="3" t="n">
        <v>20347.57173558769</v>
      </c>
      <c r="CM418" s="3" t="n">
        <v>19697.15311254813</v>
      </c>
      <c r="CN418" s="3" t="n">
        <v>19123.36971070431</v>
      </c>
      <c r="CO418" s="3" t="n">
        <v>18358.73282030348</v>
      </c>
      <c r="CP418" s="3" t="n">
        <v>17738.42847985781</v>
      </c>
      <c r="CQ418" s="3" t="n">
        <v>17171.02131512188</v>
      </c>
      <c r="CR418" s="3" t="n">
        <v>16547.08395489028</v>
      </c>
      <c r="CS418" s="3" t="n">
        <v>16032.86302907575</v>
      </c>
      <c r="CU418" s="20" t="inlineStr">
        <is>
          <t>egy.mit.gen_mwy.pow.nga.6</t>
        </is>
      </c>
      <c r="CV418" s="3" t="n">
        <v>19164.97547681277</v>
      </c>
      <c r="CW418" s="3" t="n">
        <v>18059.91303837389</v>
      </c>
      <c r="CX418" s="3" t="n">
        <v>21326.26521022551</v>
      </c>
      <c r="CY418" s="3" t="n">
        <v>23571.07907220371</v>
      </c>
      <c r="CZ418" s="3" t="n">
        <v>23680.07296597515</v>
      </c>
      <c r="DA418" s="3" t="n">
        <v>23496.01818349098</v>
      </c>
      <c r="DB418" s="3" t="n">
        <v>17179.2588508855</v>
      </c>
      <c r="DC418" s="3" t="n">
        <v>18828.78987467563</v>
      </c>
      <c r="DD418" s="3" t="n">
        <v>18631.99979822116</v>
      </c>
      <c r="DE418" s="3" t="n">
        <v>19989.69969539996</v>
      </c>
      <c r="DF418" s="3" t="n">
        <v>18941.2105535399</v>
      </c>
      <c r="DG418" s="3" t="n">
        <v>19196.87638430499</v>
      </c>
      <c r="DH418" s="3" t="n">
        <v>18534.41785944706</v>
      </c>
      <c r="DI418" s="3" t="n">
        <v>18390.36030781152</v>
      </c>
      <c r="DJ418" s="3" t="n">
        <v>18006.83794727232</v>
      </c>
      <c r="DK418" s="3" t="n">
        <v>17885.48959166945</v>
      </c>
      <c r="DL418" s="3" t="n">
        <v>17542.88438349689</v>
      </c>
      <c r="DM418" s="3" t="n">
        <v>17441.12043284032</v>
      </c>
      <c r="DN418" s="3" t="n">
        <v>17147.97305294078</v>
      </c>
      <c r="DO418" s="3" t="n">
        <v>17073.56992801622</v>
      </c>
    </row>
    <row r="419">
      <c r="A419" s="19" t="inlineStr">
        <is>
          <t>mit.gen_mwy.pow.oop</t>
        </is>
      </c>
      <c r="B419" s="3" t="inlineStr">
        <is>
          <t>mit</t>
        </is>
      </c>
      <c r="C419" s="19" t="inlineStr">
        <is>
          <t>mit.elec.twh.oop</t>
        </is>
      </c>
      <c r="H419" s="3" t="inlineStr">
        <is>
          <t>Generation | Power | Other oil products</t>
        </is>
      </c>
      <c r="I419" s="3" t="inlineStr">
        <is>
          <t>MWy</t>
        </is>
      </c>
      <c r="K419" s="20" t="inlineStr">
        <is>
          <t>egy.mit.gen_mwy.pow.oop.1</t>
        </is>
      </c>
      <c r="L419" s="3" t="n">
        <v>2089.118332734939</v>
      </c>
      <c r="M419" s="3" t="n">
        <v>2032.906909023307</v>
      </c>
      <c r="N419" s="3" t="n">
        <v>1974.823854479784</v>
      </c>
      <c r="O419" s="3" t="n">
        <v>2387.354659430625</v>
      </c>
      <c r="P419" s="3" t="n">
        <v>2825.283689630819</v>
      </c>
      <c r="Q419" s="3" t="n">
        <v>3290.716926276991</v>
      </c>
      <c r="R419" s="3" t="n">
        <v>3785.917072545095</v>
      </c>
      <c r="S419" s="3" t="n">
        <v>4313.315632040955</v>
      </c>
      <c r="T419" s="3" t="n">
        <v>4875.525908381446</v>
      </c>
      <c r="U419" s="3" t="n">
        <v>4741.683437020503</v>
      </c>
      <c r="V419" s="3" t="n">
        <v>4612.655343567002</v>
      </c>
      <c r="W419" s="3" t="n">
        <v>4487.349950548258</v>
      </c>
      <c r="X419" s="3" t="n">
        <v>4370.421087695998</v>
      </c>
      <c r="Y419" s="3" t="n">
        <v>4254.465560571868</v>
      </c>
      <c r="Z419" s="3" t="n">
        <v>4142.061612260477</v>
      </c>
      <c r="AA419" s="3" t="n">
        <v>4032.619753503559</v>
      </c>
      <c r="AB419" s="3" t="n">
        <v>3926.089509598445</v>
      </c>
      <c r="AC419" s="3" t="n">
        <v>3822.365423606538</v>
      </c>
      <c r="AD419" s="3" t="n">
        <v>3721.29292876968</v>
      </c>
      <c r="AE419" s="3" t="n">
        <v>3622.770568568603</v>
      </c>
      <c r="AG419" s="20" t="inlineStr">
        <is>
          <t>egy.mit.gen_mwy.pow.oop.3</t>
        </is>
      </c>
      <c r="AH419" s="3" t="n">
        <v>2089.118332734939</v>
      </c>
      <c r="AI419" s="3" t="n">
        <v>2032.304469975581</v>
      </c>
      <c r="AJ419" s="3" t="n">
        <v>1974.238627976278</v>
      </c>
      <c r="AK419" s="3" t="n">
        <v>2386.785178457601</v>
      </c>
      <c r="AL419" s="3" t="n">
        <v>2824.728492675185</v>
      </c>
      <c r="AM419" s="3" t="n">
        <v>3290.174552899153</v>
      </c>
      <c r="AN419" s="3" t="n">
        <v>3785.386058809848</v>
      </c>
      <c r="AO419" s="3" t="n">
        <v>3677.232171415281</v>
      </c>
      <c r="AP419" s="3" t="n">
        <v>4187.697916999758</v>
      </c>
      <c r="AQ419" s="3" t="n">
        <v>4071.234345562242</v>
      </c>
      <c r="AR419" s="3" t="n">
        <v>3960.277949291164</v>
      </c>
      <c r="AS419" s="3" t="n">
        <v>3850.312515692846</v>
      </c>
      <c r="AT419" s="3" t="n">
        <v>3746.686254723462</v>
      </c>
      <c r="AU419" s="3" t="n">
        <v>3644.617336964319</v>
      </c>
      <c r="AV419" s="3" t="n">
        <v>3545.726743821395</v>
      </c>
      <c r="AW419" s="3" t="n">
        <v>3449.546982816436</v>
      </c>
      <c r="AX419" s="3" t="n">
        <v>3356.03007600398</v>
      </c>
      <c r="AY419" s="3" t="n">
        <v>3264.976179316639</v>
      </c>
      <c r="AZ419" s="3" t="n">
        <v>3176.34567258624</v>
      </c>
      <c r="BA419" s="3" t="n">
        <v>3089.995918650765</v>
      </c>
      <c r="BC419" s="20" t="inlineStr">
        <is>
          <t>egy.mit.gen_mwy.pow.oop.4</t>
        </is>
      </c>
      <c r="BD419" s="3" t="n">
        <v>2089.118332734939</v>
      </c>
      <c r="BE419" s="3" t="n">
        <v>2031.105320862128</v>
      </c>
      <c r="BF419" s="3" t="n">
        <v>1973.073740266067</v>
      </c>
      <c r="BG419" s="3" t="n">
        <v>2385.651181057847</v>
      </c>
      <c r="BH419" s="3" t="n">
        <v>2823.622021791007</v>
      </c>
      <c r="BI419" s="3" t="n">
        <v>3289.092241353386</v>
      </c>
      <c r="BJ419" s="3" t="n">
        <v>3784.324525010777</v>
      </c>
      <c r="BK419" s="3" t="n">
        <v>3677.405671869618</v>
      </c>
      <c r="BL419" s="3" t="n">
        <v>3572.530378194014</v>
      </c>
      <c r="BM419" s="3" t="n">
        <v>3470.579690877859</v>
      </c>
      <c r="BN419" s="3" t="n">
        <v>3371.712883585589</v>
      </c>
      <c r="BO419" s="3" t="n">
        <v>3275.545386842221</v>
      </c>
      <c r="BP419" s="3" t="n">
        <v>3182.189225338474</v>
      </c>
      <c r="BQ419" s="3" t="n">
        <v>3091.439772299326</v>
      </c>
      <c r="BR419" s="3" t="n">
        <v>3003.292296726892</v>
      </c>
      <c r="BS419" s="3" t="n">
        <v>2917.619100638849</v>
      </c>
      <c r="BT419" s="3" t="n">
        <v>2834.388555118606</v>
      </c>
      <c r="BU419" s="3" t="n">
        <v>2753.498492693052</v>
      </c>
      <c r="BV419" s="3" t="n">
        <v>2674.912691436069</v>
      </c>
      <c r="BW419" s="3" t="n">
        <v>2598.541739424717</v>
      </c>
      <c r="BY419" s="20" t="inlineStr">
        <is>
          <t>egy.mit.gen_mwy.pow.oop.5</t>
        </is>
      </c>
      <c r="BZ419" s="3" t="n">
        <v>2089.118332734939</v>
      </c>
      <c r="CA419" s="3" t="n">
        <v>2029.721016395673</v>
      </c>
      <c r="CB419" s="3" t="n">
        <v>1971.728987355796</v>
      </c>
      <c r="CC419" s="3" t="n">
        <v>2384.343376204106</v>
      </c>
      <c r="CD419" s="3" t="n">
        <v>2822.348580346428</v>
      </c>
      <c r="CE419" s="3" t="n">
        <v>3287.850590528615</v>
      </c>
      <c r="CF419" s="3" t="n">
        <v>3783.112096672298</v>
      </c>
      <c r="CG419" s="3" t="n">
        <v>4310.56456553051</v>
      </c>
      <c r="CH419" s="3" t="n">
        <v>4872.821239375375</v>
      </c>
      <c r="CI419" s="3" t="n">
        <v>4733.597775593934</v>
      </c>
      <c r="CJ419" s="3" t="n">
        <v>4598.352124869426</v>
      </c>
      <c r="CK419" s="3" t="n">
        <v>4466.970635587494</v>
      </c>
      <c r="CL419" s="3" t="n">
        <v>4339.342903142137</v>
      </c>
      <c r="CM419" s="3" t="n">
        <v>4215.361677338076</v>
      </c>
      <c r="CN419" s="3" t="n">
        <v>4094.922772271274</v>
      </c>
      <c r="CO419" s="3" t="n">
        <v>3977.924978777809</v>
      </c>
      <c r="CP419" s="3" t="n">
        <v>3864.269979384158</v>
      </c>
      <c r="CQ419" s="3" t="n">
        <v>3753.862265687468</v>
      </c>
      <c r="CR419" s="3" t="n">
        <v>3646.609058096397</v>
      </c>
      <c r="CS419" s="3" t="n">
        <v>3542.420227865071</v>
      </c>
      <c r="CU419" s="20" t="inlineStr">
        <is>
          <t>egy.mit.gen_mwy.pow.oop.6</t>
        </is>
      </c>
      <c r="CV419" s="3" t="n">
        <v>2089.118332734939</v>
      </c>
      <c r="CW419" s="3" t="n">
        <v>2031.582224260175</v>
      </c>
      <c r="CX419" s="3" t="n">
        <v>1973.537017852741</v>
      </c>
      <c r="CY419" s="3" t="n">
        <v>2386.102266658688</v>
      </c>
      <c r="CZ419" s="3" t="n">
        <v>2824.062347083134</v>
      </c>
      <c r="DA419" s="3" t="n">
        <v>3289.523240498769</v>
      </c>
      <c r="DB419" s="3" t="n">
        <v>3784.74763944389</v>
      </c>
      <c r="DC419" s="3" t="n">
        <v>3676.611992602636</v>
      </c>
      <c r="DD419" s="3" t="n">
        <v>3572.845790420599</v>
      </c>
      <c r="DE419" s="3" t="n">
        <v>3471.161466074347</v>
      </c>
      <c r="DF419" s="3" t="n">
        <v>3374.56710697578</v>
      </c>
      <c r="DG419" s="3" t="n">
        <v>3279.894944344371</v>
      </c>
      <c r="DH419" s="3" t="n">
        <v>3188.881304182725</v>
      </c>
      <c r="DI419" s="3" t="n">
        <v>3100.149964104489</v>
      </c>
      <c r="DJ419" s="3" t="n">
        <v>3014.114573589335</v>
      </c>
      <c r="DK419" s="3" t="n">
        <v>2930.35138830807</v>
      </c>
      <c r="DL419" s="3" t="n">
        <v>2849.006286480339</v>
      </c>
      <c r="DM419" s="3" t="n">
        <v>2769.74857234853</v>
      </c>
      <c r="DN419" s="3" t="n">
        <v>2692.708951308015</v>
      </c>
      <c r="DO419" s="3" t="n">
        <v>2617.641394333287</v>
      </c>
    </row>
    <row r="420">
      <c r="A420" s="19" t="inlineStr">
        <is>
          <t>mit.gen_mwy.pow.nuc</t>
        </is>
      </c>
      <c r="B420" s="3" t="inlineStr">
        <is>
          <t>mit</t>
        </is>
      </c>
      <c r="C420" s="19" t="inlineStr">
        <is>
          <t>mit.elec.twh.nuc</t>
        </is>
      </c>
      <c r="H420" s="3" t="inlineStr">
        <is>
          <t>Generation | Power | Nuclear</t>
        </is>
      </c>
      <c r="I420" s="3" t="inlineStr">
        <is>
          <t>MWy</t>
        </is>
      </c>
      <c r="K420" s="20" t="inlineStr">
        <is>
          <t>egy.mit.gen_mwy.pow.nuc.1</t>
        </is>
      </c>
      <c r="L420" s="3" t="n">
        <v>0</v>
      </c>
      <c r="M420" s="3" t="n">
        <v>0</v>
      </c>
      <c r="N420" s="3" t="n">
        <v>0</v>
      </c>
      <c r="O420" s="3" t="n">
        <v>0</v>
      </c>
      <c r="P420" s="3" t="n">
        <v>0</v>
      </c>
      <c r="Q420" s="3" t="n">
        <v>0</v>
      </c>
      <c r="R420" s="3" t="n">
        <v>0</v>
      </c>
      <c r="S420" s="3" t="n">
        <v>0</v>
      </c>
      <c r="T420" s="3" t="n">
        <v>0</v>
      </c>
      <c r="U420" s="3" t="n">
        <v>0</v>
      </c>
      <c r="V420" s="3" t="n">
        <v>0</v>
      </c>
      <c r="W420" s="3" t="n">
        <v>0</v>
      </c>
      <c r="X420" s="3" t="n">
        <v>0</v>
      </c>
      <c r="Y420" s="3" t="n">
        <v>0</v>
      </c>
      <c r="Z420" s="3" t="n">
        <v>0</v>
      </c>
      <c r="AA420" s="3" t="n">
        <v>0</v>
      </c>
      <c r="AB420" s="3" t="n">
        <v>0</v>
      </c>
      <c r="AC420" s="3" t="n">
        <v>0</v>
      </c>
      <c r="AD420" s="3" t="n">
        <v>0</v>
      </c>
      <c r="AE420" s="3" t="n">
        <v>0</v>
      </c>
      <c r="AG420" s="20" t="inlineStr">
        <is>
          <t>egy.mit.gen_mwy.pow.nuc.3</t>
        </is>
      </c>
      <c r="AH420" s="3" t="n">
        <v>0</v>
      </c>
      <c r="AI420" s="3" t="n">
        <v>0</v>
      </c>
      <c r="AJ420" s="3" t="n">
        <v>0</v>
      </c>
      <c r="AK420" s="3" t="n">
        <v>0</v>
      </c>
      <c r="AL420" s="3" t="n">
        <v>0</v>
      </c>
      <c r="AM420" s="3" t="n">
        <v>0</v>
      </c>
      <c r="AN420" s="3" t="n">
        <v>0</v>
      </c>
      <c r="AO420" s="3" t="n">
        <v>0</v>
      </c>
      <c r="AP420" s="3" t="n">
        <v>0</v>
      </c>
      <c r="AQ420" s="3" t="n">
        <v>0</v>
      </c>
      <c r="AR420" s="3" t="n">
        <v>0</v>
      </c>
      <c r="AS420" s="3" t="n">
        <v>0</v>
      </c>
      <c r="AT420" s="3" t="n">
        <v>0</v>
      </c>
      <c r="AU420" s="3" t="n">
        <v>0</v>
      </c>
      <c r="AV420" s="3" t="n">
        <v>0</v>
      </c>
      <c r="AW420" s="3" t="n">
        <v>0</v>
      </c>
      <c r="AX420" s="3" t="n">
        <v>0</v>
      </c>
      <c r="AY420" s="3" t="n">
        <v>0</v>
      </c>
      <c r="AZ420" s="3" t="n">
        <v>0</v>
      </c>
      <c r="BA420" s="3" t="n">
        <v>0</v>
      </c>
      <c r="BC420" s="20" t="inlineStr">
        <is>
          <t>egy.mit.gen_mwy.pow.nuc.4</t>
        </is>
      </c>
      <c r="BD420" s="3" t="n">
        <v>0</v>
      </c>
      <c r="BE420" s="3" t="n">
        <v>0</v>
      </c>
      <c r="BF420" s="3" t="n">
        <v>0</v>
      </c>
      <c r="BG420" s="3" t="n">
        <v>0</v>
      </c>
      <c r="BH420" s="3" t="n">
        <v>0</v>
      </c>
      <c r="BI420" s="3" t="n">
        <v>0</v>
      </c>
      <c r="BJ420" s="3" t="n">
        <v>0</v>
      </c>
      <c r="BK420" s="3" t="n">
        <v>0</v>
      </c>
      <c r="BL420" s="3" t="n">
        <v>0</v>
      </c>
      <c r="BM420" s="3" t="n">
        <v>0</v>
      </c>
      <c r="BN420" s="3" t="n">
        <v>0</v>
      </c>
      <c r="BO420" s="3" t="n">
        <v>0</v>
      </c>
      <c r="BP420" s="3" t="n">
        <v>0</v>
      </c>
      <c r="BQ420" s="3" t="n">
        <v>0</v>
      </c>
      <c r="BR420" s="3" t="n">
        <v>0</v>
      </c>
      <c r="BS420" s="3" t="n">
        <v>0</v>
      </c>
      <c r="BT420" s="3" t="n">
        <v>0</v>
      </c>
      <c r="BU420" s="3" t="n">
        <v>0</v>
      </c>
      <c r="BV420" s="3" t="n">
        <v>0</v>
      </c>
      <c r="BW420" s="3" t="n">
        <v>0</v>
      </c>
      <c r="BY420" s="20" t="inlineStr">
        <is>
          <t>egy.mit.gen_mwy.pow.nuc.5</t>
        </is>
      </c>
      <c r="BZ420" s="3" t="n">
        <v>0</v>
      </c>
      <c r="CA420" s="3" t="n">
        <v>0</v>
      </c>
      <c r="CB420" s="3" t="n">
        <v>0</v>
      </c>
      <c r="CC420" s="3" t="n">
        <v>0</v>
      </c>
      <c r="CD420" s="3" t="n">
        <v>0</v>
      </c>
      <c r="CE420" s="3" t="n">
        <v>0</v>
      </c>
      <c r="CF420" s="3" t="n">
        <v>0</v>
      </c>
      <c r="CG420" s="3" t="n">
        <v>0</v>
      </c>
      <c r="CH420" s="3" t="n">
        <v>0</v>
      </c>
      <c r="CI420" s="3" t="n">
        <v>0</v>
      </c>
      <c r="CJ420" s="3" t="n">
        <v>0</v>
      </c>
      <c r="CK420" s="3" t="n">
        <v>0</v>
      </c>
      <c r="CL420" s="3" t="n">
        <v>0</v>
      </c>
      <c r="CM420" s="3" t="n">
        <v>0</v>
      </c>
      <c r="CN420" s="3" t="n">
        <v>0</v>
      </c>
      <c r="CO420" s="3" t="n">
        <v>0</v>
      </c>
      <c r="CP420" s="3" t="n">
        <v>0</v>
      </c>
      <c r="CQ420" s="3" t="n">
        <v>0</v>
      </c>
      <c r="CR420" s="3" t="n">
        <v>0</v>
      </c>
      <c r="CS420" s="3" t="n">
        <v>0</v>
      </c>
      <c r="CU420" s="20" t="inlineStr">
        <is>
          <t>egy.mit.gen_mwy.pow.nuc.6</t>
        </is>
      </c>
      <c r="CV420" s="3" t="n">
        <v>0</v>
      </c>
      <c r="CW420" s="3" t="n">
        <v>0</v>
      </c>
      <c r="CX420" s="3" t="n">
        <v>0</v>
      </c>
      <c r="CY420" s="3" t="n">
        <v>0</v>
      </c>
      <c r="CZ420" s="3" t="n">
        <v>0</v>
      </c>
      <c r="DA420" s="3" t="n">
        <v>0</v>
      </c>
      <c r="DB420" s="3" t="n">
        <v>0</v>
      </c>
      <c r="DC420" s="3" t="n">
        <v>0</v>
      </c>
      <c r="DD420" s="3" t="n">
        <v>0</v>
      </c>
      <c r="DE420" s="3" t="n">
        <v>0</v>
      </c>
      <c r="DF420" s="3" t="n">
        <v>0</v>
      </c>
      <c r="DG420" s="3" t="n">
        <v>0</v>
      </c>
      <c r="DH420" s="3" t="n">
        <v>0</v>
      </c>
      <c r="DI420" s="3" t="n">
        <v>0</v>
      </c>
      <c r="DJ420" s="3" t="n">
        <v>0</v>
      </c>
      <c r="DK420" s="3" t="n">
        <v>0</v>
      </c>
      <c r="DL420" s="3" t="n">
        <v>0</v>
      </c>
      <c r="DM420" s="3" t="n">
        <v>0</v>
      </c>
      <c r="DN420" s="3" t="n">
        <v>0</v>
      </c>
      <c r="DO420" s="3" t="n">
        <v>0</v>
      </c>
    </row>
    <row r="421">
      <c r="A421" s="19" t="inlineStr">
        <is>
          <t>mit.gen_mwy.pow.wnd</t>
        </is>
      </c>
      <c r="B421" s="3" t="inlineStr">
        <is>
          <t>mit</t>
        </is>
      </c>
      <c r="C421" s="19" t="inlineStr">
        <is>
          <t>mit.elec.twh.wnd</t>
        </is>
      </c>
      <c r="H421" s="3" t="inlineStr">
        <is>
          <t>Generation | Power | Wind</t>
        </is>
      </c>
      <c r="I421" s="3" t="inlineStr">
        <is>
          <t>MWy</t>
        </is>
      </c>
      <c r="K421" s="20" t="inlineStr">
        <is>
          <t>egy.mit.gen_mwy.pow.wnd.1</t>
        </is>
      </c>
      <c r="L421" s="3" t="n">
        <v>666.2735583353248</v>
      </c>
      <c r="M421" s="3" t="n">
        <v>939.4443210383247</v>
      </c>
      <c r="N421" s="3" t="n">
        <v>908.1295103370471</v>
      </c>
      <c r="O421" s="3" t="n">
        <v>1346.812870309409</v>
      </c>
      <c r="P421" s="3" t="n">
        <v>1808.058271292544</v>
      </c>
      <c r="Q421" s="3" t="n">
        <v>2293.94529002794</v>
      </c>
      <c r="R421" s="3" t="n">
        <v>2806.701076903027</v>
      </c>
      <c r="S421" s="3" t="n">
        <v>3348.711993051028</v>
      </c>
      <c r="T421" s="3" t="n">
        <v>3922.536125776702</v>
      </c>
      <c r="U421" s="3" t="n">
        <v>4462.017948204035</v>
      </c>
      <c r="V421" s="3" t="n">
        <v>5070.339246906204</v>
      </c>
      <c r="W421" s="3" t="n">
        <v>5681.753491160775</v>
      </c>
      <c r="X421" s="3" t="n">
        <v>6294.621716216213</v>
      </c>
      <c r="Y421" s="3" t="n">
        <v>6943.835112363407</v>
      </c>
      <c r="Z421" s="3" t="n">
        <v>7611.471661308851</v>
      </c>
      <c r="AA421" s="3" t="n">
        <v>8300.497247200727</v>
      </c>
      <c r="AB421" s="3" t="n">
        <v>9010.214799884659</v>
      </c>
      <c r="AC421" s="3" t="n">
        <v>9741.043374569961</v>
      </c>
      <c r="AD421" s="3" t="n">
        <v>10493.32828443502</v>
      </c>
      <c r="AE421" s="3" t="n">
        <v>11267.45691799403</v>
      </c>
      <c r="AG421" s="20" t="inlineStr">
        <is>
          <t>egy.mit.gen_mwy.pow.wnd.3</t>
        </is>
      </c>
      <c r="AH421" s="3" t="n">
        <v>666.2735583353248</v>
      </c>
      <c r="AI421" s="3" t="n">
        <v>947.3352815674779</v>
      </c>
      <c r="AJ421" s="3" t="n">
        <v>915.7574388485619</v>
      </c>
      <c r="AK421" s="3" t="n">
        <v>1354.185559310446</v>
      </c>
      <c r="AL421" s="3" t="n">
        <v>1815.183217125994</v>
      </c>
      <c r="AM421" s="3" t="n">
        <v>2300.829698474577</v>
      </c>
      <c r="AN421" s="3" t="n">
        <v>2813.351868328476</v>
      </c>
      <c r="AO421" s="3" t="n">
        <v>2719.573472717526</v>
      </c>
      <c r="AP421" s="3" t="n">
        <v>3244.450545537571</v>
      </c>
      <c r="AQ421" s="3" t="n">
        <v>3800.178717687196</v>
      </c>
      <c r="AR421" s="3" t="n">
        <v>4357.934983734997</v>
      </c>
      <c r="AS421" s="3" t="n">
        <v>4863.129126881684</v>
      </c>
      <c r="AT421" s="3" t="n">
        <v>5447.001270452213</v>
      </c>
      <c r="AU421" s="3" t="n">
        <v>6066.987904309</v>
      </c>
      <c r="AV421" s="3" t="n">
        <v>6704.635206987418</v>
      </c>
      <c r="AW421" s="3" t="n">
        <v>7364.121544476699</v>
      </c>
      <c r="AX421" s="3" t="n">
        <v>8044.910697116877</v>
      </c>
      <c r="AY421" s="3" t="n">
        <v>8747.881111110404</v>
      </c>
      <c r="AZ421" s="3" t="n">
        <v>9472.166004197397</v>
      </c>
      <c r="BA421" s="3" t="n">
        <v>10218.16738113886</v>
      </c>
      <c r="BC421" s="20" t="inlineStr">
        <is>
          <t>egy.mit.gen_mwy.pow.wnd.4</t>
        </is>
      </c>
      <c r="BD421" s="3" t="n">
        <v>666.2735583353248</v>
      </c>
      <c r="BE421" s="3" t="n">
        <v>966.9196411604916</v>
      </c>
      <c r="BF421" s="3" t="n">
        <v>934.6889864551418</v>
      </c>
      <c r="BG421" s="3" t="n">
        <v>1372.48366313459</v>
      </c>
      <c r="BH421" s="3" t="n">
        <v>1832.866510745869</v>
      </c>
      <c r="BI421" s="3" t="n">
        <v>2317.916094858368</v>
      </c>
      <c r="BJ421" s="3" t="n">
        <v>2829.858572725814</v>
      </c>
      <c r="BK421" s="3" t="n">
        <v>3371.079328780591</v>
      </c>
      <c r="BL421" s="3" t="n">
        <v>3405.898934035218</v>
      </c>
      <c r="BM421" s="3" t="n">
        <v>3447.996105775691</v>
      </c>
      <c r="BN421" s="3" t="n">
        <v>3917.58143169946</v>
      </c>
      <c r="BO421" s="3" t="n">
        <v>4118.984334984085</v>
      </c>
      <c r="BP421" s="3" t="n">
        <v>4617.331486686597</v>
      </c>
      <c r="BQ421" s="3" t="n">
        <v>5044.005143929097</v>
      </c>
      <c r="BR421" s="3" t="n">
        <v>5536.458371229512</v>
      </c>
      <c r="BS421" s="3" t="n">
        <v>6031.936247558646</v>
      </c>
      <c r="BT421" s="3" t="n">
        <v>6527.481680088696</v>
      </c>
      <c r="BU421" s="3" t="n">
        <v>7031.67204873653</v>
      </c>
      <c r="BV421" s="3" t="n">
        <v>7540.196834582295</v>
      </c>
      <c r="BW421" s="3" t="n">
        <v>8062.667476573604</v>
      </c>
      <c r="BY421" s="20" t="inlineStr">
        <is>
          <t>egy.mit.gen_mwy.pow.wnd.5</t>
        </is>
      </c>
      <c r="BZ421" s="3" t="n">
        <v>666.2735583353248</v>
      </c>
      <c r="CA421" s="3" t="n">
        <v>992.5587949280651</v>
      </c>
      <c r="CB421" s="3" t="n">
        <v>959.4735017637964</v>
      </c>
      <c r="CC421" s="3" t="n">
        <v>1396.440554477764</v>
      </c>
      <c r="CD421" s="3" t="n">
        <v>1856.021836600469</v>
      </c>
      <c r="CE421" s="3" t="n">
        <v>2340.294983096348</v>
      </c>
      <c r="CF421" s="3" t="n">
        <v>2851.485244770971</v>
      </c>
      <c r="CG421" s="3" t="n">
        <v>3391.97712251793</v>
      </c>
      <c r="CH421" s="3" t="n">
        <v>3964.326879865449</v>
      </c>
      <c r="CI421" s="3" t="n">
        <v>4571.276001277921</v>
      </c>
      <c r="CJ421" s="3" t="n">
        <v>5174.167120611631</v>
      </c>
      <c r="CK421" s="3" t="n">
        <v>5781.836565935493</v>
      </c>
      <c r="CL421" s="3" t="n">
        <v>6389.664481700948</v>
      </c>
      <c r="CM421" s="3" t="n">
        <v>7037.124099734991</v>
      </c>
      <c r="CN421" s="3" t="n">
        <v>7705.27343159388</v>
      </c>
      <c r="CO421" s="3" t="n">
        <v>8395.78979064526</v>
      </c>
      <c r="CP421" s="3" t="n">
        <v>9113.280882485242</v>
      </c>
      <c r="CQ421" s="3" t="n">
        <v>9855.350650037035</v>
      </c>
      <c r="CR421" s="3" t="n">
        <v>10622.00189375381</v>
      </c>
      <c r="CS421" s="3" t="n">
        <v>11414.43960033129</v>
      </c>
      <c r="CU421" s="20" t="inlineStr">
        <is>
          <t>egy.mit.gen_mwy.pow.wnd.6</t>
        </is>
      </c>
      <c r="CV421" s="3" t="n">
        <v>666.2735583353248</v>
      </c>
      <c r="CW421" s="3" t="n">
        <v>958.3301948655435</v>
      </c>
      <c r="CX421" s="3" t="n">
        <v>926.3858550366921</v>
      </c>
      <c r="CY421" s="3" t="n">
        <v>1364.458347280066</v>
      </c>
      <c r="CZ421" s="3" t="n">
        <v>1825.110833271138</v>
      </c>
      <c r="DA421" s="3" t="n">
        <v>2310.422194542016</v>
      </c>
      <c r="DB421" s="3" t="n">
        <v>2822.618898635701</v>
      </c>
      <c r="DC421" s="3" t="n">
        <v>2728.531602014511</v>
      </c>
      <c r="DD421" s="3" t="n">
        <v>3055.981460312117</v>
      </c>
      <c r="DE421" s="3" t="n">
        <v>3103.017265702204</v>
      </c>
      <c r="DF421" s="3" t="n">
        <v>3607.3508361682</v>
      </c>
      <c r="DG421" s="3" t="n">
        <v>4144.926904495925</v>
      </c>
      <c r="DH421" s="3" t="n">
        <v>4690.158890688734</v>
      </c>
      <c r="DI421" s="3" t="n">
        <v>5267.192371578752</v>
      </c>
      <c r="DJ421" s="3" t="n">
        <v>5867.889385235079</v>
      </c>
      <c r="DK421" s="3" t="n">
        <v>6498.454823382008</v>
      </c>
      <c r="DL421" s="3" t="n">
        <v>7155.47869745341</v>
      </c>
      <c r="DM421" s="3" t="n">
        <v>7843.034926474435</v>
      </c>
      <c r="DN421" s="3" t="n">
        <v>8556.558826917253</v>
      </c>
      <c r="DO421" s="3" t="n">
        <v>9298.702154385201</v>
      </c>
    </row>
    <row r="422">
      <c r="A422" s="19" t="inlineStr">
        <is>
          <t>mit.gen_mwy.pow.sol</t>
        </is>
      </c>
      <c r="B422" s="3" t="inlineStr">
        <is>
          <t>mit</t>
        </is>
      </c>
      <c r="C422" s="19" t="inlineStr">
        <is>
          <t>mit.elec.twh.sol</t>
        </is>
      </c>
      <c r="H422" s="3" t="inlineStr">
        <is>
          <t>Generation | Power | Solar</t>
        </is>
      </c>
      <c r="I422" s="3" t="inlineStr">
        <is>
          <t>MWy</t>
        </is>
      </c>
      <c r="K422" s="20" t="inlineStr">
        <is>
          <t>egy.mit.gen_mwy.pow.sol.1</t>
        </is>
      </c>
      <c r="L422" s="3" t="n">
        <v>554.985300927291</v>
      </c>
      <c r="M422" s="3" t="n">
        <v>790.4683025431642</v>
      </c>
      <c r="N422" s="3" t="n">
        <v>758.8495704414375</v>
      </c>
      <c r="O422" s="3" t="n">
        <v>1197.449931274043</v>
      </c>
      <c r="P422" s="3" t="n">
        <v>1655.691097349864</v>
      </c>
      <c r="Q422" s="3" t="n">
        <v>2135.619081234351</v>
      </c>
      <c r="R422" s="3" t="n">
        <v>2639.414947860995</v>
      </c>
      <c r="S422" s="3" t="n">
        <v>3169.40596865799</v>
      </c>
      <c r="T422" s="3" t="n">
        <v>3728.077595739045</v>
      </c>
      <c r="U422" s="3" t="n">
        <v>4318.086320096485</v>
      </c>
      <c r="V422" s="3" t="n">
        <v>4902.418097601596</v>
      </c>
      <c r="W422" s="3" t="n">
        <v>5486.74692618231</v>
      </c>
      <c r="X422" s="3" t="n">
        <v>6069.537057229148</v>
      </c>
      <c r="Y422" s="3" t="n">
        <v>6685.78969496105</v>
      </c>
      <c r="Z422" s="3" t="n">
        <v>7317.455826520167</v>
      </c>
      <c r="AA422" s="3" t="n">
        <v>7967.498901394863</v>
      </c>
      <c r="AB422" s="3" t="n">
        <v>8635.199739596359</v>
      </c>
      <c r="AC422" s="3" t="n">
        <v>9320.960818027293</v>
      </c>
      <c r="AD422" s="3" t="n">
        <v>10025.10874099025</v>
      </c>
      <c r="AE422" s="3" t="n">
        <v>10748.01063439082</v>
      </c>
      <c r="AG422" s="20" t="inlineStr">
        <is>
          <t>egy.mit.gen_mwy.pow.sol.3</t>
        </is>
      </c>
      <c r="AH422" s="3" t="n">
        <v>554.985300927291</v>
      </c>
      <c r="AI422" s="3" t="n">
        <v>797.352189645244</v>
      </c>
      <c r="AJ422" s="3" t="n">
        <v>765.4581020594343</v>
      </c>
      <c r="AK422" s="3" t="n">
        <v>1203.793146400559</v>
      </c>
      <c r="AL422" s="3" t="n">
        <v>1661.778597003767</v>
      </c>
      <c r="AM422" s="3" t="n">
        <v>2141.460041709732</v>
      </c>
      <c r="AN422" s="3" t="n">
        <v>2645.018133177728</v>
      </c>
      <c r="AO422" s="3" t="n">
        <v>2539.217407850618</v>
      </c>
      <c r="AP422" s="3" t="n">
        <v>3053.178233447222</v>
      </c>
      <c r="AQ422" s="3" t="n">
        <v>3594.927627776877</v>
      </c>
      <c r="AR422" s="3" t="n">
        <v>4135.559412636509</v>
      </c>
      <c r="AS422" s="3" t="n">
        <v>4700.250681736951</v>
      </c>
      <c r="AT422" s="3" t="n">
        <v>5258.217102267392</v>
      </c>
      <c r="AU422" s="3" t="n">
        <v>5849.441761048557</v>
      </c>
      <c r="AV422" s="3" t="n">
        <v>6455.344323428666</v>
      </c>
      <c r="AW422" s="3" t="n">
        <v>7080.104728213715</v>
      </c>
      <c r="AX422" s="3" t="n">
        <v>7723.160409874567</v>
      </c>
      <c r="AY422" s="3" t="n">
        <v>8385.368097377006</v>
      </c>
      <c r="AZ422" s="3" t="n">
        <v>9065.834303605936</v>
      </c>
      <c r="BA422" s="3" t="n">
        <v>9764.941175209746</v>
      </c>
      <c r="BC422" s="20" t="inlineStr">
        <is>
          <t>egy.mit.gen_mwy.pow.sol.4</t>
        </is>
      </c>
      <c r="BD422" s="3" t="n">
        <v>554.985300927291</v>
      </c>
      <c r="BE422" s="3" t="n">
        <v>814.4371211826348</v>
      </c>
      <c r="BF422" s="3" t="n">
        <v>781.8596363353295</v>
      </c>
      <c r="BG422" s="3" t="n">
        <v>1219.53622710987</v>
      </c>
      <c r="BH422" s="3" t="n">
        <v>1676.887081074573</v>
      </c>
      <c r="BI422" s="3" t="n">
        <v>2155.956732302284</v>
      </c>
      <c r="BJ422" s="3" t="n">
        <v>2658.924810706252</v>
      </c>
      <c r="BK422" s="3" t="n">
        <v>3188.117193423639</v>
      </c>
      <c r="BL422" s="3" t="n">
        <v>3241.601718097837</v>
      </c>
      <c r="BM422" s="3" t="n">
        <v>3316.526099402933</v>
      </c>
      <c r="BN422" s="3" t="n">
        <v>3809.633281992697</v>
      </c>
      <c r="BO422" s="3" t="n">
        <v>4105.287110913343</v>
      </c>
      <c r="BP422" s="3" t="n">
        <v>4576.722256012124</v>
      </c>
      <c r="BQ422" s="3" t="n">
        <v>5044.102974262002</v>
      </c>
      <c r="BR422" s="3" t="n">
        <v>5502.925587389573</v>
      </c>
      <c r="BS422" s="3" t="n">
        <v>5962.835052597441</v>
      </c>
      <c r="BT422" s="3" t="n">
        <v>6420.931624608882</v>
      </c>
      <c r="BU422" s="3" t="n">
        <v>6885.867450941983</v>
      </c>
      <c r="BV422" s="3" t="n">
        <v>7353.346607041286</v>
      </c>
      <c r="BW422" s="3" t="n">
        <v>7833.02327923702</v>
      </c>
      <c r="BY422" s="20" t="inlineStr">
        <is>
          <t>egy.mit.gen_mwy.pow.sol.5</t>
        </is>
      </c>
      <c r="BZ422" s="3" t="n">
        <v>554.985300927291</v>
      </c>
      <c r="CA422" s="3" t="n">
        <v>824.4992462225651</v>
      </c>
      <c r="CB422" s="3" t="n">
        <v>791.5192763736626</v>
      </c>
      <c r="CC422" s="3" t="n">
        <v>1228.808008091477</v>
      </c>
      <c r="CD422" s="3" t="n">
        <v>1685.784988373115</v>
      </c>
      <c r="CE422" s="3" t="n">
        <v>2164.494129887418</v>
      </c>
      <c r="CF422" s="3" t="n">
        <v>2667.114459136422</v>
      </c>
      <c r="CG422" s="3" t="n">
        <v>3195.971266676956</v>
      </c>
      <c r="CH422" s="3" t="n">
        <v>3753.548077441329</v>
      </c>
      <c r="CI422" s="3" t="n">
        <v>4342.499505084996</v>
      </c>
      <c r="CJ422" s="3" t="n">
        <v>4924.06651092457</v>
      </c>
      <c r="CK422" s="3" t="n">
        <v>5507.24553316517</v>
      </c>
      <c r="CL422" s="3" t="n">
        <v>6087.511513135203</v>
      </c>
      <c r="CM422" s="3" t="n">
        <v>6704.459486700534</v>
      </c>
      <c r="CN422" s="3" t="n">
        <v>7339.001242415902</v>
      </c>
      <c r="CO422" s="3" t="n">
        <v>7992.799999490442</v>
      </c>
      <c r="CP422" s="3" t="n">
        <v>8670.438751038979</v>
      </c>
      <c r="CQ422" s="3" t="n">
        <v>9369.466997965388</v>
      </c>
      <c r="CR422" s="3" t="n">
        <v>10089.85125009812</v>
      </c>
      <c r="CS422" s="3" t="n">
        <v>10832.76163646346</v>
      </c>
      <c r="CU422" s="20" t="inlineStr">
        <is>
          <t>egy.mit.gen_mwy.pow.sol.6</t>
        </is>
      </c>
      <c r="CV422" s="3" t="n">
        <v>554.985300927291</v>
      </c>
      <c r="CW422" s="3" t="n">
        <v>806.9438916391151</v>
      </c>
      <c r="CX422" s="3" t="n">
        <v>774.6661359735504</v>
      </c>
      <c r="CY422" s="3" t="n">
        <v>1212.631511279205</v>
      </c>
      <c r="CZ422" s="3" t="n">
        <v>1670.260681728445</v>
      </c>
      <c r="DA422" s="3" t="n">
        <v>2149.598643505889</v>
      </c>
      <c r="DB422" s="3" t="n">
        <v>2652.825475010739</v>
      </c>
      <c r="DC422" s="3" t="n">
        <v>2546.71245601031</v>
      </c>
      <c r="DD422" s="3" t="n">
        <v>2961.805485961586</v>
      </c>
      <c r="DE422" s="3" t="n">
        <v>3039.471403259643</v>
      </c>
      <c r="DF422" s="3" t="n">
        <v>3525.660026451995</v>
      </c>
      <c r="DG422" s="3" t="n">
        <v>4042.454721593913</v>
      </c>
      <c r="DH422" s="3" t="n">
        <v>4564.152749072829</v>
      </c>
      <c r="DI422" s="3" t="n">
        <v>5114.95874968956</v>
      </c>
      <c r="DJ422" s="3" t="n">
        <v>5686.63049241093</v>
      </c>
      <c r="DK422" s="3" t="n">
        <v>6285.327023702591</v>
      </c>
      <c r="DL422" s="3" t="n">
        <v>6907.552977605291</v>
      </c>
      <c r="DM422" s="3" t="n">
        <v>7557.323044103885</v>
      </c>
      <c r="DN422" s="3" t="n">
        <v>8229.988520331694</v>
      </c>
      <c r="DO422" s="3" t="n">
        <v>8928.150934550282</v>
      </c>
    </row>
    <row r="423">
      <c r="A423" s="19" t="inlineStr">
        <is>
          <t>mit.gen_mwy.pow.hyd</t>
        </is>
      </c>
      <c r="B423" s="3" t="inlineStr">
        <is>
          <t>mit</t>
        </is>
      </c>
      <c r="C423" s="19" t="inlineStr">
        <is>
          <t>mit.elec.twh.hyd</t>
        </is>
      </c>
      <c r="H423" s="3" t="inlineStr">
        <is>
          <t>Generation | Power | Hydro</t>
        </is>
      </c>
      <c r="I423" s="3" t="inlineStr">
        <is>
          <t>MWy</t>
        </is>
      </c>
      <c r="K423" s="20" t="inlineStr">
        <is>
          <t>egy.mit.gen_mwy.pow.hyd.1</t>
        </is>
      </c>
      <c r="L423" s="3" t="n">
        <v>1717.132215589554</v>
      </c>
      <c r="M423" s="3" t="n">
        <v>1717.132215589554</v>
      </c>
      <c r="N423" s="3" t="n">
        <v>1717.132215589554</v>
      </c>
      <c r="O423" s="3" t="n">
        <v>1717.132215589554</v>
      </c>
      <c r="P423" s="3" t="n">
        <v>1717.132215589554</v>
      </c>
      <c r="Q423" s="3" t="n">
        <v>1717.132215589554</v>
      </c>
      <c r="R423" s="3" t="n">
        <v>1717.132215589554</v>
      </c>
      <c r="S423" s="3" t="n">
        <v>1717.132215589554</v>
      </c>
      <c r="T423" s="3" t="n">
        <v>1717.132215589554</v>
      </c>
      <c r="U423" s="3" t="n">
        <v>1968.124605430494</v>
      </c>
      <c r="V423" s="3" t="n">
        <v>2259.286530463351</v>
      </c>
      <c r="W423" s="3" t="n">
        <v>2548.292438936726</v>
      </c>
      <c r="X423" s="3" t="n">
        <v>3056.592458874222</v>
      </c>
      <c r="Y423" s="3" t="n">
        <v>3467.73604138984</v>
      </c>
      <c r="Z423" s="3" t="n">
        <v>3902.377380621322</v>
      </c>
      <c r="AA423" s="3" t="n">
        <v>4338.61240378944</v>
      </c>
      <c r="AB423" s="3" t="n">
        <v>4780.983556047008</v>
      </c>
      <c r="AC423" s="3" t="n">
        <v>5228.52911312005</v>
      </c>
      <c r="AD423" s="3" t="n">
        <v>5679.835364771811</v>
      </c>
      <c r="AE423" s="3" t="n">
        <v>6134.315875902229</v>
      </c>
      <c r="AG423" s="20" t="inlineStr">
        <is>
          <t>egy.mit.gen_mwy.pow.hyd.3</t>
        </is>
      </c>
      <c r="AH423" s="3" t="n">
        <v>1717.132215589554</v>
      </c>
      <c r="AI423" s="3" t="n">
        <v>1717.132215589554</v>
      </c>
      <c r="AJ423" s="3" t="n">
        <v>1717.132215589554</v>
      </c>
      <c r="AK423" s="3" t="n">
        <v>1717.132215589554</v>
      </c>
      <c r="AL423" s="3" t="n">
        <v>1717.132215589554</v>
      </c>
      <c r="AM423" s="3" t="n">
        <v>1717.132215589554</v>
      </c>
      <c r="AN423" s="3" t="n">
        <v>1717.132215589554</v>
      </c>
      <c r="AO423" s="3" t="n">
        <v>1717.132215589554</v>
      </c>
      <c r="AP423" s="3" t="n">
        <v>1717.132215589554</v>
      </c>
      <c r="AQ423" s="3" t="n">
        <v>1969.096651866607</v>
      </c>
      <c r="AR423" s="3" t="n">
        <v>2383.708341706703</v>
      </c>
      <c r="AS423" s="3" t="n">
        <v>2625.755728286943</v>
      </c>
      <c r="AT423" s="3" t="n">
        <v>3210.092870499226</v>
      </c>
      <c r="AU423" s="3" t="n">
        <v>3601.08067462408</v>
      </c>
      <c r="AV423" s="3" t="n">
        <v>4024.057572853356</v>
      </c>
      <c r="AW423" s="3" t="n">
        <v>4450.68447876284</v>
      </c>
      <c r="AX423" s="3" t="n">
        <v>4887.195402087352</v>
      </c>
      <c r="AY423" s="3" t="n">
        <v>5322.953148723876</v>
      </c>
      <c r="AZ423" s="3" t="n">
        <v>5763.376739798116</v>
      </c>
      <c r="BA423" s="3" t="n">
        <v>6202.179557506965</v>
      </c>
      <c r="BC423" s="20" t="inlineStr">
        <is>
          <t>egy.mit.gen_mwy.pow.hyd.4</t>
        </is>
      </c>
      <c r="BD423" s="3" t="n">
        <v>1717.132215589554</v>
      </c>
      <c r="BE423" s="3" t="n">
        <v>1717.132215589554</v>
      </c>
      <c r="BF423" s="3" t="n">
        <v>1717.132215589554</v>
      </c>
      <c r="BG423" s="3" t="n">
        <v>1717.132215589554</v>
      </c>
      <c r="BH423" s="3" t="n">
        <v>1717.132215589554</v>
      </c>
      <c r="BI423" s="3" t="n">
        <v>1717.132215589554</v>
      </c>
      <c r="BJ423" s="3" t="n">
        <v>1717.132215589554</v>
      </c>
      <c r="BK423" s="3" t="n">
        <v>1717.132215589554</v>
      </c>
      <c r="BL423" s="3" t="n">
        <v>1717.132215589554</v>
      </c>
      <c r="BM423" s="3" t="n">
        <v>1781.443181088229</v>
      </c>
      <c r="BN423" s="3" t="n">
        <v>1990.616313100017</v>
      </c>
      <c r="BO423" s="3" t="n">
        <v>2130.092784159675</v>
      </c>
      <c r="BP423" s="3" t="n">
        <v>2510.611390707998</v>
      </c>
      <c r="BQ423" s="3" t="n">
        <v>2730.824442609815</v>
      </c>
      <c r="BR423" s="3" t="n">
        <v>3325.640097668279</v>
      </c>
      <c r="BS423" s="3" t="n">
        <v>3767.652515281181</v>
      </c>
      <c r="BT423" s="3" t="n">
        <v>4614.140179174258</v>
      </c>
      <c r="BU423" s="3" t="n">
        <v>5240.583409511382</v>
      </c>
      <c r="BV423" s="3" t="n">
        <v>6324.442275745829</v>
      </c>
      <c r="BW423" s="3" t="n">
        <v>7007.614686570837</v>
      </c>
      <c r="BY423" s="20" t="inlineStr">
        <is>
          <t>egy.mit.gen_mwy.pow.hyd.5</t>
        </is>
      </c>
      <c r="BZ423" s="3" t="n">
        <v>1717.132215589554</v>
      </c>
      <c r="CA423" s="3" t="n">
        <v>1717.132215589554</v>
      </c>
      <c r="CB423" s="3" t="n">
        <v>1717.132215589554</v>
      </c>
      <c r="CC423" s="3" t="n">
        <v>1717.132215589554</v>
      </c>
      <c r="CD423" s="3" t="n">
        <v>1717.132215589554</v>
      </c>
      <c r="CE423" s="3" t="n">
        <v>1717.132215589554</v>
      </c>
      <c r="CF423" s="3" t="n">
        <v>1717.132215589554</v>
      </c>
      <c r="CG423" s="3" t="n">
        <v>1717.132215589554</v>
      </c>
      <c r="CH423" s="3" t="n">
        <v>1717.132215589554</v>
      </c>
      <c r="CI423" s="3" t="n">
        <v>2220.399749702609</v>
      </c>
      <c r="CJ423" s="3" t="n">
        <v>3143.167238168843</v>
      </c>
      <c r="CK423" s="3" t="n">
        <v>3809.610178632786</v>
      </c>
      <c r="CL423" s="3" t="n">
        <v>5810.999681874385</v>
      </c>
      <c r="CM423" s="3" t="n">
        <v>7463.985737545011</v>
      </c>
      <c r="CN423" s="3" t="n">
        <v>9170.836209458579</v>
      </c>
      <c r="CO423" s="3" t="n">
        <v>11078.37956116316</v>
      </c>
      <c r="CP423" s="3" t="n">
        <v>12835.74498805723</v>
      </c>
      <c r="CQ423" s="3" t="n">
        <v>14564.52984910958</v>
      </c>
      <c r="CR423" s="3" t="n">
        <v>16325.65391358639</v>
      </c>
      <c r="CS423" s="3" t="n">
        <v>17987.93117614069</v>
      </c>
      <c r="CU423" s="20" t="inlineStr">
        <is>
          <t>egy.mit.gen_mwy.pow.hyd.6</t>
        </is>
      </c>
      <c r="CV423" s="3" t="n">
        <v>1717.132215589554</v>
      </c>
      <c r="CW423" s="3" t="n">
        <v>1717.132215589554</v>
      </c>
      <c r="CX423" s="3" t="n">
        <v>1717.132215589554</v>
      </c>
      <c r="CY423" s="3" t="n">
        <v>1717.132215589554</v>
      </c>
      <c r="CZ423" s="3" t="n">
        <v>1717.132215589554</v>
      </c>
      <c r="DA423" s="3" t="n">
        <v>1717.132215589554</v>
      </c>
      <c r="DB423" s="3" t="n">
        <v>1717.132215589554</v>
      </c>
      <c r="DC423" s="3" t="n">
        <v>1717.132215589554</v>
      </c>
      <c r="DD423" s="3" t="n">
        <v>1717.132215589554</v>
      </c>
      <c r="DE423" s="3" t="n">
        <v>1777.383803552763</v>
      </c>
      <c r="DF423" s="3" t="n">
        <v>3296.802501859606</v>
      </c>
      <c r="DG423" s="3" t="n">
        <v>3987.472694123779</v>
      </c>
      <c r="DH423" s="3" t="n">
        <v>5695.963234980462</v>
      </c>
      <c r="DI423" s="3" t="n">
        <v>7049.250264988951</v>
      </c>
      <c r="DJ423" s="3" t="n">
        <v>8657.828060947853</v>
      </c>
      <c r="DK423" s="3" t="n">
        <v>10095.34981059103</v>
      </c>
      <c r="DL423" s="3" t="n">
        <v>11697.42349085253</v>
      </c>
      <c r="DM423" s="3" t="n">
        <v>13079.20547623757</v>
      </c>
      <c r="DN423" s="3" t="n">
        <v>14565.44833194843</v>
      </c>
      <c r="DO423" s="3" t="n">
        <v>15847.59888153183</v>
      </c>
    </row>
    <row r="424">
      <c r="A424" s="19" t="inlineStr">
        <is>
          <t>mit.gen_mwy.pow.ore</t>
        </is>
      </c>
      <c r="B424" s="3" t="inlineStr">
        <is>
          <t>mit</t>
        </is>
      </c>
      <c r="C424" s="19" t="inlineStr">
        <is>
          <t>mit.elec.twh.ore</t>
        </is>
      </c>
      <c r="H424" s="3" t="inlineStr">
        <is>
          <t>Generation | Power | Other renewables</t>
        </is>
      </c>
      <c r="I424" s="3" t="inlineStr">
        <is>
          <t>MWy</t>
        </is>
      </c>
      <c r="K424" s="20" t="inlineStr">
        <is>
          <t>egy.mit.gen_mwy.pow.ore.1</t>
        </is>
      </c>
      <c r="L424" s="3" t="n">
        <v>0</v>
      </c>
      <c r="M424" s="3" t="n">
        <v>0</v>
      </c>
      <c r="N424" s="3" t="n">
        <v>0</v>
      </c>
      <c r="O424" s="3" t="n">
        <v>0</v>
      </c>
      <c r="P424" s="3" t="n">
        <v>0</v>
      </c>
      <c r="Q424" s="3" t="n">
        <v>0</v>
      </c>
      <c r="R424" s="3" t="n">
        <v>0</v>
      </c>
      <c r="S424" s="3" t="n">
        <v>0</v>
      </c>
      <c r="T424" s="3" t="n">
        <v>0</v>
      </c>
      <c r="U424" s="3" t="n">
        <v>0</v>
      </c>
      <c r="V424" s="3" t="n">
        <v>0</v>
      </c>
      <c r="W424" s="3" t="n">
        <v>0</v>
      </c>
      <c r="X424" s="3" t="n">
        <v>0</v>
      </c>
      <c r="Y424" s="3" t="n">
        <v>0</v>
      </c>
      <c r="Z424" s="3" t="n">
        <v>0</v>
      </c>
      <c r="AA424" s="3" t="n">
        <v>0</v>
      </c>
      <c r="AB424" s="3" t="n">
        <v>0</v>
      </c>
      <c r="AC424" s="3" t="n">
        <v>0</v>
      </c>
      <c r="AD424" s="3" t="n">
        <v>0</v>
      </c>
      <c r="AE424" s="3" t="n">
        <v>0</v>
      </c>
      <c r="AG424" s="20" t="inlineStr">
        <is>
          <t>egy.mit.gen_mwy.pow.ore.3</t>
        </is>
      </c>
      <c r="AH424" s="3" t="n">
        <v>0</v>
      </c>
      <c r="AI424" s="3" t="n">
        <v>0</v>
      </c>
      <c r="AJ424" s="3" t="n">
        <v>0</v>
      </c>
      <c r="AK424" s="3" t="n">
        <v>0</v>
      </c>
      <c r="AL424" s="3" t="n">
        <v>0</v>
      </c>
      <c r="AM424" s="3" t="n">
        <v>0</v>
      </c>
      <c r="AN424" s="3" t="n">
        <v>0</v>
      </c>
      <c r="AO424" s="3" t="n">
        <v>0</v>
      </c>
      <c r="AP424" s="3" t="n">
        <v>0</v>
      </c>
      <c r="AQ424" s="3" t="n">
        <v>0</v>
      </c>
      <c r="AR424" s="3" t="n">
        <v>0</v>
      </c>
      <c r="AS424" s="3" t="n">
        <v>0</v>
      </c>
      <c r="AT424" s="3" t="n">
        <v>0</v>
      </c>
      <c r="AU424" s="3" t="n">
        <v>0</v>
      </c>
      <c r="AV424" s="3" t="n">
        <v>0</v>
      </c>
      <c r="AW424" s="3" t="n">
        <v>0</v>
      </c>
      <c r="AX424" s="3" t="n">
        <v>0</v>
      </c>
      <c r="AY424" s="3" t="n">
        <v>0</v>
      </c>
      <c r="AZ424" s="3" t="n">
        <v>0</v>
      </c>
      <c r="BA424" s="3" t="n">
        <v>0</v>
      </c>
      <c r="BC424" s="20" t="inlineStr">
        <is>
          <t>egy.mit.gen_mwy.pow.ore.4</t>
        </is>
      </c>
      <c r="BD424" s="3" t="n">
        <v>0</v>
      </c>
      <c r="BE424" s="3" t="n">
        <v>0</v>
      </c>
      <c r="BF424" s="3" t="n">
        <v>0</v>
      </c>
      <c r="BG424" s="3" t="n">
        <v>0</v>
      </c>
      <c r="BH424" s="3" t="n">
        <v>0</v>
      </c>
      <c r="BI424" s="3" t="n">
        <v>0</v>
      </c>
      <c r="BJ424" s="3" t="n">
        <v>0</v>
      </c>
      <c r="BK424" s="3" t="n">
        <v>0</v>
      </c>
      <c r="BL424" s="3" t="n">
        <v>0</v>
      </c>
      <c r="BM424" s="3" t="n">
        <v>0</v>
      </c>
      <c r="BN424" s="3" t="n">
        <v>0</v>
      </c>
      <c r="BO424" s="3" t="n">
        <v>0</v>
      </c>
      <c r="BP424" s="3" t="n">
        <v>0</v>
      </c>
      <c r="BQ424" s="3" t="n">
        <v>0</v>
      </c>
      <c r="BR424" s="3" t="n">
        <v>0</v>
      </c>
      <c r="BS424" s="3" t="n">
        <v>0</v>
      </c>
      <c r="BT424" s="3" t="n">
        <v>0</v>
      </c>
      <c r="BU424" s="3" t="n">
        <v>0</v>
      </c>
      <c r="BV424" s="3" t="n">
        <v>0</v>
      </c>
      <c r="BW424" s="3" t="n">
        <v>0</v>
      </c>
      <c r="BY424" s="20" t="inlineStr">
        <is>
          <t>egy.mit.gen_mwy.pow.ore.5</t>
        </is>
      </c>
      <c r="BZ424" s="3" t="n">
        <v>0</v>
      </c>
      <c r="CA424" s="3" t="n">
        <v>0</v>
      </c>
      <c r="CB424" s="3" t="n">
        <v>0</v>
      </c>
      <c r="CC424" s="3" t="n">
        <v>0</v>
      </c>
      <c r="CD424" s="3" t="n">
        <v>0</v>
      </c>
      <c r="CE424" s="3" t="n">
        <v>0</v>
      </c>
      <c r="CF424" s="3" t="n">
        <v>0</v>
      </c>
      <c r="CG424" s="3" t="n">
        <v>0</v>
      </c>
      <c r="CH424" s="3" t="n">
        <v>0</v>
      </c>
      <c r="CI424" s="3" t="n">
        <v>0</v>
      </c>
      <c r="CJ424" s="3" t="n">
        <v>0</v>
      </c>
      <c r="CK424" s="3" t="n">
        <v>0</v>
      </c>
      <c r="CL424" s="3" t="n">
        <v>0</v>
      </c>
      <c r="CM424" s="3" t="n">
        <v>0</v>
      </c>
      <c r="CN424" s="3" t="n">
        <v>0</v>
      </c>
      <c r="CO424" s="3" t="n">
        <v>0</v>
      </c>
      <c r="CP424" s="3" t="n">
        <v>0</v>
      </c>
      <c r="CQ424" s="3" t="n">
        <v>0</v>
      </c>
      <c r="CR424" s="3" t="n">
        <v>0</v>
      </c>
      <c r="CS424" s="3" t="n">
        <v>0</v>
      </c>
      <c r="CU424" s="20" t="inlineStr">
        <is>
          <t>egy.mit.gen_mwy.pow.ore.6</t>
        </is>
      </c>
      <c r="CV424" s="3" t="n">
        <v>0</v>
      </c>
      <c r="CW424" s="3" t="n">
        <v>0</v>
      </c>
      <c r="CX424" s="3" t="n">
        <v>0</v>
      </c>
      <c r="CY424" s="3" t="n">
        <v>0</v>
      </c>
      <c r="CZ424" s="3" t="n">
        <v>0</v>
      </c>
      <c r="DA424" s="3" t="n">
        <v>0</v>
      </c>
      <c r="DB424" s="3" t="n">
        <v>0</v>
      </c>
      <c r="DC424" s="3" t="n">
        <v>0</v>
      </c>
      <c r="DD424" s="3" t="n">
        <v>0</v>
      </c>
      <c r="DE424" s="3" t="n">
        <v>0</v>
      </c>
      <c r="DF424" s="3" t="n">
        <v>0</v>
      </c>
      <c r="DG424" s="3" t="n">
        <v>0</v>
      </c>
      <c r="DH424" s="3" t="n">
        <v>0</v>
      </c>
      <c r="DI424" s="3" t="n">
        <v>0</v>
      </c>
      <c r="DJ424" s="3" t="n">
        <v>0</v>
      </c>
      <c r="DK424" s="3" t="n">
        <v>0</v>
      </c>
      <c r="DL424" s="3" t="n">
        <v>0</v>
      </c>
      <c r="DM424" s="3" t="n">
        <v>0</v>
      </c>
      <c r="DN424" s="3" t="n">
        <v>0</v>
      </c>
      <c r="DO424" s="3" t="n">
        <v>0</v>
      </c>
    </row>
    <row r="425">
      <c r="A425" s="19" t="inlineStr">
        <is>
          <t>mit.gen_mwy.pow.bio</t>
        </is>
      </c>
      <c r="B425" s="3" t="inlineStr">
        <is>
          <t>mit</t>
        </is>
      </c>
      <c r="C425" s="19" t="inlineStr">
        <is>
          <t>mit.elec.twh.bio</t>
        </is>
      </c>
      <c r="H425" s="3" t="inlineStr">
        <is>
          <t>Generation | Power | Biomass</t>
        </is>
      </c>
      <c r="I425" s="3" t="inlineStr">
        <is>
          <t>MWy</t>
        </is>
      </c>
      <c r="K425" s="20" t="inlineStr">
        <is>
          <t>egy.mit.gen_mwy.pow.bio.1</t>
        </is>
      </c>
      <c r="L425" s="3" t="n">
        <v>0</v>
      </c>
      <c r="M425" s="3" t="n">
        <v>0</v>
      </c>
      <c r="N425" s="3" t="n">
        <v>0</v>
      </c>
      <c r="O425" s="3" t="n">
        <v>0</v>
      </c>
      <c r="P425" s="3" t="n">
        <v>0</v>
      </c>
      <c r="Q425" s="3" t="n">
        <v>0</v>
      </c>
      <c r="R425" s="3" t="n">
        <v>0</v>
      </c>
      <c r="S425" s="3" t="n">
        <v>0</v>
      </c>
      <c r="T425" s="3" t="n">
        <v>0</v>
      </c>
      <c r="U425" s="3" t="n">
        <v>0</v>
      </c>
      <c r="V425" s="3" t="n">
        <v>0</v>
      </c>
      <c r="W425" s="3" t="n">
        <v>0</v>
      </c>
      <c r="X425" s="3" t="n">
        <v>0</v>
      </c>
      <c r="Y425" s="3" t="n">
        <v>0</v>
      </c>
      <c r="Z425" s="3" t="n">
        <v>0</v>
      </c>
      <c r="AA425" s="3" t="n">
        <v>0</v>
      </c>
      <c r="AB425" s="3" t="n">
        <v>0</v>
      </c>
      <c r="AC425" s="3" t="n">
        <v>0</v>
      </c>
      <c r="AD425" s="3" t="n">
        <v>0</v>
      </c>
      <c r="AE425" s="3" t="n">
        <v>0</v>
      </c>
      <c r="AG425" s="20" t="inlineStr">
        <is>
          <t>egy.mit.gen_mwy.pow.bio.3</t>
        </is>
      </c>
      <c r="AH425" s="3" t="n">
        <v>0</v>
      </c>
      <c r="AI425" s="3" t="n">
        <v>0</v>
      </c>
      <c r="AJ425" s="3" t="n">
        <v>0</v>
      </c>
      <c r="AK425" s="3" t="n">
        <v>0</v>
      </c>
      <c r="AL425" s="3" t="n">
        <v>0</v>
      </c>
      <c r="AM425" s="3" t="n">
        <v>0</v>
      </c>
      <c r="AN425" s="3" t="n">
        <v>0</v>
      </c>
      <c r="AO425" s="3" t="n">
        <v>0</v>
      </c>
      <c r="AP425" s="3" t="n">
        <v>0</v>
      </c>
      <c r="AQ425" s="3" t="n">
        <v>0</v>
      </c>
      <c r="AR425" s="3" t="n">
        <v>0</v>
      </c>
      <c r="AS425" s="3" t="n">
        <v>0</v>
      </c>
      <c r="AT425" s="3" t="n">
        <v>0</v>
      </c>
      <c r="AU425" s="3" t="n">
        <v>0</v>
      </c>
      <c r="AV425" s="3" t="n">
        <v>0</v>
      </c>
      <c r="AW425" s="3" t="n">
        <v>0</v>
      </c>
      <c r="AX425" s="3" t="n">
        <v>0</v>
      </c>
      <c r="AY425" s="3" t="n">
        <v>0</v>
      </c>
      <c r="AZ425" s="3" t="n">
        <v>0</v>
      </c>
      <c r="BA425" s="3" t="n">
        <v>0</v>
      </c>
      <c r="BC425" s="20" t="inlineStr">
        <is>
          <t>egy.mit.gen_mwy.pow.bio.4</t>
        </is>
      </c>
      <c r="BD425" s="3" t="n">
        <v>0</v>
      </c>
      <c r="BE425" s="3" t="n">
        <v>0</v>
      </c>
      <c r="BF425" s="3" t="n">
        <v>0</v>
      </c>
      <c r="BG425" s="3" t="n">
        <v>0</v>
      </c>
      <c r="BH425" s="3" t="n">
        <v>0</v>
      </c>
      <c r="BI425" s="3" t="n">
        <v>0</v>
      </c>
      <c r="BJ425" s="3" t="n">
        <v>0</v>
      </c>
      <c r="BK425" s="3" t="n">
        <v>0</v>
      </c>
      <c r="BL425" s="3" t="n">
        <v>0</v>
      </c>
      <c r="BM425" s="3" t="n">
        <v>0</v>
      </c>
      <c r="BN425" s="3" t="n">
        <v>0</v>
      </c>
      <c r="BO425" s="3" t="n">
        <v>0</v>
      </c>
      <c r="BP425" s="3" t="n">
        <v>0</v>
      </c>
      <c r="BQ425" s="3" t="n">
        <v>0</v>
      </c>
      <c r="BR425" s="3" t="n">
        <v>0</v>
      </c>
      <c r="BS425" s="3" t="n">
        <v>0</v>
      </c>
      <c r="BT425" s="3" t="n">
        <v>0</v>
      </c>
      <c r="BU425" s="3" t="n">
        <v>0</v>
      </c>
      <c r="BV425" s="3" t="n">
        <v>0</v>
      </c>
      <c r="BW425" s="3" t="n">
        <v>0</v>
      </c>
      <c r="BY425" s="20" t="inlineStr">
        <is>
          <t>egy.mit.gen_mwy.pow.bio.5</t>
        </is>
      </c>
      <c r="BZ425" s="3" t="n">
        <v>0</v>
      </c>
      <c r="CA425" s="3" t="n">
        <v>0</v>
      </c>
      <c r="CB425" s="3" t="n">
        <v>0</v>
      </c>
      <c r="CC425" s="3" t="n">
        <v>0</v>
      </c>
      <c r="CD425" s="3" t="n">
        <v>0</v>
      </c>
      <c r="CE425" s="3" t="n">
        <v>0</v>
      </c>
      <c r="CF425" s="3" t="n">
        <v>0</v>
      </c>
      <c r="CG425" s="3" t="n">
        <v>0</v>
      </c>
      <c r="CH425" s="3" t="n">
        <v>0</v>
      </c>
      <c r="CI425" s="3" t="n">
        <v>0</v>
      </c>
      <c r="CJ425" s="3" t="n">
        <v>0</v>
      </c>
      <c r="CK425" s="3" t="n">
        <v>0</v>
      </c>
      <c r="CL425" s="3" t="n">
        <v>0</v>
      </c>
      <c r="CM425" s="3" t="n">
        <v>0</v>
      </c>
      <c r="CN425" s="3" t="n">
        <v>0</v>
      </c>
      <c r="CO425" s="3" t="n">
        <v>0</v>
      </c>
      <c r="CP425" s="3" t="n">
        <v>0</v>
      </c>
      <c r="CQ425" s="3" t="n">
        <v>0</v>
      </c>
      <c r="CR425" s="3" t="n">
        <v>0</v>
      </c>
      <c r="CS425" s="3" t="n">
        <v>0</v>
      </c>
      <c r="CU425" s="20" t="inlineStr">
        <is>
          <t>egy.mit.gen_mwy.pow.bio.6</t>
        </is>
      </c>
      <c r="CV425" s="3" t="n">
        <v>0</v>
      </c>
      <c r="CW425" s="3" t="n">
        <v>0</v>
      </c>
      <c r="CX425" s="3" t="n">
        <v>0</v>
      </c>
      <c r="CY425" s="3" t="n">
        <v>0</v>
      </c>
      <c r="CZ425" s="3" t="n">
        <v>0</v>
      </c>
      <c r="DA425" s="3" t="n">
        <v>0</v>
      </c>
      <c r="DB425" s="3" t="n">
        <v>0</v>
      </c>
      <c r="DC425" s="3" t="n">
        <v>0</v>
      </c>
      <c r="DD425" s="3" t="n">
        <v>0</v>
      </c>
      <c r="DE425" s="3" t="n">
        <v>0</v>
      </c>
      <c r="DF425" s="3" t="n">
        <v>0</v>
      </c>
      <c r="DG425" s="3" t="n">
        <v>0</v>
      </c>
      <c r="DH425" s="3" t="n">
        <v>0</v>
      </c>
      <c r="DI425" s="3" t="n">
        <v>0</v>
      </c>
      <c r="DJ425" s="3" t="n">
        <v>0</v>
      </c>
      <c r="DK425" s="3" t="n">
        <v>0</v>
      </c>
      <c r="DL425" s="3" t="n">
        <v>0</v>
      </c>
      <c r="DM425" s="3" t="n">
        <v>0</v>
      </c>
      <c r="DN425" s="3" t="n">
        <v>0</v>
      </c>
      <c r="DO425" s="3" t="n">
        <v>0</v>
      </c>
    </row>
    <row r="426">
      <c r="A426" s="14" t="n"/>
      <c r="B426" s="3" t="inlineStr">
        <is>
          <t>mit</t>
        </is>
      </c>
      <c r="C426" s="19" t="inlineStr">
        <is>
          <t>mit.elec.twh.ren</t>
        </is>
      </c>
      <c r="H426" s="14" t="inlineStr">
        <is>
          <t>Electricity generation from decentralized renewables, baseline (TWh)</t>
        </is>
      </c>
      <c r="I426" s="14" t="inlineStr">
        <is>
          <t>twh</t>
        </is>
      </c>
    </row>
    <row r="427">
      <c r="A427" s="5" t="n"/>
      <c r="B427" s="18" t="inlineStr">
        <is>
          <t>Disaggregated energy consumption (Policy)</t>
        </is>
      </c>
      <c r="C427" s="5" t="n"/>
      <c r="D427" s="5" t="n"/>
      <c r="E427" s="5" t="n"/>
      <c r="F427" s="5" t="n"/>
      <c r="G427" s="5" t="n"/>
      <c r="H427" s="5" t="n"/>
      <c r="I427" s="5" t="n"/>
      <c r="J427" s="5" t="n"/>
      <c r="K427" s="5" t="n"/>
      <c r="L427" s="5" t="n"/>
      <c r="M427" s="5" t="n"/>
      <c r="N427" s="5" t="n"/>
      <c r="O427" s="5" t="n"/>
      <c r="P427" s="5" t="n"/>
      <c r="Q427" s="5" t="n"/>
      <c r="R427" s="5" t="n"/>
      <c r="S427" s="5" t="n"/>
      <c r="T427" s="5" t="n"/>
      <c r="U427" s="5" t="n"/>
      <c r="V427" s="5" t="n"/>
      <c r="W427" s="5" t="n"/>
      <c r="X427" s="5" t="n"/>
      <c r="Y427" s="5" t="n"/>
      <c r="Z427" s="5" t="n"/>
      <c r="AA427" s="5" t="n"/>
      <c r="AB427" s="5" t="n"/>
      <c r="AC427" s="5" t="n"/>
      <c r="AD427" s="5" t="n"/>
      <c r="AE427" s="5" t="n"/>
      <c r="AF427" s="5" t="n"/>
      <c r="AG427" s="5" t="n"/>
      <c r="AH427" s="5" t="n"/>
      <c r="AI427" s="5" t="n"/>
      <c r="AJ427" s="5" t="n"/>
      <c r="AK427" s="5" t="n"/>
      <c r="AL427" s="5" t="n"/>
      <c r="AM427" s="5" t="n"/>
      <c r="AN427" s="5" t="n"/>
      <c r="AO427" s="5" t="n"/>
      <c r="AP427" s="5" t="n"/>
      <c r="AQ427" s="5" t="n"/>
      <c r="AR427" s="5" t="n"/>
      <c r="AS427" s="5" t="n"/>
      <c r="AT427" s="5" t="n"/>
      <c r="AU427" s="5" t="n"/>
      <c r="AV427" s="5" t="n"/>
      <c r="AW427" s="5" t="n"/>
      <c r="AX427" s="5" t="n"/>
      <c r="AY427" s="5" t="n"/>
      <c r="AZ427" s="5" t="n"/>
      <c r="BA427" s="5" t="n"/>
      <c r="BB427" s="5" t="n"/>
      <c r="BC427" s="5" t="n"/>
      <c r="BD427" s="5" t="n"/>
      <c r="BE427" s="5" t="n"/>
      <c r="BF427" s="5" t="n"/>
      <c r="BG427" s="5" t="n"/>
      <c r="BH427" s="5" t="n"/>
      <c r="BI427" s="5" t="n"/>
      <c r="BJ427" s="5" t="n"/>
      <c r="BK427" s="5" t="n"/>
      <c r="BL427" s="5" t="n"/>
      <c r="BM427" s="5" t="n"/>
      <c r="BN427" s="5" t="n"/>
      <c r="BO427" s="5" t="n"/>
      <c r="BP427" s="5" t="n"/>
      <c r="BQ427" s="5" t="n"/>
      <c r="BR427" s="5" t="n"/>
      <c r="BS427" s="5" t="n"/>
      <c r="BT427" s="5" t="n"/>
      <c r="BU427" s="5" t="n"/>
      <c r="BV427" s="5" t="n"/>
      <c r="BW427" s="5" t="n"/>
      <c r="BX427" s="5" t="n"/>
      <c r="BY427" s="5" t="n"/>
      <c r="BZ427" s="5" t="n"/>
      <c r="CA427" s="5" t="n"/>
      <c r="CB427" s="5" t="n"/>
      <c r="CC427" s="5" t="n"/>
      <c r="CD427" s="5" t="n"/>
      <c r="CE427" s="5" t="n"/>
      <c r="CF427" s="5" t="n"/>
      <c r="CG427" s="5" t="n"/>
      <c r="CH427" s="5" t="n"/>
      <c r="CI427" s="5" t="n"/>
      <c r="CJ427" s="5" t="n"/>
      <c r="CK427" s="5" t="n"/>
      <c r="CL427" s="5" t="n"/>
      <c r="CM427" s="5" t="n"/>
      <c r="CN427" s="5" t="n"/>
      <c r="CO427" s="5" t="n"/>
      <c r="CP427" s="5" t="n"/>
      <c r="CQ427" s="5" t="n"/>
      <c r="CR427" s="5" t="n"/>
      <c r="CS427" s="5" t="n"/>
      <c r="CT427" s="5" t="n"/>
      <c r="CU427" s="5" t="n"/>
      <c r="CV427" s="5" t="n"/>
      <c r="CW427" s="5" t="n"/>
      <c r="CX427" s="5" t="n"/>
      <c r="CY427" s="5" t="n"/>
      <c r="CZ427" s="5" t="n"/>
      <c r="DA427" s="5" t="n"/>
      <c r="DB427" s="5" t="n"/>
      <c r="DC427" s="5" t="n"/>
      <c r="DD427" s="5" t="n"/>
      <c r="DE427" s="5" t="n"/>
      <c r="DF427" s="5" t="n"/>
      <c r="DG427" s="5" t="n"/>
      <c r="DH427" s="5" t="n"/>
      <c r="DI427" s="5" t="n"/>
      <c r="DJ427" s="5" t="n"/>
      <c r="DK427" s="5" t="n"/>
      <c r="DL427" s="5" t="n"/>
      <c r="DM427" s="5" t="n"/>
      <c r="DN427" s="5" t="n"/>
      <c r="DO427" s="5" t="n"/>
      <c r="DP427" s="5" t="n"/>
      <c r="DQ427" s="5" t="n"/>
      <c r="DR427" s="5" t="n"/>
      <c r="DS427" s="5" t="n"/>
      <c r="DT427" s="5" t="n"/>
      <c r="DU427" s="5" t="n"/>
      <c r="DV427" s="5" t="n"/>
      <c r="DW427" s="5" t="n"/>
      <c r="DX427" s="5" t="n"/>
      <c r="DY427" s="5" t="n"/>
      <c r="DZ427" s="5" t="n"/>
      <c r="EA427" s="5" t="n"/>
      <c r="EB427" s="5" t="n"/>
      <c r="EC427" s="5" t="n"/>
      <c r="ED427" s="5" t="n"/>
      <c r="EE427" s="5" t="n"/>
      <c r="EF427" s="5" t="n"/>
      <c r="EG427" s="5" t="n"/>
      <c r="EH427" s="5" t="n"/>
      <c r="EI427" s="5" t="n"/>
      <c r="EJ427" s="5" t="n"/>
      <c r="EK427" s="5" t="n"/>
      <c r="EL427" s="5" t="n"/>
      <c r="EM427" s="5" t="n"/>
      <c r="EN427" s="5" t="n"/>
      <c r="EO427" s="5" t="n"/>
      <c r="EP427" s="5" t="n"/>
      <c r="EQ427" s="5" t="n"/>
      <c r="ER427" s="5" t="n"/>
      <c r="ES427" s="5" t="n"/>
      <c r="ET427" s="5" t="n"/>
      <c r="EU427" s="5" t="n"/>
      <c r="EV427" s="5" t="n"/>
      <c r="EW427" s="5" t="n"/>
      <c r="EX427" s="5" t="n"/>
      <c r="EY427" s="5" t="n"/>
      <c r="EZ427" s="5" t="n"/>
      <c r="FA427" s="5" t="n"/>
      <c r="FB427" s="5" t="n"/>
      <c r="FC427" s="5" t="n"/>
      <c r="FD427" s="5" t="n"/>
      <c r="FE427" s="5" t="n"/>
      <c r="FF427" s="5" t="n"/>
      <c r="FG427" s="5" t="n"/>
      <c r="FH427" s="5" t="n"/>
      <c r="FI427" s="5" t="n"/>
      <c r="FJ427" s="5" t="n"/>
      <c r="FK427" s="5" t="n"/>
      <c r="FL427" s="5" t="n"/>
      <c r="FM427" s="5" t="n"/>
      <c r="FN427" s="5" t="n"/>
      <c r="FO427" s="5" t="n"/>
      <c r="FP427" s="5" t="n"/>
      <c r="FQ427" s="5" t="n"/>
      <c r="FR427" s="5" t="n"/>
      <c r="FS427" s="5" t="n"/>
      <c r="FT427" s="5" t="n"/>
      <c r="FU427" s="5" t="n"/>
      <c r="FV427" s="5" t="n"/>
      <c r="FW427" s="5" t="n"/>
      <c r="FX427" s="5" t="n"/>
      <c r="FY427" s="5" t="n"/>
      <c r="FZ427" s="5" t="n"/>
      <c r="GA427" s="5" t="n"/>
      <c r="GB427" s="5" t="n"/>
      <c r="GC427" s="5" t="n"/>
      <c r="GD427" s="5" t="n"/>
      <c r="GE427" s="5" t="n"/>
      <c r="GF427" s="5" t="n"/>
      <c r="GG427" s="5" t="n"/>
      <c r="GH427" s="5" t="n"/>
      <c r="GI427" s="5" t="n"/>
      <c r="GJ427" s="5" t="n"/>
      <c r="GK427" s="5" t="n"/>
      <c r="GL427" s="5" t="n"/>
      <c r="GM427" s="5" t="n"/>
      <c r="GN427" s="5" t="n"/>
      <c r="GO427" s="5" t="n"/>
      <c r="GP427" s="5" t="n"/>
      <c r="GQ427" s="5" t="n"/>
      <c r="GR427" s="5" t="n"/>
      <c r="GS427" s="5" t="n"/>
      <c r="GT427" s="5" t="n"/>
      <c r="GU427" s="5" t="n"/>
      <c r="GV427" s="5" t="n"/>
      <c r="GW427" s="5" t="n"/>
      <c r="GX427" s="5" t="n"/>
      <c r="GY427" s="5" t="n"/>
      <c r="GZ427" s="5" t="n"/>
      <c r="HA427" s="5" t="n"/>
      <c r="HB427" s="5" t="n"/>
      <c r="HC427" s="5" t="n"/>
      <c r="HD427" s="5" t="n"/>
      <c r="HE427" s="5" t="n"/>
      <c r="HF427" s="5" t="n"/>
      <c r="HG427" s="5" t="n"/>
      <c r="HH427" s="5" t="n"/>
      <c r="HI427" s="5" t="n"/>
      <c r="HJ427" s="5" t="n"/>
      <c r="HK427" s="5" t="n"/>
      <c r="HL427" s="5" t="n"/>
      <c r="HM427" s="5" t="n"/>
      <c r="HN427" s="5" t="n"/>
      <c r="HO427" s="5" t="n"/>
      <c r="HP427" s="5" t="n"/>
      <c r="HQ427" s="5" t="n"/>
      <c r="HR427" s="5" t="n"/>
      <c r="HS427" s="5" t="n"/>
      <c r="HT427" s="5" t="n"/>
      <c r="HU427" s="5" t="n"/>
      <c r="HV427" s="5" t="n"/>
    </row>
    <row r="428">
      <c r="A428" s="19" t="inlineStr">
        <is>
          <t>mit.ener.tra.tot</t>
        </is>
      </c>
      <c r="B428" s="3" t="inlineStr">
        <is>
          <t>mit</t>
        </is>
      </c>
      <c r="C428" s="19" t="inlineStr">
        <is>
          <t>mit.ener.rod.nga.pass.e</t>
        </is>
      </c>
      <c r="H428" s="3" t="inlineStr">
        <is>
          <t>Fuel use | Transport | All fuels</t>
        </is>
      </c>
      <c r="I428" s="3" t="inlineStr">
        <is>
          <t>ktoe</t>
        </is>
      </c>
      <c r="K428" s="20" t="inlineStr">
        <is>
          <t>egy.mit.ener.tra.tot.1</t>
        </is>
      </c>
      <c r="L428" s="23" t="n">
        <v>18799.43616325871</v>
      </c>
      <c r="M428" s="23" t="n">
        <v>19279.93939037103</v>
      </c>
      <c r="N428" s="23" t="n">
        <v>23487.5326942036</v>
      </c>
      <c r="O428" s="23" t="n">
        <v>24006.83776444244</v>
      </c>
      <c r="P428" s="23" t="n">
        <v>24507.80310564093</v>
      </c>
      <c r="Q428" s="23" t="n">
        <v>25106.46153747752</v>
      </c>
      <c r="R428" s="23" t="n">
        <v>25824.32433908878</v>
      </c>
      <c r="S428" s="23" t="n">
        <v>26503.19556106351</v>
      </c>
      <c r="T428" s="23" t="n">
        <v>27128.1998179687</v>
      </c>
      <c r="U428" s="23" t="n">
        <v>27754.28343090462</v>
      </c>
      <c r="V428" s="23" t="n">
        <v>28383.87423225712</v>
      </c>
      <c r="W428" s="23" t="n">
        <v>29016.73825891046</v>
      </c>
      <c r="X428" s="23" t="n">
        <v>29652.64135953176</v>
      </c>
      <c r="Y428" s="23" t="n">
        <v>30291.34916845775</v>
      </c>
      <c r="Z428" s="23" t="n">
        <v>30932.62705440737</v>
      </c>
      <c r="AA428" s="23" t="n">
        <v>31576.24004479088</v>
      </c>
      <c r="AB428" s="23" t="n">
        <v>32221.95272638804</v>
      </c>
      <c r="AC428" s="23" t="n">
        <v>32869.5291231641</v>
      </c>
      <c r="AD428" s="23" t="n">
        <v>33518.73255198234</v>
      </c>
      <c r="AE428" s="23" t="n">
        <v>34169.32545695792</v>
      </c>
      <c r="AG428" s="20" t="inlineStr">
        <is>
          <t>egy.mit.ener.tra.tot.3</t>
        </is>
      </c>
      <c r="AH428" s="23" t="n">
        <v>18799.43616325871</v>
      </c>
      <c r="AI428" s="23" t="n">
        <v>19279.93939037103</v>
      </c>
      <c r="AJ428" s="23" t="n">
        <v>23487.5326942036</v>
      </c>
      <c r="AK428" s="23" t="n">
        <v>24006.83776444244</v>
      </c>
      <c r="AL428" s="23" t="n">
        <v>24507.80310564093</v>
      </c>
      <c r="AM428" s="23" t="n">
        <v>22706.52373655487</v>
      </c>
      <c r="AN428" s="23" t="n">
        <v>23357.0601382903</v>
      </c>
      <c r="AO428" s="23" t="n">
        <v>23981.34593021667</v>
      </c>
      <c r="AP428" s="23" t="n">
        <v>24527.20109323311</v>
      </c>
      <c r="AQ428" s="23" t="n">
        <v>25098.03874281847</v>
      </c>
      <c r="AR428" s="23" t="n">
        <v>25659.8607471199</v>
      </c>
      <c r="AS428" s="23" t="n">
        <v>26244.6868795101</v>
      </c>
      <c r="AT428" s="23" t="n">
        <v>26842.21875698305</v>
      </c>
      <c r="AU428" s="23" t="n">
        <v>27438.05056514409</v>
      </c>
      <c r="AV428" s="23" t="n">
        <v>28040.76715416271</v>
      </c>
      <c r="AW428" s="23" t="n">
        <v>28655.94554509699</v>
      </c>
      <c r="AX428" s="23" t="n">
        <v>29264.22863154686</v>
      </c>
      <c r="AY428" s="23" t="n">
        <v>29869.51433877473</v>
      </c>
      <c r="AZ428" s="23" t="n">
        <v>30464.67071220493</v>
      </c>
      <c r="BA428" s="23" t="n">
        <v>31057.77344726895</v>
      </c>
      <c r="BC428" s="20" t="inlineStr">
        <is>
          <t>egy.mit.ener.tra.tot.4</t>
        </is>
      </c>
      <c r="BD428" s="23" t="n">
        <v>18799.43616325871</v>
      </c>
      <c r="BE428" s="23" t="n">
        <v>19279.93939037103</v>
      </c>
      <c r="BF428" s="23" t="n">
        <v>23487.5326942036</v>
      </c>
      <c r="BG428" s="23" t="n">
        <v>24006.83776444244</v>
      </c>
      <c r="BH428" s="23" t="n">
        <v>24507.80310564093</v>
      </c>
      <c r="BI428" s="23" t="n">
        <v>23401.22337968236</v>
      </c>
      <c r="BJ428" s="23" t="n">
        <v>22235.59652305916</v>
      </c>
      <c r="BK428" s="23" t="n">
        <v>21321.0595174907</v>
      </c>
      <c r="BL428" s="23" t="n">
        <v>20544.88437559622</v>
      </c>
      <c r="BM428" s="23" t="n">
        <v>20155.04297217195</v>
      </c>
      <c r="BN428" s="23" t="n">
        <v>19821.26422182692</v>
      </c>
      <c r="BO428" s="23" t="n">
        <v>19542.11556485711</v>
      </c>
      <c r="BP428" s="23" t="n">
        <v>19313.28014111914</v>
      </c>
      <c r="BQ428" s="23" t="n">
        <v>19124.32794780689</v>
      </c>
      <c r="BR428" s="23" t="n">
        <v>18969.4567028708</v>
      </c>
      <c r="BS428" s="23" t="n">
        <v>18846.82640970984</v>
      </c>
      <c r="BT428" s="23" t="n">
        <v>18748.94996702192</v>
      </c>
      <c r="BU428" s="23" t="n">
        <v>18670.53331262352</v>
      </c>
      <c r="BV428" s="23" t="n">
        <v>18603.92626956078</v>
      </c>
      <c r="BW428" s="23" t="n">
        <v>18546.17315957822</v>
      </c>
      <c r="BY428" s="20" t="inlineStr">
        <is>
          <t>egy.mit.ener.tra.tot.5</t>
        </is>
      </c>
      <c r="BZ428" s="23" t="n">
        <v>18799.43616325871</v>
      </c>
      <c r="CA428" s="23" t="n">
        <v>19279.93939037103</v>
      </c>
      <c r="CB428" s="23" t="n">
        <v>23487.5326942036</v>
      </c>
      <c r="CC428" s="23" t="n">
        <v>24006.83776444244</v>
      </c>
      <c r="CD428" s="23" t="n">
        <v>24507.80310564093</v>
      </c>
      <c r="CE428" s="23" t="n">
        <v>22209.98861367007</v>
      </c>
      <c r="CF428" s="23" t="n">
        <v>22846.47460512452</v>
      </c>
      <c r="CG428" s="23" t="n">
        <v>23455.98034551321</v>
      </c>
      <c r="CH428" s="23" t="n">
        <v>23991.28828167319</v>
      </c>
      <c r="CI428" s="23" t="n">
        <v>24553.89877988438</v>
      </c>
      <c r="CJ428" s="23" t="n">
        <v>25102.65006062882</v>
      </c>
      <c r="CK428" s="23" t="n">
        <v>25676.34222064482</v>
      </c>
      <c r="CL428" s="23" t="n">
        <v>26254.07383452147</v>
      </c>
      <c r="CM428" s="23" t="n">
        <v>26831.54420206592</v>
      </c>
      <c r="CN428" s="23" t="n">
        <v>27415.49023971108</v>
      </c>
      <c r="CO428" s="23" t="n">
        <v>28009.08717859399</v>
      </c>
      <c r="CP428" s="23" t="n">
        <v>28596.52233451792</v>
      </c>
      <c r="CQ428" s="23" t="n">
        <v>29184.03818140383</v>
      </c>
      <c r="CR428" s="23" t="n">
        <v>29764.04092133139</v>
      </c>
      <c r="CS428" s="23" t="n">
        <v>30346.45286851369</v>
      </c>
      <c r="CU428" s="20" t="inlineStr">
        <is>
          <t>egy.mit.ener.tra.tot.6</t>
        </is>
      </c>
      <c r="CV428" s="23" t="n">
        <v>18799.43616325871</v>
      </c>
      <c r="CW428" s="23" t="n">
        <v>19279.93939037103</v>
      </c>
      <c r="CX428" s="23" t="n">
        <v>23487.5326942036</v>
      </c>
      <c r="CY428" s="23" t="n">
        <v>24006.83776444244</v>
      </c>
      <c r="CZ428" s="23" t="n">
        <v>24507.80310564093</v>
      </c>
      <c r="DA428" s="23" t="n">
        <v>20132.36556569443</v>
      </c>
      <c r="DB428" s="23" t="n">
        <v>20709.84856406824</v>
      </c>
      <c r="DC428" s="23" t="n">
        <v>21273.21214967702</v>
      </c>
      <c r="DD428" s="23" t="n">
        <v>21736.31283872093</v>
      </c>
      <c r="DE428" s="23" t="n">
        <v>22248.36487095918</v>
      </c>
      <c r="DF428" s="23" t="n">
        <v>22736.86149556573</v>
      </c>
      <c r="DG428" s="23" t="n">
        <v>23268.72480471837</v>
      </c>
      <c r="DH428" s="23" t="n">
        <v>23818.99678888507</v>
      </c>
      <c r="DI428" s="23" t="n">
        <v>24364.51210527162</v>
      </c>
      <c r="DJ428" s="23" t="n">
        <v>24920.37004131484</v>
      </c>
      <c r="DK428" s="23" t="n">
        <v>25497.74810086024</v>
      </c>
      <c r="DL428" s="23" t="n">
        <v>26059.60499878441</v>
      </c>
      <c r="DM428" s="23" t="n">
        <v>26615.20752392011</v>
      </c>
      <c r="DN428" s="23" t="n">
        <v>27150.27562194938</v>
      </c>
      <c r="DO428" s="23" t="n">
        <v>27680.99412644687</v>
      </c>
    </row>
    <row r="429">
      <c r="A429" s="19" t="inlineStr">
        <is>
          <t>mit.ener.rod.coa</t>
        </is>
      </c>
      <c r="B429" s="3" t="inlineStr">
        <is>
          <t>mit</t>
        </is>
      </c>
      <c r="C429" s="19" t="inlineStr">
        <is>
          <t>mit.tot.rod.nga.e</t>
        </is>
      </c>
      <c r="H429" s="3" t="inlineStr">
        <is>
          <t>Fuel use | Road | Coal</t>
        </is>
      </c>
      <c r="I429" s="3" t="inlineStr">
        <is>
          <t>ktoe</t>
        </is>
      </c>
      <c r="K429" s="20" t="inlineStr">
        <is>
          <t>egy.mit.ener.rod.coa.1</t>
        </is>
      </c>
      <c r="L429" s="3" t="n">
        <v>0</v>
      </c>
      <c r="M429" s="3" t="n">
        <v>0</v>
      </c>
      <c r="N429" s="3" t="n">
        <v>0</v>
      </c>
      <c r="O429" s="3" t="n">
        <v>0</v>
      </c>
      <c r="P429" s="3" t="n">
        <v>0</v>
      </c>
      <c r="Q429" s="3" t="n">
        <v>0</v>
      </c>
      <c r="R429" s="3" t="n">
        <v>0</v>
      </c>
      <c r="S429" s="3" t="n">
        <v>0</v>
      </c>
      <c r="T429" s="3" t="n">
        <v>0</v>
      </c>
      <c r="U429" s="3" t="n">
        <v>0</v>
      </c>
      <c r="V429" s="3" t="n">
        <v>0</v>
      </c>
      <c r="W429" s="3" t="n">
        <v>0</v>
      </c>
      <c r="X429" s="3" t="n">
        <v>0</v>
      </c>
      <c r="Y429" s="3" t="n">
        <v>0</v>
      </c>
      <c r="Z429" s="3" t="n">
        <v>0</v>
      </c>
      <c r="AA429" s="3" t="n">
        <v>0</v>
      </c>
      <c r="AB429" s="3" t="n">
        <v>0</v>
      </c>
      <c r="AC429" s="3" t="n">
        <v>0</v>
      </c>
      <c r="AD429" s="3" t="n">
        <v>0</v>
      </c>
      <c r="AE429" s="3" t="n">
        <v>0</v>
      </c>
      <c r="AG429" s="20" t="inlineStr">
        <is>
          <t>egy.mit.ener.rod.coa.3</t>
        </is>
      </c>
      <c r="AH429" s="3" t="n">
        <v>0</v>
      </c>
      <c r="AI429" s="3" t="n">
        <v>0</v>
      </c>
      <c r="AJ429" s="3" t="n">
        <v>0</v>
      </c>
      <c r="AK429" s="3" t="n">
        <v>0</v>
      </c>
      <c r="AL429" s="3" t="n">
        <v>0</v>
      </c>
      <c r="AM429" s="3" t="n">
        <v>0</v>
      </c>
      <c r="AN429" s="3" t="n">
        <v>0</v>
      </c>
      <c r="AO429" s="3" t="n">
        <v>0</v>
      </c>
      <c r="AP429" s="3" t="n">
        <v>0</v>
      </c>
      <c r="AQ429" s="3" t="n">
        <v>0</v>
      </c>
      <c r="AR429" s="3" t="n">
        <v>0</v>
      </c>
      <c r="AS429" s="3" t="n">
        <v>0</v>
      </c>
      <c r="AT429" s="3" t="n">
        <v>0</v>
      </c>
      <c r="AU429" s="3" t="n">
        <v>0</v>
      </c>
      <c r="AV429" s="3" t="n">
        <v>0</v>
      </c>
      <c r="AW429" s="3" t="n">
        <v>0</v>
      </c>
      <c r="AX429" s="3" t="n">
        <v>0</v>
      </c>
      <c r="AY429" s="3" t="n">
        <v>0</v>
      </c>
      <c r="AZ429" s="3" t="n">
        <v>0</v>
      </c>
      <c r="BA429" s="3" t="n">
        <v>0</v>
      </c>
      <c r="BC429" s="20" t="inlineStr">
        <is>
          <t>egy.mit.ener.rod.coa.4</t>
        </is>
      </c>
      <c r="BD429" s="3" t="n">
        <v>0</v>
      </c>
      <c r="BE429" s="3" t="n">
        <v>0</v>
      </c>
      <c r="BF429" s="3" t="n">
        <v>0</v>
      </c>
      <c r="BG429" s="3" t="n">
        <v>0</v>
      </c>
      <c r="BH429" s="3" t="n">
        <v>0</v>
      </c>
      <c r="BI429" s="3" t="n">
        <v>0</v>
      </c>
      <c r="BJ429" s="3" t="n">
        <v>0</v>
      </c>
      <c r="BK429" s="3" t="n">
        <v>0</v>
      </c>
      <c r="BL429" s="3" t="n">
        <v>0</v>
      </c>
      <c r="BM429" s="3" t="n">
        <v>0</v>
      </c>
      <c r="BN429" s="3" t="n">
        <v>0</v>
      </c>
      <c r="BO429" s="3" t="n">
        <v>0</v>
      </c>
      <c r="BP429" s="3" t="n">
        <v>0</v>
      </c>
      <c r="BQ429" s="3" t="n">
        <v>0</v>
      </c>
      <c r="BR429" s="3" t="n">
        <v>0</v>
      </c>
      <c r="BS429" s="3" t="n">
        <v>0</v>
      </c>
      <c r="BT429" s="3" t="n">
        <v>0</v>
      </c>
      <c r="BU429" s="3" t="n">
        <v>0</v>
      </c>
      <c r="BV429" s="3" t="n">
        <v>0</v>
      </c>
      <c r="BW429" s="3" t="n">
        <v>0</v>
      </c>
      <c r="BY429" s="20" t="inlineStr">
        <is>
          <t>egy.mit.ener.rod.coa.5</t>
        </is>
      </c>
      <c r="BZ429" s="3" t="n">
        <v>0</v>
      </c>
      <c r="CA429" s="3" t="n">
        <v>0</v>
      </c>
      <c r="CB429" s="3" t="n">
        <v>0</v>
      </c>
      <c r="CC429" s="3" t="n">
        <v>0</v>
      </c>
      <c r="CD429" s="3" t="n">
        <v>0</v>
      </c>
      <c r="CE429" s="3" t="n">
        <v>0</v>
      </c>
      <c r="CF429" s="3" t="n">
        <v>0</v>
      </c>
      <c r="CG429" s="3" t="n">
        <v>0</v>
      </c>
      <c r="CH429" s="3" t="n">
        <v>0</v>
      </c>
      <c r="CI429" s="3" t="n">
        <v>0</v>
      </c>
      <c r="CJ429" s="3" t="n">
        <v>0</v>
      </c>
      <c r="CK429" s="3" t="n">
        <v>0</v>
      </c>
      <c r="CL429" s="3" t="n">
        <v>0</v>
      </c>
      <c r="CM429" s="3" t="n">
        <v>0</v>
      </c>
      <c r="CN429" s="3" t="n">
        <v>0</v>
      </c>
      <c r="CO429" s="3" t="n">
        <v>0</v>
      </c>
      <c r="CP429" s="3" t="n">
        <v>0</v>
      </c>
      <c r="CQ429" s="3" t="n">
        <v>0</v>
      </c>
      <c r="CR429" s="3" t="n">
        <v>0</v>
      </c>
      <c r="CS429" s="3" t="n">
        <v>0</v>
      </c>
      <c r="CU429" s="20" t="inlineStr">
        <is>
          <t>egy.mit.ener.rod.coa.6</t>
        </is>
      </c>
      <c r="CV429" s="3" t="n">
        <v>0</v>
      </c>
      <c r="CW429" s="3" t="n">
        <v>0</v>
      </c>
      <c r="CX429" s="3" t="n">
        <v>0</v>
      </c>
      <c r="CY429" s="3" t="n">
        <v>0</v>
      </c>
      <c r="CZ429" s="3" t="n">
        <v>0</v>
      </c>
      <c r="DA429" s="3" t="n">
        <v>0</v>
      </c>
      <c r="DB429" s="3" t="n">
        <v>0</v>
      </c>
      <c r="DC429" s="3" t="n">
        <v>0</v>
      </c>
      <c r="DD429" s="3" t="n">
        <v>0</v>
      </c>
      <c r="DE429" s="3" t="n">
        <v>0</v>
      </c>
      <c r="DF429" s="3" t="n">
        <v>0</v>
      </c>
      <c r="DG429" s="3" t="n">
        <v>0</v>
      </c>
      <c r="DH429" s="3" t="n">
        <v>0</v>
      </c>
      <c r="DI429" s="3" t="n">
        <v>0</v>
      </c>
      <c r="DJ429" s="3" t="n">
        <v>0</v>
      </c>
      <c r="DK429" s="3" t="n">
        <v>0</v>
      </c>
      <c r="DL429" s="3" t="n">
        <v>0</v>
      </c>
      <c r="DM429" s="3" t="n">
        <v>0</v>
      </c>
      <c r="DN429" s="3" t="n">
        <v>0</v>
      </c>
      <c r="DO429" s="3" t="n">
        <v>0</v>
      </c>
    </row>
    <row r="430">
      <c r="A430" s="19" t="inlineStr">
        <is>
          <t>mit.ener.rod.nga</t>
        </is>
      </c>
      <c r="B430" s="3" t="inlineStr">
        <is>
          <t>mit</t>
        </is>
      </c>
      <c r="C430" s="19" t="n"/>
      <c r="H430" s="3" t="inlineStr">
        <is>
          <t>Fuel use | Road | Natural gas</t>
        </is>
      </c>
      <c r="I430" s="3" t="inlineStr">
        <is>
          <t>ktoe</t>
        </is>
      </c>
      <c r="K430" s="20" t="inlineStr">
        <is>
          <t>egy.mit.ener.rod.nga.1</t>
        </is>
      </c>
      <c r="L430" s="3" t="n">
        <v>482.8457966168376</v>
      </c>
      <c r="M430" s="3" t="n">
        <v>587.8979268383657</v>
      </c>
      <c r="N430" s="3" t="n">
        <v>867.7752651361785</v>
      </c>
      <c r="O430" s="3" t="n">
        <v>882.5570750812217</v>
      </c>
      <c r="P430" s="3" t="n">
        <v>896.7426898970103</v>
      </c>
      <c r="Q430" s="3" t="n">
        <v>913.5997111355865</v>
      </c>
      <c r="R430" s="3" t="n">
        <v>933.6825774130397</v>
      </c>
      <c r="S430" s="3" t="n">
        <v>952.5490415616089</v>
      </c>
      <c r="T430" s="3" t="n">
        <v>969.813397752138</v>
      </c>
      <c r="U430" s="3" t="n">
        <v>987.0089426724046</v>
      </c>
      <c r="V430" s="3" t="n">
        <v>1004.203825495336</v>
      </c>
      <c r="W430" s="3" t="n">
        <v>1021.392557955216</v>
      </c>
      <c r="X430" s="3" t="n">
        <v>1038.569734922321</v>
      </c>
      <c r="Y430" s="3" t="n">
        <v>1055.730029955596</v>
      </c>
      <c r="Z430" s="3" t="n">
        <v>1072.868190388918</v>
      </c>
      <c r="AA430" s="3" t="n">
        <v>1089.979031981967</v>
      </c>
      <c r="AB430" s="3" t="n">
        <v>1107.057433164854</v>
      </c>
      <c r="AC430" s="3" t="n">
        <v>1124.098328903836</v>
      </c>
      <c r="AD430" s="3" t="n">
        <v>1141.096704213528</v>
      </c>
      <c r="AE430" s="3" t="n">
        <v>1158.047587339221</v>
      </c>
      <c r="AG430" s="20" t="inlineStr">
        <is>
          <t>egy.mit.ener.rod.nga.3</t>
        </is>
      </c>
      <c r="AH430" s="3" t="n">
        <v>482.8457966168376</v>
      </c>
      <c r="AI430" s="3" t="n">
        <v>587.8979268383657</v>
      </c>
      <c r="AJ430" s="3" t="n">
        <v>867.7752651361785</v>
      </c>
      <c r="AK430" s="3" t="n">
        <v>882.5570750812217</v>
      </c>
      <c r="AL430" s="3" t="n">
        <v>896.7426898970103</v>
      </c>
      <c r="AM430" s="3" t="n">
        <v>652.2761069072486</v>
      </c>
      <c r="AN430" s="3" t="n">
        <v>666.6144609090279</v>
      </c>
      <c r="AO430" s="3" t="n">
        <v>680.2818951263598</v>
      </c>
      <c r="AP430" s="3" t="n">
        <v>692.1599919022717</v>
      </c>
      <c r="AQ430" s="3" t="n">
        <v>704.5114907085097</v>
      </c>
      <c r="AR430" s="3" t="n">
        <v>716.5994818117312</v>
      </c>
      <c r="AS430" s="3" t="n">
        <v>729.1124042982796</v>
      </c>
      <c r="AT430" s="3" t="n">
        <v>741.8252882385596</v>
      </c>
      <c r="AU430" s="3" t="n">
        <v>754.4313145790198</v>
      </c>
      <c r="AV430" s="3" t="n">
        <v>767.1130959520199</v>
      </c>
      <c r="AW430" s="3" t="n">
        <v>779.9865154466512</v>
      </c>
      <c r="AX430" s="3" t="n">
        <v>792.6468412732403</v>
      </c>
      <c r="AY430" s="3" t="n">
        <v>805.1784933775253</v>
      </c>
      <c r="AZ430" s="3" t="n">
        <v>817.4371498877407</v>
      </c>
      <c r="BA430" s="3" t="n">
        <v>829.5926153735454</v>
      </c>
      <c r="BC430" s="20" t="inlineStr">
        <is>
          <t>egy.mit.ener.rod.nga.4</t>
        </is>
      </c>
      <c r="BD430" s="3" t="n">
        <v>482.8457966168376</v>
      </c>
      <c r="BE430" s="3" t="n">
        <v>587.8979268383657</v>
      </c>
      <c r="BF430" s="3" t="n">
        <v>867.7752651361785</v>
      </c>
      <c r="BG430" s="3" t="n">
        <v>882.5570750812217</v>
      </c>
      <c r="BH430" s="3" t="n">
        <v>896.7426898970103</v>
      </c>
      <c r="BI430" s="3" t="n">
        <v>725.2065529096731</v>
      </c>
      <c r="BJ430" s="3" t="n">
        <v>595.2661162354294</v>
      </c>
      <c r="BK430" s="3" t="n">
        <v>514.7547870964397</v>
      </c>
      <c r="BL430" s="3" t="n">
        <v>458.5819565375047</v>
      </c>
      <c r="BM430" s="3" t="n">
        <v>424.6694055704418</v>
      </c>
      <c r="BN430" s="3" t="n">
        <v>397.6354370271845</v>
      </c>
      <c r="BO430" s="3" t="n">
        <v>375.6476402254305</v>
      </c>
      <c r="BP430" s="3" t="n">
        <v>357.4738508068047</v>
      </c>
      <c r="BQ430" s="3" t="n">
        <v>342.1805277548675</v>
      </c>
      <c r="BR430" s="3" t="n">
        <v>329.1442667700499</v>
      </c>
      <c r="BS430" s="3" t="n">
        <v>317.9490099474197</v>
      </c>
      <c r="BT430" s="3" t="n">
        <v>308.2083890297454</v>
      </c>
      <c r="BU430" s="3" t="n">
        <v>299.6401758117634</v>
      </c>
      <c r="BV430" s="3" t="n">
        <v>291.9872512101225</v>
      </c>
      <c r="BW430" s="3" t="n">
        <v>285.089520163658</v>
      </c>
      <c r="BY430" s="20" t="inlineStr">
        <is>
          <t>egy.mit.ener.rod.nga.5</t>
        </is>
      </c>
      <c r="BZ430" s="3" t="n">
        <v>482.8457966168376</v>
      </c>
      <c r="CA430" s="3" t="n">
        <v>587.8979268383657</v>
      </c>
      <c r="CB430" s="3" t="n">
        <v>867.7752651361785</v>
      </c>
      <c r="CC430" s="3" t="n">
        <v>882.5570750812217</v>
      </c>
      <c r="CD430" s="3" t="n">
        <v>896.7426898970103</v>
      </c>
      <c r="CE430" s="3" t="n">
        <v>611.9283040607111</v>
      </c>
      <c r="CF430" s="3" t="n">
        <v>625.3794568790604</v>
      </c>
      <c r="CG430" s="3" t="n">
        <v>638.1739808888269</v>
      </c>
      <c r="CH430" s="3" t="n">
        <v>649.3429329092844</v>
      </c>
      <c r="CI430" s="3" t="n">
        <v>661.0148198447685</v>
      </c>
      <c r="CJ430" s="3" t="n">
        <v>672.3348359795838</v>
      </c>
      <c r="CK430" s="3" t="n">
        <v>684.1034420975778</v>
      </c>
      <c r="CL430" s="3" t="n">
        <v>695.8884233596034</v>
      </c>
      <c r="CM430" s="3" t="n">
        <v>707.6030047385101</v>
      </c>
      <c r="CN430" s="3" t="n">
        <v>719.3845257833439</v>
      </c>
      <c r="CO430" s="3" t="n">
        <v>731.2960685523257</v>
      </c>
      <c r="CP430" s="3" t="n">
        <v>743.020960310319</v>
      </c>
      <c r="CQ430" s="3" t="n">
        <v>754.6863286992104</v>
      </c>
      <c r="CR430" s="3" t="n">
        <v>766.1436557394535</v>
      </c>
      <c r="CS430" s="3" t="n">
        <v>777.5912633369381</v>
      </c>
      <c r="CU430" s="20" t="inlineStr">
        <is>
          <t>egy.mit.ener.rod.nga.6</t>
        </is>
      </c>
      <c r="CV430" s="3" t="n">
        <v>482.8457966168376</v>
      </c>
      <c r="CW430" s="3" t="n">
        <v>587.8979268383657</v>
      </c>
      <c r="CX430" s="3" t="n">
        <v>867.7752651361785</v>
      </c>
      <c r="CY430" s="3" t="n">
        <v>882.5570750812217</v>
      </c>
      <c r="CZ430" s="3" t="n">
        <v>896.7426898970103</v>
      </c>
      <c r="DA430" s="3" t="n">
        <v>475.0197860726787</v>
      </c>
      <c r="DB430" s="3" t="n">
        <v>485.4616272040411</v>
      </c>
      <c r="DC430" s="3" t="n">
        <v>495.5789877785536</v>
      </c>
      <c r="DD430" s="3" t="n">
        <v>503.8457151822849</v>
      </c>
      <c r="DE430" s="3" t="n">
        <v>512.9353150427212</v>
      </c>
      <c r="DF430" s="3" t="n">
        <v>521.557882260273</v>
      </c>
      <c r="DG430" s="3" t="n">
        <v>530.8935601335321</v>
      </c>
      <c r="DH430" s="3" t="n">
        <v>540.4963112352758</v>
      </c>
      <c r="DI430" s="3" t="n">
        <v>549.9610295382221</v>
      </c>
      <c r="DJ430" s="3" t="n">
        <v>559.550491784828</v>
      </c>
      <c r="DK430" s="3" t="n">
        <v>569.4545051532119</v>
      </c>
      <c r="DL430" s="3" t="n">
        <v>579.0375770069184</v>
      </c>
      <c r="DM430" s="3" t="n">
        <v>588.4622907052411</v>
      </c>
      <c r="DN430" s="3" t="n">
        <v>597.4907854087222</v>
      </c>
      <c r="DO430" s="3" t="n">
        <v>606.4007810023221</v>
      </c>
    </row>
    <row r="431">
      <c r="A431" s="19" t="inlineStr">
        <is>
          <t>mit.ener.rod.gso</t>
        </is>
      </c>
      <c r="B431" s="3" t="inlineStr">
        <is>
          <t>mit</t>
        </is>
      </c>
      <c r="C431" s="19" t="n"/>
      <c r="H431" s="3" t="inlineStr">
        <is>
          <t>Fuel use | Road | Gasoline</t>
        </is>
      </c>
      <c r="I431" s="3" t="inlineStr">
        <is>
          <t>ktoe</t>
        </is>
      </c>
      <c r="K431" s="20" t="inlineStr">
        <is>
          <t>egy.mit.ener.rod.gso.1</t>
        </is>
      </c>
      <c r="L431" s="3" t="n">
        <v>7328.942890599129</v>
      </c>
      <c r="M431" s="3" t="n">
        <v>7997.906609259908</v>
      </c>
      <c r="N431" s="3" t="n">
        <v>10130.34679068121</v>
      </c>
      <c r="O431" s="3" t="n">
        <v>10383.07993798776</v>
      </c>
      <c r="P431" s="3" t="n">
        <v>10628.04530105534</v>
      </c>
      <c r="Q431" s="3" t="n">
        <v>10919.65421757317</v>
      </c>
      <c r="R431" s="3" t="n">
        <v>11268.38418503122</v>
      </c>
      <c r="S431" s="3" t="n">
        <v>11599.97646409353</v>
      </c>
      <c r="T431" s="3" t="n">
        <v>11907.22100899735</v>
      </c>
      <c r="U431" s="3" t="n">
        <v>12215.98872668111</v>
      </c>
      <c r="V431" s="3" t="n">
        <v>12527.42634917021</v>
      </c>
      <c r="W431" s="3" t="n">
        <v>12841.42265441394</v>
      </c>
      <c r="X431" s="3" t="n">
        <v>13157.86543244902</v>
      </c>
      <c r="Y431" s="3" t="n">
        <v>13476.6414927005</v>
      </c>
      <c r="Z431" s="3" t="n">
        <v>13797.63665825386</v>
      </c>
      <c r="AA431" s="3" t="n">
        <v>14120.73574732352</v>
      </c>
      <c r="AB431" s="3" t="n">
        <v>14445.82254215771</v>
      </c>
      <c r="AC431" s="3" t="n">
        <v>14772.77974563054</v>
      </c>
      <c r="AD431" s="3" t="n">
        <v>15101.48892577925</v>
      </c>
      <c r="AE431" s="3" t="n">
        <v>15431.83044854945</v>
      </c>
      <c r="AG431" s="20" t="inlineStr">
        <is>
          <t>egy.mit.ener.rod.gso.3</t>
        </is>
      </c>
      <c r="AH431" s="3" t="n">
        <v>7328.942890599129</v>
      </c>
      <c r="AI431" s="3" t="n">
        <v>7997.906609259908</v>
      </c>
      <c r="AJ431" s="3" t="n">
        <v>10130.34679068121</v>
      </c>
      <c r="AK431" s="3" t="n">
        <v>10383.07993798776</v>
      </c>
      <c r="AL431" s="3" t="n">
        <v>10628.04530105534</v>
      </c>
      <c r="AM431" s="3" t="n">
        <v>10018.33959521673</v>
      </c>
      <c r="AN431" s="3" t="n">
        <v>10338.28381532863</v>
      </c>
      <c r="AO431" s="3" t="n">
        <v>10646.83302871543</v>
      </c>
      <c r="AP431" s="3" t="n">
        <v>10918.85735280967</v>
      </c>
      <c r="AQ431" s="3" t="n">
        <v>11203.75370884477</v>
      </c>
      <c r="AR431" s="3" t="n">
        <v>11485.22381966177</v>
      </c>
      <c r="AS431" s="3" t="n">
        <v>11778.68469656821</v>
      </c>
      <c r="AT431" s="3" t="n">
        <v>12079.22134768986</v>
      </c>
      <c r="AU431" s="3" t="n">
        <v>12379.878392991</v>
      </c>
      <c r="AV431" s="3" t="n">
        <v>12684.81338948406</v>
      </c>
      <c r="AW431" s="3" t="n">
        <v>12996.75692757311</v>
      </c>
      <c r="AX431" s="3" t="n">
        <v>13306.285215258</v>
      </c>
      <c r="AY431" s="3" t="n">
        <v>13615.27355821871</v>
      </c>
      <c r="AZ431" s="3" t="n">
        <v>13920.20387100762</v>
      </c>
      <c r="BA431" s="3" t="n">
        <v>14225.00547490355</v>
      </c>
      <c r="BC431" s="20" t="inlineStr">
        <is>
          <t>egy.mit.ener.rod.gso.4</t>
        </is>
      </c>
      <c r="BD431" s="3" t="n">
        <v>7328.942890599129</v>
      </c>
      <c r="BE431" s="3" t="n">
        <v>7997.906609259908</v>
      </c>
      <c r="BF431" s="3" t="n">
        <v>10130.34679068121</v>
      </c>
      <c r="BG431" s="3" t="n">
        <v>10383.07993798776</v>
      </c>
      <c r="BH431" s="3" t="n">
        <v>10628.04530105534</v>
      </c>
      <c r="BI431" s="3" t="n">
        <v>10282.39443814714</v>
      </c>
      <c r="BJ431" s="3" t="n">
        <v>9877.813740532483</v>
      </c>
      <c r="BK431" s="3" t="n">
        <v>9541.714407802656</v>
      </c>
      <c r="BL431" s="3" t="n">
        <v>9242.594558383546</v>
      </c>
      <c r="BM431" s="3" t="n">
        <v>9105.188949609568</v>
      </c>
      <c r="BN431" s="3" t="n">
        <v>8986.064835332569</v>
      </c>
      <c r="BO431" s="3" t="n">
        <v>8886.81645486498</v>
      </c>
      <c r="BP431" s="3" t="n">
        <v>8806.956040381738</v>
      </c>
      <c r="BQ431" s="3" t="n">
        <v>8742.551147998352</v>
      </c>
      <c r="BR431" s="3" t="n">
        <v>8691.615489905878</v>
      </c>
      <c r="BS431" s="3" t="n">
        <v>8653.897247911143</v>
      </c>
      <c r="BT431" s="3" t="n">
        <v>8626.215689703929</v>
      </c>
      <c r="BU431" s="3" t="n">
        <v>8606.34874717288</v>
      </c>
      <c r="BV431" s="3" t="n">
        <v>8590.819030804843</v>
      </c>
      <c r="BW431" s="3" t="n">
        <v>8578.39861941384</v>
      </c>
      <c r="BY431" s="20" t="inlineStr">
        <is>
          <t>egy.mit.ener.rod.gso.5</t>
        </is>
      </c>
      <c r="BZ431" s="3" t="n">
        <v>7328.942890599129</v>
      </c>
      <c r="CA431" s="3" t="n">
        <v>7997.906609259908</v>
      </c>
      <c r="CB431" s="3" t="n">
        <v>10130.34679068121</v>
      </c>
      <c r="CC431" s="3" t="n">
        <v>10383.07993798776</v>
      </c>
      <c r="CD431" s="3" t="n">
        <v>10628.04530105534</v>
      </c>
      <c r="CE431" s="3" t="n">
        <v>9821.541462074561</v>
      </c>
      <c r="CF431" s="3" t="n">
        <v>10135.1945376668</v>
      </c>
      <c r="CG431" s="3" t="n">
        <v>10437.05331619346</v>
      </c>
      <c r="CH431" s="3" t="n">
        <v>10704.31976384346</v>
      </c>
      <c r="CI431" s="3" t="n">
        <v>10985.58328137156</v>
      </c>
      <c r="CJ431" s="3" t="n">
        <v>11261.0644223876</v>
      </c>
      <c r="CK431" s="3" t="n">
        <v>11549.47402444405</v>
      </c>
      <c r="CL431" s="3" t="n">
        <v>11840.75279930977</v>
      </c>
      <c r="CM431" s="3" t="n">
        <v>12132.81375850572</v>
      </c>
      <c r="CN431" s="3" t="n">
        <v>12428.92768520507</v>
      </c>
      <c r="CO431" s="3" t="n">
        <v>12730.65662074066</v>
      </c>
      <c r="CP431" s="3" t="n">
        <v>13030.28452009344</v>
      </c>
      <c r="CQ431" s="3" t="n">
        <v>13330.84321490835</v>
      </c>
      <c r="CR431" s="3" t="n">
        <v>13628.59154526581</v>
      </c>
      <c r="CS431" s="3" t="n">
        <v>13928.38430125603</v>
      </c>
      <c r="CU431" s="20" t="inlineStr">
        <is>
          <t>egy.mit.ener.rod.gso.6</t>
        </is>
      </c>
      <c r="CV431" s="3" t="n">
        <v>7328.942890599129</v>
      </c>
      <c r="CW431" s="3" t="n">
        <v>7997.906609259908</v>
      </c>
      <c r="CX431" s="3" t="n">
        <v>10130.34679068121</v>
      </c>
      <c r="CY431" s="3" t="n">
        <v>10383.07993798776</v>
      </c>
      <c r="CZ431" s="3" t="n">
        <v>10628.04530105534</v>
      </c>
      <c r="DA431" s="3" t="n">
        <v>8968.109828685105</v>
      </c>
      <c r="DB431" s="3" t="n">
        <v>9254.512495518851</v>
      </c>
      <c r="DC431" s="3" t="n">
        <v>9535.135112912827</v>
      </c>
      <c r="DD431" s="3" t="n">
        <v>9768.267591630853</v>
      </c>
      <c r="DE431" s="3" t="n">
        <v>10025.83907002065</v>
      </c>
      <c r="DF431" s="3" t="n">
        <v>10272.79789664958</v>
      </c>
      <c r="DG431" s="3" t="n">
        <v>10541.63083002246</v>
      </c>
      <c r="DH431" s="3" t="n">
        <v>10820.30065504103</v>
      </c>
      <c r="DI431" s="3" t="n">
        <v>11097.52981420991</v>
      </c>
      <c r="DJ431" s="3" t="n">
        <v>11380.69460673427</v>
      </c>
      <c r="DK431" s="3" t="n">
        <v>11675.31371362624</v>
      </c>
      <c r="DL431" s="3" t="n">
        <v>11963.2036996218</v>
      </c>
      <c r="DM431" s="3" t="n">
        <v>12248.8771911343</v>
      </c>
      <c r="DN431" s="3" t="n">
        <v>12525.23898894703</v>
      </c>
      <c r="DO431" s="3" t="n">
        <v>12800.24006086305</v>
      </c>
    </row>
    <row r="432">
      <c r="A432" s="19" t="inlineStr">
        <is>
          <t>mit.ener.rod.die</t>
        </is>
      </c>
      <c r="B432" s="3" t="inlineStr">
        <is>
          <t>mit</t>
        </is>
      </c>
      <c r="C432" s="19" t="inlineStr">
        <is>
          <t>mit.tot.rod.ele.e</t>
        </is>
      </c>
      <c r="H432" s="3" t="inlineStr">
        <is>
          <t>Fuel use | Road | Diesel</t>
        </is>
      </c>
      <c r="I432" s="3" t="inlineStr">
        <is>
          <t>ktoe</t>
        </is>
      </c>
      <c r="K432" s="20" t="inlineStr">
        <is>
          <t>egy.mit.ener.rod.die.1</t>
        </is>
      </c>
      <c r="L432" s="3" t="n">
        <v>10089.05169337568</v>
      </c>
      <c r="M432" s="3" t="n">
        <v>9806.122633248557</v>
      </c>
      <c r="N432" s="3" t="n">
        <v>11513.82603436346</v>
      </c>
      <c r="O432" s="3" t="n">
        <v>11737.89354968295</v>
      </c>
      <c r="P432" s="3" t="n">
        <v>11952.75677735927</v>
      </c>
      <c r="Q432" s="3" t="n">
        <v>12210.73131502036</v>
      </c>
      <c r="R432" s="3" t="n">
        <v>12521.07160981618</v>
      </c>
      <c r="S432" s="3" t="n">
        <v>12812.53513463861</v>
      </c>
      <c r="T432" s="3" t="n">
        <v>13078.68060832446</v>
      </c>
      <c r="U432" s="3" t="n">
        <v>13344.1614058559</v>
      </c>
      <c r="V432" s="3" t="n">
        <v>13610.06156419485</v>
      </c>
      <c r="W432" s="3" t="n">
        <v>13876.27613355162</v>
      </c>
      <c r="X432" s="3" t="n">
        <v>14142.70114823205</v>
      </c>
      <c r="Y432" s="3" t="n">
        <v>14409.23359410269</v>
      </c>
      <c r="Z432" s="3" t="n">
        <v>14675.77136591747</v>
      </c>
      <c r="AA432" s="3" t="n">
        <v>14942.21321502443</v>
      </c>
      <c r="AB432" s="3" t="n">
        <v>15208.45868795598</v>
      </c>
      <c r="AC432" s="3" t="n">
        <v>15474.40805638995</v>
      </c>
      <c r="AD432" s="3" t="n">
        <v>15739.96223894924</v>
      </c>
      <c r="AE432" s="3" t="n">
        <v>16005.02271528944</v>
      </c>
      <c r="AG432" s="20" t="inlineStr">
        <is>
          <t>egy.mit.ener.rod.die.3</t>
        </is>
      </c>
      <c r="AH432" s="3" t="n">
        <v>10089.05169337568</v>
      </c>
      <c r="AI432" s="3" t="n">
        <v>9806.122633248557</v>
      </c>
      <c r="AJ432" s="3" t="n">
        <v>11513.82603436346</v>
      </c>
      <c r="AK432" s="3" t="n">
        <v>11737.89354968295</v>
      </c>
      <c r="AL432" s="3" t="n">
        <v>11952.75677735927</v>
      </c>
      <c r="AM432" s="3" t="n">
        <v>11095.80041521342</v>
      </c>
      <c r="AN432" s="3" t="n">
        <v>11377.80303014417</v>
      </c>
      <c r="AO432" s="3" t="n">
        <v>11646.71082267515</v>
      </c>
      <c r="AP432" s="3" t="n">
        <v>11879.33831289358</v>
      </c>
      <c r="AQ432" s="3" t="n">
        <v>12122.10438181974</v>
      </c>
      <c r="AR432" s="3" t="n">
        <v>12359.81506410006</v>
      </c>
      <c r="AS432" s="3" t="n">
        <v>12606.70039606767</v>
      </c>
      <c r="AT432" s="3" t="n">
        <v>12858.13173464981</v>
      </c>
      <c r="AU432" s="3" t="n">
        <v>13107.72799772245</v>
      </c>
      <c r="AV432" s="3" t="n">
        <v>13359.27567159773</v>
      </c>
      <c r="AW432" s="3" t="n">
        <v>13615.1995672501</v>
      </c>
      <c r="AX432" s="3" t="n">
        <v>13867.01676237283</v>
      </c>
      <c r="AY432" s="3" t="n">
        <v>14116.46067539037</v>
      </c>
      <c r="AZ432" s="3" t="n">
        <v>14360.45932339392</v>
      </c>
      <c r="BA432" s="3" t="n">
        <v>14602.55334596094</v>
      </c>
      <c r="BC432" s="20" t="inlineStr">
        <is>
          <t>egy.mit.ener.rod.die.4</t>
        </is>
      </c>
      <c r="BD432" s="3" t="n">
        <v>10089.05169337568</v>
      </c>
      <c r="BE432" s="3" t="n">
        <v>9806.122633248557</v>
      </c>
      <c r="BF432" s="3" t="n">
        <v>11513.82603436346</v>
      </c>
      <c r="BG432" s="3" t="n">
        <v>11737.89354968295</v>
      </c>
      <c r="BH432" s="3" t="n">
        <v>11952.75677735927</v>
      </c>
      <c r="BI432" s="3" t="n">
        <v>11397.66228890028</v>
      </c>
      <c r="BJ432" s="3" t="n">
        <v>10805.49759761708</v>
      </c>
      <c r="BK432" s="3" t="n">
        <v>10338.84648040996</v>
      </c>
      <c r="BL432" s="3" t="n">
        <v>9945.300129773514</v>
      </c>
      <c r="BM432" s="3" t="n">
        <v>9748.841412151423</v>
      </c>
      <c r="BN432" s="3" t="n">
        <v>9579.343040189256</v>
      </c>
      <c r="BO432" s="3" t="n">
        <v>9435.967298426691</v>
      </c>
      <c r="BP432" s="3" t="n">
        <v>9316.541665587763</v>
      </c>
      <c r="BQ432" s="3" t="n">
        <v>9216.189405006406</v>
      </c>
      <c r="BR432" s="3" t="n">
        <v>9132.119019005348</v>
      </c>
      <c r="BS432" s="3" t="n">
        <v>9063.322700969031</v>
      </c>
      <c r="BT432" s="3" t="n">
        <v>9006.323504138132</v>
      </c>
      <c r="BU432" s="3" t="n">
        <v>8958.645950588925</v>
      </c>
      <c r="BV432" s="3" t="n">
        <v>8916.804789269163</v>
      </c>
      <c r="BW432" s="3" t="n">
        <v>8879.409160738254</v>
      </c>
      <c r="BY432" s="20" t="inlineStr">
        <is>
          <t>egy.mit.ener.rod.die.5</t>
        </is>
      </c>
      <c r="BZ432" s="3" t="n">
        <v>10089.05169337568</v>
      </c>
      <c r="CA432" s="3" t="n">
        <v>9806.122633248557</v>
      </c>
      <c r="CB432" s="3" t="n">
        <v>11513.82603436346</v>
      </c>
      <c r="CC432" s="3" t="n">
        <v>11737.89354968295</v>
      </c>
      <c r="CD432" s="3" t="n">
        <v>11952.75677735927</v>
      </c>
      <c r="CE432" s="3" t="n">
        <v>10861.19689144619</v>
      </c>
      <c r="CF432" s="3" t="n">
        <v>11137.2311312884</v>
      </c>
      <c r="CG432" s="3" t="n">
        <v>11399.86410755654</v>
      </c>
      <c r="CH432" s="3" t="n">
        <v>11628.12165244878</v>
      </c>
      <c r="CI432" s="3" t="n">
        <v>11867.57330659369</v>
      </c>
      <c r="CJ432" s="3" t="n">
        <v>12099.8249385001</v>
      </c>
      <c r="CK432" s="3" t="n">
        <v>12342.13644532272</v>
      </c>
      <c r="CL432" s="3" t="n">
        <v>12585.18515443193</v>
      </c>
      <c r="CM432" s="3" t="n">
        <v>12827.07222022726</v>
      </c>
      <c r="CN432" s="3" t="n">
        <v>13070.76813191686</v>
      </c>
      <c r="CO432" s="3" t="n">
        <v>13317.64854172809</v>
      </c>
      <c r="CP432" s="3" t="n">
        <v>13560.78417185893</v>
      </c>
      <c r="CQ432" s="3" t="n">
        <v>13802.92625290331</v>
      </c>
      <c r="CR432" s="3" t="n">
        <v>14040.78866246731</v>
      </c>
      <c r="CS432" s="3" t="n">
        <v>14278.70300670858</v>
      </c>
      <c r="CU432" s="20" t="inlineStr">
        <is>
          <t>egy.mit.ener.rod.die.6</t>
        </is>
      </c>
      <c r="CV432" s="3" t="n">
        <v>10089.05169337568</v>
      </c>
      <c r="CW432" s="3" t="n">
        <v>9806.122633248557</v>
      </c>
      <c r="CX432" s="3" t="n">
        <v>11513.82603436346</v>
      </c>
      <c r="CY432" s="3" t="n">
        <v>11737.89354968295</v>
      </c>
      <c r="CZ432" s="3" t="n">
        <v>11952.75677735927</v>
      </c>
      <c r="DA432" s="3" t="n">
        <v>9875.075019259722</v>
      </c>
      <c r="DB432" s="3" t="n">
        <v>10126.05111264878</v>
      </c>
      <c r="DC432" s="3" t="n">
        <v>10369.49365711401</v>
      </c>
      <c r="DD432" s="3" t="n">
        <v>10566.88631983608</v>
      </c>
      <c r="DE432" s="3" t="n">
        <v>10785.31752173644</v>
      </c>
      <c r="DF432" s="3" t="n">
        <v>10992.30304540248</v>
      </c>
      <c r="DG432" s="3" t="n">
        <v>11217.66557045175</v>
      </c>
      <c r="DH432" s="3" t="n">
        <v>11450.18974152401</v>
      </c>
      <c r="DI432" s="3" t="n">
        <v>11679.5891082353</v>
      </c>
      <c r="DJ432" s="3" t="n">
        <v>11912.5370838774</v>
      </c>
      <c r="DK432" s="3" t="n">
        <v>12153.90478996298</v>
      </c>
      <c r="DL432" s="3" t="n">
        <v>12387.42251333361</v>
      </c>
      <c r="DM432" s="3" t="n">
        <v>12617.20272180229</v>
      </c>
      <c r="DN432" s="3" t="n">
        <v>12837.07363192263</v>
      </c>
      <c r="DO432" s="3" t="n">
        <v>13054.13630120018</v>
      </c>
    </row>
    <row r="433">
      <c r="A433" s="19" t="inlineStr">
        <is>
          <t>mit.ener.rod.lpg</t>
        </is>
      </c>
      <c r="B433" s="3" t="inlineStr">
        <is>
          <t>mit</t>
        </is>
      </c>
      <c r="C433" s="19" t="n"/>
      <c r="H433" s="3" t="inlineStr">
        <is>
          <t>Fuel use | Road | LPG</t>
        </is>
      </c>
      <c r="I433" s="3" t="inlineStr">
        <is>
          <t>ktoe</t>
        </is>
      </c>
      <c r="K433" s="20" t="inlineStr">
        <is>
          <t>egy.mit.ener.rod.lpg.1</t>
        </is>
      </c>
      <c r="L433" s="3" t="n">
        <v>0</v>
      </c>
      <c r="M433" s="3" t="n">
        <v>0</v>
      </c>
      <c r="N433" s="3" t="n">
        <v>0</v>
      </c>
      <c r="O433" s="3" t="n">
        <v>0</v>
      </c>
      <c r="P433" s="3" t="n">
        <v>0</v>
      </c>
      <c r="Q433" s="3" t="n">
        <v>0</v>
      </c>
      <c r="R433" s="3" t="n">
        <v>0</v>
      </c>
      <c r="S433" s="3" t="n">
        <v>0</v>
      </c>
      <c r="T433" s="3" t="n">
        <v>0</v>
      </c>
      <c r="U433" s="3" t="n">
        <v>0</v>
      </c>
      <c r="V433" s="3" t="n">
        <v>0</v>
      </c>
      <c r="W433" s="3" t="n">
        <v>0</v>
      </c>
      <c r="X433" s="3" t="n">
        <v>0</v>
      </c>
      <c r="Y433" s="3" t="n">
        <v>0</v>
      </c>
      <c r="Z433" s="3" t="n">
        <v>0</v>
      </c>
      <c r="AA433" s="3" t="n">
        <v>0</v>
      </c>
      <c r="AB433" s="3" t="n">
        <v>0</v>
      </c>
      <c r="AC433" s="3" t="n">
        <v>0</v>
      </c>
      <c r="AD433" s="3" t="n">
        <v>0</v>
      </c>
      <c r="AE433" s="3" t="n">
        <v>0</v>
      </c>
      <c r="AG433" s="20" t="inlineStr">
        <is>
          <t>egy.mit.ener.rod.lpg.3</t>
        </is>
      </c>
      <c r="AH433" s="3" t="n">
        <v>0</v>
      </c>
      <c r="AI433" s="3" t="n">
        <v>0</v>
      </c>
      <c r="AJ433" s="3" t="n">
        <v>0</v>
      </c>
      <c r="AK433" s="3" t="n">
        <v>0</v>
      </c>
      <c r="AL433" s="3" t="n">
        <v>0</v>
      </c>
      <c r="AM433" s="3" t="n">
        <v>0</v>
      </c>
      <c r="AN433" s="3" t="n">
        <v>0</v>
      </c>
      <c r="AO433" s="3" t="n">
        <v>0</v>
      </c>
      <c r="AP433" s="3" t="n">
        <v>0</v>
      </c>
      <c r="AQ433" s="3" t="n">
        <v>0</v>
      </c>
      <c r="AR433" s="3" t="n">
        <v>0</v>
      </c>
      <c r="AS433" s="3" t="n">
        <v>0</v>
      </c>
      <c r="AT433" s="3" t="n">
        <v>0</v>
      </c>
      <c r="AU433" s="3" t="n">
        <v>0</v>
      </c>
      <c r="AV433" s="3" t="n">
        <v>0</v>
      </c>
      <c r="AW433" s="3" t="n">
        <v>0</v>
      </c>
      <c r="AX433" s="3" t="n">
        <v>0</v>
      </c>
      <c r="AY433" s="3" t="n">
        <v>0</v>
      </c>
      <c r="AZ433" s="3" t="n">
        <v>0</v>
      </c>
      <c r="BA433" s="3" t="n">
        <v>0</v>
      </c>
      <c r="BC433" s="20" t="inlineStr">
        <is>
          <t>egy.mit.ener.rod.lpg.4</t>
        </is>
      </c>
      <c r="BD433" s="3" t="n">
        <v>0</v>
      </c>
      <c r="BE433" s="3" t="n">
        <v>0</v>
      </c>
      <c r="BF433" s="3" t="n">
        <v>0</v>
      </c>
      <c r="BG433" s="3" t="n">
        <v>0</v>
      </c>
      <c r="BH433" s="3" t="n">
        <v>0</v>
      </c>
      <c r="BI433" s="3" t="n">
        <v>0</v>
      </c>
      <c r="BJ433" s="3" t="n">
        <v>0</v>
      </c>
      <c r="BK433" s="3" t="n">
        <v>0</v>
      </c>
      <c r="BL433" s="3" t="n">
        <v>0</v>
      </c>
      <c r="BM433" s="3" t="n">
        <v>0</v>
      </c>
      <c r="BN433" s="3" t="n">
        <v>0</v>
      </c>
      <c r="BO433" s="3" t="n">
        <v>0</v>
      </c>
      <c r="BP433" s="3" t="n">
        <v>0</v>
      </c>
      <c r="BQ433" s="3" t="n">
        <v>0</v>
      </c>
      <c r="BR433" s="3" t="n">
        <v>0</v>
      </c>
      <c r="BS433" s="3" t="n">
        <v>0</v>
      </c>
      <c r="BT433" s="3" t="n">
        <v>0</v>
      </c>
      <c r="BU433" s="3" t="n">
        <v>0</v>
      </c>
      <c r="BV433" s="3" t="n">
        <v>0</v>
      </c>
      <c r="BW433" s="3" t="n">
        <v>0</v>
      </c>
      <c r="BY433" s="20" t="inlineStr">
        <is>
          <t>egy.mit.ener.rod.lpg.5</t>
        </is>
      </c>
      <c r="BZ433" s="3" t="n">
        <v>0</v>
      </c>
      <c r="CA433" s="3" t="n">
        <v>0</v>
      </c>
      <c r="CB433" s="3" t="n">
        <v>0</v>
      </c>
      <c r="CC433" s="3" t="n">
        <v>0</v>
      </c>
      <c r="CD433" s="3" t="n">
        <v>0</v>
      </c>
      <c r="CE433" s="3" t="n">
        <v>0</v>
      </c>
      <c r="CF433" s="3" t="n">
        <v>0</v>
      </c>
      <c r="CG433" s="3" t="n">
        <v>0</v>
      </c>
      <c r="CH433" s="3" t="n">
        <v>0</v>
      </c>
      <c r="CI433" s="3" t="n">
        <v>0</v>
      </c>
      <c r="CJ433" s="3" t="n">
        <v>0</v>
      </c>
      <c r="CK433" s="3" t="n">
        <v>0</v>
      </c>
      <c r="CL433" s="3" t="n">
        <v>0</v>
      </c>
      <c r="CM433" s="3" t="n">
        <v>0</v>
      </c>
      <c r="CN433" s="3" t="n">
        <v>0</v>
      </c>
      <c r="CO433" s="3" t="n">
        <v>0</v>
      </c>
      <c r="CP433" s="3" t="n">
        <v>0</v>
      </c>
      <c r="CQ433" s="3" t="n">
        <v>0</v>
      </c>
      <c r="CR433" s="3" t="n">
        <v>0</v>
      </c>
      <c r="CS433" s="3" t="n">
        <v>0</v>
      </c>
      <c r="CU433" s="20" t="inlineStr">
        <is>
          <t>egy.mit.ener.rod.lpg.6</t>
        </is>
      </c>
      <c r="CV433" s="3" t="n">
        <v>0</v>
      </c>
      <c r="CW433" s="3" t="n">
        <v>0</v>
      </c>
      <c r="CX433" s="3" t="n">
        <v>0</v>
      </c>
      <c r="CY433" s="3" t="n">
        <v>0</v>
      </c>
      <c r="CZ433" s="3" t="n">
        <v>0</v>
      </c>
      <c r="DA433" s="3" t="n">
        <v>0</v>
      </c>
      <c r="DB433" s="3" t="n">
        <v>0</v>
      </c>
      <c r="DC433" s="3" t="n">
        <v>0</v>
      </c>
      <c r="DD433" s="3" t="n">
        <v>0</v>
      </c>
      <c r="DE433" s="3" t="n">
        <v>0</v>
      </c>
      <c r="DF433" s="3" t="n">
        <v>0</v>
      </c>
      <c r="DG433" s="3" t="n">
        <v>0</v>
      </c>
      <c r="DH433" s="3" t="n">
        <v>0</v>
      </c>
      <c r="DI433" s="3" t="n">
        <v>0</v>
      </c>
      <c r="DJ433" s="3" t="n">
        <v>0</v>
      </c>
      <c r="DK433" s="3" t="n">
        <v>0</v>
      </c>
      <c r="DL433" s="3" t="n">
        <v>0</v>
      </c>
      <c r="DM433" s="3" t="n">
        <v>0</v>
      </c>
      <c r="DN433" s="3" t="n">
        <v>0</v>
      </c>
      <c r="DO433" s="3" t="n">
        <v>0</v>
      </c>
    </row>
    <row r="434">
      <c r="A434" s="19" t="inlineStr">
        <is>
          <t>mit.ener.rod.ker</t>
        </is>
      </c>
      <c r="B434" s="3" t="inlineStr">
        <is>
          <t>mit</t>
        </is>
      </c>
      <c r="C434" s="19" t="inlineStr">
        <is>
          <t>mit.pass.vkt.all.e</t>
        </is>
      </c>
      <c r="H434" s="3" t="inlineStr">
        <is>
          <t>Fuel use | Road | Kerosene</t>
        </is>
      </c>
      <c r="I434" s="3" t="inlineStr">
        <is>
          <t>ktoe</t>
        </is>
      </c>
      <c r="K434" s="20" t="inlineStr">
        <is>
          <t>egy.mit.ener.rod.ker.1</t>
        </is>
      </c>
      <c r="L434" s="3" t="n">
        <v>0</v>
      </c>
      <c r="M434" s="3" t="n">
        <v>0</v>
      </c>
      <c r="N434" s="3" t="n">
        <v>0</v>
      </c>
      <c r="O434" s="3" t="n">
        <v>0</v>
      </c>
      <c r="P434" s="3" t="n">
        <v>0</v>
      </c>
      <c r="Q434" s="3" t="n">
        <v>0</v>
      </c>
      <c r="R434" s="3" t="n">
        <v>0</v>
      </c>
      <c r="S434" s="3" t="n">
        <v>0</v>
      </c>
      <c r="T434" s="3" t="n">
        <v>0</v>
      </c>
      <c r="U434" s="3" t="n">
        <v>0</v>
      </c>
      <c r="V434" s="3" t="n">
        <v>0</v>
      </c>
      <c r="W434" s="3" t="n">
        <v>0</v>
      </c>
      <c r="X434" s="3" t="n">
        <v>0</v>
      </c>
      <c r="Y434" s="3" t="n">
        <v>0</v>
      </c>
      <c r="Z434" s="3" t="n">
        <v>0</v>
      </c>
      <c r="AA434" s="3" t="n">
        <v>0</v>
      </c>
      <c r="AB434" s="3" t="n">
        <v>0</v>
      </c>
      <c r="AC434" s="3" t="n">
        <v>0</v>
      </c>
      <c r="AD434" s="3" t="n">
        <v>0</v>
      </c>
      <c r="AE434" s="3" t="n">
        <v>0</v>
      </c>
      <c r="AG434" s="20" t="inlineStr">
        <is>
          <t>egy.mit.ener.rod.ker.3</t>
        </is>
      </c>
      <c r="AH434" s="3" t="n">
        <v>0</v>
      </c>
      <c r="AI434" s="3" t="n">
        <v>0</v>
      </c>
      <c r="AJ434" s="3" t="n">
        <v>0</v>
      </c>
      <c r="AK434" s="3" t="n">
        <v>0</v>
      </c>
      <c r="AL434" s="3" t="n">
        <v>0</v>
      </c>
      <c r="AM434" s="3" t="n">
        <v>0</v>
      </c>
      <c r="AN434" s="3" t="n">
        <v>0</v>
      </c>
      <c r="AO434" s="3" t="n">
        <v>0</v>
      </c>
      <c r="AP434" s="3" t="n">
        <v>0</v>
      </c>
      <c r="AQ434" s="3" t="n">
        <v>0</v>
      </c>
      <c r="AR434" s="3" t="n">
        <v>0</v>
      </c>
      <c r="AS434" s="3" t="n">
        <v>0</v>
      </c>
      <c r="AT434" s="3" t="n">
        <v>0</v>
      </c>
      <c r="AU434" s="3" t="n">
        <v>0</v>
      </c>
      <c r="AV434" s="3" t="n">
        <v>0</v>
      </c>
      <c r="AW434" s="3" t="n">
        <v>0</v>
      </c>
      <c r="AX434" s="3" t="n">
        <v>0</v>
      </c>
      <c r="AY434" s="3" t="n">
        <v>0</v>
      </c>
      <c r="AZ434" s="3" t="n">
        <v>0</v>
      </c>
      <c r="BA434" s="3" t="n">
        <v>0</v>
      </c>
      <c r="BC434" s="20" t="inlineStr">
        <is>
          <t>egy.mit.ener.rod.ker.4</t>
        </is>
      </c>
      <c r="BD434" s="3" t="n">
        <v>0</v>
      </c>
      <c r="BE434" s="3" t="n">
        <v>0</v>
      </c>
      <c r="BF434" s="3" t="n">
        <v>0</v>
      </c>
      <c r="BG434" s="3" t="n">
        <v>0</v>
      </c>
      <c r="BH434" s="3" t="n">
        <v>0</v>
      </c>
      <c r="BI434" s="3" t="n">
        <v>0</v>
      </c>
      <c r="BJ434" s="3" t="n">
        <v>0</v>
      </c>
      <c r="BK434" s="3" t="n">
        <v>0</v>
      </c>
      <c r="BL434" s="3" t="n">
        <v>0</v>
      </c>
      <c r="BM434" s="3" t="n">
        <v>0</v>
      </c>
      <c r="BN434" s="3" t="n">
        <v>0</v>
      </c>
      <c r="BO434" s="3" t="n">
        <v>0</v>
      </c>
      <c r="BP434" s="3" t="n">
        <v>0</v>
      </c>
      <c r="BQ434" s="3" t="n">
        <v>0</v>
      </c>
      <c r="BR434" s="3" t="n">
        <v>0</v>
      </c>
      <c r="BS434" s="3" t="n">
        <v>0</v>
      </c>
      <c r="BT434" s="3" t="n">
        <v>0</v>
      </c>
      <c r="BU434" s="3" t="n">
        <v>0</v>
      </c>
      <c r="BV434" s="3" t="n">
        <v>0</v>
      </c>
      <c r="BW434" s="3" t="n">
        <v>0</v>
      </c>
      <c r="BY434" s="20" t="inlineStr">
        <is>
          <t>egy.mit.ener.rod.ker.5</t>
        </is>
      </c>
      <c r="BZ434" s="3" t="n">
        <v>0</v>
      </c>
      <c r="CA434" s="3" t="n">
        <v>0</v>
      </c>
      <c r="CB434" s="3" t="n">
        <v>0</v>
      </c>
      <c r="CC434" s="3" t="n">
        <v>0</v>
      </c>
      <c r="CD434" s="3" t="n">
        <v>0</v>
      </c>
      <c r="CE434" s="3" t="n">
        <v>0</v>
      </c>
      <c r="CF434" s="3" t="n">
        <v>0</v>
      </c>
      <c r="CG434" s="3" t="n">
        <v>0</v>
      </c>
      <c r="CH434" s="3" t="n">
        <v>0</v>
      </c>
      <c r="CI434" s="3" t="n">
        <v>0</v>
      </c>
      <c r="CJ434" s="3" t="n">
        <v>0</v>
      </c>
      <c r="CK434" s="3" t="n">
        <v>0</v>
      </c>
      <c r="CL434" s="3" t="n">
        <v>0</v>
      </c>
      <c r="CM434" s="3" t="n">
        <v>0</v>
      </c>
      <c r="CN434" s="3" t="n">
        <v>0</v>
      </c>
      <c r="CO434" s="3" t="n">
        <v>0</v>
      </c>
      <c r="CP434" s="3" t="n">
        <v>0</v>
      </c>
      <c r="CQ434" s="3" t="n">
        <v>0</v>
      </c>
      <c r="CR434" s="3" t="n">
        <v>0</v>
      </c>
      <c r="CS434" s="3" t="n">
        <v>0</v>
      </c>
      <c r="CU434" s="20" t="inlineStr">
        <is>
          <t>egy.mit.ener.rod.ker.6</t>
        </is>
      </c>
      <c r="CV434" s="3" t="n">
        <v>0</v>
      </c>
      <c r="CW434" s="3" t="n">
        <v>0</v>
      </c>
      <c r="CX434" s="3" t="n">
        <v>0</v>
      </c>
      <c r="CY434" s="3" t="n">
        <v>0</v>
      </c>
      <c r="CZ434" s="3" t="n">
        <v>0</v>
      </c>
      <c r="DA434" s="3" t="n">
        <v>0</v>
      </c>
      <c r="DB434" s="3" t="n">
        <v>0</v>
      </c>
      <c r="DC434" s="3" t="n">
        <v>0</v>
      </c>
      <c r="DD434" s="3" t="n">
        <v>0</v>
      </c>
      <c r="DE434" s="3" t="n">
        <v>0</v>
      </c>
      <c r="DF434" s="3" t="n">
        <v>0</v>
      </c>
      <c r="DG434" s="3" t="n">
        <v>0</v>
      </c>
      <c r="DH434" s="3" t="n">
        <v>0</v>
      </c>
      <c r="DI434" s="3" t="n">
        <v>0</v>
      </c>
      <c r="DJ434" s="3" t="n">
        <v>0</v>
      </c>
      <c r="DK434" s="3" t="n">
        <v>0</v>
      </c>
      <c r="DL434" s="3" t="n">
        <v>0</v>
      </c>
      <c r="DM434" s="3" t="n">
        <v>0</v>
      </c>
      <c r="DN434" s="3" t="n">
        <v>0</v>
      </c>
      <c r="DO434" s="3" t="n">
        <v>0</v>
      </c>
    </row>
    <row r="435">
      <c r="A435" s="19" t="inlineStr">
        <is>
          <t>mit.ener.rod.oop</t>
        </is>
      </c>
      <c r="B435" s="3" t="inlineStr">
        <is>
          <t>mit</t>
        </is>
      </c>
      <c r="C435" s="19" t="inlineStr">
        <is>
          <t>mit.fre.vkt.all.e</t>
        </is>
      </c>
      <c r="H435" s="3" t="inlineStr">
        <is>
          <t>Fuel use | Road | Other oil products</t>
        </is>
      </c>
      <c r="I435" s="3" t="inlineStr">
        <is>
          <t>ktoe</t>
        </is>
      </c>
      <c r="K435" s="20" t="inlineStr">
        <is>
          <t>egy.mit.ener.rod.oop.1</t>
        </is>
      </c>
      <c r="L435" s="3" t="n">
        <v>0</v>
      </c>
      <c r="M435" s="3" t="n">
        <v>0</v>
      </c>
      <c r="N435" s="3" t="n">
        <v>0</v>
      </c>
      <c r="O435" s="3" t="n">
        <v>0</v>
      </c>
      <c r="P435" s="3" t="n">
        <v>0</v>
      </c>
      <c r="Q435" s="3" t="n">
        <v>0</v>
      </c>
      <c r="R435" s="3" t="n">
        <v>0</v>
      </c>
      <c r="S435" s="3" t="n">
        <v>0</v>
      </c>
      <c r="T435" s="3" t="n">
        <v>0</v>
      </c>
      <c r="U435" s="3" t="n">
        <v>0</v>
      </c>
      <c r="V435" s="3" t="n">
        <v>0</v>
      </c>
      <c r="W435" s="3" t="n">
        <v>0</v>
      </c>
      <c r="X435" s="3" t="n">
        <v>0</v>
      </c>
      <c r="Y435" s="3" t="n">
        <v>0</v>
      </c>
      <c r="Z435" s="3" t="n">
        <v>0</v>
      </c>
      <c r="AA435" s="3" t="n">
        <v>0</v>
      </c>
      <c r="AB435" s="3" t="n">
        <v>0</v>
      </c>
      <c r="AC435" s="3" t="n">
        <v>0</v>
      </c>
      <c r="AD435" s="3" t="n">
        <v>0</v>
      </c>
      <c r="AE435" s="3" t="n">
        <v>0</v>
      </c>
      <c r="AG435" s="20" t="inlineStr">
        <is>
          <t>egy.mit.ener.rod.oop.3</t>
        </is>
      </c>
      <c r="AH435" s="3" t="n">
        <v>0</v>
      </c>
      <c r="AI435" s="3" t="n">
        <v>0</v>
      </c>
      <c r="AJ435" s="3" t="n">
        <v>0</v>
      </c>
      <c r="AK435" s="3" t="n">
        <v>0</v>
      </c>
      <c r="AL435" s="3" t="n">
        <v>0</v>
      </c>
      <c r="AM435" s="3" t="n">
        <v>0</v>
      </c>
      <c r="AN435" s="3" t="n">
        <v>0</v>
      </c>
      <c r="AO435" s="3" t="n">
        <v>0</v>
      </c>
      <c r="AP435" s="3" t="n">
        <v>0</v>
      </c>
      <c r="AQ435" s="3" t="n">
        <v>0</v>
      </c>
      <c r="AR435" s="3" t="n">
        <v>0</v>
      </c>
      <c r="AS435" s="3" t="n">
        <v>0</v>
      </c>
      <c r="AT435" s="3" t="n">
        <v>0</v>
      </c>
      <c r="AU435" s="3" t="n">
        <v>0</v>
      </c>
      <c r="AV435" s="3" t="n">
        <v>0</v>
      </c>
      <c r="AW435" s="3" t="n">
        <v>0</v>
      </c>
      <c r="AX435" s="3" t="n">
        <v>0</v>
      </c>
      <c r="AY435" s="3" t="n">
        <v>0</v>
      </c>
      <c r="AZ435" s="3" t="n">
        <v>0</v>
      </c>
      <c r="BA435" s="3" t="n">
        <v>0</v>
      </c>
      <c r="BC435" s="20" t="inlineStr">
        <is>
          <t>egy.mit.ener.rod.oop.4</t>
        </is>
      </c>
      <c r="BD435" s="3" t="n">
        <v>0</v>
      </c>
      <c r="BE435" s="3" t="n">
        <v>0</v>
      </c>
      <c r="BF435" s="3" t="n">
        <v>0</v>
      </c>
      <c r="BG435" s="3" t="n">
        <v>0</v>
      </c>
      <c r="BH435" s="3" t="n">
        <v>0</v>
      </c>
      <c r="BI435" s="3" t="n">
        <v>0</v>
      </c>
      <c r="BJ435" s="3" t="n">
        <v>0</v>
      </c>
      <c r="BK435" s="3" t="n">
        <v>0</v>
      </c>
      <c r="BL435" s="3" t="n">
        <v>0</v>
      </c>
      <c r="BM435" s="3" t="n">
        <v>0</v>
      </c>
      <c r="BN435" s="3" t="n">
        <v>0</v>
      </c>
      <c r="BO435" s="3" t="n">
        <v>0</v>
      </c>
      <c r="BP435" s="3" t="n">
        <v>0</v>
      </c>
      <c r="BQ435" s="3" t="n">
        <v>0</v>
      </c>
      <c r="BR435" s="3" t="n">
        <v>0</v>
      </c>
      <c r="BS435" s="3" t="n">
        <v>0</v>
      </c>
      <c r="BT435" s="3" t="n">
        <v>0</v>
      </c>
      <c r="BU435" s="3" t="n">
        <v>0</v>
      </c>
      <c r="BV435" s="3" t="n">
        <v>0</v>
      </c>
      <c r="BW435" s="3" t="n">
        <v>0</v>
      </c>
      <c r="BY435" s="20" t="inlineStr">
        <is>
          <t>egy.mit.ener.rod.oop.5</t>
        </is>
      </c>
      <c r="BZ435" s="3" t="n">
        <v>0</v>
      </c>
      <c r="CA435" s="3" t="n">
        <v>0</v>
      </c>
      <c r="CB435" s="3" t="n">
        <v>0</v>
      </c>
      <c r="CC435" s="3" t="n">
        <v>0</v>
      </c>
      <c r="CD435" s="3" t="n">
        <v>0</v>
      </c>
      <c r="CE435" s="3" t="n">
        <v>0</v>
      </c>
      <c r="CF435" s="3" t="n">
        <v>0</v>
      </c>
      <c r="CG435" s="3" t="n">
        <v>0</v>
      </c>
      <c r="CH435" s="3" t="n">
        <v>0</v>
      </c>
      <c r="CI435" s="3" t="n">
        <v>0</v>
      </c>
      <c r="CJ435" s="3" t="n">
        <v>0</v>
      </c>
      <c r="CK435" s="3" t="n">
        <v>0</v>
      </c>
      <c r="CL435" s="3" t="n">
        <v>0</v>
      </c>
      <c r="CM435" s="3" t="n">
        <v>0</v>
      </c>
      <c r="CN435" s="3" t="n">
        <v>0</v>
      </c>
      <c r="CO435" s="3" t="n">
        <v>0</v>
      </c>
      <c r="CP435" s="3" t="n">
        <v>0</v>
      </c>
      <c r="CQ435" s="3" t="n">
        <v>0</v>
      </c>
      <c r="CR435" s="3" t="n">
        <v>0</v>
      </c>
      <c r="CS435" s="3" t="n">
        <v>0</v>
      </c>
      <c r="CU435" s="20" t="inlineStr">
        <is>
          <t>egy.mit.ener.rod.oop.6</t>
        </is>
      </c>
      <c r="CV435" s="3" t="n">
        <v>0</v>
      </c>
      <c r="CW435" s="3" t="n">
        <v>0</v>
      </c>
      <c r="CX435" s="3" t="n">
        <v>0</v>
      </c>
      <c r="CY435" s="3" t="n">
        <v>0</v>
      </c>
      <c r="CZ435" s="3" t="n">
        <v>0</v>
      </c>
      <c r="DA435" s="3" t="n">
        <v>0</v>
      </c>
      <c r="DB435" s="3" t="n">
        <v>0</v>
      </c>
      <c r="DC435" s="3" t="n">
        <v>0</v>
      </c>
      <c r="DD435" s="3" t="n">
        <v>0</v>
      </c>
      <c r="DE435" s="3" t="n">
        <v>0</v>
      </c>
      <c r="DF435" s="3" t="n">
        <v>0</v>
      </c>
      <c r="DG435" s="3" t="n">
        <v>0</v>
      </c>
      <c r="DH435" s="3" t="n">
        <v>0</v>
      </c>
      <c r="DI435" s="3" t="n">
        <v>0</v>
      </c>
      <c r="DJ435" s="3" t="n">
        <v>0</v>
      </c>
      <c r="DK435" s="3" t="n">
        <v>0</v>
      </c>
      <c r="DL435" s="3" t="n">
        <v>0</v>
      </c>
      <c r="DM435" s="3" t="n">
        <v>0</v>
      </c>
      <c r="DN435" s="3" t="n">
        <v>0</v>
      </c>
      <c r="DO435" s="3" t="n">
        <v>0</v>
      </c>
    </row>
    <row r="436">
      <c r="A436" s="19" t="inlineStr">
        <is>
          <t>mit.ener.rod.bio</t>
        </is>
      </c>
      <c r="B436" s="3" t="inlineStr">
        <is>
          <t>mit</t>
        </is>
      </c>
      <c r="C436" s="19" t="inlineStr">
        <is>
          <t>mit.motor.vkt.all.e</t>
        </is>
      </c>
      <c r="H436" s="3" t="inlineStr">
        <is>
          <t>Fuel use | Road | Biomass</t>
        </is>
      </c>
      <c r="I436" s="3" t="inlineStr">
        <is>
          <t>ktoe</t>
        </is>
      </c>
      <c r="K436" s="20" t="inlineStr">
        <is>
          <t>egy.mit.ener.rod.bio.1</t>
        </is>
      </c>
      <c r="L436" s="3" t="n">
        <v>0</v>
      </c>
      <c r="M436" s="3" t="n">
        <v>0</v>
      </c>
      <c r="N436" s="3" t="n">
        <v>0</v>
      </c>
      <c r="O436" s="3" t="n">
        <v>0</v>
      </c>
      <c r="P436" s="3" t="n">
        <v>0</v>
      </c>
      <c r="Q436" s="3" t="n">
        <v>0</v>
      </c>
      <c r="R436" s="3" t="n">
        <v>0</v>
      </c>
      <c r="S436" s="3" t="n">
        <v>0</v>
      </c>
      <c r="T436" s="3" t="n">
        <v>0</v>
      </c>
      <c r="U436" s="3" t="n">
        <v>0</v>
      </c>
      <c r="V436" s="3" t="n">
        <v>0</v>
      </c>
      <c r="W436" s="3" t="n">
        <v>0</v>
      </c>
      <c r="X436" s="3" t="n">
        <v>0</v>
      </c>
      <c r="Y436" s="3" t="n">
        <v>0</v>
      </c>
      <c r="Z436" s="3" t="n">
        <v>0</v>
      </c>
      <c r="AA436" s="3" t="n">
        <v>0</v>
      </c>
      <c r="AB436" s="3" t="n">
        <v>0</v>
      </c>
      <c r="AC436" s="3" t="n">
        <v>0</v>
      </c>
      <c r="AD436" s="3" t="n">
        <v>0</v>
      </c>
      <c r="AE436" s="3" t="n">
        <v>0</v>
      </c>
      <c r="AG436" s="20" t="inlineStr">
        <is>
          <t>egy.mit.ener.rod.bio.3</t>
        </is>
      </c>
      <c r="AH436" s="3" t="n">
        <v>0</v>
      </c>
      <c r="AI436" s="3" t="n">
        <v>0</v>
      </c>
      <c r="AJ436" s="3" t="n">
        <v>0</v>
      </c>
      <c r="AK436" s="3" t="n">
        <v>0</v>
      </c>
      <c r="AL436" s="3" t="n">
        <v>0</v>
      </c>
      <c r="AM436" s="3" t="n">
        <v>0</v>
      </c>
      <c r="AN436" s="3" t="n">
        <v>0</v>
      </c>
      <c r="AO436" s="3" t="n">
        <v>0</v>
      </c>
      <c r="AP436" s="3" t="n">
        <v>0</v>
      </c>
      <c r="AQ436" s="3" t="n">
        <v>0</v>
      </c>
      <c r="AR436" s="3" t="n">
        <v>0</v>
      </c>
      <c r="AS436" s="3" t="n">
        <v>0</v>
      </c>
      <c r="AT436" s="3" t="n">
        <v>0</v>
      </c>
      <c r="AU436" s="3" t="n">
        <v>0</v>
      </c>
      <c r="AV436" s="3" t="n">
        <v>0</v>
      </c>
      <c r="AW436" s="3" t="n">
        <v>0</v>
      </c>
      <c r="AX436" s="3" t="n">
        <v>0</v>
      </c>
      <c r="AY436" s="3" t="n">
        <v>0</v>
      </c>
      <c r="AZ436" s="3" t="n">
        <v>0</v>
      </c>
      <c r="BA436" s="3" t="n">
        <v>0</v>
      </c>
      <c r="BC436" s="20" t="inlineStr">
        <is>
          <t>egy.mit.ener.rod.bio.4</t>
        </is>
      </c>
      <c r="BD436" s="3" t="n">
        <v>0</v>
      </c>
      <c r="BE436" s="3" t="n">
        <v>0</v>
      </c>
      <c r="BF436" s="3" t="n">
        <v>0</v>
      </c>
      <c r="BG436" s="3" t="n">
        <v>0</v>
      </c>
      <c r="BH436" s="3" t="n">
        <v>0</v>
      </c>
      <c r="BI436" s="3" t="n">
        <v>0</v>
      </c>
      <c r="BJ436" s="3" t="n">
        <v>0</v>
      </c>
      <c r="BK436" s="3" t="n">
        <v>0</v>
      </c>
      <c r="BL436" s="3" t="n">
        <v>0</v>
      </c>
      <c r="BM436" s="3" t="n">
        <v>0</v>
      </c>
      <c r="BN436" s="3" t="n">
        <v>0</v>
      </c>
      <c r="BO436" s="3" t="n">
        <v>0</v>
      </c>
      <c r="BP436" s="3" t="n">
        <v>0</v>
      </c>
      <c r="BQ436" s="3" t="n">
        <v>0</v>
      </c>
      <c r="BR436" s="3" t="n">
        <v>0</v>
      </c>
      <c r="BS436" s="3" t="n">
        <v>0</v>
      </c>
      <c r="BT436" s="3" t="n">
        <v>0</v>
      </c>
      <c r="BU436" s="3" t="n">
        <v>0</v>
      </c>
      <c r="BV436" s="3" t="n">
        <v>0</v>
      </c>
      <c r="BW436" s="3" t="n">
        <v>0</v>
      </c>
      <c r="BY436" s="20" t="inlineStr">
        <is>
          <t>egy.mit.ener.rod.bio.5</t>
        </is>
      </c>
      <c r="BZ436" s="3" t="n">
        <v>0</v>
      </c>
      <c r="CA436" s="3" t="n">
        <v>0</v>
      </c>
      <c r="CB436" s="3" t="n">
        <v>0</v>
      </c>
      <c r="CC436" s="3" t="n">
        <v>0</v>
      </c>
      <c r="CD436" s="3" t="n">
        <v>0</v>
      </c>
      <c r="CE436" s="3" t="n">
        <v>0</v>
      </c>
      <c r="CF436" s="3" t="n">
        <v>0</v>
      </c>
      <c r="CG436" s="3" t="n">
        <v>0</v>
      </c>
      <c r="CH436" s="3" t="n">
        <v>0</v>
      </c>
      <c r="CI436" s="3" t="n">
        <v>0</v>
      </c>
      <c r="CJ436" s="3" t="n">
        <v>0</v>
      </c>
      <c r="CK436" s="3" t="n">
        <v>0</v>
      </c>
      <c r="CL436" s="3" t="n">
        <v>0</v>
      </c>
      <c r="CM436" s="3" t="n">
        <v>0</v>
      </c>
      <c r="CN436" s="3" t="n">
        <v>0</v>
      </c>
      <c r="CO436" s="3" t="n">
        <v>0</v>
      </c>
      <c r="CP436" s="3" t="n">
        <v>0</v>
      </c>
      <c r="CQ436" s="3" t="n">
        <v>0</v>
      </c>
      <c r="CR436" s="3" t="n">
        <v>0</v>
      </c>
      <c r="CS436" s="3" t="n">
        <v>0</v>
      </c>
      <c r="CU436" s="20" t="inlineStr">
        <is>
          <t>egy.mit.ener.rod.bio.6</t>
        </is>
      </c>
      <c r="CV436" s="3" t="n">
        <v>0</v>
      </c>
      <c r="CW436" s="3" t="n">
        <v>0</v>
      </c>
      <c r="CX436" s="3" t="n">
        <v>0</v>
      </c>
      <c r="CY436" s="3" t="n">
        <v>0</v>
      </c>
      <c r="CZ436" s="3" t="n">
        <v>0</v>
      </c>
      <c r="DA436" s="3" t="n">
        <v>0</v>
      </c>
      <c r="DB436" s="3" t="n">
        <v>0</v>
      </c>
      <c r="DC436" s="3" t="n">
        <v>0</v>
      </c>
      <c r="DD436" s="3" t="n">
        <v>0</v>
      </c>
      <c r="DE436" s="3" t="n">
        <v>0</v>
      </c>
      <c r="DF436" s="3" t="n">
        <v>0</v>
      </c>
      <c r="DG436" s="3" t="n">
        <v>0</v>
      </c>
      <c r="DH436" s="3" t="n">
        <v>0</v>
      </c>
      <c r="DI436" s="3" t="n">
        <v>0</v>
      </c>
      <c r="DJ436" s="3" t="n">
        <v>0</v>
      </c>
      <c r="DK436" s="3" t="n">
        <v>0</v>
      </c>
      <c r="DL436" s="3" t="n">
        <v>0</v>
      </c>
      <c r="DM436" s="3" t="n">
        <v>0</v>
      </c>
      <c r="DN436" s="3" t="n">
        <v>0</v>
      </c>
      <c r="DO436" s="3" t="n">
        <v>0</v>
      </c>
    </row>
    <row r="437">
      <c r="A437" s="14" t="n"/>
      <c r="B437" s="3" t="inlineStr">
        <is>
          <t>mit</t>
        </is>
      </c>
      <c r="C437" s="19" t="n"/>
      <c r="H437" s="14" t="inlineStr">
        <is>
          <t>Energy consumption, road, sector-generated renewables, policy</t>
        </is>
      </c>
      <c r="I437" s="14" t="inlineStr">
        <is>
          <t>ktoe</t>
        </is>
      </c>
    </row>
    <row r="438">
      <c r="A438" s="19" t="inlineStr">
        <is>
          <t>mit.ener.ral.coa</t>
        </is>
      </c>
      <c r="B438" s="3" t="inlineStr">
        <is>
          <t>mit</t>
        </is>
      </c>
      <c r="C438" s="19" t="n"/>
      <c r="H438" s="3" t="inlineStr">
        <is>
          <t>Fuel use | Rail | Coal</t>
        </is>
      </c>
      <c r="I438" s="3" t="inlineStr">
        <is>
          <t>ktoe</t>
        </is>
      </c>
      <c r="K438" s="20" t="inlineStr">
        <is>
          <t>egy.mit.ener.ral.coa.1</t>
        </is>
      </c>
      <c r="L438" s="3" t="n">
        <v>0</v>
      </c>
      <c r="M438" s="3" t="n">
        <v>0</v>
      </c>
      <c r="N438" s="3" t="n">
        <v>0</v>
      </c>
      <c r="O438" s="3" t="n">
        <v>0</v>
      </c>
      <c r="P438" s="3" t="n">
        <v>0</v>
      </c>
      <c r="Q438" s="3" t="n">
        <v>0</v>
      </c>
      <c r="R438" s="3" t="n">
        <v>0</v>
      </c>
      <c r="S438" s="3" t="n">
        <v>0</v>
      </c>
      <c r="T438" s="3" t="n">
        <v>0</v>
      </c>
      <c r="U438" s="3" t="n">
        <v>0</v>
      </c>
      <c r="V438" s="3" t="n">
        <v>0</v>
      </c>
      <c r="W438" s="3" t="n">
        <v>0</v>
      </c>
      <c r="X438" s="3" t="n">
        <v>0</v>
      </c>
      <c r="Y438" s="3" t="n">
        <v>0</v>
      </c>
      <c r="Z438" s="3" t="n">
        <v>0</v>
      </c>
      <c r="AA438" s="3" t="n">
        <v>0</v>
      </c>
      <c r="AB438" s="3" t="n">
        <v>0</v>
      </c>
      <c r="AC438" s="3" t="n">
        <v>0</v>
      </c>
      <c r="AD438" s="3" t="n">
        <v>0</v>
      </c>
      <c r="AE438" s="3" t="n">
        <v>0</v>
      </c>
      <c r="AG438" s="20" t="inlineStr">
        <is>
          <t>egy.mit.ener.ral.coa.3</t>
        </is>
      </c>
      <c r="AH438" s="3" t="n">
        <v>0</v>
      </c>
      <c r="AI438" s="3" t="n">
        <v>0</v>
      </c>
      <c r="AJ438" s="3" t="n">
        <v>0</v>
      </c>
      <c r="AK438" s="3" t="n">
        <v>0</v>
      </c>
      <c r="AL438" s="3" t="n">
        <v>0</v>
      </c>
      <c r="AM438" s="3" t="n">
        <v>0</v>
      </c>
      <c r="AN438" s="3" t="n">
        <v>0</v>
      </c>
      <c r="AO438" s="3" t="n">
        <v>0</v>
      </c>
      <c r="AP438" s="3" t="n">
        <v>0</v>
      </c>
      <c r="AQ438" s="3" t="n">
        <v>0</v>
      </c>
      <c r="AR438" s="3" t="n">
        <v>0</v>
      </c>
      <c r="AS438" s="3" t="n">
        <v>0</v>
      </c>
      <c r="AT438" s="3" t="n">
        <v>0</v>
      </c>
      <c r="AU438" s="3" t="n">
        <v>0</v>
      </c>
      <c r="AV438" s="3" t="n">
        <v>0</v>
      </c>
      <c r="AW438" s="3" t="n">
        <v>0</v>
      </c>
      <c r="AX438" s="3" t="n">
        <v>0</v>
      </c>
      <c r="AY438" s="3" t="n">
        <v>0</v>
      </c>
      <c r="AZ438" s="3" t="n">
        <v>0</v>
      </c>
      <c r="BA438" s="3" t="n">
        <v>0</v>
      </c>
      <c r="BC438" s="20" t="inlineStr">
        <is>
          <t>egy.mit.ener.ral.coa.4</t>
        </is>
      </c>
      <c r="BD438" s="3" t="n">
        <v>0</v>
      </c>
      <c r="BE438" s="3" t="n">
        <v>0</v>
      </c>
      <c r="BF438" s="3" t="n">
        <v>0</v>
      </c>
      <c r="BG438" s="3" t="n">
        <v>0</v>
      </c>
      <c r="BH438" s="3" t="n">
        <v>0</v>
      </c>
      <c r="BI438" s="3" t="n">
        <v>0</v>
      </c>
      <c r="BJ438" s="3" t="n">
        <v>0</v>
      </c>
      <c r="BK438" s="3" t="n">
        <v>0</v>
      </c>
      <c r="BL438" s="3" t="n">
        <v>0</v>
      </c>
      <c r="BM438" s="3" t="n">
        <v>0</v>
      </c>
      <c r="BN438" s="3" t="n">
        <v>0</v>
      </c>
      <c r="BO438" s="3" t="n">
        <v>0</v>
      </c>
      <c r="BP438" s="3" t="n">
        <v>0</v>
      </c>
      <c r="BQ438" s="3" t="n">
        <v>0</v>
      </c>
      <c r="BR438" s="3" t="n">
        <v>0</v>
      </c>
      <c r="BS438" s="3" t="n">
        <v>0</v>
      </c>
      <c r="BT438" s="3" t="n">
        <v>0</v>
      </c>
      <c r="BU438" s="3" t="n">
        <v>0</v>
      </c>
      <c r="BV438" s="3" t="n">
        <v>0</v>
      </c>
      <c r="BW438" s="3" t="n">
        <v>0</v>
      </c>
      <c r="BY438" s="20" t="inlineStr">
        <is>
          <t>egy.mit.ener.ral.coa.5</t>
        </is>
      </c>
      <c r="BZ438" s="3" t="n">
        <v>0</v>
      </c>
      <c r="CA438" s="3" t="n">
        <v>0</v>
      </c>
      <c r="CB438" s="3" t="n">
        <v>0</v>
      </c>
      <c r="CC438" s="3" t="n">
        <v>0</v>
      </c>
      <c r="CD438" s="3" t="n">
        <v>0</v>
      </c>
      <c r="CE438" s="3" t="n">
        <v>0</v>
      </c>
      <c r="CF438" s="3" t="n">
        <v>0</v>
      </c>
      <c r="CG438" s="3" t="n">
        <v>0</v>
      </c>
      <c r="CH438" s="3" t="n">
        <v>0</v>
      </c>
      <c r="CI438" s="3" t="n">
        <v>0</v>
      </c>
      <c r="CJ438" s="3" t="n">
        <v>0</v>
      </c>
      <c r="CK438" s="3" t="n">
        <v>0</v>
      </c>
      <c r="CL438" s="3" t="n">
        <v>0</v>
      </c>
      <c r="CM438" s="3" t="n">
        <v>0</v>
      </c>
      <c r="CN438" s="3" t="n">
        <v>0</v>
      </c>
      <c r="CO438" s="3" t="n">
        <v>0</v>
      </c>
      <c r="CP438" s="3" t="n">
        <v>0</v>
      </c>
      <c r="CQ438" s="3" t="n">
        <v>0</v>
      </c>
      <c r="CR438" s="3" t="n">
        <v>0</v>
      </c>
      <c r="CS438" s="3" t="n">
        <v>0</v>
      </c>
      <c r="CU438" s="20" t="inlineStr">
        <is>
          <t>egy.mit.ener.ral.coa.6</t>
        </is>
      </c>
      <c r="CV438" s="3" t="n">
        <v>0</v>
      </c>
      <c r="CW438" s="3" t="n">
        <v>0</v>
      </c>
      <c r="CX438" s="3" t="n">
        <v>0</v>
      </c>
      <c r="CY438" s="3" t="n">
        <v>0</v>
      </c>
      <c r="CZ438" s="3" t="n">
        <v>0</v>
      </c>
      <c r="DA438" s="3" t="n">
        <v>0</v>
      </c>
      <c r="DB438" s="3" t="n">
        <v>0</v>
      </c>
      <c r="DC438" s="3" t="n">
        <v>0</v>
      </c>
      <c r="DD438" s="3" t="n">
        <v>0</v>
      </c>
      <c r="DE438" s="3" t="n">
        <v>0</v>
      </c>
      <c r="DF438" s="3" t="n">
        <v>0</v>
      </c>
      <c r="DG438" s="3" t="n">
        <v>0</v>
      </c>
      <c r="DH438" s="3" t="n">
        <v>0</v>
      </c>
      <c r="DI438" s="3" t="n">
        <v>0</v>
      </c>
      <c r="DJ438" s="3" t="n">
        <v>0</v>
      </c>
      <c r="DK438" s="3" t="n">
        <v>0</v>
      </c>
      <c r="DL438" s="3" t="n">
        <v>0</v>
      </c>
      <c r="DM438" s="3" t="n">
        <v>0</v>
      </c>
      <c r="DN438" s="3" t="n">
        <v>0</v>
      </c>
      <c r="DO438" s="3" t="n">
        <v>0</v>
      </c>
    </row>
    <row r="439">
      <c r="A439" s="19" t="inlineStr">
        <is>
          <t>mit.ener.ral.nga</t>
        </is>
      </c>
      <c r="B439" s="3" t="inlineStr">
        <is>
          <t>mit</t>
        </is>
      </c>
      <c r="C439" s="19" t="n"/>
      <c r="H439" s="3" t="inlineStr">
        <is>
          <t>Fuel use | Rail | Natural gas</t>
        </is>
      </c>
      <c r="I439" s="3" t="inlineStr">
        <is>
          <t>ktoe</t>
        </is>
      </c>
      <c r="K439" s="20" t="inlineStr">
        <is>
          <t>egy.mit.ener.ral.nga.1</t>
        </is>
      </c>
      <c r="L439" s="3" t="n">
        <v>0</v>
      </c>
      <c r="M439" s="3" t="n">
        <v>0</v>
      </c>
      <c r="N439" s="3" t="n">
        <v>0</v>
      </c>
      <c r="O439" s="3" t="n">
        <v>0</v>
      </c>
      <c r="P439" s="3" t="n">
        <v>0</v>
      </c>
      <c r="Q439" s="3" t="n">
        <v>0</v>
      </c>
      <c r="R439" s="3" t="n">
        <v>0</v>
      </c>
      <c r="S439" s="3" t="n">
        <v>0</v>
      </c>
      <c r="T439" s="3" t="n">
        <v>0</v>
      </c>
      <c r="U439" s="3" t="n">
        <v>0</v>
      </c>
      <c r="V439" s="3" t="n">
        <v>0</v>
      </c>
      <c r="W439" s="3" t="n">
        <v>0</v>
      </c>
      <c r="X439" s="3" t="n">
        <v>0</v>
      </c>
      <c r="Y439" s="3" t="n">
        <v>0</v>
      </c>
      <c r="Z439" s="3" t="n">
        <v>0</v>
      </c>
      <c r="AA439" s="3" t="n">
        <v>0</v>
      </c>
      <c r="AB439" s="3" t="n">
        <v>0</v>
      </c>
      <c r="AC439" s="3" t="n">
        <v>0</v>
      </c>
      <c r="AD439" s="3" t="n">
        <v>0</v>
      </c>
      <c r="AE439" s="3" t="n">
        <v>0</v>
      </c>
      <c r="AG439" s="20" t="inlineStr">
        <is>
          <t>egy.mit.ener.ral.nga.3</t>
        </is>
      </c>
      <c r="AH439" s="3" t="n">
        <v>0</v>
      </c>
      <c r="AI439" s="3" t="n">
        <v>0</v>
      </c>
      <c r="AJ439" s="3" t="n">
        <v>0</v>
      </c>
      <c r="AK439" s="3" t="n">
        <v>0</v>
      </c>
      <c r="AL439" s="3" t="n">
        <v>0</v>
      </c>
      <c r="AM439" s="3" t="n">
        <v>0</v>
      </c>
      <c r="AN439" s="3" t="n">
        <v>0</v>
      </c>
      <c r="AO439" s="3" t="n">
        <v>0</v>
      </c>
      <c r="AP439" s="3" t="n">
        <v>0</v>
      </c>
      <c r="AQ439" s="3" t="n">
        <v>0</v>
      </c>
      <c r="AR439" s="3" t="n">
        <v>0</v>
      </c>
      <c r="AS439" s="3" t="n">
        <v>0</v>
      </c>
      <c r="AT439" s="3" t="n">
        <v>0</v>
      </c>
      <c r="AU439" s="3" t="n">
        <v>0</v>
      </c>
      <c r="AV439" s="3" t="n">
        <v>0</v>
      </c>
      <c r="AW439" s="3" t="n">
        <v>0</v>
      </c>
      <c r="AX439" s="3" t="n">
        <v>0</v>
      </c>
      <c r="AY439" s="3" t="n">
        <v>0</v>
      </c>
      <c r="AZ439" s="3" t="n">
        <v>0</v>
      </c>
      <c r="BA439" s="3" t="n">
        <v>0</v>
      </c>
      <c r="BC439" s="20" t="inlineStr">
        <is>
          <t>egy.mit.ener.ral.nga.4</t>
        </is>
      </c>
      <c r="BD439" s="3" t="n">
        <v>0</v>
      </c>
      <c r="BE439" s="3" t="n">
        <v>0</v>
      </c>
      <c r="BF439" s="3" t="n">
        <v>0</v>
      </c>
      <c r="BG439" s="3" t="n">
        <v>0</v>
      </c>
      <c r="BH439" s="3" t="n">
        <v>0</v>
      </c>
      <c r="BI439" s="3" t="n">
        <v>0</v>
      </c>
      <c r="BJ439" s="3" t="n">
        <v>0</v>
      </c>
      <c r="BK439" s="3" t="n">
        <v>0</v>
      </c>
      <c r="BL439" s="3" t="n">
        <v>0</v>
      </c>
      <c r="BM439" s="3" t="n">
        <v>0</v>
      </c>
      <c r="BN439" s="3" t="n">
        <v>0</v>
      </c>
      <c r="BO439" s="3" t="n">
        <v>0</v>
      </c>
      <c r="BP439" s="3" t="n">
        <v>0</v>
      </c>
      <c r="BQ439" s="3" t="n">
        <v>0</v>
      </c>
      <c r="BR439" s="3" t="n">
        <v>0</v>
      </c>
      <c r="BS439" s="3" t="n">
        <v>0</v>
      </c>
      <c r="BT439" s="3" t="n">
        <v>0</v>
      </c>
      <c r="BU439" s="3" t="n">
        <v>0</v>
      </c>
      <c r="BV439" s="3" t="n">
        <v>0</v>
      </c>
      <c r="BW439" s="3" t="n">
        <v>0</v>
      </c>
      <c r="BY439" s="20" t="inlineStr">
        <is>
          <t>egy.mit.ener.ral.nga.5</t>
        </is>
      </c>
      <c r="BZ439" s="3" t="n">
        <v>0</v>
      </c>
      <c r="CA439" s="3" t="n">
        <v>0</v>
      </c>
      <c r="CB439" s="3" t="n">
        <v>0</v>
      </c>
      <c r="CC439" s="3" t="n">
        <v>0</v>
      </c>
      <c r="CD439" s="3" t="n">
        <v>0</v>
      </c>
      <c r="CE439" s="3" t="n">
        <v>0</v>
      </c>
      <c r="CF439" s="3" t="n">
        <v>0</v>
      </c>
      <c r="CG439" s="3" t="n">
        <v>0</v>
      </c>
      <c r="CH439" s="3" t="n">
        <v>0</v>
      </c>
      <c r="CI439" s="3" t="n">
        <v>0</v>
      </c>
      <c r="CJ439" s="3" t="n">
        <v>0</v>
      </c>
      <c r="CK439" s="3" t="n">
        <v>0</v>
      </c>
      <c r="CL439" s="3" t="n">
        <v>0</v>
      </c>
      <c r="CM439" s="3" t="n">
        <v>0</v>
      </c>
      <c r="CN439" s="3" t="n">
        <v>0</v>
      </c>
      <c r="CO439" s="3" t="n">
        <v>0</v>
      </c>
      <c r="CP439" s="3" t="n">
        <v>0</v>
      </c>
      <c r="CQ439" s="3" t="n">
        <v>0</v>
      </c>
      <c r="CR439" s="3" t="n">
        <v>0</v>
      </c>
      <c r="CS439" s="3" t="n">
        <v>0</v>
      </c>
      <c r="CU439" s="20" t="inlineStr">
        <is>
          <t>egy.mit.ener.ral.nga.6</t>
        </is>
      </c>
      <c r="CV439" s="3" t="n">
        <v>0</v>
      </c>
      <c r="CW439" s="3" t="n">
        <v>0</v>
      </c>
      <c r="CX439" s="3" t="n">
        <v>0</v>
      </c>
      <c r="CY439" s="3" t="n">
        <v>0</v>
      </c>
      <c r="CZ439" s="3" t="n">
        <v>0</v>
      </c>
      <c r="DA439" s="3" t="n">
        <v>0</v>
      </c>
      <c r="DB439" s="3" t="n">
        <v>0</v>
      </c>
      <c r="DC439" s="3" t="n">
        <v>0</v>
      </c>
      <c r="DD439" s="3" t="n">
        <v>0</v>
      </c>
      <c r="DE439" s="3" t="n">
        <v>0</v>
      </c>
      <c r="DF439" s="3" t="n">
        <v>0</v>
      </c>
      <c r="DG439" s="3" t="n">
        <v>0</v>
      </c>
      <c r="DH439" s="3" t="n">
        <v>0</v>
      </c>
      <c r="DI439" s="3" t="n">
        <v>0</v>
      </c>
      <c r="DJ439" s="3" t="n">
        <v>0</v>
      </c>
      <c r="DK439" s="3" t="n">
        <v>0</v>
      </c>
      <c r="DL439" s="3" t="n">
        <v>0</v>
      </c>
      <c r="DM439" s="3" t="n">
        <v>0</v>
      </c>
      <c r="DN439" s="3" t="n">
        <v>0</v>
      </c>
      <c r="DO439" s="3" t="n">
        <v>0</v>
      </c>
    </row>
    <row r="440">
      <c r="A440" s="19" t="inlineStr">
        <is>
          <t>mit.ener.ral.gso</t>
        </is>
      </c>
      <c r="B440" s="3" t="inlineStr">
        <is>
          <t>mit</t>
        </is>
      </c>
      <c r="C440" s="19" t="inlineStr">
        <is>
          <t>mit.fecon.die.all.e</t>
        </is>
      </c>
      <c r="H440" s="3" t="inlineStr">
        <is>
          <t>Fuel use | Rail | Gasoline</t>
        </is>
      </c>
      <c r="I440" s="3" t="inlineStr">
        <is>
          <t>ktoe</t>
        </is>
      </c>
      <c r="K440" s="20" t="inlineStr">
        <is>
          <t>egy.mit.ener.ral.gso.1</t>
        </is>
      </c>
      <c r="L440" s="3" t="n">
        <v>0</v>
      </c>
      <c r="M440" s="3" t="n">
        <v>0</v>
      </c>
      <c r="N440" s="3" t="n">
        <v>0</v>
      </c>
      <c r="O440" s="3" t="n">
        <v>0</v>
      </c>
      <c r="P440" s="3" t="n">
        <v>0</v>
      </c>
      <c r="Q440" s="3" t="n">
        <v>0</v>
      </c>
      <c r="R440" s="3" t="n">
        <v>0</v>
      </c>
      <c r="S440" s="3" t="n">
        <v>0</v>
      </c>
      <c r="T440" s="3" t="n">
        <v>0</v>
      </c>
      <c r="U440" s="3" t="n">
        <v>0</v>
      </c>
      <c r="V440" s="3" t="n">
        <v>0</v>
      </c>
      <c r="W440" s="3" t="n">
        <v>0</v>
      </c>
      <c r="X440" s="3" t="n">
        <v>0</v>
      </c>
      <c r="Y440" s="3" t="n">
        <v>0</v>
      </c>
      <c r="Z440" s="3" t="n">
        <v>0</v>
      </c>
      <c r="AA440" s="3" t="n">
        <v>0</v>
      </c>
      <c r="AB440" s="3" t="n">
        <v>0</v>
      </c>
      <c r="AC440" s="3" t="n">
        <v>0</v>
      </c>
      <c r="AD440" s="3" t="n">
        <v>0</v>
      </c>
      <c r="AE440" s="3" t="n">
        <v>0</v>
      </c>
      <c r="AG440" s="20" t="inlineStr">
        <is>
          <t>egy.mit.ener.ral.gso.3</t>
        </is>
      </c>
      <c r="AH440" s="3" t="n">
        <v>0</v>
      </c>
      <c r="AI440" s="3" t="n">
        <v>0</v>
      </c>
      <c r="AJ440" s="3" t="n">
        <v>0</v>
      </c>
      <c r="AK440" s="3" t="n">
        <v>0</v>
      </c>
      <c r="AL440" s="3" t="n">
        <v>0</v>
      </c>
      <c r="AM440" s="3" t="n">
        <v>0</v>
      </c>
      <c r="AN440" s="3" t="n">
        <v>0</v>
      </c>
      <c r="AO440" s="3" t="n">
        <v>0</v>
      </c>
      <c r="AP440" s="3" t="n">
        <v>0</v>
      </c>
      <c r="AQ440" s="3" t="n">
        <v>0</v>
      </c>
      <c r="AR440" s="3" t="n">
        <v>0</v>
      </c>
      <c r="AS440" s="3" t="n">
        <v>0</v>
      </c>
      <c r="AT440" s="3" t="n">
        <v>0</v>
      </c>
      <c r="AU440" s="3" t="n">
        <v>0</v>
      </c>
      <c r="AV440" s="3" t="n">
        <v>0</v>
      </c>
      <c r="AW440" s="3" t="n">
        <v>0</v>
      </c>
      <c r="AX440" s="3" t="n">
        <v>0</v>
      </c>
      <c r="AY440" s="3" t="n">
        <v>0</v>
      </c>
      <c r="AZ440" s="3" t="n">
        <v>0</v>
      </c>
      <c r="BA440" s="3" t="n">
        <v>0</v>
      </c>
      <c r="BC440" s="20" t="inlineStr">
        <is>
          <t>egy.mit.ener.ral.gso.4</t>
        </is>
      </c>
      <c r="BD440" s="3" t="n">
        <v>0</v>
      </c>
      <c r="BE440" s="3" t="n">
        <v>0</v>
      </c>
      <c r="BF440" s="3" t="n">
        <v>0</v>
      </c>
      <c r="BG440" s="3" t="n">
        <v>0</v>
      </c>
      <c r="BH440" s="3" t="n">
        <v>0</v>
      </c>
      <c r="BI440" s="3" t="n">
        <v>0</v>
      </c>
      <c r="BJ440" s="3" t="n">
        <v>0</v>
      </c>
      <c r="BK440" s="3" t="n">
        <v>0</v>
      </c>
      <c r="BL440" s="3" t="n">
        <v>0</v>
      </c>
      <c r="BM440" s="3" t="n">
        <v>0</v>
      </c>
      <c r="BN440" s="3" t="n">
        <v>0</v>
      </c>
      <c r="BO440" s="3" t="n">
        <v>0</v>
      </c>
      <c r="BP440" s="3" t="n">
        <v>0</v>
      </c>
      <c r="BQ440" s="3" t="n">
        <v>0</v>
      </c>
      <c r="BR440" s="3" t="n">
        <v>0</v>
      </c>
      <c r="BS440" s="3" t="n">
        <v>0</v>
      </c>
      <c r="BT440" s="3" t="n">
        <v>0</v>
      </c>
      <c r="BU440" s="3" t="n">
        <v>0</v>
      </c>
      <c r="BV440" s="3" t="n">
        <v>0</v>
      </c>
      <c r="BW440" s="3" t="n">
        <v>0</v>
      </c>
      <c r="BY440" s="20" t="inlineStr">
        <is>
          <t>egy.mit.ener.ral.gso.5</t>
        </is>
      </c>
      <c r="BZ440" s="3" t="n">
        <v>0</v>
      </c>
      <c r="CA440" s="3" t="n">
        <v>0</v>
      </c>
      <c r="CB440" s="3" t="n">
        <v>0</v>
      </c>
      <c r="CC440" s="3" t="n">
        <v>0</v>
      </c>
      <c r="CD440" s="3" t="n">
        <v>0</v>
      </c>
      <c r="CE440" s="3" t="n">
        <v>0</v>
      </c>
      <c r="CF440" s="3" t="n">
        <v>0</v>
      </c>
      <c r="CG440" s="3" t="n">
        <v>0</v>
      </c>
      <c r="CH440" s="3" t="n">
        <v>0</v>
      </c>
      <c r="CI440" s="3" t="n">
        <v>0</v>
      </c>
      <c r="CJ440" s="3" t="n">
        <v>0</v>
      </c>
      <c r="CK440" s="3" t="n">
        <v>0</v>
      </c>
      <c r="CL440" s="3" t="n">
        <v>0</v>
      </c>
      <c r="CM440" s="3" t="n">
        <v>0</v>
      </c>
      <c r="CN440" s="3" t="n">
        <v>0</v>
      </c>
      <c r="CO440" s="3" t="n">
        <v>0</v>
      </c>
      <c r="CP440" s="3" t="n">
        <v>0</v>
      </c>
      <c r="CQ440" s="3" t="n">
        <v>0</v>
      </c>
      <c r="CR440" s="3" t="n">
        <v>0</v>
      </c>
      <c r="CS440" s="3" t="n">
        <v>0</v>
      </c>
      <c r="CU440" s="20" t="inlineStr">
        <is>
          <t>egy.mit.ener.ral.gso.6</t>
        </is>
      </c>
      <c r="CV440" s="3" t="n">
        <v>0</v>
      </c>
      <c r="CW440" s="3" t="n">
        <v>0</v>
      </c>
      <c r="CX440" s="3" t="n">
        <v>0</v>
      </c>
      <c r="CY440" s="3" t="n">
        <v>0</v>
      </c>
      <c r="CZ440" s="3" t="n">
        <v>0</v>
      </c>
      <c r="DA440" s="3" t="n">
        <v>0</v>
      </c>
      <c r="DB440" s="3" t="n">
        <v>0</v>
      </c>
      <c r="DC440" s="3" t="n">
        <v>0</v>
      </c>
      <c r="DD440" s="3" t="n">
        <v>0</v>
      </c>
      <c r="DE440" s="3" t="n">
        <v>0</v>
      </c>
      <c r="DF440" s="3" t="n">
        <v>0</v>
      </c>
      <c r="DG440" s="3" t="n">
        <v>0</v>
      </c>
      <c r="DH440" s="3" t="n">
        <v>0</v>
      </c>
      <c r="DI440" s="3" t="n">
        <v>0</v>
      </c>
      <c r="DJ440" s="3" t="n">
        <v>0</v>
      </c>
      <c r="DK440" s="3" t="n">
        <v>0</v>
      </c>
      <c r="DL440" s="3" t="n">
        <v>0</v>
      </c>
      <c r="DM440" s="3" t="n">
        <v>0</v>
      </c>
      <c r="DN440" s="3" t="n">
        <v>0</v>
      </c>
      <c r="DO440" s="3" t="n">
        <v>0</v>
      </c>
    </row>
    <row r="441">
      <c r="A441" s="19" t="inlineStr">
        <is>
          <t>mit.ener.ral.die</t>
        </is>
      </c>
      <c r="B441" s="3" t="inlineStr">
        <is>
          <t>mit</t>
        </is>
      </c>
      <c r="C441" s="19" t="n"/>
      <c r="H441" s="3" t="inlineStr">
        <is>
          <t>Fuel use | Rail | Diesel</t>
        </is>
      </c>
      <c r="I441" s="3" t="inlineStr">
        <is>
          <t>ktoe</t>
        </is>
      </c>
      <c r="K441" s="20" t="inlineStr">
        <is>
          <t>egy.mit.ener.ral.die.1</t>
        </is>
      </c>
      <c r="L441" s="3" t="n">
        <v>0</v>
      </c>
      <c r="M441" s="3" t="n">
        <v>0</v>
      </c>
      <c r="N441" s="3" t="n">
        <v>0</v>
      </c>
      <c r="O441" s="3" t="n">
        <v>0</v>
      </c>
      <c r="P441" s="3" t="n">
        <v>0</v>
      </c>
      <c r="Q441" s="3" t="n">
        <v>0</v>
      </c>
      <c r="R441" s="3" t="n">
        <v>0</v>
      </c>
      <c r="S441" s="3" t="n">
        <v>0</v>
      </c>
      <c r="T441" s="3" t="n">
        <v>0</v>
      </c>
      <c r="U441" s="3" t="n">
        <v>0</v>
      </c>
      <c r="V441" s="3" t="n">
        <v>0</v>
      </c>
      <c r="W441" s="3" t="n">
        <v>0</v>
      </c>
      <c r="X441" s="3" t="n">
        <v>0</v>
      </c>
      <c r="Y441" s="3" t="n">
        <v>0</v>
      </c>
      <c r="Z441" s="3" t="n">
        <v>0</v>
      </c>
      <c r="AA441" s="3" t="n">
        <v>0</v>
      </c>
      <c r="AB441" s="3" t="n">
        <v>0</v>
      </c>
      <c r="AC441" s="3" t="n">
        <v>0</v>
      </c>
      <c r="AD441" s="3" t="n">
        <v>0</v>
      </c>
      <c r="AE441" s="3" t="n">
        <v>0</v>
      </c>
      <c r="AG441" s="20" t="inlineStr">
        <is>
          <t>egy.mit.ener.ral.die.3</t>
        </is>
      </c>
      <c r="AH441" s="3" t="n">
        <v>0</v>
      </c>
      <c r="AI441" s="3" t="n">
        <v>0</v>
      </c>
      <c r="AJ441" s="3" t="n">
        <v>0</v>
      </c>
      <c r="AK441" s="3" t="n">
        <v>0</v>
      </c>
      <c r="AL441" s="3" t="n">
        <v>0</v>
      </c>
      <c r="AM441" s="3" t="n">
        <v>0</v>
      </c>
      <c r="AN441" s="3" t="n">
        <v>0</v>
      </c>
      <c r="AO441" s="3" t="n">
        <v>0</v>
      </c>
      <c r="AP441" s="3" t="n">
        <v>0</v>
      </c>
      <c r="AQ441" s="3" t="n">
        <v>0</v>
      </c>
      <c r="AR441" s="3" t="n">
        <v>0</v>
      </c>
      <c r="AS441" s="3" t="n">
        <v>0</v>
      </c>
      <c r="AT441" s="3" t="n">
        <v>0</v>
      </c>
      <c r="AU441" s="3" t="n">
        <v>0</v>
      </c>
      <c r="AV441" s="3" t="n">
        <v>0</v>
      </c>
      <c r="AW441" s="3" t="n">
        <v>0</v>
      </c>
      <c r="AX441" s="3" t="n">
        <v>0</v>
      </c>
      <c r="AY441" s="3" t="n">
        <v>0</v>
      </c>
      <c r="AZ441" s="3" t="n">
        <v>0</v>
      </c>
      <c r="BA441" s="3" t="n">
        <v>0</v>
      </c>
      <c r="BC441" s="20" t="inlineStr">
        <is>
          <t>egy.mit.ener.ral.die.4</t>
        </is>
      </c>
      <c r="BD441" s="3" t="n">
        <v>0</v>
      </c>
      <c r="BE441" s="3" t="n">
        <v>0</v>
      </c>
      <c r="BF441" s="3" t="n">
        <v>0</v>
      </c>
      <c r="BG441" s="3" t="n">
        <v>0</v>
      </c>
      <c r="BH441" s="3" t="n">
        <v>0</v>
      </c>
      <c r="BI441" s="3" t="n">
        <v>0</v>
      </c>
      <c r="BJ441" s="3" t="n">
        <v>0</v>
      </c>
      <c r="BK441" s="3" t="n">
        <v>0</v>
      </c>
      <c r="BL441" s="3" t="n">
        <v>0</v>
      </c>
      <c r="BM441" s="3" t="n">
        <v>0</v>
      </c>
      <c r="BN441" s="3" t="n">
        <v>0</v>
      </c>
      <c r="BO441" s="3" t="n">
        <v>0</v>
      </c>
      <c r="BP441" s="3" t="n">
        <v>0</v>
      </c>
      <c r="BQ441" s="3" t="n">
        <v>0</v>
      </c>
      <c r="BR441" s="3" t="n">
        <v>0</v>
      </c>
      <c r="BS441" s="3" t="n">
        <v>0</v>
      </c>
      <c r="BT441" s="3" t="n">
        <v>0</v>
      </c>
      <c r="BU441" s="3" t="n">
        <v>0</v>
      </c>
      <c r="BV441" s="3" t="n">
        <v>0</v>
      </c>
      <c r="BW441" s="3" t="n">
        <v>0</v>
      </c>
      <c r="BY441" s="20" t="inlineStr">
        <is>
          <t>egy.mit.ener.ral.die.5</t>
        </is>
      </c>
      <c r="BZ441" s="3" t="n">
        <v>0</v>
      </c>
      <c r="CA441" s="3" t="n">
        <v>0</v>
      </c>
      <c r="CB441" s="3" t="n">
        <v>0</v>
      </c>
      <c r="CC441" s="3" t="n">
        <v>0</v>
      </c>
      <c r="CD441" s="3" t="n">
        <v>0</v>
      </c>
      <c r="CE441" s="3" t="n">
        <v>0</v>
      </c>
      <c r="CF441" s="3" t="n">
        <v>0</v>
      </c>
      <c r="CG441" s="3" t="n">
        <v>0</v>
      </c>
      <c r="CH441" s="3" t="n">
        <v>0</v>
      </c>
      <c r="CI441" s="3" t="n">
        <v>0</v>
      </c>
      <c r="CJ441" s="3" t="n">
        <v>0</v>
      </c>
      <c r="CK441" s="3" t="n">
        <v>0</v>
      </c>
      <c r="CL441" s="3" t="n">
        <v>0</v>
      </c>
      <c r="CM441" s="3" t="n">
        <v>0</v>
      </c>
      <c r="CN441" s="3" t="n">
        <v>0</v>
      </c>
      <c r="CO441" s="3" t="n">
        <v>0</v>
      </c>
      <c r="CP441" s="3" t="n">
        <v>0</v>
      </c>
      <c r="CQ441" s="3" t="n">
        <v>0</v>
      </c>
      <c r="CR441" s="3" t="n">
        <v>0</v>
      </c>
      <c r="CS441" s="3" t="n">
        <v>0</v>
      </c>
      <c r="CU441" s="20" t="inlineStr">
        <is>
          <t>egy.mit.ener.ral.die.6</t>
        </is>
      </c>
      <c r="CV441" s="3" t="n">
        <v>0</v>
      </c>
      <c r="CW441" s="3" t="n">
        <v>0</v>
      </c>
      <c r="CX441" s="3" t="n">
        <v>0</v>
      </c>
      <c r="CY441" s="3" t="n">
        <v>0</v>
      </c>
      <c r="CZ441" s="3" t="n">
        <v>0</v>
      </c>
      <c r="DA441" s="3" t="n">
        <v>0</v>
      </c>
      <c r="DB441" s="3" t="n">
        <v>0</v>
      </c>
      <c r="DC441" s="3" t="n">
        <v>0</v>
      </c>
      <c r="DD441" s="3" t="n">
        <v>0</v>
      </c>
      <c r="DE441" s="3" t="n">
        <v>0</v>
      </c>
      <c r="DF441" s="3" t="n">
        <v>0</v>
      </c>
      <c r="DG441" s="3" t="n">
        <v>0</v>
      </c>
      <c r="DH441" s="3" t="n">
        <v>0</v>
      </c>
      <c r="DI441" s="3" t="n">
        <v>0</v>
      </c>
      <c r="DJ441" s="3" t="n">
        <v>0</v>
      </c>
      <c r="DK441" s="3" t="n">
        <v>0</v>
      </c>
      <c r="DL441" s="3" t="n">
        <v>0</v>
      </c>
      <c r="DM441" s="3" t="n">
        <v>0</v>
      </c>
      <c r="DN441" s="3" t="n">
        <v>0</v>
      </c>
      <c r="DO441" s="3" t="n">
        <v>0</v>
      </c>
    </row>
    <row r="442">
      <c r="A442" s="19" t="inlineStr">
        <is>
          <t>mit.ener.ral.lpg</t>
        </is>
      </c>
      <c r="B442" s="3" t="inlineStr">
        <is>
          <t>mit</t>
        </is>
      </c>
      <c r="C442" s="19" t="n"/>
      <c r="H442" s="3" t="inlineStr">
        <is>
          <t>Fuel use | Rail | LPG</t>
        </is>
      </c>
      <c r="I442" s="3" t="inlineStr">
        <is>
          <t>ktoe</t>
        </is>
      </c>
      <c r="K442" s="20" t="inlineStr">
        <is>
          <t>egy.mit.ener.ral.lpg.1</t>
        </is>
      </c>
      <c r="L442" s="3" t="n">
        <v>0</v>
      </c>
      <c r="M442" s="3" t="n">
        <v>0</v>
      </c>
      <c r="N442" s="3" t="n">
        <v>0</v>
      </c>
      <c r="O442" s="3" t="n">
        <v>0</v>
      </c>
      <c r="P442" s="3" t="n">
        <v>0</v>
      </c>
      <c r="Q442" s="3" t="n">
        <v>0</v>
      </c>
      <c r="R442" s="3" t="n">
        <v>0</v>
      </c>
      <c r="S442" s="3" t="n">
        <v>0</v>
      </c>
      <c r="T442" s="3" t="n">
        <v>0</v>
      </c>
      <c r="U442" s="3" t="n">
        <v>0</v>
      </c>
      <c r="V442" s="3" t="n">
        <v>0</v>
      </c>
      <c r="W442" s="3" t="n">
        <v>0</v>
      </c>
      <c r="X442" s="3" t="n">
        <v>0</v>
      </c>
      <c r="Y442" s="3" t="n">
        <v>0</v>
      </c>
      <c r="Z442" s="3" t="n">
        <v>0</v>
      </c>
      <c r="AA442" s="3" t="n">
        <v>0</v>
      </c>
      <c r="AB442" s="3" t="n">
        <v>0</v>
      </c>
      <c r="AC442" s="3" t="n">
        <v>0</v>
      </c>
      <c r="AD442" s="3" t="n">
        <v>0</v>
      </c>
      <c r="AE442" s="3" t="n">
        <v>0</v>
      </c>
      <c r="AG442" s="20" t="inlineStr">
        <is>
          <t>egy.mit.ener.ral.lpg.3</t>
        </is>
      </c>
      <c r="AH442" s="3" t="n">
        <v>0</v>
      </c>
      <c r="AI442" s="3" t="n">
        <v>0</v>
      </c>
      <c r="AJ442" s="3" t="n">
        <v>0</v>
      </c>
      <c r="AK442" s="3" t="n">
        <v>0</v>
      </c>
      <c r="AL442" s="3" t="n">
        <v>0</v>
      </c>
      <c r="AM442" s="3" t="n">
        <v>0</v>
      </c>
      <c r="AN442" s="3" t="n">
        <v>0</v>
      </c>
      <c r="AO442" s="3" t="n">
        <v>0</v>
      </c>
      <c r="AP442" s="3" t="n">
        <v>0</v>
      </c>
      <c r="AQ442" s="3" t="n">
        <v>0</v>
      </c>
      <c r="AR442" s="3" t="n">
        <v>0</v>
      </c>
      <c r="AS442" s="3" t="n">
        <v>0</v>
      </c>
      <c r="AT442" s="3" t="n">
        <v>0</v>
      </c>
      <c r="AU442" s="3" t="n">
        <v>0</v>
      </c>
      <c r="AV442" s="3" t="n">
        <v>0</v>
      </c>
      <c r="AW442" s="3" t="n">
        <v>0</v>
      </c>
      <c r="AX442" s="3" t="n">
        <v>0</v>
      </c>
      <c r="AY442" s="3" t="n">
        <v>0</v>
      </c>
      <c r="AZ442" s="3" t="n">
        <v>0</v>
      </c>
      <c r="BA442" s="3" t="n">
        <v>0</v>
      </c>
      <c r="BC442" s="20" t="inlineStr">
        <is>
          <t>egy.mit.ener.ral.lpg.4</t>
        </is>
      </c>
      <c r="BD442" s="3" t="n">
        <v>0</v>
      </c>
      <c r="BE442" s="3" t="n">
        <v>0</v>
      </c>
      <c r="BF442" s="3" t="n">
        <v>0</v>
      </c>
      <c r="BG442" s="3" t="n">
        <v>0</v>
      </c>
      <c r="BH442" s="3" t="n">
        <v>0</v>
      </c>
      <c r="BI442" s="3" t="n">
        <v>0</v>
      </c>
      <c r="BJ442" s="3" t="n">
        <v>0</v>
      </c>
      <c r="BK442" s="3" t="n">
        <v>0</v>
      </c>
      <c r="BL442" s="3" t="n">
        <v>0</v>
      </c>
      <c r="BM442" s="3" t="n">
        <v>0</v>
      </c>
      <c r="BN442" s="3" t="n">
        <v>0</v>
      </c>
      <c r="BO442" s="3" t="n">
        <v>0</v>
      </c>
      <c r="BP442" s="3" t="n">
        <v>0</v>
      </c>
      <c r="BQ442" s="3" t="n">
        <v>0</v>
      </c>
      <c r="BR442" s="3" t="n">
        <v>0</v>
      </c>
      <c r="BS442" s="3" t="n">
        <v>0</v>
      </c>
      <c r="BT442" s="3" t="n">
        <v>0</v>
      </c>
      <c r="BU442" s="3" t="n">
        <v>0</v>
      </c>
      <c r="BV442" s="3" t="n">
        <v>0</v>
      </c>
      <c r="BW442" s="3" t="n">
        <v>0</v>
      </c>
      <c r="BY442" s="20" t="inlineStr">
        <is>
          <t>egy.mit.ener.ral.lpg.5</t>
        </is>
      </c>
      <c r="BZ442" s="3" t="n">
        <v>0</v>
      </c>
      <c r="CA442" s="3" t="n">
        <v>0</v>
      </c>
      <c r="CB442" s="3" t="n">
        <v>0</v>
      </c>
      <c r="CC442" s="3" t="n">
        <v>0</v>
      </c>
      <c r="CD442" s="3" t="n">
        <v>0</v>
      </c>
      <c r="CE442" s="3" t="n">
        <v>0</v>
      </c>
      <c r="CF442" s="3" t="n">
        <v>0</v>
      </c>
      <c r="CG442" s="3" t="n">
        <v>0</v>
      </c>
      <c r="CH442" s="3" t="n">
        <v>0</v>
      </c>
      <c r="CI442" s="3" t="n">
        <v>0</v>
      </c>
      <c r="CJ442" s="3" t="n">
        <v>0</v>
      </c>
      <c r="CK442" s="3" t="n">
        <v>0</v>
      </c>
      <c r="CL442" s="3" t="n">
        <v>0</v>
      </c>
      <c r="CM442" s="3" t="n">
        <v>0</v>
      </c>
      <c r="CN442" s="3" t="n">
        <v>0</v>
      </c>
      <c r="CO442" s="3" t="n">
        <v>0</v>
      </c>
      <c r="CP442" s="3" t="n">
        <v>0</v>
      </c>
      <c r="CQ442" s="3" t="n">
        <v>0</v>
      </c>
      <c r="CR442" s="3" t="n">
        <v>0</v>
      </c>
      <c r="CS442" s="3" t="n">
        <v>0</v>
      </c>
      <c r="CU442" s="20" t="inlineStr">
        <is>
          <t>egy.mit.ener.ral.lpg.6</t>
        </is>
      </c>
      <c r="CV442" s="3" t="n">
        <v>0</v>
      </c>
      <c r="CW442" s="3" t="n">
        <v>0</v>
      </c>
      <c r="CX442" s="3" t="n">
        <v>0</v>
      </c>
      <c r="CY442" s="3" t="n">
        <v>0</v>
      </c>
      <c r="CZ442" s="3" t="n">
        <v>0</v>
      </c>
      <c r="DA442" s="3" t="n">
        <v>0</v>
      </c>
      <c r="DB442" s="3" t="n">
        <v>0</v>
      </c>
      <c r="DC442" s="3" t="n">
        <v>0</v>
      </c>
      <c r="DD442" s="3" t="n">
        <v>0</v>
      </c>
      <c r="DE442" s="3" t="n">
        <v>0</v>
      </c>
      <c r="DF442" s="3" t="n">
        <v>0</v>
      </c>
      <c r="DG442" s="3" t="n">
        <v>0</v>
      </c>
      <c r="DH442" s="3" t="n">
        <v>0</v>
      </c>
      <c r="DI442" s="3" t="n">
        <v>0</v>
      </c>
      <c r="DJ442" s="3" t="n">
        <v>0</v>
      </c>
      <c r="DK442" s="3" t="n">
        <v>0</v>
      </c>
      <c r="DL442" s="3" t="n">
        <v>0</v>
      </c>
      <c r="DM442" s="3" t="n">
        <v>0</v>
      </c>
      <c r="DN442" s="3" t="n">
        <v>0</v>
      </c>
      <c r="DO442" s="3" t="n">
        <v>0</v>
      </c>
    </row>
    <row r="443">
      <c r="A443" s="19" t="inlineStr">
        <is>
          <t>mit.ener.ral.ker</t>
        </is>
      </c>
      <c r="B443" s="3" t="inlineStr">
        <is>
          <t>mit</t>
        </is>
      </c>
      <c r="C443" s="19" t="n"/>
      <c r="H443" s="3" t="inlineStr">
        <is>
          <t>Fuel use | Rail | Kerosene</t>
        </is>
      </c>
      <c r="I443" s="3" t="inlineStr">
        <is>
          <t>ktoe</t>
        </is>
      </c>
      <c r="K443" s="20" t="inlineStr">
        <is>
          <t>egy.mit.ener.ral.ker.1</t>
        </is>
      </c>
      <c r="L443" s="3" t="n">
        <v>0</v>
      </c>
      <c r="M443" s="3" t="n">
        <v>0</v>
      </c>
      <c r="N443" s="3" t="n">
        <v>0</v>
      </c>
      <c r="O443" s="3" t="n">
        <v>0</v>
      </c>
      <c r="P443" s="3" t="n">
        <v>0</v>
      </c>
      <c r="Q443" s="3" t="n">
        <v>0</v>
      </c>
      <c r="R443" s="3" t="n">
        <v>0</v>
      </c>
      <c r="S443" s="3" t="n">
        <v>0</v>
      </c>
      <c r="T443" s="3" t="n">
        <v>0</v>
      </c>
      <c r="U443" s="3" t="n">
        <v>0</v>
      </c>
      <c r="V443" s="3" t="n">
        <v>0</v>
      </c>
      <c r="W443" s="3" t="n">
        <v>0</v>
      </c>
      <c r="X443" s="3" t="n">
        <v>0</v>
      </c>
      <c r="Y443" s="3" t="n">
        <v>0</v>
      </c>
      <c r="Z443" s="3" t="n">
        <v>0</v>
      </c>
      <c r="AA443" s="3" t="n">
        <v>0</v>
      </c>
      <c r="AB443" s="3" t="n">
        <v>0</v>
      </c>
      <c r="AC443" s="3" t="n">
        <v>0</v>
      </c>
      <c r="AD443" s="3" t="n">
        <v>0</v>
      </c>
      <c r="AE443" s="3" t="n">
        <v>0</v>
      </c>
      <c r="AG443" s="20" t="inlineStr">
        <is>
          <t>egy.mit.ener.ral.ker.3</t>
        </is>
      </c>
      <c r="AH443" s="3" t="n">
        <v>0</v>
      </c>
      <c r="AI443" s="3" t="n">
        <v>0</v>
      </c>
      <c r="AJ443" s="3" t="n">
        <v>0</v>
      </c>
      <c r="AK443" s="3" t="n">
        <v>0</v>
      </c>
      <c r="AL443" s="3" t="n">
        <v>0</v>
      </c>
      <c r="AM443" s="3" t="n">
        <v>0</v>
      </c>
      <c r="AN443" s="3" t="n">
        <v>0</v>
      </c>
      <c r="AO443" s="3" t="n">
        <v>0</v>
      </c>
      <c r="AP443" s="3" t="n">
        <v>0</v>
      </c>
      <c r="AQ443" s="3" t="n">
        <v>0</v>
      </c>
      <c r="AR443" s="3" t="n">
        <v>0</v>
      </c>
      <c r="AS443" s="3" t="n">
        <v>0</v>
      </c>
      <c r="AT443" s="3" t="n">
        <v>0</v>
      </c>
      <c r="AU443" s="3" t="n">
        <v>0</v>
      </c>
      <c r="AV443" s="3" t="n">
        <v>0</v>
      </c>
      <c r="AW443" s="3" t="n">
        <v>0</v>
      </c>
      <c r="AX443" s="3" t="n">
        <v>0</v>
      </c>
      <c r="AY443" s="3" t="n">
        <v>0</v>
      </c>
      <c r="AZ443" s="3" t="n">
        <v>0</v>
      </c>
      <c r="BA443" s="3" t="n">
        <v>0</v>
      </c>
      <c r="BC443" s="20" t="inlineStr">
        <is>
          <t>egy.mit.ener.ral.ker.4</t>
        </is>
      </c>
      <c r="BD443" s="3" t="n">
        <v>0</v>
      </c>
      <c r="BE443" s="3" t="n">
        <v>0</v>
      </c>
      <c r="BF443" s="3" t="n">
        <v>0</v>
      </c>
      <c r="BG443" s="3" t="n">
        <v>0</v>
      </c>
      <c r="BH443" s="3" t="n">
        <v>0</v>
      </c>
      <c r="BI443" s="3" t="n">
        <v>0</v>
      </c>
      <c r="BJ443" s="3" t="n">
        <v>0</v>
      </c>
      <c r="BK443" s="3" t="n">
        <v>0</v>
      </c>
      <c r="BL443" s="3" t="n">
        <v>0</v>
      </c>
      <c r="BM443" s="3" t="n">
        <v>0</v>
      </c>
      <c r="BN443" s="3" t="n">
        <v>0</v>
      </c>
      <c r="BO443" s="3" t="n">
        <v>0</v>
      </c>
      <c r="BP443" s="3" t="n">
        <v>0</v>
      </c>
      <c r="BQ443" s="3" t="n">
        <v>0</v>
      </c>
      <c r="BR443" s="3" t="n">
        <v>0</v>
      </c>
      <c r="BS443" s="3" t="n">
        <v>0</v>
      </c>
      <c r="BT443" s="3" t="n">
        <v>0</v>
      </c>
      <c r="BU443" s="3" t="n">
        <v>0</v>
      </c>
      <c r="BV443" s="3" t="n">
        <v>0</v>
      </c>
      <c r="BW443" s="3" t="n">
        <v>0</v>
      </c>
      <c r="BY443" s="20" t="inlineStr">
        <is>
          <t>egy.mit.ener.ral.ker.5</t>
        </is>
      </c>
      <c r="BZ443" s="3" t="n">
        <v>0</v>
      </c>
      <c r="CA443" s="3" t="n">
        <v>0</v>
      </c>
      <c r="CB443" s="3" t="n">
        <v>0</v>
      </c>
      <c r="CC443" s="3" t="n">
        <v>0</v>
      </c>
      <c r="CD443" s="3" t="n">
        <v>0</v>
      </c>
      <c r="CE443" s="3" t="n">
        <v>0</v>
      </c>
      <c r="CF443" s="3" t="n">
        <v>0</v>
      </c>
      <c r="CG443" s="3" t="n">
        <v>0</v>
      </c>
      <c r="CH443" s="3" t="n">
        <v>0</v>
      </c>
      <c r="CI443" s="3" t="n">
        <v>0</v>
      </c>
      <c r="CJ443" s="3" t="n">
        <v>0</v>
      </c>
      <c r="CK443" s="3" t="n">
        <v>0</v>
      </c>
      <c r="CL443" s="3" t="n">
        <v>0</v>
      </c>
      <c r="CM443" s="3" t="n">
        <v>0</v>
      </c>
      <c r="CN443" s="3" t="n">
        <v>0</v>
      </c>
      <c r="CO443" s="3" t="n">
        <v>0</v>
      </c>
      <c r="CP443" s="3" t="n">
        <v>0</v>
      </c>
      <c r="CQ443" s="3" t="n">
        <v>0</v>
      </c>
      <c r="CR443" s="3" t="n">
        <v>0</v>
      </c>
      <c r="CS443" s="3" t="n">
        <v>0</v>
      </c>
      <c r="CU443" s="20" t="inlineStr">
        <is>
          <t>egy.mit.ener.ral.ker.6</t>
        </is>
      </c>
      <c r="CV443" s="3" t="n">
        <v>0</v>
      </c>
      <c r="CW443" s="3" t="n">
        <v>0</v>
      </c>
      <c r="CX443" s="3" t="n">
        <v>0</v>
      </c>
      <c r="CY443" s="3" t="n">
        <v>0</v>
      </c>
      <c r="CZ443" s="3" t="n">
        <v>0</v>
      </c>
      <c r="DA443" s="3" t="n">
        <v>0</v>
      </c>
      <c r="DB443" s="3" t="n">
        <v>0</v>
      </c>
      <c r="DC443" s="3" t="n">
        <v>0</v>
      </c>
      <c r="DD443" s="3" t="n">
        <v>0</v>
      </c>
      <c r="DE443" s="3" t="n">
        <v>0</v>
      </c>
      <c r="DF443" s="3" t="n">
        <v>0</v>
      </c>
      <c r="DG443" s="3" t="n">
        <v>0</v>
      </c>
      <c r="DH443" s="3" t="n">
        <v>0</v>
      </c>
      <c r="DI443" s="3" t="n">
        <v>0</v>
      </c>
      <c r="DJ443" s="3" t="n">
        <v>0</v>
      </c>
      <c r="DK443" s="3" t="n">
        <v>0</v>
      </c>
      <c r="DL443" s="3" t="n">
        <v>0</v>
      </c>
      <c r="DM443" s="3" t="n">
        <v>0</v>
      </c>
      <c r="DN443" s="3" t="n">
        <v>0</v>
      </c>
      <c r="DO443" s="3" t="n">
        <v>0</v>
      </c>
    </row>
    <row r="444">
      <c r="A444" s="19" t="inlineStr">
        <is>
          <t>mit.ener.ral.oop</t>
        </is>
      </c>
      <c r="B444" s="3" t="inlineStr">
        <is>
          <t>mit</t>
        </is>
      </c>
      <c r="C444" s="19" t="inlineStr">
        <is>
          <t>mit.fecon.lpg.all.e</t>
        </is>
      </c>
      <c r="H444" s="3" t="inlineStr">
        <is>
          <t>Fuel use | Rail | Other oil products</t>
        </is>
      </c>
      <c r="I444" s="3" t="inlineStr">
        <is>
          <t>ktoe</t>
        </is>
      </c>
      <c r="K444" s="20" t="inlineStr">
        <is>
          <t>egy.mit.ener.ral.oop.1</t>
        </is>
      </c>
      <c r="L444" s="3" t="n">
        <v>0</v>
      </c>
      <c r="M444" s="3" t="n">
        <v>0</v>
      </c>
      <c r="N444" s="3" t="n">
        <v>0</v>
      </c>
      <c r="O444" s="3" t="n">
        <v>0</v>
      </c>
      <c r="P444" s="3" t="n">
        <v>0</v>
      </c>
      <c r="Q444" s="3" t="n">
        <v>0</v>
      </c>
      <c r="R444" s="3" t="n">
        <v>0</v>
      </c>
      <c r="S444" s="3" t="n">
        <v>0</v>
      </c>
      <c r="T444" s="3" t="n">
        <v>0</v>
      </c>
      <c r="U444" s="3" t="n">
        <v>0</v>
      </c>
      <c r="V444" s="3" t="n">
        <v>0</v>
      </c>
      <c r="W444" s="3" t="n">
        <v>0</v>
      </c>
      <c r="X444" s="3" t="n">
        <v>0</v>
      </c>
      <c r="Y444" s="3" t="n">
        <v>0</v>
      </c>
      <c r="Z444" s="3" t="n">
        <v>0</v>
      </c>
      <c r="AA444" s="3" t="n">
        <v>0</v>
      </c>
      <c r="AB444" s="3" t="n">
        <v>0</v>
      </c>
      <c r="AC444" s="3" t="n">
        <v>0</v>
      </c>
      <c r="AD444" s="3" t="n">
        <v>0</v>
      </c>
      <c r="AE444" s="3" t="n">
        <v>0</v>
      </c>
      <c r="AG444" s="20" t="inlineStr">
        <is>
          <t>egy.mit.ener.ral.oop.3</t>
        </is>
      </c>
      <c r="AH444" s="3" t="n">
        <v>0</v>
      </c>
      <c r="AI444" s="3" t="n">
        <v>0</v>
      </c>
      <c r="AJ444" s="3" t="n">
        <v>0</v>
      </c>
      <c r="AK444" s="3" t="n">
        <v>0</v>
      </c>
      <c r="AL444" s="3" t="n">
        <v>0</v>
      </c>
      <c r="AM444" s="3" t="n">
        <v>0</v>
      </c>
      <c r="AN444" s="3" t="n">
        <v>0</v>
      </c>
      <c r="AO444" s="3" t="n">
        <v>0</v>
      </c>
      <c r="AP444" s="3" t="n">
        <v>0</v>
      </c>
      <c r="AQ444" s="3" t="n">
        <v>0</v>
      </c>
      <c r="AR444" s="3" t="n">
        <v>0</v>
      </c>
      <c r="AS444" s="3" t="n">
        <v>0</v>
      </c>
      <c r="AT444" s="3" t="n">
        <v>0</v>
      </c>
      <c r="AU444" s="3" t="n">
        <v>0</v>
      </c>
      <c r="AV444" s="3" t="n">
        <v>0</v>
      </c>
      <c r="AW444" s="3" t="n">
        <v>0</v>
      </c>
      <c r="AX444" s="3" t="n">
        <v>0</v>
      </c>
      <c r="AY444" s="3" t="n">
        <v>0</v>
      </c>
      <c r="AZ444" s="3" t="n">
        <v>0</v>
      </c>
      <c r="BA444" s="3" t="n">
        <v>0</v>
      </c>
      <c r="BC444" s="20" t="inlineStr">
        <is>
          <t>egy.mit.ener.ral.oop.4</t>
        </is>
      </c>
      <c r="BD444" s="3" t="n">
        <v>0</v>
      </c>
      <c r="BE444" s="3" t="n">
        <v>0</v>
      </c>
      <c r="BF444" s="3" t="n">
        <v>0</v>
      </c>
      <c r="BG444" s="3" t="n">
        <v>0</v>
      </c>
      <c r="BH444" s="3" t="n">
        <v>0</v>
      </c>
      <c r="BI444" s="3" t="n">
        <v>0</v>
      </c>
      <c r="BJ444" s="3" t="n">
        <v>0</v>
      </c>
      <c r="BK444" s="3" t="n">
        <v>0</v>
      </c>
      <c r="BL444" s="3" t="n">
        <v>0</v>
      </c>
      <c r="BM444" s="3" t="n">
        <v>0</v>
      </c>
      <c r="BN444" s="3" t="n">
        <v>0</v>
      </c>
      <c r="BO444" s="3" t="n">
        <v>0</v>
      </c>
      <c r="BP444" s="3" t="n">
        <v>0</v>
      </c>
      <c r="BQ444" s="3" t="n">
        <v>0</v>
      </c>
      <c r="BR444" s="3" t="n">
        <v>0</v>
      </c>
      <c r="BS444" s="3" t="n">
        <v>0</v>
      </c>
      <c r="BT444" s="3" t="n">
        <v>0</v>
      </c>
      <c r="BU444" s="3" t="n">
        <v>0</v>
      </c>
      <c r="BV444" s="3" t="n">
        <v>0</v>
      </c>
      <c r="BW444" s="3" t="n">
        <v>0</v>
      </c>
      <c r="BY444" s="20" t="inlineStr">
        <is>
          <t>egy.mit.ener.ral.oop.5</t>
        </is>
      </c>
      <c r="BZ444" s="3" t="n">
        <v>0</v>
      </c>
      <c r="CA444" s="3" t="n">
        <v>0</v>
      </c>
      <c r="CB444" s="3" t="n">
        <v>0</v>
      </c>
      <c r="CC444" s="3" t="n">
        <v>0</v>
      </c>
      <c r="CD444" s="3" t="n">
        <v>0</v>
      </c>
      <c r="CE444" s="3" t="n">
        <v>0</v>
      </c>
      <c r="CF444" s="3" t="n">
        <v>0</v>
      </c>
      <c r="CG444" s="3" t="n">
        <v>0</v>
      </c>
      <c r="CH444" s="3" t="n">
        <v>0</v>
      </c>
      <c r="CI444" s="3" t="n">
        <v>0</v>
      </c>
      <c r="CJ444" s="3" t="n">
        <v>0</v>
      </c>
      <c r="CK444" s="3" t="n">
        <v>0</v>
      </c>
      <c r="CL444" s="3" t="n">
        <v>0</v>
      </c>
      <c r="CM444" s="3" t="n">
        <v>0</v>
      </c>
      <c r="CN444" s="3" t="n">
        <v>0</v>
      </c>
      <c r="CO444" s="3" t="n">
        <v>0</v>
      </c>
      <c r="CP444" s="3" t="n">
        <v>0</v>
      </c>
      <c r="CQ444" s="3" t="n">
        <v>0</v>
      </c>
      <c r="CR444" s="3" t="n">
        <v>0</v>
      </c>
      <c r="CS444" s="3" t="n">
        <v>0</v>
      </c>
      <c r="CU444" s="20" t="inlineStr">
        <is>
          <t>egy.mit.ener.ral.oop.6</t>
        </is>
      </c>
      <c r="CV444" s="3" t="n">
        <v>0</v>
      </c>
      <c r="CW444" s="3" t="n">
        <v>0</v>
      </c>
      <c r="CX444" s="3" t="n">
        <v>0</v>
      </c>
      <c r="CY444" s="3" t="n">
        <v>0</v>
      </c>
      <c r="CZ444" s="3" t="n">
        <v>0</v>
      </c>
      <c r="DA444" s="3" t="n">
        <v>0</v>
      </c>
      <c r="DB444" s="3" t="n">
        <v>0</v>
      </c>
      <c r="DC444" s="3" t="n">
        <v>0</v>
      </c>
      <c r="DD444" s="3" t="n">
        <v>0</v>
      </c>
      <c r="DE444" s="3" t="n">
        <v>0</v>
      </c>
      <c r="DF444" s="3" t="n">
        <v>0</v>
      </c>
      <c r="DG444" s="3" t="n">
        <v>0</v>
      </c>
      <c r="DH444" s="3" t="n">
        <v>0</v>
      </c>
      <c r="DI444" s="3" t="n">
        <v>0</v>
      </c>
      <c r="DJ444" s="3" t="n">
        <v>0</v>
      </c>
      <c r="DK444" s="3" t="n">
        <v>0</v>
      </c>
      <c r="DL444" s="3" t="n">
        <v>0</v>
      </c>
      <c r="DM444" s="3" t="n">
        <v>0</v>
      </c>
      <c r="DN444" s="3" t="n">
        <v>0</v>
      </c>
      <c r="DO444" s="3" t="n">
        <v>0</v>
      </c>
    </row>
    <row r="445">
      <c r="A445" s="19" t="inlineStr">
        <is>
          <t>mit.ener.ral.bio</t>
        </is>
      </c>
      <c r="B445" s="3" t="inlineStr">
        <is>
          <t>mit</t>
        </is>
      </c>
      <c r="C445" s="19" t="n"/>
      <c r="H445" s="3" t="inlineStr">
        <is>
          <t>Fuel use | Rail | Biomass</t>
        </is>
      </c>
      <c r="I445" s="3" t="inlineStr">
        <is>
          <t>ktoe</t>
        </is>
      </c>
      <c r="K445" s="20" t="inlineStr">
        <is>
          <t>egy.mit.ener.ral.bio.1</t>
        </is>
      </c>
      <c r="L445" s="3" t="n">
        <v>0</v>
      </c>
      <c r="M445" s="3" t="n">
        <v>0</v>
      </c>
      <c r="N445" s="3" t="n">
        <v>0</v>
      </c>
      <c r="O445" s="3" t="n">
        <v>0</v>
      </c>
      <c r="P445" s="3" t="n">
        <v>0</v>
      </c>
      <c r="Q445" s="3" t="n">
        <v>0</v>
      </c>
      <c r="R445" s="3" t="n">
        <v>0</v>
      </c>
      <c r="S445" s="3" t="n">
        <v>0</v>
      </c>
      <c r="T445" s="3" t="n">
        <v>0</v>
      </c>
      <c r="U445" s="3" t="n">
        <v>0</v>
      </c>
      <c r="V445" s="3" t="n">
        <v>0</v>
      </c>
      <c r="W445" s="3" t="n">
        <v>0</v>
      </c>
      <c r="X445" s="3" t="n">
        <v>0</v>
      </c>
      <c r="Y445" s="3" t="n">
        <v>0</v>
      </c>
      <c r="Z445" s="3" t="n">
        <v>0</v>
      </c>
      <c r="AA445" s="3" t="n">
        <v>0</v>
      </c>
      <c r="AB445" s="3" t="n">
        <v>0</v>
      </c>
      <c r="AC445" s="3" t="n">
        <v>0</v>
      </c>
      <c r="AD445" s="3" t="n">
        <v>0</v>
      </c>
      <c r="AE445" s="3" t="n">
        <v>0</v>
      </c>
      <c r="AG445" s="20" t="inlineStr">
        <is>
          <t>egy.mit.ener.ral.bio.3</t>
        </is>
      </c>
      <c r="AH445" s="3" t="n">
        <v>0</v>
      </c>
      <c r="AI445" s="3" t="n">
        <v>0</v>
      </c>
      <c r="AJ445" s="3" t="n">
        <v>0</v>
      </c>
      <c r="AK445" s="3" t="n">
        <v>0</v>
      </c>
      <c r="AL445" s="3" t="n">
        <v>0</v>
      </c>
      <c r="AM445" s="3" t="n">
        <v>0</v>
      </c>
      <c r="AN445" s="3" t="n">
        <v>0</v>
      </c>
      <c r="AO445" s="3" t="n">
        <v>0</v>
      </c>
      <c r="AP445" s="3" t="n">
        <v>0</v>
      </c>
      <c r="AQ445" s="3" t="n">
        <v>0</v>
      </c>
      <c r="AR445" s="3" t="n">
        <v>0</v>
      </c>
      <c r="AS445" s="3" t="n">
        <v>0</v>
      </c>
      <c r="AT445" s="3" t="n">
        <v>0</v>
      </c>
      <c r="AU445" s="3" t="n">
        <v>0</v>
      </c>
      <c r="AV445" s="3" t="n">
        <v>0</v>
      </c>
      <c r="AW445" s="3" t="n">
        <v>0</v>
      </c>
      <c r="AX445" s="3" t="n">
        <v>0</v>
      </c>
      <c r="AY445" s="3" t="n">
        <v>0</v>
      </c>
      <c r="AZ445" s="3" t="n">
        <v>0</v>
      </c>
      <c r="BA445" s="3" t="n">
        <v>0</v>
      </c>
      <c r="BC445" s="20" t="inlineStr">
        <is>
          <t>egy.mit.ener.ral.bio.4</t>
        </is>
      </c>
      <c r="BD445" s="3" t="n">
        <v>0</v>
      </c>
      <c r="BE445" s="3" t="n">
        <v>0</v>
      </c>
      <c r="BF445" s="3" t="n">
        <v>0</v>
      </c>
      <c r="BG445" s="3" t="n">
        <v>0</v>
      </c>
      <c r="BH445" s="3" t="n">
        <v>0</v>
      </c>
      <c r="BI445" s="3" t="n">
        <v>0</v>
      </c>
      <c r="BJ445" s="3" t="n">
        <v>0</v>
      </c>
      <c r="BK445" s="3" t="n">
        <v>0</v>
      </c>
      <c r="BL445" s="3" t="n">
        <v>0</v>
      </c>
      <c r="BM445" s="3" t="n">
        <v>0</v>
      </c>
      <c r="BN445" s="3" t="n">
        <v>0</v>
      </c>
      <c r="BO445" s="3" t="n">
        <v>0</v>
      </c>
      <c r="BP445" s="3" t="n">
        <v>0</v>
      </c>
      <c r="BQ445" s="3" t="n">
        <v>0</v>
      </c>
      <c r="BR445" s="3" t="n">
        <v>0</v>
      </c>
      <c r="BS445" s="3" t="n">
        <v>0</v>
      </c>
      <c r="BT445" s="3" t="n">
        <v>0</v>
      </c>
      <c r="BU445" s="3" t="n">
        <v>0</v>
      </c>
      <c r="BV445" s="3" t="n">
        <v>0</v>
      </c>
      <c r="BW445" s="3" t="n">
        <v>0</v>
      </c>
      <c r="BY445" s="20" t="inlineStr">
        <is>
          <t>egy.mit.ener.ral.bio.5</t>
        </is>
      </c>
      <c r="BZ445" s="3" t="n">
        <v>0</v>
      </c>
      <c r="CA445" s="3" t="n">
        <v>0</v>
      </c>
      <c r="CB445" s="3" t="n">
        <v>0</v>
      </c>
      <c r="CC445" s="3" t="n">
        <v>0</v>
      </c>
      <c r="CD445" s="3" t="n">
        <v>0</v>
      </c>
      <c r="CE445" s="3" t="n">
        <v>0</v>
      </c>
      <c r="CF445" s="3" t="n">
        <v>0</v>
      </c>
      <c r="CG445" s="3" t="n">
        <v>0</v>
      </c>
      <c r="CH445" s="3" t="n">
        <v>0</v>
      </c>
      <c r="CI445" s="3" t="n">
        <v>0</v>
      </c>
      <c r="CJ445" s="3" t="n">
        <v>0</v>
      </c>
      <c r="CK445" s="3" t="n">
        <v>0</v>
      </c>
      <c r="CL445" s="3" t="n">
        <v>0</v>
      </c>
      <c r="CM445" s="3" t="n">
        <v>0</v>
      </c>
      <c r="CN445" s="3" t="n">
        <v>0</v>
      </c>
      <c r="CO445" s="3" t="n">
        <v>0</v>
      </c>
      <c r="CP445" s="3" t="n">
        <v>0</v>
      </c>
      <c r="CQ445" s="3" t="n">
        <v>0</v>
      </c>
      <c r="CR445" s="3" t="n">
        <v>0</v>
      </c>
      <c r="CS445" s="3" t="n">
        <v>0</v>
      </c>
      <c r="CU445" s="20" t="inlineStr">
        <is>
          <t>egy.mit.ener.ral.bio.6</t>
        </is>
      </c>
      <c r="CV445" s="3" t="n">
        <v>0</v>
      </c>
      <c r="CW445" s="3" t="n">
        <v>0</v>
      </c>
      <c r="CX445" s="3" t="n">
        <v>0</v>
      </c>
      <c r="CY445" s="3" t="n">
        <v>0</v>
      </c>
      <c r="CZ445" s="3" t="n">
        <v>0</v>
      </c>
      <c r="DA445" s="3" t="n">
        <v>0</v>
      </c>
      <c r="DB445" s="3" t="n">
        <v>0</v>
      </c>
      <c r="DC445" s="3" t="n">
        <v>0</v>
      </c>
      <c r="DD445" s="3" t="n">
        <v>0</v>
      </c>
      <c r="DE445" s="3" t="n">
        <v>0</v>
      </c>
      <c r="DF445" s="3" t="n">
        <v>0</v>
      </c>
      <c r="DG445" s="3" t="n">
        <v>0</v>
      </c>
      <c r="DH445" s="3" t="n">
        <v>0</v>
      </c>
      <c r="DI445" s="3" t="n">
        <v>0</v>
      </c>
      <c r="DJ445" s="3" t="n">
        <v>0</v>
      </c>
      <c r="DK445" s="3" t="n">
        <v>0</v>
      </c>
      <c r="DL445" s="3" t="n">
        <v>0</v>
      </c>
      <c r="DM445" s="3" t="n">
        <v>0</v>
      </c>
      <c r="DN445" s="3" t="n">
        <v>0</v>
      </c>
      <c r="DO445" s="3" t="n">
        <v>0</v>
      </c>
    </row>
    <row r="446">
      <c r="A446" s="14" t="n"/>
      <c r="B446" s="3" t="inlineStr">
        <is>
          <t>mit</t>
        </is>
      </c>
      <c r="C446" s="19" t="n"/>
      <c r="H446" s="14" t="inlineStr">
        <is>
          <t>Energy consumption, rail, sector-generated renewables, policy</t>
        </is>
      </c>
      <c r="I446" s="14" t="inlineStr">
        <is>
          <t>ktoe</t>
        </is>
      </c>
    </row>
    <row r="447">
      <c r="A447" s="19" t="inlineStr">
        <is>
          <t>mit.ener.nav.coa</t>
        </is>
      </c>
      <c r="B447" s="3" t="inlineStr">
        <is>
          <t>mit</t>
        </is>
      </c>
      <c r="C447" s="19" t="n"/>
      <c r="H447" s="3" t="inlineStr">
        <is>
          <t>Fuel use | Domestic navigation | Coal</t>
        </is>
      </c>
      <c r="I447" s="3" t="inlineStr">
        <is>
          <t>ktoe</t>
        </is>
      </c>
      <c r="K447" s="20" t="inlineStr">
        <is>
          <t>egy.mit.ener.nav.coa.1</t>
        </is>
      </c>
      <c r="L447" s="3" t="n">
        <v>0</v>
      </c>
      <c r="M447" s="3" t="n">
        <v>0</v>
      </c>
      <c r="N447" s="3" t="n">
        <v>0</v>
      </c>
      <c r="O447" s="3" t="n">
        <v>0</v>
      </c>
      <c r="P447" s="3" t="n">
        <v>0</v>
      </c>
      <c r="Q447" s="3" t="n">
        <v>0</v>
      </c>
      <c r="R447" s="3" t="n">
        <v>0</v>
      </c>
      <c r="S447" s="3" t="n">
        <v>0</v>
      </c>
      <c r="T447" s="3" t="n">
        <v>0</v>
      </c>
      <c r="U447" s="3" t="n">
        <v>0</v>
      </c>
      <c r="V447" s="3" t="n">
        <v>0</v>
      </c>
      <c r="W447" s="3" t="n">
        <v>0</v>
      </c>
      <c r="X447" s="3" t="n">
        <v>0</v>
      </c>
      <c r="Y447" s="3" t="n">
        <v>0</v>
      </c>
      <c r="Z447" s="3" t="n">
        <v>0</v>
      </c>
      <c r="AA447" s="3" t="n">
        <v>0</v>
      </c>
      <c r="AB447" s="3" t="n">
        <v>0</v>
      </c>
      <c r="AC447" s="3" t="n">
        <v>0</v>
      </c>
      <c r="AD447" s="3" t="n">
        <v>0</v>
      </c>
      <c r="AE447" s="3" t="n">
        <v>0</v>
      </c>
      <c r="AG447" s="20" t="inlineStr">
        <is>
          <t>egy.mit.ener.nav.coa.3</t>
        </is>
      </c>
      <c r="AH447" s="3" t="n">
        <v>0</v>
      </c>
      <c r="AI447" s="3" t="n">
        <v>0</v>
      </c>
      <c r="AJ447" s="3" t="n">
        <v>0</v>
      </c>
      <c r="AK447" s="3" t="n">
        <v>0</v>
      </c>
      <c r="AL447" s="3" t="n">
        <v>0</v>
      </c>
      <c r="AM447" s="3" t="n">
        <v>0</v>
      </c>
      <c r="AN447" s="3" t="n">
        <v>0</v>
      </c>
      <c r="AO447" s="3" t="n">
        <v>0</v>
      </c>
      <c r="AP447" s="3" t="n">
        <v>0</v>
      </c>
      <c r="AQ447" s="3" t="n">
        <v>0</v>
      </c>
      <c r="AR447" s="3" t="n">
        <v>0</v>
      </c>
      <c r="AS447" s="3" t="n">
        <v>0</v>
      </c>
      <c r="AT447" s="3" t="n">
        <v>0</v>
      </c>
      <c r="AU447" s="3" t="n">
        <v>0</v>
      </c>
      <c r="AV447" s="3" t="n">
        <v>0</v>
      </c>
      <c r="AW447" s="3" t="n">
        <v>0</v>
      </c>
      <c r="AX447" s="3" t="n">
        <v>0</v>
      </c>
      <c r="AY447" s="3" t="n">
        <v>0</v>
      </c>
      <c r="AZ447" s="3" t="n">
        <v>0</v>
      </c>
      <c r="BA447" s="3" t="n">
        <v>0</v>
      </c>
      <c r="BC447" s="20" t="inlineStr">
        <is>
          <t>egy.mit.ener.nav.coa.4</t>
        </is>
      </c>
      <c r="BD447" s="3" t="n">
        <v>0</v>
      </c>
      <c r="BE447" s="3" t="n">
        <v>0</v>
      </c>
      <c r="BF447" s="3" t="n">
        <v>0</v>
      </c>
      <c r="BG447" s="3" t="n">
        <v>0</v>
      </c>
      <c r="BH447" s="3" t="n">
        <v>0</v>
      </c>
      <c r="BI447" s="3" t="n">
        <v>0</v>
      </c>
      <c r="BJ447" s="3" t="n">
        <v>0</v>
      </c>
      <c r="BK447" s="3" t="n">
        <v>0</v>
      </c>
      <c r="BL447" s="3" t="n">
        <v>0</v>
      </c>
      <c r="BM447" s="3" t="n">
        <v>0</v>
      </c>
      <c r="BN447" s="3" t="n">
        <v>0</v>
      </c>
      <c r="BO447" s="3" t="n">
        <v>0</v>
      </c>
      <c r="BP447" s="3" t="n">
        <v>0</v>
      </c>
      <c r="BQ447" s="3" t="n">
        <v>0</v>
      </c>
      <c r="BR447" s="3" t="n">
        <v>0</v>
      </c>
      <c r="BS447" s="3" t="n">
        <v>0</v>
      </c>
      <c r="BT447" s="3" t="n">
        <v>0</v>
      </c>
      <c r="BU447" s="3" t="n">
        <v>0</v>
      </c>
      <c r="BV447" s="3" t="n">
        <v>0</v>
      </c>
      <c r="BW447" s="3" t="n">
        <v>0</v>
      </c>
      <c r="BY447" s="20" t="inlineStr">
        <is>
          <t>egy.mit.ener.nav.coa.5</t>
        </is>
      </c>
      <c r="BZ447" s="3" t="n">
        <v>0</v>
      </c>
      <c r="CA447" s="3" t="n">
        <v>0</v>
      </c>
      <c r="CB447" s="3" t="n">
        <v>0</v>
      </c>
      <c r="CC447" s="3" t="n">
        <v>0</v>
      </c>
      <c r="CD447" s="3" t="n">
        <v>0</v>
      </c>
      <c r="CE447" s="3" t="n">
        <v>0</v>
      </c>
      <c r="CF447" s="3" t="n">
        <v>0</v>
      </c>
      <c r="CG447" s="3" t="n">
        <v>0</v>
      </c>
      <c r="CH447" s="3" t="n">
        <v>0</v>
      </c>
      <c r="CI447" s="3" t="n">
        <v>0</v>
      </c>
      <c r="CJ447" s="3" t="n">
        <v>0</v>
      </c>
      <c r="CK447" s="3" t="n">
        <v>0</v>
      </c>
      <c r="CL447" s="3" t="n">
        <v>0</v>
      </c>
      <c r="CM447" s="3" t="n">
        <v>0</v>
      </c>
      <c r="CN447" s="3" t="n">
        <v>0</v>
      </c>
      <c r="CO447" s="3" t="n">
        <v>0</v>
      </c>
      <c r="CP447" s="3" t="n">
        <v>0</v>
      </c>
      <c r="CQ447" s="3" t="n">
        <v>0</v>
      </c>
      <c r="CR447" s="3" t="n">
        <v>0</v>
      </c>
      <c r="CS447" s="3" t="n">
        <v>0</v>
      </c>
      <c r="CU447" s="20" t="inlineStr">
        <is>
          <t>egy.mit.ener.nav.coa.6</t>
        </is>
      </c>
      <c r="CV447" s="3" t="n">
        <v>0</v>
      </c>
      <c r="CW447" s="3" t="n">
        <v>0</v>
      </c>
      <c r="CX447" s="3" t="n">
        <v>0</v>
      </c>
      <c r="CY447" s="3" t="n">
        <v>0</v>
      </c>
      <c r="CZ447" s="3" t="n">
        <v>0</v>
      </c>
      <c r="DA447" s="3" t="n">
        <v>0</v>
      </c>
      <c r="DB447" s="3" t="n">
        <v>0</v>
      </c>
      <c r="DC447" s="3" t="n">
        <v>0</v>
      </c>
      <c r="DD447" s="3" t="n">
        <v>0</v>
      </c>
      <c r="DE447" s="3" t="n">
        <v>0</v>
      </c>
      <c r="DF447" s="3" t="n">
        <v>0</v>
      </c>
      <c r="DG447" s="3" t="n">
        <v>0</v>
      </c>
      <c r="DH447" s="3" t="n">
        <v>0</v>
      </c>
      <c r="DI447" s="3" t="n">
        <v>0</v>
      </c>
      <c r="DJ447" s="3" t="n">
        <v>0</v>
      </c>
      <c r="DK447" s="3" t="n">
        <v>0</v>
      </c>
      <c r="DL447" s="3" t="n">
        <v>0</v>
      </c>
      <c r="DM447" s="3" t="n">
        <v>0</v>
      </c>
      <c r="DN447" s="3" t="n">
        <v>0</v>
      </c>
      <c r="DO447" s="3" t="n">
        <v>0</v>
      </c>
    </row>
    <row r="448">
      <c r="A448" s="19" t="inlineStr">
        <is>
          <t>mit.ener.nav.nga</t>
        </is>
      </c>
      <c r="B448" s="3" t="inlineStr">
        <is>
          <t>mit</t>
        </is>
      </c>
      <c r="C448" s="19" t="n"/>
      <c r="H448" s="3" t="inlineStr">
        <is>
          <t>Fuel use | Domestic navigation | Natural gas</t>
        </is>
      </c>
      <c r="I448" s="3" t="inlineStr">
        <is>
          <t>ktoe</t>
        </is>
      </c>
      <c r="K448" s="20" t="inlineStr">
        <is>
          <t>egy.mit.ener.nav.nga.1</t>
        </is>
      </c>
      <c r="L448" s="3" t="n">
        <v>0</v>
      </c>
      <c r="M448" s="3" t="n">
        <v>0</v>
      </c>
      <c r="N448" s="3" t="n">
        <v>0</v>
      </c>
      <c r="O448" s="3" t="n">
        <v>0</v>
      </c>
      <c r="P448" s="3" t="n">
        <v>0</v>
      </c>
      <c r="Q448" s="3" t="n">
        <v>0</v>
      </c>
      <c r="R448" s="3" t="n">
        <v>0</v>
      </c>
      <c r="S448" s="3" t="n">
        <v>0</v>
      </c>
      <c r="T448" s="3" t="n">
        <v>0</v>
      </c>
      <c r="U448" s="3" t="n">
        <v>0</v>
      </c>
      <c r="V448" s="3" t="n">
        <v>0</v>
      </c>
      <c r="W448" s="3" t="n">
        <v>0</v>
      </c>
      <c r="X448" s="3" t="n">
        <v>0</v>
      </c>
      <c r="Y448" s="3" t="n">
        <v>0</v>
      </c>
      <c r="Z448" s="3" t="n">
        <v>0</v>
      </c>
      <c r="AA448" s="3" t="n">
        <v>0</v>
      </c>
      <c r="AB448" s="3" t="n">
        <v>0</v>
      </c>
      <c r="AC448" s="3" t="n">
        <v>0</v>
      </c>
      <c r="AD448" s="3" t="n">
        <v>0</v>
      </c>
      <c r="AE448" s="3" t="n">
        <v>0</v>
      </c>
      <c r="AG448" s="20" t="inlineStr">
        <is>
          <t>egy.mit.ener.nav.nga.3</t>
        </is>
      </c>
      <c r="AH448" s="3" t="n">
        <v>0</v>
      </c>
      <c r="AI448" s="3" t="n">
        <v>0</v>
      </c>
      <c r="AJ448" s="3" t="n">
        <v>0</v>
      </c>
      <c r="AK448" s="3" t="n">
        <v>0</v>
      </c>
      <c r="AL448" s="3" t="n">
        <v>0</v>
      </c>
      <c r="AM448" s="3" t="n">
        <v>0</v>
      </c>
      <c r="AN448" s="3" t="n">
        <v>0</v>
      </c>
      <c r="AO448" s="3" t="n">
        <v>0</v>
      </c>
      <c r="AP448" s="3" t="n">
        <v>0</v>
      </c>
      <c r="AQ448" s="3" t="n">
        <v>0</v>
      </c>
      <c r="AR448" s="3" t="n">
        <v>0</v>
      </c>
      <c r="AS448" s="3" t="n">
        <v>0</v>
      </c>
      <c r="AT448" s="3" t="n">
        <v>0</v>
      </c>
      <c r="AU448" s="3" t="n">
        <v>0</v>
      </c>
      <c r="AV448" s="3" t="n">
        <v>0</v>
      </c>
      <c r="AW448" s="3" t="n">
        <v>0</v>
      </c>
      <c r="AX448" s="3" t="n">
        <v>0</v>
      </c>
      <c r="AY448" s="3" t="n">
        <v>0</v>
      </c>
      <c r="AZ448" s="3" t="n">
        <v>0</v>
      </c>
      <c r="BA448" s="3" t="n">
        <v>0</v>
      </c>
      <c r="BC448" s="20" t="inlineStr">
        <is>
          <t>egy.mit.ener.nav.nga.4</t>
        </is>
      </c>
      <c r="BD448" s="3" t="n">
        <v>0</v>
      </c>
      <c r="BE448" s="3" t="n">
        <v>0</v>
      </c>
      <c r="BF448" s="3" t="n">
        <v>0</v>
      </c>
      <c r="BG448" s="3" t="n">
        <v>0</v>
      </c>
      <c r="BH448" s="3" t="n">
        <v>0</v>
      </c>
      <c r="BI448" s="3" t="n">
        <v>0</v>
      </c>
      <c r="BJ448" s="3" t="n">
        <v>0</v>
      </c>
      <c r="BK448" s="3" t="n">
        <v>0</v>
      </c>
      <c r="BL448" s="3" t="n">
        <v>0</v>
      </c>
      <c r="BM448" s="3" t="n">
        <v>0</v>
      </c>
      <c r="BN448" s="3" t="n">
        <v>0</v>
      </c>
      <c r="BO448" s="3" t="n">
        <v>0</v>
      </c>
      <c r="BP448" s="3" t="n">
        <v>0</v>
      </c>
      <c r="BQ448" s="3" t="n">
        <v>0</v>
      </c>
      <c r="BR448" s="3" t="n">
        <v>0</v>
      </c>
      <c r="BS448" s="3" t="n">
        <v>0</v>
      </c>
      <c r="BT448" s="3" t="n">
        <v>0</v>
      </c>
      <c r="BU448" s="3" t="n">
        <v>0</v>
      </c>
      <c r="BV448" s="3" t="n">
        <v>0</v>
      </c>
      <c r="BW448" s="3" t="n">
        <v>0</v>
      </c>
      <c r="BY448" s="20" t="inlineStr">
        <is>
          <t>egy.mit.ener.nav.nga.5</t>
        </is>
      </c>
      <c r="BZ448" s="3" t="n">
        <v>0</v>
      </c>
      <c r="CA448" s="3" t="n">
        <v>0</v>
      </c>
      <c r="CB448" s="3" t="n">
        <v>0</v>
      </c>
      <c r="CC448" s="3" t="n">
        <v>0</v>
      </c>
      <c r="CD448" s="3" t="n">
        <v>0</v>
      </c>
      <c r="CE448" s="3" t="n">
        <v>0</v>
      </c>
      <c r="CF448" s="3" t="n">
        <v>0</v>
      </c>
      <c r="CG448" s="3" t="n">
        <v>0</v>
      </c>
      <c r="CH448" s="3" t="n">
        <v>0</v>
      </c>
      <c r="CI448" s="3" t="n">
        <v>0</v>
      </c>
      <c r="CJ448" s="3" t="n">
        <v>0</v>
      </c>
      <c r="CK448" s="3" t="n">
        <v>0</v>
      </c>
      <c r="CL448" s="3" t="n">
        <v>0</v>
      </c>
      <c r="CM448" s="3" t="n">
        <v>0</v>
      </c>
      <c r="CN448" s="3" t="n">
        <v>0</v>
      </c>
      <c r="CO448" s="3" t="n">
        <v>0</v>
      </c>
      <c r="CP448" s="3" t="n">
        <v>0</v>
      </c>
      <c r="CQ448" s="3" t="n">
        <v>0</v>
      </c>
      <c r="CR448" s="3" t="n">
        <v>0</v>
      </c>
      <c r="CS448" s="3" t="n">
        <v>0</v>
      </c>
      <c r="CU448" s="20" t="inlineStr">
        <is>
          <t>egy.mit.ener.nav.nga.6</t>
        </is>
      </c>
      <c r="CV448" s="3" t="n">
        <v>0</v>
      </c>
      <c r="CW448" s="3" t="n">
        <v>0</v>
      </c>
      <c r="CX448" s="3" t="n">
        <v>0</v>
      </c>
      <c r="CY448" s="3" t="n">
        <v>0</v>
      </c>
      <c r="CZ448" s="3" t="n">
        <v>0</v>
      </c>
      <c r="DA448" s="3" t="n">
        <v>0</v>
      </c>
      <c r="DB448" s="3" t="n">
        <v>0</v>
      </c>
      <c r="DC448" s="3" t="n">
        <v>0</v>
      </c>
      <c r="DD448" s="3" t="n">
        <v>0</v>
      </c>
      <c r="DE448" s="3" t="n">
        <v>0</v>
      </c>
      <c r="DF448" s="3" t="n">
        <v>0</v>
      </c>
      <c r="DG448" s="3" t="n">
        <v>0</v>
      </c>
      <c r="DH448" s="3" t="n">
        <v>0</v>
      </c>
      <c r="DI448" s="3" t="n">
        <v>0</v>
      </c>
      <c r="DJ448" s="3" t="n">
        <v>0</v>
      </c>
      <c r="DK448" s="3" t="n">
        <v>0</v>
      </c>
      <c r="DL448" s="3" t="n">
        <v>0</v>
      </c>
      <c r="DM448" s="3" t="n">
        <v>0</v>
      </c>
      <c r="DN448" s="3" t="n">
        <v>0</v>
      </c>
      <c r="DO448" s="3" t="n">
        <v>0</v>
      </c>
    </row>
    <row r="449">
      <c r="A449" s="19" t="inlineStr">
        <is>
          <t>mit.ener.nav.gso</t>
        </is>
      </c>
      <c r="B449" s="3" t="inlineStr">
        <is>
          <t>mit</t>
        </is>
      </c>
      <c r="C449" s="19" t="n"/>
      <c r="H449" s="3" t="inlineStr">
        <is>
          <t>Fuel use | Domestic navigation | Gasoline</t>
        </is>
      </c>
      <c r="I449" s="3" t="inlineStr">
        <is>
          <t>ktoe</t>
        </is>
      </c>
      <c r="K449" s="20" t="inlineStr">
        <is>
          <t>egy.mit.ener.nav.gso.1</t>
        </is>
      </c>
      <c r="L449" s="3" t="n">
        <v>0</v>
      </c>
      <c r="M449" s="3" t="n">
        <v>0</v>
      </c>
      <c r="N449" s="3" t="n">
        <v>0</v>
      </c>
      <c r="O449" s="3" t="n">
        <v>0</v>
      </c>
      <c r="P449" s="3" t="n">
        <v>0</v>
      </c>
      <c r="Q449" s="3" t="n">
        <v>0</v>
      </c>
      <c r="R449" s="3" t="n">
        <v>0</v>
      </c>
      <c r="S449" s="3" t="n">
        <v>0</v>
      </c>
      <c r="T449" s="3" t="n">
        <v>0</v>
      </c>
      <c r="U449" s="3" t="n">
        <v>0</v>
      </c>
      <c r="V449" s="3" t="n">
        <v>0</v>
      </c>
      <c r="W449" s="3" t="n">
        <v>0</v>
      </c>
      <c r="X449" s="3" t="n">
        <v>0</v>
      </c>
      <c r="Y449" s="3" t="n">
        <v>0</v>
      </c>
      <c r="Z449" s="3" t="n">
        <v>0</v>
      </c>
      <c r="AA449" s="3" t="n">
        <v>0</v>
      </c>
      <c r="AB449" s="3" t="n">
        <v>0</v>
      </c>
      <c r="AC449" s="3" t="n">
        <v>0</v>
      </c>
      <c r="AD449" s="3" t="n">
        <v>0</v>
      </c>
      <c r="AE449" s="3" t="n">
        <v>0</v>
      </c>
      <c r="AG449" s="20" t="inlineStr">
        <is>
          <t>egy.mit.ener.nav.gso.3</t>
        </is>
      </c>
      <c r="AH449" s="3" t="n">
        <v>0</v>
      </c>
      <c r="AI449" s="3" t="n">
        <v>0</v>
      </c>
      <c r="AJ449" s="3" t="n">
        <v>0</v>
      </c>
      <c r="AK449" s="3" t="n">
        <v>0</v>
      </c>
      <c r="AL449" s="3" t="n">
        <v>0</v>
      </c>
      <c r="AM449" s="3" t="n">
        <v>0</v>
      </c>
      <c r="AN449" s="3" t="n">
        <v>0</v>
      </c>
      <c r="AO449" s="3" t="n">
        <v>0</v>
      </c>
      <c r="AP449" s="3" t="n">
        <v>0</v>
      </c>
      <c r="AQ449" s="3" t="n">
        <v>0</v>
      </c>
      <c r="AR449" s="3" t="n">
        <v>0</v>
      </c>
      <c r="AS449" s="3" t="n">
        <v>0</v>
      </c>
      <c r="AT449" s="3" t="n">
        <v>0</v>
      </c>
      <c r="AU449" s="3" t="n">
        <v>0</v>
      </c>
      <c r="AV449" s="3" t="n">
        <v>0</v>
      </c>
      <c r="AW449" s="3" t="n">
        <v>0</v>
      </c>
      <c r="AX449" s="3" t="n">
        <v>0</v>
      </c>
      <c r="AY449" s="3" t="n">
        <v>0</v>
      </c>
      <c r="AZ449" s="3" t="n">
        <v>0</v>
      </c>
      <c r="BA449" s="3" t="n">
        <v>0</v>
      </c>
      <c r="BC449" s="20" t="inlineStr">
        <is>
          <t>egy.mit.ener.nav.gso.4</t>
        </is>
      </c>
      <c r="BD449" s="3" t="n">
        <v>0</v>
      </c>
      <c r="BE449" s="3" t="n">
        <v>0</v>
      </c>
      <c r="BF449" s="3" t="n">
        <v>0</v>
      </c>
      <c r="BG449" s="3" t="n">
        <v>0</v>
      </c>
      <c r="BH449" s="3" t="n">
        <v>0</v>
      </c>
      <c r="BI449" s="3" t="n">
        <v>0</v>
      </c>
      <c r="BJ449" s="3" t="n">
        <v>0</v>
      </c>
      <c r="BK449" s="3" t="n">
        <v>0</v>
      </c>
      <c r="BL449" s="3" t="n">
        <v>0</v>
      </c>
      <c r="BM449" s="3" t="n">
        <v>0</v>
      </c>
      <c r="BN449" s="3" t="n">
        <v>0</v>
      </c>
      <c r="BO449" s="3" t="n">
        <v>0</v>
      </c>
      <c r="BP449" s="3" t="n">
        <v>0</v>
      </c>
      <c r="BQ449" s="3" t="n">
        <v>0</v>
      </c>
      <c r="BR449" s="3" t="n">
        <v>0</v>
      </c>
      <c r="BS449" s="3" t="n">
        <v>0</v>
      </c>
      <c r="BT449" s="3" t="n">
        <v>0</v>
      </c>
      <c r="BU449" s="3" t="n">
        <v>0</v>
      </c>
      <c r="BV449" s="3" t="n">
        <v>0</v>
      </c>
      <c r="BW449" s="3" t="n">
        <v>0</v>
      </c>
      <c r="BY449" s="20" t="inlineStr">
        <is>
          <t>egy.mit.ener.nav.gso.5</t>
        </is>
      </c>
      <c r="BZ449" s="3" t="n">
        <v>0</v>
      </c>
      <c r="CA449" s="3" t="n">
        <v>0</v>
      </c>
      <c r="CB449" s="3" t="n">
        <v>0</v>
      </c>
      <c r="CC449" s="3" t="n">
        <v>0</v>
      </c>
      <c r="CD449" s="3" t="n">
        <v>0</v>
      </c>
      <c r="CE449" s="3" t="n">
        <v>0</v>
      </c>
      <c r="CF449" s="3" t="n">
        <v>0</v>
      </c>
      <c r="CG449" s="3" t="n">
        <v>0</v>
      </c>
      <c r="CH449" s="3" t="n">
        <v>0</v>
      </c>
      <c r="CI449" s="3" t="n">
        <v>0</v>
      </c>
      <c r="CJ449" s="3" t="n">
        <v>0</v>
      </c>
      <c r="CK449" s="3" t="n">
        <v>0</v>
      </c>
      <c r="CL449" s="3" t="n">
        <v>0</v>
      </c>
      <c r="CM449" s="3" t="n">
        <v>0</v>
      </c>
      <c r="CN449" s="3" t="n">
        <v>0</v>
      </c>
      <c r="CO449" s="3" t="n">
        <v>0</v>
      </c>
      <c r="CP449" s="3" t="n">
        <v>0</v>
      </c>
      <c r="CQ449" s="3" t="n">
        <v>0</v>
      </c>
      <c r="CR449" s="3" t="n">
        <v>0</v>
      </c>
      <c r="CS449" s="3" t="n">
        <v>0</v>
      </c>
      <c r="CU449" s="20" t="inlineStr">
        <is>
          <t>egy.mit.ener.nav.gso.6</t>
        </is>
      </c>
      <c r="CV449" s="3" t="n">
        <v>0</v>
      </c>
      <c r="CW449" s="3" t="n">
        <v>0</v>
      </c>
      <c r="CX449" s="3" t="n">
        <v>0</v>
      </c>
      <c r="CY449" s="3" t="n">
        <v>0</v>
      </c>
      <c r="CZ449" s="3" t="n">
        <v>0</v>
      </c>
      <c r="DA449" s="3" t="n">
        <v>0</v>
      </c>
      <c r="DB449" s="3" t="n">
        <v>0</v>
      </c>
      <c r="DC449" s="3" t="n">
        <v>0</v>
      </c>
      <c r="DD449" s="3" t="n">
        <v>0</v>
      </c>
      <c r="DE449" s="3" t="n">
        <v>0</v>
      </c>
      <c r="DF449" s="3" t="n">
        <v>0</v>
      </c>
      <c r="DG449" s="3" t="n">
        <v>0</v>
      </c>
      <c r="DH449" s="3" t="n">
        <v>0</v>
      </c>
      <c r="DI449" s="3" t="n">
        <v>0</v>
      </c>
      <c r="DJ449" s="3" t="n">
        <v>0</v>
      </c>
      <c r="DK449" s="3" t="n">
        <v>0</v>
      </c>
      <c r="DL449" s="3" t="n">
        <v>0</v>
      </c>
      <c r="DM449" s="3" t="n">
        <v>0</v>
      </c>
      <c r="DN449" s="3" t="n">
        <v>0</v>
      </c>
      <c r="DO449" s="3" t="n">
        <v>0</v>
      </c>
    </row>
    <row r="450">
      <c r="A450" s="19" t="inlineStr">
        <is>
          <t>mit.ener.nav.die</t>
        </is>
      </c>
      <c r="B450" s="3" t="inlineStr">
        <is>
          <t>mit</t>
        </is>
      </c>
      <c r="C450" s="19" t="n"/>
      <c r="H450" s="3" t="inlineStr">
        <is>
          <t>Fuel use | Domestic navigation | Diesel</t>
        </is>
      </c>
      <c r="I450" s="3" t="inlineStr">
        <is>
          <t>ktoe</t>
        </is>
      </c>
      <c r="K450" s="20" t="inlineStr">
        <is>
          <t>egy.mit.ener.nav.die.1</t>
        </is>
      </c>
      <c r="L450" s="3" t="n">
        <v>0</v>
      </c>
      <c r="M450" s="3" t="n">
        <v>0</v>
      </c>
      <c r="N450" s="3" t="n">
        <v>0</v>
      </c>
      <c r="O450" s="3" t="n">
        <v>0</v>
      </c>
      <c r="P450" s="3" t="n">
        <v>0</v>
      </c>
      <c r="Q450" s="3" t="n">
        <v>0</v>
      </c>
      <c r="R450" s="3" t="n">
        <v>0</v>
      </c>
      <c r="S450" s="3" t="n">
        <v>0</v>
      </c>
      <c r="T450" s="3" t="n">
        <v>0</v>
      </c>
      <c r="U450" s="3" t="n">
        <v>0</v>
      </c>
      <c r="V450" s="3" t="n">
        <v>0</v>
      </c>
      <c r="W450" s="3" t="n">
        <v>0</v>
      </c>
      <c r="X450" s="3" t="n">
        <v>0</v>
      </c>
      <c r="Y450" s="3" t="n">
        <v>0</v>
      </c>
      <c r="Z450" s="3" t="n">
        <v>0</v>
      </c>
      <c r="AA450" s="3" t="n">
        <v>0</v>
      </c>
      <c r="AB450" s="3" t="n">
        <v>0</v>
      </c>
      <c r="AC450" s="3" t="n">
        <v>0</v>
      </c>
      <c r="AD450" s="3" t="n">
        <v>0</v>
      </c>
      <c r="AE450" s="3" t="n">
        <v>0</v>
      </c>
      <c r="AG450" s="20" t="inlineStr">
        <is>
          <t>egy.mit.ener.nav.die.3</t>
        </is>
      </c>
      <c r="AH450" s="3" t="n">
        <v>0</v>
      </c>
      <c r="AI450" s="3" t="n">
        <v>0</v>
      </c>
      <c r="AJ450" s="3" t="n">
        <v>0</v>
      </c>
      <c r="AK450" s="3" t="n">
        <v>0</v>
      </c>
      <c r="AL450" s="3" t="n">
        <v>0</v>
      </c>
      <c r="AM450" s="3" t="n">
        <v>0</v>
      </c>
      <c r="AN450" s="3" t="n">
        <v>0</v>
      </c>
      <c r="AO450" s="3" t="n">
        <v>0</v>
      </c>
      <c r="AP450" s="3" t="n">
        <v>0</v>
      </c>
      <c r="AQ450" s="3" t="n">
        <v>0</v>
      </c>
      <c r="AR450" s="3" t="n">
        <v>0</v>
      </c>
      <c r="AS450" s="3" t="n">
        <v>0</v>
      </c>
      <c r="AT450" s="3" t="n">
        <v>0</v>
      </c>
      <c r="AU450" s="3" t="n">
        <v>0</v>
      </c>
      <c r="AV450" s="3" t="n">
        <v>0</v>
      </c>
      <c r="AW450" s="3" t="n">
        <v>0</v>
      </c>
      <c r="AX450" s="3" t="n">
        <v>0</v>
      </c>
      <c r="AY450" s="3" t="n">
        <v>0</v>
      </c>
      <c r="AZ450" s="3" t="n">
        <v>0</v>
      </c>
      <c r="BA450" s="3" t="n">
        <v>0</v>
      </c>
      <c r="BC450" s="20" t="inlineStr">
        <is>
          <t>egy.mit.ener.nav.die.4</t>
        </is>
      </c>
      <c r="BD450" s="3" t="n">
        <v>0</v>
      </c>
      <c r="BE450" s="3" t="n">
        <v>0</v>
      </c>
      <c r="BF450" s="3" t="n">
        <v>0</v>
      </c>
      <c r="BG450" s="3" t="n">
        <v>0</v>
      </c>
      <c r="BH450" s="3" t="n">
        <v>0</v>
      </c>
      <c r="BI450" s="3" t="n">
        <v>0</v>
      </c>
      <c r="BJ450" s="3" t="n">
        <v>0</v>
      </c>
      <c r="BK450" s="3" t="n">
        <v>0</v>
      </c>
      <c r="BL450" s="3" t="n">
        <v>0</v>
      </c>
      <c r="BM450" s="3" t="n">
        <v>0</v>
      </c>
      <c r="BN450" s="3" t="n">
        <v>0</v>
      </c>
      <c r="BO450" s="3" t="n">
        <v>0</v>
      </c>
      <c r="BP450" s="3" t="n">
        <v>0</v>
      </c>
      <c r="BQ450" s="3" t="n">
        <v>0</v>
      </c>
      <c r="BR450" s="3" t="n">
        <v>0</v>
      </c>
      <c r="BS450" s="3" t="n">
        <v>0</v>
      </c>
      <c r="BT450" s="3" t="n">
        <v>0</v>
      </c>
      <c r="BU450" s="3" t="n">
        <v>0</v>
      </c>
      <c r="BV450" s="3" t="n">
        <v>0</v>
      </c>
      <c r="BW450" s="3" t="n">
        <v>0</v>
      </c>
      <c r="BY450" s="20" t="inlineStr">
        <is>
          <t>egy.mit.ener.nav.die.5</t>
        </is>
      </c>
      <c r="BZ450" s="3" t="n">
        <v>0</v>
      </c>
      <c r="CA450" s="3" t="n">
        <v>0</v>
      </c>
      <c r="CB450" s="3" t="n">
        <v>0</v>
      </c>
      <c r="CC450" s="3" t="n">
        <v>0</v>
      </c>
      <c r="CD450" s="3" t="n">
        <v>0</v>
      </c>
      <c r="CE450" s="3" t="n">
        <v>0</v>
      </c>
      <c r="CF450" s="3" t="n">
        <v>0</v>
      </c>
      <c r="CG450" s="3" t="n">
        <v>0</v>
      </c>
      <c r="CH450" s="3" t="n">
        <v>0</v>
      </c>
      <c r="CI450" s="3" t="n">
        <v>0</v>
      </c>
      <c r="CJ450" s="3" t="n">
        <v>0</v>
      </c>
      <c r="CK450" s="3" t="n">
        <v>0</v>
      </c>
      <c r="CL450" s="3" t="n">
        <v>0</v>
      </c>
      <c r="CM450" s="3" t="n">
        <v>0</v>
      </c>
      <c r="CN450" s="3" t="n">
        <v>0</v>
      </c>
      <c r="CO450" s="3" t="n">
        <v>0</v>
      </c>
      <c r="CP450" s="3" t="n">
        <v>0</v>
      </c>
      <c r="CQ450" s="3" t="n">
        <v>0</v>
      </c>
      <c r="CR450" s="3" t="n">
        <v>0</v>
      </c>
      <c r="CS450" s="3" t="n">
        <v>0</v>
      </c>
      <c r="CU450" s="20" t="inlineStr">
        <is>
          <t>egy.mit.ener.nav.die.6</t>
        </is>
      </c>
      <c r="CV450" s="3" t="n">
        <v>0</v>
      </c>
      <c r="CW450" s="3" t="n">
        <v>0</v>
      </c>
      <c r="CX450" s="3" t="n">
        <v>0</v>
      </c>
      <c r="CY450" s="3" t="n">
        <v>0</v>
      </c>
      <c r="CZ450" s="3" t="n">
        <v>0</v>
      </c>
      <c r="DA450" s="3" t="n">
        <v>0</v>
      </c>
      <c r="DB450" s="3" t="n">
        <v>0</v>
      </c>
      <c r="DC450" s="3" t="n">
        <v>0</v>
      </c>
      <c r="DD450" s="3" t="n">
        <v>0</v>
      </c>
      <c r="DE450" s="3" t="n">
        <v>0</v>
      </c>
      <c r="DF450" s="3" t="n">
        <v>0</v>
      </c>
      <c r="DG450" s="3" t="n">
        <v>0</v>
      </c>
      <c r="DH450" s="3" t="n">
        <v>0</v>
      </c>
      <c r="DI450" s="3" t="n">
        <v>0</v>
      </c>
      <c r="DJ450" s="3" t="n">
        <v>0</v>
      </c>
      <c r="DK450" s="3" t="n">
        <v>0</v>
      </c>
      <c r="DL450" s="3" t="n">
        <v>0</v>
      </c>
      <c r="DM450" s="3" t="n">
        <v>0</v>
      </c>
      <c r="DN450" s="3" t="n">
        <v>0</v>
      </c>
      <c r="DO450" s="3" t="n">
        <v>0</v>
      </c>
    </row>
    <row r="451">
      <c r="A451" s="19" t="inlineStr">
        <is>
          <t>mit.ener.nav.lpg</t>
        </is>
      </c>
      <c r="B451" s="3" t="inlineStr">
        <is>
          <t>mit</t>
        </is>
      </c>
      <c r="C451" s="19" t="n"/>
      <c r="H451" s="3" t="inlineStr">
        <is>
          <t>Fuel use | Domestic navigation | LPG</t>
        </is>
      </c>
      <c r="I451" s="3" t="inlineStr">
        <is>
          <t>ktoe</t>
        </is>
      </c>
      <c r="K451" s="20" t="inlineStr">
        <is>
          <t>egy.mit.ener.nav.lpg.1</t>
        </is>
      </c>
      <c r="L451" s="3" t="n">
        <v>0</v>
      </c>
      <c r="M451" s="3" t="n">
        <v>0</v>
      </c>
      <c r="N451" s="3" t="n">
        <v>0</v>
      </c>
      <c r="O451" s="3" t="n">
        <v>0</v>
      </c>
      <c r="P451" s="3" t="n">
        <v>0</v>
      </c>
      <c r="Q451" s="3" t="n">
        <v>0</v>
      </c>
      <c r="R451" s="3" t="n">
        <v>0</v>
      </c>
      <c r="S451" s="3" t="n">
        <v>0</v>
      </c>
      <c r="T451" s="3" t="n">
        <v>0</v>
      </c>
      <c r="U451" s="3" t="n">
        <v>0</v>
      </c>
      <c r="V451" s="3" t="n">
        <v>0</v>
      </c>
      <c r="W451" s="3" t="n">
        <v>0</v>
      </c>
      <c r="X451" s="3" t="n">
        <v>0</v>
      </c>
      <c r="Y451" s="3" t="n">
        <v>0</v>
      </c>
      <c r="Z451" s="3" t="n">
        <v>0</v>
      </c>
      <c r="AA451" s="3" t="n">
        <v>0</v>
      </c>
      <c r="AB451" s="3" t="n">
        <v>0</v>
      </c>
      <c r="AC451" s="3" t="n">
        <v>0</v>
      </c>
      <c r="AD451" s="3" t="n">
        <v>0</v>
      </c>
      <c r="AE451" s="3" t="n">
        <v>0</v>
      </c>
      <c r="AG451" s="20" t="inlineStr">
        <is>
          <t>egy.mit.ener.nav.lpg.3</t>
        </is>
      </c>
      <c r="AH451" s="3" t="n">
        <v>0</v>
      </c>
      <c r="AI451" s="3" t="n">
        <v>0</v>
      </c>
      <c r="AJ451" s="3" t="n">
        <v>0</v>
      </c>
      <c r="AK451" s="3" t="n">
        <v>0</v>
      </c>
      <c r="AL451" s="3" t="n">
        <v>0</v>
      </c>
      <c r="AM451" s="3" t="n">
        <v>0</v>
      </c>
      <c r="AN451" s="3" t="n">
        <v>0</v>
      </c>
      <c r="AO451" s="3" t="n">
        <v>0</v>
      </c>
      <c r="AP451" s="3" t="n">
        <v>0</v>
      </c>
      <c r="AQ451" s="3" t="n">
        <v>0</v>
      </c>
      <c r="AR451" s="3" t="n">
        <v>0</v>
      </c>
      <c r="AS451" s="3" t="n">
        <v>0</v>
      </c>
      <c r="AT451" s="3" t="n">
        <v>0</v>
      </c>
      <c r="AU451" s="3" t="n">
        <v>0</v>
      </c>
      <c r="AV451" s="3" t="n">
        <v>0</v>
      </c>
      <c r="AW451" s="3" t="n">
        <v>0</v>
      </c>
      <c r="AX451" s="3" t="n">
        <v>0</v>
      </c>
      <c r="AY451" s="3" t="n">
        <v>0</v>
      </c>
      <c r="AZ451" s="3" t="n">
        <v>0</v>
      </c>
      <c r="BA451" s="3" t="n">
        <v>0</v>
      </c>
      <c r="BC451" s="20" t="inlineStr">
        <is>
          <t>egy.mit.ener.nav.lpg.4</t>
        </is>
      </c>
      <c r="BD451" s="3" t="n">
        <v>0</v>
      </c>
      <c r="BE451" s="3" t="n">
        <v>0</v>
      </c>
      <c r="BF451" s="3" t="n">
        <v>0</v>
      </c>
      <c r="BG451" s="3" t="n">
        <v>0</v>
      </c>
      <c r="BH451" s="3" t="n">
        <v>0</v>
      </c>
      <c r="BI451" s="3" t="n">
        <v>0</v>
      </c>
      <c r="BJ451" s="3" t="n">
        <v>0</v>
      </c>
      <c r="BK451" s="3" t="n">
        <v>0</v>
      </c>
      <c r="BL451" s="3" t="n">
        <v>0</v>
      </c>
      <c r="BM451" s="3" t="n">
        <v>0</v>
      </c>
      <c r="BN451" s="3" t="n">
        <v>0</v>
      </c>
      <c r="BO451" s="3" t="n">
        <v>0</v>
      </c>
      <c r="BP451" s="3" t="n">
        <v>0</v>
      </c>
      <c r="BQ451" s="3" t="n">
        <v>0</v>
      </c>
      <c r="BR451" s="3" t="n">
        <v>0</v>
      </c>
      <c r="BS451" s="3" t="n">
        <v>0</v>
      </c>
      <c r="BT451" s="3" t="n">
        <v>0</v>
      </c>
      <c r="BU451" s="3" t="n">
        <v>0</v>
      </c>
      <c r="BV451" s="3" t="n">
        <v>0</v>
      </c>
      <c r="BW451" s="3" t="n">
        <v>0</v>
      </c>
      <c r="BY451" s="20" t="inlineStr">
        <is>
          <t>egy.mit.ener.nav.lpg.5</t>
        </is>
      </c>
      <c r="BZ451" s="3" t="n">
        <v>0</v>
      </c>
      <c r="CA451" s="3" t="n">
        <v>0</v>
      </c>
      <c r="CB451" s="3" t="n">
        <v>0</v>
      </c>
      <c r="CC451" s="3" t="n">
        <v>0</v>
      </c>
      <c r="CD451" s="3" t="n">
        <v>0</v>
      </c>
      <c r="CE451" s="3" t="n">
        <v>0</v>
      </c>
      <c r="CF451" s="3" t="n">
        <v>0</v>
      </c>
      <c r="CG451" s="3" t="n">
        <v>0</v>
      </c>
      <c r="CH451" s="3" t="n">
        <v>0</v>
      </c>
      <c r="CI451" s="3" t="n">
        <v>0</v>
      </c>
      <c r="CJ451" s="3" t="n">
        <v>0</v>
      </c>
      <c r="CK451" s="3" t="n">
        <v>0</v>
      </c>
      <c r="CL451" s="3" t="n">
        <v>0</v>
      </c>
      <c r="CM451" s="3" t="n">
        <v>0</v>
      </c>
      <c r="CN451" s="3" t="n">
        <v>0</v>
      </c>
      <c r="CO451" s="3" t="n">
        <v>0</v>
      </c>
      <c r="CP451" s="3" t="n">
        <v>0</v>
      </c>
      <c r="CQ451" s="3" t="n">
        <v>0</v>
      </c>
      <c r="CR451" s="3" t="n">
        <v>0</v>
      </c>
      <c r="CS451" s="3" t="n">
        <v>0</v>
      </c>
      <c r="CU451" s="20" t="inlineStr">
        <is>
          <t>egy.mit.ener.nav.lpg.6</t>
        </is>
      </c>
      <c r="CV451" s="3" t="n">
        <v>0</v>
      </c>
      <c r="CW451" s="3" t="n">
        <v>0</v>
      </c>
      <c r="CX451" s="3" t="n">
        <v>0</v>
      </c>
      <c r="CY451" s="3" t="n">
        <v>0</v>
      </c>
      <c r="CZ451" s="3" t="n">
        <v>0</v>
      </c>
      <c r="DA451" s="3" t="n">
        <v>0</v>
      </c>
      <c r="DB451" s="3" t="n">
        <v>0</v>
      </c>
      <c r="DC451" s="3" t="n">
        <v>0</v>
      </c>
      <c r="DD451" s="3" t="n">
        <v>0</v>
      </c>
      <c r="DE451" s="3" t="n">
        <v>0</v>
      </c>
      <c r="DF451" s="3" t="n">
        <v>0</v>
      </c>
      <c r="DG451" s="3" t="n">
        <v>0</v>
      </c>
      <c r="DH451" s="3" t="n">
        <v>0</v>
      </c>
      <c r="DI451" s="3" t="n">
        <v>0</v>
      </c>
      <c r="DJ451" s="3" t="n">
        <v>0</v>
      </c>
      <c r="DK451" s="3" t="n">
        <v>0</v>
      </c>
      <c r="DL451" s="3" t="n">
        <v>0</v>
      </c>
      <c r="DM451" s="3" t="n">
        <v>0</v>
      </c>
      <c r="DN451" s="3" t="n">
        <v>0</v>
      </c>
      <c r="DO451" s="3" t="n">
        <v>0</v>
      </c>
    </row>
    <row r="452">
      <c r="A452" s="19" t="inlineStr">
        <is>
          <t>mit.ener.nav.ker</t>
        </is>
      </c>
      <c r="B452" s="3" t="inlineStr">
        <is>
          <t>mit</t>
        </is>
      </c>
      <c r="C452" s="19" t="n"/>
      <c r="H452" s="3" t="inlineStr">
        <is>
          <t>Fuel use | Domestic navigation | Kerosene</t>
        </is>
      </c>
      <c r="I452" s="3" t="inlineStr">
        <is>
          <t>ktoe</t>
        </is>
      </c>
      <c r="K452" s="20" t="inlineStr">
        <is>
          <t>egy.mit.ener.nav.ker.1</t>
        </is>
      </c>
      <c r="L452" s="3" t="n">
        <v>0</v>
      </c>
      <c r="M452" s="3" t="n">
        <v>0</v>
      </c>
      <c r="N452" s="3" t="n">
        <v>0</v>
      </c>
      <c r="O452" s="3" t="n">
        <v>0</v>
      </c>
      <c r="P452" s="3" t="n">
        <v>0</v>
      </c>
      <c r="Q452" s="3" t="n">
        <v>0</v>
      </c>
      <c r="R452" s="3" t="n">
        <v>0</v>
      </c>
      <c r="S452" s="3" t="n">
        <v>0</v>
      </c>
      <c r="T452" s="3" t="n">
        <v>0</v>
      </c>
      <c r="U452" s="3" t="n">
        <v>0</v>
      </c>
      <c r="V452" s="3" t="n">
        <v>0</v>
      </c>
      <c r="W452" s="3" t="n">
        <v>0</v>
      </c>
      <c r="X452" s="3" t="n">
        <v>0</v>
      </c>
      <c r="Y452" s="3" t="n">
        <v>0</v>
      </c>
      <c r="Z452" s="3" t="n">
        <v>0</v>
      </c>
      <c r="AA452" s="3" t="n">
        <v>0</v>
      </c>
      <c r="AB452" s="3" t="n">
        <v>0</v>
      </c>
      <c r="AC452" s="3" t="n">
        <v>0</v>
      </c>
      <c r="AD452" s="3" t="n">
        <v>0</v>
      </c>
      <c r="AE452" s="3" t="n">
        <v>0</v>
      </c>
      <c r="AG452" s="20" t="inlineStr">
        <is>
          <t>egy.mit.ener.nav.ker.3</t>
        </is>
      </c>
      <c r="AH452" s="3" t="n">
        <v>0</v>
      </c>
      <c r="AI452" s="3" t="n">
        <v>0</v>
      </c>
      <c r="AJ452" s="3" t="n">
        <v>0</v>
      </c>
      <c r="AK452" s="3" t="n">
        <v>0</v>
      </c>
      <c r="AL452" s="3" t="n">
        <v>0</v>
      </c>
      <c r="AM452" s="3" t="n">
        <v>0</v>
      </c>
      <c r="AN452" s="3" t="n">
        <v>0</v>
      </c>
      <c r="AO452" s="3" t="n">
        <v>0</v>
      </c>
      <c r="AP452" s="3" t="n">
        <v>0</v>
      </c>
      <c r="AQ452" s="3" t="n">
        <v>0</v>
      </c>
      <c r="AR452" s="3" t="n">
        <v>0</v>
      </c>
      <c r="AS452" s="3" t="n">
        <v>0</v>
      </c>
      <c r="AT452" s="3" t="n">
        <v>0</v>
      </c>
      <c r="AU452" s="3" t="n">
        <v>0</v>
      </c>
      <c r="AV452" s="3" t="n">
        <v>0</v>
      </c>
      <c r="AW452" s="3" t="n">
        <v>0</v>
      </c>
      <c r="AX452" s="3" t="n">
        <v>0</v>
      </c>
      <c r="AY452" s="3" t="n">
        <v>0</v>
      </c>
      <c r="AZ452" s="3" t="n">
        <v>0</v>
      </c>
      <c r="BA452" s="3" t="n">
        <v>0</v>
      </c>
      <c r="BC452" s="20" t="inlineStr">
        <is>
          <t>egy.mit.ener.nav.ker.4</t>
        </is>
      </c>
      <c r="BD452" s="3" t="n">
        <v>0</v>
      </c>
      <c r="BE452" s="3" t="n">
        <v>0</v>
      </c>
      <c r="BF452" s="3" t="n">
        <v>0</v>
      </c>
      <c r="BG452" s="3" t="n">
        <v>0</v>
      </c>
      <c r="BH452" s="3" t="n">
        <v>0</v>
      </c>
      <c r="BI452" s="3" t="n">
        <v>0</v>
      </c>
      <c r="BJ452" s="3" t="n">
        <v>0</v>
      </c>
      <c r="BK452" s="3" t="n">
        <v>0</v>
      </c>
      <c r="BL452" s="3" t="n">
        <v>0</v>
      </c>
      <c r="BM452" s="3" t="n">
        <v>0</v>
      </c>
      <c r="BN452" s="3" t="n">
        <v>0</v>
      </c>
      <c r="BO452" s="3" t="n">
        <v>0</v>
      </c>
      <c r="BP452" s="3" t="n">
        <v>0</v>
      </c>
      <c r="BQ452" s="3" t="n">
        <v>0</v>
      </c>
      <c r="BR452" s="3" t="n">
        <v>0</v>
      </c>
      <c r="BS452" s="3" t="n">
        <v>0</v>
      </c>
      <c r="BT452" s="3" t="n">
        <v>0</v>
      </c>
      <c r="BU452" s="3" t="n">
        <v>0</v>
      </c>
      <c r="BV452" s="3" t="n">
        <v>0</v>
      </c>
      <c r="BW452" s="3" t="n">
        <v>0</v>
      </c>
      <c r="BY452" s="20" t="inlineStr">
        <is>
          <t>egy.mit.ener.nav.ker.5</t>
        </is>
      </c>
      <c r="BZ452" s="3" t="n">
        <v>0</v>
      </c>
      <c r="CA452" s="3" t="n">
        <v>0</v>
      </c>
      <c r="CB452" s="3" t="n">
        <v>0</v>
      </c>
      <c r="CC452" s="3" t="n">
        <v>0</v>
      </c>
      <c r="CD452" s="3" t="n">
        <v>0</v>
      </c>
      <c r="CE452" s="3" t="n">
        <v>0</v>
      </c>
      <c r="CF452" s="3" t="n">
        <v>0</v>
      </c>
      <c r="CG452" s="3" t="n">
        <v>0</v>
      </c>
      <c r="CH452" s="3" t="n">
        <v>0</v>
      </c>
      <c r="CI452" s="3" t="n">
        <v>0</v>
      </c>
      <c r="CJ452" s="3" t="n">
        <v>0</v>
      </c>
      <c r="CK452" s="3" t="n">
        <v>0</v>
      </c>
      <c r="CL452" s="3" t="n">
        <v>0</v>
      </c>
      <c r="CM452" s="3" t="n">
        <v>0</v>
      </c>
      <c r="CN452" s="3" t="n">
        <v>0</v>
      </c>
      <c r="CO452" s="3" t="n">
        <v>0</v>
      </c>
      <c r="CP452" s="3" t="n">
        <v>0</v>
      </c>
      <c r="CQ452" s="3" t="n">
        <v>0</v>
      </c>
      <c r="CR452" s="3" t="n">
        <v>0</v>
      </c>
      <c r="CS452" s="3" t="n">
        <v>0</v>
      </c>
      <c r="CU452" s="20" t="inlineStr">
        <is>
          <t>egy.mit.ener.nav.ker.6</t>
        </is>
      </c>
      <c r="CV452" s="3" t="n">
        <v>0</v>
      </c>
      <c r="CW452" s="3" t="n">
        <v>0</v>
      </c>
      <c r="CX452" s="3" t="n">
        <v>0</v>
      </c>
      <c r="CY452" s="3" t="n">
        <v>0</v>
      </c>
      <c r="CZ452" s="3" t="n">
        <v>0</v>
      </c>
      <c r="DA452" s="3" t="n">
        <v>0</v>
      </c>
      <c r="DB452" s="3" t="n">
        <v>0</v>
      </c>
      <c r="DC452" s="3" t="n">
        <v>0</v>
      </c>
      <c r="DD452" s="3" t="n">
        <v>0</v>
      </c>
      <c r="DE452" s="3" t="n">
        <v>0</v>
      </c>
      <c r="DF452" s="3" t="n">
        <v>0</v>
      </c>
      <c r="DG452" s="3" t="n">
        <v>0</v>
      </c>
      <c r="DH452" s="3" t="n">
        <v>0</v>
      </c>
      <c r="DI452" s="3" t="n">
        <v>0</v>
      </c>
      <c r="DJ452" s="3" t="n">
        <v>0</v>
      </c>
      <c r="DK452" s="3" t="n">
        <v>0</v>
      </c>
      <c r="DL452" s="3" t="n">
        <v>0</v>
      </c>
      <c r="DM452" s="3" t="n">
        <v>0</v>
      </c>
      <c r="DN452" s="3" t="n">
        <v>0</v>
      </c>
      <c r="DO452" s="3" t="n">
        <v>0</v>
      </c>
    </row>
    <row r="453">
      <c r="A453" s="19" t="inlineStr">
        <is>
          <t>mit.ener.nav.oop</t>
        </is>
      </c>
      <c r="B453" s="3" t="inlineStr">
        <is>
          <t>mit</t>
        </is>
      </c>
      <c r="C453" s="19" t="inlineStr">
        <is>
          <t>mit.atp.rod.coa.e</t>
        </is>
      </c>
      <c r="H453" s="3" t="inlineStr">
        <is>
          <t>Fuel use | Domestic navigation | Other oil products</t>
        </is>
      </c>
      <c r="I453" s="3" t="inlineStr">
        <is>
          <t>ktoe</t>
        </is>
      </c>
      <c r="K453" s="20" t="inlineStr">
        <is>
          <t>egy.mit.ener.nav.oop.1</t>
        </is>
      </c>
      <c r="L453" s="3" t="n">
        <v>263.8514166917642</v>
      </c>
      <c r="M453" s="3" t="n">
        <v>226.7115632524926</v>
      </c>
      <c r="N453" s="3" t="n">
        <v>258.0579602982324</v>
      </c>
      <c r="O453" s="3" t="n">
        <v>265.3910372849016</v>
      </c>
      <c r="P453" s="3" t="n">
        <v>272.5200500450365</v>
      </c>
      <c r="Q453" s="3" t="n">
        <v>281.0422223755627</v>
      </c>
      <c r="R453" s="3" t="n">
        <v>291.281559115429</v>
      </c>
      <c r="S453" s="3" t="n">
        <v>301.0551570688597</v>
      </c>
      <c r="T453" s="3" t="n">
        <v>310.1412583471189</v>
      </c>
      <c r="U453" s="3" t="n">
        <v>319.303982220036</v>
      </c>
      <c r="V453" s="3" t="n">
        <v>328.5774285923993</v>
      </c>
      <c r="W453" s="3" t="n">
        <v>337.9583431185025</v>
      </c>
      <c r="X453" s="3" t="n">
        <v>347.4434006849994</v>
      </c>
      <c r="Y453" s="3" t="n">
        <v>357.0292063546953</v>
      </c>
      <c r="Z453" s="3" t="n">
        <v>366.7122959028793</v>
      </c>
      <c r="AA453" s="3" t="n">
        <v>376.4891359450826</v>
      </c>
      <c r="AB453" s="3" t="n">
        <v>386.3561236562491</v>
      </c>
      <c r="AC453" s="3" t="n">
        <v>396.3095860822933</v>
      </c>
      <c r="AD453" s="3" t="n">
        <v>406.3457790458553</v>
      </c>
      <c r="AE453" s="3" t="n">
        <v>416.4608856488321</v>
      </c>
      <c r="AG453" s="20" t="inlineStr">
        <is>
          <t>egy.mit.ener.nav.oop.3</t>
        </is>
      </c>
      <c r="AH453" s="3" t="n">
        <v>263.8514166917642</v>
      </c>
      <c r="AI453" s="3" t="n">
        <v>226.7115632524926</v>
      </c>
      <c r="AJ453" s="3" t="n">
        <v>258.0579602982324</v>
      </c>
      <c r="AK453" s="3" t="n">
        <v>265.3910372849016</v>
      </c>
      <c r="AL453" s="3" t="n">
        <v>272.5200500450365</v>
      </c>
      <c r="AM453" s="3" t="n">
        <v>237.4905768998892</v>
      </c>
      <c r="AN453" s="3" t="n">
        <v>246.1431397503808</v>
      </c>
      <c r="AO453" s="3" t="n">
        <v>254.5203812562431</v>
      </c>
      <c r="AP453" s="3" t="n">
        <v>261.9285448065819</v>
      </c>
      <c r="AQ453" s="3" t="n">
        <v>269.7152537716493</v>
      </c>
      <c r="AR453" s="3" t="n">
        <v>277.4336274126879</v>
      </c>
      <c r="AS453" s="3" t="n">
        <v>285.5091512794119</v>
      </c>
      <c r="AT453" s="3" t="n">
        <v>293.8079924882049</v>
      </c>
      <c r="AU453" s="3" t="n">
        <v>302.1375194281235</v>
      </c>
      <c r="AV453" s="3" t="n">
        <v>310.6134814087712</v>
      </c>
      <c r="AW453" s="3" t="n">
        <v>319.3131137995554</v>
      </c>
      <c r="AX453" s="3" t="n">
        <v>327.9722612382004</v>
      </c>
      <c r="AY453" s="3" t="n">
        <v>336.6426556830959</v>
      </c>
      <c r="AZ453" s="3" t="n">
        <v>345.2238641792164</v>
      </c>
      <c r="BA453" s="3" t="n">
        <v>353.8260116382115</v>
      </c>
      <c r="BC453" s="20" t="inlineStr">
        <is>
          <t>egy.mit.ener.nav.oop.4</t>
        </is>
      </c>
      <c r="BD453" s="3" t="n">
        <v>263.8514166917642</v>
      </c>
      <c r="BE453" s="3" t="n">
        <v>226.7115632524926</v>
      </c>
      <c r="BF453" s="3" t="n">
        <v>258.0579602982324</v>
      </c>
      <c r="BG453" s="3" t="n">
        <v>265.3910372849016</v>
      </c>
      <c r="BH453" s="3" t="n">
        <v>272.5200500450365</v>
      </c>
      <c r="BI453" s="3" t="n">
        <v>256.7820841434317</v>
      </c>
      <c r="BJ453" s="3" t="n">
        <v>240.3398463383497</v>
      </c>
      <c r="BK453" s="3" t="n">
        <v>227.8378426577672</v>
      </c>
      <c r="BL453" s="3" t="n">
        <v>217.5979225807911</v>
      </c>
      <c r="BM453" s="3" t="n">
        <v>209.5095298097994</v>
      </c>
      <c r="BN453" s="3" t="n">
        <v>202.9751948058683</v>
      </c>
      <c r="BO453" s="3" t="n">
        <v>197.7311050420243</v>
      </c>
      <c r="BP453" s="3" t="n">
        <v>193.5556474736764</v>
      </c>
      <c r="BQ453" s="3" t="n">
        <v>190.2041589270237</v>
      </c>
      <c r="BR453" s="3" t="n">
        <v>187.5242463746192</v>
      </c>
      <c r="BS453" s="3" t="n">
        <v>185.4345276896909</v>
      </c>
      <c r="BT453" s="3" t="n">
        <v>183.8011931099856</v>
      </c>
      <c r="BU453" s="3" t="n">
        <v>182.5285587666887</v>
      </c>
      <c r="BV453" s="3" t="n">
        <v>181.5009178489513</v>
      </c>
      <c r="BW453" s="3" t="n">
        <v>180.6645942825143</v>
      </c>
      <c r="BY453" s="20" t="inlineStr">
        <is>
          <t>egy.mit.ener.nav.oop.5</t>
        </is>
      </c>
      <c r="BZ453" s="3" t="n">
        <v>263.8514166917642</v>
      </c>
      <c r="CA453" s="3" t="n">
        <v>226.7115632524926</v>
      </c>
      <c r="CB453" s="3" t="n">
        <v>258.0579602982324</v>
      </c>
      <c r="CC453" s="3" t="n">
        <v>265.3910372849016</v>
      </c>
      <c r="CD453" s="3" t="n">
        <v>272.5200500450365</v>
      </c>
      <c r="CE453" s="3" t="n">
        <v>229.2235660066322</v>
      </c>
      <c r="CF453" s="3" t="n">
        <v>237.5747676083459</v>
      </c>
      <c r="CG453" s="3" t="n">
        <v>245.6434693695106</v>
      </c>
      <c r="CH453" s="3" t="n">
        <v>252.8095057259536</v>
      </c>
      <c r="CI453" s="3" t="n">
        <v>260.3783448176327</v>
      </c>
      <c r="CJ453" s="3" t="n">
        <v>267.8157214961541</v>
      </c>
      <c r="CK453" s="3" t="n">
        <v>275.6297323671792</v>
      </c>
      <c r="CL453" s="3" t="n">
        <v>283.5480980931114</v>
      </c>
      <c r="CM453" s="3" t="n">
        <v>291.5136979506839</v>
      </c>
      <c r="CN453" s="3" t="n">
        <v>299.6162619362562</v>
      </c>
      <c r="CO453" s="3" t="n">
        <v>307.899478847878</v>
      </c>
      <c r="CP453" s="3" t="n">
        <v>316.1503112046478</v>
      </c>
      <c r="CQ453" s="3" t="n">
        <v>324.4519727130733</v>
      </c>
      <c r="CR453" s="3" t="n">
        <v>332.6997844609275</v>
      </c>
      <c r="CS453" s="3" t="n">
        <v>341.0283763289552</v>
      </c>
      <c r="CU453" s="20" t="inlineStr">
        <is>
          <t>egy.mit.ener.nav.oop.6</t>
        </is>
      </c>
      <c r="CV453" s="3" t="n">
        <v>263.8514166917642</v>
      </c>
      <c r="CW453" s="3" t="n">
        <v>226.7115632524926</v>
      </c>
      <c r="CX453" s="3" t="n">
        <v>258.0579602982324</v>
      </c>
      <c r="CY453" s="3" t="n">
        <v>265.3910372849016</v>
      </c>
      <c r="CZ453" s="3" t="n">
        <v>272.5200500450365</v>
      </c>
      <c r="DA453" s="3" t="n">
        <v>197.1930130226518</v>
      </c>
      <c r="DB453" s="3" t="n">
        <v>204.3773634553476</v>
      </c>
      <c r="DC453" s="3" t="n">
        <v>211.4451329181282</v>
      </c>
      <c r="DD453" s="3" t="n">
        <v>217.3328257707036</v>
      </c>
      <c r="DE453" s="3" t="n">
        <v>223.8625848609103</v>
      </c>
      <c r="DF453" s="3" t="n">
        <v>230.1428629603938</v>
      </c>
      <c r="DG453" s="3" t="n">
        <v>237.0050278148159</v>
      </c>
      <c r="DH453" s="3" t="n">
        <v>244.1440473407357</v>
      </c>
      <c r="DI453" s="3" t="n">
        <v>251.270190147927</v>
      </c>
      <c r="DJ453" s="3" t="n">
        <v>258.5740218864343</v>
      </c>
      <c r="DK453" s="3" t="n">
        <v>266.2003548935463</v>
      </c>
      <c r="DL453" s="3" t="n">
        <v>273.6762510172885</v>
      </c>
      <c r="DM453" s="3" t="n">
        <v>281.1177529056372</v>
      </c>
      <c r="DN453" s="3" t="n">
        <v>288.3371014185096</v>
      </c>
      <c r="DO453" s="3" t="n">
        <v>295.5414023598162</v>
      </c>
    </row>
    <row r="454">
      <c r="A454" s="19" t="inlineStr">
        <is>
          <t>mit.ener.nav.bio</t>
        </is>
      </c>
      <c r="B454" s="3" t="inlineStr">
        <is>
          <t>mit</t>
        </is>
      </c>
      <c r="C454" s="19" t="inlineStr">
        <is>
          <t>mit.atp.rod.nga.e</t>
        </is>
      </c>
      <c r="H454" s="3" t="inlineStr">
        <is>
          <t>Fuel use | Domestic navigation | Biomass</t>
        </is>
      </c>
      <c r="I454" s="3" t="inlineStr">
        <is>
          <t>ktoe</t>
        </is>
      </c>
      <c r="K454" s="20" t="inlineStr">
        <is>
          <t>egy.mit.ener.nav.bio.1</t>
        </is>
      </c>
      <c r="L454" s="3" t="n">
        <v>0</v>
      </c>
      <c r="M454" s="3" t="n">
        <v>0</v>
      </c>
      <c r="N454" s="3" t="n">
        <v>0</v>
      </c>
      <c r="O454" s="3" t="n">
        <v>0</v>
      </c>
      <c r="P454" s="3" t="n">
        <v>0</v>
      </c>
      <c r="Q454" s="3" t="n">
        <v>0</v>
      </c>
      <c r="R454" s="3" t="n">
        <v>0</v>
      </c>
      <c r="S454" s="3" t="n">
        <v>0</v>
      </c>
      <c r="T454" s="3" t="n">
        <v>0</v>
      </c>
      <c r="U454" s="3" t="n">
        <v>0</v>
      </c>
      <c r="V454" s="3" t="n">
        <v>0</v>
      </c>
      <c r="W454" s="3" t="n">
        <v>0</v>
      </c>
      <c r="X454" s="3" t="n">
        <v>0</v>
      </c>
      <c r="Y454" s="3" t="n">
        <v>0</v>
      </c>
      <c r="Z454" s="3" t="n">
        <v>0</v>
      </c>
      <c r="AA454" s="3" t="n">
        <v>0</v>
      </c>
      <c r="AB454" s="3" t="n">
        <v>0</v>
      </c>
      <c r="AC454" s="3" t="n">
        <v>0</v>
      </c>
      <c r="AD454" s="3" t="n">
        <v>0</v>
      </c>
      <c r="AE454" s="3" t="n">
        <v>0</v>
      </c>
      <c r="AG454" s="20" t="inlineStr">
        <is>
          <t>egy.mit.ener.nav.bio.3</t>
        </is>
      </c>
      <c r="AH454" s="3" t="n">
        <v>0</v>
      </c>
      <c r="AI454" s="3" t="n">
        <v>0</v>
      </c>
      <c r="AJ454" s="3" t="n">
        <v>0</v>
      </c>
      <c r="AK454" s="3" t="n">
        <v>0</v>
      </c>
      <c r="AL454" s="3" t="n">
        <v>0</v>
      </c>
      <c r="AM454" s="3" t="n">
        <v>0</v>
      </c>
      <c r="AN454" s="3" t="n">
        <v>0</v>
      </c>
      <c r="AO454" s="3" t="n">
        <v>0</v>
      </c>
      <c r="AP454" s="3" t="n">
        <v>0</v>
      </c>
      <c r="AQ454" s="3" t="n">
        <v>0</v>
      </c>
      <c r="AR454" s="3" t="n">
        <v>0</v>
      </c>
      <c r="AS454" s="3" t="n">
        <v>0</v>
      </c>
      <c r="AT454" s="3" t="n">
        <v>0</v>
      </c>
      <c r="AU454" s="3" t="n">
        <v>0</v>
      </c>
      <c r="AV454" s="3" t="n">
        <v>0</v>
      </c>
      <c r="AW454" s="3" t="n">
        <v>0</v>
      </c>
      <c r="AX454" s="3" t="n">
        <v>0</v>
      </c>
      <c r="AY454" s="3" t="n">
        <v>0</v>
      </c>
      <c r="AZ454" s="3" t="n">
        <v>0</v>
      </c>
      <c r="BA454" s="3" t="n">
        <v>0</v>
      </c>
      <c r="BC454" s="20" t="inlineStr">
        <is>
          <t>egy.mit.ener.nav.bio.4</t>
        </is>
      </c>
      <c r="BD454" s="3" t="n">
        <v>0</v>
      </c>
      <c r="BE454" s="3" t="n">
        <v>0</v>
      </c>
      <c r="BF454" s="3" t="n">
        <v>0</v>
      </c>
      <c r="BG454" s="3" t="n">
        <v>0</v>
      </c>
      <c r="BH454" s="3" t="n">
        <v>0</v>
      </c>
      <c r="BI454" s="3" t="n">
        <v>0</v>
      </c>
      <c r="BJ454" s="3" t="n">
        <v>0</v>
      </c>
      <c r="BK454" s="3" t="n">
        <v>0</v>
      </c>
      <c r="BL454" s="3" t="n">
        <v>0</v>
      </c>
      <c r="BM454" s="3" t="n">
        <v>0</v>
      </c>
      <c r="BN454" s="3" t="n">
        <v>0</v>
      </c>
      <c r="BO454" s="3" t="n">
        <v>0</v>
      </c>
      <c r="BP454" s="3" t="n">
        <v>0</v>
      </c>
      <c r="BQ454" s="3" t="n">
        <v>0</v>
      </c>
      <c r="BR454" s="3" t="n">
        <v>0</v>
      </c>
      <c r="BS454" s="3" t="n">
        <v>0</v>
      </c>
      <c r="BT454" s="3" t="n">
        <v>0</v>
      </c>
      <c r="BU454" s="3" t="n">
        <v>0</v>
      </c>
      <c r="BV454" s="3" t="n">
        <v>0</v>
      </c>
      <c r="BW454" s="3" t="n">
        <v>0</v>
      </c>
      <c r="BY454" s="20" t="inlineStr">
        <is>
          <t>egy.mit.ener.nav.bio.5</t>
        </is>
      </c>
      <c r="BZ454" s="3" t="n">
        <v>0</v>
      </c>
      <c r="CA454" s="3" t="n">
        <v>0</v>
      </c>
      <c r="CB454" s="3" t="n">
        <v>0</v>
      </c>
      <c r="CC454" s="3" t="n">
        <v>0</v>
      </c>
      <c r="CD454" s="3" t="n">
        <v>0</v>
      </c>
      <c r="CE454" s="3" t="n">
        <v>0</v>
      </c>
      <c r="CF454" s="3" t="n">
        <v>0</v>
      </c>
      <c r="CG454" s="3" t="n">
        <v>0</v>
      </c>
      <c r="CH454" s="3" t="n">
        <v>0</v>
      </c>
      <c r="CI454" s="3" t="n">
        <v>0</v>
      </c>
      <c r="CJ454" s="3" t="n">
        <v>0</v>
      </c>
      <c r="CK454" s="3" t="n">
        <v>0</v>
      </c>
      <c r="CL454" s="3" t="n">
        <v>0</v>
      </c>
      <c r="CM454" s="3" t="n">
        <v>0</v>
      </c>
      <c r="CN454" s="3" t="n">
        <v>0</v>
      </c>
      <c r="CO454" s="3" t="n">
        <v>0</v>
      </c>
      <c r="CP454" s="3" t="n">
        <v>0</v>
      </c>
      <c r="CQ454" s="3" t="n">
        <v>0</v>
      </c>
      <c r="CR454" s="3" t="n">
        <v>0</v>
      </c>
      <c r="CS454" s="3" t="n">
        <v>0</v>
      </c>
      <c r="CU454" s="20" t="inlineStr">
        <is>
          <t>egy.mit.ener.nav.bio.6</t>
        </is>
      </c>
      <c r="CV454" s="3" t="n">
        <v>0</v>
      </c>
      <c r="CW454" s="3" t="n">
        <v>0</v>
      </c>
      <c r="CX454" s="3" t="n">
        <v>0</v>
      </c>
      <c r="CY454" s="3" t="n">
        <v>0</v>
      </c>
      <c r="CZ454" s="3" t="n">
        <v>0</v>
      </c>
      <c r="DA454" s="3" t="n">
        <v>0</v>
      </c>
      <c r="DB454" s="3" t="n">
        <v>0</v>
      </c>
      <c r="DC454" s="3" t="n">
        <v>0</v>
      </c>
      <c r="DD454" s="3" t="n">
        <v>0</v>
      </c>
      <c r="DE454" s="3" t="n">
        <v>0</v>
      </c>
      <c r="DF454" s="3" t="n">
        <v>0</v>
      </c>
      <c r="DG454" s="3" t="n">
        <v>0</v>
      </c>
      <c r="DH454" s="3" t="n">
        <v>0</v>
      </c>
      <c r="DI454" s="3" t="n">
        <v>0</v>
      </c>
      <c r="DJ454" s="3" t="n">
        <v>0</v>
      </c>
      <c r="DK454" s="3" t="n">
        <v>0</v>
      </c>
      <c r="DL454" s="3" t="n">
        <v>0</v>
      </c>
      <c r="DM454" s="3" t="n">
        <v>0</v>
      </c>
      <c r="DN454" s="3" t="n">
        <v>0</v>
      </c>
      <c r="DO454" s="3" t="n">
        <v>0</v>
      </c>
    </row>
    <row r="455">
      <c r="A455" s="19" t="inlineStr">
        <is>
          <t>mit.ener.nav.ren</t>
        </is>
      </c>
      <c r="B455" s="3" t="inlineStr">
        <is>
          <t>mit</t>
        </is>
      </c>
      <c r="C455" s="19" t="inlineStr">
        <is>
          <t>mit.atp.rod.gso.e</t>
        </is>
      </c>
      <c r="H455" s="3" t="inlineStr">
        <is>
          <t xml:space="preserve">Fuel use | Domestic navigation | </t>
        </is>
      </c>
      <c r="I455" s="3" t="inlineStr">
        <is>
          <t>ktoe</t>
        </is>
      </c>
      <c r="K455" s="20" t="inlineStr">
        <is>
          <t>egy.mit.ener.nav.ren.1</t>
        </is>
      </c>
      <c r="L455" s="3" t="n">
        <v>0</v>
      </c>
      <c r="M455" s="3" t="n">
        <v>0</v>
      </c>
      <c r="N455" s="3" t="n">
        <v>0</v>
      </c>
      <c r="O455" s="3" t="n">
        <v>0</v>
      </c>
      <c r="P455" s="3" t="n">
        <v>0</v>
      </c>
      <c r="Q455" s="3" t="n">
        <v>0</v>
      </c>
      <c r="R455" s="3" t="n">
        <v>0</v>
      </c>
      <c r="S455" s="3" t="n">
        <v>0</v>
      </c>
      <c r="T455" s="3" t="n">
        <v>0</v>
      </c>
      <c r="U455" s="3" t="n">
        <v>0</v>
      </c>
      <c r="V455" s="3" t="n">
        <v>0</v>
      </c>
      <c r="W455" s="3" t="n">
        <v>0</v>
      </c>
      <c r="X455" s="3" t="n">
        <v>0</v>
      </c>
      <c r="Y455" s="3" t="n">
        <v>0</v>
      </c>
      <c r="Z455" s="3" t="n">
        <v>0</v>
      </c>
      <c r="AA455" s="3" t="n">
        <v>0</v>
      </c>
      <c r="AB455" s="3" t="n">
        <v>0</v>
      </c>
      <c r="AC455" s="3" t="n">
        <v>0</v>
      </c>
      <c r="AD455" s="3" t="n">
        <v>0</v>
      </c>
      <c r="AE455" s="3" t="n">
        <v>0</v>
      </c>
      <c r="AG455" s="20" t="inlineStr">
        <is>
          <t>egy.mit.ener.nav.ren.3</t>
        </is>
      </c>
      <c r="AH455" s="3" t="n">
        <v>0</v>
      </c>
      <c r="AI455" s="3" t="n">
        <v>0</v>
      </c>
      <c r="AJ455" s="3" t="n">
        <v>0</v>
      </c>
      <c r="AK455" s="3" t="n">
        <v>0</v>
      </c>
      <c r="AL455" s="3" t="n">
        <v>0</v>
      </c>
      <c r="AM455" s="3" t="n">
        <v>0</v>
      </c>
      <c r="AN455" s="3" t="n">
        <v>0</v>
      </c>
      <c r="AO455" s="3" t="n">
        <v>0</v>
      </c>
      <c r="AP455" s="3" t="n">
        <v>0</v>
      </c>
      <c r="AQ455" s="3" t="n">
        <v>0</v>
      </c>
      <c r="AR455" s="3" t="n">
        <v>0</v>
      </c>
      <c r="AS455" s="3" t="n">
        <v>0</v>
      </c>
      <c r="AT455" s="3" t="n">
        <v>0</v>
      </c>
      <c r="AU455" s="3" t="n">
        <v>0</v>
      </c>
      <c r="AV455" s="3" t="n">
        <v>0</v>
      </c>
      <c r="AW455" s="3" t="n">
        <v>0</v>
      </c>
      <c r="AX455" s="3" t="n">
        <v>0</v>
      </c>
      <c r="AY455" s="3" t="n">
        <v>0</v>
      </c>
      <c r="AZ455" s="3" t="n">
        <v>0</v>
      </c>
      <c r="BA455" s="3" t="n">
        <v>0</v>
      </c>
      <c r="BC455" s="20" t="inlineStr">
        <is>
          <t>egy.mit.ener.nav.ren.4</t>
        </is>
      </c>
      <c r="BD455" s="3" t="n">
        <v>0</v>
      </c>
      <c r="BE455" s="3" t="n">
        <v>0</v>
      </c>
      <c r="BF455" s="3" t="n">
        <v>0</v>
      </c>
      <c r="BG455" s="3" t="n">
        <v>0</v>
      </c>
      <c r="BH455" s="3" t="n">
        <v>0</v>
      </c>
      <c r="BI455" s="3" t="n">
        <v>0</v>
      </c>
      <c r="BJ455" s="3" t="n">
        <v>0</v>
      </c>
      <c r="BK455" s="3" t="n">
        <v>0</v>
      </c>
      <c r="BL455" s="3" t="n">
        <v>0</v>
      </c>
      <c r="BM455" s="3" t="n">
        <v>0</v>
      </c>
      <c r="BN455" s="3" t="n">
        <v>0</v>
      </c>
      <c r="BO455" s="3" t="n">
        <v>0</v>
      </c>
      <c r="BP455" s="3" t="n">
        <v>0</v>
      </c>
      <c r="BQ455" s="3" t="n">
        <v>0</v>
      </c>
      <c r="BR455" s="3" t="n">
        <v>0</v>
      </c>
      <c r="BS455" s="3" t="n">
        <v>0</v>
      </c>
      <c r="BT455" s="3" t="n">
        <v>0</v>
      </c>
      <c r="BU455" s="3" t="n">
        <v>0</v>
      </c>
      <c r="BV455" s="3" t="n">
        <v>0</v>
      </c>
      <c r="BW455" s="3" t="n">
        <v>0</v>
      </c>
      <c r="BY455" s="20" t="inlineStr">
        <is>
          <t>egy.mit.ener.nav.ren.5</t>
        </is>
      </c>
      <c r="BZ455" s="3" t="n">
        <v>0</v>
      </c>
      <c r="CA455" s="3" t="n">
        <v>0</v>
      </c>
      <c r="CB455" s="3" t="n">
        <v>0</v>
      </c>
      <c r="CC455" s="3" t="n">
        <v>0</v>
      </c>
      <c r="CD455" s="3" t="n">
        <v>0</v>
      </c>
      <c r="CE455" s="3" t="n">
        <v>0</v>
      </c>
      <c r="CF455" s="3" t="n">
        <v>0</v>
      </c>
      <c r="CG455" s="3" t="n">
        <v>0</v>
      </c>
      <c r="CH455" s="3" t="n">
        <v>0</v>
      </c>
      <c r="CI455" s="3" t="n">
        <v>0</v>
      </c>
      <c r="CJ455" s="3" t="n">
        <v>0</v>
      </c>
      <c r="CK455" s="3" t="n">
        <v>0</v>
      </c>
      <c r="CL455" s="3" t="n">
        <v>0</v>
      </c>
      <c r="CM455" s="3" t="n">
        <v>0</v>
      </c>
      <c r="CN455" s="3" t="n">
        <v>0</v>
      </c>
      <c r="CO455" s="3" t="n">
        <v>0</v>
      </c>
      <c r="CP455" s="3" t="n">
        <v>0</v>
      </c>
      <c r="CQ455" s="3" t="n">
        <v>0</v>
      </c>
      <c r="CR455" s="3" t="n">
        <v>0</v>
      </c>
      <c r="CS455" s="3" t="n">
        <v>0</v>
      </c>
      <c r="CU455" s="20" t="inlineStr">
        <is>
          <t>egy.mit.ener.nav.ren.6</t>
        </is>
      </c>
      <c r="CV455" s="3" t="n">
        <v>0</v>
      </c>
      <c r="CW455" s="3" t="n">
        <v>0</v>
      </c>
      <c r="CX455" s="3" t="n">
        <v>0</v>
      </c>
      <c r="CY455" s="3" t="n">
        <v>0</v>
      </c>
      <c r="CZ455" s="3" t="n">
        <v>0</v>
      </c>
      <c r="DA455" s="3" t="n">
        <v>0</v>
      </c>
      <c r="DB455" s="3" t="n">
        <v>0</v>
      </c>
      <c r="DC455" s="3" t="n">
        <v>0</v>
      </c>
      <c r="DD455" s="3" t="n">
        <v>0</v>
      </c>
      <c r="DE455" s="3" t="n">
        <v>0</v>
      </c>
      <c r="DF455" s="3" t="n">
        <v>0</v>
      </c>
      <c r="DG455" s="3" t="n">
        <v>0</v>
      </c>
      <c r="DH455" s="3" t="n">
        <v>0</v>
      </c>
      <c r="DI455" s="3" t="n">
        <v>0</v>
      </c>
      <c r="DJ455" s="3" t="n">
        <v>0</v>
      </c>
      <c r="DK455" s="3" t="n">
        <v>0</v>
      </c>
      <c r="DL455" s="3" t="n">
        <v>0</v>
      </c>
      <c r="DM455" s="3" t="n">
        <v>0</v>
      </c>
      <c r="DN455" s="3" t="n">
        <v>0</v>
      </c>
      <c r="DO455" s="3" t="n">
        <v>0</v>
      </c>
    </row>
    <row r="456">
      <c r="A456" s="19" t="inlineStr">
        <is>
          <t>mit.ener.avi.coa</t>
        </is>
      </c>
      <c r="B456" s="3" t="inlineStr">
        <is>
          <t>mit</t>
        </is>
      </c>
      <c r="C456" s="19" t="n"/>
      <c r="H456" s="3" t="inlineStr">
        <is>
          <t>Fuel use | Domestic aviation | Coal</t>
        </is>
      </c>
      <c r="I456" s="3" t="inlineStr">
        <is>
          <t>ktoe</t>
        </is>
      </c>
      <c r="K456" s="20" t="inlineStr">
        <is>
          <t>egy.mit.ener.avi.coa.1</t>
        </is>
      </c>
      <c r="L456" s="3" t="n">
        <v>0</v>
      </c>
      <c r="M456" s="3" t="n">
        <v>0</v>
      </c>
      <c r="N456" s="3" t="n">
        <v>0</v>
      </c>
      <c r="O456" s="3" t="n">
        <v>0</v>
      </c>
      <c r="P456" s="3" t="n">
        <v>0</v>
      </c>
      <c r="Q456" s="3" t="n">
        <v>0</v>
      </c>
      <c r="R456" s="3" t="n">
        <v>0</v>
      </c>
      <c r="S456" s="3" t="n">
        <v>0</v>
      </c>
      <c r="T456" s="3" t="n">
        <v>0</v>
      </c>
      <c r="U456" s="3" t="n">
        <v>0</v>
      </c>
      <c r="V456" s="3" t="n">
        <v>0</v>
      </c>
      <c r="W456" s="3" t="n">
        <v>0</v>
      </c>
      <c r="X456" s="3" t="n">
        <v>0</v>
      </c>
      <c r="Y456" s="3" t="n">
        <v>0</v>
      </c>
      <c r="Z456" s="3" t="n">
        <v>0</v>
      </c>
      <c r="AA456" s="3" t="n">
        <v>0</v>
      </c>
      <c r="AB456" s="3" t="n">
        <v>0</v>
      </c>
      <c r="AC456" s="3" t="n">
        <v>0</v>
      </c>
      <c r="AD456" s="3" t="n">
        <v>0</v>
      </c>
      <c r="AE456" s="3" t="n">
        <v>0</v>
      </c>
      <c r="AG456" s="20" t="inlineStr">
        <is>
          <t>egy.mit.ener.avi.coa.3</t>
        </is>
      </c>
      <c r="AH456" s="3" t="n">
        <v>0</v>
      </c>
      <c r="AI456" s="3" t="n">
        <v>0</v>
      </c>
      <c r="AJ456" s="3" t="n">
        <v>0</v>
      </c>
      <c r="AK456" s="3" t="n">
        <v>0</v>
      </c>
      <c r="AL456" s="3" t="n">
        <v>0</v>
      </c>
      <c r="AM456" s="3" t="n">
        <v>0</v>
      </c>
      <c r="AN456" s="3" t="n">
        <v>0</v>
      </c>
      <c r="AO456" s="3" t="n">
        <v>0</v>
      </c>
      <c r="AP456" s="3" t="n">
        <v>0</v>
      </c>
      <c r="AQ456" s="3" t="n">
        <v>0</v>
      </c>
      <c r="AR456" s="3" t="n">
        <v>0</v>
      </c>
      <c r="AS456" s="3" t="n">
        <v>0</v>
      </c>
      <c r="AT456" s="3" t="n">
        <v>0</v>
      </c>
      <c r="AU456" s="3" t="n">
        <v>0</v>
      </c>
      <c r="AV456" s="3" t="n">
        <v>0</v>
      </c>
      <c r="AW456" s="3" t="n">
        <v>0</v>
      </c>
      <c r="AX456" s="3" t="n">
        <v>0</v>
      </c>
      <c r="AY456" s="3" t="n">
        <v>0</v>
      </c>
      <c r="AZ456" s="3" t="n">
        <v>0</v>
      </c>
      <c r="BA456" s="3" t="n">
        <v>0</v>
      </c>
      <c r="BC456" s="20" t="inlineStr">
        <is>
          <t>egy.mit.ener.avi.coa.4</t>
        </is>
      </c>
      <c r="BD456" s="3" t="n">
        <v>0</v>
      </c>
      <c r="BE456" s="3" t="n">
        <v>0</v>
      </c>
      <c r="BF456" s="3" t="n">
        <v>0</v>
      </c>
      <c r="BG456" s="3" t="n">
        <v>0</v>
      </c>
      <c r="BH456" s="3" t="n">
        <v>0</v>
      </c>
      <c r="BI456" s="3" t="n">
        <v>0</v>
      </c>
      <c r="BJ456" s="3" t="n">
        <v>0</v>
      </c>
      <c r="BK456" s="3" t="n">
        <v>0</v>
      </c>
      <c r="BL456" s="3" t="n">
        <v>0</v>
      </c>
      <c r="BM456" s="3" t="n">
        <v>0</v>
      </c>
      <c r="BN456" s="3" t="n">
        <v>0</v>
      </c>
      <c r="BO456" s="3" t="n">
        <v>0</v>
      </c>
      <c r="BP456" s="3" t="n">
        <v>0</v>
      </c>
      <c r="BQ456" s="3" t="n">
        <v>0</v>
      </c>
      <c r="BR456" s="3" t="n">
        <v>0</v>
      </c>
      <c r="BS456" s="3" t="n">
        <v>0</v>
      </c>
      <c r="BT456" s="3" t="n">
        <v>0</v>
      </c>
      <c r="BU456" s="3" t="n">
        <v>0</v>
      </c>
      <c r="BV456" s="3" t="n">
        <v>0</v>
      </c>
      <c r="BW456" s="3" t="n">
        <v>0</v>
      </c>
      <c r="BY456" s="20" t="inlineStr">
        <is>
          <t>egy.mit.ener.avi.coa.5</t>
        </is>
      </c>
      <c r="BZ456" s="3" t="n">
        <v>0</v>
      </c>
      <c r="CA456" s="3" t="n">
        <v>0</v>
      </c>
      <c r="CB456" s="3" t="n">
        <v>0</v>
      </c>
      <c r="CC456" s="3" t="n">
        <v>0</v>
      </c>
      <c r="CD456" s="3" t="n">
        <v>0</v>
      </c>
      <c r="CE456" s="3" t="n">
        <v>0</v>
      </c>
      <c r="CF456" s="3" t="n">
        <v>0</v>
      </c>
      <c r="CG456" s="3" t="n">
        <v>0</v>
      </c>
      <c r="CH456" s="3" t="n">
        <v>0</v>
      </c>
      <c r="CI456" s="3" t="n">
        <v>0</v>
      </c>
      <c r="CJ456" s="3" t="n">
        <v>0</v>
      </c>
      <c r="CK456" s="3" t="n">
        <v>0</v>
      </c>
      <c r="CL456" s="3" t="n">
        <v>0</v>
      </c>
      <c r="CM456" s="3" t="n">
        <v>0</v>
      </c>
      <c r="CN456" s="3" t="n">
        <v>0</v>
      </c>
      <c r="CO456" s="3" t="n">
        <v>0</v>
      </c>
      <c r="CP456" s="3" t="n">
        <v>0</v>
      </c>
      <c r="CQ456" s="3" t="n">
        <v>0</v>
      </c>
      <c r="CR456" s="3" t="n">
        <v>0</v>
      </c>
      <c r="CS456" s="3" t="n">
        <v>0</v>
      </c>
      <c r="CU456" s="20" t="inlineStr">
        <is>
          <t>egy.mit.ener.avi.coa.6</t>
        </is>
      </c>
      <c r="CV456" s="3" t="n">
        <v>0</v>
      </c>
      <c r="CW456" s="3" t="n">
        <v>0</v>
      </c>
      <c r="CX456" s="3" t="n">
        <v>0</v>
      </c>
      <c r="CY456" s="3" t="n">
        <v>0</v>
      </c>
      <c r="CZ456" s="3" t="n">
        <v>0</v>
      </c>
      <c r="DA456" s="3" t="n">
        <v>0</v>
      </c>
      <c r="DB456" s="3" t="n">
        <v>0</v>
      </c>
      <c r="DC456" s="3" t="n">
        <v>0</v>
      </c>
      <c r="DD456" s="3" t="n">
        <v>0</v>
      </c>
      <c r="DE456" s="3" t="n">
        <v>0</v>
      </c>
      <c r="DF456" s="3" t="n">
        <v>0</v>
      </c>
      <c r="DG456" s="3" t="n">
        <v>0</v>
      </c>
      <c r="DH456" s="3" t="n">
        <v>0</v>
      </c>
      <c r="DI456" s="3" t="n">
        <v>0</v>
      </c>
      <c r="DJ456" s="3" t="n">
        <v>0</v>
      </c>
      <c r="DK456" s="3" t="n">
        <v>0</v>
      </c>
      <c r="DL456" s="3" t="n">
        <v>0</v>
      </c>
      <c r="DM456" s="3" t="n">
        <v>0</v>
      </c>
      <c r="DN456" s="3" t="n">
        <v>0</v>
      </c>
      <c r="DO456" s="3" t="n">
        <v>0</v>
      </c>
    </row>
    <row r="457">
      <c r="A457" s="19" t="inlineStr">
        <is>
          <t>mit.ener.avi.nga</t>
        </is>
      </c>
      <c r="B457" s="3" t="inlineStr">
        <is>
          <t>mit</t>
        </is>
      </c>
      <c r="C457" s="19" t="n"/>
      <c r="H457" s="3" t="inlineStr">
        <is>
          <t>Fuel use | Domestic aviation | Natural gas</t>
        </is>
      </c>
      <c r="I457" s="3" t="inlineStr">
        <is>
          <t>ktoe</t>
        </is>
      </c>
      <c r="K457" s="20" t="inlineStr">
        <is>
          <t>egy.mit.ener.avi.nga.1</t>
        </is>
      </c>
      <c r="L457" s="3" t="n">
        <v>0</v>
      </c>
      <c r="M457" s="3" t="n">
        <v>0</v>
      </c>
      <c r="N457" s="3" t="n">
        <v>0</v>
      </c>
      <c r="O457" s="3" t="n">
        <v>0</v>
      </c>
      <c r="P457" s="3" t="n">
        <v>0</v>
      </c>
      <c r="Q457" s="3" t="n">
        <v>0</v>
      </c>
      <c r="R457" s="3" t="n">
        <v>0</v>
      </c>
      <c r="S457" s="3" t="n">
        <v>0</v>
      </c>
      <c r="T457" s="3" t="n">
        <v>0</v>
      </c>
      <c r="U457" s="3" t="n">
        <v>0</v>
      </c>
      <c r="V457" s="3" t="n">
        <v>0</v>
      </c>
      <c r="W457" s="3" t="n">
        <v>0</v>
      </c>
      <c r="X457" s="3" t="n">
        <v>0</v>
      </c>
      <c r="Y457" s="3" t="n">
        <v>0</v>
      </c>
      <c r="Z457" s="3" t="n">
        <v>0</v>
      </c>
      <c r="AA457" s="3" t="n">
        <v>0</v>
      </c>
      <c r="AB457" s="3" t="n">
        <v>0</v>
      </c>
      <c r="AC457" s="3" t="n">
        <v>0</v>
      </c>
      <c r="AD457" s="3" t="n">
        <v>0</v>
      </c>
      <c r="AE457" s="3" t="n">
        <v>0</v>
      </c>
      <c r="AG457" s="20" t="inlineStr">
        <is>
          <t>egy.mit.ener.avi.nga.3</t>
        </is>
      </c>
      <c r="AH457" s="3" t="n">
        <v>0</v>
      </c>
      <c r="AI457" s="3" t="n">
        <v>0</v>
      </c>
      <c r="AJ457" s="3" t="n">
        <v>0</v>
      </c>
      <c r="AK457" s="3" t="n">
        <v>0</v>
      </c>
      <c r="AL457" s="3" t="n">
        <v>0</v>
      </c>
      <c r="AM457" s="3" t="n">
        <v>0</v>
      </c>
      <c r="AN457" s="3" t="n">
        <v>0</v>
      </c>
      <c r="AO457" s="3" t="n">
        <v>0</v>
      </c>
      <c r="AP457" s="3" t="n">
        <v>0</v>
      </c>
      <c r="AQ457" s="3" t="n">
        <v>0</v>
      </c>
      <c r="AR457" s="3" t="n">
        <v>0</v>
      </c>
      <c r="AS457" s="3" t="n">
        <v>0</v>
      </c>
      <c r="AT457" s="3" t="n">
        <v>0</v>
      </c>
      <c r="AU457" s="3" t="n">
        <v>0</v>
      </c>
      <c r="AV457" s="3" t="n">
        <v>0</v>
      </c>
      <c r="AW457" s="3" t="n">
        <v>0</v>
      </c>
      <c r="AX457" s="3" t="n">
        <v>0</v>
      </c>
      <c r="AY457" s="3" t="n">
        <v>0</v>
      </c>
      <c r="AZ457" s="3" t="n">
        <v>0</v>
      </c>
      <c r="BA457" s="3" t="n">
        <v>0</v>
      </c>
      <c r="BC457" s="20" t="inlineStr">
        <is>
          <t>egy.mit.ener.avi.nga.4</t>
        </is>
      </c>
      <c r="BD457" s="3" t="n">
        <v>0</v>
      </c>
      <c r="BE457" s="3" t="n">
        <v>0</v>
      </c>
      <c r="BF457" s="3" t="n">
        <v>0</v>
      </c>
      <c r="BG457" s="3" t="n">
        <v>0</v>
      </c>
      <c r="BH457" s="3" t="n">
        <v>0</v>
      </c>
      <c r="BI457" s="3" t="n">
        <v>0</v>
      </c>
      <c r="BJ457" s="3" t="n">
        <v>0</v>
      </c>
      <c r="BK457" s="3" t="n">
        <v>0</v>
      </c>
      <c r="BL457" s="3" t="n">
        <v>0</v>
      </c>
      <c r="BM457" s="3" t="n">
        <v>0</v>
      </c>
      <c r="BN457" s="3" t="n">
        <v>0</v>
      </c>
      <c r="BO457" s="3" t="n">
        <v>0</v>
      </c>
      <c r="BP457" s="3" t="n">
        <v>0</v>
      </c>
      <c r="BQ457" s="3" t="n">
        <v>0</v>
      </c>
      <c r="BR457" s="3" t="n">
        <v>0</v>
      </c>
      <c r="BS457" s="3" t="n">
        <v>0</v>
      </c>
      <c r="BT457" s="3" t="n">
        <v>0</v>
      </c>
      <c r="BU457" s="3" t="n">
        <v>0</v>
      </c>
      <c r="BV457" s="3" t="n">
        <v>0</v>
      </c>
      <c r="BW457" s="3" t="n">
        <v>0</v>
      </c>
      <c r="BY457" s="20" t="inlineStr">
        <is>
          <t>egy.mit.ener.avi.nga.5</t>
        </is>
      </c>
      <c r="BZ457" s="3" t="n">
        <v>0</v>
      </c>
      <c r="CA457" s="3" t="n">
        <v>0</v>
      </c>
      <c r="CB457" s="3" t="n">
        <v>0</v>
      </c>
      <c r="CC457" s="3" t="n">
        <v>0</v>
      </c>
      <c r="CD457" s="3" t="n">
        <v>0</v>
      </c>
      <c r="CE457" s="3" t="n">
        <v>0</v>
      </c>
      <c r="CF457" s="3" t="n">
        <v>0</v>
      </c>
      <c r="CG457" s="3" t="n">
        <v>0</v>
      </c>
      <c r="CH457" s="3" t="n">
        <v>0</v>
      </c>
      <c r="CI457" s="3" t="n">
        <v>0</v>
      </c>
      <c r="CJ457" s="3" t="n">
        <v>0</v>
      </c>
      <c r="CK457" s="3" t="n">
        <v>0</v>
      </c>
      <c r="CL457" s="3" t="n">
        <v>0</v>
      </c>
      <c r="CM457" s="3" t="n">
        <v>0</v>
      </c>
      <c r="CN457" s="3" t="n">
        <v>0</v>
      </c>
      <c r="CO457" s="3" t="n">
        <v>0</v>
      </c>
      <c r="CP457" s="3" t="n">
        <v>0</v>
      </c>
      <c r="CQ457" s="3" t="n">
        <v>0</v>
      </c>
      <c r="CR457" s="3" t="n">
        <v>0</v>
      </c>
      <c r="CS457" s="3" t="n">
        <v>0</v>
      </c>
      <c r="CU457" s="20" t="inlineStr">
        <is>
          <t>egy.mit.ener.avi.nga.6</t>
        </is>
      </c>
      <c r="CV457" s="3" t="n">
        <v>0</v>
      </c>
      <c r="CW457" s="3" t="n">
        <v>0</v>
      </c>
      <c r="CX457" s="3" t="n">
        <v>0</v>
      </c>
      <c r="CY457" s="3" t="n">
        <v>0</v>
      </c>
      <c r="CZ457" s="3" t="n">
        <v>0</v>
      </c>
      <c r="DA457" s="3" t="n">
        <v>0</v>
      </c>
      <c r="DB457" s="3" t="n">
        <v>0</v>
      </c>
      <c r="DC457" s="3" t="n">
        <v>0</v>
      </c>
      <c r="DD457" s="3" t="n">
        <v>0</v>
      </c>
      <c r="DE457" s="3" t="n">
        <v>0</v>
      </c>
      <c r="DF457" s="3" t="n">
        <v>0</v>
      </c>
      <c r="DG457" s="3" t="n">
        <v>0</v>
      </c>
      <c r="DH457" s="3" t="n">
        <v>0</v>
      </c>
      <c r="DI457" s="3" t="n">
        <v>0</v>
      </c>
      <c r="DJ457" s="3" t="n">
        <v>0</v>
      </c>
      <c r="DK457" s="3" t="n">
        <v>0</v>
      </c>
      <c r="DL457" s="3" t="n">
        <v>0</v>
      </c>
      <c r="DM457" s="3" t="n">
        <v>0</v>
      </c>
      <c r="DN457" s="3" t="n">
        <v>0</v>
      </c>
      <c r="DO457" s="3" t="n">
        <v>0</v>
      </c>
    </row>
    <row r="458">
      <c r="A458" s="19" t="inlineStr">
        <is>
          <t>mit.ener.avi.gso</t>
        </is>
      </c>
      <c r="B458" s="3" t="inlineStr">
        <is>
          <t>mit</t>
        </is>
      </c>
      <c r="C458" s="19" t="n"/>
      <c r="H458" s="3" t="inlineStr">
        <is>
          <t>Fuel use | Domestic aviation | Gasoline</t>
        </is>
      </c>
      <c r="I458" s="3" t="inlineStr">
        <is>
          <t>ktoe</t>
        </is>
      </c>
      <c r="K458" s="20" t="inlineStr">
        <is>
          <t>egy.mit.ener.avi.gso.1</t>
        </is>
      </c>
      <c r="L458" s="3" t="n">
        <v>0</v>
      </c>
      <c r="M458" s="3" t="n">
        <v>0</v>
      </c>
      <c r="N458" s="3" t="n">
        <v>0</v>
      </c>
      <c r="O458" s="3" t="n">
        <v>0</v>
      </c>
      <c r="P458" s="3" t="n">
        <v>0</v>
      </c>
      <c r="Q458" s="3" t="n">
        <v>0</v>
      </c>
      <c r="R458" s="3" t="n">
        <v>0</v>
      </c>
      <c r="S458" s="3" t="n">
        <v>0</v>
      </c>
      <c r="T458" s="3" t="n">
        <v>0</v>
      </c>
      <c r="U458" s="3" t="n">
        <v>0</v>
      </c>
      <c r="V458" s="3" t="n">
        <v>0</v>
      </c>
      <c r="W458" s="3" t="n">
        <v>0</v>
      </c>
      <c r="X458" s="3" t="n">
        <v>0</v>
      </c>
      <c r="Y458" s="3" t="n">
        <v>0</v>
      </c>
      <c r="Z458" s="3" t="n">
        <v>0</v>
      </c>
      <c r="AA458" s="3" t="n">
        <v>0</v>
      </c>
      <c r="AB458" s="3" t="n">
        <v>0</v>
      </c>
      <c r="AC458" s="3" t="n">
        <v>0</v>
      </c>
      <c r="AD458" s="3" t="n">
        <v>0</v>
      </c>
      <c r="AE458" s="3" t="n">
        <v>0</v>
      </c>
      <c r="AG458" s="20" t="inlineStr">
        <is>
          <t>egy.mit.ener.avi.gso.3</t>
        </is>
      </c>
      <c r="AH458" s="3" t="n">
        <v>0</v>
      </c>
      <c r="AI458" s="3" t="n">
        <v>0</v>
      </c>
      <c r="AJ458" s="3" t="n">
        <v>0</v>
      </c>
      <c r="AK458" s="3" t="n">
        <v>0</v>
      </c>
      <c r="AL458" s="3" t="n">
        <v>0</v>
      </c>
      <c r="AM458" s="3" t="n">
        <v>0</v>
      </c>
      <c r="AN458" s="3" t="n">
        <v>0</v>
      </c>
      <c r="AO458" s="3" t="n">
        <v>0</v>
      </c>
      <c r="AP458" s="3" t="n">
        <v>0</v>
      </c>
      <c r="AQ458" s="3" t="n">
        <v>0</v>
      </c>
      <c r="AR458" s="3" t="n">
        <v>0</v>
      </c>
      <c r="AS458" s="3" t="n">
        <v>0</v>
      </c>
      <c r="AT458" s="3" t="n">
        <v>0</v>
      </c>
      <c r="AU458" s="3" t="n">
        <v>0</v>
      </c>
      <c r="AV458" s="3" t="n">
        <v>0</v>
      </c>
      <c r="AW458" s="3" t="n">
        <v>0</v>
      </c>
      <c r="AX458" s="3" t="n">
        <v>0</v>
      </c>
      <c r="AY458" s="3" t="n">
        <v>0</v>
      </c>
      <c r="AZ458" s="3" t="n">
        <v>0</v>
      </c>
      <c r="BA458" s="3" t="n">
        <v>0</v>
      </c>
      <c r="BC458" s="20" t="inlineStr">
        <is>
          <t>egy.mit.ener.avi.gso.4</t>
        </is>
      </c>
      <c r="BD458" s="3" t="n">
        <v>0</v>
      </c>
      <c r="BE458" s="3" t="n">
        <v>0</v>
      </c>
      <c r="BF458" s="3" t="n">
        <v>0</v>
      </c>
      <c r="BG458" s="3" t="n">
        <v>0</v>
      </c>
      <c r="BH458" s="3" t="n">
        <v>0</v>
      </c>
      <c r="BI458" s="3" t="n">
        <v>0</v>
      </c>
      <c r="BJ458" s="3" t="n">
        <v>0</v>
      </c>
      <c r="BK458" s="3" t="n">
        <v>0</v>
      </c>
      <c r="BL458" s="3" t="n">
        <v>0</v>
      </c>
      <c r="BM458" s="3" t="n">
        <v>0</v>
      </c>
      <c r="BN458" s="3" t="n">
        <v>0</v>
      </c>
      <c r="BO458" s="3" t="n">
        <v>0</v>
      </c>
      <c r="BP458" s="3" t="n">
        <v>0</v>
      </c>
      <c r="BQ458" s="3" t="n">
        <v>0</v>
      </c>
      <c r="BR458" s="3" t="n">
        <v>0</v>
      </c>
      <c r="BS458" s="3" t="n">
        <v>0</v>
      </c>
      <c r="BT458" s="3" t="n">
        <v>0</v>
      </c>
      <c r="BU458" s="3" t="n">
        <v>0</v>
      </c>
      <c r="BV458" s="3" t="n">
        <v>0</v>
      </c>
      <c r="BW458" s="3" t="n">
        <v>0</v>
      </c>
      <c r="BY458" s="20" t="inlineStr">
        <is>
          <t>egy.mit.ener.avi.gso.5</t>
        </is>
      </c>
      <c r="BZ458" s="3" t="n">
        <v>0</v>
      </c>
      <c r="CA458" s="3" t="n">
        <v>0</v>
      </c>
      <c r="CB458" s="3" t="n">
        <v>0</v>
      </c>
      <c r="CC458" s="3" t="n">
        <v>0</v>
      </c>
      <c r="CD458" s="3" t="n">
        <v>0</v>
      </c>
      <c r="CE458" s="3" t="n">
        <v>0</v>
      </c>
      <c r="CF458" s="3" t="n">
        <v>0</v>
      </c>
      <c r="CG458" s="3" t="n">
        <v>0</v>
      </c>
      <c r="CH458" s="3" t="n">
        <v>0</v>
      </c>
      <c r="CI458" s="3" t="n">
        <v>0</v>
      </c>
      <c r="CJ458" s="3" t="n">
        <v>0</v>
      </c>
      <c r="CK458" s="3" t="n">
        <v>0</v>
      </c>
      <c r="CL458" s="3" t="n">
        <v>0</v>
      </c>
      <c r="CM458" s="3" t="n">
        <v>0</v>
      </c>
      <c r="CN458" s="3" t="n">
        <v>0</v>
      </c>
      <c r="CO458" s="3" t="n">
        <v>0</v>
      </c>
      <c r="CP458" s="3" t="n">
        <v>0</v>
      </c>
      <c r="CQ458" s="3" t="n">
        <v>0</v>
      </c>
      <c r="CR458" s="3" t="n">
        <v>0</v>
      </c>
      <c r="CS458" s="3" t="n">
        <v>0</v>
      </c>
      <c r="CU458" s="20" t="inlineStr">
        <is>
          <t>egy.mit.ener.avi.gso.6</t>
        </is>
      </c>
      <c r="CV458" s="3" t="n">
        <v>0</v>
      </c>
      <c r="CW458" s="3" t="n">
        <v>0</v>
      </c>
      <c r="CX458" s="3" t="n">
        <v>0</v>
      </c>
      <c r="CY458" s="3" t="n">
        <v>0</v>
      </c>
      <c r="CZ458" s="3" t="n">
        <v>0</v>
      </c>
      <c r="DA458" s="3" t="n">
        <v>0</v>
      </c>
      <c r="DB458" s="3" t="n">
        <v>0</v>
      </c>
      <c r="DC458" s="3" t="n">
        <v>0</v>
      </c>
      <c r="DD458" s="3" t="n">
        <v>0</v>
      </c>
      <c r="DE458" s="3" t="n">
        <v>0</v>
      </c>
      <c r="DF458" s="3" t="n">
        <v>0</v>
      </c>
      <c r="DG458" s="3" t="n">
        <v>0</v>
      </c>
      <c r="DH458" s="3" t="n">
        <v>0</v>
      </c>
      <c r="DI458" s="3" t="n">
        <v>0</v>
      </c>
      <c r="DJ458" s="3" t="n">
        <v>0</v>
      </c>
      <c r="DK458" s="3" t="n">
        <v>0</v>
      </c>
      <c r="DL458" s="3" t="n">
        <v>0</v>
      </c>
      <c r="DM458" s="3" t="n">
        <v>0</v>
      </c>
      <c r="DN458" s="3" t="n">
        <v>0</v>
      </c>
      <c r="DO458" s="3" t="n">
        <v>0</v>
      </c>
    </row>
    <row r="459">
      <c r="A459" s="19" t="inlineStr">
        <is>
          <t>mit.ener.avi.die</t>
        </is>
      </c>
      <c r="B459" s="3" t="inlineStr">
        <is>
          <t>mit</t>
        </is>
      </c>
      <c r="C459" s="19" t="n"/>
      <c r="H459" s="3" t="inlineStr">
        <is>
          <t>Fuel use | Domestic aviation | Diesel</t>
        </is>
      </c>
      <c r="I459" s="3" t="inlineStr">
        <is>
          <t>ktoe</t>
        </is>
      </c>
      <c r="K459" s="20" t="inlineStr">
        <is>
          <t>egy.mit.ener.avi.die.1</t>
        </is>
      </c>
      <c r="L459" s="3" t="n">
        <v>0</v>
      </c>
      <c r="M459" s="3" t="n">
        <v>0</v>
      </c>
      <c r="N459" s="3" t="n">
        <v>0</v>
      </c>
      <c r="O459" s="3" t="n">
        <v>0</v>
      </c>
      <c r="P459" s="3" t="n">
        <v>0</v>
      </c>
      <c r="Q459" s="3" t="n">
        <v>0</v>
      </c>
      <c r="R459" s="3" t="n">
        <v>0</v>
      </c>
      <c r="S459" s="3" t="n">
        <v>0</v>
      </c>
      <c r="T459" s="3" t="n">
        <v>0</v>
      </c>
      <c r="U459" s="3" t="n">
        <v>0</v>
      </c>
      <c r="V459" s="3" t="n">
        <v>0</v>
      </c>
      <c r="W459" s="3" t="n">
        <v>0</v>
      </c>
      <c r="X459" s="3" t="n">
        <v>0</v>
      </c>
      <c r="Y459" s="3" t="n">
        <v>0</v>
      </c>
      <c r="Z459" s="3" t="n">
        <v>0</v>
      </c>
      <c r="AA459" s="3" t="n">
        <v>0</v>
      </c>
      <c r="AB459" s="3" t="n">
        <v>0</v>
      </c>
      <c r="AC459" s="3" t="n">
        <v>0</v>
      </c>
      <c r="AD459" s="3" t="n">
        <v>0</v>
      </c>
      <c r="AE459" s="3" t="n">
        <v>0</v>
      </c>
      <c r="AG459" s="20" t="inlineStr">
        <is>
          <t>egy.mit.ener.avi.die.3</t>
        </is>
      </c>
      <c r="AH459" s="3" t="n">
        <v>0</v>
      </c>
      <c r="AI459" s="3" t="n">
        <v>0</v>
      </c>
      <c r="AJ459" s="3" t="n">
        <v>0</v>
      </c>
      <c r="AK459" s="3" t="n">
        <v>0</v>
      </c>
      <c r="AL459" s="3" t="n">
        <v>0</v>
      </c>
      <c r="AM459" s="3" t="n">
        <v>0</v>
      </c>
      <c r="AN459" s="3" t="n">
        <v>0</v>
      </c>
      <c r="AO459" s="3" t="n">
        <v>0</v>
      </c>
      <c r="AP459" s="3" t="n">
        <v>0</v>
      </c>
      <c r="AQ459" s="3" t="n">
        <v>0</v>
      </c>
      <c r="AR459" s="3" t="n">
        <v>0</v>
      </c>
      <c r="AS459" s="3" t="n">
        <v>0</v>
      </c>
      <c r="AT459" s="3" t="n">
        <v>0</v>
      </c>
      <c r="AU459" s="3" t="n">
        <v>0</v>
      </c>
      <c r="AV459" s="3" t="n">
        <v>0</v>
      </c>
      <c r="AW459" s="3" t="n">
        <v>0</v>
      </c>
      <c r="AX459" s="3" t="n">
        <v>0</v>
      </c>
      <c r="AY459" s="3" t="n">
        <v>0</v>
      </c>
      <c r="AZ459" s="3" t="n">
        <v>0</v>
      </c>
      <c r="BA459" s="3" t="n">
        <v>0</v>
      </c>
      <c r="BC459" s="20" t="inlineStr">
        <is>
          <t>egy.mit.ener.avi.die.4</t>
        </is>
      </c>
      <c r="BD459" s="3" t="n">
        <v>0</v>
      </c>
      <c r="BE459" s="3" t="n">
        <v>0</v>
      </c>
      <c r="BF459" s="3" t="n">
        <v>0</v>
      </c>
      <c r="BG459" s="3" t="n">
        <v>0</v>
      </c>
      <c r="BH459" s="3" t="n">
        <v>0</v>
      </c>
      <c r="BI459" s="3" t="n">
        <v>0</v>
      </c>
      <c r="BJ459" s="3" t="n">
        <v>0</v>
      </c>
      <c r="BK459" s="3" t="n">
        <v>0</v>
      </c>
      <c r="BL459" s="3" t="n">
        <v>0</v>
      </c>
      <c r="BM459" s="3" t="n">
        <v>0</v>
      </c>
      <c r="BN459" s="3" t="n">
        <v>0</v>
      </c>
      <c r="BO459" s="3" t="n">
        <v>0</v>
      </c>
      <c r="BP459" s="3" t="n">
        <v>0</v>
      </c>
      <c r="BQ459" s="3" t="n">
        <v>0</v>
      </c>
      <c r="BR459" s="3" t="n">
        <v>0</v>
      </c>
      <c r="BS459" s="3" t="n">
        <v>0</v>
      </c>
      <c r="BT459" s="3" t="n">
        <v>0</v>
      </c>
      <c r="BU459" s="3" t="n">
        <v>0</v>
      </c>
      <c r="BV459" s="3" t="n">
        <v>0</v>
      </c>
      <c r="BW459" s="3" t="n">
        <v>0</v>
      </c>
      <c r="BY459" s="20" t="inlineStr">
        <is>
          <t>egy.mit.ener.avi.die.5</t>
        </is>
      </c>
      <c r="BZ459" s="3" t="n">
        <v>0</v>
      </c>
      <c r="CA459" s="3" t="n">
        <v>0</v>
      </c>
      <c r="CB459" s="3" t="n">
        <v>0</v>
      </c>
      <c r="CC459" s="3" t="n">
        <v>0</v>
      </c>
      <c r="CD459" s="3" t="n">
        <v>0</v>
      </c>
      <c r="CE459" s="3" t="n">
        <v>0</v>
      </c>
      <c r="CF459" s="3" t="n">
        <v>0</v>
      </c>
      <c r="CG459" s="3" t="n">
        <v>0</v>
      </c>
      <c r="CH459" s="3" t="n">
        <v>0</v>
      </c>
      <c r="CI459" s="3" t="n">
        <v>0</v>
      </c>
      <c r="CJ459" s="3" t="n">
        <v>0</v>
      </c>
      <c r="CK459" s="3" t="n">
        <v>0</v>
      </c>
      <c r="CL459" s="3" t="n">
        <v>0</v>
      </c>
      <c r="CM459" s="3" t="n">
        <v>0</v>
      </c>
      <c r="CN459" s="3" t="n">
        <v>0</v>
      </c>
      <c r="CO459" s="3" t="n">
        <v>0</v>
      </c>
      <c r="CP459" s="3" t="n">
        <v>0</v>
      </c>
      <c r="CQ459" s="3" t="n">
        <v>0</v>
      </c>
      <c r="CR459" s="3" t="n">
        <v>0</v>
      </c>
      <c r="CS459" s="3" t="n">
        <v>0</v>
      </c>
      <c r="CU459" s="20" t="inlineStr">
        <is>
          <t>egy.mit.ener.avi.die.6</t>
        </is>
      </c>
      <c r="CV459" s="3" t="n">
        <v>0</v>
      </c>
      <c r="CW459" s="3" t="n">
        <v>0</v>
      </c>
      <c r="CX459" s="3" t="n">
        <v>0</v>
      </c>
      <c r="CY459" s="3" t="n">
        <v>0</v>
      </c>
      <c r="CZ459" s="3" t="n">
        <v>0</v>
      </c>
      <c r="DA459" s="3" t="n">
        <v>0</v>
      </c>
      <c r="DB459" s="3" t="n">
        <v>0</v>
      </c>
      <c r="DC459" s="3" t="n">
        <v>0</v>
      </c>
      <c r="DD459" s="3" t="n">
        <v>0</v>
      </c>
      <c r="DE459" s="3" t="n">
        <v>0</v>
      </c>
      <c r="DF459" s="3" t="n">
        <v>0</v>
      </c>
      <c r="DG459" s="3" t="n">
        <v>0</v>
      </c>
      <c r="DH459" s="3" t="n">
        <v>0</v>
      </c>
      <c r="DI459" s="3" t="n">
        <v>0</v>
      </c>
      <c r="DJ459" s="3" t="n">
        <v>0</v>
      </c>
      <c r="DK459" s="3" t="n">
        <v>0</v>
      </c>
      <c r="DL459" s="3" t="n">
        <v>0</v>
      </c>
      <c r="DM459" s="3" t="n">
        <v>0</v>
      </c>
      <c r="DN459" s="3" t="n">
        <v>0</v>
      </c>
      <c r="DO459" s="3" t="n">
        <v>0</v>
      </c>
    </row>
    <row r="460">
      <c r="A460" s="19" t="inlineStr">
        <is>
          <t>mit.ener.avi.lpg</t>
        </is>
      </c>
      <c r="B460" s="3" t="inlineStr">
        <is>
          <t>mit</t>
        </is>
      </c>
      <c r="C460" s="19" t="n"/>
      <c r="H460" s="3" t="inlineStr">
        <is>
          <t>Fuel use | Domestic aviation | LPG</t>
        </is>
      </c>
      <c r="I460" s="3" t="inlineStr">
        <is>
          <t>ktoe</t>
        </is>
      </c>
      <c r="K460" s="20" t="inlineStr">
        <is>
          <t>egy.mit.ener.avi.lpg.1</t>
        </is>
      </c>
      <c r="L460" s="3" t="n">
        <v>0</v>
      </c>
      <c r="M460" s="3" t="n">
        <v>0</v>
      </c>
      <c r="N460" s="3" t="n">
        <v>0</v>
      </c>
      <c r="O460" s="3" t="n">
        <v>0</v>
      </c>
      <c r="P460" s="3" t="n">
        <v>0</v>
      </c>
      <c r="Q460" s="3" t="n">
        <v>0</v>
      </c>
      <c r="R460" s="3" t="n">
        <v>0</v>
      </c>
      <c r="S460" s="3" t="n">
        <v>0</v>
      </c>
      <c r="T460" s="3" t="n">
        <v>0</v>
      </c>
      <c r="U460" s="3" t="n">
        <v>0</v>
      </c>
      <c r="V460" s="3" t="n">
        <v>0</v>
      </c>
      <c r="W460" s="3" t="n">
        <v>0</v>
      </c>
      <c r="X460" s="3" t="n">
        <v>0</v>
      </c>
      <c r="Y460" s="3" t="n">
        <v>0</v>
      </c>
      <c r="Z460" s="3" t="n">
        <v>0</v>
      </c>
      <c r="AA460" s="3" t="n">
        <v>0</v>
      </c>
      <c r="AB460" s="3" t="n">
        <v>0</v>
      </c>
      <c r="AC460" s="3" t="n">
        <v>0</v>
      </c>
      <c r="AD460" s="3" t="n">
        <v>0</v>
      </c>
      <c r="AE460" s="3" t="n">
        <v>0</v>
      </c>
      <c r="AG460" s="20" t="inlineStr">
        <is>
          <t>egy.mit.ener.avi.lpg.3</t>
        </is>
      </c>
      <c r="AH460" s="3" t="n">
        <v>0</v>
      </c>
      <c r="AI460" s="3" t="n">
        <v>0</v>
      </c>
      <c r="AJ460" s="3" t="n">
        <v>0</v>
      </c>
      <c r="AK460" s="3" t="n">
        <v>0</v>
      </c>
      <c r="AL460" s="3" t="n">
        <v>0</v>
      </c>
      <c r="AM460" s="3" t="n">
        <v>0</v>
      </c>
      <c r="AN460" s="3" t="n">
        <v>0</v>
      </c>
      <c r="AO460" s="3" t="n">
        <v>0</v>
      </c>
      <c r="AP460" s="3" t="n">
        <v>0</v>
      </c>
      <c r="AQ460" s="3" t="n">
        <v>0</v>
      </c>
      <c r="AR460" s="3" t="n">
        <v>0</v>
      </c>
      <c r="AS460" s="3" t="n">
        <v>0</v>
      </c>
      <c r="AT460" s="3" t="n">
        <v>0</v>
      </c>
      <c r="AU460" s="3" t="n">
        <v>0</v>
      </c>
      <c r="AV460" s="3" t="n">
        <v>0</v>
      </c>
      <c r="AW460" s="3" t="n">
        <v>0</v>
      </c>
      <c r="AX460" s="3" t="n">
        <v>0</v>
      </c>
      <c r="AY460" s="3" t="n">
        <v>0</v>
      </c>
      <c r="AZ460" s="3" t="n">
        <v>0</v>
      </c>
      <c r="BA460" s="3" t="n">
        <v>0</v>
      </c>
      <c r="BC460" s="20" t="inlineStr">
        <is>
          <t>egy.mit.ener.avi.lpg.4</t>
        </is>
      </c>
      <c r="BD460" s="3" t="n">
        <v>0</v>
      </c>
      <c r="BE460" s="3" t="n">
        <v>0</v>
      </c>
      <c r="BF460" s="3" t="n">
        <v>0</v>
      </c>
      <c r="BG460" s="3" t="n">
        <v>0</v>
      </c>
      <c r="BH460" s="3" t="n">
        <v>0</v>
      </c>
      <c r="BI460" s="3" t="n">
        <v>0</v>
      </c>
      <c r="BJ460" s="3" t="n">
        <v>0</v>
      </c>
      <c r="BK460" s="3" t="n">
        <v>0</v>
      </c>
      <c r="BL460" s="3" t="n">
        <v>0</v>
      </c>
      <c r="BM460" s="3" t="n">
        <v>0</v>
      </c>
      <c r="BN460" s="3" t="n">
        <v>0</v>
      </c>
      <c r="BO460" s="3" t="n">
        <v>0</v>
      </c>
      <c r="BP460" s="3" t="n">
        <v>0</v>
      </c>
      <c r="BQ460" s="3" t="n">
        <v>0</v>
      </c>
      <c r="BR460" s="3" t="n">
        <v>0</v>
      </c>
      <c r="BS460" s="3" t="n">
        <v>0</v>
      </c>
      <c r="BT460" s="3" t="n">
        <v>0</v>
      </c>
      <c r="BU460" s="3" t="n">
        <v>0</v>
      </c>
      <c r="BV460" s="3" t="n">
        <v>0</v>
      </c>
      <c r="BW460" s="3" t="n">
        <v>0</v>
      </c>
      <c r="BY460" s="20" t="inlineStr">
        <is>
          <t>egy.mit.ener.avi.lpg.5</t>
        </is>
      </c>
      <c r="BZ460" s="3" t="n">
        <v>0</v>
      </c>
      <c r="CA460" s="3" t="n">
        <v>0</v>
      </c>
      <c r="CB460" s="3" t="n">
        <v>0</v>
      </c>
      <c r="CC460" s="3" t="n">
        <v>0</v>
      </c>
      <c r="CD460" s="3" t="n">
        <v>0</v>
      </c>
      <c r="CE460" s="3" t="n">
        <v>0</v>
      </c>
      <c r="CF460" s="3" t="n">
        <v>0</v>
      </c>
      <c r="CG460" s="3" t="n">
        <v>0</v>
      </c>
      <c r="CH460" s="3" t="n">
        <v>0</v>
      </c>
      <c r="CI460" s="3" t="n">
        <v>0</v>
      </c>
      <c r="CJ460" s="3" t="n">
        <v>0</v>
      </c>
      <c r="CK460" s="3" t="n">
        <v>0</v>
      </c>
      <c r="CL460" s="3" t="n">
        <v>0</v>
      </c>
      <c r="CM460" s="3" t="n">
        <v>0</v>
      </c>
      <c r="CN460" s="3" t="n">
        <v>0</v>
      </c>
      <c r="CO460" s="3" t="n">
        <v>0</v>
      </c>
      <c r="CP460" s="3" t="n">
        <v>0</v>
      </c>
      <c r="CQ460" s="3" t="n">
        <v>0</v>
      </c>
      <c r="CR460" s="3" t="n">
        <v>0</v>
      </c>
      <c r="CS460" s="3" t="n">
        <v>0</v>
      </c>
      <c r="CU460" s="20" t="inlineStr">
        <is>
          <t>egy.mit.ener.avi.lpg.6</t>
        </is>
      </c>
      <c r="CV460" s="3" t="n">
        <v>0</v>
      </c>
      <c r="CW460" s="3" t="n">
        <v>0</v>
      </c>
      <c r="CX460" s="3" t="n">
        <v>0</v>
      </c>
      <c r="CY460" s="3" t="n">
        <v>0</v>
      </c>
      <c r="CZ460" s="3" t="n">
        <v>0</v>
      </c>
      <c r="DA460" s="3" t="n">
        <v>0</v>
      </c>
      <c r="DB460" s="3" t="n">
        <v>0</v>
      </c>
      <c r="DC460" s="3" t="n">
        <v>0</v>
      </c>
      <c r="DD460" s="3" t="n">
        <v>0</v>
      </c>
      <c r="DE460" s="3" t="n">
        <v>0</v>
      </c>
      <c r="DF460" s="3" t="n">
        <v>0</v>
      </c>
      <c r="DG460" s="3" t="n">
        <v>0</v>
      </c>
      <c r="DH460" s="3" t="n">
        <v>0</v>
      </c>
      <c r="DI460" s="3" t="n">
        <v>0</v>
      </c>
      <c r="DJ460" s="3" t="n">
        <v>0</v>
      </c>
      <c r="DK460" s="3" t="n">
        <v>0</v>
      </c>
      <c r="DL460" s="3" t="n">
        <v>0</v>
      </c>
      <c r="DM460" s="3" t="n">
        <v>0</v>
      </c>
      <c r="DN460" s="3" t="n">
        <v>0</v>
      </c>
      <c r="DO460" s="3" t="n">
        <v>0</v>
      </c>
    </row>
    <row r="461">
      <c r="A461" s="19" t="inlineStr">
        <is>
          <t>mit.ener.avi.ker</t>
        </is>
      </c>
      <c r="B461" s="3" t="inlineStr">
        <is>
          <t>mit</t>
        </is>
      </c>
      <c r="C461" s="19" t="n"/>
      <c r="H461" s="3" t="inlineStr">
        <is>
          <t>Fuel use | Domestic aviation | Kerosene</t>
        </is>
      </c>
      <c r="I461" s="3" t="inlineStr">
        <is>
          <t>ktoe</t>
        </is>
      </c>
      <c r="K461" s="20" t="inlineStr">
        <is>
          <t>egy.mit.ener.avi.ker.1</t>
        </is>
      </c>
      <c r="L461" s="3" t="n">
        <v>0</v>
      </c>
      <c r="M461" s="3" t="n">
        <v>0</v>
      </c>
      <c r="N461" s="3" t="n">
        <v>0</v>
      </c>
      <c r="O461" s="3" t="n">
        <v>0</v>
      </c>
      <c r="P461" s="3" t="n">
        <v>0</v>
      </c>
      <c r="Q461" s="3" t="n">
        <v>0</v>
      </c>
      <c r="R461" s="3" t="n">
        <v>0</v>
      </c>
      <c r="S461" s="3" t="n">
        <v>0</v>
      </c>
      <c r="T461" s="3" t="n">
        <v>0</v>
      </c>
      <c r="U461" s="3" t="n">
        <v>0</v>
      </c>
      <c r="V461" s="3" t="n">
        <v>0</v>
      </c>
      <c r="W461" s="3" t="n">
        <v>0</v>
      </c>
      <c r="X461" s="3" t="n">
        <v>0</v>
      </c>
      <c r="Y461" s="3" t="n">
        <v>0</v>
      </c>
      <c r="Z461" s="3" t="n">
        <v>0</v>
      </c>
      <c r="AA461" s="3" t="n">
        <v>0</v>
      </c>
      <c r="AB461" s="3" t="n">
        <v>0</v>
      </c>
      <c r="AC461" s="3" t="n">
        <v>0</v>
      </c>
      <c r="AD461" s="3" t="n">
        <v>0</v>
      </c>
      <c r="AE461" s="3" t="n">
        <v>0</v>
      </c>
      <c r="AG461" s="20" t="inlineStr">
        <is>
          <t>egy.mit.ener.avi.ker.3</t>
        </is>
      </c>
      <c r="AH461" s="3" t="n">
        <v>0</v>
      </c>
      <c r="AI461" s="3" t="n">
        <v>0</v>
      </c>
      <c r="AJ461" s="3" t="n">
        <v>0</v>
      </c>
      <c r="AK461" s="3" t="n">
        <v>0</v>
      </c>
      <c r="AL461" s="3" t="n">
        <v>0</v>
      </c>
      <c r="AM461" s="3" t="n">
        <v>0</v>
      </c>
      <c r="AN461" s="3" t="n">
        <v>0</v>
      </c>
      <c r="AO461" s="3" t="n">
        <v>0</v>
      </c>
      <c r="AP461" s="3" t="n">
        <v>0</v>
      </c>
      <c r="AQ461" s="3" t="n">
        <v>0</v>
      </c>
      <c r="AR461" s="3" t="n">
        <v>0</v>
      </c>
      <c r="AS461" s="3" t="n">
        <v>0</v>
      </c>
      <c r="AT461" s="3" t="n">
        <v>0</v>
      </c>
      <c r="AU461" s="3" t="n">
        <v>0</v>
      </c>
      <c r="AV461" s="3" t="n">
        <v>0</v>
      </c>
      <c r="AW461" s="3" t="n">
        <v>0</v>
      </c>
      <c r="AX461" s="3" t="n">
        <v>0</v>
      </c>
      <c r="AY461" s="3" t="n">
        <v>0</v>
      </c>
      <c r="AZ461" s="3" t="n">
        <v>0</v>
      </c>
      <c r="BA461" s="3" t="n">
        <v>0</v>
      </c>
      <c r="BC461" s="20" t="inlineStr">
        <is>
          <t>egy.mit.ener.avi.ker.4</t>
        </is>
      </c>
      <c r="BD461" s="3" t="n">
        <v>0</v>
      </c>
      <c r="BE461" s="3" t="n">
        <v>0</v>
      </c>
      <c r="BF461" s="3" t="n">
        <v>0</v>
      </c>
      <c r="BG461" s="3" t="n">
        <v>0</v>
      </c>
      <c r="BH461" s="3" t="n">
        <v>0</v>
      </c>
      <c r="BI461" s="3" t="n">
        <v>0</v>
      </c>
      <c r="BJ461" s="3" t="n">
        <v>0</v>
      </c>
      <c r="BK461" s="3" t="n">
        <v>0</v>
      </c>
      <c r="BL461" s="3" t="n">
        <v>0</v>
      </c>
      <c r="BM461" s="3" t="n">
        <v>0</v>
      </c>
      <c r="BN461" s="3" t="n">
        <v>0</v>
      </c>
      <c r="BO461" s="3" t="n">
        <v>0</v>
      </c>
      <c r="BP461" s="3" t="n">
        <v>0</v>
      </c>
      <c r="BQ461" s="3" t="n">
        <v>0</v>
      </c>
      <c r="BR461" s="3" t="n">
        <v>0</v>
      </c>
      <c r="BS461" s="3" t="n">
        <v>0</v>
      </c>
      <c r="BT461" s="3" t="n">
        <v>0</v>
      </c>
      <c r="BU461" s="3" t="n">
        <v>0</v>
      </c>
      <c r="BV461" s="3" t="n">
        <v>0</v>
      </c>
      <c r="BW461" s="3" t="n">
        <v>0</v>
      </c>
      <c r="BY461" s="20" t="inlineStr">
        <is>
          <t>egy.mit.ener.avi.ker.5</t>
        </is>
      </c>
      <c r="BZ461" s="3" t="n">
        <v>0</v>
      </c>
      <c r="CA461" s="3" t="n">
        <v>0</v>
      </c>
      <c r="CB461" s="3" t="n">
        <v>0</v>
      </c>
      <c r="CC461" s="3" t="n">
        <v>0</v>
      </c>
      <c r="CD461" s="3" t="n">
        <v>0</v>
      </c>
      <c r="CE461" s="3" t="n">
        <v>0</v>
      </c>
      <c r="CF461" s="3" t="n">
        <v>0</v>
      </c>
      <c r="CG461" s="3" t="n">
        <v>0</v>
      </c>
      <c r="CH461" s="3" t="n">
        <v>0</v>
      </c>
      <c r="CI461" s="3" t="n">
        <v>0</v>
      </c>
      <c r="CJ461" s="3" t="n">
        <v>0</v>
      </c>
      <c r="CK461" s="3" t="n">
        <v>0</v>
      </c>
      <c r="CL461" s="3" t="n">
        <v>0</v>
      </c>
      <c r="CM461" s="3" t="n">
        <v>0</v>
      </c>
      <c r="CN461" s="3" t="n">
        <v>0</v>
      </c>
      <c r="CO461" s="3" t="n">
        <v>0</v>
      </c>
      <c r="CP461" s="3" t="n">
        <v>0</v>
      </c>
      <c r="CQ461" s="3" t="n">
        <v>0</v>
      </c>
      <c r="CR461" s="3" t="n">
        <v>0</v>
      </c>
      <c r="CS461" s="3" t="n">
        <v>0</v>
      </c>
      <c r="CU461" s="20" t="inlineStr">
        <is>
          <t>egy.mit.ener.avi.ker.6</t>
        </is>
      </c>
      <c r="CV461" s="3" t="n">
        <v>0</v>
      </c>
      <c r="CW461" s="3" t="n">
        <v>0</v>
      </c>
      <c r="CX461" s="3" t="n">
        <v>0</v>
      </c>
      <c r="CY461" s="3" t="n">
        <v>0</v>
      </c>
      <c r="CZ461" s="3" t="n">
        <v>0</v>
      </c>
      <c r="DA461" s="3" t="n">
        <v>0</v>
      </c>
      <c r="DB461" s="3" t="n">
        <v>0</v>
      </c>
      <c r="DC461" s="3" t="n">
        <v>0</v>
      </c>
      <c r="DD461" s="3" t="n">
        <v>0</v>
      </c>
      <c r="DE461" s="3" t="n">
        <v>0</v>
      </c>
      <c r="DF461" s="3" t="n">
        <v>0</v>
      </c>
      <c r="DG461" s="3" t="n">
        <v>0</v>
      </c>
      <c r="DH461" s="3" t="n">
        <v>0</v>
      </c>
      <c r="DI461" s="3" t="n">
        <v>0</v>
      </c>
      <c r="DJ461" s="3" t="n">
        <v>0</v>
      </c>
      <c r="DK461" s="3" t="n">
        <v>0</v>
      </c>
      <c r="DL461" s="3" t="n">
        <v>0</v>
      </c>
      <c r="DM461" s="3" t="n">
        <v>0</v>
      </c>
      <c r="DN461" s="3" t="n">
        <v>0</v>
      </c>
      <c r="DO461" s="3" t="n">
        <v>0</v>
      </c>
    </row>
    <row r="462">
      <c r="A462" s="19" t="inlineStr">
        <is>
          <t>mit.ener.avi.oop</t>
        </is>
      </c>
      <c r="B462" s="3" t="inlineStr">
        <is>
          <t>mit</t>
        </is>
      </c>
      <c r="C462" s="19" t="n"/>
      <c r="H462" s="3" t="inlineStr">
        <is>
          <t>Fuel use | Domestic aviation | Other oil products</t>
        </is>
      </c>
      <c r="I462" s="3" t="inlineStr">
        <is>
          <t>ktoe</t>
        </is>
      </c>
      <c r="K462" s="20" t="inlineStr">
        <is>
          <t>egy.mit.ener.avi.oop.1</t>
        </is>
      </c>
      <c r="L462" s="3" t="n">
        <v>0</v>
      </c>
      <c r="M462" s="3" t="n">
        <v>0</v>
      </c>
      <c r="N462" s="3" t="n">
        <v>0</v>
      </c>
      <c r="O462" s="3" t="n">
        <v>0</v>
      </c>
      <c r="P462" s="3" t="n">
        <v>0</v>
      </c>
      <c r="Q462" s="3" t="n">
        <v>0</v>
      </c>
      <c r="R462" s="3" t="n">
        <v>0</v>
      </c>
      <c r="S462" s="3" t="n">
        <v>0</v>
      </c>
      <c r="T462" s="3" t="n">
        <v>0</v>
      </c>
      <c r="U462" s="3" t="n">
        <v>0</v>
      </c>
      <c r="V462" s="3" t="n">
        <v>0</v>
      </c>
      <c r="W462" s="3" t="n">
        <v>0</v>
      </c>
      <c r="X462" s="3" t="n">
        <v>0</v>
      </c>
      <c r="Y462" s="3" t="n">
        <v>0</v>
      </c>
      <c r="Z462" s="3" t="n">
        <v>0</v>
      </c>
      <c r="AA462" s="3" t="n">
        <v>0</v>
      </c>
      <c r="AB462" s="3" t="n">
        <v>0</v>
      </c>
      <c r="AC462" s="3" t="n">
        <v>0</v>
      </c>
      <c r="AD462" s="3" t="n">
        <v>0</v>
      </c>
      <c r="AE462" s="3" t="n">
        <v>0</v>
      </c>
      <c r="AG462" s="20" t="inlineStr">
        <is>
          <t>egy.mit.ener.avi.oop.3</t>
        </is>
      </c>
      <c r="AH462" s="3" t="n">
        <v>0</v>
      </c>
      <c r="AI462" s="3" t="n">
        <v>0</v>
      </c>
      <c r="AJ462" s="3" t="n">
        <v>0</v>
      </c>
      <c r="AK462" s="3" t="n">
        <v>0</v>
      </c>
      <c r="AL462" s="3" t="n">
        <v>0</v>
      </c>
      <c r="AM462" s="3" t="n">
        <v>0</v>
      </c>
      <c r="AN462" s="3" t="n">
        <v>0</v>
      </c>
      <c r="AO462" s="3" t="n">
        <v>0</v>
      </c>
      <c r="AP462" s="3" t="n">
        <v>0</v>
      </c>
      <c r="AQ462" s="3" t="n">
        <v>0</v>
      </c>
      <c r="AR462" s="3" t="n">
        <v>0</v>
      </c>
      <c r="AS462" s="3" t="n">
        <v>0</v>
      </c>
      <c r="AT462" s="3" t="n">
        <v>0</v>
      </c>
      <c r="AU462" s="3" t="n">
        <v>0</v>
      </c>
      <c r="AV462" s="3" t="n">
        <v>0</v>
      </c>
      <c r="AW462" s="3" t="n">
        <v>0</v>
      </c>
      <c r="AX462" s="3" t="n">
        <v>0</v>
      </c>
      <c r="AY462" s="3" t="n">
        <v>0</v>
      </c>
      <c r="AZ462" s="3" t="n">
        <v>0</v>
      </c>
      <c r="BA462" s="3" t="n">
        <v>0</v>
      </c>
      <c r="BC462" s="20" t="inlineStr">
        <is>
          <t>egy.mit.ener.avi.oop.4</t>
        </is>
      </c>
      <c r="BD462" s="3" t="n">
        <v>0</v>
      </c>
      <c r="BE462" s="3" t="n">
        <v>0</v>
      </c>
      <c r="BF462" s="3" t="n">
        <v>0</v>
      </c>
      <c r="BG462" s="3" t="n">
        <v>0</v>
      </c>
      <c r="BH462" s="3" t="n">
        <v>0</v>
      </c>
      <c r="BI462" s="3" t="n">
        <v>0</v>
      </c>
      <c r="BJ462" s="3" t="n">
        <v>0</v>
      </c>
      <c r="BK462" s="3" t="n">
        <v>0</v>
      </c>
      <c r="BL462" s="3" t="n">
        <v>0</v>
      </c>
      <c r="BM462" s="3" t="n">
        <v>0</v>
      </c>
      <c r="BN462" s="3" t="n">
        <v>0</v>
      </c>
      <c r="BO462" s="3" t="n">
        <v>0</v>
      </c>
      <c r="BP462" s="3" t="n">
        <v>0</v>
      </c>
      <c r="BQ462" s="3" t="n">
        <v>0</v>
      </c>
      <c r="BR462" s="3" t="n">
        <v>0</v>
      </c>
      <c r="BS462" s="3" t="n">
        <v>0</v>
      </c>
      <c r="BT462" s="3" t="n">
        <v>0</v>
      </c>
      <c r="BU462" s="3" t="n">
        <v>0</v>
      </c>
      <c r="BV462" s="3" t="n">
        <v>0</v>
      </c>
      <c r="BW462" s="3" t="n">
        <v>0</v>
      </c>
      <c r="BY462" s="20" t="inlineStr">
        <is>
          <t>egy.mit.ener.avi.oop.5</t>
        </is>
      </c>
      <c r="BZ462" s="3" t="n">
        <v>0</v>
      </c>
      <c r="CA462" s="3" t="n">
        <v>0</v>
      </c>
      <c r="CB462" s="3" t="n">
        <v>0</v>
      </c>
      <c r="CC462" s="3" t="n">
        <v>0</v>
      </c>
      <c r="CD462" s="3" t="n">
        <v>0</v>
      </c>
      <c r="CE462" s="3" t="n">
        <v>0</v>
      </c>
      <c r="CF462" s="3" t="n">
        <v>0</v>
      </c>
      <c r="CG462" s="3" t="n">
        <v>0</v>
      </c>
      <c r="CH462" s="3" t="n">
        <v>0</v>
      </c>
      <c r="CI462" s="3" t="n">
        <v>0</v>
      </c>
      <c r="CJ462" s="3" t="n">
        <v>0</v>
      </c>
      <c r="CK462" s="3" t="n">
        <v>0</v>
      </c>
      <c r="CL462" s="3" t="n">
        <v>0</v>
      </c>
      <c r="CM462" s="3" t="n">
        <v>0</v>
      </c>
      <c r="CN462" s="3" t="n">
        <v>0</v>
      </c>
      <c r="CO462" s="3" t="n">
        <v>0</v>
      </c>
      <c r="CP462" s="3" t="n">
        <v>0</v>
      </c>
      <c r="CQ462" s="3" t="n">
        <v>0</v>
      </c>
      <c r="CR462" s="3" t="n">
        <v>0</v>
      </c>
      <c r="CS462" s="3" t="n">
        <v>0</v>
      </c>
      <c r="CU462" s="20" t="inlineStr">
        <is>
          <t>egy.mit.ener.avi.oop.6</t>
        </is>
      </c>
      <c r="CV462" s="3" t="n">
        <v>0</v>
      </c>
      <c r="CW462" s="3" t="n">
        <v>0</v>
      </c>
      <c r="CX462" s="3" t="n">
        <v>0</v>
      </c>
      <c r="CY462" s="3" t="n">
        <v>0</v>
      </c>
      <c r="CZ462" s="3" t="n">
        <v>0</v>
      </c>
      <c r="DA462" s="3" t="n">
        <v>0</v>
      </c>
      <c r="DB462" s="3" t="n">
        <v>0</v>
      </c>
      <c r="DC462" s="3" t="n">
        <v>0</v>
      </c>
      <c r="DD462" s="3" t="n">
        <v>0</v>
      </c>
      <c r="DE462" s="3" t="n">
        <v>0</v>
      </c>
      <c r="DF462" s="3" t="n">
        <v>0</v>
      </c>
      <c r="DG462" s="3" t="n">
        <v>0</v>
      </c>
      <c r="DH462" s="3" t="n">
        <v>0</v>
      </c>
      <c r="DI462" s="3" t="n">
        <v>0</v>
      </c>
      <c r="DJ462" s="3" t="n">
        <v>0</v>
      </c>
      <c r="DK462" s="3" t="n">
        <v>0</v>
      </c>
      <c r="DL462" s="3" t="n">
        <v>0</v>
      </c>
      <c r="DM462" s="3" t="n">
        <v>0</v>
      </c>
      <c r="DN462" s="3" t="n">
        <v>0</v>
      </c>
      <c r="DO462" s="3" t="n">
        <v>0</v>
      </c>
    </row>
    <row r="463">
      <c r="A463" s="19" t="inlineStr">
        <is>
          <t>mit.ener.avi.bio</t>
        </is>
      </c>
      <c r="B463" s="3" t="inlineStr">
        <is>
          <t>mit</t>
        </is>
      </c>
      <c r="C463" s="19" t="n"/>
      <c r="H463" s="3" t="inlineStr">
        <is>
          <t>Fuel use | Domestic aviation | Biomass</t>
        </is>
      </c>
      <c r="I463" s="3" t="inlineStr">
        <is>
          <t>ktoe</t>
        </is>
      </c>
      <c r="K463" s="20" t="inlineStr">
        <is>
          <t>egy.mit.ener.avi.bio.1</t>
        </is>
      </c>
      <c r="L463" s="3" t="n">
        <v>0</v>
      </c>
      <c r="M463" s="3" t="n">
        <v>0</v>
      </c>
      <c r="N463" s="3" t="n">
        <v>0</v>
      </c>
      <c r="O463" s="3" t="n">
        <v>0</v>
      </c>
      <c r="P463" s="3" t="n">
        <v>0</v>
      </c>
      <c r="Q463" s="3" t="n">
        <v>0</v>
      </c>
      <c r="R463" s="3" t="n">
        <v>0</v>
      </c>
      <c r="S463" s="3" t="n">
        <v>0</v>
      </c>
      <c r="T463" s="3" t="n">
        <v>0</v>
      </c>
      <c r="U463" s="3" t="n">
        <v>0</v>
      </c>
      <c r="V463" s="3" t="n">
        <v>0</v>
      </c>
      <c r="W463" s="3" t="n">
        <v>0</v>
      </c>
      <c r="X463" s="3" t="n">
        <v>0</v>
      </c>
      <c r="Y463" s="3" t="n">
        <v>0</v>
      </c>
      <c r="Z463" s="3" t="n">
        <v>0</v>
      </c>
      <c r="AA463" s="3" t="n">
        <v>0</v>
      </c>
      <c r="AB463" s="3" t="n">
        <v>0</v>
      </c>
      <c r="AC463" s="3" t="n">
        <v>0</v>
      </c>
      <c r="AD463" s="3" t="n">
        <v>0</v>
      </c>
      <c r="AE463" s="3" t="n">
        <v>0</v>
      </c>
      <c r="AG463" s="20" t="inlineStr">
        <is>
          <t>egy.mit.ener.avi.bio.3</t>
        </is>
      </c>
      <c r="AH463" s="3" t="n">
        <v>0</v>
      </c>
      <c r="AI463" s="3" t="n">
        <v>0</v>
      </c>
      <c r="AJ463" s="3" t="n">
        <v>0</v>
      </c>
      <c r="AK463" s="3" t="n">
        <v>0</v>
      </c>
      <c r="AL463" s="3" t="n">
        <v>0</v>
      </c>
      <c r="AM463" s="3" t="n">
        <v>0</v>
      </c>
      <c r="AN463" s="3" t="n">
        <v>0</v>
      </c>
      <c r="AO463" s="3" t="n">
        <v>0</v>
      </c>
      <c r="AP463" s="3" t="n">
        <v>0</v>
      </c>
      <c r="AQ463" s="3" t="n">
        <v>0</v>
      </c>
      <c r="AR463" s="3" t="n">
        <v>0</v>
      </c>
      <c r="AS463" s="3" t="n">
        <v>0</v>
      </c>
      <c r="AT463" s="3" t="n">
        <v>0</v>
      </c>
      <c r="AU463" s="3" t="n">
        <v>0</v>
      </c>
      <c r="AV463" s="3" t="n">
        <v>0</v>
      </c>
      <c r="AW463" s="3" t="n">
        <v>0</v>
      </c>
      <c r="AX463" s="3" t="n">
        <v>0</v>
      </c>
      <c r="AY463" s="3" t="n">
        <v>0</v>
      </c>
      <c r="AZ463" s="3" t="n">
        <v>0</v>
      </c>
      <c r="BA463" s="3" t="n">
        <v>0</v>
      </c>
      <c r="BC463" s="20" t="inlineStr">
        <is>
          <t>egy.mit.ener.avi.bio.4</t>
        </is>
      </c>
      <c r="BD463" s="3" t="n">
        <v>0</v>
      </c>
      <c r="BE463" s="3" t="n">
        <v>0</v>
      </c>
      <c r="BF463" s="3" t="n">
        <v>0</v>
      </c>
      <c r="BG463" s="3" t="n">
        <v>0</v>
      </c>
      <c r="BH463" s="3" t="n">
        <v>0</v>
      </c>
      <c r="BI463" s="3" t="n">
        <v>0</v>
      </c>
      <c r="BJ463" s="3" t="n">
        <v>0</v>
      </c>
      <c r="BK463" s="3" t="n">
        <v>0</v>
      </c>
      <c r="BL463" s="3" t="n">
        <v>0</v>
      </c>
      <c r="BM463" s="3" t="n">
        <v>0</v>
      </c>
      <c r="BN463" s="3" t="n">
        <v>0</v>
      </c>
      <c r="BO463" s="3" t="n">
        <v>0</v>
      </c>
      <c r="BP463" s="3" t="n">
        <v>0</v>
      </c>
      <c r="BQ463" s="3" t="n">
        <v>0</v>
      </c>
      <c r="BR463" s="3" t="n">
        <v>0</v>
      </c>
      <c r="BS463" s="3" t="n">
        <v>0</v>
      </c>
      <c r="BT463" s="3" t="n">
        <v>0</v>
      </c>
      <c r="BU463" s="3" t="n">
        <v>0</v>
      </c>
      <c r="BV463" s="3" t="n">
        <v>0</v>
      </c>
      <c r="BW463" s="3" t="n">
        <v>0</v>
      </c>
      <c r="BY463" s="20" t="inlineStr">
        <is>
          <t>egy.mit.ener.avi.bio.5</t>
        </is>
      </c>
      <c r="BZ463" s="3" t="n">
        <v>0</v>
      </c>
      <c r="CA463" s="3" t="n">
        <v>0</v>
      </c>
      <c r="CB463" s="3" t="n">
        <v>0</v>
      </c>
      <c r="CC463" s="3" t="n">
        <v>0</v>
      </c>
      <c r="CD463" s="3" t="n">
        <v>0</v>
      </c>
      <c r="CE463" s="3" t="n">
        <v>0</v>
      </c>
      <c r="CF463" s="3" t="n">
        <v>0</v>
      </c>
      <c r="CG463" s="3" t="n">
        <v>0</v>
      </c>
      <c r="CH463" s="3" t="n">
        <v>0</v>
      </c>
      <c r="CI463" s="3" t="n">
        <v>0</v>
      </c>
      <c r="CJ463" s="3" t="n">
        <v>0</v>
      </c>
      <c r="CK463" s="3" t="n">
        <v>0</v>
      </c>
      <c r="CL463" s="3" t="n">
        <v>0</v>
      </c>
      <c r="CM463" s="3" t="n">
        <v>0</v>
      </c>
      <c r="CN463" s="3" t="n">
        <v>0</v>
      </c>
      <c r="CO463" s="3" t="n">
        <v>0</v>
      </c>
      <c r="CP463" s="3" t="n">
        <v>0</v>
      </c>
      <c r="CQ463" s="3" t="n">
        <v>0</v>
      </c>
      <c r="CR463" s="3" t="n">
        <v>0</v>
      </c>
      <c r="CS463" s="3" t="n">
        <v>0</v>
      </c>
      <c r="CU463" s="20" t="inlineStr">
        <is>
          <t>egy.mit.ener.avi.bio.6</t>
        </is>
      </c>
      <c r="CV463" s="3" t="n">
        <v>0</v>
      </c>
      <c r="CW463" s="3" t="n">
        <v>0</v>
      </c>
      <c r="CX463" s="3" t="n">
        <v>0</v>
      </c>
      <c r="CY463" s="3" t="n">
        <v>0</v>
      </c>
      <c r="CZ463" s="3" t="n">
        <v>0</v>
      </c>
      <c r="DA463" s="3" t="n">
        <v>0</v>
      </c>
      <c r="DB463" s="3" t="n">
        <v>0</v>
      </c>
      <c r="DC463" s="3" t="n">
        <v>0</v>
      </c>
      <c r="DD463" s="3" t="n">
        <v>0</v>
      </c>
      <c r="DE463" s="3" t="n">
        <v>0</v>
      </c>
      <c r="DF463" s="3" t="n">
        <v>0</v>
      </c>
      <c r="DG463" s="3" t="n">
        <v>0</v>
      </c>
      <c r="DH463" s="3" t="n">
        <v>0</v>
      </c>
      <c r="DI463" s="3" t="n">
        <v>0</v>
      </c>
      <c r="DJ463" s="3" t="n">
        <v>0</v>
      </c>
      <c r="DK463" s="3" t="n">
        <v>0</v>
      </c>
      <c r="DL463" s="3" t="n">
        <v>0</v>
      </c>
      <c r="DM463" s="3" t="n">
        <v>0</v>
      </c>
      <c r="DN463" s="3" t="n">
        <v>0</v>
      </c>
      <c r="DO463" s="3" t="n">
        <v>0</v>
      </c>
    </row>
    <row r="464">
      <c r="A464" s="19" t="inlineStr">
        <is>
          <t>mit.ener.avi.ren</t>
        </is>
      </c>
      <c r="B464" s="3" t="inlineStr">
        <is>
          <t>mit</t>
        </is>
      </c>
      <c r="C464" s="19" t="n"/>
      <c r="H464" s="3" t="inlineStr">
        <is>
          <t xml:space="preserve">Fuel use | Domestic aviation | </t>
        </is>
      </c>
      <c r="I464" s="3" t="inlineStr">
        <is>
          <t>ktoe</t>
        </is>
      </c>
      <c r="K464" s="20" t="inlineStr">
        <is>
          <t>egy.mit.ener.avi.ren.1</t>
        </is>
      </c>
      <c r="L464" s="3" t="n">
        <v>0</v>
      </c>
      <c r="M464" s="3" t="n">
        <v>0</v>
      </c>
      <c r="N464" s="3" t="n">
        <v>0</v>
      </c>
      <c r="O464" s="3" t="n">
        <v>0</v>
      </c>
      <c r="P464" s="3" t="n">
        <v>0</v>
      </c>
      <c r="Q464" s="3" t="n">
        <v>0</v>
      </c>
      <c r="R464" s="3" t="n">
        <v>0</v>
      </c>
      <c r="S464" s="3" t="n">
        <v>0</v>
      </c>
      <c r="T464" s="3" t="n">
        <v>0</v>
      </c>
      <c r="U464" s="3" t="n">
        <v>0</v>
      </c>
      <c r="V464" s="3" t="n">
        <v>0</v>
      </c>
      <c r="W464" s="3" t="n">
        <v>0</v>
      </c>
      <c r="X464" s="3" t="n">
        <v>0</v>
      </c>
      <c r="Y464" s="3" t="n">
        <v>0</v>
      </c>
      <c r="Z464" s="3" t="n">
        <v>0</v>
      </c>
      <c r="AA464" s="3" t="n">
        <v>0</v>
      </c>
      <c r="AB464" s="3" t="n">
        <v>0</v>
      </c>
      <c r="AC464" s="3" t="n">
        <v>0</v>
      </c>
      <c r="AD464" s="3" t="n">
        <v>0</v>
      </c>
      <c r="AE464" s="3" t="n">
        <v>0</v>
      </c>
      <c r="AG464" s="20" t="inlineStr">
        <is>
          <t>egy.mit.ener.avi.ren.3</t>
        </is>
      </c>
      <c r="AH464" s="3" t="n">
        <v>0</v>
      </c>
      <c r="AI464" s="3" t="n">
        <v>0</v>
      </c>
      <c r="AJ464" s="3" t="n">
        <v>0</v>
      </c>
      <c r="AK464" s="3" t="n">
        <v>0</v>
      </c>
      <c r="AL464" s="3" t="n">
        <v>0</v>
      </c>
      <c r="AM464" s="3" t="n">
        <v>0</v>
      </c>
      <c r="AN464" s="3" t="n">
        <v>0</v>
      </c>
      <c r="AO464" s="3" t="n">
        <v>0</v>
      </c>
      <c r="AP464" s="3" t="n">
        <v>0</v>
      </c>
      <c r="AQ464" s="3" t="n">
        <v>0</v>
      </c>
      <c r="AR464" s="3" t="n">
        <v>0</v>
      </c>
      <c r="AS464" s="3" t="n">
        <v>0</v>
      </c>
      <c r="AT464" s="3" t="n">
        <v>0</v>
      </c>
      <c r="AU464" s="3" t="n">
        <v>0</v>
      </c>
      <c r="AV464" s="3" t="n">
        <v>0</v>
      </c>
      <c r="AW464" s="3" t="n">
        <v>0</v>
      </c>
      <c r="AX464" s="3" t="n">
        <v>0</v>
      </c>
      <c r="AY464" s="3" t="n">
        <v>0</v>
      </c>
      <c r="AZ464" s="3" t="n">
        <v>0</v>
      </c>
      <c r="BA464" s="3" t="n">
        <v>0</v>
      </c>
      <c r="BC464" s="20" t="inlineStr">
        <is>
          <t>egy.mit.ener.avi.ren.4</t>
        </is>
      </c>
      <c r="BD464" s="3" t="n">
        <v>0</v>
      </c>
      <c r="BE464" s="3" t="n">
        <v>0</v>
      </c>
      <c r="BF464" s="3" t="n">
        <v>0</v>
      </c>
      <c r="BG464" s="3" t="n">
        <v>0</v>
      </c>
      <c r="BH464" s="3" t="n">
        <v>0</v>
      </c>
      <c r="BI464" s="3" t="n">
        <v>0</v>
      </c>
      <c r="BJ464" s="3" t="n">
        <v>0</v>
      </c>
      <c r="BK464" s="3" t="n">
        <v>0</v>
      </c>
      <c r="BL464" s="3" t="n">
        <v>0</v>
      </c>
      <c r="BM464" s="3" t="n">
        <v>0</v>
      </c>
      <c r="BN464" s="3" t="n">
        <v>0</v>
      </c>
      <c r="BO464" s="3" t="n">
        <v>0</v>
      </c>
      <c r="BP464" s="3" t="n">
        <v>0</v>
      </c>
      <c r="BQ464" s="3" t="n">
        <v>0</v>
      </c>
      <c r="BR464" s="3" t="n">
        <v>0</v>
      </c>
      <c r="BS464" s="3" t="n">
        <v>0</v>
      </c>
      <c r="BT464" s="3" t="n">
        <v>0</v>
      </c>
      <c r="BU464" s="3" t="n">
        <v>0</v>
      </c>
      <c r="BV464" s="3" t="n">
        <v>0</v>
      </c>
      <c r="BW464" s="3" t="n">
        <v>0</v>
      </c>
      <c r="BY464" s="20" t="inlineStr">
        <is>
          <t>egy.mit.ener.avi.ren.5</t>
        </is>
      </c>
      <c r="BZ464" s="3" t="n">
        <v>0</v>
      </c>
      <c r="CA464" s="3" t="n">
        <v>0</v>
      </c>
      <c r="CB464" s="3" t="n">
        <v>0</v>
      </c>
      <c r="CC464" s="3" t="n">
        <v>0</v>
      </c>
      <c r="CD464" s="3" t="n">
        <v>0</v>
      </c>
      <c r="CE464" s="3" t="n">
        <v>0</v>
      </c>
      <c r="CF464" s="3" t="n">
        <v>0</v>
      </c>
      <c r="CG464" s="3" t="n">
        <v>0</v>
      </c>
      <c r="CH464" s="3" t="n">
        <v>0</v>
      </c>
      <c r="CI464" s="3" t="n">
        <v>0</v>
      </c>
      <c r="CJ464" s="3" t="n">
        <v>0</v>
      </c>
      <c r="CK464" s="3" t="n">
        <v>0</v>
      </c>
      <c r="CL464" s="3" t="n">
        <v>0</v>
      </c>
      <c r="CM464" s="3" t="n">
        <v>0</v>
      </c>
      <c r="CN464" s="3" t="n">
        <v>0</v>
      </c>
      <c r="CO464" s="3" t="n">
        <v>0</v>
      </c>
      <c r="CP464" s="3" t="n">
        <v>0</v>
      </c>
      <c r="CQ464" s="3" t="n">
        <v>0</v>
      </c>
      <c r="CR464" s="3" t="n">
        <v>0</v>
      </c>
      <c r="CS464" s="3" t="n">
        <v>0</v>
      </c>
      <c r="CU464" s="20" t="inlineStr">
        <is>
          <t>egy.mit.ener.avi.ren.6</t>
        </is>
      </c>
      <c r="CV464" s="3" t="n">
        <v>0</v>
      </c>
      <c r="CW464" s="3" t="n">
        <v>0</v>
      </c>
      <c r="CX464" s="3" t="n">
        <v>0</v>
      </c>
      <c r="CY464" s="3" t="n">
        <v>0</v>
      </c>
      <c r="CZ464" s="3" t="n">
        <v>0</v>
      </c>
      <c r="DA464" s="3" t="n">
        <v>0</v>
      </c>
      <c r="DB464" s="3" t="n">
        <v>0</v>
      </c>
      <c r="DC464" s="3" t="n">
        <v>0</v>
      </c>
      <c r="DD464" s="3" t="n">
        <v>0</v>
      </c>
      <c r="DE464" s="3" t="n">
        <v>0</v>
      </c>
      <c r="DF464" s="3" t="n">
        <v>0</v>
      </c>
      <c r="DG464" s="3" t="n">
        <v>0</v>
      </c>
      <c r="DH464" s="3" t="n">
        <v>0</v>
      </c>
      <c r="DI464" s="3" t="n">
        <v>0</v>
      </c>
      <c r="DJ464" s="3" t="n">
        <v>0</v>
      </c>
      <c r="DK464" s="3" t="n">
        <v>0</v>
      </c>
      <c r="DL464" s="3" t="n">
        <v>0</v>
      </c>
      <c r="DM464" s="3" t="n">
        <v>0</v>
      </c>
      <c r="DN464" s="3" t="n">
        <v>0</v>
      </c>
      <c r="DO464" s="3" t="n">
        <v>0</v>
      </c>
    </row>
    <row r="465">
      <c r="A465" s="19" t="inlineStr">
        <is>
          <t>mit.ener.avi.jfu</t>
        </is>
      </c>
      <c r="B465" s="3" t="inlineStr">
        <is>
          <t>mit</t>
        </is>
      </c>
      <c r="C465" s="19" t="n"/>
      <c r="H465" s="3" t="inlineStr">
        <is>
          <t>Fuel use | Domestic aviation | Jet fuel</t>
        </is>
      </c>
      <c r="I465" s="3" t="inlineStr">
        <is>
          <t>ktoe</t>
        </is>
      </c>
      <c r="K465" s="20" t="inlineStr">
        <is>
          <t>egy.mit.ener.avi.jfu.1</t>
        </is>
      </c>
      <c r="L465" s="3" t="n">
        <v>634.7443659753001</v>
      </c>
      <c r="M465" s="3" t="n">
        <v>661.3006577717105</v>
      </c>
      <c r="N465" s="3" t="n">
        <v>717.5266437245251</v>
      </c>
      <c r="O465" s="3" t="n">
        <v>737.9161644056057</v>
      </c>
      <c r="P465" s="3" t="n">
        <v>757.7382872842696</v>
      </c>
      <c r="Q465" s="3" t="n">
        <v>781.4340713728429</v>
      </c>
      <c r="R465" s="3" t="n">
        <v>809.9044077129066</v>
      </c>
      <c r="S465" s="3" t="n">
        <v>837.0797637008928</v>
      </c>
      <c r="T465" s="3" t="n">
        <v>862.3435445476296</v>
      </c>
      <c r="U465" s="3" t="n">
        <v>887.8203734751726</v>
      </c>
      <c r="V465" s="3" t="n">
        <v>913.6050648043273</v>
      </c>
      <c r="W465" s="3" t="n">
        <v>939.6885698711833</v>
      </c>
      <c r="X465" s="3" t="n">
        <v>966.0616432433715</v>
      </c>
      <c r="Y465" s="3" t="n">
        <v>992.7148453442621</v>
      </c>
      <c r="Z465" s="3" t="n">
        <v>1019.638543944232</v>
      </c>
      <c r="AA465" s="3" t="n">
        <v>1046.82291451589</v>
      </c>
      <c r="AB465" s="3" t="n">
        <v>1074.257939453243</v>
      </c>
      <c r="AC465" s="3" t="n">
        <v>1101.933406157483</v>
      </c>
      <c r="AD465" s="3" t="n">
        <v>1129.838903994457</v>
      </c>
      <c r="AE465" s="3" t="n">
        <v>1157.963820130979</v>
      </c>
      <c r="AG465" s="20" t="inlineStr">
        <is>
          <t>egy.mit.ener.avi.jfu.3</t>
        </is>
      </c>
      <c r="AH465" s="3" t="n">
        <v>634.7443659753001</v>
      </c>
      <c r="AI465" s="3" t="n">
        <v>661.3006577717105</v>
      </c>
      <c r="AJ465" s="3" t="n">
        <v>717.5266437245251</v>
      </c>
      <c r="AK465" s="3" t="n">
        <v>737.9161644056057</v>
      </c>
      <c r="AL465" s="3" t="n">
        <v>757.7382872842696</v>
      </c>
      <c r="AM465" s="3" t="n">
        <v>702.6170423175877</v>
      </c>
      <c r="AN465" s="3" t="n">
        <v>728.2156921580911</v>
      </c>
      <c r="AO465" s="3" t="n">
        <v>752.9998024434868</v>
      </c>
      <c r="AP465" s="3" t="n">
        <v>774.9168908210107</v>
      </c>
      <c r="AQ465" s="3" t="n">
        <v>797.9539076738088</v>
      </c>
      <c r="AR465" s="3" t="n">
        <v>820.7887541336522</v>
      </c>
      <c r="AS465" s="3" t="n">
        <v>844.6802312965311</v>
      </c>
      <c r="AT465" s="3" t="n">
        <v>869.232393916623</v>
      </c>
      <c r="AU465" s="3" t="n">
        <v>893.8753404234956</v>
      </c>
      <c r="AV465" s="3" t="n">
        <v>918.9515157201237</v>
      </c>
      <c r="AW465" s="3" t="n">
        <v>944.6894210275824</v>
      </c>
      <c r="AX465" s="3" t="n">
        <v>970.3075514045925</v>
      </c>
      <c r="AY465" s="3" t="n">
        <v>995.9589561050295</v>
      </c>
      <c r="AZ465" s="3" t="n">
        <v>1021.34650373643</v>
      </c>
      <c r="BA465" s="3" t="n">
        <v>1046.7959993927</v>
      </c>
      <c r="BC465" s="20" t="inlineStr">
        <is>
          <t>egy.mit.ener.avi.jfu.4</t>
        </is>
      </c>
      <c r="BD465" s="3" t="n">
        <v>634.7443659753001</v>
      </c>
      <c r="BE465" s="3" t="n">
        <v>661.3006577717105</v>
      </c>
      <c r="BF465" s="3" t="n">
        <v>717.5266437245251</v>
      </c>
      <c r="BG465" s="3" t="n">
        <v>737.9161644056057</v>
      </c>
      <c r="BH465" s="3" t="n">
        <v>757.7382872842696</v>
      </c>
      <c r="BI465" s="3" t="n">
        <v>739.1780155818326</v>
      </c>
      <c r="BJ465" s="3" t="n">
        <v>716.6792223358216</v>
      </c>
      <c r="BK465" s="3" t="n">
        <v>697.9059995238734</v>
      </c>
      <c r="BL465" s="3" t="n">
        <v>680.8098083208607</v>
      </c>
      <c r="BM465" s="3" t="n">
        <v>666.8336750307195</v>
      </c>
      <c r="BN465" s="3" t="n">
        <v>655.2457144720431</v>
      </c>
      <c r="BO465" s="3" t="n">
        <v>645.9530662979804</v>
      </c>
      <c r="BP465" s="3" t="n">
        <v>638.7529368691539</v>
      </c>
      <c r="BQ465" s="3" t="n">
        <v>633.2027081202444</v>
      </c>
      <c r="BR465" s="3" t="n">
        <v>629.0536808149096</v>
      </c>
      <c r="BS465" s="3" t="n">
        <v>626.2229231925519</v>
      </c>
      <c r="BT465" s="3" t="n">
        <v>624.4011910401314</v>
      </c>
      <c r="BU465" s="3" t="n">
        <v>623.3698802832579</v>
      </c>
      <c r="BV465" s="3" t="n">
        <v>622.8142804276954</v>
      </c>
      <c r="BW465" s="3" t="n">
        <v>622.6112649799512</v>
      </c>
      <c r="BY465" s="20" t="inlineStr">
        <is>
          <t>egy.mit.ener.avi.jfu.5</t>
        </is>
      </c>
      <c r="BZ465" s="3" t="n">
        <v>634.7443659753001</v>
      </c>
      <c r="CA465" s="3" t="n">
        <v>661.3006577717105</v>
      </c>
      <c r="CB465" s="3" t="n">
        <v>717.5266437245251</v>
      </c>
      <c r="CC465" s="3" t="n">
        <v>737.9161644056057</v>
      </c>
      <c r="CD465" s="3" t="n">
        <v>757.7382872842696</v>
      </c>
      <c r="CE465" s="3" t="n">
        <v>686.0983900819828</v>
      </c>
      <c r="CF465" s="3" t="n">
        <v>711.0947116819182</v>
      </c>
      <c r="CG465" s="3" t="n">
        <v>735.2454715048704</v>
      </c>
      <c r="CH465" s="3" t="n">
        <v>756.6944267457213</v>
      </c>
      <c r="CI465" s="3" t="n">
        <v>779.3490272567365</v>
      </c>
      <c r="CJ465" s="3" t="n">
        <v>801.6101422653877</v>
      </c>
      <c r="CK465" s="3" t="n">
        <v>824.9985764132897</v>
      </c>
      <c r="CL465" s="3" t="n">
        <v>848.6993593270556</v>
      </c>
      <c r="CM465" s="3" t="n">
        <v>872.5415206437486</v>
      </c>
      <c r="CN465" s="3" t="n">
        <v>896.7936348695457</v>
      </c>
      <c r="CO465" s="3" t="n">
        <v>921.5864687250283</v>
      </c>
      <c r="CP465" s="3" t="n">
        <v>946.2823710505871</v>
      </c>
      <c r="CQ465" s="3" t="n">
        <v>971.1304121798814</v>
      </c>
      <c r="CR465" s="3" t="n">
        <v>995.8172733978868</v>
      </c>
      <c r="CS465" s="3" t="n">
        <v>1020.745920883191</v>
      </c>
      <c r="CU465" s="20" t="inlineStr">
        <is>
          <t>egy.mit.ener.avi.jfu.6</t>
        </is>
      </c>
      <c r="CV465" s="3" t="n">
        <v>634.7443659753001</v>
      </c>
      <c r="CW465" s="3" t="n">
        <v>661.3006577717105</v>
      </c>
      <c r="CX465" s="3" t="n">
        <v>717.5266437245251</v>
      </c>
      <c r="CY465" s="3" t="n">
        <v>737.9161644056057</v>
      </c>
      <c r="CZ465" s="3" t="n">
        <v>757.7382872842696</v>
      </c>
      <c r="DA465" s="3" t="n">
        <v>616.9679186542741</v>
      </c>
      <c r="DB465" s="3" t="n">
        <v>639.4459652412194</v>
      </c>
      <c r="DC465" s="3" t="n">
        <v>661.5592589535024</v>
      </c>
      <c r="DD465" s="3" t="n">
        <v>679.9803863010103</v>
      </c>
      <c r="DE465" s="3" t="n">
        <v>700.4103792984597</v>
      </c>
      <c r="DF465" s="3" t="n">
        <v>720.0598082930013</v>
      </c>
      <c r="DG465" s="3" t="n">
        <v>741.5298162958153</v>
      </c>
      <c r="DH465" s="3" t="n">
        <v>763.8660337440117</v>
      </c>
      <c r="DI465" s="3" t="n">
        <v>786.1619631402571</v>
      </c>
      <c r="DJ465" s="3" t="n">
        <v>809.0138370319056</v>
      </c>
      <c r="DK465" s="3" t="n">
        <v>832.8747372242556</v>
      </c>
      <c r="DL465" s="3" t="n">
        <v>856.2649578047941</v>
      </c>
      <c r="DM465" s="3" t="n">
        <v>879.5475673726543</v>
      </c>
      <c r="DN465" s="3" t="n">
        <v>902.1351142524976</v>
      </c>
      <c r="DO465" s="3" t="n">
        <v>924.675581021502</v>
      </c>
    </row>
    <row r="466">
      <c r="A466" s="19" t="inlineStr">
        <is>
          <t>mit.ener.bld.tot</t>
        </is>
      </c>
      <c r="B466" s="3" t="inlineStr">
        <is>
          <t>mit</t>
        </is>
      </c>
      <c r="C466" s="19" t="n"/>
      <c r="H466" s="3" t="inlineStr">
        <is>
          <t>Fuel use | Buildings | All fuels</t>
        </is>
      </c>
      <c r="I466" s="3" t="inlineStr">
        <is>
          <t>ktoe</t>
        </is>
      </c>
      <c r="K466" s="20" t="inlineStr">
        <is>
          <t>egy.mit.ener.bld.tot.1</t>
        </is>
      </c>
      <c r="L466" s="23" t="n">
        <v>7282.695674038811</v>
      </c>
      <c r="M466" s="23" t="n">
        <v>7815.175969152454</v>
      </c>
      <c r="N466" s="23" t="n">
        <v>9270.279874316449</v>
      </c>
      <c r="O466" s="23" t="n">
        <v>9378.99333762535</v>
      </c>
      <c r="P466" s="23" t="n">
        <v>9482.96103493909</v>
      </c>
      <c r="Q466" s="23" t="n">
        <v>9607.380577692089</v>
      </c>
      <c r="R466" s="23" t="n">
        <v>9756.369261021142</v>
      </c>
      <c r="S466" s="23" t="n">
        <v>9895.972653923282</v>
      </c>
      <c r="T466" s="23" t="n">
        <v>10023.32026612124</v>
      </c>
      <c r="U466" s="23" t="n">
        <v>10150.11785921788</v>
      </c>
      <c r="V466" s="23" t="n">
        <v>10276.88857852169</v>
      </c>
      <c r="W466" s="23" t="n">
        <v>10403.60836202021</v>
      </c>
      <c r="X466" s="23" t="n">
        <v>10530.24683272168</v>
      </c>
      <c r="Y466" s="23" t="n">
        <v>10656.77406281122</v>
      </c>
      <c r="Z466" s="23" t="n">
        <v>10783.16052726567</v>
      </c>
      <c r="AA466" s="23" t="n">
        <v>10909.37705513663</v>
      </c>
      <c r="AB466" s="23" t="n">
        <v>11035.39477865247</v>
      </c>
      <c r="AC466" s="23" t="n">
        <v>11161.18508027619</v>
      </c>
      <c r="AD466" s="23" t="n">
        <v>11286.71953784224</v>
      </c>
      <c r="AE466" s="23" t="n">
        <v>11411.96986788228</v>
      </c>
      <c r="AG466" s="20" t="inlineStr">
        <is>
          <t>egy.mit.ener.bld.tot.3</t>
        </is>
      </c>
      <c r="AH466" s="23" t="n">
        <v>7282.695674038811</v>
      </c>
      <c r="AI466" s="23" t="n">
        <v>7815.175969152454</v>
      </c>
      <c r="AJ466" s="23" t="n">
        <v>9270.279874316449</v>
      </c>
      <c r="AK466" s="23" t="n">
        <v>9378.99333762535</v>
      </c>
      <c r="AL466" s="23" t="n">
        <v>9482.96103493909</v>
      </c>
      <c r="AM466" s="23" t="n">
        <v>7830.118582646769</v>
      </c>
      <c r="AN466" s="23" t="n">
        <v>7949.777259821798</v>
      </c>
      <c r="AO466" s="23" t="n">
        <v>8063.671619796531</v>
      </c>
      <c r="AP466" s="23" t="n">
        <v>8162.285788531584</v>
      </c>
      <c r="AQ466" s="23" t="n">
        <v>8264.978641752592</v>
      </c>
      <c r="AR466" s="23" t="n">
        <v>8365.460352458202</v>
      </c>
      <c r="AS466" s="23" t="n">
        <v>8469.612578002598</v>
      </c>
      <c r="AT466" s="23" t="n">
        <v>8575.519348837013</v>
      </c>
      <c r="AU466" s="23" t="n">
        <v>8680.575872879739</v>
      </c>
      <c r="AV466" s="23" t="n">
        <v>8786.343143362408</v>
      </c>
      <c r="AW466" s="23" t="n">
        <v>8893.810776055578</v>
      </c>
      <c r="AX466" s="23" t="n">
        <v>8999.549500922447</v>
      </c>
      <c r="AY466" s="23" t="n">
        <v>9104.285589711384</v>
      </c>
      <c r="AZ466" s="23" t="n">
        <v>9206.804794303611</v>
      </c>
      <c r="BA466" s="23" t="n">
        <v>9308.555049373472</v>
      </c>
      <c r="BC466" s="20" t="inlineStr">
        <is>
          <t>egy.mit.ener.bld.tot.4</t>
        </is>
      </c>
      <c r="BD466" s="23" t="n">
        <v>7282.695674038811</v>
      </c>
      <c r="BE466" s="23" t="n">
        <v>7815.175969152454</v>
      </c>
      <c r="BF466" s="23" t="n">
        <v>9270.279874316449</v>
      </c>
      <c r="BG466" s="23" t="n">
        <v>9378.99333762535</v>
      </c>
      <c r="BH466" s="23" t="n">
        <v>9482.96103493909</v>
      </c>
      <c r="BI466" s="23" t="n">
        <v>8577.03312645665</v>
      </c>
      <c r="BJ466" s="23" t="n">
        <v>7738.930944774472</v>
      </c>
      <c r="BK466" s="23" t="n">
        <v>7139.801559529868</v>
      </c>
      <c r="BL466" s="23" t="n">
        <v>6678.272966606998</v>
      </c>
      <c r="BM466" s="23" t="n">
        <v>6314.469828631551</v>
      </c>
      <c r="BN466" s="23" t="n">
        <v>6018.607103517338</v>
      </c>
      <c r="BO466" s="23" t="n">
        <v>5773.834149920256</v>
      </c>
      <c r="BP466" s="23" t="n">
        <v>5568.47902343116</v>
      </c>
      <c r="BQ466" s="23" t="n">
        <v>5393.403333543397</v>
      </c>
      <c r="BR466" s="23" t="n">
        <v>5242.407996140232</v>
      </c>
      <c r="BS466" s="23" t="n">
        <v>5111.309830083148</v>
      </c>
      <c r="BT466" s="23" t="n">
        <v>4996.117936641519</v>
      </c>
      <c r="BU466" s="23" t="n">
        <v>4893.881515446365</v>
      </c>
      <c r="BV466" s="23" t="n">
        <v>4801.866134150992</v>
      </c>
      <c r="BW466" s="23" t="n">
        <v>4718.357847217858</v>
      </c>
      <c r="BY466" s="20" t="inlineStr">
        <is>
          <t>egy.mit.ener.bld.tot.5</t>
        </is>
      </c>
      <c r="BZ466" s="23" t="n">
        <v>7282.695674038811</v>
      </c>
      <c r="CA466" s="23" t="n">
        <v>7815.175969152454</v>
      </c>
      <c r="CB466" s="23" t="n">
        <v>9270.279874316449</v>
      </c>
      <c r="CC466" s="23" t="n">
        <v>9378.99333762535</v>
      </c>
      <c r="CD466" s="23" t="n">
        <v>9482.96103493909</v>
      </c>
      <c r="CE466" s="23" t="n">
        <v>7525.426332612687</v>
      </c>
      <c r="CF466" s="23" t="n">
        <v>7639.820471134218</v>
      </c>
      <c r="CG466" s="23" t="n">
        <v>7748.475192599514</v>
      </c>
      <c r="CH466" s="23" t="n">
        <v>7842.988164028638</v>
      </c>
      <c r="CI466" s="23" t="n">
        <v>7941.920810215961</v>
      </c>
      <c r="CJ466" s="23" t="n">
        <v>8037.835716283366</v>
      </c>
      <c r="CK466" s="23" t="n">
        <v>8137.70304145812</v>
      </c>
      <c r="CL466" s="23" t="n">
        <v>8237.770762077696</v>
      </c>
      <c r="CM466" s="23" t="n">
        <v>8337.293563789912</v>
      </c>
      <c r="CN466" s="23" t="n">
        <v>8437.469512100899</v>
      </c>
      <c r="CO466" s="23" t="n">
        <v>8538.850337532365</v>
      </c>
      <c r="CP466" s="23" t="n">
        <v>8638.700857530053</v>
      </c>
      <c r="CQ466" s="23" t="n">
        <v>8738.129662947847</v>
      </c>
      <c r="CR466" s="23" t="n">
        <v>8835.860109857484</v>
      </c>
      <c r="CS466" s="23" t="n">
        <v>8933.613924185629</v>
      </c>
      <c r="CU466" s="20" t="inlineStr">
        <is>
          <t>egy.mit.ener.bld.tot.6</t>
        </is>
      </c>
      <c r="CV466" s="23" t="n">
        <v>7282.695674038811</v>
      </c>
      <c r="CW466" s="23" t="n">
        <v>7815.175969152454</v>
      </c>
      <c r="CX466" s="23" t="n">
        <v>9270.279874316449</v>
      </c>
      <c r="CY466" s="23" t="n">
        <v>9378.99333762535</v>
      </c>
      <c r="CZ466" s="23" t="n">
        <v>9482.96103493909</v>
      </c>
      <c r="DA466" s="23" t="n">
        <v>6413.941516290447</v>
      </c>
      <c r="DB466" s="23" t="n">
        <v>6508.602778609311</v>
      </c>
      <c r="DC466" s="23" t="n">
        <v>6600.25270071659</v>
      </c>
      <c r="DD466" s="23" t="n">
        <v>6674.696012036381</v>
      </c>
      <c r="DE466" s="23" t="n">
        <v>6756.862592858339</v>
      </c>
      <c r="DF466" s="23" t="n">
        <v>6834.739969033501</v>
      </c>
      <c r="DG466" s="23" t="n">
        <v>6919.316175967362</v>
      </c>
      <c r="DH466" s="23" t="n">
        <v>7006.440371881592</v>
      </c>
      <c r="DI466" s="23" t="n">
        <v>7092.353456226665</v>
      </c>
      <c r="DJ466" s="23" t="n">
        <v>7179.501589499593</v>
      </c>
      <c r="DK466" s="23" t="n">
        <v>7269.648409416593</v>
      </c>
      <c r="DL466" s="23" t="n">
        <v>7356.90638534038</v>
      </c>
      <c r="DM466" s="23" t="n">
        <v>7442.791558918239</v>
      </c>
      <c r="DN466" s="23" t="n">
        <v>7525.108657147544</v>
      </c>
      <c r="DO466" s="23" t="n">
        <v>7606.43687135521</v>
      </c>
    </row>
    <row r="467">
      <c r="A467" s="19" t="inlineStr">
        <is>
          <t>mit.ener.res.coa</t>
        </is>
      </c>
      <c r="B467" s="3" t="inlineStr">
        <is>
          <t>mit</t>
        </is>
      </c>
      <c r="C467" s="19" t="inlineStr">
        <is>
          <t>mit.atp.ral.oop.e</t>
        </is>
      </c>
      <c r="H467" s="3" t="inlineStr">
        <is>
          <t>Fuel use | Residential | Coal</t>
        </is>
      </c>
      <c r="I467" s="3" t="inlineStr">
        <is>
          <t>ktoe</t>
        </is>
      </c>
      <c r="K467" s="20" t="inlineStr">
        <is>
          <t>egy.mit.ener.res.coa.1</t>
        </is>
      </c>
      <c r="L467" s="3" t="n">
        <v>1.644886914655364</v>
      </c>
      <c r="M467" s="3" t="n">
        <v>1.677350421582733</v>
      </c>
      <c r="N467" s="3" t="n">
        <v>1.909655286875112</v>
      </c>
      <c r="O467" s="3" t="n">
        <v>2.026434143285457</v>
      </c>
      <c r="P467" s="3" t="n">
        <v>1.988566367725465</v>
      </c>
      <c r="Q467" s="3" t="n">
        <v>1.997635816617431</v>
      </c>
      <c r="R467" s="3" t="n">
        <v>2.028704214637992</v>
      </c>
      <c r="S467" s="3" t="n">
        <v>2.058571458937762</v>
      </c>
      <c r="T467" s="3" t="n">
        <v>2.08681556351154</v>
      </c>
      <c r="U467" s="3" t="n">
        <v>2.114747501257254</v>
      </c>
      <c r="V467" s="3" t="n">
        <v>2.135694650010281</v>
      </c>
      <c r="W467" s="3" t="n">
        <v>2.156462047750408</v>
      </c>
      <c r="X467" s="3" t="n">
        <v>2.177046835367228</v>
      </c>
      <c r="Y467" s="3" t="n">
        <v>2.197446288935714</v>
      </c>
      <c r="Z467" s="3" t="n">
        <v>2.217657807952803</v>
      </c>
      <c r="AA467" s="3" t="n">
        <v>2.237678903621845</v>
      </c>
      <c r="AB467" s="3" t="n">
        <v>2.257507187203775</v>
      </c>
      <c r="AC467" s="3" t="n">
        <v>2.277140358450515</v>
      </c>
      <c r="AD467" s="3" t="n">
        <v>2.29657619413301</v>
      </c>
      <c r="AE467" s="3" t="n">
        <v>2.315812536673478</v>
      </c>
      <c r="AG467" s="20" t="inlineStr">
        <is>
          <t>egy.mit.ener.res.coa.3</t>
        </is>
      </c>
      <c r="AH467" s="3" t="n">
        <v>1.644886914655364</v>
      </c>
      <c r="AI467" s="3" t="n">
        <v>1.677350421582733</v>
      </c>
      <c r="AJ467" s="3" t="n">
        <v>1.909655286875112</v>
      </c>
      <c r="AK467" s="3" t="n">
        <v>2.026434143285457</v>
      </c>
      <c r="AL467" s="3" t="n">
        <v>1.988566367725465</v>
      </c>
      <c r="AM467" s="3" t="n">
        <v>1.840386416799157</v>
      </c>
      <c r="AN467" s="3" t="n">
        <v>1.86829497517006</v>
      </c>
      <c r="AO467" s="3" t="n">
        <v>1.895346466138568</v>
      </c>
      <c r="AP467" s="3" t="n">
        <v>1.91974006359624</v>
      </c>
      <c r="AQ467" s="3" t="n">
        <v>1.94471753423354</v>
      </c>
      <c r="AR467" s="3" t="n">
        <v>1.963675601949919</v>
      </c>
      <c r="AS467" s="3" t="n">
        <v>1.983173503584524</v>
      </c>
      <c r="AT467" s="3" t="n">
        <v>2.002834983108545</v>
      </c>
      <c r="AU467" s="3" t="n">
        <v>2.02216309895093</v>
      </c>
      <c r="AV467" s="3" t="n">
        <v>2.04145665908851</v>
      </c>
      <c r="AW467" s="3" t="n">
        <v>2.060900153536243</v>
      </c>
      <c r="AX467" s="3" t="n">
        <v>2.079853300587483</v>
      </c>
      <c r="AY467" s="3" t="n">
        <v>2.098458246474616</v>
      </c>
      <c r="AZ467" s="3" t="n">
        <v>2.116497813847917</v>
      </c>
      <c r="BA467" s="3" t="n">
        <v>2.134245119530093</v>
      </c>
      <c r="BC467" s="20" t="inlineStr">
        <is>
          <t>egy.mit.ener.res.coa.4</t>
        </is>
      </c>
      <c r="BD467" s="3" t="n">
        <v>1.644886914655364</v>
      </c>
      <c r="BE467" s="3" t="n">
        <v>1.677350421582733</v>
      </c>
      <c r="BF467" s="3" t="n">
        <v>1.909655286875112</v>
      </c>
      <c r="BG467" s="3" t="n">
        <v>2.026434143285457</v>
      </c>
      <c r="BH467" s="3" t="n">
        <v>1.988566367725465</v>
      </c>
      <c r="BI467" s="3" t="n">
        <v>1.914626343267692</v>
      </c>
      <c r="BJ467" s="3" t="n">
        <v>1.844793058273113</v>
      </c>
      <c r="BK467" s="3" t="n">
        <v>1.783104810326062</v>
      </c>
      <c r="BL467" s="3" t="n">
        <v>1.727000257318246</v>
      </c>
      <c r="BM467" s="3" t="n">
        <v>1.676943016535465</v>
      </c>
      <c r="BN467" s="3" t="n">
        <v>1.628643926657466</v>
      </c>
      <c r="BO467" s="3" t="n">
        <v>1.585556403698105</v>
      </c>
      <c r="BP467" s="3" t="n">
        <v>1.547052794997441</v>
      </c>
      <c r="BQ467" s="3" t="n">
        <v>1.512360003242457</v>
      </c>
      <c r="BR467" s="3" t="n">
        <v>1.480946379996688</v>
      </c>
      <c r="BS467" s="3" t="n">
        <v>1.452476257000759</v>
      </c>
      <c r="BT467" s="3" t="n">
        <v>1.4264561983842</v>
      </c>
      <c r="BU467" s="3" t="n">
        <v>1.402511581948967</v>
      </c>
      <c r="BV467" s="3" t="n">
        <v>1.380220944386482</v>
      </c>
      <c r="BW467" s="3" t="n">
        <v>1.359353514195736</v>
      </c>
      <c r="BY467" s="20" t="inlineStr">
        <is>
          <t>egy.mit.ener.res.coa.5</t>
        </is>
      </c>
      <c r="BZ467" s="3" t="n">
        <v>1.644886914655364</v>
      </c>
      <c r="CA467" s="3" t="n">
        <v>1.677350421582733</v>
      </c>
      <c r="CB467" s="3" t="n">
        <v>1.909655286875112</v>
      </c>
      <c r="CC467" s="3" t="n">
        <v>2.026434143285457</v>
      </c>
      <c r="CD467" s="3" t="n">
        <v>1.988566367725465</v>
      </c>
      <c r="CE467" s="3" t="n">
        <v>1.806099341131063</v>
      </c>
      <c r="CF467" s="3" t="n">
        <v>1.833340311992184</v>
      </c>
      <c r="CG467" s="3" t="n">
        <v>1.859676137903456</v>
      </c>
      <c r="CH467" s="3" t="n">
        <v>1.883479312854422</v>
      </c>
      <c r="CI467" s="3" t="n">
        <v>1.907956816829304</v>
      </c>
      <c r="CJ467" s="3" t="n">
        <v>1.926519283945906</v>
      </c>
      <c r="CK467" s="3" t="n">
        <v>1.945697076418657</v>
      </c>
      <c r="CL467" s="3" t="n">
        <v>1.964744568806184</v>
      </c>
      <c r="CM467" s="3" t="n">
        <v>1.983518702770152</v>
      </c>
      <c r="CN467" s="3" t="n">
        <v>2.002254704429591</v>
      </c>
      <c r="CO467" s="3" t="n">
        <v>2.021058012949164</v>
      </c>
      <c r="CP467" s="3" t="n">
        <v>2.039405774313419</v>
      </c>
      <c r="CQ467" s="3" t="n">
        <v>2.057515255762214</v>
      </c>
      <c r="CR467" s="3" t="n">
        <v>2.075149877662295</v>
      </c>
      <c r="CS467" s="3" t="n">
        <v>2.092639100034664</v>
      </c>
      <c r="CU467" s="20" t="inlineStr">
        <is>
          <t>egy.mit.ener.res.coa.6</t>
        </is>
      </c>
      <c r="CV467" s="3" t="n">
        <v>1.644886914655364</v>
      </c>
      <c r="CW467" s="3" t="n">
        <v>1.677350421582733</v>
      </c>
      <c r="CX467" s="3" t="n">
        <v>1.909655286875112</v>
      </c>
      <c r="CY467" s="3" t="n">
        <v>2.026434143285457</v>
      </c>
      <c r="CZ467" s="3" t="n">
        <v>1.988566367725465</v>
      </c>
      <c r="DA467" s="3" t="n">
        <v>1.657523867494638</v>
      </c>
      <c r="DB467" s="3" t="n">
        <v>1.681960767119653</v>
      </c>
      <c r="DC467" s="3" t="n">
        <v>1.705887256395047</v>
      </c>
      <c r="DD467" s="3" t="n">
        <v>1.726210963235207</v>
      </c>
      <c r="DE467" s="3" t="n">
        <v>1.748046632953911</v>
      </c>
      <c r="DF467" s="3" t="n">
        <v>1.764725375473386</v>
      </c>
      <c r="DG467" s="3" t="n">
        <v>1.78270821547012</v>
      </c>
      <c r="DH467" s="3" t="n">
        <v>1.801074183197146</v>
      </c>
      <c r="DI467" s="3" t="n">
        <v>1.819010806370536</v>
      </c>
      <c r="DJ467" s="3" t="n">
        <v>1.837045306507311</v>
      </c>
      <c r="DK467" s="3" t="n">
        <v>1.855546691439992</v>
      </c>
      <c r="DL467" s="3" t="n">
        <v>1.873271324574237</v>
      </c>
      <c r="DM467" s="3" t="n">
        <v>1.890549216410247</v>
      </c>
      <c r="DN467" s="3" t="n">
        <v>1.906934170712315</v>
      </c>
      <c r="DO467" s="3" t="n">
        <v>1.922972147640365</v>
      </c>
    </row>
    <row r="468">
      <c r="A468" s="19" t="inlineStr">
        <is>
          <t>mit.ener.res.nga</t>
        </is>
      </c>
      <c r="B468" s="3" t="inlineStr">
        <is>
          <t>mit</t>
        </is>
      </c>
      <c r="C468" s="19" t="inlineStr">
        <is>
          <t>mit.atp.ral.bio.e</t>
        </is>
      </c>
      <c r="H468" s="3" t="inlineStr">
        <is>
          <t>Fuel use | Residential | Natural gas</t>
        </is>
      </c>
      <c r="I468" s="3" t="inlineStr">
        <is>
          <t>ktoe</t>
        </is>
      </c>
      <c r="K468" s="20" t="inlineStr">
        <is>
          <t>egy.mit.ener.res.nga.1</t>
        </is>
      </c>
      <c r="L468" s="3" t="n">
        <v>1870.269872568074</v>
      </c>
      <c r="M468" s="3" t="n">
        <v>2257.731705536974</v>
      </c>
      <c r="N468" s="3" t="n">
        <v>3313.173703098768</v>
      </c>
      <c r="O468" s="3" t="n">
        <v>3336.94550153105</v>
      </c>
      <c r="P468" s="3" t="n">
        <v>3358.982399959825</v>
      </c>
      <c r="Q468" s="3" t="n">
        <v>3386.602161711121</v>
      </c>
      <c r="R468" s="3" t="n">
        <v>3420.847783365807</v>
      </c>
      <c r="S468" s="3" t="n">
        <v>3451.836299426656</v>
      </c>
      <c r="T468" s="3" t="n">
        <v>3478.838601511677</v>
      </c>
      <c r="U468" s="3" t="n">
        <v>3505.23882246997</v>
      </c>
      <c r="V468" s="3" t="n">
        <v>3531.194759645613</v>
      </c>
      <c r="W468" s="3" t="n">
        <v>3556.70421668765</v>
      </c>
      <c r="X468" s="3" t="n">
        <v>3581.765275411225</v>
      </c>
      <c r="Y468" s="3" t="n">
        <v>3606.376273203502</v>
      </c>
      <c r="Z468" s="3" t="n">
        <v>3630.535780782088</v>
      </c>
      <c r="AA468" s="3" t="n">
        <v>3654.242580339331</v>
      </c>
      <c r="AB468" s="3" t="n">
        <v>3677.495644099273</v>
      </c>
      <c r="AC468" s="3" t="n">
        <v>3700.294113307997</v>
      </c>
      <c r="AD468" s="3" t="n">
        <v>3722.637277672597</v>
      </c>
      <c r="AE468" s="3" t="n">
        <v>3744.524555259113</v>
      </c>
      <c r="AG468" s="20" t="inlineStr">
        <is>
          <t>egy.mit.ener.res.nga.3</t>
        </is>
      </c>
      <c r="AH468" s="3" t="n">
        <v>1870.269872568074</v>
      </c>
      <c r="AI468" s="3" t="n">
        <v>2257.731705536974</v>
      </c>
      <c r="AJ468" s="3" t="n">
        <v>3313.173703098768</v>
      </c>
      <c r="AK468" s="3" t="n">
        <v>3336.94550153105</v>
      </c>
      <c r="AL468" s="3" t="n">
        <v>3358.982399959825</v>
      </c>
      <c r="AM468" s="3" t="n">
        <v>2417.907559058251</v>
      </c>
      <c r="AN468" s="3" t="n">
        <v>2442.357515935571</v>
      </c>
      <c r="AO468" s="3" t="n">
        <v>2464.911517937205</v>
      </c>
      <c r="AP468" s="3" t="n">
        <v>2483.221558025553</v>
      </c>
      <c r="AQ468" s="3" t="n">
        <v>2502.234517369835</v>
      </c>
      <c r="AR468" s="3" t="n">
        <v>2520.371986747261</v>
      </c>
      <c r="AS468" s="3" t="n">
        <v>2539.095466389415</v>
      </c>
      <c r="AT468" s="3" t="n">
        <v>2557.919696963573</v>
      </c>
      <c r="AU468" s="3" t="n">
        <v>2576.2104502367</v>
      </c>
      <c r="AV468" s="3" t="n">
        <v>2594.351039052487</v>
      </c>
      <c r="AW468" s="3" t="n">
        <v>2612.57607915756</v>
      </c>
      <c r="AX468" s="3" t="n">
        <v>2630.074903464077</v>
      </c>
      <c r="AY468" s="3" t="n">
        <v>2647.031837189648</v>
      </c>
      <c r="AZ468" s="3" t="n">
        <v>2663.177270773285</v>
      </c>
      <c r="BA468" s="3" t="n">
        <v>2678.85969043171</v>
      </c>
      <c r="BC468" s="20" t="inlineStr">
        <is>
          <t>egy.mit.ener.res.nga.4</t>
        </is>
      </c>
      <c r="BD468" s="3" t="n">
        <v>1870.269872568074</v>
      </c>
      <c r="BE468" s="3" t="n">
        <v>2257.731705536974</v>
      </c>
      <c r="BF468" s="3" t="n">
        <v>3313.173703098768</v>
      </c>
      <c r="BG468" s="3" t="n">
        <v>3336.94550153105</v>
      </c>
      <c r="BH468" s="3" t="n">
        <v>3358.982399959825</v>
      </c>
      <c r="BI468" s="3" t="n">
        <v>2804.67161694226</v>
      </c>
      <c r="BJ468" s="3" t="n">
        <v>2339.072721746983</v>
      </c>
      <c r="BK468" s="3" t="n">
        <v>2031.16177594441</v>
      </c>
      <c r="BL468" s="3" t="n">
        <v>1808.759116177136</v>
      </c>
      <c r="BM468" s="3" t="n">
        <v>1640.583479222591</v>
      </c>
      <c r="BN468" s="3" t="n">
        <v>1508.217430390236</v>
      </c>
      <c r="BO468" s="3" t="n">
        <v>1401.189631022238</v>
      </c>
      <c r="BP468" s="3" t="n">
        <v>1312.783849272829</v>
      </c>
      <c r="BQ468" s="3" t="n">
        <v>1238.323760131941</v>
      </c>
      <c r="BR468" s="3" t="n">
        <v>1174.651584317511</v>
      </c>
      <c r="BS468" s="3" t="n">
        <v>1119.586932979764</v>
      </c>
      <c r="BT468" s="3" t="n">
        <v>1071.364636236902</v>
      </c>
      <c r="BU468" s="3" t="n">
        <v>1028.684248197236</v>
      </c>
      <c r="BV468" s="3" t="n">
        <v>990.4715742642732</v>
      </c>
      <c r="BW468" s="3" t="n">
        <v>955.9777303205213</v>
      </c>
      <c r="BY468" s="20" t="inlineStr">
        <is>
          <t>egy.mit.ener.res.nga.5</t>
        </is>
      </c>
      <c r="BZ468" s="3" t="n">
        <v>1870.269872568074</v>
      </c>
      <c r="CA468" s="3" t="n">
        <v>2257.731705536974</v>
      </c>
      <c r="CB468" s="3" t="n">
        <v>3313.173703098768</v>
      </c>
      <c r="CC468" s="3" t="n">
        <v>3336.94550153105</v>
      </c>
      <c r="CD468" s="3" t="n">
        <v>3358.982399959825</v>
      </c>
      <c r="CE468" s="3" t="n">
        <v>2268.343085221163</v>
      </c>
      <c r="CF468" s="3" t="n">
        <v>2291.280038015758</v>
      </c>
      <c r="CG468" s="3" t="n">
        <v>2312.379171542935</v>
      </c>
      <c r="CH468" s="3" t="n">
        <v>2329.612305042196</v>
      </c>
      <c r="CI468" s="3" t="n">
        <v>2347.629111719965</v>
      </c>
      <c r="CJ468" s="3" t="n">
        <v>2364.600215514234</v>
      </c>
      <c r="CK468" s="3" t="n">
        <v>2382.226270355183</v>
      </c>
      <c r="CL468" s="3" t="n">
        <v>2399.591412945107</v>
      </c>
      <c r="CM468" s="3" t="n">
        <v>2416.522933076876</v>
      </c>
      <c r="CN468" s="3" t="n">
        <v>2433.309562722146</v>
      </c>
      <c r="CO468" s="3" t="n">
        <v>2450.079851637065</v>
      </c>
      <c r="CP468" s="3" t="n">
        <v>2466.201301817719</v>
      </c>
      <c r="CQ468" s="3" t="n">
        <v>2481.940472447408</v>
      </c>
      <c r="CR468" s="3" t="n">
        <v>2497.015194446861</v>
      </c>
      <c r="CS468" s="3" t="n">
        <v>2511.825531892155</v>
      </c>
      <c r="CU468" s="20" t="inlineStr">
        <is>
          <t>egy.mit.ener.res.nga.6</t>
        </is>
      </c>
      <c r="CV468" s="3" t="n">
        <v>1870.269872568074</v>
      </c>
      <c r="CW468" s="3" t="n">
        <v>2257.731705536974</v>
      </c>
      <c r="CX468" s="3" t="n">
        <v>3313.173703098768</v>
      </c>
      <c r="CY468" s="3" t="n">
        <v>3336.94550153105</v>
      </c>
      <c r="CZ468" s="3" t="n">
        <v>3358.982399959825</v>
      </c>
      <c r="DA468" s="3" t="n">
        <v>1760.840082858991</v>
      </c>
      <c r="DB468" s="3" t="n">
        <v>1778.645623552806</v>
      </c>
      <c r="DC468" s="3" t="n">
        <v>1795.42720783758</v>
      </c>
      <c r="DD468" s="3" t="n">
        <v>1807.932455693449</v>
      </c>
      <c r="DE468" s="3" t="n">
        <v>1821.985044522836</v>
      </c>
      <c r="DF468" s="3" t="n">
        <v>1834.815258648731</v>
      </c>
      <c r="DG468" s="3" t="n">
        <v>1848.923308499141</v>
      </c>
      <c r="DH468" s="3" t="n">
        <v>1863.346626863512</v>
      </c>
      <c r="DI468" s="3" t="n">
        <v>1877.24410224257</v>
      </c>
      <c r="DJ468" s="3" t="n">
        <v>1891.162099790587</v>
      </c>
      <c r="DK468" s="3" t="n">
        <v>1905.479120998789</v>
      </c>
      <c r="DL468" s="3" t="n">
        <v>1918.917976945887</v>
      </c>
      <c r="DM468" s="3" t="n">
        <v>1931.82211327759</v>
      </c>
      <c r="DN468" s="3" t="n">
        <v>1943.740417208817</v>
      </c>
      <c r="DO468" s="3" t="n">
        <v>1955.235064712423</v>
      </c>
    </row>
    <row r="469">
      <c r="A469" s="19" t="inlineStr">
        <is>
          <t>mit.ener.res.gso</t>
        </is>
      </c>
      <c r="B469" s="3" t="inlineStr">
        <is>
          <t>mit</t>
        </is>
      </c>
      <c r="C469" s="19" t="inlineStr">
        <is>
          <t>mit.atp.ral.ren.e</t>
        </is>
      </c>
      <c r="H469" s="3" t="inlineStr">
        <is>
          <t>Fuel use | Residential | Gasoline</t>
        </is>
      </c>
      <c r="I469" s="3" t="inlineStr">
        <is>
          <t>ktoe</t>
        </is>
      </c>
      <c r="K469" s="20" t="inlineStr">
        <is>
          <t>egy.mit.ener.res.gso.1</t>
        </is>
      </c>
      <c r="L469" s="3" t="n">
        <v>0</v>
      </c>
      <c r="M469" s="3" t="n">
        <v>0</v>
      </c>
      <c r="N469" s="3" t="n">
        <v>0</v>
      </c>
      <c r="O469" s="3" t="n">
        <v>0</v>
      </c>
      <c r="P469" s="3" t="n">
        <v>0</v>
      </c>
      <c r="Q469" s="3" t="n">
        <v>0</v>
      </c>
      <c r="R469" s="3" t="n">
        <v>0</v>
      </c>
      <c r="S469" s="3" t="n">
        <v>0</v>
      </c>
      <c r="T469" s="3" t="n">
        <v>0</v>
      </c>
      <c r="U469" s="3" t="n">
        <v>0</v>
      </c>
      <c r="V469" s="3" t="n">
        <v>0</v>
      </c>
      <c r="W469" s="3" t="n">
        <v>0</v>
      </c>
      <c r="X469" s="3" t="n">
        <v>0</v>
      </c>
      <c r="Y469" s="3" t="n">
        <v>0</v>
      </c>
      <c r="Z469" s="3" t="n">
        <v>0</v>
      </c>
      <c r="AA469" s="3" t="n">
        <v>0</v>
      </c>
      <c r="AB469" s="3" t="n">
        <v>0</v>
      </c>
      <c r="AC469" s="3" t="n">
        <v>0</v>
      </c>
      <c r="AD469" s="3" t="n">
        <v>0</v>
      </c>
      <c r="AE469" s="3" t="n">
        <v>0</v>
      </c>
      <c r="AG469" s="20" t="inlineStr">
        <is>
          <t>egy.mit.ener.res.gso.3</t>
        </is>
      </c>
      <c r="AH469" s="3" t="n">
        <v>0</v>
      </c>
      <c r="AI469" s="3" t="n">
        <v>0</v>
      </c>
      <c r="AJ469" s="3" t="n">
        <v>0</v>
      </c>
      <c r="AK469" s="3" t="n">
        <v>0</v>
      </c>
      <c r="AL469" s="3" t="n">
        <v>0</v>
      </c>
      <c r="AM469" s="3" t="n">
        <v>0</v>
      </c>
      <c r="AN469" s="3" t="n">
        <v>0</v>
      </c>
      <c r="AO469" s="3" t="n">
        <v>0</v>
      </c>
      <c r="AP469" s="3" t="n">
        <v>0</v>
      </c>
      <c r="AQ469" s="3" t="n">
        <v>0</v>
      </c>
      <c r="AR469" s="3" t="n">
        <v>0</v>
      </c>
      <c r="AS469" s="3" t="n">
        <v>0</v>
      </c>
      <c r="AT469" s="3" t="n">
        <v>0</v>
      </c>
      <c r="AU469" s="3" t="n">
        <v>0</v>
      </c>
      <c r="AV469" s="3" t="n">
        <v>0</v>
      </c>
      <c r="AW469" s="3" t="n">
        <v>0</v>
      </c>
      <c r="AX469" s="3" t="n">
        <v>0</v>
      </c>
      <c r="AY469" s="3" t="n">
        <v>0</v>
      </c>
      <c r="AZ469" s="3" t="n">
        <v>0</v>
      </c>
      <c r="BA469" s="3" t="n">
        <v>0</v>
      </c>
      <c r="BC469" s="20" t="inlineStr">
        <is>
          <t>egy.mit.ener.res.gso.4</t>
        </is>
      </c>
      <c r="BD469" s="3" t="n">
        <v>0</v>
      </c>
      <c r="BE469" s="3" t="n">
        <v>0</v>
      </c>
      <c r="BF469" s="3" t="n">
        <v>0</v>
      </c>
      <c r="BG469" s="3" t="n">
        <v>0</v>
      </c>
      <c r="BH469" s="3" t="n">
        <v>0</v>
      </c>
      <c r="BI469" s="3" t="n">
        <v>0</v>
      </c>
      <c r="BJ469" s="3" t="n">
        <v>0</v>
      </c>
      <c r="BK469" s="3" t="n">
        <v>0</v>
      </c>
      <c r="BL469" s="3" t="n">
        <v>0</v>
      </c>
      <c r="BM469" s="3" t="n">
        <v>0</v>
      </c>
      <c r="BN469" s="3" t="n">
        <v>0</v>
      </c>
      <c r="BO469" s="3" t="n">
        <v>0</v>
      </c>
      <c r="BP469" s="3" t="n">
        <v>0</v>
      </c>
      <c r="BQ469" s="3" t="n">
        <v>0</v>
      </c>
      <c r="BR469" s="3" t="n">
        <v>0</v>
      </c>
      <c r="BS469" s="3" t="n">
        <v>0</v>
      </c>
      <c r="BT469" s="3" t="n">
        <v>0</v>
      </c>
      <c r="BU469" s="3" t="n">
        <v>0</v>
      </c>
      <c r="BV469" s="3" t="n">
        <v>0</v>
      </c>
      <c r="BW469" s="3" t="n">
        <v>0</v>
      </c>
      <c r="BY469" s="20" t="inlineStr">
        <is>
          <t>egy.mit.ener.res.gso.5</t>
        </is>
      </c>
      <c r="BZ469" s="3" t="n">
        <v>0</v>
      </c>
      <c r="CA469" s="3" t="n">
        <v>0</v>
      </c>
      <c r="CB469" s="3" t="n">
        <v>0</v>
      </c>
      <c r="CC469" s="3" t="n">
        <v>0</v>
      </c>
      <c r="CD469" s="3" t="n">
        <v>0</v>
      </c>
      <c r="CE469" s="3" t="n">
        <v>0</v>
      </c>
      <c r="CF469" s="3" t="n">
        <v>0</v>
      </c>
      <c r="CG469" s="3" t="n">
        <v>0</v>
      </c>
      <c r="CH469" s="3" t="n">
        <v>0</v>
      </c>
      <c r="CI469" s="3" t="n">
        <v>0</v>
      </c>
      <c r="CJ469" s="3" t="n">
        <v>0</v>
      </c>
      <c r="CK469" s="3" t="n">
        <v>0</v>
      </c>
      <c r="CL469" s="3" t="n">
        <v>0</v>
      </c>
      <c r="CM469" s="3" t="n">
        <v>0</v>
      </c>
      <c r="CN469" s="3" t="n">
        <v>0</v>
      </c>
      <c r="CO469" s="3" t="n">
        <v>0</v>
      </c>
      <c r="CP469" s="3" t="n">
        <v>0</v>
      </c>
      <c r="CQ469" s="3" t="n">
        <v>0</v>
      </c>
      <c r="CR469" s="3" t="n">
        <v>0</v>
      </c>
      <c r="CS469" s="3" t="n">
        <v>0</v>
      </c>
      <c r="CU469" s="20" t="inlineStr">
        <is>
          <t>egy.mit.ener.res.gso.6</t>
        </is>
      </c>
      <c r="CV469" s="3" t="n">
        <v>0</v>
      </c>
      <c r="CW469" s="3" t="n">
        <v>0</v>
      </c>
      <c r="CX469" s="3" t="n">
        <v>0</v>
      </c>
      <c r="CY469" s="3" t="n">
        <v>0</v>
      </c>
      <c r="CZ469" s="3" t="n">
        <v>0</v>
      </c>
      <c r="DA469" s="3" t="n">
        <v>0</v>
      </c>
      <c r="DB469" s="3" t="n">
        <v>0</v>
      </c>
      <c r="DC469" s="3" t="n">
        <v>0</v>
      </c>
      <c r="DD469" s="3" t="n">
        <v>0</v>
      </c>
      <c r="DE469" s="3" t="n">
        <v>0</v>
      </c>
      <c r="DF469" s="3" t="n">
        <v>0</v>
      </c>
      <c r="DG469" s="3" t="n">
        <v>0</v>
      </c>
      <c r="DH469" s="3" t="n">
        <v>0</v>
      </c>
      <c r="DI469" s="3" t="n">
        <v>0</v>
      </c>
      <c r="DJ469" s="3" t="n">
        <v>0</v>
      </c>
      <c r="DK469" s="3" t="n">
        <v>0</v>
      </c>
      <c r="DL469" s="3" t="n">
        <v>0</v>
      </c>
      <c r="DM469" s="3" t="n">
        <v>0</v>
      </c>
      <c r="DN469" s="3" t="n">
        <v>0</v>
      </c>
      <c r="DO469" s="3" t="n">
        <v>0</v>
      </c>
    </row>
    <row r="470">
      <c r="A470" s="19" t="inlineStr">
        <is>
          <t>mit.ener.res.die</t>
        </is>
      </c>
      <c r="B470" s="3" t="inlineStr">
        <is>
          <t>mit</t>
        </is>
      </c>
      <c r="C470" s="19" t="n"/>
      <c r="H470" s="3" t="inlineStr">
        <is>
          <t>Fuel use | Residential | Diesel</t>
        </is>
      </c>
      <c r="I470" s="3" t="inlineStr">
        <is>
          <t>ktoe</t>
        </is>
      </c>
      <c r="K470" s="20" t="inlineStr">
        <is>
          <t>egy.mit.ener.res.die.1</t>
        </is>
      </c>
      <c r="L470" s="3" t="n">
        <v>0</v>
      </c>
      <c r="M470" s="3" t="n">
        <v>0</v>
      </c>
      <c r="N470" s="3" t="n">
        <v>0</v>
      </c>
      <c r="O470" s="3" t="n">
        <v>0</v>
      </c>
      <c r="P470" s="3" t="n">
        <v>0</v>
      </c>
      <c r="Q470" s="3" t="n">
        <v>0</v>
      </c>
      <c r="R470" s="3" t="n">
        <v>0</v>
      </c>
      <c r="S470" s="3" t="n">
        <v>0</v>
      </c>
      <c r="T470" s="3" t="n">
        <v>0</v>
      </c>
      <c r="U470" s="3" t="n">
        <v>0</v>
      </c>
      <c r="V470" s="3" t="n">
        <v>0</v>
      </c>
      <c r="W470" s="3" t="n">
        <v>0</v>
      </c>
      <c r="X470" s="3" t="n">
        <v>0</v>
      </c>
      <c r="Y470" s="3" t="n">
        <v>0</v>
      </c>
      <c r="Z470" s="3" t="n">
        <v>0</v>
      </c>
      <c r="AA470" s="3" t="n">
        <v>0</v>
      </c>
      <c r="AB470" s="3" t="n">
        <v>0</v>
      </c>
      <c r="AC470" s="3" t="n">
        <v>0</v>
      </c>
      <c r="AD470" s="3" t="n">
        <v>0</v>
      </c>
      <c r="AE470" s="3" t="n">
        <v>0</v>
      </c>
      <c r="AG470" s="20" t="inlineStr">
        <is>
          <t>egy.mit.ener.res.die.3</t>
        </is>
      </c>
      <c r="AH470" s="3" t="n">
        <v>0</v>
      </c>
      <c r="AI470" s="3" t="n">
        <v>0</v>
      </c>
      <c r="AJ470" s="3" t="n">
        <v>0</v>
      </c>
      <c r="AK470" s="3" t="n">
        <v>0</v>
      </c>
      <c r="AL470" s="3" t="n">
        <v>0</v>
      </c>
      <c r="AM470" s="3" t="n">
        <v>0</v>
      </c>
      <c r="AN470" s="3" t="n">
        <v>0</v>
      </c>
      <c r="AO470" s="3" t="n">
        <v>0</v>
      </c>
      <c r="AP470" s="3" t="n">
        <v>0</v>
      </c>
      <c r="AQ470" s="3" t="n">
        <v>0</v>
      </c>
      <c r="AR470" s="3" t="n">
        <v>0</v>
      </c>
      <c r="AS470" s="3" t="n">
        <v>0</v>
      </c>
      <c r="AT470" s="3" t="n">
        <v>0</v>
      </c>
      <c r="AU470" s="3" t="n">
        <v>0</v>
      </c>
      <c r="AV470" s="3" t="n">
        <v>0</v>
      </c>
      <c r="AW470" s="3" t="n">
        <v>0</v>
      </c>
      <c r="AX470" s="3" t="n">
        <v>0</v>
      </c>
      <c r="AY470" s="3" t="n">
        <v>0</v>
      </c>
      <c r="AZ470" s="3" t="n">
        <v>0</v>
      </c>
      <c r="BA470" s="3" t="n">
        <v>0</v>
      </c>
      <c r="BC470" s="20" t="inlineStr">
        <is>
          <t>egy.mit.ener.res.die.4</t>
        </is>
      </c>
      <c r="BD470" s="3" t="n">
        <v>0</v>
      </c>
      <c r="BE470" s="3" t="n">
        <v>0</v>
      </c>
      <c r="BF470" s="3" t="n">
        <v>0</v>
      </c>
      <c r="BG470" s="3" t="n">
        <v>0</v>
      </c>
      <c r="BH470" s="3" t="n">
        <v>0</v>
      </c>
      <c r="BI470" s="3" t="n">
        <v>0</v>
      </c>
      <c r="BJ470" s="3" t="n">
        <v>0</v>
      </c>
      <c r="BK470" s="3" t="n">
        <v>0</v>
      </c>
      <c r="BL470" s="3" t="n">
        <v>0</v>
      </c>
      <c r="BM470" s="3" t="n">
        <v>0</v>
      </c>
      <c r="BN470" s="3" t="n">
        <v>0</v>
      </c>
      <c r="BO470" s="3" t="n">
        <v>0</v>
      </c>
      <c r="BP470" s="3" t="n">
        <v>0</v>
      </c>
      <c r="BQ470" s="3" t="n">
        <v>0</v>
      </c>
      <c r="BR470" s="3" t="n">
        <v>0</v>
      </c>
      <c r="BS470" s="3" t="n">
        <v>0</v>
      </c>
      <c r="BT470" s="3" t="n">
        <v>0</v>
      </c>
      <c r="BU470" s="3" t="n">
        <v>0</v>
      </c>
      <c r="BV470" s="3" t="n">
        <v>0</v>
      </c>
      <c r="BW470" s="3" t="n">
        <v>0</v>
      </c>
      <c r="BY470" s="20" t="inlineStr">
        <is>
          <t>egy.mit.ener.res.die.5</t>
        </is>
      </c>
      <c r="BZ470" s="3" t="n">
        <v>0</v>
      </c>
      <c r="CA470" s="3" t="n">
        <v>0</v>
      </c>
      <c r="CB470" s="3" t="n">
        <v>0</v>
      </c>
      <c r="CC470" s="3" t="n">
        <v>0</v>
      </c>
      <c r="CD470" s="3" t="n">
        <v>0</v>
      </c>
      <c r="CE470" s="3" t="n">
        <v>0</v>
      </c>
      <c r="CF470" s="3" t="n">
        <v>0</v>
      </c>
      <c r="CG470" s="3" t="n">
        <v>0</v>
      </c>
      <c r="CH470" s="3" t="n">
        <v>0</v>
      </c>
      <c r="CI470" s="3" t="n">
        <v>0</v>
      </c>
      <c r="CJ470" s="3" t="n">
        <v>0</v>
      </c>
      <c r="CK470" s="3" t="n">
        <v>0</v>
      </c>
      <c r="CL470" s="3" t="n">
        <v>0</v>
      </c>
      <c r="CM470" s="3" t="n">
        <v>0</v>
      </c>
      <c r="CN470" s="3" t="n">
        <v>0</v>
      </c>
      <c r="CO470" s="3" t="n">
        <v>0</v>
      </c>
      <c r="CP470" s="3" t="n">
        <v>0</v>
      </c>
      <c r="CQ470" s="3" t="n">
        <v>0</v>
      </c>
      <c r="CR470" s="3" t="n">
        <v>0</v>
      </c>
      <c r="CS470" s="3" t="n">
        <v>0</v>
      </c>
      <c r="CU470" s="20" t="inlineStr">
        <is>
          <t>egy.mit.ener.res.die.6</t>
        </is>
      </c>
      <c r="CV470" s="3" t="n">
        <v>0</v>
      </c>
      <c r="CW470" s="3" t="n">
        <v>0</v>
      </c>
      <c r="CX470" s="3" t="n">
        <v>0</v>
      </c>
      <c r="CY470" s="3" t="n">
        <v>0</v>
      </c>
      <c r="CZ470" s="3" t="n">
        <v>0</v>
      </c>
      <c r="DA470" s="3" t="n">
        <v>0</v>
      </c>
      <c r="DB470" s="3" t="n">
        <v>0</v>
      </c>
      <c r="DC470" s="3" t="n">
        <v>0</v>
      </c>
      <c r="DD470" s="3" t="n">
        <v>0</v>
      </c>
      <c r="DE470" s="3" t="n">
        <v>0</v>
      </c>
      <c r="DF470" s="3" t="n">
        <v>0</v>
      </c>
      <c r="DG470" s="3" t="n">
        <v>0</v>
      </c>
      <c r="DH470" s="3" t="n">
        <v>0</v>
      </c>
      <c r="DI470" s="3" t="n">
        <v>0</v>
      </c>
      <c r="DJ470" s="3" t="n">
        <v>0</v>
      </c>
      <c r="DK470" s="3" t="n">
        <v>0</v>
      </c>
      <c r="DL470" s="3" t="n">
        <v>0</v>
      </c>
      <c r="DM470" s="3" t="n">
        <v>0</v>
      </c>
      <c r="DN470" s="3" t="n">
        <v>0</v>
      </c>
      <c r="DO470" s="3" t="n">
        <v>0</v>
      </c>
    </row>
    <row r="471">
      <c r="A471" s="19" t="inlineStr">
        <is>
          <t>mit.ener.res.lpg</t>
        </is>
      </c>
      <c r="B471" s="3" t="inlineStr">
        <is>
          <t>mit</t>
        </is>
      </c>
      <c r="C471" s="19" t="n"/>
      <c r="H471" s="3" t="inlineStr">
        <is>
          <t>Fuel use | Residential | LPG</t>
        </is>
      </c>
      <c r="I471" s="3" t="inlineStr">
        <is>
          <t>ktoe</t>
        </is>
      </c>
      <c r="K471" s="20" t="inlineStr">
        <is>
          <t>egy.mit.ener.res.lpg.1</t>
        </is>
      </c>
      <c r="L471" s="3" t="n">
        <v>3039.04374235591</v>
      </c>
      <c r="M471" s="3" t="n">
        <v>3332.01827066203</v>
      </c>
      <c r="N471" s="3" t="n">
        <v>3349.579022378979</v>
      </c>
      <c r="O471" s="3" t="n">
        <v>3411.695051606468</v>
      </c>
      <c r="P471" s="3" t="n">
        <v>3471.680047446227</v>
      </c>
      <c r="Q471" s="3" t="n">
        <v>3542.193205218965</v>
      </c>
      <c r="R471" s="3" t="n">
        <v>3625.433893997705</v>
      </c>
      <c r="S471" s="3" t="n">
        <v>3704.183763387115</v>
      </c>
      <c r="T471" s="3" t="n">
        <v>3776.92014372577</v>
      </c>
      <c r="U471" s="3" t="n">
        <v>3849.595998765976</v>
      </c>
      <c r="V471" s="3" t="n">
        <v>3922.476784320742</v>
      </c>
      <c r="W471" s="3" t="n">
        <v>3995.541475614431</v>
      </c>
      <c r="X471" s="3" t="n">
        <v>4068.769246906429</v>
      </c>
      <c r="Y471" s="3" t="n">
        <v>4142.139455988579</v>
      </c>
      <c r="Z471" s="3" t="n">
        <v>4215.631626703828</v>
      </c>
      <c r="AA471" s="3" t="n">
        <v>4289.225429588329</v>
      </c>
      <c r="AB471" s="3" t="n">
        <v>4362.900660733253</v>
      </c>
      <c r="AC471" s="3" t="n">
        <v>4436.637218956495</v>
      </c>
      <c r="AD471" s="3" t="n">
        <v>4510.415081368234</v>
      </c>
      <c r="AE471" s="3" t="n">
        <v>4584.214277408158</v>
      </c>
      <c r="AG471" s="20" t="inlineStr">
        <is>
          <t>egy.mit.ener.res.lpg.3</t>
        </is>
      </c>
      <c r="AH471" s="3" t="n">
        <v>3039.04374235591</v>
      </c>
      <c r="AI471" s="3" t="n">
        <v>3332.01827066203</v>
      </c>
      <c r="AJ471" s="3" t="n">
        <v>3349.579022378979</v>
      </c>
      <c r="AK471" s="3" t="n">
        <v>3411.695051606468</v>
      </c>
      <c r="AL471" s="3" t="n">
        <v>3471.680047446227</v>
      </c>
      <c r="AM471" s="3" t="n">
        <v>2994.701156942305</v>
      </c>
      <c r="AN471" s="3" t="n">
        <v>3065.075623524696</v>
      </c>
      <c r="AO471" s="3" t="n">
        <v>3132.563044300329</v>
      </c>
      <c r="AP471" s="3" t="n">
        <v>3191.99236277433</v>
      </c>
      <c r="AQ471" s="3" t="n">
        <v>3253.777678459706</v>
      </c>
      <c r="AR471" s="3" t="n">
        <v>3314.520641752702</v>
      </c>
      <c r="AS471" s="3" t="n">
        <v>3377.40520838562</v>
      </c>
      <c r="AT471" s="3" t="n">
        <v>3441.396871391707</v>
      </c>
      <c r="AU471" s="3" t="n">
        <v>3505.07468172982</v>
      </c>
      <c r="AV471" s="3" t="n">
        <v>3569.286503896086</v>
      </c>
      <c r="AW471" s="3" t="n">
        <v>3634.574297896771</v>
      </c>
      <c r="AX471" s="3" t="n">
        <v>3699.053677561169</v>
      </c>
      <c r="AY471" s="3" t="n">
        <v>3763.115169719776</v>
      </c>
      <c r="AZ471" s="3" t="n">
        <v>3826.08098778801</v>
      </c>
      <c r="BA471" s="3" t="n">
        <v>3888.741803215542</v>
      </c>
      <c r="BC471" s="20" t="inlineStr">
        <is>
          <t>egy.mit.ener.res.lpg.4</t>
        </is>
      </c>
      <c r="BD471" s="3" t="n">
        <v>3039.04374235591</v>
      </c>
      <c r="BE471" s="3" t="n">
        <v>3332.01827066203</v>
      </c>
      <c r="BF471" s="3" t="n">
        <v>3349.579022378979</v>
      </c>
      <c r="BG471" s="3" t="n">
        <v>3411.695051606468</v>
      </c>
      <c r="BH471" s="3" t="n">
        <v>3471.680047446227</v>
      </c>
      <c r="BI471" s="3" t="n">
        <v>3237.303730382519</v>
      </c>
      <c r="BJ471" s="3" t="n">
        <v>2992.981181114443</v>
      </c>
      <c r="BK471" s="3" t="n">
        <v>2805.060775720999</v>
      </c>
      <c r="BL471" s="3" t="n">
        <v>2652.265136798503</v>
      </c>
      <c r="BM471" s="3" t="n">
        <v>2528.672064467062</v>
      </c>
      <c r="BN471" s="3" t="n">
        <v>2426.396748700708</v>
      </c>
      <c r="BO471" s="3" t="n">
        <v>2341.161803268935</v>
      </c>
      <c r="BP471" s="3" t="n">
        <v>2269.672415807262</v>
      </c>
      <c r="BQ471" s="3" t="n">
        <v>2208.916958206069</v>
      </c>
      <c r="BR471" s="3" t="n">
        <v>2156.87690353786</v>
      </c>
      <c r="BS471" s="3" t="n">
        <v>2112.263138106864</v>
      </c>
      <c r="BT471" s="3" t="n">
        <v>2073.569002735857</v>
      </c>
      <c r="BU471" s="3" t="n">
        <v>2039.685432875441</v>
      </c>
      <c r="BV471" s="3" t="n">
        <v>2009.461117959011</v>
      </c>
      <c r="BW471" s="3" t="n">
        <v>1982.253497675165</v>
      </c>
      <c r="BY471" s="20" t="inlineStr">
        <is>
          <t>egy.mit.ener.res.lpg.5</t>
        </is>
      </c>
      <c r="BZ471" s="3" t="n">
        <v>3039.04374235591</v>
      </c>
      <c r="CA471" s="3" t="n">
        <v>3332.01827066203</v>
      </c>
      <c r="CB471" s="3" t="n">
        <v>3349.579022378979</v>
      </c>
      <c r="CC471" s="3" t="n">
        <v>3411.695051606468</v>
      </c>
      <c r="CD471" s="3" t="n">
        <v>3471.680047446227</v>
      </c>
      <c r="CE471" s="3" t="n">
        <v>2890.697689730376</v>
      </c>
      <c r="CF471" s="3" t="n">
        <v>2958.626811262969</v>
      </c>
      <c r="CG471" s="3" t="n">
        <v>3023.640227715354</v>
      </c>
      <c r="CH471" s="3" t="n">
        <v>3081.126882371148</v>
      </c>
      <c r="CI471" s="3" t="n">
        <v>3141.167569146904</v>
      </c>
      <c r="CJ471" s="3" t="n">
        <v>3199.705194355714</v>
      </c>
      <c r="CK471" s="3" t="n">
        <v>3260.547800535727</v>
      </c>
      <c r="CL471" s="3" t="n">
        <v>3321.642214312538</v>
      </c>
      <c r="CM471" s="3" t="n">
        <v>3382.57435237028</v>
      </c>
      <c r="CN471" s="3" t="n">
        <v>3444.000601287427</v>
      </c>
      <c r="CO471" s="3" t="n">
        <v>3506.225219276329</v>
      </c>
      <c r="CP471" s="3" t="n">
        <v>3567.730814312218</v>
      </c>
      <c r="CQ471" s="3" t="n">
        <v>3629.125112435592</v>
      </c>
      <c r="CR471" s="3" t="n">
        <v>3689.69197065216</v>
      </c>
      <c r="CS471" s="3" t="n">
        <v>3750.383830424946</v>
      </c>
      <c r="CU471" s="20" t="inlineStr">
        <is>
          <t>egy.mit.ener.res.lpg.6</t>
        </is>
      </c>
      <c r="CV471" s="3" t="n">
        <v>3039.04374235591</v>
      </c>
      <c r="CW471" s="3" t="n">
        <v>3332.01827066203</v>
      </c>
      <c r="CX471" s="3" t="n">
        <v>3349.579022378979</v>
      </c>
      <c r="CY471" s="3" t="n">
        <v>3411.695051606468</v>
      </c>
      <c r="CZ471" s="3" t="n">
        <v>3471.680047446227</v>
      </c>
      <c r="DA471" s="3" t="n">
        <v>2487.521536937053</v>
      </c>
      <c r="DB471" s="3" t="n">
        <v>2545.97714511359</v>
      </c>
      <c r="DC471" s="3" t="n">
        <v>2602.896631876682</v>
      </c>
      <c r="DD471" s="3" t="n">
        <v>2650.245161956157</v>
      </c>
      <c r="DE471" s="3" t="n">
        <v>2702.063340066249</v>
      </c>
      <c r="DF471" s="3" t="n">
        <v>2751.565663954577</v>
      </c>
      <c r="DG471" s="3" t="n">
        <v>2804.976771001117</v>
      </c>
      <c r="DH471" s="3" t="n">
        <v>2859.953617184813</v>
      </c>
      <c r="DI471" s="3" t="n">
        <v>2914.356093702943</v>
      </c>
      <c r="DJ471" s="3" t="n">
        <v>2969.575862857856</v>
      </c>
      <c r="DK471" s="3" t="n">
        <v>3026.625031718526</v>
      </c>
      <c r="DL471" s="3" t="n">
        <v>3082.128763987179</v>
      </c>
      <c r="DM471" s="3" t="n">
        <v>3136.946498670045</v>
      </c>
      <c r="DN471" s="3" t="n">
        <v>3189.804962332998</v>
      </c>
      <c r="DO471" s="3" t="n">
        <v>3242.179929936003</v>
      </c>
    </row>
    <row r="472">
      <c r="A472" s="19" t="inlineStr">
        <is>
          <t>mit.ener.res.ker</t>
        </is>
      </c>
      <c r="B472" s="3" t="inlineStr">
        <is>
          <t>mit</t>
        </is>
      </c>
      <c r="C472" s="19" t="inlineStr">
        <is>
          <t>mit.ener.ral.coa.e</t>
        </is>
      </c>
      <c r="H472" s="3" t="inlineStr">
        <is>
          <t>Fuel use | Residential | Kerosene</t>
        </is>
      </c>
      <c r="I472" s="3" t="inlineStr">
        <is>
          <t>ktoe</t>
        </is>
      </c>
      <c r="K472" s="20" t="inlineStr">
        <is>
          <t>egy.mit.ener.res.ker.1</t>
        </is>
      </c>
      <c r="L472" s="3" t="n">
        <v>2.649308102035475</v>
      </c>
      <c r="M472" s="3" t="n">
        <v>2.738428224197269</v>
      </c>
      <c r="N472" s="3" t="n">
        <v>2.960037190809559</v>
      </c>
      <c r="O472" s="3" t="n">
        <v>3.014929389330731</v>
      </c>
      <c r="P472" s="3" t="n">
        <v>3.067938384607439</v>
      </c>
      <c r="Q472" s="3" t="n">
        <v>3.130251161244213</v>
      </c>
      <c r="R472" s="3" t="n">
        <v>3.203811311020489</v>
      </c>
      <c r="S472" s="3" t="n">
        <v>3.273402904652603</v>
      </c>
      <c r="T472" s="3" t="n">
        <v>3.337680352501668</v>
      </c>
      <c r="U472" s="3" t="n">
        <v>3.401904313887748</v>
      </c>
      <c r="V472" s="3" t="n">
        <v>3.46630937323885</v>
      </c>
      <c r="W472" s="3" t="n">
        <v>3.530876950871557</v>
      </c>
      <c r="X472" s="3" t="n">
        <v>3.595588642990546</v>
      </c>
      <c r="Y472" s="3" t="n">
        <v>3.660426207988905</v>
      </c>
      <c r="Z472" s="3" t="n">
        <v>3.725371550999788</v>
      </c>
      <c r="AA472" s="3" t="n">
        <v>3.790406706789757</v>
      </c>
      <c r="AB472" s="3" t="n">
        <v>3.855513821078875</v>
      </c>
      <c r="AC472" s="3" t="n">
        <v>3.92067513036725</v>
      </c>
      <c r="AD472" s="3" t="n">
        <v>3.985872940342211</v>
      </c>
      <c r="AE472" s="3" t="n">
        <v>4.051089602934894</v>
      </c>
      <c r="AG472" s="20" t="inlineStr">
        <is>
          <t>egy.mit.ener.res.ker.3</t>
        </is>
      </c>
      <c r="AH472" s="3" t="n">
        <v>2.649308102035475</v>
      </c>
      <c r="AI472" s="3" t="n">
        <v>2.738428224197269</v>
      </c>
      <c r="AJ472" s="3" t="n">
        <v>2.960037190809559</v>
      </c>
      <c r="AK472" s="3" t="n">
        <v>3.014929389330731</v>
      </c>
      <c r="AL472" s="3" t="n">
        <v>3.067938384607439</v>
      </c>
      <c r="AM472" s="3" t="n">
        <v>2.825850901227411</v>
      </c>
      <c r="AN472" s="3" t="n">
        <v>2.892257443781493</v>
      </c>
      <c r="AO472" s="3" t="n">
        <v>2.955939720852191</v>
      </c>
      <c r="AP472" s="3" t="n">
        <v>3.012018235658175</v>
      </c>
      <c r="AQ472" s="3" t="n">
        <v>3.070319909468728</v>
      </c>
      <c r="AR472" s="3" t="n">
        <v>3.127638001848937</v>
      </c>
      <c r="AS472" s="3" t="n">
        <v>3.186976947533376</v>
      </c>
      <c r="AT472" s="3" t="n">
        <v>3.247360568168641</v>
      </c>
      <c r="AU472" s="3" t="n">
        <v>3.307448032093046</v>
      </c>
      <c r="AV472" s="3" t="n">
        <v>3.368039398653063</v>
      </c>
      <c r="AW472" s="3" t="n">
        <v>3.429646070520234</v>
      </c>
      <c r="AX472" s="3" t="n">
        <v>3.490489908882143</v>
      </c>
      <c r="AY472" s="3" t="n">
        <v>3.550939421492346</v>
      </c>
      <c r="AZ472" s="3" t="n">
        <v>3.61035503741187</v>
      </c>
      <c r="BA472" s="3" t="n">
        <v>3.669482847656659</v>
      </c>
      <c r="BC472" s="20" t="inlineStr">
        <is>
          <t>egy.mit.ener.res.ker.4</t>
        </is>
      </c>
      <c r="BD472" s="3" t="n">
        <v>2.649308102035475</v>
      </c>
      <c r="BE472" s="3" t="n">
        <v>2.738428224197269</v>
      </c>
      <c r="BF472" s="3" t="n">
        <v>2.960037190809559</v>
      </c>
      <c r="BG472" s="3" t="n">
        <v>3.014929389330731</v>
      </c>
      <c r="BH472" s="3" t="n">
        <v>3.067938384607439</v>
      </c>
      <c r="BI472" s="3" t="n">
        <v>2.967467113877906</v>
      </c>
      <c r="BJ472" s="3" t="n">
        <v>2.847987429239017</v>
      </c>
      <c r="BK472" s="3" t="n">
        <v>2.746615620655935</v>
      </c>
      <c r="BL472" s="3" t="n">
        <v>2.656413237860455</v>
      </c>
      <c r="BM472" s="3" t="n">
        <v>2.579524287866427</v>
      </c>
      <c r="BN472" s="3" t="n">
        <v>2.513076410892497</v>
      </c>
      <c r="BO472" s="3" t="n">
        <v>2.455999703552797</v>
      </c>
      <c r="BP472" s="3" t="n">
        <v>2.407132185048037</v>
      </c>
      <c r="BQ472" s="3" t="n">
        <v>2.364884878163174</v>
      </c>
      <c r="BR472" s="3" t="n">
        <v>2.328240822008208</v>
      </c>
      <c r="BS472" s="3" t="n">
        <v>2.296649310889982</v>
      </c>
      <c r="BT472" s="3" t="n">
        <v>2.269102958892145</v>
      </c>
      <c r="BU472" s="3" t="n">
        <v>2.244863560687821</v>
      </c>
      <c r="BV472" s="3" t="n">
        <v>2.223027592378104</v>
      </c>
      <c r="BW472" s="3" t="n">
        <v>2.203164900672975</v>
      </c>
      <c r="BY472" s="20" t="inlineStr">
        <is>
          <t>egy.mit.ener.res.ker.5</t>
        </is>
      </c>
      <c r="BZ472" s="3" t="n">
        <v>2.649308102035475</v>
      </c>
      <c r="CA472" s="3" t="n">
        <v>2.738428224197269</v>
      </c>
      <c r="CB472" s="3" t="n">
        <v>2.960037190809559</v>
      </c>
      <c r="CC472" s="3" t="n">
        <v>3.014929389330731</v>
      </c>
      <c r="CD472" s="3" t="n">
        <v>3.067938384607439</v>
      </c>
      <c r="CE472" s="3" t="n">
        <v>2.761637781893134</v>
      </c>
      <c r="CF472" s="3" t="n">
        <v>2.826534097125847</v>
      </c>
      <c r="CG472" s="3" t="n">
        <v>2.888644883681879</v>
      </c>
      <c r="CH472" s="3" t="n">
        <v>2.943564952984211</v>
      </c>
      <c r="CI472" s="3" t="n">
        <v>3.000925025481521</v>
      </c>
      <c r="CJ472" s="3" t="n">
        <v>3.056849143044305</v>
      </c>
      <c r="CK472" s="3" t="n">
        <v>3.114975331947594</v>
      </c>
      <c r="CL472" s="3" t="n">
        <v>3.173342086087281</v>
      </c>
      <c r="CM472" s="3" t="n">
        <v>3.231553809571754</v>
      </c>
      <c r="CN472" s="3" t="n">
        <v>3.290237583531315</v>
      </c>
      <c r="CO472" s="3" t="n">
        <v>3.349684082074732</v>
      </c>
      <c r="CP472" s="3" t="n">
        <v>3.408443659616294</v>
      </c>
      <c r="CQ472" s="3" t="n">
        <v>3.467096909277325</v>
      </c>
      <c r="CR472" s="3" t="n">
        <v>3.52495966143424</v>
      </c>
      <c r="CS472" s="3" t="n">
        <v>3.582941834249247</v>
      </c>
      <c r="CU472" s="20" t="inlineStr">
        <is>
          <t>egy.mit.ener.res.ker.6</t>
        </is>
      </c>
      <c r="CV472" s="3" t="n">
        <v>2.649308102035475</v>
      </c>
      <c r="CW472" s="3" t="n">
        <v>2.738428224197269</v>
      </c>
      <c r="CX472" s="3" t="n">
        <v>2.960037190809559</v>
      </c>
      <c r="CY472" s="3" t="n">
        <v>3.014929389330731</v>
      </c>
      <c r="CZ472" s="3" t="n">
        <v>3.067938384607439</v>
      </c>
      <c r="DA472" s="3" t="n">
        <v>2.491411981593522</v>
      </c>
      <c r="DB472" s="3" t="n">
        <v>2.549959013424124</v>
      </c>
      <c r="DC472" s="3" t="n">
        <v>2.60696752137149</v>
      </c>
      <c r="DD472" s="3" t="n">
        <v>2.654390103809147</v>
      </c>
      <c r="DE472" s="3" t="n">
        <v>2.706289324736816</v>
      </c>
      <c r="DF472" s="3" t="n">
        <v>2.755869069483052</v>
      </c>
      <c r="DG472" s="3" t="n">
        <v>2.809363710663034</v>
      </c>
      <c r="DH472" s="3" t="n">
        <v>2.864426539771616</v>
      </c>
      <c r="DI472" s="3" t="n">
        <v>2.918914100909487</v>
      </c>
      <c r="DJ472" s="3" t="n">
        <v>2.974220232917003</v>
      </c>
      <c r="DK472" s="3" t="n">
        <v>3.031358625782712</v>
      </c>
      <c r="DL472" s="3" t="n">
        <v>3.086949165017822</v>
      </c>
      <c r="DM472" s="3" t="n">
        <v>3.141852633777685</v>
      </c>
      <c r="DN472" s="3" t="n">
        <v>3.194793767248497</v>
      </c>
      <c r="DO472" s="3" t="n">
        <v>3.247250648479111</v>
      </c>
    </row>
    <row r="473">
      <c r="A473" s="19" t="inlineStr">
        <is>
          <t>mit.ener.res.oop</t>
        </is>
      </c>
      <c r="B473" s="3" t="inlineStr">
        <is>
          <t>mit</t>
        </is>
      </c>
      <c r="C473" s="19" t="inlineStr">
        <is>
          <t>mit.ener.ral.nga.e</t>
        </is>
      </c>
      <c r="H473" s="3" t="inlineStr">
        <is>
          <t>Fuel use | Residential | Other oil products</t>
        </is>
      </c>
      <c r="I473" s="3" t="inlineStr">
        <is>
          <t>ktoe</t>
        </is>
      </c>
      <c r="K473" s="20" t="inlineStr">
        <is>
          <t>egy.mit.ener.res.oop.1</t>
        </is>
      </c>
      <c r="L473" s="3" t="n">
        <v>0</v>
      </c>
      <c r="M473" s="3" t="n">
        <v>0</v>
      </c>
      <c r="N473" s="3" t="n">
        <v>0</v>
      </c>
      <c r="O473" s="3" t="n">
        <v>0</v>
      </c>
      <c r="P473" s="3" t="n">
        <v>0</v>
      </c>
      <c r="Q473" s="3" t="n">
        <v>0</v>
      </c>
      <c r="R473" s="3" t="n">
        <v>0</v>
      </c>
      <c r="S473" s="3" t="n">
        <v>0</v>
      </c>
      <c r="T473" s="3" t="n">
        <v>0</v>
      </c>
      <c r="U473" s="3" t="n">
        <v>0</v>
      </c>
      <c r="V473" s="3" t="n">
        <v>0</v>
      </c>
      <c r="W473" s="3" t="n">
        <v>0</v>
      </c>
      <c r="X473" s="3" t="n">
        <v>0</v>
      </c>
      <c r="Y473" s="3" t="n">
        <v>0</v>
      </c>
      <c r="Z473" s="3" t="n">
        <v>0</v>
      </c>
      <c r="AA473" s="3" t="n">
        <v>0</v>
      </c>
      <c r="AB473" s="3" t="n">
        <v>0</v>
      </c>
      <c r="AC473" s="3" t="n">
        <v>0</v>
      </c>
      <c r="AD473" s="3" t="n">
        <v>0</v>
      </c>
      <c r="AE473" s="3" t="n">
        <v>0</v>
      </c>
      <c r="AG473" s="20" t="inlineStr">
        <is>
          <t>egy.mit.ener.res.oop.3</t>
        </is>
      </c>
      <c r="AH473" s="3" t="n">
        <v>0</v>
      </c>
      <c r="AI473" s="3" t="n">
        <v>0</v>
      </c>
      <c r="AJ473" s="3" t="n">
        <v>0</v>
      </c>
      <c r="AK473" s="3" t="n">
        <v>0</v>
      </c>
      <c r="AL473" s="3" t="n">
        <v>0</v>
      </c>
      <c r="AM473" s="3" t="n">
        <v>0</v>
      </c>
      <c r="AN473" s="3" t="n">
        <v>0</v>
      </c>
      <c r="AO473" s="3" t="n">
        <v>0</v>
      </c>
      <c r="AP473" s="3" t="n">
        <v>0</v>
      </c>
      <c r="AQ473" s="3" t="n">
        <v>0</v>
      </c>
      <c r="AR473" s="3" t="n">
        <v>0</v>
      </c>
      <c r="AS473" s="3" t="n">
        <v>0</v>
      </c>
      <c r="AT473" s="3" t="n">
        <v>0</v>
      </c>
      <c r="AU473" s="3" t="n">
        <v>0</v>
      </c>
      <c r="AV473" s="3" t="n">
        <v>0</v>
      </c>
      <c r="AW473" s="3" t="n">
        <v>0</v>
      </c>
      <c r="AX473" s="3" t="n">
        <v>0</v>
      </c>
      <c r="AY473" s="3" t="n">
        <v>0</v>
      </c>
      <c r="AZ473" s="3" t="n">
        <v>0</v>
      </c>
      <c r="BA473" s="3" t="n">
        <v>0</v>
      </c>
      <c r="BC473" s="20" t="inlineStr">
        <is>
          <t>egy.mit.ener.res.oop.4</t>
        </is>
      </c>
      <c r="BD473" s="3" t="n">
        <v>0</v>
      </c>
      <c r="BE473" s="3" t="n">
        <v>0</v>
      </c>
      <c r="BF473" s="3" t="n">
        <v>0</v>
      </c>
      <c r="BG473" s="3" t="n">
        <v>0</v>
      </c>
      <c r="BH473" s="3" t="n">
        <v>0</v>
      </c>
      <c r="BI473" s="3" t="n">
        <v>0</v>
      </c>
      <c r="BJ473" s="3" t="n">
        <v>0</v>
      </c>
      <c r="BK473" s="3" t="n">
        <v>0</v>
      </c>
      <c r="BL473" s="3" t="n">
        <v>0</v>
      </c>
      <c r="BM473" s="3" t="n">
        <v>0</v>
      </c>
      <c r="BN473" s="3" t="n">
        <v>0</v>
      </c>
      <c r="BO473" s="3" t="n">
        <v>0</v>
      </c>
      <c r="BP473" s="3" t="n">
        <v>0</v>
      </c>
      <c r="BQ473" s="3" t="n">
        <v>0</v>
      </c>
      <c r="BR473" s="3" t="n">
        <v>0</v>
      </c>
      <c r="BS473" s="3" t="n">
        <v>0</v>
      </c>
      <c r="BT473" s="3" t="n">
        <v>0</v>
      </c>
      <c r="BU473" s="3" t="n">
        <v>0</v>
      </c>
      <c r="BV473" s="3" t="n">
        <v>0</v>
      </c>
      <c r="BW473" s="3" t="n">
        <v>0</v>
      </c>
      <c r="BY473" s="20" t="inlineStr">
        <is>
          <t>egy.mit.ener.res.oop.5</t>
        </is>
      </c>
      <c r="BZ473" s="3" t="n">
        <v>0</v>
      </c>
      <c r="CA473" s="3" t="n">
        <v>0</v>
      </c>
      <c r="CB473" s="3" t="n">
        <v>0</v>
      </c>
      <c r="CC473" s="3" t="n">
        <v>0</v>
      </c>
      <c r="CD473" s="3" t="n">
        <v>0</v>
      </c>
      <c r="CE473" s="3" t="n">
        <v>0</v>
      </c>
      <c r="CF473" s="3" t="n">
        <v>0</v>
      </c>
      <c r="CG473" s="3" t="n">
        <v>0</v>
      </c>
      <c r="CH473" s="3" t="n">
        <v>0</v>
      </c>
      <c r="CI473" s="3" t="n">
        <v>0</v>
      </c>
      <c r="CJ473" s="3" t="n">
        <v>0</v>
      </c>
      <c r="CK473" s="3" t="n">
        <v>0</v>
      </c>
      <c r="CL473" s="3" t="n">
        <v>0</v>
      </c>
      <c r="CM473" s="3" t="n">
        <v>0</v>
      </c>
      <c r="CN473" s="3" t="n">
        <v>0</v>
      </c>
      <c r="CO473" s="3" t="n">
        <v>0</v>
      </c>
      <c r="CP473" s="3" t="n">
        <v>0</v>
      </c>
      <c r="CQ473" s="3" t="n">
        <v>0</v>
      </c>
      <c r="CR473" s="3" t="n">
        <v>0</v>
      </c>
      <c r="CS473" s="3" t="n">
        <v>0</v>
      </c>
      <c r="CU473" s="20" t="inlineStr">
        <is>
          <t>egy.mit.ener.res.oop.6</t>
        </is>
      </c>
      <c r="CV473" s="3" t="n">
        <v>0</v>
      </c>
      <c r="CW473" s="3" t="n">
        <v>0</v>
      </c>
      <c r="CX473" s="3" t="n">
        <v>0</v>
      </c>
      <c r="CY473" s="3" t="n">
        <v>0</v>
      </c>
      <c r="CZ473" s="3" t="n">
        <v>0</v>
      </c>
      <c r="DA473" s="3" t="n">
        <v>0</v>
      </c>
      <c r="DB473" s="3" t="n">
        <v>0</v>
      </c>
      <c r="DC473" s="3" t="n">
        <v>0</v>
      </c>
      <c r="DD473" s="3" t="n">
        <v>0</v>
      </c>
      <c r="DE473" s="3" t="n">
        <v>0</v>
      </c>
      <c r="DF473" s="3" t="n">
        <v>0</v>
      </c>
      <c r="DG473" s="3" t="n">
        <v>0</v>
      </c>
      <c r="DH473" s="3" t="n">
        <v>0</v>
      </c>
      <c r="DI473" s="3" t="n">
        <v>0</v>
      </c>
      <c r="DJ473" s="3" t="n">
        <v>0</v>
      </c>
      <c r="DK473" s="3" t="n">
        <v>0</v>
      </c>
      <c r="DL473" s="3" t="n">
        <v>0</v>
      </c>
      <c r="DM473" s="3" t="n">
        <v>0</v>
      </c>
      <c r="DN473" s="3" t="n">
        <v>0</v>
      </c>
      <c r="DO473" s="3" t="n">
        <v>0</v>
      </c>
    </row>
    <row r="474">
      <c r="A474" s="19" t="inlineStr">
        <is>
          <t>mit.ener.res.bio</t>
        </is>
      </c>
      <c r="B474" s="3" t="inlineStr">
        <is>
          <t>mit</t>
        </is>
      </c>
      <c r="C474" s="19" t="inlineStr">
        <is>
          <t>mit.ener.ral.gso.e</t>
        </is>
      </c>
      <c r="H474" s="3" t="inlineStr">
        <is>
          <t>Fuel use | Residential | Biomass</t>
        </is>
      </c>
      <c r="I474" s="3" t="inlineStr">
        <is>
          <t>ktoe</t>
        </is>
      </c>
      <c r="K474" s="20" t="inlineStr">
        <is>
          <t>egy.mit.ener.res.bio.1</t>
        </is>
      </c>
      <c r="L474" s="3" t="n">
        <v>1494.644271668726</v>
      </c>
      <c r="M474" s="3" t="n">
        <v>1177.075024141229</v>
      </c>
      <c r="N474" s="3" t="n">
        <v>1284.475530209442</v>
      </c>
      <c r="O474" s="3" t="n">
        <v>1279.998886843436</v>
      </c>
      <c r="P474" s="3" t="n">
        <v>1275.537845437416</v>
      </c>
      <c r="Q474" s="3" t="n">
        <v>1271.092351615563</v>
      </c>
      <c r="R474" s="3" t="n">
        <v>1266.662351191567</v>
      </c>
      <c r="S474" s="3" t="n">
        <v>1262.247790167966</v>
      </c>
      <c r="T474" s="3" t="n">
        <v>1257.848614735491</v>
      </c>
      <c r="U474" s="3" t="n">
        <v>1253.46477127241</v>
      </c>
      <c r="V474" s="3" t="n">
        <v>1249.096206343871</v>
      </c>
      <c r="W474" s="3" t="n">
        <v>1244.742866701254</v>
      </c>
      <c r="X474" s="3" t="n">
        <v>1240.404699281519</v>
      </c>
      <c r="Y474" s="3" t="n">
        <v>1236.081651206561</v>
      </c>
      <c r="Z474" s="3" t="n">
        <v>1231.773669782568</v>
      </c>
      <c r="AA474" s="3" t="n">
        <v>1227.480702499373</v>
      </c>
      <c r="AB474" s="3" t="n">
        <v>1223.202697029819</v>
      </c>
      <c r="AC474" s="3" t="n">
        <v>1218.939601229117</v>
      </c>
      <c r="AD474" s="3" t="n">
        <v>1214.691363134216</v>
      </c>
      <c r="AE474" s="3" t="n">
        <v>1210.457930963162</v>
      </c>
      <c r="AG474" s="20" t="inlineStr">
        <is>
          <t>egy.mit.ener.res.bio.3</t>
        </is>
      </c>
      <c r="AH474" s="3" t="n">
        <v>1494.644271668726</v>
      </c>
      <c r="AI474" s="3" t="n">
        <v>1177.075024141229</v>
      </c>
      <c r="AJ474" s="3" t="n">
        <v>1284.475530209442</v>
      </c>
      <c r="AK474" s="3" t="n">
        <v>1279.998886843436</v>
      </c>
      <c r="AL474" s="3" t="n">
        <v>1275.537845437416</v>
      </c>
      <c r="AM474" s="3" t="n">
        <v>1271.092351615563</v>
      </c>
      <c r="AN474" s="3" t="n">
        <v>1266.662351191567</v>
      </c>
      <c r="AO474" s="3" t="n">
        <v>1262.247790167966</v>
      </c>
      <c r="AP474" s="3" t="n">
        <v>1257.848614735491</v>
      </c>
      <c r="AQ474" s="3" t="n">
        <v>1253.46477127241</v>
      </c>
      <c r="AR474" s="3" t="n">
        <v>1249.096206343871</v>
      </c>
      <c r="AS474" s="3" t="n">
        <v>1244.742866701254</v>
      </c>
      <c r="AT474" s="3" t="n">
        <v>1240.404699281519</v>
      </c>
      <c r="AU474" s="3" t="n">
        <v>1236.081651206561</v>
      </c>
      <c r="AV474" s="3" t="n">
        <v>1231.773669782568</v>
      </c>
      <c r="AW474" s="3" t="n">
        <v>1227.480702499373</v>
      </c>
      <c r="AX474" s="3" t="n">
        <v>1223.202697029819</v>
      </c>
      <c r="AY474" s="3" t="n">
        <v>1218.939601229117</v>
      </c>
      <c r="AZ474" s="3" t="n">
        <v>1214.691363134216</v>
      </c>
      <c r="BA474" s="3" t="n">
        <v>1210.457930963162</v>
      </c>
      <c r="BC474" s="20" t="inlineStr">
        <is>
          <t>egy.mit.ener.res.bio.4</t>
        </is>
      </c>
      <c r="BD474" s="3" t="n">
        <v>1494.644271668726</v>
      </c>
      <c r="BE474" s="3" t="n">
        <v>1177.075024141229</v>
      </c>
      <c r="BF474" s="3" t="n">
        <v>1284.475530209442</v>
      </c>
      <c r="BG474" s="3" t="n">
        <v>1279.998886843436</v>
      </c>
      <c r="BH474" s="3" t="n">
        <v>1275.537845437416</v>
      </c>
      <c r="BI474" s="3" t="n">
        <v>1271.092351615563</v>
      </c>
      <c r="BJ474" s="3" t="n">
        <v>1266.662351191567</v>
      </c>
      <c r="BK474" s="3" t="n">
        <v>1262.247790167966</v>
      </c>
      <c r="BL474" s="3" t="n">
        <v>1257.848614735491</v>
      </c>
      <c r="BM474" s="3" t="n">
        <v>1253.46477127241</v>
      </c>
      <c r="BN474" s="3" t="n">
        <v>1249.096206343871</v>
      </c>
      <c r="BO474" s="3" t="n">
        <v>1244.742866701254</v>
      </c>
      <c r="BP474" s="3" t="n">
        <v>1240.404699281519</v>
      </c>
      <c r="BQ474" s="3" t="n">
        <v>1236.081651206561</v>
      </c>
      <c r="BR474" s="3" t="n">
        <v>1231.773669782568</v>
      </c>
      <c r="BS474" s="3" t="n">
        <v>1227.480702499373</v>
      </c>
      <c r="BT474" s="3" t="n">
        <v>1223.202697029819</v>
      </c>
      <c r="BU474" s="3" t="n">
        <v>1218.939601229117</v>
      </c>
      <c r="BV474" s="3" t="n">
        <v>1214.691363134216</v>
      </c>
      <c r="BW474" s="3" t="n">
        <v>1210.457930963162</v>
      </c>
      <c r="BY474" s="20" t="inlineStr">
        <is>
          <t>egy.mit.ener.res.bio.5</t>
        </is>
      </c>
      <c r="BZ474" s="3" t="n">
        <v>1494.644271668726</v>
      </c>
      <c r="CA474" s="3" t="n">
        <v>1177.075024141229</v>
      </c>
      <c r="CB474" s="3" t="n">
        <v>1284.475530209442</v>
      </c>
      <c r="CC474" s="3" t="n">
        <v>1279.998886843436</v>
      </c>
      <c r="CD474" s="3" t="n">
        <v>1275.537845437416</v>
      </c>
      <c r="CE474" s="3" t="n">
        <v>1271.092351615563</v>
      </c>
      <c r="CF474" s="3" t="n">
        <v>1266.662351191567</v>
      </c>
      <c r="CG474" s="3" t="n">
        <v>1262.247790167966</v>
      </c>
      <c r="CH474" s="3" t="n">
        <v>1257.848614735491</v>
      </c>
      <c r="CI474" s="3" t="n">
        <v>1253.46477127241</v>
      </c>
      <c r="CJ474" s="3" t="n">
        <v>1249.096206343871</v>
      </c>
      <c r="CK474" s="3" t="n">
        <v>1244.742866701254</v>
      </c>
      <c r="CL474" s="3" t="n">
        <v>1240.404699281519</v>
      </c>
      <c r="CM474" s="3" t="n">
        <v>1236.081651206561</v>
      </c>
      <c r="CN474" s="3" t="n">
        <v>1231.773669782568</v>
      </c>
      <c r="CO474" s="3" t="n">
        <v>1227.480702499373</v>
      </c>
      <c r="CP474" s="3" t="n">
        <v>1223.202697029819</v>
      </c>
      <c r="CQ474" s="3" t="n">
        <v>1218.939601229117</v>
      </c>
      <c r="CR474" s="3" t="n">
        <v>1214.691363134216</v>
      </c>
      <c r="CS474" s="3" t="n">
        <v>1210.457930963162</v>
      </c>
      <c r="CU474" s="20" t="inlineStr">
        <is>
          <t>egy.mit.ener.res.bio.6</t>
        </is>
      </c>
      <c r="CV474" s="3" t="n">
        <v>1494.644271668726</v>
      </c>
      <c r="CW474" s="3" t="n">
        <v>1177.075024141229</v>
      </c>
      <c r="CX474" s="3" t="n">
        <v>1284.475530209442</v>
      </c>
      <c r="CY474" s="3" t="n">
        <v>1279.998886843436</v>
      </c>
      <c r="CZ474" s="3" t="n">
        <v>1275.537845437416</v>
      </c>
      <c r="DA474" s="3" t="n">
        <v>1271.092351615563</v>
      </c>
      <c r="DB474" s="3" t="n">
        <v>1266.662351191567</v>
      </c>
      <c r="DC474" s="3" t="n">
        <v>1262.247790167966</v>
      </c>
      <c r="DD474" s="3" t="n">
        <v>1257.848614735491</v>
      </c>
      <c r="DE474" s="3" t="n">
        <v>1253.46477127241</v>
      </c>
      <c r="DF474" s="3" t="n">
        <v>1249.096206343871</v>
      </c>
      <c r="DG474" s="3" t="n">
        <v>1244.742866701254</v>
      </c>
      <c r="DH474" s="3" t="n">
        <v>1240.404699281519</v>
      </c>
      <c r="DI474" s="3" t="n">
        <v>1236.081651206561</v>
      </c>
      <c r="DJ474" s="3" t="n">
        <v>1231.773669782568</v>
      </c>
      <c r="DK474" s="3" t="n">
        <v>1227.480702499373</v>
      </c>
      <c r="DL474" s="3" t="n">
        <v>1223.202697029819</v>
      </c>
      <c r="DM474" s="3" t="n">
        <v>1218.939601229117</v>
      </c>
      <c r="DN474" s="3" t="n">
        <v>1214.691363134216</v>
      </c>
      <c r="DO474" s="3" t="n">
        <v>1210.457930963162</v>
      </c>
    </row>
    <row r="475">
      <c r="A475" s="14" t="n"/>
      <c r="B475" s="3" t="inlineStr">
        <is>
          <t>mit</t>
        </is>
      </c>
      <c r="C475" s="19" t="inlineStr">
        <is>
          <t>mit.ener.ral.die.e</t>
        </is>
      </c>
      <c r="H475" s="14" t="inlineStr">
        <is>
          <t>Energy consumption, residential, sector-generated renewables, policy</t>
        </is>
      </c>
      <c r="I475" s="14" t="inlineStr">
        <is>
          <t>ktoe</t>
        </is>
      </c>
    </row>
    <row r="476">
      <c r="A476" s="19" t="inlineStr">
        <is>
          <t>mit.ener.foo.coa</t>
        </is>
      </c>
      <c r="B476" s="3" t="inlineStr">
        <is>
          <t>mit</t>
        </is>
      </c>
      <c r="C476" s="19" t="inlineStr">
        <is>
          <t>mit.ener.nav.nga.e</t>
        </is>
      </c>
      <c r="H476" s="3" t="inlineStr">
        <is>
          <t>Fuel use | Food &amp; forestry | Coal</t>
        </is>
      </c>
      <c r="I476" s="3" t="inlineStr">
        <is>
          <t>ktoe</t>
        </is>
      </c>
      <c r="K476" s="20" t="inlineStr">
        <is>
          <t>egy.mit.ener.foo.coa.1</t>
        </is>
      </c>
      <c r="L476" s="3" t="n">
        <v>0</v>
      </c>
      <c r="M476" s="3" t="n">
        <v>0</v>
      </c>
      <c r="N476" s="3" t="n">
        <v>0</v>
      </c>
      <c r="O476" s="3" t="n">
        <v>0</v>
      </c>
      <c r="P476" s="3" t="n">
        <v>0</v>
      </c>
      <c r="Q476" s="3" t="n">
        <v>0</v>
      </c>
      <c r="R476" s="3" t="n">
        <v>0</v>
      </c>
      <c r="S476" s="3" t="n">
        <v>0</v>
      </c>
      <c r="T476" s="3" t="n">
        <v>0</v>
      </c>
      <c r="U476" s="3" t="n">
        <v>0</v>
      </c>
      <c r="V476" s="3" t="n">
        <v>0</v>
      </c>
      <c r="W476" s="3" t="n">
        <v>0</v>
      </c>
      <c r="X476" s="3" t="n">
        <v>0</v>
      </c>
      <c r="Y476" s="3" t="n">
        <v>0</v>
      </c>
      <c r="Z476" s="3" t="n">
        <v>0</v>
      </c>
      <c r="AA476" s="3" t="n">
        <v>0</v>
      </c>
      <c r="AB476" s="3" t="n">
        <v>0</v>
      </c>
      <c r="AC476" s="3" t="n">
        <v>0</v>
      </c>
      <c r="AD476" s="3" t="n">
        <v>0</v>
      </c>
      <c r="AE476" s="3" t="n">
        <v>0</v>
      </c>
      <c r="AG476" s="20" t="inlineStr">
        <is>
          <t>egy.mit.ener.foo.coa.3</t>
        </is>
      </c>
      <c r="AH476" s="3" t="n">
        <v>0</v>
      </c>
      <c r="AI476" s="3" t="n">
        <v>0</v>
      </c>
      <c r="AJ476" s="3" t="n">
        <v>0</v>
      </c>
      <c r="AK476" s="3" t="n">
        <v>0</v>
      </c>
      <c r="AL476" s="3" t="n">
        <v>0</v>
      </c>
      <c r="AM476" s="3" t="n">
        <v>0</v>
      </c>
      <c r="AN476" s="3" t="n">
        <v>0</v>
      </c>
      <c r="AO476" s="3" t="n">
        <v>0</v>
      </c>
      <c r="AP476" s="3" t="n">
        <v>0</v>
      </c>
      <c r="AQ476" s="3" t="n">
        <v>0</v>
      </c>
      <c r="AR476" s="3" t="n">
        <v>0</v>
      </c>
      <c r="AS476" s="3" t="n">
        <v>0</v>
      </c>
      <c r="AT476" s="3" t="n">
        <v>0</v>
      </c>
      <c r="AU476" s="3" t="n">
        <v>0</v>
      </c>
      <c r="AV476" s="3" t="n">
        <v>0</v>
      </c>
      <c r="AW476" s="3" t="n">
        <v>0</v>
      </c>
      <c r="AX476" s="3" t="n">
        <v>0</v>
      </c>
      <c r="AY476" s="3" t="n">
        <v>0</v>
      </c>
      <c r="AZ476" s="3" t="n">
        <v>0</v>
      </c>
      <c r="BA476" s="3" t="n">
        <v>0</v>
      </c>
      <c r="BC476" s="20" t="inlineStr">
        <is>
          <t>egy.mit.ener.foo.coa.4</t>
        </is>
      </c>
      <c r="BD476" s="3" t="n">
        <v>0</v>
      </c>
      <c r="BE476" s="3" t="n">
        <v>0</v>
      </c>
      <c r="BF476" s="3" t="n">
        <v>0</v>
      </c>
      <c r="BG476" s="3" t="n">
        <v>0</v>
      </c>
      <c r="BH476" s="3" t="n">
        <v>0</v>
      </c>
      <c r="BI476" s="3" t="n">
        <v>0</v>
      </c>
      <c r="BJ476" s="3" t="n">
        <v>0</v>
      </c>
      <c r="BK476" s="3" t="n">
        <v>0</v>
      </c>
      <c r="BL476" s="3" t="n">
        <v>0</v>
      </c>
      <c r="BM476" s="3" t="n">
        <v>0</v>
      </c>
      <c r="BN476" s="3" t="n">
        <v>0</v>
      </c>
      <c r="BO476" s="3" t="n">
        <v>0</v>
      </c>
      <c r="BP476" s="3" t="n">
        <v>0</v>
      </c>
      <c r="BQ476" s="3" t="n">
        <v>0</v>
      </c>
      <c r="BR476" s="3" t="n">
        <v>0</v>
      </c>
      <c r="BS476" s="3" t="n">
        <v>0</v>
      </c>
      <c r="BT476" s="3" t="n">
        <v>0</v>
      </c>
      <c r="BU476" s="3" t="n">
        <v>0</v>
      </c>
      <c r="BV476" s="3" t="n">
        <v>0</v>
      </c>
      <c r="BW476" s="3" t="n">
        <v>0</v>
      </c>
      <c r="BY476" s="20" t="inlineStr">
        <is>
          <t>egy.mit.ener.foo.coa.5</t>
        </is>
      </c>
      <c r="BZ476" s="3" t="n">
        <v>0</v>
      </c>
      <c r="CA476" s="3" t="n">
        <v>0</v>
      </c>
      <c r="CB476" s="3" t="n">
        <v>0</v>
      </c>
      <c r="CC476" s="3" t="n">
        <v>0</v>
      </c>
      <c r="CD476" s="3" t="n">
        <v>0</v>
      </c>
      <c r="CE476" s="3" t="n">
        <v>0</v>
      </c>
      <c r="CF476" s="3" t="n">
        <v>0</v>
      </c>
      <c r="CG476" s="3" t="n">
        <v>0</v>
      </c>
      <c r="CH476" s="3" t="n">
        <v>0</v>
      </c>
      <c r="CI476" s="3" t="n">
        <v>0</v>
      </c>
      <c r="CJ476" s="3" t="n">
        <v>0</v>
      </c>
      <c r="CK476" s="3" t="n">
        <v>0</v>
      </c>
      <c r="CL476" s="3" t="n">
        <v>0</v>
      </c>
      <c r="CM476" s="3" t="n">
        <v>0</v>
      </c>
      <c r="CN476" s="3" t="n">
        <v>0</v>
      </c>
      <c r="CO476" s="3" t="n">
        <v>0</v>
      </c>
      <c r="CP476" s="3" t="n">
        <v>0</v>
      </c>
      <c r="CQ476" s="3" t="n">
        <v>0</v>
      </c>
      <c r="CR476" s="3" t="n">
        <v>0</v>
      </c>
      <c r="CS476" s="3" t="n">
        <v>0</v>
      </c>
      <c r="CU476" s="20" t="inlineStr">
        <is>
          <t>egy.mit.ener.foo.coa.6</t>
        </is>
      </c>
      <c r="CV476" s="3" t="n">
        <v>0</v>
      </c>
      <c r="CW476" s="3" t="n">
        <v>0</v>
      </c>
      <c r="CX476" s="3" t="n">
        <v>0</v>
      </c>
      <c r="CY476" s="3" t="n">
        <v>0</v>
      </c>
      <c r="CZ476" s="3" t="n">
        <v>0</v>
      </c>
      <c r="DA476" s="3" t="n">
        <v>0</v>
      </c>
      <c r="DB476" s="3" t="n">
        <v>0</v>
      </c>
      <c r="DC476" s="3" t="n">
        <v>0</v>
      </c>
      <c r="DD476" s="3" t="n">
        <v>0</v>
      </c>
      <c r="DE476" s="3" t="n">
        <v>0</v>
      </c>
      <c r="DF476" s="3" t="n">
        <v>0</v>
      </c>
      <c r="DG476" s="3" t="n">
        <v>0</v>
      </c>
      <c r="DH476" s="3" t="n">
        <v>0</v>
      </c>
      <c r="DI476" s="3" t="n">
        <v>0</v>
      </c>
      <c r="DJ476" s="3" t="n">
        <v>0</v>
      </c>
      <c r="DK476" s="3" t="n">
        <v>0</v>
      </c>
      <c r="DL476" s="3" t="n">
        <v>0</v>
      </c>
      <c r="DM476" s="3" t="n">
        <v>0</v>
      </c>
      <c r="DN476" s="3" t="n">
        <v>0</v>
      </c>
      <c r="DO476" s="3" t="n">
        <v>0</v>
      </c>
    </row>
    <row r="477">
      <c r="A477" s="19" t="inlineStr">
        <is>
          <t>mit.ener.foo.nga</t>
        </is>
      </c>
      <c r="B477" s="3" t="inlineStr">
        <is>
          <t>mit</t>
        </is>
      </c>
      <c r="C477" s="19" t="inlineStr">
        <is>
          <t>mit.ener.nav.gso.e</t>
        </is>
      </c>
      <c r="H477" s="3" t="inlineStr">
        <is>
          <t>Fuel use | Food &amp; forestry | Natural gas</t>
        </is>
      </c>
      <c r="I477" s="3" t="inlineStr">
        <is>
          <t>ktoe</t>
        </is>
      </c>
      <c r="K477" s="20" t="inlineStr">
        <is>
          <t>egy.mit.ener.foo.nga.1</t>
        </is>
      </c>
      <c r="L477" s="3" t="n">
        <v>0</v>
      </c>
      <c r="M477" s="3" t="n">
        <v>0</v>
      </c>
      <c r="N477" s="3" t="n">
        <v>0</v>
      </c>
      <c r="O477" s="3" t="n">
        <v>0</v>
      </c>
      <c r="P477" s="3" t="n">
        <v>0</v>
      </c>
      <c r="Q477" s="3" t="n">
        <v>0</v>
      </c>
      <c r="R477" s="3" t="n">
        <v>0</v>
      </c>
      <c r="S477" s="3" t="n">
        <v>0</v>
      </c>
      <c r="T477" s="3" t="n">
        <v>0</v>
      </c>
      <c r="U477" s="3" t="n">
        <v>0</v>
      </c>
      <c r="V477" s="3" t="n">
        <v>0</v>
      </c>
      <c r="W477" s="3" t="n">
        <v>0</v>
      </c>
      <c r="X477" s="3" t="n">
        <v>0</v>
      </c>
      <c r="Y477" s="3" t="n">
        <v>0</v>
      </c>
      <c r="Z477" s="3" t="n">
        <v>0</v>
      </c>
      <c r="AA477" s="3" t="n">
        <v>0</v>
      </c>
      <c r="AB477" s="3" t="n">
        <v>0</v>
      </c>
      <c r="AC477" s="3" t="n">
        <v>0</v>
      </c>
      <c r="AD477" s="3" t="n">
        <v>0</v>
      </c>
      <c r="AE477" s="3" t="n">
        <v>0</v>
      </c>
      <c r="AG477" s="20" t="inlineStr">
        <is>
          <t>egy.mit.ener.foo.nga.3</t>
        </is>
      </c>
      <c r="AH477" s="3" t="n">
        <v>0</v>
      </c>
      <c r="AI477" s="3" t="n">
        <v>0</v>
      </c>
      <c r="AJ477" s="3" t="n">
        <v>0</v>
      </c>
      <c r="AK477" s="3" t="n">
        <v>0</v>
      </c>
      <c r="AL477" s="3" t="n">
        <v>0</v>
      </c>
      <c r="AM477" s="3" t="n">
        <v>0</v>
      </c>
      <c r="AN477" s="3" t="n">
        <v>0</v>
      </c>
      <c r="AO477" s="3" t="n">
        <v>0</v>
      </c>
      <c r="AP477" s="3" t="n">
        <v>0</v>
      </c>
      <c r="AQ477" s="3" t="n">
        <v>0</v>
      </c>
      <c r="AR477" s="3" t="n">
        <v>0</v>
      </c>
      <c r="AS477" s="3" t="n">
        <v>0</v>
      </c>
      <c r="AT477" s="3" t="n">
        <v>0</v>
      </c>
      <c r="AU477" s="3" t="n">
        <v>0</v>
      </c>
      <c r="AV477" s="3" t="n">
        <v>0</v>
      </c>
      <c r="AW477" s="3" t="n">
        <v>0</v>
      </c>
      <c r="AX477" s="3" t="n">
        <v>0</v>
      </c>
      <c r="AY477" s="3" t="n">
        <v>0</v>
      </c>
      <c r="AZ477" s="3" t="n">
        <v>0</v>
      </c>
      <c r="BA477" s="3" t="n">
        <v>0</v>
      </c>
      <c r="BC477" s="20" t="inlineStr">
        <is>
          <t>egy.mit.ener.foo.nga.4</t>
        </is>
      </c>
      <c r="BD477" s="3" t="n">
        <v>0</v>
      </c>
      <c r="BE477" s="3" t="n">
        <v>0</v>
      </c>
      <c r="BF477" s="3" t="n">
        <v>0</v>
      </c>
      <c r="BG477" s="3" t="n">
        <v>0</v>
      </c>
      <c r="BH477" s="3" t="n">
        <v>0</v>
      </c>
      <c r="BI477" s="3" t="n">
        <v>0</v>
      </c>
      <c r="BJ477" s="3" t="n">
        <v>0</v>
      </c>
      <c r="BK477" s="3" t="n">
        <v>0</v>
      </c>
      <c r="BL477" s="3" t="n">
        <v>0</v>
      </c>
      <c r="BM477" s="3" t="n">
        <v>0</v>
      </c>
      <c r="BN477" s="3" t="n">
        <v>0</v>
      </c>
      <c r="BO477" s="3" t="n">
        <v>0</v>
      </c>
      <c r="BP477" s="3" t="n">
        <v>0</v>
      </c>
      <c r="BQ477" s="3" t="n">
        <v>0</v>
      </c>
      <c r="BR477" s="3" t="n">
        <v>0</v>
      </c>
      <c r="BS477" s="3" t="n">
        <v>0</v>
      </c>
      <c r="BT477" s="3" t="n">
        <v>0</v>
      </c>
      <c r="BU477" s="3" t="n">
        <v>0</v>
      </c>
      <c r="BV477" s="3" t="n">
        <v>0</v>
      </c>
      <c r="BW477" s="3" t="n">
        <v>0</v>
      </c>
      <c r="BY477" s="20" t="inlineStr">
        <is>
          <t>egy.mit.ener.foo.nga.5</t>
        </is>
      </c>
      <c r="BZ477" s="3" t="n">
        <v>0</v>
      </c>
      <c r="CA477" s="3" t="n">
        <v>0</v>
      </c>
      <c r="CB477" s="3" t="n">
        <v>0</v>
      </c>
      <c r="CC477" s="3" t="n">
        <v>0</v>
      </c>
      <c r="CD477" s="3" t="n">
        <v>0</v>
      </c>
      <c r="CE477" s="3" t="n">
        <v>0</v>
      </c>
      <c r="CF477" s="3" t="n">
        <v>0</v>
      </c>
      <c r="CG477" s="3" t="n">
        <v>0</v>
      </c>
      <c r="CH477" s="3" t="n">
        <v>0</v>
      </c>
      <c r="CI477" s="3" t="n">
        <v>0</v>
      </c>
      <c r="CJ477" s="3" t="n">
        <v>0</v>
      </c>
      <c r="CK477" s="3" t="n">
        <v>0</v>
      </c>
      <c r="CL477" s="3" t="n">
        <v>0</v>
      </c>
      <c r="CM477" s="3" t="n">
        <v>0</v>
      </c>
      <c r="CN477" s="3" t="n">
        <v>0</v>
      </c>
      <c r="CO477" s="3" t="n">
        <v>0</v>
      </c>
      <c r="CP477" s="3" t="n">
        <v>0</v>
      </c>
      <c r="CQ477" s="3" t="n">
        <v>0</v>
      </c>
      <c r="CR477" s="3" t="n">
        <v>0</v>
      </c>
      <c r="CS477" s="3" t="n">
        <v>0</v>
      </c>
      <c r="CU477" s="20" t="inlineStr">
        <is>
          <t>egy.mit.ener.foo.nga.6</t>
        </is>
      </c>
      <c r="CV477" s="3" t="n">
        <v>0</v>
      </c>
      <c r="CW477" s="3" t="n">
        <v>0</v>
      </c>
      <c r="CX477" s="3" t="n">
        <v>0</v>
      </c>
      <c r="CY477" s="3" t="n">
        <v>0</v>
      </c>
      <c r="CZ477" s="3" t="n">
        <v>0</v>
      </c>
      <c r="DA477" s="3" t="n">
        <v>0</v>
      </c>
      <c r="DB477" s="3" t="n">
        <v>0</v>
      </c>
      <c r="DC477" s="3" t="n">
        <v>0</v>
      </c>
      <c r="DD477" s="3" t="n">
        <v>0</v>
      </c>
      <c r="DE477" s="3" t="n">
        <v>0</v>
      </c>
      <c r="DF477" s="3" t="n">
        <v>0</v>
      </c>
      <c r="DG477" s="3" t="n">
        <v>0</v>
      </c>
      <c r="DH477" s="3" t="n">
        <v>0</v>
      </c>
      <c r="DI477" s="3" t="n">
        <v>0</v>
      </c>
      <c r="DJ477" s="3" t="n">
        <v>0</v>
      </c>
      <c r="DK477" s="3" t="n">
        <v>0</v>
      </c>
      <c r="DL477" s="3" t="n">
        <v>0</v>
      </c>
      <c r="DM477" s="3" t="n">
        <v>0</v>
      </c>
      <c r="DN477" s="3" t="n">
        <v>0</v>
      </c>
      <c r="DO477" s="3" t="n">
        <v>0</v>
      </c>
    </row>
    <row r="478">
      <c r="A478" s="19" t="inlineStr">
        <is>
          <t>mit.ener.foo.gso</t>
        </is>
      </c>
      <c r="B478" s="3" t="inlineStr">
        <is>
          <t>mit</t>
        </is>
      </c>
      <c r="C478" s="19" t="inlineStr">
        <is>
          <t>mit.ener.nav.die.e</t>
        </is>
      </c>
      <c r="H478" s="3" t="inlineStr">
        <is>
          <t>Fuel use | Food &amp; forestry | Gasoline</t>
        </is>
      </c>
      <c r="I478" s="3" t="inlineStr">
        <is>
          <t>ktoe</t>
        </is>
      </c>
      <c r="K478" s="20" t="inlineStr">
        <is>
          <t>egy.mit.ener.foo.gso.1</t>
        </is>
      </c>
      <c r="L478" s="3" t="n">
        <v>0</v>
      </c>
      <c r="M478" s="3" t="n">
        <v>0</v>
      </c>
      <c r="N478" s="3" t="n">
        <v>0</v>
      </c>
      <c r="O478" s="3" t="n">
        <v>0</v>
      </c>
      <c r="P478" s="3" t="n">
        <v>0</v>
      </c>
      <c r="Q478" s="3" t="n">
        <v>0</v>
      </c>
      <c r="R478" s="3" t="n">
        <v>0</v>
      </c>
      <c r="S478" s="3" t="n">
        <v>0</v>
      </c>
      <c r="T478" s="3" t="n">
        <v>0</v>
      </c>
      <c r="U478" s="3" t="n">
        <v>0</v>
      </c>
      <c r="V478" s="3" t="n">
        <v>0</v>
      </c>
      <c r="W478" s="3" t="n">
        <v>0</v>
      </c>
      <c r="X478" s="3" t="n">
        <v>0</v>
      </c>
      <c r="Y478" s="3" t="n">
        <v>0</v>
      </c>
      <c r="Z478" s="3" t="n">
        <v>0</v>
      </c>
      <c r="AA478" s="3" t="n">
        <v>0</v>
      </c>
      <c r="AB478" s="3" t="n">
        <v>0</v>
      </c>
      <c r="AC478" s="3" t="n">
        <v>0</v>
      </c>
      <c r="AD478" s="3" t="n">
        <v>0</v>
      </c>
      <c r="AE478" s="3" t="n">
        <v>0</v>
      </c>
      <c r="AG478" s="20" t="inlineStr">
        <is>
          <t>egy.mit.ener.foo.gso.3</t>
        </is>
      </c>
      <c r="AH478" s="3" t="n">
        <v>0</v>
      </c>
      <c r="AI478" s="3" t="n">
        <v>0</v>
      </c>
      <c r="AJ478" s="3" t="n">
        <v>0</v>
      </c>
      <c r="AK478" s="3" t="n">
        <v>0</v>
      </c>
      <c r="AL478" s="3" t="n">
        <v>0</v>
      </c>
      <c r="AM478" s="3" t="n">
        <v>0</v>
      </c>
      <c r="AN478" s="3" t="n">
        <v>0</v>
      </c>
      <c r="AO478" s="3" t="n">
        <v>0</v>
      </c>
      <c r="AP478" s="3" t="n">
        <v>0</v>
      </c>
      <c r="AQ478" s="3" t="n">
        <v>0</v>
      </c>
      <c r="AR478" s="3" t="n">
        <v>0</v>
      </c>
      <c r="AS478" s="3" t="n">
        <v>0</v>
      </c>
      <c r="AT478" s="3" t="n">
        <v>0</v>
      </c>
      <c r="AU478" s="3" t="n">
        <v>0</v>
      </c>
      <c r="AV478" s="3" t="n">
        <v>0</v>
      </c>
      <c r="AW478" s="3" t="n">
        <v>0</v>
      </c>
      <c r="AX478" s="3" t="n">
        <v>0</v>
      </c>
      <c r="AY478" s="3" t="n">
        <v>0</v>
      </c>
      <c r="AZ478" s="3" t="n">
        <v>0</v>
      </c>
      <c r="BA478" s="3" t="n">
        <v>0</v>
      </c>
      <c r="BC478" s="20" t="inlineStr">
        <is>
          <t>egy.mit.ener.foo.gso.4</t>
        </is>
      </c>
      <c r="BD478" s="3" t="n">
        <v>0</v>
      </c>
      <c r="BE478" s="3" t="n">
        <v>0</v>
      </c>
      <c r="BF478" s="3" t="n">
        <v>0</v>
      </c>
      <c r="BG478" s="3" t="n">
        <v>0</v>
      </c>
      <c r="BH478" s="3" t="n">
        <v>0</v>
      </c>
      <c r="BI478" s="3" t="n">
        <v>0</v>
      </c>
      <c r="BJ478" s="3" t="n">
        <v>0</v>
      </c>
      <c r="BK478" s="3" t="n">
        <v>0</v>
      </c>
      <c r="BL478" s="3" t="n">
        <v>0</v>
      </c>
      <c r="BM478" s="3" t="n">
        <v>0</v>
      </c>
      <c r="BN478" s="3" t="n">
        <v>0</v>
      </c>
      <c r="BO478" s="3" t="n">
        <v>0</v>
      </c>
      <c r="BP478" s="3" t="n">
        <v>0</v>
      </c>
      <c r="BQ478" s="3" t="n">
        <v>0</v>
      </c>
      <c r="BR478" s="3" t="n">
        <v>0</v>
      </c>
      <c r="BS478" s="3" t="n">
        <v>0</v>
      </c>
      <c r="BT478" s="3" t="n">
        <v>0</v>
      </c>
      <c r="BU478" s="3" t="n">
        <v>0</v>
      </c>
      <c r="BV478" s="3" t="n">
        <v>0</v>
      </c>
      <c r="BW478" s="3" t="n">
        <v>0</v>
      </c>
      <c r="BY478" s="20" t="inlineStr">
        <is>
          <t>egy.mit.ener.foo.gso.5</t>
        </is>
      </c>
      <c r="BZ478" s="3" t="n">
        <v>0</v>
      </c>
      <c r="CA478" s="3" t="n">
        <v>0</v>
      </c>
      <c r="CB478" s="3" t="n">
        <v>0</v>
      </c>
      <c r="CC478" s="3" t="n">
        <v>0</v>
      </c>
      <c r="CD478" s="3" t="n">
        <v>0</v>
      </c>
      <c r="CE478" s="3" t="n">
        <v>0</v>
      </c>
      <c r="CF478" s="3" t="n">
        <v>0</v>
      </c>
      <c r="CG478" s="3" t="n">
        <v>0</v>
      </c>
      <c r="CH478" s="3" t="n">
        <v>0</v>
      </c>
      <c r="CI478" s="3" t="n">
        <v>0</v>
      </c>
      <c r="CJ478" s="3" t="n">
        <v>0</v>
      </c>
      <c r="CK478" s="3" t="n">
        <v>0</v>
      </c>
      <c r="CL478" s="3" t="n">
        <v>0</v>
      </c>
      <c r="CM478" s="3" t="n">
        <v>0</v>
      </c>
      <c r="CN478" s="3" t="n">
        <v>0</v>
      </c>
      <c r="CO478" s="3" t="n">
        <v>0</v>
      </c>
      <c r="CP478" s="3" t="n">
        <v>0</v>
      </c>
      <c r="CQ478" s="3" t="n">
        <v>0</v>
      </c>
      <c r="CR478" s="3" t="n">
        <v>0</v>
      </c>
      <c r="CS478" s="3" t="n">
        <v>0</v>
      </c>
      <c r="CU478" s="20" t="inlineStr">
        <is>
          <t>egy.mit.ener.foo.gso.6</t>
        </is>
      </c>
      <c r="CV478" s="3" t="n">
        <v>0</v>
      </c>
      <c r="CW478" s="3" t="n">
        <v>0</v>
      </c>
      <c r="CX478" s="3" t="n">
        <v>0</v>
      </c>
      <c r="CY478" s="3" t="n">
        <v>0</v>
      </c>
      <c r="CZ478" s="3" t="n">
        <v>0</v>
      </c>
      <c r="DA478" s="3" t="n">
        <v>0</v>
      </c>
      <c r="DB478" s="3" t="n">
        <v>0</v>
      </c>
      <c r="DC478" s="3" t="n">
        <v>0</v>
      </c>
      <c r="DD478" s="3" t="n">
        <v>0</v>
      </c>
      <c r="DE478" s="3" t="n">
        <v>0</v>
      </c>
      <c r="DF478" s="3" t="n">
        <v>0</v>
      </c>
      <c r="DG478" s="3" t="n">
        <v>0</v>
      </c>
      <c r="DH478" s="3" t="n">
        <v>0</v>
      </c>
      <c r="DI478" s="3" t="n">
        <v>0</v>
      </c>
      <c r="DJ478" s="3" t="n">
        <v>0</v>
      </c>
      <c r="DK478" s="3" t="n">
        <v>0</v>
      </c>
      <c r="DL478" s="3" t="n">
        <v>0</v>
      </c>
      <c r="DM478" s="3" t="n">
        <v>0</v>
      </c>
      <c r="DN478" s="3" t="n">
        <v>0</v>
      </c>
      <c r="DO478" s="3" t="n">
        <v>0</v>
      </c>
    </row>
    <row r="479">
      <c r="A479" s="19" t="inlineStr">
        <is>
          <t>mit.ener.foo.die</t>
        </is>
      </c>
      <c r="B479" s="3" t="inlineStr">
        <is>
          <t>mit</t>
        </is>
      </c>
      <c r="C479" s="19" t="inlineStr">
        <is>
          <t>mit.ener.nav.lpg.e</t>
        </is>
      </c>
      <c r="H479" s="3" t="inlineStr">
        <is>
          <t>Fuel use | Food &amp; forestry | Diesel</t>
        </is>
      </c>
      <c r="I479" s="3" t="inlineStr">
        <is>
          <t>ktoe</t>
        </is>
      </c>
      <c r="K479" s="20" t="inlineStr">
        <is>
          <t>egy.mit.ener.foo.die.1</t>
        </is>
      </c>
      <c r="L479" s="3" t="n">
        <v>874.1246972853596</v>
      </c>
      <c r="M479" s="3" t="n">
        <v>1043.59285685189</v>
      </c>
      <c r="N479" s="3" t="n">
        <v>1317.809745538995</v>
      </c>
      <c r="O479" s="3" t="n">
        <v>1344.928253863532</v>
      </c>
      <c r="P479" s="3" t="n">
        <v>1371.308063685438</v>
      </c>
      <c r="Q479" s="3" t="n">
        <v>1401.954783148595</v>
      </c>
      <c r="R479" s="3" t="n">
        <v>1437.76589103032</v>
      </c>
      <c r="S479" s="3" t="n">
        <v>1471.929923008747</v>
      </c>
      <c r="T479" s="3" t="n">
        <v>1503.830323220541</v>
      </c>
      <c r="U479" s="3" t="n">
        <v>1535.82811695519</v>
      </c>
      <c r="V479" s="3" t="n">
        <v>1568.029635045657</v>
      </c>
      <c r="W479" s="3" t="n">
        <v>1600.427305617465</v>
      </c>
      <c r="X479" s="3" t="n">
        <v>1633.013572315762</v>
      </c>
      <c r="Y479" s="3" t="n">
        <v>1665.780888541558</v>
      </c>
      <c r="Z479" s="3" t="n">
        <v>1698.721710819342</v>
      </c>
      <c r="AA479" s="3" t="n">
        <v>1731.828491325738</v>
      </c>
      <c r="AB479" s="3" t="n">
        <v>1765.09366960695</v>
      </c>
      <c r="AC479" s="3" t="n">
        <v>1798.509663510865</v>
      </c>
      <c r="AD479" s="3" t="n">
        <v>1832.068859357622</v>
      </c>
      <c r="AE479" s="3" t="n">
        <v>1865.763601370438</v>
      </c>
      <c r="AG479" s="20" t="inlineStr">
        <is>
          <t>egy.mit.ener.foo.die.3</t>
        </is>
      </c>
      <c r="AH479" s="3" t="n">
        <v>874.1246972853596</v>
      </c>
      <c r="AI479" s="3" t="n">
        <v>1043.59285685189</v>
      </c>
      <c r="AJ479" s="3" t="n">
        <v>1317.809745538995</v>
      </c>
      <c r="AK479" s="3" t="n">
        <v>1344.928253863532</v>
      </c>
      <c r="AL479" s="3" t="n">
        <v>1371.308063685438</v>
      </c>
      <c r="AM479" s="3" t="n">
        <v>1141.384875662678</v>
      </c>
      <c r="AN479" s="3" t="n">
        <v>1170.539953828127</v>
      </c>
      <c r="AO479" s="3" t="n">
        <v>1198.70217305932</v>
      </c>
      <c r="AP479" s="3" t="n">
        <v>1223.882544599279</v>
      </c>
      <c r="AQ479" s="3" t="n">
        <v>1250.063853424922</v>
      </c>
      <c r="AR479" s="3" t="n">
        <v>1275.943590434473</v>
      </c>
      <c r="AS479" s="3" t="n">
        <v>1302.747774996504</v>
      </c>
      <c r="AT479" s="3" t="n">
        <v>1330.081814317028</v>
      </c>
      <c r="AU479" s="3" t="n">
        <v>1357.398286165698</v>
      </c>
      <c r="AV479" s="3" t="n">
        <v>1385.025773943676</v>
      </c>
      <c r="AW479" s="3" t="n">
        <v>1413.176546841614</v>
      </c>
      <c r="AX479" s="3" t="n">
        <v>1441.119279611408</v>
      </c>
      <c r="AY479" s="3" t="n">
        <v>1469.004849818714</v>
      </c>
      <c r="AZ479" s="3" t="n">
        <v>1496.567476449816</v>
      </c>
      <c r="BA479" s="3" t="n">
        <v>1524.11479049803</v>
      </c>
      <c r="BC479" s="20" t="inlineStr">
        <is>
          <t>egy.mit.ener.foo.die.4</t>
        </is>
      </c>
      <c r="BD479" s="3" t="n">
        <v>874.1246972853596</v>
      </c>
      <c r="BE479" s="3" t="n">
        <v>1043.59285685189</v>
      </c>
      <c r="BF479" s="3" t="n">
        <v>1317.809745538995</v>
      </c>
      <c r="BG479" s="3" t="n">
        <v>1344.928253863532</v>
      </c>
      <c r="BH479" s="3" t="n">
        <v>1371.308063685438</v>
      </c>
      <c r="BI479" s="3" t="n">
        <v>1258.696618650623</v>
      </c>
      <c r="BJ479" s="3" t="n">
        <v>1135.147081673367</v>
      </c>
      <c r="BK479" s="3" t="n">
        <v>1036.436524730439</v>
      </c>
      <c r="BL479" s="3" t="n">
        <v>954.6606162073123</v>
      </c>
      <c r="BM479" s="3" t="n">
        <v>887.1441812415927</v>
      </c>
      <c r="BN479" s="3" t="n">
        <v>830.4120275818699</v>
      </c>
      <c r="BO479" s="3" t="n">
        <v>782.3599631572046</v>
      </c>
      <c r="BP479" s="3" t="n">
        <v>741.3290412331601</v>
      </c>
      <c r="BQ479" s="3" t="n">
        <v>705.8714747594473</v>
      </c>
      <c r="BR479" s="3" t="n">
        <v>674.9662202256002</v>
      </c>
      <c r="BS479" s="3" t="n">
        <v>647.9005833211318</v>
      </c>
      <c r="BT479" s="3" t="n">
        <v>623.9572113865099</v>
      </c>
      <c r="BU479" s="3" t="n">
        <v>602.5960956427574</v>
      </c>
      <c r="BV479" s="3" t="n">
        <v>583.3098528709778</v>
      </c>
      <c r="BW479" s="3" t="n">
        <v>565.776760904631</v>
      </c>
      <c r="BY479" s="20" t="inlineStr">
        <is>
          <t>egy.mit.ener.foo.die.5</t>
        </is>
      </c>
      <c r="BZ479" s="3" t="n">
        <v>874.1246972853596</v>
      </c>
      <c r="CA479" s="3" t="n">
        <v>1043.59285685189</v>
      </c>
      <c r="CB479" s="3" t="n">
        <v>1317.809745538995</v>
      </c>
      <c r="CC479" s="3" t="n">
        <v>1344.928253863532</v>
      </c>
      <c r="CD479" s="3" t="n">
        <v>1371.308063685438</v>
      </c>
      <c r="CE479" s="3" t="n">
        <v>1090.3682432037</v>
      </c>
      <c r="CF479" s="3" t="n">
        <v>1118.219682106178</v>
      </c>
      <c r="CG479" s="3" t="n">
        <v>1145.073813652326</v>
      </c>
      <c r="CH479" s="3" t="n">
        <v>1169.174611562196</v>
      </c>
      <c r="CI479" s="3" t="n">
        <v>1194.338198752623</v>
      </c>
      <c r="CJ479" s="3" t="n">
        <v>1219.024989986674</v>
      </c>
      <c r="CK479" s="3" t="n">
        <v>1244.685523857351</v>
      </c>
      <c r="CL479" s="3" t="n">
        <v>1270.54000209258</v>
      </c>
      <c r="CM479" s="3" t="n">
        <v>1296.43058467142</v>
      </c>
      <c r="CN479" s="3" t="n">
        <v>1322.609262471215</v>
      </c>
      <c r="CO479" s="3" t="n">
        <v>1349.194540317918</v>
      </c>
      <c r="CP479" s="3" t="n">
        <v>1375.603493193888</v>
      </c>
      <c r="CQ479" s="3" t="n">
        <v>1402.069544960669</v>
      </c>
      <c r="CR479" s="3" t="n">
        <v>1428.315506593428</v>
      </c>
      <c r="CS479" s="3" t="n">
        <v>1454.709189452144</v>
      </c>
      <c r="CU479" s="20" t="inlineStr">
        <is>
          <t>egy.mit.ener.foo.die.6</t>
        </is>
      </c>
      <c r="CV479" s="3" t="n">
        <v>874.1246972853596</v>
      </c>
      <c r="CW479" s="3" t="n">
        <v>1043.59285685189</v>
      </c>
      <c r="CX479" s="3" t="n">
        <v>1317.809745538995</v>
      </c>
      <c r="CY479" s="3" t="n">
        <v>1344.928253863532</v>
      </c>
      <c r="CZ479" s="3" t="n">
        <v>1371.308063685438</v>
      </c>
      <c r="DA479" s="3" t="n">
        <v>890.019752580881</v>
      </c>
      <c r="DB479" s="3" t="n">
        <v>912.7539501117418</v>
      </c>
      <c r="DC479" s="3" t="n">
        <v>935.0235868944035</v>
      </c>
      <c r="DD479" s="3" t="n">
        <v>953.9335431854785</v>
      </c>
      <c r="DE479" s="3" t="n">
        <v>974.5273224058357</v>
      </c>
      <c r="DF479" s="3" t="n">
        <v>994.3626442317338</v>
      </c>
      <c r="DG479" s="3" t="n">
        <v>1015.688681763597</v>
      </c>
      <c r="DH479" s="3" t="n">
        <v>1037.664020311692</v>
      </c>
      <c r="DI479" s="3" t="n">
        <v>1059.514265991236</v>
      </c>
      <c r="DJ479" s="3" t="n">
        <v>1081.745363786948</v>
      </c>
      <c r="DK479" s="3" t="n">
        <v>1104.728764872349</v>
      </c>
      <c r="DL479" s="3" t="n">
        <v>1127.234431708694</v>
      </c>
      <c r="DM479" s="3" t="n">
        <v>1149.57418823978</v>
      </c>
      <c r="DN479" s="3" t="n">
        <v>1171.279240867943</v>
      </c>
      <c r="DO479" s="3" t="n">
        <v>1192.888507575512</v>
      </c>
    </row>
    <row r="480">
      <c r="A480" s="19" t="inlineStr">
        <is>
          <t>mit.ener.foo.lpg</t>
        </is>
      </c>
      <c r="B480" s="3" t="inlineStr">
        <is>
          <t>mit</t>
        </is>
      </c>
      <c r="C480" s="19" t="inlineStr">
        <is>
          <t>mit.ener.nav.ker.e</t>
        </is>
      </c>
      <c r="H480" s="3" t="inlineStr">
        <is>
          <t>Fuel use | Food &amp; forestry | LPG</t>
        </is>
      </c>
      <c r="I480" s="3" t="inlineStr">
        <is>
          <t>ktoe</t>
        </is>
      </c>
      <c r="K480" s="20" t="inlineStr">
        <is>
          <t>egy.mit.ener.foo.lpg.1</t>
        </is>
      </c>
      <c r="L480" s="3" t="n">
        <v>0</v>
      </c>
      <c r="M480" s="3" t="n">
        <v>0</v>
      </c>
      <c r="N480" s="3" t="n">
        <v>0</v>
      </c>
      <c r="O480" s="3" t="n">
        <v>0</v>
      </c>
      <c r="P480" s="3" t="n">
        <v>0</v>
      </c>
      <c r="Q480" s="3" t="n">
        <v>0</v>
      </c>
      <c r="R480" s="3" t="n">
        <v>0</v>
      </c>
      <c r="S480" s="3" t="n">
        <v>0</v>
      </c>
      <c r="T480" s="3" t="n">
        <v>0</v>
      </c>
      <c r="U480" s="3" t="n">
        <v>0</v>
      </c>
      <c r="V480" s="3" t="n">
        <v>0</v>
      </c>
      <c r="W480" s="3" t="n">
        <v>0</v>
      </c>
      <c r="X480" s="3" t="n">
        <v>0</v>
      </c>
      <c r="Y480" s="3" t="n">
        <v>0</v>
      </c>
      <c r="Z480" s="3" t="n">
        <v>0</v>
      </c>
      <c r="AA480" s="3" t="n">
        <v>0</v>
      </c>
      <c r="AB480" s="3" t="n">
        <v>0</v>
      </c>
      <c r="AC480" s="3" t="n">
        <v>0</v>
      </c>
      <c r="AD480" s="3" t="n">
        <v>0</v>
      </c>
      <c r="AE480" s="3" t="n">
        <v>0</v>
      </c>
      <c r="AG480" s="20" t="inlineStr">
        <is>
          <t>egy.mit.ener.foo.lpg.3</t>
        </is>
      </c>
      <c r="AH480" s="3" t="n">
        <v>0</v>
      </c>
      <c r="AI480" s="3" t="n">
        <v>0</v>
      </c>
      <c r="AJ480" s="3" t="n">
        <v>0</v>
      </c>
      <c r="AK480" s="3" t="n">
        <v>0</v>
      </c>
      <c r="AL480" s="3" t="n">
        <v>0</v>
      </c>
      <c r="AM480" s="3" t="n">
        <v>0</v>
      </c>
      <c r="AN480" s="3" t="n">
        <v>0</v>
      </c>
      <c r="AO480" s="3" t="n">
        <v>0</v>
      </c>
      <c r="AP480" s="3" t="n">
        <v>0</v>
      </c>
      <c r="AQ480" s="3" t="n">
        <v>0</v>
      </c>
      <c r="AR480" s="3" t="n">
        <v>0</v>
      </c>
      <c r="AS480" s="3" t="n">
        <v>0</v>
      </c>
      <c r="AT480" s="3" t="n">
        <v>0</v>
      </c>
      <c r="AU480" s="3" t="n">
        <v>0</v>
      </c>
      <c r="AV480" s="3" t="n">
        <v>0</v>
      </c>
      <c r="AW480" s="3" t="n">
        <v>0</v>
      </c>
      <c r="AX480" s="3" t="n">
        <v>0</v>
      </c>
      <c r="AY480" s="3" t="n">
        <v>0</v>
      </c>
      <c r="AZ480" s="3" t="n">
        <v>0</v>
      </c>
      <c r="BA480" s="3" t="n">
        <v>0</v>
      </c>
      <c r="BC480" s="20" t="inlineStr">
        <is>
          <t>egy.mit.ener.foo.lpg.4</t>
        </is>
      </c>
      <c r="BD480" s="3" t="n">
        <v>0</v>
      </c>
      <c r="BE480" s="3" t="n">
        <v>0</v>
      </c>
      <c r="BF480" s="3" t="n">
        <v>0</v>
      </c>
      <c r="BG480" s="3" t="n">
        <v>0</v>
      </c>
      <c r="BH480" s="3" t="n">
        <v>0</v>
      </c>
      <c r="BI480" s="3" t="n">
        <v>0</v>
      </c>
      <c r="BJ480" s="3" t="n">
        <v>0</v>
      </c>
      <c r="BK480" s="3" t="n">
        <v>0</v>
      </c>
      <c r="BL480" s="3" t="n">
        <v>0</v>
      </c>
      <c r="BM480" s="3" t="n">
        <v>0</v>
      </c>
      <c r="BN480" s="3" t="n">
        <v>0</v>
      </c>
      <c r="BO480" s="3" t="n">
        <v>0</v>
      </c>
      <c r="BP480" s="3" t="n">
        <v>0</v>
      </c>
      <c r="BQ480" s="3" t="n">
        <v>0</v>
      </c>
      <c r="BR480" s="3" t="n">
        <v>0</v>
      </c>
      <c r="BS480" s="3" t="n">
        <v>0</v>
      </c>
      <c r="BT480" s="3" t="n">
        <v>0</v>
      </c>
      <c r="BU480" s="3" t="n">
        <v>0</v>
      </c>
      <c r="BV480" s="3" t="n">
        <v>0</v>
      </c>
      <c r="BW480" s="3" t="n">
        <v>0</v>
      </c>
      <c r="BY480" s="20" t="inlineStr">
        <is>
          <t>egy.mit.ener.foo.lpg.5</t>
        </is>
      </c>
      <c r="BZ480" s="3" t="n">
        <v>0</v>
      </c>
      <c r="CA480" s="3" t="n">
        <v>0</v>
      </c>
      <c r="CB480" s="3" t="n">
        <v>0</v>
      </c>
      <c r="CC480" s="3" t="n">
        <v>0</v>
      </c>
      <c r="CD480" s="3" t="n">
        <v>0</v>
      </c>
      <c r="CE480" s="3" t="n">
        <v>0</v>
      </c>
      <c r="CF480" s="3" t="n">
        <v>0</v>
      </c>
      <c r="CG480" s="3" t="n">
        <v>0</v>
      </c>
      <c r="CH480" s="3" t="n">
        <v>0</v>
      </c>
      <c r="CI480" s="3" t="n">
        <v>0</v>
      </c>
      <c r="CJ480" s="3" t="n">
        <v>0</v>
      </c>
      <c r="CK480" s="3" t="n">
        <v>0</v>
      </c>
      <c r="CL480" s="3" t="n">
        <v>0</v>
      </c>
      <c r="CM480" s="3" t="n">
        <v>0</v>
      </c>
      <c r="CN480" s="3" t="n">
        <v>0</v>
      </c>
      <c r="CO480" s="3" t="n">
        <v>0</v>
      </c>
      <c r="CP480" s="3" t="n">
        <v>0</v>
      </c>
      <c r="CQ480" s="3" t="n">
        <v>0</v>
      </c>
      <c r="CR480" s="3" t="n">
        <v>0</v>
      </c>
      <c r="CS480" s="3" t="n">
        <v>0</v>
      </c>
      <c r="CU480" s="20" t="inlineStr">
        <is>
          <t>egy.mit.ener.foo.lpg.6</t>
        </is>
      </c>
      <c r="CV480" s="3" t="n">
        <v>0</v>
      </c>
      <c r="CW480" s="3" t="n">
        <v>0</v>
      </c>
      <c r="CX480" s="3" t="n">
        <v>0</v>
      </c>
      <c r="CY480" s="3" t="n">
        <v>0</v>
      </c>
      <c r="CZ480" s="3" t="n">
        <v>0</v>
      </c>
      <c r="DA480" s="3" t="n">
        <v>0</v>
      </c>
      <c r="DB480" s="3" t="n">
        <v>0</v>
      </c>
      <c r="DC480" s="3" t="n">
        <v>0</v>
      </c>
      <c r="DD480" s="3" t="n">
        <v>0</v>
      </c>
      <c r="DE480" s="3" t="n">
        <v>0</v>
      </c>
      <c r="DF480" s="3" t="n">
        <v>0</v>
      </c>
      <c r="DG480" s="3" t="n">
        <v>0</v>
      </c>
      <c r="DH480" s="3" t="n">
        <v>0</v>
      </c>
      <c r="DI480" s="3" t="n">
        <v>0</v>
      </c>
      <c r="DJ480" s="3" t="n">
        <v>0</v>
      </c>
      <c r="DK480" s="3" t="n">
        <v>0</v>
      </c>
      <c r="DL480" s="3" t="n">
        <v>0</v>
      </c>
      <c r="DM480" s="3" t="n">
        <v>0</v>
      </c>
      <c r="DN480" s="3" t="n">
        <v>0</v>
      </c>
      <c r="DO480" s="3" t="n">
        <v>0</v>
      </c>
    </row>
    <row r="481">
      <c r="A481" s="19" t="inlineStr">
        <is>
          <t>mit.ener.foo.ker</t>
        </is>
      </c>
      <c r="B481" s="3" t="inlineStr">
        <is>
          <t>mit</t>
        </is>
      </c>
      <c r="C481" s="19" t="inlineStr">
        <is>
          <t>mit.ener.nav.oop.e</t>
        </is>
      </c>
      <c r="H481" s="3" t="inlineStr">
        <is>
          <t>Fuel use | Food &amp; forestry | Kerosene</t>
        </is>
      </c>
      <c r="I481" s="3" t="inlineStr">
        <is>
          <t>ktoe</t>
        </is>
      </c>
      <c r="K481" s="20" t="inlineStr">
        <is>
          <t>egy.mit.ener.foo.ker.1</t>
        </is>
      </c>
      <c r="L481" s="3" t="n">
        <v>0.3188951440504167</v>
      </c>
      <c r="M481" s="3" t="n">
        <v>0.3423333145494337</v>
      </c>
      <c r="N481" s="3" t="n">
        <v>0.3721806125806373</v>
      </c>
      <c r="O481" s="3" t="n">
        <v>0.3842802482498228</v>
      </c>
      <c r="P481" s="3" t="n">
        <v>0.3961736578499025</v>
      </c>
      <c r="Q481" s="3" t="n">
        <v>0.4101890199837678</v>
      </c>
      <c r="R481" s="3" t="n">
        <v>0.4268259100858875</v>
      </c>
      <c r="S481" s="3" t="n">
        <v>0.4429035692076467</v>
      </c>
      <c r="T481" s="3" t="n">
        <v>0.4580870117473013</v>
      </c>
      <c r="U481" s="3" t="n">
        <v>0.4734979391895597</v>
      </c>
      <c r="V481" s="3" t="n">
        <v>0.4891891425554272</v>
      </c>
      <c r="W481" s="3" t="n">
        <v>0.5051584007878225</v>
      </c>
      <c r="X481" s="3" t="n">
        <v>0.5214033283918924</v>
      </c>
      <c r="Y481" s="3" t="n">
        <v>0.5379213740939964</v>
      </c>
      <c r="Z481" s="3" t="n">
        <v>0.5547098188876332</v>
      </c>
      <c r="AA481" s="3" t="n">
        <v>0.5717657734476419</v>
      </c>
      <c r="AB481" s="3" t="n">
        <v>0.5890861748953681</v>
      </c>
      <c r="AC481" s="3" t="n">
        <v>0.6066677828987119</v>
      </c>
      <c r="AD481" s="3" t="n">
        <v>0.6245071750920497</v>
      </c>
      <c r="AE481" s="3" t="n">
        <v>0.6426007418019888</v>
      </c>
      <c r="AG481" s="20" t="inlineStr">
        <is>
          <t>egy.mit.ener.foo.ker.3</t>
        </is>
      </c>
      <c r="AH481" s="3" t="n">
        <v>0.3188951440504167</v>
      </c>
      <c r="AI481" s="3" t="n">
        <v>0.3423333145494337</v>
      </c>
      <c r="AJ481" s="3" t="n">
        <v>0.3721806125806373</v>
      </c>
      <c r="AK481" s="3" t="n">
        <v>0.3842802482498228</v>
      </c>
      <c r="AL481" s="3" t="n">
        <v>0.3961736578499025</v>
      </c>
      <c r="AM481" s="3" t="n">
        <v>0.366402049945327</v>
      </c>
      <c r="AN481" s="3" t="n">
        <v>0.3812629228867537</v>
      </c>
      <c r="AO481" s="3" t="n">
        <v>0.3958081447196732</v>
      </c>
      <c r="AP481" s="3" t="n">
        <v>0.4089500976757554</v>
      </c>
      <c r="AQ481" s="3" t="n">
        <v>0.4227837820169488</v>
      </c>
      <c r="AR481" s="3" t="n">
        <v>0.4366135760947765</v>
      </c>
      <c r="AS481" s="3" t="n">
        <v>0.4511110786857604</v>
      </c>
      <c r="AT481" s="3" t="n">
        <v>0.4660713319105641</v>
      </c>
      <c r="AU481" s="3" t="n">
        <v>0.4811924099164319</v>
      </c>
      <c r="AV481" s="3" t="n">
        <v>0.4966606298492294</v>
      </c>
      <c r="AW481" s="3" t="n">
        <v>0.5126034362026969</v>
      </c>
      <c r="AX481" s="3" t="n">
        <v>0.5286000465037254</v>
      </c>
      <c r="AY481" s="3" t="n">
        <v>0.5447340861618395</v>
      </c>
      <c r="AZ481" s="3" t="n">
        <v>0.5608433070247081</v>
      </c>
      <c r="BA481" s="3" t="n">
        <v>0.5771062978414776</v>
      </c>
      <c r="BC481" s="20" t="inlineStr">
        <is>
          <t>egy.mit.ener.foo.ker.4</t>
        </is>
      </c>
      <c r="BD481" s="3" t="n">
        <v>0.3188951440504167</v>
      </c>
      <c r="BE481" s="3" t="n">
        <v>0.3423333145494337</v>
      </c>
      <c r="BF481" s="3" t="n">
        <v>0.3721806125806373</v>
      </c>
      <c r="BG481" s="3" t="n">
        <v>0.3842802482498228</v>
      </c>
      <c r="BH481" s="3" t="n">
        <v>0.3961736578499025</v>
      </c>
      <c r="BI481" s="3" t="n">
        <v>0.3867154085400585</v>
      </c>
      <c r="BJ481" s="3" t="n">
        <v>0.3748285605999011</v>
      </c>
      <c r="BK481" s="3" t="n">
        <v>0.3649725350726176</v>
      </c>
      <c r="BL481" s="3" t="n">
        <v>0.3560691933772345</v>
      </c>
      <c r="BM481" s="3" t="n">
        <v>0.3488651234933866</v>
      </c>
      <c r="BN481" s="3" t="n">
        <v>0.3429701631027024</v>
      </c>
      <c r="BO481" s="3" t="n">
        <v>0.3383296633740541</v>
      </c>
      <c r="BP481" s="3" t="n">
        <v>0.3348328563455808</v>
      </c>
      <c r="BQ481" s="3" t="n">
        <v>0.3322443579720351</v>
      </c>
      <c r="BR481" s="3" t="n">
        <v>0.3304310746874035</v>
      </c>
      <c r="BS481" s="3" t="n">
        <v>0.3293476081241707</v>
      </c>
      <c r="BT481" s="3" t="n">
        <v>0.3288300951545053</v>
      </c>
      <c r="BU481" s="3" t="n">
        <v>0.3287623591765493</v>
      </c>
      <c r="BV481" s="3" t="n">
        <v>0.3289773857499121</v>
      </c>
      <c r="BW481" s="3" t="n">
        <v>0.3294089395098216</v>
      </c>
      <c r="BY481" s="20" t="inlineStr">
        <is>
          <t>egy.mit.ener.foo.ker.5</t>
        </is>
      </c>
      <c r="BZ481" s="3" t="n">
        <v>0.3188951440504167</v>
      </c>
      <c r="CA481" s="3" t="n">
        <v>0.3423333145494337</v>
      </c>
      <c r="CB481" s="3" t="n">
        <v>0.3721806125806373</v>
      </c>
      <c r="CC481" s="3" t="n">
        <v>0.3842802482498228</v>
      </c>
      <c r="CD481" s="3" t="n">
        <v>0.3961736578499025</v>
      </c>
      <c r="CE481" s="3" t="n">
        <v>0.3572257188618461</v>
      </c>
      <c r="CF481" s="3" t="n">
        <v>0.371714148629143</v>
      </c>
      <c r="CG481" s="3" t="n">
        <v>0.3858684993488802</v>
      </c>
      <c r="CH481" s="3" t="n">
        <v>0.3987060517674864</v>
      </c>
      <c r="CI481" s="3" t="n">
        <v>0.4122774817468883</v>
      </c>
      <c r="CJ481" s="3" t="n">
        <v>0.4257416558815445</v>
      </c>
      <c r="CK481" s="3" t="n">
        <v>0.4399076002394641</v>
      </c>
      <c r="CL481" s="3" t="n">
        <v>0.4543467910586852</v>
      </c>
      <c r="CM481" s="3" t="n">
        <v>0.4689699524325517</v>
      </c>
      <c r="CN481" s="3" t="n">
        <v>0.4839235495821003</v>
      </c>
      <c r="CO481" s="3" t="n">
        <v>0.4992817066555131</v>
      </c>
      <c r="CP481" s="3" t="n">
        <v>0.5147017424784667</v>
      </c>
      <c r="CQ481" s="3" t="n">
        <v>0.5303197100204401</v>
      </c>
      <c r="CR481" s="3" t="n">
        <v>0.5459654917224116</v>
      </c>
      <c r="CS481" s="3" t="n">
        <v>0.5618605189400115</v>
      </c>
      <c r="CU481" s="20" t="inlineStr">
        <is>
          <t>egy.mit.ener.foo.ker.6</t>
        </is>
      </c>
      <c r="CV481" s="3" t="n">
        <v>0.3188951440504167</v>
      </c>
      <c r="CW481" s="3" t="n">
        <v>0.3423333145494337</v>
      </c>
      <c r="CX481" s="3" t="n">
        <v>0.3721806125806373</v>
      </c>
      <c r="CY481" s="3" t="n">
        <v>0.3842802482498228</v>
      </c>
      <c r="CZ481" s="3" t="n">
        <v>0.3961736578499025</v>
      </c>
      <c r="DA481" s="3" t="n">
        <v>0.318856448870341</v>
      </c>
      <c r="DB481" s="3" t="n">
        <v>0.331788859061989</v>
      </c>
      <c r="DC481" s="3" t="n">
        <v>0.3446291621929899</v>
      </c>
      <c r="DD481" s="3" t="n">
        <v>0.3556353987609294</v>
      </c>
      <c r="DE481" s="3" t="n">
        <v>0.3677786333169372</v>
      </c>
      <c r="DF481" s="3" t="n">
        <v>0.3796014096309634</v>
      </c>
      <c r="DG481" s="3" t="n">
        <v>0.3924760761193308</v>
      </c>
      <c r="DH481" s="3" t="n">
        <v>0.4059075170875823</v>
      </c>
      <c r="DI481" s="3" t="n">
        <v>0.4194181760741312</v>
      </c>
      <c r="DJ481" s="3" t="n">
        <v>0.4333277422095997</v>
      </c>
      <c r="DK481" s="3" t="n">
        <v>0.447884010334724</v>
      </c>
      <c r="DL481" s="3" t="n">
        <v>0.4622951792076415</v>
      </c>
      <c r="DM481" s="3" t="n">
        <v>0.4767556515187099</v>
      </c>
      <c r="DN481" s="3" t="n">
        <v>0.4909456656104478</v>
      </c>
      <c r="DO481" s="3" t="n">
        <v>0.5052153719910331</v>
      </c>
    </row>
    <row r="482">
      <c r="A482" s="19" t="inlineStr">
        <is>
          <t>mit.ener.foo.oop</t>
        </is>
      </c>
      <c r="B482" s="3" t="inlineStr">
        <is>
          <t>mit</t>
        </is>
      </c>
      <c r="C482" s="19" t="inlineStr">
        <is>
          <t>mit.ener.nav.bio.e</t>
        </is>
      </c>
      <c r="H482" s="3" t="inlineStr">
        <is>
          <t>Fuel use | Food &amp; forestry | Other oil products</t>
        </is>
      </c>
      <c r="I482" s="3" t="inlineStr">
        <is>
          <t>ktoe</t>
        </is>
      </c>
      <c r="K482" s="20" t="inlineStr">
        <is>
          <t>egy.mit.ener.foo.oop.1</t>
        </is>
      </c>
      <c r="L482" s="3" t="n">
        <v>0</v>
      </c>
      <c r="M482" s="3" t="n">
        <v>0</v>
      </c>
      <c r="N482" s="3" t="n">
        <v>0</v>
      </c>
      <c r="O482" s="3" t="n">
        <v>0</v>
      </c>
      <c r="P482" s="3" t="n">
        <v>0</v>
      </c>
      <c r="Q482" s="3" t="n">
        <v>0</v>
      </c>
      <c r="R482" s="3" t="n">
        <v>0</v>
      </c>
      <c r="S482" s="3" t="n">
        <v>0</v>
      </c>
      <c r="T482" s="3" t="n">
        <v>0</v>
      </c>
      <c r="U482" s="3" t="n">
        <v>0</v>
      </c>
      <c r="V482" s="3" t="n">
        <v>0</v>
      </c>
      <c r="W482" s="3" t="n">
        <v>0</v>
      </c>
      <c r="X482" s="3" t="n">
        <v>0</v>
      </c>
      <c r="Y482" s="3" t="n">
        <v>0</v>
      </c>
      <c r="Z482" s="3" t="n">
        <v>0</v>
      </c>
      <c r="AA482" s="3" t="n">
        <v>0</v>
      </c>
      <c r="AB482" s="3" t="n">
        <v>0</v>
      </c>
      <c r="AC482" s="3" t="n">
        <v>0</v>
      </c>
      <c r="AD482" s="3" t="n">
        <v>0</v>
      </c>
      <c r="AE482" s="3" t="n">
        <v>0</v>
      </c>
      <c r="AG482" s="20" t="inlineStr">
        <is>
          <t>egy.mit.ener.foo.oop.3</t>
        </is>
      </c>
      <c r="AH482" s="3" t="n">
        <v>0</v>
      </c>
      <c r="AI482" s="3" t="n">
        <v>0</v>
      </c>
      <c r="AJ482" s="3" t="n">
        <v>0</v>
      </c>
      <c r="AK482" s="3" t="n">
        <v>0</v>
      </c>
      <c r="AL482" s="3" t="n">
        <v>0</v>
      </c>
      <c r="AM482" s="3" t="n">
        <v>0</v>
      </c>
      <c r="AN482" s="3" t="n">
        <v>0</v>
      </c>
      <c r="AO482" s="3" t="n">
        <v>0</v>
      </c>
      <c r="AP482" s="3" t="n">
        <v>0</v>
      </c>
      <c r="AQ482" s="3" t="n">
        <v>0</v>
      </c>
      <c r="AR482" s="3" t="n">
        <v>0</v>
      </c>
      <c r="AS482" s="3" t="n">
        <v>0</v>
      </c>
      <c r="AT482" s="3" t="n">
        <v>0</v>
      </c>
      <c r="AU482" s="3" t="n">
        <v>0</v>
      </c>
      <c r="AV482" s="3" t="n">
        <v>0</v>
      </c>
      <c r="AW482" s="3" t="n">
        <v>0</v>
      </c>
      <c r="AX482" s="3" t="n">
        <v>0</v>
      </c>
      <c r="AY482" s="3" t="n">
        <v>0</v>
      </c>
      <c r="AZ482" s="3" t="n">
        <v>0</v>
      </c>
      <c r="BA482" s="3" t="n">
        <v>0</v>
      </c>
      <c r="BC482" s="20" t="inlineStr">
        <is>
          <t>egy.mit.ener.foo.oop.4</t>
        </is>
      </c>
      <c r="BD482" s="3" t="n">
        <v>0</v>
      </c>
      <c r="BE482" s="3" t="n">
        <v>0</v>
      </c>
      <c r="BF482" s="3" t="n">
        <v>0</v>
      </c>
      <c r="BG482" s="3" t="n">
        <v>0</v>
      </c>
      <c r="BH482" s="3" t="n">
        <v>0</v>
      </c>
      <c r="BI482" s="3" t="n">
        <v>0</v>
      </c>
      <c r="BJ482" s="3" t="n">
        <v>0</v>
      </c>
      <c r="BK482" s="3" t="n">
        <v>0</v>
      </c>
      <c r="BL482" s="3" t="n">
        <v>0</v>
      </c>
      <c r="BM482" s="3" t="n">
        <v>0</v>
      </c>
      <c r="BN482" s="3" t="n">
        <v>0</v>
      </c>
      <c r="BO482" s="3" t="n">
        <v>0</v>
      </c>
      <c r="BP482" s="3" t="n">
        <v>0</v>
      </c>
      <c r="BQ482" s="3" t="n">
        <v>0</v>
      </c>
      <c r="BR482" s="3" t="n">
        <v>0</v>
      </c>
      <c r="BS482" s="3" t="n">
        <v>0</v>
      </c>
      <c r="BT482" s="3" t="n">
        <v>0</v>
      </c>
      <c r="BU482" s="3" t="n">
        <v>0</v>
      </c>
      <c r="BV482" s="3" t="n">
        <v>0</v>
      </c>
      <c r="BW482" s="3" t="n">
        <v>0</v>
      </c>
      <c r="BY482" s="20" t="inlineStr">
        <is>
          <t>egy.mit.ener.foo.oop.5</t>
        </is>
      </c>
      <c r="BZ482" s="3" t="n">
        <v>0</v>
      </c>
      <c r="CA482" s="3" t="n">
        <v>0</v>
      </c>
      <c r="CB482" s="3" t="n">
        <v>0</v>
      </c>
      <c r="CC482" s="3" t="n">
        <v>0</v>
      </c>
      <c r="CD482" s="3" t="n">
        <v>0</v>
      </c>
      <c r="CE482" s="3" t="n">
        <v>0</v>
      </c>
      <c r="CF482" s="3" t="n">
        <v>0</v>
      </c>
      <c r="CG482" s="3" t="n">
        <v>0</v>
      </c>
      <c r="CH482" s="3" t="n">
        <v>0</v>
      </c>
      <c r="CI482" s="3" t="n">
        <v>0</v>
      </c>
      <c r="CJ482" s="3" t="n">
        <v>0</v>
      </c>
      <c r="CK482" s="3" t="n">
        <v>0</v>
      </c>
      <c r="CL482" s="3" t="n">
        <v>0</v>
      </c>
      <c r="CM482" s="3" t="n">
        <v>0</v>
      </c>
      <c r="CN482" s="3" t="n">
        <v>0</v>
      </c>
      <c r="CO482" s="3" t="n">
        <v>0</v>
      </c>
      <c r="CP482" s="3" t="n">
        <v>0</v>
      </c>
      <c r="CQ482" s="3" t="n">
        <v>0</v>
      </c>
      <c r="CR482" s="3" t="n">
        <v>0</v>
      </c>
      <c r="CS482" s="3" t="n">
        <v>0</v>
      </c>
      <c r="CU482" s="20" t="inlineStr">
        <is>
          <t>egy.mit.ener.foo.oop.6</t>
        </is>
      </c>
      <c r="CV482" s="3" t="n">
        <v>0</v>
      </c>
      <c r="CW482" s="3" t="n">
        <v>0</v>
      </c>
      <c r="CX482" s="3" t="n">
        <v>0</v>
      </c>
      <c r="CY482" s="3" t="n">
        <v>0</v>
      </c>
      <c r="CZ482" s="3" t="n">
        <v>0</v>
      </c>
      <c r="DA482" s="3" t="n">
        <v>0</v>
      </c>
      <c r="DB482" s="3" t="n">
        <v>0</v>
      </c>
      <c r="DC482" s="3" t="n">
        <v>0</v>
      </c>
      <c r="DD482" s="3" t="n">
        <v>0</v>
      </c>
      <c r="DE482" s="3" t="n">
        <v>0</v>
      </c>
      <c r="DF482" s="3" t="n">
        <v>0</v>
      </c>
      <c r="DG482" s="3" t="n">
        <v>0</v>
      </c>
      <c r="DH482" s="3" t="n">
        <v>0</v>
      </c>
      <c r="DI482" s="3" t="n">
        <v>0</v>
      </c>
      <c r="DJ482" s="3" t="n">
        <v>0</v>
      </c>
      <c r="DK482" s="3" t="n">
        <v>0</v>
      </c>
      <c r="DL482" s="3" t="n">
        <v>0</v>
      </c>
      <c r="DM482" s="3" t="n">
        <v>0</v>
      </c>
      <c r="DN482" s="3" t="n">
        <v>0</v>
      </c>
      <c r="DO482" s="3" t="n">
        <v>0</v>
      </c>
    </row>
    <row r="483">
      <c r="A483" s="19" t="inlineStr">
        <is>
          <t>mit.ener.foo.bio</t>
        </is>
      </c>
      <c r="B483" s="3" t="inlineStr">
        <is>
          <t>mit</t>
        </is>
      </c>
      <c r="C483" s="19" t="inlineStr">
        <is>
          <t>mit.ener.nav.ren.e</t>
        </is>
      </c>
      <c r="H483" s="3" t="inlineStr">
        <is>
          <t>Fuel use | Food &amp; forestry | Biomass</t>
        </is>
      </c>
      <c r="I483" s="3" t="inlineStr">
        <is>
          <t>ktoe</t>
        </is>
      </c>
      <c r="K483" s="20" t="inlineStr">
        <is>
          <t>egy.mit.ener.foo.bio.1</t>
        </is>
      </c>
      <c r="L483" s="3" t="n">
        <v>0</v>
      </c>
      <c r="M483" s="3" t="n">
        <v>0</v>
      </c>
      <c r="N483" s="3" t="n">
        <v>0</v>
      </c>
      <c r="O483" s="3" t="n">
        <v>0</v>
      </c>
      <c r="P483" s="3" t="n">
        <v>0</v>
      </c>
      <c r="Q483" s="3" t="n">
        <v>0</v>
      </c>
      <c r="R483" s="3" t="n">
        <v>0</v>
      </c>
      <c r="S483" s="3" t="n">
        <v>0</v>
      </c>
      <c r="T483" s="3" t="n">
        <v>0</v>
      </c>
      <c r="U483" s="3" t="n">
        <v>0</v>
      </c>
      <c r="V483" s="3" t="n">
        <v>0</v>
      </c>
      <c r="W483" s="3" t="n">
        <v>0</v>
      </c>
      <c r="X483" s="3" t="n">
        <v>0</v>
      </c>
      <c r="Y483" s="3" t="n">
        <v>0</v>
      </c>
      <c r="Z483" s="3" t="n">
        <v>0</v>
      </c>
      <c r="AA483" s="3" t="n">
        <v>0</v>
      </c>
      <c r="AB483" s="3" t="n">
        <v>0</v>
      </c>
      <c r="AC483" s="3" t="n">
        <v>0</v>
      </c>
      <c r="AD483" s="3" t="n">
        <v>0</v>
      </c>
      <c r="AE483" s="3" t="n">
        <v>0</v>
      </c>
      <c r="AG483" s="20" t="inlineStr">
        <is>
          <t>egy.mit.ener.foo.bio.3</t>
        </is>
      </c>
      <c r="AH483" s="3" t="n">
        <v>0</v>
      </c>
      <c r="AI483" s="3" t="n">
        <v>0</v>
      </c>
      <c r="AJ483" s="3" t="n">
        <v>0</v>
      </c>
      <c r="AK483" s="3" t="n">
        <v>0</v>
      </c>
      <c r="AL483" s="3" t="n">
        <v>0</v>
      </c>
      <c r="AM483" s="3" t="n">
        <v>0</v>
      </c>
      <c r="AN483" s="3" t="n">
        <v>0</v>
      </c>
      <c r="AO483" s="3" t="n">
        <v>0</v>
      </c>
      <c r="AP483" s="3" t="n">
        <v>0</v>
      </c>
      <c r="AQ483" s="3" t="n">
        <v>0</v>
      </c>
      <c r="AR483" s="3" t="n">
        <v>0</v>
      </c>
      <c r="AS483" s="3" t="n">
        <v>0</v>
      </c>
      <c r="AT483" s="3" t="n">
        <v>0</v>
      </c>
      <c r="AU483" s="3" t="n">
        <v>0</v>
      </c>
      <c r="AV483" s="3" t="n">
        <v>0</v>
      </c>
      <c r="AW483" s="3" t="n">
        <v>0</v>
      </c>
      <c r="AX483" s="3" t="n">
        <v>0</v>
      </c>
      <c r="AY483" s="3" t="n">
        <v>0</v>
      </c>
      <c r="AZ483" s="3" t="n">
        <v>0</v>
      </c>
      <c r="BA483" s="3" t="n">
        <v>0</v>
      </c>
      <c r="BC483" s="20" t="inlineStr">
        <is>
          <t>egy.mit.ener.foo.bio.4</t>
        </is>
      </c>
      <c r="BD483" s="3" t="n">
        <v>0</v>
      </c>
      <c r="BE483" s="3" t="n">
        <v>0</v>
      </c>
      <c r="BF483" s="3" t="n">
        <v>0</v>
      </c>
      <c r="BG483" s="3" t="n">
        <v>0</v>
      </c>
      <c r="BH483" s="3" t="n">
        <v>0</v>
      </c>
      <c r="BI483" s="3" t="n">
        <v>0</v>
      </c>
      <c r="BJ483" s="3" t="n">
        <v>0</v>
      </c>
      <c r="BK483" s="3" t="n">
        <v>0</v>
      </c>
      <c r="BL483" s="3" t="n">
        <v>0</v>
      </c>
      <c r="BM483" s="3" t="n">
        <v>0</v>
      </c>
      <c r="BN483" s="3" t="n">
        <v>0</v>
      </c>
      <c r="BO483" s="3" t="n">
        <v>0</v>
      </c>
      <c r="BP483" s="3" t="n">
        <v>0</v>
      </c>
      <c r="BQ483" s="3" t="n">
        <v>0</v>
      </c>
      <c r="BR483" s="3" t="n">
        <v>0</v>
      </c>
      <c r="BS483" s="3" t="n">
        <v>0</v>
      </c>
      <c r="BT483" s="3" t="n">
        <v>0</v>
      </c>
      <c r="BU483" s="3" t="n">
        <v>0</v>
      </c>
      <c r="BV483" s="3" t="n">
        <v>0</v>
      </c>
      <c r="BW483" s="3" t="n">
        <v>0</v>
      </c>
      <c r="BY483" s="20" t="inlineStr">
        <is>
          <t>egy.mit.ener.foo.bio.5</t>
        </is>
      </c>
      <c r="BZ483" s="3" t="n">
        <v>0</v>
      </c>
      <c r="CA483" s="3" t="n">
        <v>0</v>
      </c>
      <c r="CB483" s="3" t="n">
        <v>0</v>
      </c>
      <c r="CC483" s="3" t="n">
        <v>0</v>
      </c>
      <c r="CD483" s="3" t="n">
        <v>0</v>
      </c>
      <c r="CE483" s="3" t="n">
        <v>0</v>
      </c>
      <c r="CF483" s="3" t="n">
        <v>0</v>
      </c>
      <c r="CG483" s="3" t="n">
        <v>0</v>
      </c>
      <c r="CH483" s="3" t="n">
        <v>0</v>
      </c>
      <c r="CI483" s="3" t="n">
        <v>0</v>
      </c>
      <c r="CJ483" s="3" t="n">
        <v>0</v>
      </c>
      <c r="CK483" s="3" t="n">
        <v>0</v>
      </c>
      <c r="CL483" s="3" t="n">
        <v>0</v>
      </c>
      <c r="CM483" s="3" t="n">
        <v>0</v>
      </c>
      <c r="CN483" s="3" t="n">
        <v>0</v>
      </c>
      <c r="CO483" s="3" t="n">
        <v>0</v>
      </c>
      <c r="CP483" s="3" t="n">
        <v>0</v>
      </c>
      <c r="CQ483" s="3" t="n">
        <v>0</v>
      </c>
      <c r="CR483" s="3" t="n">
        <v>0</v>
      </c>
      <c r="CS483" s="3" t="n">
        <v>0</v>
      </c>
      <c r="CU483" s="20" t="inlineStr">
        <is>
          <t>egy.mit.ener.foo.bio.6</t>
        </is>
      </c>
      <c r="CV483" s="3" t="n">
        <v>0</v>
      </c>
      <c r="CW483" s="3" t="n">
        <v>0</v>
      </c>
      <c r="CX483" s="3" t="n">
        <v>0</v>
      </c>
      <c r="CY483" s="3" t="n">
        <v>0</v>
      </c>
      <c r="CZ483" s="3" t="n">
        <v>0</v>
      </c>
      <c r="DA483" s="3" t="n">
        <v>0</v>
      </c>
      <c r="DB483" s="3" t="n">
        <v>0</v>
      </c>
      <c r="DC483" s="3" t="n">
        <v>0</v>
      </c>
      <c r="DD483" s="3" t="n">
        <v>0</v>
      </c>
      <c r="DE483" s="3" t="n">
        <v>0</v>
      </c>
      <c r="DF483" s="3" t="n">
        <v>0</v>
      </c>
      <c r="DG483" s="3" t="n">
        <v>0</v>
      </c>
      <c r="DH483" s="3" t="n">
        <v>0</v>
      </c>
      <c r="DI483" s="3" t="n">
        <v>0</v>
      </c>
      <c r="DJ483" s="3" t="n">
        <v>0</v>
      </c>
      <c r="DK483" s="3" t="n">
        <v>0</v>
      </c>
      <c r="DL483" s="3" t="n">
        <v>0</v>
      </c>
      <c r="DM483" s="3" t="n">
        <v>0</v>
      </c>
      <c r="DN483" s="3" t="n">
        <v>0</v>
      </c>
      <c r="DO483" s="3" t="n">
        <v>0</v>
      </c>
    </row>
    <row r="484">
      <c r="A484" s="14" t="n"/>
      <c r="B484" s="3" t="inlineStr">
        <is>
          <t>mit</t>
        </is>
      </c>
      <c r="C484" s="19" t="inlineStr">
        <is>
          <t>mit.ener.nav.tot.e</t>
        </is>
      </c>
      <c r="H484" s="14" t="inlineStr">
        <is>
          <t>Energy consumption, food &amp; forestry, sector-generated renewables, policy</t>
        </is>
      </c>
      <c r="I484" s="14" t="inlineStr">
        <is>
          <t>ktoe</t>
        </is>
      </c>
    </row>
    <row r="485">
      <c r="A485" s="19" t="inlineStr">
        <is>
          <t>mit.ener.srv.coa</t>
        </is>
      </c>
      <c r="B485" s="3" t="inlineStr">
        <is>
          <t>mit</t>
        </is>
      </c>
      <c r="C485" s="19" t="inlineStr">
        <is>
          <t>mit.ener.tra.tot.e</t>
        </is>
      </c>
      <c r="H485" s="3" t="inlineStr">
        <is>
          <t>Fuel use | Services (public &amp; private) | Coal</t>
        </is>
      </c>
      <c r="I485" s="3" t="inlineStr">
        <is>
          <t>ktoe</t>
        </is>
      </c>
      <c r="K485" s="20" t="inlineStr">
        <is>
          <t>egy.mit.ener.srv.coa.1</t>
        </is>
      </c>
      <c r="L485" s="3" t="n">
        <v>0</v>
      </c>
      <c r="M485" s="3" t="n">
        <v>0</v>
      </c>
      <c r="N485" s="3" t="n">
        <v>0</v>
      </c>
      <c r="O485" s="3" t="n">
        <v>0</v>
      </c>
      <c r="P485" s="3" t="n">
        <v>0</v>
      </c>
      <c r="Q485" s="3" t="n">
        <v>0</v>
      </c>
      <c r="R485" s="3" t="n">
        <v>0</v>
      </c>
      <c r="S485" s="3" t="n">
        <v>0</v>
      </c>
      <c r="T485" s="3" t="n">
        <v>0</v>
      </c>
      <c r="U485" s="3" t="n">
        <v>0</v>
      </c>
      <c r="V485" s="3" t="n">
        <v>0</v>
      </c>
      <c r="W485" s="3" t="n">
        <v>0</v>
      </c>
      <c r="X485" s="3" t="n">
        <v>0</v>
      </c>
      <c r="Y485" s="3" t="n">
        <v>0</v>
      </c>
      <c r="Z485" s="3" t="n">
        <v>0</v>
      </c>
      <c r="AA485" s="3" t="n">
        <v>0</v>
      </c>
      <c r="AB485" s="3" t="n">
        <v>0</v>
      </c>
      <c r="AC485" s="3" t="n">
        <v>0</v>
      </c>
      <c r="AD485" s="3" t="n">
        <v>0</v>
      </c>
      <c r="AE485" s="3" t="n">
        <v>0</v>
      </c>
      <c r="AG485" s="20" t="inlineStr">
        <is>
          <t>egy.mit.ener.srv.coa.3</t>
        </is>
      </c>
      <c r="AH485" s="3" t="n">
        <v>0</v>
      </c>
      <c r="AI485" s="3" t="n">
        <v>0</v>
      </c>
      <c r="AJ485" s="3" t="n">
        <v>0</v>
      </c>
      <c r="AK485" s="3" t="n">
        <v>0</v>
      </c>
      <c r="AL485" s="3" t="n">
        <v>0</v>
      </c>
      <c r="AM485" s="3" t="n">
        <v>0</v>
      </c>
      <c r="AN485" s="3" t="n">
        <v>0</v>
      </c>
      <c r="AO485" s="3" t="n">
        <v>0</v>
      </c>
      <c r="AP485" s="3" t="n">
        <v>0</v>
      </c>
      <c r="AQ485" s="3" t="n">
        <v>0</v>
      </c>
      <c r="AR485" s="3" t="n">
        <v>0</v>
      </c>
      <c r="AS485" s="3" t="n">
        <v>0</v>
      </c>
      <c r="AT485" s="3" t="n">
        <v>0</v>
      </c>
      <c r="AU485" s="3" t="n">
        <v>0</v>
      </c>
      <c r="AV485" s="3" t="n">
        <v>0</v>
      </c>
      <c r="AW485" s="3" t="n">
        <v>0</v>
      </c>
      <c r="AX485" s="3" t="n">
        <v>0</v>
      </c>
      <c r="AY485" s="3" t="n">
        <v>0</v>
      </c>
      <c r="AZ485" s="3" t="n">
        <v>0</v>
      </c>
      <c r="BA485" s="3" t="n">
        <v>0</v>
      </c>
      <c r="BC485" s="20" t="inlineStr">
        <is>
          <t>egy.mit.ener.srv.coa.4</t>
        </is>
      </c>
      <c r="BD485" s="3" t="n">
        <v>0</v>
      </c>
      <c r="BE485" s="3" t="n">
        <v>0</v>
      </c>
      <c r="BF485" s="3" t="n">
        <v>0</v>
      </c>
      <c r="BG485" s="3" t="n">
        <v>0</v>
      </c>
      <c r="BH485" s="3" t="n">
        <v>0</v>
      </c>
      <c r="BI485" s="3" t="n">
        <v>0</v>
      </c>
      <c r="BJ485" s="3" t="n">
        <v>0</v>
      </c>
      <c r="BK485" s="3" t="n">
        <v>0</v>
      </c>
      <c r="BL485" s="3" t="n">
        <v>0</v>
      </c>
      <c r="BM485" s="3" t="n">
        <v>0</v>
      </c>
      <c r="BN485" s="3" t="n">
        <v>0</v>
      </c>
      <c r="BO485" s="3" t="n">
        <v>0</v>
      </c>
      <c r="BP485" s="3" t="n">
        <v>0</v>
      </c>
      <c r="BQ485" s="3" t="n">
        <v>0</v>
      </c>
      <c r="BR485" s="3" t="n">
        <v>0</v>
      </c>
      <c r="BS485" s="3" t="n">
        <v>0</v>
      </c>
      <c r="BT485" s="3" t="n">
        <v>0</v>
      </c>
      <c r="BU485" s="3" t="n">
        <v>0</v>
      </c>
      <c r="BV485" s="3" t="n">
        <v>0</v>
      </c>
      <c r="BW485" s="3" t="n">
        <v>0</v>
      </c>
      <c r="BY485" s="20" t="inlineStr">
        <is>
          <t>egy.mit.ener.srv.coa.5</t>
        </is>
      </c>
      <c r="BZ485" s="3" t="n">
        <v>0</v>
      </c>
      <c r="CA485" s="3" t="n">
        <v>0</v>
      </c>
      <c r="CB485" s="3" t="n">
        <v>0</v>
      </c>
      <c r="CC485" s="3" t="n">
        <v>0</v>
      </c>
      <c r="CD485" s="3" t="n">
        <v>0</v>
      </c>
      <c r="CE485" s="3" t="n">
        <v>0</v>
      </c>
      <c r="CF485" s="3" t="n">
        <v>0</v>
      </c>
      <c r="CG485" s="3" t="n">
        <v>0</v>
      </c>
      <c r="CH485" s="3" t="n">
        <v>0</v>
      </c>
      <c r="CI485" s="3" t="n">
        <v>0</v>
      </c>
      <c r="CJ485" s="3" t="n">
        <v>0</v>
      </c>
      <c r="CK485" s="3" t="n">
        <v>0</v>
      </c>
      <c r="CL485" s="3" t="n">
        <v>0</v>
      </c>
      <c r="CM485" s="3" t="n">
        <v>0</v>
      </c>
      <c r="CN485" s="3" t="n">
        <v>0</v>
      </c>
      <c r="CO485" s="3" t="n">
        <v>0</v>
      </c>
      <c r="CP485" s="3" t="n">
        <v>0</v>
      </c>
      <c r="CQ485" s="3" t="n">
        <v>0</v>
      </c>
      <c r="CR485" s="3" t="n">
        <v>0</v>
      </c>
      <c r="CS485" s="3" t="n">
        <v>0</v>
      </c>
      <c r="CU485" s="20" t="inlineStr">
        <is>
          <t>egy.mit.ener.srv.coa.6</t>
        </is>
      </c>
      <c r="CV485" s="3" t="n">
        <v>0</v>
      </c>
      <c r="CW485" s="3" t="n">
        <v>0</v>
      </c>
      <c r="CX485" s="3" t="n">
        <v>0</v>
      </c>
      <c r="CY485" s="3" t="n">
        <v>0</v>
      </c>
      <c r="CZ485" s="3" t="n">
        <v>0</v>
      </c>
      <c r="DA485" s="3" t="n">
        <v>0</v>
      </c>
      <c r="DB485" s="3" t="n">
        <v>0</v>
      </c>
      <c r="DC485" s="3" t="n">
        <v>0</v>
      </c>
      <c r="DD485" s="3" t="n">
        <v>0</v>
      </c>
      <c r="DE485" s="3" t="n">
        <v>0</v>
      </c>
      <c r="DF485" s="3" t="n">
        <v>0</v>
      </c>
      <c r="DG485" s="3" t="n">
        <v>0</v>
      </c>
      <c r="DH485" s="3" t="n">
        <v>0</v>
      </c>
      <c r="DI485" s="3" t="n">
        <v>0</v>
      </c>
      <c r="DJ485" s="3" t="n">
        <v>0</v>
      </c>
      <c r="DK485" s="3" t="n">
        <v>0</v>
      </c>
      <c r="DL485" s="3" t="n">
        <v>0</v>
      </c>
      <c r="DM485" s="3" t="n">
        <v>0</v>
      </c>
      <c r="DN485" s="3" t="n">
        <v>0</v>
      </c>
      <c r="DO485" s="3" t="n">
        <v>0</v>
      </c>
    </row>
    <row r="486">
      <c r="A486" s="19" t="inlineStr">
        <is>
          <t>mit.ener.srv.nga</t>
        </is>
      </c>
      <c r="B486" s="3" t="inlineStr">
        <is>
          <t>mit</t>
        </is>
      </c>
      <c r="C486" s="19" t="n"/>
      <c r="H486" s="3" t="inlineStr">
        <is>
          <t>Fuel use | Services (public &amp; private) | Natural gas</t>
        </is>
      </c>
      <c r="I486" s="3" t="inlineStr">
        <is>
          <t>ktoe</t>
        </is>
      </c>
      <c r="K486" s="20" t="inlineStr">
        <is>
          <t>egy.mit.ener.srv.nga.1</t>
        </is>
      </c>
      <c r="L486" s="3" t="n">
        <v>0</v>
      </c>
      <c r="M486" s="3" t="n">
        <v>0</v>
      </c>
      <c r="N486" s="3" t="n">
        <v>0</v>
      </c>
      <c r="O486" s="3" t="n">
        <v>0</v>
      </c>
      <c r="P486" s="3" t="n">
        <v>0</v>
      </c>
      <c r="Q486" s="3" t="n">
        <v>0</v>
      </c>
      <c r="R486" s="3" t="n">
        <v>0</v>
      </c>
      <c r="S486" s="3" t="n">
        <v>0</v>
      </c>
      <c r="T486" s="3" t="n">
        <v>0</v>
      </c>
      <c r="U486" s="3" t="n">
        <v>0</v>
      </c>
      <c r="V486" s="3" t="n">
        <v>0</v>
      </c>
      <c r="W486" s="3" t="n">
        <v>0</v>
      </c>
      <c r="X486" s="3" t="n">
        <v>0</v>
      </c>
      <c r="Y486" s="3" t="n">
        <v>0</v>
      </c>
      <c r="Z486" s="3" t="n">
        <v>0</v>
      </c>
      <c r="AA486" s="3" t="n">
        <v>0</v>
      </c>
      <c r="AB486" s="3" t="n">
        <v>0</v>
      </c>
      <c r="AC486" s="3" t="n">
        <v>0</v>
      </c>
      <c r="AD486" s="3" t="n">
        <v>0</v>
      </c>
      <c r="AE486" s="3" t="n">
        <v>0</v>
      </c>
      <c r="AG486" s="20" t="inlineStr">
        <is>
          <t>egy.mit.ener.srv.nga.3</t>
        </is>
      </c>
      <c r="AH486" s="3" t="n">
        <v>0</v>
      </c>
      <c r="AI486" s="3" t="n">
        <v>0</v>
      </c>
      <c r="AJ486" s="3" t="n">
        <v>0</v>
      </c>
      <c r="AK486" s="3" t="n">
        <v>0</v>
      </c>
      <c r="AL486" s="3" t="n">
        <v>0</v>
      </c>
      <c r="AM486" s="3" t="n">
        <v>0</v>
      </c>
      <c r="AN486" s="3" t="n">
        <v>0</v>
      </c>
      <c r="AO486" s="3" t="n">
        <v>0</v>
      </c>
      <c r="AP486" s="3" t="n">
        <v>0</v>
      </c>
      <c r="AQ486" s="3" t="n">
        <v>0</v>
      </c>
      <c r="AR486" s="3" t="n">
        <v>0</v>
      </c>
      <c r="AS486" s="3" t="n">
        <v>0</v>
      </c>
      <c r="AT486" s="3" t="n">
        <v>0</v>
      </c>
      <c r="AU486" s="3" t="n">
        <v>0</v>
      </c>
      <c r="AV486" s="3" t="n">
        <v>0</v>
      </c>
      <c r="AW486" s="3" t="n">
        <v>0</v>
      </c>
      <c r="AX486" s="3" t="n">
        <v>0</v>
      </c>
      <c r="AY486" s="3" t="n">
        <v>0</v>
      </c>
      <c r="AZ486" s="3" t="n">
        <v>0</v>
      </c>
      <c r="BA486" s="3" t="n">
        <v>0</v>
      </c>
      <c r="BC486" s="20" t="inlineStr">
        <is>
          <t>egy.mit.ener.srv.nga.4</t>
        </is>
      </c>
      <c r="BD486" s="3" t="n">
        <v>0</v>
      </c>
      <c r="BE486" s="3" t="n">
        <v>0</v>
      </c>
      <c r="BF486" s="3" t="n">
        <v>0</v>
      </c>
      <c r="BG486" s="3" t="n">
        <v>0</v>
      </c>
      <c r="BH486" s="3" t="n">
        <v>0</v>
      </c>
      <c r="BI486" s="3" t="n">
        <v>0</v>
      </c>
      <c r="BJ486" s="3" t="n">
        <v>0</v>
      </c>
      <c r="BK486" s="3" t="n">
        <v>0</v>
      </c>
      <c r="BL486" s="3" t="n">
        <v>0</v>
      </c>
      <c r="BM486" s="3" t="n">
        <v>0</v>
      </c>
      <c r="BN486" s="3" t="n">
        <v>0</v>
      </c>
      <c r="BO486" s="3" t="n">
        <v>0</v>
      </c>
      <c r="BP486" s="3" t="n">
        <v>0</v>
      </c>
      <c r="BQ486" s="3" t="n">
        <v>0</v>
      </c>
      <c r="BR486" s="3" t="n">
        <v>0</v>
      </c>
      <c r="BS486" s="3" t="n">
        <v>0</v>
      </c>
      <c r="BT486" s="3" t="n">
        <v>0</v>
      </c>
      <c r="BU486" s="3" t="n">
        <v>0</v>
      </c>
      <c r="BV486" s="3" t="n">
        <v>0</v>
      </c>
      <c r="BW486" s="3" t="n">
        <v>0</v>
      </c>
      <c r="BY486" s="20" t="inlineStr">
        <is>
          <t>egy.mit.ener.srv.nga.5</t>
        </is>
      </c>
      <c r="BZ486" s="3" t="n">
        <v>0</v>
      </c>
      <c r="CA486" s="3" t="n">
        <v>0</v>
      </c>
      <c r="CB486" s="3" t="n">
        <v>0</v>
      </c>
      <c r="CC486" s="3" t="n">
        <v>0</v>
      </c>
      <c r="CD486" s="3" t="n">
        <v>0</v>
      </c>
      <c r="CE486" s="3" t="n">
        <v>0</v>
      </c>
      <c r="CF486" s="3" t="n">
        <v>0</v>
      </c>
      <c r="CG486" s="3" t="n">
        <v>0</v>
      </c>
      <c r="CH486" s="3" t="n">
        <v>0</v>
      </c>
      <c r="CI486" s="3" t="n">
        <v>0</v>
      </c>
      <c r="CJ486" s="3" t="n">
        <v>0</v>
      </c>
      <c r="CK486" s="3" t="n">
        <v>0</v>
      </c>
      <c r="CL486" s="3" t="n">
        <v>0</v>
      </c>
      <c r="CM486" s="3" t="n">
        <v>0</v>
      </c>
      <c r="CN486" s="3" t="n">
        <v>0</v>
      </c>
      <c r="CO486" s="3" t="n">
        <v>0</v>
      </c>
      <c r="CP486" s="3" t="n">
        <v>0</v>
      </c>
      <c r="CQ486" s="3" t="n">
        <v>0</v>
      </c>
      <c r="CR486" s="3" t="n">
        <v>0</v>
      </c>
      <c r="CS486" s="3" t="n">
        <v>0</v>
      </c>
      <c r="CU486" s="20" t="inlineStr">
        <is>
          <t>egy.mit.ener.srv.nga.6</t>
        </is>
      </c>
      <c r="CV486" s="3" t="n">
        <v>0</v>
      </c>
      <c r="CW486" s="3" t="n">
        <v>0</v>
      </c>
      <c r="CX486" s="3" t="n">
        <v>0</v>
      </c>
      <c r="CY486" s="3" t="n">
        <v>0</v>
      </c>
      <c r="CZ486" s="3" t="n">
        <v>0</v>
      </c>
      <c r="DA486" s="3" t="n">
        <v>0</v>
      </c>
      <c r="DB486" s="3" t="n">
        <v>0</v>
      </c>
      <c r="DC486" s="3" t="n">
        <v>0</v>
      </c>
      <c r="DD486" s="3" t="n">
        <v>0</v>
      </c>
      <c r="DE486" s="3" t="n">
        <v>0</v>
      </c>
      <c r="DF486" s="3" t="n">
        <v>0</v>
      </c>
      <c r="DG486" s="3" t="n">
        <v>0</v>
      </c>
      <c r="DH486" s="3" t="n">
        <v>0</v>
      </c>
      <c r="DI486" s="3" t="n">
        <v>0</v>
      </c>
      <c r="DJ486" s="3" t="n">
        <v>0</v>
      </c>
      <c r="DK486" s="3" t="n">
        <v>0</v>
      </c>
      <c r="DL486" s="3" t="n">
        <v>0</v>
      </c>
      <c r="DM486" s="3" t="n">
        <v>0</v>
      </c>
      <c r="DN486" s="3" t="n">
        <v>0</v>
      </c>
      <c r="DO486" s="3" t="n">
        <v>0</v>
      </c>
    </row>
    <row r="487">
      <c r="A487" s="19" t="inlineStr">
        <is>
          <t>mit.ener.srv.gso</t>
        </is>
      </c>
      <c r="B487" s="3" t="inlineStr">
        <is>
          <t>mit</t>
        </is>
      </c>
      <c r="C487" s="19" t="n"/>
      <c r="H487" s="3" t="inlineStr">
        <is>
          <t>Fuel use | Services (public &amp; private) | Gasoline</t>
        </is>
      </c>
      <c r="I487" s="3" t="inlineStr">
        <is>
          <t>ktoe</t>
        </is>
      </c>
      <c r="K487" s="20" t="inlineStr">
        <is>
          <t>egy.mit.ener.srv.gso.1</t>
        </is>
      </c>
      <c r="L487" s="3" t="n">
        <v>0</v>
      </c>
      <c r="M487" s="3" t="n">
        <v>0</v>
      </c>
      <c r="N487" s="3" t="n">
        <v>0</v>
      </c>
      <c r="O487" s="3" t="n">
        <v>0</v>
      </c>
      <c r="P487" s="3" t="n">
        <v>0</v>
      </c>
      <c r="Q487" s="3" t="n">
        <v>0</v>
      </c>
      <c r="R487" s="3" t="n">
        <v>0</v>
      </c>
      <c r="S487" s="3" t="n">
        <v>0</v>
      </c>
      <c r="T487" s="3" t="n">
        <v>0</v>
      </c>
      <c r="U487" s="3" t="n">
        <v>0</v>
      </c>
      <c r="V487" s="3" t="n">
        <v>0</v>
      </c>
      <c r="W487" s="3" t="n">
        <v>0</v>
      </c>
      <c r="X487" s="3" t="n">
        <v>0</v>
      </c>
      <c r="Y487" s="3" t="n">
        <v>0</v>
      </c>
      <c r="Z487" s="3" t="n">
        <v>0</v>
      </c>
      <c r="AA487" s="3" t="n">
        <v>0</v>
      </c>
      <c r="AB487" s="3" t="n">
        <v>0</v>
      </c>
      <c r="AC487" s="3" t="n">
        <v>0</v>
      </c>
      <c r="AD487" s="3" t="n">
        <v>0</v>
      </c>
      <c r="AE487" s="3" t="n">
        <v>0</v>
      </c>
      <c r="AG487" s="20" t="inlineStr">
        <is>
          <t>egy.mit.ener.srv.gso.3</t>
        </is>
      </c>
      <c r="AH487" s="3" t="n">
        <v>0</v>
      </c>
      <c r="AI487" s="3" t="n">
        <v>0</v>
      </c>
      <c r="AJ487" s="3" t="n">
        <v>0</v>
      </c>
      <c r="AK487" s="3" t="n">
        <v>0</v>
      </c>
      <c r="AL487" s="3" t="n">
        <v>0</v>
      </c>
      <c r="AM487" s="3" t="n">
        <v>0</v>
      </c>
      <c r="AN487" s="3" t="n">
        <v>0</v>
      </c>
      <c r="AO487" s="3" t="n">
        <v>0</v>
      </c>
      <c r="AP487" s="3" t="n">
        <v>0</v>
      </c>
      <c r="AQ487" s="3" t="n">
        <v>0</v>
      </c>
      <c r="AR487" s="3" t="n">
        <v>0</v>
      </c>
      <c r="AS487" s="3" t="n">
        <v>0</v>
      </c>
      <c r="AT487" s="3" t="n">
        <v>0</v>
      </c>
      <c r="AU487" s="3" t="n">
        <v>0</v>
      </c>
      <c r="AV487" s="3" t="n">
        <v>0</v>
      </c>
      <c r="AW487" s="3" t="n">
        <v>0</v>
      </c>
      <c r="AX487" s="3" t="n">
        <v>0</v>
      </c>
      <c r="AY487" s="3" t="n">
        <v>0</v>
      </c>
      <c r="AZ487" s="3" t="n">
        <v>0</v>
      </c>
      <c r="BA487" s="3" t="n">
        <v>0</v>
      </c>
      <c r="BC487" s="20" t="inlineStr">
        <is>
          <t>egy.mit.ener.srv.gso.4</t>
        </is>
      </c>
      <c r="BD487" s="3" t="n">
        <v>0</v>
      </c>
      <c r="BE487" s="3" t="n">
        <v>0</v>
      </c>
      <c r="BF487" s="3" t="n">
        <v>0</v>
      </c>
      <c r="BG487" s="3" t="n">
        <v>0</v>
      </c>
      <c r="BH487" s="3" t="n">
        <v>0</v>
      </c>
      <c r="BI487" s="3" t="n">
        <v>0</v>
      </c>
      <c r="BJ487" s="3" t="n">
        <v>0</v>
      </c>
      <c r="BK487" s="3" t="n">
        <v>0</v>
      </c>
      <c r="BL487" s="3" t="n">
        <v>0</v>
      </c>
      <c r="BM487" s="3" t="n">
        <v>0</v>
      </c>
      <c r="BN487" s="3" t="n">
        <v>0</v>
      </c>
      <c r="BO487" s="3" t="n">
        <v>0</v>
      </c>
      <c r="BP487" s="3" t="n">
        <v>0</v>
      </c>
      <c r="BQ487" s="3" t="n">
        <v>0</v>
      </c>
      <c r="BR487" s="3" t="n">
        <v>0</v>
      </c>
      <c r="BS487" s="3" t="n">
        <v>0</v>
      </c>
      <c r="BT487" s="3" t="n">
        <v>0</v>
      </c>
      <c r="BU487" s="3" t="n">
        <v>0</v>
      </c>
      <c r="BV487" s="3" t="n">
        <v>0</v>
      </c>
      <c r="BW487" s="3" t="n">
        <v>0</v>
      </c>
      <c r="BY487" s="20" t="inlineStr">
        <is>
          <t>egy.mit.ener.srv.gso.5</t>
        </is>
      </c>
      <c r="BZ487" s="3" t="n">
        <v>0</v>
      </c>
      <c r="CA487" s="3" t="n">
        <v>0</v>
      </c>
      <c r="CB487" s="3" t="n">
        <v>0</v>
      </c>
      <c r="CC487" s="3" t="n">
        <v>0</v>
      </c>
      <c r="CD487" s="3" t="n">
        <v>0</v>
      </c>
      <c r="CE487" s="3" t="n">
        <v>0</v>
      </c>
      <c r="CF487" s="3" t="n">
        <v>0</v>
      </c>
      <c r="CG487" s="3" t="n">
        <v>0</v>
      </c>
      <c r="CH487" s="3" t="n">
        <v>0</v>
      </c>
      <c r="CI487" s="3" t="n">
        <v>0</v>
      </c>
      <c r="CJ487" s="3" t="n">
        <v>0</v>
      </c>
      <c r="CK487" s="3" t="n">
        <v>0</v>
      </c>
      <c r="CL487" s="3" t="n">
        <v>0</v>
      </c>
      <c r="CM487" s="3" t="n">
        <v>0</v>
      </c>
      <c r="CN487" s="3" t="n">
        <v>0</v>
      </c>
      <c r="CO487" s="3" t="n">
        <v>0</v>
      </c>
      <c r="CP487" s="3" t="n">
        <v>0</v>
      </c>
      <c r="CQ487" s="3" t="n">
        <v>0</v>
      </c>
      <c r="CR487" s="3" t="n">
        <v>0</v>
      </c>
      <c r="CS487" s="3" t="n">
        <v>0</v>
      </c>
      <c r="CU487" s="20" t="inlineStr">
        <is>
          <t>egy.mit.ener.srv.gso.6</t>
        </is>
      </c>
      <c r="CV487" s="3" t="n">
        <v>0</v>
      </c>
      <c r="CW487" s="3" t="n">
        <v>0</v>
      </c>
      <c r="CX487" s="3" t="n">
        <v>0</v>
      </c>
      <c r="CY487" s="3" t="n">
        <v>0</v>
      </c>
      <c r="CZ487" s="3" t="n">
        <v>0</v>
      </c>
      <c r="DA487" s="3" t="n">
        <v>0</v>
      </c>
      <c r="DB487" s="3" t="n">
        <v>0</v>
      </c>
      <c r="DC487" s="3" t="n">
        <v>0</v>
      </c>
      <c r="DD487" s="3" t="n">
        <v>0</v>
      </c>
      <c r="DE487" s="3" t="n">
        <v>0</v>
      </c>
      <c r="DF487" s="3" t="n">
        <v>0</v>
      </c>
      <c r="DG487" s="3" t="n">
        <v>0</v>
      </c>
      <c r="DH487" s="3" t="n">
        <v>0</v>
      </c>
      <c r="DI487" s="3" t="n">
        <v>0</v>
      </c>
      <c r="DJ487" s="3" t="n">
        <v>0</v>
      </c>
      <c r="DK487" s="3" t="n">
        <v>0</v>
      </c>
      <c r="DL487" s="3" t="n">
        <v>0</v>
      </c>
      <c r="DM487" s="3" t="n">
        <v>0</v>
      </c>
      <c r="DN487" s="3" t="n">
        <v>0</v>
      </c>
      <c r="DO487" s="3" t="n">
        <v>0</v>
      </c>
    </row>
    <row r="488">
      <c r="A488" s="19" t="inlineStr">
        <is>
          <t>mit.ener.srv.die</t>
        </is>
      </c>
      <c r="B488" s="3" t="inlineStr">
        <is>
          <t>mit</t>
        </is>
      </c>
      <c r="C488" s="19" t="inlineStr">
        <is>
          <t>mit.ener.tra.tot.e</t>
        </is>
      </c>
      <c r="H488" s="3" t="inlineStr">
        <is>
          <t>Fuel use | Services (public &amp; private) | Diesel</t>
        </is>
      </c>
      <c r="I488" s="3" t="inlineStr">
        <is>
          <t>ktoe</t>
        </is>
      </c>
      <c r="K488" s="20" t="inlineStr">
        <is>
          <t>egy.mit.ener.srv.die.1</t>
        </is>
      </c>
      <c r="L488" s="3" t="n">
        <v>0</v>
      </c>
      <c r="M488" s="3" t="n">
        <v>0</v>
      </c>
      <c r="N488" s="3" t="n">
        <v>0</v>
      </c>
      <c r="O488" s="3" t="n">
        <v>0</v>
      </c>
      <c r="P488" s="3" t="n">
        <v>0</v>
      </c>
      <c r="Q488" s="3" t="n">
        <v>0</v>
      </c>
      <c r="R488" s="3" t="n">
        <v>0</v>
      </c>
      <c r="S488" s="3" t="n">
        <v>0</v>
      </c>
      <c r="T488" s="3" t="n">
        <v>0</v>
      </c>
      <c r="U488" s="3" t="n">
        <v>0</v>
      </c>
      <c r="V488" s="3" t="n">
        <v>0</v>
      </c>
      <c r="W488" s="3" t="n">
        <v>0</v>
      </c>
      <c r="X488" s="3" t="n">
        <v>0</v>
      </c>
      <c r="Y488" s="3" t="n">
        <v>0</v>
      </c>
      <c r="Z488" s="3" t="n">
        <v>0</v>
      </c>
      <c r="AA488" s="3" t="n">
        <v>0</v>
      </c>
      <c r="AB488" s="3" t="n">
        <v>0</v>
      </c>
      <c r="AC488" s="3" t="n">
        <v>0</v>
      </c>
      <c r="AD488" s="3" t="n">
        <v>0</v>
      </c>
      <c r="AE488" s="3" t="n">
        <v>0</v>
      </c>
      <c r="AG488" s="20" t="inlineStr">
        <is>
          <t>egy.mit.ener.srv.die.3</t>
        </is>
      </c>
      <c r="AH488" s="3" t="n">
        <v>0</v>
      </c>
      <c r="AI488" s="3" t="n">
        <v>0</v>
      </c>
      <c r="AJ488" s="3" t="n">
        <v>0</v>
      </c>
      <c r="AK488" s="3" t="n">
        <v>0</v>
      </c>
      <c r="AL488" s="3" t="n">
        <v>0</v>
      </c>
      <c r="AM488" s="3" t="n">
        <v>0</v>
      </c>
      <c r="AN488" s="3" t="n">
        <v>0</v>
      </c>
      <c r="AO488" s="3" t="n">
        <v>0</v>
      </c>
      <c r="AP488" s="3" t="n">
        <v>0</v>
      </c>
      <c r="AQ488" s="3" t="n">
        <v>0</v>
      </c>
      <c r="AR488" s="3" t="n">
        <v>0</v>
      </c>
      <c r="AS488" s="3" t="n">
        <v>0</v>
      </c>
      <c r="AT488" s="3" t="n">
        <v>0</v>
      </c>
      <c r="AU488" s="3" t="n">
        <v>0</v>
      </c>
      <c r="AV488" s="3" t="n">
        <v>0</v>
      </c>
      <c r="AW488" s="3" t="n">
        <v>0</v>
      </c>
      <c r="AX488" s="3" t="n">
        <v>0</v>
      </c>
      <c r="AY488" s="3" t="n">
        <v>0</v>
      </c>
      <c r="AZ488" s="3" t="n">
        <v>0</v>
      </c>
      <c r="BA488" s="3" t="n">
        <v>0</v>
      </c>
      <c r="BC488" s="20" t="inlineStr">
        <is>
          <t>egy.mit.ener.srv.die.4</t>
        </is>
      </c>
      <c r="BD488" s="3" t="n">
        <v>0</v>
      </c>
      <c r="BE488" s="3" t="n">
        <v>0</v>
      </c>
      <c r="BF488" s="3" t="n">
        <v>0</v>
      </c>
      <c r="BG488" s="3" t="n">
        <v>0</v>
      </c>
      <c r="BH488" s="3" t="n">
        <v>0</v>
      </c>
      <c r="BI488" s="3" t="n">
        <v>0</v>
      </c>
      <c r="BJ488" s="3" t="n">
        <v>0</v>
      </c>
      <c r="BK488" s="3" t="n">
        <v>0</v>
      </c>
      <c r="BL488" s="3" t="n">
        <v>0</v>
      </c>
      <c r="BM488" s="3" t="n">
        <v>0</v>
      </c>
      <c r="BN488" s="3" t="n">
        <v>0</v>
      </c>
      <c r="BO488" s="3" t="n">
        <v>0</v>
      </c>
      <c r="BP488" s="3" t="n">
        <v>0</v>
      </c>
      <c r="BQ488" s="3" t="n">
        <v>0</v>
      </c>
      <c r="BR488" s="3" t="n">
        <v>0</v>
      </c>
      <c r="BS488" s="3" t="n">
        <v>0</v>
      </c>
      <c r="BT488" s="3" t="n">
        <v>0</v>
      </c>
      <c r="BU488" s="3" t="n">
        <v>0</v>
      </c>
      <c r="BV488" s="3" t="n">
        <v>0</v>
      </c>
      <c r="BW488" s="3" t="n">
        <v>0</v>
      </c>
      <c r="BY488" s="20" t="inlineStr">
        <is>
          <t>egy.mit.ener.srv.die.5</t>
        </is>
      </c>
      <c r="BZ488" s="3" t="n">
        <v>0</v>
      </c>
      <c r="CA488" s="3" t="n">
        <v>0</v>
      </c>
      <c r="CB488" s="3" t="n">
        <v>0</v>
      </c>
      <c r="CC488" s="3" t="n">
        <v>0</v>
      </c>
      <c r="CD488" s="3" t="n">
        <v>0</v>
      </c>
      <c r="CE488" s="3" t="n">
        <v>0</v>
      </c>
      <c r="CF488" s="3" t="n">
        <v>0</v>
      </c>
      <c r="CG488" s="3" t="n">
        <v>0</v>
      </c>
      <c r="CH488" s="3" t="n">
        <v>0</v>
      </c>
      <c r="CI488" s="3" t="n">
        <v>0</v>
      </c>
      <c r="CJ488" s="3" t="n">
        <v>0</v>
      </c>
      <c r="CK488" s="3" t="n">
        <v>0</v>
      </c>
      <c r="CL488" s="3" t="n">
        <v>0</v>
      </c>
      <c r="CM488" s="3" t="n">
        <v>0</v>
      </c>
      <c r="CN488" s="3" t="n">
        <v>0</v>
      </c>
      <c r="CO488" s="3" t="n">
        <v>0</v>
      </c>
      <c r="CP488" s="3" t="n">
        <v>0</v>
      </c>
      <c r="CQ488" s="3" t="n">
        <v>0</v>
      </c>
      <c r="CR488" s="3" t="n">
        <v>0</v>
      </c>
      <c r="CS488" s="3" t="n">
        <v>0</v>
      </c>
      <c r="CU488" s="20" t="inlineStr">
        <is>
          <t>egy.mit.ener.srv.die.6</t>
        </is>
      </c>
      <c r="CV488" s="3" t="n">
        <v>0</v>
      </c>
      <c r="CW488" s="3" t="n">
        <v>0</v>
      </c>
      <c r="CX488" s="3" t="n">
        <v>0</v>
      </c>
      <c r="CY488" s="3" t="n">
        <v>0</v>
      </c>
      <c r="CZ488" s="3" t="n">
        <v>0</v>
      </c>
      <c r="DA488" s="3" t="n">
        <v>0</v>
      </c>
      <c r="DB488" s="3" t="n">
        <v>0</v>
      </c>
      <c r="DC488" s="3" t="n">
        <v>0</v>
      </c>
      <c r="DD488" s="3" t="n">
        <v>0</v>
      </c>
      <c r="DE488" s="3" t="n">
        <v>0</v>
      </c>
      <c r="DF488" s="3" t="n">
        <v>0</v>
      </c>
      <c r="DG488" s="3" t="n">
        <v>0</v>
      </c>
      <c r="DH488" s="3" t="n">
        <v>0</v>
      </c>
      <c r="DI488" s="3" t="n">
        <v>0</v>
      </c>
      <c r="DJ488" s="3" t="n">
        <v>0</v>
      </c>
      <c r="DK488" s="3" t="n">
        <v>0</v>
      </c>
      <c r="DL488" s="3" t="n">
        <v>0</v>
      </c>
      <c r="DM488" s="3" t="n">
        <v>0</v>
      </c>
      <c r="DN488" s="3" t="n">
        <v>0</v>
      </c>
      <c r="DO488" s="3" t="n">
        <v>0</v>
      </c>
    </row>
    <row r="489">
      <c r="A489" s="19" t="inlineStr">
        <is>
          <t>mit.ener.srv.lpg</t>
        </is>
      </c>
      <c r="B489" s="3" t="inlineStr">
        <is>
          <t>mit</t>
        </is>
      </c>
      <c r="C489" s="19" t="n"/>
      <c r="H489" s="3" t="inlineStr">
        <is>
          <t>Fuel use | Services (public &amp; private) | LPG</t>
        </is>
      </c>
      <c r="I489" s="3" t="inlineStr">
        <is>
          <t>ktoe</t>
        </is>
      </c>
      <c r="K489" s="20" t="inlineStr">
        <is>
          <t>egy.mit.ener.srv.lpg.1</t>
        </is>
      </c>
      <c r="L489" s="3" t="n">
        <v>0</v>
      </c>
      <c r="M489" s="3" t="n">
        <v>0</v>
      </c>
      <c r="N489" s="3" t="n">
        <v>0</v>
      </c>
      <c r="O489" s="3" t="n">
        <v>0</v>
      </c>
      <c r="P489" s="3" t="n">
        <v>0</v>
      </c>
      <c r="Q489" s="3" t="n">
        <v>0</v>
      </c>
      <c r="R489" s="3" t="n">
        <v>0</v>
      </c>
      <c r="S489" s="3" t="n">
        <v>0</v>
      </c>
      <c r="T489" s="3" t="n">
        <v>0</v>
      </c>
      <c r="U489" s="3" t="n">
        <v>0</v>
      </c>
      <c r="V489" s="3" t="n">
        <v>0</v>
      </c>
      <c r="W489" s="3" t="n">
        <v>0</v>
      </c>
      <c r="X489" s="3" t="n">
        <v>0</v>
      </c>
      <c r="Y489" s="3" t="n">
        <v>0</v>
      </c>
      <c r="Z489" s="3" t="n">
        <v>0</v>
      </c>
      <c r="AA489" s="3" t="n">
        <v>0</v>
      </c>
      <c r="AB489" s="3" t="n">
        <v>0</v>
      </c>
      <c r="AC489" s="3" t="n">
        <v>0</v>
      </c>
      <c r="AD489" s="3" t="n">
        <v>0</v>
      </c>
      <c r="AE489" s="3" t="n">
        <v>0</v>
      </c>
      <c r="AG489" s="20" t="inlineStr">
        <is>
          <t>egy.mit.ener.srv.lpg.3</t>
        </is>
      </c>
      <c r="AH489" s="3" t="n">
        <v>0</v>
      </c>
      <c r="AI489" s="3" t="n">
        <v>0</v>
      </c>
      <c r="AJ489" s="3" t="n">
        <v>0</v>
      </c>
      <c r="AK489" s="3" t="n">
        <v>0</v>
      </c>
      <c r="AL489" s="3" t="n">
        <v>0</v>
      </c>
      <c r="AM489" s="3" t="n">
        <v>0</v>
      </c>
      <c r="AN489" s="3" t="n">
        <v>0</v>
      </c>
      <c r="AO489" s="3" t="n">
        <v>0</v>
      </c>
      <c r="AP489" s="3" t="n">
        <v>0</v>
      </c>
      <c r="AQ489" s="3" t="n">
        <v>0</v>
      </c>
      <c r="AR489" s="3" t="n">
        <v>0</v>
      </c>
      <c r="AS489" s="3" t="n">
        <v>0</v>
      </c>
      <c r="AT489" s="3" t="n">
        <v>0</v>
      </c>
      <c r="AU489" s="3" t="n">
        <v>0</v>
      </c>
      <c r="AV489" s="3" t="n">
        <v>0</v>
      </c>
      <c r="AW489" s="3" t="n">
        <v>0</v>
      </c>
      <c r="AX489" s="3" t="n">
        <v>0</v>
      </c>
      <c r="AY489" s="3" t="n">
        <v>0</v>
      </c>
      <c r="AZ489" s="3" t="n">
        <v>0</v>
      </c>
      <c r="BA489" s="3" t="n">
        <v>0</v>
      </c>
      <c r="BC489" s="20" t="inlineStr">
        <is>
          <t>egy.mit.ener.srv.lpg.4</t>
        </is>
      </c>
      <c r="BD489" s="3" t="n">
        <v>0</v>
      </c>
      <c r="BE489" s="3" t="n">
        <v>0</v>
      </c>
      <c r="BF489" s="3" t="n">
        <v>0</v>
      </c>
      <c r="BG489" s="3" t="n">
        <v>0</v>
      </c>
      <c r="BH489" s="3" t="n">
        <v>0</v>
      </c>
      <c r="BI489" s="3" t="n">
        <v>0</v>
      </c>
      <c r="BJ489" s="3" t="n">
        <v>0</v>
      </c>
      <c r="BK489" s="3" t="n">
        <v>0</v>
      </c>
      <c r="BL489" s="3" t="n">
        <v>0</v>
      </c>
      <c r="BM489" s="3" t="n">
        <v>0</v>
      </c>
      <c r="BN489" s="3" t="n">
        <v>0</v>
      </c>
      <c r="BO489" s="3" t="n">
        <v>0</v>
      </c>
      <c r="BP489" s="3" t="n">
        <v>0</v>
      </c>
      <c r="BQ489" s="3" t="n">
        <v>0</v>
      </c>
      <c r="BR489" s="3" t="n">
        <v>0</v>
      </c>
      <c r="BS489" s="3" t="n">
        <v>0</v>
      </c>
      <c r="BT489" s="3" t="n">
        <v>0</v>
      </c>
      <c r="BU489" s="3" t="n">
        <v>0</v>
      </c>
      <c r="BV489" s="3" t="n">
        <v>0</v>
      </c>
      <c r="BW489" s="3" t="n">
        <v>0</v>
      </c>
      <c r="BY489" s="20" t="inlineStr">
        <is>
          <t>egy.mit.ener.srv.lpg.5</t>
        </is>
      </c>
      <c r="BZ489" s="3" t="n">
        <v>0</v>
      </c>
      <c r="CA489" s="3" t="n">
        <v>0</v>
      </c>
      <c r="CB489" s="3" t="n">
        <v>0</v>
      </c>
      <c r="CC489" s="3" t="n">
        <v>0</v>
      </c>
      <c r="CD489" s="3" t="n">
        <v>0</v>
      </c>
      <c r="CE489" s="3" t="n">
        <v>0</v>
      </c>
      <c r="CF489" s="3" t="n">
        <v>0</v>
      </c>
      <c r="CG489" s="3" t="n">
        <v>0</v>
      </c>
      <c r="CH489" s="3" t="n">
        <v>0</v>
      </c>
      <c r="CI489" s="3" t="n">
        <v>0</v>
      </c>
      <c r="CJ489" s="3" t="n">
        <v>0</v>
      </c>
      <c r="CK489" s="3" t="n">
        <v>0</v>
      </c>
      <c r="CL489" s="3" t="n">
        <v>0</v>
      </c>
      <c r="CM489" s="3" t="n">
        <v>0</v>
      </c>
      <c r="CN489" s="3" t="n">
        <v>0</v>
      </c>
      <c r="CO489" s="3" t="n">
        <v>0</v>
      </c>
      <c r="CP489" s="3" t="n">
        <v>0</v>
      </c>
      <c r="CQ489" s="3" t="n">
        <v>0</v>
      </c>
      <c r="CR489" s="3" t="n">
        <v>0</v>
      </c>
      <c r="CS489" s="3" t="n">
        <v>0</v>
      </c>
      <c r="CU489" s="20" t="inlineStr">
        <is>
          <t>egy.mit.ener.srv.lpg.6</t>
        </is>
      </c>
      <c r="CV489" s="3" t="n">
        <v>0</v>
      </c>
      <c r="CW489" s="3" t="n">
        <v>0</v>
      </c>
      <c r="CX489" s="3" t="n">
        <v>0</v>
      </c>
      <c r="CY489" s="3" t="n">
        <v>0</v>
      </c>
      <c r="CZ489" s="3" t="n">
        <v>0</v>
      </c>
      <c r="DA489" s="3" t="n">
        <v>0</v>
      </c>
      <c r="DB489" s="3" t="n">
        <v>0</v>
      </c>
      <c r="DC489" s="3" t="n">
        <v>0</v>
      </c>
      <c r="DD489" s="3" t="n">
        <v>0</v>
      </c>
      <c r="DE489" s="3" t="n">
        <v>0</v>
      </c>
      <c r="DF489" s="3" t="n">
        <v>0</v>
      </c>
      <c r="DG489" s="3" t="n">
        <v>0</v>
      </c>
      <c r="DH489" s="3" t="n">
        <v>0</v>
      </c>
      <c r="DI489" s="3" t="n">
        <v>0</v>
      </c>
      <c r="DJ489" s="3" t="n">
        <v>0</v>
      </c>
      <c r="DK489" s="3" t="n">
        <v>0</v>
      </c>
      <c r="DL489" s="3" t="n">
        <v>0</v>
      </c>
      <c r="DM489" s="3" t="n">
        <v>0</v>
      </c>
      <c r="DN489" s="3" t="n">
        <v>0</v>
      </c>
      <c r="DO489" s="3" t="n">
        <v>0</v>
      </c>
    </row>
    <row r="490">
      <c r="A490" s="19" t="inlineStr">
        <is>
          <t>mit.ener.srv.ker</t>
        </is>
      </c>
      <c r="B490" s="3" t="inlineStr">
        <is>
          <t>mit</t>
        </is>
      </c>
      <c r="C490" s="19" t="n"/>
      <c r="H490" s="3" t="inlineStr">
        <is>
          <t>Fuel use | Services (public &amp; private) | Kerosene</t>
        </is>
      </c>
      <c r="I490" s="3" t="inlineStr">
        <is>
          <t>ktoe</t>
        </is>
      </c>
      <c r="K490" s="20" t="inlineStr">
        <is>
          <t>egy.mit.ener.srv.ker.1</t>
        </is>
      </c>
      <c r="L490" s="3" t="n">
        <v>0</v>
      </c>
      <c r="M490" s="3" t="n">
        <v>0</v>
      </c>
      <c r="N490" s="3" t="n">
        <v>0</v>
      </c>
      <c r="O490" s="3" t="n">
        <v>0</v>
      </c>
      <c r="P490" s="3" t="n">
        <v>0</v>
      </c>
      <c r="Q490" s="3" t="n">
        <v>0</v>
      </c>
      <c r="R490" s="3" t="n">
        <v>0</v>
      </c>
      <c r="S490" s="3" t="n">
        <v>0</v>
      </c>
      <c r="T490" s="3" t="n">
        <v>0</v>
      </c>
      <c r="U490" s="3" t="n">
        <v>0</v>
      </c>
      <c r="V490" s="3" t="n">
        <v>0</v>
      </c>
      <c r="W490" s="3" t="n">
        <v>0</v>
      </c>
      <c r="X490" s="3" t="n">
        <v>0</v>
      </c>
      <c r="Y490" s="3" t="n">
        <v>0</v>
      </c>
      <c r="Z490" s="3" t="n">
        <v>0</v>
      </c>
      <c r="AA490" s="3" t="n">
        <v>0</v>
      </c>
      <c r="AB490" s="3" t="n">
        <v>0</v>
      </c>
      <c r="AC490" s="3" t="n">
        <v>0</v>
      </c>
      <c r="AD490" s="3" t="n">
        <v>0</v>
      </c>
      <c r="AE490" s="3" t="n">
        <v>0</v>
      </c>
      <c r="AG490" s="20" t="inlineStr">
        <is>
          <t>egy.mit.ener.srv.ker.3</t>
        </is>
      </c>
      <c r="AH490" s="3" t="n">
        <v>0</v>
      </c>
      <c r="AI490" s="3" t="n">
        <v>0</v>
      </c>
      <c r="AJ490" s="3" t="n">
        <v>0</v>
      </c>
      <c r="AK490" s="3" t="n">
        <v>0</v>
      </c>
      <c r="AL490" s="3" t="n">
        <v>0</v>
      </c>
      <c r="AM490" s="3" t="n">
        <v>0</v>
      </c>
      <c r="AN490" s="3" t="n">
        <v>0</v>
      </c>
      <c r="AO490" s="3" t="n">
        <v>0</v>
      </c>
      <c r="AP490" s="3" t="n">
        <v>0</v>
      </c>
      <c r="AQ490" s="3" t="n">
        <v>0</v>
      </c>
      <c r="AR490" s="3" t="n">
        <v>0</v>
      </c>
      <c r="AS490" s="3" t="n">
        <v>0</v>
      </c>
      <c r="AT490" s="3" t="n">
        <v>0</v>
      </c>
      <c r="AU490" s="3" t="n">
        <v>0</v>
      </c>
      <c r="AV490" s="3" t="n">
        <v>0</v>
      </c>
      <c r="AW490" s="3" t="n">
        <v>0</v>
      </c>
      <c r="AX490" s="3" t="n">
        <v>0</v>
      </c>
      <c r="AY490" s="3" t="n">
        <v>0</v>
      </c>
      <c r="AZ490" s="3" t="n">
        <v>0</v>
      </c>
      <c r="BA490" s="3" t="n">
        <v>0</v>
      </c>
      <c r="BC490" s="20" t="inlineStr">
        <is>
          <t>egy.mit.ener.srv.ker.4</t>
        </is>
      </c>
      <c r="BD490" s="3" t="n">
        <v>0</v>
      </c>
      <c r="BE490" s="3" t="n">
        <v>0</v>
      </c>
      <c r="BF490" s="3" t="n">
        <v>0</v>
      </c>
      <c r="BG490" s="3" t="n">
        <v>0</v>
      </c>
      <c r="BH490" s="3" t="n">
        <v>0</v>
      </c>
      <c r="BI490" s="3" t="n">
        <v>0</v>
      </c>
      <c r="BJ490" s="3" t="n">
        <v>0</v>
      </c>
      <c r="BK490" s="3" t="n">
        <v>0</v>
      </c>
      <c r="BL490" s="3" t="n">
        <v>0</v>
      </c>
      <c r="BM490" s="3" t="n">
        <v>0</v>
      </c>
      <c r="BN490" s="3" t="n">
        <v>0</v>
      </c>
      <c r="BO490" s="3" t="n">
        <v>0</v>
      </c>
      <c r="BP490" s="3" t="n">
        <v>0</v>
      </c>
      <c r="BQ490" s="3" t="n">
        <v>0</v>
      </c>
      <c r="BR490" s="3" t="n">
        <v>0</v>
      </c>
      <c r="BS490" s="3" t="n">
        <v>0</v>
      </c>
      <c r="BT490" s="3" t="n">
        <v>0</v>
      </c>
      <c r="BU490" s="3" t="n">
        <v>0</v>
      </c>
      <c r="BV490" s="3" t="n">
        <v>0</v>
      </c>
      <c r="BW490" s="3" t="n">
        <v>0</v>
      </c>
      <c r="BY490" s="20" t="inlineStr">
        <is>
          <t>egy.mit.ener.srv.ker.5</t>
        </is>
      </c>
      <c r="BZ490" s="3" t="n">
        <v>0</v>
      </c>
      <c r="CA490" s="3" t="n">
        <v>0</v>
      </c>
      <c r="CB490" s="3" t="n">
        <v>0</v>
      </c>
      <c r="CC490" s="3" t="n">
        <v>0</v>
      </c>
      <c r="CD490" s="3" t="n">
        <v>0</v>
      </c>
      <c r="CE490" s="3" t="n">
        <v>0</v>
      </c>
      <c r="CF490" s="3" t="n">
        <v>0</v>
      </c>
      <c r="CG490" s="3" t="n">
        <v>0</v>
      </c>
      <c r="CH490" s="3" t="n">
        <v>0</v>
      </c>
      <c r="CI490" s="3" t="n">
        <v>0</v>
      </c>
      <c r="CJ490" s="3" t="n">
        <v>0</v>
      </c>
      <c r="CK490" s="3" t="n">
        <v>0</v>
      </c>
      <c r="CL490" s="3" t="n">
        <v>0</v>
      </c>
      <c r="CM490" s="3" t="n">
        <v>0</v>
      </c>
      <c r="CN490" s="3" t="n">
        <v>0</v>
      </c>
      <c r="CO490" s="3" t="n">
        <v>0</v>
      </c>
      <c r="CP490" s="3" t="n">
        <v>0</v>
      </c>
      <c r="CQ490" s="3" t="n">
        <v>0</v>
      </c>
      <c r="CR490" s="3" t="n">
        <v>0</v>
      </c>
      <c r="CS490" s="3" t="n">
        <v>0</v>
      </c>
      <c r="CU490" s="20" t="inlineStr">
        <is>
          <t>egy.mit.ener.srv.ker.6</t>
        </is>
      </c>
      <c r="CV490" s="3" t="n">
        <v>0</v>
      </c>
      <c r="CW490" s="3" t="n">
        <v>0</v>
      </c>
      <c r="CX490" s="3" t="n">
        <v>0</v>
      </c>
      <c r="CY490" s="3" t="n">
        <v>0</v>
      </c>
      <c r="CZ490" s="3" t="n">
        <v>0</v>
      </c>
      <c r="DA490" s="3" t="n">
        <v>0</v>
      </c>
      <c r="DB490" s="3" t="n">
        <v>0</v>
      </c>
      <c r="DC490" s="3" t="n">
        <v>0</v>
      </c>
      <c r="DD490" s="3" t="n">
        <v>0</v>
      </c>
      <c r="DE490" s="3" t="n">
        <v>0</v>
      </c>
      <c r="DF490" s="3" t="n">
        <v>0</v>
      </c>
      <c r="DG490" s="3" t="n">
        <v>0</v>
      </c>
      <c r="DH490" s="3" t="n">
        <v>0</v>
      </c>
      <c r="DI490" s="3" t="n">
        <v>0</v>
      </c>
      <c r="DJ490" s="3" t="n">
        <v>0</v>
      </c>
      <c r="DK490" s="3" t="n">
        <v>0</v>
      </c>
      <c r="DL490" s="3" t="n">
        <v>0</v>
      </c>
      <c r="DM490" s="3" t="n">
        <v>0</v>
      </c>
      <c r="DN490" s="3" t="n">
        <v>0</v>
      </c>
      <c r="DO490" s="3" t="n">
        <v>0</v>
      </c>
    </row>
    <row r="491">
      <c r="A491" s="19" t="inlineStr">
        <is>
          <t>mit.ener.srv.oop</t>
        </is>
      </c>
      <c r="B491" s="3" t="inlineStr">
        <is>
          <t>mit</t>
        </is>
      </c>
      <c r="C491" s="19" t="n"/>
      <c r="H491" s="3" t="inlineStr">
        <is>
          <t>Fuel use | Services (public &amp; private) | Other oil products</t>
        </is>
      </c>
      <c r="I491" s="3" t="inlineStr">
        <is>
          <t>ktoe</t>
        </is>
      </c>
      <c r="K491" s="20" t="inlineStr">
        <is>
          <t>egy.mit.ener.srv.oop.1</t>
        </is>
      </c>
      <c r="L491" s="3" t="n">
        <v>0</v>
      </c>
      <c r="M491" s="3" t="n">
        <v>0</v>
      </c>
      <c r="N491" s="3" t="n">
        <v>0</v>
      </c>
      <c r="O491" s="3" t="n">
        <v>0</v>
      </c>
      <c r="P491" s="3" t="n">
        <v>0</v>
      </c>
      <c r="Q491" s="3" t="n">
        <v>0</v>
      </c>
      <c r="R491" s="3" t="n">
        <v>0</v>
      </c>
      <c r="S491" s="3" t="n">
        <v>0</v>
      </c>
      <c r="T491" s="3" t="n">
        <v>0</v>
      </c>
      <c r="U491" s="3" t="n">
        <v>0</v>
      </c>
      <c r="V491" s="3" t="n">
        <v>0</v>
      </c>
      <c r="W491" s="3" t="n">
        <v>0</v>
      </c>
      <c r="X491" s="3" t="n">
        <v>0</v>
      </c>
      <c r="Y491" s="3" t="n">
        <v>0</v>
      </c>
      <c r="Z491" s="3" t="n">
        <v>0</v>
      </c>
      <c r="AA491" s="3" t="n">
        <v>0</v>
      </c>
      <c r="AB491" s="3" t="n">
        <v>0</v>
      </c>
      <c r="AC491" s="3" t="n">
        <v>0</v>
      </c>
      <c r="AD491" s="3" t="n">
        <v>0</v>
      </c>
      <c r="AE491" s="3" t="n">
        <v>0</v>
      </c>
      <c r="AG491" s="20" t="inlineStr">
        <is>
          <t>egy.mit.ener.srv.oop.3</t>
        </is>
      </c>
      <c r="AH491" s="3" t="n">
        <v>0</v>
      </c>
      <c r="AI491" s="3" t="n">
        <v>0</v>
      </c>
      <c r="AJ491" s="3" t="n">
        <v>0</v>
      </c>
      <c r="AK491" s="3" t="n">
        <v>0</v>
      </c>
      <c r="AL491" s="3" t="n">
        <v>0</v>
      </c>
      <c r="AM491" s="3" t="n">
        <v>0</v>
      </c>
      <c r="AN491" s="3" t="n">
        <v>0</v>
      </c>
      <c r="AO491" s="3" t="n">
        <v>0</v>
      </c>
      <c r="AP491" s="3" t="n">
        <v>0</v>
      </c>
      <c r="AQ491" s="3" t="n">
        <v>0</v>
      </c>
      <c r="AR491" s="3" t="n">
        <v>0</v>
      </c>
      <c r="AS491" s="3" t="n">
        <v>0</v>
      </c>
      <c r="AT491" s="3" t="n">
        <v>0</v>
      </c>
      <c r="AU491" s="3" t="n">
        <v>0</v>
      </c>
      <c r="AV491" s="3" t="n">
        <v>0</v>
      </c>
      <c r="AW491" s="3" t="n">
        <v>0</v>
      </c>
      <c r="AX491" s="3" t="n">
        <v>0</v>
      </c>
      <c r="AY491" s="3" t="n">
        <v>0</v>
      </c>
      <c r="AZ491" s="3" t="n">
        <v>0</v>
      </c>
      <c r="BA491" s="3" t="n">
        <v>0</v>
      </c>
      <c r="BC491" s="20" t="inlineStr">
        <is>
          <t>egy.mit.ener.srv.oop.4</t>
        </is>
      </c>
      <c r="BD491" s="3" t="n">
        <v>0</v>
      </c>
      <c r="BE491" s="3" t="n">
        <v>0</v>
      </c>
      <c r="BF491" s="3" t="n">
        <v>0</v>
      </c>
      <c r="BG491" s="3" t="n">
        <v>0</v>
      </c>
      <c r="BH491" s="3" t="n">
        <v>0</v>
      </c>
      <c r="BI491" s="3" t="n">
        <v>0</v>
      </c>
      <c r="BJ491" s="3" t="n">
        <v>0</v>
      </c>
      <c r="BK491" s="3" t="n">
        <v>0</v>
      </c>
      <c r="BL491" s="3" t="n">
        <v>0</v>
      </c>
      <c r="BM491" s="3" t="n">
        <v>0</v>
      </c>
      <c r="BN491" s="3" t="n">
        <v>0</v>
      </c>
      <c r="BO491" s="3" t="n">
        <v>0</v>
      </c>
      <c r="BP491" s="3" t="n">
        <v>0</v>
      </c>
      <c r="BQ491" s="3" t="n">
        <v>0</v>
      </c>
      <c r="BR491" s="3" t="n">
        <v>0</v>
      </c>
      <c r="BS491" s="3" t="n">
        <v>0</v>
      </c>
      <c r="BT491" s="3" t="n">
        <v>0</v>
      </c>
      <c r="BU491" s="3" t="n">
        <v>0</v>
      </c>
      <c r="BV491" s="3" t="n">
        <v>0</v>
      </c>
      <c r="BW491" s="3" t="n">
        <v>0</v>
      </c>
      <c r="BY491" s="20" t="inlineStr">
        <is>
          <t>egy.mit.ener.srv.oop.5</t>
        </is>
      </c>
      <c r="BZ491" s="3" t="n">
        <v>0</v>
      </c>
      <c r="CA491" s="3" t="n">
        <v>0</v>
      </c>
      <c r="CB491" s="3" t="n">
        <v>0</v>
      </c>
      <c r="CC491" s="3" t="n">
        <v>0</v>
      </c>
      <c r="CD491" s="3" t="n">
        <v>0</v>
      </c>
      <c r="CE491" s="3" t="n">
        <v>0</v>
      </c>
      <c r="CF491" s="3" t="n">
        <v>0</v>
      </c>
      <c r="CG491" s="3" t="n">
        <v>0</v>
      </c>
      <c r="CH491" s="3" t="n">
        <v>0</v>
      </c>
      <c r="CI491" s="3" t="n">
        <v>0</v>
      </c>
      <c r="CJ491" s="3" t="n">
        <v>0</v>
      </c>
      <c r="CK491" s="3" t="n">
        <v>0</v>
      </c>
      <c r="CL491" s="3" t="n">
        <v>0</v>
      </c>
      <c r="CM491" s="3" t="n">
        <v>0</v>
      </c>
      <c r="CN491" s="3" t="n">
        <v>0</v>
      </c>
      <c r="CO491" s="3" t="n">
        <v>0</v>
      </c>
      <c r="CP491" s="3" t="n">
        <v>0</v>
      </c>
      <c r="CQ491" s="3" t="n">
        <v>0</v>
      </c>
      <c r="CR491" s="3" t="n">
        <v>0</v>
      </c>
      <c r="CS491" s="3" t="n">
        <v>0</v>
      </c>
      <c r="CU491" s="20" t="inlineStr">
        <is>
          <t>egy.mit.ener.srv.oop.6</t>
        </is>
      </c>
      <c r="CV491" s="3" t="n">
        <v>0</v>
      </c>
      <c r="CW491" s="3" t="n">
        <v>0</v>
      </c>
      <c r="CX491" s="3" t="n">
        <v>0</v>
      </c>
      <c r="CY491" s="3" t="n">
        <v>0</v>
      </c>
      <c r="CZ491" s="3" t="n">
        <v>0</v>
      </c>
      <c r="DA491" s="3" t="n">
        <v>0</v>
      </c>
      <c r="DB491" s="3" t="n">
        <v>0</v>
      </c>
      <c r="DC491" s="3" t="n">
        <v>0</v>
      </c>
      <c r="DD491" s="3" t="n">
        <v>0</v>
      </c>
      <c r="DE491" s="3" t="n">
        <v>0</v>
      </c>
      <c r="DF491" s="3" t="n">
        <v>0</v>
      </c>
      <c r="DG491" s="3" t="n">
        <v>0</v>
      </c>
      <c r="DH491" s="3" t="n">
        <v>0</v>
      </c>
      <c r="DI491" s="3" t="n">
        <v>0</v>
      </c>
      <c r="DJ491" s="3" t="n">
        <v>0</v>
      </c>
      <c r="DK491" s="3" t="n">
        <v>0</v>
      </c>
      <c r="DL491" s="3" t="n">
        <v>0</v>
      </c>
      <c r="DM491" s="3" t="n">
        <v>0</v>
      </c>
      <c r="DN491" s="3" t="n">
        <v>0</v>
      </c>
      <c r="DO491" s="3" t="n">
        <v>0</v>
      </c>
    </row>
    <row r="492">
      <c r="A492" s="19" t="inlineStr">
        <is>
          <t>mit.ener.srv.bio</t>
        </is>
      </c>
      <c r="B492" s="3" t="inlineStr">
        <is>
          <t>mit</t>
        </is>
      </c>
      <c r="C492" s="19" t="n"/>
      <c r="H492" s="3" t="inlineStr">
        <is>
          <t>Fuel use | Services (public &amp; private) | Biomass</t>
        </is>
      </c>
      <c r="I492" s="3" t="inlineStr">
        <is>
          <t>ktoe</t>
        </is>
      </c>
      <c r="K492" s="20" t="inlineStr">
        <is>
          <t>egy.mit.ener.srv.bio.1</t>
        </is>
      </c>
      <c r="L492" s="3" t="n">
        <v>0</v>
      </c>
      <c r="M492" s="3" t="n">
        <v>0</v>
      </c>
      <c r="N492" s="3" t="n">
        <v>0</v>
      </c>
      <c r="O492" s="3" t="n">
        <v>0</v>
      </c>
      <c r="P492" s="3" t="n">
        <v>0</v>
      </c>
      <c r="Q492" s="3" t="n">
        <v>0</v>
      </c>
      <c r="R492" s="3" t="n">
        <v>0</v>
      </c>
      <c r="S492" s="3" t="n">
        <v>0</v>
      </c>
      <c r="T492" s="3" t="n">
        <v>0</v>
      </c>
      <c r="U492" s="3" t="n">
        <v>0</v>
      </c>
      <c r="V492" s="3" t="n">
        <v>0</v>
      </c>
      <c r="W492" s="3" t="n">
        <v>0</v>
      </c>
      <c r="X492" s="3" t="n">
        <v>0</v>
      </c>
      <c r="Y492" s="3" t="n">
        <v>0</v>
      </c>
      <c r="Z492" s="3" t="n">
        <v>0</v>
      </c>
      <c r="AA492" s="3" t="n">
        <v>0</v>
      </c>
      <c r="AB492" s="3" t="n">
        <v>0</v>
      </c>
      <c r="AC492" s="3" t="n">
        <v>0</v>
      </c>
      <c r="AD492" s="3" t="n">
        <v>0</v>
      </c>
      <c r="AE492" s="3" t="n">
        <v>0</v>
      </c>
      <c r="AG492" s="20" t="inlineStr">
        <is>
          <t>egy.mit.ener.srv.bio.3</t>
        </is>
      </c>
      <c r="AH492" s="3" t="n">
        <v>0</v>
      </c>
      <c r="AI492" s="3" t="n">
        <v>0</v>
      </c>
      <c r="AJ492" s="3" t="n">
        <v>0</v>
      </c>
      <c r="AK492" s="3" t="n">
        <v>0</v>
      </c>
      <c r="AL492" s="3" t="n">
        <v>0</v>
      </c>
      <c r="AM492" s="3" t="n">
        <v>0</v>
      </c>
      <c r="AN492" s="3" t="n">
        <v>0</v>
      </c>
      <c r="AO492" s="3" t="n">
        <v>0</v>
      </c>
      <c r="AP492" s="3" t="n">
        <v>0</v>
      </c>
      <c r="AQ492" s="3" t="n">
        <v>0</v>
      </c>
      <c r="AR492" s="3" t="n">
        <v>0</v>
      </c>
      <c r="AS492" s="3" t="n">
        <v>0</v>
      </c>
      <c r="AT492" s="3" t="n">
        <v>0</v>
      </c>
      <c r="AU492" s="3" t="n">
        <v>0</v>
      </c>
      <c r="AV492" s="3" t="n">
        <v>0</v>
      </c>
      <c r="AW492" s="3" t="n">
        <v>0</v>
      </c>
      <c r="AX492" s="3" t="n">
        <v>0</v>
      </c>
      <c r="AY492" s="3" t="n">
        <v>0</v>
      </c>
      <c r="AZ492" s="3" t="n">
        <v>0</v>
      </c>
      <c r="BA492" s="3" t="n">
        <v>0</v>
      </c>
      <c r="BC492" s="20" t="inlineStr">
        <is>
          <t>egy.mit.ener.srv.bio.4</t>
        </is>
      </c>
      <c r="BD492" s="3" t="n">
        <v>0</v>
      </c>
      <c r="BE492" s="3" t="n">
        <v>0</v>
      </c>
      <c r="BF492" s="3" t="n">
        <v>0</v>
      </c>
      <c r="BG492" s="3" t="n">
        <v>0</v>
      </c>
      <c r="BH492" s="3" t="n">
        <v>0</v>
      </c>
      <c r="BI492" s="3" t="n">
        <v>0</v>
      </c>
      <c r="BJ492" s="3" t="n">
        <v>0</v>
      </c>
      <c r="BK492" s="3" t="n">
        <v>0</v>
      </c>
      <c r="BL492" s="3" t="n">
        <v>0</v>
      </c>
      <c r="BM492" s="3" t="n">
        <v>0</v>
      </c>
      <c r="BN492" s="3" t="n">
        <v>0</v>
      </c>
      <c r="BO492" s="3" t="n">
        <v>0</v>
      </c>
      <c r="BP492" s="3" t="n">
        <v>0</v>
      </c>
      <c r="BQ492" s="3" t="n">
        <v>0</v>
      </c>
      <c r="BR492" s="3" t="n">
        <v>0</v>
      </c>
      <c r="BS492" s="3" t="n">
        <v>0</v>
      </c>
      <c r="BT492" s="3" t="n">
        <v>0</v>
      </c>
      <c r="BU492" s="3" t="n">
        <v>0</v>
      </c>
      <c r="BV492" s="3" t="n">
        <v>0</v>
      </c>
      <c r="BW492" s="3" t="n">
        <v>0</v>
      </c>
      <c r="BY492" s="20" t="inlineStr">
        <is>
          <t>egy.mit.ener.srv.bio.5</t>
        </is>
      </c>
      <c r="BZ492" s="3" t="n">
        <v>0</v>
      </c>
      <c r="CA492" s="3" t="n">
        <v>0</v>
      </c>
      <c r="CB492" s="3" t="n">
        <v>0</v>
      </c>
      <c r="CC492" s="3" t="n">
        <v>0</v>
      </c>
      <c r="CD492" s="3" t="n">
        <v>0</v>
      </c>
      <c r="CE492" s="3" t="n">
        <v>0</v>
      </c>
      <c r="CF492" s="3" t="n">
        <v>0</v>
      </c>
      <c r="CG492" s="3" t="n">
        <v>0</v>
      </c>
      <c r="CH492" s="3" t="n">
        <v>0</v>
      </c>
      <c r="CI492" s="3" t="n">
        <v>0</v>
      </c>
      <c r="CJ492" s="3" t="n">
        <v>0</v>
      </c>
      <c r="CK492" s="3" t="n">
        <v>0</v>
      </c>
      <c r="CL492" s="3" t="n">
        <v>0</v>
      </c>
      <c r="CM492" s="3" t="n">
        <v>0</v>
      </c>
      <c r="CN492" s="3" t="n">
        <v>0</v>
      </c>
      <c r="CO492" s="3" t="n">
        <v>0</v>
      </c>
      <c r="CP492" s="3" t="n">
        <v>0</v>
      </c>
      <c r="CQ492" s="3" t="n">
        <v>0</v>
      </c>
      <c r="CR492" s="3" t="n">
        <v>0</v>
      </c>
      <c r="CS492" s="3" t="n">
        <v>0</v>
      </c>
      <c r="CU492" s="20" t="inlineStr">
        <is>
          <t>egy.mit.ener.srv.bio.6</t>
        </is>
      </c>
      <c r="CV492" s="3" t="n">
        <v>0</v>
      </c>
      <c r="CW492" s="3" t="n">
        <v>0</v>
      </c>
      <c r="CX492" s="3" t="n">
        <v>0</v>
      </c>
      <c r="CY492" s="3" t="n">
        <v>0</v>
      </c>
      <c r="CZ492" s="3" t="n">
        <v>0</v>
      </c>
      <c r="DA492" s="3" t="n">
        <v>0</v>
      </c>
      <c r="DB492" s="3" t="n">
        <v>0</v>
      </c>
      <c r="DC492" s="3" t="n">
        <v>0</v>
      </c>
      <c r="DD492" s="3" t="n">
        <v>0</v>
      </c>
      <c r="DE492" s="3" t="n">
        <v>0</v>
      </c>
      <c r="DF492" s="3" t="n">
        <v>0</v>
      </c>
      <c r="DG492" s="3" t="n">
        <v>0</v>
      </c>
      <c r="DH492" s="3" t="n">
        <v>0</v>
      </c>
      <c r="DI492" s="3" t="n">
        <v>0</v>
      </c>
      <c r="DJ492" s="3" t="n">
        <v>0</v>
      </c>
      <c r="DK492" s="3" t="n">
        <v>0</v>
      </c>
      <c r="DL492" s="3" t="n">
        <v>0</v>
      </c>
      <c r="DM492" s="3" t="n">
        <v>0</v>
      </c>
      <c r="DN492" s="3" t="n">
        <v>0</v>
      </c>
      <c r="DO492" s="3" t="n">
        <v>0</v>
      </c>
    </row>
    <row r="493">
      <c r="A493" s="14" t="n"/>
      <c r="B493" s="3" t="inlineStr">
        <is>
          <t>mit</t>
        </is>
      </c>
      <c r="C493" s="19" t="inlineStr">
        <is>
          <t>mit.atp.res.coa.e</t>
        </is>
      </c>
      <c r="H493" s="14" t="inlineStr">
        <is>
          <t>Energy consumption, services (public &amp; private), sector-generated renewables, policy</t>
        </is>
      </c>
      <c r="I493" s="14" t="inlineStr">
        <is>
          <t>ktoe</t>
        </is>
      </c>
    </row>
    <row r="494">
      <c r="A494" s="19" t="inlineStr">
        <is>
          <t>mit.ener.ind.tot</t>
        </is>
      </c>
      <c r="B494" s="3" t="inlineStr">
        <is>
          <t>mit</t>
        </is>
      </c>
      <c r="C494" s="19" t="n"/>
      <c r="H494" s="3" t="inlineStr">
        <is>
          <t>Fuel use | Industry | All fuels</t>
        </is>
      </c>
      <c r="I494" s="3" t="inlineStr">
        <is>
          <t>ktoe</t>
        </is>
      </c>
      <c r="K494" s="20" t="inlineStr">
        <is>
          <t>egy.mit.ener.ind.tot.1</t>
        </is>
      </c>
      <c r="L494" s="23" t="n">
        <v>21714.68139711716</v>
      </c>
      <c r="M494" s="23" t="n">
        <v>20178.15788777631</v>
      </c>
      <c r="N494" s="23" t="n">
        <v>23519.8837522588</v>
      </c>
      <c r="O494" s="23" t="n">
        <v>24366.81911355995</v>
      </c>
      <c r="P494" s="23" t="n">
        <v>25017.26747262412</v>
      </c>
      <c r="Q494" s="23" t="n">
        <v>25850.8755869373</v>
      </c>
      <c r="R494" s="23" t="n">
        <v>26868.25140172839</v>
      </c>
      <c r="S494" s="23" t="n">
        <v>27852.87031444353</v>
      </c>
      <c r="T494" s="23" t="n">
        <v>28783.91248055153</v>
      </c>
      <c r="U494" s="23" t="n">
        <v>29729.74076935001</v>
      </c>
      <c r="V494" s="23" t="n">
        <v>30685.00212660988</v>
      </c>
      <c r="W494" s="23" t="n">
        <v>31658.17061773764</v>
      </c>
      <c r="X494" s="23" t="n">
        <v>32649.15527915535</v>
      </c>
      <c r="Y494" s="23" t="n">
        <v>33657.85315755713</v>
      </c>
      <c r="Z494" s="23" t="n">
        <v>34684.14907299326</v>
      </c>
      <c r="AA494" s="23" t="n">
        <v>35727.91534630665</v>
      </c>
      <c r="AB494" s="23" t="n">
        <v>36789.01148929436</v>
      </c>
      <c r="AC494" s="23" t="n">
        <v>37867.28385603446</v>
      </c>
      <c r="AD494" s="23" t="n">
        <v>38962.56525388038</v>
      </c>
      <c r="AE494" s="23" t="n">
        <v>40074.67451268583</v>
      </c>
      <c r="AG494" s="20" t="inlineStr">
        <is>
          <t>egy.mit.ener.ind.tot.3</t>
        </is>
      </c>
      <c r="AH494" s="23" t="n">
        <v>21714.68139711716</v>
      </c>
      <c r="AI494" s="23" t="n">
        <v>20178.15788777631</v>
      </c>
      <c r="AJ494" s="23" t="n">
        <v>23519.8837522588</v>
      </c>
      <c r="AK494" s="23" t="n">
        <v>24366.81911355995</v>
      </c>
      <c r="AL494" s="23" t="n">
        <v>25017.26747262412</v>
      </c>
      <c r="AM494" s="23" t="n">
        <v>21726.64453938477</v>
      </c>
      <c r="AN494" s="23" t="n">
        <v>22583.76626775424</v>
      </c>
      <c r="AO494" s="23" t="n">
        <v>23423.90740096335</v>
      </c>
      <c r="AP494" s="23" t="n">
        <v>24183.43481637916</v>
      </c>
      <c r="AQ494" s="23" t="n">
        <v>24984.0072596371</v>
      </c>
      <c r="AR494" s="23" t="n">
        <v>25779.14286831305</v>
      </c>
      <c r="AS494" s="23" t="n">
        <v>26614.05989707163</v>
      </c>
      <c r="AT494" s="23" t="n">
        <v>27476.86791342598</v>
      </c>
      <c r="AU494" s="23" t="n">
        <v>28349.89363670276</v>
      </c>
      <c r="AV494" s="23" t="n">
        <v>29244.15346062882</v>
      </c>
      <c r="AW494" s="23" t="n">
        <v>30167.25492037769</v>
      </c>
      <c r="AX494" s="23" t="n">
        <v>31094.40737076417</v>
      </c>
      <c r="AY494" s="23" t="n">
        <v>32030.55914297062</v>
      </c>
      <c r="AZ494" s="23" t="n">
        <v>32966.09013599149</v>
      </c>
      <c r="BA494" s="23" t="n">
        <v>33911.58822725341</v>
      </c>
      <c r="BC494" s="20" t="inlineStr">
        <is>
          <t>egy.mit.ener.ind.tot.4</t>
        </is>
      </c>
      <c r="BD494" s="23" t="n">
        <v>21714.68139711716</v>
      </c>
      <c r="BE494" s="23" t="n">
        <v>20178.15788777631</v>
      </c>
      <c r="BF494" s="23" t="n">
        <v>23519.8837522588</v>
      </c>
      <c r="BG494" s="23" t="n">
        <v>24366.81911355995</v>
      </c>
      <c r="BH494" s="23" t="n">
        <v>25017.26747262412</v>
      </c>
      <c r="BI494" s="23" t="n">
        <v>23232.92927026336</v>
      </c>
      <c r="BJ494" s="23" t="n">
        <v>21378.51027182267</v>
      </c>
      <c r="BK494" s="23" t="n">
        <v>19966.26617410683</v>
      </c>
      <c r="BL494" s="23" t="n">
        <v>18818.90538719089</v>
      </c>
      <c r="BM494" s="23" t="n">
        <v>18098.22427560599</v>
      </c>
      <c r="BN494" s="23" t="n">
        <v>17499.38057783961</v>
      </c>
      <c r="BO494" s="23" t="n">
        <v>17008.55623545374</v>
      </c>
      <c r="BP494" s="23" t="n">
        <v>16609.76712303876</v>
      </c>
      <c r="BQ494" s="23" t="n">
        <v>16283.59482399999</v>
      </c>
      <c r="BR494" s="23" t="n">
        <v>16017.80146926954</v>
      </c>
      <c r="BS494" s="23" t="n">
        <v>15805.85289601185</v>
      </c>
      <c r="BT494" s="23" t="n">
        <v>15636.39209156465</v>
      </c>
      <c r="BU494" s="23" t="n">
        <v>15501.20659195727</v>
      </c>
      <c r="BV494" s="23" t="n">
        <v>15390.23127324276</v>
      </c>
      <c r="BW494" s="23" t="n">
        <v>15298.73462818162</v>
      </c>
      <c r="BY494" s="20" t="inlineStr">
        <is>
          <t>egy.mit.ener.ind.tot.5</t>
        </is>
      </c>
      <c r="BZ494" s="23" t="n">
        <v>21714.68139711716</v>
      </c>
      <c r="CA494" s="23" t="n">
        <v>20178.15788777631</v>
      </c>
      <c r="CB494" s="23" t="n">
        <v>23519.8837522588</v>
      </c>
      <c r="CC494" s="23" t="n">
        <v>24366.81911355995</v>
      </c>
      <c r="CD494" s="23" t="n">
        <v>25017.26747262412</v>
      </c>
      <c r="CE494" s="23" t="n">
        <v>21345.04727534363</v>
      </c>
      <c r="CF494" s="23" t="n">
        <v>22055.12750011611</v>
      </c>
      <c r="CG494" s="23" t="n">
        <v>22750.82691750016</v>
      </c>
      <c r="CH494" s="23" t="n">
        <v>23374.6858551158</v>
      </c>
      <c r="CI494" s="23" t="n">
        <v>24046.34887407746</v>
      </c>
      <c r="CJ494" s="23" t="n">
        <v>24709.82592963458</v>
      </c>
      <c r="CK494" s="23" t="n">
        <v>25414.23791549655</v>
      </c>
      <c r="CL494" s="23" t="n">
        <v>26136.49162643507</v>
      </c>
      <c r="CM494" s="23" t="n">
        <v>26870.18460614697</v>
      </c>
      <c r="CN494" s="23" t="n">
        <v>27669.90567511185</v>
      </c>
      <c r="CO494" s="23" t="n">
        <v>28491.47140022188</v>
      </c>
      <c r="CP494" s="23" t="n">
        <v>29315.71023176025</v>
      </c>
      <c r="CQ494" s="23" t="n">
        <v>30150.42466984388</v>
      </c>
      <c r="CR494" s="23" t="n">
        <v>30985.58745027731</v>
      </c>
      <c r="CS494" s="23" t="n">
        <v>31833.89364208035</v>
      </c>
      <c r="CU494" s="20" t="inlineStr">
        <is>
          <t>egy.mit.ener.ind.tot.6</t>
        </is>
      </c>
      <c r="CV494" s="23" t="n">
        <v>21714.68139711716</v>
      </c>
      <c r="CW494" s="23" t="n">
        <v>20178.15788777631</v>
      </c>
      <c r="CX494" s="23" t="n">
        <v>23519.8837522588</v>
      </c>
      <c r="CY494" s="23" t="n">
        <v>24366.81911355995</v>
      </c>
      <c r="CZ494" s="23" t="n">
        <v>25017.26747262412</v>
      </c>
      <c r="DA494" s="23" t="n">
        <v>17725.10974922248</v>
      </c>
      <c r="DB494" s="23" t="n">
        <v>18426.75659543938</v>
      </c>
      <c r="DC494" s="23" t="n">
        <v>19124.49592210666</v>
      </c>
      <c r="DD494" s="23" t="n">
        <v>19722.34489792662</v>
      </c>
      <c r="DE494" s="23" t="n">
        <v>20383.35118373989</v>
      </c>
      <c r="DF494" s="23" t="n">
        <v>21023.51182273046</v>
      </c>
      <c r="DG494" s="23" t="n">
        <v>21722.40047093402</v>
      </c>
      <c r="DH494" s="23" t="n">
        <v>22452.83771252864</v>
      </c>
      <c r="DI494" s="23" t="n">
        <v>23188.43838262763</v>
      </c>
      <c r="DJ494" s="23" t="n">
        <v>23946.99473649478</v>
      </c>
      <c r="DK494" s="23" t="n">
        <v>24742.41865344182</v>
      </c>
      <c r="DL494" s="23" t="n">
        <v>25530.65813838484</v>
      </c>
      <c r="DM494" s="23" t="n">
        <v>26322.5208506487</v>
      </c>
      <c r="DN494" s="23" t="n">
        <v>27100.07147053098</v>
      </c>
      <c r="DO494" s="23" t="n">
        <v>27882.86643363876</v>
      </c>
    </row>
    <row r="495">
      <c r="A495" s="19" t="inlineStr">
        <is>
          <t>mit.ener.mch.coa</t>
        </is>
      </c>
      <c r="B495" s="3" t="inlineStr">
        <is>
          <t>mit</t>
        </is>
      </c>
      <c r="C495" s="19" t="n"/>
      <c r="H495" s="3" t="inlineStr">
        <is>
          <t>Fuel use | Mining &amp; chemicals | Coal</t>
        </is>
      </c>
      <c r="I495" s="3" t="inlineStr">
        <is>
          <t>ktoe</t>
        </is>
      </c>
      <c r="K495" s="20" t="inlineStr">
        <is>
          <t>egy.mit.ener.mch.coa.1</t>
        </is>
      </c>
      <c r="L495" s="3" t="n">
        <v>0</v>
      </c>
      <c r="M495" s="3" t="n">
        <v>0</v>
      </c>
      <c r="N495" s="3" t="n">
        <v>0</v>
      </c>
      <c r="O495" s="3" t="n">
        <v>0</v>
      </c>
      <c r="P495" s="3" t="n">
        <v>0</v>
      </c>
      <c r="Q495" s="3" t="n">
        <v>0</v>
      </c>
      <c r="R495" s="3" t="n">
        <v>0</v>
      </c>
      <c r="S495" s="3" t="n">
        <v>0</v>
      </c>
      <c r="T495" s="3" t="n">
        <v>0</v>
      </c>
      <c r="U495" s="3" t="n">
        <v>0</v>
      </c>
      <c r="V495" s="3" t="n">
        <v>0</v>
      </c>
      <c r="W495" s="3" t="n">
        <v>0</v>
      </c>
      <c r="X495" s="3" t="n">
        <v>0</v>
      </c>
      <c r="Y495" s="3" t="n">
        <v>0</v>
      </c>
      <c r="Z495" s="3" t="n">
        <v>0</v>
      </c>
      <c r="AA495" s="3" t="n">
        <v>0</v>
      </c>
      <c r="AB495" s="3" t="n">
        <v>0</v>
      </c>
      <c r="AC495" s="3" t="n">
        <v>0</v>
      </c>
      <c r="AD495" s="3" t="n">
        <v>0</v>
      </c>
      <c r="AE495" s="3" t="n">
        <v>0</v>
      </c>
      <c r="AG495" s="20" t="inlineStr">
        <is>
          <t>egy.mit.ener.mch.coa.3</t>
        </is>
      </c>
      <c r="AH495" s="3" t="n">
        <v>0</v>
      </c>
      <c r="AI495" s="3" t="n">
        <v>0</v>
      </c>
      <c r="AJ495" s="3" t="n">
        <v>0</v>
      </c>
      <c r="AK495" s="3" t="n">
        <v>0</v>
      </c>
      <c r="AL495" s="3" t="n">
        <v>0</v>
      </c>
      <c r="AM495" s="3" t="n">
        <v>0</v>
      </c>
      <c r="AN495" s="3" t="n">
        <v>0</v>
      </c>
      <c r="AO495" s="3" t="n">
        <v>0</v>
      </c>
      <c r="AP495" s="3" t="n">
        <v>0</v>
      </c>
      <c r="AQ495" s="3" t="n">
        <v>0</v>
      </c>
      <c r="AR495" s="3" t="n">
        <v>0</v>
      </c>
      <c r="AS495" s="3" t="n">
        <v>0</v>
      </c>
      <c r="AT495" s="3" t="n">
        <v>0</v>
      </c>
      <c r="AU495" s="3" t="n">
        <v>0</v>
      </c>
      <c r="AV495" s="3" t="n">
        <v>0</v>
      </c>
      <c r="AW495" s="3" t="n">
        <v>0</v>
      </c>
      <c r="AX495" s="3" t="n">
        <v>0</v>
      </c>
      <c r="AY495" s="3" t="n">
        <v>0</v>
      </c>
      <c r="AZ495" s="3" t="n">
        <v>0</v>
      </c>
      <c r="BA495" s="3" t="n">
        <v>0</v>
      </c>
      <c r="BC495" s="20" t="inlineStr">
        <is>
          <t>egy.mit.ener.mch.coa.4</t>
        </is>
      </c>
      <c r="BD495" s="3" t="n">
        <v>0</v>
      </c>
      <c r="BE495" s="3" t="n">
        <v>0</v>
      </c>
      <c r="BF495" s="3" t="n">
        <v>0</v>
      </c>
      <c r="BG495" s="3" t="n">
        <v>0</v>
      </c>
      <c r="BH495" s="3" t="n">
        <v>0</v>
      </c>
      <c r="BI495" s="3" t="n">
        <v>0</v>
      </c>
      <c r="BJ495" s="3" t="n">
        <v>0</v>
      </c>
      <c r="BK495" s="3" t="n">
        <v>0</v>
      </c>
      <c r="BL495" s="3" t="n">
        <v>0</v>
      </c>
      <c r="BM495" s="3" t="n">
        <v>0</v>
      </c>
      <c r="BN495" s="3" t="n">
        <v>0</v>
      </c>
      <c r="BO495" s="3" t="n">
        <v>0</v>
      </c>
      <c r="BP495" s="3" t="n">
        <v>0</v>
      </c>
      <c r="BQ495" s="3" t="n">
        <v>0</v>
      </c>
      <c r="BR495" s="3" t="n">
        <v>0</v>
      </c>
      <c r="BS495" s="3" t="n">
        <v>0</v>
      </c>
      <c r="BT495" s="3" t="n">
        <v>0</v>
      </c>
      <c r="BU495" s="3" t="n">
        <v>0</v>
      </c>
      <c r="BV495" s="3" t="n">
        <v>0</v>
      </c>
      <c r="BW495" s="3" t="n">
        <v>0</v>
      </c>
      <c r="BY495" s="20" t="inlineStr">
        <is>
          <t>egy.mit.ener.mch.coa.5</t>
        </is>
      </c>
      <c r="BZ495" s="3" t="n">
        <v>0</v>
      </c>
      <c r="CA495" s="3" t="n">
        <v>0</v>
      </c>
      <c r="CB495" s="3" t="n">
        <v>0</v>
      </c>
      <c r="CC495" s="3" t="n">
        <v>0</v>
      </c>
      <c r="CD495" s="3" t="n">
        <v>0</v>
      </c>
      <c r="CE495" s="3" t="n">
        <v>0</v>
      </c>
      <c r="CF495" s="3" t="n">
        <v>0</v>
      </c>
      <c r="CG495" s="3" t="n">
        <v>0</v>
      </c>
      <c r="CH495" s="3" t="n">
        <v>0</v>
      </c>
      <c r="CI495" s="3" t="n">
        <v>0</v>
      </c>
      <c r="CJ495" s="3" t="n">
        <v>0</v>
      </c>
      <c r="CK495" s="3" t="n">
        <v>0</v>
      </c>
      <c r="CL495" s="3" t="n">
        <v>0</v>
      </c>
      <c r="CM495" s="3" t="n">
        <v>0</v>
      </c>
      <c r="CN495" s="3" t="n">
        <v>0</v>
      </c>
      <c r="CO495" s="3" t="n">
        <v>0</v>
      </c>
      <c r="CP495" s="3" t="n">
        <v>0</v>
      </c>
      <c r="CQ495" s="3" t="n">
        <v>0</v>
      </c>
      <c r="CR495" s="3" t="n">
        <v>0</v>
      </c>
      <c r="CS495" s="3" t="n">
        <v>0</v>
      </c>
      <c r="CU495" s="20" t="inlineStr">
        <is>
          <t>egy.mit.ener.mch.coa.6</t>
        </is>
      </c>
      <c r="CV495" s="3" t="n">
        <v>0</v>
      </c>
      <c r="CW495" s="3" t="n">
        <v>0</v>
      </c>
      <c r="CX495" s="3" t="n">
        <v>0</v>
      </c>
      <c r="CY495" s="3" t="n">
        <v>0</v>
      </c>
      <c r="CZ495" s="3" t="n">
        <v>0</v>
      </c>
      <c r="DA495" s="3" t="n">
        <v>0</v>
      </c>
      <c r="DB495" s="3" t="n">
        <v>0</v>
      </c>
      <c r="DC495" s="3" t="n">
        <v>0</v>
      </c>
      <c r="DD495" s="3" t="n">
        <v>0</v>
      </c>
      <c r="DE495" s="3" t="n">
        <v>0</v>
      </c>
      <c r="DF495" s="3" t="n">
        <v>0</v>
      </c>
      <c r="DG495" s="3" t="n">
        <v>0</v>
      </c>
      <c r="DH495" s="3" t="n">
        <v>0</v>
      </c>
      <c r="DI495" s="3" t="n">
        <v>0</v>
      </c>
      <c r="DJ495" s="3" t="n">
        <v>0</v>
      </c>
      <c r="DK495" s="3" t="n">
        <v>0</v>
      </c>
      <c r="DL495" s="3" t="n">
        <v>0</v>
      </c>
      <c r="DM495" s="3" t="n">
        <v>0</v>
      </c>
      <c r="DN495" s="3" t="n">
        <v>0</v>
      </c>
      <c r="DO495" s="3" t="n">
        <v>0</v>
      </c>
    </row>
    <row r="496">
      <c r="A496" s="19" t="inlineStr">
        <is>
          <t>mit.ener.mch.nga</t>
        </is>
      </c>
      <c r="B496" s="3" t="inlineStr">
        <is>
          <t>mit</t>
        </is>
      </c>
      <c r="C496" s="19" t="n"/>
      <c r="H496" s="3" t="inlineStr">
        <is>
          <t>Fuel use | Mining &amp; chemicals | Natural gas</t>
        </is>
      </c>
      <c r="I496" s="3" t="inlineStr">
        <is>
          <t>ktoe</t>
        </is>
      </c>
      <c r="K496" s="20" t="inlineStr">
        <is>
          <t>egy.mit.ener.mch.nga.1</t>
        </is>
      </c>
      <c r="L496" s="3" t="n">
        <v>0</v>
      </c>
      <c r="M496" s="3" t="n">
        <v>0</v>
      </c>
      <c r="N496" s="3" t="n">
        <v>0</v>
      </c>
      <c r="O496" s="3" t="n">
        <v>0</v>
      </c>
      <c r="P496" s="3" t="n">
        <v>0</v>
      </c>
      <c r="Q496" s="3" t="n">
        <v>0</v>
      </c>
      <c r="R496" s="3" t="n">
        <v>0</v>
      </c>
      <c r="S496" s="3" t="n">
        <v>0</v>
      </c>
      <c r="T496" s="3" t="n">
        <v>0</v>
      </c>
      <c r="U496" s="3" t="n">
        <v>0</v>
      </c>
      <c r="V496" s="3" t="n">
        <v>0</v>
      </c>
      <c r="W496" s="3" t="n">
        <v>0</v>
      </c>
      <c r="X496" s="3" t="n">
        <v>0</v>
      </c>
      <c r="Y496" s="3" t="n">
        <v>0</v>
      </c>
      <c r="Z496" s="3" t="n">
        <v>0</v>
      </c>
      <c r="AA496" s="3" t="n">
        <v>0</v>
      </c>
      <c r="AB496" s="3" t="n">
        <v>0</v>
      </c>
      <c r="AC496" s="3" t="n">
        <v>0</v>
      </c>
      <c r="AD496" s="3" t="n">
        <v>0</v>
      </c>
      <c r="AE496" s="3" t="n">
        <v>0</v>
      </c>
      <c r="AG496" s="20" t="inlineStr">
        <is>
          <t>egy.mit.ener.mch.nga.3</t>
        </is>
      </c>
      <c r="AH496" s="3" t="n">
        <v>0</v>
      </c>
      <c r="AI496" s="3" t="n">
        <v>0</v>
      </c>
      <c r="AJ496" s="3" t="n">
        <v>0</v>
      </c>
      <c r="AK496" s="3" t="n">
        <v>0</v>
      </c>
      <c r="AL496" s="3" t="n">
        <v>0</v>
      </c>
      <c r="AM496" s="3" t="n">
        <v>0</v>
      </c>
      <c r="AN496" s="3" t="n">
        <v>0</v>
      </c>
      <c r="AO496" s="3" t="n">
        <v>0</v>
      </c>
      <c r="AP496" s="3" t="n">
        <v>0</v>
      </c>
      <c r="AQ496" s="3" t="n">
        <v>0</v>
      </c>
      <c r="AR496" s="3" t="n">
        <v>0</v>
      </c>
      <c r="AS496" s="3" t="n">
        <v>0</v>
      </c>
      <c r="AT496" s="3" t="n">
        <v>0</v>
      </c>
      <c r="AU496" s="3" t="n">
        <v>0</v>
      </c>
      <c r="AV496" s="3" t="n">
        <v>0</v>
      </c>
      <c r="AW496" s="3" t="n">
        <v>0</v>
      </c>
      <c r="AX496" s="3" t="n">
        <v>0</v>
      </c>
      <c r="AY496" s="3" t="n">
        <v>0</v>
      </c>
      <c r="AZ496" s="3" t="n">
        <v>0</v>
      </c>
      <c r="BA496" s="3" t="n">
        <v>0</v>
      </c>
      <c r="BC496" s="20" t="inlineStr">
        <is>
          <t>egy.mit.ener.mch.nga.4</t>
        </is>
      </c>
      <c r="BD496" s="3" t="n">
        <v>0</v>
      </c>
      <c r="BE496" s="3" t="n">
        <v>0</v>
      </c>
      <c r="BF496" s="3" t="n">
        <v>0</v>
      </c>
      <c r="BG496" s="3" t="n">
        <v>0</v>
      </c>
      <c r="BH496" s="3" t="n">
        <v>0</v>
      </c>
      <c r="BI496" s="3" t="n">
        <v>0</v>
      </c>
      <c r="BJ496" s="3" t="n">
        <v>0</v>
      </c>
      <c r="BK496" s="3" t="n">
        <v>0</v>
      </c>
      <c r="BL496" s="3" t="n">
        <v>0</v>
      </c>
      <c r="BM496" s="3" t="n">
        <v>0</v>
      </c>
      <c r="BN496" s="3" t="n">
        <v>0</v>
      </c>
      <c r="BO496" s="3" t="n">
        <v>0</v>
      </c>
      <c r="BP496" s="3" t="n">
        <v>0</v>
      </c>
      <c r="BQ496" s="3" t="n">
        <v>0</v>
      </c>
      <c r="BR496" s="3" t="n">
        <v>0</v>
      </c>
      <c r="BS496" s="3" t="n">
        <v>0</v>
      </c>
      <c r="BT496" s="3" t="n">
        <v>0</v>
      </c>
      <c r="BU496" s="3" t="n">
        <v>0</v>
      </c>
      <c r="BV496" s="3" t="n">
        <v>0</v>
      </c>
      <c r="BW496" s="3" t="n">
        <v>0</v>
      </c>
      <c r="BY496" s="20" t="inlineStr">
        <is>
          <t>egy.mit.ener.mch.nga.5</t>
        </is>
      </c>
      <c r="BZ496" s="3" t="n">
        <v>0</v>
      </c>
      <c r="CA496" s="3" t="n">
        <v>0</v>
      </c>
      <c r="CB496" s="3" t="n">
        <v>0</v>
      </c>
      <c r="CC496" s="3" t="n">
        <v>0</v>
      </c>
      <c r="CD496" s="3" t="n">
        <v>0</v>
      </c>
      <c r="CE496" s="3" t="n">
        <v>0</v>
      </c>
      <c r="CF496" s="3" t="n">
        <v>0</v>
      </c>
      <c r="CG496" s="3" t="n">
        <v>0</v>
      </c>
      <c r="CH496" s="3" t="n">
        <v>0</v>
      </c>
      <c r="CI496" s="3" t="n">
        <v>0</v>
      </c>
      <c r="CJ496" s="3" t="n">
        <v>0</v>
      </c>
      <c r="CK496" s="3" t="n">
        <v>0</v>
      </c>
      <c r="CL496" s="3" t="n">
        <v>0</v>
      </c>
      <c r="CM496" s="3" t="n">
        <v>0</v>
      </c>
      <c r="CN496" s="3" t="n">
        <v>0</v>
      </c>
      <c r="CO496" s="3" t="n">
        <v>0</v>
      </c>
      <c r="CP496" s="3" t="n">
        <v>0</v>
      </c>
      <c r="CQ496" s="3" t="n">
        <v>0</v>
      </c>
      <c r="CR496" s="3" t="n">
        <v>0</v>
      </c>
      <c r="CS496" s="3" t="n">
        <v>0</v>
      </c>
      <c r="CU496" s="20" t="inlineStr">
        <is>
          <t>egy.mit.ener.mch.nga.6</t>
        </is>
      </c>
      <c r="CV496" s="3" t="n">
        <v>0</v>
      </c>
      <c r="CW496" s="3" t="n">
        <v>0</v>
      </c>
      <c r="CX496" s="3" t="n">
        <v>0</v>
      </c>
      <c r="CY496" s="3" t="n">
        <v>0</v>
      </c>
      <c r="CZ496" s="3" t="n">
        <v>0</v>
      </c>
      <c r="DA496" s="3" t="n">
        <v>0</v>
      </c>
      <c r="DB496" s="3" t="n">
        <v>0</v>
      </c>
      <c r="DC496" s="3" t="n">
        <v>0</v>
      </c>
      <c r="DD496" s="3" t="n">
        <v>0</v>
      </c>
      <c r="DE496" s="3" t="n">
        <v>0</v>
      </c>
      <c r="DF496" s="3" t="n">
        <v>0</v>
      </c>
      <c r="DG496" s="3" t="n">
        <v>0</v>
      </c>
      <c r="DH496" s="3" t="n">
        <v>0</v>
      </c>
      <c r="DI496" s="3" t="n">
        <v>0</v>
      </c>
      <c r="DJ496" s="3" t="n">
        <v>0</v>
      </c>
      <c r="DK496" s="3" t="n">
        <v>0</v>
      </c>
      <c r="DL496" s="3" t="n">
        <v>0</v>
      </c>
      <c r="DM496" s="3" t="n">
        <v>0</v>
      </c>
      <c r="DN496" s="3" t="n">
        <v>0</v>
      </c>
      <c r="DO496" s="3" t="n">
        <v>0</v>
      </c>
    </row>
    <row r="497">
      <c r="A497" s="19" t="inlineStr">
        <is>
          <t>mit.ener.mch.gso</t>
        </is>
      </c>
      <c r="B497" s="3" t="inlineStr">
        <is>
          <t>mit</t>
        </is>
      </c>
      <c r="C497" s="19" t="n"/>
      <c r="H497" s="3" t="inlineStr">
        <is>
          <t>Fuel use | Mining &amp; chemicals | Gasoline</t>
        </is>
      </c>
      <c r="I497" s="3" t="inlineStr">
        <is>
          <t>ktoe</t>
        </is>
      </c>
      <c r="K497" s="20" t="inlineStr">
        <is>
          <t>egy.mit.ener.mch.gso.1</t>
        </is>
      </c>
      <c r="L497" s="3" t="n">
        <v>0</v>
      </c>
      <c r="M497" s="3" t="n">
        <v>0</v>
      </c>
      <c r="N497" s="3" t="n">
        <v>0</v>
      </c>
      <c r="O497" s="3" t="n">
        <v>0</v>
      </c>
      <c r="P497" s="3" t="n">
        <v>0</v>
      </c>
      <c r="Q497" s="3" t="n">
        <v>0</v>
      </c>
      <c r="R497" s="3" t="n">
        <v>0</v>
      </c>
      <c r="S497" s="3" t="n">
        <v>0</v>
      </c>
      <c r="T497" s="3" t="n">
        <v>0</v>
      </c>
      <c r="U497" s="3" t="n">
        <v>0</v>
      </c>
      <c r="V497" s="3" t="n">
        <v>0</v>
      </c>
      <c r="W497" s="3" t="n">
        <v>0</v>
      </c>
      <c r="X497" s="3" t="n">
        <v>0</v>
      </c>
      <c r="Y497" s="3" t="n">
        <v>0</v>
      </c>
      <c r="Z497" s="3" t="n">
        <v>0</v>
      </c>
      <c r="AA497" s="3" t="n">
        <v>0</v>
      </c>
      <c r="AB497" s="3" t="n">
        <v>0</v>
      </c>
      <c r="AC497" s="3" t="n">
        <v>0</v>
      </c>
      <c r="AD497" s="3" t="n">
        <v>0</v>
      </c>
      <c r="AE497" s="3" t="n">
        <v>0</v>
      </c>
      <c r="AG497" s="20" t="inlineStr">
        <is>
          <t>egy.mit.ener.mch.gso.3</t>
        </is>
      </c>
      <c r="AH497" s="3" t="n">
        <v>0</v>
      </c>
      <c r="AI497" s="3" t="n">
        <v>0</v>
      </c>
      <c r="AJ497" s="3" t="n">
        <v>0</v>
      </c>
      <c r="AK497" s="3" t="n">
        <v>0</v>
      </c>
      <c r="AL497" s="3" t="n">
        <v>0</v>
      </c>
      <c r="AM497" s="3" t="n">
        <v>0</v>
      </c>
      <c r="AN497" s="3" t="n">
        <v>0</v>
      </c>
      <c r="AO497" s="3" t="n">
        <v>0</v>
      </c>
      <c r="AP497" s="3" t="n">
        <v>0</v>
      </c>
      <c r="AQ497" s="3" t="n">
        <v>0</v>
      </c>
      <c r="AR497" s="3" t="n">
        <v>0</v>
      </c>
      <c r="AS497" s="3" t="n">
        <v>0</v>
      </c>
      <c r="AT497" s="3" t="n">
        <v>0</v>
      </c>
      <c r="AU497" s="3" t="n">
        <v>0</v>
      </c>
      <c r="AV497" s="3" t="n">
        <v>0</v>
      </c>
      <c r="AW497" s="3" t="n">
        <v>0</v>
      </c>
      <c r="AX497" s="3" t="n">
        <v>0</v>
      </c>
      <c r="AY497" s="3" t="n">
        <v>0</v>
      </c>
      <c r="AZ497" s="3" t="n">
        <v>0</v>
      </c>
      <c r="BA497" s="3" t="n">
        <v>0</v>
      </c>
      <c r="BC497" s="20" t="inlineStr">
        <is>
          <t>egy.mit.ener.mch.gso.4</t>
        </is>
      </c>
      <c r="BD497" s="3" t="n">
        <v>0</v>
      </c>
      <c r="BE497" s="3" t="n">
        <v>0</v>
      </c>
      <c r="BF497" s="3" t="n">
        <v>0</v>
      </c>
      <c r="BG497" s="3" t="n">
        <v>0</v>
      </c>
      <c r="BH497" s="3" t="n">
        <v>0</v>
      </c>
      <c r="BI497" s="3" t="n">
        <v>0</v>
      </c>
      <c r="BJ497" s="3" t="n">
        <v>0</v>
      </c>
      <c r="BK497" s="3" t="n">
        <v>0</v>
      </c>
      <c r="BL497" s="3" t="n">
        <v>0</v>
      </c>
      <c r="BM497" s="3" t="n">
        <v>0</v>
      </c>
      <c r="BN497" s="3" t="n">
        <v>0</v>
      </c>
      <c r="BO497" s="3" t="n">
        <v>0</v>
      </c>
      <c r="BP497" s="3" t="n">
        <v>0</v>
      </c>
      <c r="BQ497" s="3" t="n">
        <v>0</v>
      </c>
      <c r="BR497" s="3" t="n">
        <v>0</v>
      </c>
      <c r="BS497" s="3" t="n">
        <v>0</v>
      </c>
      <c r="BT497" s="3" t="n">
        <v>0</v>
      </c>
      <c r="BU497" s="3" t="n">
        <v>0</v>
      </c>
      <c r="BV497" s="3" t="n">
        <v>0</v>
      </c>
      <c r="BW497" s="3" t="n">
        <v>0</v>
      </c>
      <c r="BY497" s="20" t="inlineStr">
        <is>
          <t>egy.mit.ener.mch.gso.5</t>
        </is>
      </c>
      <c r="BZ497" s="3" t="n">
        <v>0</v>
      </c>
      <c r="CA497" s="3" t="n">
        <v>0</v>
      </c>
      <c r="CB497" s="3" t="n">
        <v>0</v>
      </c>
      <c r="CC497" s="3" t="n">
        <v>0</v>
      </c>
      <c r="CD497" s="3" t="n">
        <v>0</v>
      </c>
      <c r="CE497" s="3" t="n">
        <v>0</v>
      </c>
      <c r="CF497" s="3" t="n">
        <v>0</v>
      </c>
      <c r="CG497" s="3" t="n">
        <v>0</v>
      </c>
      <c r="CH497" s="3" t="n">
        <v>0</v>
      </c>
      <c r="CI497" s="3" t="n">
        <v>0</v>
      </c>
      <c r="CJ497" s="3" t="n">
        <v>0</v>
      </c>
      <c r="CK497" s="3" t="n">
        <v>0</v>
      </c>
      <c r="CL497" s="3" t="n">
        <v>0</v>
      </c>
      <c r="CM497" s="3" t="n">
        <v>0</v>
      </c>
      <c r="CN497" s="3" t="n">
        <v>0</v>
      </c>
      <c r="CO497" s="3" t="n">
        <v>0</v>
      </c>
      <c r="CP497" s="3" t="n">
        <v>0</v>
      </c>
      <c r="CQ497" s="3" t="n">
        <v>0</v>
      </c>
      <c r="CR497" s="3" t="n">
        <v>0</v>
      </c>
      <c r="CS497" s="3" t="n">
        <v>0</v>
      </c>
      <c r="CU497" s="20" t="inlineStr">
        <is>
          <t>egy.mit.ener.mch.gso.6</t>
        </is>
      </c>
      <c r="CV497" s="3" t="n">
        <v>0</v>
      </c>
      <c r="CW497" s="3" t="n">
        <v>0</v>
      </c>
      <c r="CX497" s="3" t="n">
        <v>0</v>
      </c>
      <c r="CY497" s="3" t="n">
        <v>0</v>
      </c>
      <c r="CZ497" s="3" t="n">
        <v>0</v>
      </c>
      <c r="DA497" s="3" t="n">
        <v>0</v>
      </c>
      <c r="DB497" s="3" t="n">
        <v>0</v>
      </c>
      <c r="DC497" s="3" t="n">
        <v>0</v>
      </c>
      <c r="DD497" s="3" t="n">
        <v>0</v>
      </c>
      <c r="DE497" s="3" t="n">
        <v>0</v>
      </c>
      <c r="DF497" s="3" t="n">
        <v>0</v>
      </c>
      <c r="DG497" s="3" t="n">
        <v>0</v>
      </c>
      <c r="DH497" s="3" t="n">
        <v>0</v>
      </c>
      <c r="DI497" s="3" t="n">
        <v>0</v>
      </c>
      <c r="DJ497" s="3" t="n">
        <v>0</v>
      </c>
      <c r="DK497" s="3" t="n">
        <v>0</v>
      </c>
      <c r="DL497" s="3" t="n">
        <v>0</v>
      </c>
      <c r="DM497" s="3" t="n">
        <v>0</v>
      </c>
      <c r="DN497" s="3" t="n">
        <v>0</v>
      </c>
      <c r="DO497" s="3" t="n">
        <v>0</v>
      </c>
    </row>
    <row r="498">
      <c r="A498" s="19" t="inlineStr">
        <is>
          <t>mit.ener.mch.die</t>
        </is>
      </c>
      <c r="B498" s="3" t="inlineStr">
        <is>
          <t>mit</t>
        </is>
      </c>
      <c r="C498" s="19" t="n"/>
      <c r="H498" s="3" t="inlineStr">
        <is>
          <t>Fuel use | Mining &amp; chemicals | Diesel</t>
        </is>
      </c>
      <c r="I498" s="3" t="inlineStr">
        <is>
          <t>ktoe</t>
        </is>
      </c>
      <c r="K498" s="20" t="inlineStr">
        <is>
          <t>egy.mit.ener.mch.die.1</t>
        </is>
      </c>
      <c r="L498" s="3" t="n">
        <v>0</v>
      </c>
      <c r="M498" s="3" t="n">
        <v>0</v>
      </c>
      <c r="N498" s="3" t="n">
        <v>0</v>
      </c>
      <c r="O498" s="3" t="n">
        <v>0</v>
      </c>
      <c r="P498" s="3" t="n">
        <v>0</v>
      </c>
      <c r="Q498" s="3" t="n">
        <v>0</v>
      </c>
      <c r="R498" s="3" t="n">
        <v>0</v>
      </c>
      <c r="S498" s="3" t="n">
        <v>0</v>
      </c>
      <c r="T498" s="3" t="n">
        <v>0</v>
      </c>
      <c r="U498" s="3" t="n">
        <v>0</v>
      </c>
      <c r="V498" s="3" t="n">
        <v>0</v>
      </c>
      <c r="W498" s="3" t="n">
        <v>0</v>
      </c>
      <c r="X498" s="3" t="n">
        <v>0</v>
      </c>
      <c r="Y498" s="3" t="n">
        <v>0</v>
      </c>
      <c r="Z498" s="3" t="n">
        <v>0</v>
      </c>
      <c r="AA498" s="3" t="n">
        <v>0</v>
      </c>
      <c r="AB498" s="3" t="n">
        <v>0</v>
      </c>
      <c r="AC498" s="3" t="n">
        <v>0</v>
      </c>
      <c r="AD498" s="3" t="n">
        <v>0</v>
      </c>
      <c r="AE498" s="3" t="n">
        <v>0</v>
      </c>
      <c r="AG498" s="20" t="inlineStr">
        <is>
          <t>egy.mit.ener.mch.die.3</t>
        </is>
      </c>
      <c r="AH498" s="3" t="n">
        <v>0</v>
      </c>
      <c r="AI498" s="3" t="n">
        <v>0</v>
      </c>
      <c r="AJ498" s="3" t="n">
        <v>0</v>
      </c>
      <c r="AK498" s="3" t="n">
        <v>0</v>
      </c>
      <c r="AL498" s="3" t="n">
        <v>0</v>
      </c>
      <c r="AM498" s="3" t="n">
        <v>0</v>
      </c>
      <c r="AN498" s="3" t="n">
        <v>0</v>
      </c>
      <c r="AO498" s="3" t="n">
        <v>0</v>
      </c>
      <c r="AP498" s="3" t="n">
        <v>0</v>
      </c>
      <c r="AQ498" s="3" t="n">
        <v>0</v>
      </c>
      <c r="AR498" s="3" t="n">
        <v>0</v>
      </c>
      <c r="AS498" s="3" t="n">
        <v>0</v>
      </c>
      <c r="AT498" s="3" t="n">
        <v>0</v>
      </c>
      <c r="AU498" s="3" t="n">
        <v>0</v>
      </c>
      <c r="AV498" s="3" t="n">
        <v>0</v>
      </c>
      <c r="AW498" s="3" t="n">
        <v>0</v>
      </c>
      <c r="AX498" s="3" t="n">
        <v>0</v>
      </c>
      <c r="AY498" s="3" t="n">
        <v>0</v>
      </c>
      <c r="AZ498" s="3" t="n">
        <v>0</v>
      </c>
      <c r="BA498" s="3" t="n">
        <v>0</v>
      </c>
      <c r="BC498" s="20" t="inlineStr">
        <is>
          <t>egy.mit.ener.mch.die.4</t>
        </is>
      </c>
      <c r="BD498" s="3" t="n">
        <v>0</v>
      </c>
      <c r="BE498" s="3" t="n">
        <v>0</v>
      </c>
      <c r="BF498" s="3" t="n">
        <v>0</v>
      </c>
      <c r="BG498" s="3" t="n">
        <v>0</v>
      </c>
      <c r="BH498" s="3" t="n">
        <v>0</v>
      </c>
      <c r="BI498" s="3" t="n">
        <v>0</v>
      </c>
      <c r="BJ498" s="3" t="n">
        <v>0</v>
      </c>
      <c r="BK498" s="3" t="n">
        <v>0</v>
      </c>
      <c r="BL498" s="3" t="n">
        <v>0</v>
      </c>
      <c r="BM498" s="3" t="n">
        <v>0</v>
      </c>
      <c r="BN498" s="3" t="n">
        <v>0</v>
      </c>
      <c r="BO498" s="3" t="n">
        <v>0</v>
      </c>
      <c r="BP498" s="3" t="n">
        <v>0</v>
      </c>
      <c r="BQ498" s="3" t="n">
        <v>0</v>
      </c>
      <c r="BR498" s="3" t="n">
        <v>0</v>
      </c>
      <c r="BS498" s="3" t="n">
        <v>0</v>
      </c>
      <c r="BT498" s="3" t="n">
        <v>0</v>
      </c>
      <c r="BU498" s="3" t="n">
        <v>0</v>
      </c>
      <c r="BV498" s="3" t="n">
        <v>0</v>
      </c>
      <c r="BW498" s="3" t="n">
        <v>0</v>
      </c>
      <c r="BY498" s="20" t="inlineStr">
        <is>
          <t>egy.mit.ener.mch.die.5</t>
        </is>
      </c>
      <c r="BZ498" s="3" t="n">
        <v>0</v>
      </c>
      <c r="CA498" s="3" t="n">
        <v>0</v>
      </c>
      <c r="CB498" s="3" t="n">
        <v>0</v>
      </c>
      <c r="CC498" s="3" t="n">
        <v>0</v>
      </c>
      <c r="CD498" s="3" t="n">
        <v>0</v>
      </c>
      <c r="CE498" s="3" t="n">
        <v>0</v>
      </c>
      <c r="CF498" s="3" t="n">
        <v>0</v>
      </c>
      <c r="CG498" s="3" t="n">
        <v>0</v>
      </c>
      <c r="CH498" s="3" t="n">
        <v>0</v>
      </c>
      <c r="CI498" s="3" t="n">
        <v>0</v>
      </c>
      <c r="CJ498" s="3" t="n">
        <v>0</v>
      </c>
      <c r="CK498" s="3" t="n">
        <v>0</v>
      </c>
      <c r="CL498" s="3" t="n">
        <v>0</v>
      </c>
      <c r="CM498" s="3" t="n">
        <v>0</v>
      </c>
      <c r="CN498" s="3" t="n">
        <v>0</v>
      </c>
      <c r="CO498" s="3" t="n">
        <v>0</v>
      </c>
      <c r="CP498" s="3" t="n">
        <v>0</v>
      </c>
      <c r="CQ498" s="3" t="n">
        <v>0</v>
      </c>
      <c r="CR498" s="3" t="n">
        <v>0</v>
      </c>
      <c r="CS498" s="3" t="n">
        <v>0</v>
      </c>
      <c r="CU498" s="20" t="inlineStr">
        <is>
          <t>egy.mit.ener.mch.die.6</t>
        </is>
      </c>
      <c r="CV498" s="3" t="n">
        <v>0</v>
      </c>
      <c r="CW498" s="3" t="n">
        <v>0</v>
      </c>
      <c r="CX498" s="3" t="n">
        <v>0</v>
      </c>
      <c r="CY498" s="3" t="n">
        <v>0</v>
      </c>
      <c r="CZ498" s="3" t="n">
        <v>0</v>
      </c>
      <c r="DA498" s="3" t="n">
        <v>0</v>
      </c>
      <c r="DB498" s="3" t="n">
        <v>0</v>
      </c>
      <c r="DC498" s="3" t="n">
        <v>0</v>
      </c>
      <c r="DD498" s="3" t="n">
        <v>0</v>
      </c>
      <c r="DE498" s="3" t="n">
        <v>0</v>
      </c>
      <c r="DF498" s="3" t="n">
        <v>0</v>
      </c>
      <c r="DG498" s="3" t="n">
        <v>0</v>
      </c>
      <c r="DH498" s="3" t="n">
        <v>0</v>
      </c>
      <c r="DI498" s="3" t="n">
        <v>0</v>
      </c>
      <c r="DJ498" s="3" t="n">
        <v>0</v>
      </c>
      <c r="DK498" s="3" t="n">
        <v>0</v>
      </c>
      <c r="DL498" s="3" t="n">
        <v>0</v>
      </c>
      <c r="DM498" s="3" t="n">
        <v>0</v>
      </c>
      <c r="DN498" s="3" t="n">
        <v>0</v>
      </c>
      <c r="DO498" s="3" t="n">
        <v>0</v>
      </c>
    </row>
    <row r="499">
      <c r="A499" s="19" t="inlineStr">
        <is>
          <t>mit.ener.mch.lpg</t>
        </is>
      </c>
      <c r="B499" s="3" t="inlineStr">
        <is>
          <t>mit</t>
        </is>
      </c>
      <c r="C499" s="19" t="n"/>
      <c r="H499" s="3" t="inlineStr">
        <is>
          <t>Fuel use | Mining &amp; chemicals | LPG</t>
        </is>
      </c>
      <c r="I499" s="3" t="inlineStr">
        <is>
          <t>ktoe</t>
        </is>
      </c>
      <c r="K499" s="20" t="inlineStr">
        <is>
          <t>egy.mit.ener.mch.lpg.1</t>
        </is>
      </c>
      <c r="L499" s="3" t="n">
        <v>0</v>
      </c>
      <c r="M499" s="3" t="n">
        <v>0</v>
      </c>
      <c r="N499" s="3" t="n">
        <v>0</v>
      </c>
      <c r="O499" s="3" t="n">
        <v>0</v>
      </c>
      <c r="P499" s="3" t="n">
        <v>0</v>
      </c>
      <c r="Q499" s="3" t="n">
        <v>0</v>
      </c>
      <c r="R499" s="3" t="n">
        <v>0</v>
      </c>
      <c r="S499" s="3" t="n">
        <v>0</v>
      </c>
      <c r="T499" s="3" t="n">
        <v>0</v>
      </c>
      <c r="U499" s="3" t="n">
        <v>0</v>
      </c>
      <c r="V499" s="3" t="n">
        <v>0</v>
      </c>
      <c r="W499" s="3" t="n">
        <v>0</v>
      </c>
      <c r="X499" s="3" t="n">
        <v>0</v>
      </c>
      <c r="Y499" s="3" t="n">
        <v>0</v>
      </c>
      <c r="Z499" s="3" t="n">
        <v>0</v>
      </c>
      <c r="AA499" s="3" t="n">
        <v>0</v>
      </c>
      <c r="AB499" s="3" t="n">
        <v>0</v>
      </c>
      <c r="AC499" s="3" t="n">
        <v>0</v>
      </c>
      <c r="AD499" s="3" t="n">
        <v>0</v>
      </c>
      <c r="AE499" s="3" t="n">
        <v>0</v>
      </c>
      <c r="AG499" s="20" t="inlineStr">
        <is>
          <t>egy.mit.ener.mch.lpg.3</t>
        </is>
      </c>
      <c r="AH499" s="3" t="n">
        <v>0</v>
      </c>
      <c r="AI499" s="3" t="n">
        <v>0</v>
      </c>
      <c r="AJ499" s="3" t="n">
        <v>0</v>
      </c>
      <c r="AK499" s="3" t="n">
        <v>0</v>
      </c>
      <c r="AL499" s="3" t="n">
        <v>0</v>
      </c>
      <c r="AM499" s="3" t="n">
        <v>0</v>
      </c>
      <c r="AN499" s="3" t="n">
        <v>0</v>
      </c>
      <c r="AO499" s="3" t="n">
        <v>0</v>
      </c>
      <c r="AP499" s="3" t="n">
        <v>0</v>
      </c>
      <c r="AQ499" s="3" t="n">
        <v>0</v>
      </c>
      <c r="AR499" s="3" t="n">
        <v>0</v>
      </c>
      <c r="AS499" s="3" t="n">
        <v>0</v>
      </c>
      <c r="AT499" s="3" t="n">
        <v>0</v>
      </c>
      <c r="AU499" s="3" t="n">
        <v>0</v>
      </c>
      <c r="AV499" s="3" t="n">
        <v>0</v>
      </c>
      <c r="AW499" s="3" t="n">
        <v>0</v>
      </c>
      <c r="AX499" s="3" t="n">
        <v>0</v>
      </c>
      <c r="AY499" s="3" t="n">
        <v>0</v>
      </c>
      <c r="AZ499" s="3" t="n">
        <v>0</v>
      </c>
      <c r="BA499" s="3" t="n">
        <v>0</v>
      </c>
      <c r="BC499" s="20" t="inlineStr">
        <is>
          <t>egy.mit.ener.mch.lpg.4</t>
        </is>
      </c>
      <c r="BD499" s="3" t="n">
        <v>0</v>
      </c>
      <c r="BE499" s="3" t="n">
        <v>0</v>
      </c>
      <c r="BF499" s="3" t="n">
        <v>0</v>
      </c>
      <c r="BG499" s="3" t="n">
        <v>0</v>
      </c>
      <c r="BH499" s="3" t="n">
        <v>0</v>
      </c>
      <c r="BI499" s="3" t="n">
        <v>0</v>
      </c>
      <c r="BJ499" s="3" t="n">
        <v>0</v>
      </c>
      <c r="BK499" s="3" t="n">
        <v>0</v>
      </c>
      <c r="BL499" s="3" t="n">
        <v>0</v>
      </c>
      <c r="BM499" s="3" t="n">
        <v>0</v>
      </c>
      <c r="BN499" s="3" t="n">
        <v>0</v>
      </c>
      <c r="BO499" s="3" t="n">
        <v>0</v>
      </c>
      <c r="BP499" s="3" t="n">
        <v>0</v>
      </c>
      <c r="BQ499" s="3" t="n">
        <v>0</v>
      </c>
      <c r="BR499" s="3" t="n">
        <v>0</v>
      </c>
      <c r="BS499" s="3" t="n">
        <v>0</v>
      </c>
      <c r="BT499" s="3" t="n">
        <v>0</v>
      </c>
      <c r="BU499" s="3" t="n">
        <v>0</v>
      </c>
      <c r="BV499" s="3" t="n">
        <v>0</v>
      </c>
      <c r="BW499" s="3" t="n">
        <v>0</v>
      </c>
      <c r="BY499" s="20" t="inlineStr">
        <is>
          <t>egy.mit.ener.mch.lpg.5</t>
        </is>
      </c>
      <c r="BZ499" s="3" t="n">
        <v>0</v>
      </c>
      <c r="CA499" s="3" t="n">
        <v>0</v>
      </c>
      <c r="CB499" s="3" t="n">
        <v>0</v>
      </c>
      <c r="CC499" s="3" t="n">
        <v>0</v>
      </c>
      <c r="CD499" s="3" t="n">
        <v>0</v>
      </c>
      <c r="CE499" s="3" t="n">
        <v>0</v>
      </c>
      <c r="CF499" s="3" t="n">
        <v>0</v>
      </c>
      <c r="CG499" s="3" t="n">
        <v>0</v>
      </c>
      <c r="CH499" s="3" t="n">
        <v>0</v>
      </c>
      <c r="CI499" s="3" t="n">
        <v>0</v>
      </c>
      <c r="CJ499" s="3" t="n">
        <v>0</v>
      </c>
      <c r="CK499" s="3" t="n">
        <v>0</v>
      </c>
      <c r="CL499" s="3" t="n">
        <v>0</v>
      </c>
      <c r="CM499" s="3" t="n">
        <v>0</v>
      </c>
      <c r="CN499" s="3" t="n">
        <v>0</v>
      </c>
      <c r="CO499" s="3" t="n">
        <v>0</v>
      </c>
      <c r="CP499" s="3" t="n">
        <v>0</v>
      </c>
      <c r="CQ499" s="3" t="n">
        <v>0</v>
      </c>
      <c r="CR499" s="3" t="n">
        <v>0</v>
      </c>
      <c r="CS499" s="3" t="n">
        <v>0</v>
      </c>
      <c r="CU499" s="20" t="inlineStr">
        <is>
          <t>egy.mit.ener.mch.lpg.6</t>
        </is>
      </c>
      <c r="CV499" s="3" t="n">
        <v>0</v>
      </c>
      <c r="CW499" s="3" t="n">
        <v>0</v>
      </c>
      <c r="CX499" s="3" t="n">
        <v>0</v>
      </c>
      <c r="CY499" s="3" t="n">
        <v>0</v>
      </c>
      <c r="CZ499" s="3" t="n">
        <v>0</v>
      </c>
      <c r="DA499" s="3" t="n">
        <v>0</v>
      </c>
      <c r="DB499" s="3" t="n">
        <v>0</v>
      </c>
      <c r="DC499" s="3" t="n">
        <v>0</v>
      </c>
      <c r="DD499" s="3" t="n">
        <v>0</v>
      </c>
      <c r="DE499" s="3" t="n">
        <v>0</v>
      </c>
      <c r="DF499" s="3" t="n">
        <v>0</v>
      </c>
      <c r="DG499" s="3" t="n">
        <v>0</v>
      </c>
      <c r="DH499" s="3" t="n">
        <v>0</v>
      </c>
      <c r="DI499" s="3" t="n">
        <v>0</v>
      </c>
      <c r="DJ499" s="3" t="n">
        <v>0</v>
      </c>
      <c r="DK499" s="3" t="n">
        <v>0</v>
      </c>
      <c r="DL499" s="3" t="n">
        <v>0</v>
      </c>
      <c r="DM499" s="3" t="n">
        <v>0</v>
      </c>
      <c r="DN499" s="3" t="n">
        <v>0</v>
      </c>
      <c r="DO499" s="3" t="n">
        <v>0</v>
      </c>
    </row>
    <row r="500">
      <c r="A500" s="19" t="inlineStr">
        <is>
          <t>mit.ener.mch.ker</t>
        </is>
      </c>
      <c r="B500" s="3" t="inlineStr">
        <is>
          <t>mit</t>
        </is>
      </c>
      <c r="C500" s="19" t="n"/>
      <c r="H500" s="3" t="inlineStr">
        <is>
          <t>Fuel use | Mining &amp; chemicals | Kerosene</t>
        </is>
      </c>
      <c r="I500" s="3" t="inlineStr">
        <is>
          <t>ktoe</t>
        </is>
      </c>
      <c r="K500" s="20" t="inlineStr">
        <is>
          <t>egy.mit.ener.mch.ker.1</t>
        </is>
      </c>
      <c r="L500" s="3" t="n">
        <v>0</v>
      </c>
      <c r="M500" s="3" t="n">
        <v>0</v>
      </c>
      <c r="N500" s="3" t="n">
        <v>0</v>
      </c>
      <c r="O500" s="3" t="n">
        <v>0</v>
      </c>
      <c r="P500" s="3" t="n">
        <v>0</v>
      </c>
      <c r="Q500" s="3" t="n">
        <v>0</v>
      </c>
      <c r="R500" s="3" t="n">
        <v>0</v>
      </c>
      <c r="S500" s="3" t="n">
        <v>0</v>
      </c>
      <c r="T500" s="3" t="n">
        <v>0</v>
      </c>
      <c r="U500" s="3" t="n">
        <v>0</v>
      </c>
      <c r="V500" s="3" t="n">
        <v>0</v>
      </c>
      <c r="W500" s="3" t="n">
        <v>0</v>
      </c>
      <c r="X500" s="3" t="n">
        <v>0</v>
      </c>
      <c r="Y500" s="3" t="n">
        <v>0</v>
      </c>
      <c r="Z500" s="3" t="n">
        <v>0</v>
      </c>
      <c r="AA500" s="3" t="n">
        <v>0</v>
      </c>
      <c r="AB500" s="3" t="n">
        <v>0</v>
      </c>
      <c r="AC500" s="3" t="n">
        <v>0</v>
      </c>
      <c r="AD500" s="3" t="n">
        <v>0</v>
      </c>
      <c r="AE500" s="3" t="n">
        <v>0</v>
      </c>
      <c r="AG500" s="20" t="inlineStr">
        <is>
          <t>egy.mit.ener.mch.ker.3</t>
        </is>
      </c>
      <c r="AH500" s="3" t="n">
        <v>0</v>
      </c>
      <c r="AI500" s="3" t="n">
        <v>0</v>
      </c>
      <c r="AJ500" s="3" t="n">
        <v>0</v>
      </c>
      <c r="AK500" s="3" t="n">
        <v>0</v>
      </c>
      <c r="AL500" s="3" t="n">
        <v>0</v>
      </c>
      <c r="AM500" s="3" t="n">
        <v>0</v>
      </c>
      <c r="AN500" s="3" t="n">
        <v>0</v>
      </c>
      <c r="AO500" s="3" t="n">
        <v>0</v>
      </c>
      <c r="AP500" s="3" t="n">
        <v>0</v>
      </c>
      <c r="AQ500" s="3" t="n">
        <v>0</v>
      </c>
      <c r="AR500" s="3" t="n">
        <v>0</v>
      </c>
      <c r="AS500" s="3" t="n">
        <v>0</v>
      </c>
      <c r="AT500" s="3" t="n">
        <v>0</v>
      </c>
      <c r="AU500" s="3" t="n">
        <v>0</v>
      </c>
      <c r="AV500" s="3" t="n">
        <v>0</v>
      </c>
      <c r="AW500" s="3" t="n">
        <v>0</v>
      </c>
      <c r="AX500" s="3" t="n">
        <v>0</v>
      </c>
      <c r="AY500" s="3" t="n">
        <v>0</v>
      </c>
      <c r="AZ500" s="3" t="n">
        <v>0</v>
      </c>
      <c r="BA500" s="3" t="n">
        <v>0</v>
      </c>
      <c r="BC500" s="20" t="inlineStr">
        <is>
          <t>egy.mit.ener.mch.ker.4</t>
        </is>
      </c>
      <c r="BD500" s="3" t="n">
        <v>0</v>
      </c>
      <c r="BE500" s="3" t="n">
        <v>0</v>
      </c>
      <c r="BF500" s="3" t="n">
        <v>0</v>
      </c>
      <c r="BG500" s="3" t="n">
        <v>0</v>
      </c>
      <c r="BH500" s="3" t="n">
        <v>0</v>
      </c>
      <c r="BI500" s="3" t="n">
        <v>0</v>
      </c>
      <c r="BJ500" s="3" t="n">
        <v>0</v>
      </c>
      <c r="BK500" s="3" t="n">
        <v>0</v>
      </c>
      <c r="BL500" s="3" t="n">
        <v>0</v>
      </c>
      <c r="BM500" s="3" t="n">
        <v>0</v>
      </c>
      <c r="BN500" s="3" t="n">
        <v>0</v>
      </c>
      <c r="BO500" s="3" t="n">
        <v>0</v>
      </c>
      <c r="BP500" s="3" t="n">
        <v>0</v>
      </c>
      <c r="BQ500" s="3" t="n">
        <v>0</v>
      </c>
      <c r="BR500" s="3" t="n">
        <v>0</v>
      </c>
      <c r="BS500" s="3" t="n">
        <v>0</v>
      </c>
      <c r="BT500" s="3" t="n">
        <v>0</v>
      </c>
      <c r="BU500" s="3" t="n">
        <v>0</v>
      </c>
      <c r="BV500" s="3" t="n">
        <v>0</v>
      </c>
      <c r="BW500" s="3" t="n">
        <v>0</v>
      </c>
      <c r="BY500" s="20" t="inlineStr">
        <is>
          <t>egy.mit.ener.mch.ker.5</t>
        </is>
      </c>
      <c r="BZ500" s="3" t="n">
        <v>0</v>
      </c>
      <c r="CA500" s="3" t="n">
        <v>0</v>
      </c>
      <c r="CB500" s="3" t="n">
        <v>0</v>
      </c>
      <c r="CC500" s="3" t="n">
        <v>0</v>
      </c>
      <c r="CD500" s="3" t="n">
        <v>0</v>
      </c>
      <c r="CE500" s="3" t="n">
        <v>0</v>
      </c>
      <c r="CF500" s="3" t="n">
        <v>0</v>
      </c>
      <c r="CG500" s="3" t="n">
        <v>0</v>
      </c>
      <c r="CH500" s="3" t="n">
        <v>0</v>
      </c>
      <c r="CI500" s="3" t="n">
        <v>0</v>
      </c>
      <c r="CJ500" s="3" t="n">
        <v>0</v>
      </c>
      <c r="CK500" s="3" t="n">
        <v>0</v>
      </c>
      <c r="CL500" s="3" t="n">
        <v>0</v>
      </c>
      <c r="CM500" s="3" t="n">
        <v>0</v>
      </c>
      <c r="CN500" s="3" t="n">
        <v>0</v>
      </c>
      <c r="CO500" s="3" t="n">
        <v>0</v>
      </c>
      <c r="CP500" s="3" t="n">
        <v>0</v>
      </c>
      <c r="CQ500" s="3" t="n">
        <v>0</v>
      </c>
      <c r="CR500" s="3" t="n">
        <v>0</v>
      </c>
      <c r="CS500" s="3" t="n">
        <v>0</v>
      </c>
      <c r="CU500" s="20" t="inlineStr">
        <is>
          <t>egy.mit.ener.mch.ker.6</t>
        </is>
      </c>
      <c r="CV500" s="3" t="n">
        <v>0</v>
      </c>
      <c r="CW500" s="3" t="n">
        <v>0</v>
      </c>
      <c r="CX500" s="3" t="n">
        <v>0</v>
      </c>
      <c r="CY500" s="3" t="n">
        <v>0</v>
      </c>
      <c r="CZ500" s="3" t="n">
        <v>0</v>
      </c>
      <c r="DA500" s="3" t="n">
        <v>0</v>
      </c>
      <c r="DB500" s="3" t="n">
        <v>0</v>
      </c>
      <c r="DC500" s="3" t="n">
        <v>0</v>
      </c>
      <c r="DD500" s="3" t="n">
        <v>0</v>
      </c>
      <c r="DE500" s="3" t="n">
        <v>0</v>
      </c>
      <c r="DF500" s="3" t="n">
        <v>0</v>
      </c>
      <c r="DG500" s="3" t="n">
        <v>0</v>
      </c>
      <c r="DH500" s="3" t="n">
        <v>0</v>
      </c>
      <c r="DI500" s="3" t="n">
        <v>0</v>
      </c>
      <c r="DJ500" s="3" t="n">
        <v>0</v>
      </c>
      <c r="DK500" s="3" t="n">
        <v>0</v>
      </c>
      <c r="DL500" s="3" t="n">
        <v>0</v>
      </c>
      <c r="DM500" s="3" t="n">
        <v>0</v>
      </c>
      <c r="DN500" s="3" t="n">
        <v>0</v>
      </c>
      <c r="DO500" s="3" t="n">
        <v>0</v>
      </c>
    </row>
    <row r="501">
      <c r="A501" s="19" t="inlineStr">
        <is>
          <t>mit.ener.mch.oop</t>
        </is>
      </c>
      <c r="B501" s="3" t="inlineStr">
        <is>
          <t>mit</t>
        </is>
      </c>
      <c r="C501" s="19" t="n"/>
      <c r="H501" s="3" t="inlineStr">
        <is>
          <t>Fuel use | Mining &amp; chemicals | Other oil products</t>
        </is>
      </c>
      <c r="I501" s="3" t="inlineStr">
        <is>
          <t>ktoe</t>
        </is>
      </c>
      <c r="K501" s="20" t="inlineStr">
        <is>
          <t>egy.mit.ener.mch.oop.1</t>
        </is>
      </c>
      <c r="L501" s="3" t="n">
        <v>0</v>
      </c>
      <c r="M501" s="3" t="n">
        <v>0</v>
      </c>
      <c r="N501" s="3" t="n">
        <v>0</v>
      </c>
      <c r="O501" s="3" t="n">
        <v>0</v>
      </c>
      <c r="P501" s="3" t="n">
        <v>0</v>
      </c>
      <c r="Q501" s="3" t="n">
        <v>0</v>
      </c>
      <c r="R501" s="3" t="n">
        <v>0</v>
      </c>
      <c r="S501" s="3" t="n">
        <v>0</v>
      </c>
      <c r="T501" s="3" t="n">
        <v>0</v>
      </c>
      <c r="U501" s="3" t="n">
        <v>0</v>
      </c>
      <c r="V501" s="3" t="n">
        <v>0</v>
      </c>
      <c r="W501" s="3" t="n">
        <v>0</v>
      </c>
      <c r="X501" s="3" t="n">
        <v>0</v>
      </c>
      <c r="Y501" s="3" t="n">
        <v>0</v>
      </c>
      <c r="Z501" s="3" t="n">
        <v>0</v>
      </c>
      <c r="AA501" s="3" t="n">
        <v>0</v>
      </c>
      <c r="AB501" s="3" t="n">
        <v>0</v>
      </c>
      <c r="AC501" s="3" t="n">
        <v>0</v>
      </c>
      <c r="AD501" s="3" t="n">
        <v>0</v>
      </c>
      <c r="AE501" s="3" t="n">
        <v>0</v>
      </c>
      <c r="AG501" s="20" t="inlineStr">
        <is>
          <t>egy.mit.ener.mch.oop.3</t>
        </is>
      </c>
      <c r="AH501" s="3" t="n">
        <v>0</v>
      </c>
      <c r="AI501" s="3" t="n">
        <v>0</v>
      </c>
      <c r="AJ501" s="3" t="n">
        <v>0</v>
      </c>
      <c r="AK501" s="3" t="n">
        <v>0</v>
      </c>
      <c r="AL501" s="3" t="n">
        <v>0</v>
      </c>
      <c r="AM501" s="3" t="n">
        <v>0</v>
      </c>
      <c r="AN501" s="3" t="n">
        <v>0</v>
      </c>
      <c r="AO501" s="3" t="n">
        <v>0</v>
      </c>
      <c r="AP501" s="3" t="n">
        <v>0</v>
      </c>
      <c r="AQ501" s="3" t="n">
        <v>0</v>
      </c>
      <c r="AR501" s="3" t="n">
        <v>0</v>
      </c>
      <c r="AS501" s="3" t="n">
        <v>0</v>
      </c>
      <c r="AT501" s="3" t="n">
        <v>0</v>
      </c>
      <c r="AU501" s="3" t="n">
        <v>0</v>
      </c>
      <c r="AV501" s="3" t="n">
        <v>0</v>
      </c>
      <c r="AW501" s="3" t="n">
        <v>0</v>
      </c>
      <c r="AX501" s="3" t="n">
        <v>0</v>
      </c>
      <c r="AY501" s="3" t="n">
        <v>0</v>
      </c>
      <c r="AZ501" s="3" t="n">
        <v>0</v>
      </c>
      <c r="BA501" s="3" t="n">
        <v>0</v>
      </c>
      <c r="BC501" s="20" t="inlineStr">
        <is>
          <t>egy.mit.ener.mch.oop.4</t>
        </is>
      </c>
      <c r="BD501" s="3" t="n">
        <v>0</v>
      </c>
      <c r="BE501" s="3" t="n">
        <v>0</v>
      </c>
      <c r="BF501" s="3" t="n">
        <v>0</v>
      </c>
      <c r="BG501" s="3" t="n">
        <v>0</v>
      </c>
      <c r="BH501" s="3" t="n">
        <v>0</v>
      </c>
      <c r="BI501" s="3" t="n">
        <v>0</v>
      </c>
      <c r="BJ501" s="3" t="n">
        <v>0</v>
      </c>
      <c r="BK501" s="3" t="n">
        <v>0</v>
      </c>
      <c r="BL501" s="3" t="n">
        <v>0</v>
      </c>
      <c r="BM501" s="3" t="n">
        <v>0</v>
      </c>
      <c r="BN501" s="3" t="n">
        <v>0</v>
      </c>
      <c r="BO501" s="3" t="n">
        <v>0</v>
      </c>
      <c r="BP501" s="3" t="n">
        <v>0</v>
      </c>
      <c r="BQ501" s="3" t="n">
        <v>0</v>
      </c>
      <c r="BR501" s="3" t="n">
        <v>0</v>
      </c>
      <c r="BS501" s="3" t="n">
        <v>0</v>
      </c>
      <c r="BT501" s="3" t="n">
        <v>0</v>
      </c>
      <c r="BU501" s="3" t="n">
        <v>0</v>
      </c>
      <c r="BV501" s="3" t="n">
        <v>0</v>
      </c>
      <c r="BW501" s="3" t="n">
        <v>0</v>
      </c>
      <c r="BY501" s="20" t="inlineStr">
        <is>
          <t>egy.mit.ener.mch.oop.5</t>
        </is>
      </c>
      <c r="BZ501" s="3" t="n">
        <v>0</v>
      </c>
      <c r="CA501" s="3" t="n">
        <v>0</v>
      </c>
      <c r="CB501" s="3" t="n">
        <v>0</v>
      </c>
      <c r="CC501" s="3" t="n">
        <v>0</v>
      </c>
      <c r="CD501" s="3" t="n">
        <v>0</v>
      </c>
      <c r="CE501" s="3" t="n">
        <v>0</v>
      </c>
      <c r="CF501" s="3" t="n">
        <v>0</v>
      </c>
      <c r="CG501" s="3" t="n">
        <v>0</v>
      </c>
      <c r="CH501" s="3" t="n">
        <v>0</v>
      </c>
      <c r="CI501" s="3" t="n">
        <v>0</v>
      </c>
      <c r="CJ501" s="3" t="n">
        <v>0</v>
      </c>
      <c r="CK501" s="3" t="n">
        <v>0</v>
      </c>
      <c r="CL501" s="3" t="n">
        <v>0</v>
      </c>
      <c r="CM501" s="3" t="n">
        <v>0</v>
      </c>
      <c r="CN501" s="3" t="n">
        <v>0</v>
      </c>
      <c r="CO501" s="3" t="n">
        <v>0</v>
      </c>
      <c r="CP501" s="3" t="n">
        <v>0</v>
      </c>
      <c r="CQ501" s="3" t="n">
        <v>0</v>
      </c>
      <c r="CR501" s="3" t="n">
        <v>0</v>
      </c>
      <c r="CS501" s="3" t="n">
        <v>0</v>
      </c>
      <c r="CU501" s="20" t="inlineStr">
        <is>
          <t>egy.mit.ener.mch.oop.6</t>
        </is>
      </c>
      <c r="CV501" s="3" t="n">
        <v>0</v>
      </c>
      <c r="CW501" s="3" t="n">
        <v>0</v>
      </c>
      <c r="CX501" s="3" t="n">
        <v>0</v>
      </c>
      <c r="CY501" s="3" t="n">
        <v>0</v>
      </c>
      <c r="CZ501" s="3" t="n">
        <v>0</v>
      </c>
      <c r="DA501" s="3" t="n">
        <v>0</v>
      </c>
      <c r="DB501" s="3" t="n">
        <v>0</v>
      </c>
      <c r="DC501" s="3" t="n">
        <v>0</v>
      </c>
      <c r="DD501" s="3" t="n">
        <v>0</v>
      </c>
      <c r="DE501" s="3" t="n">
        <v>0</v>
      </c>
      <c r="DF501" s="3" t="n">
        <v>0</v>
      </c>
      <c r="DG501" s="3" t="n">
        <v>0</v>
      </c>
      <c r="DH501" s="3" t="n">
        <v>0</v>
      </c>
      <c r="DI501" s="3" t="n">
        <v>0</v>
      </c>
      <c r="DJ501" s="3" t="n">
        <v>0</v>
      </c>
      <c r="DK501" s="3" t="n">
        <v>0</v>
      </c>
      <c r="DL501" s="3" t="n">
        <v>0</v>
      </c>
      <c r="DM501" s="3" t="n">
        <v>0</v>
      </c>
      <c r="DN501" s="3" t="n">
        <v>0</v>
      </c>
      <c r="DO501" s="3" t="n">
        <v>0</v>
      </c>
    </row>
    <row r="502">
      <c r="A502" s="19" t="inlineStr">
        <is>
          <t>mit.ener.mch.bio</t>
        </is>
      </c>
      <c r="B502" s="3" t="inlineStr">
        <is>
          <t>mit</t>
        </is>
      </c>
      <c r="C502" s="19" t="n"/>
      <c r="H502" s="3" t="inlineStr">
        <is>
          <t>Fuel use | Mining &amp; chemicals | Biomass</t>
        </is>
      </c>
      <c r="I502" s="3" t="inlineStr">
        <is>
          <t>ktoe</t>
        </is>
      </c>
      <c r="K502" s="20" t="inlineStr">
        <is>
          <t>egy.mit.ener.mch.bio.1</t>
        </is>
      </c>
      <c r="L502" s="3" t="n">
        <v>0</v>
      </c>
      <c r="M502" s="3" t="n">
        <v>0</v>
      </c>
      <c r="N502" s="3" t="n">
        <v>0</v>
      </c>
      <c r="O502" s="3" t="n">
        <v>0</v>
      </c>
      <c r="P502" s="3" t="n">
        <v>0</v>
      </c>
      <c r="Q502" s="3" t="n">
        <v>0</v>
      </c>
      <c r="R502" s="3" t="n">
        <v>0</v>
      </c>
      <c r="S502" s="3" t="n">
        <v>0</v>
      </c>
      <c r="T502" s="3" t="n">
        <v>0</v>
      </c>
      <c r="U502" s="3" t="n">
        <v>0</v>
      </c>
      <c r="V502" s="3" t="n">
        <v>0</v>
      </c>
      <c r="W502" s="3" t="n">
        <v>0</v>
      </c>
      <c r="X502" s="3" t="n">
        <v>0</v>
      </c>
      <c r="Y502" s="3" t="n">
        <v>0</v>
      </c>
      <c r="Z502" s="3" t="n">
        <v>0</v>
      </c>
      <c r="AA502" s="3" t="n">
        <v>0</v>
      </c>
      <c r="AB502" s="3" t="n">
        <v>0</v>
      </c>
      <c r="AC502" s="3" t="n">
        <v>0</v>
      </c>
      <c r="AD502" s="3" t="n">
        <v>0</v>
      </c>
      <c r="AE502" s="3" t="n">
        <v>0</v>
      </c>
      <c r="AG502" s="20" t="inlineStr">
        <is>
          <t>egy.mit.ener.mch.bio.3</t>
        </is>
      </c>
      <c r="AH502" s="3" t="n">
        <v>0</v>
      </c>
      <c r="AI502" s="3" t="n">
        <v>0</v>
      </c>
      <c r="AJ502" s="3" t="n">
        <v>0</v>
      </c>
      <c r="AK502" s="3" t="n">
        <v>0</v>
      </c>
      <c r="AL502" s="3" t="n">
        <v>0</v>
      </c>
      <c r="AM502" s="3" t="n">
        <v>0</v>
      </c>
      <c r="AN502" s="3" t="n">
        <v>0</v>
      </c>
      <c r="AO502" s="3" t="n">
        <v>0</v>
      </c>
      <c r="AP502" s="3" t="n">
        <v>0</v>
      </c>
      <c r="AQ502" s="3" t="n">
        <v>0</v>
      </c>
      <c r="AR502" s="3" t="n">
        <v>0</v>
      </c>
      <c r="AS502" s="3" t="n">
        <v>0</v>
      </c>
      <c r="AT502" s="3" t="n">
        <v>0</v>
      </c>
      <c r="AU502" s="3" t="n">
        <v>0</v>
      </c>
      <c r="AV502" s="3" t="n">
        <v>0</v>
      </c>
      <c r="AW502" s="3" t="n">
        <v>0</v>
      </c>
      <c r="AX502" s="3" t="n">
        <v>0</v>
      </c>
      <c r="AY502" s="3" t="n">
        <v>0</v>
      </c>
      <c r="AZ502" s="3" t="n">
        <v>0</v>
      </c>
      <c r="BA502" s="3" t="n">
        <v>0</v>
      </c>
      <c r="BC502" s="20" t="inlineStr">
        <is>
          <t>egy.mit.ener.mch.bio.4</t>
        </is>
      </c>
      <c r="BD502" s="3" t="n">
        <v>0</v>
      </c>
      <c r="BE502" s="3" t="n">
        <v>0</v>
      </c>
      <c r="BF502" s="3" t="n">
        <v>0</v>
      </c>
      <c r="BG502" s="3" t="n">
        <v>0</v>
      </c>
      <c r="BH502" s="3" t="n">
        <v>0</v>
      </c>
      <c r="BI502" s="3" t="n">
        <v>0</v>
      </c>
      <c r="BJ502" s="3" t="n">
        <v>0</v>
      </c>
      <c r="BK502" s="3" t="n">
        <v>0</v>
      </c>
      <c r="BL502" s="3" t="n">
        <v>0</v>
      </c>
      <c r="BM502" s="3" t="n">
        <v>0</v>
      </c>
      <c r="BN502" s="3" t="n">
        <v>0</v>
      </c>
      <c r="BO502" s="3" t="n">
        <v>0</v>
      </c>
      <c r="BP502" s="3" t="n">
        <v>0</v>
      </c>
      <c r="BQ502" s="3" t="n">
        <v>0</v>
      </c>
      <c r="BR502" s="3" t="n">
        <v>0</v>
      </c>
      <c r="BS502" s="3" t="n">
        <v>0</v>
      </c>
      <c r="BT502" s="3" t="n">
        <v>0</v>
      </c>
      <c r="BU502" s="3" t="n">
        <v>0</v>
      </c>
      <c r="BV502" s="3" t="n">
        <v>0</v>
      </c>
      <c r="BW502" s="3" t="n">
        <v>0</v>
      </c>
      <c r="BY502" s="20" t="inlineStr">
        <is>
          <t>egy.mit.ener.mch.bio.5</t>
        </is>
      </c>
      <c r="BZ502" s="3" t="n">
        <v>0</v>
      </c>
      <c r="CA502" s="3" t="n">
        <v>0</v>
      </c>
      <c r="CB502" s="3" t="n">
        <v>0</v>
      </c>
      <c r="CC502" s="3" t="n">
        <v>0</v>
      </c>
      <c r="CD502" s="3" t="n">
        <v>0</v>
      </c>
      <c r="CE502" s="3" t="n">
        <v>0</v>
      </c>
      <c r="CF502" s="3" t="n">
        <v>0</v>
      </c>
      <c r="CG502" s="3" t="n">
        <v>0</v>
      </c>
      <c r="CH502" s="3" t="n">
        <v>0</v>
      </c>
      <c r="CI502" s="3" t="n">
        <v>0</v>
      </c>
      <c r="CJ502" s="3" t="n">
        <v>0</v>
      </c>
      <c r="CK502" s="3" t="n">
        <v>0</v>
      </c>
      <c r="CL502" s="3" t="n">
        <v>0</v>
      </c>
      <c r="CM502" s="3" t="n">
        <v>0</v>
      </c>
      <c r="CN502" s="3" t="n">
        <v>0</v>
      </c>
      <c r="CO502" s="3" t="n">
        <v>0</v>
      </c>
      <c r="CP502" s="3" t="n">
        <v>0</v>
      </c>
      <c r="CQ502" s="3" t="n">
        <v>0</v>
      </c>
      <c r="CR502" s="3" t="n">
        <v>0</v>
      </c>
      <c r="CS502" s="3" t="n">
        <v>0</v>
      </c>
      <c r="CU502" s="20" t="inlineStr">
        <is>
          <t>egy.mit.ener.mch.bio.6</t>
        </is>
      </c>
      <c r="CV502" s="3" t="n">
        <v>0</v>
      </c>
      <c r="CW502" s="3" t="n">
        <v>0</v>
      </c>
      <c r="CX502" s="3" t="n">
        <v>0</v>
      </c>
      <c r="CY502" s="3" t="n">
        <v>0</v>
      </c>
      <c r="CZ502" s="3" t="n">
        <v>0</v>
      </c>
      <c r="DA502" s="3" t="n">
        <v>0</v>
      </c>
      <c r="DB502" s="3" t="n">
        <v>0</v>
      </c>
      <c r="DC502" s="3" t="n">
        <v>0</v>
      </c>
      <c r="DD502" s="3" t="n">
        <v>0</v>
      </c>
      <c r="DE502" s="3" t="n">
        <v>0</v>
      </c>
      <c r="DF502" s="3" t="n">
        <v>0</v>
      </c>
      <c r="DG502" s="3" t="n">
        <v>0</v>
      </c>
      <c r="DH502" s="3" t="n">
        <v>0</v>
      </c>
      <c r="DI502" s="3" t="n">
        <v>0</v>
      </c>
      <c r="DJ502" s="3" t="n">
        <v>0</v>
      </c>
      <c r="DK502" s="3" t="n">
        <v>0</v>
      </c>
      <c r="DL502" s="3" t="n">
        <v>0</v>
      </c>
      <c r="DM502" s="3" t="n">
        <v>0</v>
      </c>
      <c r="DN502" s="3" t="n">
        <v>0</v>
      </c>
      <c r="DO502" s="3" t="n">
        <v>0</v>
      </c>
    </row>
    <row r="503">
      <c r="A503" s="14" t="n"/>
      <c r="B503" s="3" t="inlineStr">
        <is>
          <t>mit</t>
        </is>
      </c>
      <c r="C503" s="19" t="n"/>
      <c r="H503" s="14" t="inlineStr">
        <is>
          <t>Energy consumption, mining &amp; chemicals, sector-generated renewables, policy</t>
        </is>
      </c>
      <c r="I503" s="14" t="inlineStr">
        <is>
          <t>ktoe</t>
        </is>
      </c>
    </row>
    <row r="504">
      <c r="A504" s="19" t="inlineStr">
        <is>
          <t>mit.ener.irn.coa</t>
        </is>
      </c>
      <c r="B504" s="3" t="inlineStr">
        <is>
          <t>mit</t>
        </is>
      </c>
      <c r="C504" s="19" t="inlineStr">
        <is>
          <t>mit.atp.foo.oop.e</t>
        </is>
      </c>
      <c r="H504" s="3" t="inlineStr">
        <is>
          <t>Fuel use | Iron &amp; steel | Coal</t>
        </is>
      </c>
      <c r="I504" s="3" t="inlineStr">
        <is>
          <t>ktoe</t>
        </is>
      </c>
      <c r="K504" s="20" t="inlineStr">
        <is>
          <t>egy.mit.ener.irn.coa.1</t>
        </is>
      </c>
      <c r="L504" s="3" t="n">
        <v>233.5426488795035</v>
      </c>
      <c r="M504" s="3" t="n">
        <v>216.911718389234</v>
      </c>
      <c r="N504" s="3" t="n">
        <v>260.3843750274589</v>
      </c>
      <c r="O504" s="3" t="n">
        <v>281.8816184016762</v>
      </c>
      <c r="P504" s="3" t="n">
        <v>277.1453752407282</v>
      </c>
      <c r="Q504" s="3" t="n">
        <v>280.6671321290453</v>
      </c>
      <c r="R504" s="3" t="n">
        <v>288.279963731077</v>
      </c>
      <c r="S504" s="3" t="n">
        <v>295.6675937696942</v>
      </c>
      <c r="T504" s="3" t="n">
        <v>302.7152488386706</v>
      </c>
      <c r="U504" s="3" t="n">
        <v>309.7751754564125</v>
      </c>
      <c r="V504" s="3" t="n">
        <v>315.6398579165631</v>
      </c>
      <c r="W504" s="3" t="n">
        <v>321.5193391848382</v>
      </c>
      <c r="X504" s="3" t="n">
        <v>327.411943423707</v>
      </c>
      <c r="Y504" s="3" t="n">
        <v>333.3160095644092</v>
      </c>
      <c r="Z504" s="3" t="n">
        <v>339.2298899002384</v>
      </c>
      <c r="AA504" s="3" t="n">
        <v>345.1519485288214</v>
      </c>
      <c r="AB504" s="3" t="n">
        <v>351.0805596511382</v>
      </c>
      <c r="AC504" s="3" t="n">
        <v>357.01410573454</v>
      </c>
      <c r="AD504" s="3" t="n">
        <v>362.9509755465207</v>
      </c>
      <c r="AE504" s="3" t="n">
        <v>368.8895620655055</v>
      </c>
      <c r="AG504" s="20" t="inlineStr">
        <is>
          <t>egy.mit.ener.irn.coa.3</t>
        </is>
      </c>
      <c r="AH504" s="3" t="n">
        <v>233.5426488795035</v>
      </c>
      <c r="AI504" s="3" t="n">
        <v>216.911718389234</v>
      </c>
      <c r="AJ504" s="3" t="n">
        <v>260.3843750274589</v>
      </c>
      <c r="AK504" s="3" t="n">
        <v>281.8816184016762</v>
      </c>
      <c r="AL504" s="3" t="n">
        <v>277.1453752407282</v>
      </c>
      <c r="AM504" s="3" t="n">
        <v>244.1372166740992</v>
      </c>
      <c r="AN504" s="3" t="n">
        <v>250.5693840739395</v>
      </c>
      <c r="AO504" s="3" t="n">
        <v>256.8542221747583</v>
      </c>
      <c r="AP504" s="3" t="n">
        <v>262.5715257027986</v>
      </c>
      <c r="AQ504" s="3" t="n">
        <v>268.4918187630092</v>
      </c>
      <c r="AR504" s="3" t="n">
        <v>273.5041429914155</v>
      </c>
      <c r="AS504" s="3" t="n">
        <v>278.6931858013066</v>
      </c>
      <c r="AT504" s="3" t="n">
        <v>283.9735828302478</v>
      </c>
      <c r="AU504" s="3" t="n">
        <v>289.2280816934337</v>
      </c>
      <c r="AV504" s="3" t="n">
        <v>294.5266455853801</v>
      </c>
      <c r="AW504" s="3" t="n">
        <v>299.9139953942848</v>
      </c>
      <c r="AX504" s="3" t="n">
        <v>305.2346373156468</v>
      </c>
      <c r="AY504" s="3" t="n">
        <v>310.520796433463</v>
      </c>
      <c r="AZ504" s="3" t="n">
        <v>315.7165438641983</v>
      </c>
      <c r="BA504" s="3" t="n">
        <v>320.8871234064599</v>
      </c>
      <c r="BC504" s="20" t="inlineStr">
        <is>
          <t>egy.mit.ener.irn.coa.4</t>
        </is>
      </c>
      <c r="BD504" s="3" t="n">
        <v>233.5426488795035</v>
      </c>
      <c r="BE504" s="3" t="n">
        <v>216.911718389234</v>
      </c>
      <c r="BF504" s="3" t="n">
        <v>260.3843750274589</v>
      </c>
      <c r="BG504" s="3" t="n">
        <v>281.8816184016762</v>
      </c>
      <c r="BH504" s="3" t="n">
        <v>277.1453752407282</v>
      </c>
      <c r="BI504" s="3" t="n">
        <v>256.4678245601633</v>
      </c>
      <c r="BJ504" s="3" t="n">
        <v>237.7877260882378</v>
      </c>
      <c r="BK504" s="3" t="n">
        <v>223.4183726335941</v>
      </c>
      <c r="BL504" s="3" t="n">
        <v>211.7174148545684</v>
      </c>
      <c r="BM504" s="3" t="n">
        <v>204.5341665957125</v>
      </c>
      <c r="BN504" s="3" t="n">
        <v>198.0488501080777</v>
      </c>
      <c r="BO504" s="3" t="n">
        <v>192.545633230809</v>
      </c>
      <c r="BP504" s="3" t="n">
        <v>187.8706339150796</v>
      </c>
      <c r="BQ504" s="3" t="n">
        <v>183.8551511860482</v>
      </c>
      <c r="BR504" s="3" t="n">
        <v>180.3878474540725</v>
      </c>
      <c r="BS504" s="3" t="n">
        <v>177.4020485202154</v>
      </c>
      <c r="BT504" s="3" t="n">
        <v>174.8017439520015</v>
      </c>
      <c r="BU504" s="3" t="n">
        <v>172.5162489700393</v>
      </c>
      <c r="BV504" s="3" t="n">
        <v>170.465496350692</v>
      </c>
      <c r="BW504" s="3" t="n">
        <v>168.6082535812955</v>
      </c>
      <c r="BY504" s="20" t="inlineStr">
        <is>
          <t>egy.mit.ener.irn.coa.5</t>
        </is>
      </c>
      <c r="BZ504" s="3" t="n">
        <v>233.5426488795035</v>
      </c>
      <c r="CA504" s="3" t="n">
        <v>216.911718389234</v>
      </c>
      <c r="CB504" s="3" t="n">
        <v>260.3843750274589</v>
      </c>
      <c r="CC504" s="3" t="n">
        <v>281.8816184016762</v>
      </c>
      <c r="CD504" s="3" t="n">
        <v>277.1453752407282</v>
      </c>
      <c r="CE504" s="3" t="n">
        <v>253.2811959619759</v>
      </c>
      <c r="CF504" s="3" t="n">
        <v>251.9336922471107</v>
      </c>
      <c r="CG504" s="3" t="n">
        <v>250.886072585044</v>
      </c>
      <c r="CH504" s="3" t="n">
        <v>249.7095233154786</v>
      </c>
      <c r="CI504" s="3" t="n">
        <v>249.1707065254108</v>
      </c>
      <c r="CJ504" s="3" t="n">
        <v>248.1013162865944</v>
      </c>
      <c r="CK504" s="3" t="n">
        <v>247.3711758481289</v>
      </c>
      <c r="CL504" s="3" t="n">
        <v>246.8991325750719</v>
      </c>
      <c r="CM504" s="3" t="n">
        <v>246.5730977746614</v>
      </c>
      <c r="CN504" s="3" t="n">
        <v>248.8112062377187</v>
      </c>
      <c r="CO504" s="3" t="n">
        <v>251.0542526387927</v>
      </c>
      <c r="CP504" s="3" t="n">
        <v>253.2190646622179</v>
      </c>
      <c r="CQ504" s="3" t="n">
        <v>255.3487458123234</v>
      </c>
      <c r="CR504" s="3" t="n">
        <v>257.3808526656556</v>
      </c>
      <c r="CS504" s="3" t="n">
        <v>259.3817755010321</v>
      </c>
      <c r="CU504" s="20" t="inlineStr">
        <is>
          <t>egy.mit.ener.irn.coa.6</t>
        </is>
      </c>
      <c r="CV504" s="3" t="n">
        <v>233.5426488795035</v>
      </c>
      <c r="CW504" s="3" t="n">
        <v>216.911718389234</v>
      </c>
      <c r="CX504" s="3" t="n">
        <v>260.3843750274589</v>
      </c>
      <c r="CY504" s="3" t="n">
        <v>281.8816184016762</v>
      </c>
      <c r="CZ504" s="3" t="n">
        <v>277.1453752407282</v>
      </c>
      <c r="DA504" s="3" t="n">
        <v>207.7769092101431</v>
      </c>
      <c r="DB504" s="3" t="n">
        <v>213.1070895847585</v>
      </c>
      <c r="DC504" s="3" t="n">
        <v>218.3650127659411</v>
      </c>
      <c r="DD504" s="3" t="n">
        <v>222.8785291747538</v>
      </c>
      <c r="DE504" s="3" t="n">
        <v>227.7723765988142</v>
      </c>
      <c r="DF504" s="3" t="n">
        <v>231.9452106667722</v>
      </c>
      <c r="DG504" s="3" t="n">
        <v>236.4475384280695</v>
      </c>
      <c r="DH504" s="3" t="n">
        <v>241.0818512983448</v>
      </c>
      <c r="DI504" s="3" t="n">
        <v>245.667747263719</v>
      </c>
      <c r="DJ504" s="3" t="n">
        <v>250.322537500925</v>
      </c>
      <c r="DK504" s="3" t="n">
        <v>255.1315383047562</v>
      </c>
      <c r="DL504" s="3" t="n">
        <v>259.8102654172841</v>
      </c>
      <c r="DM504" s="3" t="n">
        <v>264.4311658689269</v>
      </c>
      <c r="DN504" s="3" t="n">
        <v>268.8869081579206</v>
      </c>
      <c r="DO504" s="3" t="n">
        <v>273.3018937980907</v>
      </c>
    </row>
    <row r="505">
      <c r="A505" s="19" t="inlineStr">
        <is>
          <t>mit.ener.irn.nga</t>
        </is>
      </c>
      <c r="B505" s="3" t="inlineStr">
        <is>
          <t>mit</t>
        </is>
      </c>
      <c r="C505" s="19" t="inlineStr">
        <is>
          <t>mit.atp.foo.bio.e</t>
        </is>
      </c>
      <c r="H505" s="3" t="inlineStr">
        <is>
          <t>Fuel use | Iron &amp; steel | Natural gas</t>
        </is>
      </c>
      <c r="I505" s="3" t="inlineStr">
        <is>
          <t>ktoe</t>
        </is>
      </c>
      <c r="K505" s="20" t="inlineStr">
        <is>
          <t>egy.mit.ener.irn.nga.1</t>
        </is>
      </c>
      <c r="L505" s="3" t="n">
        <v>1497.425857039353</v>
      </c>
      <c r="M505" s="3" t="n">
        <v>1185.9940512823</v>
      </c>
      <c r="N505" s="3" t="n">
        <v>1367.741596203418</v>
      </c>
      <c r="O505" s="3" t="n">
        <v>1421.791160211029</v>
      </c>
      <c r="P505" s="3" t="n">
        <v>1475.185330581917</v>
      </c>
      <c r="Q505" s="3" t="n">
        <v>1538.804646426839</v>
      </c>
      <c r="R505" s="3" t="n">
        <v>1615.216634310635</v>
      </c>
      <c r="S505" s="3" t="n">
        <v>1689.536756157907</v>
      </c>
      <c r="T505" s="3" t="n">
        <v>1760.070247007314</v>
      </c>
      <c r="U505" s="3" t="n">
        <v>1832.13092145404</v>
      </c>
      <c r="V505" s="3" t="n">
        <v>1905.981843616059</v>
      </c>
      <c r="W505" s="3" t="n">
        <v>1981.623215498099</v>
      </c>
      <c r="X505" s="3" t="n">
        <v>2059.053899871326</v>
      </c>
      <c r="Y505" s="3" t="n">
        <v>2138.271400056503</v>
      </c>
      <c r="Z505" s="3" t="n">
        <v>2219.271836947981</v>
      </c>
      <c r="AA505" s="3" t="n">
        <v>2302.049923051415</v>
      </c>
      <c r="AB505" s="3" t="n">
        <v>2386.59893331694</v>
      </c>
      <c r="AC505" s="3" t="n">
        <v>2472.910672558254</v>
      </c>
      <c r="AD505" s="3" t="n">
        <v>2560.97543925654</v>
      </c>
      <c r="AE505" s="3" t="n">
        <v>2650.781985556527</v>
      </c>
      <c r="AG505" s="20" t="inlineStr">
        <is>
          <t>egy.mit.ener.irn.nga.3</t>
        </is>
      </c>
      <c r="AH505" s="3" t="n">
        <v>1497.425857039353</v>
      </c>
      <c r="AI505" s="3" t="n">
        <v>1185.9940512823</v>
      </c>
      <c r="AJ505" s="3" t="n">
        <v>1367.741596203418</v>
      </c>
      <c r="AK505" s="3" t="n">
        <v>1421.791160211029</v>
      </c>
      <c r="AL505" s="3" t="n">
        <v>1475.185330581917</v>
      </c>
      <c r="AM505" s="3" t="n">
        <v>1319.576449071482</v>
      </c>
      <c r="AN505" s="3" t="n">
        <v>1385.102021538264</v>
      </c>
      <c r="AO505" s="3" t="n">
        <v>1449.675551224161</v>
      </c>
      <c r="AP505" s="3" t="n">
        <v>1508.226825901422</v>
      </c>
      <c r="AQ505" s="3" t="n">
        <v>1570.328542058671</v>
      </c>
      <c r="AR505" s="3" t="n">
        <v>1632.781342161598</v>
      </c>
      <c r="AS505" s="3" t="n">
        <v>1698.731382920755</v>
      </c>
      <c r="AT505" s="3" t="n">
        <v>1767.256921500306</v>
      </c>
      <c r="AU505" s="3" t="n">
        <v>1836.946565230628</v>
      </c>
      <c r="AV505" s="3" t="n">
        <v>1908.69524237404</v>
      </c>
      <c r="AW505" s="3" t="n">
        <v>1983.136797881584</v>
      </c>
      <c r="AX505" s="3" t="n">
        <v>2058.252432718737</v>
      </c>
      <c r="AY505" s="3" t="n">
        <v>2134.441174648633</v>
      </c>
      <c r="AZ505" s="3" t="n">
        <v>2210.900952685211</v>
      </c>
      <c r="BA505" s="3" t="n">
        <v>2288.500367692288</v>
      </c>
      <c r="BC505" s="20" t="inlineStr">
        <is>
          <t>egy.mit.ener.irn.nga.4</t>
        </is>
      </c>
      <c r="BD505" s="3" t="n">
        <v>1497.425857039353</v>
      </c>
      <c r="BE505" s="3" t="n">
        <v>1185.9940512823</v>
      </c>
      <c r="BF505" s="3" t="n">
        <v>1367.741596203418</v>
      </c>
      <c r="BG505" s="3" t="n">
        <v>1421.791160211029</v>
      </c>
      <c r="BH505" s="3" t="n">
        <v>1475.185330581917</v>
      </c>
      <c r="BI505" s="3" t="n">
        <v>1401.83232552843</v>
      </c>
      <c r="BJ505" s="3" t="n">
        <v>1320.532414698148</v>
      </c>
      <c r="BK505" s="3" t="n">
        <v>1257.441864085836</v>
      </c>
      <c r="BL505" s="3" t="n">
        <v>1204.433079651522</v>
      </c>
      <c r="BM505" s="3" t="n">
        <v>1173.493960678723</v>
      </c>
      <c r="BN505" s="3" t="n">
        <v>1148.467724050846</v>
      </c>
      <c r="BO505" s="3" t="n">
        <v>1128.954498751139</v>
      </c>
      <c r="BP505" s="3" t="n">
        <v>1114.374939670646</v>
      </c>
      <c r="BQ505" s="3" t="n">
        <v>1103.672291109562</v>
      </c>
      <c r="BR505" s="3" t="n">
        <v>1096.244687822483</v>
      </c>
      <c r="BS505" s="3" t="n">
        <v>1091.871953203827</v>
      </c>
      <c r="BT505" s="3" t="n">
        <v>1089.854897198314</v>
      </c>
      <c r="BU505" s="3" t="n">
        <v>1089.700384934169</v>
      </c>
      <c r="BV505" s="3" t="n">
        <v>1090.709493625705</v>
      </c>
      <c r="BW505" s="3" t="n">
        <v>1092.603422290513</v>
      </c>
      <c r="BY505" s="20" t="inlineStr">
        <is>
          <t>egy.mit.ener.irn.nga.5</t>
        </is>
      </c>
      <c r="BZ505" s="3" t="n">
        <v>1497.425857039353</v>
      </c>
      <c r="CA505" s="3" t="n">
        <v>1185.9940512823</v>
      </c>
      <c r="CB505" s="3" t="n">
        <v>1367.741596203418</v>
      </c>
      <c r="CC505" s="3" t="n">
        <v>1421.791160211029</v>
      </c>
      <c r="CD505" s="3" t="n">
        <v>1475.185330581917</v>
      </c>
      <c r="CE505" s="3" t="n">
        <v>1422.166532192748</v>
      </c>
      <c r="CF505" s="3" t="n">
        <v>1456.080136498819</v>
      </c>
      <c r="CG505" s="3" t="n">
        <v>1489.085162924188</v>
      </c>
      <c r="CH505" s="3" t="n">
        <v>1516.520192611129</v>
      </c>
      <c r="CI505" s="3" t="n">
        <v>1548.52987425616</v>
      </c>
      <c r="CJ505" s="3" t="n">
        <v>1580.543612723814</v>
      </c>
      <c r="CK505" s="3" t="n">
        <v>1615.506815233045</v>
      </c>
      <c r="CL505" s="3" t="n">
        <v>1651.9395596415</v>
      </c>
      <c r="CM505" s="3" t="n">
        <v>1689.094480314261</v>
      </c>
      <c r="CN505" s="3" t="n">
        <v>1741.51931262359</v>
      </c>
      <c r="CO505" s="3" t="n">
        <v>1795.260380893139</v>
      </c>
      <c r="CP505" s="3" t="n">
        <v>1848.916482754567</v>
      </c>
      <c r="CQ505" s="3" t="n">
        <v>1903.085541951029</v>
      </c>
      <c r="CR505" s="3" t="n">
        <v>1956.916127509809</v>
      </c>
      <c r="CS505" s="3" t="n">
        <v>2011.381905670243</v>
      </c>
      <c r="CU505" s="20" t="inlineStr">
        <is>
          <t>egy.mit.ener.irn.nga.6</t>
        </is>
      </c>
      <c r="CV505" s="3" t="n">
        <v>1497.425857039353</v>
      </c>
      <c r="CW505" s="3" t="n">
        <v>1185.9940512823</v>
      </c>
      <c r="CX505" s="3" t="n">
        <v>1367.741596203418</v>
      </c>
      <c r="CY505" s="3" t="n">
        <v>1421.791160211029</v>
      </c>
      <c r="CZ505" s="3" t="n">
        <v>1475.185330581917</v>
      </c>
      <c r="DA505" s="3" t="n">
        <v>1097.872294397445</v>
      </c>
      <c r="DB505" s="3" t="n">
        <v>1152.388531122221</v>
      </c>
      <c r="DC505" s="3" t="n">
        <v>1206.911897172016</v>
      </c>
      <c r="DD505" s="3" t="n">
        <v>1253.734641403438</v>
      </c>
      <c r="DE505" s="3" t="n">
        <v>1305.859266444449</v>
      </c>
      <c r="DF505" s="3" t="n">
        <v>1356.865771279833</v>
      </c>
      <c r="DG505" s="3" t="n">
        <v>1412.887106434142</v>
      </c>
      <c r="DH505" s="3" t="n">
        <v>1471.765786748293</v>
      </c>
      <c r="DI505" s="3" t="n">
        <v>1531.361603867935</v>
      </c>
      <c r="DJ505" s="3" t="n">
        <v>1593.137174299856</v>
      </c>
      <c r="DK505" s="3" t="n">
        <v>1658.262811327419</v>
      </c>
      <c r="DL505" s="3" t="n">
        <v>1723.096017708414</v>
      </c>
      <c r="DM505" s="3" t="n">
        <v>1788.520592017838</v>
      </c>
      <c r="DN505" s="3" t="n">
        <v>1853.018603350693</v>
      </c>
      <c r="DO505" s="3" t="n">
        <v>1918.216164584239</v>
      </c>
    </row>
    <row r="506">
      <c r="A506" s="19" t="inlineStr">
        <is>
          <t>mit.ener.irn.gso</t>
        </is>
      </c>
      <c r="B506" s="3" t="inlineStr">
        <is>
          <t>mit</t>
        </is>
      </c>
      <c r="C506" s="19" t="inlineStr">
        <is>
          <t>mit.atp.foo.ren.e</t>
        </is>
      </c>
      <c r="H506" s="3" t="inlineStr">
        <is>
          <t>Fuel use | Iron &amp; steel | Gasoline</t>
        </is>
      </c>
      <c r="I506" s="3" t="inlineStr">
        <is>
          <t>ktoe</t>
        </is>
      </c>
      <c r="K506" s="20" t="inlineStr">
        <is>
          <t>egy.mit.ener.irn.gso.1</t>
        </is>
      </c>
      <c r="L506" s="3" t="n">
        <v>0</v>
      </c>
      <c r="M506" s="3" t="n">
        <v>0</v>
      </c>
      <c r="N506" s="3" t="n">
        <v>0</v>
      </c>
      <c r="O506" s="3" t="n">
        <v>0</v>
      </c>
      <c r="P506" s="3" t="n">
        <v>0</v>
      </c>
      <c r="Q506" s="3" t="n">
        <v>0</v>
      </c>
      <c r="R506" s="3" t="n">
        <v>0</v>
      </c>
      <c r="S506" s="3" t="n">
        <v>0</v>
      </c>
      <c r="T506" s="3" t="n">
        <v>0</v>
      </c>
      <c r="U506" s="3" t="n">
        <v>0</v>
      </c>
      <c r="V506" s="3" t="n">
        <v>0</v>
      </c>
      <c r="W506" s="3" t="n">
        <v>0</v>
      </c>
      <c r="X506" s="3" t="n">
        <v>0</v>
      </c>
      <c r="Y506" s="3" t="n">
        <v>0</v>
      </c>
      <c r="Z506" s="3" t="n">
        <v>0</v>
      </c>
      <c r="AA506" s="3" t="n">
        <v>0</v>
      </c>
      <c r="AB506" s="3" t="n">
        <v>0</v>
      </c>
      <c r="AC506" s="3" t="n">
        <v>0</v>
      </c>
      <c r="AD506" s="3" t="n">
        <v>0</v>
      </c>
      <c r="AE506" s="3" t="n">
        <v>0</v>
      </c>
      <c r="AG506" s="20" t="inlineStr">
        <is>
          <t>egy.mit.ener.irn.gso.3</t>
        </is>
      </c>
      <c r="AH506" s="3" t="n">
        <v>0</v>
      </c>
      <c r="AI506" s="3" t="n">
        <v>0</v>
      </c>
      <c r="AJ506" s="3" t="n">
        <v>0</v>
      </c>
      <c r="AK506" s="3" t="n">
        <v>0</v>
      </c>
      <c r="AL506" s="3" t="n">
        <v>0</v>
      </c>
      <c r="AM506" s="3" t="n">
        <v>0</v>
      </c>
      <c r="AN506" s="3" t="n">
        <v>0</v>
      </c>
      <c r="AO506" s="3" t="n">
        <v>0</v>
      </c>
      <c r="AP506" s="3" t="n">
        <v>0</v>
      </c>
      <c r="AQ506" s="3" t="n">
        <v>0</v>
      </c>
      <c r="AR506" s="3" t="n">
        <v>0</v>
      </c>
      <c r="AS506" s="3" t="n">
        <v>0</v>
      </c>
      <c r="AT506" s="3" t="n">
        <v>0</v>
      </c>
      <c r="AU506" s="3" t="n">
        <v>0</v>
      </c>
      <c r="AV506" s="3" t="n">
        <v>0</v>
      </c>
      <c r="AW506" s="3" t="n">
        <v>0</v>
      </c>
      <c r="AX506" s="3" t="n">
        <v>0</v>
      </c>
      <c r="AY506" s="3" t="n">
        <v>0</v>
      </c>
      <c r="AZ506" s="3" t="n">
        <v>0</v>
      </c>
      <c r="BA506" s="3" t="n">
        <v>0</v>
      </c>
      <c r="BC506" s="20" t="inlineStr">
        <is>
          <t>egy.mit.ener.irn.gso.4</t>
        </is>
      </c>
      <c r="BD506" s="3" t="n">
        <v>0</v>
      </c>
      <c r="BE506" s="3" t="n">
        <v>0</v>
      </c>
      <c r="BF506" s="3" t="n">
        <v>0</v>
      </c>
      <c r="BG506" s="3" t="n">
        <v>0</v>
      </c>
      <c r="BH506" s="3" t="n">
        <v>0</v>
      </c>
      <c r="BI506" s="3" t="n">
        <v>0</v>
      </c>
      <c r="BJ506" s="3" t="n">
        <v>0</v>
      </c>
      <c r="BK506" s="3" t="n">
        <v>0</v>
      </c>
      <c r="BL506" s="3" t="n">
        <v>0</v>
      </c>
      <c r="BM506" s="3" t="n">
        <v>0</v>
      </c>
      <c r="BN506" s="3" t="n">
        <v>0</v>
      </c>
      <c r="BO506" s="3" t="n">
        <v>0</v>
      </c>
      <c r="BP506" s="3" t="n">
        <v>0</v>
      </c>
      <c r="BQ506" s="3" t="n">
        <v>0</v>
      </c>
      <c r="BR506" s="3" t="n">
        <v>0</v>
      </c>
      <c r="BS506" s="3" t="n">
        <v>0</v>
      </c>
      <c r="BT506" s="3" t="n">
        <v>0</v>
      </c>
      <c r="BU506" s="3" t="n">
        <v>0</v>
      </c>
      <c r="BV506" s="3" t="n">
        <v>0</v>
      </c>
      <c r="BW506" s="3" t="n">
        <v>0</v>
      </c>
      <c r="BY506" s="20" t="inlineStr">
        <is>
          <t>egy.mit.ener.irn.gso.5</t>
        </is>
      </c>
      <c r="BZ506" s="3" t="n">
        <v>0</v>
      </c>
      <c r="CA506" s="3" t="n">
        <v>0</v>
      </c>
      <c r="CB506" s="3" t="n">
        <v>0</v>
      </c>
      <c r="CC506" s="3" t="n">
        <v>0</v>
      </c>
      <c r="CD506" s="3" t="n">
        <v>0</v>
      </c>
      <c r="CE506" s="3" t="n">
        <v>0</v>
      </c>
      <c r="CF506" s="3" t="n">
        <v>0</v>
      </c>
      <c r="CG506" s="3" t="n">
        <v>0</v>
      </c>
      <c r="CH506" s="3" t="n">
        <v>0</v>
      </c>
      <c r="CI506" s="3" t="n">
        <v>0</v>
      </c>
      <c r="CJ506" s="3" t="n">
        <v>0</v>
      </c>
      <c r="CK506" s="3" t="n">
        <v>0</v>
      </c>
      <c r="CL506" s="3" t="n">
        <v>0</v>
      </c>
      <c r="CM506" s="3" t="n">
        <v>0</v>
      </c>
      <c r="CN506" s="3" t="n">
        <v>0</v>
      </c>
      <c r="CO506" s="3" t="n">
        <v>0</v>
      </c>
      <c r="CP506" s="3" t="n">
        <v>0</v>
      </c>
      <c r="CQ506" s="3" t="n">
        <v>0</v>
      </c>
      <c r="CR506" s="3" t="n">
        <v>0</v>
      </c>
      <c r="CS506" s="3" t="n">
        <v>0</v>
      </c>
      <c r="CU506" s="20" t="inlineStr">
        <is>
          <t>egy.mit.ener.irn.gso.6</t>
        </is>
      </c>
      <c r="CV506" s="3" t="n">
        <v>0</v>
      </c>
      <c r="CW506" s="3" t="n">
        <v>0</v>
      </c>
      <c r="CX506" s="3" t="n">
        <v>0</v>
      </c>
      <c r="CY506" s="3" t="n">
        <v>0</v>
      </c>
      <c r="CZ506" s="3" t="n">
        <v>0</v>
      </c>
      <c r="DA506" s="3" t="n">
        <v>0</v>
      </c>
      <c r="DB506" s="3" t="n">
        <v>0</v>
      </c>
      <c r="DC506" s="3" t="n">
        <v>0</v>
      </c>
      <c r="DD506" s="3" t="n">
        <v>0</v>
      </c>
      <c r="DE506" s="3" t="n">
        <v>0</v>
      </c>
      <c r="DF506" s="3" t="n">
        <v>0</v>
      </c>
      <c r="DG506" s="3" t="n">
        <v>0</v>
      </c>
      <c r="DH506" s="3" t="n">
        <v>0</v>
      </c>
      <c r="DI506" s="3" t="n">
        <v>0</v>
      </c>
      <c r="DJ506" s="3" t="n">
        <v>0</v>
      </c>
      <c r="DK506" s="3" t="n">
        <v>0</v>
      </c>
      <c r="DL506" s="3" t="n">
        <v>0</v>
      </c>
      <c r="DM506" s="3" t="n">
        <v>0</v>
      </c>
      <c r="DN506" s="3" t="n">
        <v>0</v>
      </c>
      <c r="DO506" s="3" t="n">
        <v>0</v>
      </c>
    </row>
    <row r="507">
      <c r="A507" s="19" t="inlineStr">
        <is>
          <t>mit.ener.irn.die</t>
        </is>
      </c>
      <c r="B507" s="3" t="inlineStr">
        <is>
          <t>mit</t>
        </is>
      </c>
      <c r="C507" s="19" t="n"/>
      <c r="H507" s="3" t="inlineStr">
        <is>
          <t>Fuel use | Iron &amp; steel | Diesel</t>
        </is>
      </c>
      <c r="I507" s="3" t="inlineStr">
        <is>
          <t>ktoe</t>
        </is>
      </c>
      <c r="K507" s="20" t="inlineStr">
        <is>
          <t>egy.mit.ener.irn.die.1</t>
        </is>
      </c>
      <c r="L507" s="3" t="n">
        <v>0</v>
      </c>
      <c r="M507" s="3" t="n">
        <v>0</v>
      </c>
      <c r="N507" s="3" t="n">
        <v>0</v>
      </c>
      <c r="O507" s="3" t="n">
        <v>0</v>
      </c>
      <c r="P507" s="3" t="n">
        <v>0</v>
      </c>
      <c r="Q507" s="3" t="n">
        <v>0</v>
      </c>
      <c r="R507" s="3" t="n">
        <v>0</v>
      </c>
      <c r="S507" s="3" t="n">
        <v>0</v>
      </c>
      <c r="T507" s="3" t="n">
        <v>0</v>
      </c>
      <c r="U507" s="3" t="n">
        <v>0</v>
      </c>
      <c r="V507" s="3" t="n">
        <v>0</v>
      </c>
      <c r="W507" s="3" t="n">
        <v>0</v>
      </c>
      <c r="X507" s="3" t="n">
        <v>0</v>
      </c>
      <c r="Y507" s="3" t="n">
        <v>0</v>
      </c>
      <c r="Z507" s="3" t="n">
        <v>0</v>
      </c>
      <c r="AA507" s="3" t="n">
        <v>0</v>
      </c>
      <c r="AB507" s="3" t="n">
        <v>0</v>
      </c>
      <c r="AC507" s="3" t="n">
        <v>0</v>
      </c>
      <c r="AD507" s="3" t="n">
        <v>0</v>
      </c>
      <c r="AE507" s="3" t="n">
        <v>0</v>
      </c>
      <c r="AG507" s="20" t="inlineStr">
        <is>
          <t>egy.mit.ener.irn.die.3</t>
        </is>
      </c>
      <c r="AH507" s="3" t="n">
        <v>0</v>
      </c>
      <c r="AI507" s="3" t="n">
        <v>0</v>
      </c>
      <c r="AJ507" s="3" t="n">
        <v>0</v>
      </c>
      <c r="AK507" s="3" t="n">
        <v>0</v>
      </c>
      <c r="AL507" s="3" t="n">
        <v>0</v>
      </c>
      <c r="AM507" s="3" t="n">
        <v>0</v>
      </c>
      <c r="AN507" s="3" t="n">
        <v>0</v>
      </c>
      <c r="AO507" s="3" t="n">
        <v>0</v>
      </c>
      <c r="AP507" s="3" t="n">
        <v>0</v>
      </c>
      <c r="AQ507" s="3" t="n">
        <v>0</v>
      </c>
      <c r="AR507" s="3" t="n">
        <v>0</v>
      </c>
      <c r="AS507" s="3" t="n">
        <v>0</v>
      </c>
      <c r="AT507" s="3" t="n">
        <v>0</v>
      </c>
      <c r="AU507" s="3" t="n">
        <v>0</v>
      </c>
      <c r="AV507" s="3" t="n">
        <v>0</v>
      </c>
      <c r="AW507" s="3" t="n">
        <v>0</v>
      </c>
      <c r="AX507" s="3" t="n">
        <v>0</v>
      </c>
      <c r="AY507" s="3" t="n">
        <v>0</v>
      </c>
      <c r="AZ507" s="3" t="n">
        <v>0</v>
      </c>
      <c r="BA507" s="3" t="n">
        <v>0</v>
      </c>
      <c r="BC507" s="20" t="inlineStr">
        <is>
          <t>egy.mit.ener.irn.die.4</t>
        </is>
      </c>
      <c r="BD507" s="3" t="n">
        <v>0</v>
      </c>
      <c r="BE507" s="3" t="n">
        <v>0</v>
      </c>
      <c r="BF507" s="3" t="n">
        <v>0</v>
      </c>
      <c r="BG507" s="3" t="n">
        <v>0</v>
      </c>
      <c r="BH507" s="3" t="n">
        <v>0</v>
      </c>
      <c r="BI507" s="3" t="n">
        <v>0</v>
      </c>
      <c r="BJ507" s="3" t="n">
        <v>0</v>
      </c>
      <c r="BK507" s="3" t="n">
        <v>0</v>
      </c>
      <c r="BL507" s="3" t="n">
        <v>0</v>
      </c>
      <c r="BM507" s="3" t="n">
        <v>0</v>
      </c>
      <c r="BN507" s="3" t="n">
        <v>0</v>
      </c>
      <c r="BO507" s="3" t="n">
        <v>0</v>
      </c>
      <c r="BP507" s="3" t="n">
        <v>0</v>
      </c>
      <c r="BQ507" s="3" t="n">
        <v>0</v>
      </c>
      <c r="BR507" s="3" t="n">
        <v>0</v>
      </c>
      <c r="BS507" s="3" t="n">
        <v>0</v>
      </c>
      <c r="BT507" s="3" t="n">
        <v>0</v>
      </c>
      <c r="BU507" s="3" t="n">
        <v>0</v>
      </c>
      <c r="BV507" s="3" t="n">
        <v>0</v>
      </c>
      <c r="BW507" s="3" t="n">
        <v>0</v>
      </c>
      <c r="BY507" s="20" t="inlineStr">
        <is>
          <t>egy.mit.ener.irn.die.5</t>
        </is>
      </c>
      <c r="BZ507" s="3" t="n">
        <v>0</v>
      </c>
      <c r="CA507" s="3" t="n">
        <v>0</v>
      </c>
      <c r="CB507" s="3" t="n">
        <v>0</v>
      </c>
      <c r="CC507" s="3" t="n">
        <v>0</v>
      </c>
      <c r="CD507" s="3" t="n">
        <v>0</v>
      </c>
      <c r="CE507" s="3" t="n">
        <v>0</v>
      </c>
      <c r="CF507" s="3" t="n">
        <v>0</v>
      </c>
      <c r="CG507" s="3" t="n">
        <v>0</v>
      </c>
      <c r="CH507" s="3" t="n">
        <v>0</v>
      </c>
      <c r="CI507" s="3" t="n">
        <v>0</v>
      </c>
      <c r="CJ507" s="3" t="n">
        <v>0</v>
      </c>
      <c r="CK507" s="3" t="n">
        <v>0</v>
      </c>
      <c r="CL507" s="3" t="n">
        <v>0</v>
      </c>
      <c r="CM507" s="3" t="n">
        <v>0</v>
      </c>
      <c r="CN507" s="3" t="n">
        <v>0</v>
      </c>
      <c r="CO507" s="3" t="n">
        <v>0</v>
      </c>
      <c r="CP507" s="3" t="n">
        <v>0</v>
      </c>
      <c r="CQ507" s="3" t="n">
        <v>0</v>
      </c>
      <c r="CR507" s="3" t="n">
        <v>0</v>
      </c>
      <c r="CS507" s="3" t="n">
        <v>0</v>
      </c>
      <c r="CU507" s="20" t="inlineStr">
        <is>
          <t>egy.mit.ener.irn.die.6</t>
        </is>
      </c>
      <c r="CV507" s="3" t="n">
        <v>0</v>
      </c>
      <c r="CW507" s="3" t="n">
        <v>0</v>
      </c>
      <c r="CX507" s="3" t="n">
        <v>0</v>
      </c>
      <c r="CY507" s="3" t="n">
        <v>0</v>
      </c>
      <c r="CZ507" s="3" t="n">
        <v>0</v>
      </c>
      <c r="DA507" s="3" t="n">
        <v>0</v>
      </c>
      <c r="DB507" s="3" t="n">
        <v>0</v>
      </c>
      <c r="DC507" s="3" t="n">
        <v>0</v>
      </c>
      <c r="DD507" s="3" t="n">
        <v>0</v>
      </c>
      <c r="DE507" s="3" t="n">
        <v>0</v>
      </c>
      <c r="DF507" s="3" t="n">
        <v>0</v>
      </c>
      <c r="DG507" s="3" t="n">
        <v>0</v>
      </c>
      <c r="DH507" s="3" t="n">
        <v>0</v>
      </c>
      <c r="DI507" s="3" t="n">
        <v>0</v>
      </c>
      <c r="DJ507" s="3" t="n">
        <v>0</v>
      </c>
      <c r="DK507" s="3" t="n">
        <v>0</v>
      </c>
      <c r="DL507" s="3" t="n">
        <v>0</v>
      </c>
      <c r="DM507" s="3" t="n">
        <v>0</v>
      </c>
      <c r="DN507" s="3" t="n">
        <v>0</v>
      </c>
      <c r="DO507" s="3" t="n">
        <v>0</v>
      </c>
    </row>
    <row r="508">
      <c r="A508" s="19" t="inlineStr">
        <is>
          <t>mit.ener.irn.lpg</t>
        </is>
      </c>
      <c r="B508" s="3" t="inlineStr">
        <is>
          <t>mit</t>
        </is>
      </c>
      <c r="C508" s="19" t="n"/>
      <c r="H508" s="3" t="inlineStr">
        <is>
          <t>Fuel use | Iron &amp; steel | LPG</t>
        </is>
      </c>
      <c r="I508" s="3" t="inlineStr">
        <is>
          <t>ktoe</t>
        </is>
      </c>
      <c r="K508" s="20" t="inlineStr">
        <is>
          <t>egy.mit.ener.irn.lpg.1</t>
        </is>
      </c>
      <c r="L508" s="3" t="n">
        <v>0</v>
      </c>
      <c r="M508" s="3" t="n">
        <v>0</v>
      </c>
      <c r="N508" s="3" t="n">
        <v>0</v>
      </c>
      <c r="O508" s="3" t="n">
        <v>0</v>
      </c>
      <c r="P508" s="3" t="n">
        <v>0</v>
      </c>
      <c r="Q508" s="3" t="n">
        <v>0</v>
      </c>
      <c r="R508" s="3" t="n">
        <v>0</v>
      </c>
      <c r="S508" s="3" t="n">
        <v>0</v>
      </c>
      <c r="T508" s="3" t="n">
        <v>0</v>
      </c>
      <c r="U508" s="3" t="n">
        <v>0</v>
      </c>
      <c r="V508" s="3" t="n">
        <v>0</v>
      </c>
      <c r="W508" s="3" t="n">
        <v>0</v>
      </c>
      <c r="X508" s="3" t="n">
        <v>0</v>
      </c>
      <c r="Y508" s="3" t="n">
        <v>0</v>
      </c>
      <c r="Z508" s="3" t="n">
        <v>0</v>
      </c>
      <c r="AA508" s="3" t="n">
        <v>0</v>
      </c>
      <c r="AB508" s="3" t="n">
        <v>0</v>
      </c>
      <c r="AC508" s="3" t="n">
        <v>0</v>
      </c>
      <c r="AD508" s="3" t="n">
        <v>0</v>
      </c>
      <c r="AE508" s="3" t="n">
        <v>0</v>
      </c>
      <c r="AG508" s="20" t="inlineStr">
        <is>
          <t>egy.mit.ener.irn.lpg.3</t>
        </is>
      </c>
      <c r="AH508" s="3" t="n">
        <v>0</v>
      </c>
      <c r="AI508" s="3" t="n">
        <v>0</v>
      </c>
      <c r="AJ508" s="3" t="n">
        <v>0</v>
      </c>
      <c r="AK508" s="3" t="n">
        <v>0</v>
      </c>
      <c r="AL508" s="3" t="n">
        <v>0</v>
      </c>
      <c r="AM508" s="3" t="n">
        <v>0</v>
      </c>
      <c r="AN508" s="3" t="n">
        <v>0</v>
      </c>
      <c r="AO508" s="3" t="n">
        <v>0</v>
      </c>
      <c r="AP508" s="3" t="n">
        <v>0</v>
      </c>
      <c r="AQ508" s="3" t="n">
        <v>0</v>
      </c>
      <c r="AR508" s="3" t="n">
        <v>0</v>
      </c>
      <c r="AS508" s="3" t="n">
        <v>0</v>
      </c>
      <c r="AT508" s="3" t="n">
        <v>0</v>
      </c>
      <c r="AU508" s="3" t="n">
        <v>0</v>
      </c>
      <c r="AV508" s="3" t="n">
        <v>0</v>
      </c>
      <c r="AW508" s="3" t="n">
        <v>0</v>
      </c>
      <c r="AX508" s="3" t="n">
        <v>0</v>
      </c>
      <c r="AY508" s="3" t="n">
        <v>0</v>
      </c>
      <c r="AZ508" s="3" t="n">
        <v>0</v>
      </c>
      <c r="BA508" s="3" t="n">
        <v>0</v>
      </c>
      <c r="BC508" s="20" t="inlineStr">
        <is>
          <t>egy.mit.ener.irn.lpg.4</t>
        </is>
      </c>
      <c r="BD508" s="3" t="n">
        <v>0</v>
      </c>
      <c r="BE508" s="3" t="n">
        <v>0</v>
      </c>
      <c r="BF508" s="3" t="n">
        <v>0</v>
      </c>
      <c r="BG508" s="3" t="n">
        <v>0</v>
      </c>
      <c r="BH508" s="3" t="n">
        <v>0</v>
      </c>
      <c r="BI508" s="3" t="n">
        <v>0</v>
      </c>
      <c r="BJ508" s="3" t="n">
        <v>0</v>
      </c>
      <c r="BK508" s="3" t="n">
        <v>0</v>
      </c>
      <c r="BL508" s="3" t="n">
        <v>0</v>
      </c>
      <c r="BM508" s="3" t="n">
        <v>0</v>
      </c>
      <c r="BN508" s="3" t="n">
        <v>0</v>
      </c>
      <c r="BO508" s="3" t="n">
        <v>0</v>
      </c>
      <c r="BP508" s="3" t="n">
        <v>0</v>
      </c>
      <c r="BQ508" s="3" t="n">
        <v>0</v>
      </c>
      <c r="BR508" s="3" t="n">
        <v>0</v>
      </c>
      <c r="BS508" s="3" t="n">
        <v>0</v>
      </c>
      <c r="BT508" s="3" t="n">
        <v>0</v>
      </c>
      <c r="BU508" s="3" t="n">
        <v>0</v>
      </c>
      <c r="BV508" s="3" t="n">
        <v>0</v>
      </c>
      <c r="BW508" s="3" t="n">
        <v>0</v>
      </c>
      <c r="BY508" s="20" t="inlineStr">
        <is>
          <t>egy.mit.ener.irn.lpg.5</t>
        </is>
      </c>
      <c r="BZ508" s="3" t="n">
        <v>0</v>
      </c>
      <c r="CA508" s="3" t="n">
        <v>0</v>
      </c>
      <c r="CB508" s="3" t="n">
        <v>0</v>
      </c>
      <c r="CC508" s="3" t="n">
        <v>0</v>
      </c>
      <c r="CD508" s="3" t="n">
        <v>0</v>
      </c>
      <c r="CE508" s="3" t="n">
        <v>0</v>
      </c>
      <c r="CF508" s="3" t="n">
        <v>0</v>
      </c>
      <c r="CG508" s="3" t="n">
        <v>0</v>
      </c>
      <c r="CH508" s="3" t="n">
        <v>0</v>
      </c>
      <c r="CI508" s="3" t="n">
        <v>0</v>
      </c>
      <c r="CJ508" s="3" t="n">
        <v>0</v>
      </c>
      <c r="CK508" s="3" t="n">
        <v>0</v>
      </c>
      <c r="CL508" s="3" t="n">
        <v>0</v>
      </c>
      <c r="CM508" s="3" t="n">
        <v>0</v>
      </c>
      <c r="CN508" s="3" t="n">
        <v>0</v>
      </c>
      <c r="CO508" s="3" t="n">
        <v>0</v>
      </c>
      <c r="CP508" s="3" t="n">
        <v>0</v>
      </c>
      <c r="CQ508" s="3" t="n">
        <v>0</v>
      </c>
      <c r="CR508" s="3" t="n">
        <v>0</v>
      </c>
      <c r="CS508" s="3" t="n">
        <v>0</v>
      </c>
      <c r="CU508" s="20" t="inlineStr">
        <is>
          <t>egy.mit.ener.irn.lpg.6</t>
        </is>
      </c>
      <c r="CV508" s="3" t="n">
        <v>0</v>
      </c>
      <c r="CW508" s="3" t="n">
        <v>0</v>
      </c>
      <c r="CX508" s="3" t="n">
        <v>0</v>
      </c>
      <c r="CY508" s="3" t="n">
        <v>0</v>
      </c>
      <c r="CZ508" s="3" t="n">
        <v>0</v>
      </c>
      <c r="DA508" s="3" t="n">
        <v>0</v>
      </c>
      <c r="DB508" s="3" t="n">
        <v>0</v>
      </c>
      <c r="DC508" s="3" t="n">
        <v>0</v>
      </c>
      <c r="DD508" s="3" t="n">
        <v>0</v>
      </c>
      <c r="DE508" s="3" t="n">
        <v>0</v>
      </c>
      <c r="DF508" s="3" t="n">
        <v>0</v>
      </c>
      <c r="DG508" s="3" t="n">
        <v>0</v>
      </c>
      <c r="DH508" s="3" t="n">
        <v>0</v>
      </c>
      <c r="DI508" s="3" t="n">
        <v>0</v>
      </c>
      <c r="DJ508" s="3" t="n">
        <v>0</v>
      </c>
      <c r="DK508" s="3" t="n">
        <v>0</v>
      </c>
      <c r="DL508" s="3" t="n">
        <v>0</v>
      </c>
      <c r="DM508" s="3" t="n">
        <v>0</v>
      </c>
      <c r="DN508" s="3" t="n">
        <v>0</v>
      </c>
      <c r="DO508" s="3" t="n">
        <v>0</v>
      </c>
    </row>
    <row r="509">
      <c r="A509" s="19" t="inlineStr">
        <is>
          <t>mit.ener.irn.ker</t>
        </is>
      </c>
      <c r="B509" s="3" t="inlineStr">
        <is>
          <t>mit</t>
        </is>
      </c>
      <c r="C509" s="19" t="inlineStr">
        <is>
          <t>mit.ener.foo.coa.e</t>
        </is>
      </c>
      <c r="H509" s="3" t="inlineStr">
        <is>
          <t>Fuel use | Iron &amp; steel | Kerosene</t>
        </is>
      </c>
      <c r="I509" s="3" t="inlineStr">
        <is>
          <t>ktoe</t>
        </is>
      </c>
      <c r="K509" s="20" t="inlineStr">
        <is>
          <t>egy.mit.ener.irn.ker.1</t>
        </is>
      </c>
      <c r="L509" s="3" t="n">
        <v>0</v>
      </c>
      <c r="M509" s="3" t="n">
        <v>0</v>
      </c>
      <c r="N509" s="3" t="n">
        <v>0</v>
      </c>
      <c r="O509" s="3" t="n">
        <v>0</v>
      </c>
      <c r="P509" s="3" t="n">
        <v>0</v>
      </c>
      <c r="Q509" s="3" t="n">
        <v>0</v>
      </c>
      <c r="R509" s="3" t="n">
        <v>0</v>
      </c>
      <c r="S509" s="3" t="n">
        <v>0</v>
      </c>
      <c r="T509" s="3" t="n">
        <v>0</v>
      </c>
      <c r="U509" s="3" t="n">
        <v>0</v>
      </c>
      <c r="V509" s="3" t="n">
        <v>0</v>
      </c>
      <c r="W509" s="3" t="n">
        <v>0</v>
      </c>
      <c r="X509" s="3" t="n">
        <v>0</v>
      </c>
      <c r="Y509" s="3" t="n">
        <v>0</v>
      </c>
      <c r="Z509" s="3" t="n">
        <v>0</v>
      </c>
      <c r="AA509" s="3" t="n">
        <v>0</v>
      </c>
      <c r="AB509" s="3" t="n">
        <v>0</v>
      </c>
      <c r="AC509" s="3" t="n">
        <v>0</v>
      </c>
      <c r="AD509" s="3" t="n">
        <v>0</v>
      </c>
      <c r="AE509" s="3" t="n">
        <v>0</v>
      </c>
      <c r="AG509" s="20" t="inlineStr">
        <is>
          <t>egy.mit.ener.irn.ker.3</t>
        </is>
      </c>
      <c r="AH509" s="3" t="n">
        <v>0</v>
      </c>
      <c r="AI509" s="3" t="n">
        <v>0</v>
      </c>
      <c r="AJ509" s="3" t="n">
        <v>0</v>
      </c>
      <c r="AK509" s="3" t="n">
        <v>0</v>
      </c>
      <c r="AL509" s="3" t="n">
        <v>0</v>
      </c>
      <c r="AM509" s="3" t="n">
        <v>0</v>
      </c>
      <c r="AN509" s="3" t="n">
        <v>0</v>
      </c>
      <c r="AO509" s="3" t="n">
        <v>0</v>
      </c>
      <c r="AP509" s="3" t="n">
        <v>0</v>
      </c>
      <c r="AQ509" s="3" t="n">
        <v>0</v>
      </c>
      <c r="AR509" s="3" t="n">
        <v>0</v>
      </c>
      <c r="AS509" s="3" t="n">
        <v>0</v>
      </c>
      <c r="AT509" s="3" t="n">
        <v>0</v>
      </c>
      <c r="AU509" s="3" t="n">
        <v>0</v>
      </c>
      <c r="AV509" s="3" t="n">
        <v>0</v>
      </c>
      <c r="AW509" s="3" t="n">
        <v>0</v>
      </c>
      <c r="AX509" s="3" t="n">
        <v>0</v>
      </c>
      <c r="AY509" s="3" t="n">
        <v>0</v>
      </c>
      <c r="AZ509" s="3" t="n">
        <v>0</v>
      </c>
      <c r="BA509" s="3" t="n">
        <v>0</v>
      </c>
      <c r="BC509" s="20" t="inlineStr">
        <is>
          <t>egy.mit.ener.irn.ker.4</t>
        </is>
      </c>
      <c r="BD509" s="3" t="n">
        <v>0</v>
      </c>
      <c r="BE509" s="3" t="n">
        <v>0</v>
      </c>
      <c r="BF509" s="3" t="n">
        <v>0</v>
      </c>
      <c r="BG509" s="3" t="n">
        <v>0</v>
      </c>
      <c r="BH509" s="3" t="n">
        <v>0</v>
      </c>
      <c r="BI509" s="3" t="n">
        <v>0</v>
      </c>
      <c r="BJ509" s="3" t="n">
        <v>0</v>
      </c>
      <c r="BK509" s="3" t="n">
        <v>0</v>
      </c>
      <c r="BL509" s="3" t="n">
        <v>0</v>
      </c>
      <c r="BM509" s="3" t="n">
        <v>0</v>
      </c>
      <c r="BN509" s="3" t="n">
        <v>0</v>
      </c>
      <c r="BO509" s="3" t="n">
        <v>0</v>
      </c>
      <c r="BP509" s="3" t="n">
        <v>0</v>
      </c>
      <c r="BQ509" s="3" t="n">
        <v>0</v>
      </c>
      <c r="BR509" s="3" t="n">
        <v>0</v>
      </c>
      <c r="BS509" s="3" t="n">
        <v>0</v>
      </c>
      <c r="BT509" s="3" t="n">
        <v>0</v>
      </c>
      <c r="BU509" s="3" t="n">
        <v>0</v>
      </c>
      <c r="BV509" s="3" t="n">
        <v>0</v>
      </c>
      <c r="BW509" s="3" t="n">
        <v>0</v>
      </c>
      <c r="BY509" s="20" t="inlineStr">
        <is>
          <t>egy.mit.ener.irn.ker.5</t>
        </is>
      </c>
      <c r="BZ509" s="3" t="n">
        <v>0</v>
      </c>
      <c r="CA509" s="3" t="n">
        <v>0</v>
      </c>
      <c r="CB509" s="3" t="n">
        <v>0</v>
      </c>
      <c r="CC509" s="3" t="n">
        <v>0</v>
      </c>
      <c r="CD509" s="3" t="n">
        <v>0</v>
      </c>
      <c r="CE509" s="3" t="n">
        <v>0</v>
      </c>
      <c r="CF509" s="3" t="n">
        <v>0</v>
      </c>
      <c r="CG509" s="3" t="n">
        <v>0</v>
      </c>
      <c r="CH509" s="3" t="n">
        <v>0</v>
      </c>
      <c r="CI509" s="3" t="n">
        <v>0</v>
      </c>
      <c r="CJ509" s="3" t="n">
        <v>0</v>
      </c>
      <c r="CK509" s="3" t="n">
        <v>0</v>
      </c>
      <c r="CL509" s="3" t="n">
        <v>0</v>
      </c>
      <c r="CM509" s="3" t="n">
        <v>0</v>
      </c>
      <c r="CN509" s="3" t="n">
        <v>0</v>
      </c>
      <c r="CO509" s="3" t="n">
        <v>0</v>
      </c>
      <c r="CP509" s="3" t="n">
        <v>0</v>
      </c>
      <c r="CQ509" s="3" t="n">
        <v>0</v>
      </c>
      <c r="CR509" s="3" t="n">
        <v>0</v>
      </c>
      <c r="CS509" s="3" t="n">
        <v>0</v>
      </c>
      <c r="CU509" s="20" t="inlineStr">
        <is>
          <t>egy.mit.ener.irn.ker.6</t>
        </is>
      </c>
      <c r="CV509" s="3" t="n">
        <v>0</v>
      </c>
      <c r="CW509" s="3" t="n">
        <v>0</v>
      </c>
      <c r="CX509" s="3" t="n">
        <v>0</v>
      </c>
      <c r="CY509" s="3" t="n">
        <v>0</v>
      </c>
      <c r="CZ509" s="3" t="n">
        <v>0</v>
      </c>
      <c r="DA509" s="3" t="n">
        <v>0</v>
      </c>
      <c r="DB509" s="3" t="n">
        <v>0</v>
      </c>
      <c r="DC509" s="3" t="n">
        <v>0</v>
      </c>
      <c r="DD509" s="3" t="n">
        <v>0</v>
      </c>
      <c r="DE509" s="3" t="n">
        <v>0</v>
      </c>
      <c r="DF509" s="3" t="n">
        <v>0</v>
      </c>
      <c r="DG509" s="3" t="n">
        <v>0</v>
      </c>
      <c r="DH509" s="3" t="n">
        <v>0</v>
      </c>
      <c r="DI509" s="3" t="n">
        <v>0</v>
      </c>
      <c r="DJ509" s="3" t="n">
        <v>0</v>
      </c>
      <c r="DK509" s="3" t="n">
        <v>0</v>
      </c>
      <c r="DL509" s="3" t="n">
        <v>0</v>
      </c>
      <c r="DM509" s="3" t="n">
        <v>0</v>
      </c>
      <c r="DN509" s="3" t="n">
        <v>0</v>
      </c>
      <c r="DO509" s="3" t="n">
        <v>0</v>
      </c>
    </row>
    <row r="510">
      <c r="A510" s="19" t="inlineStr">
        <is>
          <t>mit.ener.irn.oop</t>
        </is>
      </c>
      <c r="B510" s="3" t="inlineStr">
        <is>
          <t>mit</t>
        </is>
      </c>
      <c r="C510" s="19" t="inlineStr">
        <is>
          <t>mit.ener.foo.nga.e</t>
        </is>
      </c>
      <c r="H510" s="3" t="inlineStr">
        <is>
          <t>Fuel use | Iron &amp; steel | Other oil products</t>
        </is>
      </c>
      <c r="I510" s="3" t="inlineStr">
        <is>
          <t>ktoe</t>
        </is>
      </c>
      <c r="K510" s="20" t="inlineStr">
        <is>
          <t>egy.mit.ener.irn.oop.1</t>
        </is>
      </c>
      <c r="L510" s="3" t="n">
        <v>0</v>
      </c>
      <c r="M510" s="3" t="n">
        <v>0</v>
      </c>
      <c r="N510" s="3" t="n">
        <v>0</v>
      </c>
      <c r="O510" s="3" t="n">
        <v>0</v>
      </c>
      <c r="P510" s="3" t="n">
        <v>0</v>
      </c>
      <c r="Q510" s="3" t="n">
        <v>0</v>
      </c>
      <c r="R510" s="3" t="n">
        <v>0</v>
      </c>
      <c r="S510" s="3" t="n">
        <v>0</v>
      </c>
      <c r="T510" s="3" t="n">
        <v>0</v>
      </c>
      <c r="U510" s="3" t="n">
        <v>0</v>
      </c>
      <c r="V510" s="3" t="n">
        <v>0</v>
      </c>
      <c r="W510" s="3" t="n">
        <v>0</v>
      </c>
      <c r="X510" s="3" t="n">
        <v>0</v>
      </c>
      <c r="Y510" s="3" t="n">
        <v>0</v>
      </c>
      <c r="Z510" s="3" t="n">
        <v>0</v>
      </c>
      <c r="AA510" s="3" t="n">
        <v>0</v>
      </c>
      <c r="AB510" s="3" t="n">
        <v>0</v>
      </c>
      <c r="AC510" s="3" t="n">
        <v>0</v>
      </c>
      <c r="AD510" s="3" t="n">
        <v>0</v>
      </c>
      <c r="AE510" s="3" t="n">
        <v>0</v>
      </c>
      <c r="AG510" s="20" t="inlineStr">
        <is>
          <t>egy.mit.ener.irn.oop.3</t>
        </is>
      </c>
      <c r="AH510" s="3" t="n">
        <v>0</v>
      </c>
      <c r="AI510" s="3" t="n">
        <v>0</v>
      </c>
      <c r="AJ510" s="3" t="n">
        <v>0</v>
      </c>
      <c r="AK510" s="3" t="n">
        <v>0</v>
      </c>
      <c r="AL510" s="3" t="n">
        <v>0</v>
      </c>
      <c r="AM510" s="3" t="n">
        <v>0</v>
      </c>
      <c r="AN510" s="3" t="n">
        <v>0</v>
      </c>
      <c r="AO510" s="3" t="n">
        <v>0</v>
      </c>
      <c r="AP510" s="3" t="n">
        <v>0</v>
      </c>
      <c r="AQ510" s="3" t="n">
        <v>0</v>
      </c>
      <c r="AR510" s="3" t="n">
        <v>0</v>
      </c>
      <c r="AS510" s="3" t="n">
        <v>0</v>
      </c>
      <c r="AT510" s="3" t="n">
        <v>0</v>
      </c>
      <c r="AU510" s="3" t="n">
        <v>0</v>
      </c>
      <c r="AV510" s="3" t="n">
        <v>0</v>
      </c>
      <c r="AW510" s="3" t="n">
        <v>0</v>
      </c>
      <c r="AX510" s="3" t="n">
        <v>0</v>
      </c>
      <c r="AY510" s="3" t="n">
        <v>0</v>
      </c>
      <c r="AZ510" s="3" t="n">
        <v>0</v>
      </c>
      <c r="BA510" s="3" t="n">
        <v>0</v>
      </c>
      <c r="BC510" s="20" t="inlineStr">
        <is>
          <t>egy.mit.ener.irn.oop.4</t>
        </is>
      </c>
      <c r="BD510" s="3" t="n">
        <v>0</v>
      </c>
      <c r="BE510" s="3" t="n">
        <v>0</v>
      </c>
      <c r="BF510" s="3" t="n">
        <v>0</v>
      </c>
      <c r="BG510" s="3" t="n">
        <v>0</v>
      </c>
      <c r="BH510" s="3" t="n">
        <v>0</v>
      </c>
      <c r="BI510" s="3" t="n">
        <v>0</v>
      </c>
      <c r="BJ510" s="3" t="n">
        <v>0</v>
      </c>
      <c r="BK510" s="3" t="n">
        <v>0</v>
      </c>
      <c r="BL510" s="3" t="n">
        <v>0</v>
      </c>
      <c r="BM510" s="3" t="n">
        <v>0</v>
      </c>
      <c r="BN510" s="3" t="n">
        <v>0</v>
      </c>
      <c r="BO510" s="3" t="n">
        <v>0</v>
      </c>
      <c r="BP510" s="3" t="n">
        <v>0</v>
      </c>
      <c r="BQ510" s="3" t="n">
        <v>0</v>
      </c>
      <c r="BR510" s="3" t="n">
        <v>0</v>
      </c>
      <c r="BS510" s="3" t="n">
        <v>0</v>
      </c>
      <c r="BT510" s="3" t="n">
        <v>0</v>
      </c>
      <c r="BU510" s="3" t="n">
        <v>0</v>
      </c>
      <c r="BV510" s="3" t="n">
        <v>0</v>
      </c>
      <c r="BW510" s="3" t="n">
        <v>0</v>
      </c>
      <c r="BY510" s="20" t="inlineStr">
        <is>
          <t>egy.mit.ener.irn.oop.5</t>
        </is>
      </c>
      <c r="BZ510" s="3" t="n">
        <v>0</v>
      </c>
      <c r="CA510" s="3" t="n">
        <v>0</v>
      </c>
      <c r="CB510" s="3" t="n">
        <v>0</v>
      </c>
      <c r="CC510" s="3" t="n">
        <v>0</v>
      </c>
      <c r="CD510" s="3" t="n">
        <v>0</v>
      </c>
      <c r="CE510" s="3" t="n">
        <v>0</v>
      </c>
      <c r="CF510" s="3" t="n">
        <v>0</v>
      </c>
      <c r="CG510" s="3" t="n">
        <v>0</v>
      </c>
      <c r="CH510" s="3" t="n">
        <v>0</v>
      </c>
      <c r="CI510" s="3" t="n">
        <v>0</v>
      </c>
      <c r="CJ510" s="3" t="n">
        <v>0</v>
      </c>
      <c r="CK510" s="3" t="n">
        <v>0</v>
      </c>
      <c r="CL510" s="3" t="n">
        <v>0</v>
      </c>
      <c r="CM510" s="3" t="n">
        <v>0</v>
      </c>
      <c r="CN510" s="3" t="n">
        <v>0</v>
      </c>
      <c r="CO510" s="3" t="n">
        <v>0</v>
      </c>
      <c r="CP510" s="3" t="n">
        <v>0</v>
      </c>
      <c r="CQ510" s="3" t="n">
        <v>0</v>
      </c>
      <c r="CR510" s="3" t="n">
        <v>0</v>
      </c>
      <c r="CS510" s="3" t="n">
        <v>0</v>
      </c>
      <c r="CU510" s="20" t="inlineStr">
        <is>
          <t>egy.mit.ener.irn.oop.6</t>
        </is>
      </c>
      <c r="CV510" s="3" t="n">
        <v>0</v>
      </c>
      <c r="CW510" s="3" t="n">
        <v>0</v>
      </c>
      <c r="CX510" s="3" t="n">
        <v>0</v>
      </c>
      <c r="CY510" s="3" t="n">
        <v>0</v>
      </c>
      <c r="CZ510" s="3" t="n">
        <v>0</v>
      </c>
      <c r="DA510" s="3" t="n">
        <v>0</v>
      </c>
      <c r="DB510" s="3" t="n">
        <v>0</v>
      </c>
      <c r="DC510" s="3" t="n">
        <v>0</v>
      </c>
      <c r="DD510" s="3" t="n">
        <v>0</v>
      </c>
      <c r="DE510" s="3" t="n">
        <v>0</v>
      </c>
      <c r="DF510" s="3" t="n">
        <v>0</v>
      </c>
      <c r="DG510" s="3" t="n">
        <v>0</v>
      </c>
      <c r="DH510" s="3" t="n">
        <v>0</v>
      </c>
      <c r="DI510" s="3" t="n">
        <v>0</v>
      </c>
      <c r="DJ510" s="3" t="n">
        <v>0</v>
      </c>
      <c r="DK510" s="3" t="n">
        <v>0</v>
      </c>
      <c r="DL510" s="3" t="n">
        <v>0</v>
      </c>
      <c r="DM510" s="3" t="n">
        <v>0</v>
      </c>
      <c r="DN510" s="3" t="n">
        <v>0</v>
      </c>
      <c r="DO510" s="3" t="n">
        <v>0</v>
      </c>
    </row>
    <row r="511">
      <c r="A511" s="19" t="inlineStr">
        <is>
          <t>mit.ener.irn.bio</t>
        </is>
      </c>
      <c r="B511" s="3" t="inlineStr">
        <is>
          <t>mit</t>
        </is>
      </c>
      <c r="C511" s="19" t="inlineStr">
        <is>
          <t>mit.ener.foo.gso.e</t>
        </is>
      </c>
      <c r="H511" s="3" t="inlineStr">
        <is>
          <t>Fuel use | Iron &amp; steel | Biomass</t>
        </is>
      </c>
      <c r="I511" s="3" t="inlineStr">
        <is>
          <t>ktoe</t>
        </is>
      </c>
      <c r="K511" s="20" t="inlineStr">
        <is>
          <t>egy.mit.ener.irn.bio.1</t>
        </is>
      </c>
      <c r="L511" s="3" t="n">
        <v>0</v>
      </c>
      <c r="M511" s="3" t="n">
        <v>0</v>
      </c>
      <c r="N511" s="3" t="n">
        <v>0</v>
      </c>
      <c r="O511" s="3" t="n">
        <v>0</v>
      </c>
      <c r="P511" s="3" t="n">
        <v>0</v>
      </c>
      <c r="Q511" s="3" t="n">
        <v>0</v>
      </c>
      <c r="R511" s="3" t="n">
        <v>0</v>
      </c>
      <c r="S511" s="3" t="n">
        <v>0</v>
      </c>
      <c r="T511" s="3" t="n">
        <v>0</v>
      </c>
      <c r="U511" s="3" t="n">
        <v>0</v>
      </c>
      <c r="V511" s="3" t="n">
        <v>0</v>
      </c>
      <c r="W511" s="3" t="n">
        <v>0</v>
      </c>
      <c r="X511" s="3" t="n">
        <v>0</v>
      </c>
      <c r="Y511" s="3" t="n">
        <v>0</v>
      </c>
      <c r="Z511" s="3" t="n">
        <v>0</v>
      </c>
      <c r="AA511" s="3" t="n">
        <v>0</v>
      </c>
      <c r="AB511" s="3" t="n">
        <v>0</v>
      </c>
      <c r="AC511" s="3" t="n">
        <v>0</v>
      </c>
      <c r="AD511" s="3" t="n">
        <v>0</v>
      </c>
      <c r="AE511" s="3" t="n">
        <v>0</v>
      </c>
      <c r="AG511" s="20" t="inlineStr">
        <is>
          <t>egy.mit.ener.irn.bio.3</t>
        </is>
      </c>
      <c r="AH511" s="3" t="n">
        <v>0</v>
      </c>
      <c r="AI511" s="3" t="n">
        <v>0</v>
      </c>
      <c r="AJ511" s="3" t="n">
        <v>0</v>
      </c>
      <c r="AK511" s="3" t="n">
        <v>0</v>
      </c>
      <c r="AL511" s="3" t="n">
        <v>0</v>
      </c>
      <c r="AM511" s="3" t="n">
        <v>0</v>
      </c>
      <c r="AN511" s="3" t="n">
        <v>0</v>
      </c>
      <c r="AO511" s="3" t="n">
        <v>0</v>
      </c>
      <c r="AP511" s="3" t="n">
        <v>0</v>
      </c>
      <c r="AQ511" s="3" t="n">
        <v>0</v>
      </c>
      <c r="AR511" s="3" t="n">
        <v>0</v>
      </c>
      <c r="AS511" s="3" t="n">
        <v>0</v>
      </c>
      <c r="AT511" s="3" t="n">
        <v>0</v>
      </c>
      <c r="AU511" s="3" t="n">
        <v>0</v>
      </c>
      <c r="AV511" s="3" t="n">
        <v>0</v>
      </c>
      <c r="AW511" s="3" t="n">
        <v>0</v>
      </c>
      <c r="AX511" s="3" t="n">
        <v>0</v>
      </c>
      <c r="AY511" s="3" t="n">
        <v>0</v>
      </c>
      <c r="AZ511" s="3" t="n">
        <v>0</v>
      </c>
      <c r="BA511" s="3" t="n">
        <v>0</v>
      </c>
      <c r="BC511" s="20" t="inlineStr">
        <is>
          <t>egy.mit.ener.irn.bio.4</t>
        </is>
      </c>
      <c r="BD511" s="3" t="n">
        <v>0</v>
      </c>
      <c r="BE511" s="3" t="n">
        <v>0</v>
      </c>
      <c r="BF511" s="3" t="n">
        <v>0</v>
      </c>
      <c r="BG511" s="3" t="n">
        <v>0</v>
      </c>
      <c r="BH511" s="3" t="n">
        <v>0</v>
      </c>
      <c r="BI511" s="3" t="n">
        <v>0</v>
      </c>
      <c r="BJ511" s="3" t="n">
        <v>0</v>
      </c>
      <c r="BK511" s="3" t="n">
        <v>0</v>
      </c>
      <c r="BL511" s="3" t="n">
        <v>0</v>
      </c>
      <c r="BM511" s="3" t="n">
        <v>0</v>
      </c>
      <c r="BN511" s="3" t="n">
        <v>0</v>
      </c>
      <c r="BO511" s="3" t="n">
        <v>0</v>
      </c>
      <c r="BP511" s="3" t="n">
        <v>0</v>
      </c>
      <c r="BQ511" s="3" t="n">
        <v>0</v>
      </c>
      <c r="BR511" s="3" t="n">
        <v>0</v>
      </c>
      <c r="BS511" s="3" t="n">
        <v>0</v>
      </c>
      <c r="BT511" s="3" t="n">
        <v>0</v>
      </c>
      <c r="BU511" s="3" t="n">
        <v>0</v>
      </c>
      <c r="BV511" s="3" t="n">
        <v>0</v>
      </c>
      <c r="BW511" s="3" t="n">
        <v>0</v>
      </c>
      <c r="BY511" s="20" t="inlineStr">
        <is>
          <t>egy.mit.ener.irn.bio.5</t>
        </is>
      </c>
      <c r="BZ511" s="3" t="n">
        <v>0</v>
      </c>
      <c r="CA511" s="3" t="n">
        <v>0</v>
      </c>
      <c r="CB511" s="3" t="n">
        <v>0</v>
      </c>
      <c r="CC511" s="3" t="n">
        <v>0</v>
      </c>
      <c r="CD511" s="3" t="n">
        <v>0</v>
      </c>
      <c r="CE511" s="3" t="n">
        <v>0</v>
      </c>
      <c r="CF511" s="3" t="n">
        <v>0</v>
      </c>
      <c r="CG511" s="3" t="n">
        <v>0</v>
      </c>
      <c r="CH511" s="3" t="n">
        <v>0</v>
      </c>
      <c r="CI511" s="3" t="n">
        <v>0</v>
      </c>
      <c r="CJ511" s="3" t="n">
        <v>0</v>
      </c>
      <c r="CK511" s="3" t="n">
        <v>0</v>
      </c>
      <c r="CL511" s="3" t="n">
        <v>0</v>
      </c>
      <c r="CM511" s="3" t="n">
        <v>0</v>
      </c>
      <c r="CN511" s="3" t="n">
        <v>0</v>
      </c>
      <c r="CO511" s="3" t="n">
        <v>0</v>
      </c>
      <c r="CP511" s="3" t="n">
        <v>0</v>
      </c>
      <c r="CQ511" s="3" t="n">
        <v>0</v>
      </c>
      <c r="CR511" s="3" t="n">
        <v>0</v>
      </c>
      <c r="CS511" s="3" t="n">
        <v>0</v>
      </c>
      <c r="CU511" s="20" t="inlineStr">
        <is>
          <t>egy.mit.ener.irn.bio.6</t>
        </is>
      </c>
      <c r="CV511" s="3" t="n">
        <v>0</v>
      </c>
      <c r="CW511" s="3" t="n">
        <v>0</v>
      </c>
      <c r="CX511" s="3" t="n">
        <v>0</v>
      </c>
      <c r="CY511" s="3" t="n">
        <v>0</v>
      </c>
      <c r="CZ511" s="3" t="n">
        <v>0</v>
      </c>
      <c r="DA511" s="3" t="n">
        <v>0</v>
      </c>
      <c r="DB511" s="3" t="n">
        <v>0</v>
      </c>
      <c r="DC511" s="3" t="n">
        <v>0</v>
      </c>
      <c r="DD511" s="3" t="n">
        <v>0</v>
      </c>
      <c r="DE511" s="3" t="n">
        <v>0</v>
      </c>
      <c r="DF511" s="3" t="n">
        <v>0</v>
      </c>
      <c r="DG511" s="3" t="n">
        <v>0</v>
      </c>
      <c r="DH511" s="3" t="n">
        <v>0</v>
      </c>
      <c r="DI511" s="3" t="n">
        <v>0</v>
      </c>
      <c r="DJ511" s="3" t="n">
        <v>0</v>
      </c>
      <c r="DK511" s="3" t="n">
        <v>0</v>
      </c>
      <c r="DL511" s="3" t="n">
        <v>0</v>
      </c>
      <c r="DM511" s="3" t="n">
        <v>0</v>
      </c>
      <c r="DN511" s="3" t="n">
        <v>0</v>
      </c>
      <c r="DO511" s="3" t="n">
        <v>0</v>
      </c>
    </row>
    <row r="512">
      <c r="A512" s="14" t="n"/>
      <c r="B512" s="3" t="inlineStr">
        <is>
          <t>mit</t>
        </is>
      </c>
      <c r="C512" s="19" t="inlineStr">
        <is>
          <t>mit.ener.foo.die.e</t>
        </is>
      </c>
      <c r="H512" s="14" t="inlineStr">
        <is>
          <t>Energy consumption, iron and steel, sector-generated renewables, policy</t>
        </is>
      </c>
      <c r="I512" s="14" t="inlineStr">
        <is>
          <t>ktoe</t>
        </is>
      </c>
    </row>
    <row r="513">
      <c r="A513" s="19" t="inlineStr">
        <is>
          <t>mit.ener.nfm.coa</t>
        </is>
      </c>
      <c r="B513" s="3" t="inlineStr">
        <is>
          <t>mit</t>
        </is>
      </c>
      <c r="C513" s="19" t="inlineStr">
        <is>
          <t>mit.atp.srv.oop.e</t>
        </is>
      </c>
      <c r="H513" s="3" t="inlineStr">
        <is>
          <t>Fuel use | Other metals | Coal</t>
        </is>
      </c>
      <c r="I513" s="3" t="inlineStr">
        <is>
          <t>ktoe</t>
        </is>
      </c>
      <c r="K513" s="20" t="inlineStr">
        <is>
          <t>egy.mit.ener.nfm.coa.1</t>
        </is>
      </c>
      <c r="L513" s="3" t="n">
        <v>0</v>
      </c>
      <c r="M513" s="3" t="n">
        <v>0</v>
      </c>
      <c r="N513" s="3" t="n">
        <v>0</v>
      </c>
      <c r="O513" s="3" t="n">
        <v>0</v>
      </c>
      <c r="P513" s="3" t="n">
        <v>0</v>
      </c>
      <c r="Q513" s="3" t="n">
        <v>0</v>
      </c>
      <c r="R513" s="3" t="n">
        <v>0</v>
      </c>
      <c r="S513" s="3" t="n">
        <v>0</v>
      </c>
      <c r="T513" s="3" t="n">
        <v>0</v>
      </c>
      <c r="U513" s="3" t="n">
        <v>0</v>
      </c>
      <c r="V513" s="3" t="n">
        <v>0</v>
      </c>
      <c r="W513" s="3" t="n">
        <v>0</v>
      </c>
      <c r="X513" s="3" t="n">
        <v>0</v>
      </c>
      <c r="Y513" s="3" t="n">
        <v>0</v>
      </c>
      <c r="Z513" s="3" t="n">
        <v>0</v>
      </c>
      <c r="AA513" s="3" t="n">
        <v>0</v>
      </c>
      <c r="AB513" s="3" t="n">
        <v>0</v>
      </c>
      <c r="AC513" s="3" t="n">
        <v>0</v>
      </c>
      <c r="AD513" s="3" t="n">
        <v>0</v>
      </c>
      <c r="AE513" s="3" t="n">
        <v>0</v>
      </c>
      <c r="AG513" s="20" t="inlineStr">
        <is>
          <t>egy.mit.ener.nfm.coa.3</t>
        </is>
      </c>
      <c r="AH513" s="3" t="n">
        <v>0</v>
      </c>
      <c r="AI513" s="3" t="n">
        <v>0</v>
      </c>
      <c r="AJ513" s="3" t="n">
        <v>0</v>
      </c>
      <c r="AK513" s="3" t="n">
        <v>0</v>
      </c>
      <c r="AL513" s="3" t="n">
        <v>0</v>
      </c>
      <c r="AM513" s="3" t="n">
        <v>0</v>
      </c>
      <c r="AN513" s="3" t="n">
        <v>0</v>
      </c>
      <c r="AO513" s="3" t="n">
        <v>0</v>
      </c>
      <c r="AP513" s="3" t="n">
        <v>0</v>
      </c>
      <c r="AQ513" s="3" t="n">
        <v>0</v>
      </c>
      <c r="AR513" s="3" t="n">
        <v>0</v>
      </c>
      <c r="AS513" s="3" t="n">
        <v>0</v>
      </c>
      <c r="AT513" s="3" t="n">
        <v>0</v>
      </c>
      <c r="AU513" s="3" t="n">
        <v>0</v>
      </c>
      <c r="AV513" s="3" t="n">
        <v>0</v>
      </c>
      <c r="AW513" s="3" t="n">
        <v>0</v>
      </c>
      <c r="AX513" s="3" t="n">
        <v>0</v>
      </c>
      <c r="AY513" s="3" t="n">
        <v>0</v>
      </c>
      <c r="AZ513" s="3" t="n">
        <v>0</v>
      </c>
      <c r="BA513" s="3" t="n">
        <v>0</v>
      </c>
      <c r="BC513" s="20" t="inlineStr">
        <is>
          <t>egy.mit.ener.nfm.coa.4</t>
        </is>
      </c>
      <c r="BD513" s="3" t="n">
        <v>0</v>
      </c>
      <c r="BE513" s="3" t="n">
        <v>0</v>
      </c>
      <c r="BF513" s="3" t="n">
        <v>0</v>
      </c>
      <c r="BG513" s="3" t="n">
        <v>0</v>
      </c>
      <c r="BH513" s="3" t="n">
        <v>0</v>
      </c>
      <c r="BI513" s="3" t="n">
        <v>0</v>
      </c>
      <c r="BJ513" s="3" t="n">
        <v>0</v>
      </c>
      <c r="BK513" s="3" t="n">
        <v>0</v>
      </c>
      <c r="BL513" s="3" t="n">
        <v>0</v>
      </c>
      <c r="BM513" s="3" t="n">
        <v>0</v>
      </c>
      <c r="BN513" s="3" t="n">
        <v>0</v>
      </c>
      <c r="BO513" s="3" t="n">
        <v>0</v>
      </c>
      <c r="BP513" s="3" t="n">
        <v>0</v>
      </c>
      <c r="BQ513" s="3" t="n">
        <v>0</v>
      </c>
      <c r="BR513" s="3" t="n">
        <v>0</v>
      </c>
      <c r="BS513" s="3" t="n">
        <v>0</v>
      </c>
      <c r="BT513" s="3" t="n">
        <v>0</v>
      </c>
      <c r="BU513" s="3" t="n">
        <v>0</v>
      </c>
      <c r="BV513" s="3" t="n">
        <v>0</v>
      </c>
      <c r="BW513" s="3" t="n">
        <v>0</v>
      </c>
      <c r="BY513" s="20" t="inlineStr">
        <is>
          <t>egy.mit.ener.nfm.coa.5</t>
        </is>
      </c>
      <c r="BZ513" s="3" t="n">
        <v>0</v>
      </c>
      <c r="CA513" s="3" t="n">
        <v>0</v>
      </c>
      <c r="CB513" s="3" t="n">
        <v>0</v>
      </c>
      <c r="CC513" s="3" t="n">
        <v>0</v>
      </c>
      <c r="CD513" s="3" t="n">
        <v>0</v>
      </c>
      <c r="CE513" s="3" t="n">
        <v>0</v>
      </c>
      <c r="CF513" s="3" t="n">
        <v>0</v>
      </c>
      <c r="CG513" s="3" t="n">
        <v>0</v>
      </c>
      <c r="CH513" s="3" t="n">
        <v>0</v>
      </c>
      <c r="CI513" s="3" t="n">
        <v>0</v>
      </c>
      <c r="CJ513" s="3" t="n">
        <v>0</v>
      </c>
      <c r="CK513" s="3" t="n">
        <v>0</v>
      </c>
      <c r="CL513" s="3" t="n">
        <v>0</v>
      </c>
      <c r="CM513" s="3" t="n">
        <v>0</v>
      </c>
      <c r="CN513" s="3" t="n">
        <v>0</v>
      </c>
      <c r="CO513" s="3" t="n">
        <v>0</v>
      </c>
      <c r="CP513" s="3" t="n">
        <v>0</v>
      </c>
      <c r="CQ513" s="3" t="n">
        <v>0</v>
      </c>
      <c r="CR513" s="3" t="n">
        <v>0</v>
      </c>
      <c r="CS513" s="3" t="n">
        <v>0</v>
      </c>
      <c r="CU513" s="20" t="inlineStr">
        <is>
          <t>egy.mit.ener.nfm.coa.6</t>
        </is>
      </c>
      <c r="CV513" s="3" t="n">
        <v>0</v>
      </c>
      <c r="CW513" s="3" t="n">
        <v>0</v>
      </c>
      <c r="CX513" s="3" t="n">
        <v>0</v>
      </c>
      <c r="CY513" s="3" t="n">
        <v>0</v>
      </c>
      <c r="CZ513" s="3" t="n">
        <v>0</v>
      </c>
      <c r="DA513" s="3" t="n">
        <v>0</v>
      </c>
      <c r="DB513" s="3" t="n">
        <v>0</v>
      </c>
      <c r="DC513" s="3" t="n">
        <v>0</v>
      </c>
      <c r="DD513" s="3" t="n">
        <v>0</v>
      </c>
      <c r="DE513" s="3" t="n">
        <v>0</v>
      </c>
      <c r="DF513" s="3" t="n">
        <v>0</v>
      </c>
      <c r="DG513" s="3" t="n">
        <v>0</v>
      </c>
      <c r="DH513" s="3" t="n">
        <v>0</v>
      </c>
      <c r="DI513" s="3" t="n">
        <v>0</v>
      </c>
      <c r="DJ513" s="3" t="n">
        <v>0</v>
      </c>
      <c r="DK513" s="3" t="n">
        <v>0</v>
      </c>
      <c r="DL513" s="3" t="n">
        <v>0</v>
      </c>
      <c r="DM513" s="3" t="n">
        <v>0</v>
      </c>
      <c r="DN513" s="3" t="n">
        <v>0</v>
      </c>
      <c r="DO513" s="3" t="n">
        <v>0</v>
      </c>
    </row>
    <row r="514">
      <c r="A514" s="19" t="inlineStr">
        <is>
          <t>mit.ener.nfm.nga</t>
        </is>
      </c>
      <c r="B514" s="3" t="inlineStr">
        <is>
          <t>mit</t>
        </is>
      </c>
      <c r="C514" s="19" t="inlineStr">
        <is>
          <t>mit.atp.srv.bio.e</t>
        </is>
      </c>
      <c r="H514" s="3" t="inlineStr">
        <is>
          <t>Fuel use | Other metals | Natural gas</t>
        </is>
      </c>
      <c r="I514" s="3" t="inlineStr">
        <is>
          <t>ktoe</t>
        </is>
      </c>
      <c r="K514" s="20" t="inlineStr">
        <is>
          <t>egy.mit.ener.nfm.nga.1</t>
        </is>
      </c>
      <c r="L514" s="3" t="n">
        <v>0</v>
      </c>
      <c r="M514" s="3" t="n">
        <v>0</v>
      </c>
      <c r="N514" s="3" t="n">
        <v>0</v>
      </c>
      <c r="O514" s="3" t="n">
        <v>0</v>
      </c>
      <c r="P514" s="3" t="n">
        <v>0</v>
      </c>
      <c r="Q514" s="3" t="n">
        <v>0</v>
      </c>
      <c r="R514" s="3" t="n">
        <v>0</v>
      </c>
      <c r="S514" s="3" t="n">
        <v>0</v>
      </c>
      <c r="T514" s="3" t="n">
        <v>0</v>
      </c>
      <c r="U514" s="3" t="n">
        <v>0</v>
      </c>
      <c r="V514" s="3" t="n">
        <v>0</v>
      </c>
      <c r="W514" s="3" t="n">
        <v>0</v>
      </c>
      <c r="X514" s="3" t="n">
        <v>0</v>
      </c>
      <c r="Y514" s="3" t="n">
        <v>0</v>
      </c>
      <c r="Z514" s="3" t="n">
        <v>0</v>
      </c>
      <c r="AA514" s="3" t="n">
        <v>0</v>
      </c>
      <c r="AB514" s="3" t="n">
        <v>0</v>
      </c>
      <c r="AC514" s="3" t="n">
        <v>0</v>
      </c>
      <c r="AD514" s="3" t="n">
        <v>0</v>
      </c>
      <c r="AE514" s="3" t="n">
        <v>0</v>
      </c>
      <c r="AG514" s="20" t="inlineStr">
        <is>
          <t>egy.mit.ener.nfm.nga.3</t>
        </is>
      </c>
      <c r="AH514" s="3" t="n">
        <v>0</v>
      </c>
      <c r="AI514" s="3" t="n">
        <v>0</v>
      </c>
      <c r="AJ514" s="3" t="n">
        <v>0</v>
      </c>
      <c r="AK514" s="3" t="n">
        <v>0</v>
      </c>
      <c r="AL514" s="3" t="n">
        <v>0</v>
      </c>
      <c r="AM514" s="3" t="n">
        <v>0</v>
      </c>
      <c r="AN514" s="3" t="n">
        <v>0</v>
      </c>
      <c r="AO514" s="3" t="n">
        <v>0</v>
      </c>
      <c r="AP514" s="3" t="n">
        <v>0</v>
      </c>
      <c r="AQ514" s="3" t="n">
        <v>0</v>
      </c>
      <c r="AR514" s="3" t="n">
        <v>0</v>
      </c>
      <c r="AS514" s="3" t="n">
        <v>0</v>
      </c>
      <c r="AT514" s="3" t="n">
        <v>0</v>
      </c>
      <c r="AU514" s="3" t="n">
        <v>0</v>
      </c>
      <c r="AV514" s="3" t="n">
        <v>0</v>
      </c>
      <c r="AW514" s="3" t="n">
        <v>0</v>
      </c>
      <c r="AX514" s="3" t="n">
        <v>0</v>
      </c>
      <c r="AY514" s="3" t="n">
        <v>0</v>
      </c>
      <c r="AZ514" s="3" t="n">
        <v>0</v>
      </c>
      <c r="BA514" s="3" t="n">
        <v>0</v>
      </c>
      <c r="BC514" s="20" t="inlineStr">
        <is>
          <t>egy.mit.ener.nfm.nga.4</t>
        </is>
      </c>
      <c r="BD514" s="3" t="n">
        <v>0</v>
      </c>
      <c r="BE514" s="3" t="n">
        <v>0</v>
      </c>
      <c r="BF514" s="3" t="n">
        <v>0</v>
      </c>
      <c r="BG514" s="3" t="n">
        <v>0</v>
      </c>
      <c r="BH514" s="3" t="n">
        <v>0</v>
      </c>
      <c r="BI514" s="3" t="n">
        <v>0</v>
      </c>
      <c r="BJ514" s="3" t="n">
        <v>0</v>
      </c>
      <c r="BK514" s="3" t="n">
        <v>0</v>
      </c>
      <c r="BL514" s="3" t="n">
        <v>0</v>
      </c>
      <c r="BM514" s="3" t="n">
        <v>0</v>
      </c>
      <c r="BN514" s="3" t="n">
        <v>0</v>
      </c>
      <c r="BO514" s="3" t="n">
        <v>0</v>
      </c>
      <c r="BP514" s="3" t="n">
        <v>0</v>
      </c>
      <c r="BQ514" s="3" t="n">
        <v>0</v>
      </c>
      <c r="BR514" s="3" t="n">
        <v>0</v>
      </c>
      <c r="BS514" s="3" t="n">
        <v>0</v>
      </c>
      <c r="BT514" s="3" t="n">
        <v>0</v>
      </c>
      <c r="BU514" s="3" t="n">
        <v>0</v>
      </c>
      <c r="BV514" s="3" t="n">
        <v>0</v>
      </c>
      <c r="BW514" s="3" t="n">
        <v>0</v>
      </c>
      <c r="BY514" s="20" t="inlineStr">
        <is>
          <t>egy.mit.ener.nfm.nga.5</t>
        </is>
      </c>
      <c r="BZ514" s="3" t="n">
        <v>0</v>
      </c>
      <c r="CA514" s="3" t="n">
        <v>0</v>
      </c>
      <c r="CB514" s="3" t="n">
        <v>0</v>
      </c>
      <c r="CC514" s="3" t="n">
        <v>0</v>
      </c>
      <c r="CD514" s="3" t="n">
        <v>0</v>
      </c>
      <c r="CE514" s="3" t="n">
        <v>0</v>
      </c>
      <c r="CF514" s="3" t="n">
        <v>0</v>
      </c>
      <c r="CG514" s="3" t="n">
        <v>0</v>
      </c>
      <c r="CH514" s="3" t="n">
        <v>0</v>
      </c>
      <c r="CI514" s="3" t="n">
        <v>0</v>
      </c>
      <c r="CJ514" s="3" t="n">
        <v>0</v>
      </c>
      <c r="CK514" s="3" t="n">
        <v>0</v>
      </c>
      <c r="CL514" s="3" t="n">
        <v>0</v>
      </c>
      <c r="CM514" s="3" t="n">
        <v>0</v>
      </c>
      <c r="CN514" s="3" t="n">
        <v>0</v>
      </c>
      <c r="CO514" s="3" t="n">
        <v>0</v>
      </c>
      <c r="CP514" s="3" t="n">
        <v>0</v>
      </c>
      <c r="CQ514" s="3" t="n">
        <v>0</v>
      </c>
      <c r="CR514" s="3" t="n">
        <v>0</v>
      </c>
      <c r="CS514" s="3" t="n">
        <v>0</v>
      </c>
      <c r="CU514" s="20" t="inlineStr">
        <is>
          <t>egy.mit.ener.nfm.nga.6</t>
        </is>
      </c>
      <c r="CV514" s="3" t="n">
        <v>0</v>
      </c>
      <c r="CW514" s="3" t="n">
        <v>0</v>
      </c>
      <c r="CX514" s="3" t="n">
        <v>0</v>
      </c>
      <c r="CY514" s="3" t="n">
        <v>0</v>
      </c>
      <c r="CZ514" s="3" t="n">
        <v>0</v>
      </c>
      <c r="DA514" s="3" t="n">
        <v>0</v>
      </c>
      <c r="DB514" s="3" t="n">
        <v>0</v>
      </c>
      <c r="DC514" s="3" t="n">
        <v>0</v>
      </c>
      <c r="DD514" s="3" t="n">
        <v>0</v>
      </c>
      <c r="DE514" s="3" t="n">
        <v>0</v>
      </c>
      <c r="DF514" s="3" t="n">
        <v>0</v>
      </c>
      <c r="DG514" s="3" t="n">
        <v>0</v>
      </c>
      <c r="DH514" s="3" t="n">
        <v>0</v>
      </c>
      <c r="DI514" s="3" t="n">
        <v>0</v>
      </c>
      <c r="DJ514" s="3" t="n">
        <v>0</v>
      </c>
      <c r="DK514" s="3" t="n">
        <v>0</v>
      </c>
      <c r="DL514" s="3" t="n">
        <v>0</v>
      </c>
      <c r="DM514" s="3" t="n">
        <v>0</v>
      </c>
      <c r="DN514" s="3" t="n">
        <v>0</v>
      </c>
      <c r="DO514" s="3" t="n">
        <v>0</v>
      </c>
    </row>
    <row r="515">
      <c r="A515" s="19" t="inlineStr">
        <is>
          <t>mit.ener.nfm.gso</t>
        </is>
      </c>
      <c r="B515" s="3" t="inlineStr">
        <is>
          <t>mit</t>
        </is>
      </c>
      <c r="C515" s="19" t="inlineStr">
        <is>
          <t>mit.atp.srv.ren.e</t>
        </is>
      </c>
      <c r="H515" s="3" t="inlineStr">
        <is>
          <t>Fuel use | Other metals | Gasoline</t>
        </is>
      </c>
      <c r="I515" s="3" t="inlineStr">
        <is>
          <t>ktoe</t>
        </is>
      </c>
      <c r="K515" s="20" t="inlineStr">
        <is>
          <t>egy.mit.ener.nfm.gso.1</t>
        </is>
      </c>
      <c r="L515" s="3" t="n">
        <v>0</v>
      </c>
      <c r="M515" s="3" t="n">
        <v>0</v>
      </c>
      <c r="N515" s="3" t="n">
        <v>0</v>
      </c>
      <c r="O515" s="3" t="n">
        <v>0</v>
      </c>
      <c r="P515" s="3" t="n">
        <v>0</v>
      </c>
      <c r="Q515" s="3" t="n">
        <v>0</v>
      </c>
      <c r="R515" s="3" t="n">
        <v>0</v>
      </c>
      <c r="S515" s="3" t="n">
        <v>0</v>
      </c>
      <c r="T515" s="3" t="n">
        <v>0</v>
      </c>
      <c r="U515" s="3" t="n">
        <v>0</v>
      </c>
      <c r="V515" s="3" t="n">
        <v>0</v>
      </c>
      <c r="W515" s="3" t="n">
        <v>0</v>
      </c>
      <c r="X515" s="3" t="n">
        <v>0</v>
      </c>
      <c r="Y515" s="3" t="n">
        <v>0</v>
      </c>
      <c r="Z515" s="3" t="n">
        <v>0</v>
      </c>
      <c r="AA515" s="3" t="n">
        <v>0</v>
      </c>
      <c r="AB515" s="3" t="n">
        <v>0</v>
      </c>
      <c r="AC515" s="3" t="n">
        <v>0</v>
      </c>
      <c r="AD515" s="3" t="n">
        <v>0</v>
      </c>
      <c r="AE515" s="3" t="n">
        <v>0</v>
      </c>
      <c r="AG515" s="20" t="inlineStr">
        <is>
          <t>egy.mit.ener.nfm.gso.3</t>
        </is>
      </c>
      <c r="AH515" s="3" t="n">
        <v>0</v>
      </c>
      <c r="AI515" s="3" t="n">
        <v>0</v>
      </c>
      <c r="AJ515" s="3" t="n">
        <v>0</v>
      </c>
      <c r="AK515" s="3" t="n">
        <v>0</v>
      </c>
      <c r="AL515" s="3" t="n">
        <v>0</v>
      </c>
      <c r="AM515" s="3" t="n">
        <v>0</v>
      </c>
      <c r="AN515" s="3" t="n">
        <v>0</v>
      </c>
      <c r="AO515" s="3" t="n">
        <v>0</v>
      </c>
      <c r="AP515" s="3" t="n">
        <v>0</v>
      </c>
      <c r="AQ515" s="3" t="n">
        <v>0</v>
      </c>
      <c r="AR515" s="3" t="n">
        <v>0</v>
      </c>
      <c r="AS515" s="3" t="n">
        <v>0</v>
      </c>
      <c r="AT515" s="3" t="n">
        <v>0</v>
      </c>
      <c r="AU515" s="3" t="n">
        <v>0</v>
      </c>
      <c r="AV515" s="3" t="n">
        <v>0</v>
      </c>
      <c r="AW515" s="3" t="n">
        <v>0</v>
      </c>
      <c r="AX515" s="3" t="n">
        <v>0</v>
      </c>
      <c r="AY515" s="3" t="n">
        <v>0</v>
      </c>
      <c r="AZ515" s="3" t="n">
        <v>0</v>
      </c>
      <c r="BA515" s="3" t="n">
        <v>0</v>
      </c>
      <c r="BC515" s="20" t="inlineStr">
        <is>
          <t>egy.mit.ener.nfm.gso.4</t>
        </is>
      </c>
      <c r="BD515" s="3" t="n">
        <v>0</v>
      </c>
      <c r="BE515" s="3" t="n">
        <v>0</v>
      </c>
      <c r="BF515" s="3" t="n">
        <v>0</v>
      </c>
      <c r="BG515" s="3" t="n">
        <v>0</v>
      </c>
      <c r="BH515" s="3" t="n">
        <v>0</v>
      </c>
      <c r="BI515" s="3" t="n">
        <v>0</v>
      </c>
      <c r="BJ515" s="3" t="n">
        <v>0</v>
      </c>
      <c r="BK515" s="3" t="n">
        <v>0</v>
      </c>
      <c r="BL515" s="3" t="n">
        <v>0</v>
      </c>
      <c r="BM515" s="3" t="n">
        <v>0</v>
      </c>
      <c r="BN515" s="3" t="n">
        <v>0</v>
      </c>
      <c r="BO515" s="3" t="n">
        <v>0</v>
      </c>
      <c r="BP515" s="3" t="n">
        <v>0</v>
      </c>
      <c r="BQ515" s="3" t="n">
        <v>0</v>
      </c>
      <c r="BR515" s="3" t="n">
        <v>0</v>
      </c>
      <c r="BS515" s="3" t="n">
        <v>0</v>
      </c>
      <c r="BT515" s="3" t="n">
        <v>0</v>
      </c>
      <c r="BU515" s="3" t="n">
        <v>0</v>
      </c>
      <c r="BV515" s="3" t="n">
        <v>0</v>
      </c>
      <c r="BW515" s="3" t="n">
        <v>0</v>
      </c>
      <c r="BY515" s="20" t="inlineStr">
        <is>
          <t>egy.mit.ener.nfm.gso.5</t>
        </is>
      </c>
      <c r="BZ515" s="3" t="n">
        <v>0</v>
      </c>
      <c r="CA515" s="3" t="n">
        <v>0</v>
      </c>
      <c r="CB515" s="3" t="n">
        <v>0</v>
      </c>
      <c r="CC515" s="3" t="n">
        <v>0</v>
      </c>
      <c r="CD515" s="3" t="n">
        <v>0</v>
      </c>
      <c r="CE515" s="3" t="n">
        <v>0</v>
      </c>
      <c r="CF515" s="3" t="n">
        <v>0</v>
      </c>
      <c r="CG515" s="3" t="n">
        <v>0</v>
      </c>
      <c r="CH515" s="3" t="n">
        <v>0</v>
      </c>
      <c r="CI515" s="3" t="n">
        <v>0</v>
      </c>
      <c r="CJ515" s="3" t="n">
        <v>0</v>
      </c>
      <c r="CK515" s="3" t="n">
        <v>0</v>
      </c>
      <c r="CL515" s="3" t="n">
        <v>0</v>
      </c>
      <c r="CM515" s="3" t="n">
        <v>0</v>
      </c>
      <c r="CN515" s="3" t="n">
        <v>0</v>
      </c>
      <c r="CO515" s="3" t="n">
        <v>0</v>
      </c>
      <c r="CP515" s="3" t="n">
        <v>0</v>
      </c>
      <c r="CQ515" s="3" t="n">
        <v>0</v>
      </c>
      <c r="CR515" s="3" t="n">
        <v>0</v>
      </c>
      <c r="CS515" s="3" t="n">
        <v>0</v>
      </c>
      <c r="CU515" s="20" t="inlineStr">
        <is>
          <t>egy.mit.ener.nfm.gso.6</t>
        </is>
      </c>
      <c r="CV515" s="3" t="n">
        <v>0</v>
      </c>
      <c r="CW515" s="3" t="n">
        <v>0</v>
      </c>
      <c r="CX515" s="3" t="n">
        <v>0</v>
      </c>
      <c r="CY515" s="3" t="n">
        <v>0</v>
      </c>
      <c r="CZ515" s="3" t="n">
        <v>0</v>
      </c>
      <c r="DA515" s="3" t="n">
        <v>0</v>
      </c>
      <c r="DB515" s="3" t="n">
        <v>0</v>
      </c>
      <c r="DC515" s="3" t="n">
        <v>0</v>
      </c>
      <c r="DD515" s="3" t="n">
        <v>0</v>
      </c>
      <c r="DE515" s="3" t="n">
        <v>0</v>
      </c>
      <c r="DF515" s="3" t="n">
        <v>0</v>
      </c>
      <c r="DG515" s="3" t="n">
        <v>0</v>
      </c>
      <c r="DH515" s="3" t="n">
        <v>0</v>
      </c>
      <c r="DI515" s="3" t="n">
        <v>0</v>
      </c>
      <c r="DJ515" s="3" t="n">
        <v>0</v>
      </c>
      <c r="DK515" s="3" t="n">
        <v>0</v>
      </c>
      <c r="DL515" s="3" t="n">
        <v>0</v>
      </c>
      <c r="DM515" s="3" t="n">
        <v>0</v>
      </c>
      <c r="DN515" s="3" t="n">
        <v>0</v>
      </c>
      <c r="DO515" s="3" t="n">
        <v>0</v>
      </c>
    </row>
    <row r="516">
      <c r="A516" s="19" t="inlineStr">
        <is>
          <t>mit.ener.nfm.die</t>
        </is>
      </c>
      <c r="B516" s="3" t="inlineStr">
        <is>
          <t>mit</t>
        </is>
      </c>
      <c r="C516" s="19" t="n"/>
      <c r="H516" s="3" t="inlineStr">
        <is>
          <t>Fuel use | Other metals | Diesel</t>
        </is>
      </c>
      <c r="I516" s="3" t="inlineStr">
        <is>
          <t>ktoe</t>
        </is>
      </c>
      <c r="K516" s="20" t="inlineStr">
        <is>
          <t>egy.mit.ener.nfm.die.1</t>
        </is>
      </c>
      <c r="L516" s="3" t="n">
        <v>0</v>
      </c>
      <c r="M516" s="3" t="n">
        <v>0</v>
      </c>
      <c r="N516" s="3" t="n">
        <v>0</v>
      </c>
      <c r="O516" s="3" t="n">
        <v>0</v>
      </c>
      <c r="P516" s="3" t="n">
        <v>0</v>
      </c>
      <c r="Q516" s="3" t="n">
        <v>0</v>
      </c>
      <c r="R516" s="3" t="n">
        <v>0</v>
      </c>
      <c r="S516" s="3" t="n">
        <v>0</v>
      </c>
      <c r="T516" s="3" t="n">
        <v>0</v>
      </c>
      <c r="U516" s="3" t="n">
        <v>0</v>
      </c>
      <c r="V516" s="3" t="n">
        <v>0</v>
      </c>
      <c r="W516" s="3" t="n">
        <v>0</v>
      </c>
      <c r="X516" s="3" t="n">
        <v>0</v>
      </c>
      <c r="Y516" s="3" t="n">
        <v>0</v>
      </c>
      <c r="Z516" s="3" t="n">
        <v>0</v>
      </c>
      <c r="AA516" s="3" t="n">
        <v>0</v>
      </c>
      <c r="AB516" s="3" t="n">
        <v>0</v>
      </c>
      <c r="AC516" s="3" t="n">
        <v>0</v>
      </c>
      <c r="AD516" s="3" t="n">
        <v>0</v>
      </c>
      <c r="AE516" s="3" t="n">
        <v>0</v>
      </c>
      <c r="AG516" s="20" t="inlineStr">
        <is>
          <t>egy.mit.ener.nfm.die.3</t>
        </is>
      </c>
      <c r="AH516" s="3" t="n">
        <v>0</v>
      </c>
      <c r="AI516" s="3" t="n">
        <v>0</v>
      </c>
      <c r="AJ516" s="3" t="n">
        <v>0</v>
      </c>
      <c r="AK516" s="3" t="n">
        <v>0</v>
      </c>
      <c r="AL516" s="3" t="n">
        <v>0</v>
      </c>
      <c r="AM516" s="3" t="n">
        <v>0</v>
      </c>
      <c r="AN516" s="3" t="n">
        <v>0</v>
      </c>
      <c r="AO516" s="3" t="n">
        <v>0</v>
      </c>
      <c r="AP516" s="3" t="n">
        <v>0</v>
      </c>
      <c r="AQ516" s="3" t="n">
        <v>0</v>
      </c>
      <c r="AR516" s="3" t="n">
        <v>0</v>
      </c>
      <c r="AS516" s="3" t="n">
        <v>0</v>
      </c>
      <c r="AT516" s="3" t="n">
        <v>0</v>
      </c>
      <c r="AU516" s="3" t="n">
        <v>0</v>
      </c>
      <c r="AV516" s="3" t="n">
        <v>0</v>
      </c>
      <c r="AW516" s="3" t="n">
        <v>0</v>
      </c>
      <c r="AX516" s="3" t="n">
        <v>0</v>
      </c>
      <c r="AY516" s="3" t="n">
        <v>0</v>
      </c>
      <c r="AZ516" s="3" t="n">
        <v>0</v>
      </c>
      <c r="BA516" s="3" t="n">
        <v>0</v>
      </c>
      <c r="BC516" s="20" t="inlineStr">
        <is>
          <t>egy.mit.ener.nfm.die.4</t>
        </is>
      </c>
      <c r="BD516" s="3" t="n">
        <v>0</v>
      </c>
      <c r="BE516" s="3" t="n">
        <v>0</v>
      </c>
      <c r="BF516" s="3" t="n">
        <v>0</v>
      </c>
      <c r="BG516" s="3" t="n">
        <v>0</v>
      </c>
      <c r="BH516" s="3" t="n">
        <v>0</v>
      </c>
      <c r="BI516" s="3" t="n">
        <v>0</v>
      </c>
      <c r="BJ516" s="3" t="n">
        <v>0</v>
      </c>
      <c r="BK516" s="3" t="n">
        <v>0</v>
      </c>
      <c r="BL516" s="3" t="n">
        <v>0</v>
      </c>
      <c r="BM516" s="3" t="n">
        <v>0</v>
      </c>
      <c r="BN516" s="3" t="n">
        <v>0</v>
      </c>
      <c r="BO516" s="3" t="n">
        <v>0</v>
      </c>
      <c r="BP516" s="3" t="n">
        <v>0</v>
      </c>
      <c r="BQ516" s="3" t="n">
        <v>0</v>
      </c>
      <c r="BR516" s="3" t="n">
        <v>0</v>
      </c>
      <c r="BS516" s="3" t="n">
        <v>0</v>
      </c>
      <c r="BT516" s="3" t="n">
        <v>0</v>
      </c>
      <c r="BU516" s="3" t="n">
        <v>0</v>
      </c>
      <c r="BV516" s="3" t="n">
        <v>0</v>
      </c>
      <c r="BW516" s="3" t="n">
        <v>0</v>
      </c>
      <c r="BY516" s="20" t="inlineStr">
        <is>
          <t>egy.mit.ener.nfm.die.5</t>
        </is>
      </c>
      <c r="BZ516" s="3" t="n">
        <v>0</v>
      </c>
      <c r="CA516" s="3" t="n">
        <v>0</v>
      </c>
      <c r="CB516" s="3" t="n">
        <v>0</v>
      </c>
      <c r="CC516" s="3" t="n">
        <v>0</v>
      </c>
      <c r="CD516" s="3" t="n">
        <v>0</v>
      </c>
      <c r="CE516" s="3" t="n">
        <v>0</v>
      </c>
      <c r="CF516" s="3" t="n">
        <v>0</v>
      </c>
      <c r="CG516" s="3" t="n">
        <v>0</v>
      </c>
      <c r="CH516" s="3" t="n">
        <v>0</v>
      </c>
      <c r="CI516" s="3" t="n">
        <v>0</v>
      </c>
      <c r="CJ516" s="3" t="n">
        <v>0</v>
      </c>
      <c r="CK516" s="3" t="n">
        <v>0</v>
      </c>
      <c r="CL516" s="3" t="n">
        <v>0</v>
      </c>
      <c r="CM516" s="3" t="n">
        <v>0</v>
      </c>
      <c r="CN516" s="3" t="n">
        <v>0</v>
      </c>
      <c r="CO516" s="3" t="n">
        <v>0</v>
      </c>
      <c r="CP516" s="3" t="n">
        <v>0</v>
      </c>
      <c r="CQ516" s="3" t="n">
        <v>0</v>
      </c>
      <c r="CR516" s="3" t="n">
        <v>0</v>
      </c>
      <c r="CS516" s="3" t="n">
        <v>0</v>
      </c>
      <c r="CU516" s="20" t="inlineStr">
        <is>
          <t>egy.mit.ener.nfm.die.6</t>
        </is>
      </c>
      <c r="CV516" s="3" t="n">
        <v>0</v>
      </c>
      <c r="CW516" s="3" t="n">
        <v>0</v>
      </c>
      <c r="CX516" s="3" t="n">
        <v>0</v>
      </c>
      <c r="CY516" s="3" t="n">
        <v>0</v>
      </c>
      <c r="CZ516" s="3" t="n">
        <v>0</v>
      </c>
      <c r="DA516" s="3" t="n">
        <v>0</v>
      </c>
      <c r="DB516" s="3" t="n">
        <v>0</v>
      </c>
      <c r="DC516" s="3" t="n">
        <v>0</v>
      </c>
      <c r="DD516" s="3" t="n">
        <v>0</v>
      </c>
      <c r="DE516" s="3" t="n">
        <v>0</v>
      </c>
      <c r="DF516" s="3" t="n">
        <v>0</v>
      </c>
      <c r="DG516" s="3" t="n">
        <v>0</v>
      </c>
      <c r="DH516" s="3" t="n">
        <v>0</v>
      </c>
      <c r="DI516" s="3" t="n">
        <v>0</v>
      </c>
      <c r="DJ516" s="3" t="n">
        <v>0</v>
      </c>
      <c r="DK516" s="3" t="n">
        <v>0</v>
      </c>
      <c r="DL516" s="3" t="n">
        <v>0</v>
      </c>
      <c r="DM516" s="3" t="n">
        <v>0</v>
      </c>
      <c r="DN516" s="3" t="n">
        <v>0</v>
      </c>
      <c r="DO516" s="3" t="n">
        <v>0</v>
      </c>
    </row>
    <row r="517">
      <c r="A517" s="19" t="inlineStr">
        <is>
          <t>mit.ener.nfm.lpg</t>
        </is>
      </c>
      <c r="B517" s="3" t="inlineStr">
        <is>
          <t>mit</t>
        </is>
      </c>
      <c r="C517" s="19" t="n"/>
      <c r="H517" s="3" t="inlineStr">
        <is>
          <t>Fuel use | Other metals | LPG</t>
        </is>
      </c>
      <c r="I517" s="3" t="inlineStr">
        <is>
          <t>ktoe</t>
        </is>
      </c>
      <c r="K517" s="20" t="inlineStr">
        <is>
          <t>egy.mit.ener.nfm.lpg.1</t>
        </is>
      </c>
      <c r="L517" s="3" t="n">
        <v>0</v>
      </c>
      <c r="M517" s="3" t="n">
        <v>0</v>
      </c>
      <c r="N517" s="3" t="n">
        <v>0</v>
      </c>
      <c r="O517" s="3" t="n">
        <v>0</v>
      </c>
      <c r="P517" s="3" t="n">
        <v>0</v>
      </c>
      <c r="Q517" s="3" t="n">
        <v>0</v>
      </c>
      <c r="R517" s="3" t="n">
        <v>0</v>
      </c>
      <c r="S517" s="3" t="n">
        <v>0</v>
      </c>
      <c r="T517" s="3" t="n">
        <v>0</v>
      </c>
      <c r="U517" s="3" t="n">
        <v>0</v>
      </c>
      <c r="V517" s="3" t="n">
        <v>0</v>
      </c>
      <c r="W517" s="3" t="n">
        <v>0</v>
      </c>
      <c r="X517" s="3" t="n">
        <v>0</v>
      </c>
      <c r="Y517" s="3" t="n">
        <v>0</v>
      </c>
      <c r="Z517" s="3" t="n">
        <v>0</v>
      </c>
      <c r="AA517" s="3" t="n">
        <v>0</v>
      </c>
      <c r="AB517" s="3" t="n">
        <v>0</v>
      </c>
      <c r="AC517" s="3" t="n">
        <v>0</v>
      </c>
      <c r="AD517" s="3" t="n">
        <v>0</v>
      </c>
      <c r="AE517" s="3" t="n">
        <v>0</v>
      </c>
      <c r="AG517" s="20" t="inlineStr">
        <is>
          <t>egy.mit.ener.nfm.lpg.3</t>
        </is>
      </c>
      <c r="AH517" s="3" t="n">
        <v>0</v>
      </c>
      <c r="AI517" s="3" t="n">
        <v>0</v>
      </c>
      <c r="AJ517" s="3" t="n">
        <v>0</v>
      </c>
      <c r="AK517" s="3" t="n">
        <v>0</v>
      </c>
      <c r="AL517" s="3" t="n">
        <v>0</v>
      </c>
      <c r="AM517" s="3" t="n">
        <v>0</v>
      </c>
      <c r="AN517" s="3" t="n">
        <v>0</v>
      </c>
      <c r="AO517" s="3" t="n">
        <v>0</v>
      </c>
      <c r="AP517" s="3" t="n">
        <v>0</v>
      </c>
      <c r="AQ517" s="3" t="n">
        <v>0</v>
      </c>
      <c r="AR517" s="3" t="n">
        <v>0</v>
      </c>
      <c r="AS517" s="3" t="n">
        <v>0</v>
      </c>
      <c r="AT517" s="3" t="n">
        <v>0</v>
      </c>
      <c r="AU517" s="3" t="n">
        <v>0</v>
      </c>
      <c r="AV517" s="3" t="n">
        <v>0</v>
      </c>
      <c r="AW517" s="3" t="n">
        <v>0</v>
      </c>
      <c r="AX517" s="3" t="n">
        <v>0</v>
      </c>
      <c r="AY517" s="3" t="n">
        <v>0</v>
      </c>
      <c r="AZ517" s="3" t="n">
        <v>0</v>
      </c>
      <c r="BA517" s="3" t="n">
        <v>0</v>
      </c>
      <c r="BC517" s="20" t="inlineStr">
        <is>
          <t>egy.mit.ener.nfm.lpg.4</t>
        </is>
      </c>
      <c r="BD517" s="3" t="n">
        <v>0</v>
      </c>
      <c r="BE517" s="3" t="n">
        <v>0</v>
      </c>
      <c r="BF517" s="3" t="n">
        <v>0</v>
      </c>
      <c r="BG517" s="3" t="n">
        <v>0</v>
      </c>
      <c r="BH517" s="3" t="n">
        <v>0</v>
      </c>
      <c r="BI517" s="3" t="n">
        <v>0</v>
      </c>
      <c r="BJ517" s="3" t="n">
        <v>0</v>
      </c>
      <c r="BK517" s="3" t="n">
        <v>0</v>
      </c>
      <c r="BL517" s="3" t="n">
        <v>0</v>
      </c>
      <c r="BM517" s="3" t="n">
        <v>0</v>
      </c>
      <c r="BN517" s="3" t="n">
        <v>0</v>
      </c>
      <c r="BO517" s="3" t="n">
        <v>0</v>
      </c>
      <c r="BP517" s="3" t="n">
        <v>0</v>
      </c>
      <c r="BQ517" s="3" t="n">
        <v>0</v>
      </c>
      <c r="BR517" s="3" t="n">
        <v>0</v>
      </c>
      <c r="BS517" s="3" t="n">
        <v>0</v>
      </c>
      <c r="BT517" s="3" t="n">
        <v>0</v>
      </c>
      <c r="BU517" s="3" t="n">
        <v>0</v>
      </c>
      <c r="BV517" s="3" t="n">
        <v>0</v>
      </c>
      <c r="BW517" s="3" t="n">
        <v>0</v>
      </c>
      <c r="BY517" s="20" t="inlineStr">
        <is>
          <t>egy.mit.ener.nfm.lpg.5</t>
        </is>
      </c>
      <c r="BZ517" s="3" t="n">
        <v>0</v>
      </c>
      <c r="CA517" s="3" t="n">
        <v>0</v>
      </c>
      <c r="CB517" s="3" t="n">
        <v>0</v>
      </c>
      <c r="CC517" s="3" t="n">
        <v>0</v>
      </c>
      <c r="CD517" s="3" t="n">
        <v>0</v>
      </c>
      <c r="CE517" s="3" t="n">
        <v>0</v>
      </c>
      <c r="CF517" s="3" t="n">
        <v>0</v>
      </c>
      <c r="CG517" s="3" t="n">
        <v>0</v>
      </c>
      <c r="CH517" s="3" t="n">
        <v>0</v>
      </c>
      <c r="CI517" s="3" t="n">
        <v>0</v>
      </c>
      <c r="CJ517" s="3" t="n">
        <v>0</v>
      </c>
      <c r="CK517" s="3" t="n">
        <v>0</v>
      </c>
      <c r="CL517" s="3" t="n">
        <v>0</v>
      </c>
      <c r="CM517" s="3" t="n">
        <v>0</v>
      </c>
      <c r="CN517" s="3" t="n">
        <v>0</v>
      </c>
      <c r="CO517" s="3" t="n">
        <v>0</v>
      </c>
      <c r="CP517" s="3" t="n">
        <v>0</v>
      </c>
      <c r="CQ517" s="3" t="n">
        <v>0</v>
      </c>
      <c r="CR517" s="3" t="n">
        <v>0</v>
      </c>
      <c r="CS517" s="3" t="n">
        <v>0</v>
      </c>
      <c r="CU517" s="20" t="inlineStr">
        <is>
          <t>egy.mit.ener.nfm.lpg.6</t>
        </is>
      </c>
      <c r="CV517" s="3" t="n">
        <v>0</v>
      </c>
      <c r="CW517" s="3" t="n">
        <v>0</v>
      </c>
      <c r="CX517" s="3" t="n">
        <v>0</v>
      </c>
      <c r="CY517" s="3" t="n">
        <v>0</v>
      </c>
      <c r="CZ517" s="3" t="n">
        <v>0</v>
      </c>
      <c r="DA517" s="3" t="n">
        <v>0</v>
      </c>
      <c r="DB517" s="3" t="n">
        <v>0</v>
      </c>
      <c r="DC517" s="3" t="n">
        <v>0</v>
      </c>
      <c r="DD517" s="3" t="n">
        <v>0</v>
      </c>
      <c r="DE517" s="3" t="n">
        <v>0</v>
      </c>
      <c r="DF517" s="3" t="n">
        <v>0</v>
      </c>
      <c r="DG517" s="3" t="n">
        <v>0</v>
      </c>
      <c r="DH517" s="3" t="n">
        <v>0</v>
      </c>
      <c r="DI517" s="3" t="n">
        <v>0</v>
      </c>
      <c r="DJ517" s="3" t="n">
        <v>0</v>
      </c>
      <c r="DK517" s="3" t="n">
        <v>0</v>
      </c>
      <c r="DL517" s="3" t="n">
        <v>0</v>
      </c>
      <c r="DM517" s="3" t="n">
        <v>0</v>
      </c>
      <c r="DN517" s="3" t="n">
        <v>0</v>
      </c>
      <c r="DO517" s="3" t="n">
        <v>0</v>
      </c>
    </row>
    <row r="518">
      <c r="A518" s="19" t="inlineStr">
        <is>
          <t>mit.ener.nfm.ker</t>
        </is>
      </c>
      <c r="B518" s="3" t="inlineStr">
        <is>
          <t>mit</t>
        </is>
      </c>
      <c r="C518" s="19" t="inlineStr">
        <is>
          <t>mit.ener.srv.coa.e</t>
        </is>
      </c>
      <c r="H518" s="3" t="inlineStr">
        <is>
          <t>Fuel use | Other metals | Kerosene</t>
        </is>
      </c>
      <c r="I518" s="3" t="inlineStr">
        <is>
          <t>ktoe</t>
        </is>
      </c>
      <c r="K518" s="20" t="inlineStr">
        <is>
          <t>egy.mit.ener.nfm.ker.1</t>
        </is>
      </c>
      <c r="L518" s="3" t="n">
        <v>0</v>
      </c>
      <c r="M518" s="3" t="n">
        <v>0</v>
      </c>
      <c r="N518" s="3" t="n">
        <v>0</v>
      </c>
      <c r="O518" s="3" t="n">
        <v>0</v>
      </c>
      <c r="P518" s="3" t="n">
        <v>0</v>
      </c>
      <c r="Q518" s="3" t="n">
        <v>0</v>
      </c>
      <c r="R518" s="3" t="n">
        <v>0</v>
      </c>
      <c r="S518" s="3" t="n">
        <v>0</v>
      </c>
      <c r="T518" s="3" t="n">
        <v>0</v>
      </c>
      <c r="U518" s="3" t="n">
        <v>0</v>
      </c>
      <c r="V518" s="3" t="n">
        <v>0</v>
      </c>
      <c r="W518" s="3" t="n">
        <v>0</v>
      </c>
      <c r="X518" s="3" t="n">
        <v>0</v>
      </c>
      <c r="Y518" s="3" t="n">
        <v>0</v>
      </c>
      <c r="Z518" s="3" t="n">
        <v>0</v>
      </c>
      <c r="AA518" s="3" t="n">
        <v>0</v>
      </c>
      <c r="AB518" s="3" t="n">
        <v>0</v>
      </c>
      <c r="AC518" s="3" t="n">
        <v>0</v>
      </c>
      <c r="AD518" s="3" t="n">
        <v>0</v>
      </c>
      <c r="AE518" s="3" t="n">
        <v>0</v>
      </c>
      <c r="AG518" s="20" t="inlineStr">
        <is>
          <t>egy.mit.ener.nfm.ker.3</t>
        </is>
      </c>
      <c r="AH518" s="3" t="n">
        <v>0</v>
      </c>
      <c r="AI518" s="3" t="n">
        <v>0</v>
      </c>
      <c r="AJ518" s="3" t="n">
        <v>0</v>
      </c>
      <c r="AK518" s="3" t="n">
        <v>0</v>
      </c>
      <c r="AL518" s="3" t="n">
        <v>0</v>
      </c>
      <c r="AM518" s="3" t="n">
        <v>0</v>
      </c>
      <c r="AN518" s="3" t="n">
        <v>0</v>
      </c>
      <c r="AO518" s="3" t="n">
        <v>0</v>
      </c>
      <c r="AP518" s="3" t="n">
        <v>0</v>
      </c>
      <c r="AQ518" s="3" t="n">
        <v>0</v>
      </c>
      <c r="AR518" s="3" t="n">
        <v>0</v>
      </c>
      <c r="AS518" s="3" t="n">
        <v>0</v>
      </c>
      <c r="AT518" s="3" t="n">
        <v>0</v>
      </c>
      <c r="AU518" s="3" t="n">
        <v>0</v>
      </c>
      <c r="AV518" s="3" t="n">
        <v>0</v>
      </c>
      <c r="AW518" s="3" t="n">
        <v>0</v>
      </c>
      <c r="AX518" s="3" t="n">
        <v>0</v>
      </c>
      <c r="AY518" s="3" t="n">
        <v>0</v>
      </c>
      <c r="AZ518" s="3" t="n">
        <v>0</v>
      </c>
      <c r="BA518" s="3" t="n">
        <v>0</v>
      </c>
      <c r="BC518" s="20" t="inlineStr">
        <is>
          <t>egy.mit.ener.nfm.ker.4</t>
        </is>
      </c>
      <c r="BD518" s="3" t="n">
        <v>0</v>
      </c>
      <c r="BE518" s="3" t="n">
        <v>0</v>
      </c>
      <c r="BF518" s="3" t="n">
        <v>0</v>
      </c>
      <c r="BG518" s="3" t="n">
        <v>0</v>
      </c>
      <c r="BH518" s="3" t="n">
        <v>0</v>
      </c>
      <c r="BI518" s="3" t="n">
        <v>0</v>
      </c>
      <c r="BJ518" s="3" t="n">
        <v>0</v>
      </c>
      <c r="BK518" s="3" t="n">
        <v>0</v>
      </c>
      <c r="BL518" s="3" t="n">
        <v>0</v>
      </c>
      <c r="BM518" s="3" t="n">
        <v>0</v>
      </c>
      <c r="BN518" s="3" t="n">
        <v>0</v>
      </c>
      <c r="BO518" s="3" t="n">
        <v>0</v>
      </c>
      <c r="BP518" s="3" t="n">
        <v>0</v>
      </c>
      <c r="BQ518" s="3" t="n">
        <v>0</v>
      </c>
      <c r="BR518" s="3" t="n">
        <v>0</v>
      </c>
      <c r="BS518" s="3" t="n">
        <v>0</v>
      </c>
      <c r="BT518" s="3" t="n">
        <v>0</v>
      </c>
      <c r="BU518" s="3" t="n">
        <v>0</v>
      </c>
      <c r="BV518" s="3" t="n">
        <v>0</v>
      </c>
      <c r="BW518" s="3" t="n">
        <v>0</v>
      </c>
      <c r="BY518" s="20" t="inlineStr">
        <is>
          <t>egy.mit.ener.nfm.ker.5</t>
        </is>
      </c>
      <c r="BZ518" s="3" t="n">
        <v>0</v>
      </c>
      <c r="CA518" s="3" t="n">
        <v>0</v>
      </c>
      <c r="CB518" s="3" t="n">
        <v>0</v>
      </c>
      <c r="CC518" s="3" t="n">
        <v>0</v>
      </c>
      <c r="CD518" s="3" t="n">
        <v>0</v>
      </c>
      <c r="CE518" s="3" t="n">
        <v>0</v>
      </c>
      <c r="CF518" s="3" t="n">
        <v>0</v>
      </c>
      <c r="CG518" s="3" t="n">
        <v>0</v>
      </c>
      <c r="CH518" s="3" t="n">
        <v>0</v>
      </c>
      <c r="CI518" s="3" t="n">
        <v>0</v>
      </c>
      <c r="CJ518" s="3" t="n">
        <v>0</v>
      </c>
      <c r="CK518" s="3" t="n">
        <v>0</v>
      </c>
      <c r="CL518" s="3" t="n">
        <v>0</v>
      </c>
      <c r="CM518" s="3" t="n">
        <v>0</v>
      </c>
      <c r="CN518" s="3" t="n">
        <v>0</v>
      </c>
      <c r="CO518" s="3" t="n">
        <v>0</v>
      </c>
      <c r="CP518" s="3" t="n">
        <v>0</v>
      </c>
      <c r="CQ518" s="3" t="n">
        <v>0</v>
      </c>
      <c r="CR518" s="3" t="n">
        <v>0</v>
      </c>
      <c r="CS518" s="3" t="n">
        <v>0</v>
      </c>
      <c r="CU518" s="20" t="inlineStr">
        <is>
          <t>egy.mit.ener.nfm.ker.6</t>
        </is>
      </c>
      <c r="CV518" s="3" t="n">
        <v>0</v>
      </c>
      <c r="CW518" s="3" t="n">
        <v>0</v>
      </c>
      <c r="CX518" s="3" t="n">
        <v>0</v>
      </c>
      <c r="CY518" s="3" t="n">
        <v>0</v>
      </c>
      <c r="CZ518" s="3" t="n">
        <v>0</v>
      </c>
      <c r="DA518" s="3" t="n">
        <v>0</v>
      </c>
      <c r="DB518" s="3" t="n">
        <v>0</v>
      </c>
      <c r="DC518" s="3" t="n">
        <v>0</v>
      </c>
      <c r="DD518" s="3" t="n">
        <v>0</v>
      </c>
      <c r="DE518" s="3" t="n">
        <v>0</v>
      </c>
      <c r="DF518" s="3" t="n">
        <v>0</v>
      </c>
      <c r="DG518" s="3" t="n">
        <v>0</v>
      </c>
      <c r="DH518" s="3" t="n">
        <v>0</v>
      </c>
      <c r="DI518" s="3" t="n">
        <v>0</v>
      </c>
      <c r="DJ518" s="3" t="n">
        <v>0</v>
      </c>
      <c r="DK518" s="3" t="n">
        <v>0</v>
      </c>
      <c r="DL518" s="3" t="n">
        <v>0</v>
      </c>
      <c r="DM518" s="3" t="n">
        <v>0</v>
      </c>
      <c r="DN518" s="3" t="n">
        <v>0</v>
      </c>
      <c r="DO518" s="3" t="n">
        <v>0</v>
      </c>
    </row>
    <row r="519">
      <c r="A519" s="19" t="inlineStr">
        <is>
          <t>mit.ener.nfm.oop</t>
        </is>
      </c>
      <c r="B519" s="3" t="inlineStr">
        <is>
          <t>mit</t>
        </is>
      </c>
      <c r="C519" s="19" t="inlineStr">
        <is>
          <t>mit.ener.srv.nga.e</t>
        </is>
      </c>
      <c r="H519" s="3" t="inlineStr">
        <is>
          <t>Fuel use | Other metals | Other oil products</t>
        </is>
      </c>
      <c r="I519" s="3" t="inlineStr">
        <is>
          <t>ktoe</t>
        </is>
      </c>
      <c r="K519" s="20" t="inlineStr">
        <is>
          <t>egy.mit.ener.nfm.oop.1</t>
        </is>
      </c>
      <c r="L519" s="3" t="n">
        <v>0</v>
      </c>
      <c r="M519" s="3" t="n">
        <v>0</v>
      </c>
      <c r="N519" s="3" t="n">
        <v>0</v>
      </c>
      <c r="O519" s="3" t="n">
        <v>0</v>
      </c>
      <c r="P519" s="3" t="n">
        <v>0</v>
      </c>
      <c r="Q519" s="3" t="n">
        <v>0</v>
      </c>
      <c r="R519" s="3" t="n">
        <v>0</v>
      </c>
      <c r="S519" s="3" t="n">
        <v>0</v>
      </c>
      <c r="T519" s="3" t="n">
        <v>0</v>
      </c>
      <c r="U519" s="3" t="n">
        <v>0</v>
      </c>
      <c r="V519" s="3" t="n">
        <v>0</v>
      </c>
      <c r="W519" s="3" t="n">
        <v>0</v>
      </c>
      <c r="X519" s="3" t="n">
        <v>0</v>
      </c>
      <c r="Y519" s="3" t="n">
        <v>0</v>
      </c>
      <c r="Z519" s="3" t="n">
        <v>0</v>
      </c>
      <c r="AA519" s="3" t="n">
        <v>0</v>
      </c>
      <c r="AB519" s="3" t="n">
        <v>0</v>
      </c>
      <c r="AC519" s="3" t="n">
        <v>0</v>
      </c>
      <c r="AD519" s="3" t="n">
        <v>0</v>
      </c>
      <c r="AE519" s="3" t="n">
        <v>0</v>
      </c>
      <c r="AG519" s="20" t="inlineStr">
        <is>
          <t>egy.mit.ener.nfm.oop.3</t>
        </is>
      </c>
      <c r="AH519" s="3" t="n">
        <v>0</v>
      </c>
      <c r="AI519" s="3" t="n">
        <v>0</v>
      </c>
      <c r="AJ519" s="3" t="n">
        <v>0</v>
      </c>
      <c r="AK519" s="3" t="n">
        <v>0</v>
      </c>
      <c r="AL519" s="3" t="n">
        <v>0</v>
      </c>
      <c r="AM519" s="3" t="n">
        <v>0</v>
      </c>
      <c r="AN519" s="3" t="n">
        <v>0</v>
      </c>
      <c r="AO519" s="3" t="n">
        <v>0</v>
      </c>
      <c r="AP519" s="3" t="n">
        <v>0</v>
      </c>
      <c r="AQ519" s="3" t="n">
        <v>0</v>
      </c>
      <c r="AR519" s="3" t="n">
        <v>0</v>
      </c>
      <c r="AS519" s="3" t="n">
        <v>0</v>
      </c>
      <c r="AT519" s="3" t="n">
        <v>0</v>
      </c>
      <c r="AU519" s="3" t="n">
        <v>0</v>
      </c>
      <c r="AV519" s="3" t="n">
        <v>0</v>
      </c>
      <c r="AW519" s="3" t="n">
        <v>0</v>
      </c>
      <c r="AX519" s="3" t="n">
        <v>0</v>
      </c>
      <c r="AY519" s="3" t="n">
        <v>0</v>
      </c>
      <c r="AZ519" s="3" t="n">
        <v>0</v>
      </c>
      <c r="BA519" s="3" t="n">
        <v>0</v>
      </c>
      <c r="BC519" s="20" t="inlineStr">
        <is>
          <t>egy.mit.ener.nfm.oop.4</t>
        </is>
      </c>
      <c r="BD519" s="3" t="n">
        <v>0</v>
      </c>
      <c r="BE519" s="3" t="n">
        <v>0</v>
      </c>
      <c r="BF519" s="3" t="n">
        <v>0</v>
      </c>
      <c r="BG519" s="3" t="n">
        <v>0</v>
      </c>
      <c r="BH519" s="3" t="n">
        <v>0</v>
      </c>
      <c r="BI519" s="3" t="n">
        <v>0</v>
      </c>
      <c r="BJ519" s="3" t="n">
        <v>0</v>
      </c>
      <c r="BK519" s="3" t="n">
        <v>0</v>
      </c>
      <c r="BL519" s="3" t="n">
        <v>0</v>
      </c>
      <c r="BM519" s="3" t="n">
        <v>0</v>
      </c>
      <c r="BN519" s="3" t="n">
        <v>0</v>
      </c>
      <c r="BO519" s="3" t="n">
        <v>0</v>
      </c>
      <c r="BP519" s="3" t="n">
        <v>0</v>
      </c>
      <c r="BQ519" s="3" t="n">
        <v>0</v>
      </c>
      <c r="BR519" s="3" t="n">
        <v>0</v>
      </c>
      <c r="BS519" s="3" t="n">
        <v>0</v>
      </c>
      <c r="BT519" s="3" t="n">
        <v>0</v>
      </c>
      <c r="BU519" s="3" t="n">
        <v>0</v>
      </c>
      <c r="BV519" s="3" t="n">
        <v>0</v>
      </c>
      <c r="BW519" s="3" t="n">
        <v>0</v>
      </c>
      <c r="BY519" s="20" t="inlineStr">
        <is>
          <t>egy.mit.ener.nfm.oop.5</t>
        </is>
      </c>
      <c r="BZ519" s="3" t="n">
        <v>0</v>
      </c>
      <c r="CA519" s="3" t="n">
        <v>0</v>
      </c>
      <c r="CB519" s="3" t="n">
        <v>0</v>
      </c>
      <c r="CC519" s="3" t="n">
        <v>0</v>
      </c>
      <c r="CD519" s="3" t="n">
        <v>0</v>
      </c>
      <c r="CE519" s="3" t="n">
        <v>0</v>
      </c>
      <c r="CF519" s="3" t="n">
        <v>0</v>
      </c>
      <c r="CG519" s="3" t="n">
        <v>0</v>
      </c>
      <c r="CH519" s="3" t="n">
        <v>0</v>
      </c>
      <c r="CI519" s="3" t="n">
        <v>0</v>
      </c>
      <c r="CJ519" s="3" t="n">
        <v>0</v>
      </c>
      <c r="CK519" s="3" t="n">
        <v>0</v>
      </c>
      <c r="CL519" s="3" t="n">
        <v>0</v>
      </c>
      <c r="CM519" s="3" t="n">
        <v>0</v>
      </c>
      <c r="CN519" s="3" t="n">
        <v>0</v>
      </c>
      <c r="CO519" s="3" t="n">
        <v>0</v>
      </c>
      <c r="CP519" s="3" t="n">
        <v>0</v>
      </c>
      <c r="CQ519" s="3" t="n">
        <v>0</v>
      </c>
      <c r="CR519" s="3" t="n">
        <v>0</v>
      </c>
      <c r="CS519" s="3" t="n">
        <v>0</v>
      </c>
      <c r="CU519" s="20" t="inlineStr">
        <is>
          <t>egy.mit.ener.nfm.oop.6</t>
        </is>
      </c>
      <c r="CV519" s="3" t="n">
        <v>0</v>
      </c>
      <c r="CW519" s="3" t="n">
        <v>0</v>
      </c>
      <c r="CX519" s="3" t="n">
        <v>0</v>
      </c>
      <c r="CY519" s="3" t="n">
        <v>0</v>
      </c>
      <c r="CZ519" s="3" t="n">
        <v>0</v>
      </c>
      <c r="DA519" s="3" t="n">
        <v>0</v>
      </c>
      <c r="DB519" s="3" t="n">
        <v>0</v>
      </c>
      <c r="DC519" s="3" t="n">
        <v>0</v>
      </c>
      <c r="DD519" s="3" t="n">
        <v>0</v>
      </c>
      <c r="DE519" s="3" t="n">
        <v>0</v>
      </c>
      <c r="DF519" s="3" t="n">
        <v>0</v>
      </c>
      <c r="DG519" s="3" t="n">
        <v>0</v>
      </c>
      <c r="DH519" s="3" t="n">
        <v>0</v>
      </c>
      <c r="DI519" s="3" t="n">
        <v>0</v>
      </c>
      <c r="DJ519" s="3" t="n">
        <v>0</v>
      </c>
      <c r="DK519" s="3" t="n">
        <v>0</v>
      </c>
      <c r="DL519" s="3" t="n">
        <v>0</v>
      </c>
      <c r="DM519" s="3" t="n">
        <v>0</v>
      </c>
      <c r="DN519" s="3" t="n">
        <v>0</v>
      </c>
      <c r="DO519" s="3" t="n">
        <v>0</v>
      </c>
    </row>
    <row r="520">
      <c r="A520" s="19" t="inlineStr">
        <is>
          <t>mit.ener.nfm.bio</t>
        </is>
      </c>
      <c r="B520" s="3" t="inlineStr">
        <is>
          <t>mit</t>
        </is>
      </c>
      <c r="C520" s="19" t="inlineStr">
        <is>
          <t>mit.ener.srv.gso.e</t>
        </is>
      </c>
      <c r="H520" s="3" t="inlineStr">
        <is>
          <t>Fuel use | Other metals | Biomass</t>
        </is>
      </c>
      <c r="I520" s="3" t="inlineStr">
        <is>
          <t>ktoe</t>
        </is>
      </c>
      <c r="K520" s="20" t="inlineStr">
        <is>
          <t>egy.mit.ener.nfm.bio.1</t>
        </is>
      </c>
      <c r="L520" s="3" t="n">
        <v>0</v>
      </c>
      <c r="M520" s="3" t="n">
        <v>0</v>
      </c>
      <c r="N520" s="3" t="n">
        <v>0</v>
      </c>
      <c r="O520" s="3" t="n">
        <v>0</v>
      </c>
      <c r="P520" s="3" t="n">
        <v>0</v>
      </c>
      <c r="Q520" s="3" t="n">
        <v>0</v>
      </c>
      <c r="R520" s="3" t="n">
        <v>0</v>
      </c>
      <c r="S520" s="3" t="n">
        <v>0</v>
      </c>
      <c r="T520" s="3" t="n">
        <v>0</v>
      </c>
      <c r="U520" s="3" t="n">
        <v>0</v>
      </c>
      <c r="V520" s="3" t="n">
        <v>0</v>
      </c>
      <c r="W520" s="3" t="n">
        <v>0</v>
      </c>
      <c r="X520" s="3" t="n">
        <v>0</v>
      </c>
      <c r="Y520" s="3" t="n">
        <v>0</v>
      </c>
      <c r="Z520" s="3" t="n">
        <v>0</v>
      </c>
      <c r="AA520" s="3" t="n">
        <v>0</v>
      </c>
      <c r="AB520" s="3" t="n">
        <v>0</v>
      </c>
      <c r="AC520" s="3" t="n">
        <v>0</v>
      </c>
      <c r="AD520" s="3" t="n">
        <v>0</v>
      </c>
      <c r="AE520" s="3" t="n">
        <v>0</v>
      </c>
      <c r="AG520" s="20" t="inlineStr">
        <is>
          <t>egy.mit.ener.nfm.bio.3</t>
        </is>
      </c>
      <c r="AH520" s="3" t="n">
        <v>0</v>
      </c>
      <c r="AI520" s="3" t="n">
        <v>0</v>
      </c>
      <c r="AJ520" s="3" t="n">
        <v>0</v>
      </c>
      <c r="AK520" s="3" t="n">
        <v>0</v>
      </c>
      <c r="AL520" s="3" t="n">
        <v>0</v>
      </c>
      <c r="AM520" s="3" t="n">
        <v>0</v>
      </c>
      <c r="AN520" s="3" t="n">
        <v>0</v>
      </c>
      <c r="AO520" s="3" t="n">
        <v>0</v>
      </c>
      <c r="AP520" s="3" t="n">
        <v>0</v>
      </c>
      <c r="AQ520" s="3" t="n">
        <v>0</v>
      </c>
      <c r="AR520" s="3" t="n">
        <v>0</v>
      </c>
      <c r="AS520" s="3" t="n">
        <v>0</v>
      </c>
      <c r="AT520" s="3" t="n">
        <v>0</v>
      </c>
      <c r="AU520" s="3" t="n">
        <v>0</v>
      </c>
      <c r="AV520" s="3" t="n">
        <v>0</v>
      </c>
      <c r="AW520" s="3" t="n">
        <v>0</v>
      </c>
      <c r="AX520" s="3" t="n">
        <v>0</v>
      </c>
      <c r="AY520" s="3" t="n">
        <v>0</v>
      </c>
      <c r="AZ520" s="3" t="n">
        <v>0</v>
      </c>
      <c r="BA520" s="3" t="n">
        <v>0</v>
      </c>
      <c r="BC520" s="20" t="inlineStr">
        <is>
          <t>egy.mit.ener.nfm.bio.4</t>
        </is>
      </c>
      <c r="BD520" s="3" t="n">
        <v>0</v>
      </c>
      <c r="BE520" s="3" t="n">
        <v>0</v>
      </c>
      <c r="BF520" s="3" t="n">
        <v>0</v>
      </c>
      <c r="BG520" s="3" t="n">
        <v>0</v>
      </c>
      <c r="BH520" s="3" t="n">
        <v>0</v>
      </c>
      <c r="BI520" s="3" t="n">
        <v>0</v>
      </c>
      <c r="BJ520" s="3" t="n">
        <v>0</v>
      </c>
      <c r="BK520" s="3" t="n">
        <v>0</v>
      </c>
      <c r="BL520" s="3" t="n">
        <v>0</v>
      </c>
      <c r="BM520" s="3" t="n">
        <v>0</v>
      </c>
      <c r="BN520" s="3" t="n">
        <v>0</v>
      </c>
      <c r="BO520" s="3" t="n">
        <v>0</v>
      </c>
      <c r="BP520" s="3" t="n">
        <v>0</v>
      </c>
      <c r="BQ520" s="3" t="n">
        <v>0</v>
      </c>
      <c r="BR520" s="3" t="n">
        <v>0</v>
      </c>
      <c r="BS520" s="3" t="n">
        <v>0</v>
      </c>
      <c r="BT520" s="3" t="n">
        <v>0</v>
      </c>
      <c r="BU520" s="3" t="n">
        <v>0</v>
      </c>
      <c r="BV520" s="3" t="n">
        <v>0</v>
      </c>
      <c r="BW520" s="3" t="n">
        <v>0</v>
      </c>
      <c r="BY520" s="20" t="inlineStr">
        <is>
          <t>egy.mit.ener.nfm.bio.5</t>
        </is>
      </c>
      <c r="BZ520" s="3" t="n">
        <v>0</v>
      </c>
      <c r="CA520" s="3" t="n">
        <v>0</v>
      </c>
      <c r="CB520" s="3" t="n">
        <v>0</v>
      </c>
      <c r="CC520" s="3" t="n">
        <v>0</v>
      </c>
      <c r="CD520" s="3" t="n">
        <v>0</v>
      </c>
      <c r="CE520" s="3" t="n">
        <v>0</v>
      </c>
      <c r="CF520" s="3" t="n">
        <v>0</v>
      </c>
      <c r="CG520" s="3" t="n">
        <v>0</v>
      </c>
      <c r="CH520" s="3" t="n">
        <v>0</v>
      </c>
      <c r="CI520" s="3" t="n">
        <v>0</v>
      </c>
      <c r="CJ520" s="3" t="n">
        <v>0</v>
      </c>
      <c r="CK520" s="3" t="n">
        <v>0</v>
      </c>
      <c r="CL520" s="3" t="n">
        <v>0</v>
      </c>
      <c r="CM520" s="3" t="n">
        <v>0</v>
      </c>
      <c r="CN520" s="3" t="n">
        <v>0</v>
      </c>
      <c r="CO520" s="3" t="n">
        <v>0</v>
      </c>
      <c r="CP520" s="3" t="n">
        <v>0</v>
      </c>
      <c r="CQ520" s="3" t="n">
        <v>0</v>
      </c>
      <c r="CR520" s="3" t="n">
        <v>0</v>
      </c>
      <c r="CS520" s="3" t="n">
        <v>0</v>
      </c>
      <c r="CU520" s="20" t="inlineStr">
        <is>
          <t>egy.mit.ener.nfm.bio.6</t>
        </is>
      </c>
      <c r="CV520" s="3" t="n">
        <v>0</v>
      </c>
      <c r="CW520" s="3" t="n">
        <v>0</v>
      </c>
      <c r="CX520" s="3" t="n">
        <v>0</v>
      </c>
      <c r="CY520" s="3" t="n">
        <v>0</v>
      </c>
      <c r="CZ520" s="3" t="n">
        <v>0</v>
      </c>
      <c r="DA520" s="3" t="n">
        <v>0</v>
      </c>
      <c r="DB520" s="3" t="n">
        <v>0</v>
      </c>
      <c r="DC520" s="3" t="n">
        <v>0</v>
      </c>
      <c r="DD520" s="3" t="n">
        <v>0</v>
      </c>
      <c r="DE520" s="3" t="n">
        <v>0</v>
      </c>
      <c r="DF520" s="3" t="n">
        <v>0</v>
      </c>
      <c r="DG520" s="3" t="n">
        <v>0</v>
      </c>
      <c r="DH520" s="3" t="n">
        <v>0</v>
      </c>
      <c r="DI520" s="3" t="n">
        <v>0</v>
      </c>
      <c r="DJ520" s="3" t="n">
        <v>0</v>
      </c>
      <c r="DK520" s="3" t="n">
        <v>0</v>
      </c>
      <c r="DL520" s="3" t="n">
        <v>0</v>
      </c>
      <c r="DM520" s="3" t="n">
        <v>0</v>
      </c>
      <c r="DN520" s="3" t="n">
        <v>0</v>
      </c>
      <c r="DO520" s="3" t="n">
        <v>0</v>
      </c>
    </row>
    <row r="521">
      <c r="A521" s="14" t="n"/>
      <c r="B521" s="3" t="inlineStr">
        <is>
          <t>mit</t>
        </is>
      </c>
      <c r="C521" s="19" t="inlineStr">
        <is>
          <t>mit.ener.srv.die.e</t>
        </is>
      </c>
      <c r="H521" s="14" t="inlineStr">
        <is>
          <t>Energy consumption, non-ferrous metals, sector-generated renewables, policy</t>
        </is>
      </c>
      <c r="I521" s="14" t="inlineStr">
        <is>
          <t>ktoe</t>
        </is>
      </c>
    </row>
    <row r="522">
      <c r="A522" s="19" t="inlineStr">
        <is>
          <t>mit.ener.mac.coa</t>
        </is>
      </c>
      <c r="B522" s="3" t="inlineStr">
        <is>
          <t>mit</t>
        </is>
      </c>
      <c r="C522" s="19" t="n"/>
      <c r="H522" s="3" t="inlineStr">
        <is>
          <t>Fuel use | Machinery | Coal</t>
        </is>
      </c>
      <c r="I522" s="3" t="inlineStr">
        <is>
          <t>ktoe</t>
        </is>
      </c>
      <c r="K522" s="20" t="inlineStr">
        <is>
          <t>egy.mit.ener.mac.coa.1</t>
        </is>
      </c>
      <c r="L522" s="3" t="n">
        <v>0</v>
      </c>
      <c r="M522" s="3" t="n">
        <v>0</v>
      </c>
      <c r="N522" s="3" t="n">
        <v>0</v>
      </c>
      <c r="O522" s="3" t="n">
        <v>0</v>
      </c>
      <c r="P522" s="3" t="n">
        <v>0</v>
      </c>
      <c r="Q522" s="3" t="n">
        <v>0</v>
      </c>
      <c r="R522" s="3" t="n">
        <v>0</v>
      </c>
      <c r="S522" s="3" t="n">
        <v>0</v>
      </c>
      <c r="T522" s="3" t="n">
        <v>0</v>
      </c>
      <c r="U522" s="3" t="n">
        <v>0</v>
      </c>
      <c r="V522" s="3" t="n">
        <v>0</v>
      </c>
      <c r="W522" s="3" t="n">
        <v>0</v>
      </c>
      <c r="X522" s="3" t="n">
        <v>0</v>
      </c>
      <c r="Y522" s="3" t="n">
        <v>0</v>
      </c>
      <c r="Z522" s="3" t="n">
        <v>0</v>
      </c>
      <c r="AA522" s="3" t="n">
        <v>0</v>
      </c>
      <c r="AB522" s="3" t="n">
        <v>0</v>
      </c>
      <c r="AC522" s="3" t="n">
        <v>0</v>
      </c>
      <c r="AD522" s="3" t="n">
        <v>0</v>
      </c>
      <c r="AE522" s="3" t="n">
        <v>0</v>
      </c>
      <c r="AG522" s="20" t="inlineStr">
        <is>
          <t>egy.mit.ener.mac.coa.3</t>
        </is>
      </c>
      <c r="AH522" s="3" t="n">
        <v>0</v>
      </c>
      <c r="AI522" s="3" t="n">
        <v>0</v>
      </c>
      <c r="AJ522" s="3" t="n">
        <v>0</v>
      </c>
      <c r="AK522" s="3" t="n">
        <v>0</v>
      </c>
      <c r="AL522" s="3" t="n">
        <v>0</v>
      </c>
      <c r="AM522" s="3" t="n">
        <v>0</v>
      </c>
      <c r="AN522" s="3" t="n">
        <v>0</v>
      </c>
      <c r="AO522" s="3" t="n">
        <v>0</v>
      </c>
      <c r="AP522" s="3" t="n">
        <v>0</v>
      </c>
      <c r="AQ522" s="3" t="n">
        <v>0</v>
      </c>
      <c r="AR522" s="3" t="n">
        <v>0</v>
      </c>
      <c r="AS522" s="3" t="n">
        <v>0</v>
      </c>
      <c r="AT522" s="3" t="n">
        <v>0</v>
      </c>
      <c r="AU522" s="3" t="n">
        <v>0</v>
      </c>
      <c r="AV522" s="3" t="n">
        <v>0</v>
      </c>
      <c r="AW522" s="3" t="n">
        <v>0</v>
      </c>
      <c r="AX522" s="3" t="n">
        <v>0</v>
      </c>
      <c r="AY522" s="3" t="n">
        <v>0</v>
      </c>
      <c r="AZ522" s="3" t="n">
        <v>0</v>
      </c>
      <c r="BA522" s="3" t="n">
        <v>0</v>
      </c>
      <c r="BC522" s="20" t="inlineStr">
        <is>
          <t>egy.mit.ener.mac.coa.4</t>
        </is>
      </c>
      <c r="BD522" s="3" t="n">
        <v>0</v>
      </c>
      <c r="BE522" s="3" t="n">
        <v>0</v>
      </c>
      <c r="BF522" s="3" t="n">
        <v>0</v>
      </c>
      <c r="BG522" s="3" t="n">
        <v>0</v>
      </c>
      <c r="BH522" s="3" t="n">
        <v>0</v>
      </c>
      <c r="BI522" s="3" t="n">
        <v>0</v>
      </c>
      <c r="BJ522" s="3" t="n">
        <v>0</v>
      </c>
      <c r="BK522" s="3" t="n">
        <v>0</v>
      </c>
      <c r="BL522" s="3" t="n">
        <v>0</v>
      </c>
      <c r="BM522" s="3" t="n">
        <v>0</v>
      </c>
      <c r="BN522" s="3" t="n">
        <v>0</v>
      </c>
      <c r="BO522" s="3" t="n">
        <v>0</v>
      </c>
      <c r="BP522" s="3" t="n">
        <v>0</v>
      </c>
      <c r="BQ522" s="3" t="n">
        <v>0</v>
      </c>
      <c r="BR522" s="3" t="n">
        <v>0</v>
      </c>
      <c r="BS522" s="3" t="n">
        <v>0</v>
      </c>
      <c r="BT522" s="3" t="n">
        <v>0</v>
      </c>
      <c r="BU522" s="3" t="n">
        <v>0</v>
      </c>
      <c r="BV522" s="3" t="n">
        <v>0</v>
      </c>
      <c r="BW522" s="3" t="n">
        <v>0</v>
      </c>
      <c r="BY522" s="20" t="inlineStr">
        <is>
          <t>egy.mit.ener.mac.coa.5</t>
        </is>
      </c>
      <c r="BZ522" s="3" t="n">
        <v>0</v>
      </c>
      <c r="CA522" s="3" t="n">
        <v>0</v>
      </c>
      <c r="CB522" s="3" t="n">
        <v>0</v>
      </c>
      <c r="CC522" s="3" t="n">
        <v>0</v>
      </c>
      <c r="CD522" s="3" t="n">
        <v>0</v>
      </c>
      <c r="CE522" s="3" t="n">
        <v>0</v>
      </c>
      <c r="CF522" s="3" t="n">
        <v>0</v>
      </c>
      <c r="CG522" s="3" t="n">
        <v>0</v>
      </c>
      <c r="CH522" s="3" t="n">
        <v>0</v>
      </c>
      <c r="CI522" s="3" t="n">
        <v>0</v>
      </c>
      <c r="CJ522" s="3" t="n">
        <v>0</v>
      </c>
      <c r="CK522" s="3" t="n">
        <v>0</v>
      </c>
      <c r="CL522" s="3" t="n">
        <v>0</v>
      </c>
      <c r="CM522" s="3" t="n">
        <v>0</v>
      </c>
      <c r="CN522" s="3" t="n">
        <v>0</v>
      </c>
      <c r="CO522" s="3" t="n">
        <v>0</v>
      </c>
      <c r="CP522" s="3" t="n">
        <v>0</v>
      </c>
      <c r="CQ522" s="3" t="n">
        <v>0</v>
      </c>
      <c r="CR522" s="3" t="n">
        <v>0</v>
      </c>
      <c r="CS522" s="3" t="n">
        <v>0</v>
      </c>
      <c r="CU522" s="20" t="inlineStr">
        <is>
          <t>egy.mit.ener.mac.coa.6</t>
        </is>
      </c>
      <c r="CV522" s="3" t="n">
        <v>0</v>
      </c>
      <c r="CW522" s="3" t="n">
        <v>0</v>
      </c>
      <c r="CX522" s="3" t="n">
        <v>0</v>
      </c>
      <c r="CY522" s="3" t="n">
        <v>0</v>
      </c>
      <c r="CZ522" s="3" t="n">
        <v>0</v>
      </c>
      <c r="DA522" s="3" t="n">
        <v>0</v>
      </c>
      <c r="DB522" s="3" t="n">
        <v>0</v>
      </c>
      <c r="DC522" s="3" t="n">
        <v>0</v>
      </c>
      <c r="DD522" s="3" t="n">
        <v>0</v>
      </c>
      <c r="DE522" s="3" t="n">
        <v>0</v>
      </c>
      <c r="DF522" s="3" t="n">
        <v>0</v>
      </c>
      <c r="DG522" s="3" t="n">
        <v>0</v>
      </c>
      <c r="DH522" s="3" t="n">
        <v>0</v>
      </c>
      <c r="DI522" s="3" t="n">
        <v>0</v>
      </c>
      <c r="DJ522" s="3" t="n">
        <v>0</v>
      </c>
      <c r="DK522" s="3" t="n">
        <v>0</v>
      </c>
      <c r="DL522" s="3" t="n">
        <v>0</v>
      </c>
      <c r="DM522" s="3" t="n">
        <v>0</v>
      </c>
      <c r="DN522" s="3" t="n">
        <v>0</v>
      </c>
      <c r="DO522" s="3" t="n">
        <v>0</v>
      </c>
    </row>
    <row r="523">
      <c r="A523" s="19" t="inlineStr">
        <is>
          <t>mit.ener.mac.nga</t>
        </is>
      </c>
      <c r="B523" s="3" t="inlineStr">
        <is>
          <t>mit</t>
        </is>
      </c>
      <c r="C523" s="19" t="n"/>
      <c r="H523" s="3" t="inlineStr">
        <is>
          <t>Fuel use | Machinery | Natural gas</t>
        </is>
      </c>
      <c r="I523" s="3" t="inlineStr">
        <is>
          <t>ktoe</t>
        </is>
      </c>
      <c r="K523" s="20" t="inlineStr">
        <is>
          <t>egy.mit.ener.mac.nga.1</t>
        </is>
      </c>
      <c r="L523" s="3" t="n">
        <v>0</v>
      </c>
      <c r="M523" s="3" t="n">
        <v>0</v>
      </c>
      <c r="N523" s="3" t="n">
        <v>0</v>
      </c>
      <c r="O523" s="3" t="n">
        <v>0</v>
      </c>
      <c r="P523" s="3" t="n">
        <v>0</v>
      </c>
      <c r="Q523" s="3" t="n">
        <v>0</v>
      </c>
      <c r="R523" s="3" t="n">
        <v>0</v>
      </c>
      <c r="S523" s="3" t="n">
        <v>0</v>
      </c>
      <c r="T523" s="3" t="n">
        <v>0</v>
      </c>
      <c r="U523" s="3" t="n">
        <v>0</v>
      </c>
      <c r="V523" s="3" t="n">
        <v>0</v>
      </c>
      <c r="W523" s="3" t="n">
        <v>0</v>
      </c>
      <c r="X523" s="3" t="n">
        <v>0</v>
      </c>
      <c r="Y523" s="3" t="n">
        <v>0</v>
      </c>
      <c r="Z523" s="3" t="n">
        <v>0</v>
      </c>
      <c r="AA523" s="3" t="n">
        <v>0</v>
      </c>
      <c r="AB523" s="3" t="n">
        <v>0</v>
      </c>
      <c r="AC523" s="3" t="n">
        <v>0</v>
      </c>
      <c r="AD523" s="3" t="n">
        <v>0</v>
      </c>
      <c r="AE523" s="3" t="n">
        <v>0</v>
      </c>
      <c r="AG523" s="20" t="inlineStr">
        <is>
          <t>egy.mit.ener.mac.nga.3</t>
        </is>
      </c>
      <c r="AH523" s="3" t="n">
        <v>0</v>
      </c>
      <c r="AI523" s="3" t="n">
        <v>0</v>
      </c>
      <c r="AJ523" s="3" t="n">
        <v>0</v>
      </c>
      <c r="AK523" s="3" t="n">
        <v>0</v>
      </c>
      <c r="AL523" s="3" t="n">
        <v>0</v>
      </c>
      <c r="AM523" s="3" t="n">
        <v>0</v>
      </c>
      <c r="AN523" s="3" t="n">
        <v>0</v>
      </c>
      <c r="AO523" s="3" t="n">
        <v>0</v>
      </c>
      <c r="AP523" s="3" t="n">
        <v>0</v>
      </c>
      <c r="AQ523" s="3" t="n">
        <v>0</v>
      </c>
      <c r="AR523" s="3" t="n">
        <v>0</v>
      </c>
      <c r="AS523" s="3" t="n">
        <v>0</v>
      </c>
      <c r="AT523" s="3" t="n">
        <v>0</v>
      </c>
      <c r="AU523" s="3" t="n">
        <v>0</v>
      </c>
      <c r="AV523" s="3" t="n">
        <v>0</v>
      </c>
      <c r="AW523" s="3" t="n">
        <v>0</v>
      </c>
      <c r="AX523" s="3" t="n">
        <v>0</v>
      </c>
      <c r="AY523" s="3" t="n">
        <v>0</v>
      </c>
      <c r="AZ523" s="3" t="n">
        <v>0</v>
      </c>
      <c r="BA523" s="3" t="n">
        <v>0</v>
      </c>
      <c r="BC523" s="20" t="inlineStr">
        <is>
          <t>egy.mit.ener.mac.nga.4</t>
        </is>
      </c>
      <c r="BD523" s="3" t="n">
        <v>0</v>
      </c>
      <c r="BE523" s="3" t="n">
        <v>0</v>
      </c>
      <c r="BF523" s="3" t="n">
        <v>0</v>
      </c>
      <c r="BG523" s="3" t="n">
        <v>0</v>
      </c>
      <c r="BH523" s="3" t="n">
        <v>0</v>
      </c>
      <c r="BI523" s="3" t="n">
        <v>0</v>
      </c>
      <c r="BJ523" s="3" t="n">
        <v>0</v>
      </c>
      <c r="BK523" s="3" t="n">
        <v>0</v>
      </c>
      <c r="BL523" s="3" t="n">
        <v>0</v>
      </c>
      <c r="BM523" s="3" t="n">
        <v>0</v>
      </c>
      <c r="BN523" s="3" t="n">
        <v>0</v>
      </c>
      <c r="BO523" s="3" t="n">
        <v>0</v>
      </c>
      <c r="BP523" s="3" t="n">
        <v>0</v>
      </c>
      <c r="BQ523" s="3" t="n">
        <v>0</v>
      </c>
      <c r="BR523" s="3" t="n">
        <v>0</v>
      </c>
      <c r="BS523" s="3" t="n">
        <v>0</v>
      </c>
      <c r="BT523" s="3" t="n">
        <v>0</v>
      </c>
      <c r="BU523" s="3" t="n">
        <v>0</v>
      </c>
      <c r="BV523" s="3" t="n">
        <v>0</v>
      </c>
      <c r="BW523" s="3" t="n">
        <v>0</v>
      </c>
      <c r="BY523" s="20" t="inlineStr">
        <is>
          <t>egy.mit.ener.mac.nga.5</t>
        </is>
      </c>
      <c r="BZ523" s="3" t="n">
        <v>0</v>
      </c>
      <c r="CA523" s="3" t="n">
        <v>0</v>
      </c>
      <c r="CB523" s="3" t="n">
        <v>0</v>
      </c>
      <c r="CC523" s="3" t="n">
        <v>0</v>
      </c>
      <c r="CD523" s="3" t="n">
        <v>0</v>
      </c>
      <c r="CE523" s="3" t="n">
        <v>0</v>
      </c>
      <c r="CF523" s="3" t="n">
        <v>0</v>
      </c>
      <c r="CG523" s="3" t="n">
        <v>0</v>
      </c>
      <c r="CH523" s="3" t="n">
        <v>0</v>
      </c>
      <c r="CI523" s="3" t="n">
        <v>0</v>
      </c>
      <c r="CJ523" s="3" t="n">
        <v>0</v>
      </c>
      <c r="CK523" s="3" t="n">
        <v>0</v>
      </c>
      <c r="CL523" s="3" t="n">
        <v>0</v>
      </c>
      <c r="CM523" s="3" t="n">
        <v>0</v>
      </c>
      <c r="CN523" s="3" t="n">
        <v>0</v>
      </c>
      <c r="CO523" s="3" t="n">
        <v>0</v>
      </c>
      <c r="CP523" s="3" t="n">
        <v>0</v>
      </c>
      <c r="CQ523" s="3" t="n">
        <v>0</v>
      </c>
      <c r="CR523" s="3" t="n">
        <v>0</v>
      </c>
      <c r="CS523" s="3" t="n">
        <v>0</v>
      </c>
      <c r="CU523" s="20" t="inlineStr">
        <is>
          <t>egy.mit.ener.mac.nga.6</t>
        </is>
      </c>
      <c r="CV523" s="3" t="n">
        <v>0</v>
      </c>
      <c r="CW523" s="3" t="n">
        <v>0</v>
      </c>
      <c r="CX523" s="3" t="n">
        <v>0</v>
      </c>
      <c r="CY523" s="3" t="n">
        <v>0</v>
      </c>
      <c r="CZ523" s="3" t="n">
        <v>0</v>
      </c>
      <c r="DA523" s="3" t="n">
        <v>0</v>
      </c>
      <c r="DB523" s="3" t="n">
        <v>0</v>
      </c>
      <c r="DC523" s="3" t="n">
        <v>0</v>
      </c>
      <c r="DD523" s="3" t="n">
        <v>0</v>
      </c>
      <c r="DE523" s="3" t="n">
        <v>0</v>
      </c>
      <c r="DF523" s="3" t="n">
        <v>0</v>
      </c>
      <c r="DG523" s="3" t="n">
        <v>0</v>
      </c>
      <c r="DH523" s="3" t="n">
        <v>0</v>
      </c>
      <c r="DI523" s="3" t="n">
        <v>0</v>
      </c>
      <c r="DJ523" s="3" t="n">
        <v>0</v>
      </c>
      <c r="DK523" s="3" t="n">
        <v>0</v>
      </c>
      <c r="DL523" s="3" t="n">
        <v>0</v>
      </c>
      <c r="DM523" s="3" t="n">
        <v>0</v>
      </c>
      <c r="DN523" s="3" t="n">
        <v>0</v>
      </c>
      <c r="DO523" s="3" t="n">
        <v>0</v>
      </c>
    </row>
    <row r="524">
      <c r="A524" s="19" t="inlineStr">
        <is>
          <t>mit.ener.mac.gso</t>
        </is>
      </c>
      <c r="B524" s="3" t="inlineStr">
        <is>
          <t>mit</t>
        </is>
      </c>
      <c r="C524" s="19" t="n"/>
      <c r="H524" s="3" t="inlineStr">
        <is>
          <t>Fuel use | Machinery | Gasoline</t>
        </is>
      </c>
      <c r="I524" s="3" t="inlineStr">
        <is>
          <t>ktoe</t>
        </is>
      </c>
      <c r="K524" s="20" t="inlineStr">
        <is>
          <t>egy.mit.ener.mac.gso.1</t>
        </is>
      </c>
      <c r="L524" s="3" t="n">
        <v>0</v>
      </c>
      <c r="M524" s="3" t="n">
        <v>0</v>
      </c>
      <c r="N524" s="3" t="n">
        <v>0</v>
      </c>
      <c r="O524" s="3" t="n">
        <v>0</v>
      </c>
      <c r="P524" s="3" t="n">
        <v>0</v>
      </c>
      <c r="Q524" s="3" t="n">
        <v>0</v>
      </c>
      <c r="R524" s="3" t="n">
        <v>0</v>
      </c>
      <c r="S524" s="3" t="n">
        <v>0</v>
      </c>
      <c r="T524" s="3" t="n">
        <v>0</v>
      </c>
      <c r="U524" s="3" t="n">
        <v>0</v>
      </c>
      <c r="V524" s="3" t="n">
        <v>0</v>
      </c>
      <c r="W524" s="3" t="n">
        <v>0</v>
      </c>
      <c r="X524" s="3" t="n">
        <v>0</v>
      </c>
      <c r="Y524" s="3" t="n">
        <v>0</v>
      </c>
      <c r="Z524" s="3" t="n">
        <v>0</v>
      </c>
      <c r="AA524" s="3" t="n">
        <v>0</v>
      </c>
      <c r="AB524" s="3" t="n">
        <v>0</v>
      </c>
      <c r="AC524" s="3" t="n">
        <v>0</v>
      </c>
      <c r="AD524" s="3" t="n">
        <v>0</v>
      </c>
      <c r="AE524" s="3" t="n">
        <v>0</v>
      </c>
      <c r="AG524" s="20" t="inlineStr">
        <is>
          <t>egy.mit.ener.mac.gso.3</t>
        </is>
      </c>
      <c r="AH524" s="3" t="n">
        <v>0</v>
      </c>
      <c r="AI524" s="3" t="n">
        <v>0</v>
      </c>
      <c r="AJ524" s="3" t="n">
        <v>0</v>
      </c>
      <c r="AK524" s="3" t="n">
        <v>0</v>
      </c>
      <c r="AL524" s="3" t="n">
        <v>0</v>
      </c>
      <c r="AM524" s="3" t="n">
        <v>0</v>
      </c>
      <c r="AN524" s="3" t="n">
        <v>0</v>
      </c>
      <c r="AO524" s="3" t="n">
        <v>0</v>
      </c>
      <c r="AP524" s="3" t="n">
        <v>0</v>
      </c>
      <c r="AQ524" s="3" t="n">
        <v>0</v>
      </c>
      <c r="AR524" s="3" t="n">
        <v>0</v>
      </c>
      <c r="AS524" s="3" t="n">
        <v>0</v>
      </c>
      <c r="AT524" s="3" t="n">
        <v>0</v>
      </c>
      <c r="AU524" s="3" t="n">
        <v>0</v>
      </c>
      <c r="AV524" s="3" t="n">
        <v>0</v>
      </c>
      <c r="AW524" s="3" t="n">
        <v>0</v>
      </c>
      <c r="AX524" s="3" t="n">
        <v>0</v>
      </c>
      <c r="AY524" s="3" t="n">
        <v>0</v>
      </c>
      <c r="AZ524" s="3" t="n">
        <v>0</v>
      </c>
      <c r="BA524" s="3" t="n">
        <v>0</v>
      </c>
      <c r="BC524" s="20" t="inlineStr">
        <is>
          <t>egy.mit.ener.mac.gso.4</t>
        </is>
      </c>
      <c r="BD524" s="3" t="n">
        <v>0</v>
      </c>
      <c r="BE524" s="3" t="n">
        <v>0</v>
      </c>
      <c r="BF524" s="3" t="n">
        <v>0</v>
      </c>
      <c r="BG524" s="3" t="n">
        <v>0</v>
      </c>
      <c r="BH524" s="3" t="n">
        <v>0</v>
      </c>
      <c r="BI524" s="3" t="n">
        <v>0</v>
      </c>
      <c r="BJ524" s="3" t="n">
        <v>0</v>
      </c>
      <c r="BK524" s="3" t="n">
        <v>0</v>
      </c>
      <c r="BL524" s="3" t="n">
        <v>0</v>
      </c>
      <c r="BM524" s="3" t="n">
        <v>0</v>
      </c>
      <c r="BN524" s="3" t="n">
        <v>0</v>
      </c>
      <c r="BO524" s="3" t="n">
        <v>0</v>
      </c>
      <c r="BP524" s="3" t="n">
        <v>0</v>
      </c>
      <c r="BQ524" s="3" t="n">
        <v>0</v>
      </c>
      <c r="BR524" s="3" t="n">
        <v>0</v>
      </c>
      <c r="BS524" s="3" t="n">
        <v>0</v>
      </c>
      <c r="BT524" s="3" t="n">
        <v>0</v>
      </c>
      <c r="BU524" s="3" t="n">
        <v>0</v>
      </c>
      <c r="BV524" s="3" t="n">
        <v>0</v>
      </c>
      <c r="BW524" s="3" t="n">
        <v>0</v>
      </c>
      <c r="BY524" s="20" t="inlineStr">
        <is>
          <t>egy.mit.ener.mac.gso.5</t>
        </is>
      </c>
      <c r="BZ524" s="3" t="n">
        <v>0</v>
      </c>
      <c r="CA524" s="3" t="n">
        <v>0</v>
      </c>
      <c r="CB524" s="3" t="n">
        <v>0</v>
      </c>
      <c r="CC524" s="3" t="n">
        <v>0</v>
      </c>
      <c r="CD524" s="3" t="n">
        <v>0</v>
      </c>
      <c r="CE524" s="3" t="n">
        <v>0</v>
      </c>
      <c r="CF524" s="3" t="n">
        <v>0</v>
      </c>
      <c r="CG524" s="3" t="n">
        <v>0</v>
      </c>
      <c r="CH524" s="3" t="n">
        <v>0</v>
      </c>
      <c r="CI524" s="3" t="n">
        <v>0</v>
      </c>
      <c r="CJ524" s="3" t="n">
        <v>0</v>
      </c>
      <c r="CK524" s="3" t="n">
        <v>0</v>
      </c>
      <c r="CL524" s="3" t="n">
        <v>0</v>
      </c>
      <c r="CM524" s="3" t="n">
        <v>0</v>
      </c>
      <c r="CN524" s="3" t="n">
        <v>0</v>
      </c>
      <c r="CO524" s="3" t="n">
        <v>0</v>
      </c>
      <c r="CP524" s="3" t="n">
        <v>0</v>
      </c>
      <c r="CQ524" s="3" t="n">
        <v>0</v>
      </c>
      <c r="CR524" s="3" t="n">
        <v>0</v>
      </c>
      <c r="CS524" s="3" t="n">
        <v>0</v>
      </c>
      <c r="CU524" s="20" t="inlineStr">
        <is>
          <t>egy.mit.ener.mac.gso.6</t>
        </is>
      </c>
      <c r="CV524" s="3" t="n">
        <v>0</v>
      </c>
      <c r="CW524" s="3" t="n">
        <v>0</v>
      </c>
      <c r="CX524" s="3" t="n">
        <v>0</v>
      </c>
      <c r="CY524" s="3" t="n">
        <v>0</v>
      </c>
      <c r="CZ524" s="3" t="n">
        <v>0</v>
      </c>
      <c r="DA524" s="3" t="n">
        <v>0</v>
      </c>
      <c r="DB524" s="3" t="n">
        <v>0</v>
      </c>
      <c r="DC524" s="3" t="n">
        <v>0</v>
      </c>
      <c r="DD524" s="3" t="n">
        <v>0</v>
      </c>
      <c r="DE524" s="3" t="n">
        <v>0</v>
      </c>
      <c r="DF524" s="3" t="n">
        <v>0</v>
      </c>
      <c r="DG524" s="3" t="n">
        <v>0</v>
      </c>
      <c r="DH524" s="3" t="n">
        <v>0</v>
      </c>
      <c r="DI524" s="3" t="n">
        <v>0</v>
      </c>
      <c r="DJ524" s="3" t="n">
        <v>0</v>
      </c>
      <c r="DK524" s="3" t="n">
        <v>0</v>
      </c>
      <c r="DL524" s="3" t="n">
        <v>0</v>
      </c>
      <c r="DM524" s="3" t="n">
        <v>0</v>
      </c>
      <c r="DN524" s="3" t="n">
        <v>0</v>
      </c>
      <c r="DO524" s="3" t="n">
        <v>0</v>
      </c>
    </row>
    <row r="525">
      <c r="A525" s="19" t="inlineStr">
        <is>
          <t>mit.ener.mac.die</t>
        </is>
      </c>
      <c r="B525" s="3" t="inlineStr">
        <is>
          <t>mit</t>
        </is>
      </c>
      <c r="C525" s="19" t="n"/>
      <c r="H525" s="3" t="inlineStr">
        <is>
          <t>Fuel use | Machinery | Diesel</t>
        </is>
      </c>
      <c r="I525" s="3" t="inlineStr">
        <is>
          <t>ktoe</t>
        </is>
      </c>
      <c r="K525" s="20" t="inlineStr">
        <is>
          <t>egy.mit.ener.mac.die.1</t>
        </is>
      </c>
      <c r="L525" s="3" t="n">
        <v>0</v>
      </c>
      <c r="M525" s="3" t="n">
        <v>0</v>
      </c>
      <c r="N525" s="3" t="n">
        <v>0</v>
      </c>
      <c r="O525" s="3" t="n">
        <v>0</v>
      </c>
      <c r="P525" s="3" t="n">
        <v>0</v>
      </c>
      <c r="Q525" s="3" t="n">
        <v>0</v>
      </c>
      <c r="R525" s="3" t="n">
        <v>0</v>
      </c>
      <c r="S525" s="3" t="n">
        <v>0</v>
      </c>
      <c r="T525" s="3" t="n">
        <v>0</v>
      </c>
      <c r="U525" s="3" t="n">
        <v>0</v>
      </c>
      <c r="V525" s="3" t="n">
        <v>0</v>
      </c>
      <c r="W525" s="3" t="n">
        <v>0</v>
      </c>
      <c r="X525" s="3" t="n">
        <v>0</v>
      </c>
      <c r="Y525" s="3" t="n">
        <v>0</v>
      </c>
      <c r="Z525" s="3" t="n">
        <v>0</v>
      </c>
      <c r="AA525" s="3" t="n">
        <v>0</v>
      </c>
      <c r="AB525" s="3" t="n">
        <v>0</v>
      </c>
      <c r="AC525" s="3" t="n">
        <v>0</v>
      </c>
      <c r="AD525" s="3" t="n">
        <v>0</v>
      </c>
      <c r="AE525" s="3" t="n">
        <v>0</v>
      </c>
      <c r="AG525" s="20" t="inlineStr">
        <is>
          <t>egy.mit.ener.mac.die.3</t>
        </is>
      </c>
      <c r="AH525" s="3" t="n">
        <v>0</v>
      </c>
      <c r="AI525" s="3" t="n">
        <v>0</v>
      </c>
      <c r="AJ525" s="3" t="n">
        <v>0</v>
      </c>
      <c r="AK525" s="3" t="n">
        <v>0</v>
      </c>
      <c r="AL525" s="3" t="n">
        <v>0</v>
      </c>
      <c r="AM525" s="3" t="n">
        <v>0</v>
      </c>
      <c r="AN525" s="3" t="n">
        <v>0</v>
      </c>
      <c r="AO525" s="3" t="n">
        <v>0</v>
      </c>
      <c r="AP525" s="3" t="n">
        <v>0</v>
      </c>
      <c r="AQ525" s="3" t="n">
        <v>0</v>
      </c>
      <c r="AR525" s="3" t="n">
        <v>0</v>
      </c>
      <c r="AS525" s="3" t="n">
        <v>0</v>
      </c>
      <c r="AT525" s="3" t="n">
        <v>0</v>
      </c>
      <c r="AU525" s="3" t="n">
        <v>0</v>
      </c>
      <c r="AV525" s="3" t="n">
        <v>0</v>
      </c>
      <c r="AW525" s="3" t="n">
        <v>0</v>
      </c>
      <c r="AX525" s="3" t="n">
        <v>0</v>
      </c>
      <c r="AY525" s="3" t="n">
        <v>0</v>
      </c>
      <c r="AZ525" s="3" t="n">
        <v>0</v>
      </c>
      <c r="BA525" s="3" t="n">
        <v>0</v>
      </c>
      <c r="BC525" s="20" t="inlineStr">
        <is>
          <t>egy.mit.ener.mac.die.4</t>
        </is>
      </c>
      <c r="BD525" s="3" t="n">
        <v>0</v>
      </c>
      <c r="BE525" s="3" t="n">
        <v>0</v>
      </c>
      <c r="BF525" s="3" t="n">
        <v>0</v>
      </c>
      <c r="BG525" s="3" t="n">
        <v>0</v>
      </c>
      <c r="BH525" s="3" t="n">
        <v>0</v>
      </c>
      <c r="BI525" s="3" t="n">
        <v>0</v>
      </c>
      <c r="BJ525" s="3" t="n">
        <v>0</v>
      </c>
      <c r="BK525" s="3" t="n">
        <v>0</v>
      </c>
      <c r="BL525" s="3" t="n">
        <v>0</v>
      </c>
      <c r="BM525" s="3" t="n">
        <v>0</v>
      </c>
      <c r="BN525" s="3" t="n">
        <v>0</v>
      </c>
      <c r="BO525" s="3" t="n">
        <v>0</v>
      </c>
      <c r="BP525" s="3" t="n">
        <v>0</v>
      </c>
      <c r="BQ525" s="3" t="n">
        <v>0</v>
      </c>
      <c r="BR525" s="3" t="n">
        <v>0</v>
      </c>
      <c r="BS525" s="3" t="n">
        <v>0</v>
      </c>
      <c r="BT525" s="3" t="n">
        <v>0</v>
      </c>
      <c r="BU525" s="3" t="n">
        <v>0</v>
      </c>
      <c r="BV525" s="3" t="n">
        <v>0</v>
      </c>
      <c r="BW525" s="3" t="n">
        <v>0</v>
      </c>
      <c r="BY525" s="20" t="inlineStr">
        <is>
          <t>egy.mit.ener.mac.die.5</t>
        </is>
      </c>
      <c r="BZ525" s="3" t="n">
        <v>0</v>
      </c>
      <c r="CA525" s="3" t="n">
        <v>0</v>
      </c>
      <c r="CB525" s="3" t="n">
        <v>0</v>
      </c>
      <c r="CC525" s="3" t="n">
        <v>0</v>
      </c>
      <c r="CD525" s="3" t="n">
        <v>0</v>
      </c>
      <c r="CE525" s="3" t="n">
        <v>0</v>
      </c>
      <c r="CF525" s="3" t="n">
        <v>0</v>
      </c>
      <c r="CG525" s="3" t="n">
        <v>0</v>
      </c>
      <c r="CH525" s="3" t="n">
        <v>0</v>
      </c>
      <c r="CI525" s="3" t="n">
        <v>0</v>
      </c>
      <c r="CJ525" s="3" t="n">
        <v>0</v>
      </c>
      <c r="CK525" s="3" t="n">
        <v>0</v>
      </c>
      <c r="CL525" s="3" t="n">
        <v>0</v>
      </c>
      <c r="CM525" s="3" t="n">
        <v>0</v>
      </c>
      <c r="CN525" s="3" t="n">
        <v>0</v>
      </c>
      <c r="CO525" s="3" t="n">
        <v>0</v>
      </c>
      <c r="CP525" s="3" t="n">
        <v>0</v>
      </c>
      <c r="CQ525" s="3" t="n">
        <v>0</v>
      </c>
      <c r="CR525" s="3" t="n">
        <v>0</v>
      </c>
      <c r="CS525" s="3" t="n">
        <v>0</v>
      </c>
      <c r="CU525" s="20" t="inlineStr">
        <is>
          <t>egy.mit.ener.mac.die.6</t>
        </is>
      </c>
      <c r="CV525" s="3" t="n">
        <v>0</v>
      </c>
      <c r="CW525" s="3" t="n">
        <v>0</v>
      </c>
      <c r="CX525" s="3" t="n">
        <v>0</v>
      </c>
      <c r="CY525" s="3" t="n">
        <v>0</v>
      </c>
      <c r="CZ525" s="3" t="n">
        <v>0</v>
      </c>
      <c r="DA525" s="3" t="n">
        <v>0</v>
      </c>
      <c r="DB525" s="3" t="n">
        <v>0</v>
      </c>
      <c r="DC525" s="3" t="n">
        <v>0</v>
      </c>
      <c r="DD525" s="3" t="n">
        <v>0</v>
      </c>
      <c r="DE525" s="3" t="n">
        <v>0</v>
      </c>
      <c r="DF525" s="3" t="n">
        <v>0</v>
      </c>
      <c r="DG525" s="3" t="n">
        <v>0</v>
      </c>
      <c r="DH525" s="3" t="n">
        <v>0</v>
      </c>
      <c r="DI525" s="3" t="n">
        <v>0</v>
      </c>
      <c r="DJ525" s="3" t="n">
        <v>0</v>
      </c>
      <c r="DK525" s="3" t="n">
        <v>0</v>
      </c>
      <c r="DL525" s="3" t="n">
        <v>0</v>
      </c>
      <c r="DM525" s="3" t="n">
        <v>0</v>
      </c>
      <c r="DN525" s="3" t="n">
        <v>0</v>
      </c>
      <c r="DO525" s="3" t="n">
        <v>0</v>
      </c>
    </row>
    <row r="526">
      <c r="A526" s="19" t="inlineStr">
        <is>
          <t>mit.ener.mac.lpg</t>
        </is>
      </c>
      <c r="B526" s="3" t="inlineStr">
        <is>
          <t>mit</t>
        </is>
      </c>
      <c r="C526" s="19" t="n"/>
      <c r="H526" s="3" t="inlineStr">
        <is>
          <t>Fuel use | Machinery | LPG</t>
        </is>
      </c>
      <c r="I526" s="3" t="inlineStr">
        <is>
          <t>ktoe</t>
        </is>
      </c>
      <c r="K526" s="20" t="inlineStr">
        <is>
          <t>egy.mit.ener.mac.lpg.1</t>
        </is>
      </c>
      <c r="L526" s="3" t="n">
        <v>0</v>
      </c>
      <c r="M526" s="3" t="n">
        <v>0</v>
      </c>
      <c r="N526" s="3" t="n">
        <v>0</v>
      </c>
      <c r="O526" s="3" t="n">
        <v>0</v>
      </c>
      <c r="P526" s="3" t="n">
        <v>0</v>
      </c>
      <c r="Q526" s="3" t="n">
        <v>0</v>
      </c>
      <c r="R526" s="3" t="n">
        <v>0</v>
      </c>
      <c r="S526" s="3" t="n">
        <v>0</v>
      </c>
      <c r="T526" s="3" t="n">
        <v>0</v>
      </c>
      <c r="U526" s="3" t="n">
        <v>0</v>
      </c>
      <c r="V526" s="3" t="n">
        <v>0</v>
      </c>
      <c r="W526" s="3" t="n">
        <v>0</v>
      </c>
      <c r="X526" s="3" t="n">
        <v>0</v>
      </c>
      <c r="Y526" s="3" t="n">
        <v>0</v>
      </c>
      <c r="Z526" s="3" t="n">
        <v>0</v>
      </c>
      <c r="AA526" s="3" t="n">
        <v>0</v>
      </c>
      <c r="AB526" s="3" t="n">
        <v>0</v>
      </c>
      <c r="AC526" s="3" t="n">
        <v>0</v>
      </c>
      <c r="AD526" s="3" t="n">
        <v>0</v>
      </c>
      <c r="AE526" s="3" t="n">
        <v>0</v>
      </c>
      <c r="AG526" s="20" t="inlineStr">
        <is>
          <t>egy.mit.ener.mac.lpg.3</t>
        </is>
      </c>
      <c r="AH526" s="3" t="n">
        <v>0</v>
      </c>
      <c r="AI526" s="3" t="n">
        <v>0</v>
      </c>
      <c r="AJ526" s="3" t="n">
        <v>0</v>
      </c>
      <c r="AK526" s="3" t="n">
        <v>0</v>
      </c>
      <c r="AL526" s="3" t="n">
        <v>0</v>
      </c>
      <c r="AM526" s="3" t="n">
        <v>0</v>
      </c>
      <c r="AN526" s="3" t="n">
        <v>0</v>
      </c>
      <c r="AO526" s="3" t="n">
        <v>0</v>
      </c>
      <c r="AP526" s="3" t="n">
        <v>0</v>
      </c>
      <c r="AQ526" s="3" t="n">
        <v>0</v>
      </c>
      <c r="AR526" s="3" t="n">
        <v>0</v>
      </c>
      <c r="AS526" s="3" t="n">
        <v>0</v>
      </c>
      <c r="AT526" s="3" t="n">
        <v>0</v>
      </c>
      <c r="AU526" s="3" t="n">
        <v>0</v>
      </c>
      <c r="AV526" s="3" t="n">
        <v>0</v>
      </c>
      <c r="AW526" s="3" t="n">
        <v>0</v>
      </c>
      <c r="AX526" s="3" t="n">
        <v>0</v>
      </c>
      <c r="AY526" s="3" t="n">
        <v>0</v>
      </c>
      <c r="AZ526" s="3" t="n">
        <v>0</v>
      </c>
      <c r="BA526" s="3" t="n">
        <v>0</v>
      </c>
      <c r="BC526" s="20" t="inlineStr">
        <is>
          <t>egy.mit.ener.mac.lpg.4</t>
        </is>
      </c>
      <c r="BD526" s="3" t="n">
        <v>0</v>
      </c>
      <c r="BE526" s="3" t="n">
        <v>0</v>
      </c>
      <c r="BF526" s="3" t="n">
        <v>0</v>
      </c>
      <c r="BG526" s="3" t="n">
        <v>0</v>
      </c>
      <c r="BH526" s="3" t="n">
        <v>0</v>
      </c>
      <c r="BI526" s="3" t="n">
        <v>0</v>
      </c>
      <c r="BJ526" s="3" t="n">
        <v>0</v>
      </c>
      <c r="BK526" s="3" t="n">
        <v>0</v>
      </c>
      <c r="BL526" s="3" t="n">
        <v>0</v>
      </c>
      <c r="BM526" s="3" t="n">
        <v>0</v>
      </c>
      <c r="BN526" s="3" t="n">
        <v>0</v>
      </c>
      <c r="BO526" s="3" t="n">
        <v>0</v>
      </c>
      <c r="BP526" s="3" t="n">
        <v>0</v>
      </c>
      <c r="BQ526" s="3" t="n">
        <v>0</v>
      </c>
      <c r="BR526" s="3" t="n">
        <v>0</v>
      </c>
      <c r="BS526" s="3" t="n">
        <v>0</v>
      </c>
      <c r="BT526" s="3" t="n">
        <v>0</v>
      </c>
      <c r="BU526" s="3" t="n">
        <v>0</v>
      </c>
      <c r="BV526" s="3" t="n">
        <v>0</v>
      </c>
      <c r="BW526" s="3" t="n">
        <v>0</v>
      </c>
      <c r="BY526" s="20" t="inlineStr">
        <is>
          <t>egy.mit.ener.mac.lpg.5</t>
        </is>
      </c>
      <c r="BZ526" s="3" t="n">
        <v>0</v>
      </c>
      <c r="CA526" s="3" t="n">
        <v>0</v>
      </c>
      <c r="CB526" s="3" t="n">
        <v>0</v>
      </c>
      <c r="CC526" s="3" t="n">
        <v>0</v>
      </c>
      <c r="CD526" s="3" t="n">
        <v>0</v>
      </c>
      <c r="CE526" s="3" t="n">
        <v>0</v>
      </c>
      <c r="CF526" s="3" t="n">
        <v>0</v>
      </c>
      <c r="CG526" s="3" t="n">
        <v>0</v>
      </c>
      <c r="CH526" s="3" t="n">
        <v>0</v>
      </c>
      <c r="CI526" s="3" t="n">
        <v>0</v>
      </c>
      <c r="CJ526" s="3" t="n">
        <v>0</v>
      </c>
      <c r="CK526" s="3" t="n">
        <v>0</v>
      </c>
      <c r="CL526" s="3" t="n">
        <v>0</v>
      </c>
      <c r="CM526" s="3" t="n">
        <v>0</v>
      </c>
      <c r="CN526" s="3" t="n">
        <v>0</v>
      </c>
      <c r="CO526" s="3" t="n">
        <v>0</v>
      </c>
      <c r="CP526" s="3" t="n">
        <v>0</v>
      </c>
      <c r="CQ526" s="3" t="n">
        <v>0</v>
      </c>
      <c r="CR526" s="3" t="n">
        <v>0</v>
      </c>
      <c r="CS526" s="3" t="n">
        <v>0</v>
      </c>
      <c r="CU526" s="20" t="inlineStr">
        <is>
          <t>egy.mit.ener.mac.lpg.6</t>
        </is>
      </c>
      <c r="CV526" s="3" t="n">
        <v>0</v>
      </c>
      <c r="CW526" s="3" t="n">
        <v>0</v>
      </c>
      <c r="CX526" s="3" t="n">
        <v>0</v>
      </c>
      <c r="CY526" s="3" t="n">
        <v>0</v>
      </c>
      <c r="CZ526" s="3" t="n">
        <v>0</v>
      </c>
      <c r="DA526" s="3" t="n">
        <v>0</v>
      </c>
      <c r="DB526" s="3" t="n">
        <v>0</v>
      </c>
      <c r="DC526" s="3" t="n">
        <v>0</v>
      </c>
      <c r="DD526" s="3" t="n">
        <v>0</v>
      </c>
      <c r="DE526" s="3" t="n">
        <v>0</v>
      </c>
      <c r="DF526" s="3" t="n">
        <v>0</v>
      </c>
      <c r="DG526" s="3" t="n">
        <v>0</v>
      </c>
      <c r="DH526" s="3" t="n">
        <v>0</v>
      </c>
      <c r="DI526" s="3" t="n">
        <v>0</v>
      </c>
      <c r="DJ526" s="3" t="n">
        <v>0</v>
      </c>
      <c r="DK526" s="3" t="n">
        <v>0</v>
      </c>
      <c r="DL526" s="3" t="n">
        <v>0</v>
      </c>
      <c r="DM526" s="3" t="n">
        <v>0</v>
      </c>
      <c r="DN526" s="3" t="n">
        <v>0</v>
      </c>
      <c r="DO526" s="3" t="n">
        <v>0</v>
      </c>
    </row>
    <row r="527">
      <c r="A527" s="19" t="inlineStr">
        <is>
          <t>mit.ener.mac.ker</t>
        </is>
      </c>
      <c r="B527" s="3" t="inlineStr">
        <is>
          <t>mit</t>
        </is>
      </c>
      <c r="C527" s="19" t="inlineStr">
        <is>
          <t>mit.ener.srv.tot.e</t>
        </is>
      </c>
      <c r="H527" s="3" t="inlineStr">
        <is>
          <t>Fuel use | Machinery | Kerosene</t>
        </is>
      </c>
      <c r="I527" s="3" t="inlineStr">
        <is>
          <t>ktoe</t>
        </is>
      </c>
      <c r="K527" s="20" t="inlineStr">
        <is>
          <t>egy.mit.ener.mac.ker.1</t>
        </is>
      </c>
      <c r="L527" s="3" t="n">
        <v>0</v>
      </c>
      <c r="M527" s="3" t="n">
        <v>0</v>
      </c>
      <c r="N527" s="3" t="n">
        <v>0</v>
      </c>
      <c r="O527" s="3" t="n">
        <v>0</v>
      </c>
      <c r="P527" s="3" t="n">
        <v>0</v>
      </c>
      <c r="Q527" s="3" t="n">
        <v>0</v>
      </c>
      <c r="R527" s="3" t="n">
        <v>0</v>
      </c>
      <c r="S527" s="3" t="n">
        <v>0</v>
      </c>
      <c r="T527" s="3" t="n">
        <v>0</v>
      </c>
      <c r="U527" s="3" t="n">
        <v>0</v>
      </c>
      <c r="V527" s="3" t="n">
        <v>0</v>
      </c>
      <c r="W527" s="3" t="n">
        <v>0</v>
      </c>
      <c r="X527" s="3" t="n">
        <v>0</v>
      </c>
      <c r="Y527" s="3" t="n">
        <v>0</v>
      </c>
      <c r="Z527" s="3" t="n">
        <v>0</v>
      </c>
      <c r="AA527" s="3" t="n">
        <v>0</v>
      </c>
      <c r="AB527" s="3" t="n">
        <v>0</v>
      </c>
      <c r="AC527" s="3" t="n">
        <v>0</v>
      </c>
      <c r="AD527" s="3" t="n">
        <v>0</v>
      </c>
      <c r="AE527" s="3" t="n">
        <v>0</v>
      </c>
      <c r="AG527" s="20" t="inlineStr">
        <is>
          <t>egy.mit.ener.mac.ker.3</t>
        </is>
      </c>
      <c r="AH527" s="3" t="n">
        <v>0</v>
      </c>
      <c r="AI527" s="3" t="n">
        <v>0</v>
      </c>
      <c r="AJ527" s="3" t="n">
        <v>0</v>
      </c>
      <c r="AK527" s="3" t="n">
        <v>0</v>
      </c>
      <c r="AL527" s="3" t="n">
        <v>0</v>
      </c>
      <c r="AM527" s="3" t="n">
        <v>0</v>
      </c>
      <c r="AN527" s="3" t="n">
        <v>0</v>
      </c>
      <c r="AO527" s="3" t="n">
        <v>0</v>
      </c>
      <c r="AP527" s="3" t="n">
        <v>0</v>
      </c>
      <c r="AQ527" s="3" t="n">
        <v>0</v>
      </c>
      <c r="AR527" s="3" t="n">
        <v>0</v>
      </c>
      <c r="AS527" s="3" t="n">
        <v>0</v>
      </c>
      <c r="AT527" s="3" t="n">
        <v>0</v>
      </c>
      <c r="AU527" s="3" t="n">
        <v>0</v>
      </c>
      <c r="AV527" s="3" t="n">
        <v>0</v>
      </c>
      <c r="AW527" s="3" t="n">
        <v>0</v>
      </c>
      <c r="AX527" s="3" t="n">
        <v>0</v>
      </c>
      <c r="AY527" s="3" t="n">
        <v>0</v>
      </c>
      <c r="AZ527" s="3" t="n">
        <v>0</v>
      </c>
      <c r="BA527" s="3" t="n">
        <v>0</v>
      </c>
      <c r="BC527" s="20" t="inlineStr">
        <is>
          <t>egy.mit.ener.mac.ker.4</t>
        </is>
      </c>
      <c r="BD527" s="3" t="n">
        <v>0</v>
      </c>
      <c r="BE527" s="3" t="n">
        <v>0</v>
      </c>
      <c r="BF527" s="3" t="n">
        <v>0</v>
      </c>
      <c r="BG527" s="3" t="n">
        <v>0</v>
      </c>
      <c r="BH527" s="3" t="n">
        <v>0</v>
      </c>
      <c r="BI527" s="3" t="n">
        <v>0</v>
      </c>
      <c r="BJ527" s="3" t="n">
        <v>0</v>
      </c>
      <c r="BK527" s="3" t="n">
        <v>0</v>
      </c>
      <c r="BL527" s="3" t="n">
        <v>0</v>
      </c>
      <c r="BM527" s="3" t="n">
        <v>0</v>
      </c>
      <c r="BN527" s="3" t="n">
        <v>0</v>
      </c>
      <c r="BO527" s="3" t="n">
        <v>0</v>
      </c>
      <c r="BP527" s="3" t="n">
        <v>0</v>
      </c>
      <c r="BQ527" s="3" t="n">
        <v>0</v>
      </c>
      <c r="BR527" s="3" t="n">
        <v>0</v>
      </c>
      <c r="BS527" s="3" t="n">
        <v>0</v>
      </c>
      <c r="BT527" s="3" t="n">
        <v>0</v>
      </c>
      <c r="BU527" s="3" t="n">
        <v>0</v>
      </c>
      <c r="BV527" s="3" t="n">
        <v>0</v>
      </c>
      <c r="BW527" s="3" t="n">
        <v>0</v>
      </c>
      <c r="BY527" s="20" t="inlineStr">
        <is>
          <t>egy.mit.ener.mac.ker.5</t>
        </is>
      </c>
      <c r="BZ527" s="3" t="n">
        <v>0</v>
      </c>
      <c r="CA527" s="3" t="n">
        <v>0</v>
      </c>
      <c r="CB527" s="3" t="n">
        <v>0</v>
      </c>
      <c r="CC527" s="3" t="n">
        <v>0</v>
      </c>
      <c r="CD527" s="3" t="n">
        <v>0</v>
      </c>
      <c r="CE527" s="3" t="n">
        <v>0</v>
      </c>
      <c r="CF527" s="3" t="n">
        <v>0</v>
      </c>
      <c r="CG527" s="3" t="n">
        <v>0</v>
      </c>
      <c r="CH527" s="3" t="n">
        <v>0</v>
      </c>
      <c r="CI527" s="3" t="n">
        <v>0</v>
      </c>
      <c r="CJ527" s="3" t="n">
        <v>0</v>
      </c>
      <c r="CK527" s="3" t="n">
        <v>0</v>
      </c>
      <c r="CL527" s="3" t="n">
        <v>0</v>
      </c>
      <c r="CM527" s="3" t="n">
        <v>0</v>
      </c>
      <c r="CN527" s="3" t="n">
        <v>0</v>
      </c>
      <c r="CO527" s="3" t="n">
        <v>0</v>
      </c>
      <c r="CP527" s="3" t="n">
        <v>0</v>
      </c>
      <c r="CQ527" s="3" t="n">
        <v>0</v>
      </c>
      <c r="CR527" s="3" t="n">
        <v>0</v>
      </c>
      <c r="CS527" s="3" t="n">
        <v>0</v>
      </c>
      <c r="CU527" s="20" t="inlineStr">
        <is>
          <t>egy.mit.ener.mac.ker.6</t>
        </is>
      </c>
      <c r="CV527" s="3" t="n">
        <v>0</v>
      </c>
      <c r="CW527" s="3" t="n">
        <v>0</v>
      </c>
      <c r="CX527" s="3" t="n">
        <v>0</v>
      </c>
      <c r="CY527" s="3" t="n">
        <v>0</v>
      </c>
      <c r="CZ527" s="3" t="n">
        <v>0</v>
      </c>
      <c r="DA527" s="3" t="n">
        <v>0</v>
      </c>
      <c r="DB527" s="3" t="n">
        <v>0</v>
      </c>
      <c r="DC527" s="3" t="n">
        <v>0</v>
      </c>
      <c r="DD527" s="3" t="n">
        <v>0</v>
      </c>
      <c r="DE527" s="3" t="n">
        <v>0</v>
      </c>
      <c r="DF527" s="3" t="n">
        <v>0</v>
      </c>
      <c r="DG527" s="3" t="n">
        <v>0</v>
      </c>
      <c r="DH527" s="3" t="n">
        <v>0</v>
      </c>
      <c r="DI527" s="3" t="n">
        <v>0</v>
      </c>
      <c r="DJ527" s="3" t="n">
        <v>0</v>
      </c>
      <c r="DK527" s="3" t="n">
        <v>0</v>
      </c>
      <c r="DL527" s="3" t="n">
        <v>0</v>
      </c>
      <c r="DM527" s="3" t="n">
        <v>0</v>
      </c>
      <c r="DN527" s="3" t="n">
        <v>0</v>
      </c>
      <c r="DO527" s="3" t="n">
        <v>0</v>
      </c>
    </row>
    <row r="528">
      <c r="A528" s="19" t="inlineStr">
        <is>
          <t>mit.ener.mac.oop</t>
        </is>
      </c>
      <c r="B528" s="3" t="inlineStr">
        <is>
          <t>mit</t>
        </is>
      </c>
      <c r="C528" s="19" t="inlineStr">
        <is>
          <t>mit.ener.res.tot.e</t>
        </is>
      </c>
      <c r="H528" s="3" t="inlineStr">
        <is>
          <t>Fuel use | Machinery | Other oil products</t>
        </is>
      </c>
      <c r="I528" s="3" t="inlineStr">
        <is>
          <t>ktoe</t>
        </is>
      </c>
      <c r="K528" s="20" t="inlineStr">
        <is>
          <t>egy.mit.ener.mac.oop.1</t>
        </is>
      </c>
      <c r="L528" s="3" t="n">
        <v>0</v>
      </c>
      <c r="M528" s="3" t="n">
        <v>0</v>
      </c>
      <c r="N528" s="3" t="n">
        <v>0</v>
      </c>
      <c r="O528" s="3" t="n">
        <v>0</v>
      </c>
      <c r="P528" s="3" t="n">
        <v>0</v>
      </c>
      <c r="Q528" s="3" t="n">
        <v>0</v>
      </c>
      <c r="R528" s="3" t="n">
        <v>0</v>
      </c>
      <c r="S528" s="3" t="n">
        <v>0</v>
      </c>
      <c r="T528" s="3" t="n">
        <v>0</v>
      </c>
      <c r="U528" s="3" t="n">
        <v>0</v>
      </c>
      <c r="V528" s="3" t="n">
        <v>0</v>
      </c>
      <c r="W528" s="3" t="n">
        <v>0</v>
      </c>
      <c r="X528" s="3" t="n">
        <v>0</v>
      </c>
      <c r="Y528" s="3" t="n">
        <v>0</v>
      </c>
      <c r="Z528" s="3" t="n">
        <v>0</v>
      </c>
      <c r="AA528" s="3" t="n">
        <v>0</v>
      </c>
      <c r="AB528" s="3" t="n">
        <v>0</v>
      </c>
      <c r="AC528" s="3" t="n">
        <v>0</v>
      </c>
      <c r="AD528" s="3" t="n">
        <v>0</v>
      </c>
      <c r="AE528" s="3" t="n">
        <v>0</v>
      </c>
      <c r="AG528" s="20" t="inlineStr">
        <is>
          <t>egy.mit.ener.mac.oop.3</t>
        </is>
      </c>
      <c r="AH528" s="3" t="n">
        <v>0</v>
      </c>
      <c r="AI528" s="3" t="n">
        <v>0</v>
      </c>
      <c r="AJ528" s="3" t="n">
        <v>0</v>
      </c>
      <c r="AK528" s="3" t="n">
        <v>0</v>
      </c>
      <c r="AL528" s="3" t="n">
        <v>0</v>
      </c>
      <c r="AM528" s="3" t="n">
        <v>0</v>
      </c>
      <c r="AN528" s="3" t="n">
        <v>0</v>
      </c>
      <c r="AO528" s="3" t="n">
        <v>0</v>
      </c>
      <c r="AP528" s="3" t="n">
        <v>0</v>
      </c>
      <c r="AQ528" s="3" t="n">
        <v>0</v>
      </c>
      <c r="AR528" s="3" t="n">
        <v>0</v>
      </c>
      <c r="AS528" s="3" t="n">
        <v>0</v>
      </c>
      <c r="AT528" s="3" t="n">
        <v>0</v>
      </c>
      <c r="AU528" s="3" t="n">
        <v>0</v>
      </c>
      <c r="AV528" s="3" t="n">
        <v>0</v>
      </c>
      <c r="AW528" s="3" t="n">
        <v>0</v>
      </c>
      <c r="AX528" s="3" t="n">
        <v>0</v>
      </c>
      <c r="AY528" s="3" t="n">
        <v>0</v>
      </c>
      <c r="AZ528" s="3" t="n">
        <v>0</v>
      </c>
      <c r="BA528" s="3" t="n">
        <v>0</v>
      </c>
      <c r="BC528" s="20" t="inlineStr">
        <is>
          <t>egy.mit.ener.mac.oop.4</t>
        </is>
      </c>
      <c r="BD528" s="3" t="n">
        <v>0</v>
      </c>
      <c r="BE528" s="3" t="n">
        <v>0</v>
      </c>
      <c r="BF528" s="3" t="n">
        <v>0</v>
      </c>
      <c r="BG528" s="3" t="n">
        <v>0</v>
      </c>
      <c r="BH528" s="3" t="n">
        <v>0</v>
      </c>
      <c r="BI528" s="3" t="n">
        <v>0</v>
      </c>
      <c r="BJ528" s="3" t="n">
        <v>0</v>
      </c>
      <c r="BK528" s="3" t="n">
        <v>0</v>
      </c>
      <c r="BL528" s="3" t="n">
        <v>0</v>
      </c>
      <c r="BM528" s="3" t="n">
        <v>0</v>
      </c>
      <c r="BN528" s="3" t="n">
        <v>0</v>
      </c>
      <c r="BO528" s="3" t="n">
        <v>0</v>
      </c>
      <c r="BP528" s="3" t="n">
        <v>0</v>
      </c>
      <c r="BQ528" s="3" t="n">
        <v>0</v>
      </c>
      <c r="BR528" s="3" t="n">
        <v>0</v>
      </c>
      <c r="BS528" s="3" t="n">
        <v>0</v>
      </c>
      <c r="BT528" s="3" t="n">
        <v>0</v>
      </c>
      <c r="BU528" s="3" t="n">
        <v>0</v>
      </c>
      <c r="BV528" s="3" t="n">
        <v>0</v>
      </c>
      <c r="BW528" s="3" t="n">
        <v>0</v>
      </c>
      <c r="BY528" s="20" t="inlineStr">
        <is>
          <t>egy.mit.ener.mac.oop.5</t>
        </is>
      </c>
      <c r="BZ528" s="3" t="n">
        <v>0</v>
      </c>
      <c r="CA528" s="3" t="n">
        <v>0</v>
      </c>
      <c r="CB528" s="3" t="n">
        <v>0</v>
      </c>
      <c r="CC528" s="3" t="n">
        <v>0</v>
      </c>
      <c r="CD528" s="3" t="n">
        <v>0</v>
      </c>
      <c r="CE528" s="3" t="n">
        <v>0</v>
      </c>
      <c r="CF528" s="3" t="n">
        <v>0</v>
      </c>
      <c r="CG528" s="3" t="n">
        <v>0</v>
      </c>
      <c r="CH528" s="3" t="n">
        <v>0</v>
      </c>
      <c r="CI528" s="3" t="n">
        <v>0</v>
      </c>
      <c r="CJ528" s="3" t="n">
        <v>0</v>
      </c>
      <c r="CK528" s="3" t="n">
        <v>0</v>
      </c>
      <c r="CL528" s="3" t="n">
        <v>0</v>
      </c>
      <c r="CM528" s="3" t="n">
        <v>0</v>
      </c>
      <c r="CN528" s="3" t="n">
        <v>0</v>
      </c>
      <c r="CO528" s="3" t="n">
        <v>0</v>
      </c>
      <c r="CP528" s="3" t="n">
        <v>0</v>
      </c>
      <c r="CQ528" s="3" t="n">
        <v>0</v>
      </c>
      <c r="CR528" s="3" t="n">
        <v>0</v>
      </c>
      <c r="CS528" s="3" t="n">
        <v>0</v>
      </c>
      <c r="CU528" s="20" t="inlineStr">
        <is>
          <t>egy.mit.ener.mac.oop.6</t>
        </is>
      </c>
      <c r="CV528" s="3" t="n">
        <v>0</v>
      </c>
      <c r="CW528" s="3" t="n">
        <v>0</v>
      </c>
      <c r="CX528" s="3" t="n">
        <v>0</v>
      </c>
      <c r="CY528" s="3" t="n">
        <v>0</v>
      </c>
      <c r="CZ528" s="3" t="n">
        <v>0</v>
      </c>
      <c r="DA528" s="3" t="n">
        <v>0</v>
      </c>
      <c r="DB528" s="3" t="n">
        <v>0</v>
      </c>
      <c r="DC528" s="3" t="n">
        <v>0</v>
      </c>
      <c r="DD528" s="3" t="n">
        <v>0</v>
      </c>
      <c r="DE528" s="3" t="n">
        <v>0</v>
      </c>
      <c r="DF528" s="3" t="n">
        <v>0</v>
      </c>
      <c r="DG528" s="3" t="n">
        <v>0</v>
      </c>
      <c r="DH528" s="3" t="n">
        <v>0</v>
      </c>
      <c r="DI528" s="3" t="n">
        <v>0</v>
      </c>
      <c r="DJ528" s="3" t="n">
        <v>0</v>
      </c>
      <c r="DK528" s="3" t="n">
        <v>0</v>
      </c>
      <c r="DL528" s="3" t="n">
        <v>0</v>
      </c>
      <c r="DM528" s="3" t="n">
        <v>0</v>
      </c>
      <c r="DN528" s="3" t="n">
        <v>0</v>
      </c>
      <c r="DO528" s="3" t="n">
        <v>0</v>
      </c>
    </row>
    <row r="529">
      <c r="A529" s="19" t="inlineStr">
        <is>
          <t>mit.ener.mac.bio</t>
        </is>
      </c>
      <c r="B529" s="3" t="inlineStr">
        <is>
          <t>mit</t>
        </is>
      </c>
      <c r="C529" s="19" t="n"/>
      <c r="H529" s="3" t="inlineStr">
        <is>
          <t>Fuel use | Machinery | Biomass</t>
        </is>
      </c>
      <c r="I529" s="3" t="inlineStr">
        <is>
          <t>ktoe</t>
        </is>
      </c>
      <c r="K529" s="20" t="inlineStr">
        <is>
          <t>egy.mit.ener.mac.bio.1</t>
        </is>
      </c>
      <c r="L529" s="3" t="n">
        <v>0</v>
      </c>
      <c r="M529" s="3" t="n">
        <v>0</v>
      </c>
      <c r="N529" s="3" t="n">
        <v>0</v>
      </c>
      <c r="O529" s="3" t="n">
        <v>0</v>
      </c>
      <c r="P529" s="3" t="n">
        <v>0</v>
      </c>
      <c r="Q529" s="3" t="n">
        <v>0</v>
      </c>
      <c r="R529" s="3" t="n">
        <v>0</v>
      </c>
      <c r="S529" s="3" t="n">
        <v>0</v>
      </c>
      <c r="T529" s="3" t="n">
        <v>0</v>
      </c>
      <c r="U529" s="3" t="n">
        <v>0</v>
      </c>
      <c r="V529" s="3" t="n">
        <v>0</v>
      </c>
      <c r="W529" s="3" t="n">
        <v>0</v>
      </c>
      <c r="X529" s="3" t="n">
        <v>0</v>
      </c>
      <c r="Y529" s="3" t="n">
        <v>0</v>
      </c>
      <c r="Z529" s="3" t="n">
        <v>0</v>
      </c>
      <c r="AA529" s="3" t="n">
        <v>0</v>
      </c>
      <c r="AB529" s="3" t="n">
        <v>0</v>
      </c>
      <c r="AC529" s="3" t="n">
        <v>0</v>
      </c>
      <c r="AD529" s="3" t="n">
        <v>0</v>
      </c>
      <c r="AE529" s="3" t="n">
        <v>0</v>
      </c>
      <c r="AG529" s="20" t="inlineStr">
        <is>
          <t>egy.mit.ener.mac.bio.3</t>
        </is>
      </c>
      <c r="AH529" s="3" t="n">
        <v>0</v>
      </c>
      <c r="AI529" s="3" t="n">
        <v>0</v>
      </c>
      <c r="AJ529" s="3" t="n">
        <v>0</v>
      </c>
      <c r="AK529" s="3" t="n">
        <v>0</v>
      </c>
      <c r="AL529" s="3" t="n">
        <v>0</v>
      </c>
      <c r="AM529" s="3" t="n">
        <v>0</v>
      </c>
      <c r="AN529" s="3" t="n">
        <v>0</v>
      </c>
      <c r="AO529" s="3" t="n">
        <v>0</v>
      </c>
      <c r="AP529" s="3" t="n">
        <v>0</v>
      </c>
      <c r="AQ529" s="3" t="n">
        <v>0</v>
      </c>
      <c r="AR529" s="3" t="n">
        <v>0</v>
      </c>
      <c r="AS529" s="3" t="n">
        <v>0</v>
      </c>
      <c r="AT529" s="3" t="n">
        <v>0</v>
      </c>
      <c r="AU529" s="3" t="n">
        <v>0</v>
      </c>
      <c r="AV529" s="3" t="n">
        <v>0</v>
      </c>
      <c r="AW529" s="3" t="n">
        <v>0</v>
      </c>
      <c r="AX529" s="3" t="n">
        <v>0</v>
      </c>
      <c r="AY529" s="3" t="n">
        <v>0</v>
      </c>
      <c r="AZ529" s="3" t="n">
        <v>0</v>
      </c>
      <c r="BA529" s="3" t="n">
        <v>0</v>
      </c>
      <c r="BC529" s="20" t="inlineStr">
        <is>
          <t>egy.mit.ener.mac.bio.4</t>
        </is>
      </c>
      <c r="BD529" s="3" t="n">
        <v>0</v>
      </c>
      <c r="BE529" s="3" t="n">
        <v>0</v>
      </c>
      <c r="BF529" s="3" t="n">
        <v>0</v>
      </c>
      <c r="BG529" s="3" t="n">
        <v>0</v>
      </c>
      <c r="BH529" s="3" t="n">
        <v>0</v>
      </c>
      <c r="BI529" s="3" t="n">
        <v>0</v>
      </c>
      <c r="BJ529" s="3" t="n">
        <v>0</v>
      </c>
      <c r="BK529" s="3" t="n">
        <v>0</v>
      </c>
      <c r="BL529" s="3" t="n">
        <v>0</v>
      </c>
      <c r="BM529" s="3" t="n">
        <v>0</v>
      </c>
      <c r="BN529" s="3" t="n">
        <v>0</v>
      </c>
      <c r="BO529" s="3" t="n">
        <v>0</v>
      </c>
      <c r="BP529" s="3" t="n">
        <v>0</v>
      </c>
      <c r="BQ529" s="3" t="n">
        <v>0</v>
      </c>
      <c r="BR529" s="3" t="n">
        <v>0</v>
      </c>
      <c r="BS529" s="3" t="n">
        <v>0</v>
      </c>
      <c r="BT529" s="3" t="n">
        <v>0</v>
      </c>
      <c r="BU529" s="3" t="n">
        <v>0</v>
      </c>
      <c r="BV529" s="3" t="n">
        <v>0</v>
      </c>
      <c r="BW529" s="3" t="n">
        <v>0</v>
      </c>
      <c r="BY529" s="20" t="inlineStr">
        <is>
          <t>egy.mit.ener.mac.bio.5</t>
        </is>
      </c>
      <c r="BZ529" s="3" t="n">
        <v>0</v>
      </c>
      <c r="CA529" s="3" t="n">
        <v>0</v>
      </c>
      <c r="CB529" s="3" t="n">
        <v>0</v>
      </c>
      <c r="CC529" s="3" t="n">
        <v>0</v>
      </c>
      <c r="CD529" s="3" t="n">
        <v>0</v>
      </c>
      <c r="CE529" s="3" t="n">
        <v>0</v>
      </c>
      <c r="CF529" s="3" t="n">
        <v>0</v>
      </c>
      <c r="CG529" s="3" t="n">
        <v>0</v>
      </c>
      <c r="CH529" s="3" t="n">
        <v>0</v>
      </c>
      <c r="CI529" s="3" t="n">
        <v>0</v>
      </c>
      <c r="CJ529" s="3" t="n">
        <v>0</v>
      </c>
      <c r="CK529" s="3" t="n">
        <v>0</v>
      </c>
      <c r="CL529" s="3" t="n">
        <v>0</v>
      </c>
      <c r="CM529" s="3" t="n">
        <v>0</v>
      </c>
      <c r="CN529" s="3" t="n">
        <v>0</v>
      </c>
      <c r="CO529" s="3" t="n">
        <v>0</v>
      </c>
      <c r="CP529" s="3" t="n">
        <v>0</v>
      </c>
      <c r="CQ529" s="3" t="n">
        <v>0</v>
      </c>
      <c r="CR529" s="3" t="n">
        <v>0</v>
      </c>
      <c r="CS529" s="3" t="n">
        <v>0</v>
      </c>
      <c r="CU529" s="20" t="inlineStr">
        <is>
          <t>egy.mit.ener.mac.bio.6</t>
        </is>
      </c>
      <c r="CV529" s="3" t="n">
        <v>0</v>
      </c>
      <c r="CW529" s="3" t="n">
        <v>0</v>
      </c>
      <c r="CX529" s="3" t="n">
        <v>0</v>
      </c>
      <c r="CY529" s="3" t="n">
        <v>0</v>
      </c>
      <c r="CZ529" s="3" t="n">
        <v>0</v>
      </c>
      <c r="DA529" s="3" t="n">
        <v>0</v>
      </c>
      <c r="DB529" s="3" t="n">
        <v>0</v>
      </c>
      <c r="DC529" s="3" t="n">
        <v>0</v>
      </c>
      <c r="DD529" s="3" t="n">
        <v>0</v>
      </c>
      <c r="DE529" s="3" t="n">
        <v>0</v>
      </c>
      <c r="DF529" s="3" t="n">
        <v>0</v>
      </c>
      <c r="DG529" s="3" t="n">
        <v>0</v>
      </c>
      <c r="DH529" s="3" t="n">
        <v>0</v>
      </c>
      <c r="DI529" s="3" t="n">
        <v>0</v>
      </c>
      <c r="DJ529" s="3" t="n">
        <v>0</v>
      </c>
      <c r="DK529" s="3" t="n">
        <v>0</v>
      </c>
      <c r="DL529" s="3" t="n">
        <v>0</v>
      </c>
      <c r="DM529" s="3" t="n">
        <v>0</v>
      </c>
      <c r="DN529" s="3" t="n">
        <v>0</v>
      </c>
      <c r="DO529" s="3" t="n">
        <v>0</v>
      </c>
    </row>
    <row r="530">
      <c r="A530" s="14" t="n"/>
      <c r="B530" s="3" t="inlineStr">
        <is>
          <t>mit</t>
        </is>
      </c>
      <c r="C530" s="19" t="n"/>
      <c r="H530" s="14" t="inlineStr">
        <is>
          <t>Energy consumption, machinery, sector-generated renewables, policy</t>
        </is>
      </c>
      <c r="I530" s="14" t="inlineStr">
        <is>
          <t>ktoe</t>
        </is>
      </c>
    </row>
    <row r="531">
      <c r="A531" s="19" t="inlineStr">
        <is>
          <t>mit.ener.cem.coa</t>
        </is>
      </c>
      <c r="B531" s="3" t="inlineStr">
        <is>
          <t>mit</t>
        </is>
      </c>
      <c r="C531" s="19" t="inlineStr">
        <is>
          <t>mit.ener.mch.coa.e</t>
        </is>
      </c>
      <c r="H531" s="3" t="inlineStr">
        <is>
          <t>Fuel use | Cement | Coal</t>
        </is>
      </c>
      <c r="I531" s="3" t="inlineStr">
        <is>
          <t>ktoe</t>
        </is>
      </c>
      <c r="K531" s="20" t="inlineStr">
        <is>
          <t>egy.mit.ener.cem.coa.1</t>
        </is>
      </c>
      <c r="L531" s="3" t="n">
        <v>1414.958997504533</v>
      </c>
      <c r="M531" s="3" t="n">
        <v>1314.197595478042</v>
      </c>
      <c r="N531" s="3" t="n">
        <v>1577.584291444732</v>
      </c>
      <c r="O531" s="3" t="n">
        <v>1707.829101460514</v>
      </c>
      <c r="P531" s="3" t="n">
        <v>1679.133743644263</v>
      </c>
      <c r="Q531" s="3" t="n">
        <v>1700.470923898303</v>
      </c>
      <c r="R531" s="3" t="n">
        <v>1746.594596056099</v>
      </c>
      <c r="S531" s="3" t="n">
        <v>1791.353845141989</v>
      </c>
      <c r="T531" s="3" t="n">
        <v>1834.05329639426</v>
      </c>
      <c r="U531" s="3" t="n">
        <v>1876.827096971686</v>
      </c>
      <c r="V531" s="3" t="n">
        <v>1912.359301707356</v>
      </c>
      <c r="W531" s="3" t="n">
        <v>1947.981167611161</v>
      </c>
      <c r="X531" s="3" t="n">
        <v>1983.682541328228</v>
      </c>
      <c r="Y531" s="3" t="n">
        <v>2019.45335898286</v>
      </c>
      <c r="Z531" s="3" t="n">
        <v>2055.283637655703</v>
      </c>
      <c r="AA531" s="3" t="n">
        <v>2091.163465946022</v>
      </c>
      <c r="AB531" s="3" t="n">
        <v>2127.082993666013</v>
      </c>
      <c r="AC531" s="3" t="n">
        <v>2163.03242071113</v>
      </c>
      <c r="AD531" s="3" t="n">
        <v>2199.001985147343</v>
      </c>
      <c r="AE531" s="3" t="n">
        <v>2234.981950553286</v>
      </c>
      <c r="AG531" s="20" t="inlineStr">
        <is>
          <t>egy.mit.ener.cem.coa.3</t>
        </is>
      </c>
      <c r="AH531" s="3" t="n">
        <v>1414.958997504533</v>
      </c>
      <c r="AI531" s="3" t="n">
        <v>1314.197595478042</v>
      </c>
      <c r="AJ531" s="3" t="n">
        <v>1577.584291444732</v>
      </c>
      <c r="AK531" s="3" t="n">
        <v>1707.829101460514</v>
      </c>
      <c r="AL531" s="3" t="n">
        <v>1679.133743644263</v>
      </c>
      <c r="AM531" s="3" t="n">
        <v>1479.148040052258</v>
      </c>
      <c r="AN531" s="3" t="n">
        <v>1518.118451578913</v>
      </c>
      <c r="AO531" s="3" t="n">
        <v>1556.196242771566</v>
      </c>
      <c r="AP531" s="3" t="n">
        <v>1590.835526462481</v>
      </c>
      <c r="AQ531" s="3" t="n">
        <v>1626.704657747922</v>
      </c>
      <c r="AR531" s="3" t="n">
        <v>1657.072701012914</v>
      </c>
      <c r="AS531" s="3" t="n">
        <v>1688.511424721489</v>
      </c>
      <c r="AT531" s="3" t="n">
        <v>1720.503633948985</v>
      </c>
      <c r="AU531" s="3" t="n">
        <v>1752.338934608259</v>
      </c>
      <c r="AV531" s="3" t="n">
        <v>1784.44121095364</v>
      </c>
      <c r="AW531" s="3" t="n">
        <v>1817.081412310382</v>
      </c>
      <c r="AX531" s="3" t="n">
        <v>1849.317452259623</v>
      </c>
      <c r="AY531" s="3" t="n">
        <v>1881.344572110669</v>
      </c>
      <c r="AZ531" s="3" t="n">
        <v>1912.82391693763</v>
      </c>
      <c r="BA531" s="3" t="n">
        <v>1944.150777709047</v>
      </c>
      <c r="BC531" s="20" t="inlineStr">
        <is>
          <t>egy.mit.ener.cem.coa.4</t>
        </is>
      </c>
      <c r="BD531" s="3" t="n">
        <v>1414.958997504533</v>
      </c>
      <c r="BE531" s="3" t="n">
        <v>1314.197595478042</v>
      </c>
      <c r="BF531" s="3" t="n">
        <v>1577.584291444732</v>
      </c>
      <c r="BG531" s="3" t="n">
        <v>1707.829101460514</v>
      </c>
      <c r="BH531" s="3" t="n">
        <v>1679.133743644263</v>
      </c>
      <c r="BI531" s="3" t="n">
        <v>1553.855185221656</v>
      </c>
      <c r="BJ531" s="3" t="n">
        <v>1440.678540467751</v>
      </c>
      <c r="BK531" s="3" t="n">
        <v>1353.619298584007</v>
      </c>
      <c r="BL531" s="3" t="n">
        <v>1282.726998748034</v>
      </c>
      <c r="BM531" s="3" t="n">
        <v>1239.206032432279</v>
      </c>
      <c r="BN531" s="3" t="n">
        <v>1199.913607858565</v>
      </c>
      <c r="BO531" s="3" t="n">
        <v>1166.571405596709</v>
      </c>
      <c r="BP531" s="3" t="n">
        <v>1138.247104331582</v>
      </c>
      <c r="BQ531" s="3" t="n">
        <v>1113.918599692164</v>
      </c>
      <c r="BR531" s="3" t="n">
        <v>1092.911333412627</v>
      </c>
      <c r="BS531" s="3" t="n">
        <v>1074.82134819378</v>
      </c>
      <c r="BT531" s="3" t="n">
        <v>1059.066948033043</v>
      </c>
      <c r="BU531" s="3" t="n">
        <v>1045.21987682787</v>
      </c>
      <c r="BV531" s="3" t="n">
        <v>1032.795033295764</v>
      </c>
      <c r="BW531" s="3" t="n">
        <v>1021.542603044947</v>
      </c>
      <c r="BY531" s="20" t="inlineStr">
        <is>
          <t>egy.mit.ener.cem.coa.5</t>
        </is>
      </c>
      <c r="BZ531" s="3" t="n">
        <v>1414.958997504533</v>
      </c>
      <c r="CA531" s="3" t="n">
        <v>1314.197595478042</v>
      </c>
      <c r="CB531" s="3" t="n">
        <v>1577.584291444732</v>
      </c>
      <c r="CC531" s="3" t="n">
        <v>1707.829101460514</v>
      </c>
      <c r="CD531" s="3" t="n">
        <v>1679.133743644263</v>
      </c>
      <c r="CE531" s="3" t="n">
        <v>1534.54843834547</v>
      </c>
      <c r="CF531" s="3" t="n">
        <v>1526.38435133752</v>
      </c>
      <c r="CG531" s="3" t="n">
        <v>1520.037164329426</v>
      </c>
      <c r="CH531" s="3" t="n">
        <v>1512.908834737525</v>
      </c>
      <c r="CI531" s="3" t="n">
        <v>1509.644318946637</v>
      </c>
      <c r="CJ531" s="3" t="n">
        <v>1503.16523109045</v>
      </c>
      <c r="CK531" s="3" t="n">
        <v>1498.741547502869</v>
      </c>
      <c r="CL531" s="3" t="n">
        <v>1495.881590747098</v>
      </c>
      <c r="CM531" s="3" t="n">
        <v>1493.906251867652</v>
      </c>
      <c r="CN531" s="3" t="n">
        <v>1507.466223557567</v>
      </c>
      <c r="CO531" s="3" t="n">
        <v>1521.05611260887</v>
      </c>
      <c r="CP531" s="3" t="n">
        <v>1534.172004995755</v>
      </c>
      <c r="CQ531" s="3" t="n">
        <v>1547.075050840338</v>
      </c>
      <c r="CR531" s="3" t="n">
        <v>1559.386925736886</v>
      </c>
      <c r="CS531" s="3" t="n">
        <v>1571.509866804875</v>
      </c>
      <c r="CU531" s="20" t="inlineStr">
        <is>
          <t>egy.mit.ener.cem.coa.6</t>
        </is>
      </c>
      <c r="CV531" s="3" t="n">
        <v>1414.958997504533</v>
      </c>
      <c r="CW531" s="3" t="n">
        <v>1314.197595478042</v>
      </c>
      <c r="CX531" s="3" t="n">
        <v>1577.584291444732</v>
      </c>
      <c r="CY531" s="3" t="n">
        <v>1707.829101460514</v>
      </c>
      <c r="CZ531" s="3" t="n">
        <v>1679.133743644263</v>
      </c>
      <c r="DA531" s="3" t="n">
        <v>1258.852755893258</v>
      </c>
      <c r="DB531" s="3" t="n">
        <v>1291.146586230326</v>
      </c>
      <c r="DC531" s="3" t="n">
        <v>1323.002633719281</v>
      </c>
      <c r="DD531" s="3" t="n">
        <v>1350.348562540741</v>
      </c>
      <c r="DE531" s="3" t="n">
        <v>1379.998793358588</v>
      </c>
      <c r="DF531" s="3" t="n">
        <v>1405.280638614171</v>
      </c>
      <c r="DG531" s="3" t="n">
        <v>1432.558779057157</v>
      </c>
      <c r="DH531" s="3" t="n">
        <v>1460.636574374235</v>
      </c>
      <c r="DI531" s="3" t="n">
        <v>1488.42102740223</v>
      </c>
      <c r="DJ531" s="3" t="n">
        <v>1516.62288842946</v>
      </c>
      <c r="DK531" s="3" t="n">
        <v>1545.759061154376</v>
      </c>
      <c r="DL531" s="3" t="n">
        <v>1574.1059479286</v>
      </c>
      <c r="DM531" s="3" t="n">
        <v>1602.102481760835</v>
      </c>
      <c r="DN531" s="3" t="n">
        <v>1629.098375969546</v>
      </c>
      <c r="DO531" s="3" t="n">
        <v>1655.847338890811</v>
      </c>
    </row>
    <row r="532">
      <c r="A532" s="19" t="inlineStr">
        <is>
          <t>mit.ener.cem.nga</t>
        </is>
      </c>
      <c r="B532" s="3" t="inlineStr">
        <is>
          <t>mit</t>
        </is>
      </c>
      <c r="C532" s="19" t="inlineStr">
        <is>
          <t>mit.ener.mch.nga.e</t>
        </is>
      </c>
      <c r="H532" s="3" t="inlineStr">
        <is>
          <t>Fuel use | Cement | Natural gas</t>
        </is>
      </c>
      <c r="I532" s="3" t="inlineStr">
        <is>
          <t>ktoe</t>
        </is>
      </c>
      <c r="K532" s="20" t="inlineStr">
        <is>
          <t>egy.mit.ener.cem.nga.1</t>
        </is>
      </c>
      <c r="L532" s="3" t="n">
        <v>1674.298650585562</v>
      </c>
      <c r="M532" s="3" t="n">
        <v>1326.081174790528</v>
      </c>
      <c r="N532" s="3" t="n">
        <v>1529.296357551106</v>
      </c>
      <c r="O532" s="3" t="n">
        <v>1589.730142407475</v>
      </c>
      <c r="P532" s="3" t="n">
        <v>1649.43111990887</v>
      </c>
      <c r="Q532" s="3" t="n">
        <v>1720.565015566937</v>
      </c>
      <c r="R532" s="3" t="n">
        <v>1806.002626785532</v>
      </c>
      <c r="S532" s="3" t="n">
        <v>1889.101285150006</v>
      </c>
      <c r="T532" s="3" t="n">
        <v>1967.966043625422</v>
      </c>
      <c r="U532" s="3" t="n">
        <v>2048.538373413413</v>
      </c>
      <c r="V532" s="3" t="n">
        <v>2131.112411212413</v>
      </c>
      <c r="W532" s="3" t="n">
        <v>2215.688382887524</v>
      </c>
      <c r="X532" s="3" t="n">
        <v>2302.265016882835</v>
      </c>
      <c r="Y532" s="3" t="n">
        <v>2390.839521616606</v>
      </c>
      <c r="Z532" s="3" t="n">
        <v>2481.407559791385</v>
      </c>
      <c r="AA532" s="3" t="n">
        <v>2573.963219365115</v>
      </c>
      <c r="AB532" s="3" t="n">
        <v>2668.49898093918</v>
      </c>
      <c r="AC532" s="3" t="n">
        <v>2765.005681329106</v>
      </c>
      <c r="AD532" s="3" t="n">
        <v>2863.472473093071</v>
      </c>
      <c r="AE532" s="3" t="n">
        <v>2963.886779802793</v>
      </c>
      <c r="AG532" s="20" t="inlineStr">
        <is>
          <t>egy.mit.ener.cem.nga.3</t>
        </is>
      </c>
      <c r="AH532" s="3" t="n">
        <v>1674.298650585562</v>
      </c>
      <c r="AI532" s="3" t="n">
        <v>1326.081174790528</v>
      </c>
      <c r="AJ532" s="3" t="n">
        <v>1529.296357551106</v>
      </c>
      <c r="AK532" s="3" t="n">
        <v>1589.730142407475</v>
      </c>
      <c r="AL532" s="3" t="n">
        <v>1649.43111990887</v>
      </c>
      <c r="AM532" s="3" t="n">
        <v>1475.442044518406</v>
      </c>
      <c r="AN532" s="3" t="n">
        <v>1548.707359822159</v>
      </c>
      <c r="AO532" s="3" t="n">
        <v>1620.90817905364</v>
      </c>
      <c r="AP532" s="3" t="n">
        <v>1686.375407178061</v>
      </c>
      <c r="AQ532" s="3" t="n">
        <v>1755.812447464456</v>
      </c>
      <c r="AR532" s="3" t="n">
        <v>1825.642040993955</v>
      </c>
      <c r="AS532" s="3" t="n">
        <v>1899.381961892233</v>
      </c>
      <c r="AT532" s="3" t="n">
        <v>1976.001592997867</v>
      </c>
      <c r="AU532" s="3" t="n">
        <v>2053.922830906877</v>
      </c>
      <c r="AV532" s="3" t="n">
        <v>2134.146310926133</v>
      </c>
      <c r="AW532" s="3" t="n">
        <v>2217.380746439487</v>
      </c>
      <c r="AX532" s="3" t="n">
        <v>2301.368882115454</v>
      </c>
      <c r="AY532" s="3" t="n">
        <v>2386.556878037502</v>
      </c>
      <c r="AZ532" s="3" t="n">
        <v>2472.047924281236</v>
      </c>
      <c r="BA532" s="3" t="n">
        <v>2558.813219018071</v>
      </c>
      <c r="BC532" s="20" t="inlineStr">
        <is>
          <t>egy.mit.ener.cem.nga.4</t>
        </is>
      </c>
      <c r="BD532" s="3" t="n">
        <v>1674.298650585562</v>
      </c>
      <c r="BE532" s="3" t="n">
        <v>1326.081174790528</v>
      </c>
      <c r="BF532" s="3" t="n">
        <v>1529.296357551106</v>
      </c>
      <c r="BG532" s="3" t="n">
        <v>1589.730142407475</v>
      </c>
      <c r="BH532" s="3" t="n">
        <v>1649.43111990887</v>
      </c>
      <c r="BI532" s="3" t="n">
        <v>1567.413812140274</v>
      </c>
      <c r="BJ532" s="3" t="n">
        <v>1476.510926794753</v>
      </c>
      <c r="BK532" s="3" t="n">
        <v>1405.968253006718</v>
      </c>
      <c r="BL532" s="3" t="n">
        <v>1346.698182418362</v>
      </c>
      <c r="BM532" s="3" t="n">
        <v>1312.104599769213</v>
      </c>
      <c r="BN532" s="3" t="n">
        <v>1284.122316694354</v>
      </c>
      <c r="BO532" s="3" t="n">
        <v>1262.304230253354</v>
      </c>
      <c r="BP532" s="3" t="n">
        <v>1246.002564311199</v>
      </c>
      <c r="BQ532" s="3" t="n">
        <v>1234.035741406896</v>
      </c>
      <c r="BR532" s="3" t="n">
        <v>1225.730805237816</v>
      </c>
      <c r="BS532" s="3" t="n">
        <v>1220.841572400699</v>
      </c>
      <c r="BT532" s="3" t="n">
        <v>1218.586265981146</v>
      </c>
      <c r="BU532" s="3" t="n">
        <v>1218.413503053258</v>
      </c>
      <c r="BV532" s="3" t="n">
        <v>1219.541805541551</v>
      </c>
      <c r="BW532" s="3" t="n">
        <v>1221.659441077819</v>
      </c>
      <c r="BY532" s="20" t="inlineStr">
        <is>
          <t>egy.mit.ener.cem.nga.5</t>
        </is>
      </c>
      <c r="BZ532" s="3" t="n">
        <v>1674.298650585562</v>
      </c>
      <c r="CA532" s="3" t="n">
        <v>1326.081174790528</v>
      </c>
      <c r="CB532" s="3" t="n">
        <v>1529.296357551106</v>
      </c>
      <c r="CC532" s="3" t="n">
        <v>1589.730142407475</v>
      </c>
      <c r="CD532" s="3" t="n">
        <v>1649.43111990887</v>
      </c>
      <c r="CE532" s="3" t="n">
        <v>1590.149852538368</v>
      </c>
      <c r="CF532" s="3" t="n">
        <v>1628.069260473805</v>
      </c>
      <c r="CG532" s="3" t="n">
        <v>1664.972771219769</v>
      </c>
      <c r="CH532" s="3" t="n">
        <v>1695.64836892478</v>
      </c>
      <c r="CI532" s="3" t="n">
        <v>1731.438966857897</v>
      </c>
      <c r="CJ532" s="3" t="n">
        <v>1767.234100796996</v>
      </c>
      <c r="CK532" s="3" t="n">
        <v>1806.327083268324</v>
      </c>
      <c r="CL532" s="3" t="n">
        <v>1847.06318683796</v>
      </c>
      <c r="CM532" s="3" t="n">
        <v>1888.606768613696</v>
      </c>
      <c r="CN532" s="3" t="n">
        <v>1947.22391187996</v>
      </c>
      <c r="CO532" s="3" t="n">
        <v>2007.312762130372</v>
      </c>
      <c r="CP532" s="3" t="n">
        <v>2067.306609919198</v>
      </c>
      <c r="CQ532" s="3" t="n">
        <v>2127.87400448486</v>
      </c>
      <c r="CR532" s="3" t="n">
        <v>2188.062945618475</v>
      </c>
      <c r="CS532" s="3" t="n">
        <v>2248.962106968213</v>
      </c>
      <c r="CU532" s="20" t="inlineStr">
        <is>
          <t>egy.mit.ener.cem.nga.6</t>
        </is>
      </c>
      <c r="CV532" s="3" t="n">
        <v>1674.298650585562</v>
      </c>
      <c r="CW532" s="3" t="n">
        <v>1326.081174790528</v>
      </c>
      <c r="CX532" s="3" t="n">
        <v>1529.296357551106</v>
      </c>
      <c r="CY532" s="3" t="n">
        <v>1589.730142407475</v>
      </c>
      <c r="CZ532" s="3" t="n">
        <v>1649.43111990887</v>
      </c>
      <c r="DA532" s="3" t="n">
        <v>1227.55066127899</v>
      </c>
      <c r="DB532" s="3" t="n">
        <v>1288.506241252588</v>
      </c>
      <c r="DC532" s="3" t="n">
        <v>1349.469792652086</v>
      </c>
      <c r="DD532" s="3" t="n">
        <v>1401.823140976377</v>
      </c>
      <c r="DE532" s="3" t="n">
        <v>1460.104617123045</v>
      </c>
      <c r="DF532" s="3" t="n">
        <v>1517.135903056506</v>
      </c>
      <c r="DG532" s="3" t="n">
        <v>1579.774360521312</v>
      </c>
      <c r="DH532" s="3" t="n">
        <v>1645.607666748007</v>
      </c>
      <c r="DI532" s="3" t="n">
        <v>1712.242816471709</v>
      </c>
      <c r="DJ532" s="3" t="n">
        <v>1781.315187385496</v>
      </c>
      <c r="DK532" s="3" t="n">
        <v>1854.133327716906</v>
      </c>
      <c r="DL532" s="3" t="n">
        <v>1926.62449610868</v>
      </c>
      <c r="DM532" s="3" t="n">
        <v>1999.776883565099</v>
      </c>
      <c r="DN532" s="3" t="n">
        <v>2071.893264374472</v>
      </c>
      <c r="DO532" s="3" t="n">
        <v>2144.791824447838</v>
      </c>
    </row>
    <row r="533">
      <c r="A533" s="19" t="inlineStr">
        <is>
          <t>mit.ener.cem.gso</t>
        </is>
      </c>
      <c r="B533" s="3" t="inlineStr">
        <is>
          <t>mit</t>
        </is>
      </c>
      <c r="C533" s="19" t="inlineStr">
        <is>
          <t>mit.ener.mch.gso.e</t>
        </is>
      </c>
      <c r="H533" s="3" t="inlineStr">
        <is>
          <t>Fuel use | Cement | Gasoline</t>
        </is>
      </c>
      <c r="I533" s="3" t="inlineStr">
        <is>
          <t>ktoe</t>
        </is>
      </c>
      <c r="K533" s="20" t="inlineStr">
        <is>
          <t>egy.mit.ener.cem.gso.1</t>
        </is>
      </c>
      <c r="L533" s="3" t="n">
        <v>0</v>
      </c>
      <c r="M533" s="3" t="n">
        <v>0</v>
      </c>
      <c r="N533" s="3" t="n">
        <v>0</v>
      </c>
      <c r="O533" s="3" t="n">
        <v>0</v>
      </c>
      <c r="P533" s="3" t="n">
        <v>0</v>
      </c>
      <c r="Q533" s="3" t="n">
        <v>0</v>
      </c>
      <c r="R533" s="3" t="n">
        <v>0</v>
      </c>
      <c r="S533" s="3" t="n">
        <v>0</v>
      </c>
      <c r="T533" s="3" t="n">
        <v>0</v>
      </c>
      <c r="U533" s="3" t="n">
        <v>0</v>
      </c>
      <c r="V533" s="3" t="n">
        <v>0</v>
      </c>
      <c r="W533" s="3" t="n">
        <v>0</v>
      </c>
      <c r="X533" s="3" t="n">
        <v>0</v>
      </c>
      <c r="Y533" s="3" t="n">
        <v>0</v>
      </c>
      <c r="Z533" s="3" t="n">
        <v>0</v>
      </c>
      <c r="AA533" s="3" t="n">
        <v>0</v>
      </c>
      <c r="AB533" s="3" t="n">
        <v>0</v>
      </c>
      <c r="AC533" s="3" t="n">
        <v>0</v>
      </c>
      <c r="AD533" s="3" t="n">
        <v>0</v>
      </c>
      <c r="AE533" s="3" t="n">
        <v>0</v>
      </c>
      <c r="AG533" s="20" t="inlineStr">
        <is>
          <t>egy.mit.ener.cem.gso.3</t>
        </is>
      </c>
      <c r="AH533" s="3" t="n">
        <v>0</v>
      </c>
      <c r="AI533" s="3" t="n">
        <v>0</v>
      </c>
      <c r="AJ533" s="3" t="n">
        <v>0</v>
      </c>
      <c r="AK533" s="3" t="n">
        <v>0</v>
      </c>
      <c r="AL533" s="3" t="n">
        <v>0</v>
      </c>
      <c r="AM533" s="3" t="n">
        <v>0</v>
      </c>
      <c r="AN533" s="3" t="n">
        <v>0</v>
      </c>
      <c r="AO533" s="3" t="n">
        <v>0</v>
      </c>
      <c r="AP533" s="3" t="n">
        <v>0</v>
      </c>
      <c r="AQ533" s="3" t="n">
        <v>0</v>
      </c>
      <c r="AR533" s="3" t="n">
        <v>0</v>
      </c>
      <c r="AS533" s="3" t="n">
        <v>0</v>
      </c>
      <c r="AT533" s="3" t="n">
        <v>0</v>
      </c>
      <c r="AU533" s="3" t="n">
        <v>0</v>
      </c>
      <c r="AV533" s="3" t="n">
        <v>0</v>
      </c>
      <c r="AW533" s="3" t="n">
        <v>0</v>
      </c>
      <c r="AX533" s="3" t="n">
        <v>0</v>
      </c>
      <c r="AY533" s="3" t="n">
        <v>0</v>
      </c>
      <c r="AZ533" s="3" t="n">
        <v>0</v>
      </c>
      <c r="BA533" s="3" t="n">
        <v>0</v>
      </c>
      <c r="BC533" s="20" t="inlineStr">
        <is>
          <t>egy.mit.ener.cem.gso.4</t>
        </is>
      </c>
      <c r="BD533" s="3" t="n">
        <v>0</v>
      </c>
      <c r="BE533" s="3" t="n">
        <v>0</v>
      </c>
      <c r="BF533" s="3" t="n">
        <v>0</v>
      </c>
      <c r="BG533" s="3" t="n">
        <v>0</v>
      </c>
      <c r="BH533" s="3" t="n">
        <v>0</v>
      </c>
      <c r="BI533" s="3" t="n">
        <v>0</v>
      </c>
      <c r="BJ533" s="3" t="n">
        <v>0</v>
      </c>
      <c r="BK533" s="3" t="n">
        <v>0</v>
      </c>
      <c r="BL533" s="3" t="n">
        <v>0</v>
      </c>
      <c r="BM533" s="3" t="n">
        <v>0</v>
      </c>
      <c r="BN533" s="3" t="n">
        <v>0</v>
      </c>
      <c r="BO533" s="3" t="n">
        <v>0</v>
      </c>
      <c r="BP533" s="3" t="n">
        <v>0</v>
      </c>
      <c r="BQ533" s="3" t="n">
        <v>0</v>
      </c>
      <c r="BR533" s="3" t="n">
        <v>0</v>
      </c>
      <c r="BS533" s="3" t="n">
        <v>0</v>
      </c>
      <c r="BT533" s="3" t="n">
        <v>0</v>
      </c>
      <c r="BU533" s="3" t="n">
        <v>0</v>
      </c>
      <c r="BV533" s="3" t="n">
        <v>0</v>
      </c>
      <c r="BW533" s="3" t="n">
        <v>0</v>
      </c>
      <c r="BY533" s="20" t="inlineStr">
        <is>
          <t>egy.mit.ener.cem.gso.5</t>
        </is>
      </c>
      <c r="BZ533" s="3" t="n">
        <v>0</v>
      </c>
      <c r="CA533" s="3" t="n">
        <v>0</v>
      </c>
      <c r="CB533" s="3" t="n">
        <v>0</v>
      </c>
      <c r="CC533" s="3" t="n">
        <v>0</v>
      </c>
      <c r="CD533" s="3" t="n">
        <v>0</v>
      </c>
      <c r="CE533" s="3" t="n">
        <v>0</v>
      </c>
      <c r="CF533" s="3" t="n">
        <v>0</v>
      </c>
      <c r="CG533" s="3" t="n">
        <v>0</v>
      </c>
      <c r="CH533" s="3" t="n">
        <v>0</v>
      </c>
      <c r="CI533" s="3" t="n">
        <v>0</v>
      </c>
      <c r="CJ533" s="3" t="n">
        <v>0</v>
      </c>
      <c r="CK533" s="3" t="n">
        <v>0</v>
      </c>
      <c r="CL533" s="3" t="n">
        <v>0</v>
      </c>
      <c r="CM533" s="3" t="n">
        <v>0</v>
      </c>
      <c r="CN533" s="3" t="n">
        <v>0</v>
      </c>
      <c r="CO533" s="3" t="n">
        <v>0</v>
      </c>
      <c r="CP533" s="3" t="n">
        <v>0</v>
      </c>
      <c r="CQ533" s="3" t="n">
        <v>0</v>
      </c>
      <c r="CR533" s="3" t="n">
        <v>0</v>
      </c>
      <c r="CS533" s="3" t="n">
        <v>0</v>
      </c>
      <c r="CU533" s="20" t="inlineStr">
        <is>
          <t>egy.mit.ener.cem.gso.6</t>
        </is>
      </c>
      <c r="CV533" s="3" t="n">
        <v>0</v>
      </c>
      <c r="CW533" s="3" t="n">
        <v>0</v>
      </c>
      <c r="CX533" s="3" t="n">
        <v>0</v>
      </c>
      <c r="CY533" s="3" t="n">
        <v>0</v>
      </c>
      <c r="CZ533" s="3" t="n">
        <v>0</v>
      </c>
      <c r="DA533" s="3" t="n">
        <v>0</v>
      </c>
      <c r="DB533" s="3" t="n">
        <v>0</v>
      </c>
      <c r="DC533" s="3" t="n">
        <v>0</v>
      </c>
      <c r="DD533" s="3" t="n">
        <v>0</v>
      </c>
      <c r="DE533" s="3" t="n">
        <v>0</v>
      </c>
      <c r="DF533" s="3" t="n">
        <v>0</v>
      </c>
      <c r="DG533" s="3" t="n">
        <v>0</v>
      </c>
      <c r="DH533" s="3" t="n">
        <v>0</v>
      </c>
      <c r="DI533" s="3" t="n">
        <v>0</v>
      </c>
      <c r="DJ533" s="3" t="n">
        <v>0</v>
      </c>
      <c r="DK533" s="3" t="n">
        <v>0</v>
      </c>
      <c r="DL533" s="3" t="n">
        <v>0</v>
      </c>
      <c r="DM533" s="3" t="n">
        <v>0</v>
      </c>
      <c r="DN533" s="3" t="n">
        <v>0</v>
      </c>
      <c r="DO533" s="3" t="n">
        <v>0</v>
      </c>
    </row>
    <row r="534">
      <c r="A534" s="19" t="inlineStr">
        <is>
          <t>mit.ener.cem.die</t>
        </is>
      </c>
      <c r="B534" s="3" t="inlineStr">
        <is>
          <t>mit</t>
        </is>
      </c>
      <c r="C534" s="19" t="inlineStr">
        <is>
          <t>mit.ener.mch.die.e</t>
        </is>
      </c>
      <c r="H534" s="3" t="inlineStr">
        <is>
          <t>Fuel use | Cement | Diesel</t>
        </is>
      </c>
      <c r="I534" s="3" t="inlineStr">
        <is>
          <t>ktoe</t>
        </is>
      </c>
      <c r="K534" s="20" t="inlineStr">
        <is>
          <t>egy.mit.ener.cem.die.1</t>
        </is>
      </c>
      <c r="L534" s="3" t="n">
        <v>0</v>
      </c>
      <c r="M534" s="3" t="n">
        <v>0</v>
      </c>
      <c r="N534" s="3" t="n">
        <v>0</v>
      </c>
      <c r="O534" s="3" t="n">
        <v>0</v>
      </c>
      <c r="P534" s="3" t="n">
        <v>0</v>
      </c>
      <c r="Q534" s="3" t="n">
        <v>0</v>
      </c>
      <c r="R534" s="3" t="n">
        <v>0</v>
      </c>
      <c r="S534" s="3" t="n">
        <v>0</v>
      </c>
      <c r="T534" s="3" t="n">
        <v>0</v>
      </c>
      <c r="U534" s="3" t="n">
        <v>0</v>
      </c>
      <c r="V534" s="3" t="n">
        <v>0</v>
      </c>
      <c r="W534" s="3" t="n">
        <v>0</v>
      </c>
      <c r="X534" s="3" t="n">
        <v>0</v>
      </c>
      <c r="Y534" s="3" t="n">
        <v>0</v>
      </c>
      <c r="Z534" s="3" t="n">
        <v>0</v>
      </c>
      <c r="AA534" s="3" t="n">
        <v>0</v>
      </c>
      <c r="AB534" s="3" t="n">
        <v>0</v>
      </c>
      <c r="AC534" s="3" t="n">
        <v>0</v>
      </c>
      <c r="AD534" s="3" t="n">
        <v>0</v>
      </c>
      <c r="AE534" s="3" t="n">
        <v>0</v>
      </c>
      <c r="AG534" s="20" t="inlineStr">
        <is>
          <t>egy.mit.ener.cem.die.3</t>
        </is>
      </c>
      <c r="AH534" s="3" t="n">
        <v>0</v>
      </c>
      <c r="AI534" s="3" t="n">
        <v>0</v>
      </c>
      <c r="AJ534" s="3" t="n">
        <v>0</v>
      </c>
      <c r="AK534" s="3" t="n">
        <v>0</v>
      </c>
      <c r="AL534" s="3" t="n">
        <v>0</v>
      </c>
      <c r="AM534" s="3" t="n">
        <v>0</v>
      </c>
      <c r="AN534" s="3" t="n">
        <v>0</v>
      </c>
      <c r="AO534" s="3" t="n">
        <v>0</v>
      </c>
      <c r="AP534" s="3" t="n">
        <v>0</v>
      </c>
      <c r="AQ534" s="3" t="n">
        <v>0</v>
      </c>
      <c r="AR534" s="3" t="n">
        <v>0</v>
      </c>
      <c r="AS534" s="3" t="n">
        <v>0</v>
      </c>
      <c r="AT534" s="3" t="n">
        <v>0</v>
      </c>
      <c r="AU534" s="3" t="n">
        <v>0</v>
      </c>
      <c r="AV534" s="3" t="n">
        <v>0</v>
      </c>
      <c r="AW534" s="3" t="n">
        <v>0</v>
      </c>
      <c r="AX534" s="3" t="n">
        <v>0</v>
      </c>
      <c r="AY534" s="3" t="n">
        <v>0</v>
      </c>
      <c r="AZ534" s="3" t="n">
        <v>0</v>
      </c>
      <c r="BA534" s="3" t="n">
        <v>0</v>
      </c>
      <c r="BC534" s="20" t="inlineStr">
        <is>
          <t>egy.mit.ener.cem.die.4</t>
        </is>
      </c>
      <c r="BD534" s="3" t="n">
        <v>0</v>
      </c>
      <c r="BE534" s="3" t="n">
        <v>0</v>
      </c>
      <c r="BF534" s="3" t="n">
        <v>0</v>
      </c>
      <c r="BG534" s="3" t="n">
        <v>0</v>
      </c>
      <c r="BH534" s="3" t="n">
        <v>0</v>
      </c>
      <c r="BI534" s="3" t="n">
        <v>0</v>
      </c>
      <c r="BJ534" s="3" t="n">
        <v>0</v>
      </c>
      <c r="BK534" s="3" t="n">
        <v>0</v>
      </c>
      <c r="BL534" s="3" t="n">
        <v>0</v>
      </c>
      <c r="BM534" s="3" t="n">
        <v>0</v>
      </c>
      <c r="BN534" s="3" t="n">
        <v>0</v>
      </c>
      <c r="BO534" s="3" t="n">
        <v>0</v>
      </c>
      <c r="BP534" s="3" t="n">
        <v>0</v>
      </c>
      <c r="BQ534" s="3" t="n">
        <v>0</v>
      </c>
      <c r="BR534" s="3" t="n">
        <v>0</v>
      </c>
      <c r="BS534" s="3" t="n">
        <v>0</v>
      </c>
      <c r="BT534" s="3" t="n">
        <v>0</v>
      </c>
      <c r="BU534" s="3" t="n">
        <v>0</v>
      </c>
      <c r="BV534" s="3" t="n">
        <v>0</v>
      </c>
      <c r="BW534" s="3" t="n">
        <v>0</v>
      </c>
      <c r="BY534" s="20" t="inlineStr">
        <is>
          <t>egy.mit.ener.cem.die.5</t>
        </is>
      </c>
      <c r="BZ534" s="3" t="n">
        <v>0</v>
      </c>
      <c r="CA534" s="3" t="n">
        <v>0</v>
      </c>
      <c r="CB534" s="3" t="n">
        <v>0</v>
      </c>
      <c r="CC534" s="3" t="n">
        <v>0</v>
      </c>
      <c r="CD534" s="3" t="n">
        <v>0</v>
      </c>
      <c r="CE534" s="3" t="n">
        <v>0</v>
      </c>
      <c r="CF534" s="3" t="n">
        <v>0</v>
      </c>
      <c r="CG534" s="3" t="n">
        <v>0</v>
      </c>
      <c r="CH534" s="3" t="n">
        <v>0</v>
      </c>
      <c r="CI534" s="3" t="n">
        <v>0</v>
      </c>
      <c r="CJ534" s="3" t="n">
        <v>0</v>
      </c>
      <c r="CK534" s="3" t="n">
        <v>0</v>
      </c>
      <c r="CL534" s="3" t="n">
        <v>0</v>
      </c>
      <c r="CM534" s="3" t="n">
        <v>0</v>
      </c>
      <c r="CN534" s="3" t="n">
        <v>0</v>
      </c>
      <c r="CO534" s="3" t="n">
        <v>0</v>
      </c>
      <c r="CP534" s="3" t="n">
        <v>0</v>
      </c>
      <c r="CQ534" s="3" t="n">
        <v>0</v>
      </c>
      <c r="CR534" s="3" t="n">
        <v>0</v>
      </c>
      <c r="CS534" s="3" t="n">
        <v>0</v>
      </c>
      <c r="CU534" s="20" t="inlineStr">
        <is>
          <t>egy.mit.ener.cem.die.6</t>
        </is>
      </c>
      <c r="CV534" s="3" t="n">
        <v>0</v>
      </c>
      <c r="CW534" s="3" t="n">
        <v>0</v>
      </c>
      <c r="CX534" s="3" t="n">
        <v>0</v>
      </c>
      <c r="CY534" s="3" t="n">
        <v>0</v>
      </c>
      <c r="CZ534" s="3" t="n">
        <v>0</v>
      </c>
      <c r="DA534" s="3" t="n">
        <v>0</v>
      </c>
      <c r="DB534" s="3" t="n">
        <v>0</v>
      </c>
      <c r="DC534" s="3" t="n">
        <v>0</v>
      </c>
      <c r="DD534" s="3" t="n">
        <v>0</v>
      </c>
      <c r="DE534" s="3" t="n">
        <v>0</v>
      </c>
      <c r="DF534" s="3" t="n">
        <v>0</v>
      </c>
      <c r="DG534" s="3" t="n">
        <v>0</v>
      </c>
      <c r="DH534" s="3" t="n">
        <v>0</v>
      </c>
      <c r="DI534" s="3" t="n">
        <v>0</v>
      </c>
      <c r="DJ534" s="3" t="n">
        <v>0</v>
      </c>
      <c r="DK534" s="3" t="n">
        <v>0</v>
      </c>
      <c r="DL534" s="3" t="n">
        <v>0</v>
      </c>
      <c r="DM534" s="3" t="n">
        <v>0</v>
      </c>
      <c r="DN534" s="3" t="n">
        <v>0</v>
      </c>
      <c r="DO534" s="3" t="n">
        <v>0</v>
      </c>
    </row>
    <row r="535">
      <c r="A535" s="19" t="inlineStr">
        <is>
          <t>mit.ener.cem.lpg</t>
        </is>
      </c>
      <c r="B535" s="3" t="inlineStr">
        <is>
          <t>mit</t>
        </is>
      </c>
      <c r="C535" s="19" t="inlineStr">
        <is>
          <t>mit.ener.mch.lpg.e</t>
        </is>
      </c>
      <c r="H535" s="3" t="inlineStr">
        <is>
          <t>Fuel use | Cement | LPG</t>
        </is>
      </c>
      <c r="I535" s="3" t="inlineStr">
        <is>
          <t>ktoe</t>
        </is>
      </c>
      <c r="K535" s="20" t="inlineStr">
        <is>
          <t>egy.mit.ener.cem.lpg.1</t>
        </is>
      </c>
      <c r="L535" s="3" t="n">
        <v>0</v>
      </c>
      <c r="M535" s="3" t="n">
        <v>0</v>
      </c>
      <c r="N535" s="3" t="n">
        <v>0</v>
      </c>
      <c r="O535" s="3" t="n">
        <v>0</v>
      </c>
      <c r="P535" s="3" t="n">
        <v>0</v>
      </c>
      <c r="Q535" s="3" t="n">
        <v>0</v>
      </c>
      <c r="R535" s="3" t="n">
        <v>0</v>
      </c>
      <c r="S535" s="3" t="n">
        <v>0</v>
      </c>
      <c r="T535" s="3" t="n">
        <v>0</v>
      </c>
      <c r="U535" s="3" t="n">
        <v>0</v>
      </c>
      <c r="V535" s="3" t="n">
        <v>0</v>
      </c>
      <c r="W535" s="3" t="n">
        <v>0</v>
      </c>
      <c r="X535" s="3" t="n">
        <v>0</v>
      </c>
      <c r="Y535" s="3" t="n">
        <v>0</v>
      </c>
      <c r="Z535" s="3" t="n">
        <v>0</v>
      </c>
      <c r="AA535" s="3" t="n">
        <v>0</v>
      </c>
      <c r="AB535" s="3" t="n">
        <v>0</v>
      </c>
      <c r="AC535" s="3" t="n">
        <v>0</v>
      </c>
      <c r="AD535" s="3" t="n">
        <v>0</v>
      </c>
      <c r="AE535" s="3" t="n">
        <v>0</v>
      </c>
      <c r="AG535" s="20" t="inlineStr">
        <is>
          <t>egy.mit.ener.cem.lpg.3</t>
        </is>
      </c>
      <c r="AH535" s="3" t="n">
        <v>0</v>
      </c>
      <c r="AI535" s="3" t="n">
        <v>0</v>
      </c>
      <c r="AJ535" s="3" t="n">
        <v>0</v>
      </c>
      <c r="AK535" s="3" t="n">
        <v>0</v>
      </c>
      <c r="AL535" s="3" t="n">
        <v>0</v>
      </c>
      <c r="AM535" s="3" t="n">
        <v>0</v>
      </c>
      <c r="AN535" s="3" t="n">
        <v>0</v>
      </c>
      <c r="AO535" s="3" t="n">
        <v>0</v>
      </c>
      <c r="AP535" s="3" t="n">
        <v>0</v>
      </c>
      <c r="AQ535" s="3" t="n">
        <v>0</v>
      </c>
      <c r="AR535" s="3" t="n">
        <v>0</v>
      </c>
      <c r="AS535" s="3" t="n">
        <v>0</v>
      </c>
      <c r="AT535" s="3" t="n">
        <v>0</v>
      </c>
      <c r="AU535" s="3" t="n">
        <v>0</v>
      </c>
      <c r="AV535" s="3" t="n">
        <v>0</v>
      </c>
      <c r="AW535" s="3" t="n">
        <v>0</v>
      </c>
      <c r="AX535" s="3" t="n">
        <v>0</v>
      </c>
      <c r="AY535" s="3" t="n">
        <v>0</v>
      </c>
      <c r="AZ535" s="3" t="n">
        <v>0</v>
      </c>
      <c r="BA535" s="3" t="n">
        <v>0</v>
      </c>
      <c r="BC535" s="20" t="inlineStr">
        <is>
          <t>egy.mit.ener.cem.lpg.4</t>
        </is>
      </c>
      <c r="BD535" s="3" t="n">
        <v>0</v>
      </c>
      <c r="BE535" s="3" t="n">
        <v>0</v>
      </c>
      <c r="BF535" s="3" t="n">
        <v>0</v>
      </c>
      <c r="BG535" s="3" t="n">
        <v>0</v>
      </c>
      <c r="BH535" s="3" t="n">
        <v>0</v>
      </c>
      <c r="BI535" s="3" t="n">
        <v>0</v>
      </c>
      <c r="BJ535" s="3" t="n">
        <v>0</v>
      </c>
      <c r="BK535" s="3" t="n">
        <v>0</v>
      </c>
      <c r="BL535" s="3" t="n">
        <v>0</v>
      </c>
      <c r="BM535" s="3" t="n">
        <v>0</v>
      </c>
      <c r="BN535" s="3" t="n">
        <v>0</v>
      </c>
      <c r="BO535" s="3" t="n">
        <v>0</v>
      </c>
      <c r="BP535" s="3" t="n">
        <v>0</v>
      </c>
      <c r="BQ535" s="3" t="n">
        <v>0</v>
      </c>
      <c r="BR535" s="3" t="n">
        <v>0</v>
      </c>
      <c r="BS535" s="3" t="n">
        <v>0</v>
      </c>
      <c r="BT535" s="3" t="n">
        <v>0</v>
      </c>
      <c r="BU535" s="3" t="n">
        <v>0</v>
      </c>
      <c r="BV535" s="3" t="n">
        <v>0</v>
      </c>
      <c r="BW535" s="3" t="n">
        <v>0</v>
      </c>
      <c r="BY535" s="20" t="inlineStr">
        <is>
          <t>egy.mit.ener.cem.lpg.5</t>
        </is>
      </c>
      <c r="BZ535" s="3" t="n">
        <v>0</v>
      </c>
      <c r="CA535" s="3" t="n">
        <v>0</v>
      </c>
      <c r="CB535" s="3" t="n">
        <v>0</v>
      </c>
      <c r="CC535" s="3" t="n">
        <v>0</v>
      </c>
      <c r="CD535" s="3" t="n">
        <v>0</v>
      </c>
      <c r="CE535" s="3" t="n">
        <v>0</v>
      </c>
      <c r="CF535" s="3" t="n">
        <v>0</v>
      </c>
      <c r="CG535" s="3" t="n">
        <v>0</v>
      </c>
      <c r="CH535" s="3" t="n">
        <v>0</v>
      </c>
      <c r="CI535" s="3" t="n">
        <v>0</v>
      </c>
      <c r="CJ535" s="3" t="n">
        <v>0</v>
      </c>
      <c r="CK535" s="3" t="n">
        <v>0</v>
      </c>
      <c r="CL535" s="3" t="n">
        <v>0</v>
      </c>
      <c r="CM535" s="3" t="n">
        <v>0</v>
      </c>
      <c r="CN535" s="3" t="n">
        <v>0</v>
      </c>
      <c r="CO535" s="3" t="n">
        <v>0</v>
      </c>
      <c r="CP535" s="3" t="n">
        <v>0</v>
      </c>
      <c r="CQ535" s="3" t="n">
        <v>0</v>
      </c>
      <c r="CR535" s="3" t="n">
        <v>0</v>
      </c>
      <c r="CS535" s="3" t="n">
        <v>0</v>
      </c>
      <c r="CU535" s="20" t="inlineStr">
        <is>
          <t>egy.mit.ener.cem.lpg.6</t>
        </is>
      </c>
      <c r="CV535" s="3" t="n">
        <v>0</v>
      </c>
      <c r="CW535" s="3" t="n">
        <v>0</v>
      </c>
      <c r="CX535" s="3" t="n">
        <v>0</v>
      </c>
      <c r="CY535" s="3" t="n">
        <v>0</v>
      </c>
      <c r="CZ535" s="3" t="n">
        <v>0</v>
      </c>
      <c r="DA535" s="3" t="n">
        <v>0</v>
      </c>
      <c r="DB535" s="3" t="n">
        <v>0</v>
      </c>
      <c r="DC535" s="3" t="n">
        <v>0</v>
      </c>
      <c r="DD535" s="3" t="n">
        <v>0</v>
      </c>
      <c r="DE535" s="3" t="n">
        <v>0</v>
      </c>
      <c r="DF535" s="3" t="n">
        <v>0</v>
      </c>
      <c r="DG535" s="3" t="n">
        <v>0</v>
      </c>
      <c r="DH535" s="3" t="n">
        <v>0</v>
      </c>
      <c r="DI535" s="3" t="n">
        <v>0</v>
      </c>
      <c r="DJ535" s="3" t="n">
        <v>0</v>
      </c>
      <c r="DK535" s="3" t="n">
        <v>0</v>
      </c>
      <c r="DL535" s="3" t="n">
        <v>0</v>
      </c>
      <c r="DM535" s="3" t="n">
        <v>0</v>
      </c>
      <c r="DN535" s="3" t="n">
        <v>0</v>
      </c>
      <c r="DO535" s="3" t="n">
        <v>0</v>
      </c>
    </row>
    <row r="536">
      <c r="A536" s="19" t="inlineStr">
        <is>
          <t>mit.ener.cem.ker</t>
        </is>
      </c>
      <c r="B536" s="3" t="inlineStr">
        <is>
          <t>mit</t>
        </is>
      </c>
      <c r="C536" s="19" t="inlineStr">
        <is>
          <t>mit.ener.mch.ker.e</t>
        </is>
      </c>
      <c r="H536" s="3" t="inlineStr">
        <is>
          <t>Fuel use | Cement | Kerosene</t>
        </is>
      </c>
      <c r="I536" s="3" t="inlineStr">
        <is>
          <t>ktoe</t>
        </is>
      </c>
      <c r="K536" s="20" t="inlineStr">
        <is>
          <t>egy.mit.ener.cem.ker.1</t>
        </is>
      </c>
      <c r="L536" s="3" t="n">
        <v>0</v>
      </c>
      <c r="M536" s="3" t="n">
        <v>0</v>
      </c>
      <c r="N536" s="3" t="n">
        <v>0</v>
      </c>
      <c r="O536" s="3" t="n">
        <v>0</v>
      </c>
      <c r="P536" s="3" t="n">
        <v>0</v>
      </c>
      <c r="Q536" s="3" t="n">
        <v>0</v>
      </c>
      <c r="R536" s="3" t="n">
        <v>0</v>
      </c>
      <c r="S536" s="3" t="n">
        <v>0</v>
      </c>
      <c r="T536" s="3" t="n">
        <v>0</v>
      </c>
      <c r="U536" s="3" t="n">
        <v>0</v>
      </c>
      <c r="V536" s="3" t="n">
        <v>0</v>
      </c>
      <c r="W536" s="3" t="n">
        <v>0</v>
      </c>
      <c r="X536" s="3" t="n">
        <v>0</v>
      </c>
      <c r="Y536" s="3" t="n">
        <v>0</v>
      </c>
      <c r="Z536" s="3" t="n">
        <v>0</v>
      </c>
      <c r="AA536" s="3" t="n">
        <v>0</v>
      </c>
      <c r="AB536" s="3" t="n">
        <v>0</v>
      </c>
      <c r="AC536" s="3" t="n">
        <v>0</v>
      </c>
      <c r="AD536" s="3" t="n">
        <v>0</v>
      </c>
      <c r="AE536" s="3" t="n">
        <v>0</v>
      </c>
      <c r="AG536" s="20" t="inlineStr">
        <is>
          <t>egy.mit.ener.cem.ker.3</t>
        </is>
      </c>
      <c r="AH536" s="3" t="n">
        <v>0</v>
      </c>
      <c r="AI536" s="3" t="n">
        <v>0</v>
      </c>
      <c r="AJ536" s="3" t="n">
        <v>0</v>
      </c>
      <c r="AK536" s="3" t="n">
        <v>0</v>
      </c>
      <c r="AL536" s="3" t="n">
        <v>0</v>
      </c>
      <c r="AM536" s="3" t="n">
        <v>0</v>
      </c>
      <c r="AN536" s="3" t="n">
        <v>0</v>
      </c>
      <c r="AO536" s="3" t="n">
        <v>0</v>
      </c>
      <c r="AP536" s="3" t="n">
        <v>0</v>
      </c>
      <c r="AQ536" s="3" t="n">
        <v>0</v>
      </c>
      <c r="AR536" s="3" t="n">
        <v>0</v>
      </c>
      <c r="AS536" s="3" t="n">
        <v>0</v>
      </c>
      <c r="AT536" s="3" t="n">
        <v>0</v>
      </c>
      <c r="AU536" s="3" t="n">
        <v>0</v>
      </c>
      <c r="AV536" s="3" t="n">
        <v>0</v>
      </c>
      <c r="AW536" s="3" t="n">
        <v>0</v>
      </c>
      <c r="AX536" s="3" t="n">
        <v>0</v>
      </c>
      <c r="AY536" s="3" t="n">
        <v>0</v>
      </c>
      <c r="AZ536" s="3" t="n">
        <v>0</v>
      </c>
      <c r="BA536" s="3" t="n">
        <v>0</v>
      </c>
      <c r="BC536" s="20" t="inlineStr">
        <is>
          <t>egy.mit.ener.cem.ker.4</t>
        </is>
      </c>
      <c r="BD536" s="3" t="n">
        <v>0</v>
      </c>
      <c r="BE536" s="3" t="n">
        <v>0</v>
      </c>
      <c r="BF536" s="3" t="n">
        <v>0</v>
      </c>
      <c r="BG536" s="3" t="n">
        <v>0</v>
      </c>
      <c r="BH536" s="3" t="n">
        <v>0</v>
      </c>
      <c r="BI536" s="3" t="n">
        <v>0</v>
      </c>
      <c r="BJ536" s="3" t="n">
        <v>0</v>
      </c>
      <c r="BK536" s="3" t="n">
        <v>0</v>
      </c>
      <c r="BL536" s="3" t="n">
        <v>0</v>
      </c>
      <c r="BM536" s="3" t="n">
        <v>0</v>
      </c>
      <c r="BN536" s="3" t="n">
        <v>0</v>
      </c>
      <c r="BO536" s="3" t="n">
        <v>0</v>
      </c>
      <c r="BP536" s="3" t="n">
        <v>0</v>
      </c>
      <c r="BQ536" s="3" t="n">
        <v>0</v>
      </c>
      <c r="BR536" s="3" t="n">
        <v>0</v>
      </c>
      <c r="BS536" s="3" t="n">
        <v>0</v>
      </c>
      <c r="BT536" s="3" t="n">
        <v>0</v>
      </c>
      <c r="BU536" s="3" t="n">
        <v>0</v>
      </c>
      <c r="BV536" s="3" t="n">
        <v>0</v>
      </c>
      <c r="BW536" s="3" t="n">
        <v>0</v>
      </c>
      <c r="BY536" s="20" t="inlineStr">
        <is>
          <t>egy.mit.ener.cem.ker.5</t>
        </is>
      </c>
      <c r="BZ536" s="3" t="n">
        <v>0</v>
      </c>
      <c r="CA536" s="3" t="n">
        <v>0</v>
      </c>
      <c r="CB536" s="3" t="n">
        <v>0</v>
      </c>
      <c r="CC536" s="3" t="n">
        <v>0</v>
      </c>
      <c r="CD536" s="3" t="n">
        <v>0</v>
      </c>
      <c r="CE536" s="3" t="n">
        <v>0</v>
      </c>
      <c r="CF536" s="3" t="n">
        <v>0</v>
      </c>
      <c r="CG536" s="3" t="n">
        <v>0</v>
      </c>
      <c r="CH536" s="3" t="n">
        <v>0</v>
      </c>
      <c r="CI536" s="3" t="n">
        <v>0</v>
      </c>
      <c r="CJ536" s="3" t="n">
        <v>0</v>
      </c>
      <c r="CK536" s="3" t="n">
        <v>0</v>
      </c>
      <c r="CL536" s="3" t="n">
        <v>0</v>
      </c>
      <c r="CM536" s="3" t="n">
        <v>0</v>
      </c>
      <c r="CN536" s="3" t="n">
        <v>0</v>
      </c>
      <c r="CO536" s="3" t="n">
        <v>0</v>
      </c>
      <c r="CP536" s="3" t="n">
        <v>0</v>
      </c>
      <c r="CQ536" s="3" t="n">
        <v>0</v>
      </c>
      <c r="CR536" s="3" t="n">
        <v>0</v>
      </c>
      <c r="CS536" s="3" t="n">
        <v>0</v>
      </c>
      <c r="CU536" s="20" t="inlineStr">
        <is>
          <t>egy.mit.ener.cem.ker.6</t>
        </is>
      </c>
      <c r="CV536" s="3" t="n">
        <v>0</v>
      </c>
      <c r="CW536" s="3" t="n">
        <v>0</v>
      </c>
      <c r="CX536" s="3" t="n">
        <v>0</v>
      </c>
      <c r="CY536" s="3" t="n">
        <v>0</v>
      </c>
      <c r="CZ536" s="3" t="n">
        <v>0</v>
      </c>
      <c r="DA536" s="3" t="n">
        <v>0</v>
      </c>
      <c r="DB536" s="3" t="n">
        <v>0</v>
      </c>
      <c r="DC536" s="3" t="n">
        <v>0</v>
      </c>
      <c r="DD536" s="3" t="n">
        <v>0</v>
      </c>
      <c r="DE536" s="3" t="n">
        <v>0</v>
      </c>
      <c r="DF536" s="3" t="n">
        <v>0</v>
      </c>
      <c r="DG536" s="3" t="n">
        <v>0</v>
      </c>
      <c r="DH536" s="3" t="n">
        <v>0</v>
      </c>
      <c r="DI536" s="3" t="n">
        <v>0</v>
      </c>
      <c r="DJ536" s="3" t="n">
        <v>0</v>
      </c>
      <c r="DK536" s="3" t="n">
        <v>0</v>
      </c>
      <c r="DL536" s="3" t="n">
        <v>0</v>
      </c>
      <c r="DM536" s="3" t="n">
        <v>0</v>
      </c>
      <c r="DN536" s="3" t="n">
        <v>0</v>
      </c>
      <c r="DO536" s="3" t="n">
        <v>0</v>
      </c>
    </row>
    <row r="537">
      <c r="A537" s="19" t="inlineStr">
        <is>
          <t>mit.ener.cem.oop</t>
        </is>
      </c>
      <c r="B537" s="3" t="inlineStr">
        <is>
          <t>mit</t>
        </is>
      </c>
      <c r="C537" s="19" t="inlineStr">
        <is>
          <t>mit.ener.mch.oop.e</t>
        </is>
      </c>
      <c r="H537" s="3" t="inlineStr">
        <is>
          <t>Fuel use | Cement | Other oil products</t>
        </is>
      </c>
      <c r="I537" s="3" t="inlineStr">
        <is>
          <t>ktoe</t>
        </is>
      </c>
      <c r="K537" s="20" t="inlineStr">
        <is>
          <t>egy.mit.ener.cem.oop.1</t>
        </is>
      </c>
      <c r="L537" s="3" t="n">
        <v>0</v>
      </c>
      <c r="M537" s="3" t="n">
        <v>0</v>
      </c>
      <c r="N537" s="3" t="n">
        <v>0</v>
      </c>
      <c r="O537" s="3" t="n">
        <v>0</v>
      </c>
      <c r="P537" s="3" t="n">
        <v>0</v>
      </c>
      <c r="Q537" s="3" t="n">
        <v>0</v>
      </c>
      <c r="R537" s="3" t="n">
        <v>0</v>
      </c>
      <c r="S537" s="3" t="n">
        <v>0</v>
      </c>
      <c r="T537" s="3" t="n">
        <v>0</v>
      </c>
      <c r="U537" s="3" t="n">
        <v>0</v>
      </c>
      <c r="V537" s="3" t="n">
        <v>0</v>
      </c>
      <c r="W537" s="3" t="n">
        <v>0</v>
      </c>
      <c r="X537" s="3" t="n">
        <v>0</v>
      </c>
      <c r="Y537" s="3" t="n">
        <v>0</v>
      </c>
      <c r="Z537" s="3" t="n">
        <v>0</v>
      </c>
      <c r="AA537" s="3" t="n">
        <v>0</v>
      </c>
      <c r="AB537" s="3" t="n">
        <v>0</v>
      </c>
      <c r="AC537" s="3" t="n">
        <v>0</v>
      </c>
      <c r="AD537" s="3" t="n">
        <v>0</v>
      </c>
      <c r="AE537" s="3" t="n">
        <v>0</v>
      </c>
      <c r="AG537" s="20" t="inlineStr">
        <is>
          <t>egy.mit.ener.cem.oop.3</t>
        </is>
      </c>
      <c r="AH537" s="3" t="n">
        <v>0</v>
      </c>
      <c r="AI537" s="3" t="n">
        <v>0</v>
      </c>
      <c r="AJ537" s="3" t="n">
        <v>0</v>
      </c>
      <c r="AK537" s="3" t="n">
        <v>0</v>
      </c>
      <c r="AL537" s="3" t="n">
        <v>0</v>
      </c>
      <c r="AM537" s="3" t="n">
        <v>0</v>
      </c>
      <c r="AN537" s="3" t="n">
        <v>0</v>
      </c>
      <c r="AO537" s="3" t="n">
        <v>0</v>
      </c>
      <c r="AP537" s="3" t="n">
        <v>0</v>
      </c>
      <c r="AQ537" s="3" t="n">
        <v>0</v>
      </c>
      <c r="AR537" s="3" t="n">
        <v>0</v>
      </c>
      <c r="AS537" s="3" t="n">
        <v>0</v>
      </c>
      <c r="AT537" s="3" t="n">
        <v>0</v>
      </c>
      <c r="AU537" s="3" t="n">
        <v>0</v>
      </c>
      <c r="AV537" s="3" t="n">
        <v>0</v>
      </c>
      <c r="AW537" s="3" t="n">
        <v>0</v>
      </c>
      <c r="AX537" s="3" t="n">
        <v>0</v>
      </c>
      <c r="AY537" s="3" t="n">
        <v>0</v>
      </c>
      <c r="AZ537" s="3" t="n">
        <v>0</v>
      </c>
      <c r="BA537" s="3" t="n">
        <v>0</v>
      </c>
      <c r="BC537" s="20" t="inlineStr">
        <is>
          <t>egy.mit.ener.cem.oop.4</t>
        </is>
      </c>
      <c r="BD537" s="3" t="n">
        <v>0</v>
      </c>
      <c r="BE537" s="3" t="n">
        <v>0</v>
      </c>
      <c r="BF537" s="3" t="n">
        <v>0</v>
      </c>
      <c r="BG537" s="3" t="n">
        <v>0</v>
      </c>
      <c r="BH537" s="3" t="n">
        <v>0</v>
      </c>
      <c r="BI537" s="3" t="n">
        <v>0</v>
      </c>
      <c r="BJ537" s="3" t="n">
        <v>0</v>
      </c>
      <c r="BK537" s="3" t="n">
        <v>0</v>
      </c>
      <c r="BL537" s="3" t="n">
        <v>0</v>
      </c>
      <c r="BM537" s="3" t="n">
        <v>0</v>
      </c>
      <c r="BN537" s="3" t="n">
        <v>0</v>
      </c>
      <c r="BO537" s="3" t="n">
        <v>0</v>
      </c>
      <c r="BP537" s="3" t="n">
        <v>0</v>
      </c>
      <c r="BQ537" s="3" t="n">
        <v>0</v>
      </c>
      <c r="BR537" s="3" t="n">
        <v>0</v>
      </c>
      <c r="BS537" s="3" t="n">
        <v>0</v>
      </c>
      <c r="BT537" s="3" t="n">
        <v>0</v>
      </c>
      <c r="BU537" s="3" t="n">
        <v>0</v>
      </c>
      <c r="BV537" s="3" t="n">
        <v>0</v>
      </c>
      <c r="BW537" s="3" t="n">
        <v>0</v>
      </c>
      <c r="BY537" s="20" t="inlineStr">
        <is>
          <t>egy.mit.ener.cem.oop.5</t>
        </is>
      </c>
      <c r="BZ537" s="3" t="n">
        <v>0</v>
      </c>
      <c r="CA537" s="3" t="n">
        <v>0</v>
      </c>
      <c r="CB537" s="3" t="n">
        <v>0</v>
      </c>
      <c r="CC537" s="3" t="n">
        <v>0</v>
      </c>
      <c r="CD537" s="3" t="n">
        <v>0</v>
      </c>
      <c r="CE537" s="3" t="n">
        <v>0</v>
      </c>
      <c r="CF537" s="3" t="n">
        <v>0</v>
      </c>
      <c r="CG537" s="3" t="n">
        <v>0</v>
      </c>
      <c r="CH537" s="3" t="n">
        <v>0</v>
      </c>
      <c r="CI537" s="3" t="n">
        <v>0</v>
      </c>
      <c r="CJ537" s="3" t="n">
        <v>0</v>
      </c>
      <c r="CK537" s="3" t="n">
        <v>0</v>
      </c>
      <c r="CL537" s="3" t="n">
        <v>0</v>
      </c>
      <c r="CM537" s="3" t="n">
        <v>0</v>
      </c>
      <c r="CN537" s="3" t="n">
        <v>0</v>
      </c>
      <c r="CO537" s="3" t="n">
        <v>0</v>
      </c>
      <c r="CP537" s="3" t="n">
        <v>0</v>
      </c>
      <c r="CQ537" s="3" t="n">
        <v>0</v>
      </c>
      <c r="CR537" s="3" t="n">
        <v>0</v>
      </c>
      <c r="CS537" s="3" t="n">
        <v>0</v>
      </c>
      <c r="CU537" s="20" t="inlineStr">
        <is>
          <t>egy.mit.ener.cem.oop.6</t>
        </is>
      </c>
      <c r="CV537" s="3" t="n">
        <v>0</v>
      </c>
      <c r="CW537" s="3" t="n">
        <v>0</v>
      </c>
      <c r="CX537" s="3" t="n">
        <v>0</v>
      </c>
      <c r="CY537" s="3" t="n">
        <v>0</v>
      </c>
      <c r="CZ537" s="3" t="n">
        <v>0</v>
      </c>
      <c r="DA537" s="3" t="n">
        <v>0</v>
      </c>
      <c r="DB537" s="3" t="n">
        <v>0</v>
      </c>
      <c r="DC537" s="3" t="n">
        <v>0</v>
      </c>
      <c r="DD537" s="3" t="n">
        <v>0</v>
      </c>
      <c r="DE537" s="3" t="n">
        <v>0</v>
      </c>
      <c r="DF537" s="3" t="n">
        <v>0</v>
      </c>
      <c r="DG537" s="3" t="n">
        <v>0</v>
      </c>
      <c r="DH537" s="3" t="n">
        <v>0</v>
      </c>
      <c r="DI537" s="3" t="n">
        <v>0</v>
      </c>
      <c r="DJ537" s="3" t="n">
        <v>0</v>
      </c>
      <c r="DK537" s="3" t="n">
        <v>0</v>
      </c>
      <c r="DL537" s="3" t="n">
        <v>0</v>
      </c>
      <c r="DM537" s="3" t="n">
        <v>0</v>
      </c>
      <c r="DN537" s="3" t="n">
        <v>0</v>
      </c>
      <c r="DO537" s="3" t="n">
        <v>0</v>
      </c>
    </row>
    <row r="538">
      <c r="A538" s="19" t="inlineStr">
        <is>
          <t>mit.ener.cem.bio</t>
        </is>
      </c>
      <c r="B538" s="3" t="inlineStr">
        <is>
          <t>mit</t>
        </is>
      </c>
      <c r="C538" s="19" t="inlineStr">
        <is>
          <t>mit.ener.mch.bio.e</t>
        </is>
      </c>
      <c r="H538" s="3" t="inlineStr">
        <is>
          <t>Fuel use | Cement | Biomass</t>
        </is>
      </c>
      <c r="I538" s="3" t="inlineStr">
        <is>
          <t>ktoe</t>
        </is>
      </c>
      <c r="K538" s="20" t="inlineStr">
        <is>
          <t>egy.mit.ener.cem.bio.1</t>
        </is>
      </c>
      <c r="L538" s="3" t="n">
        <v>0</v>
      </c>
      <c r="M538" s="3" t="n">
        <v>0</v>
      </c>
      <c r="N538" s="3" t="n">
        <v>0</v>
      </c>
      <c r="O538" s="3" t="n">
        <v>0</v>
      </c>
      <c r="P538" s="3" t="n">
        <v>0</v>
      </c>
      <c r="Q538" s="3" t="n">
        <v>0</v>
      </c>
      <c r="R538" s="3" t="n">
        <v>0</v>
      </c>
      <c r="S538" s="3" t="n">
        <v>0</v>
      </c>
      <c r="T538" s="3" t="n">
        <v>0</v>
      </c>
      <c r="U538" s="3" t="n">
        <v>0</v>
      </c>
      <c r="V538" s="3" t="n">
        <v>0</v>
      </c>
      <c r="W538" s="3" t="n">
        <v>0</v>
      </c>
      <c r="X538" s="3" t="n">
        <v>0</v>
      </c>
      <c r="Y538" s="3" t="n">
        <v>0</v>
      </c>
      <c r="Z538" s="3" t="n">
        <v>0</v>
      </c>
      <c r="AA538" s="3" t="n">
        <v>0</v>
      </c>
      <c r="AB538" s="3" t="n">
        <v>0</v>
      </c>
      <c r="AC538" s="3" t="n">
        <v>0</v>
      </c>
      <c r="AD538" s="3" t="n">
        <v>0</v>
      </c>
      <c r="AE538" s="3" t="n">
        <v>0</v>
      </c>
      <c r="AG538" s="20" t="inlineStr">
        <is>
          <t>egy.mit.ener.cem.bio.3</t>
        </is>
      </c>
      <c r="AH538" s="3" t="n">
        <v>0</v>
      </c>
      <c r="AI538" s="3" t="n">
        <v>0</v>
      </c>
      <c r="AJ538" s="3" t="n">
        <v>0</v>
      </c>
      <c r="AK538" s="3" t="n">
        <v>0</v>
      </c>
      <c r="AL538" s="3" t="n">
        <v>0</v>
      </c>
      <c r="AM538" s="3" t="n">
        <v>0</v>
      </c>
      <c r="AN538" s="3" t="n">
        <v>0</v>
      </c>
      <c r="AO538" s="3" t="n">
        <v>0</v>
      </c>
      <c r="AP538" s="3" t="n">
        <v>0</v>
      </c>
      <c r="AQ538" s="3" t="n">
        <v>0</v>
      </c>
      <c r="AR538" s="3" t="n">
        <v>0</v>
      </c>
      <c r="AS538" s="3" t="n">
        <v>0</v>
      </c>
      <c r="AT538" s="3" t="n">
        <v>0</v>
      </c>
      <c r="AU538" s="3" t="n">
        <v>0</v>
      </c>
      <c r="AV538" s="3" t="n">
        <v>0</v>
      </c>
      <c r="AW538" s="3" t="n">
        <v>0</v>
      </c>
      <c r="AX538" s="3" t="n">
        <v>0</v>
      </c>
      <c r="AY538" s="3" t="n">
        <v>0</v>
      </c>
      <c r="AZ538" s="3" t="n">
        <v>0</v>
      </c>
      <c r="BA538" s="3" t="n">
        <v>0</v>
      </c>
      <c r="BC538" s="20" t="inlineStr">
        <is>
          <t>egy.mit.ener.cem.bio.4</t>
        </is>
      </c>
      <c r="BD538" s="3" t="n">
        <v>0</v>
      </c>
      <c r="BE538" s="3" t="n">
        <v>0</v>
      </c>
      <c r="BF538" s="3" t="n">
        <v>0</v>
      </c>
      <c r="BG538" s="3" t="n">
        <v>0</v>
      </c>
      <c r="BH538" s="3" t="n">
        <v>0</v>
      </c>
      <c r="BI538" s="3" t="n">
        <v>0</v>
      </c>
      <c r="BJ538" s="3" t="n">
        <v>0</v>
      </c>
      <c r="BK538" s="3" t="n">
        <v>0</v>
      </c>
      <c r="BL538" s="3" t="n">
        <v>0</v>
      </c>
      <c r="BM538" s="3" t="n">
        <v>0</v>
      </c>
      <c r="BN538" s="3" t="n">
        <v>0</v>
      </c>
      <c r="BO538" s="3" t="n">
        <v>0</v>
      </c>
      <c r="BP538" s="3" t="n">
        <v>0</v>
      </c>
      <c r="BQ538" s="3" t="n">
        <v>0</v>
      </c>
      <c r="BR538" s="3" t="n">
        <v>0</v>
      </c>
      <c r="BS538" s="3" t="n">
        <v>0</v>
      </c>
      <c r="BT538" s="3" t="n">
        <v>0</v>
      </c>
      <c r="BU538" s="3" t="n">
        <v>0</v>
      </c>
      <c r="BV538" s="3" t="n">
        <v>0</v>
      </c>
      <c r="BW538" s="3" t="n">
        <v>0</v>
      </c>
      <c r="BY538" s="20" t="inlineStr">
        <is>
          <t>egy.mit.ener.cem.bio.5</t>
        </is>
      </c>
      <c r="BZ538" s="3" t="n">
        <v>0</v>
      </c>
      <c r="CA538" s="3" t="n">
        <v>0</v>
      </c>
      <c r="CB538" s="3" t="n">
        <v>0</v>
      </c>
      <c r="CC538" s="3" t="n">
        <v>0</v>
      </c>
      <c r="CD538" s="3" t="n">
        <v>0</v>
      </c>
      <c r="CE538" s="3" t="n">
        <v>0</v>
      </c>
      <c r="CF538" s="3" t="n">
        <v>0</v>
      </c>
      <c r="CG538" s="3" t="n">
        <v>0</v>
      </c>
      <c r="CH538" s="3" t="n">
        <v>0</v>
      </c>
      <c r="CI538" s="3" t="n">
        <v>0</v>
      </c>
      <c r="CJ538" s="3" t="n">
        <v>0</v>
      </c>
      <c r="CK538" s="3" t="n">
        <v>0</v>
      </c>
      <c r="CL538" s="3" t="n">
        <v>0</v>
      </c>
      <c r="CM538" s="3" t="n">
        <v>0</v>
      </c>
      <c r="CN538" s="3" t="n">
        <v>0</v>
      </c>
      <c r="CO538" s="3" t="n">
        <v>0</v>
      </c>
      <c r="CP538" s="3" t="n">
        <v>0</v>
      </c>
      <c r="CQ538" s="3" t="n">
        <v>0</v>
      </c>
      <c r="CR538" s="3" t="n">
        <v>0</v>
      </c>
      <c r="CS538" s="3" t="n">
        <v>0</v>
      </c>
      <c r="CU538" s="20" t="inlineStr">
        <is>
          <t>egy.mit.ener.cem.bio.6</t>
        </is>
      </c>
      <c r="CV538" s="3" t="n">
        <v>0</v>
      </c>
      <c r="CW538" s="3" t="n">
        <v>0</v>
      </c>
      <c r="CX538" s="3" t="n">
        <v>0</v>
      </c>
      <c r="CY538" s="3" t="n">
        <v>0</v>
      </c>
      <c r="CZ538" s="3" t="n">
        <v>0</v>
      </c>
      <c r="DA538" s="3" t="n">
        <v>0</v>
      </c>
      <c r="DB538" s="3" t="n">
        <v>0</v>
      </c>
      <c r="DC538" s="3" t="n">
        <v>0</v>
      </c>
      <c r="DD538" s="3" t="n">
        <v>0</v>
      </c>
      <c r="DE538" s="3" t="n">
        <v>0</v>
      </c>
      <c r="DF538" s="3" t="n">
        <v>0</v>
      </c>
      <c r="DG538" s="3" t="n">
        <v>0</v>
      </c>
      <c r="DH538" s="3" t="n">
        <v>0</v>
      </c>
      <c r="DI538" s="3" t="n">
        <v>0</v>
      </c>
      <c r="DJ538" s="3" t="n">
        <v>0</v>
      </c>
      <c r="DK538" s="3" t="n">
        <v>0</v>
      </c>
      <c r="DL538" s="3" t="n">
        <v>0</v>
      </c>
      <c r="DM538" s="3" t="n">
        <v>0</v>
      </c>
      <c r="DN538" s="3" t="n">
        <v>0</v>
      </c>
      <c r="DO538" s="3" t="n">
        <v>0</v>
      </c>
    </row>
    <row r="539">
      <c r="A539" s="14" t="n"/>
      <c r="B539" s="3" t="inlineStr">
        <is>
          <t>mit</t>
        </is>
      </c>
      <c r="C539" s="19" t="inlineStr">
        <is>
          <t>mit.ener.mch.ren.e</t>
        </is>
      </c>
      <c r="H539" s="14" t="inlineStr">
        <is>
          <t>Energy consumption, cement, sector-generated renewables, policy</t>
        </is>
      </c>
      <c r="I539" s="14" t="inlineStr">
        <is>
          <t>ktoe</t>
        </is>
      </c>
    </row>
    <row r="540">
      <c r="A540" s="19" t="inlineStr">
        <is>
          <t>mit.ener.omn.coa</t>
        </is>
      </c>
      <c r="B540" s="3" t="inlineStr">
        <is>
          <t>mit</t>
        </is>
      </c>
      <c r="C540" s="19" t="inlineStr">
        <is>
          <t>mit.ener.irn.coa.e</t>
        </is>
      </c>
      <c r="H540" s="3" t="inlineStr">
        <is>
          <t>Fuel use | Other manufacturing | Coal</t>
        </is>
      </c>
      <c r="I540" s="3" t="inlineStr">
        <is>
          <t>ktoe</t>
        </is>
      </c>
      <c r="K540" s="20" t="inlineStr">
        <is>
          <t>egy.mit.ener.omn.coa.1</t>
        </is>
      </c>
      <c r="L540" s="3" t="n">
        <v>0</v>
      </c>
      <c r="M540" s="3" t="n">
        <v>0</v>
      </c>
      <c r="N540" s="3" t="n">
        <v>0</v>
      </c>
      <c r="O540" s="3" t="n">
        <v>0</v>
      </c>
      <c r="P540" s="3" t="n">
        <v>0</v>
      </c>
      <c r="Q540" s="3" t="n">
        <v>0</v>
      </c>
      <c r="R540" s="3" t="n">
        <v>0</v>
      </c>
      <c r="S540" s="3" t="n">
        <v>0</v>
      </c>
      <c r="T540" s="3" t="n">
        <v>0</v>
      </c>
      <c r="U540" s="3" t="n">
        <v>0</v>
      </c>
      <c r="V540" s="3" t="n">
        <v>0</v>
      </c>
      <c r="W540" s="3" t="n">
        <v>0</v>
      </c>
      <c r="X540" s="3" t="n">
        <v>0</v>
      </c>
      <c r="Y540" s="3" t="n">
        <v>0</v>
      </c>
      <c r="Z540" s="3" t="n">
        <v>0</v>
      </c>
      <c r="AA540" s="3" t="n">
        <v>0</v>
      </c>
      <c r="AB540" s="3" t="n">
        <v>0</v>
      </c>
      <c r="AC540" s="3" t="n">
        <v>0</v>
      </c>
      <c r="AD540" s="3" t="n">
        <v>0</v>
      </c>
      <c r="AE540" s="3" t="n">
        <v>0</v>
      </c>
      <c r="AG540" s="20" t="inlineStr">
        <is>
          <t>egy.mit.ener.omn.coa.3</t>
        </is>
      </c>
      <c r="AH540" s="3" t="n">
        <v>0</v>
      </c>
      <c r="AI540" s="3" t="n">
        <v>0</v>
      </c>
      <c r="AJ540" s="3" t="n">
        <v>0</v>
      </c>
      <c r="AK540" s="3" t="n">
        <v>0</v>
      </c>
      <c r="AL540" s="3" t="n">
        <v>0</v>
      </c>
      <c r="AM540" s="3" t="n">
        <v>0</v>
      </c>
      <c r="AN540" s="3" t="n">
        <v>0</v>
      </c>
      <c r="AO540" s="3" t="n">
        <v>0</v>
      </c>
      <c r="AP540" s="3" t="n">
        <v>0</v>
      </c>
      <c r="AQ540" s="3" t="n">
        <v>0</v>
      </c>
      <c r="AR540" s="3" t="n">
        <v>0</v>
      </c>
      <c r="AS540" s="3" t="n">
        <v>0</v>
      </c>
      <c r="AT540" s="3" t="n">
        <v>0</v>
      </c>
      <c r="AU540" s="3" t="n">
        <v>0</v>
      </c>
      <c r="AV540" s="3" t="n">
        <v>0</v>
      </c>
      <c r="AW540" s="3" t="n">
        <v>0</v>
      </c>
      <c r="AX540" s="3" t="n">
        <v>0</v>
      </c>
      <c r="AY540" s="3" t="n">
        <v>0</v>
      </c>
      <c r="AZ540" s="3" t="n">
        <v>0</v>
      </c>
      <c r="BA540" s="3" t="n">
        <v>0</v>
      </c>
      <c r="BC540" s="20" t="inlineStr">
        <is>
          <t>egy.mit.ener.omn.coa.4</t>
        </is>
      </c>
      <c r="BD540" s="3" t="n">
        <v>0</v>
      </c>
      <c r="BE540" s="3" t="n">
        <v>0</v>
      </c>
      <c r="BF540" s="3" t="n">
        <v>0</v>
      </c>
      <c r="BG540" s="3" t="n">
        <v>0</v>
      </c>
      <c r="BH540" s="3" t="n">
        <v>0</v>
      </c>
      <c r="BI540" s="3" t="n">
        <v>0</v>
      </c>
      <c r="BJ540" s="3" t="n">
        <v>0</v>
      </c>
      <c r="BK540" s="3" t="n">
        <v>0</v>
      </c>
      <c r="BL540" s="3" t="n">
        <v>0</v>
      </c>
      <c r="BM540" s="3" t="n">
        <v>0</v>
      </c>
      <c r="BN540" s="3" t="n">
        <v>0</v>
      </c>
      <c r="BO540" s="3" t="n">
        <v>0</v>
      </c>
      <c r="BP540" s="3" t="n">
        <v>0</v>
      </c>
      <c r="BQ540" s="3" t="n">
        <v>0</v>
      </c>
      <c r="BR540" s="3" t="n">
        <v>0</v>
      </c>
      <c r="BS540" s="3" t="n">
        <v>0</v>
      </c>
      <c r="BT540" s="3" t="n">
        <v>0</v>
      </c>
      <c r="BU540" s="3" t="n">
        <v>0</v>
      </c>
      <c r="BV540" s="3" t="n">
        <v>0</v>
      </c>
      <c r="BW540" s="3" t="n">
        <v>0</v>
      </c>
      <c r="BY540" s="20" t="inlineStr">
        <is>
          <t>egy.mit.ener.omn.coa.5</t>
        </is>
      </c>
      <c r="BZ540" s="3" t="n">
        <v>0</v>
      </c>
      <c r="CA540" s="3" t="n">
        <v>0</v>
      </c>
      <c r="CB540" s="3" t="n">
        <v>0</v>
      </c>
      <c r="CC540" s="3" t="n">
        <v>0</v>
      </c>
      <c r="CD540" s="3" t="n">
        <v>0</v>
      </c>
      <c r="CE540" s="3" t="n">
        <v>0</v>
      </c>
      <c r="CF540" s="3" t="n">
        <v>0</v>
      </c>
      <c r="CG540" s="3" t="n">
        <v>0</v>
      </c>
      <c r="CH540" s="3" t="n">
        <v>0</v>
      </c>
      <c r="CI540" s="3" t="n">
        <v>0</v>
      </c>
      <c r="CJ540" s="3" t="n">
        <v>0</v>
      </c>
      <c r="CK540" s="3" t="n">
        <v>0</v>
      </c>
      <c r="CL540" s="3" t="n">
        <v>0</v>
      </c>
      <c r="CM540" s="3" t="n">
        <v>0</v>
      </c>
      <c r="CN540" s="3" t="n">
        <v>0</v>
      </c>
      <c r="CO540" s="3" t="n">
        <v>0</v>
      </c>
      <c r="CP540" s="3" t="n">
        <v>0</v>
      </c>
      <c r="CQ540" s="3" t="n">
        <v>0</v>
      </c>
      <c r="CR540" s="3" t="n">
        <v>0</v>
      </c>
      <c r="CS540" s="3" t="n">
        <v>0</v>
      </c>
      <c r="CU540" s="20" t="inlineStr">
        <is>
          <t>egy.mit.ener.omn.coa.6</t>
        </is>
      </c>
      <c r="CV540" s="3" t="n">
        <v>0</v>
      </c>
      <c r="CW540" s="3" t="n">
        <v>0</v>
      </c>
      <c r="CX540" s="3" t="n">
        <v>0</v>
      </c>
      <c r="CY540" s="3" t="n">
        <v>0</v>
      </c>
      <c r="CZ540" s="3" t="n">
        <v>0</v>
      </c>
      <c r="DA540" s="3" t="n">
        <v>0</v>
      </c>
      <c r="DB540" s="3" t="n">
        <v>0</v>
      </c>
      <c r="DC540" s="3" t="n">
        <v>0</v>
      </c>
      <c r="DD540" s="3" t="n">
        <v>0</v>
      </c>
      <c r="DE540" s="3" t="n">
        <v>0</v>
      </c>
      <c r="DF540" s="3" t="n">
        <v>0</v>
      </c>
      <c r="DG540" s="3" t="n">
        <v>0</v>
      </c>
      <c r="DH540" s="3" t="n">
        <v>0</v>
      </c>
      <c r="DI540" s="3" t="n">
        <v>0</v>
      </c>
      <c r="DJ540" s="3" t="n">
        <v>0</v>
      </c>
      <c r="DK540" s="3" t="n">
        <v>0</v>
      </c>
      <c r="DL540" s="3" t="n">
        <v>0</v>
      </c>
      <c r="DM540" s="3" t="n">
        <v>0</v>
      </c>
      <c r="DN540" s="3" t="n">
        <v>0</v>
      </c>
      <c r="DO540" s="3" t="n">
        <v>0</v>
      </c>
    </row>
    <row r="541">
      <c r="A541" s="19" t="inlineStr">
        <is>
          <t>mit.ener.omn.nga</t>
        </is>
      </c>
      <c r="B541" s="3" t="inlineStr">
        <is>
          <t>mit</t>
        </is>
      </c>
      <c r="C541" s="19" t="inlineStr">
        <is>
          <t>mit.ener.irn.nga.e</t>
        </is>
      </c>
      <c r="H541" s="3" t="inlineStr">
        <is>
          <t>Fuel use | Other manufacturing | Natural gas</t>
        </is>
      </c>
      <c r="I541" s="3" t="inlineStr">
        <is>
          <t>ktoe</t>
        </is>
      </c>
      <c r="K541" s="20" t="inlineStr">
        <is>
          <t>egy.mit.ener.omn.nga.1</t>
        </is>
      </c>
      <c r="L541" s="3" t="n">
        <v>941.2311430486719</v>
      </c>
      <c r="M541" s="3" t="n">
        <v>745.4756649818073</v>
      </c>
      <c r="N541" s="3" t="n">
        <v>859.7160119400324</v>
      </c>
      <c r="O541" s="3" t="n">
        <v>893.6897360299517</v>
      </c>
      <c r="P541" s="3" t="n">
        <v>927.2515018923974</v>
      </c>
      <c r="Q541" s="3" t="n">
        <v>967.2404476496736</v>
      </c>
      <c r="R541" s="3" t="n">
        <v>1015.270433481951</v>
      </c>
      <c r="S541" s="3" t="n">
        <v>1061.985543221095</v>
      </c>
      <c r="T541" s="3" t="n">
        <v>1106.320505051299</v>
      </c>
      <c r="U541" s="3" t="n">
        <v>1151.615402731544</v>
      </c>
      <c r="V541" s="3" t="n">
        <v>1198.035589450631</v>
      </c>
      <c r="W541" s="3" t="n">
        <v>1245.581192181886</v>
      </c>
      <c r="X541" s="3" t="n">
        <v>1294.251496101806</v>
      </c>
      <c r="Y541" s="3" t="n">
        <v>1344.044931882442</v>
      </c>
      <c r="Z541" s="3" t="n">
        <v>1394.959061249452</v>
      </c>
      <c r="AA541" s="3" t="n">
        <v>1446.990560663095</v>
      </c>
      <c r="AB541" s="3" t="n">
        <v>1500.13520298495</v>
      </c>
      <c r="AC541" s="3" t="n">
        <v>1554.387836998659</v>
      </c>
      <c r="AD541" s="3" t="n">
        <v>1609.742364658297</v>
      </c>
      <c r="AE541" s="3" t="n">
        <v>1666.191715943253</v>
      </c>
      <c r="AG541" s="20" t="inlineStr">
        <is>
          <t>egy.mit.ener.omn.nga.3</t>
        </is>
      </c>
      <c r="AH541" s="3" t="n">
        <v>941.2311430486719</v>
      </c>
      <c r="AI541" s="3" t="n">
        <v>745.4756649818073</v>
      </c>
      <c r="AJ541" s="3" t="n">
        <v>859.7160119400324</v>
      </c>
      <c r="AK541" s="3" t="n">
        <v>893.6897360299517</v>
      </c>
      <c r="AL541" s="3" t="n">
        <v>927.2515018923974</v>
      </c>
      <c r="AM541" s="3" t="n">
        <v>829.4410328637842</v>
      </c>
      <c r="AN541" s="3" t="n">
        <v>870.628186926803</v>
      </c>
      <c r="AO541" s="3" t="n">
        <v>911.2169191643465</v>
      </c>
      <c r="AP541" s="3" t="n">
        <v>948.0202660094425</v>
      </c>
      <c r="AQ541" s="3" t="n">
        <v>987.0553000374651</v>
      </c>
      <c r="AR541" s="3" t="n">
        <v>1026.31101353482</v>
      </c>
      <c r="AS541" s="3" t="n">
        <v>1067.764973980366</v>
      </c>
      <c r="AT541" s="3" t="n">
        <v>1110.837805067163</v>
      </c>
      <c r="AU541" s="3" t="n">
        <v>1154.642353197936</v>
      </c>
      <c r="AV541" s="3" t="n">
        <v>1199.741139947516</v>
      </c>
      <c r="AW541" s="3" t="n">
        <v>1246.532578769883</v>
      </c>
      <c r="AX541" s="3" t="n">
        <v>1293.747721012976</v>
      </c>
      <c r="AY541" s="3" t="n">
        <v>1341.637382004874</v>
      </c>
      <c r="AZ541" s="3" t="n">
        <v>1389.697407107489</v>
      </c>
      <c r="BA541" s="3" t="n">
        <v>1438.473769385237</v>
      </c>
      <c r="BC541" s="20" t="inlineStr">
        <is>
          <t>egy.mit.ener.omn.nga.4</t>
        </is>
      </c>
      <c r="BD541" s="3" t="n">
        <v>941.2311430486719</v>
      </c>
      <c r="BE541" s="3" t="n">
        <v>745.4756649818073</v>
      </c>
      <c r="BF541" s="3" t="n">
        <v>859.7160119400324</v>
      </c>
      <c r="BG541" s="3" t="n">
        <v>893.6897360299517</v>
      </c>
      <c r="BH541" s="3" t="n">
        <v>927.2515018923974</v>
      </c>
      <c r="BI541" s="3" t="n">
        <v>881.14428899235</v>
      </c>
      <c r="BJ541" s="3" t="n">
        <v>830.0419204571645</v>
      </c>
      <c r="BK541" s="3" t="n">
        <v>790.3853386042197</v>
      </c>
      <c r="BL541" s="3" t="n">
        <v>757.0658132800228</v>
      </c>
      <c r="BM541" s="3" t="n">
        <v>737.6185316808773</v>
      </c>
      <c r="BN541" s="3" t="n">
        <v>721.887887524621</v>
      </c>
      <c r="BO541" s="3" t="n">
        <v>709.6225354425329</v>
      </c>
      <c r="BP541" s="3" t="n">
        <v>700.4583187342616</v>
      </c>
      <c r="BQ541" s="3" t="n">
        <v>693.7309965824228</v>
      </c>
      <c r="BR541" s="3" t="n">
        <v>689.0622568921441</v>
      </c>
      <c r="BS541" s="3" t="n">
        <v>686.3137041113711</v>
      </c>
      <c r="BT541" s="3" t="n">
        <v>685.0458510682723</v>
      </c>
      <c r="BU541" s="3" t="n">
        <v>684.9487298957531</v>
      </c>
      <c r="BV541" s="3" t="n">
        <v>685.5830214185885</v>
      </c>
      <c r="BW541" s="3" t="n">
        <v>686.7734807883459</v>
      </c>
      <c r="BY541" s="20" t="inlineStr">
        <is>
          <t>egy.mit.ener.omn.nga.5</t>
        </is>
      </c>
      <c r="BZ541" s="3" t="n">
        <v>941.2311430486719</v>
      </c>
      <c r="CA541" s="3" t="n">
        <v>745.4756649818073</v>
      </c>
      <c r="CB541" s="3" t="n">
        <v>859.7160119400324</v>
      </c>
      <c r="CC541" s="3" t="n">
        <v>893.6897360299517</v>
      </c>
      <c r="CD541" s="3" t="n">
        <v>927.2515018923974</v>
      </c>
      <c r="CE541" s="3" t="n">
        <v>801.7449096675653</v>
      </c>
      <c r="CF541" s="3" t="n">
        <v>841.5560318843641</v>
      </c>
      <c r="CG541" s="3" t="n">
        <v>880.7135723069196</v>
      </c>
      <c r="CH541" s="3" t="n">
        <v>916.3585271623625</v>
      </c>
      <c r="CI541" s="3" t="n">
        <v>954.3337187304073</v>
      </c>
      <c r="CJ541" s="3" t="n">
        <v>992.2241449442506</v>
      </c>
      <c r="CK541" s="3" t="n">
        <v>1032.387650553652</v>
      </c>
      <c r="CL541" s="3" t="n">
        <v>1073.591736411326</v>
      </c>
      <c r="CM541" s="3" t="n">
        <v>1115.578049284894</v>
      </c>
      <c r="CN541" s="3" t="n">
        <v>1158.7866783974</v>
      </c>
      <c r="CO541" s="3" t="n">
        <v>1203.45117295828</v>
      </c>
      <c r="CP541" s="3" t="n">
        <v>1248.54676724972</v>
      </c>
      <c r="CQ541" s="3" t="n">
        <v>1294.482955560805</v>
      </c>
      <c r="CR541" s="3" t="n">
        <v>1340.739724448729</v>
      </c>
      <c r="CS541" s="3" t="n">
        <v>1387.993683104635</v>
      </c>
      <c r="CU541" s="20" t="inlineStr">
        <is>
          <t>egy.mit.ener.omn.nga.6</t>
        </is>
      </c>
      <c r="CV541" s="3" t="n">
        <v>941.2311430486719</v>
      </c>
      <c r="CW541" s="3" t="n">
        <v>745.4756649818073</v>
      </c>
      <c r="CX541" s="3" t="n">
        <v>859.7160119400324</v>
      </c>
      <c r="CY541" s="3" t="n">
        <v>893.6897360299517</v>
      </c>
      <c r="CZ541" s="3" t="n">
        <v>927.2515018923974</v>
      </c>
      <c r="DA541" s="3" t="n">
        <v>690.0853152224</v>
      </c>
      <c r="DB541" s="3" t="n">
        <v>724.3523739658797</v>
      </c>
      <c r="DC541" s="3" t="n">
        <v>758.6239139614398</v>
      </c>
      <c r="DD541" s="3" t="n">
        <v>788.0551040710803</v>
      </c>
      <c r="DE541" s="3" t="n">
        <v>820.8188767665354</v>
      </c>
      <c r="DF541" s="3" t="n">
        <v>852.8798369960101</v>
      </c>
      <c r="DG541" s="3" t="n">
        <v>888.0929496015691</v>
      </c>
      <c r="DH541" s="3" t="n">
        <v>925.1020925335985</v>
      </c>
      <c r="DI541" s="3" t="n">
        <v>962.5620033563928</v>
      </c>
      <c r="DJ541" s="3" t="n">
        <v>1001.392033235189</v>
      </c>
      <c r="DK541" s="3" t="n">
        <v>1042.327801435708</v>
      </c>
      <c r="DL541" s="3" t="n">
        <v>1083.07975764284</v>
      </c>
      <c r="DM541" s="3" t="n">
        <v>1124.203427687168</v>
      </c>
      <c r="DN541" s="3" t="n">
        <v>1164.744691647454</v>
      </c>
      <c r="DO541" s="3" t="n">
        <v>1205.725668966202</v>
      </c>
    </row>
    <row r="542">
      <c r="A542" s="19" t="inlineStr">
        <is>
          <t>mit.ener.omn.gso</t>
        </is>
      </c>
      <c r="B542" s="3" t="inlineStr">
        <is>
          <t>mit</t>
        </is>
      </c>
      <c r="C542" s="19" t="inlineStr">
        <is>
          <t>mit.ener.irn.gso.e</t>
        </is>
      </c>
      <c r="H542" s="3" t="inlineStr">
        <is>
          <t>Fuel use | Other manufacturing | Gasoline</t>
        </is>
      </c>
      <c r="I542" s="3" t="inlineStr">
        <is>
          <t>ktoe</t>
        </is>
      </c>
      <c r="K542" s="20" t="inlineStr">
        <is>
          <t>egy.mit.ener.omn.gso.1</t>
        </is>
      </c>
      <c r="L542" s="3" t="n">
        <v>0</v>
      </c>
      <c r="M542" s="3" t="n">
        <v>0</v>
      </c>
      <c r="N542" s="3" t="n">
        <v>0</v>
      </c>
      <c r="O542" s="3" t="n">
        <v>0</v>
      </c>
      <c r="P542" s="3" t="n">
        <v>0</v>
      </c>
      <c r="Q542" s="3" t="n">
        <v>0</v>
      </c>
      <c r="R542" s="3" t="n">
        <v>0</v>
      </c>
      <c r="S542" s="3" t="n">
        <v>0</v>
      </c>
      <c r="T542" s="3" t="n">
        <v>0</v>
      </c>
      <c r="U542" s="3" t="n">
        <v>0</v>
      </c>
      <c r="V542" s="3" t="n">
        <v>0</v>
      </c>
      <c r="W542" s="3" t="n">
        <v>0</v>
      </c>
      <c r="X542" s="3" t="n">
        <v>0</v>
      </c>
      <c r="Y542" s="3" t="n">
        <v>0</v>
      </c>
      <c r="Z542" s="3" t="n">
        <v>0</v>
      </c>
      <c r="AA542" s="3" t="n">
        <v>0</v>
      </c>
      <c r="AB542" s="3" t="n">
        <v>0</v>
      </c>
      <c r="AC542" s="3" t="n">
        <v>0</v>
      </c>
      <c r="AD542" s="3" t="n">
        <v>0</v>
      </c>
      <c r="AE542" s="3" t="n">
        <v>0</v>
      </c>
      <c r="AG542" s="20" t="inlineStr">
        <is>
          <t>egy.mit.ener.omn.gso.3</t>
        </is>
      </c>
      <c r="AH542" s="3" t="n">
        <v>0</v>
      </c>
      <c r="AI542" s="3" t="n">
        <v>0</v>
      </c>
      <c r="AJ542" s="3" t="n">
        <v>0</v>
      </c>
      <c r="AK542" s="3" t="n">
        <v>0</v>
      </c>
      <c r="AL542" s="3" t="n">
        <v>0</v>
      </c>
      <c r="AM542" s="3" t="n">
        <v>0</v>
      </c>
      <c r="AN542" s="3" t="n">
        <v>0</v>
      </c>
      <c r="AO542" s="3" t="n">
        <v>0</v>
      </c>
      <c r="AP542" s="3" t="n">
        <v>0</v>
      </c>
      <c r="AQ542" s="3" t="n">
        <v>0</v>
      </c>
      <c r="AR542" s="3" t="n">
        <v>0</v>
      </c>
      <c r="AS542" s="3" t="n">
        <v>0</v>
      </c>
      <c r="AT542" s="3" t="n">
        <v>0</v>
      </c>
      <c r="AU542" s="3" t="n">
        <v>0</v>
      </c>
      <c r="AV542" s="3" t="n">
        <v>0</v>
      </c>
      <c r="AW542" s="3" t="n">
        <v>0</v>
      </c>
      <c r="AX542" s="3" t="n">
        <v>0</v>
      </c>
      <c r="AY542" s="3" t="n">
        <v>0</v>
      </c>
      <c r="AZ542" s="3" t="n">
        <v>0</v>
      </c>
      <c r="BA542" s="3" t="n">
        <v>0</v>
      </c>
      <c r="BC542" s="20" t="inlineStr">
        <is>
          <t>egy.mit.ener.omn.gso.4</t>
        </is>
      </c>
      <c r="BD542" s="3" t="n">
        <v>0</v>
      </c>
      <c r="BE542" s="3" t="n">
        <v>0</v>
      </c>
      <c r="BF542" s="3" t="n">
        <v>0</v>
      </c>
      <c r="BG542" s="3" t="n">
        <v>0</v>
      </c>
      <c r="BH542" s="3" t="n">
        <v>0</v>
      </c>
      <c r="BI542" s="3" t="n">
        <v>0</v>
      </c>
      <c r="BJ542" s="3" t="n">
        <v>0</v>
      </c>
      <c r="BK542" s="3" t="n">
        <v>0</v>
      </c>
      <c r="BL542" s="3" t="n">
        <v>0</v>
      </c>
      <c r="BM542" s="3" t="n">
        <v>0</v>
      </c>
      <c r="BN542" s="3" t="n">
        <v>0</v>
      </c>
      <c r="BO542" s="3" t="n">
        <v>0</v>
      </c>
      <c r="BP542" s="3" t="n">
        <v>0</v>
      </c>
      <c r="BQ542" s="3" t="n">
        <v>0</v>
      </c>
      <c r="BR542" s="3" t="n">
        <v>0</v>
      </c>
      <c r="BS542" s="3" t="n">
        <v>0</v>
      </c>
      <c r="BT542" s="3" t="n">
        <v>0</v>
      </c>
      <c r="BU542" s="3" t="n">
        <v>0</v>
      </c>
      <c r="BV542" s="3" t="n">
        <v>0</v>
      </c>
      <c r="BW542" s="3" t="n">
        <v>0</v>
      </c>
      <c r="BY542" s="20" t="inlineStr">
        <is>
          <t>egy.mit.ener.omn.gso.5</t>
        </is>
      </c>
      <c r="BZ542" s="3" t="n">
        <v>0</v>
      </c>
      <c r="CA542" s="3" t="n">
        <v>0</v>
      </c>
      <c r="CB542" s="3" t="n">
        <v>0</v>
      </c>
      <c r="CC542" s="3" t="n">
        <v>0</v>
      </c>
      <c r="CD542" s="3" t="n">
        <v>0</v>
      </c>
      <c r="CE542" s="3" t="n">
        <v>0</v>
      </c>
      <c r="CF542" s="3" t="n">
        <v>0</v>
      </c>
      <c r="CG542" s="3" t="n">
        <v>0</v>
      </c>
      <c r="CH542" s="3" t="n">
        <v>0</v>
      </c>
      <c r="CI542" s="3" t="n">
        <v>0</v>
      </c>
      <c r="CJ542" s="3" t="n">
        <v>0</v>
      </c>
      <c r="CK542" s="3" t="n">
        <v>0</v>
      </c>
      <c r="CL542" s="3" t="n">
        <v>0</v>
      </c>
      <c r="CM542" s="3" t="n">
        <v>0</v>
      </c>
      <c r="CN542" s="3" t="n">
        <v>0</v>
      </c>
      <c r="CO542" s="3" t="n">
        <v>0</v>
      </c>
      <c r="CP542" s="3" t="n">
        <v>0</v>
      </c>
      <c r="CQ542" s="3" t="n">
        <v>0</v>
      </c>
      <c r="CR542" s="3" t="n">
        <v>0</v>
      </c>
      <c r="CS542" s="3" t="n">
        <v>0</v>
      </c>
      <c r="CU542" s="20" t="inlineStr">
        <is>
          <t>egy.mit.ener.omn.gso.6</t>
        </is>
      </c>
      <c r="CV542" s="3" t="n">
        <v>0</v>
      </c>
      <c r="CW542" s="3" t="n">
        <v>0</v>
      </c>
      <c r="CX542" s="3" t="n">
        <v>0</v>
      </c>
      <c r="CY542" s="3" t="n">
        <v>0</v>
      </c>
      <c r="CZ542" s="3" t="n">
        <v>0</v>
      </c>
      <c r="DA542" s="3" t="n">
        <v>0</v>
      </c>
      <c r="DB542" s="3" t="n">
        <v>0</v>
      </c>
      <c r="DC542" s="3" t="n">
        <v>0</v>
      </c>
      <c r="DD542" s="3" t="n">
        <v>0</v>
      </c>
      <c r="DE542" s="3" t="n">
        <v>0</v>
      </c>
      <c r="DF542" s="3" t="n">
        <v>0</v>
      </c>
      <c r="DG542" s="3" t="n">
        <v>0</v>
      </c>
      <c r="DH542" s="3" t="n">
        <v>0</v>
      </c>
      <c r="DI542" s="3" t="n">
        <v>0</v>
      </c>
      <c r="DJ542" s="3" t="n">
        <v>0</v>
      </c>
      <c r="DK542" s="3" t="n">
        <v>0</v>
      </c>
      <c r="DL542" s="3" t="n">
        <v>0</v>
      </c>
      <c r="DM542" s="3" t="n">
        <v>0</v>
      </c>
      <c r="DN542" s="3" t="n">
        <v>0</v>
      </c>
      <c r="DO542" s="3" t="n">
        <v>0</v>
      </c>
    </row>
    <row r="543">
      <c r="A543" s="19" t="inlineStr">
        <is>
          <t>mit.ener.omn.die</t>
        </is>
      </c>
      <c r="B543" s="3" t="inlineStr">
        <is>
          <t>mit</t>
        </is>
      </c>
      <c r="C543" s="19" t="inlineStr">
        <is>
          <t>mit.ener.irn.die.e</t>
        </is>
      </c>
      <c r="H543" s="3" t="inlineStr">
        <is>
          <t>Fuel use | Other manufacturing | Diesel</t>
        </is>
      </c>
      <c r="I543" s="3" t="inlineStr">
        <is>
          <t>ktoe</t>
        </is>
      </c>
      <c r="K543" s="20" t="inlineStr">
        <is>
          <t>egy.mit.ener.omn.die.1</t>
        </is>
      </c>
      <c r="L543" s="3" t="n">
        <v>3591.435486256776</v>
      </c>
      <c r="M543" s="3" t="n">
        <v>4287.713676254164</v>
      </c>
      <c r="N543" s="3" t="n">
        <v>5414.3633041851</v>
      </c>
      <c r="O543" s="3" t="n">
        <v>5525.782617051507</v>
      </c>
      <c r="P543" s="3" t="n">
        <v>5634.166907541553</v>
      </c>
      <c r="Q543" s="3" t="n">
        <v>5760.08225595712</v>
      </c>
      <c r="R543" s="3" t="n">
        <v>5907.216050538157</v>
      </c>
      <c r="S543" s="3" t="n">
        <v>6047.582656334766</v>
      </c>
      <c r="T543" s="3" t="n">
        <v>6178.648887162279</v>
      </c>
      <c r="U543" s="3" t="n">
        <v>6310.115269770418</v>
      </c>
      <c r="V543" s="3" t="n">
        <v>6442.418675841197</v>
      </c>
      <c r="W543" s="3" t="n">
        <v>6575.527995512625</v>
      </c>
      <c r="X543" s="3" t="n">
        <v>6709.412182686769</v>
      </c>
      <c r="Y543" s="3" t="n">
        <v>6844.040231348691</v>
      </c>
      <c r="Z543" s="3" t="n">
        <v>6979.381148316616</v>
      </c>
      <c r="AA543" s="3" t="n">
        <v>7115.403922545097</v>
      </c>
      <c r="AB543" s="3" t="n">
        <v>7252.077491095238</v>
      </c>
      <c r="AC543" s="3" t="n">
        <v>7389.37070187828</v>
      </c>
      <c r="AD543" s="3" t="n">
        <v>7527.252273270306</v>
      </c>
      <c r="AE543" s="3" t="n">
        <v>7665.690750687666</v>
      </c>
      <c r="AG543" s="20" t="inlineStr">
        <is>
          <t>egy.mit.ener.omn.die.3</t>
        </is>
      </c>
      <c r="AH543" s="3" t="n">
        <v>3591.435486256776</v>
      </c>
      <c r="AI543" s="3" t="n">
        <v>4287.713676254164</v>
      </c>
      <c r="AJ543" s="3" t="n">
        <v>5414.3633041851</v>
      </c>
      <c r="AK543" s="3" t="n">
        <v>5525.782617051507</v>
      </c>
      <c r="AL543" s="3" t="n">
        <v>5634.166907541553</v>
      </c>
      <c r="AM543" s="3" t="n">
        <v>4708.143708373284</v>
      </c>
      <c r="AN543" s="3" t="n">
        <v>4828.406645756341</v>
      </c>
      <c r="AO543" s="3" t="n">
        <v>4944.574099973038</v>
      </c>
      <c r="AP543" s="3" t="n">
        <v>5048.441612473172</v>
      </c>
      <c r="AQ543" s="3" t="n">
        <v>5156.437930851634</v>
      </c>
      <c r="AR543" s="3" t="n">
        <v>5263.190283694166</v>
      </c>
      <c r="AS543" s="3" t="n">
        <v>5373.755926883134</v>
      </c>
      <c r="AT543" s="3" t="n">
        <v>5486.507188964328</v>
      </c>
      <c r="AU543" s="3" t="n">
        <v>5599.185986284646</v>
      </c>
      <c r="AV543" s="3" t="n">
        <v>5713.147705537785</v>
      </c>
      <c r="AW543" s="3" t="n">
        <v>5829.267944320798</v>
      </c>
      <c r="AX543" s="3" t="n">
        <v>5944.530030134299</v>
      </c>
      <c r="AY543" s="3" t="n">
        <v>6059.556323828356</v>
      </c>
      <c r="AZ543" s="3" t="n">
        <v>6173.250494766199</v>
      </c>
      <c r="BA543" s="3" t="n">
        <v>6286.881502224034</v>
      </c>
      <c r="BC543" s="20" t="inlineStr">
        <is>
          <t>egy.mit.ener.omn.die.4</t>
        </is>
      </c>
      <c r="BD543" s="3" t="n">
        <v>3591.435486256776</v>
      </c>
      <c r="BE543" s="3" t="n">
        <v>4287.713676254164</v>
      </c>
      <c r="BF543" s="3" t="n">
        <v>5414.3633041851</v>
      </c>
      <c r="BG543" s="3" t="n">
        <v>5525.782617051507</v>
      </c>
      <c r="BH543" s="3" t="n">
        <v>5634.166907541553</v>
      </c>
      <c r="BI543" s="3" t="n">
        <v>5097.021866471023</v>
      </c>
      <c r="BJ543" s="3" t="n">
        <v>4529.513432060945</v>
      </c>
      <c r="BK543" s="3" t="n">
        <v>4089.56731399359</v>
      </c>
      <c r="BL543" s="3" t="n">
        <v>3733.855900682177</v>
      </c>
      <c r="BM543" s="3" t="n">
        <v>3489.675956163051</v>
      </c>
      <c r="BN543" s="3" t="n">
        <v>3282.469429641234</v>
      </c>
      <c r="BO543" s="3" t="n">
        <v>3105.555232450546</v>
      </c>
      <c r="BP543" s="3" t="n">
        <v>2953.484831816007</v>
      </c>
      <c r="BQ543" s="3" t="n">
        <v>2821.294848135893</v>
      </c>
      <c r="BR543" s="3" t="n">
        <v>2705.48310711701</v>
      </c>
      <c r="BS543" s="3" t="n">
        <v>2603.620382293142</v>
      </c>
      <c r="BT543" s="3" t="n">
        <v>2513.145452470309</v>
      </c>
      <c r="BU543" s="3" t="n">
        <v>2432.126464726209</v>
      </c>
      <c r="BV543" s="3" t="n">
        <v>2358.702104475559</v>
      </c>
      <c r="BW543" s="3" t="n">
        <v>2291.71595289265</v>
      </c>
      <c r="BY543" s="20" t="inlineStr">
        <is>
          <t>egy.mit.ener.omn.die.5</t>
        </is>
      </c>
      <c r="BZ543" s="3" t="n">
        <v>3591.435486256776</v>
      </c>
      <c r="CA543" s="3" t="n">
        <v>4287.713676254164</v>
      </c>
      <c r="CB543" s="3" t="n">
        <v>5414.3633041851</v>
      </c>
      <c r="CC543" s="3" t="n">
        <v>5525.782617051507</v>
      </c>
      <c r="CD543" s="3" t="n">
        <v>5634.166907541553</v>
      </c>
      <c r="CE543" s="3" t="n">
        <v>4501.231541000583</v>
      </c>
      <c r="CF543" s="3" t="n">
        <v>4616.207170593147</v>
      </c>
      <c r="CG543" s="3" t="n">
        <v>4727.065740324178</v>
      </c>
      <c r="CH543" s="3" t="n">
        <v>4826.558065409185</v>
      </c>
      <c r="CI543" s="3" t="n">
        <v>4930.437771235419</v>
      </c>
      <c r="CJ543" s="3" t="n">
        <v>5032.349179643934</v>
      </c>
      <c r="CK543" s="3" t="n">
        <v>5138.280368613847</v>
      </c>
      <c r="CL543" s="3" t="n">
        <v>5245.012193970931</v>
      </c>
      <c r="CM543" s="3" t="n">
        <v>5351.893064397183</v>
      </c>
      <c r="CN543" s="3" t="n">
        <v>5459.963242475649</v>
      </c>
      <c r="CO543" s="3" t="n">
        <v>5569.711936933443</v>
      </c>
      <c r="CP543" s="3" t="n">
        <v>5678.732730955143</v>
      </c>
      <c r="CQ543" s="3" t="n">
        <v>5787.989239222813</v>
      </c>
      <c r="CR543" s="3" t="n">
        <v>5896.337176776597</v>
      </c>
      <c r="CS543" s="3" t="n">
        <v>6005.294933486156</v>
      </c>
      <c r="CU543" s="20" t="inlineStr">
        <is>
          <t>egy.mit.ener.omn.die.6</t>
        </is>
      </c>
      <c r="CV543" s="3" t="n">
        <v>3591.435486256776</v>
      </c>
      <c r="CW543" s="3" t="n">
        <v>4287.713676254164</v>
      </c>
      <c r="CX543" s="3" t="n">
        <v>5414.3633041851</v>
      </c>
      <c r="CY543" s="3" t="n">
        <v>5525.782617051507</v>
      </c>
      <c r="CZ543" s="3" t="n">
        <v>5634.166907541553</v>
      </c>
      <c r="DA543" s="3" t="n">
        <v>3685.589053910177</v>
      </c>
      <c r="DB543" s="3" t="n">
        <v>3779.731806726843</v>
      </c>
      <c r="DC543" s="3" t="n">
        <v>3871.950804476868</v>
      </c>
      <c r="DD543" s="3" t="n">
        <v>3950.257300163291</v>
      </c>
      <c r="DE543" s="3" t="n">
        <v>4035.536539251071</v>
      </c>
      <c r="DF543" s="3" t="n">
        <v>4117.674991561064</v>
      </c>
      <c r="DG543" s="3" t="n">
        <v>4205.986526516094</v>
      </c>
      <c r="DH543" s="3" t="n">
        <v>4296.986829570007</v>
      </c>
      <c r="DI543" s="3" t="n">
        <v>4387.469120629564</v>
      </c>
      <c r="DJ543" s="3" t="n">
        <v>4479.528527687313</v>
      </c>
      <c r="DK543" s="3" t="n">
        <v>4574.703237255663</v>
      </c>
      <c r="DL543" s="3" t="n">
        <v>4667.899640034878</v>
      </c>
      <c r="DM543" s="3" t="n">
        <v>4760.409005022826</v>
      </c>
      <c r="DN543" s="3" t="n">
        <v>4850.290048841157</v>
      </c>
      <c r="DO543" s="3" t="n">
        <v>4939.77444130491</v>
      </c>
    </row>
    <row r="544">
      <c r="A544" s="19" t="inlineStr">
        <is>
          <t>mit.ener.omn.lpg</t>
        </is>
      </c>
      <c r="B544" s="3" t="inlineStr">
        <is>
          <t>mit</t>
        </is>
      </c>
      <c r="C544" s="19" t="inlineStr">
        <is>
          <t>mit.ener.irn.lpg.e</t>
        </is>
      </c>
      <c r="H544" s="3" t="inlineStr">
        <is>
          <t>Fuel use | Other manufacturing | LPG</t>
        </is>
      </c>
      <c r="I544" s="3" t="inlineStr">
        <is>
          <t>ktoe</t>
        </is>
      </c>
      <c r="K544" s="20" t="inlineStr">
        <is>
          <t>egy.mit.ener.omn.lpg.1</t>
        </is>
      </c>
      <c r="L544" s="3" t="n">
        <v>17.31914402473063</v>
      </c>
      <c r="M544" s="3" t="n">
        <v>19.84164362589111</v>
      </c>
      <c r="N544" s="3" t="n">
        <v>19.91174465564088</v>
      </c>
      <c r="O544" s="3" t="n">
        <v>20.55907782595454</v>
      </c>
      <c r="P544" s="3" t="n">
        <v>21.19537785619974</v>
      </c>
      <c r="Q544" s="3" t="n">
        <v>21.94520281384823</v>
      </c>
      <c r="R544" s="3" t="n">
        <v>22.83528009455449</v>
      </c>
      <c r="S544" s="3" t="n">
        <v>23.69543839477639</v>
      </c>
      <c r="T544" s="3" t="n">
        <v>24.5077559111212</v>
      </c>
      <c r="U544" s="3" t="n">
        <v>25.33224391980374</v>
      </c>
      <c r="V544" s="3" t="n">
        <v>26.17172675206222</v>
      </c>
      <c r="W544" s="3" t="n">
        <v>27.02608558085412</v>
      </c>
      <c r="X544" s="3" t="n">
        <v>27.89519278167998</v>
      </c>
      <c r="Y544" s="3" t="n">
        <v>28.77891186083873</v>
      </c>
      <c r="Z544" s="3" t="n">
        <v>29.67709735088435</v>
      </c>
      <c r="AA544" s="3" t="n">
        <v>30.58959467228509</v>
      </c>
      <c r="AB544" s="3" t="n">
        <v>31.51623996035902</v>
      </c>
      <c r="AC544" s="3" t="n">
        <v>32.45685985662593</v>
      </c>
      <c r="AD544" s="3" t="n">
        <v>33.41127126377202</v>
      </c>
      <c r="AE544" s="3" t="n">
        <v>34.3792810634766</v>
      </c>
      <c r="AG544" s="20" t="inlineStr">
        <is>
          <t>egy.mit.ener.omn.lpg.3</t>
        </is>
      </c>
      <c r="AH544" s="3" t="n">
        <v>17.31914402473063</v>
      </c>
      <c r="AI544" s="3" t="n">
        <v>19.84164362589111</v>
      </c>
      <c r="AJ544" s="3" t="n">
        <v>19.91174465564088</v>
      </c>
      <c r="AK544" s="3" t="n">
        <v>20.55907782595454</v>
      </c>
      <c r="AL544" s="3" t="n">
        <v>21.19537785619974</v>
      </c>
      <c r="AM544" s="3" t="n">
        <v>18.23381442696823</v>
      </c>
      <c r="AN544" s="3" t="n">
        <v>18.97335832274381</v>
      </c>
      <c r="AO544" s="3" t="n">
        <v>19.69719399926395</v>
      </c>
      <c r="AP544" s="3" t="n">
        <v>20.35119670324692</v>
      </c>
      <c r="AQ544" s="3" t="n">
        <v>21.03962307301264</v>
      </c>
      <c r="AR544" s="3" t="n">
        <v>21.72785584577121</v>
      </c>
      <c r="AS544" s="3" t="n">
        <v>22.44931679812651</v>
      </c>
      <c r="AT544" s="3" t="n">
        <v>23.1938063039091</v>
      </c>
      <c r="AU544" s="3" t="n">
        <v>23.94629917433885</v>
      </c>
      <c r="AV544" s="3" t="n">
        <v>24.71606738882413</v>
      </c>
      <c r="AW544" s="3" t="n">
        <v>25.5094531587389</v>
      </c>
      <c r="AX544" s="3" t="n">
        <v>26.30551645514515</v>
      </c>
      <c r="AY544" s="3" t="n">
        <v>27.10841885464672</v>
      </c>
      <c r="AZ544" s="3" t="n">
        <v>27.91008615923855</v>
      </c>
      <c r="BA544" s="3" t="n">
        <v>28.71940574853864</v>
      </c>
      <c r="BC544" s="20" t="inlineStr">
        <is>
          <t>egy.mit.ener.omn.lpg.4</t>
        </is>
      </c>
      <c r="BD544" s="3" t="n">
        <v>17.31914402473063</v>
      </c>
      <c r="BE544" s="3" t="n">
        <v>19.84164362589111</v>
      </c>
      <c r="BF544" s="3" t="n">
        <v>19.91174465564088</v>
      </c>
      <c r="BG544" s="3" t="n">
        <v>20.55907782595454</v>
      </c>
      <c r="BH544" s="3" t="n">
        <v>21.19537785619974</v>
      </c>
      <c r="BI544" s="3" t="n">
        <v>19.54218070767292</v>
      </c>
      <c r="BJ544" s="3" t="n">
        <v>17.90663769823765</v>
      </c>
      <c r="BK544" s="3" t="n">
        <v>16.72181029670045</v>
      </c>
      <c r="BL544" s="3" t="n">
        <v>15.79326555968758</v>
      </c>
      <c r="BM544" s="3" t="n">
        <v>15.23787884952576</v>
      </c>
      <c r="BN544" s="3" t="n">
        <v>14.79049785594707</v>
      </c>
      <c r="BO544" s="3" t="n">
        <v>14.43410319346904</v>
      </c>
      <c r="BP544" s="3" t="n">
        <v>14.15391332270803</v>
      </c>
      <c r="BQ544" s="3" t="n">
        <v>13.93295401743992</v>
      </c>
      <c r="BR544" s="3" t="n">
        <v>13.76067659063587</v>
      </c>
      <c r="BS544" s="3" t="n">
        <v>13.63154667905167</v>
      </c>
      <c r="BT544" s="3" t="n">
        <v>13.53605209452971</v>
      </c>
      <c r="BU544" s="3" t="n">
        <v>13.4673783615108</v>
      </c>
      <c r="BV544" s="3" t="n">
        <v>13.4171522637948</v>
      </c>
      <c r="BW544" s="3" t="n">
        <v>13.38151369760872</v>
      </c>
      <c r="BY544" s="20" t="inlineStr">
        <is>
          <t>egy.mit.ener.omn.lpg.5</t>
        </is>
      </c>
      <c r="BZ544" s="3" t="n">
        <v>17.31914402473063</v>
      </c>
      <c r="CA544" s="3" t="n">
        <v>19.84164362589111</v>
      </c>
      <c r="CB544" s="3" t="n">
        <v>19.91174465564088</v>
      </c>
      <c r="CC544" s="3" t="n">
        <v>20.55907782595454</v>
      </c>
      <c r="CD544" s="3" t="n">
        <v>21.19537785619974</v>
      </c>
      <c r="CE544" s="3" t="n">
        <v>17.53633072994804</v>
      </c>
      <c r="CF544" s="3" t="n">
        <v>18.24757262195527</v>
      </c>
      <c r="CG544" s="3" t="n">
        <v>18.94241446111462</v>
      </c>
      <c r="CH544" s="3" t="n">
        <v>19.57261422862573</v>
      </c>
      <c r="CI544" s="3" t="n">
        <v>20.23884029251439</v>
      </c>
      <c r="CJ544" s="3" t="n">
        <v>20.89980113089752</v>
      </c>
      <c r="CK544" s="3" t="n">
        <v>21.59521210565601</v>
      </c>
      <c r="CL544" s="3" t="n">
        <v>22.30403684113542</v>
      </c>
      <c r="CM544" s="3" t="n">
        <v>23.02189275304051</v>
      </c>
      <c r="CN544" s="3" t="n">
        <v>23.7559698683512</v>
      </c>
      <c r="CO544" s="3" t="n">
        <v>24.50990696644134</v>
      </c>
      <c r="CP544" s="3" t="n">
        <v>25.26688171316595</v>
      </c>
      <c r="CQ544" s="3" t="n">
        <v>26.0335729945727</v>
      </c>
      <c r="CR544" s="3" t="n">
        <v>26.80162968245203</v>
      </c>
      <c r="CS544" s="3" t="n">
        <v>27.58192191655391</v>
      </c>
      <c r="CU544" s="20" t="inlineStr">
        <is>
          <t>egy.mit.ener.omn.lpg.6</t>
        </is>
      </c>
      <c r="CV544" s="3" t="n">
        <v>17.31914402473063</v>
      </c>
      <c r="CW544" s="3" t="n">
        <v>19.84164362589111</v>
      </c>
      <c r="CX544" s="3" t="n">
        <v>19.91174465564088</v>
      </c>
      <c r="CY544" s="3" t="n">
        <v>20.55907782595454</v>
      </c>
      <c r="CZ544" s="3" t="n">
        <v>21.19537785619974</v>
      </c>
      <c r="DA544" s="3" t="n">
        <v>14.85779455031726</v>
      </c>
      <c r="DB544" s="3" t="n">
        <v>15.46040771479514</v>
      </c>
      <c r="DC544" s="3" t="n">
        <v>16.05872895483938</v>
      </c>
      <c r="DD544" s="3" t="n">
        <v>16.57158796169965</v>
      </c>
      <c r="DE544" s="3" t="n">
        <v>17.13742780859214</v>
      </c>
      <c r="DF544" s="3" t="n">
        <v>17.68833522197674</v>
      </c>
      <c r="DG544" s="3" t="n">
        <v>18.28825769575993</v>
      </c>
      <c r="DH544" s="3" t="n">
        <v>18.91412426088041</v>
      </c>
      <c r="DI544" s="3" t="n">
        <v>19.5436821580869</v>
      </c>
      <c r="DJ544" s="3" t="n">
        <v>20.19182798250734</v>
      </c>
      <c r="DK544" s="3" t="n">
        <v>20.87010826188904</v>
      </c>
      <c r="DL544" s="3" t="n">
        <v>21.54162733293911</v>
      </c>
      <c r="DM544" s="3" t="n">
        <v>22.21544380257486</v>
      </c>
      <c r="DN544" s="3" t="n">
        <v>22.87665769612507</v>
      </c>
      <c r="DO544" s="3" t="n">
        <v>23.54158502140649</v>
      </c>
    </row>
    <row r="545">
      <c r="A545" s="19" t="inlineStr">
        <is>
          <t>mit.ener.omn.ker</t>
        </is>
      </c>
      <c r="B545" s="3" t="inlineStr">
        <is>
          <t>mit</t>
        </is>
      </c>
      <c r="C545" s="19" t="inlineStr">
        <is>
          <t>mit.ener.irn.ker.e</t>
        </is>
      </c>
      <c r="H545" s="3" t="inlineStr">
        <is>
          <t>Fuel use | Other manufacturing | Kerosene</t>
        </is>
      </c>
      <c r="I545" s="3" t="inlineStr">
        <is>
          <t>ktoe</t>
        </is>
      </c>
      <c r="K545" s="20" t="inlineStr">
        <is>
          <t>egy.mit.ener.omn.ker.1</t>
        </is>
      </c>
      <c r="L545" s="3" t="n">
        <v>3.931985509179256</v>
      </c>
      <c r="M545" s="3" t="n">
        <v>4.220978767569035</v>
      </c>
      <c r="N545" s="3" t="n">
        <v>4.588996736912251</v>
      </c>
      <c r="O545" s="3" t="n">
        <v>4.738185562785574</v>
      </c>
      <c r="P545" s="3" t="n">
        <v>4.884831615805602</v>
      </c>
      <c r="Q545" s="3" t="n">
        <v>5.057641399348578</v>
      </c>
      <c r="R545" s="3" t="n">
        <v>5.262774691654213</v>
      </c>
      <c r="S545" s="3" t="n">
        <v>5.461012651271078</v>
      </c>
      <c r="T545" s="3" t="n">
        <v>5.648224896923645</v>
      </c>
      <c r="U545" s="3" t="n">
        <v>5.838242037405387</v>
      </c>
      <c r="V545" s="3" t="n">
        <v>6.031714987393054</v>
      </c>
      <c r="W545" s="3" t="n">
        <v>6.228616361194446</v>
      </c>
      <c r="X545" s="3" t="n">
        <v>6.428916745595315</v>
      </c>
      <c r="Y545" s="3" t="n">
        <v>6.632584683324606</v>
      </c>
      <c r="Z545" s="3" t="n">
        <v>6.839586648960682</v>
      </c>
      <c r="AA545" s="3" t="n">
        <v>7.049887017048357</v>
      </c>
      <c r="AB545" s="3" t="n">
        <v>7.263448022213302</v>
      </c>
      <c r="AC545" s="3" t="n">
        <v>7.480229711075546</v>
      </c>
      <c r="AD545" s="3" t="n">
        <v>7.700189885776985</v>
      </c>
      <c r="AE545" s="3" t="n">
        <v>7.923284038949794</v>
      </c>
      <c r="AG545" s="20" t="inlineStr">
        <is>
          <t>egy.mit.ener.omn.ker.3</t>
        </is>
      </c>
      <c r="AH545" s="3" t="n">
        <v>3.931985509179256</v>
      </c>
      <c r="AI545" s="3" t="n">
        <v>4.220978767569035</v>
      </c>
      <c r="AJ545" s="3" t="n">
        <v>4.588996736912251</v>
      </c>
      <c r="AK545" s="3" t="n">
        <v>4.738185562785574</v>
      </c>
      <c r="AL545" s="3" t="n">
        <v>4.884831615805602</v>
      </c>
      <c r="AM545" s="3" t="n">
        <v>4.522951456186189</v>
      </c>
      <c r="AN545" s="3" t="n">
        <v>4.706397501099565</v>
      </c>
      <c r="AO545" s="3" t="n">
        <v>4.885947075889256</v>
      </c>
      <c r="AP545" s="3" t="n">
        <v>5.048174375842166</v>
      </c>
      <c r="AQ545" s="3" t="n">
        <v>5.218940567638192</v>
      </c>
      <c r="AR545" s="3" t="n">
        <v>5.389658737125508</v>
      </c>
      <c r="AS545" s="3" t="n">
        <v>5.568619254580959</v>
      </c>
      <c r="AT545" s="3" t="n">
        <v>5.753292072645532</v>
      </c>
      <c r="AU545" s="3" t="n">
        <v>5.939950148919804</v>
      </c>
      <c r="AV545" s="3" t="n">
        <v>6.130893425247254</v>
      </c>
      <c r="AW545" s="3" t="n">
        <v>6.327695105867956</v>
      </c>
      <c r="AX545" s="3" t="n">
        <v>6.525160954833255</v>
      </c>
      <c r="AY545" s="3" t="n">
        <v>6.724323263495888</v>
      </c>
      <c r="AZ545" s="3" t="n">
        <v>6.923179203222777</v>
      </c>
      <c r="BA545" s="3" t="n">
        <v>7.123933314744876</v>
      </c>
      <c r="BC545" s="20" t="inlineStr">
        <is>
          <t>egy.mit.ener.omn.ker.4</t>
        </is>
      </c>
      <c r="BD545" s="3" t="n">
        <v>3.931985509179256</v>
      </c>
      <c r="BE545" s="3" t="n">
        <v>4.220978767569035</v>
      </c>
      <c r="BF545" s="3" t="n">
        <v>4.588996736912251</v>
      </c>
      <c r="BG545" s="3" t="n">
        <v>4.738185562785574</v>
      </c>
      <c r="BH545" s="3" t="n">
        <v>4.884831615805602</v>
      </c>
      <c r="BI545" s="3" t="n">
        <v>4.722647963696316</v>
      </c>
      <c r="BJ545" s="3" t="n">
        <v>4.531950797098066</v>
      </c>
      <c r="BK545" s="3" t="n">
        <v>4.378597558769785</v>
      </c>
      <c r="BL545" s="3" t="n">
        <v>4.245269604356086</v>
      </c>
      <c r="BM545" s="3" t="n">
        <v>4.172059829040423</v>
      </c>
      <c r="BN545" s="3" t="n">
        <v>4.112323940391104</v>
      </c>
      <c r="BO545" s="3" t="n">
        <v>4.065940017884374</v>
      </c>
      <c r="BP545" s="3" t="n">
        <v>4.031976163655246</v>
      </c>
      <c r="BQ545" s="3" t="n">
        <v>4.007896412204977</v>
      </c>
      <c r="BR545" s="3" t="n">
        <v>3.992317500452485</v>
      </c>
      <c r="BS545" s="3" t="n">
        <v>3.984862249314584</v>
      </c>
      <c r="BT545" s="3" t="n">
        <v>3.983682110674358</v>
      </c>
      <c r="BU545" s="3" t="n">
        <v>3.987472444985087</v>
      </c>
      <c r="BV545" s="3" t="n">
        <v>3.994286954816278</v>
      </c>
      <c r="BW545" s="3" t="n">
        <v>4.003382512345454</v>
      </c>
      <c r="BY545" s="20" t="inlineStr">
        <is>
          <t>egy.mit.ener.omn.ker.5</t>
        </is>
      </c>
      <c r="BZ545" s="3" t="n">
        <v>3.931985509179256</v>
      </c>
      <c r="CA545" s="3" t="n">
        <v>4.220978767569035</v>
      </c>
      <c r="CB545" s="3" t="n">
        <v>4.588996736912251</v>
      </c>
      <c r="CC545" s="3" t="n">
        <v>4.738185562785574</v>
      </c>
      <c r="CD545" s="3" t="n">
        <v>4.884831615805602</v>
      </c>
      <c r="CE545" s="3" t="n">
        <v>4.410700620737314</v>
      </c>
      <c r="CF545" s="3" t="n">
        <v>4.589590669224668</v>
      </c>
      <c r="CG545" s="3" t="n">
        <v>4.764355811288312</v>
      </c>
      <c r="CH545" s="3" t="n">
        <v>4.922862316928218</v>
      </c>
      <c r="CI545" s="3" t="n">
        <v>5.090430080036538</v>
      </c>
      <c r="CJ545" s="3" t="n">
        <v>5.256673544820243</v>
      </c>
      <c r="CK545" s="3" t="n">
        <v>5.431581834659728</v>
      </c>
      <c r="CL545" s="3" t="n">
        <v>5.609863925076385</v>
      </c>
      <c r="CM545" s="3" t="n">
        <v>5.790417517786206</v>
      </c>
      <c r="CN545" s="3" t="n">
        <v>5.97505103308827</v>
      </c>
      <c r="CO545" s="3" t="n">
        <v>6.164679689034179</v>
      </c>
      <c r="CP545" s="3" t="n">
        <v>6.355072367906208</v>
      </c>
      <c r="CQ545" s="3" t="n">
        <v>6.547908928922909</v>
      </c>
      <c r="CR545" s="3" t="n">
        <v>6.741088914072564</v>
      </c>
      <c r="CS545" s="3" t="n">
        <v>6.937346357793794</v>
      </c>
      <c r="CU545" s="20" t="inlineStr">
        <is>
          <t>egy.mit.ener.omn.ker.6</t>
        </is>
      </c>
      <c r="CV545" s="3" t="n">
        <v>3.931985509179256</v>
      </c>
      <c r="CW545" s="3" t="n">
        <v>4.220978767569035</v>
      </c>
      <c r="CX545" s="3" t="n">
        <v>4.588996736912251</v>
      </c>
      <c r="CY545" s="3" t="n">
        <v>4.738185562785574</v>
      </c>
      <c r="CZ545" s="3" t="n">
        <v>4.884831615805602</v>
      </c>
      <c r="DA545" s="3" t="n">
        <v>3.940634660834329</v>
      </c>
      <c r="DB545" s="3" t="n">
        <v>4.100461768079251</v>
      </c>
      <c r="DC545" s="3" t="n">
        <v>4.259150556569828</v>
      </c>
      <c r="DD545" s="3" t="n">
        <v>4.395172761730248</v>
      </c>
      <c r="DE545" s="3" t="n">
        <v>4.545246724968495</v>
      </c>
      <c r="DF545" s="3" t="n">
        <v>4.691360257548442</v>
      </c>
      <c r="DG545" s="3" t="n">
        <v>4.850473730681843</v>
      </c>
      <c r="DH545" s="3" t="n">
        <v>5.016468183709089</v>
      </c>
      <c r="DI545" s="3" t="n">
        <v>5.183441664351335</v>
      </c>
      <c r="DJ545" s="3" t="n">
        <v>5.355345098090207</v>
      </c>
      <c r="DK545" s="3" t="n">
        <v>5.535240894174883</v>
      </c>
      <c r="DL545" s="3" t="n">
        <v>5.713343459655212</v>
      </c>
      <c r="DM545" s="3" t="n">
        <v>5.892055348980063</v>
      </c>
      <c r="DN545" s="3" t="n">
        <v>6.067424740333877</v>
      </c>
      <c r="DO545" s="3" t="n">
        <v>6.243779020645546</v>
      </c>
    </row>
    <row r="546">
      <c r="A546" s="19" t="inlineStr">
        <is>
          <t>mit.ener.omn.oop</t>
        </is>
      </c>
      <c r="B546" s="3" t="inlineStr">
        <is>
          <t>mit</t>
        </is>
      </c>
      <c r="C546" s="19" t="inlineStr">
        <is>
          <t>mit.ener.irn.oop.e</t>
        </is>
      </c>
      <c r="H546" s="3" t="inlineStr">
        <is>
          <t>Fuel use | Other manufacturing | Other oil products</t>
        </is>
      </c>
      <c r="I546" s="3" t="inlineStr">
        <is>
          <t>ktoe</t>
        </is>
      </c>
      <c r="K546" s="20" t="inlineStr">
        <is>
          <t>egy.mit.ener.omn.oop.1</t>
        </is>
      </c>
      <c r="L546" s="3" t="n">
        <v>2274.796728917107</v>
      </c>
      <c r="M546" s="3" t="n">
        <v>1974.244048444784</v>
      </c>
      <c r="N546" s="3" t="n">
        <v>2262.883109129383</v>
      </c>
      <c r="O546" s="3" t="n">
        <v>2336.449706251599</v>
      </c>
      <c r="P546" s="3" t="n">
        <v>2408.762435029611</v>
      </c>
      <c r="Q546" s="3" t="n">
        <v>2493.976777660593</v>
      </c>
      <c r="R546" s="3" t="n">
        <v>2595.130186322823</v>
      </c>
      <c r="S546" s="3" t="n">
        <v>2692.883433083054</v>
      </c>
      <c r="T546" s="3" t="n">
        <v>2785.199782994958</v>
      </c>
      <c r="U546" s="3" t="n">
        <v>2878.899256385849</v>
      </c>
      <c r="V546" s="3" t="n">
        <v>2974.302826207323</v>
      </c>
      <c r="W546" s="3" t="n">
        <v>3071.396988283224</v>
      </c>
      <c r="X546" s="3" t="n">
        <v>3170.167238644707</v>
      </c>
      <c r="Y546" s="3" t="n">
        <v>3270.598065376768</v>
      </c>
      <c r="Z546" s="3" t="n">
        <v>3372.672936737351</v>
      </c>
      <c r="AA546" s="3" t="n">
        <v>3476.37428543552</v>
      </c>
      <c r="AB546" s="3" t="n">
        <v>3581.683488963437</v>
      </c>
      <c r="AC546" s="3" t="n">
        <v>3688.580845884416</v>
      </c>
      <c r="AD546" s="3" t="n">
        <v>3797.045547985718</v>
      </c>
      <c r="AE546" s="3" t="n">
        <v>3907.055648210796</v>
      </c>
      <c r="AG546" s="20" t="inlineStr">
        <is>
          <t>egy.mit.ener.omn.oop.3</t>
        </is>
      </c>
      <c r="AH546" s="3" t="n">
        <v>2274.796728917107</v>
      </c>
      <c r="AI546" s="3" t="n">
        <v>1974.244048444784</v>
      </c>
      <c r="AJ546" s="3" t="n">
        <v>2262.883109129383</v>
      </c>
      <c r="AK546" s="3" t="n">
        <v>2336.449706251599</v>
      </c>
      <c r="AL546" s="3" t="n">
        <v>2408.762435029611</v>
      </c>
      <c r="AM546" s="3" t="n">
        <v>2043.790185335554</v>
      </c>
      <c r="AN546" s="3" t="n">
        <v>2126.684116381351</v>
      </c>
      <c r="AO546" s="3" t="n">
        <v>2207.817345930926</v>
      </c>
      <c r="AP546" s="3" t="n">
        <v>2281.123143406105</v>
      </c>
      <c r="AQ546" s="3" t="n">
        <v>2358.287417699275</v>
      </c>
      <c r="AR546" s="3" t="n">
        <v>2435.429992108163</v>
      </c>
      <c r="AS546" s="3" t="n">
        <v>2516.297043784732</v>
      </c>
      <c r="AT546" s="3" t="n">
        <v>2599.745317929352</v>
      </c>
      <c r="AU546" s="3" t="n">
        <v>2684.090672505553</v>
      </c>
      <c r="AV546" s="3" t="n">
        <v>2770.372384324526</v>
      </c>
      <c r="AW546" s="3" t="n">
        <v>2859.301338616087</v>
      </c>
      <c r="AX546" s="3" t="n">
        <v>2948.530411261172</v>
      </c>
      <c r="AY546" s="3" t="n">
        <v>3038.526064691573</v>
      </c>
      <c r="AZ546" s="3" t="n">
        <v>3128.383278912526</v>
      </c>
      <c r="BA546" s="3" t="n">
        <v>3219.098221747795</v>
      </c>
      <c r="BC546" s="20" t="inlineStr">
        <is>
          <t>egy.mit.ener.omn.oop.4</t>
        </is>
      </c>
      <c r="BD546" s="3" t="n">
        <v>2274.796728917107</v>
      </c>
      <c r="BE546" s="3" t="n">
        <v>1974.244048444784</v>
      </c>
      <c r="BF546" s="3" t="n">
        <v>2262.883109129383</v>
      </c>
      <c r="BG546" s="3" t="n">
        <v>2336.449706251599</v>
      </c>
      <c r="BH546" s="3" t="n">
        <v>2408.762435029611</v>
      </c>
      <c r="BI546" s="3" t="n">
        <v>2200.750755144637</v>
      </c>
      <c r="BJ546" s="3" t="n">
        <v>2000.249971671179</v>
      </c>
      <c r="BK546" s="3" t="n">
        <v>1857.534178183479</v>
      </c>
      <c r="BL546" s="3" t="n">
        <v>1747.27746717912</v>
      </c>
      <c r="BM546" s="3" t="n">
        <v>1681.195462983346</v>
      </c>
      <c r="BN546" s="3" t="n">
        <v>1628.200384541786</v>
      </c>
      <c r="BO546" s="3" t="n">
        <v>1586.04039642354</v>
      </c>
      <c r="BP546" s="3" t="n">
        <v>1552.844503756748</v>
      </c>
      <c r="BQ546" s="3" t="n">
        <v>1526.584665641401</v>
      </c>
      <c r="BR546" s="3" t="n">
        <v>1505.991338472823</v>
      </c>
      <c r="BS546" s="3" t="n">
        <v>1490.377699308769</v>
      </c>
      <c r="BT546" s="3" t="n">
        <v>1478.644439296211</v>
      </c>
      <c r="BU546" s="3" t="n">
        <v>1470.003759724732</v>
      </c>
      <c r="BV546" s="3" t="n">
        <v>1463.509440407136</v>
      </c>
      <c r="BW546" s="3" t="n">
        <v>1458.716270715254</v>
      </c>
      <c r="BY546" s="20" t="inlineStr">
        <is>
          <t>egy.mit.ener.omn.oop.5</t>
        </is>
      </c>
      <c r="BZ546" s="3" t="n">
        <v>2274.796728917107</v>
      </c>
      <c r="CA546" s="3" t="n">
        <v>1974.244048444784</v>
      </c>
      <c r="CB546" s="3" t="n">
        <v>2262.883109129383</v>
      </c>
      <c r="CC546" s="3" t="n">
        <v>2336.449706251599</v>
      </c>
      <c r="CD546" s="3" t="n">
        <v>2408.762435029611</v>
      </c>
      <c r="CE546" s="3" t="n">
        <v>1960.899045088087</v>
      </c>
      <c r="CF546" s="3" t="n">
        <v>2040.429567655265</v>
      </c>
      <c r="CG546" s="3" t="n">
        <v>2118.126248898165</v>
      </c>
      <c r="CH546" s="3" t="n">
        <v>2188.594703294777</v>
      </c>
      <c r="CI546" s="3" t="n">
        <v>2263.091590506253</v>
      </c>
      <c r="CJ546" s="3" t="n">
        <v>2336.99972424216</v>
      </c>
      <c r="CK546" s="3" t="n">
        <v>2414.760045791008</v>
      </c>
      <c r="CL546" s="3" t="n">
        <v>2494.020283770138</v>
      </c>
      <c r="CM546" s="3" t="n">
        <v>2574.290380966788</v>
      </c>
      <c r="CN546" s="3" t="n">
        <v>2656.374320680328</v>
      </c>
      <c r="CO546" s="3" t="n">
        <v>2740.678988427991</v>
      </c>
      <c r="CP546" s="3" t="n">
        <v>2825.323323714912</v>
      </c>
      <c r="CQ546" s="3" t="n">
        <v>2911.05415445366</v>
      </c>
      <c r="CR546" s="3" t="n">
        <v>2996.937663896377</v>
      </c>
      <c r="CS546" s="3" t="n">
        <v>3084.189342728313</v>
      </c>
      <c r="CU546" s="20" t="inlineStr">
        <is>
          <t>egy.mit.ener.omn.oop.6</t>
        </is>
      </c>
      <c r="CV546" s="3" t="n">
        <v>2274.796728917107</v>
      </c>
      <c r="CW546" s="3" t="n">
        <v>1974.244048444784</v>
      </c>
      <c r="CX546" s="3" t="n">
        <v>2262.883109129383</v>
      </c>
      <c r="CY546" s="3" t="n">
        <v>2336.449706251599</v>
      </c>
      <c r="CZ546" s="3" t="n">
        <v>2408.762435029611</v>
      </c>
      <c r="DA546" s="3" t="n">
        <v>1647.095888579231</v>
      </c>
      <c r="DB546" s="3" t="n">
        <v>1713.899993472041</v>
      </c>
      <c r="DC546" s="3" t="n">
        <v>1780.228306950132</v>
      </c>
      <c r="DD546" s="3" t="n">
        <v>1837.082502824198</v>
      </c>
      <c r="DE546" s="3" t="n">
        <v>1899.810014788012</v>
      </c>
      <c r="DF546" s="3" t="n">
        <v>1960.882156585411</v>
      </c>
      <c r="DG546" s="3" t="n">
        <v>2027.387978609547</v>
      </c>
      <c r="DH546" s="3" t="n">
        <v>2096.769894123188</v>
      </c>
      <c r="DI546" s="3" t="n">
        <v>2166.56102096908</v>
      </c>
      <c r="DJ546" s="3" t="n">
        <v>2238.412756365429</v>
      </c>
      <c r="DK546" s="3" t="n">
        <v>2313.6051179027</v>
      </c>
      <c r="DL546" s="3" t="n">
        <v>2388.047949729681</v>
      </c>
      <c r="DM546" s="3" t="n">
        <v>2462.745465100179</v>
      </c>
      <c r="DN546" s="3" t="n">
        <v>2536.045892148738</v>
      </c>
      <c r="DO546" s="3" t="n">
        <v>2609.757980437886</v>
      </c>
    </row>
    <row r="547">
      <c r="A547" s="19" t="inlineStr">
        <is>
          <t>mit.ener.omn.bio</t>
        </is>
      </c>
      <c r="B547" s="3" t="inlineStr">
        <is>
          <t>mit</t>
        </is>
      </c>
      <c r="C547" s="19" t="inlineStr">
        <is>
          <t>mit.ener.irn.bio.e</t>
        </is>
      </c>
      <c r="H547" s="3" t="inlineStr">
        <is>
          <t>Fuel use | Other manufacturing | Biomass</t>
        </is>
      </c>
      <c r="I547" s="3" t="inlineStr">
        <is>
          <t>ktoe</t>
        </is>
      </c>
      <c r="K547" s="20" t="inlineStr">
        <is>
          <t>egy.mit.ener.omn.bio.1</t>
        </is>
      </c>
      <c r="L547" s="3" t="n">
        <v>0</v>
      </c>
      <c r="M547" s="3" t="n">
        <v>0</v>
      </c>
      <c r="N547" s="3" t="n">
        <v>0</v>
      </c>
      <c r="O547" s="3" t="n">
        <v>0</v>
      </c>
      <c r="P547" s="3" t="n">
        <v>0</v>
      </c>
      <c r="Q547" s="3" t="n">
        <v>0</v>
      </c>
      <c r="R547" s="3" t="n">
        <v>0</v>
      </c>
      <c r="S547" s="3" t="n">
        <v>0</v>
      </c>
      <c r="T547" s="3" t="n">
        <v>0</v>
      </c>
      <c r="U547" s="3" t="n">
        <v>0</v>
      </c>
      <c r="V547" s="3" t="n">
        <v>0</v>
      </c>
      <c r="W547" s="3" t="n">
        <v>0</v>
      </c>
      <c r="X547" s="3" t="n">
        <v>0</v>
      </c>
      <c r="Y547" s="3" t="n">
        <v>0</v>
      </c>
      <c r="Z547" s="3" t="n">
        <v>0</v>
      </c>
      <c r="AA547" s="3" t="n">
        <v>0</v>
      </c>
      <c r="AB547" s="3" t="n">
        <v>0</v>
      </c>
      <c r="AC547" s="3" t="n">
        <v>0</v>
      </c>
      <c r="AD547" s="3" t="n">
        <v>0</v>
      </c>
      <c r="AE547" s="3" t="n">
        <v>0</v>
      </c>
      <c r="AG547" s="20" t="inlineStr">
        <is>
          <t>egy.mit.ener.omn.bio.3</t>
        </is>
      </c>
      <c r="AH547" s="3" t="n">
        <v>0</v>
      </c>
      <c r="AI547" s="3" t="n">
        <v>0</v>
      </c>
      <c r="AJ547" s="3" t="n">
        <v>0</v>
      </c>
      <c r="AK547" s="3" t="n">
        <v>0</v>
      </c>
      <c r="AL547" s="3" t="n">
        <v>0</v>
      </c>
      <c r="AM547" s="3" t="n">
        <v>0</v>
      </c>
      <c r="AN547" s="3" t="n">
        <v>0</v>
      </c>
      <c r="AO547" s="3" t="n">
        <v>0</v>
      </c>
      <c r="AP547" s="3" t="n">
        <v>0</v>
      </c>
      <c r="AQ547" s="3" t="n">
        <v>0</v>
      </c>
      <c r="AR547" s="3" t="n">
        <v>0</v>
      </c>
      <c r="AS547" s="3" t="n">
        <v>0</v>
      </c>
      <c r="AT547" s="3" t="n">
        <v>0</v>
      </c>
      <c r="AU547" s="3" t="n">
        <v>0</v>
      </c>
      <c r="AV547" s="3" t="n">
        <v>0</v>
      </c>
      <c r="AW547" s="3" t="n">
        <v>0</v>
      </c>
      <c r="AX547" s="3" t="n">
        <v>0</v>
      </c>
      <c r="AY547" s="3" t="n">
        <v>0</v>
      </c>
      <c r="AZ547" s="3" t="n">
        <v>0</v>
      </c>
      <c r="BA547" s="3" t="n">
        <v>0</v>
      </c>
      <c r="BC547" s="20" t="inlineStr">
        <is>
          <t>egy.mit.ener.omn.bio.4</t>
        </is>
      </c>
      <c r="BD547" s="3" t="n">
        <v>0</v>
      </c>
      <c r="BE547" s="3" t="n">
        <v>0</v>
      </c>
      <c r="BF547" s="3" t="n">
        <v>0</v>
      </c>
      <c r="BG547" s="3" t="n">
        <v>0</v>
      </c>
      <c r="BH547" s="3" t="n">
        <v>0</v>
      </c>
      <c r="BI547" s="3" t="n">
        <v>0</v>
      </c>
      <c r="BJ547" s="3" t="n">
        <v>0</v>
      </c>
      <c r="BK547" s="3" t="n">
        <v>0</v>
      </c>
      <c r="BL547" s="3" t="n">
        <v>0</v>
      </c>
      <c r="BM547" s="3" t="n">
        <v>0</v>
      </c>
      <c r="BN547" s="3" t="n">
        <v>0</v>
      </c>
      <c r="BO547" s="3" t="n">
        <v>0</v>
      </c>
      <c r="BP547" s="3" t="n">
        <v>0</v>
      </c>
      <c r="BQ547" s="3" t="n">
        <v>0</v>
      </c>
      <c r="BR547" s="3" t="n">
        <v>0</v>
      </c>
      <c r="BS547" s="3" t="n">
        <v>0</v>
      </c>
      <c r="BT547" s="3" t="n">
        <v>0</v>
      </c>
      <c r="BU547" s="3" t="n">
        <v>0</v>
      </c>
      <c r="BV547" s="3" t="n">
        <v>0</v>
      </c>
      <c r="BW547" s="3" t="n">
        <v>0</v>
      </c>
      <c r="BY547" s="20" t="inlineStr">
        <is>
          <t>egy.mit.ener.omn.bio.5</t>
        </is>
      </c>
      <c r="BZ547" s="3" t="n">
        <v>0</v>
      </c>
      <c r="CA547" s="3" t="n">
        <v>0</v>
      </c>
      <c r="CB547" s="3" t="n">
        <v>0</v>
      </c>
      <c r="CC547" s="3" t="n">
        <v>0</v>
      </c>
      <c r="CD547" s="3" t="n">
        <v>0</v>
      </c>
      <c r="CE547" s="3" t="n">
        <v>0</v>
      </c>
      <c r="CF547" s="3" t="n">
        <v>0</v>
      </c>
      <c r="CG547" s="3" t="n">
        <v>0</v>
      </c>
      <c r="CH547" s="3" t="n">
        <v>0</v>
      </c>
      <c r="CI547" s="3" t="n">
        <v>0</v>
      </c>
      <c r="CJ547" s="3" t="n">
        <v>0</v>
      </c>
      <c r="CK547" s="3" t="n">
        <v>0</v>
      </c>
      <c r="CL547" s="3" t="n">
        <v>0</v>
      </c>
      <c r="CM547" s="3" t="n">
        <v>0</v>
      </c>
      <c r="CN547" s="3" t="n">
        <v>0</v>
      </c>
      <c r="CO547" s="3" t="n">
        <v>0</v>
      </c>
      <c r="CP547" s="3" t="n">
        <v>0</v>
      </c>
      <c r="CQ547" s="3" t="n">
        <v>0</v>
      </c>
      <c r="CR547" s="3" t="n">
        <v>0</v>
      </c>
      <c r="CS547" s="3" t="n">
        <v>0</v>
      </c>
      <c r="CU547" s="20" t="inlineStr">
        <is>
          <t>egy.mit.ener.omn.bio.6</t>
        </is>
      </c>
      <c r="CV547" s="3" t="n">
        <v>0</v>
      </c>
      <c r="CW547" s="3" t="n">
        <v>0</v>
      </c>
      <c r="CX547" s="3" t="n">
        <v>0</v>
      </c>
      <c r="CY547" s="3" t="n">
        <v>0</v>
      </c>
      <c r="CZ547" s="3" t="n">
        <v>0</v>
      </c>
      <c r="DA547" s="3" t="n">
        <v>0</v>
      </c>
      <c r="DB547" s="3" t="n">
        <v>0</v>
      </c>
      <c r="DC547" s="3" t="n">
        <v>0</v>
      </c>
      <c r="DD547" s="3" t="n">
        <v>0</v>
      </c>
      <c r="DE547" s="3" t="n">
        <v>0</v>
      </c>
      <c r="DF547" s="3" t="n">
        <v>0</v>
      </c>
      <c r="DG547" s="3" t="n">
        <v>0</v>
      </c>
      <c r="DH547" s="3" t="n">
        <v>0</v>
      </c>
      <c r="DI547" s="3" t="n">
        <v>0</v>
      </c>
      <c r="DJ547" s="3" t="n">
        <v>0</v>
      </c>
      <c r="DK547" s="3" t="n">
        <v>0</v>
      </c>
      <c r="DL547" s="3" t="n">
        <v>0</v>
      </c>
      <c r="DM547" s="3" t="n">
        <v>0</v>
      </c>
      <c r="DN547" s="3" t="n">
        <v>0</v>
      </c>
      <c r="DO547" s="3" t="n">
        <v>0</v>
      </c>
    </row>
    <row r="548">
      <c r="A548" s="14" t="n"/>
      <c r="B548" s="3" t="inlineStr">
        <is>
          <t>mit</t>
        </is>
      </c>
      <c r="C548" s="19" t="inlineStr">
        <is>
          <t>mit.ener.irn.ren.e</t>
        </is>
      </c>
      <c r="H548" s="14" t="inlineStr">
        <is>
          <t>Energy consumption, other manufacturing, sector-generated renewables, policy</t>
        </is>
      </c>
      <c r="I548" s="14" t="inlineStr">
        <is>
          <t>ktoe</t>
        </is>
      </c>
    </row>
    <row r="549">
      <c r="A549" s="19" t="inlineStr">
        <is>
          <t>mit.ener.cst.coa</t>
        </is>
      </c>
      <c r="B549" s="3" t="inlineStr">
        <is>
          <t>mit</t>
        </is>
      </c>
      <c r="C549" s="19" t="inlineStr">
        <is>
          <t>mit.ener.nfm.coa.e</t>
        </is>
      </c>
      <c r="H549" s="3" t="inlineStr">
        <is>
          <t>Fuel use | Construction | Coal</t>
        </is>
      </c>
      <c r="I549" s="3" t="inlineStr">
        <is>
          <t>ktoe</t>
        </is>
      </c>
      <c r="K549" s="20" t="inlineStr">
        <is>
          <t>egy.mit.ener.cst.coa.1</t>
        </is>
      </c>
      <c r="L549" s="3" t="n">
        <v>0</v>
      </c>
      <c r="M549" s="3" t="n">
        <v>0</v>
      </c>
      <c r="N549" s="3" t="n">
        <v>0</v>
      </c>
      <c r="O549" s="3" t="n">
        <v>0</v>
      </c>
      <c r="P549" s="3" t="n">
        <v>0</v>
      </c>
      <c r="Q549" s="3" t="n">
        <v>0</v>
      </c>
      <c r="R549" s="3" t="n">
        <v>0</v>
      </c>
      <c r="S549" s="3" t="n">
        <v>0</v>
      </c>
      <c r="T549" s="3" t="n">
        <v>0</v>
      </c>
      <c r="U549" s="3" t="n">
        <v>0</v>
      </c>
      <c r="V549" s="3" t="n">
        <v>0</v>
      </c>
      <c r="W549" s="3" t="n">
        <v>0</v>
      </c>
      <c r="X549" s="3" t="n">
        <v>0</v>
      </c>
      <c r="Y549" s="3" t="n">
        <v>0</v>
      </c>
      <c r="Z549" s="3" t="n">
        <v>0</v>
      </c>
      <c r="AA549" s="3" t="n">
        <v>0</v>
      </c>
      <c r="AB549" s="3" t="n">
        <v>0</v>
      </c>
      <c r="AC549" s="3" t="n">
        <v>0</v>
      </c>
      <c r="AD549" s="3" t="n">
        <v>0</v>
      </c>
      <c r="AE549" s="3" t="n">
        <v>0</v>
      </c>
      <c r="AG549" s="20" t="inlineStr">
        <is>
          <t>egy.mit.ener.cst.coa.3</t>
        </is>
      </c>
      <c r="AH549" s="3" t="n">
        <v>0</v>
      </c>
      <c r="AI549" s="3" t="n">
        <v>0</v>
      </c>
      <c r="AJ549" s="3" t="n">
        <v>0</v>
      </c>
      <c r="AK549" s="3" t="n">
        <v>0</v>
      </c>
      <c r="AL549" s="3" t="n">
        <v>0</v>
      </c>
      <c r="AM549" s="3" t="n">
        <v>0</v>
      </c>
      <c r="AN549" s="3" t="n">
        <v>0</v>
      </c>
      <c r="AO549" s="3" t="n">
        <v>0</v>
      </c>
      <c r="AP549" s="3" t="n">
        <v>0</v>
      </c>
      <c r="AQ549" s="3" t="n">
        <v>0</v>
      </c>
      <c r="AR549" s="3" t="n">
        <v>0</v>
      </c>
      <c r="AS549" s="3" t="n">
        <v>0</v>
      </c>
      <c r="AT549" s="3" t="n">
        <v>0</v>
      </c>
      <c r="AU549" s="3" t="n">
        <v>0</v>
      </c>
      <c r="AV549" s="3" t="n">
        <v>0</v>
      </c>
      <c r="AW549" s="3" t="n">
        <v>0</v>
      </c>
      <c r="AX549" s="3" t="n">
        <v>0</v>
      </c>
      <c r="AY549" s="3" t="n">
        <v>0</v>
      </c>
      <c r="AZ549" s="3" t="n">
        <v>0</v>
      </c>
      <c r="BA549" s="3" t="n">
        <v>0</v>
      </c>
      <c r="BC549" s="20" t="inlineStr">
        <is>
          <t>egy.mit.ener.cst.coa.4</t>
        </is>
      </c>
      <c r="BD549" s="3" t="n">
        <v>0</v>
      </c>
      <c r="BE549" s="3" t="n">
        <v>0</v>
      </c>
      <c r="BF549" s="3" t="n">
        <v>0</v>
      </c>
      <c r="BG549" s="3" t="n">
        <v>0</v>
      </c>
      <c r="BH549" s="3" t="n">
        <v>0</v>
      </c>
      <c r="BI549" s="3" t="n">
        <v>0</v>
      </c>
      <c r="BJ549" s="3" t="n">
        <v>0</v>
      </c>
      <c r="BK549" s="3" t="n">
        <v>0</v>
      </c>
      <c r="BL549" s="3" t="n">
        <v>0</v>
      </c>
      <c r="BM549" s="3" t="n">
        <v>0</v>
      </c>
      <c r="BN549" s="3" t="n">
        <v>0</v>
      </c>
      <c r="BO549" s="3" t="n">
        <v>0</v>
      </c>
      <c r="BP549" s="3" t="n">
        <v>0</v>
      </c>
      <c r="BQ549" s="3" t="n">
        <v>0</v>
      </c>
      <c r="BR549" s="3" t="n">
        <v>0</v>
      </c>
      <c r="BS549" s="3" t="n">
        <v>0</v>
      </c>
      <c r="BT549" s="3" t="n">
        <v>0</v>
      </c>
      <c r="BU549" s="3" t="n">
        <v>0</v>
      </c>
      <c r="BV549" s="3" t="n">
        <v>0</v>
      </c>
      <c r="BW549" s="3" t="n">
        <v>0</v>
      </c>
      <c r="BY549" s="20" t="inlineStr">
        <is>
          <t>egy.mit.ener.cst.coa.5</t>
        </is>
      </c>
      <c r="BZ549" s="3" t="n">
        <v>0</v>
      </c>
      <c r="CA549" s="3" t="n">
        <v>0</v>
      </c>
      <c r="CB549" s="3" t="n">
        <v>0</v>
      </c>
      <c r="CC549" s="3" t="n">
        <v>0</v>
      </c>
      <c r="CD549" s="3" t="n">
        <v>0</v>
      </c>
      <c r="CE549" s="3" t="n">
        <v>0</v>
      </c>
      <c r="CF549" s="3" t="n">
        <v>0</v>
      </c>
      <c r="CG549" s="3" t="n">
        <v>0</v>
      </c>
      <c r="CH549" s="3" t="n">
        <v>0</v>
      </c>
      <c r="CI549" s="3" t="n">
        <v>0</v>
      </c>
      <c r="CJ549" s="3" t="n">
        <v>0</v>
      </c>
      <c r="CK549" s="3" t="n">
        <v>0</v>
      </c>
      <c r="CL549" s="3" t="n">
        <v>0</v>
      </c>
      <c r="CM549" s="3" t="n">
        <v>0</v>
      </c>
      <c r="CN549" s="3" t="n">
        <v>0</v>
      </c>
      <c r="CO549" s="3" t="n">
        <v>0</v>
      </c>
      <c r="CP549" s="3" t="n">
        <v>0</v>
      </c>
      <c r="CQ549" s="3" t="n">
        <v>0</v>
      </c>
      <c r="CR549" s="3" t="n">
        <v>0</v>
      </c>
      <c r="CS549" s="3" t="n">
        <v>0</v>
      </c>
      <c r="CU549" s="20" t="inlineStr">
        <is>
          <t>egy.mit.ener.cst.coa.6</t>
        </is>
      </c>
      <c r="CV549" s="3" t="n">
        <v>0</v>
      </c>
      <c r="CW549" s="3" t="n">
        <v>0</v>
      </c>
      <c r="CX549" s="3" t="n">
        <v>0</v>
      </c>
      <c r="CY549" s="3" t="n">
        <v>0</v>
      </c>
      <c r="CZ549" s="3" t="n">
        <v>0</v>
      </c>
      <c r="DA549" s="3" t="n">
        <v>0</v>
      </c>
      <c r="DB549" s="3" t="n">
        <v>0</v>
      </c>
      <c r="DC549" s="3" t="n">
        <v>0</v>
      </c>
      <c r="DD549" s="3" t="n">
        <v>0</v>
      </c>
      <c r="DE549" s="3" t="n">
        <v>0</v>
      </c>
      <c r="DF549" s="3" t="n">
        <v>0</v>
      </c>
      <c r="DG549" s="3" t="n">
        <v>0</v>
      </c>
      <c r="DH549" s="3" t="n">
        <v>0</v>
      </c>
      <c r="DI549" s="3" t="n">
        <v>0</v>
      </c>
      <c r="DJ549" s="3" t="n">
        <v>0</v>
      </c>
      <c r="DK549" s="3" t="n">
        <v>0</v>
      </c>
      <c r="DL549" s="3" t="n">
        <v>0</v>
      </c>
      <c r="DM549" s="3" t="n">
        <v>0</v>
      </c>
      <c r="DN549" s="3" t="n">
        <v>0</v>
      </c>
      <c r="DO549" s="3" t="n">
        <v>0</v>
      </c>
    </row>
    <row r="550">
      <c r="A550" s="19" t="inlineStr">
        <is>
          <t>mit.ener.cst.nga</t>
        </is>
      </c>
      <c r="B550" s="3" t="inlineStr">
        <is>
          <t>mit</t>
        </is>
      </c>
      <c r="C550" s="19" t="inlineStr">
        <is>
          <t>mit.ener.nfm.nga.e</t>
        </is>
      </c>
      <c r="H550" s="3" t="inlineStr">
        <is>
          <t>Fuel use | Construction | Natural gas</t>
        </is>
      </c>
      <c r="I550" s="3" t="inlineStr">
        <is>
          <t>ktoe</t>
        </is>
      </c>
      <c r="K550" s="20" t="inlineStr">
        <is>
          <t>egy.mit.ener.cst.nga.1</t>
        </is>
      </c>
      <c r="L550" s="3" t="n">
        <v>0</v>
      </c>
      <c r="M550" s="3" t="n">
        <v>0</v>
      </c>
      <c r="N550" s="3" t="n">
        <v>0</v>
      </c>
      <c r="O550" s="3" t="n">
        <v>0</v>
      </c>
      <c r="P550" s="3" t="n">
        <v>0</v>
      </c>
      <c r="Q550" s="3" t="n">
        <v>0</v>
      </c>
      <c r="R550" s="3" t="n">
        <v>0</v>
      </c>
      <c r="S550" s="3" t="n">
        <v>0</v>
      </c>
      <c r="T550" s="3" t="n">
        <v>0</v>
      </c>
      <c r="U550" s="3" t="n">
        <v>0</v>
      </c>
      <c r="V550" s="3" t="n">
        <v>0</v>
      </c>
      <c r="W550" s="3" t="n">
        <v>0</v>
      </c>
      <c r="X550" s="3" t="n">
        <v>0</v>
      </c>
      <c r="Y550" s="3" t="n">
        <v>0</v>
      </c>
      <c r="Z550" s="3" t="n">
        <v>0</v>
      </c>
      <c r="AA550" s="3" t="n">
        <v>0</v>
      </c>
      <c r="AB550" s="3" t="n">
        <v>0</v>
      </c>
      <c r="AC550" s="3" t="n">
        <v>0</v>
      </c>
      <c r="AD550" s="3" t="n">
        <v>0</v>
      </c>
      <c r="AE550" s="3" t="n">
        <v>0</v>
      </c>
      <c r="AG550" s="20" t="inlineStr">
        <is>
          <t>egy.mit.ener.cst.nga.3</t>
        </is>
      </c>
      <c r="AH550" s="3" t="n">
        <v>0</v>
      </c>
      <c r="AI550" s="3" t="n">
        <v>0</v>
      </c>
      <c r="AJ550" s="3" t="n">
        <v>0</v>
      </c>
      <c r="AK550" s="3" t="n">
        <v>0</v>
      </c>
      <c r="AL550" s="3" t="n">
        <v>0</v>
      </c>
      <c r="AM550" s="3" t="n">
        <v>0</v>
      </c>
      <c r="AN550" s="3" t="n">
        <v>0</v>
      </c>
      <c r="AO550" s="3" t="n">
        <v>0</v>
      </c>
      <c r="AP550" s="3" t="n">
        <v>0</v>
      </c>
      <c r="AQ550" s="3" t="n">
        <v>0</v>
      </c>
      <c r="AR550" s="3" t="n">
        <v>0</v>
      </c>
      <c r="AS550" s="3" t="n">
        <v>0</v>
      </c>
      <c r="AT550" s="3" t="n">
        <v>0</v>
      </c>
      <c r="AU550" s="3" t="n">
        <v>0</v>
      </c>
      <c r="AV550" s="3" t="n">
        <v>0</v>
      </c>
      <c r="AW550" s="3" t="n">
        <v>0</v>
      </c>
      <c r="AX550" s="3" t="n">
        <v>0</v>
      </c>
      <c r="AY550" s="3" t="n">
        <v>0</v>
      </c>
      <c r="AZ550" s="3" t="n">
        <v>0</v>
      </c>
      <c r="BA550" s="3" t="n">
        <v>0</v>
      </c>
      <c r="BC550" s="20" t="inlineStr">
        <is>
          <t>egy.mit.ener.cst.nga.4</t>
        </is>
      </c>
      <c r="BD550" s="3" t="n">
        <v>0</v>
      </c>
      <c r="BE550" s="3" t="n">
        <v>0</v>
      </c>
      <c r="BF550" s="3" t="n">
        <v>0</v>
      </c>
      <c r="BG550" s="3" t="n">
        <v>0</v>
      </c>
      <c r="BH550" s="3" t="n">
        <v>0</v>
      </c>
      <c r="BI550" s="3" t="n">
        <v>0</v>
      </c>
      <c r="BJ550" s="3" t="n">
        <v>0</v>
      </c>
      <c r="BK550" s="3" t="n">
        <v>0</v>
      </c>
      <c r="BL550" s="3" t="n">
        <v>0</v>
      </c>
      <c r="BM550" s="3" t="n">
        <v>0</v>
      </c>
      <c r="BN550" s="3" t="n">
        <v>0</v>
      </c>
      <c r="BO550" s="3" t="n">
        <v>0</v>
      </c>
      <c r="BP550" s="3" t="n">
        <v>0</v>
      </c>
      <c r="BQ550" s="3" t="n">
        <v>0</v>
      </c>
      <c r="BR550" s="3" t="n">
        <v>0</v>
      </c>
      <c r="BS550" s="3" t="n">
        <v>0</v>
      </c>
      <c r="BT550" s="3" t="n">
        <v>0</v>
      </c>
      <c r="BU550" s="3" t="n">
        <v>0</v>
      </c>
      <c r="BV550" s="3" t="n">
        <v>0</v>
      </c>
      <c r="BW550" s="3" t="n">
        <v>0</v>
      </c>
      <c r="BY550" s="20" t="inlineStr">
        <is>
          <t>egy.mit.ener.cst.nga.5</t>
        </is>
      </c>
      <c r="BZ550" s="3" t="n">
        <v>0</v>
      </c>
      <c r="CA550" s="3" t="n">
        <v>0</v>
      </c>
      <c r="CB550" s="3" t="n">
        <v>0</v>
      </c>
      <c r="CC550" s="3" t="n">
        <v>0</v>
      </c>
      <c r="CD550" s="3" t="n">
        <v>0</v>
      </c>
      <c r="CE550" s="3" t="n">
        <v>0</v>
      </c>
      <c r="CF550" s="3" t="n">
        <v>0</v>
      </c>
      <c r="CG550" s="3" t="n">
        <v>0</v>
      </c>
      <c r="CH550" s="3" t="n">
        <v>0</v>
      </c>
      <c r="CI550" s="3" t="n">
        <v>0</v>
      </c>
      <c r="CJ550" s="3" t="n">
        <v>0</v>
      </c>
      <c r="CK550" s="3" t="n">
        <v>0</v>
      </c>
      <c r="CL550" s="3" t="n">
        <v>0</v>
      </c>
      <c r="CM550" s="3" t="n">
        <v>0</v>
      </c>
      <c r="CN550" s="3" t="n">
        <v>0</v>
      </c>
      <c r="CO550" s="3" t="n">
        <v>0</v>
      </c>
      <c r="CP550" s="3" t="n">
        <v>0</v>
      </c>
      <c r="CQ550" s="3" t="n">
        <v>0</v>
      </c>
      <c r="CR550" s="3" t="n">
        <v>0</v>
      </c>
      <c r="CS550" s="3" t="n">
        <v>0</v>
      </c>
      <c r="CU550" s="20" t="inlineStr">
        <is>
          <t>egy.mit.ener.cst.nga.6</t>
        </is>
      </c>
      <c r="CV550" s="3" t="n">
        <v>0</v>
      </c>
      <c r="CW550" s="3" t="n">
        <v>0</v>
      </c>
      <c r="CX550" s="3" t="n">
        <v>0</v>
      </c>
      <c r="CY550" s="3" t="n">
        <v>0</v>
      </c>
      <c r="CZ550" s="3" t="n">
        <v>0</v>
      </c>
      <c r="DA550" s="3" t="n">
        <v>0</v>
      </c>
      <c r="DB550" s="3" t="n">
        <v>0</v>
      </c>
      <c r="DC550" s="3" t="n">
        <v>0</v>
      </c>
      <c r="DD550" s="3" t="n">
        <v>0</v>
      </c>
      <c r="DE550" s="3" t="n">
        <v>0</v>
      </c>
      <c r="DF550" s="3" t="n">
        <v>0</v>
      </c>
      <c r="DG550" s="3" t="n">
        <v>0</v>
      </c>
      <c r="DH550" s="3" t="n">
        <v>0</v>
      </c>
      <c r="DI550" s="3" t="n">
        <v>0</v>
      </c>
      <c r="DJ550" s="3" t="n">
        <v>0</v>
      </c>
      <c r="DK550" s="3" t="n">
        <v>0</v>
      </c>
      <c r="DL550" s="3" t="n">
        <v>0</v>
      </c>
      <c r="DM550" s="3" t="n">
        <v>0</v>
      </c>
      <c r="DN550" s="3" t="n">
        <v>0</v>
      </c>
      <c r="DO550" s="3" t="n">
        <v>0</v>
      </c>
    </row>
    <row r="551">
      <c r="A551" s="19" t="inlineStr">
        <is>
          <t>mit.ener.cst.gso</t>
        </is>
      </c>
      <c r="B551" s="3" t="inlineStr">
        <is>
          <t>mit</t>
        </is>
      </c>
      <c r="C551" s="19" t="inlineStr">
        <is>
          <t>mit.ener.nfm.gso.e</t>
        </is>
      </c>
      <c r="H551" s="3" t="inlineStr">
        <is>
          <t>Fuel use | Construction | Gasoline</t>
        </is>
      </c>
      <c r="I551" s="3" t="inlineStr">
        <is>
          <t>ktoe</t>
        </is>
      </c>
      <c r="K551" s="20" t="inlineStr">
        <is>
          <t>egy.mit.ener.cst.gso.1</t>
        </is>
      </c>
      <c r="L551" s="3" t="n">
        <v>0</v>
      </c>
      <c r="M551" s="3" t="n">
        <v>0</v>
      </c>
      <c r="N551" s="3" t="n">
        <v>0</v>
      </c>
      <c r="O551" s="3" t="n">
        <v>0</v>
      </c>
      <c r="P551" s="3" t="n">
        <v>0</v>
      </c>
      <c r="Q551" s="3" t="n">
        <v>0</v>
      </c>
      <c r="R551" s="3" t="n">
        <v>0</v>
      </c>
      <c r="S551" s="3" t="n">
        <v>0</v>
      </c>
      <c r="T551" s="3" t="n">
        <v>0</v>
      </c>
      <c r="U551" s="3" t="n">
        <v>0</v>
      </c>
      <c r="V551" s="3" t="n">
        <v>0</v>
      </c>
      <c r="W551" s="3" t="n">
        <v>0</v>
      </c>
      <c r="X551" s="3" t="n">
        <v>0</v>
      </c>
      <c r="Y551" s="3" t="n">
        <v>0</v>
      </c>
      <c r="Z551" s="3" t="n">
        <v>0</v>
      </c>
      <c r="AA551" s="3" t="n">
        <v>0</v>
      </c>
      <c r="AB551" s="3" t="n">
        <v>0</v>
      </c>
      <c r="AC551" s="3" t="n">
        <v>0</v>
      </c>
      <c r="AD551" s="3" t="n">
        <v>0</v>
      </c>
      <c r="AE551" s="3" t="n">
        <v>0</v>
      </c>
      <c r="AG551" s="20" t="inlineStr">
        <is>
          <t>egy.mit.ener.cst.gso.3</t>
        </is>
      </c>
      <c r="AH551" s="3" t="n">
        <v>0</v>
      </c>
      <c r="AI551" s="3" t="n">
        <v>0</v>
      </c>
      <c r="AJ551" s="3" t="n">
        <v>0</v>
      </c>
      <c r="AK551" s="3" t="n">
        <v>0</v>
      </c>
      <c r="AL551" s="3" t="n">
        <v>0</v>
      </c>
      <c r="AM551" s="3" t="n">
        <v>0</v>
      </c>
      <c r="AN551" s="3" t="n">
        <v>0</v>
      </c>
      <c r="AO551" s="3" t="n">
        <v>0</v>
      </c>
      <c r="AP551" s="3" t="n">
        <v>0</v>
      </c>
      <c r="AQ551" s="3" t="n">
        <v>0</v>
      </c>
      <c r="AR551" s="3" t="n">
        <v>0</v>
      </c>
      <c r="AS551" s="3" t="n">
        <v>0</v>
      </c>
      <c r="AT551" s="3" t="n">
        <v>0</v>
      </c>
      <c r="AU551" s="3" t="n">
        <v>0</v>
      </c>
      <c r="AV551" s="3" t="n">
        <v>0</v>
      </c>
      <c r="AW551" s="3" t="n">
        <v>0</v>
      </c>
      <c r="AX551" s="3" t="n">
        <v>0</v>
      </c>
      <c r="AY551" s="3" t="n">
        <v>0</v>
      </c>
      <c r="AZ551" s="3" t="n">
        <v>0</v>
      </c>
      <c r="BA551" s="3" t="n">
        <v>0</v>
      </c>
      <c r="BC551" s="20" t="inlineStr">
        <is>
          <t>egy.mit.ener.cst.gso.4</t>
        </is>
      </c>
      <c r="BD551" s="3" t="n">
        <v>0</v>
      </c>
      <c r="BE551" s="3" t="n">
        <v>0</v>
      </c>
      <c r="BF551" s="3" t="n">
        <v>0</v>
      </c>
      <c r="BG551" s="3" t="n">
        <v>0</v>
      </c>
      <c r="BH551" s="3" t="n">
        <v>0</v>
      </c>
      <c r="BI551" s="3" t="n">
        <v>0</v>
      </c>
      <c r="BJ551" s="3" t="n">
        <v>0</v>
      </c>
      <c r="BK551" s="3" t="n">
        <v>0</v>
      </c>
      <c r="BL551" s="3" t="n">
        <v>0</v>
      </c>
      <c r="BM551" s="3" t="n">
        <v>0</v>
      </c>
      <c r="BN551" s="3" t="n">
        <v>0</v>
      </c>
      <c r="BO551" s="3" t="n">
        <v>0</v>
      </c>
      <c r="BP551" s="3" t="n">
        <v>0</v>
      </c>
      <c r="BQ551" s="3" t="n">
        <v>0</v>
      </c>
      <c r="BR551" s="3" t="n">
        <v>0</v>
      </c>
      <c r="BS551" s="3" t="n">
        <v>0</v>
      </c>
      <c r="BT551" s="3" t="n">
        <v>0</v>
      </c>
      <c r="BU551" s="3" t="n">
        <v>0</v>
      </c>
      <c r="BV551" s="3" t="n">
        <v>0</v>
      </c>
      <c r="BW551" s="3" t="n">
        <v>0</v>
      </c>
      <c r="BY551" s="20" t="inlineStr">
        <is>
          <t>egy.mit.ener.cst.gso.5</t>
        </is>
      </c>
      <c r="BZ551" s="3" t="n">
        <v>0</v>
      </c>
      <c r="CA551" s="3" t="n">
        <v>0</v>
      </c>
      <c r="CB551" s="3" t="n">
        <v>0</v>
      </c>
      <c r="CC551" s="3" t="n">
        <v>0</v>
      </c>
      <c r="CD551" s="3" t="n">
        <v>0</v>
      </c>
      <c r="CE551" s="3" t="n">
        <v>0</v>
      </c>
      <c r="CF551" s="3" t="n">
        <v>0</v>
      </c>
      <c r="CG551" s="3" t="n">
        <v>0</v>
      </c>
      <c r="CH551" s="3" t="n">
        <v>0</v>
      </c>
      <c r="CI551" s="3" t="n">
        <v>0</v>
      </c>
      <c r="CJ551" s="3" t="n">
        <v>0</v>
      </c>
      <c r="CK551" s="3" t="n">
        <v>0</v>
      </c>
      <c r="CL551" s="3" t="n">
        <v>0</v>
      </c>
      <c r="CM551" s="3" t="n">
        <v>0</v>
      </c>
      <c r="CN551" s="3" t="n">
        <v>0</v>
      </c>
      <c r="CO551" s="3" t="n">
        <v>0</v>
      </c>
      <c r="CP551" s="3" t="n">
        <v>0</v>
      </c>
      <c r="CQ551" s="3" t="n">
        <v>0</v>
      </c>
      <c r="CR551" s="3" t="n">
        <v>0</v>
      </c>
      <c r="CS551" s="3" t="n">
        <v>0</v>
      </c>
      <c r="CU551" s="20" t="inlineStr">
        <is>
          <t>egy.mit.ener.cst.gso.6</t>
        </is>
      </c>
      <c r="CV551" s="3" t="n">
        <v>0</v>
      </c>
      <c r="CW551" s="3" t="n">
        <v>0</v>
      </c>
      <c r="CX551" s="3" t="n">
        <v>0</v>
      </c>
      <c r="CY551" s="3" t="n">
        <v>0</v>
      </c>
      <c r="CZ551" s="3" t="n">
        <v>0</v>
      </c>
      <c r="DA551" s="3" t="n">
        <v>0</v>
      </c>
      <c r="DB551" s="3" t="n">
        <v>0</v>
      </c>
      <c r="DC551" s="3" t="n">
        <v>0</v>
      </c>
      <c r="DD551" s="3" t="n">
        <v>0</v>
      </c>
      <c r="DE551" s="3" t="n">
        <v>0</v>
      </c>
      <c r="DF551" s="3" t="n">
        <v>0</v>
      </c>
      <c r="DG551" s="3" t="n">
        <v>0</v>
      </c>
      <c r="DH551" s="3" t="n">
        <v>0</v>
      </c>
      <c r="DI551" s="3" t="n">
        <v>0</v>
      </c>
      <c r="DJ551" s="3" t="n">
        <v>0</v>
      </c>
      <c r="DK551" s="3" t="n">
        <v>0</v>
      </c>
      <c r="DL551" s="3" t="n">
        <v>0</v>
      </c>
      <c r="DM551" s="3" t="n">
        <v>0</v>
      </c>
      <c r="DN551" s="3" t="n">
        <v>0</v>
      </c>
      <c r="DO551" s="3" t="n">
        <v>0</v>
      </c>
    </row>
    <row r="552">
      <c r="A552" s="19" t="inlineStr">
        <is>
          <t>mit.ener.cst.die</t>
        </is>
      </c>
      <c r="B552" s="3" t="inlineStr">
        <is>
          <t>mit</t>
        </is>
      </c>
      <c r="C552" s="19" t="inlineStr">
        <is>
          <t>mit.ener.nfm.die.e</t>
        </is>
      </c>
      <c r="H552" s="3" t="inlineStr">
        <is>
          <t>Fuel use | Construction | Diesel</t>
        </is>
      </c>
      <c r="I552" s="3" t="inlineStr">
        <is>
          <t>ktoe</t>
        </is>
      </c>
      <c r="K552" s="20" t="inlineStr">
        <is>
          <t>egy.mit.ener.cst.die.1</t>
        </is>
      </c>
      <c r="L552" s="3" t="n">
        <v>0</v>
      </c>
      <c r="M552" s="3" t="n">
        <v>0</v>
      </c>
      <c r="N552" s="3" t="n">
        <v>0</v>
      </c>
      <c r="O552" s="3" t="n">
        <v>0</v>
      </c>
      <c r="P552" s="3" t="n">
        <v>0</v>
      </c>
      <c r="Q552" s="3" t="n">
        <v>0</v>
      </c>
      <c r="R552" s="3" t="n">
        <v>0</v>
      </c>
      <c r="S552" s="3" t="n">
        <v>0</v>
      </c>
      <c r="T552" s="3" t="n">
        <v>0</v>
      </c>
      <c r="U552" s="3" t="n">
        <v>0</v>
      </c>
      <c r="V552" s="3" t="n">
        <v>0</v>
      </c>
      <c r="W552" s="3" t="n">
        <v>0</v>
      </c>
      <c r="X552" s="3" t="n">
        <v>0</v>
      </c>
      <c r="Y552" s="3" t="n">
        <v>0</v>
      </c>
      <c r="Z552" s="3" t="n">
        <v>0</v>
      </c>
      <c r="AA552" s="3" t="n">
        <v>0</v>
      </c>
      <c r="AB552" s="3" t="n">
        <v>0</v>
      </c>
      <c r="AC552" s="3" t="n">
        <v>0</v>
      </c>
      <c r="AD552" s="3" t="n">
        <v>0</v>
      </c>
      <c r="AE552" s="3" t="n">
        <v>0</v>
      </c>
      <c r="AG552" s="20" t="inlineStr">
        <is>
          <t>egy.mit.ener.cst.die.3</t>
        </is>
      </c>
      <c r="AH552" s="3" t="n">
        <v>0</v>
      </c>
      <c r="AI552" s="3" t="n">
        <v>0</v>
      </c>
      <c r="AJ552" s="3" t="n">
        <v>0</v>
      </c>
      <c r="AK552" s="3" t="n">
        <v>0</v>
      </c>
      <c r="AL552" s="3" t="n">
        <v>0</v>
      </c>
      <c r="AM552" s="3" t="n">
        <v>0</v>
      </c>
      <c r="AN552" s="3" t="n">
        <v>0</v>
      </c>
      <c r="AO552" s="3" t="n">
        <v>0</v>
      </c>
      <c r="AP552" s="3" t="n">
        <v>0</v>
      </c>
      <c r="AQ552" s="3" t="n">
        <v>0</v>
      </c>
      <c r="AR552" s="3" t="n">
        <v>0</v>
      </c>
      <c r="AS552" s="3" t="n">
        <v>0</v>
      </c>
      <c r="AT552" s="3" t="n">
        <v>0</v>
      </c>
      <c r="AU552" s="3" t="n">
        <v>0</v>
      </c>
      <c r="AV552" s="3" t="n">
        <v>0</v>
      </c>
      <c r="AW552" s="3" t="n">
        <v>0</v>
      </c>
      <c r="AX552" s="3" t="n">
        <v>0</v>
      </c>
      <c r="AY552" s="3" t="n">
        <v>0</v>
      </c>
      <c r="AZ552" s="3" t="n">
        <v>0</v>
      </c>
      <c r="BA552" s="3" t="n">
        <v>0</v>
      </c>
      <c r="BC552" s="20" t="inlineStr">
        <is>
          <t>egy.mit.ener.cst.die.4</t>
        </is>
      </c>
      <c r="BD552" s="3" t="n">
        <v>0</v>
      </c>
      <c r="BE552" s="3" t="n">
        <v>0</v>
      </c>
      <c r="BF552" s="3" t="n">
        <v>0</v>
      </c>
      <c r="BG552" s="3" t="n">
        <v>0</v>
      </c>
      <c r="BH552" s="3" t="n">
        <v>0</v>
      </c>
      <c r="BI552" s="3" t="n">
        <v>0</v>
      </c>
      <c r="BJ552" s="3" t="n">
        <v>0</v>
      </c>
      <c r="BK552" s="3" t="n">
        <v>0</v>
      </c>
      <c r="BL552" s="3" t="n">
        <v>0</v>
      </c>
      <c r="BM552" s="3" t="n">
        <v>0</v>
      </c>
      <c r="BN552" s="3" t="n">
        <v>0</v>
      </c>
      <c r="BO552" s="3" t="n">
        <v>0</v>
      </c>
      <c r="BP552" s="3" t="n">
        <v>0</v>
      </c>
      <c r="BQ552" s="3" t="n">
        <v>0</v>
      </c>
      <c r="BR552" s="3" t="n">
        <v>0</v>
      </c>
      <c r="BS552" s="3" t="n">
        <v>0</v>
      </c>
      <c r="BT552" s="3" t="n">
        <v>0</v>
      </c>
      <c r="BU552" s="3" t="n">
        <v>0</v>
      </c>
      <c r="BV552" s="3" t="n">
        <v>0</v>
      </c>
      <c r="BW552" s="3" t="n">
        <v>0</v>
      </c>
      <c r="BY552" s="20" t="inlineStr">
        <is>
          <t>egy.mit.ener.cst.die.5</t>
        </is>
      </c>
      <c r="BZ552" s="3" t="n">
        <v>0</v>
      </c>
      <c r="CA552" s="3" t="n">
        <v>0</v>
      </c>
      <c r="CB552" s="3" t="n">
        <v>0</v>
      </c>
      <c r="CC552" s="3" t="n">
        <v>0</v>
      </c>
      <c r="CD552" s="3" t="n">
        <v>0</v>
      </c>
      <c r="CE552" s="3" t="n">
        <v>0</v>
      </c>
      <c r="CF552" s="3" t="n">
        <v>0</v>
      </c>
      <c r="CG552" s="3" t="n">
        <v>0</v>
      </c>
      <c r="CH552" s="3" t="n">
        <v>0</v>
      </c>
      <c r="CI552" s="3" t="n">
        <v>0</v>
      </c>
      <c r="CJ552" s="3" t="n">
        <v>0</v>
      </c>
      <c r="CK552" s="3" t="n">
        <v>0</v>
      </c>
      <c r="CL552" s="3" t="n">
        <v>0</v>
      </c>
      <c r="CM552" s="3" t="n">
        <v>0</v>
      </c>
      <c r="CN552" s="3" t="n">
        <v>0</v>
      </c>
      <c r="CO552" s="3" t="n">
        <v>0</v>
      </c>
      <c r="CP552" s="3" t="n">
        <v>0</v>
      </c>
      <c r="CQ552" s="3" t="n">
        <v>0</v>
      </c>
      <c r="CR552" s="3" t="n">
        <v>0</v>
      </c>
      <c r="CS552" s="3" t="n">
        <v>0</v>
      </c>
      <c r="CU552" s="20" t="inlineStr">
        <is>
          <t>egy.mit.ener.cst.die.6</t>
        </is>
      </c>
      <c r="CV552" s="3" t="n">
        <v>0</v>
      </c>
      <c r="CW552" s="3" t="n">
        <v>0</v>
      </c>
      <c r="CX552" s="3" t="n">
        <v>0</v>
      </c>
      <c r="CY552" s="3" t="n">
        <v>0</v>
      </c>
      <c r="CZ552" s="3" t="n">
        <v>0</v>
      </c>
      <c r="DA552" s="3" t="n">
        <v>0</v>
      </c>
      <c r="DB552" s="3" t="n">
        <v>0</v>
      </c>
      <c r="DC552" s="3" t="n">
        <v>0</v>
      </c>
      <c r="DD552" s="3" t="n">
        <v>0</v>
      </c>
      <c r="DE552" s="3" t="n">
        <v>0</v>
      </c>
      <c r="DF552" s="3" t="n">
        <v>0</v>
      </c>
      <c r="DG552" s="3" t="n">
        <v>0</v>
      </c>
      <c r="DH552" s="3" t="n">
        <v>0</v>
      </c>
      <c r="DI552" s="3" t="n">
        <v>0</v>
      </c>
      <c r="DJ552" s="3" t="n">
        <v>0</v>
      </c>
      <c r="DK552" s="3" t="n">
        <v>0</v>
      </c>
      <c r="DL552" s="3" t="n">
        <v>0</v>
      </c>
      <c r="DM552" s="3" t="n">
        <v>0</v>
      </c>
      <c r="DN552" s="3" t="n">
        <v>0</v>
      </c>
      <c r="DO552" s="3" t="n">
        <v>0</v>
      </c>
    </row>
    <row r="553">
      <c r="A553" s="19" t="inlineStr">
        <is>
          <t>mit.ener.cst.lpg</t>
        </is>
      </c>
      <c r="B553" s="3" t="inlineStr">
        <is>
          <t>mit</t>
        </is>
      </c>
      <c r="C553" s="19" t="inlineStr">
        <is>
          <t>mit.ener.nfm.lpg.e</t>
        </is>
      </c>
      <c r="H553" s="3" t="inlineStr">
        <is>
          <t>Fuel use | Construction | LPG</t>
        </is>
      </c>
      <c r="I553" s="3" t="inlineStr">
        <is>
          <t>ktoe</t>
        </is>
      </c>
      <c r="K553" s="20" t="inlineStr">
        <is>
          <t>egy.mit.ener.cst.lpg.1</t>
        </is>
      </c>
      <c r="L553" s="3" t="n">
        <v>0</v>
      </c>
      <c r="M553" s="3" t="n">
        <v>0</v>
      </c>
      <c r="N553" s="3" t="n">
        <v>0</v>
      </c>
      <c r="O553" s="3" t="n">
        <v>0</v>
      </c>
      <c r="P553" s="3" t="n">
        <v>0</v>
      </c>
      <c r="Q553" s="3" t="n">
        <v>0</v>
      </c>
      <c r="R553" s="3" t="n">
        <v>0</v>
      </c>
      <c r="S553" s="3" t="n">
        <v>0</v>
      </c>
      <c r="T553" s="3" t="n">
        <v>0</v>
      </c>
      <c r="U553" s="3" t="n">
        <v>0</v>
      </c>
      <c r="V553" s="3" t="n">
        <v>0</v>
      </c>
      <c r="W553" s="3" t="n">
        <v>0</v>
      </c>
      <c r="X553" s="3" t="n">
        <v>0</v>
      </c>
      <c r="Y553" s="3" t="n">
        <v>0</v>
      </c>
      <c r="Z553" s="3" t="n">
        <v>0</v>
      </c>
      <c r="AA553" s="3" t="n">
        <v>0</v>
      </c>
      <c r="AB553" s="3" t="n">
        <v>0</v>
      </c>
      <c r="AC553" s="3" t="n">
        <v>0</v>
      </c>
      <c r="AD553" s="3" t="n">
        <v>0</v>
      </c>
      <c r="AE553" s="3" t="n">
        <v>0</v>
      </c>
      <c r="AG553" s="20" t="inlineStr">
        <is>
          <t>egy.mit.ener.cst.lpg.3</t>
        </is>
      </c>
      <c r="AH553" s="3" t="n">
        <v>0</v>
      </c>
      <c r="AI553" s="3" t="n">
        <v>0</v>
      </c>
      <c r="AJ553" s="3" t="n">
        <v>0</v>
      </c>
      <c r="AK553" s="3" t="n">
        <v>0</v>
      </c>
      <c r="AL553" s="3" t="n">
        <v>0</v>
      </c>
      <c r="AM553" s="3" t="n">
        <v>0</v>
      </c>
      <c r="AN553" s="3" t="n">
        <v>0</v>
      </c>
      <c r="AO553" s="3" t="n">
        <v>0</v>
      </c>
      <c r="AP553" s="3" t="n">
        <v>0</v>
      </c>
      <c r="AQ553" s="3" t="n">
        <v>0</v>
      </c>
      <c r="AR553" s="3" t="n">
        <v>0</v>
      </c>
      <c r="AS553" s="3" t="n">
        <v>0</v>
      </c>
      <c r="AT553" s="3" t="n">
        <v>0</v>
      </c>
      <c r="AU553" s="3" t="n">
        <v>0</v>
      </c>
      <c r="AV553" s="3" t="n">
        <v>0</v>
      </c>
      <c r="AW553" s="3" t="n">
        <v>0</v>
      </c>
      <c r="AX553" s="3" t="n">
        <v>0</v>
      </c>
      <c r="AY553" s="3" t="n">
        <v>0</v>
      </c>
      <c r="AZ553" s="3" t="n">
        <v>0</v>
      </c>
      <c r="BA553" s="3" t="n">
        <v>0</v>
      </c>
      <c r="BC553" s="20" t="inlineStr">
        <is>
          <t>egy.mit.ener.cst.lpg.4</t>
        </is>
      </c>
      <c r="BD553" s="3" t="n">
        <v>0</v>
      </c>
      <c r="BE553" s="3" t="n">
        <v>0</v>
      </c>
      <c r="BF553" s="3" t="n">
        <v>0</v>
      </c>
      <c r="BG553" s="3" t="n">
        <v>0</v>
      </c>
      <c r="BH553" s="3" t="n">
        <v>0</v>
      </c>
      <c r="BI553" s="3" t="n">
        <v>0</v>
      </c>
      <c r="BJ553" s="3" t="n">
        <v>0</v>
      </c>
      <c r="BK553" s="3" t="n">
        <v>0</v>
      </c>
      <c r="BL553" s="3" t="n">
        <v>0</v>
      </c>
      <c r="BM553" s="3" t="n">
        <v>0</v>
      </c>
      <c r="BN553" s="3" t="n">
        <v>0</v>
      </c>
      <c r="BO553" s="3" t="n">
        <v>0</v>
      </c>
      <c r="BP553" s="3" t="n">
        <v>0</v>
      </c>
      <c r="BQ553" s="3" t="n">
        <v>0</v>
      </c>
      <c r="BR553" s="3" t="n">
        <v>0</v>
      </c>
      <c r="BS553" s="3" t="n">
        <v>0</v>
      </c>
      <c r="BT553" s="3" t="n">
        <v>0</v>
      </c>
      <c r="BU553" s="3" t="n">
        <v>0</v>
      </c>
      <c r="BV553" s="3" t="n">
        <v>0</v>
      </c>
      <c r="BW553" s="3" t="n">
        <v>0</v>
      </c>
      <c r="BY553" s="20" t="inlineStr">
        <is>
          <t>egy.mit.ener.cst.lpg.5</t>
        </is>
      </c>
      <c r="BZ553" s="3" t="n">
        <v>0</v>
      </c>
      <c r="CA553" s="3" t="n">
        <v>0</v>
      </c>
      <c r="CB553" s="3" t="n">
        <v>0</v>
      </c>
      <c r="CC553" s="3" t="n">
        <v>0</v>
      </c>
      <c r="CD553" s="3" t="n">
        <v>0</v>
      </c>
      <c r="CE553" s="3" t="n">
        <v>0</v>
      </c>
      <c r="CF553" s="3" t="n">
        <v>0</v>
      </c>
      <c r="CG553" s="3" t="n">
        <v>0</v>
      </c>
      <c r="CH553" s="3" t="n">
        <v>0</v>
      </c>
      <c r="CI553" s="3" t="n">
        <v>0</v>
      </c>
      <c r="CJ553" s="3" t="n">
        <v>0</v>
      </c>
      <c r="CK553" s="3" t="n">
        <v>0</v>
      </c>
      <c r="CL553" s="3" t="n">
        <v>0</v>
      </c>
      <c r="CM553" s="3" t="n">
        <v>0</v>
      </c>
      <c r="CN553" s="3" t="n">
        <v>0</v>
      </c>
      <c r="CO553" s="3" t="n">
        <v>0</v>
      </c>
      <c r="CP553" s="3" t="n">
        <v>0</v>
      </c>
      <c r="CQ553" s="3" t="n">
        <v>0</v>
      </c>
      <c r="CR553" s="3" t="n">
        <v>0</v>
      </c>
      <c r="CS553" s="3" t="n">
        <v>0</v>
      </c>
      <c r="CU553" s="20" t="inlineStr">
        <is>
          <t>egy.mit.ener.cst.lpg.6</t>
        </is>
      </c>
      <c r="CV553" s="3" t="n">
        <v>0</v>
      </c>
      <c r="CW553" s="3" t="n">
        <v>0</v>
      </c>
      <c r="CX553" s="3" t="n">
        <v>0</v>
      </c>
      <c r="CY553" s="3" t="n">
        <v>0</v>
      </c>
      <c r="CZ553" s="3" t="n">
        <v>0</v>
      </c>
      <c r="DA553" s="3" t="n">
        <v>0</v>
      </c>
      <c r="DB553" s="3" t="n">
        <v>0</v>
      </c>
      <c r="DC553" s="3" t="n">
        <v>0</v>
      </c>
      <c r="DD553" s="3" t="n">
        <v>0</v>
      </c>
      <c r="DE553" s="3" t="n">
        <v>0</v>
      </c>
      <c r="DF553" s="3" t="n">
        <v>0</v>
      </c>
      <c r="DG553" s="3" t="n">
        <v>0</v>
      </c>
      <c r="DH553" s="3" t="n">
        <v>0</v>
      </c>
      <c r="DI553" s="3" t="n">
        <v>0</v>
      </c>
      <c r="DJ553" s="3" t="n">
        <v>0</v>
      </c>
      <c r="DK553" s="3" t="n">
        <v>0</v>
      </c>
      <c r="DL553" s="3" t="n">
        <v>0</v>
      </c>
      <c r="DM553" s="3" t="n">
        <v>0</v>
      </c>
      <c r="DN553" s="3" t="n">
        <v>0</v>
      </c>
      <c r="DO553" s="3" t="n">
        <v>0</v>
      </c>
    </row>
    <row r="554">
      <c r="A554" s="19" t="inlineStr">
        <is>
          <t>mit.ener.cst.ker</t>
        </is>
      </c>
      <c r="B554" s="3" t="inlineStr">
        <is>
          <t>mit</t>
        </is>
      </c>
      <c r="C554" s="19" t="inlineStr">
        <is>
          <t>mit.ener.nfm.ker.e</t>
        </is>
      </c>
      <c r="H554" s="3" t="inlineStr">
        <is>
          <t>Fuel use | Construction | Kerosene</t>
        </is>
      </c>
      <c r="I554" s="3" t="inlineStr">
        <is>
          <t>ktoe</t>
        </is>
      </c>
      <c r="K554" s="20" t="inlineStr">
        <is>
          <t>egy.mit.ener.cst.ker.1</t>
        </is>
      </c>
      <c r="L554" s="3" t="n">
        <v>0</v>
      </c>
      <c r="M554" s="3" t="n">
        <v>0</v>
      </c>
      <c r="N554" s="3" t="n">
        <v>0</v>
      </c>
      <c r="O554" s="3" t="n">
        <v>0</v>
      </c>
      <c r="P554" s="3" t="n">
        <v>0</v>
      </c>
      <c r="Q554" s="3" t="n">
        <v>0</v>
      </c>
      <c r="R554" s="3" t="n">
        <v>0</v>
      </c>
      <c r="S554" s="3" t="n">
        <v>0</v>
      </c>
      <c r="T554" s="3" t="n">
        <v>0</v>
      </c>
      <c r="U554" s="3" t="n">
        <v>0</v>
      </c>
      <c r="V554" s="3" t="n">
        <v>0</v>
      </c>
      <c r="W554" s="3" t="n">
        <v>0</v>
      </c>
      <c r="X554" s="3" t="n">
        <v>0</v>
      </c>
      <c r="Y554" s="3" t="n">
        <v>0</v>
      </c>
      <c r="Z554" s="3" t="n">
        <v>0</v>
      </c>
      <c r="AA554" s="3" t="n">
        <v>0</v>
      </c>
      <c r="AB554" s="3" t="n">
        <v>0</v>
      </c>
      <c r="AC554" s="3" t="n">
        <v>0</v>
      </c>
      <c r="AD554" s="3" t="n">
        <v>0</v>
      </c>
      <c r="AE554" s="3" t="n">
        <v>0</v>
      </c>
      <c r="AG554" s="20" t="inlineStr">
        <is>
          <t>egy.mit.ener.cst.ker.3</t>
        </is>
      </c>
      <c r="AH554" s="3" t="n">
        <v>0</v>
      </c>
      <c r="AI554" s="3" t="n">
        <v>0</v>
      </c>
      <c r="AJ554" s="3" t="n">
        <v>0</v>
      </c>
      <c r="AK554" s="3" t="n">
        <v>0</v>
      </c>
      <c r="AL554" s="3" t="n">
        <v>0</v>
      </c>
      <c r="AM554" s="3" t="n">
        <v>0</v>
      </c>
      <c r="AN554" s="3" t="n">
        <v>0</v>
      </c>
      <c r="AO554" s="3" t="n">
        <v>0</v>
      </c>
      <c r="AP554" s="3" t="n">
        <v>0</v>
      </c>
      <c r="AQ554" s="3" t="n">
        <v>0</v>
      </c>
      <c r="AR554" s="3" t="n">
        <v>0</v>
      </c>
      <c r="AS554" s="3" t="n">
        <v>0</v>
      </c>
      <c r="AT554" s="3" t="n">
        <v>0</v>
      </c>
      <c r="AU554" s="3" t="n">
        <v>0</v>
      </c>
      <c r="AV554" s="3" t="n">
        <v>0</v>
      </c>
      <c r="AW554" s="3" t="n">
        <v>0</v>
      </c>
      <c r="AX554" s="3" t="n">
        <v>0</v>
      </c>
      <c r="AY554" s="3" t="n">
        <v>0</v>
      </c>
      <c r="AZ554" s="3" t="n">
        <v>0</v>
      </c>
      <c r="BA554" s="3" t="n">
        <v>0</v>
      </c>
      <c r="BC554" s="20" t="inlineStr">
        <is>
          <t>egy.mit.ener.cst.ker.4</t>
        </is>
      </c>
      <c r="BD554" s="3" t="n">
        <v>0</v>
      </c>
      <c r="BE554" s="3" t="n">
        <v>0</v>
      </c>
      <c r="BF554" s="3" t="n">
        <v>0</v>
      </c>
      <c r="BG554" s="3" t="n">
        <v>0</v>
      </c>
      <c r="BH554" s="3" t="n">
        <v>0</v>
      </c>
      <c r="BI554" s="3" t="n">
        <v>0</v>
      </c>
      <c r="BJ554" s="3" t="n">
        <v>0</v>
      </c>
      <c r="BK554" s="3" t="n">
        <v>0</v>
      </c>
      <c r="BL554" s="3" t="n">
        <v>0</v>
      </c>
      <c r="BM554" s="3" t="n">
        <v>0</v>
      </c>
      <c r="BN554" s="3" t="n">
        <v>0</v>
      </c>
      <c r="BO554" s="3" t="n">
        <v>0</v>
      </c>
      <c r="BP554" s="3" t="n">
        <v>0</v>
      </c>
      <c r="BQ554" s="3" t="n">
        <v>0</v>
      </c>
      <c r="BR554" s="3" t="n">
        <v>0</v>
      </c>
      <c r="BS554" s="3" t="n">
        <v>0</v>
      </c>
      <c r="BT554" s="3" t="n">
        <v>0</v>
      </c>
      <c r="BU554" s="3" t="n">
        <v>0</v>
      </c>
      <c r="BV554" s="3" t="n">
        <v>0</v>
      </c>
      <c r="BW554" s="3" t="n">
        <v>0</v>
      </c>
      <c r="BY554" s="20" t="inlineStr">
        <is>
          <t>egy.mit.ener.cst.ker.5</t>
        </is>
      </c>
      <c r="BZ554" s="3" t="n">
        <v>0</v>
      </c>
      <c r="CA554" s="3" t="n">
        <v>0</v>
      </c>
      <c r="CB554" s="3" t="n">
        <v>0</v>
      </c>
      <c r="CC554" s="3" t="n">
        <v>0</v>
      </c>
      <c r="CD554" s="3" t="n">
        <v>0</v>
      </c>
      <c r="CE554" s="3" t="n">
        <v>0</v>
      </c>
      <c r="CF554" s="3" t="n">
        <v>0</v>
      </c>
      <c r="CG554" s="3" t="n">
        <v>0</v>
      </c>
      <c r="CH554" s="3" t="n">
        <v>0</v>
      </c>
      <c r="CI554" s="3" t="n">
        <v>0</v>
      </c>
      <c r="CJ554" s="3" t="n">
        <v>0</v>
      </c>
      <c r="CK554" s="3" t="n">
        <v>0</v>
      </c>
      <c r="CL554" s="3" t="n">
        <v>0</v>
      </c>
      <c r="CM554" s="3" t="n">
        <v>0</v>
      </c>
      <c r="CN554" s="3" t="n">
        <v>0</v>
      </c>
      <c r="CO554" s="3" t="n">
        <v>0</v>
      </c>
      <c r="CP554" s="3" t="n">
        <v>0</v>
      </c>
      <c r="CQ554" s="3" t="n">
        <v>0</v>
      </c>
      <c r="CR554" s="3" t="n">
        <v>0</v>
      </c>
      <c r="CS554" s="3" t="n">
        <v>0</v>
      </c>
      <c r="CU554" s="20" t="inlineStr">
        <is>
          <t>egy.mit.ener.cst.ker.6</t>
        </is>
      </c>
      <c r="CV554" s="3" t="n">
        <v>0</v>
      </c>
      <c r="CW554" s="3" t="n">
        <v>0</v>
      </c>
      <c r="CX554" s="3" t="n">
        <v>0</v>
      </c>
      <c r="CY554" s="3" t="n">
        <v>0</v>
      </c>
      <c r="CZ554" s="3" t="n">
        <v>0</v>
      </c>
      <c r="DA554" s="3" t="n">
        <v>0</v>
      </c>
      <c r="DB554" s="3" t="n">
        <v>0</v>
      </c>
      <c r="DC554" s="3" t="n">
        <v>0</v>
      </c>
      <c r="DD554" s="3" t="n">
        <v>0</v>
      </c>
      <c r="DE554" s="3" t="n">
        <v>0</v>
      </c>
      <c r="DF554" s="3" t="n">
        <v>0</v>
      </c>
      <c r="DG554" s="3" t="n">
        <v>0</v>
      </c>
      <c r="DH554" s="3" t="n">
        <v>0</v>
      </c>
      <c r="DI554" s="3" t="n">
        <v>0</v>
      </c>
      <c r="DJ554" s="3" t="n">
        <v>0</v>
      </c>
      <c r="DK554" s="3" t="n">
        <v>0</v>
      </c>
      <c r="DL554" s="3" t="n">
        <v>0</v>
      </c>
      <c r="DM554" s="3" t="n">
        <v>0</v>
      </c>
      <c r="DN554" s="3" t="n">
        <v>0</v>
      </c>
      <c r="DO554" s="3" t="n">
        <v>0</v>
      </c>
    </row>
    <row r="555">
      <c r="A555" s="19" t="inlineStr">
        <is>
          <t>mit.ener.cst.oop</t>
        </is>
      </c>
      <c r="B555" s="3" t="inlineStr">
        <is>
          <t>mit</t>
        </is>
      </c>
      <c r="C555" s="19" t="inlineStr">
        <is>
          <t>mit.ener.nfm.oop.e</t>
        </is>
      </c>
      <c r="H555" s="3" t="inlineStr">
        <is>
          <t>Fuel use | Construction | Other oil products</t>
        </is>
      </c>
      <c r="I555" s="3" t="inlineStr">
        <is>
          <t>ktoe</t>
        </is>
      </c>
      <c r="K555" s="20" t="inlineStr">
        <is>
          <t>egy.mit.ener.cst.oop.1</t>
        </is>
      </c>
      <c r="L555" s="3" t="n">
        <v>0</v>
      </c>
      <c r="M555" s="3" t="n">
        <v>0</v>
      </c>
      <c r="N555" s="3" t="n">
        <v>0</v>
      </c>
      <c r="O555" s="3" t="n">
        <v>0</v>
      </c>
      <c r="P555" s="3" t="n">
        <v>0</v>
      </c>
      <c r="Q555" s="3" t="n">
        <v>0</v>
      </c>
      <c r="R555" s="3" t="n">
        <v>0</v>
      </c>
      <c r="S555" s="3" t="n">
        <v>0</v>
      </c>
      <c r="T555" s="3" t="n">
        <v>0</v>
      </c>
      <c r="U555" s="3" t="n">
        <v>0</v>
      </c>
      <c r="V555" s="3" t="n">
        <v>0</v>
      </c>
      <c r="W555" s="3" t="n">
        <v>0</v>
      </c>
      <c r="X555" s="3" t="n">
        <v>0</v>
      </c>
      <c r="Y555" s="3" t="n">
        <v>0</v>
      </c>
      <c r="Z555" s="3" t="n">
        <v>0</v>
      </c>
      <c r="AA555" s="3" t="n">
        <v>0</v>
      </c>
      <c r="AB555" s="3" t="n">
        <v>0</v>
      </c>
      <c r="AC555" s="3" t="n">
        <v>0</v>
      </c>
      <c r="AD555" s="3" t="n">
        <v>0</v>
      </c>
      <c r="AE555" s="3" t="n">
        <v>0</v>
      </c>
      <c r="AG555" s="20" t="inlineStr">
        <is>
          <t>egy.mit.ener.cst.oop.3</t>
        </is>
      </c>
      <c r="AH555" s="3" t="n">
        <v>0</v>
      </c>
      <c r="AI555" s="3" t="n">
        <v>0</v>
      </c>
      <c r="AJ555" s="3" t="n">
        <v>0</v>
      </c>
      <c r="AK555" s="3" t="n">
        <v>0</v>
      </c>
      <c r="AL555" s="3" t="n">
        <v>0</v>
      </c>
      <c r="AM555" s="3" t="n">
        <v>0</v>
      </c>
      <c r="AN555" s="3" t="n">
        <v>0</v>
      </c>
      <c r="AO555" s="3" t="n">
        <v>0</v>
      </c>
      <c r="AP555" s="3" t="n">
        <v>0</v>
      </c>
      <c r="AQ555" s="3" t="n">
        <v>0</v>
      </c>
      <c r="AR555" s="3" t="n">
        <v>0</v>
      </c>
      <c r="AS555" s="3" t="n">
        <v>0</v>
      </c>
      <c r="AT555" s="3" t="n">
        <v>0</v>
      </c>
      <c r="AU555" s="3" t="n">
        <v>0</v>
      </c>
      <c r="AV555" s="3" t="n">
        <v>0</v>
      </c>
      <c r="AW555" s="3" t="n">
        <v>0</v>
      </c>
      <c r="AX555" s="3" t="n">
        <v>0</v>
      </c>
      <c r="AY555" s="3" t="n">
        <v>0</v>
      </c>
      <c r="AZ555" s="3" t="n">
        <v>0</v>
      </c>
      <c r="BA555" s="3" t="n">
        <v>0</v>
      </c>
      <c r="BC555" s="20" t="inlineStr">
        <is>
          <t>egy.mit.ener.cst.oop.4</t>
        </is>
      </c>
      <c r="BD555" s="3" t="n">
        <v>0</v>
      </c>
      <c r="BE555" s="3" t="n">
        <v>0</v>
      </c>
      <c r="BF555" s="3" t="n">
        <v>0</v>
      </c>
      <c r="BG555" s="3" t="n">
        <v>0</v>
      </c>
      <c r="BH555" s="3" t="n">
        <v>0</v>
      </c>
      <c r="BI555" s="3" t="n">
        <v>0</v>
      </c>
      <c r="BJ555" s="3" t="n">
        <v>0</v>
      </c>
      <c r="BK555" s="3" t="n">
        <v>0</v>
      </c>
      <c r="BL555" s="3" t="n">
        <v>0</v>
      </c>
      <c r="BM555" s="3" t="n">
        <v>0</v>
      </c>
      <c r="BN555" s="3" t="n">
        <v>0</v>
      </c>
      <c r="BO555" s="3" t="n">
        <v>0</v>
      </c>
      <c r="BP555" s="3" t="n">
        <v>0</v>
      </c>
      <c r="BQ555" s="3" t="n">
        <v>0</v>
      </c>
      <c r="BR555" s="3" t="n">
        <v>0</v>
      </c>
      <c r="BS555" s="3" t="n">
        <v>0</v>
      </c>
      <c r="BT555" s="3" t="n">
        <v>0</v>
      </c>
      <c r="BU555" s="3" t="n">
        <v>0</v>
      </c>
      <c r="BV555" s="3" t="n">
        <v>0</v>
      </c>
      <c r="BW555" s="3" t="n">
        <v>0</v>
      </c>
      <c r="BY555" s="20" t="inlineStr">
        <is>
          <t>egy.mit.ener.cst.oop.5</t>
        </is>
      </c>
      <c r="BZ555" s="3" t="n">
        <v>0</v>
      </c>
      <c r="CA555" s="3" t="n">
        <v>0</v>
      </c>
      <c r="CB555" s="3" t="n">
        <v>0</v>
      </c>
      <c r="CC555" s="3" t="n">
        <v>0</v>
      </c>
      <c r="CD555" s="3" t="n">
        <v>0</v>
      </c>
      <c r="CE555" s="3" t="n">
        <v>0</v>
      </c>
      <c r="CF555" s="3" t="n">
        <v>0</v>
      </c>
      <c r="CG555" s="3" t="n">
        <v>0</v>
      </c>
      <c r="CH555" s="3" t="n">
        <v>0</v>
      </c>
      <c r="CI555" s="3" t="n">
        <v>0</v>
      </c>
      <c r="CJ555" s="3" t="n">
        <v>0</v>
      </c>
      <c r="CK555" s="3" t="n">
        <v>0</v>
      </c>
      <c r="CL555" s="3" t="n">
        <v>0</v>
      </c>
      <c r="CM555" s="3" t="n">
        <v>0</v>
      </c>
      <c r="CN555" s="3" t="n">
        <v>0</v>
      </c>
      <c r="CO555" s="3" t="n">
        <v>0</v>
      </c>
      <c r="CP555" s="3" t="n">
        <v>0</v>
      </c>
      <c r="CQ555" s="3" t="n">
        <v>0</v>
      </c>
      <c r="CR555" s="3" t="n">
        <v>0</v>
      </c>
      <c r="CS555" s="3" t="n">
        <v>0</v>
      </c>
      <c r="CU555" s="20" t="inlineStr">
        <is>
          <t>egy.mit.ener.cst.oop.6</t>
        </is>
      </c>
      <c r="CV555" s="3" t="n">
        <v>0</v>
      </c>
      <c r="CW555" s="3" t="n">
        <v>0</v>
      </c>
      <c r="CX555" s="3" t="n">
        <v>0</v>
      </c>
      <c r="CY555" s="3" t="n">
        <v>0</v>
      </c>
      <c r="CZ555" s="3" t="n">
        <v>0</v>
      </c>
      <c r="DA555" s="3" t="n">
        <v>0</v>
      </c>
      <c r="DB555" s="3" t="n">
        <v>0</v>
      </c>
      <c r="DC555" s="3" t="n">
        <v>0</v>
      </c>
      <c r="DD555" s="3" t="n">
        <v>0</v>
      </c>
      <c r="DE555" s="3" t="n">
        <v>0</v>
      </c>
      <c r="DF555" s="3" t="n">
        <v>0</v>
      </c>
      <c r="DG555" s="3" t="n">
        <v>0</v>
      </c>
      <c r="DH555" s="3" t="n">
        <v>0</v>
      </c>
      <c r="DI555" s="3" t="n">
        <v>0</v>
      </c>
      <c r="DJ555" s="3" t="n">
        <v>0</v>
      </c>
      <c r="DK555" s="3" t="n">
        <v>0</v>
      </c>
      <c r="DL555" s="3" t="n">
        <v>0</v>
      </c>
      <c r="DM555" s="3" t="n">
        <v>0</v>
      </c>
      <c r="DN555" s="3" t="n">
        <v>0</v>
      </c>
      <c r="DO555" s="3" t="n">
        <v>0</v>
      </c>
    </row>
    <row r="556">
      <c r="A556" s="19" t="inlineStr">
        <is>
          <t>mit.ener.cst.bio</t>
        </is>
      </c>
      <c r="B556" s="3" t="inlineStr">
        <is>
          <t>mit</t>
        </is>
      </c>
      <c r="C556" s="19" t="inlineStr">
        <is>
          <t>mit.ener.nfm.bio.e</t>
        </is>
      </c>
      <c r="H556" s="3" t="inlineStr">
        <is>
          <t>Fuel use | Construction | Biomass</t>
        </is>
      </c>
      <c r="I556" s="3" t="inlineStr">
        <is>
          <t>ktoe</t>
        </is>
      </c>
      <c r="K556" s="20" t="inlineStr">
        <is>
          <t>egy.mit.ener.cst.bio.1</t>
        </is>
      </c>
      <c r="L556" s="3" t="n">
        <v>0</v>
      </c>
      <c r="M556" s="3" t="n">
        <v>0</v>
      </c>
      <c r="N556" s="3" t="n">
        <v>0</v>
      </c>
      <c r="O556" s="3" t="n">
        <v>0</v>
      </c>
      <c r="P556" s="3" t="n">
        <v>0</v>
      </c>
      <c r="Q556" s="3" t="n">
        <v>0</v>
      </c>
      <c r="R556" s="3" t="n">
        <v>0</v>
      </c>
      <c r="S556" s="3" t="n">
        <v>0</v>
      </c>
      <c r="T556" s="3" t="n">
        <v>0</v>
      </c>
      <c r="U556" s="3" t="n">
        <v>0</v>
      </c>
      <c r="V556" s="3" t="n">
        <v>0</v>
      </c>
      <c r="W556" s="3" t="n">
        <v>0</v>
      </c>
      <c r="X556" s="3" t="n">
        <v>0</v>
      </c>
      <c r="Y556" s="3" t="n">
        <v>0</v>
      </c>
      <c r="Z556" s="3" t="n">
        <v>0</v>
      </c>
      <c r="AA556" s="3" t="n">
        <v>0</v>
      </c>
      <c r="AB556" s="3" t="n">
        <v>0</v>
      </c>
      <c r="AC556" s="3" t="n">
        <v>0</v>
      </c>
      <c r="AD556" s="3" t="n">
        <v>0</v>
      </c>
      <c r="AE556" s="3" t="n">
        <v>0</v>
      </c>
      <c r="AG556" s="20" t="inlineStr">
        <is>
          <t>egy.mit.ener.cst.bio.3</t>
        </is>
      </c>
      <c r="AH556" s="3" t="n">
        <v>0</v>
      </c>
      <c r="AI556" s="3" t="n">
        <v>0</v>
      </c>
      <c r="AJ556" s="3" t="n">
        <v>0</v>
      </c>
      <c r="AK556" s="3" t="n">
        <v>0</v>
      </c>
      <c r="AL556" s="3" t="n">
        <v>0</v>
      </c>
      <c r="AM556" s="3" t="n">
        <v>0</v>
      </c>
      <c r="AN556" s="3" t="n">
        <v>0</v>
      </c>
      <c r="AO556" s="3" t="n">
        <v>0</v>
      </c>
      <c r="AP556" s="3" t="n">
        <v>0</v>
      </c>
      <c r="AQ556" s="3" t="n">
        <v>0</v>
      </c>
      <c r="AR556" s="3" t="n">
        <v>0</v>
      </c>
      <c r="AS556" s="3" t="n">
        <v>0</v>
      </c>
      <c r="AT556" s="3" t="n">
        <v>0</v>
      </c>
      <c r="AU556" s="3" t="n">
        <v>0</v>
      </c>
      <c r="AV556" s="3" t="n">
        <v>0</v>
      </c>
      <c r="AW556" s="3" t="n">
        <v>0</v>
      </c>
      <c r="AX556" s="3" t="n">
        <v>0</v>
      </c>
      <c r="AY556" s="3" t="n">
        <v>0</v>
      </c>
      <c r="AZ556" s="3" t="n">
        <v>0</v>
      </c>
      <c r="BA556" s="3" t="n">
        <v>0</v>
      </c>
      <c r="BC556" s="20" t="inlineStr">
        <is>
          <t>egy.mit.ener.cst.bio.4</t>
        </is>
      </c>
      <c r="BD556" s="3" t="n">
        <v>0</v>
      </c>
      <c r="BE556" s="3" t="n">
        <v>0</v>
      </c>
      <c r="BF556" s="3" t="n">
        <v>0</v>
      </c>
      <c r="BG556" s="3" t="n">
        <v>0</v>
      </c>
      <c r="BH556" s="3" t="n">
        <v>0</v>
      </c>
      <c r="BI556" s="3" t="n">
        <v>0</v>
      </c>
      <c r="BJ556" s="3" t="n">
        <v>0</v>
      </c>
      <c r="BK556" s="3" t="n">
        <v>0</v>
      </c>
      <c r="BL556" s="3" t="n">
        <v>0</v>
      </c>
      <c r="BM556" s="3" t="n">
        <v>0</v>
      </c>
      <c r="BN556" s="3" t="n">
        <v>0</v>
      </c>
      <c r="BO556" s="3" t="n">
        <v>0</v>
      </c>
      <c r="BP556" s="3" t="n">
        <v>0</v>
      </c>
      <c r="BQ556" s="3" t="n">
        <v>0</v>
      </c>
      <c r="BR556" s="3" t="n">
        <v>0</v>
      </c>
      <c r="BS556" s="3" t="n">
        <v>0</v>
      </c>
      <c r="BT556" s="3" t="n">
        <v>0</v>
      </c>
      <c r="BU556" s="3" t="n">
        <v>0</v>
      </c>
      <c r="BV556" s="3" t="n">
        <v>0</v>
      </c>
      <c r="BW556" s="3" t="n">
        <v>0</v>
      </c>
      <c r="BY556" s="20" t="inlineStr">
        <is>
          <t>egy.mit.ener.cst.bio.5</t>
        </is>
      </c>
      <c r="BZ556" s="3" t="n">
        <v>0</v>
      </c>
      <c r="CA556" s="3" t="n">
        <v>0</v>
      </c>
      <c r="CB556" s="3" t="n">
        <v>0</v>
      </c>
      <c r="CC556" s="3" t="n">
        <v>0</v>
      </c>
      <c r="CD556" s="3" t="n">
        <v>0</v>
      </c>
      <c r="CE556" s="3" t="n">
        <v>0</v>
      </c>
      <c r="CF556" s="3" t="n">
        <v>0</v>
      </c>
      <c r="CG556" s="3" t="n">
        <v>0</v>
      </c>
      <c r="CH556" s="3" t="n">
        <v>0</v>
      </c>
      <c r="CI556" s="3" t="n">
        <v>0</v>
      </c>
      <c r="CJ556" s="3" t="n">
        <v>0</v>
      </c>
      <c r="CK556" s="3" t="n">
        <v>0</v>
      </c>
      <c r="CL556" s="3" t="n">
        <v>0</v>
      </c>
      <c r="CM556" s="3" t="n">
        <v>0</v>
      </c>
      <c r="CN556" s="3" t="n">
        <v>0</v>
      </c>
      <c r="CO556" s="3" t="n">
        <v>0</v>
      </c>
      <c r="CP556" s="3" t="n">
        <v>0</v>
      </c>
      <c r="CQ556" s="3" t="n">
        <v>0</v>
      </c>
      <c r="CR556" s="3" t="n">
        <v>0</v>
      </c>
      <c r="CS556" s="3" t="n">
        <v>0</v>
      </c>
      <c r="CU556" s="20" t="inlineStr">
        <is>
          <t>egy.mit.ener.cst.bio.6</t>
        </is>
      </c>
      <c r="CV556" s="3" t="n">
        <v>0</v>
      </c>
      <c r="CW556" s="3" t="n">
        <v>0</v>
      </c>
      <c r="CX556" s="3" t="n">
        <v>0</v>
      </c>
      <c r="CY556" s="3" t="n">
        <v>0</v>
      </c>
      <c r="CZ556" s="3" t="n">
        <v>0</v>
      </c>
      <c r="DA556" s="3" t="n">
        <v>0</v>
      </c>
      <c r="DB556" s="3" t="n">
        <v>0</v>
      </c>
      <c r="DC556" s="3" t="n">
        <v>0</v>
      </c>
      <c r="DD556" s="3" t="n">
        <v>0</v>
      </c>
      <c r="DE556" s="3" t="n">
        <v>0</v>
      </c>
      <c r="DF556" s="3" t="n">
        <v>0</v>
      </c>
      <c r="DG556" s="3" t="n">
        <v>0</v>
      </c>
      <c r="DH556" s="3" t="n">
        <v>0</v>
      </c>
      <c r="DI556" s="3" t="n">
        <v>0</v>
      </c>
      <c r="DJ556" s="3" t="n">
        <v>0</v>
      </c>
      <c r="DK556" s="3" t="n">
        <v>0</v>
      </c>
      <c r="DL556" s="3" t="n">
        <v>0</v>
      </c>
      <c r="DM556" s="3" t="n">
        <v>0</v>
      </c>
      <c r="DN556" s="3" t="n">
        <v>0</v>
      </c>
      <c r="DO556" s="3" t="n">
        <v>0</v>
      </c>
    </row>
    <row r="557">
      <c r="A557" s="14" t="n"/>
      <c r="B557" s="3" t="inlineStr">
        <is>
          <t>mit</t>
        </is>
      </c>
      <c r="C557" s="19" t="inlineStr">
        <is>
          <t>mit.ener.nfm.ren.e</t>
        </is>
      </c>
      <c r="H557" s="14" t="inlineStr">
        <is>
          <t>Energy consumption, construction, sector-generated renewables, policy</t>
        </is>
      </c>
      <c r="I557" s="14" t="inlineStr">
        <is>
          <t>ktoe</t>
        </is>
      </c>
    </row>
    <row r="558">
      <c r="A558" s="19" t="inlineStr">
        <is>
          <t>mit.ener.ftr.coa</t>
        </is>
      </c>
      <c r="B558" s="3" t="inlineStr">
        <is>
          <t>mit</t>
        </is>
      </c>
      <c r="C558" s="19" t="inlineStr">
        <is>
          <t>mit.ener.mac.coa.e</t>
        </is>
      </c>
      <c r="H558" s="3" t="inlineStr">
        <is>
          <t>Fuel use | Fuel transformation | Coal</t>
        </is>
      </c>
      <c r="I558" s="3" t="inlineStr">
        <is>
          <t>ktoe</t>
        </is>
      </c>
      <c r="K558" s="20" t="inlineStr">
        <is>
          <t>egy.mit.ener.ftr.coa.1</t>
        </is>
      </c>
      <c r="L558" s="3" t="n">
        <v>0</v>
      </c>
      <c r="M558" s="3" t="n">
        <v>0</v>
      </c>
      <c r="N558" s="3" t="n">
        <v>0</v>
      </c>
      <c r="O558" s="3" t="n">
        <v>0</v>
      </c>
      <c r="P558" s="3" t="n">
        <v>0</v>
      </c>
      <c r="Q558" s="3" t="n">
        <v>0</v>
      </c>
      <c r="R558" s="3" t="n">
        <v>0</v>
      </c>
      <c r="S558" s="3" t="n">
        <v>0</v>
      </c>
      <c r="T558" s="3" t="n">
        <v>0</v>
      </c>
      <c r="U558" s="3" t="n">
        <v>0</v>
      </c>
      <c r="V558" s="3" t="n">
        <v>0</v>
      </c>
      <c r="W558" s="3" t="n">
        <v>0</v>
      </c>
      <c r="X558" s="3" t="n">
        <v>0</v>
      </c>
      <c r="Y558" s="3" t="n">
        <v>0</v>
      </c>
      <c r="Z558" s="3" t="n">
        <v>0</v>
      </c>
      <c r="AA558" s="3" t="n">
        <v>0</v>
      </c>
      <c r="AB558" s="3" t="n">
        <v>0</v>
      </c>
      <c r="AC558" s="3" t="n">
        <v>0</v>
      </c>
      <c r="AD558" s="3" t="n">
        <v>0</v>
      </c>
      <c r="AE558" s="3" t="n">
        <v>0</v>
      </c>
      <c r="AG558" s="20" t="inlineStr">
        <is>
          <t>egy.mit.ener.ftr.coa.3</t>
        </is>
      </c>
      <c r="AH558" s="3" t="n">
        <v>0</v>
      </c>
      <c r="AI558" s="3" t="n">
        <v>0</v>
      </c>
      <c r="AJ558" s="3" t="n">
        <v>0</v>
      </c>
      <c r="AK558" s="3" t="n">
        <v>0</v>
      </c>
      <c r="AL558" s="3" t="n">
        <v>0</v>
      </c>
      <c r="AM558" s="3" t="n">
        <v>0</v>
      </c>
      <c r="AN558" s="3" t="n">
        <v>0</v>
      </c>
      <c r="AO558" s="3" t="n">
        <v>0</v>
      </c>
      <c r="AP558" s="3" t="n">
        <v>0</v>
      </c>
      <c r="AQ558" s="3" t="n">
        <v>0</v>
      </c>
      <c r="AR558" s="3" t="n">
        <v>0</v>
      </c>
      <c r="AS558" s="3" t="n">
        <v>0</v>
      </c>
      <c r="AT558" s="3" t="n">
        <v>0</v>
      </c>
      <c r="AU558" s="3" t="n">
        <v>0</v>
      </c>
      <c r="AV558" s="3" t="n">
        <v>0</v>
      </c>
      <c r="AW558" s="3" t="n">
        <v>0</v>
      </c>
      <c r="AX558" s="3" t="n">
        <v>0</v>
      </c>
      <c r="AY558" s="3" t="n">
        <v>0</v>
      </c>
      <c r="AZ558" s="3" t="n">
        <v>0</v>
      </c>
      <c r="BA558" s="3" t="n">
        <v>0</v>
      </c>
      <c r="BC558" s="20" t="inlineStr">
        <is>
          <t>egy.mit.ener.ftr.coa.4</t>
        </is>
      </c>
      <c r="BD558" s="3" t="n">
        <v>0</v>
      </c>
      <c r="BE558" s="3" t="n">
        <v>0</v>
      </c>
      <c r="BF558" s="3" t="n">
        <v>0</v>
      </c>
      <c r="BG558" s="3" t="n">
        <v>0</v>
      </c>
      <c r="BH558" s="3" t="n">
        <v>0</v>
      </c>
      <c r="BI558" s="3" t="n">
        <v>0</v>
      </c>
      <c r="BJ558" s="3" t="n">
        <v>0</v>
      </c>
      <c r="BK558" s="3" t="n">
        <v>0</v>
      </c>
      <c r="BL558" s="3" t="n">
        <v>0</v>
      </c>
      <c r="BM558" s="3" t="n">
        <v>0</v>
      </c>
      <c r="BN558" s="3" t="n">
        <v>0</v>
      </c>
      <c r="BO558" s="3" t="n">
        <v>0</v>
      </c>
      <c r="BP558" s="3" t="n">
        <v>0</v>
      </c>
      <c r="BQ558" s="3" t="n">
        <v>0</v>
      </c>
      <c r="BR558" s="3" t="n">
        <v>0</v>
      </c>
      <c r="BS558" s="3" t="n">
        <v>0</v>
      </c>
      <c r="BT558" s="3" t="n">
        <v>0</v>
      </c>
      <c r="BU558" s="3" t="n">
        <v>0</v>
      </c>
      <c r="BV558" s="3" t="n">
        <v>0</v>
      </c>
      <c r="BW558" s="3" t="n">
        <v>0</v>
      </c>
      <c r="BY558" s="20" t="inlineStr">
        <is>
          <t>egy.mit.ener.ftr.coa.5</t>
        </is>
      </c>
      <c r="BZ558" s="3" t="n">
        <v>0</v>
      </c>
      <c r="CA558" s="3" t="n">
        <v>0</v>
      </c>
      <c r="CB558" s="3" t="n">
        <v>0</v>
      </c>
      <c r="CC558" s="3" t="n">
        <v>0</v>
      </c>
      <c r="CD558" s="3" t="n">
        <v>0</v>
      </c>
      <c r="CE558" s="3" t="n">
        <v>0</v>
      </c>
      <c r="CF558" s="3" t="n">
        <v>0</v>
      </c>
      <c r="CG558" s="3" t="n">
        <v>0</v>
      </c>
      <c r="CH558" s="3" t="n">
        <v>0</v>
      </c>
      <c r="CI558" s="3" t="n">
        <v>0</v>
      </c>
      <c r="CJ558" s="3" t="n">
        <v>0</v>
      </c>
      <c r="CK558" s="3" t="n">
        <v>0</v>
      </c>
      <c r="CL558" s="3" t="n">
        <v>0</v>
      </c>
      <c r="CM558" s="3" t="n">
        <v>0</v>
      </c>
      <c r="CN558" s="3" t="n">
        <v>0</v>
      </c>
      <c r="CO558" s="3" t="n">
        <v>0</v>
      </c>
      <c r="CP558" s="3" t="n">
        <v>0</v>
      </c>
      <c r="CQ558" s="3" t="n">
        <v>0</v>
      </c>
      <c r="CR558" s="3" t="n">
        <v>0</v>
      </c>
      <c r="CS558" s="3" t="n">
        <v>0</v>
      </c>
      <c r="CU558" s="20" t="inlineStr">
        <is>
          <t>egy.mit.ener.ftr.coa.6</t>
        </is>
      </c>
      <c r="CV558" s="3" t="n">
        <v>0</v>
      </c>
      <c r="CW558" s="3" t="n">
        <v>0</v>
      </c>
      <c r="CX558" s="3" t="n">
        <v>0</v>
      </c>
      <c r="CY558" s="3" t="n">
        <v>0</v>
      </c>
      <c r="CZ558" s="3" t="n">
        <v>0</v>
      </c>
      <c r="DA558" s="3" t="n">
        <v>0</v>
      </c>
      <c r="DB558" s="3" t="n">
        <v>0</v>
      </c>
      <c r="DC558" s="3" t="n">
        <v>0</v>
      </c>
      <c r="DD558" s="3" t="n">
        <v>0</v>
      </c>
      <c r="DE558" s="3" t="n">
        <v>0</v>
      </c>
      <c r="DF558" s="3" t="n">
        <v>0</v>
      </c>
      <c r="DG558" s="3" t="n">
        <v>0</v>
      </c>
      <c r="DH558" s="3" t="n">
        <v>0</v>
      </c>
      <c r="DI558" s="3" t="n">
        <v>0</v>
      </c>
      <c r="DJ558" s="3" t="n">
        <v>0</v>
      </c>
      <c r="DK558" s="3" t="n">
        <v>0</v>
      </c>
      <c r="DL558" s="3" t="n">
        <v>0</v>
      </c>
      <c r="DM558" s="3" t="n">
        <v>0</v>
      </c>
      <c r="DN558" s="3" t="n">
        <v>0</v>
      </c>
      <c r="DO558" s="3" t="n">
        <v>0</v>
      </c>
    </row>
    <row r="559">
      <c r="A559" s="19" t="inlineStr">
        <is>
          <t>mit.ener.ftr.nga</t>
        </is>
      </c>
      <c r="B559" s="3" t="inlineStr">
        <is>
          <t>mit</t>
        </is>
      </c>
      <c r="C559" s="19" t="inlineStr">
        <is>
          <t>mit.ener.mac.nga.e</t>
        </is>
      </c>
      <c r="H559" s="3" t="inlineStr">
        <is>
          <t>Fuel use | Fuel transformation | Natural gas</t>
        </is>
      </c>
      <c r="I559" s="3" t="inlineStr">
        <is>
          <t>ktoe</t>
        </is>
      </c>
      <c r="K559" s="20" t="inlineStr">
        <is>
          <t>egy.mit.ener.ftr.nga.1</t>
        </is>
      </c>
      <c r="L559" s="3" t="n">
        <v>6750.938005416565</v>
      </c>
      <c r="M559" s="3" t="n">
        <v>5346.890650619523</v>
      </c>
      <c r="N559" s="3" t="n">
        <v>6166.27439682051</v>
      </c>
      <c r="O559" s="3" t="n">
        <v>6409.949403579517</v>
      </c>
      <c r="P559" s="3" t="n">
        <v>6650.669658495647</v>
      </c>
      <c r="Q559" s="3" t="n">
        <v>6937.488571897642</v>
      </c>
      <c r="R559" s="3" t="n">
        <v>7281.981483282297</v>
      </c>
      <c r="S559" s="3" t="n">
        <v>7617.043505076111</v>
      </c>
      <c r="T559" s="3" t="n">
        <v>7935.034023131825</v>
      </c>
      <c r="U559" s="3" t="n">
        <v>8259.909637861889</v>
      </c>
      <c r="V559" s="3" t="n">
        <v>8592.85633756986</v>
      </c>
      <c r="W559" s="3" t="n">
        <v>8933.875032966203</v>
      </c>
      <c r="X559" s="3" t="n">
        <v>9282.960597011526</v>
      </c>
      <c r="Y559" s="3" t="n">
        <v>9640.101773771739</v>
      </c>
      <c r="Z559" s="3" t="n">
        <v>10005.28107483389</v>
      </c>
      <c r="AA559" s="3" t="n">
        <v>10378.47466225879</v>
      </c>
      <c r="AB559" s="3" t="n">
        <v>10759.65221708639</v>
      </c>
      <c r="AC559" s="3" t="n">
        <v>11148.77679244924</v>
      </c>
      <c r="AD559" s="3" t="n">
        <v>11545.80465038743</v>
      </c>
      <c r="AE559" s="3" t="n">
        <v>11950.68508149638</v>
      </c>
      <c r="AG559" s="20" t="inlineStr">
        <is>
          <t>egy.mit.ener.ftr.nga.3</t>
        </is>
      </c>
      <c r="AH559" s="3" t="n">
        <v>6750.938005416565</v>
      </c>
      <c r="AI559" s="3" t="n">
        <v>5346.890650619523</v>
      </c>
      <c r="AJ559" s="3" t="n">
        <v>6166.27439682051</v>
      </c>
      <c r="AK559" s="3" t="n">
        <v>6409.949403579517</v>
      </c>
      <c r="AL559" s="3" t="n">
        <v>6650.669658495647</v>
      </c>
      <c r="AM559" s="3" t="n">
        <v>5949.128472178632</v>
      </c>
      <c r="AN559" s="3" t="n">
        <v>6244.541480718026</v>
      </c>
      <c r="AO559" s="3" t="n">
        <v>6535.662335651255</v>
      </c>
      <c r="AP559" s="3" t="n">
        <v>6799.632684250567</v>
      </c>
      <c r="AQ559" s="3" t="n">
        <v>7079.609708713388</v>
      </c>
      <c r="AR559" s="3" t="n">
        <v>7361.169546736442</v>
      </c>
      <c r="AS559" s="3" t="n">
        <v>7658.496212044626</v>
      </c>
      <c r="AT559" s="3" t="n">
        <v>7967.434154156158</v>
      </c>
      <c r="AU559" s="3" t="n">
        <v>8281.620303828478</v>
      </c>
      <c r="AV559" s="3" t="n">
        <v>8605.089321735983</v>
      </c>
      <c r="AW559" s="3" t="n">
        <v>8940.698810443375</v>
      </c>
      <c r="AX559" s="3" t="n">
        <v>9279.347292863562</v>
      </c>
      <c r="AY559" s="3" t="n">
        <v>9622.833730647102</v>
      </c>
      <c r="AZ559" s="3" t="n">
        <v>9967.542097346077</v>
      </c>
      <c r="BA559" s="3" t="n">
        <v>10317.38836018886</v>
      </c>
      <c r="BC559" s="20" t="inlineStr">
        <is>
          <t>egy.mit.ener.ftr.nga.4</t>
        </is>
      </c>
      <c r="BD559" s="3" t="n">
        <v>6750.938005416565</v>
      </c>
      <c r="BE559" s="3" t="n">
        <v>5346.890650619523</v>
      </c>
      <c r="BF559" s="3" t="n">
        <v>6166.27439682051</v>
      </c>
      <c r="BG559" s="3" t="n">
        <v>6409.949403579517</v>
      </c>
      <c r="BH559" s="3" t="n">
        <v>6650.669658495647</v>
      </c>
      <c r="BI559" s="3" t="n">
        <v>6319.967749416692</v>
      </c>
      <c r="BJ559" s="3" t="n">
        <v>5953.438311394104</v>
      </c>
      <c r="BK559" s="3" t="n">
        <v>5669.003263135066</v>
      </c>
      <c r="BL559" s="3" t="n">
        <v>5430.020467575433</v>
      </c>
      <c r="BM559" s="3" t="n">
        <v>5290.535715695605</v>
      </c>
      <c r="BN559" s="3" t="n">
        <v>5177.708378576073</v>
      </c>
      <c r="BO559" s="3" t="n">
        <v>5089.735692873617</v>
      </c>
      <c r="BP559" s="3" t="n">
        <v>5024.005761046932</v>
      </c>
      <c r="BQ559" s="3" t="n">
        <v>4975.754345733125</v>
      </c>
      <c r="BR559" s="3" t="n">
        <v>4942.268020460875</v>
      </c>
      <c r="BS559" s="3" t="n">
        <v>4922.554149362739</v>
      </c>
      <c r="BT559" s="3" t="n">
        <v>4913.460530481606</v>
      </c>
      <c r="BU559" s="3" t="n">
        <v>4912.763933243475</v>
      </c>
      <c r="BV559" s="3" t="n">
        <v>4917.313360639337</v>
      </c>
      <c r="BW559" s="3" t="n">
        <v>4925.851876882189</v>
      </c>
      <c r="BY559" s="20" t="inlineStr">
        <is>
          <t>egy.mit.ener.ftr.nga.5</t>
        </is>
      </c>
      <c r="BZ559" s="3" t="n">
        <v>6750.938005416565</v>
      </c>
      <c r="CA559" s="3" t="n">
        <v>5346.890650619523</v>
      </c>
      <c r="CB559" s="3" t="n">
        <v>6166.27439682051</v>
      </c>
      <c r="CC559" s="3" t="n">
        <v>6409.949403579517</v>
      </c>
      <c r="CD559" s="3" t="n">
        <v>6650.669658495647</v>
      </c>
      <c r="CE559" s="3" t="n">
        <v>5750.479275252957</v>
      </c>
      <c r="CF559" s="3" t="n">
        <v>6036.022757315335</v>
      </c>
      <c r="CG559" s="3" t="n">
        <v>6316.878453378503</v>
      </c>
      <c r="CH559" s="3" t="n">
        <v>6572.540287575296</v>
      </c>
      <c r="CI559" s="3" t="n">
        <v>6844.915639701135</v>
      </c>
      <c r="CJ559" s="3" t="n">
        <v>7116.683016139548</v>
      </c>
      <c r="CK559" s="3" t="n">
        <v>7404.753952223363</v>
      </c>
      <c r="CL559" s="3" t="n">
        <v>7700.28840329776</v>
      </c>
      <c r="CM559" s="3" t="n">
        <v>8001.433342432888</v>
      </c>
      <c r="CN559" s="3" t="n">
        <v>8311.345289771079</v>
      </c>
      <c r="CO559" s="3" t="n">
        <v>8631.699366504146</v>
      </c>
      <c r="CP559" s="3" t="n">
        <v>8955.14548664935</v>
      </c>
      <c r="CQ559" s="3" t="n">
        <v>9284.620729562388</v>
      </c>
      <c r="CR559" s="3" t="n">
        <v>9616.395322232347</v>
      </c>
      <c r="CS559" s="3" t="n">
        <v>9955.32221362617</v>
      </c>
      <c r="CU559" s="20" t="inlineStr">
        <is>
          <t>egy.mit.ener.ftr.nga.6</t>
        </is>
      </c>
      <c r="CV559" s="3" t="n">
        <v>6750.938005416565</v>
      </c>
      <c r="CW559" s="3" t="n">
        <v>5346.890650619523</v>
      </c>
      <c r="CX559" s="3" t="n">
        <v>6166.27439682051</v>
      </c>
      <c r="CY559" s="3" t="n">
        <v>6409.949403579517</v>
      </c>
      <c r="CZ559" s="3" t="n">
        <v>6650.669658495647</v>
      </c>
      <c r="DA559" s="3" t="n">
        <v>4949.605860283213</v>
      </c>
      <c r="DB559" s="3" t="n">
        <v>5195.384796640864</v>
      </c>
      <c r="DC559" s="3" t="n">
        <v>5441.195874577345</v>
      </c>
      <c r="DD559" s="3" t="n">
        <v>5652.289760838117</v>
      </c>
      <c r="DE559" s="3" t="n">
        <v>5887.286445684465</v>
      </c>
      <c r="DF559" s="3" t="n">
        <v>6117.242239754613</v>
      </c>
      <c r="DG559" s="3" t="n">
        <v>6369.806704852842</v>
      </c>
      <c r="DH559" s="3" t="n">
        <v>6635.253116622082</v>
      </c>
      <c r="DI559" s="3" t="n">
        <v>6903.932640797198</v>
      </c>
      <c r="DJ559" s="3" t="n">
        <v>7182.439282227645</v>
      </c>
      <c r="DK559" s="3" t="n">
        <v>7476.049236984014</v>
      </c>
      <c r="DL559" s="3" t="n">
        <v>7768.340808491833</v>
      </c>
      <c r="DM559" s="3" t="n">
        <v>8063.298480764807</v>
      </c>
      <c r="DN559" s="3" t="n">
        <v>8354.078871616117</v>
      </c>
      <c r="DO559" s="3" t="n">
        <v>8648.013086737963</v>
      </c>
    </row>
    <row r="560">
      <c r="A560" s="19" t="inlineStr">
        <is>
          <t>mit.ener.ftr.gso</t>
        </is>
      </c>
      <c r="B560" s="3" t="inlineStr">
        <is>
          <t>mit</t>
        </is>
      </c>
      <c r="C560" s="19" t="inlineStr">
        <is>
          <t>mit.ener.mac.gso.e</t>
        </is>
      </c>
      <c r="H560" s="3" t="inlineStr">
        <is>
          <t>Fuel use | Fuel transformation | Gasoline</t>
        </is>
      </c>
      <c r="I560" s="3" t="inlineStr">
        <is>
          <t>ktoe</t>
        </is>
      </c>
      <c r="K560" s="20" t="inlineStr">
        <is>
          <t>egy.mit.ener.ftr.gso.1</t>
        </is>
      </c>
      <c r="L560" s="3" t="n">
        <v>0</v>
      </c>
      <c r="M560" s="3" t="n">
        <v>0</v>
      </c>
      <c r="N560" s="3" t="n">
        <v>0</v>
      </c>
      <c r="O560" s="3" t="n">
        <v>0</v>
      </c>
      <c r="P560" s="3" t="n">
        <v>0</v>
      </c>
      <c r="Q560" s="3" t="n">
        <v>0</v>
      </c>
      <c r="R560" s="3" t="n">
        <v>0</v>
      </c>
      <c r="S560" s="3" t="n">
        <v>0</v>
      </c>
      <c r="T560" s="3" t="n">
        <v>0</v>
      </c>
      <c r="U560" s="3" t="n">
        <v>0</v>
      </c>
      <c r="V560" s="3" t="n">
        <v>0</v>
      </c>
      <c r="W560" s="3" t="n">
        <v>0</v>
      </c>
      <c r="X560" s="3" t="n">
        <v>0</v>
      </c>
      <c r="Y560" s="3" t="n">
        <v>0</v>
      </c>
      <c r="Z560" s="3" t="n">
        <v>0</v>
      </c>
      <c r="AA560" s="3" t="n">
        <v>0</v>
      </c>
      <c r="AB560" s="3" t="n">
        <v>0</v>
      </c>
      <c r="AC560" s="3" t="n">
        <v>0</v>
      </c>
      <c r="AD560" s="3" t="n">
        <v>0</v>
      </c>
      <c r="AE560" s="3" t="n">
        <v>0</v>
      </c>
      <c r="AG560" s="20" t="inlineStr">
        <is>
          <t>egy.mit.ener.ftr.gso.3</t>
        </is>
      </c>
      <c r="AH560" s="3" t="n">
        <v>0</v>
      </c>
      <c r="AI560" s="3" t="n">
        <v>0</v>
      </c>
      <c r="AJ560" s="3" t="n">
        <v>0</v>
      </c>
      <c r="AK560" s="3" t="n">
        <v>0</v>
      </c>
      <c r="AL560" s="3" t="n">
        <v>0</v>
      </c>
      <c r="AM560" s="3" t="n">
        <v>0</v>
      </c>
      <c r="AN560" s="3" t="n">
        <v>0</v>
      </c>
      <c r="AO560" s="3" t="n">
        <v>0</v>
      </c>
      <c r="AP560" s="3" t="n">
        <v>0</v>
      </c>
      <c r="AQ560" s="3" t="n">
        <v>0</v>
      </c>
      <c r="AR560" s="3" t="n">
        <v>0</v>
      </c>
      <c r="AS560" s="3" t="n">
        <v>0</v>
      </c>
      <c r="AT560" s="3" t="n">
        <v>0</v>
      </c>
      <c r="AU560" s="3" t="n">
        <v>0</v>
      </c>
      <c r="AV560" s="3" t="n">
        <v>0</v>
      </c>
      <c r="AW560" s="3" t="n">
        <v>0</v>
      </c>
      <c r="AX560" s="3" t="n">
        <v>0</v>
      </c>
      <c r="AY560" s="3" t="n">
        <v>0</v>
      </c>
      <c r="AZ560" s="3" t="n">
        <v>0</v>
      </c>
      <c r="BA560" s="3" t="n">
        <v>0</v>
      </c>
      <c r="BC560" s="20" t="inlineStr">
        <is>
          <t>egy.mit.ener.ftr.gso.4</t>
        </is>
      </c>
      <c r="BD560" s="3" t="n">
        <v>0</v>
      </c>
      <c r="BE560" s="3" t="n">
        <v>0</v>
      </c>
      <c r="BF560" s="3" t="n">
        <v>0</v>
      </c>
      <c r="BG560" s="3" t="n">
        <v>0</v>
      </c>
      <c r="BH560" s="3" t="n">
        <v>0</v>
      </c>
      <c r="BI560" s="3" t="n">
        <v>0</v>
      </c>
      <c r="BJ560" s="3" t="n">
        <v>0</v>
      </c>
      <c r="BK560" s="3" t="n">
        <v>0</v>
      </c>
      <c r="BL560" s="3" t="n">
        <v>0</v>
      </c>
      <c r="BM560" s="3" t="n">
        <v>0</v>
      </c>
      <c r="BN560" s="3" t="n">
        <v>0</v>
      </c>
      <c r="BO560" s="3" t="n">
        <v>0</v>
      </c>
      <c r="BP560" s="3" t="n">
        <v>0</v>
      </c>
      <c r="BQ560" s="3" t="n">
        <v>0</v>
      </c>
      <c r="BR560" s="3" t="n">
        <v>0</v>
      </c>
      <c r="BS560" s="3" t="n">
        <v>0</v>
      </c>
      <c r="BT560" s="3" t="n">
        <v>0</v>
      </c>
      <c r="BU560" s="3" t="n">
        <v>0</v>
      </c>
      <c r="BV560" s="3" t="n">
        <v>0</v>
      </c>
      <c r="BW560" s="3" t="n">
        <v>0</v>
      </c>
      <c r="BY560" s="20" t="inlineStr">
        <is>
          <t>egy.mit.ener.ftr.gso.5</t>
        </is>
      </c>
      <c r="BZ560" s="3" t="n">
        <v>0</v>
      </c>
      <c r="CA560" s="3" t="n">
        <v>0</v>
      </c>
      <c r="CB560" s="3" t="n">
        <v>0</v>
      </c>
      <c r="CC560" s="3" t="n">
        <v>0</v>
      </c>
      <c r="CD560" s="3" t="n">
        <v>0</v>
      </c>
      <c r="CE560" s="3" t="n">
        <v>0</v>
      </c>
      <c r="CF560" s="3" t="n">
        <v>0</v>
      </c>
      <c r="CG560" s="3" t="n">
        <v>0</v>
      </c>
      <c r="CH560" s="3" t="n">
        <v>0</v>
      </c>
      <c r="CI560" s="3" t="n">
        <v>0</v>
      </c>
      <c r="CJ560" s="3" t="n">
        <v>0</v>
      </c>
      <c r="CK560" s="3" t="n">
        <v>0</v>
      </c>
      <c r="CL560" s="3" t="n">
        <v>0</v>
      </c>
      <c r="CM560" s="3" t="n">
        <v>0</v>
      </c>
      <c r="CN560" s="3" t="n">
        <v>0</v>
      </c>
      <c r="CO560" s="3" t="n">
        <v>0</v>
      </c>
      <c r="CP560" s="3" t="n">
        <v>0</v>
      </c>
      <c r="CQ560" s="3" t="n">
        <v>0</v>
      </c>
      <c r="CR560" s="3" t="n">
        <v>0</v>
      </c>
      <c r="CS560" s="3" t="n">
        <v>0</v>
      </c>
      <c r="CU560" s="20" t="inlineStr">
        <is>
          <t>egy.mit.ener.ftr.gso.6</t>
        </is>
      </c>
      <c r="CV560" s="3" t="n">
        <v>0</v>
      </c>
      <c r="CW560" s="3" t="n">
        <v>0</v>
      </c>
      <c r="CX560" s="3" t="n">
        <v>0</v>
      </c>
      <c r="CY560" s="3" t="n">
        <v>0</v>
      </c>
      <c r="CZ560" s="3" t="n">
        <v>0</v>
      </c>
      <c r="DA560" s="3" t="n">
        <v>0</v>
      </c>
      <c r="DB560" s="3" t="n">
        <v>0</v>
      </c>
      <c r="DC560" s="3" t="n">
        <v>0</v>
      </c>
      <c r="DD560" s="3" t="n">
        <v>0</v>
      </c>
      <c r="DE560" s="3" t="n">
        <v>0</v>
      </c>
      <c r="DF560" s="3" t="n">
        <v>0</v>
      </c>
      <c r="DG560" s="3" t="n">
        <v>0</v>
      </c>
      <c r="DH560" s="3" t="n">
        <v>0</v>
      </c>
      <c r="DI560" s="3" t="n">
        <v>0</v>
      </c>
      <c r="DJ560" s="3" t="n">
        <v>0</v>
      </c>
      <c r="DK560" s="3" t="n">
        <v>0</v>
      </c>
      <c r="DL560" s="3" t="n">
        <v>0</v>
      </c>
      <c r="DM560" s="3" t="n">
        <v>0</v>
      </c>
      <c r="DN560" s="3" t="n">
        <v>0</v>
      </c>
      <c r="DO560" s="3" t="n">
        <v>0</v>
      </c>
    </row>
    <row r="561">
      <c r="A561" s="19" t="inlineStr">
        <is>
          <t>mit.ener.ftr.die</t>
        </is>
      </c>
      <c r="B561" s="3" t="inlineStr">
        <is>
          <t>mit</t>
        </is>
      </c>
      <c r="C561" s="19" t="inlineStr">
        <is>
          <t>mit.ener.mac.die.e</t>
        </is>
      </c>
      <c r="H561" s="3" t="inlineStr">
        <is>
          <t>Fuel use | Fuel transformation | Diesel</t>
        </is>
      </c>
      <c r="I561" s="3" t="inlineStr">
        <is>
          <t>ktoe</t>
        </is>
      </c>
      <c r="K561" s="20" t="inlineStr">
        <is>
          <t>egy.mit.ener.ftr.die.1</t>
        </is>
      </c>
      <c r="L561" s="3" t="n">
        <v>812.7304477340821</v>
      </c>
      <c r="M561" s="3" t="n">
        <v>970.2959914475947</v>
      </c>
      <c r="N561" s="3" t="n">
        <v>1225.253225136375</v>
      </c>
      <c r="O561" s="3" t="n">
        <v>1250.467061881782</v>
      </c>
      <c r="P561" s="3" t="n">
        <v>1274.994082699612</v>
      </c>
      <c r="Q561" s="3" t="n">
        <v>1303.488326264888</v>
      </c>
      <c r="R561" s="3" t="n">
        <v>1336.784236828855</v>
      </c>
      <c r="S561" s="3" t="n">
        <v>1368.548754056726</v>
      </c>
      <c r="T561" s="3" t="n">
        <v>1398.208625957776</v>
      </c>
      <c r="U561" s="3" t="n">
        <v>1427.959050936301</v>
      </c>
      <c r="V561" s="3" t="n">
        <v>1457.898891666872</v>
      </c>
      <c r="W561" s="3" t="n">
        <v>1488.021108086494</v>
      </c>
      <c r="X561" s="3" t="n">
        <v>1518.318674561777</v>
      </c>
      <c r="Y561" s="3" t="n">
        <v>1548.784574529984</v>
      </c>
      <c r="Z561" s="3" t="n">
        <v>1579.411794332484</v>
      </c>
      <c r="AA561" s="3" t="n">
        <v>1610.193316268151</v>
      </c>
      <c r="AB561" s="3" t="n">
        <v>1641.122110892537</v>
      </c>
      <c r="AC561" s="3" t="n">
        <v>1672.191128586866</v>
      </c>
      <c r="AD561" s="3" t="n">
        <v>1703.393290418963</v>
      </c>
      <c r="AE561" s="3" t="n">
        <v>1734.721478316417</v>
      </c>
      <c r="AG561" s="20" t="inlineStr">
        <is>
          <t>egy.mit.ener.ftr.die.3</t>
        </is>
      </c>
      <c r="AH561" s="3" t="n">
        <v>812.7304477340821</v>
      </c>
      <c r="AI561" s="3" t="n">
        <v>970.2959914475947</v>
      </c>
      <c r="AJ561" s="3" t="n">
        <v>1225.253225136375</v>
      </c>
      <c r="AK561" s="3" t="n">
        <v>1250.467061881782</v>
      </c>
      <c r="AL561" s="3" t="n">
        <v>1274.994082699612</v>
      </c>
      <c r="AM561" s="3" t="n">
        <v>1065.437972851015</v>
      </c>
      <c r="AN561" s="3" t="n">
        <v>1092.653093746037</v>
      </c>
      <c r="AO561" s="3" t="n">
        <v>1118.941419803667</v>
      </c>
      <c r="AP561" s="3" t="n">
        <v>1142.446308103149</v>
      </c>
      <c r="AQ561" s="3" t="n">
        <v>1166.88553206394</v>
      </c>
      <c r="AR561" s="3" t="n">
        <v>1191.043250573539</v>
      </c>
      <c r="AS561" s="3" t="n">
        <v>1216.063904581342</v>
      </c>
      <c r="AT561" s="3" t="n">
        <v>1241.579157205117</v>
      </c>
      <c r="AU561" s="3" t="n">
        <v>1267.078011283581</v>
      </c>
      <c r="AV561" s="3" t="n">
        <v>1292.867186522166</v>
      </c>
      <c r="AW561" s="3" t="n">
        <v>1319.144827877064</v>
      </c>
      <c r="AX561" s="3" t="n">
        <v>1345.228271939596</v>
      </c>
      <c r="AY561" s="3" t="n">
        <v>1371.258356994137</v>
      </c>
      <c r="AZ561" s="3" t="n">
        <v>1396.986986898437</v>
      </c>
      <c r="BA561" s="3" t="n">
        <v>1422.701323107755</v>
      </c>
      <c r="BC561" s="20" t="inlineStr">
        <is>
          <t>egy.mit.ener.ftr.die.4</t>
        </is>
      </c>
      <c r="BD561" s="3" t="n">
        <v>812.7304477340821</v>
      </c>
      <c r="BE561" s="3" t="n">
        <v>970.2959914475947</v>
      </c>
      <c r="BF561" s="3" t="n">
        <v>1225.253225136375</v>
      </c>
      <c r="BG561" s="3" t="n">
        <v>1250.467061881782</v>
      </c>
      <c r="BH561" s="3" t="n">
        <v>1274.994082699612</v>
      </c>
      <c r="BI561" s="3" t="n">
        <v>1153.439865340581</v>
      </c>
      <c r="BJ561" s="3" t="n">
        <v>1025.014508472568</v>
      </c>
      <c r="BK561" s="3" t="n">
        <v>925.4560987826254</v>
      </c>
      <c r="BL561" s="3" t="n">
        <v>844.9597353338074</v>
      </c>
      <c r="BM561" s="3" t="n">
        <v>789.7025891603276</v>
      </c>
      <c r="BN561" s="3" t="n">
        <v>742.8124100890559</v>
      </c>
      <c r="BO561" s="3" t="n">
        <v>702.7772889672884</v>
      </c>
      <c r="BP561" s="3" t="n">
        <v>668.3642401271363</v>
      </c>
      <c r="BQ561" s="3" t="n">
        <v>638.4500665234568</v>
      </c>
      <c r="BR561" s="3" t="n">
        <v>612.2422372331022</v>
      </c>
      <c r="BS561" s="3" t="n">
        <v>589.19102601956</v>
      </c>
      <c r="BT561" s="3" t="n">
        <v>568.7168366585088</v>
      </c>
      <c r="BU561" s="3" t="n">
        <v>550.3824969672635</v>
      </c>
      <c r="BV561" s="3" t="n">
        <v>533.7667973648475</v>
      </c>
      <c r="BW561" s="3" t="n">
        <v>518.608043942632</v>
      </c>
      <c r="BY561" s="20" t="inlineStr">
        <is>
          <t>egy.mit.ener.ftr.die.5</t>
        </is>
      </c>
      <c r="BZ561" s="3" t="n">
        <v>812.7304477340821</v>
      </c>
      <c r="CA561" s="3" t="n">
        <v>970.2959914475947</v>
      </c>
      <c r="CB561" s="3" t="n">
        <v>1225.253225136375</v>
      </c>
      <c r="CC561" s="3" t="n">
        <v>1250.467061881782</v>
      </c>
      <c r="CD561" s="3" t="n">
        <v>1274.994082699612</v>
      </c>
      <c r="CE561" s="3" t="n">
        <v>1018.614406320598</v>
      </c>
      <c r="CF561" s="3" t="n">
        <v>1044.633026249831</v>
      </c>
      <c r="CG561" s="3" t="n">
        <v>1069.719968604061</v>
      </c>
      <c r="CH561" s="3" t="n">
        <v>1092.234765882717</v>
      </c>
      <c r="CI561" s="3" t="n">
        <v>1115.742413493181</v>
      </c>
      <c r="CJ561" s="3" t="n">
        <v>1138.804641647359</v>
      </c>
      <c r="CK561" s="3" t="n">
        <v>1162.776533379779</v>
      </c>
      <c r="CL561" s="3" t="n">
        <v>1186.929606584597</v>
      </c>
      <c r="CM561" s="3" t="n">
        <v>1211.116408215349</v>
      </c>
      <c r="CN561" s="3" t="n">
        <v>1235.572346391746</v>
      </c>
      <c r="CO561" s="3" t="n">
        <v>1260.408127495496</v>
      </c>
      <c r="CP561" s="3" t="n">
        <v>1285.079187041642</v>
      </c>
      <c r="CQ561" s="3" t="n">
        <v>1309.803587973258</v>
      </c>
      <c r="CR561" s="3" t="n">
        <v>1334.322382237033</v>
      </c>
      <c r="CS561" s="3" t="n">
        <v>1358.979176639584</v>
      </c>
      <c r="CU561" s="20" t="inlineStr">
        <is>
          <t>egy.mit.ener.ftr.die.6</t>
        </is>
      </c>
      <c r="CV561" s="3" t="n">
        <v>812.7304477340821</v>
      </c>
      <c r="CW561" s="3" t="n">
        <v>970.2959914475947</v>
      </c>
      <c r="CX561" s="3" t="n">
        <v>1225.253225136375</v>
      </c>
      <c r="CY561" s="3" t="n">
        <v>1250.467061881782</v>
      </c>
      <c r="CZ561" s="3" t="n">
        <v>1274.994082699612</v>
      </c>
      <c r="DA561" s="3" t="n">
        <v>834.0371011565176</v>
      </c>
      <c r="DB561" s="3" t="n">
        <v>855.3413072157373</v>
      </c>
      <c r="DC561" s="3" t="n">
        <v>876.2101736112971</v>
      </c>
      <c r="DD561" s="3" t="n">
        <v>893.9306849620511</v>
      </c>
      <c r="DE561" s="3" t="n">
        <v>913.2291060060753</v>
      </c>
      <c r="DF561" s="3" t="n">
        <v>931.8167769742828</v>
      </c>
      <c r="DG561" s="3" t="n">
        <v>951.801396945528</v>
      </c>
      <c r="DH561" s="3" t="n">
        <v>972.3944766007131</v>
      </c>
      <c r="DI561" s="3" t="n">
        <v>992.870331786263</v>
      </c>
      <c r="DJ561" s="3" t="n">
        <v>1013.703083314861</v>
      </c>
      <c r="DK561" s="3" t="n">
        <v>1035.240817910525</v>
      </c>
      <c r="DL561" s="3" t="n">
        <v>1056.33086796093</v>
      </c>
      <c r="DM561" s="3" t="n">
        <v>1077.265443540517</v>
      </c>
      <c r="DN561" s="3" t="n">
        <v>1097.605238384337</v>
      </c>
      <c r="DO561" s="3" t="n">
        <v>1117.855272285984</v>
      </c>
    </row>
    <row r="562">
      <c r="A562" s="19" t="inlineStr">
        <is>
          <t>mit.ener.ftr.lpg</t>
        </is>
      </c>
      <c r="B562" s="3" t="inlineStr">
        <is>
          <t>mit</t>
        </is>
      </c>
      <c r="C562" s="19" t="inlineStr">
        <is>
          <t>mit.ener.mac.lpg.e</t>
        </is>
      </c>
      <c r="H562" s="3" t="inlineStr">
        <is>
          <t>Fuel use | Fuel transformation | LPG</t>
        </is>
      </c>
      <c r="I562" s="3" t="inlineStr">
        <is>
          <t>ktoe</t>
        </is>
      </c>
      <c r="K562" s="20" t="inlineStr">
        <is>
          <t>egy.mit.ener.ftr.lpg.1</t>
        </is>
      </c>
      <c r="L562" s="3" t="n">
        <v>2213.332339128648</v>
      </c>
      <c r="M562" s="3" t="n">
        <v>2535.699884240303</v>
      </c>
      <c r="N562" s="3" t="n">
        <v>2544.658576190079</v>
      </c>
      <c r="O562" s="3" t="n">
        <v>2627.385727023862</v>
      </c>
      <c r="P562" s="3" t="n">
        <v>2708.702877127771</v>
      </c>
      <c r="Q562" s="3" t="n">
        <v>2804.528157238574</v>
      </c>
      <c r="R562" s="3" t="n">
        <v>2918.27724477418</v>
      </c>
      <c r="S562" s="3" t="n">
        <v>3028.202780351026</v>
      </c>
      <c r="T562" s="3" t="n">
        <v>3132.014413651108</v>
      </c>
      <c r="U562" s="3" t="n">
        <v>3237.381397737335</v>
      </c>
      <c r="V562" s="3" t="n">
        <v>3344.664673292282</v>
      </c>
      <c r="W562" s="3" t="n">
        <v>3453.849054592246</v>
      </c>
      <c r="X562" s="3" t="n">
        <v>3564.91823162609</v>
      </c>
      <c r="Y562" s="3" t="n">
        <v>3677.854760926503</v>
      </c>
      <c r="Z562" s="3" t="n">
        <v>3792.640052209685</v>
      </c>
      <c r="AA562" s="3" t="n">
        <v>3909.254350695833</v>
      </c>
      <c r="AB562" s="3" t="n">
        <v>4027.676714992045</v>
      </c>
      <c r="AC562" s="3" t="n">
        <v>4147.884990427746</v>
      </c>
      <c r="AD562" s="3" t="n">
        <v>4269.855777739941</v>
      </c>
      <c r="AE562" s="3" t="n">
        <v>4393.56439701236</v>
      </c>
      <c r="AG562" s="20" t="inlineStr">
        <is>
          <t>egy.mit.ener.ftr.lpg.3</t>
        </is>
      </c>
      <c r="AH562" s="3" t="n">
        <v>2213.332339128648</v>
      </c>
      <c r="AI562" s="3" t="n">
        <v>2535.699884240303</v>
      </c>
      <c r="AJ562" s="3" t="n">
        <v>2544.658576190079</v>
      </c>
      <c r="AK562" s="3" t="n">
        <v>2627.385727023862</v>
      </c>
      <c r="AL562" s="3" t="n">
        <v>2708.702877127771</v>
      </c>
      <c r="AM562" s="3" t="n">
        <v>2330.224350536686</v>
      </c>
      <c r="AN562" s="3" t="n">
        <v>2424.735743154471</v>
      </c>
      <c r="AO562" s="3" t="n">
        <v>2517.239674571023</v>
      </c>
      <c r="AP562" s="3" t="n">
        <v>2600.819170909649</v>
      </c>
      <c r="AQ562" s="3" t="n">
        <v>2688.797903873334</v>
      </c>
      <c r="AR562" s="3" t="n">
        <v>2776.751895746117</v>
      </c>
      <c r="AS562" s="3" t="n">
        <v>2868.952344855287</v>
      </c>
      <c r="AT562" s="3" t="n">
        <v>2964.095770935557</v>
      </c>
      <c r="AU562" s="3" t="n">
        <v>3060.262001940256</v>
      </c>
      <c r="AV562" s="3" t="n">
        <v>3158.635967785262</v>
      </c>
      <c r="AW562" s="3" t="n">
        <v>3260.028183211691</v>
      </c>
      <c r="AX562" s="3" t="n">
        <v>3361.762578134058</v>
      </c>
      <c r="AY562" s="3" t="n">
        <v>3464.370989002589</v>
      </c>
      <c r="AZ562" s="3" t="n">
        <v>3566.82155861166</v>
      </c>
      <c r="BA562" s="3" t="n">
        <v>3670.250066229032</v>
      </c>
      <c r="BC562" s="20" t="inlineStr">
        <is>
          <t>egy.mit.ener.ftr.lpg.4</t>
        </is>
      </c>
      <c r="BD562" s="3" t="n">
        <v>2213.332339128648</v>
      </c>
      <c r="BE562" s="3" t="n">
        <v>2535.699884240303</v>
      </c>
      <c r="BF562" s="3" t="n">
        <v>2544.658576190079</v>
      </c>
      <c r="BG562" s="3" t="n">
        <v>2627.385727023862</v>
      </c>
      <c r="BH562" s="3" t="n">
        <v>2708.702877127771</v>
      </c>
      <c r="BI562" s="3" t="n">
        <v>2497.429461619201</v>
      </c>
      <c r="BJ562" s="3" t="n">
        <v>2288.412189769637</v>
      </c>
      <c r="BK562" s="3" t="n">
        <v>2136.994960352098</v>
      </c>
      <c r="BL562" s="3" t="n">
        <v>2018.32985243316</v>
      </c>
      <c r="BM562" s="3" t="n">
        <v>1947.353171104791</v>
      </c>
      <c r="BN562" s="3" t="n">
        <v>1890.179281934213</v>
      </c>
      <c r="BO562" s="3" t="n">
        <v>1844.633160784745</v>
      </c>
      <c r="BP562" s="3" t="n">
        <v>1808.825773239145</v>
      </c>
      <c r="BQ562" s="3" t="n">
        <v>1780.587866372444</v>
      </c>
      <c r="BR562" s="3" t="n">
        <v>1758.571351035267</v>
      </c>
      <c r="BS562" s="3" t="n">
        <v>1742.068952946191</v>
      </c>
      <c r="BT562" s="3" t="n">
        <v>1729.865044263851</v>
      </c>
      <c r="BU562" s="3" t="n">
        <v>1721.088756364034</v>
      </c>
      <c r="BV562" s="3" t="n">
        <v>1714.67001845272</v>
      </c>
      <c r="BW562" s="3" t="n">
        <v>1710.115521362841</v>
      </c>
      <c r="BY562" s="20" t="inlineStr">
        <is>
          <t>egy.mit.ener.ftr.lpg.5</t>
        </is>
      </c>
      <c r="BZ562" s="3" t="n">
        <v>2213.332339128648</v>
      </c>
      <c r="CA562" s="3" t="n">
        <v>2535.699884240303</v>
      </c>
      <c r="CB562" s="3" t="n">
        <v>2544.658576190079</v>
      </c>
      <c r="CC562" s="3" t="n">
        <v>2627.385727023862</v>
      </c>
      <c r="CD562" s="3" t="n">
        <v>2708.702877127771</v>
      </c>
      <c r="CE562" s="3" t="n">
        <v>2241.088119529808</v>
      </c>
      <c r="CF562" s="3" t="n">
        <v>2331.982604746559</v>
      </c>
      <c r="CG562" s="3" t="n">
        <v>2420.781214596732</v>
      </c>
      <c r="CH562" s="3" t="n">
        <v>2501.318770237585</v>
      </c>
      <c r="CI562" s="3" t="n">
        <v>2586.460373671886</v>
      </c>
      <c r="CJ562" s="3" t="n">
        <v>2670.929097784464</v>
      </c>
      <c r="CK562" s="3" t="n">
        <v>2759.800441380897</v>
      </c>
      <c r="CL562" s="3" t="n">
        <v>2850.38602156723</v>
      </c>
      <c r="CM562" s="3" t="n">
        <v>2942.125757802777</v>
      </c>
      <c r="CN562" s="3" t="n">
        <v>3035.938513006577</v>
      </c>
      <c r="CO562" s="3" t="n">
        <v>3132.289311780979</v>
      </c>
      <c r="CP562" s="3" t="n">
        <v>3229.028312532799</v>
      </c>
      <c r="CQ562" s="3" t="n">
        <v>3327.00905597153</v>
      </c>
      <c r="CR562" s="3" t="n">
        <v>3425.164294079136</v>
      </c>
      <c r="CS562" s="3" t="n">
        <v>3524.883196655529</v>
      </c>
      <c r="CU562" s="20" t="inlineStr">
        <is>
          <t>egy.mit.ener.ftr.lpg.6</t>
        </is>
      </c>
      <c r="CV562" s="3" t="n">
        <v>2213.332339128648</v>
      </c>
      <c r="CW562" s="3" t="n">
        <v>2535.699884240303</v>
      </c>
      <c r="CX562" s="3" t="n">
        <v>2544.658576190079</v>
      </c>
      <c r="CY562" s="3" t="n">
        <v>2627.385727023862</v>
      </c>
      <c r="CZ562" s="3" t="n">
        <v>2708.702877127771</v>
      </c>
      <c r="DA562" s="3" t="n">
        <v>1898.779588609492</v>
      </c>
      <c r="DB562" s="3" t="n">
        <v>1975.791662821645</v>
      </c>
      <c r="DC562" s="3" t="n">
        <v>2052.255242539355</v>
      </c>
      <c r="DD562" s="3" t="n">
        <v>2117.797016640681</v>
      </c>
      <c r="DE562" s="3" t="n">
        <v>2190.109576089717</v>
      </c>
      <c r="DF562" s="3" t="n">
        <v>2260.513817325238</v>
      </c>
      <c r="DG562" s="3" t="n">
        <v>2337.182029697531</v>
      </c>
      <c r="DH562" s="3" t="n">
        <v>2417.165815650375</v>
      </c>
      <c r="DI562" s="3" t="n">
        <v>2497.621342277514</v>
      </c>
      <c r="DJ562" s="3" t="n">
        <v>2580.4523477598</v>
      </c>
      <c r="DK562" s="3" t="n">
        <v>2667.134442163831</v>
      </c>
      <c r="DL562" s="3" t="n">
        <v>2752.952475328427</v>
      </c>
      <c r="DM562" s="3" t="n">
        <v>2839.064108833681</v>
      </c>
      <c r="DN562" s="3" t="n">
        <v>2923.565172603695</v>
      </c>
      <c r="DO562" s="3" t="n">
        <v>3008.540801313416</v>
      </c>
    </row>
    <row r="563">
      <c r="A563" s="19" t="inlineStr">
        <is>
          <t>mit.ener.ftr.ker</t>
        </is>
      </c>
      <c r="B563" s="3" t="inlineStr">
        <is>
          <t>mit</t>
        </is>
      </c>
      <c r="C563" s="19" t="inlineStr">
        <is>
          <t>mit.ener.mac.ker.e</t>
        </is>
      </c>
      <c r="H563" s="3" t="inlineStr">
        <is>
          <t>Fuel use | Fuel transformation | Kerosene</t>
        </is>
      </c>
      <c r="I563" s="3" t="inlineStr">
        <is>
          <t>ktoe</t>
        </is>
      </c>
      <c r="K563" s="20" t="inlineStr">
        <is>
          <t>egy.mit.ener.ftr.ker.1</t>
        </is>
      </c>
      <c r="L563" s="3" t="n">
        <v>0</v>
      </c>
      <c r="M563" s="3" t="n">
        <v>0</v>
      </c>
      <c r="N563" s="3" t="n">
        <v>0</v>
      </c>
      <c r="O563" s="3" t="n">
        <v>0</v>
      </c>
      <c r="P563" s="3" t="n">
        <v>0</v>
      </c>
      <c r="Q563" s="3" t="n">
        <v>0</v>
      </c>
      <c r="R563" s="3" t="n">
        <v>0</v>
      </c>
      <c r="S563" s="3" t="n">
        <v>0</v>
      </c>
      <c r="T563" s="3" t="n">
        <v>0</v>
      </c>
      <c r="U563" s="3" t="n">
        <v>0</v>
      </c>
      <c r="V563" s="3" t="n">
        <v>0</v>
      </c>
      <c r="W563" s="3" t="n">
        <v>0</v>
      </c>
      <c r="X563" s="3" t="n">
        <v>0</v>
      </c>
      <c r="Y563" s="3" t="n">
        <v>0</v>
      </c>
      <c r="Z563" s="3" t="n">
        <v>0</v>
      </c>
      <c r="AA563" s="3" t="n">
        <v>0</v>
      </c>
      <c r="AB563" s="3" t="n">
        <v>0</v>
      </c>
      <c r="AC563" s="3" t="n">
        <v>0</v>
      </c>
      <c r="AD563" s="3" t="n">
        <v>0</v>
      </c>
      <c r="AE563" s="3" t="n">
        <v>0</v>
      </c>
      <c r="AG563" s="20" t="inlineStr">
        <is>
          <t>egy.mit.ener.ftr.ker.3</t>
        </is>
      </c>
      <c r="AH563" s="3" t="n">
        <v>0</v>
      </c>
      <c r="AI563" s="3" t="n">
        <v>0</v>
      </c>
      <c r="AJ563" s="3" t="n">
        <v>0</v>
      </c>
      <c r="AK563" s="3" t="n">
        <v>0</v>
      </c>
      <c r="AL563" s="3" t="n">
        <v>0</v>
      </c>
      <c r="AM563" s="3" t="n">
        <v>0</v>
      </c>
      <c r="AN563" s="3" t="n">
        <v>0</v>
      </c>
      <c r="AO563" s="3" t="n">
        <v>0</v>
      </c>
      <c r="AP563" s="3" t="n">
        <v>0</v>
      </c>
      <c r="AQ563" s="3" t="n">
        <v>0</v>
      </c>
      <c r="AR563" s="3" t="n">
        <v>0</v>
      </c>
      <c r="AS563" s="3" t="n">
        <v>0</v>
      </c>
      <c r="AT563" s="3" t="n">
        <v>0</v>
      </c>
      <c r="AU563" s="3" t="n">
        <v>0</v>
      </c>
      <c r="AV563" s="3" t="n">
        <v>0</v>
      </c>
      <c r="AW563" s="3" t="n">
        <v>0</v>
      </c>
      <c r="AX563" s="3" t="n">
        <v>0</v>
      </c>
      <c r="AY563" s="3" t="n">
        <v>0</v>
      </c>
      <c r="AZ563" s="3" t="n">
        <v>0</v>
      </c>
      <c r="BA563" s="3" t="n">
        <v>0</v>
      </c>
      <c r="BC563" s="20" t="inlineStr">
        <is>
          <t>egy.mit.ener.ftr.ker.4</t>
        </is>
      </c>
      <c r="BD563" s="3" t="n">
        <v>0</v>
      </c>
      <c r="BE563" s="3" t="n">
        <v>0</v>
      </c>
      <c r="BF563" s="3" t="n">
        <v>0</v>
      </c>
      <c r="BG563" s="3" t="n">
        <v>0</v>
      </c>
      <c r="BH563" s="3" t="n">
        <v>0</v>
      </c>
      <c r="BI563" s="3" t="n">
        <v>0</v>
      </c>
      <c r="BJ563" s="3" t="n">
        <v>0</v>
      </c>
      <c r="BK563" s="3" t="n">
        <v>0</v>
      </c>
      <c r="BL563" s="3" t="n">
        <v>0</v>
      </c>
      <c r="BM563" s="3" t="n">
        <v>0</v>
      </c>
      <c r="BN563" s="3" t="n">
        <v>0</v>
      </c>
      <c r="BO563" s="3" t="n">
        <v>0</v>
      </c>
      <c r="BP563" s="3" t="n">
        <v>0</v>
      </c>
      <c r="BQ563" s="3" t="n">
        <v>0</v>
      </c>
      <c r="BR563" s="3" t="n">
        <v>0</v>
      </c>
      <c r="BS563" s="3" t="n">
        <v>0</v>
      </c>
      <c r="BT563" s="3" t="n">
        <v>0</v>
      </c>
      <c r="BU563" s="3" t="n">
        <v>0</v>
      </c>
      <c r="BV563" s="3" t="n">
        <v>0</v>
      </c>
      <c r="BW563" s="3" t="n">
        <v>0</v>
      </c>
      <c r="BY563" s="20" t="inlineStr">
        <is>
          <t>egy.mit.ener.ftr.ker.5</t>
        </is>
      </c>
      <c r="BZ563" s="3" t="n">
        <v>0</v>
      </c>
      <c r="CA563" s="3" t="n">
        <v>0</v>
      </c>
      <c r="CB563" s="3" t="n">
        <v>0</v>
      </c>
      <c r="CC563" s="3" t="n">
        <v>0</v>
      </c>
      <c r="CD563" s="3" t="n">
        <v>0</v>
      </c>
      <c r="CE563" s="3" t="n">
        <v>0</v>
      </c>
      <c r="CF563" s="3" t="n">
        <v>0</v>
      </c>
      <c r="CG563" s="3" t="n">
        <v>0</v>
      </c>
      <c r="CH563" s="3" t="n">
        <v>0</v>
      </c>
      <c r="CI563" s="3" t="n">
        <v>0</v>
      </c>
      <c r="CJ563" s="3" t="n">
        <v>0</v>
      </c>
      <c r="CK563" s="3" t="n">
        <v>0</v>
      </c>
      <c r="CL563" s="3" t="n">
        <v>0</v>
      </c>
      <c r="CM563" s="3" t="n">
        <v>0</v>
      </c>
      <c r="CN563" s="3" t="n">
        <v>0</v>
      </c>
      <c r="CO563" s="3" t="n">
        <v>0</v>
      </c>
      <c r="CP563" s="3" t="n">
        <v>0</v>
      </c>
      <c r="CQ563" s="3" t="n">
        <v>0</v>
      </c>
      <c r="CR563" s="3" t="n">
        <v>0</v>
      </c>
      <c r="CS563" s="3" t="n">
        <v>0</v>
      </c>
      <c r="CU563" s="20" t="inlineStr">
        <is>
          <t>egy.mit.ener.ftr.ker.6</t>
        </is>
      </c>
      <c r="CV563" s="3" t="n">
        <v>0</v>
      </c>
      <c r="CW563" s="3" t="n">
        <v>0</v>
      </c>
      <c r="CX563" s="3" t="n">
        <v>0</v>
      </c>
      <c r="CY563" s="3" t="n">
        <v>0</v>
      </c>
      <c r="CZ563" s="3" t="n">
        <v>0</v>
      </c>
      <c r="DA563" s="3" t="n">
        <v>0</v>
      </c>
      <c r="DB563" s="3" t="n">
        <v>0</v>
      </c>
      <c r="DC563" s="3" t="n">
        <v>0</v>
      </c>
      <c r="DD563" s="3" t="n">
        <v>0</v>
      </c>
      <c r="DE563" s="3" t="n">
        <v>0</v>
      </c>
      <c r="DF563" s="3" t="n">
        <v>0</v>
      </c>
      <c r="DG563" s="3" t="n">
        <v>0</v>
      </c>
      <c r="DH563" s="3" t="n">
        <v>0</v>
      </c>
      <c r="DI563" s="3" t="n">
        <v>0</v>
      </c>
      <c r="DJ563" s="3" t="n">
        <v>0</v>
      </c>
      <c r="DK563" s="3" t="n">
        <v>0</v>
      </c>
      <c r="DL563" s="3" t="n">
        <v>0</v>
      </c>
      <c r="DM563" s="3" t="n">
        <v>0</v>
      </c>
      <c r="DN563" s="3" t="n">
        <v>0</v>
      </c>
      <c r="DO563" s="3" t="n">
        <v>0</v>
      </c>
    </row>
    <row r="564">
      <c r="A564" s="19" t="inlineStr">
        <is>
          <t>mit.ener.ftr.oop</t>
        </is>
      </c>
      <c r="B564" s="3" t="inlineStr">
        <is>
          <t>mit</t>
        </is>
      </c>
      <c r="C564" s="19" t="inlineStr">
        <is>
          <t>mit.ener.mac.oop.e</t>
        </is>
      </c>
      <c r="H564" s="3" t="inlineStr">
        <is>
          <t>Fuel use | Fuel transformation | Other oil products</t>
        </is>
      </c>
      <c r="I564" s="3" t="inlineStr">
        <is>
          <t>ktoe</t>
        </is>
      </c>
      <c r="K564" s="20" t="inlineStr">
        <is>
          <t>egy.mit.ener.ftr.oop.1</t>
        </is>
      </c>
      <c r="L564" s="3" t="n">
        <v>288.7399630724493</v>
      </c>
      <c r="M564" s="3" t="n">
        <v>250.5908094545717</v>
      </c>
      <c r="N564" s="3" t="n">
        <v>287.2277672380531</v>
      </c>
      <c r="O564" s="3" t="n">
        <v>296.565575872298</v>
      </c>
      <c r="P564" s="3" t="n">
        <v>305.7442309897469</v>
      </c>
      <c r="Q564" s="3" t="n">
        <v>316.5604880344922</v>
      </c>
      <c r="R564" s="3" t="n">
        <v>329.3998908305778</v>
      </c>
      <c r="S564" s="3" t="n">
        <v>341.8077110551116</v>
      </c>
      <c r="T564" s="3" t="n">
        <v>353.5254259285787</v>
      </c>
      <c r="U564" s="3" t="n">
        <v>365.4187006739108</v>
      </c>
      <c r="V564" s="3" t="n">
        <v>377.5282763898674</v>
      </c>
      <c r="W564" s="3" t="n">
        <v>389.8524389912845</v>
      </c>
      <c r="X564" s="3" t="n">
        <v>402.3893474893054</v>
      </c>
      <c r="Y564" s="3" t="n">
        <v>415.1370329564616</v>
      </c>
      <c r="Z564" s="3" t="n">
        <v>428.09339701863</v>
      </c>
      <c r="AA564" s="3" t="n">
        <v>441.2562098594618</v>
      </c>
      <c r="AB564" s="3" t="n">
        <v>454.6231077239206</v>
      </c>
      <c r="AC564" s="3" t="n">
        <v>468.191589908524</v>
      </c>
      <c r="AD564" s="3" t="n">
        <v>481.9590152266986</v>
      </c>
      <c r="AE564" s="3" t="n">
        <v>495.9225979384192</v>
      </c>
      <c r="AG564" s="20" t="inlineStr">
        <is>
          <t>egy.mit.ener.ftr.oop.3</t>
        </is>
      </c>
      <c r="AH564" s="3" t="n">
        <v>288.7399630724493</v>
      </c>
      <c r="AI564" s="3" t="n">
        <v>250.5908094545717</v>
      </c>
      <c r="AJ564" s="3" t="n">
        <v>287.2277672380531</v>
      </c>
      <c r="AK564" s="3" t="n">
        <v>296.565575872298</v>
      </c>
      <c r="AL564" s="3" t="n">
        <v>305.7442309897469</v>
      </c>
      <c r="AM564" s="3" t="n">
        <v>259.4183010464168</v>
      </c>
      <c r="AN564" s="3" t="n">
        <v>269.9400282340972</v>
      </c>
      <c r="AO564" s="3" t="n">
        <v>280.2382695698164</v>
      </c>
      <c r="AP564" s="3" t="n">
        <v>289.5429749032267</v>
      </c>
      <c r="AQ564" s="3" t="n">
        <v>299.3374367233511</v>
      </c>
      <c r="AR564" s="3" t="n">
        <v>309.1291441770272</v>
      </c>
      <c r="AS564" s="3" t="n">
        <v>319.3935995536559</v>
      </c>
      <c r="AT564" s="3" t="n">
        <v>329.9856895143476</v>
      </c>
      <c r="AU564" s="3" t="n">
        <v>340.6916458998479</v>
      </c>
      <c r="AV564" s="3" t="n">
        <v>351.6433841223207</v>
      </c>
      <c r="AW564" s="3" t="n">
        <v>362.9311368484469</v>
      </c>
      <c r="AX564" s="3" t="n">
        <v>374.2569835990686</v>
      </c>
      <c r="AY564" s="3" t="n">
        <v>385.6801324535797</v>
      </c>
      <c r="AZ564" s="3" t="n">
        <v>397.085709218367</v>
      </c>
      <c r="BA564" s="3" t="n">
        <v>408.6001574815505</v>
      </c>
      <c r="BC564" s="20" t="inlineStr">
        <is>
          <t>egy.mit.ener.ftr.oop.4</t>
        </is>
      </c>
      <c r="BD564" s="3" t="n">
        <v>288.7399630724493</v>
      </c>
      <c r="BE564" s="3" t="n">
        <v>250.5908094545717</v>
      </c>
      <c r="BF564" s="3" t="n">
        <v>287.2277672380531</v>
      </c>
      <c r="BG564" s="3" t="n">
        <v>296.565575872298</v>
      </c>
      <c r="BH564" s="3" t="n">
        <v>305.7442309897469</v>
      </c>
      <c r="BI564" s="3" t="n">
        <v>279.3413071569802</v>
      </c>
      <c r="BJ564" s="3" t="n">
        <v>253.8917414528468</v>
      </c>
      <c r="BK564" s="3" t="n">
        <v>235.7768248901216</v>
      </c>
      <c r="BL564" s="3" t="n">
        <v>221.7819398706398</v>
      </c>
      <c r="BM564" s="3" t="n">
        <v>213.3941506635028</v>
      </c>
      <c r="BN564" s="3" t="n">
        <v>206.6674850244495</v>
      </c>
      <c r="BO564" s="3" t="n">
        <v>201.3161174681087</v>
      </c>
      <c r="BP564" s="3" t="n">
        <v>197.1025626036574</v>
      </c>
      <c r="BQ564" s="3" t="n">
        <v>193.7694011869346</v>
      </c>
      <c r="BR564" s="3" t="n">
        <v>191.1554900402342</v>
      </c>
      <c r="BS564" s="3" t="n">
        <v>189.1736507231882</v>
      </c>
      <c r="BT564" s="3" t="n">
        <v>187.6843479561853</v>
      </c>
      <c r="BU564" s="3" t="n">
        <v>186.5875864439699</v>
      </c>
      <c r="BV564" s="3" t="n">
        <v>185.7632624522451</v>
      </c>
      <c r="BW564" s="3" t="n">
        <v>185.1548653931845</v>
      </c>
      <c r="BY564" s="20" t="inlineStr">
        <is>
          <t>egy.mit.ener.ftr.oop.5</t>
        </is>
      </c>
      <c r="BZ564" s="3" t="n">
        <v>288.7399630724493</v>
      </c>
      <c r="CA564" s="3" t="n">
        <v>250.5908094545717</v>
      </c>
      <c r="CB564" s="3" t="n">
        <v>287.2277672380531</v>
      </c>
      <c r="CC564" s="3" t="n">
        <v>296.565575872298</v>
      </c>
      <c r="CD564" s="3" t="n">
        <v>305.7442309897469</v>
      </c>
      <c r="CE564" s="3" t="n">
        <v>248.8969280947859</v>
      </c>
      <c r="CF564" s="3" t="n">
        <v>258.9917378231747</v>
      </c>
      <c r="CG564" s="3" t="n">
        <v>268.8537780607682</v>
      </c>
      <c r="CH564" s="3" t="n">
        <v>277.7983394194162</v>
      </c>
      <c r="CI564" s="3" t="n">
        <v>287.254229780527</v>
      </c>
      <c r="CJ564" s="3" t="n">
        <v>296.6353896592905</v>
      </c>
      <c r="CK564" s="3" t="n">
        <v>306.5055077613172</v>
      </c>
      <c r="CL564" s="3" t="n">
        <v>316.5660102652494</v>
      </c>
      <c r="CM564" s="3" t="n">
        <v>326.7546942059969</v>
      </c>
      <c r="CN564" s="3" t="n">
        <v>337.1736091887924</v>
      </c>
      <c r="CO564" s="3" t="n">
        <v>347.874401194891</v>
      </c>
      <c r="CP564" s="3" t="n">
        <v>358.6183072038785</v>
      </c>
      <c r="CQ564" s="3" t="n">
        <v>369.5001220873825</v>
      </c>
      <c r="CR564" s="3" t="n">
        <v>380.4013164797391</v>
      </c>
      <c r="CS564" s="3" t="n">
        <v>391.4761726212525</v>
      </c>
      <c r="CU564" s="20" t="inlineStr">
        <is>
          <t>egy.mit.ener.ftr.oop.6</t>
        </is>
      </c>
      <c r="CV564" s="3" t="n">
        <v>288.7399630724493</v>
      </c>
      <c r="CW564" s="3" t="n">
        <v>250.5908094545717</v>
      </c>
      <c r="CX564" s="3" t="n">
        <v>287.2277672380531</v>
      </c>
      <c r="CY564" s="3" t="n">
        <v>296.565575872298</v>
      </c>
      <c r="CZ564" s="3" t="n">
        <v>305.7442309897469</v>
      </c>
      <c r="DA564" s="3" t="n">
        <v>209.0658914704638</v>
      </c>
      <c r="DB564" s="3" t="n">
        <v>217.5453369236058</v>
      </c>
      <c r="DC564" s="3" t="n">
        <v>225.9643901694923</v>
      </c>
      <c r="DD564" s="3" t="n">
        <v>233.1808936084639</v>
      </c>
      <c r="DE564" s="3" t="n">
        <v>241.1428970955537</v>
      </c>
      <c r="DF564" s="3" t="n">
        <v>248.8947844370353</v>
      </c>
      <c r="DG564" s="3" t="n">
        <v>257.336368843785</v>
      </c>
      <c r="DH564" s="3" t="n">
        <v>266.1430158152009</v>
      </c>
      <c r="DI564" s="3" t="n">
        <v>275.0016039835866</v>
      </c>
      <c r="DJ564" s="3" t="n">
        <v>284.121745208209</v>
      </c>
      <c r="DK564" s="3" t="n">
        <v>293.6659121298562</v>
      </c>
      <c r="DL564" s="3" t="n">
        <v>303.1149412406741</v>
      </c>
      <c r="DM564" s="3" t="n">
        <v>312.5962973352683</v>
      </c>
      <c r="DN564" s="3" t="n">
        <v>321.9003210003942</v>
      </c>
      <c r="DO564" s="3" t="n">
        <v>331.2565968293707</v>
      </c>
    </row>
    <row r="565">
      <c r="A565" s="19" t="inlineStr">
        <is>
          <t>mit.ener.ftr.bio</t>
        </is>
      </c>
      <c r="B565" s="3" t="inlineStr">
        <is>
          <t>mit</t>
        </is>
      </c>
      <c r="C565" s="19" t="inlineStr">
        <is>
          <t>mit.ener.mac.bio.e</t>
        </is>
      </c>
      <c r="H565" s="3" t="inlineStr">
        <is>
          <t>Fuel use | Fuel transformation | Biomass</t>
        </is>
      </c>
      <c r="I565" s="3" t="inlineStr">
        <is>
          <t>ktoe</t>
        </is>
      </c>
      <c r="K565" s="20" t="inlineStr">
        <is>
          <t>egy.mit.ener.ftr.bio.1</t>
        </is>
      </c>
      <c r="L565" s="3" t="n">
        <v>0</v>
      </c>
      <c r="M565" s="3" t="n">
        <v>0</v>
      </c>
      <c r="N565" s="3" t="n">
        <v>0</v>
      </c>
      <c r="O565" s="3" t="n">
        <v>0</v>
      </c>
      <c r="P565" s="3" t="n">
        <v>0</v>
      </c>
      <c r="Q565" s="3" t="n">
        <v>0</v>
      </c>
      <c r="R565" s="3" t="n">
        <v>0</v>
      </c>
      <c r="S565" s="3" t="n">
        <v>0</v>
      </c>
      <c r="T565" s="3" t="n">
        <v>0</v>
      </c>
      <c r="U565" s="3" t="n">
        <v>0</v>
      </c>
      <c r="V565" s="3" t="n">
        <v>0</v>
      </c>
      <c r="W565" s="3" t="n">
        <v>0</v>
      </c>
      <c r="X565" s="3" t="n">
        <v>0</v>
      </c>
      <c r="Y565" s="3" t="n">
        <v>0</v>
      </c>
      <c r="Z565" s="3" t="n">
        <v>0</v>
      </c>
      <c r="AA565" s="3" t="n">
        <v>0</v>
      </c>
      <c r="AB565" s="3" t="n">
        <v>0</v>
      </c>
      <c r="AC565" s="3" t="n">
        <v>0</v>
      </c>
      <c r="AD565" s="3" t="n">
        <v>0</v>
      </c>
      <c r="AE565" s="3" t="n">
        <v>0</v>
      </c>
      <c r="AG565" s="20" t="inlineStr">
        <is>
          <t>egy.mit.ener.ftr.bio.3</t>
        </is>
      </c>
      <c r="AH565" s="3" t="n">
        <v>0</v>
      </c>
      <c r="AI565" s="3" t="n">
        <v>0</v>
      </c>
      <c r="AJ565" s="3" t="n">
        <v>0</v>
      </c>
      <c r="AK565" s="3" t="n">
        <v>0</v>
      </c>
      <c r="AL565" s="3" t="n">
        <v>0</v>
      </c>
      <c r="AM565" s="3" t="n">
        <v>0</v>
      </c>
      <c r="AN565" s="3" t="n">
        <v>0</v>
      </c>
      <c r="AO565" s="3" t="n">
        <v>0</v>
      </c>
      <c r="AP565" s="3" t="n">
        <v>0</v>
      </c>
      <c r="AQ565" s="3" t="n">
        <v>0</v>
      </c>
      <c r="AR565" s="3" t="n">
        <v>0</v>
      </c>
      <c r="AS565" s="3" t="n">
        <v>0</v>
      </c>
      <c r="AT565" s="3" t="n">
        <v>0</v>
      </c>
      <c r="AU565" s="3" t="n">
        <v>0</v>
      </c>
      <c r="AV565" s="3" t="n">
        <v>0</v>
      </c>
      <c r="AW565" s="3" t="n">
        <v>0</v>
      </c>
      <c r="AX565" s="3" t="n">
        <v>0</v>
      </c>
      <c r="AY565" s="3" t="n">
        <v>0</v>
      </c>
      <c r="AZ565" s="3" t="n">
        <v>0</v>
      </c>
      <c r="BA565" s="3" t="n">
        <v>0</v>
      </c>
      <c r="BC565" s="20" t="inlineStr">
        <is>
          <t>egy.mit.ener.ftr.bio.4</t>
        </is>
      </c>
      <c r="BD565" s="3" t="n">
        <v>0</v>
      </c>
      <c r="BE565" s="3" t="n">
        <v>0</v>
      </c>
      <c r="BF565" s="3" t="n">
        <v>0</v>
      </c>
      <c r="BG565" s="3" t="n">
        <v>0</v>
      </c>
      <c r="BH565" s="3" t="n">
        <v>0</v>
      </c>
      <c r="BI565" s="3" t="n">
        <v>0</v>
      </c>
      <c r="BJ565" s="3" t="n">
        <v>0</v>
      </c>
      <c r="BK565" s="3" t="n">
        <v>0</v>
      </c>
      <c r="BL565" s="3" t="n">
        <v>0</v>
      </c>
      <c r="BM565" s="3" t="n">
        <v>0</v>
      </c>
      <c r="BN565" s="3" t="n">
        <v>0</v>
      </c>
      <c r="BO565" s="3" t="n">
        <v>0</v>
      </c>
      <c r="BP565" s="3" t="n">
        <v>0</v>
      </c>
      <c r="BQ565" s="3" t="n">
        <v>0</v>
      </c>
      <c r="BR565" s="3" t="n">
        <v>0</v>
      </c>
      <c r="BS565" s="3" t="n">
        <v>0</v>
      </c>
      <c r="BT565" s="3" t="n">
        <v>0</v>
      </c>
      <c r="BU565" s="3" t="n">
        <v>0</v>
      </c>
      <c r="BV565" s="3" t="n">
        <v>0</v>
      </c>
      <c r="BW565" s="3" t="n">
        <v>0</v>
      </c>
      <c r="BY565" s="20" t="inlineStr">
        <is>
          <t>egy.mit.ener.ftr.bio.5</t>
        </is>
      </c>
      <c r="BZ565" s="3" t="n">
        <v>0</v>
      </c>
      <c r="CA565" s="3" t="n">
        <v>0</v>
      </c>
      <c r="CB565" s="3" t="n">
        <v>0</v>
      </c>
      <c r="CC565" s="3" t="n">
        <v>0</v>
      </c>
      <c r="CD565" s="3" t="n">
        <v>0</v>
      </c>
      <c r="CE565" s="3" t="n">
        <v>0</v>
      </c>
      <c r="CF565" s="3" t="n">
        <v>0</v>
      </c>
      <c r="CG565" s="3" t="n">
        <v>0</v>
      </c>
      <c r="CH565" s="3" t="n">
        <v>0</v>
      </c>
      <c r="CI565" s="3" t="n">
        <v>0</v>
      </c>
      <c r="CJ565" s="3" t="n">
        <v>0</v>
      </c>
      <c r="CK565" s="3" t="n">
        <v>0</v>
      </c>
      <c r="CL565" s="3" t="n">
        <v>0</v>
      </c>
      <c r="CM565" s="3" t="n">
        <v>0</v>
      </c>
      <c r="CN565" s="3" t="n">
        <v>0</v>
      </c>
      <c r="CO565" s="3" t="n">
        <v>0</v>
      </c>
      <c r="CP565" s="3" t="n">
        <v>0</v>
      </c>
      <c r="CQ565" s="3" t="n">
        <v>0</v>
      </c>
      <c r="CR565" s="3" t="n">
        <v>0</v>
      </c>
      <c r="CS565" s="3" t="n">
        <v>0</v>
      </c>
      <c r="CU565" s="20" t="inlineStr">
        <is>
          <t>egy.mit.ener.ftr.bio.6</t>
        </is>
      </c>
      <c r="CV565" s="3" t="n">
        <v>0</v>
      </c>
      <c r="CW565" s="3" t="n">
        <v>0</v>
      </c>
      <c r="CX565" s="3" t="n">
        <v>0</v>
      </c>
      <c r="CY565" s="3" t="n">
        <v>0</v>
      </c>
      <c r="CZ565" s="3" t="n">
        <v>0</v>
      </c>
      <c r="DA565" s="3" t="n">
        <v>0</v>
      </c>
      <c r="DB565" s="3" t="n">
        <v>0</v>
      </c>
      <c r="DC565" s="3" t="n">
        <v>0</v>
      </c>
      <c r="DD565" s="3" t="n">
        <v>0</v>
      </c>
      <c r="DE565" s="3" t="n">
        <v>0</v>
      </c>
      <c r="DF565" s="3" t="n">
        <v>0</v>
      </c>
      <c r="DG565" s="3" t="n">
        <v>0</v>
      </c>
      <c r="DH565" s="3" t="n">
        <v>0</v>
      </c>
      <c r="DI565" s="3" t="n">
        <v>0</v>
      </c>
      <c r="DJ565" s="3" t="n">
        <v>0</v>
      </c>
      <c r="DK565" s="3" t="n">
        <v>0</v>
      </c>
      <c r="DL565" s="3" t="n">
        <v>0</v>
      </c>
      <c r="DM565" s="3" t="n">
        <v>0</v>
      </c>
      <c r="DN565" s="3" t="n">
        <v>0</v>
      </c>
      <c r="DO565" s="3" t="n">
        <v>0</v>
      </c>
    </row>
    <row r="566">
      <c r="A566" s="14" t="n"/>
      <c r="B566" s="3" t="inlineStr">
        <is>
          <t>mit</t>
        </is>
      </c>
      <c r="C566" s="19" t="inlineStr">
        <is>
          <t>mit.ener.mac.ren.e</t>
        </is>
      </c>
      <c r="H566" s="14" t="inlineStr">
        <is>
          <t>Energy consumption, fuel transformation &amp; transportation, sector-generated renewables, policy</t>
        </is>
      </c>
      <c r="I566" s="14" t="inlineStr">
        <is>
          <t>ktoe</t>
        </is>
      </c>
    </row>
    <row r="567">
      <c r="A567" s="19" t="inlineStr">
        <is>
          <t>mit.demtot</t>
        </is>
      </c>
      <c r="B567" s="3" t="inlineStr">
        <is>
          <t>mit</t>
        </is>
      </c>
      <c r="C567" s="19" t="inlineStr">
        <is>
          <t>mit.ener.foo.ecy.t</t>
        </is>
      </c>
      <c r="H567" s="3" t="inlineStr">
        <is>
          <t>Electricity demand, total</t>
        </is>
      </c>
      <c r="I567" s="3" t="inlineStr">
        <is>
          <t>ktoe</t>
        </is>
      </c>
      <c r="K567" s="20" t="inlineStr">
        <is>
          <t>egy.mit.demtot.1</t>
        </is>
      </c>
      <c r="L567" s="23" t="n">
        <v>14392.22063055141</v>
      </c>
      <c r="M567" s="23" t="n">
        <v>14024.22256596097</v>
      </c>
      <c r="N567" s="23" t="n">
        <v>15894.65312924199</v>
      </c>
      <c r="O567" s="23" t="n">
        <v>17996.6991561344</v>
      </c>
      <c r="P567" s="23" t="n">
        <v>18869.10394496609</v>
      </c>
      <c r="Q567" s="23" t="n">
        <v>19611.57890937583</v>
      </c>
      <c r="R567" s="23" t="n">
        <v>20392.27822409636</v>
      </c>
      <c r="S567" s="23" t="n">
        <v>21215.3355969794</v>
      </c>
      <c r="T567" s="23" t="n">
        <v>21857.34474194211</v>
      </c>
      <c r="U567" s="23" t="n">
        <v>22525.43094087461</v>
      </c>
      <c r="V567" s="23" t="n">
        <v>23184.77005614335</v>
      </c>
      <c r="W567" s="23" t="n">
        <v>24339.70277155903</v>
      </c>
      <c r="X567" s="23" t="n">
        <v>25513.48296691885</v>
      </c>
      <c r="Y567" s="23" t="n">
        <v>26747.90737357281</v>
      </c>
      <c r="Z567" s="23" t="n">
        <v>28014.33249975878</v>
      </c>
      <c r="AA567" s="23" t="n">
        <v>29313.23468232726</v>
      </c>
      <c r="AB567" s="23" t="n">
        <v>30644.01315736803</v>
      </c>
      <c r="AC567" s="23" t="n">
        <v>32007.11489993905</v>
      </c>
      <c r="AD567" s="23" t="n">
        <v>33404.1973169529</v>
      </c>
      <c r="AE567" s="23" t="n">
        <v>34836.11036607758</v>
      </c>
      <c r="AG567" s="20" t="inlineStr">
        <is>
          <t>egy.mit.demtot.3</t>
        </is>
      </c>
      <c r="AH567" s="23" t="n">
        <v>14392.22063055141</v>
      </c>
      <c r="AI567" s="23" t="n">
        <v>14024.22256596097</v>
      </c>
      <c r="AJ567" s="23" t="n">
        <v>15894.65312924199</v>
      </c>
      <c r="AK567" s="23" t="n">
        <v>17996.6991561344</v>
      </c>
      <c r="AL567" s="23" t="n">
        <v>18868.79153970068</v>
      </c>
      <c r="AM567" s="23" t="n">
        <v>19610.76193541585</v>
      </c>
      <c r="AN567" s="23" t="n">
        <v>18671.03970184588</v>
      </c>
      <c r="AO567" s="23" t="n">
        <v>19471.29815072277</v>
      </c>
      <c r="AP567" s="23" t="n">
        <v>19909.95538920763</v>
      </c>
      <c r="AQ567" s="23" t="n">
        <v>20794.04804843434</v>
      </c>
      <c r="AR567" s="23" t="n">
        <v>21480.31998395869</v>
      </c>
      <c r="AS567" s="23" t="n">
        <v>22630.55761911712</v>
      </c>
      <c r="AT567" s="23" t="n">
        <v>23777.43343601045</v>
      </c>
      <c r="AU567" s="23" t="n">
        <v>24989.93668403593</v>
      </c>
      <c r="AV567" s="23" t="n">
        <v>26239.62774111397</v>
      </c>
      <c r="AW567" s="23" t="n">
        <v>27531.32445718631</v>
      </c>
      <c r="AX567" s="23" t="n">
        <v>28843.21208047263</v>
      </c>
      <c r="AY567" s="23" t="n">
        <v>30181.41646847599</v>
      </c>
      <c r="AZ567" s="23" t="n">
        <v>31535.9363937264</v>
      </c>
      <c r="BA567" s="23" t="n">
        <v>32919.09560729624</v>
      </c>
      <c r="BC567" s="20" t="inlineStr">
        <is>
          <t>egy.mit.demtot.4</t>
        </is>
      </c>
      <c r="BD567" s="23" t="n">
        <v>14392.22063055141</v>
      </c>
      <c r="BE567" s="23" t="n">
        <v>14024.22256596097</v>
      </c>
      <c r="BF567" s="23" t="n">
        <v>15894.65312924199</v>
      </c>
      <c r="BG567" s="23" t="n">
        <v>17996.6991561344</v>
      </c>
      <c r="BH567" s="23" t="n">
        <v>18868.0627374575</v>
      </c>
      <c r="BI567" s="23" t="n">
        <v>19608.82343305843</v>
      </c>
      <c r="BJ567" s="23" t="n">
        <v>19472.99735331168</v>
      </c>
      <c r="BK567" s="23" t="n">
        <v>19205.79003741685</v>
      </c>
      <c r="BL567" s="23" t="n">
        <v>18907.38682058276</v>
      </c>
      <c r="BM567" s="23" t="n">
        <v>18915.82738805812</v>
      </c>
      <c r="BN567" s="23" t="n">
        <v>18911.64088527556</v>
      </c>
      <c r="BO567" s="23" t="n">
        <v>19128.46415843148</v>
      </c>
      <c r="BP567" s="23" t="n">
        <v>19387.13529543289</v>
      </c>
      <c r="BQ567" s="23" t="n">
        <v>19802.88213022278</v>
      </c>
      <c r="BR567" s="23" t="n">
        <v>20256.65411244955</v>
      </c>
      <c r="BS567" s="23" t="n">
        <v>20854.16794442721</v>
      </c>
      <c r="BT567" s="23" t="n">
        <v>21467.14694141377</v>
      </c>
      <c r="BU567" s="23" t="n">
        <v>22228.65323725843</v>
      </c>
      <c r="BV567" s="23" t="n">
        <v>22958.94657479943</v>
      </c>
      <c r="BW567" s="23" t="n">
        <v>23871.67291126056</v>
      </c>
      <c r="BY567" s="20" t="inlineStr">
        <is>
          <t>egy.mit.demtot.5</t>
        </is>
      </c>
      <c r="BZ567" s="23" t="n">
        <v>14392.22063055141</v>
      </c>
      <c r="CA567" s="23" t="n">
        <v>14024.22256596097</v>
      </c>
      <c r="CB567" s="23" t="n">
        <v>15894.65312924199</v>
      </c>
      <c r="CC567" s="23" t="n">
        <v>17996.6991561344</v>
      </c>
      <c r="CD567" s="23" t="n">
        <v>18867.31583903502</v>
      </c>
      <c r="CE567" s="23" t="n">
        <v>19606.86217466492</v>
      </c>
      <c r="CF567" s="23" t="n">
        <v>20385.39679682578</v>
      </c>
      <c r="CG567" s="23" t="n">
        <v>21215.43640522564</v>
      </c>
      <c r="CH567" s="23" t="n">
        <v>21831.56667137803</v>
      </c>
      <c r="CI567" s="23" t="n">
        <v>22508.04939927463</v>
      </c>
      <c r="CJ567" s="23" t="n">
        <v>23151.19437866025</v>
      </c>
      <c r="CK567" s="23" t="n">
        <v>24342.08597312716</v>
      </c>
      <c r="CL567" s="23" t="n">
        <v>25566.07906931151</v>
      </c>
      <c r="CM567" s="23" t="n">
        <v>26840.95594550806</v>
      </c>
      <c r="CN567" s="23" t="n">
        <v>28218.35002769852</v>
      </c>
      <c r="CO567" s="23" t="n">
        <v>29628.40706835363</v>
      </c>
      <c r="CP567" s="23" t="n">
        <v>31067.20522737617</v>
      </c>
      <c r="CQ567" s="23" t="n">
        <v>32549.74795136472</v>
      </c>
      <c r="CR567" s="23" t="n">
        <v>34047.10439215464</v>
      </c>
      <c r="CS567" s="23" t="n">
        <v>35581.49162597696</v>
      </c>
      <c r="CU567" s="20" t="inlineStr">
        <is>
          <t>egy.mit.demtot.6</t>
        </is>
      </c>
      <c r="CV567" s="23" t="n">
        <v>14392.22063055141</v>
      </c>
      <c r="CW567" s="23" t="n">
        <v>14024.22256596097</v>
      </c>
      <c r="CX567" s="23" t="n">
        <v>15894.65312924199</v>
      </c>
      <c r="CY567" s="23" t="n">
        <v>17996.6991561344</v>
      </c>
      <c r="CZ567" s="23" t="n">
        <v>18868.3745781767</v>
      </c>
      <c r="DA567" s="23" t="n">
        <v>19609.65869220745</v>
      </c>
      <c r="DB567" s="23" t="n">
        <v>16750.48089602674</v>
      </c>
      <c r="DC567" s="23" t="n">
        <v>17548.36401235245</v>
      </c>
      <c r="DD567" s="23" t="n">
        <v>17811.30388114586</v>
      </c>
      <c r="DE567" s="23" t="n">
        <v>18668.54290359257</v>
      </c>
      <c r="DF567" s="23" t="n">
        <v>19480.5028487767</v>
      </c>
      <c r="DG567" s="23" t="n">
        <v>20614.41162115999</v>
      </c>
      <c r="DH567" s="23" t="n">
        <v>21817.27802634535</v>
      </c>
      <c r="DI567" s="23" t="n">
        <v>23154.82442684004</v>
      </c>
      <c r="DJ567" s="23" t="n">
        <v>24529.88026546086</v>
      </c>
      <c r="DK567" s="23" t="n">
        <v>25994.34037685505</v>
      </c>
      <c r="DL567" s="23" t="n">
        <v>27456.2430052788</v>
      </c>
      <c r="DM567" s="23" t="n">
        <v>28966.16241757324</v>
      </c>
      <c r="DN567" s="23" t="n">
        <v>30454.75962512477</v>
      </c>
      <c r="DO567" s="23" t="n">
        <v>31985.44060916766</v>
      </c>
    </row>
    <row r="568">
      <c r="A568" s="19" t="inlineStr">
        <is>
          <t>mit.dem.rod.ecy</t>
        </is>
      </c>
      <c r="B568" s="3" t="inlineStr">
        <is>
          <t>mit</t>
        </is>
      </c>
      <c r="C568" s="19" t="n"/>
      <c r="H568" s="3" t="inlineStr">
        <is>
          <t>Electricity demand | Road | Electricity</t>
        </is>
      </c>
      <c r="I568" s="3" t="inlineStr">
        <is>
          <t>ktoe</t>
        </is>
      </c>
      <c r="K568" s="20" t="inlineStr">
        <is>
          <t>egy.mit.dem.rod.ecy.1</t>
        </is>
      </c>
      <c r="L568" s="3" t="n">
        <v>0</v>
      </c>
      <c r="M568" s="3" t="n">
        <v>0</v>
      </c>
      <c r="N568" s="3" t="n">
        <v>0</v>
      </c>
      <c r="O568" s="3" t="n">
        <v>0</v>
      </c>
      <c r="P568" s="3" t="n">
        <v>0</v>
      </c>
      <c r="Q568" s="3" t="n">
        <v>0</v>
      </c>
      <c r="R568" s="3" t="n">
        <v>0</v>
      </c>
      <c r="S568" s="3" t="n">
        <v>0</v>
      </c>
      <c r="T568" s="3" t="n">
        <v>0</v>
      </c>
      <c r="U568" s="3" t="n">
        <v>0</v>
      </c>
      <c r="V568" s="3" t="n">
        <v>0</v>
      </c>
      <c r="W568" s="3" t="n">
        <v>0</v>
      </c>
      <c r="X568" s="3" t="n">
        <v>0</v>
      </c>
      <c r="Y568" s="3" t="n">
        <v>0</v>
      </c>
      <c r="Z568" s="3" t="n">
        <v>0</v>
      </c>
      <c r="AA568" s="3" t="n">
        <v>0</v>
      </c>
      <c r="AB568" s="3" t="n">
        <v>0</v>
      </c>
      <c r="AC568" s="3" t="n">
        <v>0</v>
      </c>
      <c r="AD568" s="3" t="n">
        <v>0</v>
      </c>
      <c r="AE568" s="3" t="n">
        <v>0</v>
      </c>
      <c r="AG568" s="20" t="inlineStr">
        <is>
          <t>egy.mit.dem.rod.ecy.3</t>
        </is>
      </c>
      <c r="AH568" s="3" t="n">
        <v>0</v>
      </c>
      <c r="AI568" s="3" t="n">
        <v>0</v>
      </c>
      <c r="AJ568" s="3" t="n">
        <v>0</v>
      </c>
      <c r="AK568" s="3" t="n">
        <v>0</v>
      </c>
      <c r="AL568" s="3" t="n">
        <v>0</v>
      </c>
      <c r="AM568" s="3" t="n">
        <v>0</v>
      </c>
      <c r="AN568" s="3" t="n">
        <v>0</v>
      </c>
      <c r="AO568" s="3" t="n">
        <v>0</v>
      </c>
      <c r="AP568" s="3" t="n">
        <v>0</v>
      </c>
      <c r="AQ568" s="3" t="n">
        <v>0</v>
      </c>
      <c r="AR568" s="3" t="n">
        <v>0</v>
      </c>
      <c r="AS568" s="3" t="n">
        <v>0</v>
      </c>
      <c r="AT568" s="3" t="n">
        <v>0</v>
      </c>
      <c r="AU568" s="3" t="n">
        <v>0</v>
      </c>
      <c r="AV568" s="3" t="n">
        <v>0</v>
      </c>
      <c r="AW568" s="3" t="n">
        <v>0</v>
      </c>
      <c r="AX568" s="3" t="n">
        <v>0</v>
      </c>
      <c r="AY568" s="3" t="n">
        <v>0</v>
      </c>
      <c r="AZ568" s="3" t="n">
        <v>0</v>
      </c>
      <c r="BA568" s="3" t="n">
        <v>0</v>
      </c>
      <c r="BC568" s="20" t="inlineStr">
        <is>
          <t>egy.mit.dem.rod.ecy.4</t>
        </is>
      </c>
      <c r="BD568" s="3" t="n">
        <v>0</v>
      </c>
      <c r="BE568" s="3" t="n">
        <v>0</v>
      </c>
      <c r="BF568" s="3" t="n">
        <v>0</v>
      </c>
      <c r="BG568" s="3" t="n">
        <v>0</v>
      </c>
      <c r="BH568" s="3" t="n">
        <v>0</v>
      </c>
      <c r="BI568" s="3" t="n">
        <v>0</v>
      </c>
      <c r="BJ568" s="3" t="n">
        <v>0</v>
      </c>
      <c r="BK568" s="3" t="n">
        <v>0</v>
      </c>
      <c r="BL568" s="3" t="n">
        <v>0</v>
      </c>
      <c r="BM568" s="3" t="n">
        <v>0</v>
      </c>
      <c r="BN568" s="3" t="n">
        <v>0</v>
      </c>
      <c r="BO568" s="3" t="n">
        <v>0</v>
      </c>
      <c r="BP568" s="3" t="n">
        <v>0</v>
      </c>
      <c r="BQ568" s="3" t="n">
        <v>0</v>
      </c>
      <c r="BR568" s="3" t="n">
        <v>0</v>
      </c>
      <c r="BS568" s="3" t="n">
        <v>0</v>
      </c>
      <c r="BT568" s="3" t="n">
        <v>0</v>
      </c>
      <c r="BU568" s="3" t="n">
        <v>0</v>
      </c>
      <c r="BV568" s="3" t="n">
        <v>0</v>
      </c>
      <c r="BW568" s="3" t="n">
        <v>0</v>
      </c>
      <c r="BY568" s="20" t="inlineStr">
        <is>
          <t>egy.mit.dem.rod.ecy.5</t>
        </is>
      </c>
      <c r="BZ568" s="3" t="n">
        <v>0</v>
      </c>
      <c r="CA568" s="3" t="n">
        <v>0</v>
      </c>
      <c r="CB568" s="3" t="n">
        <v>0</v>
      </c>
      <c r="CC568" s="3" t="n">
        <v>0</v>
      </c>
      <c r="CD568" s="3" t="n">
        <v>0</v>
      </c>
      <c r="CE568" s="3" t="n">
        <v>0</v>
      </c>
      <c r="CF568" s="3" t="n">
        <v>0</v>
      </c>
      <c r="CG568" s="3" t="n">
        <v>0</v>
      </c>
      <c r="CH568" s="3" t="n">
        <v>0</v>
      </c>
      <c r="CI568" s="3" t="n">
        <v>0</v>
      </c>
      <c r="CJ568" s="3" t="n">
        <v>0</v>
      </c>
      <c r="CK568" s="3" t="n">
        <v>0</v>
      </c>
      <c r="CL568" s="3" t="n">
        <v>0</v>
      </c>
      <c r="CM568" s="3" t="n">
        <v>0</v>
      </c>
      <c r="CN568" s="3" t="n">
        <v>0</v>
      </c>
      <c r="CO568" s="3" t="n">
        <v>0</v>
      </c>
      <c r="CP568" s="3" t="n">
        <v>0</v>
      </c>
      <c r="CQ568" s="3" t="n">
        <v>0</v>
      </c>
      <c r="CR568" s="3" t="n">
        <v>0</v>
      </c>
      <c r="CS568" s="3" t="n">
        <v>0</v>
      </c>
      <c r="CU568" s="20" t="inlineStr">
        <is>
          <t>egy.mit.dem.rod.ecy.6</t>
        </is>
      </c>
      <c r="CV568" s="3" t="n">
        <v>0</v>
      </c>
      <c r="CW568" s="3" t="n">
        <v>0</v>
      </c>
      <c r="CX568" s="3" t="n">
        <v>0</v>
      </c>
      <c r="CY568" s="3" t="n">
        <v>0</v>
      </c>
      <c r="CZ568" s="3" t="n">
        <v>0</v>
      </c>
      <c r="DA568" s="3" t="n">
        <v>0</v>
      </c>
      <c r="DB568" s="3" t="n">
        <v>0</v>
      </c>
      <c r="DC568" s="3" t="n">
        <v>0</v>
      </c>
      <c r="DD568" s="3" t="n">
        <v>0</v>
      </c>
      <c r="DE568" s="3" t="n">
        <v>0</v>
      </c>
      <c r="DF568" s="3" t="n">
        <v>0</v>
      </c>
      <c r="DG568" s="3" t="n">
        <v>0</v>
      </c>
      <c r="DH568" s="3" t="n">
        <v>0</v>
      </c>
      <c r="DI568" s="3" t="n">
        <v>0</v>
      </c>
      <c r="DJ568" s="3" t="n">
        <v>0</v>
      </c>
      <c r="DK568" s="3" t="n">
        <v>0</v>
      </c>
      <c r="DL568" s="3" t="n">
        <v>0</v>
      </c>
      <c r="DM568" s="3" t="n">
        <v>0</v>
      </c>
      <c r="DN568" s="3" t="n">
        <v>0</v>
      </c>
      <c r="DO568" s="3" t="n">
        <v>0</v>
      </c>
    </row>
    <row r="569">
      <c r="A569" s="19" t="inlineStr">
        <is>
          <t>mit.dem.ral.ecy</t>
        </is>
      </c>
      <c r="B569" s="3" t="inlineStr">
        <is>
          <t>mit</t>
        </is>
      </c>
      <c r="C569" s="19" t="n"/>
      <c r="H569" s="3" t="inlineStr">
        <is>
          <t>Electricity demand | Rail | Electricity</t>
        </is>
      </c>
      <c r="I569" s="3" t="inlineStr">
        <is>
          <t>ktoe</t>
        </is>
      </c>
      <c r="K569" s="20" t="inlineStr">
        <is>
          <t>egy.mit.dem.ral.ecy.1</t>
        </is>
      </c>
      <c r="L569" s="3" t="n">
        <v>43.29324915009079</v>
      </c>
      <c r="M569" s="3" t="n">
        <v>40.53374271888308</v>
      </c>
      <c r="N569" s="3" t="n">
        <v>46.14250590126423</v>
      </c>
      <c r="O569" s="3" t="n">
        <v>51.32706034628551</v>
      </c>
      <c r="P569" s="3" t="n">
        <v>54.04836493710857</v>
      </c>
      <c r="Q569" s="3" t="n">
        <v>56.74081768607103</v>
      </c>
      <c r="R569" s="3" t="n">
        <v>59.80014595011974</v>
      </c>
      <c r="S569" s="3" t="n">
        <v>62.91855187067946</v>
      </c>
      <c r="T569" s="3" t="n">
        <v>65.59318596488241</v>
      </c>
      <c r="U569" s="3" t="n">
        <v>68.35772733715497</v>
      </c>
      <c r="V569" s="3" t="n">
        <v>71.14934943621874</v>
      </c>
      <c r="W569" s="3" t="n">
        <v>75.07038627817606</v>
      </c>
      <c r="X569" s="3" t="n">
        <v>79.08143338945092</v>
      </c>
      <c r="Y569" s="3" t="n">
        <v>83.27818066681029</v>
      </c>
      <c r="Z569" s="3" t="n">
        <v>87.60369715341963</v>
      </c>
      <c r="AA569" s="3" t="n">
        <v>92.05927213448675</v>
      </c>
      <c r="AB569" s="3" t="n">
        <v>96.64379658918602</v>
      </c>
      <c r="AC569" s="3" t="n">
        <v>101.3583300877138</v>
      </c>
      <c r="AD569" s="3" t="n">
        <v>106.2064746575405</v>
      </c>
      <c r="AE569" s="3" t="n">
        <v>111.1900197855317</v>
      </c>
      <c r="AG569" s="20" t="inlineStr">
        <is>
          <t>egy.mit.dem.ral.ecy.3</t>
        </is>
      </c>
      <c r="AH569" s="3" t="n">
        <v>43.29324915009079</v>
      </c>
      <c r="AI569" s="3" t="n">
        <v>40.53374271888308</v>
      </c>
      <c r="AJ569" s="3" t="n">
        <v>46.14250590126423</v>
      </c>
      <c r="AK569" s="3" t="n">
        <v>51.32706034628551</v>
      </c>
      <c r="AL569" s="3" t="n">
        <v>54.04774482609434</v>
      </c>
      <c r="AM569" s="3" t="n">
        <v>56.73917637486949</v>
      </c>
      <c r="AN569" s="3" t="n">
        <v>56.16323097627933</v>
      </c>
      <c r="AO569" s="3" t="n">
        <v>59.21708815981269</v>
      </c>
      <c r="AP569" s="3" t="n">
        <v>61.36265000133893</v>
      </c>
      <c r="AQ569" s="3" t="n">
        <v>64.57011503032908</v>
      </c>
      <c r="AR569" s="3" t="n">
        <v>67.3641187421383</v>
      </c>
      <c r="AS569" s="3" t="n">
        <v>71.28507559252513</v>
      </c>
      <c r="AT569" s="3" t="n">
        <v>75.27218061206908</v>
      </c>
      <c r="AU569" s="3" t="n">
        <v>79.45425905892988</v>
      </c>
      <c r="AV569" s="3" t="n">
        <v>83.79068743015709</v>
      </c>
      <c r="AW569" s="3" t="n">
        <v>88.31022570188773</v>
      </c>
      <c r="AX569" s="3" t="n">
        <v>92.91312744525703</v>
      </c>
      <c r="AY569" s="3" t="n">
        <v>97.6227902433303</v>
      </c>
      <c r="AZ569" s="3" t="n">
        <v>102.3949145182079</v>
      </c>
      <c r="BA569" s="3" t="n">
        <v>107.2794238884876</v>
      </c>
      <c r="BC569" s="20" t="inlineStr">
        <is>
          <t>egy.mit.dem.ral.ecy.4</t>
        </is>
      </c>
      <c r="BD569" s="3" t="n">
        <v>43.29324915009079</v>
      </c>
      <c r="BE569" s="3" t="n">
        <v>40.53374271888308</v>
      </c>
      <c r="BF569" s="3" t="n">
        <v>46.14250590126423</v>
      </c>
      <c r="BG569" s="3" t="n">
        <v>51.32706034628551</v>
      </c>
      <c r="BH569" s="3" t="n">
        <v>54.04629806859971</v>
      </c>
      <c r="BI569" s="3" t="n">
        <v>56.7352810167873</v>
      </c>
      <c r="BJ569" s="3" t="n">
        <v>57.86987389329948</v>
      </c>
      <c r="BK569" s="3" t="n">
        <v>58.63352281503458</v>
      </c>
      <c r="BL569" s="3" t="n">
        <v>59.17227636165607</v>
      </c>
      <c r="BM569" s="3" t="n">
        <v>60.37443777481845</v>
      </c>
      <c r="BN569" s="3" t="n">
        <v>61.54198921872533</v>
      </c>
      <c r="BO569" s="3" t="n">
        <v>63.24770233811704</v>
      </c>
      <c r="BP569" s="3" t="n">
        <v>65.10086779857197</v>
      </c>
      <c r="BQ569" s="3" t="n">
        <v>67.37898863823085</v>
      </c>
      <c r="BR569" s="3" t="n">
        <v>69.80272837601065</v>
      </c>
      <c r="BS569" s="3" t="n">
        <v>72.64717697327833</v>
      </c>
      <c r="BT569" s="3" t="n">
        <v>75.59194918670268</v>
      </c>
      <c r="BU569" s="3" t="n">
        <v>78.96404331506534</v>
      </c>
      <c r="BV569" s="3" t="n">
        <v>82.29807762764833</v>
      </c>
      <c r="BW569" s="3" t="n">
        <v>86.12822703769051</v>
      </c>
      <c r="BY569" s="20" t="inlineStr">
        <is>
          <t>egy.mit.dem.ral.ecy.5</t>
        </is>
      </c>
      <c r="BZ569" s="3" t="n">
        <v>43.29324915009079</v>
      </c>
      <c r="CA569" s="3" t="n">
        <v>40.53374271888308</v>
      </c>
      <c r="CB569" s="3" t="n">
        <v>46.14250590126423</v>
      </c>
      <c r="CC569" s="3" t="n">
        <v>51.32706034628551</v>
      </c>
      <c r="CD569" s="3" t="n">
        <v>54.04481542055588</v>
      </c>
      <c r="CE569" s="3" t="n">
        <v>56.73133971190342</v>
      </c>
      <c r="CF569" s="3" t="n">
        <v>59.7860846311025</v>
      </c>
      <c r="CG569" s="3" t="n">
        <v>62.93683400633898</v>
      </c>
      <c r="CH569" s="3" t="n">
        <v>65.51110295856843</v>
      </c>
      <c r="CI569" s="3" t="n">
        <v>68.31060763785032</v>
      </c>
      <c r="CJ569" s="3" t="n">
        <v>71.04275910056097</v>
      </c>
      <c r="CK569" s="3" t="n">
        <v>75.07255284382353</v>
      </c>
      <c r="CL569" s="3" t="n">
        <v>79.22778490850655</v>
      </c>
      <c r="CM569" s="3" t="n">
        <v>83.54311268280533</v>
      </c>
      <c r="CN569" s="3" t="n">
        <v>88.15280883186141</v>
      </c>
      <c r="CO569" s="3" t="n">
        <v>92.91898647848036</v>
      </c>
      <c r="CP569" s="3" t="n">
        <v>97.78765432234312</v>
      </c>
      <c r="CQ569" s="3" t="n">
        <v>102.8093443182356</v>
      </c>
      <c r="CR569" s="3" t="n">
        <v>107.8972787365575</v>
      </c>
      <c r="CS569" s="3" t="n">
        <v>113.1306132306073</v>
      </c>
      <c r="CU569" s="20" t="inlineStr">
        <is>
          <t>egy.mit.dem.ral.ecy.6</t>
        </is>
      </c>
      <c r="CV569" s="3" t="n">
        <v>43.29324915009079</v>
      </c>
      <c r="CW569" s="3" t="n">
        <v>40.53374271888308</v>
      </c>
      <c r="CX569" s="3" t="n">
        <v>46.14250590126423</v>
      </c>
      <c r="CY569" s="3" t="n">
        <v>51.32706034628551</v>
      </c>
      <c r="CZ569" s="3" t="n">
        <v>54.0469171291467</v>
      </c>
      <c r="DA569" s="3" t="n">
        <v>56.73695959409716</v>
      </c>
      <c r="DB569" s="3" t="n">
        <v>51.98312024066919</v>
      </c>
      <c r="DC569" s="3" t="n">
        <v>55.01462425837132</v>
      </c>
      <c r="DD569" s="3" t="n">
        <v>56.6621031508807</v>
      </c>
      <c r="DE569" s="3" t="n">
        <v>59.79439062624223</v>
      </c>
      <c r="DF569" s="3" t="n">
        <v>62.81186672040206</v>
      </c>
      <c r="DG569" s="3" t="n">
        <v>66.71441208009355</v>
      </c>
      <c r="DH569" s="3" t="n">
        <v>70.86631577301142</v>
      </c>
      <c r="DI569" s="3" t="n">
        <v>75.37124135592693</v>
      </c>
      <c r="DJ569" s="3" t="n">
        <v>80.04478994507959</v>
      </c>
      <c r="DK569" s="3" t="n">
        <v>85.04506998215658</v>
      </c>
      <c r="DL569" s="3" t="n">
        <v>90.05480548608098</v>
      </c>
      <c r="DM569" s="3" t="n">
        <v>95.21560120336225</v>
      </c>
      <c r="DN569" s="3" t="n">
        <v>100.319135688962</v>
      </c>
      <c r="DO569" s="3" t="n">
        <v>105.5601274130396</v>
      </c>
    </row>
    <row r="570">
      <c r="A570" s="19" t="inlineStr">
        <is>
          <t>mit.dem.avi.ecy</t>
        </is>
      </c>
      <c r="B570" s="3" t="inlineStr">
        <is>
          <t>mit</t>
        </is>
      </c>
      <c r="C570" s="19" t="n"/>
      <c r="H570" s="3" t="inlineStr">
        <is>
          <t>Electricity demand | Domestic aviation | Electricity</t>
        </is>
      </c>
      <c r="I570" s="3" t="inlineStr">
        <is>
          <t>ktoe</t>
        </is>
      </c>
      <c r="K570" s="20" t="inlineStr">
        <is>
          <t>egy.mit.dem.avi.ecy.1</t>
        </is>
      </c>
      <c r="L570" s="3" t="n">
        <v>0</v>
      </c>
      <c r="M570" s="3" t="n">
        <v>0</v>
      </c>
      <c r="N570" s="3" t="n">
        <v>0</v>
      </c>
      <c r="O570" s="3" t="n">
        <v>0</v>
      </c>
      <c r="P570" s="3" t="n">
        <v>0</v>
      </c>
      <c r="Q570" s="3" t="n">
        <v>0</v>
      </c>
      <c r="R570" s="3" t="n">
        <v>0</v>
      </c>
      <c r="S570" s="3" t="n">
        <v>0</v>
      </c>
      <c r="T570" s="3" t="n">
        <v>0</v>
      </c>
      <c r="U570" s="3" t="n">
        <v>0</v>
      </c>
      <c r="V570" s="3" t="n">
        <v>0</v>
      </c>
      <c r="W570" s="3" t="n">
        <v>0</v>
      </c>
      <c r="X570" s="3" t="n">
        <v>0</v>
      </c>
      <c r="Y570" s="3" t="n">
        <v>0</v>
      </c>
      <c r="Z570" s="3" t="n">
        <v>0</v>
      </c>
      <c r="AA570" s="3" t="n">
        <v>0</v>
      </c>
      <c r="AB570" s="3" t="n">
        <v>0</v>
      </c>
      <c r="AC570" s="3" t="n">
        <v>0</v>
      </c>
      <c r="AD570" s="3" t="n">
        <v>0</v>
      </c>
      <c r="AE570" s="3" t="n">
        <v>0</v>
      </c>
      <c r="AG570" s="20" t="inlineStr">
        <is>
          <t>egy.mit.dem.avi.ecy.3</t>
        </is>
      </c>
      <c r="AH570" s="3" t="n">
        <v>0</v>
      </c>
      <c r="AI570" s="3" t="n">
        <v>0</v>
      </c>
      <c r="AJ570" s="3" t="n">
        <v>0</v>
      </c>
      <c r="AK570" s="3" t="n">
        <v>0</v>
      </c>
      <c r="AL570" s="3" t="n">
        <v>0</v>
      </c>
      <c r="AM570" s="3" t="n">
        <v>0</v>
      </c>
      <c r="AN570" s="3" t="n">
        <v>0</v>
      </c>
      <c r="AO570" s="3" t="n">
        <v>0</v>
      </c>
      <c r="AP570" s="3" t="n">
        <v>0</v>
      </c>
      <c r="AQ570" s="3" t="n">
        <v>0</v>
      </c>
      <c r="AR570" s="3" t="n">
        <v>0</v>
      </c>
      <c r="AS570" s="3" t="n">
        <v>0</v>
      </c>
      <c r="AT570" s="3" t="n">
        <v>0</v>
      </c>
      <c r="AU570" s="3" t="n">
        <v>0</v>
      </c>
      <c r="AV570" s="3" t="n">
        <v>0</v>
      </c>
      <c r="AW570" s="3" t="n">
        <v>0</v>
      </c>
      <c r="AX570" s="3" t="n">
        <v>0</v>
      </c>
      <c r="AY570" s="3" t="n">
        <v>0</v>
      </c>
      <c r="AZ570" s="3" t="n">
        <v>0</v>
      </c>
      <c r="BA570" s="3" t="n">
        <v>0</v>
      </c>
      <c r="BC570" s="20" t="inlineStr">
        <is>
          <t>egy.mit.dem.avi.ecy.4</t>
        </is>
      </c>
      <c r="BD570" s="3" t="n">
        <v>0</v>
      </c>
      <c r="BE570" s="3" t="n">
        <v>0</v>
      </c>
      <c r="BF570" s="3" t="n">
        <v>0</v>
      </c>
      <c r="BG570" s="3" t="n">
        <v>0</v>
      </c>
      <c r="BH570" s="3" t="n">
        <v>0</v>
      </c>
      <c r="BI570" s="3" t="n">
        <v>0</v>
      </c>
      <c r="BJ570" s="3" t="n">
        <v>0</v>
      </c>
      <c r="BK570" s="3" t="n">
        <v>0</v>
      </c>
      <c r="BL570" s="3" t="n">
        <v>0</v>
      </c>
      <c r="BM570" s="3" t="n">
        <v>0</v>
      </c>
      <c r="BN570" s="3" t="n">
        <v>0</v>
      </c>
      <c r="BO570" s="3" t="n">
        <v>0</v>
      </c>
      <c r="BP570" s="3" t="n">
        <v>0</v>
      </c>
      <c r="BQ570" s="3" t="n">
        <v>0</v>
      </c>
      <c r="BR570" s="3" t="n">
        <v>0</v>
      </c>
      <c r="BS570" s="3" t="n">
        <v>0</v>
      </c>
      <c r="BT570" s="3" t="n">
        <v>0</v>
      </c>
      <c r="BU570" s="3" t="n">
        <v>0</v>
      </c>
      <c r="BV570" s="3" t="n">
        <v>0</v>
      </c>
      <c r="BW570" s="3" t="n">
        <v>0</v>
      </c>
      <c r="BY570" s="20" t="inlineStr">
        <is>
          <t>egy.mit.dem.avi.ecy.5</t>
        </is>
      </c>
      <c r="BZ570" s="3" t="n">
        <v>0</v>
      </c>
      <c r="CA570" s="3" t="n">
        <v>0</v>
      </c>
      <c r="CB570" s="3" t="n">
        <v>0</v>
      </c>
      <c r="CC570" s="3" t="n">
        <v>0</v>
      </c>
      <c r="CD570" s="3" t="n">
        <v>0</v>
      </c>
      <c r="CE570" s="3" t="n">
        <v>0</v>
      </c>
      <c r="CF570" s="3" t="n">
        <v>0</v>
      </c>
      <c r="CG570" s="3" t="n">
        <v>0</v>
      </c>
      <c r="CH570" s="3" t="n">
        <v>0</v>
      </c>
      <c r="CI570" s="3" t="n">
        <v>0</v>
      </c>
      <c r="CJ570" s="3" t="n">
        <v>0</v>
      </c>
      <c r="CK570" s="3" t="n">
        <v>0</v>
      </c>
      <c r="CL570" s="3" t="n">
        <v>0</v>
      </c>
      <c r="CM570" s="3" t="n">
        <v>0</v>
      </c>
      <c r="CN570" s="3" t="n">
        <v>0</v>
      </c>
      <c r="CO570" s="3" t="n">
        <v>0</v>
      </c>
      <c r="CP570" s="3" t="n">
        <v>0</v>
      </c>
      <c r="CQ570" s="3" t="n">
        <v>0</v>
      </c>
      <c r="CR570" s="3" t="n">
        <v>0</v>
      </c>
      <c r="CS570" s="3" t="n">
        <v>0</v>
      </c>
      <c r="CU570" s="20" t="inlineStr">
        <is>
          <t>egy.mit.dem.avi.ecy.6</t>
        </is>
      </c>
      <c r="CV570" s="3" t="n">
        <v>0</v>
      </c>
      <c r="CW570" s="3" t="n">
        <v>0</v>
      </c>
      <c r="CX570" s="3" t="n">
        <v>0</v>
      </c>
      <c r="CY570" s="3" t="n">
        <v>0</v>
      </c>
      <c r="CZ570" s="3" t="n">
        <v>0</v>
      </c>
      <c r="DA570" s="3" t="n">
        <v>0</v>
      </c>
      <c r="DB570" s="3" t="n">
        <v>0</v>
      </c>
      <c r="DC570" s="3" t="n">
        <v>0</v>
      </c>
      <c r="DD570" s="3" t="n">
        <v>0</v>
      </c>
      <c r="DE570" s="3" t="n">
        <v>0</v>
      </c>
      <c r="DF570" s="3" t="n">
        <v>0</v>
      </c>
      <c r="DG570" s="3" t="n">
        <v>0</v>
      </c>
      <c r="DH570" s="3" t="n">
        <v>0</v>
      </c>
      <c r="DI570" s="3" t="n">
        <v>0</v>
      </c>
      <c r="DJ570" s="3" t="n">
        <v>0</v>
      </c>
      <c r="DK570" s="3" t="n">
        <v>0</v>
      </c>
      <c r="DL570" s="3" t="n">
        <v>0</v>
      </c>
      <c r="DM570" s="3" t="n">
        <v>0</v>
      </c>
      <c r="DN570" s="3" t="n">
        <v>0</v>
      </c>
      <c r="DO570" s="3" t="n">
        <v>0</v>
      </c>
    </row>
    <row r="571">
      <c r="A571" s="19" t="inlineStr">
        <is>
          <t>mit.dem.nav.ecy</t>
        </is>
      </c>
      <c r="B571" s="3" t="inlineStr">
        <is>
          <t>mit</t>
        </is>
      </c>
      <c r="C571" s="19" t="n"/>
      <c r="H571" s="3" t="inlineStr">
        <is>
          <t>Electricity demand | Domestic navigation | Electricity</t>
        </is>
      </c>
      <c r="I571" s="3" t="inlineStr">
        <is>
          <t>ktoe</t>
        </is>
      </c>
      <c r="K571" s="20" t="inlineStr">
        <is>
          <t>egy.mit.dem.nav.ecy.1</t>
        </is>
      </c>
      <c r="L571" s="3" t="n">
        <v>0</v>
      </c>
      <c r="M571" s="3" t="n">
        <v>0</v>
      </c>
      <c r="N571" s="3" t="n">
        <v>0</v>
      </c>
      <c r="O571" s="3" t="n">
        <v>0</v>
      </c>
      <c r="P571" s="3" t="n">
        <v>0</v>
      </c>
      <c r="Q571" s="3" t="n">
        <v>0</v>
      </c>
      <c r="R571" s="3" t="n">
        <v>0</v>
      </c>
      <c r="S571" s="3" t="n">
        <v>0</v>
      </c>
      <c r="T571" s="3" t="n">
        <v>0</v>
      </c>
      <c r="U571" s="3" t="n">
        <v>0</v>
      </c>
      <c r="V571" s="3" t="n">
        <v>0</v>
      </c>
      <c r="W571" s="3" t="n">
        <v>0</v>
      </c>
      <c r="X571" s="3" t="n">
        <v>0</v>
      </c>
      <c r="Y571" s="3" t="n">
        <v>0</v>
      </c>
      <c r="Z571" s="3" t="n">
        <v>0</v>
      </c>
      <c r="AA571" s="3" t="n">
        <v>0</v>
      </c>
      <c r="AB571" s="3" t="n">
        <v>0</v>
      </c>
      <c r="AC571" s="3" t="n">
        <v>0</v>
      </c>
      <c r="AD571" s="3" t="n">
        <v>0</v>
      </c>
      <c r="AE571" s="3" t="n">
        <v>0</v>
      </c>
      <c r="AG571" s="20" t="inlineStr">
        <is>
          <t>egy.mit.dem.nav.ecy.3</t>
        </is>
      </c>
      <c r="AH571" s="3" t="n">
        <v>0</v>
      </c>
      <c r="AI571" s="3" t="n">
        <v>0</v>
      </c>
      <c r="AJ571" s="3" t="n">
        <v>0</v>
      </c>
      <c r="AK571" s="3" t="n">
        <v>0</v>
      </c>
      <c r="AL571" s="3" t="n">
        <v>0</v>
      </c>
      <c r="AM571" s="3" t="n">
        <v>0</v>
      </c>
      <c r="AN571" s="3" t="n">
        <v>0</v>
      </c>
      <c r="AO571" s="3" t="n">
        <v>0</v>
      </c>
      <c r="AP571" s="3" t="n">
        <v>0</v>
      </c>
      <c r="AQ571" s="3" t="n">
        <v>0</v>
      </c>
      <c r="AR571" s="3" t="n">
        <v>0</v>
      </c>
      <c r="AS571" s="3" t="n">
        <v>0</v>
      </c>
      <c r="AT571" s="3" t="n">
        <v>0</v>
      </c>
      <c r="AU571" s="3" t="n">
        <v>0</v>
      </c>
      <c r="AV571" s="3" t="n">
        <v>0</v>
      </c>
      <c r="AW571" s="3" t="n">
        <v>0</v>
      </c>
      <c r="AX571" s="3" t="n">
        <v>0</v>
      </c>
      <c r="AY571" s="3" t="n">
        <v>0</v>
      </c>
      <c r="AZ571" s="3" t="n">
        <v>0</v>
      </c>
      <c r="BA571" s="3" t="n">
        <v>0</v>
      </c>
      <c r="BC571" s="20" t="inlineStr">
        <is>
          <t>egy.mit.dem.nav.ecy.4</t>
        </is>
      </c>
      <c r="BD571" s="3" t="n">
        <v>0</v>
      </c>
      <c r="BE571" s="3" t="n">
        <v>0</v>
      </c>
      <c r="BF571" s="3" t="n">
        <v>0</v>
      </c>
      <c r="BG571" s="3" t="n">
        <v>0</v>
      </c>
      <c r="BH571" s="3" t="n">
        <v>0</v>
      </c>
      <c r="BI571" s="3" t="n">
        <v>0</v>
      </c>
      <c r="BJ571" s="3" t="n">
        <v>0</v>
      </c>
      <c r="BK571" s="3" t="n">
        <v>0</v>
      </c>
      <c r="BL571" s="3" t="n">
        <v>0</v>
      </c>
      <c r="BM571" s="3" t="n">
        <v>0</v>
      </c>
      <c r="BN571" s="3" t="n">
        <v>0</v>
      </c>
      <c r="BO571" s="3" t="n">
        <v>0</v>
      </c>
      <c r="BP571" s="3" t="n">
        <v>0</v>
      </c>
      <c r="BQ571" s="3" t="n">
        <v>0</v>
      </c>
      <c r="BR571" s="3" t="n">
        <v>0</v>
      </c>
      <c r="BS571" s="3" t="n">
        <v>0</v>
      </c>
      <c r="BT571" s="3" t="n">
        <v>0</v>
      </c>
      <c r="BU571" s="3" t="n">
        <v>0</v>
      </c>
      <c r="BV571" s="3" t="n">
        <v>0</v>
      </c>
      <c r="BW571" s="3" t="n">
        <v>0</v>
      </c>
      <c r="BY571" s="20" t="inlineStr">
        <is>
          <t>egy.mit.dem.nav.ecy.5</t>
        </is>
      </c>
      <c r="BZ571" s="3" t="n">
        <v>0</v>
      </c>
      <c r="CA571" s="3" t="n">
        <v>0</v>
      </c>
      <c r="CB571" s="3" t="n">
        <v>0</v>
      </c>
      <c r="CC571" s="3" t="n">
        <v>0</v>
      </c>
      <c r="CD571" s="3" t="n">
        <v>0</v>
      </c>
      <c r="CE571" s="3" t="n">
        <v>0</v>
      </c>
      <c r="CF571" s="3" t="n">
        <v>0</v>
      </c>
      <c r="CG571" s="3" t="n">
        <v>0</v>
      </c>
      <c r="CH571" s="3" t="n">
        <v>0</v>
      </c>
      <c r="CI571" s="3" t="n">
        <v>0</v>
      </c>
      <c r="CJ571" s="3" t="n">
        <v>0</v>
      </c>
      <c r="CK571" s="3" t="n">
        <v>0</v>
      </c>
      <c r="CL571" s="3" t="n">
        <v>0</v>
      </c>
      <c r="CM571" s="3" t="n">
        <v>0</v>
      </c>
      <c r="CN571" s="3" t="n">
        <v>0</v>
      </c>
      <c r="CO571" s="3" t="n">
        <v>0</v>
      </c>
      <c r="CP571" s="3" t="n">
        <v>0</v>
      </c>
      <c r="CQ571" s="3" t="n">
        <v>0</v>
      </c>
      <c r="CR571" s="3" t="n">
        <v>0</v>
      </c>
      <c r="CS571" s="3" t="n">
        <v>0</v>
      </c>
      <c r="CU571" s="20" t="inlineStr">
        <is>
          <t>egy.mit.dem.nav.ecy.6</t>
        </is>
      </c>
      <c r="CV571" s="3" t="n">
        <v>0</v>
      </c>
      <c r="CW571" s="3" t="n">
        <v>0</v>
      </c>
      <c r="CX571" s="3" t="n">
        <v>0</v>
      </c>
      <c r="CY571" s="3" t="n">
        <v>0</v>
      </c>
      <c r="CZ571" s="3" t="n">
        <v>0</v>
      </c>
      <c r="DA571" s="3" t="n">
        <v>0</v>
      </c>
      <c r="DB571" s="3" t="n">
        <v>0</v>
      </c>
      <c r="DC571" s="3" t="n">
        <v>0</v>
      </c>
      <c r="DD571" s="3" t="n">
        <v>0</v>
      </c>
      <c r="DE571" s="3" t="n">
        <v>0</v>
      </c>
      <c r="DF571" s="3" t="n">
        <v>0</v>
      </c>
      <c r="DG571" s="3" t="n">
        <v>0</v>
      </c>
      <c r="DH571" s="3" t="n">
        <v>0</v>
      </c>
      <c r="DI571" s="3" t="n">
        <v>0</v>
      </c>
      <c r="DJ571" s="3" t="n">
        <v>0</v>
      </c>
      <c r="DK571" s="3" t="n">
        <v>0</v>
      </c>
      <c r="DL571" s="3" t="n">
        <v>0</v>
      </c>
      <c r="DM571" s="3" t="n">
        <v>0</v>
      </c>
      <c r="DN571" s="3" t="n">
        <v>0</v>
      </c>
      <c r="DO571" s="3" t="n">
        <v>0</v>
      </c>
    </row>
    <row r="572">
      <c r="A572" s="19" t="inlineStr">
        <is>
          <t>mit.dem.res.ecy</t>
        </is>
      </c>
      <c r="B572" s="3" t="inlineStr">
        <is>
          <t>mit</t>
        </is>
      </c>
      <c r="C572" s="19" t="n"/>
      <c r="H572" s="3" t="inlineStr">
        <is>
          <t>Electricity demand | Residential | Electricity</t>
        </is>
      </c>
      <c r="I572" s="3" t="inlineStr">
        <is>
          <t>ktoe</t>
        </is>
      </c>
      <c r="K572" s="20" t="inlineStr">
        <is>
          <t>egy.mit.dem.res.ecy.1</t>
        </is>
      </c>
      <c r="L572" s="3" t="n">
        <v>5771.968329881539</v>
      </c>
      <c r="M572" s="3" t="n">
        <v>5605.009769104958</v>
      </c>
      <c r="N572" s="3" t="n">
        <v>6612.068786994685</v>
      </c>
      <c r="O572" s="3" t="n">
        <v>7337.130214928016</v>
      </c>
      <c r="P572" s="3" t="n">
        <v>7647.152399171542</v>
      </c>
      <c r="Q572" s="3" t="n">
        <v>7913.140706848437</v>
      </c>
      <c r="R572" s="3" t="n">
        <v>8193.655793613083</v>
      </c>
      <c r="S572" s="3" t="n">
        <v>8486.1259363433</v>
      </c>
      <c r="T572" s="3" t="n">
        <v>8713.883652687133</v>
      </c>
      <c r="U572" s="3" t="n">
        <v>8944.336276986096</v>
      </c>
      <c r="V572" s="3" t="n">
        <v>9170.08090802846</v>
      </c>
      <c r="W572" s="3" t="n">
        <v>9577.700978630175</v>
      </c>
      <c r="X572" s="3" t="n">
        <v>9980.25938615459</v>
      </c>
      <c r="Y572" s="3" t="n">
        <v>10396.52762987043</v>
      </c>
      <c r="Z572" s="3" t="n">
        <v>10820.1125526402</v>
      </c>
      <c r="AA572" s="3" t="n">
        <v>11251.05360463565</v>
      </c>
      <c r="AB572" s="3" t="n">
        <v>11689.04735819019</v>
      </c>
      <c r="AC572" s="3" t="n">
        <v>12134.12729008042</v>
      </c>
      <c r="AD572" s="3" t="n">
        <v>12586.7002118696</v>
      </c>
      <c r="AE572" s="3" t="n">
        <v>13046.90936125918</v>
      </c>
      <c r="AG572" s="20" t="inlineStr">
        <is>
          <t>egy.mit.dem.res.ecy.3</t>
        </is>
      </c>
      <c r="AH572" s="3" t="n">
        <v>5771.968329881539</v>
      </c>
      <c r="AI572" s="3" t="n">
        <v>5605.009769104958</v>
      </c>
      <c r="AJ572" s="3" t="n">
        <v>6612.068786994685</v>
      </c>
      <c r="AK572" s="3" t="n">
        <v>7337.130214928016</v>
      </c>
      <c r="AL572" s="3" t="n">
        <v>7647.050285449475</v>
      </c>
      <c r="AM572" s="3" t="n">
        <v>7912.867377739748</v>
      </c>
      <c r="AN572" s="3" t="n">
        <v>7541.927828673916</v>
      </c>
      <c r="AO572" s="3" t="n">
        <v>7829.311959196485</v>
      </c>
      <c r="AP572" s="3" t="n">
        <v>7984.088743498191</v>
      </c>
      <c r="AQ572" s="3" t="n">
        <v>8299.113841332663</v>
      </c>
      <c r="AR572" s="3" t="n">
        <v>8538.833549447652</v>
      </c>
      <c r="AS572" s="3" t="n">
        <v>8945.016759567545</v>
      </c>
      <c r="AT572" s="3" t="n">
        <v>9338.563034603159</v>
      </c>
      <c r="AU572" s="3" t="n">
        <v>9751.327317173142</v>
      </c>
      <c r="AV572" s="3" t="n">
        <v>10172.85136850315</v>
      </c>
      <c r="AW572" s="3" t="n">
        <v>10605.184881279</v>
      </c>
      <c r="AX572" s="3" t="n">
        <v>11040.56020973902</v>
      </c>
      <c r="AY572" s="3" t="n">
        <v>11481.04085481671</v>
      </c>
      <c r="AZ572" s="3" t="n">
        <v>11923.16650052671</v>
      </c>
      <c r="BA572" s="3" t="n">
        <v>12371.04551683616</v>
      </c>
      <c r="BC572" s="20" t="inlineStr">
        <is>
          <t>egy.mit.dem.res.ecy.4</t>
        </is>
      </c>
      <c r="BD572" s="3" t="n">
        <v>5771.968329881539</v>
      </c>
      <c r="BE572" s="3" t="n">
        <v>5605.009769104958</v>
      </c>
      <c r="BF572" s="3" t="n">
        <v>6612.068786994685</v>
      </c>
      <c r="BG572" s="3" t="n">
        <v>7337.130214928016</v>
      </c>
      <c r="BH572" s="3" t="n">
        <v>7646.811962928155</v>
      </c>
      <c r="BI572" s="3" t="n">
        <v>7912.218419398699</v>
      </c>
      <c r="BJ572" s="3" t="n">
        <v>7845.088489104571</v>
      </c>
      <c r="BK572" s="3" t="n">
        <v>7729.903608679326</v>
      </c>
      <c r="BL572" s="3" t="n">
        <v>7610.019115048985</v>
      </c>
      <c r="BM572" s="3" t="n">
        <v>7601.857435608944</v>
      </c>
      <c r="BN572" s="3" t="n">
        <v>7590.0529164243</v>
      </c>
      <c r="BO572" s="3" t="n">
        <v>7659.590484926985</v>
      </c>
      <c r="BP572" s="3" t="n">
        <v>7742.542288316926</v>
      </c>
      <c r="BQ572" s="3" t="n">
        <v>7883.402263276574</v>
      </c>
      <c r="BR572" s="3" t="n">
        <v>8036.323862284114</v>
      </c>
      <c r="BS572" s="3" t="n">
        <v>8240.190474261773</v>
      </c>
      <c r="BT572" s="3" t="n">
        <v>8448.116707044359</v>
      </c>
      <c r="BU572" s="3" t="n">
        <v>8707.262313189887</v>
      </c>
      <c r="BV572" s="3" t="n">
        <v>8953.540735776813</v>
      </c>
      <c r="BW572" s="3" t="n">
        <v>9261.647763120553</v>
      </c>
      <c r="BY572" s="20" t="inlineStr">
        <is>
          <t>egy.mit.dem.res.ecy.5</t>
        </is>
      </c>
      <c r="BZ572" s="3" t="n">
        <v>5771.968329881539</v>
      </c>
      <c r="CA572" s="3" t="n">
        <v>5605.009769104958</v>
      </c>
      <c r="CB572" s="3" t="n">
        <v>6612.068786994685</v>
      </c>
      <c r="CC572" s="3" t="n">
        <v>7337.130214928016</v>
      </c>
      <c r="CD572" s="3" t="n">
        <v>7646.567775224362</v>
      </c>
      <c r="CE572" s="3" t="n">
        <v>7911.561923283408</v>
      </c>
      <c r="CF572" s="3" t="n">
        <v>8191.340368945915</v>
      </c>
      <c r="CG572" s="3" t="n">
        <v>8486.384564201273</v>
      </c>
      <c r="CH572" s="3" t="n">
        <v>8704.440776075768</v>
      </c>
      <c r="CI572" s="3" t="n">
        <v>8937.923749731895</v>
      </c>
      <c r="CJ572" s="3" t="n">
        <v>9157.894024110657</v>
      </c>
      <c r="CK572" s="3" t="n">
        <v>9578.610578315887</v>
      </c>
      <c r="CL572" s="3" t="n">
        <v>9997.863025750723</v>
      </c>
      <c r="CM572" s="3" t="n">
        <v>10427.48304024563</v>
      </c>
      <c r="CN572" s="3" t="n">
        <v>10886.98790795283</v>
      </c>
      <c r="CO572" s="3" t="n">
        <v>11353.56603364339</v>
      </c>
      <c r="CP572" s="3" t="n">
        <v>11825.36923589191</v>
      </c>
      <c r="CQ572" s="3" t="n">
        <v>12307.22626350586</v>
      </c>
      <c r="CR572" s="3" t="n">
        <v>12789.72267108329</v>
      </c>
      <c r="CS572" s="3" t="n">
        <v>13280.08568655078</v>
      </c>
      <c r="CU572" s="20" t="inlineStr">
        <is>
          <t>egy.mit.dem.res.ecy.6</t>
        </is>
      </c>
      <c r="CV572" s="3" t="n">
        <v>5771.968329881539</v>
      </c>
      <c r="CW572" s="3" t="n">
        <v>5605.009769104958</v>
      </c>
      <c r="CX572" s="3" t="n">
        <v>6612.068786994685</v>
      </c>
      <c r="CY572" s="3" t="n">
        <v>7337.130214928016</v>
      </c>
      <c r="CZ572" s="3" t="n">
        <v>7646.913954853893</v>
      </c>
      <c r="DA572" s="3" t="n">
        <v>7912.498112351706</v>
      </c>
      <c r="DB572" s="3" t="n">
        <v>6819.22951282382</v>
      </c>
      <c r="DC572" s="3" t="n">
        <v>7109.612963470055</v>
      </c>
      <c r="DD572" s="3" t="n">
        <v>7202.233413917975</v>
      </c>
      <c r="DE572" s="3" t="n">
        <v>7511.319544545109</v>
      </c>
      <c r="DF572" s="3" t="n">
        <v>7801.691211736414</v>
      </c>
      <c r="DG572" s="3" t="n">
        <v>8204.703492910905</v>
      </c>
      <c r="DH572" s="3" t="n">
        <v>8621.912267024854</v>
      </c>
      <c r="DI572" s="3" t="n">
        <v>9083.847666003023</v>
      </c>
      <c r="DJ572" s="3" t="n">
        <v>9552.669804556919</v>
      </c>
      <c r="DK572" s="3" t="n">
        <v>10048.31881150221</v>
      </c>
      <c r="DL572" s="3" t="n">
        <v>10537.58771573114</v>
      </c>
      <c r="DM572" s="3" t="n">
        <v>11038.84326781016</v>
      </c>
      <c r="DN572" s="3" t="n">
        <v>11527.59338474472</v>
      </c>
      <c r="DO572" s="3" t="n">
        <v>12026.33046818778</v>
      </c>
    </row>
    <row r="573">
      <c r="A573" s="19" t="inlineStr">
        <is>
          <t>mit.dem.foo.ecy</t>
        </is>
      </c>
      <c r="B573" s="3" t="inlineStr">
        <is>
          <t>mit</t>
        </is>
      </c>
      <c r="C573" s="19" t="inlineStr">
        <is>
          <t>mit.nxp.ecy</t>
        </is>
      </c>
      <c r="H573" s="3" t="inlineStr">
        <is>
          <t>Electricity demand | Food &amp; forestry | Electricity</t>
        </is>
      </c>
      <c r="I573" s="3" t="inlineStr">
        <is>
          <t>ktoe</t>
        </is>
      </c>
      <c r="K573" s="20" t="inlineStr">
        <is>
          <t>egy.mit.dem.foo.ecy.1</t>
        </is>
      </c>
      <c r="L573" s="3" t="n">
        <v>1192.529587338073</v>
      </c>
      <c r="M573" s="3" t="n">
        <v>1115.885723113852</v>
      </c>
      <c r="N573" s="3" t="n">
        <v>1228.211706146878</v>
      </c>
      <c r="O573" s="3" t="n">
        <v>1370.904263112084</v>
      </c>
      <c r="P573" s="3" t="n">
        <v>1429.093493564889</v>
      </c>
      <c r="Q573" s="3" t="n">
        <v>1478.799346362043</v>
      </c>
      <c r="R573" s="3" t="n">
        <v>1531.11143061732</v>
      </c>
      <c r="S573" s="3" t="n">
        <v>1585.727985090947</v>
      </c>
      <c r="T573" s="3" t="n">
        <v>1628.443600914759</v>
      </c>
      <c r="U573" s="3" t="n">
        <v>1673.132848455278</v>
      </c>
      <c r="V573" s="3" t="n">
        <v>1717.178927791686</v>
      </c>
      <c r="W573" s="3" t="n">
        <v>1790.356294499811</v>
      </c>
      <c r="X573" s="3" t="n">
        <v>1864.968803134456</v>
      </c>
      <c r="Y573" s="3" t="n">
        <v>1943.079085016654</v>
      </c>
      <c r="Z573" s="3" t="n">
        <v>2022.574874901275</v>
      </c>
      <c r="AA573" s="3" t="n">
        <v>2103.463802950174</v>
      </c>
      <c r="AB573" s="3" t="n">
        <v>2185.68830425694</v>
      </c>
      <c r="AC573" s="3" t="n">
        <v>2269.2548795804</v>
      </c>
      <c r="AD573" s="3" t="n">
        <v>2354.241197339571</v>
      </c>
      <c r="AE573" s="3" t="n">
        <v>2440.674886886901</v>
      </c>
      <c r="AG573" s="20" t="inlineStr">
        <is>
          <t>egy.mit.dem.foo.ecy.3</t>
        </is>
      </c>
      <c r="AH573" s="3" t="n">
        <v>1192.529587338073</v>
      </c>
      <c r="AI573" s="3" t="n">
        <v>1115.885723113852</v>
      </c>
      <c r="AJ573" s="3" t="n">
        <v>1228.211706146878</v>
      </c>
      <c r="AK573" s="3" t="n">
        <v>1370.904263112084</v>
      </c>
      <c r="AL573" s="3" t="n">
        <v>1429.072640584787</v>
      </c>
      <c r="AM573" s="3" t="n">
        <v>1478.745934516467</v>
      </c>
      <c r="AN573" s="3" t="n">
        <v>1425.658975120021</v>
      </c>
      <c r="AO573" s="3" t="n">
        <v>1479.59878384663</v>
      </c>
      <c r="AP573" s="3" t="n">
        <v>1510.117377614107</v>
      </c>
      <c r="AQ573" s="3" t="n">
        <v>1568.513395757478</v>
      </c>
      <c r="AR573" s="3" t="n">
        <v>1614.48401561789</v>
      </c>
      <c r="AS573" s="3" t="n">
        <v>1688.746510793784</v>
      </c>
      <c r="AT573" s="3" t="n">
        <v>1763.106021993607</v>
      </c>
      <c r="AU573" s="3" t="n">
        <v>1840.94123021711</v>
      </c>
      <c r="AV573" s="3" t="n">
        <v>1920.548694505474</v>
      </c>
      <c r="AW573" s="3" t="n">
        <v>2002.178275773874</v>
      </c>
      <c r="AX573" s="3" t="n">
        <v>2084.386904620887</v>
      </c>
      <c r="AY573" s="3" t="n">
        <v>2167.555751105757</v>
      </c>
      <c r="AZ573" s="3" t="n">
        <v>2251.040538864913</v>
      </c>
      <c r="BA573" s="3" t="n">
        <v>2335.612514986543</v>
      </c>
      <c r="BC573" s="20" t="inlineStr">
        <is>
          <t>egy.mit.dem.foo.ecy.4</t>
        </is>
      </c>
      <c r="BD573" s="3" t="n">
        <v>1192.529587338073</v>
      </c>
      <c r="BE573" s="3" t="n">
        <v>1115.885723113852</v>
      </c>
      <c r="BF573" s="3" t="n">
        <v>1228.211706146878</v>
      </c>
      <c r="BG573" s="3" t="n">
        <v>1370.904263112084</v>
      </c>
      <c r="BH573" s="3" t="n">
        <v>1429.024003140754</v>
      </c>
      <c r="BI573" s="3" t="n">
        <v>1478.619236145848</v>
      </c>
      <c r="BJ573" s="3" t="n">
        <v>1475.17200108042</v>
      </c>
      <c r="BK573" s="3" t="n">
        <v>1463.116326206968</v>
      </c>
      <c r="BL573" s="3" t="n">
        <v>1447.839429635231</v>
      </c>
      <c r="BM573" s="3" t="n">
        <v>1451.921866928805</v>
      </c>
      <c r="BN573" s="3" t="n">
        <v>1455.028694113853</v>
      </c>
      <c r="BO573" s="3" t="n">
        <v>1472.13732196383</v>
      </c>
      <c r="BP573" s="3" t="n">
        <v>1492.118289503137</v>
      </c>
      <c r="BQ573" s="3" t="n">
        <v>1521.972226536918</v>
      </c>
      <c r="BR573" s="3" t="n">
        <v>1554.329544097463</v>
      </c>
      <c r="BS573" s="3" t="n">
        <v>1595.757487350817</v>
      </c>
      <c r="BT573" s="3" t="n">
        <v>1638.106243625887</v>
      </c>
      <c r="BU573" s="3" t="n">
        <v>1689.674075320062</v>
      </c>
      <c r="BV573" s="3" t="n">
        <v>1739.081919840249</v>
      </c>
      <c r="BW573" s="3" t="n">
        <v>1799.617664177803</v>
      </c>
      <c r="BY573" s="20" t="inlineStr">
        <is>
          <t>egy.mit.dem.foo.ecy.5</t>
        </is>
      </c>
      <c r="BZ573" s="3" t="n">
        <v>1192.529587338073</v>
      </c>
      <c r="CA573" s="3" t="n">
        <v>1115.885723113852</v>
      </c>
      <c r="CB573" s="3" t="n">
        <v>1228.211706146878</v>
      </c>
      <c r="CC573" s="3" t="n">
        <v>1370.904263112084</v>
      </c>
      <c r="CD573" s="3" t="n">
        <v>1428.97415220684</v>
      </c>
      <c r="CE573" s="3" t="n">
        <v>1478.491038112079</v>
      </c>
      <c r="CF573" s="3" t="n">
        <v>1530.66659906161</v>
      </c>
      <c r="CG573" s="3" t="n">
        <v>1585.762837879485</v>
      </c>
      <c r="CH573" s="3" t="n">
        <v>1626.80128188599</v>
      </c>
      <c r="CI573" s="3" t="n">
        <v>1672.061664638433</v>
      </c>
      <c r="CJ573" s="3" t="n">
        <v>1715.063594990123</v>
      </c>
      <c r="CK573" s="3" t="n">
        <v>1790.485548293251</v>
      </c>
      <c r="CL573" s="3" t="n">
        <v>1868.286129953709</v>
      </c>
      <c r="CM573" s="3" t="n">
        <v>1948.906756263386</v>
      </c>
      <c r="CN573" s="3" t="n">
        <v>2035.195945721612</v>
      </c>
      <c r="CO573" s="3" t="n">
        <v>2122.817573104831</v>
      </c>
      <c r="CP573" s="3" t="n">
        <v>2211.443973055283</v>
      </c>
      <c r="CQ573" s="3" t="n">
        <v>2301.984286481737</v>
      </c>
      <c r="CR573" s="3" t="n">
        <v>2392.659653503427</v>
      </c>
      <c r="CS573" s="3" t="n">
        <v>2484.828454337389</v>
      </c>
      <c r="CU573" s="20" t="inlineStr">
        <is>
          <t>egy.mit.dem.foo.ecy.6</t>
        </is>
      </c>
      <c r="CV573" s="3" t="n">
        <v>1192.529587338073</v>
      </c>
      <c r="CW573" s="3" t="n">
        <v>1115.885723113852</v>
      </c>
      <c r="CX573" s="3" t="n">
        <v>1228.211706146878</v>
      </c>
      <c r="CY573" s="3" t="n">
        <v>1370.904263112084</v>
      </c>
      <c r="CZ573" s="3" t="n">
        <v>1429.04481244255</v>
      </c>
      <c r="DA573" s="3" t="n">
        <v>1478.673821440725</v>
      </c>
      <c r="DB573" s="3" t="n">
        <v>1304.190231460095</v>
      </c>
      <c r="DC573" s="3" t="n">
        <v>1358.89368408906</v>
      </c>
      <c r="DD573" s="3" t="n">
        <v>1378.33755353042</v>
      </c>
      <c r="DE573" s="3" t="n">
        <v>1436.149384598047</v>
      </c>
      <c r="DF573" s="3" t="n">
        <v>1490.595474793413</v>
      </c>
      <c r="DG573" s="3" t="n">
        <v>1565.384802179699</v>
      </c>
      <c r="DH573" s="3" t="n">
        <v>1644.655282314375</v>
      </c>
      <c r="DI573" s="3" t="n">
        <v>1731.440668910001</v>
      </c>
      <c r="DJ573" s="3" t="n">
        <v>1819.985540867187</v>
      </c>
      <c r="DK573" s="3" t="n">
        <v>1913.28594820635</v>
      </c>
      <c r="DL573" s="3" t="n">
        <v>2005.562407873178</v>
      </c>
      <c r="DM573" s="3" t="n">
        <v>2099.832380740727</v>
      </c>
      <c r="DN573" s="3" t="n">
        <v>2191.957404265773</v>
      </c>
      <c r="DO573" s="3" t="n">
        <v>2285.732170654544</v>
      </c>
    </row>
    <row r="574">
      <c r="A574" s="19" t="inlineStr">
        <is>
          <t>mit.dem.srv.ecy</t>
        </is>
      </c>
      <c r="B574" s="3" t="inlineStr">
        <is>
          <t>mit</t>
        </is>
      </c>
      <c r="C574" s="19" t="inlineStr">
        <is>
          <t>mit.tsd.ecy</t>
        </is>
      </c>
      <c r="H574" s="3" t="inlineStr">
        <is>
          <t>Electricity demand | Services (public &amp; private) | Electricity</t>
        </is>
      </c>
      <c r="I574" s="3" t="inlineStr">
        <is>
          <t>ktoe</t>
        </is>
      </c>
      <c r="K574" s="20" t="inlineStr">
        <is>
          <t>egy.mit.dem.srv.ecy.1</t>
        </is>
      </c>
      <c r="L574" s="3" t="n">
        <v>3778.525028349402</v>
      </c>
      <c r="M574" s="3" t="n">
        <v>3888.640335926587</v>
      </c>
      <c r="N574" s="3" t="n">
        <v>4294.432094192315</v>
      </c>
      <c r="O574" s="3" t="n">
        <v>5092.073788704013</v>
      </c>
      <c r="P574" s="3" t="n">
        <v>5417.596509540309</v>
      </c>
      <c r="Q574" s="3" t="n">
        <v>5691.38707609247</v>
      </c>
      <c r="R574" s="3" t="n">
        <v>5978.021529611157</v>
      </c>
      <c r="S574" s="3" t="n">
        <v>6285.727308970386</v>
      </c>
      <c r="T574" s="3" t="n">
        <v>6525.427391616433</v>
      </c>
      <c r="U574" s="3" t="n">
        <v>6780.478323804859</v>
      </c>
      <c r="V574" s="3" t="n">
        <v>7034.051029197138</v>
      </c>
      <c r="W574" s="3" t="n">
        <v>7482.995631521201</v>
      </c>
      <c r="X574" s="3" t="n">
        <v>7949.984722578973</v>
      </c>
      <c r="Y574" s="3" t="n">
        <v>8449.648343718105</v>
      </c>
      <c r="Z574" s="3" t="n">
        <v>8968.292306322406</v>
      </c>
      <c r="AA574" s="3" t="n">
        <v>9506.32150596582</v>
      </c>
      <c r="AB574" s="3" t="n">
        <v>10063.67134188446</v>
      </c>
      <c r="AC574" s="3" t="n">
        <v>10640.72809539881</v>
      </c>
      <c r="AD574" s="3" t="n">
        <v>11238.42624197932</v>
      </c>
      <c r="AE574" s="3" t="n">
        <v>11857.35953865871</v>
      </c>
      <c r="AG574" s="20" t="inlineStr">
        <is>
          <t>egy.mit.dem.srv.ecy.3</t>
        </is>
      </c>
      <c r="AH574" s="3" t="n">
        <v>3778.525028349402</v>
      </c>
      <c r="AI574" s="3" t="n">
        <v>3888.640335926587</v>
      </c>
      <c r="AJ574" s="3" t="n">
        <v>4294.432094192315</v>
      </c>
      <c r="AK574" s="3" t="n">
        <v>5092.073788704013</v>
      </c>
      <c r="AL574" s="3" t="n">
        <v>5417.470745165948</v>
      </c>
      <c r="AM574" s="3" t="n">
        <v>5691.059988156805</v>
      </c>
      <c r="AN574" s="3" t="n">
        <v>5336.461594587723</v>
      </c>
      <c r="AO574" s="3" t="n">
        <v>5629.242062667183</v>
      </c>
      <c r="AP574" s="3" t="n">
        <v>5788.177940017443</v>
      </c>
      <c r="AQ574" s="3" t="n">
        <v>6119.067396446883</v>
      </c>
      <c r="AR574" s="3" t="n">
        <v>6377.851604617639</v>
      </c>
      <c r="AS574" s="3" t="n">
        <v>6819.171787767762</v>
      </c>
      <c r="AT574" s="3" t="n">
        <v>7269.310571903274</v>
      </c>
      <c r="AU574" s="3" t="n">
        <v>7751.67849043197</v>
      </c>
      <c r="AV574" s="3" t="n">
        <v>8255.188994247936</v>
      </c>
      <c r="AW574" s="3" t="n">
        <v>8781.576104220036</v>
      </c>
      <c r="AX574" s="3" t="n">
        <v>9322.699002908126</v>
      </c>
      <c r="AY574" s="3" t="n">
        <v>9881.062918479505</v>
      </c>
      <c r="AZ574" s="3" t="n">
        <v>10452.7636423155</v>
      </c>
      <c r="BA574" s="3" t="n">
        <v>11042.86333089659</v>
      </c>
      <c r="BC574" s="20" t="inlineStr">
        <is>
          <t>egy.mit.dem.srv.ecy.4</t>
        </is>
      </c>
      <c r="BD574" s="3" t="n">
        <v>3778.525028349402</v>
      </c>
      <c r="BE574" s="3" t="n">
        <v>3888.640335926587</v>
      </c>
      <c r="BF574" s="3" t="n">
        <v>4294.432094192315</v>
      </c>
      <c r="BG574" s="3" t="n">
        <v>5092.073788704013</v>
      </c>
      <c r="BH574" s="3" t="n">
        <v>5417.17741683543</v>
      </c>
      <c r="BI574" s="3" t="n">
        <v>5690.284141333798</v>
      </c>
      <c r="BJ574" s="3" t="n">
        <v>5634.324191142199</v>
      </c>
      <c r="BK574" s="3" t="n">
        <v>5530.047058729308</v>
      </c>
      <c r="BL574" s="3" t="n">
        <v>5412.459906117322</v>
      </c>
      <c r="BM574" s="3" t="n">
        <v>5411.433308193896</v>
      </c>
      <c r="BN574" s="3" t="n">
        <v>5405.38269525251</v>
      </c>
      <c r="BO574" s="3" t="n">
        <v>5482.121944521557</v>
      </c>
      <c r="BP574" s="3" t="n">
        <v>5575.589810211582</v>
      </c>
      <c r="BQ574" s="3" t="n">
        <v>5728.073942895135</v>
      </c>
      <c r="BR574" s="3" t="n">
        <v>5896.303017167728</v>
      </c>
      <c r="BS574" s="3" t="n">
        <v>6120.410341742523</v>
      </c>
      <c r="BT574" s="3" t="n">
        <v>6352.117770839835</v>
      </c>
      <c r="BU574" s="3" t="n">
        <v>6643.6106021715</v>
      </c>
      <c r="BV574" s="3" t="n">
        <v>6925.486954460463</v>
      </c>
      <c r="BW574" s="3" t="n">
        <v>7282.695763347633</v>
      </c>
      <c r="BY574" s="20" t="inlineStr">
        <is>
          <t>egy.mit.dem.srv.ecy.5</t>
        </is>
      </c>
      <c r="BZ574" s="3" t="n">
        <v>3778.525028349402</v>
      </c>
      <c r="CA574" s="3" t="n">
        <v>3888.640335926587</v>
      </c>
      <c r="CB574" s="3" t="n">
        <v>4294.432094192315</v>
      </c>
      <c r="CC574" s="3" t="n">
        <v>5092.073788704013</v>
      </c>
      <c r="CD574" s="3" t="n">
        <v>5416.876776171523</v>
      </c>
      <c r="CE574" s="3" t="n">
        <v>5689.499156456674</v>
      </c>
      <c r="CF574" s="3" t="n">
        <v>5975.259476723801</v>
      </c>
      <c r="CG574" s="3" t="n">
        <v>6285.410968516894</v>
      </c>
      <c r="CH574" s="3" t="n">
        <v>6515.782552354206</v>
      </c>
      <c r="CI574" s="3" t="n">
        <v>6773.866598840034</v>
      </c>
      <c r="CJ574" s="3" t="n">
        <v>7021.28038408155</v>
      </c>
      <c r="CK574" s="3" t="n">
        <v>7483.946982634902</v>
      </c>
      <c r="CL574" s="3" t="n">
        <v>7971.482759272393</v>
      </c>
      <c r="CM574" s="3" t="n">
        <v>8488.027514821113</v>
      </c>
      <c r="CN574" s="3" t="n">
        <v>9054.10140662459</v>
      </c>
      <c r="CO574" s="3" t="n">
        <v>9640.247128024945</v>
      </c>
      <c r="CP574" s="3" t="n">
        <v>10245.76345323704</v>
      </c>
      <c r="CQ574" s="3" t="n">
        <v>10877.11639762878</v>
      </c>
      <c r="CR574" s="3" t="n">
        <v>11522.03401331402</v>
      </c>
      <c r="CS574" s="3" t="n">
        <v>12189.96121840963</v>
      </c>
      <c r="CU574" s="20" t="inlineStr">
        <is>
          <t>egy.mit.dem.srv.ecy.6</t>
        </is>
      </c>
      <c r="CV574" s="3" t="n">
        <v>3778.525028349402</v>
      </c>
      <c r="CW574" s="3" t="n">
        <v>3888.640335926587</v>
      </c>
      <c r="CX574" s="3" t="n">
        <v>4294.432094192315</v>
      </c>
      <c r="CY574" s="3" t="n">
        <v>5092.073788704013</v>
      </c>
      <c r="CZ574" s="3" t="n">
        <v>5417.302915260719</v>
      </c>
      <c r="DA574" s="3" t="n">
        <v>5690.618391688251</v>
      </c>
      <c r="DB574" s="3" t="n">
        <v>4631.540369440007</v>
      </c>
      <c r="DC574" s="3" t="n">
        <v>4915.89583027929</v>
      </c>
      <c r="DD574" s="3" t="n">
        <v>5006.330612633502</v>
      </c>
      <c r="DE574" s="3" t="n">
        <v>5318.731196407914</v>
      </c>
      <c r="DF574" s="3" t="n">
        <v>5618.224858086337</v>
      </c>
      <c r="DG574" s="3" t="n">
        <v>6044.285680840822</v>
      </c>
      <c r="DH574" s="3" t="n">
        <v>6506.82727269599</v>
      </c>
      <c r="DI574" s="3" t="n">
        <v>7028.731151739881</v>
      </c>
      <c r="DJ574" s="3" t="n">
        <v>7574.009387290487</v>
      </c>
      <c r="DK574" s="3" t="n">
        <v>8162.403237813025</v>
      </c>
      <c r="DL574" s="3" t="n">
        <v>8758.730356133286</v>
      </c>
      <c r="DM574" s="3" t="n">
        <v>9382.915163060383</v>
      </c>
      <c r="DN574" s="3" t="n">
        <v>10006.9711891199</v>
      </c>
      <c r="DO574" s="3" t="n">
        <v>10656.34842462671</v>
      </c>
    </row>
    <row r="575">
      <c r="A575" s="19" t="inlineStr">
        <is>
          <t>mit.dem.mch.ecy</t>
        </is>
      </c>
      <c r="B575" s="3" t="inlineStr">
        <is>
          <t>mit</t>
        </is>
      </c>
      <c r="C575" s="19" t="inlineStr">
        <is>
          <t>mit.eou.ecy</t>
        </is>
      </c>
      <c r="H575" s="3" t="inlineStr">
        <is>
          <t>Electricity demand | Mining &amp; chemicals | Electricity</t>
        </is>
      </c>
      <c r="I575" s="3" t="inlineStr">
        <is>
          <t>ktoe</t>
        </is>
      </c>
      <c r="K575" s="20" t="inlineStr">
        <is>
          <t>egy.mit.dem.mch.ecy.1</t>
        </is>
      </c>
      <c r="L575" s="3" t="n">
        <v>401.0063671821847</v>
      </c>
      <c r="M575" s="3" t="n">
        <v>375.2336921176067</v>
      </c>
      <c r="N575" s="3" t="n">
        <v>413.0050269964217</v>
      </c>
      <c r="O575" s="3" t="n">
        <v>460.9875881840903</v>
      </c>
      <c r="P575" s="3" t="n">
        <v>480.5546095483922</v>
      </c>
      <c r="Q575" s="3" t="n">
        <v>497.2689650407132</v>
      </c>
      <c r="R575" s="3" t="n">
        <v>514.8597058404968</v>
      </c>
      <c r="S575" s="3" t="n">
        <v>533.2253601018431</v>
      </c>
      <c r="T575" s="3" t="n">
        <v>547.5891411814321</v>
      </c>
      <c r="U575" s="3" t="n">
        <v>562.6165862013336</v>
      </c>
      <c r="V575" s="3" t="n">
        <v>577.4277560463835</v>
      </c>
      <c r="W575" s="3" t="n">
        <v>602.0347681449978</v>
      </c>
      <c r="X575" s="3" t="n">
        <v>627.1243687315251</v>
      </c>
      <c r="Y575" s="3" t="n">
        <v>653.390149228489</v>
      </c>
      <c r="Z575" s="3" t="n">
        <v>680.1218280450018</v>
      </c>
      <c r="AA575" s="3" t="n">
        <v>707.3219709400349</v>
      </c>
      <c r="AB575" s="3" t="n">
        <v>734.9712208307595</v>
      </c>
      <c r="AC575" s="3" t="n">
        <v>763.0717636970531</v>
      </c>
      <c r="AD575" s="3" t="n">
        <v>791.6497167362462</v>
      </c>
      <c r="AE575" s="3" t="n">
        <v>820.7143707419349</v>
      </c>
      <c r="AG575" s="20" t="inlineStr">
        <is>
          <t>egy.mit.dem.mch.ecy.3</t>
        </is>
      </c>
      <c r="AH575" s="3" t="n">
        <v>401.0063671821847</v>
      </c>
      <c r="AI575" s="3" t="n">
        <v>375.2336921176067</v>
      </c>
      <c r="AJ575" s="3" t="n">
        <v>413.0050269964217</v>
      </c>
      <c r="AK575" s="3" t="n">
        <v>460.9875881840903</v>
      </c>
      <c r="AL575" s="3" t="n">
        <v>480.5475974139476</v>
      </c>
      <c r="AM575" s="3" t="n">
        <v>497.2510044882989</v>
      </c>
      <c r="AN575" s="3" t="n">
        <v>479.3997000356891</v>
      </c>
      <c r="AO575" s="3" t="n">
        <v>497.5377881583005</v>
      </c>
      <c r="AP575" s="3" t="n">
        <v>507.8001334687615</v>
      </c>
      <c r="AQ575" s="3" t="n">
        <v>527.4366903661455</v>
      </c>
      <c r="AR575" s="3" t="n">
        <v>542.8950164849014</v>
      </c>
      <c r="AS575" s="3" t="n">
        <v>567.8669196767064</v>
      </c>
      <c r="AT575" s="3" t="n">
        <v>592.8714459947863</v>
      </c>
      <c r="AU575" s="3" t="n">
        <v>619.0447287543758</v>
      </c>
      <c r="AV575" s="3" t="n">
        <v>645.8139598022361</v>
      </c>
      <c r="AW575" s="3" t="n">
        <v>673.2631587039687</v>
      </c>
      <c r="AX575" s="3" t="n">
        <v>700.9070712366174</v>
      </c>
      <c r="AY575" s="3" t="n">
        <v>728.8738716797627</v>
      </c>
      <c r="AZ575" s="3" t="n">
        <v>756.9469122229355</v>
      </c>
      <c r="BA575" s="3" t="n">
        <v>785.3855365304921</v>
      </c>
      <c r="BC575" s="20" t="inlineStr">
        <is>
          <t>egy.mit.dem.mch.ecy.4</t>
        </is>
      </c>
      <c r="BD575" s="3" t="n">
        <v>401.0063671821847</v>
      </c>
      <c r="BE575" s="3" t="n">
        <v>375.2336921176067</v>
      </c>
      <c r="BF575" s="3" t="n">
        <v>413.0050269964217</v>
      </c>
      <c r="BG575" s="3" t="n">
        <v>460.9875881840903</v>
      </c>
      <c r="BH575" s="3" t="n">
        <v>480.5312423272917</v>
      </c>
      <c r="BI575" s="3" t="n">
        <v>497.2084002176215</v>
      </c>
      <c r="BJ575" s="3" t="n">
        <v>496.0492145461815</v>
      </c>
      <c r="BK575" s="3" t="n">
        <v>491.995308935568</v>
      </c>
      <c r="BL575" s="3" t="n">
        <v>486.8582181152681</v>
      </c>
      <c r="BM575" s="3" t="n">
        <v>488.2310002799435</v>
      </c>
      <c r="BN575" s="3" t="n">
        <v>489.2757185797385</v>
      </c>
      <c r="BO575" s="3" t="n">
        <v>495.0287571411592</v>
      </c>
      <c r="BP575" s="3" t="n">
        <v>501.7476639848945</v>
      </c>
      <c r="BQ575" s="3" t="n">
        <v>511.7865082727959</v>
      </c>
      <c r="BR575" s="3" t="n">
        <v>522.6671526647541</v>
      </c>
      <c r="BS575" s="3" t="n">
        <v>536.5979340895906</v>
      </c>
      <c r="BT575" s="3" t="n">
        <v>550.8383530182787</v>
      </c>
      <c r="BU575" s="3" t="n">
        <v>568.1788274775353</v>
      </c>
      <c r="BV575" s="3" t="n">
        <v>584.79297311527</v>
      </c>
      <c r="BW575" s="3" t="n">
        <v>605.1490457689124</v>
      </c>
      <c r="BY575" s="20" t="inlineStr">
        <is>
          <t>egy.mit.dem.mch.ecy.5</t>
        </is>
      </c>
      <c r="BZ575" s="3" t="n">
        <v>401.0063671821847</v>
      </c>
      <c r="CA575" s="3" t="n">
        <v>375.2336921176067</v>
      </c>
      <c r="CB575" s="3" t="n">
        <v>413.0050269964217</v>
      </c>
      <c r="CC575" s="3" t="n">
        <v>460.9875881840903</v>
      </c>
      <c r="CD575" s="3" t="n">
        <v>480.5144791860482</v>
      </c>
      <c r="CE575" s="3" t="n">
        <v>497.1652916622048</v>
      </c>
      <c r="CF575" s="3" t="n">
        <v>514.7101244061598</v>
      </c>
      <c r="CG575" s="3" t="n">
        <v>533.2370798866318</v>
      </c>
      <c r="CH575" s="3" t="n">
        <v>547.0368862147852</v>
      </c>
      <c r="CI575" s="3" t="n">
        <v>562.2563842109278</v>
      </c>
      <c r="CJ575" s="3" t="n">
        <v>576.7164429425891</v>
      </c>
      <c r="CK575" s="3" t="n">
        <v>602.0782317157992</v>
      </c>
      <c r="CL575" s="3" t="n">
        <v>628.2398707623922</v>
      </c>
      <c r="CM575" s="3" t="n">
        <v>655.3497930818551</v>
      </c>
      <c r="CN575" s="3" t="n">
        <v>684.3658567159465</v>
      </c>
      <c r="CO575" s="3" t="n">
        <v>713.8299730419549</v>
      </c>
      <c r="CP575" s="3" t="n">
        <v>743.6319595569367</v>
      </c>
      <c r="CQ575" s="3" t="n">
        <v>774.0775288377147</v>
      </c>
      <c r="CR575" s="3" t="n">
        <v>804.5685119616167</v>
      </c>
      <c r="CS575" s="3" t="n">
        <v>835.561685114215</v>
      </c>
      <c r="CU575" s="20" t="inlineStr">
        <is>
          <t>egy.mit.dem.mch.ecy.6</t>
        </is>
      </c>
      <c r="CV575" s="3" t="n">
        <v>401.0063671821847</v>
      </c>
      <c r="CW575" s="3" t="n">
        <v>375.2336921176067</v>
      </c>
      <c r="CX575" s="3" t="n">
        <v>413.0050269964217</v>
      </c>
      <c r="CY575" s="3" t="n">
        <v>460.9875881840903</v>
      </c>
      <c r="CZ575" s="3" t="n">
        <v>480.5382397742358</v>
      </c>
      <c r="DA575" s="3" t="n">
        <v>497.2267553603637</v>
      </c>
      <c r="DB575" s="3" t="n">
        <v>438.5539716458558</v>
      </c>
      <c r="DC575" s="3" t="n">
        <v>456.9488467449548</v>
      </c>
      <c r="DD575" s="3" t="n">
        <v>463.4871461141544</v>
      </c>
      <c r="DE575" s="3" t="n">
        <v>482.9272611458723</v>
      </c>
      <c r="DF575" s="3" t="n">
        <v>501.2355941787263</v>
      </c>
      <c r="DG575" s="3" t="n">
        <v>526.3846527828977</v>
      </c>
      <c r="DH575" s="3" t="n">
        <v>553.0405677397333</v>
      </c>
      <c r="DI575" s="3" t="n">
        <v>582.2234852729547</v>
      </c>
      <c r="DJ575" s="3" t="n">
        <v>611.9980567495589</v>
      </c>
      <c r="DK575" s="3" t="n">
        <v>643.371749948409</v>
      </c>
      <c r="DL575" s="3" t="n">
        <v>674.401125035048</v>
      </c>
      <c r="DM575" s="3" t="n">
        <v>706.1008495159823</v>
      </c>
      <c r="DN575" s="3" t="n">
        <v>737.0793018769123</v>
      </c>
      <c r="DO575" s="3" t="n">
        <v>768.612505582875</v>
      </c>
    </row>
    <row r="576">
      <c r="A576" s="19" t="inlineStr">
        <is>
          <t>mit.dem.irn.ecy</t>
        </is>
      </c>
      <c r="B576" s="3" t="inlineStr">
        <is>
          <t>mit</t>
        </is>
      </c>
      <c r="C576" s="19" t="n"/>
      <c r="H576" s="3" t="inlineStr">
        <is>
          <t>Electricity demand | Iron &amp; steel | Electricity</t>
        </is>
      </c>
      <c r="I576" s="3" t="inlineStr">
        <is>
          <t>ktoe</t>
        </is>
      </c>
      <c r="K576" s="20" t="inlineStr">
        <is>
          <t>egy.mit.dem.irn.ecy.1</t>
        </is>
      </c>
      <c r="L576" s="3" t="n">
        <v>748.8236066568924</v>
      </c>
      <c r="M576" s="3" t="n">
        <v>700.6967212144838</v>
      </c>
      <c r="N576" s="3" t="n">
        <v>771.2294347246151</v>
      </c>
      <c r="O576" s="3" t="n">
        <v>860.8301928813081</v>
      </c>
      <c r="P576" s="3" t="n">
        <v>897.3688833078676</v>
      </c>
      <c r="Q576" s="3" t="n">
        <v>928.5806170532793</v>
      </c>
      <c r="R576" s="3" t="n">
        <v>961.4288784462861</v>
      </c>
      <c r="S576" s="3" t="n">
        <v>995.7241829304337</v>
      </c>
      <c r="T576" s="3" t="n">
        <v>1022.546545948827</v>
      </c>
      <c r="U576" s="3" t="n">
        <v>1050.608209053365</v>
      </c>
      <c r="V576" s="3" t="n">
        <v>1078.266008354938</v>
      </c>
      <c r="W576" s="3" t="n">
        <v>1124.21618036396</v>
      </c>
      <c r="X576" s="3" t="n">
        <v>1171.067519241202</v>
      </c>
      <c r="Y576" s="3" t="n">
        <v>1220.11521048262</v>
      </c>
      <c r="Z576" s="3" t="n">
        <v>1270.032902024612</v>
      </c>
      <c r="AA576" s="3" t="n">
        <v>1320.825385065131</v>
      </c>
      <c r="AB576" s="3" t="n">
        <v>1372.456512944763</v>
      </c>
      <c r="AC576" s="3" t="n">
        <v>1424.930367676837</v>
      </c>
      <c r="AD576" s="3" t="n">
        <v>1478.2957194942</v>
      </c>
      <c r="AE576" s="3" t="n">
        <v>1532.569917661448</v>
      </c>
      <c r="AG576" s="20" t="inlineStr">
        <is>
          <t>egy.mit.dem.irn.ecy.3</t>
        </is>
      </c>
      <c r="AH576" s="3" t="n">
        <v>748.8236066568924</v>
      </c>
      <c r="AI576" s="3" t="n">
        <v>700.6967212144838</v>
      </c>
      <c r="AJ576" s="3" t="n">
        <v>771.2294347246151</v>
      </c>
      <c r="AK576" s="3" t="n">
        <v>860.8301928813081</v>
      </c>
      <c r="AL576" s="3" t="n">
        <v>897.3557891222513</v>
      </c>
      <c r="AM576" s="3" t="n">
        <v>928.5470782201407</v>
      </c>
      <c r="AN576" s="3" t="n">
        <v>895.2122504525297</v>
      </c>
      <c r="AO576" s="3" t="n">
        <v>929.0826068293495</v>
      </c>
      <c r="AP576" s="3" t="n">
        <v>948.2461091002414</v>
      </c>
      <c r="AQ576" s="3" t="n">
        <v>984.9146474617331</v>
      </c>
      <c r="AR576" s="3" t="n">
        <v>1013.780921078447</v>
      </c>
      <c r="AS576" s="3" t="n">
        <v>1060.412476443947</v>
      </c>
      <c r="AT576" s="3" t="n">
        <v>1107.104950959558</v>
      </c>
      <c r="AU576" s="3" t="n">
        <v>1155.979915543804</v>
      </c>
      <c r="AV576" s="3" t="n">
        <v>1205.96773065394</v>
      </c>
      <c r="AW576" s="3" t="n">
        <v>1257.225291140753</v>
      </c>
      <c r="AX576" s="3" t="n">
        <v>1308.846452246659</v>
      </c>
      <c r="AY576" s="3" t="n">
        <v>1361.070561608432</v>
      </c>
      <c r="AZ576" s="3" t="n">
        <v>1413.49305957793</v>
      </c>
      <c r="BA576" s="3" t="n">
        <v>1466.598234371002</v>
      </c>
      <c r="BC576" s="20" t="inlineStr">
        <is>
          <t>egy.mit.dem.irn.ecy.4</t>
        </is>
      </c>
      <c r="BD576" s="3" t="n">
        <v>748.8236066568924</v>
      </c>
      <c r="BE576" s="3" t="n">
        <v>700.6967212144838</v>
      </c>
      <c r="BF576" s="3" t="n">
        <v>771.2294347246151</v>
      </c>
      <c r="BG576" s="3" t="n">
        <v>860.8301928813081</v>
      </c>
      <c r="BH576" s="3" t="n">
        <v>897.32524827308</v>
      </c>
      <c r="BI576" s="3" t="n">
        <v>928.4675206713372</v>
      </c>
      <c r="BJ576" s="3" t="n">
        <v>926.3029026844155</v>
      </c>
      <c r="BK576" s="3" t="n">
        <v>918.7327978960118</v>
      </c>
      <c r="BL576" s="3" t="n">
        <v>909.1399954105757</v>
      </c>
      <c r="BM576" s="3" t="n">
        <v>911.7034751351744</v>
      </c>
      <c r="BN576" s="3" t="n">
        <v>913.6543412291221</v>
      </c>
      <c r="BO576" s="3" t="n">
        <v>924.397340436519</v>
      </c>
      <c r="BP576" s="3" t="n">
        <v>936.9439642990567</v>
      </c>
      <c r="BQ576" s="3" t="n">
        <v>955.6901095015792</v>
      </c>
      <c r="BR576" s="3" t="n">
        <v>976.008199295489</v>
      </c>
      <c r="BS576" s="3" t="n">
        <v>1002.021995693279</v>
      </c>
      <c r="BT576" s="3" t="n">
        <v>1028.613997055793</v>
      </c>
      <c r="BU576" s="3" t="n">
        <v>1060.994920872454</v>
      </c>
      <c r="BV576" s="3" t="n">
        <v>1092.019526654634</v>
      </c>
      <c r="BW576" s="3" t="n">
        <v>1130.031660598993</v>
      </c>
      <c r="BY576" s="20" t="inlineStr">
        <is>
          <t>egy.mit.dem.irn.ecy.5</t>
        </is>
      </c>
      <c r="BZ576" s="3" t="n">
        <v>748.8236066568924</v>
      </c>
      <c r="CA576" s="3" t="n">
        <v>700.6967212144838</v>
      </c>
      <c r="CB576" s="3" t="n">
        <v>771.2294347246151</v>
      </c>
      <c r="CC576" s="3" t="n">
        <v>860.8301928813081</v>
      </c>
      <c r="CD576" s="3" t="n">
        <v>897.2939454387308</v>
      </c>
      <c r="CE576" s="3" t="n">
        <v>928.3870214409341</v>
      </c>
      <c r="CF576" s="3" t="n">
        <v>961.1495559259577</v>
      </c>
      <c r="CG576" s="3" t="n">
        <v>995.7460679981856</v>
      </c>
      <c r="CH576" s="3" t="n">
        <v>1021.515286622885</v>
      </c>
      <c r="CI576" s="3" t="n">
        <v>1049.935581944035</v>
      </c>
      <c r="CJ576" s="3" t="n">
        <v>1076.937730084475</v>
      </c>
      <c r="CK576" s="3" t="n">
        <v>1124.297342536208</v>
      </c>
      <c r="CL576" s="3" t="n">
        <v>1173.150564106191</v>
      </c>
      <c r="CM576" s="3" t="n">
        <v>1223.774572772432</v>
      </c>
      <c r="CN576" s="3" t="n">
        <v>1277.958035180136</v>
      </c>
      <c r="CO576" s="3" t="n">
        <v>1332.978173661319</v>
      </c>
      <c r="CP576" s="3" t="n">
        <v>1388.629237719237</v>
      </c>
      <c r="CQ576" s="3" t="n">
        <v>1445.482103063385</v>
      </c>
      <c r="CR576" s="3" t="n">
        <v>1502.419772442039</v>
      </c>
      <c r="CS576" s="3" t="n">
        <v>1560.295211839555</v>
      </c>
      <c r="CU576" s="20" t="inlineStr">
        <is>
          <t>egy.mit.dem.irn.ecy.6</t>
        </is>
      </c>
      <c r="CV576" s="3" t="n">
        <v>748.8236066568924</v>
      </c>
      <c r="CW576" s="3" t="n">
        <v>700.6967212144838</v>
      </c>
      <c r="CX576" s="3" t="n">
        <v>771.2294347246151</v>
      </c>
      <c r="CY576" s="3" t="n">
        <v>860.8301928813081</v>
      </c>
      <c r="CZ576" s="3" t="n">
        <v>897.3383150318321</v>
      </c>
      <c r="DA576" s="3" t="n">
        <v>928.5017963470217</v>
      </c>
      <c r="DB576" s="3" t="n">
        <v>818.9385347399141</v>
      </c>
      <c r="DC576" s="3" t="n">
        <v>853.2884050736495</v>
      </c>
      <c r="DD576" s="3" t="n">
        <v>865.4977696018246</v>
      </c>
      <c r="DE576" s="3" t="n">
        <v>901.7994801062422</v>
      </c>
      <c r="DF576" s="3" t="n">
        <v>935.9877451701449</v>
      </c>
      <c r="DG576" s="3" t="n">
        <v>982.9501136241236</v>
      </c>
      <c r="DH576" s="3" t="n">
        <v>1032.72632669769</v>
      </c>
      <c r="DI576" s="3" t="n">
        <v>1087.221365550949</v>
      </c>
      <c r="DJ576" s="3" t="n">
        <v>1142.821235838407</v>
      </c>
      <c r="DK576" s="3" t="n">
        <v>1201.407243488097</v>
      </c>
      <c r="DL576" s="3" t="n">
        <v>1259.350284961376</v>
      </c>
      <c r="DM576" s="3" t="n">
        <v>1318.545110676098</v>
      </c>
      <c r="DN576" s="3" t="n">
        <v>1376.393061042984</v>
      </c>
      <c r="DO576" s="3" t="n">
        <v>1435.276932375175</v>
      </c>
    </row>
    <row r="577">
      <c r="A577" s="19" t="inlineStr">
        <is>
          <t>mit.dem.nfm.ecy</t>
        </is>
      </c>
      <c r="B577" s="3" t="inlineStr">
        <is>
          <t>mit</t>
        </is>
      </c>
      <c r="C577" s="19" t="n"/>
      <c r="H577" s="3" t="inlineStr">
        <is>
          <t>Electricity demand | Other metals | Electricity</t>
        </is>
      </c>
      <c r="I577" s="3" t="inlineStr">
        <is>
          <t>ktoe</t>
        </is>
      </c>
      <c r="K577" s="20" t="inlineStr">
        <is>
          <t>egy.mit.dem.nfm.ecy.1</t>
        </is>
      </c>
      <c r="L577" s="3" t="n">
        <v>6.353271970598906</v>
      </c>
      <c r="M577" s="3" t="n">
        <v>5.944947246865164</v>
      </c>
      <c r="N577" s="3" t="n">
        <v>6.54337057082365</v>
      </c>
      <c r="O577" s="3" t="n">
        <v>7.303573615012881</v>
      </c>
      <c r="P577" s="3" t="n">
        <v>7.613580184872285</v>
      </c>
      <c r="Q577" s="3" t="n">
        <v>7.878391058081547</v>
      </c>
      <c r="R577" s="3" t="n">
        <v>8.157086783664781</v>
      </c>
      <c r="S577" s="3" t="n">
        <v>8.448059710753769</v>
      </c>
      <c r="T577" s="3" t="n">
        <v>8.675629682687187</v>
      </c>
      <c r="U577" s="3" t="n">
        <v>8.913714294424238</v>
      </c>
      <c r="V577" s="3" t="n">
        <v>9.148372389480331</v>
      </c>
      <c r="W577" s="3" t="n">
        <v>9.53822914249116</v>
      </c>
      <c r="X577" s="3" t="n">
        <v>9.935731699071482</v>
      </c>
      <c r="Y577" s="3" t="n">
        <v>10.35186884968548</v>
      </c>
      <c r="Z577" s="3" t="n">
        <v>10.77538737620016</v>
      </c>
      <c r="AA577" s="3" t="n">
        <v>11.20632792875449</v>
      </c>
      <c r="AB577" s="3" t="n">
        <v>11.64438382690191</v>
      </c>
      <c r="AC577" s="3" t="n">
        <v>12.08958970381989</v>
      </c>
      <c r="AD577" s="3" t="n">
        <v>12.54235934260847</v>
      </c>
      <c r="AE577" s="3" t="n">
        <v>13.00283994027839</v>
      </c>
      <c r="AG577" s="20" t="inlineStr">
        <is>
          <t>egy.mit.dem.nfm.ecy.3</t>
        </is>
      </c>
      <c r="AH577" s="3" t="n">
        <v>6.353271970598906</v>
      </c>
      <c r="AI577" s="3" t="n">
        <v>5.944947246865164</v>
      </c>
      <c r="AJ577" s="3" t="n">
        <v>6.54337057082365</v>
      </c>
      <c r="AK577" s="3" t="n">
        <v>7.303573615012881</v>
      </c>
      <c r="AL577" s="3" t="n">
        <v>7.61346908938636</v>
      </c>
      <c r="AM577" s="3" t="n">
        <v>7.878106503312424</v>
      </c>
      <c r="AN577" s="3" t="n">
        <v>7.595282584544403</v>
      </c>
      <c r="AO577" s="3" t="n">
        <v>7.882650108604904</v>
      </c>
      <c r="AP577" s="3" t="n">
        <v>8.045239723507297</v>
      </c>
      <c r="AQ577" s="3" t="n">
        <v>8.356347967029379</v>
      </c>
      <c r="AR577" s="3" t="n">
        <v>8.601259165653937</v>
      </c>
      <c r="AS577" s="3" t="n">
        <v>8.996897004813048</v>
      </c>
      <c r="AT577" s="3" t="n">
        <v>9.393051702582689</v>
      </c>
      <c r="AU577" s="3" t="n">
        <v>9.80772338199648</v>
      </c>
      <c r="AV577" s="3" t="n">
        <v>10.23183686050788</v>
      </c>
      <c r="AW577" s="3" t="n">
        <v>10.66672328693348</v>
      </c>
      <c r="AX577" s="3" t="n">
        <v>11.10469462361197</v>
      </c>
      <c r="AY577" s="3" t="n">
        <v>11.54778157659804</v>
      </c>
      <c r="AZ577" s="3" t="n">
        <v>11.99255172542562</v>
      </c>
      <c r="BA577" s="3" t="n">
        <v>12.44311393461246</v>
      </c>
      <c r="BC577" s="20" t="inlineStr">
        <is>
          <t>egy.mit.dem.nfm.ecy.4</t>
        </is>
      </c>
      <c r="BD577" s="3" t="n">
        <v>6.353271970598906</v>
      </c>
      <c r="BE577" s="3" t="n">
        <v>5.944947246865164</v>
      </c>
      <c r="BF577" s="3" t="n">
        <v>6.54337057082365</v>
      </c>
      <c r="BG577" s="3" t="n">
        <v>7.303573615012881</v>
      </c>
      <c r="BH577" s="3" t="n">
        <v>7.613209970524089</v>
      </c>
      <c r="BI577" s="3" t="n">
        <v>7.877431510242801</v>
      </c>
      <c r="BJ577" s="3" t="n">
        <v>7.859066161366099</v>
      </c>
      <c r="BK577" s="3" t="n">
        <v>7.794838839819199</v>
      </c>
      <c r="BL577" s="3" t="n">
        <v>7.713450268988342</v>
      </c>
      <c r="BM577" s="3" t="n">
        <v>7.735199695337495</v>
      </c>
      <c r="BN577" s="3" t="n">
        <v>7.751751501080378</v>
      </c>
      <c r="BO577" s="3" t="n">
        <v>7.84289872872887</v>
      </c>
      <c r="BP577" s="3" t="n">
        <v>7.949348516105874</v>
      </c>
      <c r="BQ577" s="3" t="n">
        <v>8.108397132913883</v>
      </c>
      <c r="BR577" s="3" t="n">
        <v>8.28078265767059</v>
      </c>
      <c r="BS577" s="3" t="n">
        <v>8.501492477758667</v>
      </c>
      <c r="BT577" s="3" t="n">
        <v>8.727107983729216</v>
      </c>
      <c r="BU577" s="3" t="n">
        <v>9.001838659735737</v>
      </c>
      <c r="BV577" s="3" t="n">
        <v>9.265061876208289</v>
      </c>
      <c r="BW577" s="3" t="n">
        <v>9.587569637695042</v>
      </c>
      <c r="BY577" s="20" t="inlineStr">
        <is>
          <t>egy.mit.dem.nfm.ecy.5</t>
        </is>
      </c>
      <c r="BZ577" s="3" t="n">
        <v>6.353271970598906</v>
      </c>
      <c r="CA577" s="3" t="n">
        <v>5.944947246865164</v>
      </c>
      <c r="CB577" s="3" t="n">
        <v>6.54337057082365</v>
      </c>
      <c r="CC577" s="3" t="n">
        <v>7.303573615012881</v>
      </c>
      <c r="CD577" s="3" t="n">
        <v>7.612944386722639</v>
      </c>
      <c r="CE577" s="3" t="n">
        <v>7.876748527628967</v>
      </c>
      <c r="CF577" s="3" t="n">
        <v>8.154716917219085</v>
      </c>
      <c r="CG577" s="3" t="n">
        <v>8.448245391047882</v>
      </c>
      <c r="CH577" s="3" t="n">
        <v>8.666880130841223</v>
      </c>
      <c r="CI577" s="3" t="n">
        <v>8.908007499229239</v>
      </c>
      <c r="CJ577" s="3" t="n">
        <v>9.137102828758858</v>
      </c>
      <c r="CK577" s="3" t="n">
        <v>9.538917749727137</v>
      </c>
      <c r="CL577" s="3" t="n">
        <v>9.953404954076518</v>
      </c>
      <c r="CM577" s="3" t="n">
        <v>10.38291611323252</v>
      </c>
      <c r="CN577" s="3" t="n">
        <v>10.84262687812378</v>
      </c>
      <c r="CO577" s="3" t="n">
        <v>11.30943628493664</v>
      </c>
      <c r="CP577" s="3" t="n">
        <v>11.78159867708085</v>
      </c>
      <c r="CQ577" s="3" t="n">
        <v>12.26395755656621</v>
      </c>
      <c r="CR577" s="3" t="n">
        <v>12.74703594207494</v>
      </c>
      <c r="CS577" s="3" t="n">
        <v>13.2380706846252</v>
      </c>
      <c r="CU577" s="20" t="inlineStr">
        <is>
          <t>egy.mit.dem.nfm.ecy.6</t>
        </is>
      </c>
      <c r="CV577" s="3" t="n">
        <v>6.353271970598906</v>
      </c>
      <c r="CW577" s="3" t="n">
        <v>5.944947246865164</v>
      </c>
      <c r="CX577" s="3" t="n">
        <v>6.54337057082365</v>
      </c>
      <c r="CY577" s="3" t="n">
        <v>7.303573615012881</v>
      </c>
      <c r="CZ577" s="3" t="n">
        <v>7.61332083331125</v>
      </c>
      <c r="DA577" s="3" t="n">
        <v>7.877722316632535</v>
      </c>
      <c r="DB577" s="3" t="n">
        <v>6.948150662123017</v>
      </c>
      <c r="DC577" s="3" t="n">
        <v>7.239586544278668</v>
      </c>
      <c r="DD577" s="3" t="n">
        <v>7.343174909744318</v>
      </c>
      <c r="DE577" s="3" t="n">
        <v>7.651170862038311</v>
      </c>
      <c r="DF577" s="3" t="n">
        <v>7.941235630593908</v>
      </c>
      <c r="DG577" s="3" t="n">
        <v>8.339680199540718</v>
      </c>
      <c r="DH577" s="3" t="n">
        <v>8.761998375024929</v>
      </c>
      <c r="DI577" s="3" t="n">
        <v>9.224352659539022</v>
      </c>
      <c r="DJ577" s="3" t="n">
        <v>9.696080706472905</v>
      </c>
      <c r="DK577" s="3" t="n">
        <v>10.19314414966723</v>
      </c>
      <c r="DL577" s="3" t="n">
        <v>10.68475245102266</v>
      </c>
      <c r="DM577" s="3" t="n">
        <v>11.18698131196473</v>
      </c>
      <c r="DN577" s="3" t="n">
        <v>11.67778282831026</v>
      </c>
      <c r="DO577" s="3" t="n">
        <v>12.17737344742195</v>
      </c>
    </row>
    <row r="578">
      <c r="A578" s="19" t="inlineStr">
        <is>
          <t>mit.dem.mac.ecy</t>
        </is>
      </c>
      <c r="B578" s="3" t="inlineStr">
        <is>
          <t>mit</t>
        </is>
      </c>
      <c r="C578" s="19" t="n"/>
      <c r="H578" s="3" t="inlineStr">
        <is>
          <t>Electricity demand | Machinery | Electricity</t>
        </is>
      </c>
      <c r="I578" s="3" t="inlineStr">
        <is>
          <t>ktoe</t>
        </is>
      </c>
      <c r="K578" s="20" t="inlineStr">
        <is>
          <t>egy.mit.dem.mac.ecy.1</t>
        </is>
      </c>
      <c r="L578" s="3" t="n">
        <v>585.4799029458944</v>
      </c>
      <c r="M578" s="3" t="n">
        <v>547.8511156488344</v>
      </c>
      <c r="N578" s="3" t="n">
        <v>602.9982636464583</v>
      </c>
      <c r="O578" s="3" t="n">
        <v>673.0540721480937</v>
      </c>
      <c r="P578" s="3" t="n">
        <v>701.6224408994733</v>
      </c>
      <c r="Q578" s="3" t="n">
        <v>726.0258420230302</v>
      </c>
      <c r="R578" s="3" t="n">
        <v>751.7087888764019</v>
      </c>
      <c r="S578" s="3" t="n">
        <v>778.5231298805828</v>
      </c>
      <c r="T578" s="3" t="n">
        <v>799.4946301874423</v>
      </c>
      <c r="U578" s="3" t="n">
        <v>821.4350974014691</v>
      </c>
      <c r="V578" s="3" t="n">
        <v>843.0597971396039</v>
      </c>
      <c r="W578" s="3" t="n">
        <v>878.9866856738696</v>
      </c>
      <c r="X578" s="3" t="n">
        <v>915.6181661652445</v>
      </c>
      <c r="Y578" s="3" t="n">
        <v>953.9669004365235</v>
      </c>
      <c r="Z578" s="3" t="n">
        <v>992.9958585776351</v>
      </c>
      <c r="AA578" s="3" t="n">
        <v>1032.708786664543</v>
      </c>
      <c r="AB578" s="3" t="n">
        <v>1073.077422844312</v>
      </c>
      <c r="AC578" s="3" t="n">
        <v>1114.104958705382</v>
      </c>
      <c r="AD578" s="3" t="n">
        <v>1155.829526046672</v>
      </c>
      <c r="AE578" s="3" t="n">
        <v>1198.264689672579</v>
      </c>
      <c r="AG578" s="20" t="inlineStr">
        <is>
          <t>egy.mit.dem.mac.ecy.3</t>
        </is>
      </c>
      <c r="AH578" s="3" t="n">
        <v>585.4799029458944</v>
      </c>
      <c r="AI578" s="3" t="n">
        <v>547.8511156488344</v>
      </c>
      <c r="AJ578" s="3" t="n">
        <v>602.9982636464583</v>
      </c>
      <c r="AK578" s="3" t="n">
        <v>673.0540721480937</v>
      </c>
      <c r="AL578" s="3" t="n">
        <v>701.612202997709</v>
      </c>
      <c r="AM578" s="3" t="n">
        <v>725.9996191414381</v>
      </c>
      <c r="AN578" s="3" t="n">
        <v>699.9362424628746</v>
      </c>
      <c r="AO578" s="3" t="n">
        <v>726.4183308852412</v>
      </c>
      <c r="AP578" s="3" t="n">
        <v>741.4016264837279</v>
      </c>
      <c r="AQ578" s="3" t="n">
        <v>770.071518952664</v>
      </c>
      <c r="AR578" s="3" t="n">
        <v>792.6410839680826</v>
      </c>
      <c r="AS578" s="3" t="n">
        <v>829.1007231499959</v>
      </c>
      <c r="AT578" s="3" t="n">
        <v>865.6079929591718</v>
      </c>
      <c r="AU578" s="3" t="n">
        <v>903.8216780872635</v>
      </c>
      <c r="AV578" s="3" t="n">
        <v>942.9054634794218</v>
      </c>
      <c r="AW578" s="3" t="n">
        <v>982.9820199237927</v>
      </c>
      <c r="AX578" s="3" t="n">
        <v>1023.342863419594</v>
      </c>
      <c r="AY578" s="3" t="n">
        <v>1064.1751318053</v>
      </c>
      <c r="AZ578" s="3" t="n">
        <v>1105.162513547161</v>
      </c>
      <c r="BA578" s="3" t="n">
        <v>1146.683657254933</v>
      </c>
      <c r="BC578" s="20" t="inlineStr">
        <is>
          <t>egy.mit.dem.mac.ecy.4</t>
        </is>
      </c>
      <c r="BD578" s="3" t="n">
        <v>585.4799029458944</v>
      </c>
      <c r="BE578" s="3" t="n">
        <v>547.8511156488344</v>
      </c>
      <c r="BF578" s="3" t="n">
        <v>602.9982636464583</v>
      </c>
      <c r="BG578" s="3" t="n">
        <v>673.0540721480937</v>
      </c>
      <c r="BH578" s="3" t="n">
        <v>701.5883241385894</v>
      </c>
      <c r="BI578" s="3" t="n">
        <v>725.9374157793403</v>
      </c>
      <c r="BJ578" s="3" t="n">
        <v>724.2449740378788</v>
      </c>
      <c r="BK578" s="3" t="n">
        <v>718.3261646181384</v>
      </c>
      <c r="BL578" s="3" t="n">
        <v>710.8258761413547</v>
      </c>
      <c r="BM578" s="3" t="n">
        <v>712.8301744126957</v>
      </c>
      <c r="BN578" s="3" t="n">
        <v>714.3554907638244</v>
      </c>
      <c r="BO578" s="3" t="n">
        <v>722.7550792348333</v>
      </c>
      <c r="BP578" s="3" t="n">
        <v>732.5648609458191</v>
      </c>
      <c r="BQ578" s="3" t="n">
        <v>747.221839139632</v>
      </c>
      <c r="BR578" s="3" t="n">
        <v>763.1078677514877</v>
      </c>
      <c r="BS578" s="3" t="n">
        <v>783.4471771093068</v>
      </c>
      <c r="BT578" s="3" t="n">
        <v>804.2385654128478</v>
      </c>
      <c r="BU578" s="3" t="n">
        <v>829.5561167893545</v>
      </c>
      <c r="BV578" s="3" t="n">
        <v>853.8132088746046</v>
      </c>
      <c r="BW578" s="3" t="n">
        <v>883.533613379303</v>
      </c>
      <c r="BY578" s="20" t="inlineStr">
        <is>
          <t>egy.mit.dem.mac.ecy.5</t>
        </is>
      </c>
      <c r="BZ578" s="3" t="n">
        <v>585.4799029458944</v>
      </c>
      <c r="CA578" s="3" t="n">
        <v>547.8511156488344</v>
      </c>
      <c r="CB578" s="3" t="n">
        <v>602.9982636464583</v>
      </c>
      <c r="CC578" s="3" t="n">
        <v>673.0540721480937</v>
      </c>
      <c r="CD578" s="3" t="n">
        <v>701.5638495089787</v>
      </c>
      <c r="CE578" s="3" t="n">
        <v>725.8744761481846</v>
      </c>
      <c r="CF578" s="3" t="n">
        <v>751.4903960257508</v>
      </c>
      <c r="CG578" s="3" t="n">
        <v>778.5402410763696</v>
      </c>
      <c r="CH578" s="3" t="n">
        <v>798.6883233286613</v>
      </c>
      <c r="CI578" s="3" t="n">
        <v>820.9091929679169</v>
      </c>
      <c r="CJ578" s="3" t="n">
        <v>842.021261193404</v>
      </c>
      <c r="CK578" s="3" t="n">
        <v>879.0501436368772</v>
      </c>
      <c r="CL578" s="3" t="n">
        <v>917.2468286360107</v>
      </c>
      <c r="CM578" s="3" t="n">
        <v>956.8280322961979</v>
      </c>
      <c r="CN578" s="3" t="n">
        <v>999.1922526943284</v>
      </c>
      <c r="CO578" s="3" t="n">
        <v>1042.210641873921</v>
      </c>
      <c r="CP578" s="3" t="n">
        <v>1085.722330466285</v>
      </c>
      <c r="CQ578" s="3" t="n">
        <v>1130.173666919864</v>
      </c>
      <c r="CR578" s="3" t="n">
        <v>1174.691308785626</v>
      </c>
      <c r="CS578" s="3" t="n">
        <v>1219.942161376514</v>
      </c>
      <c r="CU578" s="20" t="inlineStr">
        <is>
          <t>egy.mit.dem.mac.ecy.6</t>
        </is>
      </c>
      <c r="CV578" s="3" t="n">
        <v>585.4799029458944</v>
      </c>
      <c r="CW578" s="3" t="n">
        <v>547.8511156488344</v>
      </c>
      <c r="CX578" s="3" t="n">
        <v>602.9982636464583</v>
      </c>
      <c r="CY578" s="3" t="n">
        <v>673.0540721480937</v>
      </c>
      <c r="CZ578" s="3" t="n">
        <v>701.5985405962144</v>
      </c>
      <c r="DA578" s="3" t="n">
        <v>725.9642147732486</v>
      </c>
      <c r="DB578" s="3" t="n">
        <v>640.3003986196042</v>
      </c>
      <c r="DC578" s="3" t="n">
        <v>667.1574028198128</v>
      </c>
      <c r="DD578" s="3" t="n">
        <v>676.7034928408</v>
      </c>
      <c r="DE578" s="3" t="n">
        <v>705.0865749898578</v>
      </c>
      <c r="DF578" s="3" t="n">
        <v>731.817225484259</v>
      </c>
      <c r="DG578" s="3" t="n">
        <v>768.5355162540945</v>
      </c>
      <c r="DH578" s="3" t="n">
        <v>807.4538571560779</v>
      </c>
      <c r="DI578" s="3" t="n">
        <v>850.0616886603243</v>
      </c>
      <c r="DJ578" s="3" t="n">
        <v>893.5333505715129</v>
      </c>
      <c r="DK578" s="3" t="n">
        <v>939.3397724949129</v>
      </c>
      <c r="DL578" s="3" t="n">
        <v>984.6434808670633</v>
      </c>
      <c r="DM578" s="3" t="n">
        <v>1030.92591708603</v>
      </c>
      <c r="DN578" s="3" t="n">
        <v>1076.155276931708</v>
      </c>
      <c r="DO578" s="3" t="n">
        <v>1122.194588414642</v>
      </c>
    </row>
    <row r="579">
      <c r="A579" s="19" t="inlineStr">
        <is>
          <t>mit.dem.cem.ecy</t>
        </is>
      </c>
      <c r="B579" s="3" t="inlineStr">
        <is>
          <t>mit</t>
        </is>
      </c>
      <c r="C579" s="19" t="inlineStr">
        <is>
          <t>mit.ener.rod.ecy.t</t>
        </is>
      </c>
      <c r="H579" s="3" t="inlineStr">
        <is>
          <t>Electricity demand | Cement | Electricity</t>
        </is>
      </c>
      <c r="I579" s="3" t="inlineStr">
        <is>
          <t>ktoe</t>
        </is>
      </c>
      <c r="K579" s="20" t="inlineStr">
        <is>
          <t>egy.mit.dem.cem.ecy.1</t>
        </is>
      </c>
      <c r="L579" s="3" t="n">
        <v>1165.402076739667</v>
      </c>
      <c r="M579" s="3" t="n">
        <v>1090.501697340579</v>
      </c>
      <c r="N579" s="3" t="n">
        <v>1200.272503271453</v>
      </c>
      <c r="O579" s="3" t="n">
        <v>1339.719108192796</v>
      </c>
      <c r="P579" s="3" t="n">
        <v>1396.584657470239</v>
      </c>
      <c r="Q579" s="3" t="n">
        <v>1445.159807882417</v>
      </c>
      <c r="R579" s="3" t="n">
        <v>1496.281903532692</v>
      </c>
      <c r="S579" s="3" t="n">
        <v>1549.656047607396</v>
      </c>
      <c r="T579" s="3" t="n">
        <v>1591.399974063262</v>
      </c>
      <c r="U579" s="3" t="n">
        <v>1635.072636313854</v>
      </c>
      <c r="V579" s="3" t="n">
        <v>1678.116761068419</v>
      </c>
      <c r="W579" s="3" t="n">
        <v>1749.629498393746</v>
      </c>
      <c r="X579" s="3" t="n">
        <v>1822.54473122052</v>
      </c>
      <c r="Y579" s="3" t="n">
        <v>1898.87817039617</v>
      </c>
      <c r="Z579" s="3" t="n">
        <v>1976.565600215329</v>
      </c>
      <c r="AA579" s="3" t="n">
        <v>2055.614477269907</v>
      </c>
      <c r="AB579" s="3" t="n">
        <v>2135.968546132622</v>
      </c>
      <c r="AC579" s="3" t="n">
        <v>2217.634159683871</v>
      </c>
      <c r="AD579" s="3" t="n">
        <v>2300.687219551405</v>
      </c>
      <c r="AE579" s="3" t="n">
        <v>2385.154726578695</v>
      </c>
      <c r="AG579" s="20" t="inlineStr">
        <is>
          <t>egy.mit.dem.cem.ecy.3</t>
        </is>
      </c>
      <c r="AH579" s="3" t="n">
        <v>1165.402076739667</v>
      </c>
      <c r="AI579" s="3" t="n">
        <v>1090.501697340579</v>
      </c>
      <c r="AJ579" s="3" t="n">
        <v>1200.272503271453</v>
      </c>
      <c r="AK579" s="3" t="n">
        <v>1339.719108192796</v>
      </c>
      <c r="AL579" s="3" t="n">
        <v>1396.564278851062</v>
      </c>
      <c r="AM579" s="3" t="n">
        <v>1445.107611042676</v>
      </c>
      <c r="AN579" s="3" t="n">
        <v>1393.228267011882</v>
      </c>
      <c r="AO579" s="3" t="n">
        <v>1445.941059865305</v>
      </c>
      <c r="AP579" s="3" t="n">
        <v>1475.765420563292</v>
      </c>
      <c r="AQ579" s="3" t="n">
        <v>1532.833053551352</v>
      </c>
      <c r="AR579" s="3" t="n">
        <v>1577.757939628117</v>
      </c>
      <c r="AS579" s="3" t="n">
        <v>1650.331121057553</v>
      </c>
      <c r="AT579" s="3" t="n">
        <v>1722.999111602808</v>
      </c>
      <c r="AU579" s="3" t="n">
        <v>1799.063734460186</v>
      </c>
      <c r="AV579" s="3" t="n">
        <v>1876.860298328029</v>
      </c>
      <c r="AW579" s="3" t="n">
        <v>1956.632980317355</v>
      </c>
      <c r="AX579" s="3" t="n">
        <v>2036.971537785003</v>
      </c>
      <c r="AY579" s="3" t="n">
        <v>2118.248469982436</v>
      </c>
      <c r="AZ579" s="3" t="n">
        <v>2199.834156462438</v>
      </c>
      <c r="BA579" s="3" t="n">
        <v>2282.482300083032</v>
      </c>
      <c r="BC579" s="20" t="inlineStr">
        <is>
          <t>egy.mit.dem.cem.ecy.4</t>
        </is>
      </c>
      <c r="BD579" s="3" t="n">
        <v>1165.402076739667</v>
      </c>
      <c r="BE579" s="3" t="n">
        <v>1090.501697340579</v>
      </c>
      <c r="BF579" s="3" t="n">
        <v>1200.272503271453</v>
      </c>
      <c r="BG579" s="3" t="n">
        <v>1339.719108192796</v>
      </c>
      <c r="BH579" s="3" t="n">
        <v>1396.516747805388</v>
      </c>
      <c r="BI579" s="3" t="n">
        <v>1444.983794790395</v>
      </c>
      <c r="BJ579" s="3" t="n">
        <v>1441.614976987536</v>
      </c>
      <c r="BK579" s="3" t="n">
        <v>1429.833543064894</v>
      </c>
      <c r="BL579" s="3" t="n">
        <v>1414.904163383354</v>
      </c>
      <c r="BM579" s="3" t="n">
        <v>1418.893733915278</v>
      </c>
      <c r="BN579" s="3" t="n">
        <v>1421.929887392701</v>
      </c>
      <c r="BO579" s="3" t="n">
        <v>1438.649330363533</v>
      </c>
      <c r="BP579" s="3" t="n">
        <v>1458.175773407646</v>
      </c>
      <c r="BQ579" s="3" t="n">
        <v>1487.350596898345</v>
      </c>
      <c r="BR579" s="3" t="n">
        <v>1518.971854335618</v>
      </c>
      <c r="BS579" s="3" t="n">
        <v>1559.457400032041</v>
      </c>
      <c r="BT579" s="3" t="n">
        <v>1600.84281221328</v>
      </c>
      <c r="BU579" s="3" t="n">
        <v>1651.237585464567</v>
      </c>
      <c r="BV579" s="3" t="n">
        <v>1699.521506653965</v>
      </c>
      <c r="BW579" s="3" t="n">
        <v>1758.680191618288</v>
      </c>
      <c r="BY579" s="20" t="inlineStr">
        <is>
          <t>egy.mit.dem.cem.ecy.5</t>
        </is>
      </c>
      <c r="BZ579" s="3" t="n">
        <v>1165.402076739667</v>
      </c>
      <c r="CA579" s="3" t="n">
        <v>1090.501697340579</v>
      </c>
      <c r="CB579" s="3" t="n">
        <v>1200.272503271453</v>
      </c>
      <c r="CC579" s="3" t="n">
        <v>1339.719108192796</v>
      </c>
      <c r="CD579" s="3" t="n">
        <v>1396.468030874146</v>
      </c>
      <c r="CE579" s="3" t="n">
        <v>1444.858512989108</v>
      </c>
      <c r="CF579" s="3" t="n">
        <v>1495.847190948343</v>
      </c>
      <c r="CG579" s="3" t="n">
        <v>1549.690107569156</v>
      </c>
      <c r="CH579" s="3" t="n">
        <v>1589.795014297804</v>
      </c>
      <c r="CI579" s="3" t="n">
        <v>1634.025819649534</v>
      </c>
      <c r="CJ579" s="3" t="n">
        <v>1676.049547587</v>
      </c>
      <c r="CK579" s="3" t="n">
        <v>1749.755811938418</v>
      </c>
      <c r="CL579" s="3" t="n">
        <v>1825.78659591338</v>
      </c>
      <c r="CM579" s="3" t="n">
        <v>1904.573274522399</v>
      </c>
      <c r="CN579" s="3" t="n">
        <v>1988.899568530138</v>
      </c>
      <c r="CO579" s="3" t="n">
        <v>2074.527990335294</v>
      </c>
      <c r="CP579" s="3" t="n">
        <v>2161.138328269775</v>
      </c>
      <c r="CQ579" s="3" t="n">
        <v>2249.619042221183</v>
      </c>
      <c r="CR579" s="3" t="n">
        <v>2338.231737585906</v>
      </c>
      <c r="CS579" s="3" t="n">
        <v>2428.303894321463</v>
      </c>
      <c r="CU579" s="20" t="inlineStr">
        <is>
          <t>egy.mit.dem.cem.ecy.6</t>
        </is>
      </c>
      <c r="CV579" s="3" t="n">
        <v>1165.402076739667</v>
      </c>
      <c r="CW579" s="3" t="n">
        <v>1090.501697340579</v>
      </c>
      <c r="CX579" s="3" t="n">
        <v>1200.272503271453</v>
      </c>
      <c r="CY579" s="3" t="n">
        <v>1339.719108192796</v>
      </c>
      <c r="CZ579" s="3" t="n">
        <v>1396.537083739847</v>
      </c>
      <c r="DA579" s="3" t="n">
        <v>1445.037138385961</v>
      </c>
      <c r="DB579" s="3" t="n">
        <v>1274.522678804027</v>
      </c>
      <c r="DC579" s="3" t="n">
        <v>1327.981744285941</v>
      </c>
      <c r="DD579" s="3" t="n">
        <v>1346.983307070976</v>
      </c>
      <c r="DE579" s="3" t="n">
        <v>1403.480041996208</v>
      </c>
      <c r="DF579" s="3" t="n">
        <v>1456.687599492261</v>
      </c>
      <c r="DG579" s="3" t="n">
        <v>1529.775628820317</v>
      </c>
      <c r="DH579" s="3" t="n">
        <v>1607.24287420692</v>
      </c>
      <c r="DI579" s="3" t="n">
        <v>1692.054077923013</v>
      </c>
      <c r="DJ579" s="3" t="n">
        <v>1778.584742452595</v>
      </c>
      <c r="DK579" s="3" t="n">
        <v>1869.76276405324</v>
      </c>
      <c r="DL579" s="3" t="n">
        <v>1959.940130612296</v>
      </c>
      <c r="DM579" s="3" t="n">
        <v>2052.065662188636</v>
      </c>
      <c r="DN579" s="3" t="n">
        <v>2142.095037455904</v>
      </c>
      <c r="DO579" s="3" t="n">
        <v>2233.736627447137</v>
      </c>
    </row>
    <row r="580">
      <c r="A580" s="19" t="inlineStr">
        <is>
          <t>mit.dem.omn.ecy</t>
        </is>
      </c>
      <c r="B580" s="3" t="inlineStr">
        <is>
          <t>mit</t>
        </is>
      </c>
      <c r="C580" s="19" t="inlineStr">
        <is>
          <t>mit.ener.ral.ecy.t</t>
        </is>
      </c>
      <c r="H580" s="3" t="inlineStr">
        <is>
          <t>Electricity demand | Other manufacturing | Electricity</t>
        </is>
      </c>
      <c r="I580" s="3" t="inlineStr">
        <is>
          <t>ktoe</t>
        </is>
      </c>
      <c r="K580" s="20" t="inlineStr">
        <is>
          <t>egy.mit.dem.omn.ecy.1</t>
        </is>
      </c>
      <c r="L580" s="3" t="n">
        <v>698.8392103370692</v>
      </c>
      <c r="M580" s="3" t="n">
        <v>653.9248215283228</v>
      </c>
      <c r="N580" s="3" t="n">
        <v>719.749436797077</v>
      </c>
      <c r="O580" s="3" t="n">
        <v>803.3692940227008</v>
      </c>
      <c r="P580" s="3" t="n">
        <v>837.4690063413956</v>
      </c>
      <c r="Q580" s="3" t="n">
        <v>866.5973393292852</v>
      </c>
      <c r="R580" s="3" t="n">
        <v>897.25296082514</v>
      </c>
      <c r="S580" s="3" t="n">
        <v>929.2590344730726</v>
      </c>
      <c r="T580" s="3" t="n">
        <v>954.290989695255</v>
      </c>
      <c r="U580" s="3" t="n">
        <v>980.47952102678</v>
      </c>
      <c r="V580" s="3" t="n">
        <v>1006.291146691019</v>
      </c>
      <c r="W580" s="3" t="n">
        <v>1049.174118910604</v>
      </c>
      <c r="X580" s="3" t="n">
        <v>1092.898104603817</v>
      </c>
      <c r="Y580" s="3" t="n">
        <v>1138.671834907321</v>
      </c>
      <c r="Z580" s="3" t="n">
        <v>1185.2574925027</v>
      </c>
      <c r="AA580" s="3" t="n">
        <v>1232.659548772755</v>
      </c>
      <c r="AB580" s="3" t="n">
        <v>1280.844269867888</v>
      </c>
      <c r="AC580" s="3" t="n">
        <v>1329.815465324747</v>
      </c>
      <c r="AD580" s="3" t="n">
        <v>1379.618649935744</v>
      </c>
      <c r="AE580" s="3" t="n">
        <v>1430.27001489232</v>
      </c>
      <c r="AG580" s="20" t="inlineStr">
        <is>
          <t>egy.mit.dem.omn.ecy.3</t>
        </is>
      </c>
      <c r="AH580" s="3" t="n">
        <v>698.8392103370692</v>
      </c>
      <c r="AI580" s="3" t="n">
        <v>653.9248215283228</v>
      </c>
      <c r="AJ580" s="3" t="n">
        <v>719.749436797077</v>
      </c>
      <c r="AK580" s="3" t="n">
        <v>803.3692940227008</v>
      </c>
      <c r="AL580" s="3" t="n">
        <v>837.4567862000235</v>
      </c>
      <c r="AM580" s="3" t="n">
        <v>866.5660392320957</v>
      </c>
      <c r="AN580" s="3" t="n">
        <v>835.4563299404207</v>
      </c>
      <c r="AO580" s="3" t="n">
        <v>867.065821005861</v>
      </c>
      <c r="AP580" s="3" t="n">
        <v>884.9501487370231</v>
      </c>
      <c r="AQ580" s="3" t="n">
        <v>919.1710415680645</v>
      </c>
      <c r="AR580" s="3" t="n">
        <v>946.1104752081701</v>
      </c>
      <c r="AS580" s="3" t="n">
        <v>989.6293480624914</v>
      </c>
      <c r="AT580" s="3" t="n">
        <v>1033.205073679438</v>
      </c>
      <c r="AU580" s="3" t="n">
        <v>1078.817606927147</v>
      </c>
      <c r="AV580" s="3" t="n">
        <v>1125.468707303113</v>
      </c>
      <c r="AW580" s="3" t="n">
        <v>1173.304796838711</v>
      </c>
      <c r="AX580" s="3" t="n">
        <v>1221.480216447862</v>
      </c>
      <c r="AY580" s="3" t="n">
        <v>1270.218337178157</v>
      </c>
      <c r="AZ580" s="3" t="n">
        <v>1319.141603965186</v>
      </c>
      <c r="BA580" s="3" t="n">
        <v>1368.701978514392</v>
      </c>
      <c r="BC580" s="20" t="inlineStr">
        <is>
          <t>egy.mit.dem.omn.ecy.4</t>
        </is>
      </c>
      <c r="BD580" s="3" t="n">
        <v>698.8392103370692</v>
      </c>
      <c r="BE580" s="3" t="n">
        <v>653.9248215283228</v>
      </c>
      <c r="BF580" s="3" t="n">
        <v>719.749436797077</v>
      </c>
      <c r="BG580" s="3" t="n">
        <v>803.3692940227008</v>
      </c>
      <c r="BH580" s="3" t="n">
        <v>837.4282839696876</v>
      </c>
      <c r="BI580" s="3" t="n">
        <v>866.491792194358</v>
      </c>
      <c r="BJ580" s="3" t="n">
        <v>864.4716636738173</v>
      </c>
      <c r="BK580" s="3" t="n">
        <v>857.4068676317758</v>
      </c>
      <c r="BL580" s="3" t="n">
        <v>848.4543901000233</v>
      </c>
      <c r="BM580" s="3" t="n">
        <v>850.846756113231</v>
      </c>
      <c r="BN580" s="3" t="n">
        <v>852.6674007997071</v>
      </c>
      <c r="BO580" s="3" t="n">
        <v>862.6932987762235</v>
      </c>
      <c r="BP580" s="3" t="n">
        <v>874.4024284491474</v>
      </c>
      <c r="BQ580" s="3" t="n">
        <v>891.8972579306616</v>
      </c>
      <c r="BR580" s="3" t="n">
        <v>910.8591038192081</v>
      </c>
      <c r="BS580" s="3" t="n">
        <v>935.1364646968424</v>
      </c>
      <c r="BT580" s="3" t="n">
        <v>959.9534350330568</v>
      </c>
      <c r="BU580" s="3" t="n">
        <v>990.172913998266</v>
      </c>
      <c r="BV580" s="3" t="n">
        <v>1019.12660991957</v>
      </c>
      <c r="BW580" s="3" t="n">
        <v>1054.601412573694</v>
      </c>
      <c r="BY580" s="20" t="inlineStr">
        <is>
          <t>egy.mit.dem.omn.ecy.5</t>
        </is>
      </c>
      <c r="BZ580" s="3" t="n">
        <v>698.8392103370692</v>
      </c>
      <c r="CA580" s="3" t="n">
        <v>653.9248215283228</v>
      </c>
      <c r="CB580" s="3" t="n">
        <v>719.749436797077</v>
      </c>
      <c r="CC580" s="3" t="n">
        <v>803.3692940227008</v>
      </c>
      <c r="CD580" s="3" t="n">
        <v>837.3990706171123</v>
      </c>
      <c r="CE580" s="3" t="n">
        <v>866.4166663327966</v>
      </c>
      <c r="CF580" s="3" t="n">
        <v>896.9922832399243</v>
      </c>
      <c r="CG580" s="3" t="n">
        <v>929.2794587002602</v>
      </c>
      <c r="CH580" s="3" t="n">
        <v>953.3285675085245</v>
      </c>
      <c r="CI580" s="3" t="n">
        <v>979.8517921547774</v>
      </c>
      <c r="CJ580" s="3" t="n">
        <v>1005.051531741134</v>
      </c>
      <c r="CK580" s="3" t="n">
        <v>1049.249863462269</v>
      </c>
      <c r="CL580" s="3" t="n">
        <v>1094.84210505413</v>
      </c>
      <c r="CM580" s="3" t="n">
        <v>1142.086932709012</v>
      </c>
      <c r="CN580" s="3" t="n">
        <v>1192.653618568955</v>
      </c>
      <c r="CO580" s="3" t="n">
        <v>1244.001131904554</v>
      </c>
      <c r="CP580" s="3" t="n">
        <v>1295.937456180283</v>
      </c>
      <c r="CQ580" s="3" t="n">
        <v>1348.995360831395</v>
      </c>
      <c r="CR580" s="3" t="n">
        <v>1402.132408800082</v>
      </c>
      <c r="CS580" s="3" t="n">
        <v>1456.144630112173</v>
      </c>
      <c r="CU580" s="20" t="inlineStr">
        <is>
          <t>egy.mit.dem.omn.ecy.6</t>
        </is>
      </c>
      <c r="CV580" s="3" t="n">
        <v>698.8392103370692</v>
      </c>
      <c r="CW580" s="3" t="n">
        <v>653.9248215283228</v>
      </c>
      <c r="CX580" s="3" t="n">
        <v>719.749436797077</v>
      </c>
      <c r="CY580" s="3" t="n">
        <v>803.3692940227008</v>
      </c>
      <c r="CZ580" s="3" t="n">
        <v>837.4404785149541</v>
      </c>
      <c r="DA580" s="3" t="n">
        <v>866.5237799494397</v>
      </c>
      <c r="DB580" s="3" t="n">
        <v>764.2739275906217</v>
      </c>
      <c r="DC580" s="3" t="n">
        <v>796.3309247870354</v>
      </c>
      <c r="DD580" s="3" t="n">
        <v>807.7253073755866</v>
      </c>
      <c r="DE580" s="3" t="n">
        <v>841.6038583150417</v>
      </c>
      <c r="DF580" s="3" t="n">
        <v>873.5100374841494</v>
      </c>
      <c r="DG580" s="3" t="n">
        <v>917.3376414674924</v>
      </c>
      <c r="DH580" s="3" t="n">
        <v>963.7912643616744</v>
      </c>
      <c r="DI580" s="3" t="n">
        <v>1014.648728764435</v>
      </c>
      <c r="DJ580" s="3" t="n">
        <v>1066.537276482635</v>
      </c>
      <c r="DK580" s="3" t="n">
        <v>1121.212635216978</v>
      </c>
      <c r="DL580" s="3" t="n">
        <v>1175.287946128308</v>
      </c>
      <c r="DM580" s="3" t="n">
        <v>1230.531483979901</v>
      </c>
      <c r="DN580" s="3" t="n">
        <v>1284.518051169597</v>
      </c>
      <c r="DO580" s="3" t="n">
        <v>1339.471391018341</v>
      </c>
    </row>
    <row r="581">
      <c r="A581" s="19" t="inlineStr">
        <is>
          <t>mit.dem.cst.ecy</t>
        </is>
      </c>
      <c r="B581" s="3" t="inlineStr">
        <is>
          <t>mit</t>
        </is>
      </c>
      <c r="C581" s="19" t="inlineStr">
        <is>
          <t>mit.ener.avi.ecy.t</t>
        </is>
      </c>
      <c r="H581" s="3" t="inlineStr">
        <is>
          <t>Electricity demand | Construction | Electricity</t>
        </is>
      </c>
      <c r="I581" s="3" t="inlineStr">
        <is>
          <t>ktoe</t>
        </is>
      </c>
      <c r="K581" s="20" t="inlineStr">
        <is>
          <t>egy.mit.dem.cst.ecy.1</t>
        </is>
      </c>
      <c r="L581" s="3" t="n">
        <v>0</v>
      </c>
      <c r="M581" s="3" t="n">
        <v>0</v>
      </c>
      <c r="N581" s="3" t="n">
        <v>0</v>
      </c>
      <c r="O581" s="3" t="n">
        <v>0</v>
      </c>
      <c r="P581" s="3" t="n">
        <v>0</v>
      </c>
      <c r="Q581" s="3" t="n">
        <v>0</v>
      </c>
      <c r="R581" s="3" t="n">
        <v>0</v>
      </c>
      <c r="S581" s="3" t="n">
        <v>0</v>
      </c>
      <c r="T581" s="3" t="n">
        <v>0</v>
      </c>
      <c r="U581" s="3" t="n">
        <v>0</v>
      </c>
      <c r="V581" s="3" t="n">
        <v>0</v>
      </c>
      <c r="W581" s="3" t="n">
        <v>0</v>
      </c>
      <c r="X581" s="3" t="n">
        <v>0</v>
      </c>
      <c r="Y581" s="3" t="n">
        <v>0</v>
      </c>
      <c r="Z581" s="3" t="n">
        <v>0</v>
      </c>
      <c r="AA581" s="3" t="n">
        <v>0</v>
      </c>
      <c r="AB581" s="3" t="n">
        <v>0</v>
      </c>
      <c r="AC581" s="3" t="n">
        <v>0</v>
      </c>
      <c r="AD581" s="3" t="n">
        <v>0</v>
      </c>
      <c r="AE581" s="3" t="n">
        <v>0</v>
      </c>
      <c r="AG581" s="20" t="inlineStr">
        <is>
          <t>egy.mit.dem.cst.ecy.3</t>
        </is>
      </c>
      <c r="AH581" s="3" t="n">
        <v>0</v>
      </c>
      <c r="AI581" s="3" t="n">
        <v>0</v>
      </c>
      <c r="AJ581" s="3" t="n">
        <v>0</v>
      </c>
      <c r="AK581" s="3" t="n">
        <v>0</v>
      </c>
      <c r="AL581" s="3" t="n">
        <v>0</v>
      </c>
      <c r="AM581" s="3" t="n">
        <v>0</v>
      </c>
      <c r="AN581" s="3" t="n">
        <v>0</v>
      </c>
      <c r="AO581" s="3" t="n">
        <v>0</v>
      </c>
      <c r="AP581" s="3" t="n">
        <v>0</v>
      </c>
      <c r="AQ581" s="3" t="n">
        <v>0</v>
      </c>
      <c r="AR581" s="3" t="n">
        <v>0</v>
      </c>
      <c r="AS581" s="3" t="n">
        <v>0</v>
      </c>
      <c r="AT581" s="3" t="n">
        <v>0</v>
      </c>
      <c r="AU581" s="3" t="n">
        <v>0</v>
      </c>
      <c r="AV581" s="3" t="n">
        <v>0</v>
      </c>
      <c r="AW581" s="3" t="n">
        <v>0</v>
      </c>
      <c r="AX581" s="3" t="n">
        <v>0</v>
      </c>
      <c r="AY581" s="3" t="n">
        <v>0</v>
      </c>
      <c r="AZ581" s="3" t="n">
        <v>0</v>
      </c>
      <c r="BA581" s="3" t="n">
        <v>0</v>
      </c>
      <c r="BC581" s="20" t="inlineStr">
        <is>
          <t>egy.mit.dem.cst.ecy.4</t>
        </is>
      </c>
      <c r="BD581" s="3" t="n">
        <v>0</v>
      </c>
      <c r="BE581" s="3" t="n">
        <v>0</v>
      </c>
      <c r="BF581" s="3" t="n">
        <v>0</v>
      </c>
      <c r="BG581" s="3" t="n">
        <v>0</v>
      </c>
      <c r="BH581" s="3" t="n">
        <v>0</v>
      </c>
      <c r="BI581" s="3" t="n">
        <v>0</v>
      </c>
      <c r="BJ581" s="3" t="n">
        <v>0</v>
      </c>
      <c r="BK581" s="3" t="n">
        <v>0</v>
      </c>
      <c r="BL581" s="3" t="n">
        <v>0</v>
      </c>
      <c r="BM581" s="3" t="n">
        <v>0</v>
      </c>
      <c r="BN581" s="3" t="n">
        <v>0</v>
      </c>
      <c r="BO581" s="3" t="n">
        <v>0</v>
      </c>
      <c r="BP581" s="3" t="n">
        <v>0</v>
      </c>
      <c r="BQ581" s="3" t="n">
        <v>0</v>
      </c>
      <c r="BR581" s="3" t="n">
        <v>0</v>
      </c>
      <c r="BS581" s="3" t="n">
        <v>0</v>
      </c>
      <c r="BT581" s="3" t="n">
        <v>0</v>
      </c>
      <c r="BU581" s="3" t="n">
        <v>0</v>
      </c>
      <c r="BV581" s="3" t="n">
        <v>0</v>
      </c>
      <c r="BW581" s="3" t="n">
        <v>0</v>
      </c>
      <c r="BY581" s="20" t="inlineStr">
        <is>
          <t>egy.mit.dem.cst.ecy.5</t>
        </is>
      </c>
      <c r="BZ581" s="3" t="n">
        <v>0</v>
      </c>
      <c r="CA581" s="3" t="n">
        <v>0</v>
      </c>
      <c r="CB581" s="3" t="n">
        <v>0</v>
      </c>
      <c r="CC581" s="3" t="n">
        <v>0</v>
      </c>
      <c r="CD581" s="3" t="n">
        <v>0</v>
      </c>
      <c r="CE581" s="3" t="n">
        <v>0</v>
      </c>
      <c r="CF581" s="3" t="n">
        <v>0</v>
      </c>
      <c r="CG581" s="3" t="n">
        <v>0</v>
      </c>
      <c r="CH581" s="3" t="n">
        <v>0</v>
      </c>
      <c r="CI581" s="3" t="n">
        <v>0</v>
      </c>
      <c r="CJ581" s="3" t="n">
        <v>0</v>
      </c>
      <c r="CK581" s="3" t="n">
        <v>0</v>
      </c>
      <c r="CL581" s="3" t="n">
        <v>0</v>
      </c>
      <c r="CM581" s="3" t="n">
        <v>0</v>
      </c>
      <c r="CN581" s="3" t="n">
        <v>0</v>
      </c>
      <c r="CO581" s="3" t="n">
        <v>0</v>
      </c>
      <c r="CP581" s="3" t="n">
        <v>0</v>
      </c>
      <c r="CQ581" s="3" t="n">
        <v>0</v>
      </c>
      <c r="CR581" s="3" t="n">
        <v>0</v>
      </c>
      <c r="CS581" s="3" t="n">
        <v>0</v>
      </c>
      <c r="CU581" s="20" t="inlineStr">
        <is>
          <t>egy.mit.dem.cst.ecy.6</t>
        </is>
      </c>
      <c r="CV581" s="3" t="n">
        <v>0</v>
      </c>
      <c r="CW581" s="3" t="n">
        <v>0</v>
      </c>
      <c r="CX581" s="3" t="n">
        <v>0</v>
      </c>
      <c r="CY581" s="3" t="n">
        <v>0</v>
      </c>
      <c r="CZ581" s="3" t="n">
        <v>0</v>
      </c>
      <c r="DA581" s="3" t="n">
        <v>0</v>
      </c>
      <c r="DB581" s="3" t="n">
        <v>0</v>
      </c>
      <c r="DC581" s="3" t="n">
        <v>0</v>
      </c>
      <c r="DD581" s="3" t="n">
        <v>0</v>
      </c>
      <c r="DE581" s="3" t="n">
        <v>0</v>
      </c>
      <c r="DF581" s="3" t="n">
        <v>0</v>
      </c>
      <c r="DG581" s="3" t="n">
        <v>0</v>
      </c>
      <c r="DH581" s="3" t="n">
        <v>0</v>
      </c>
      <c r="DI581" s="3" t="n">
        <v>0</v>
      </c>
      <c r="DJ581" s="3" t="n">
        <v>0</v>
      </c>
      <c r="DK581" s="3" t="n">
        <v>0</v>
      </c>
      <c r="DL581" s="3" t="n">
        <v>0</v>
      </c>
      <c r="DM581" s="3" t="n">
        <v>0</v>
      </c>
      <c r="DN581" s="3" t="n">
        <v>0</v>
      </c>
      <c r="DO581" s="3" t="n">
        <v>0</v>
      </c>
    </row>
    <row r="582">
      <c r="A582" s="14" t="n"/>
      <c r="B582" s="3" t="inlineStr">
        <is>
          <t>mit</t>
        </is>
      </c>
      <c r="C582" s="19" t="n"/>
      <c r="H582" s="14" t="inlineStr">
        <is>
          <t>Electricity consumption, fuel transformation &amp; transportation, electricity, policy</t>
        </is>
      </c>
      <c r="I582" s="14" t="inlineStr">
        <is>
          <t>ktoe</t>
        </is>
      </c>
    </row>
    <row r="583">
      <c r="A583" s="19" t="inlineStr">
        <is>
          <t>mit.dem.oen.ecy</t>
        </is>
      </c>
      <c r="B583" s="3" t="inlineStr">
        <is>
          <t>mit</t>
        </is>
      </c>
      <c r="C583" s="19" t="inlineStr">
        <is>
          <t>mit.ener.nav.ecy.t</t>
        </is>
      </c>
      <c r="H583" s="3" t="inlineStr">
        <is>
          <t>Electricity demand | Other energy use | Electricity</t>
        </is>
      </c>
      <c r="I583" s="3" t="inlineStr">
        <is>
          <t>ktoe</t>
        </is>
      </c>
      <c r="K583" s="20" t="inlineStr">
        <is>
          <t>egy.mit.dem.oen.ecy.1</t>
        </is>
      </c>
      <c r="L583" s="3" t="n">
        <v>0</v>
      </c>
      <c r="M583" s="3" t="n">
        <v>0</v>
      </c>
      <c r="N583" s="3" t="n">
        <v>0</v>
      </c>
      <c r="O583" s="3" t="n">
        <v>0</v>
      </c>
      <c r="P583" s="3" t="n">
        <v>0</v>
      </c>
      <c r="Q583" s="3" t="n">
        <v>0</v>
      </c>
      <c r="R583" s="3" t="n">
        <v>0</v>
      </c>
      <c r="S583" s="3" t="n">
        <v>0</v>
      </c>
      <c r="T583" s="3" t="n">
        <v>0</v>
      </c>
      <c r="U583" s="3" t="n">
        <v>0</v>
      </c>
      <c r="V583" s="3" t="n">
        <v>0</v>
      </c>
      <c r="W583" s="3" t="n">
        <v>0</v>
      </c>
      <c r="X583" s="3" t="n">
        <v>0</v>
      </c>
      <c r="Y583" s="3" t="n">
        <v>0</v>
      </c>
      <c r="Z583" s="3" t="n">
        <v>0</v>
      </c>
      <c r="AA583" s="3" t="n">
        <v>0</v>
      </c>
      <c r="AB583" s="3" t="n">
        <v>0</v>
      </c>
      <c r="AC583" s="3" t="n">
        <v>0</v>
      </c>
      <c r="AD583" s="3" t="n">
        <v>0</v>
      </c>
      <c r="AE583" s="3" t="n">
        <v>0</v>
      </c>
      <c r="AG583" s="20" t="inlineStr">
        <is>
          <t>egy.mit.dem.oen.ecy.3</t>
        </is>
      </c>
      <c r="AH583" s="3" t="n">
        <v>0</v>
      </c>
      <c r="AI583" s="3" t="n">
        <v>0</v>
      </c>
      <c r="AJ583" s="3" t="n">
        <v>0</v>
      </c>
      <c r="AK583" s="3" t="n">
        <v>0</v>
      </c>
      <c r="AL583" s="3" t="n">
        <v>0</v>
      </c>
      <c r="AM583" s="3" t="n">
        <v>0</v>
      </c>
      <c r="AN583" s="3" t="n">
        <v>0</v>
      </c>
      <c r="AO583" s="3" t="n">
        <v>0</v>
      </c>
      <c r="AP583" s="3" t="n">
        <v>0</v>
      </c>
      <c r="AQ583" s="3" t="n">
        <v>0</v>
      </c>
      <c r="AR583" s="3" t="n">
        <v>0</v>
      </c>
      <c r="AS583" s="3" t="n">
        <v>0</v>
      </c>
      <c r="AT583" s="3" t="n">
        <v>0</v>
      </c>
      <c r="AU583" s="3" t="n">
        <v>0</v>
      </c>
      <c r="AV583" s="3" t="n">
        <v>0</v>
      </c>
      <c r="AW583" s="3" t="n">
        <v>0</v>
      </c>
      <c r="AX583" s="3" t="n">
        <v>0</v>
      </c>
      <c r="AY583" s="3" t="n">
        <v>0</v>
      </c>
      <c r="AZ583" s="3" t="n">
        <v>0</v>
      </c>
      <c r="BA583" s="3" t="n">
        <v>0</v>
      </c>
      <c r="BC583" s="20" t="inlineStr">
        <is>
          <t>egy.mit.dem.oen.ecy.4</t>
        </is>
      </c>
      <c r="BD583" s="3" t="n">
        <v>0</v>
      </c>
      <c r="BE583" s="3" t="n">
        <v>0</v>
      </c>
      <c r="BF583" s="3" t="n">
        <v>0</v>
      </c>
      <c r="BG583" s="3" t="n">
        <v>0</v>
      </c>
      <c r="BH583" s="3" t="n">
        <v>0</v>
      </c>
      <c r="BI583" s="3" t="n">
        <v>0</v>
      </c>
      <c r="BJ583" s="3" t="n">
        <v>0</v>
      </c>
      <c r="BK583" s="3" t="n">
        <v>0</v>
      </c>
      <c r="BL583" s="3" t="n">
        <v>0</v>
      </c>
      <c r="BM583" s="3" t="n">
        <v>0</v>
      </c>
      <c r="BN583" s="3" t="n">
        <v>0</v>
      </c>
      <c r="BO583" s="3" t="n">
        <v>0</v>
      </c>
      <c r="BP583" s="3" t="n">
        <v>0</v>
      </c>
      <c r="BQ583" s="3" t="n">
        <v>0</v>
      </c>
      <c r="BR583" s="3" t="n">
        <v>0</v>
      </c>
      <c r="BS583" s="3" t="n">
        <v>0</v>
      </c>
      <c r="BT583" s="3" t="n">
        <v>0</v>
      </c>
      <c r="BU583" s="3" t="n">
        <v>0</v>
      </c>
      <c r="BV583" s="3" t="n">
        <v>0</v>
      </c>
      <c r="BW583" s="3" t="n">
        <v>0</v>
      </c>
      <c r="BY583" s="20" t="inlineStr">
        <is>
          <t>egy.mit.dem.oen.ecy.5</t>
        </is>
      </c>
      <c r="BZ583" s="3" t="n">
        <v>0</v>
      </c>
      <c r="CA583" s="3" t="n">
        <v>0</v>
      </c>
      <c r="CB583" s="3" t="n">
        <v>0</v>
      </c>
      <c r="CC583" s="3" t="n">
        <v>0</v>
      </c>
      <c r="CD583" s="3" t="n">
        <v>0</v>
      </c>
      <c r="CE583" s="3" t="n">
        <v>0</v>
      </c>
      <c r="CF583" s="3" t="n">
        <v>0</v>
      </c>
      <c r="CG583" s="3" t="n">
        <v>0</v>
      </c>
      <c r="CH583" s="3" t="n">
        <v>0</v>
      </c>
      <c r="CI583" s="3" t="n">
        <v>0</v>
      </c>
      <c r="CJ583" s="3" t="n">
        <v>0</v>
      </c>
      <c r="CK583" s="3" t="n">
        <v>0</v>
      </c>
      <c r="CL583" s="3" t="n">
        <v>0</v>
      </c>
      <c r="CM583" s="3" t="n">
        <v>0</v>
      </c>
      <c r="CN583" s="3" t="n">
        <v>0</v>
      </c>
      <c r="CO583" s="3" t="n">
        <v>0</v>
      </c>
      <c r="CP583" s="3" t="n">
        <v>0</v>
      </c>
      <c r="CQ583" s="3" t="n">
        <v>0</v>
      </c>
      <c r="CR583" s="3" t="n">
        <v>0</v>
      </c>
      <c r="CS583" s="3" t="n">
        <v>0</v>
      </c>
      <c r="CU583" s="20" t="inlineStr">
        <is>
          <t>egy.mit.dem.oen.ecy.6</t>
        </is>
      </c>
      <c r="CV583" s="3" t="n">
        <v>0</v>
      </c>
      <c r="CW583" s="3" t="n">
        <v>0</v>
      </c>
      <c r="CX583" s="3" t="n">
        <v>0</v>
      </c>
      <c r="CY583" s="3" t="n">
        <v>0</v>
      </c>
      <c r="CZ583" s="3" t="n">
        <v>0</v>
      </c>
      <c r="DA583" s="3" t="n">
        <v>0</v>
      </c>
      <c r="DB583" s="3" t="n">
        <v>0</v>
      </c>
      <c r="DC583" s="3" t="n">
        <v>0</v>
      </c>
      <c r="DD583" s="3" t="n">
        <v>0</v>
      </c>
      <c r="DE583" s="3" t="n">
        <v>0</v>
      </c>
      <c r="DF583" s="3" t="n">
        <v>0</v>
      </c>
      <c r="DG583" s="3" t="n">
        <v>0</v>
      </c>
      <c r="DH583" s="3" t="n">
        <v>0</v>
      </c>
      <c r="DI583" s="3" t="n">
        <v>0</v>
      </c>
      <c r="DJ583" s="3" t="n">
        <v>0</v>
      </c>
      <c r="DK583" s="3" t="n">
        <v>0</v>
      </c>
      <c r="DL583" s="3" t="n">
        <v>0</v>
      </c>
      <c r="DM583" s="3" t="n">
        <v>0</v>
      </c>
      <c r="DN583" s="3" t="n">
        <v>0</v>
      </c>
      <c r="DO583" s="3" t="n">
        <v>0</v>
      </c>
    </row>
    <row r="584">
      <c r="A584" s="14" t="n"/>
      <c r="B584" s="3" t="inlineStr">
        <is>
          <t>mit</t>
        </is>
      </c>
      <c r="C584" s="19" t="inlineStr">
        <is>
          <t>mit.ener.srv.ecy.t</t>
        </is>
      </c>
      <c r="H584" s="14" t="inlineStr">
        <is>
          <t>Energy consumption, electricity, net exports</t>
        </is>
      </c>
      <c r="I584" s="14" t="inlineStr">
        <is>
          <t>ktoe</t>
        </is>
      </c>
    </row>
    <row r="585">
      <c r="A585" s="19" t="inlineStr">
        <is>
          <t>mit.ener.pow.all</t>
        </is>
      </c>
      <c r="B585" s="3" t="inlineStr">
        <is>
          <t>mit</t>
        </is>
      </c>
      <c r="C585" s="19" t="n"/>
      <c r="H585" s="3" t="inlineStr">
        <is>
          <t>Fuel use | Power | All fuels</t>
        </is>
      </c>
      <c r="I585" s="3" t="inlineStr">
        <is>
          <t>ktoe</t>
        </is>
      </c>
      <c r="K585" s="20" t="inlineStr">
        <is>
          <t>egy.mit.ener.pow.all.1</t>
        </is>
      </c>
      <c r="L585" s="23" t="n">
        <v>33221.07773901707</v>
      </c>
      <c r="M585" s="23" t="n">
        <v>31499.38159857838</v>
      </c>
      <c r="N585" s="23" t="n">
        <v>36237.00609881636</v>
      </c>
      <c r="O585" s="23" t="n">
        <v>40500.26165741318</v>
      </c>
      <c r="P585" s="23" t="n">
        <v>41638.29309451622</v>
      </c>
      <c r="Q585" s="23" t="n">
        <v>42401.97750065469</v>
      </c>
      <c r="R585" s="23" t="n">
        <v>43207.74418642589</v>
      </c>
      <c r="S585" s="23" t="n">
        <v>44060.7162451224</v>
      </c>
      <c r="T585" s="23" t="n">
        <v>44395.52690737382</v>
      </c>
      <c r="U585" s="23" t="n">
        <v>43913.11383022736</v>
      </c>
      <c r="V585" s="23" t="n">
        <v>43258.30322532591</v>
      </c>
      <c r="W585" s="23" t="n">
        <v>43846.62005107698</v>
      </c>
      <c r="X585" s="23" t="n">
        <v>44161.57781983173</v>
      </c>
      <c r="Y585" s="23" t="n">
        <v>44669.97148456919</v>
      </c>
      <c r="Z585" s="23" t="n">
        <v>45175.70092285622</v>
      </c>
      <c r="AA585" s="23" t="n">
        <v>45703.33743747905</v>
      </c>
      <c r="AB585" s="23" t="n">
        <v>46246.67859110396</v>
      </c>
      <c r="AC585" s="23" t="n">
        <v>46806.97560264784</v>
      </c>
      <c r="AD585" s="23" t="n">
        <v>47389.37315659761</v>
      </c>
      <c r="AE585" s="23" t="n">
        <v>47995.67563321994</v>
      </c>
      <c r="AG585" s="20" t="inlineStr">
        <is>
          <t>egy.mit.ener.pow.all.3</t>
        </is>
      </c>
      <c r="AH585" s="23" t="n">
        <v>33221.07773901707</v>
      </c>
      <c r="AI585" s="23" t="n">
        <v>31476.91408322132</v>
      </c>
      <c r="AJ585" s="23" t="n">
        <v>36215.35379479685</v>
      </c>
      <c r="AK585" s="23" t="n">
        <v>40479.39690383746</v>
      </c>
      <c r="AL585" s="23" t="n">
        <v>41617.40655544114</v>
      </c>
      <c r="AM585" s="23" t="n">
        <v>42380.56218924066</v>
      </c>
      <c r="AN585" s="23" t="n">
        <v>38876.2922805238</v>
      </c>
      <c r="AO585" s="23" t="n">
        <v>41099.24592330671</v>
      </c>
      <c r="AP585" s="23" t="n">
        <v>41026.00897492282</v>
      </c>
      <c r="AQ585" s="23" t="n">
        <v>41143.90541449031</v>
      </c>
      <c r="AR585" s="23" t="n">
        <v>40526.39219480885</v>
      </c>
      <c r="AS585" s="23" t="n">
        <v>41371.85077604461</v>
      </c>
      <c r="AT585" s="23" t="n">
        <v>41596.08102958402</v>
      </c>
      <c r="AU585" s="23" t="n">
        <v>42170.69843154284</v>
      </c>
      <c r="AV585" s="23" t="n">
        <v>42744.94925991196</v>
      </c>
      <c r="AW585" s="23" t="n">
        <v>43360.3444211355</v>
      </c>
      <c r="AX585" s="23" t="n">
        <v>43954.53413070634</v>
      </c>
      <c r="AY585" s="23" t="n">
        <v>44555.98975646851</v>
      </c>
      <c r="AZ585" s="23" t="n">
        <v>45134.16889730268</v>
      </c>
      <c r="BA585" s="23" t="n">
        <v>45728.04731306756</v>
      </c>
      <c r="BC585" s="20" t="inlineStr">
        <is>
          <t>egy.mit.ener.pow.all.4</t>
        </is>
      </c>
      <c r="BD585" s="23" t="n">
        <v>33221.07773901707</v>
      </c>
      <c r="BE585" s="23" t="n">
        <v>31421.37070828969</v>
      </c>
      <c r="BF585" s="23" t="n">
        <v>36161.82743811407</v>
      </c>
      <c r="BG585" s="23" t="n">
        <v>40427.81902938319</v>
      </c>
      <c r="BH585" s="23" t="n">
        <v>41565.88523550293</v>
      </c>
      <c r="BI585" s="23" t="n">
        <v>42327.82929627893</v>
      </c>
      <c r="BJ585" s="23" t="n">
        <v>40839.58823396641</v>
      </c>
      <c r="BK585" s="23" t="n">
        <v>38495.7052548191</v>
      </c>
      <c r="BL585" s="23" t="n">
        <v>37539.10757655643</v>
      </c>
      <c r="BM585" s="23" t="n">
        <v>37214.83400097556</v>
      </c>
      <c r="BN585" s="23" t="n">
        <v>35384.69200713326</v>
      </c>
      <c r="BO585" s="23" t="n">
        <v>34908.28258288027</v>
      </c>
      <c r="BP585" s="23" t="n">
        <v>33474.84846009384</v>
      </c>
      <c r="BQ585" s="23" t="n">
        <v>32788.74415995606</v>
      </c>
      <c r="BR585" s="23" t="n">
        <v>31556.15154662591</v>
      </c>
      <c r="BS585" s="23" t="n">
        <v>30907.18864373136</v>
      </c>
      <c r="BT585" s="23" t="n">
        <v>29698.46109761022</v>
      </c>
      <c r="BU585" s="23" t="n">
        <v>29168.53360718378</v>
      </c>
      <c r="BV585" s="23" t="n">
        <v>27870.01383356789</v>
      </c>
      <c r="BW585" s="23" t="n">
        <v>27588.53554921525</v>
      </c>
      <c r="BY585" s="20" t="inlineStr">
        <is>
          <t>egy.mit.ener.pow.all.5</t>
        </is>
      </c>
      <c r="BZ585" s="23" t="n">
        <v>33221.07773901707</v>
      </c>
      <c r="CA585" s="23" t="n">
        <v>31367.13382755478</v>
      </c>
      <c r="CB585" s="23" t="n">
        <v>36109.49358751463</v>
      </c>
      <c r="CC585" s="23" t="n">
        <v>40377.32422064141</v>
      </c>
      <c r="CD585" s="23" t="n">
        <v>41515.29641965424</v>
      </c>
      <c r="CE585" s="23" t="n">
        <v>42275.91591322113</v>
      </c>
      <c r="CF585" s="23" t="n">
        <v>43080.38975062277</v>
      </c>
      <c r="CG585" s="23" t="n">
        <v>43954.85143742462</v>
      </c>
      <c r="CH585" s="23" t="n">
        <v>44228.68294891078</v>
      </c>
      <c r="CI585" s="23" t="n">
        <v>43288.30695025861</v>
      </c>
      <c r="CJ585" s="23" t="n">
        <v>41659.07385618866</v>
      </c>
      <c r="CK585" s="23" t="n">
        <v>41777.69633571465</v>
      </c>
      <c r="CL585" s="23" t="n">
        <v>39996.24178012698</v>
      </c>
      <c r="CM585" s="23" t="n">
        <v>38750.55109447907</v>
      </c>
      <c r="CN585" s="23" t="n">
        <v>37626.98441650966</v>
      </c>
      <c r="CO585" s="23" t="n">
        <v>36226.59401748236</v>
      </c>
      <c r="CP585" s="23" t="n">
        <v>35048.79373410497</v>
      </c>
      <c r="CQ585" s="23" t="n">
        <v>33957.07601713616</v>
      </c>
      <c r="CR585" s="23" t="n">
        <v>32788.12028194657</v>
      </c>
      <c r="CS585" s="23" t="n">
        <v>31789.53524013857</v>
      </c>
      <c r="CU585" s="20" t="inlineStr">
        <is>
          <t>egy.mit.ener.pow.all.6</t>
        </is>
      </c>
      <c r="CV585" s="23" t="n">
        <v>33221.07773901707</v>
      </c>
      <c r="CW585" s="23" t="n">
        <v>31445.69518481</v>
      </c>
      <c r="CX585" s="23" t="n">
        <v>36185.26830879641</v>
      </c>
      <c r="CY585" s="23" t="n">
        <v>40450.40633422525</v>
      </c>
      <c r="CZ585" s="23" t="n">
        <v>41588.42918119013</v>
      </c>
      <c r="DA585" s="23" t="n">
        <v>42350.88770906346</v>
      </c>
      <c r="DB585" s="23" t="n">
        <v>34038.15209856459</v>
      </c>
      <c r="DC585" s="23" t="n">
        <v>36256.09342846463</v>
      </c>
      <c r="DD585" s="23" t="n">
        <v>35731.61650343244</v>
      </c>
      <c r="DE585" s="23" t="n">
        <v>37528.92071832877</v>
      </c>
      <c r="DF585" s="23" t="n">
        <v>35750.86492072392</v>
      </c>
      <c r="DG585" s="23" t="n">
        <v>35921.08183767625</v>
      </c>
      <c r="DH585" s="23" t="n">
        <v>34730.87953317781</v>
      </c>
      <c r="DI585" s="23" t="n">
        <v>34318.49654315769</v>
      </c>
      <c r="DJ585" s="23" t="n">
        <v>33555.16929437461</v>
      </c>
      <c r="DK585" s="23" t="n">
        <v>33187.70349227965</v>
      </c>
      <c r="DL585" s="23" t="n">
        <v>32495.81551106988</v>
      </c>
      <c r="DM585" s="23" t="n">
        <v>32167.57841431376</v>
      </c>
      <c r="DN585" s="23" t="n">
        <v>31559.00338888434</v>
      </c>
      <c r="DO585" s="23" t="n">
        <v>31280.88427418373</v>
      </c>
    </row>
    <row r="586">
      <c r="A586" s="19" t="inlineStr">
        <is>
          <t>mit.pe.pow.coa</t>
        </is>
      </c>
      <c r="B586" s="3" t="inlineStr">
        <is>
          <t>mit</t>
        </is>
      </c>
      <c r="C586" s="19" t="n"/>
      <c r="H586" s="3" t="inlineStr">
        <is>
          <t>Fuel use (primary energy) of power generation | Power | Coal</t>
        </is>
      </c>
      <c r="I586" s="3" t="inlineStr">
        <is>
          <t>ktoe</t>
        </is>
      </c>
      <c r="K586" s="20" t="inlineStr">
        <is>
          <t>egy.mit.pe.pow.coa.1</t>
        </is>
      </c>
      <c r="L586" s="3" t="n">
        <v>0</v>
      </c>
      <c r="M586" s="3" t="n">
        <v>0</v>
      </c>
      <c r="N586" s="3" t="n">
        <v>0</v>
      </c>
      <c r="O586" s="3" t="n">
        <v>0</v>
      </c>
      <c r="P586" s="3" t="n">
        <v>0</v>
      </c>
      <c r="Q586" s="3" t="n">
        <v>0</v>
      </c>
      <c r="R586" s="3" t="n">
        <v>0</v>
      </c>
      <c r="S586" s="3" t="n">
        <v>0</v>
      </c>
      <c r="T586" s="3" t="n">
        <v>0</v>
      </c>
      <c r="U586" s="3" t="n">
        <v>0</v>
      </c>
      <c r="V586" s="3" t="n">
        <v>0</v>
      </c>
      <c r="W586" s="3" t="n">
        <v>0</v>
      </c>
      <c r="X586" s="3" t="n">
        <v>0</v>
      </c>
      <c r="Y586" s="3" t="n">
        <v>0</v>
      </c>
      <c r="Z586" s="3" t="n">
        <v>0</v>
      </c>
      <c r="AA586" s="3" t="n">
        <v>0</v>
      </c>
      <c r="AB586" s="3" t="n">
        <v>0</v>
      </c>
      <c r="AC586" s="3" t="n">
        <v>0</v>
      </c>
      <c r="AD586" s="3" t="n">
        <v>0</v>
      </c>
      <c r="AE586" s="3" t="n">
        <v>0</v>
      </c>
      <c r="AG586" s="20" t="inlineStr">
        <is>
          <t>egy.mit.pe.pow.coa.3</t>
        </is>
      </c>
      <c r="AH586" s="3" t="n">
        <v>0</v>
      </c>
      <c r="AI586" s="3" t="n">
        <v>0</v>
      </c>
      <c r="AJ586" s="3" t="n">
        <v>0</v>
      </c>
      <c r="AK586" s="3" t="n">
        <v>0</v>
      </c>
      <c r="AL586" s="3" t="n">
        <v>0</v>
      </c>
      <c r="AM586" s="3" t="n">
        <v>0</v>
      </c>
      <c r="AN586" s="3" t="n">
        <v>0</v>
      </c>
      <c r="AO586" s="3" t="n">
        <v>0</v>
      </c>
      <c r="AP586" s="3" t="n">
        <v>0</v>
      </c>
      <c r="AQ586" s="3" t="n">
        <v>0</v>
      </c>
      <c r="AR586" s="3" t="n">
        <v>0</v>
      </c>
      <c r="AS586" s="3" t="n">
        <v>0</v>
      </c>
      <c r="AT586" s="3" t="n">
        <v>0</v>
      </c>
      <c r="AU586" s="3" t="n">
        <v>0</v>
      </c>
      <c r="AV586" s="3" t="n">
        <v>0</v>
      </c>
      <c r="AW586" s="3" t="n">
        <v>0</v>
      </c>
      <c r="AX586" s="3" t="n">
        <v>0</v>
      </c>
      <c r="AY586" s="3" t="n">
        <v>0</v>
      </c>
      <c r="AZ586" s="3" t="n">
        <v>0</v>
      </c>
      <c r="BA586" s="3" t="n">
        <v>0</v>
      </c>
      <c r="BC586" s="20" t="inlineStr">
        <is>
          <t>egy.mit.pe.pow.coa.4</t>
        </is>
      </c>
      <c r="BD586" s="3" t="n">
        <v>0</v>
      </c>
      <c r="BE586" s="3" t="n">
        <v>0</v>
      </c>
      <c r="BF586" s="3" t="n">
        <v>0</v>
      </c>
      <c r="BG586" s="3" t="n">
        <v>0</v>
      </c>
      <c r="BH586" s="3" t="n">
        <v>0</v>
      </c>
      <c r="BI586" s="3" t="n">
        <v>0</v>
      </c>
      <c r="BJ586" s="3" t="n">
        <v>0</v>
      </c>
      <c r="BK586" s="3" t="n">
        <v>0</v>
      </c>
      <c r="BL586" s="3" t="n">
        <v>0</v>
      </c>
      <c r="BM586" s="3" t="n">
        <v>0</v>
      </c>
      <c r="BN586" s="3" t="n">
        <v>0</v>
      </c>
      <c r="BO586" s="3" t="n">
        <v>0</v>
      </c>
      <c r="BP586" s="3" t="n">
        <v>0</v>
      </c>
      <c r="BQ586" s="3" t="n">
        <v>0</v>
      </c>
      <c r="BR586" s="3" t="n">
        <v>0</v>
      </c>
      <c r="BS586" s="3" t="n">
        <v>0</v>
      </c>
      <c r="BT586" s="3" t="n">
        <v>0</v>
      </c>
      <c r="BU586" s="3" t="n">
        <v>0</v>
      </c>
      <c r="BV586" s="3" t="n">
        <v>0</v>
      </c>
      <c r="BW586" s="3" t="n">
        <v>0</v>
      </c>
      <c r="BY586" s="20" t="inlineStr">
        <is>
          <t>egy.mit.pe.pow.coa.5</t>
        </is>
      </c>
      <c r="BZ586" s="3" t="n">
        <v>0</v>
      </c>
      <c r="CA586" s="3" t="n">
        <v>0</v>
      </c>
      <c r="CB586" s="3" t="n">
        <v>0</v>
      </c>
      <c r="CC586" s="3" t="n">
        <v>0</v>
      </c>
      <c r="CD586" s="3" t="n">
        <v>0</v>
      </c>
      <c r="CE586" s="3" t="n">
        <v>0</v>
      </c>
      <c r="CF586" s="3" t="n">
        <v>0</v>
      </c>
      <c r="CG586" s="3" t="n">
        <v>0</v>
      </c>
      <c r="CH586" s="3" t="n">
        <v>0</v>
      </c>
      <c r="CI586" s="3" t="n">
        <v>0</v>
      </c>
      <c r="CJ586" s="3" t="n">
        <v>0</v>
      </c>
      <c r="CK586" s="3" t="n">
        <v>0</v>
      </c>
      <c r="CL586" s="3" t="n">
        <v>0</v>
      </c>
      <c r="CM586" s="3" t="n">
        <v>0</v>
      </c>
      <c r="CN586" s="3" t="n">
        <v>0</v>
      </c>
      <c r="CO586" s="3" t="n">
        <v>0</v>
      </c>
      <c r="CP586" s="3" t="n">
        <v>0</v>
      </c>
      <c r="CQ586" s="3" t="n">
        <v>0</v>
      </c>
      <c r="CR586" s="3" t="n">
        <v>0</v>
      </c>
      <c r="CS586" s="3" t="n">
        <v>0</v>
      </c>
      <c r="CU586" s="20" t="inlineStr">
        <is>
          <t>egy.mit.pe.pow.coa.6</t>
        </is>
      </c>
      <c r="CV586" s="3" t="n">
        <v>0</v>
      </c>
      <c r="CW586" s="3" t="n">
        <v>0</v>
      </c>
      <c r="CX586" s="3" t="n">
        <v>0</v>
      </c>
      <c r="CY586" s="3" t="n">
        <v>0</v>
      </c>
      <c r="CZ586" s="3" t="n">
        <v>0</v>
      </c>
      <c r="DA586" s="3" t="n">
        <v>0</v>
      </c>
      <c r="DB586" s="3" t="n">
        <v>0</v>
      </c>
      <c r="DC586" s="3" t="n">
        <v>0</v>
      </c>
      <c r="DD586" s="3" t="n">
        <v>0</v>
      </c>
      <c r="DE586" s="3" t="n">
        <v>0</v>
      </c>
      <c r="DF586" s="3" t="n">
        <v>0</v>
      </c>
      <c r="DG586" s="3" t="n">
        <v>0</v>
      </c>
      <c r="DH586" s="3" t="n">
        <v>0</v>
      </c>
      <c r="DI586" s="3" t="n">
        <v>0</v>
      </c>
      <c r="DJ586" s="3" t="n">
        <v>0</v>
      </c>
      <c r="DK586" s="3" t="n">
        <v>0</v>
      </c>
      <c r="DL586" s="3" t="n">
        <v>0</v>
      </c>
      <c r="DM586" s="3" t="n">
        <v>0</v>
      </c>
      <c r="DN586" s="3" t="n">
        <v>0</v>
      </c>
      <c r="DO586" s="3" t="n">
        <v>0</v>
      </c>
    </row>
    <row r="587">
      <c r="A587" s="19" t="inlineStr">
        <is>
          <t>mit.pe.pow.nga</t>
        </is>
      </c>
      <c r="B587" s="3" t="inlineStr">
        <is>
          <t>mit</t>
        </is>
      </c>
      <c r="C587" s="19" t="n"/>
      <c r="H587" s="3" t="inlineStr">
        <is>
          <t>Fuel use (primary energy) of power generation | Power | Natural gas</t>
        </is>
      </c>
      <c r="I587" s="3" t="inlineStr">
        <is>
          <t>ktoe</t>
        </is>
      </c>
      <c r="K587" s="20" t="inlineStr">
        <is>
          <t>egy.mit.pe.pow.nga.1</t>
        </is>
      </c>
      <c r="L587" s="3" t="n">
        <v>28567.57143804305</v>
      </c>
      <c r="M587" s="3" t="n">
        <v>26971.08611516793</v>
      </c>
      <c r="N587" s="3" t="n">
        <v>31838.0904863605</v>
      </c>
      <c r="O587" s="3" t="n">
        <v>35182.43462184446</v>
      </c>
      <c r="P587" s="3" t="n">
        <v>35344.98014726717</v>
      </c>
      <c r="Q587" s="3" t="n">
        <v>35071.91308486616</v>
      </c>
      <c r="R587" s="3" t="n">
        <v>34774.62257909709</v>
      </c>
      <c r="S587" s="3" t="n">
        <v>34452.81555454002</v>
      </c>
      <c r="T587" s="3" t="n">
        <v>33535.3041140038</v>
      </c>
      <c r="U587" s="3" t="n">
        <v>33351.02483524334</v>
      </c>
      <c r="V587" s="3" t="n">
        <v>32983.62401296655</v>
      </c>
      <c r="W587" s="3" t="n">
        <v>33851.05831465081</v>
      </c>
      <c r="X587" s="3" t="n">
        <v>34426.47485757964</v>
      </c>
      <c r="Y587" s="3" t="n">
        <v>35193.15919338621</v>
      </c>
      <c r="Z587" s="3" t="n">
        <v>35949.26816907199</v>
      </c>
      <c r="AA587" s="3" t="n">
        <v>36720.68617339574</v>
      </c>
      <c r="AB587" s="3" t="n">
        <v>37501.32320130833</v>
      </c>
      <c r="AC587" s="3" t="n">
        <v>38292.66537681581</v>
      </c>
      <c r="AD587" s="3" t="n">
        <v>39100.20168150486</v>
      </c>
      <c r="AE587" s="3" t="n">
        <v>39925.96248980645</v>
      </c>
      <c r="AG587" s="20" t="inlineStr">
        <is>
          <t>egy.mit.pe.pow.nga.3</t>
        </is>
      </c>
      <c r="AH587" s="3" t="n">
        <v>28567.57143804305</v>
      </c>
      <c r="AI587" s="3" t="n">
        <v>26949.96053140978</v>
      </c>
      <c r="AJ587" s="3" t="n">
        <v>31817.74177303707</v>
      </c>
      <c r="AK587" s="3" t="n">
        <v>35162.83838583173</v>
      </c>
      <c r="AL587" s="3" t="n">
        <v>35325.33030813907</v>
      </c>
      <c r="AM587" s="3" t="n">
        <v>35051.70590890895</v>
      </c>
      <c r="AN587" s="3" t="n">
        <v>30444.35350507397</v>
      </c>
      <c r="AO587" s="3" t="n">
        <v>32908.2196842983</v>
      </c>
      <c r="AP587" s="3" t="n">
        <v>31697.92145686327</v>
      </c>
      <c r="AQ587" s="3" t="n">
        <v>32075.24023504426</v>
      </c>
      <c r="AR587" s="3" t="n">
        <v>31704.88213390741</v>
      </c>
      <c r="AS587" s="3" t="n">
        <v>32795.28846660404</v>
      </c>
      <c r="AT587" s="3" t="n">
        <v>33250.34597909346</v>
      </c>
      <c r="AU587" s="3" t="n">
        <v>34052.32166156862</v>
      </c>
      <c r="AV587" s="3" t="n">
        <v>34846.8510596515</v>
      </c>
      <c r="AW587" s="3" t="n">
        <v>35676.48641821073</v>
      </c>
      <c r="AX587" s="3" t="n">
        <v>36478.98482350282</v>
      </c>
      <c r="AY587" s="3" t="n">
        <v>37283.26279557415</v>
      </c>
      <c r="AZ587" s="3" t="n">
        <v>38058.86618713925</v>
      </c>
      <c r="BA587" s="3" t="n">
        <v>38845.08848200849</v>
      </c>
      <c r="BC587" s="20" t="inlineStr">
        <is>
          <t>egy.mit.pe.pow.nga.4</t>
        </is>
      </c>
      <c r="BD587" s="3" t="n">
        <v>28567.57143804305</v>
      </c>
      <c r="BE587" s="3" t="n">
        <v>26897.08825838168</v>
      </c>
      <c r="BF587" s="3" t="n">
        <v>31766.81020106058</v>
      </c>
      <c r="BG587" s="3" t="n">
        <v>35113.78648798796</v>
      </c>
      <c r="BH587" s="3" t="n">
        <v>35276.27364956096</v>
      </c>
      <c r="BI587" s="3" t="n">
        <v>35001.38386243633</v>
      </c>
      <c r="BJ587" s="3" t="n">
        <v>32410.01402262253</v>
      </c>
      <c r="BK587" s="3" t="n">
        <v>30304.29254394606</v>
      </c>
      <c r="BL587" s="3" t="n">
        <v>29581.30434212555</v>
      </c>
      <c r="BM587" s="3" t="n">
        <v>29484.12568902007</v>
      </c>
      <c r="BN587" s="3" t="n">
        <v>27874.20928196369</v>
      </c>
      <c r="BO587" s="3" t="n">
        <v>27612.01273643179</v>
      </c>
      <c r="BP587" s="3" t="n">
        <v>26386.52924955965</v>
      </c>
      <c r="BQ587" s="3" t="n">
        <v>25902.56914820201</v>
      </c>
      <c r="BR587" s="3" t="n">
        <v>24866.32483480482</v>
      </c>
      <c r="BS587" s="3" t="n">
        <v>24408.19877995916</v>
      </c>
      <c r="BT587" s="3" t="n">
        <v>23384.86708334211</v>
      </c>
      <c r="BU587" s="3" t="n">
        <v>23035.12202168729</v>
      </c>
      <c r="BV587" s="3" t="n">
        <v>21911.65194036801</v>
      </c>
      <c r="BW587" s="3" t="n">
        <v>21800.28977669052</v>
      </c>
      <c r="BY587" s="20" t="inlineStr">
        <is>
          <t>egy.mit.pe.pow.nga.5</t>
        </is>
      </c>
      <c r="BZ587" s="3" t="n">
        <v>28567.57143804305</v>
      </c>
      <c r="CA587" s="3" t="n">
        <v>26845.934912675</v>
      </c>
      <c r="CB587" s="3" t="n">
        <v>31717.47178448856</v>
      </c>
      <c r="CC587" s="3" t="n">
        <v>35066.20481156232</v>
      </c>
      <c r="CD587" s="3" t="n">
        <v>35228.5214216132</v>
      </c>
      <c r="CE587" s="3" t="n">
        <v>34952.23625374667</v>
      </c>
      <c r="CF587" s="3" t="n">
        <v>34653.51622062574</v>
      </c>
      <c r="CG587" s="3" t="n">
        <v>34353.07874119285</v>
      </c>
      <c r="CH587" s="3" t="n">
        <v>33374.48479955666</v>
      </c>
      <c r="CI587" s="3" t="n">
        <v>32744.22874758181</v>
      </c>
      <c r="CJ587" s="3" t="n">
        <v>31416.25503071617</v>
      </c>
      <c r="CK587" s="3" t="n">
        <v>31827.52947668411</v>
      </c>
      <c r="CL587" s="3" t="n">
        <v>30330.36540278302</v>
      </c>
      <c r="CM587" s="3" t="n">
        <v>29360.84261363065</v>
      </c>
      <c r="CN587" s="3" t="n">
        <v>28505.55332082835</v>
      </c>
      <c r="CO587" s="3" t="n">
        <v>27365.77523882051</v>
      </c>
      <c r="CP587" s="3" t="n">
        <v>26441.14120626203</v>
      </c>
      <c r="CQ587" s="3" t="n">
        <v>25595.35641866017</v>
      </c>
      <c r="CR587" s="3" t="n">
        <v>24665.30695771274</v>
      </c>
      <c r="CS587" s="3" t="n">
        <v>23898.80229659714</v>
      </c>
      <c r="CU587" s="20" t="inlineStr">
        <is>
          <t>egy.mit.pe.pow.nga.6</t>
        </is>
      </c>
      <c r="CV587" s="3" t="n">
        <v>28567.57143804305</v>
      </c>
      <c r="CW587" s="3" t="n">
        <v>26920.3504336752</v>
      </c>
      <c r="CX587" s="3" t="n">
        <v>31789.21912197975</v>
      </c>
      <c r="CY587" s="3" t="n">
        <v>35135.36900068737</v>
      </c>
      <c r="CZ587" s="3" t="n">
        <v>35297.83677166852</v>
      </c>
      <c r="DA587" s="3" t="n">
        <v>35023.48222561174</v>
      </c>
      <c r="DB587" s="3" t="n">
        <v>25607.63540079011</v>
      </c>
      <c r="DC587" s="3" t="n">
        <v>28066.44863634085</v>
      </c>
      <c r="DD587" s="3" t="n">
        <v>27773.1106889893</v>
      </c>
      <c r="DE587" s="3" t="n">
        <v>29796.91650345568</v>
      </c>
      <c r="DF587" s="3" t="n">
        <v>28234.02441949039</v>
      </c>
      <c r="DG587" s="3" t="n">
        <v>28615.12336185454</v>
      </c>
      <c r="DH587" s="3" t="n">
        <v>27627.65373234648</v>
      </c>
      <c r="DI587" s="3" t="n">
        <v>27412.91959910862</v>
      </c>
      <c r="DJ587" s="3" t="n">
        <v>26841.23598563121</v>
      </c>
      <c r="DK587" s="3" t="n">
        <v>26660.35248688798</v>
      </c>
      <c r="DL587" s="3" t="n">
        <v>26149.6605336759</v>
      </c>
      <c r="DM587" s="3" t="n">
        <v>25997.96981360602</v>
      </c>
      <c r="DN587" s="3" t="n">
        <v>25561.0003675826</v>
      </c>
      <c r="DO587" s="3" t="n">
        <v>25450.09406409854</v>
      </c>
    </row>
    <row r="588">
      <c r="A588" s="19" t="inlineStr">
        <is>
          <t>mit.pe.pow.oop</t>
        </is>
      </c>
      <c r="B588" s="3" t="inlineStr">
        <is>
          <t>mit</t>
        </is>
      </c>
      <c r="C588" s="19" t="n"/>
      <c r="H588" s="3" t="inlineStr">
        <is>
          <t>Fuel use (primary energy) of power generation | Power | Other oil products</t>
        </is>
      </c>
      <c r="I588" s="3" t="inlineStr">
        <is>
          <t>ktoe</t>
        </is>
      </c>
      <c r="K588" s="20" t="inlineStr">
        <is>
          <t>egy.mit.pe.pow.oop.1</t>
        </is>
      </c>
      <c r="L588" s="3" t="n">
        <v>4653.506300974022</v>
      </c>
      <c r="M588" s="3" t="n">
        <v>4528.295483410443</v>
      </c>
      <c r="N588" s="3" t="n">
        <v>4398.915612455859</v>
      </c>
      <c r="O588" s="3" t="n">
        <v>5317.827035568718</v>
      </c>
      <c r="P588" s="3" t="n">
        <v>6293.312947249052</v>
      </c>
      <c r="Q588" s="3" t="n">
        <v>7330.064415788531</v>
      </c>
      <c r="R588" s="3" t="n">
        <v>8433.121607328794</v>
      </c>
      <c r="S588" s="3" t="n">
        <v>9607.900690582379</v>
      </c>
      <c r="T588" s="3" t="n">
        <v>10860.22279337002</v>
      </c>
      <c r="U588" s="3" t="n">
        <v>10562.08899498402</v>
      </c>
      <c r="V588" s="3" t="n">
        <v>10274.67921235936</v>
      </c>
      <c r="W588" s="3" t="n">
        <v>9995.561736426163</v>
      </c>
      <c r="X588" s="3" t="n">
        <v>9735.102962252093</v>
      </c>
      <c r="Y588" s="3" t="n">
        <v>9476.812291182978</v>
      </c>
      <c r="Z588" s="3" t="n">
        <v>9226.432753784229</v>
      </c>
      <c r="AA588" s="3" t="n">
        <v>8982.651264083308</v>
      </c>
      <c r="AB588" s="3" t="n">
        <v>8745.355389795634</v>
      </c>
      <c r="AC588" s="3" t="n">
        <v>8514.310225832032</v>
      </c>
      <c r="AD588" s="3" t="n">
        <v>8289.171475092748</v>
      </c>
      <c r="AE588" s="3" t="n">
        <v>8069.713143413497</v>
      </c>
      <c r="AG588" s="20" t="inlineStr">
        <is>
          <t>egy.mit.pe.pow.oop.3</t>
        </is>
      </c>
      <c r="AH588" s="3" t="n">
        <v>4653.506300974022</v>
      </c>
      <c r="AI588" s="3" t="n">
        <v>4526.953551811539</v>
      </c>
      <c r="AJ588" s="3" t="n">
        <v>4397.612021759781</v>
      </c>
      <c r="AK588" s="3" t="n">
        <v>5316.558518005721</v>
      </c>
      <c r="AL588" s="3" t="n">
        <v>6292.076247302075</v>
      </c>
      <c r="AM588" s="3" t="n">
        <v>7328.856280331722</v>
      </c>
      <c r="AN588" s="3" t="n">
        <v>8431.938775449835</v>
      </c>
      <c r="AO588" s="3" t="n">
        <v>8191.026239008412</v>
      </c>
      <c r="AP588" s="3" t="n">
        <v>9328.087518059549</v>
      </c>
      <c r="AQ588" s="3" t="n">
        <v>9068.665179446054</v>
      </c>
      <c r="AR588" s="3" t="n">
        <v>8821.510060901439</v>
      </c>
      <c r="AS588" s="3" t="n">
        <v>8576.562309440566</v>
      </c>
      <c r="AT588" s="3" t="n">
        <v>8345.735050490563</v>
      </c>
      <c r="AU588" s="3" t="n">
        <v>8118.376769974227</v>
      </c>
      <c r="AV588" s="3" t="n">
        <v>7898.098200260463</v>
      </c>
      <c r="AW588" s="3" t="n">
        <v>7683.858002924769</v>
      </c>
      <c r="AX588" s="3" t="n">
        <v>7475.549307203519</v>
      </c>
      <c r="AY588" s="3" t="n">
        <v>7272.72696089436</v>
      </c>
      <c r="AZ588" s="3" t="n">
        <v>7075.302710163435</v>
      </c>
      <c r="BA588" s="3" t="n">
        <v>6882.958831059067</v>
      </c>
      <c r="BC588" s="20" t="inlineStr">
        <is>
          <t>egy.mit.pe.pow.oop.4</t>
        </is>
      </c>
      <c r="BD588" s="3" t="n">
        <v>4653.506300974022</v>
      </c>
      <c r="BE588" s="3" t="n">
        <v>4524.282449908012</v>
      </c>
      <c r="BF588" s="3" t="n">
        <v>4395.017237053497</v>
      </c>
      <c r="BG588" s="3" t="n">
        <v>5314.032541395226</v>
      </c>
      <c r="BH588" s="3" t="n">
        <v>6289.611585941975</v>
      </c>
      <c r="BI588" s="3" t="n">
        <v>7326.445433842595</v>
      </c>
      <c r="BJ588" s="3" t="n">
        <v>8429.574211343881</v>
      </c>
      <c r="BK588" s="3" t="n">
        <v>8191.412710873039</v>
      </c>
      <c r="BL588" s="3" t="n">
        <v>7957.80323443088</v>
      </c>
      <c r="BM588" s="3" t="n">
        <v>7730.708311955488</v>
      </c>
      <c r="BN588" s="3" t="n">
        <v>7510.482725169574</v>
      </c>
      <c r="BO588" s="3" t="n">
        <v>7296.269846448481</v>
      </c>
      <c r="BP588" s="3" t="n">
        <v>7088.319210534191</v>
      </c>
      <c r="BQ588" s="3" t="n">
        <v>6886.175011754042</v>
      </c>
      <c r="BR588" s="3" t="n">
        <v>6689.826711821089</v>
      </c>
      <c r="BS588" s="3" t="n">
        <v>6498.989863772197</v>
      </c>
      <c r="BT588" s="3" t="n">
        <v>6313.594014268109</v>
      </c>
      <c r="BU588" s="3" t="n">
        <v>6133.411585496492</v>
      </c>
      <c r="BV588" s="3" t="n">
        <v>5958.361893199877</v>
      </c>
      <c r="BW588" s="3" t="n">
        <v>5788.245772524725</v>
      </c>
      <c r="BY588" s="20" t="inlineStr">
        <is>
          <t>egy.mit.pe.pow.oop.5</t>
        </is>
      </c>
      <c r="BZ588" s="3" t="n">
        <v>4653.506300974022</v>
      </c>
      <c r="CA588" s="3" t="n">
        <v>4521.198914879778</v>
      </c>
      <c r="CB588" s="3" t="n">
        <v>4392.021803026069</v>
      </c>
      <c r="CC588" s="3" t="n">
        <v>5311.119409079087</v>
      </c>
      <c r="CD588" s="3" t="n">
        <v>6286.774998041035</v>
      </c>
      <c r="CE588" s="3" t="n">
        <v>7323.679659474457</v>
      </c>
      <c r="CF588" s="3" t="n">
        <v>8426.873529997027</v>
      </c>
      <c r="CG588" s="3" t="n">
        <v>9601.772696231767</v>
      </c>
      <c r="CH588" s="3" t="n">
        <v>10854.19814935412</v>
      </c>
      <c r="CI588" s="3" t="n">
        <v>10544.07820267681</v>
      </c>
      <c r="CJ588" s="3" t="n">
        <v>10242.8188254725</v>
      </c>
      <c r="CK588" s="3" t="n">
        <v>9950.166859030542</v>
      </c>
      <c r="CL588" s="3" t="n">
        <v>9665.876377343957</v>
      </c>
      <c r="CM588" s="3" t="n">
        <v>9389.708480848414</v>
      </c>
      <c r="CN588" s="3" t="n">
        <v>9121.431095681317</v>
      </c>
      <c r="CO588" s="3" t="n">
        <v>8860.818778661851</v>
      </c>
      <c r="CP588" s="3" t="n">
        <v>8607.65252784294</v>
      </c>
      <c r="CQ588" s="3" t="n">
        <v>8361.719598476</v>
      </c>
      <c r="CR588" s="3" t="n">
        <v>8122.813324233827</v>
      </c>
      <c r="CS588" s="3" t="n">
        <v>7890.732943541434</v>
      </c>
      <c r="CU588" s="20" t="inlineStr">
        <is>
          <t>egy.mit.pe.pow.oop.6</t>
        </is>
      </c>
      <c r="CV588" s="3" t="n">
        <v>4653.506300974022</v>
      </c>
      <c r="CW588" s="3" t="n">
        <v>4525.344751134799</v>
      </c>
      <c r="CX588" s="3" t="n">
        <v>4396.049186816662</v>
      </c>
      <c r="CY588" s="3" t="n">
        <v>5315.037333537874</v>
      </c>
      <c r="CZ588" s="3" t="n">
        <v>6290.592409521609</v>
      </c>
      <c r="DA588" s="3" t="n">
        <v>7327.405483451717</v>
      </c>
      <c r="DB588" s="3" t="n">
        <v>8430.516697774485</v>
      </c>
      <c r="DC588" s="3" t="n">
        <v>8189.644792123784</v>
      </c>
      <c r="DD588" s="3" t="n">
        <v>7958.505814443136</v>
      </c>
      <c r="DE588" s="3" t="n">
        <v>7732.004214873091</v>
      </c>
      <c r="DF588" s="3" t="n">
        <v>7516.840501233533</v>
      </c>
      <c r="DG588" s="3" t="n">
        <v>7305.958475821718</v>
      </c>
      <c r="DH588" s="3" t="n">
        <v>7103.225800831336</v>
      </c>
      <c r="DI588" s="3" t="n">
        <v>6905.576944049069</v>
      </c>
      <c r="DJ588" s="3" t="n">
        <v>6713.933308743404</v>
      </c>
      <c r="DK588" s="3" t="n">
        <v>6527.35100539167</v>
      </c>
      <c r="DL588" s="3" t="n">
        <v>6346.154977393982</v>
      </c>
      <c r="DM588" s="3" t="n">
        <v>6169.608600707734</v>
      </c>
      <c r="DN588" s="3" t="n">
        <v>5998.003021301731</v>
      </c>
      <c r="DO588" s="3" t="n">
        <v>5830.790210085188</v>
      </c>
    </row>
    <row r="589">
      <c r="A589" s="19" t="inlineStr">
        <is>
          <t>mit.pe.pow.nuc</t>
        </is>
      </c>
      <c r="B589" s="3" t="inlineStr">
        <is>
          <t>mit</t>
        </is>
      </c>
      <c r="C589" s="19" t="n"/>
      <c r="H589" s="3" t="inlineStr">
        <is>
          <t>Fuel use (primary energy) of power generation | Power | Nuclear</t>
        </is>
      </c>
      <c r="I589" s="3" t="inlineStr">
        <is>
          <t>ktoe</t>
        </is>
      </c>
      <c r="K589" s="20" t="inlineStr">
        <is>
          <t>egy.mit.pe.pow.nuc.1</t>
        </is>
      </c>
      <c r="L589" s="3" t="n">
        <v>0</v>
      </c>
      <c r="M589" s="3" t="n">
        <v>0</v>
      </c>
      <c r="N589" s="3" t="n">
        <v>0</v>
      </c>
      <c r="O589" s="3" t="n">
        <v>0</v>
      </c>
      <c r="P589" s="3" t="n">
        <v>0</v>
      </c>
      <c r="Q589" s="3" t="n">
        <v>0</v>
      </c>
      <c r="R589" s="3" t="n">
        <v>0</v>
      </c>
      <c r="S589" s="3" t="n">
        <v>0</v>
      </c>
      <c r="T589" s="3" t="n">
        <v>0</v>
      </c>
      <c r="U589" s="3" t="n">
        <v>0</v>
      </c>
      <c r="V589" s="3" t="n">
        <v>0</v>
      </c>
      <c r="W589" s="3" t="n">
        <v>0</v>
      </c>
      <c r="X589" s="3" t="n">
        <v>0</v>
      </c>
      <c r="Y589" s="3" t="n">
        <v>0</v>
      </c>
      <c r="Z589" s="3" t="n">
        <v>0</v>
      </c>
      <c r="AA589" s="3" t="n">
        <v>0</v>
      </c>
      <c r="AB589" s="3" t="n">
        <v>0</v>
      </c>
      <c r="AC589" s="3" t="n">
        <v>0</v>
      </c>
      <c r="AD589" s="3" t="n">
        <v>0</v>
      </c>
      <c r="AE589" s="3" t="n">
        <v>0</v>
      </c>
      <c r="AG589" s="20" t="inlineStr">
        <is>
          <t>egy.mit.pe.pow.nuc.3</t>
        </is>
      </c>
      <c r="AH589" s="3" t="n">
        <v>0</v>
      </c>
      <c r="AI589" s="3" t="n">
        <v>0</v>
      </c>
      <c r="AJ589" s="3" t="n">
        <v>0</v>
      </c>
      <c r="AK589" s="3" t="n">
        <v>0</v>
      </c>
      <c r="AL589" s="3" t="n">
        <v>0</v>
      </c>
      <c r="AM589" s="3" t="n">
        <v>0</v>
      </c>
      <c r="AN589" s="3" t="n">
        <v>0</v>
      </c>
      <c r="AO589" s="3" t="n">
        <v>0</v>
      </c>
      <c r="AP589" s="3" t="n">
        <v>0</v>
      </c>
      <c r="AQ589" s="3" t="n">
        <v>0</v>
      </c>
      <c r="AR589" s="3" t="n">
        <v>0</v>
      </c>
      <c r="AS589" s="3" t="n">
        <v>0</v>
      </c>
      <c r="AT589" s="3" t="n">
        <v>0</v>
      </c>
      <c r="AU589" s="3" t="n">
        <v>0</v>
      </c>
      <c r="AV589" s="3" t="n">
        <v>0</v>
      </c>
      <c r="AW589" s="3" t="n">
        <v>0</v>
      </c>
      <c r="AX589" s="3" t="n">
        <v>0</v>
      </c>
      <c r="AY589" s="3" t="n">
        <v>0</v>
      </c>
      <c r="AZ589" s="3" t="n">
        <v>0</v>
      </c>
      <c r="BA589" s="3" t="n">
        <v>0</v>
      </c>
      <c r="BC589" s="20" t="inlineStr">
        <is>
          <t>egy.mit.pe.pow.nuc.4</t>
        </is>
      </c>
      <c r="BD589" s="3" t="n">
        <v>0</v>
      </c>
      <c r="BE589" s="3" t="n">
        <v>0</v>
      </c>
      <c r="BF589" s="3" t="n">
        <v>0</v>
      </c>
      <c r="BG589" s="3" t="n">
        <v>0</v>
      </c>
      <c r="BH589" s="3" t="n">
        <v>0</v>
      </c>
      <c r="BI589" s="3" t="n">
        <v>0</v>
      </c>
      <c r="BJ589" s="3" t="n">
        <v>0</v>
      </c>
      <c r="BK589" s="3" t="n">
        <v>0</v>
      </c>
      <c r="BL589" s="3" t="n">
        <v>0</v>
      </c>
      <c r="BM589" s="3" t="n">
        <v>0</v>
      </c>
      <c r="BN589" s="3" t="n">
        <v>0</v>
      </c>
      <c r="BO589" s="3" t="n">
        <v>0</v>
      </c>
      <c r="BP589" s="3" t="n">
        <v>0</v>
      </c>
      <c r="BQ589" s="3" t="n">
        <v>0</v>
      </c>
      <c r="BR589" s="3" t="n">
        <v>0</v>
      </c>
      <c r="BS589" s="3" t="n">
        <v>0</v>
      </c>
      <c r="BT589" s="3" t="n">
        <v>0</v>
      </c>
      <c r="BU589" s="3" t="n">
        <v>0</v>
      </c>
      <c r="BV589" s="3" t="n">
        <v>0</v>
      </c>
      <c r="BW589" s="3" t="n">
        <v>0</v>
      </c>
      <c r="BY589" s="20" t="inlineStr">
        <is>
          <t>egy.mit.pe.pow.nuc.5</t>
        </is>
      </c>
      <c r="BZ589" s="3" t="n">
        <v>0</v>
      </c>
      <c r="CA589" s="3" t="n">
        <v>0</v>
      </c>
      <c r="CB589" s="3" t="n">
        <v>0</v>
      </c>
      <c r="CC589" s="3" t="n">
        <v>0</v>
      </c>
      <c r="CD589" s="3" t="n">
        <v>0</v>
      </c>
      <c r="CE589" s="3" t="n">
        <v>0</v>
      </c>
      <c r="CF589" s="3" t="n">
        <v>0</v>
      </c>
      <c r="CG589" s="3" t="n">
        <v>0</v>
      </c>
      <c r="CH589" s="3" t="n">
        <v>0</v>
      </c>
      <c r="CI589" s="3" t="n">
        <v>0</v>
      </c>
      <c r="CJ589" s="3" t="n">
        <v>0</v>
      </c>
      <c r="CK589" s="3" t="n">
        <v>0</v>
      </c>
      <c r="CL589" s="3" t="n">
        <v>0</v>
      </c>
      <c r="CM589" s="3" t="n">
        <v>0</v>
      </c>
      <c r="CN589" s="3" t="n">
        <v>0</v>
      </c>
      <c r="CO589" s="3" t="n">
        <v>0</v>
      </c>
      <c r="CP589" s="3" t="n">
        <v>0</v>
      </c>
      <c r="CQ589" s="3" t="n">
        <v>0</v>
      </c>
      <c r="CR589" s="3" t="n">
        <v>0</v>
      </c>
      <c r="CS589" s="3" t="n">
        <v>0</v>
      </c>
      <c r="CU589" s="20" t="inlineStr">
        <is>
          <t>egy.mit.pe.pow.nuc.6</t>
        </is>
      </c>
      <c r="CV589" s="3" t="n">
        <v>0</v>
      </c>
      <c r="CW589" s="3" t="n">
        <v>0</v>
      </c>
      <c r="CX589" s="3" t="n">
        <v>0</v>
      </c>
      <c r="CY589" s="3" t="n">
        <v>0</v>
      </c>
      <c r="CZ589" s="3" t="n">
        <v>0</v>
      </c>
      <c r="DA589" s="3" t="n">
        <v>0</v>
      </c>
      <c r="DB589" s="3" t="n">
        <v>0</v>
      </c>
      <c r="DC589" s="3" t="n">
        <v>0</v>
      </c>
      <c r="DD589" s="3" t="n">
        <v>0</v>
      </c>
      <c r="DE589" s="3" t="n">
        <v>0</v>
      </c>
      <c r="DF589" s="3" t="n">
        <v>0</v>
      </c>
      <c r="DG589" s="3" t="n">
        <v>0</v>
      </c>
      <c r="DH589" s="3" t="n">
        <v>0</v>
      </c>
      <c r="DI589" s="3" t="n">
        <v>0</v>
      </c>
      <c r="DJ589" s="3" t="n">
        <v>0</v>
      </c>
      <c r="DK589" s="3" t="n">
        <v>0</v>
      </c>
      <c r="DL589" s="3" t="n">
        <v>0</v>
      </c>
      <c r="DM589" s="3" t="n">
        <v>0</v>
      </c>
      <c r="DN589" s="3" t="n">
        <v>0</v>
      </c>
      <c r="DO589" s="3" t="n">
        <v>0</v>
      </c>
    </row>
    <row r="590">
      <c r="A590" s="19" t="inlineStr">
        <is>
          <t>mit.pe.pow.wnd</t>
        </is>
      </c>
      <c r="B590" s="3" t="inlineStr">
        <is>
          <t>mit</t>
        </is>
      </c>
      <c r="C590" s="19" t="n"/>
      <c r="H590" s="3" t="inlineStr">
        <is>
          <t>Fuel use (primary energy) of power generation | Power | Wind</t>
        </is>
      </c>
      <c r="I590" s="3" t="inlineStr">
        <is>
          <t>ktoe</t>
        </is>
      </c>
      <c r="K590" s="20" t="inlineStr">
        <is>
          <t>egy.mit.pe.pow.wnd.1</t>
        </is>
      </c>
      <c r="L590" s="3" t="n">
        <v>501.8534930280011</v>
      </c>
      <c r="M590" s="3" t="n">
        <v>707.6123735066824</v>
      </c>
      <c r="N590" s="3" t="n">
        <v>684.0252943897929</v>
      </c>
      <c r="O590" s="3" t="n">
        <v>1014.452299605854</v>
      </c>
      <c r="P590" s="3" t="n">
        <v>1361.873584347861</v>
      </c>
      <c r="Q590" s="3" t="n">
        <v>1727.855536533629</v>
      </c>
      <c r="R590" s="3" t="n">
        <v>2114.07570015008</v>
      </c>
      <c r="S590" s="3" t="n">
        <v>2522.331540600651</v>
      </c>
      <c r="T590" s="3" t="n">
        <v>2954.549871629195</v>
      </c>
      <c r="U590" s="3" t="n">
        <v>3360.900737010542</v>
      </c>
      <c r="V590" s="3" t="n">
        <v>3819.103174759643</v>
      </c>
      <c r="W590" s="3" t="n">
        <v>4279.635294528689</v>
      </c>
      <c r="X590" s="3" t="n">
        <v>4741.262588096217</v>
      </c>
      <c r="Y590" s="3" t="n">
        <v>5230.265950905741</v>
      </c>
      <c r="Z590" s="3" t="n">
        <v>5733.14608170151</v>
      </c>
      <c r="AA590" s="3" t="n">
        <v>6252.136956755075</v>
      </c>
      <c r="AB590" s="3" t="n">
        <v>6786.713525826212</v>
      </c>
      <c r="AC590" s="3" t="n">
        <v>7337.191431518375</v>
      </c>
      <c r="AD590" s="3" t="n">
        <v>7903.83077213892</v>
      </c>
      <c r="AE590" s="3" t="n">
        <v>8486.92333816427</v>
      </c>
      <c r="AG590" s="20" t="inlineStr">
        <is>
          <t>egy.mit.pe.pow.wnd.3</t>
        </is>
      </c>
      <c r="AH590" s="3" t="n">
        <v>501.8534930280011</v>
      </c>
      <c r="AI590" s="3" t="n">
        <v>713.5560374197391</v>
      </c>
      <c r="AJ590" s="3" t="n">
        <v>689.7708361724145</v>
      </c>
      <c r="AK590" s="3" t="n">
        <v>1020.005588764475</v>
      </c>
      <c r="AL590" s="3" t="n">
        <v>1367.240267310766</v>
      </c>
      <c r="AM590" s="3" t="n">
        <v>1733.041040870629</v>
      </c>
      <c r="AN590" s="3" t="n">
        <v>2119.085238449335</v>
      </c>
      <c r="AO590" s="3" t="n">
        <v>2048.449063834357</v>
      </c>
      <c r="AP590" s="3" t="n">
        <v>2443.79927563502</v>
      </c>
      <c r="AQ590" s="3" t="n">
        <v>2862.387287838549</v>
      </c>
      <c r="AR590" s="3" t="n">
        <v>3282.502909826761</v>
      </c>
      <c r="AS590" s="3" t="n">
        <v>3663.027458975766</v>
      </c>
      <c r="AT590" s="3" t="n">
        <v>4102.814196820682</v>
      </c>
      <c r="AU590" s="3" t="n">
        <v>4569.803249499114</v>
      </c>
      <c r="AV590" s="3" t="n">
        <v>5050.09474863736</v>
      </c>
      <c r="AW590" s="3" t="n">
        <v>5546.835941399312</v>
      </c>
      <c r="AX590" s="3" t="n">
        <v>6059.622934059908</v>
      </c>
      <c r="AY590" s="3" t="n">
        <v>6589.117393722136</v>
      </c>
      <c r="AZ590" s="3" t="n">
        <v>7134.666438849008</v>
      </c>
      <c r="BA590" s="3" t="n">
        <v>7696.572869230495</v>
      </c>
      <c r="BC590" s="20" t="inlineStr">
        <is>
          <t>egy.mit.pe.pow.wnd.4</t>
        </is>
      </c>
      <c r="BD590" s="3" t="n">
        <v>501.8534930280011</v>
      </c>
      <c r="BE590" s="3" t="n">
        <v>728.3074546829827</v>
      </c>
      <c r="BF590" s="3" t="n">
        <v>704.0305395268832</v>
      </c>
      <c r="BG590" s="3" t="n">
        <v>1033.788166813767</v>
      </c>
      <c r="BH590" s="3" t="n">
        <v>1380.559755320386</v>
      </c>
      <c r="BI590" s="3" t="n">
        <v>1745.910931325071</v>
      </c>
      <c r="BJ590" s="3" t="n">
        <v>2131.518490762217</v>
      </c>
      <c r="BK590" s="3" t="n">
        <v>2539.179163360374</v>
      </c>
      <c r="BL590" s="3" t="n">
        <v>2565.406139208778</v>
      </c>
      <c r="BM590" s="3" t="n">
        <v>2597.114755617541</v>
      </c>
      <c r="BN590" s="3" t="n">
        <v>2950.817875216548</v>
      </c>
      <c r="BO590" s="3" t="n">
        <v>3102.519453727188</v>
      </c>
      <c r="BP590" s="3" t="n">
        <v>3477.886681937962</v>
      </c>
      <c r="BQ590" s="3" t="n">
        <v>3799.267686168681</v>
      </c>
      <c r="BR590" s="3" t="n">
        <v>4170.195466780446</v>
      </c>
      <c r="BS590" s="3" t="n">
        <v>4543.401486804922</v>
      </c>
      <c r="BT590" s="3" t="n">
        <v>4916.658391807468</v>
      </c>
      <c r="BU590" s="3" t="n">
        <v>5296.426873524171</v>
      </c>
      <c r="BV590" s="3" t="n">
        <v>5679.460143980888</v>
      </c>
      <c r="BW590" s="3" t="n">
        <v>6072.997773393997</v>
      </c>
      <c r="BY590" s="20" t="inlineStr">
        <is>
          <t>egy.mit.pe.pow.wnd.5</t>
        </is>
      </c>
      <c r="BZ590" s="3" t="n">
        <v>501.8534930280011</v>
      </c>
      <c r="CA590" s="3" t="n">
        <v>747.619490581101</v>
      </c>
      <c r="CB590" s="3" t="n">
        <v>722.6988408950644</v>
      </c>
      <c r="CC590" s="3" t="n">
        <v>1051.83308162729</v>
      </c>
      <c r="CD590" s="3" t="n">
        <v>1398.000911459564</v>
      </c>
      <c r="CE590" s="3" t="n">
        <v>1762.767255715871</v>
      </c>
      <c r="CF590" s="3" t="n">
        <v>2147.80822757175</v>
      </c>
      <c r="CG590" s="3" t="n">
        <v>2554.919891252781</v>
      </c>
      <c r="CH590" s="3" t="n">
        <v>2986.027686789851</v>
      </c>
      <c r="CI590" s="3" t="n">
        <v>3443.196567140083</v>
      </c>
      <c r="CJ590" s="3" t="n">
        <v>3897.308861359192</v>
      </c>
      <c r="CK590" s="3" t="n">
        <v>4355.020307246537</v>
      </c>
      <c r="CL590" s="3" t="n">
        <v>4812.851116935223</v>
      </c>
      <c r="CM590" s="3" t="n">
        <v>5300.533491299278</v>
      </c>
      <c r="CN590" s="3" t="n">
        <v>5803.799862691059</v>
      </c>
      <c r="CO590" s="3" t="n">
        <v>6323.913624444915</v>
      </c>
      <c r="CP590" s="3" t="n">
        <v>6864.345412787248</v>
      </c>
      <c r="CQ590" s="3" t="n">
        <v>7423.290459093462</v>
      </c>
      <c r="CR590" s="3" t="n">
        <v>8000.750872733185</v>
      </c>
      <c r="CS590" s="3" t="n">
        <v>8597.634279072499</v>
      </c>
      <c r="CU590" s="20" t="inlineStr">
        <is>
          <t>egy.mit.pe.pow.wnd.6</t>
        </is>
      </c>
      <c r="CV590" s="3" t="n">
        <v>501.8534930280011</v>
      </c>
      <c r="CW590" s="3" t="n">
        <v>721.8376742566572</v>
      </c>
      <c r="CX590" s="3" t="n">
        <v>697.7764184481019</v>
      </c>
      <c r="CY590" s="3" t="n">
        <v>1027.743303193021</v>
      </c>
      <c r="CZ590" s="3" t="n">
        <v>1374.717989903165</v>
      </c>
      <c r="DA590" s="3" t="n">
        <v>1740.266342847687</v>
      </c>
      <c r="DB590" s="3" t="n">
        <v>2126.065391678434</v>
      </c>
      <c r="DC590" s="3" t="n">
        <v>2055.196545289153</v>
      </c>
      <c r="DD590" s="3" t="n">
        <v>2301.83976431282</v>
      </c>
      <c r="DE590" s="3" t="n">
        <v>2337.268280028462</v>
      </c>
      <c r="DF590" s="3" t="n">
        <v>2717.14462484697</v>
      </c>
      <c r="DG590" s="3" t="n">
        <v>3122.060029763504</v>
      </c>
      <c r="DH590" s="3" t="n">
        <v>3532.742058726365</v>
      </c>
      <c r="DI590" s="3" t="n">
        <v>3967.377749060962</v>
      </c>
      <c r="DJ590" s="3" t="n">
        <v>4419.837389374641</v>
      </c>
      <c r="DK590" s="3" t="n">
        <v>4894.794655437275</v>
      </c>
      <c r="DL590" s="3" t="n">
        <v>5389.681060699023</v>
      </c>
      <c r="DM590" s="3" t="n">
        <v>5907.565180323207</v>
      </c>
      <c r="DN590" s="3" t="n">
        <v>6445.008783354461</v>
      </c>
      <c r="DO590" s="3" t="n">
        <v>7004.009236783482</v>
      </c>
    </row>
    <row r="591">
      <c r="A591" s="19" t="inlineStr">
        <is>
          <t>mit.pe.pow.sol</t>
        </is>
      </c>
      <c r="B591" s="3" t="inlineStr">
        <is>
          <t>mit</t>
        </is>
      </c>
      <c r="C591" s="19" t="n"/>
      <c r="H591" s="3" t="inlineStr">
        <is>
          <t>Fuel use (primary energy) of power generation | Power | Solar</t>
        </is>
      </c>
      <c r="I591" s="3" t="inlineStr">
        <is>
          <t>ktoe</t>
        </is>
      </c>
      <c r="K591" s="20" t="inlineStr">
        <is>
          <t>egy.mit.pe.pow.sol.1</t>
        </is>
      </c>
      <c r="L591" s="3" t="n">
        <v>418.0284845121898</v>
      </c>
      <c r="M591" s="3" t="n">
        <v>595.4000331449014</v>
      </c>
      <c r="N591" s="3" t="n">
        <v>571.5840318191052</v>
      </c>
      <c r="O591" s="3" t="n">
        <v>901.9485366789813</v>
      </c>
      <c r="P591" s="3" t="n">
        <v>1247.106975786669</v>
      </c>
      <c r="Q591" s="3" t="n">
        <v>1608.600455781568</v>
      </c>
      <c r="R591" s="3" t="n">
        <v>1988.071808045422</v>
      </c>
      <c r="S591" s="3" t="n">
        <v>2387.273990262969</v>
      </c>
      <c r="T591" s="3" t="n">
        <v>2808.079105674934</v>
      </c>
      <c r="U591" s="3" t="n">
        <v>3252.488088183145</v>
      </c>
      <c r="V591" s="3" t="n">
        <v>3692.6210556593</v>
      </c>
      <c r="W591" s="3" t="n">
        <v>4132.751801933571</v>
      </c>
      <c r="X591" s="3" t="n">
        <v>4571.723563641702</v>
      </c>
      <c r="Y591" s="3" t="n">
        <v>5035.900102727116</v>
      </c>
      <c r="Z591" s="3" t="n">
        <v>5511.686461847155</v>
      </c>
      <c r="AA591" s="3" t="n">
        <v>6001.314783540513</v>
      </c>
      <c r="AB591" s="3" t="n">
        <v>6504.243363873235</v>
      </c>
      <c r="AC591" s="3" t="n">
        <v>7020.775358279127</v>
      </c>
      <c r="AD591" s="3" t="n">
        <v>7551.156773096411</v>
      </c>
      <c r="AE591" s="3" t="n">
        <v>8095.664136524445</v>
      </c>
      <c r="AG591" s="20" t="inlineStr">
        <is>
          <t>egy.mit.pe.pow.sol.3</t>
        </is>
      </c>
      <c r="AH591" s="3" t="n">
        <v>418.0284845121898</v>
      </c>
      <c r="AI591" s="3" t="n">
        <v>600.58514505332</v>
      </c>
      <c r="AJ591" s="3" t="n">
        <v>576.5617392511872</v>
      </c>
      <c r="AK591" s="3" t="n">
        <v>906.7264012491631</v>
      </c>
      <c r="AL591" s="3" t="n">
        <v>1251.692229216872</v>
      </c>
      <c r="AM591" s="3" t="n">
        <v>1613.00000988064</v>
      </c>
      <c r="AN591" s="3" t="n">
        <v>1992.292264087197</v>
      </c>
      <c r="AO591" s="3" t="n">
        <v>1912.600573523709</v>
      </c>
      <c r="AP591" s="3" t="n">
        <v>2299.728421169047</v>
      </c>
      <c r="AQ591" s="3" t="n">
        <v>2707.787297536823</v>
      </c>
      <c r="AR591" s="3" t="n">
        <v>3115.004363153486</v>
      </c>
      <c r="AS591" s="3" t="n">
        <v>3540.343619967873</v>
      </c>
      <c r="AT591" s="3" t="n">
        <v>3960.617556580816</v>
      </c>
      <c r="AU591" s="3" t="n">
        <v>4405.942410596916</v>
      </c>
      <c r="AV591" s="3" t="n">
        <v>4862.323020120468</v>
      </c>
      <c r="AW591" s="3" t="n">
        <v>5332.9078171577</v>
      </c>
      <c r="AX591" s="3" t="n">
        <v>5817.27306361106</v>
      </c>
      <c r="AY591" s="3" t="n">
        <v>6316.064068663702</v>
      </c>
      <c r="AZ591" s="3" t="n">
        <v>6828.60783599657</v>
      </c>
      <c r="BA591" s="3" t="n">
        <v>7355.192207799393</v>
      </c>
      <c r="BC591" s="20" t="inlineStr">
        <is>
          <t>egy.mit.pe.pow.sol.4</t>
        </is>
      </c>
      <c r="BD591" s="3" t="n">
        <v>418.0284845121898</v>
      </c>
      <c r="BE591" s="3" t="n">
        <v>613.4539327971339</v>
      </c>
      <c r="BF591" s="3" t="n">
        <v>588.9157754852486</v>
      </c>
      <c r="BG591" s="3" t="n">
        <v>918.5844741737437</v>
      </c>
      <c r="BH591" s="3" t="n">
        <v>1263.072308452923</v>
      </c>
      <c r="BI591" s="3" t="n">
        <v>1623.919271325441</v>
      </c>
      <c r="BJ591" s="3" t="n">
        <v>2002.767113280744</v>
      </c>
      <c r="BK591" s="3" t="n">
        <v>2401.367741789509</v>
      </c>
      <c r="BL591" s="3" t="n">
        <v>2441.653592166182</v>
      </c>
      <c r="BM591" s="3" t="n">
        <v>2498.088466238794</v>
      </c>
      <c r="BN591" s="3" t="n">
        <v>2869.508840608458</v>
      </c>
      <c r="BO591" s="3" t="n">
        <v>3092.202526076203</v>
      </c>
      <c r="BP591" s="3" t="n">
        <v>3447.298992454952</v>
      </c>
      <c r="BQ591" s="3" t="n">
        <v>3799.341565499264</v>
      </c>
      <c r="BR591" s="3" t="n">
        <v>4144.937964728528</v>
      </c>
      <c r="BS591" s="3" t="n">
        <v>4491.353007491695</v>
      </c>
      <c r="BT591" s="3" t="n">
        <v>4836.402534818294</v>
      </c>
      <c r="BU591" s="3" t="n">
        <v>5186.603555552917</v>
      </c>
      <c r="BV591" s="3" t="n">
        <v>5538.72027438982</v>
      </c>
      <c r="BW591" s="3" t="n">
        <v>5900.024460282309</v>
      </c>
      <c r="BY591" s="20" t="inlineStr">
        <is>
          <t>egy.mit.pe.pow.sol.5</t>
        </is>
      </c>
      <c r="BZ591" s="3" t="n">
        <v>418.0284845121898</v>
      </c>
      <c r="CA591" s="3" t="n">
        <v>621.0329711507377</v>
      </c>
      <c r="CB591" s="3" t="n">
        <v>596.1916523047082</v>
      </c>
      <c r="CC591" s="3" t="n">
        <v>925.5682060779837</v>
      </c>
      <c r="CD591" s="3" t="n">
        <v>1269.774429566985</v>
      </c>
      <c r="CE591" s="3" t="n">
        <v>1630.349847717695</v>
      </c>
      <c r="CF591" s="3" t="n">
        <v>2008.935756515496</v>
      </c>
      <c r="CG591" s="3" t="n">
        <v>2407.283621604427</v>
      </c>
      <c r="CH591" s="3" t="n">
        <v>2827.264094625111</v>
      </c>
      <c r="CI591" s="3" t="n">
        <v>3270.876695423393</v>
      </c>
      <c r="CJ591" s="3" t="n">
        <v>3708.927169349836</v>
      </c>
      <c r="CK591" s="3" t="n">
        <v>4148.191853404012</v>
      </c>
      <c r="CL591" s="3" t="n">
        <v>4585.262362867168</v>
      </c>
      <c r="CM591" s="3" t="n">
        <v>5049.962645886321</v>
      </c>
      <c r="CN591" s="3" t="n">
        <v>5527.914995359719</v>
      </c>
      <c r="CO591" s="3" t="n">
        <v>6020.372188620823</v>
      </c>
      <c r="CP591" s="3" t="n">
        <v>6530.786248026117</v>
      </c>
      <c r="CQ591" s="3" t="n">
        <v>7057.311397801467</v>
      </c>
      <c r="CR591" s="3" t="n">
        <v>7599.922412331643</v>
      </c>
      <c r="CS591" s="3" t="n">
        <v>8159.500661380363</v>
      </c>
      <c r="CU591" s="20" t="inlineStr">
        <is>
          <t>egy.mit.pe.pow.sol.6</t>
        </is>
      </c>
      <c r="CV591" s="3" t="n">
        <v>418.0284845121898</v>
      </c>
      <c r="CW591" s="3" t="n">
        <v>607.8098492782627</v>
      </c>
      <c r="CX591" s="3" t="n">
        <v>583.4974553071321</v>
      </c>
      <c r="CY591" s="3" t="n">
        <v>913.3836735582008</v>
      </c>
      <c r="CZ591" s="3" t="n">
        <v>1258.081142611582</v>
      </c>
      <c r="DA591" s="3" t="n">
        <v>1619.130203543807</v>
      </c>
      <c r="DB591" s="3" t="n">
        <v>1998.172944654897</v>
      </c>
      <c r="DC591" s="3" t="n">
        <v>1918.246026868702</v>
      </c>
      <c r="DD591" s="3" t="n">
        <v>2230.904235927896</v>
      </c>
      <c r="DE591" s="3" t="n">
        <v>2289.404101874092</v>
      </c>
      <c r="DF591" s="3" t="n">
        <v>2655.613248315601</v>
      </c>
      <c r="DG591" s="3" t="n">
        <v>3044.875635721457</v>
      </c>
      <c r="DH591" s="3" t="n">
        <v>3437.831332810418</v>
      </c>
      <c r="DI591" s="3" t="n">
        <v>3852.711866246741</v>
      </c>
      <c r="DJ591" s="3" t="n">
        <v>4283.308986294727</v>
      </c>
      <c r="DK591" s="3" t="n">
        <v>4734.261837190766</v>
      </c>
      <c r="DL591" s="3" t="n">
        <v>5202.937623917907</v>
      </c>
      <c r="DM591" s="3" t="n">
        <v>5692.360309033989</v>
      </c>
      <c r="DN591" s="3" t="n">
        <v>6199.028375992434</v>
      </c>
      <c r="DO591" s="3" t="n">
        <v>6724.901359423763</v>
      </c>
    </row>
    <row r="592">
      <c r="A592" s="19" t="inlineStr">
        <is>
          <t>mit.pe.pow.hyd</t>
        </is>
      </c>
      <c r="B592" s="3" t="inlineStr">
        <is>
          <t>mit</t>
        </is>
      </c>
      <c r="C592" s="19" t="n"/>
      <c r="H592" s="3" t="inlineStr">
        <is>
          <t>Fuel use (primary energy) of power generation | Power | Hydro</t>
        </is>
      </c>
      <c r="I592" s="3" t="inlineStr">
        <is>
          <t>ktoe</t>
        </is>
      </c>
      <c r="K592" s="20" t="inlineStr">
        <is>
          <t>egy.mit.pe.pow.hyd.1</t>
        </is>
      </c>
      <c r="L592" s="3" t="n">
        <v>1293.38589518891</v>
      </c>
      <c r="M592" s="3" t="n">
        <v>1293.38589518891</v>
      </c>
      <c r="N592" s="3" t="n">
        <v>1293.38589518891</v>
      </c>
      <c r="O592" s="3" t="n">
        <v>1293.38589518891</v>
      </c>
      <c r="P592" s="3" t="n">
        <v>1293.38589518891</v>
      </c>
      <c r="Q592" s="3" t="n">
        <v>1293.38589518891</v>
      </c>
      <c r="R592" s="3" t="n">
        <v>1293.38589518891</v>
      </c>
      <c r="S592" s="3" t="n">
        <v>1293.38589518891</v>
      </c>
      <c r="T592" s="3" t="n">
        <v>1293.38589518891</v>
      </c>
      <c r="U592" s="3" t="n">
        <v>1482.439489241114</v>
      </c>
      <c r="V592" s="3" t="n">
        <v>1701.749757626156</v>
      </c>
      <c r="W592" s="3" t="n">
        <v>1919.436061716248</v>
      </c>
      <c r="X592" s="3" t="n">
        <v>2302.300042918581</v>
      </c>
      <c r="Y592" s="3" t="n">
        <v>2611.983424137169</v>
      </c>
      <c r="Z592" s="3" t="n">
        <v>2939.365889228831</v>
      </c>
      <c r="AA592" s="3" t="n">
        <v>3267.948755958947</v>
      </c>
      <c r="AB592" s="3" t="n">
        <v>3601.15350488503</v>
      </c>
      <c r="AC592" s="3" t="n">
        <v>3938.255741810913</v>
      </c>
      <c r="AD592" s="3" t="n">
        <v>4278.19062568155</v>
      </c>
      <c r="AE592" s="3" t="n">
        <v>4620.516439266328</v>
      </c>
      <c r="AG592" s="20" t="inlineStr">
        <is>
          <t>egy.mit.pe.pow.hyd.3</t>
        </is>
      </c>
      <c r="AH592" s="3" t="n">
        <v>1293.38589518891</v>
      </c>
      <c r="AI592" s="3" t="n">
        <v>1293.38589518891</v>
      </c>
      <c r="AJ592" s="3" t="n">
        <v>1293.38589518891</v>
      </c>
      <c r="AK592" s="3" t="n">
        <v>1293.38589518891</v>
      </c>
      <c r="AL592" s="3" t="n">
        <v>1293.38589518891</v>
      </c>
      <c r="AM592" s="3" t="n">
        <v>1293.38589518891</v>
      </c>
      <c r="AN592" s="3" t="n">
        <v>1293.38589518891</v>
      </c>
      <c r="AO592" s="3" t="n">
        <v>1293.38589518891</v>
      </c>
      <c r="AP592" s="3" t="n">
        <v>1293.38589518891</v>
      </c>
      <c r="AQ592" s="3" t="n">
        <v>1483.171658341736</v>
      </c>
      <c r="AR592" s="3" t="n">
        <v>1795.467302643944</v>
      </c>
      <c r="AS592" s="3" t="n">
        <v>1977.783301917614</v>
      </c>
      <c r="AT592" s="3" t="n">
        <v>2417.92029947134</v>
      </c>
      <c r="AU592" s="3" t="n">
        <v>2712.421856459685</v>
      </c>
      <c r="AV592" s="3" t="n">
        <v>3031.018379892023</v>
      </c>
      <c r="AW592" s="3" t="n">
        <v>3352.364178195599</v>
      </c>
      <c r="AX592" s="3" t="n">
        <v>3681.154859657464</v>
      </c>
      <c r="AY592" s="3" t="n">
        <v>4009.378230054995</v>
      </c>
      <c r="AZ592" s="3" t="n">
        <v>4341.11602836326</v>
      </c>
      <c r="BA592" s="3" t="n">
        <v>4671.633020614156</v>
      </c>
      <c r="BC592" s="20" t="inlineStr">
        <is>
          <t>egy.mit.pe.pow.hyd.4</t>
        </is>
      </c>
      <c r="BD592" s="3" t="n">
        <v>1293.38589518891</v>
      </c>
      <c r="BE592" s="3" t="n">
        <v>1293.38589518891</v>
      </c>
      <c r="BF592" s="3" t="n">
        <v>1293.38589518891</v>
      </c>
      <c r="BG592" s="3" t="n">
        <v>1293.38589518891</v>
      </c>
      <c r="BH592" s="3" t="n">
        <v>1293.38589518891</v>
      </c>
      <c r="BI592" s="3" t="n">
        <v>1293.38589518891</v>
      </c>
      <c r="BJ592" s="3" t="n">
        <v>1293.38589518891</v>
      </c>
      <c r="BK592" s="3" t="n">
        <v>1293.38589518891</v>
      </c>
      <c r="BL592" s="3" t="n">
        <v>1293.38589518891</v>
      </c>
      <c r="BM592" s="3" t="n">
        <v>1341.826484053763</v>
      </c>
      <c r="BN592" s="3" t="n">
        <v>1499.380792417635</v>
      </c>
      <c r="BO592" s="3" t="n">
        <v>1604.43787465131</v>
      </c>
      <c r="BP592" s="3" t="n">
        <v>1891.053776501107</v>
      </c>
      <c r="BQ592" s="3" t="n">
        <v>2056.923621979793</v>
      </c>
      <c r="BR592" s="3" t="n">
        <v>2504.953291160528</v>
      </c>
      <c r="BS592" s="3" t="n">
        <v>2837.887832396535</v>
      </c>
      <c r="BT592" s="3" t="n">
        <v>3475.483001243111</v>
      </c>
      <c r="BU592" s="3" t="n">
        <v>3947.335332064609</v>
      </c>
      <c r="BV592" s="3" t="n">
        <v>4763.724284083526</v>
      </c>
      <c r="BW592" s="3" t="n">
        <v>5278.306418249528</v>
      </c>
      <c r="BY592" s="20" t="inlineStr">
        <is>
          <t>egy.mit.pe.pow.hyd.5</t>
        </is>
      </c>
      <c r="BZ592" s="3" t="n">
        <v>1293.38589518891</v>
      </c>
      <c r="CA592" s="3" t="n">
        <v>1293.38589518891</v>
      </c>
      <c r="CB592" s="3" t="n">
        <v>1293.38589518891</v>
      </c>
      <c r="CC592" s="3" t="n">
        <v>1293.38589518891</v>
      </c>
      <c r="CD592" s="3" t="n">
        <v>1293.38589518891</v>
      </c>
      <c r="CE592" s="3" t="n">
        <v>1293.38589518891</v>
      </c>
      <c r="CF592" s="3" t="n">
        <v>1293.38589518891</v>
      </c>
      <c r="CG592" s="3" t="n">
        <v>1293.38589518891</v>
      </c>
      <c r="CH592" s="3" t="n">
        <v>1293.38589518891</v>
      </c>
      <c r="CI592" s="3" t="n">
        <v>1672.459285239335</v>
      </c>
      <c r="CJ592" s="3" t="n">
        <v>2367.510279732122</v>
      </c>
      <c r="CK592" s="3" t="n">
        <v>2869.491368502471</v>
      </c>
      <c r="CL592" s="3" t="n">
        <v>4376.986790678261</v>
      </c>
      <c r="CM592" s="3" t="n">
        <v>5622.056232587429</v>
      </c>
      <c r="CN592" s="3" t="n">
        <v>6907.697667490907</v>
      </c>
      <c r="CO592" s="3" t="n">
        <v>8344.505877806274</v>
      </c>
      <c r="CP592" s="3" t="n">
        <v>9668.196409730188</v>
      </c>
      <c r="CQ592" s="3" t="n">
        <v>10970.35936189024</v>
      </c>
      <c r="CR592" s="3" t="n">
        <v>12296.88099137933</v>
      </c>
      <c r="CS592" s="3" t="n">
        <v>13548.94879708572</v>
      </c>
      <c r="CU592" s="20" t="inlineStr">
        <is>
          <t>egy.mit.pe.pow.hyd.6</t>
        </is>
      </c>
      <c r="CV592" s="3" t="n">
        <v>1293.38589518891</v>
      </c>
      <c r="CW592" s="3" t="n">
        <v>1293.38589518891</v>
      </c>
      <c r="CX592" s="3" t="n">
        <v>1293.38589518891</v>
      </c>
      <c r="CY592" s="3" t="n">
        <v>1293.38589518891</v>
      </c>
      <c r="CZ592" s="3" t="n">
        <v>1293.38589518891</v>
      </c>
      <c r="DA592" s="3" t="n">
        <v>1293.38589518891</v>
      </c>
      <c r="DB592" s="3" t="n">
        <v>1293.38589518891</v>
      </c>
      <c r="DC592" s="3" t="n">
        <v>1293.38589518891</v>
      </c>
      <c r="DD592" s="3" t="n">
        <v>1293.38589518891</v>
      </c>
      <c r="DE592" s="3" t="n">
        <v>1338.768861815969</v>
      </c>
      <c r="DF592" s="3" t="n">
        <v>2483.232110152173</v>
      </c>
      <c r="DG592" s="3" t="n">
        <v>3003.461756298082</v>
      </c>
      <c r="DH592" s="3" t="n">
        <v>4290.338531159023</v>
      </c>
      <c r="DI592" s="3" t="n">
        <v>5309.667352122366</v>
      </c>
      <c r="DJ592" s="3" t="n">
        <v>6521.287408934934</v>
      </c>
      <c r="DK592" s="3" t="n">
        <v>7604.063876661631</v>
      </c>
      <c r="DL592" s="3" t="n">
        <v>8810.784874783594</v>
      </c>
      <c r="DM592" s="3" t="n">
        <v>9851.57679161892</v>
      </c>
      <c r="DN592" s="3" t="n">
        <v>10971.05118558207</v>
      </c>
      <c r="DO592" s="3" t="n">
        <v>11936.7982732462</v>
      </c>
    </row>
    <row r="593">
      <c r="A593" s="19" t="inlineStr">
        <is>
          <t>mit.pe.pow.ore</t>
        </is>
      </c>
      <c r="B593" s="3" t="inlineStr">
        <is>
          <t>mit</t>
        </is>
      </c>
      <c r="C593" s="19" t="n"/>
      <c r="H593" s="3" t="inlineStr">
        <is>
          <t>Fuel use (primary energy) of power generation | Power | Other renewables</t>
        </is>
      </c>
      <c r="I593" s="3" t="inlineStr">
        <is>
          <t>ktoe</t>
        </is>
      </c>
      <c r="K593" s="20" t="inlineStr">
        <is>
          <t>egy.mit.pe.pow.ore.1</t>
        </is>
      </c>
      <c r="L593" s="3" t="n">
        <v>0</v>
      </c>
      <c r="M593" s="3" t="n">
        <v>0</v>
      </c>
      <c r="N593" s="3" t="n">
        <v>0</v>
      </c>
      <c r="O593" s="3" t="n">
        <v>0</v>
      </c>
      <c r="P593" s="3" t="n">
        <v>0</v>
      </c>
      <c r="Q593" s="3" t="n">
        <v>0</v>
      </c>
      <c r="R593" s="3" t="n">
        <v>0</v>
      </c>
      <c r="S593" s="3" t="n">
        <v>0</v>
      </c>
      <c r="T593" s="3" t="n">
        <v>0</v>
      </c>
      <c r="U593" s="3" t="n">
        <v>0</v>
      </c>
      <c r="V593" s="3" t="n">
        <v>0</v>
      </c>
      <c r="W593" s="3" t="n">
        <v>0</v>
      </c>
      <c r="X593" s="3" t="n">
        <v>0</v>
      </c>
      <c r="Y593" s="3" t="n">
        <v>0</v>
      </c>
      <c r="Z593" s="3" t="n">
        <v>0</v>
      </c>
      <c r="AA593" s="3" t="n">
        <v>0</v>
      </c>
      <c r="AB593" s="3" t="n">
        <v>0</v>
      </c>
      <c r="AC593" s="3" t="n">
        <v>0</v>
      </c>
      <c r="AD593" s="3" t="n">
        <v>0</v>
      </c>
      <c r="AE593" s="3" t="n">
        <v>0</v>
      </c>
      <c r="AG593" s="20" t="inlineStr">
        <is>
          <t>egy.mit.pe.pow.ore.3</t>
        </is>
      </c>
      <c r="AH593" s="3" t="n">
        <v>0</v>
      </c>
      <c r="AI593" s="3" t="n">
        <v>0</v>
      </c>
      <c r="AJ593" s="3" t="n">
        <v>0</v>
      </c>
      <c r="AK593" s="3" t="n">
        <v>0</v>
      </c>
      <c r="AL593" s="3" t="n">
        <v>0</v>
      </c>
      <c r="AM593" s="3" t="n">
        <v>0</v>
      </c>
      <c r="AN593" s="3" t="n">
        <v>0</v>
      </c>
      <c r="AO593" s="3" t="n">
        <v>0</v>
      </c>
      <c r="AP593" s="3" t="n">
        <v>0</v>
      </c>
      <c r="AQ593" s="3" t="n">
        <v>0</v>
      </c>
      <c r="AR593" s="3" t="n">
        <v>0</v>
      </c>
      <c r="AS593" s="3" t="n">
        <v>0</v>
      </c>
      <c r="AT593" s="3" t="n">
        <v>0</v>
      </c>
      <c r="AU593" s="3" t="n">
        <v>0</v>
      </c>
      <c r="AV593" s="3" t="n">
        <v>0</v>
      </c>
      <c r="AW593" s="3" t="n">
        <v>0</v>
      </c>
      <c r="AX593" s="3" t="n">
        <v>0</v>
      </c>
      <c r="AY593" s="3" t="n">
        <v>0</v>
      </c>
      <c r="AZ593" s="3" t="n">
        <v>0</v>
      </c>
      <c r="BA593" s="3" t="n">
        <v>0</v>
      </c>
      <c r="BC593" s="20" t="inlineStr">
        <is>
          <t>egy.mit.pe.pow.ore.4</t>
        </is>
      </c>
      <c r="BD593" s="3" t="n">
        <v>0</v>
      </c>
      <c r="BE593" s="3" t="n">
        <v>0</v>
      </c>
      <c r="BF593" s="3" t="n">
        <v>0</v>
      </c>
      <c r="BG593" s="3" t="n">
        <v>0</v>
      </c>
      <c r="BH593" s="3" t="n">
        <v>0</v>
      </c>
      <c r="BI593" s="3" t="n">
        <v>0</v>
      </c>
      <c r="BJ593" s="3" t="n">
        <v>0</v>
      </c>
      <c r="BK593" s="3" t="n">
        <v>0</v>
      </c>
      <c r="BL593" s="3" t="n">
        <v>0</v>
      </c>
      <c r="BM593" s="3" t="n">
        <v>0</v>
      </c>
      <c r="BN593" s="3" t="n">
        <v>0</v>
      </c>
      <c r="BO593" s="3" t="n">
        <v>0</v>
      </c>
      <c r="BP593" s="3" t="n">
        <v>0</v>
      </c>
      <c r="BQ593" s="3" t="n">
        <v>0</v>
      </c>
      <c r="BR593" s="3" t="n">
        <v>0</v>
      </c>
      <c r="BS593" s="3" t="n">
        <v>0</v>
      </c>
      <c r="BT593" s="3" t="n">
        <v>0</v>
      </c>
      <c r="BU593" s="3" t="n">
        <v>0</v>
      </c>
      <c r="BV593" s="3" t="n">
        <v>0</v>
      </c>
      <c r="BW593" s="3" t="n">
        <v>0</v>
      </c>
      <c r="BY593" s="20" t="inlineStr">
        <is>
          <t>egy.mit.pe.pow.ore.5</t>
        </is>
      </c>
      <c r="BZ593" s="3" t="n">
        <v>0</v>
      </c>
      <c r="CA593" s="3" t="n">
        <v>0</v>
      </c>
      <c r="CB593" s="3" t="n">
        <v>0</v>
      </c>
      <c r="CC593" s="3" t="n">
        <v>0</v>
      </c>
      <c r="CD593" s="3" t="n">
        <v>0</v>
      </c>
      <c r="CE593" s="3" t="n">
        <v>0</v>
      </c>
      <c r="CF593" s="3" t="n">
        <v>0</v>
      </c>
      <c r="CG593" s="3" t="n">
        <v>0</v>
      </c>
      <c r="CH593" s="3" t="n">
        <v>0</v>
      </c>
      <c r="CI593" s="3" t="n">
        <v>0</v>
      </c>
      <c r="CJ593" s="3" t="n">
        <v>0</v>
      </c>
      <c r="CK593" s="3" t="n">
        <v>0</v>
      </c>
      <c r="CL593" s="3" t="n">
        <v>0</v>
      </c>
      <c r="CM593" s="3" t="n">
        <v>0</v>
      </c>
      <c r="CN593" s="3" t="n">
        <v>0</v>
      </c>
      <c r="CO593" s="3" t="n">
        <v>0</v>
      </c>
      <c r="CP593" s="3" t="n">
        <v>0</v>
      </c>
      <c r="CQ593" s="3" t="n">
        <v>0</v>
      </c>
      <c r="CR593" s="3" t="n">
        <v>0</v>
      </c>
      <c r="CS593" s="3" t="n">
        <v>0</v>
      </c>
      <c r="CU593" s="20" t="inlineStr">
        <is>
          <t>egy.mit.pe.pow.ore.6</t>
        </is>
      </c>
      <c r="CV593" s="3" t="n">
        <v>0</v>
      </c>
      <c r="CW593" s="3" t="n">
        <v>0</v>
      </c>
      <c r="CX593" s="3" t="n">
        <v>0</v>
      </c>
      <c r="CY593" s="3" t="n">
        <v>0</v>
      </c>
      <c r="CZ593" s="3" t="n">
        <v>0</v>
      </c>
      <c r="DA593" s="3" t="n">
        <v>0</v>
      </c>
      <c r="DB593" s="3" t="n">
        <v>0</v>
      </c>
      <c r="DC593" s="3" t="n">
        <v>0</v>
      </c>
      <c r="DD593" s="3" t="n">
        <v>0</v>
      </c>
      <c r="DE593" s="3" t="n">
        <v>0</v>
      </c>
      <c r="DF593" s="3" t="n">
        <v>0</v>
      </c>
      <c r="DG593" s="3" t="n">
        <v>0</v>
      </c>
      <c r="DH593" s="3" t="n">
        <v>0</v>
      </c>
      <c r="DI593" s="3" t="n">
        <v>0</v>
      </c>
      <c r="DJ593" s="3" t="n">
        <v>0</v>
      </c>
      <c r="DK593" s="3" t="n">
        <v>0</v>
      </c>
      <c r="DL593" s="3" t="n">
        <v>0</v>
      </c>
      <c r="DM593" s="3" t="n">
        <v>0</v>
      </c>
      <c r="DN593" s="3" t="n">
        <v>0</v>
      </c>
      <c r="DO593" s="3" t="n">
        <v>0</v>
      </c>
    </row>
    <row r="594">
      <c r="A594" s="19" t="inlineStr">
        <is>
          <t>mit.pe.pow.bio</t>
        </is>
      </c>
      <c r="B594" s="3" t="inlineStr">
        <is>
          <t>mit</t>
        </is>
      </c>
      <c r="C594" s="19" t="n"/>
      <c r="H594" s="3" t="inlineStr">
        <is>
          <t>Fuel use (primary energy) of power generation | Power | Biomass</t>
        </is>
      </c>
      <c r="I594" s="3" t="inlineStr">
        <is>
          <t>ktoe</t>
        </is>
      </c>
      <c r="K594" s="20" t="inlineStr">
        <is>
          <t>egy.mit.pe.pow.bio.1</t>
        </is>
      </c>
      <c r="L594" s="3" t="n">
        <v>0</v>
      </c>
      <c r="M594" s="3" t="n">
        <v>0</v>
      </c>
      <c r="N594" s="3" t="n">
        <v>0</v>
      </c>
      <c r="O594" s="3" t="n">
        <v>0</v>
      </c>
      <c r="P594" s="3" t="n">
        <v>0</v>
      </c>
      <c r="Q594" s="3" t="n">
        <v>0</v>
      </c>
      <c r="R594" s="3" t="n">
        <v>0</v>
      </c>
      <c r="S594" s="3" t="n">
        <v>0</v>
      </c>
      <c r="T594" s="3" t="n">
        <v>0</v>
      </c>
      <c r="U594" s="3" t="n">
        <v>0</v>
      </c>
      <c r="V594" s="3" t="n">
        <v>0</v>
      </c>
      <c r="W594" s="3" t="n">
        <v>0</v>
      </c>
      <c r="X594" s="3" t="n">
        <v>0</v>
      </c>
      <c r="Y594" s="3" t="n">
        <v>0</v>
      </c>
      <c r="Z594" s="3" t="n">
        <v>0</v>
      </c>
      <c r="AA594" s="3" t="n">
        <v>0</v>
      </c>
      <c r="AB594" s="3" t="n">
        <v>0</v>
      </c>
      <c r="AC594" s="3" t="n">
        <v>0</v>
      </c>
      <c r="AD594" s="3" t="n">
        <v>0</v>
      </c>
      <c r="AE594" s="3" t="n">
        <v>0</v>
      </c>
      <c r="AG594" s="20" t="inlineStr">
        <is>
          <t>egy.mit.pe.pow.bio.3</t>
        </is>
      </c>
      <c r="AH594" s="3" t="n">
        <v>0</v>
      </c>
      <c r="AI594" s="3" t="n">
        <v>0</v>
      </c>
      <c r="AJ594" s="3" t="n">
        <v>0</v>
      </c>
      <c r="AK594" s="3" t="n">
        <v>0</v>
      </c>
      <c r="AL594" s="3" t="n">
        <v>0</v>
      </c>
      <c r="AM594" s="3" t="n">
        <v>0</v>
      </c>
      <c r="AN594" s="3" t="n">
        <v>0</v>
      </c>
      <c r="AO594" s="3" t="n">
        <v>0</v>
      </c>
      <c r="AP594" s="3" t="n">
        <v>0</v>
      </c>
      <c r="AQ594" s="3" t="n">
        <v>0</v>
      </c>
      <c r="AR594" s="3" t="n">
        <v>0</v>
      </c>
      <c r="AS594" s="3" t="n">
        <v>0</v>
      </c>
      <c r="AT594" s="3" t="n">
        <v>0</v>
      </c>
      <c r="AU594" s="3" t="n">
        <v>0</v>
      </c>
      <c r="AV594" s="3" t="n">
        <v>0</v>
      </c>
      <c r="AW594" s="3" t="n">
        <v>0</v>
      </c>
      <c r="AX594" s="3" t="n">
        <v>0</v>
      </c>
      <c r="AY594" s="3" t="n">
        <v>0</v>
      </c>
      <c r="AZ594" s="3" t="n">
        <v>0</v>
      </c>
      <c r="BA594" s="3" t="n">
        <v>0</v>
      </c>
      <c r="BC594" s="20" t="inlineStr">
        <is>
          <t>egy.mit.pe.pow.bio.4</t>
        </is>
      </c>
      <c r="BD594" s="3" t="n">
        <v>0</v>
      </c>
      <c r="BE594" s="3" t="n">
        <v>0</v>
      </c>
      <c r="BF594" s="3" t="n">
        <v>0</v>
      </c>
      <c r="BG594" s="3" t="n">
        <v>0</v>
      </c>
      <c r="BH594" s="3" t="n">
        <v>0</v>
      </c>
      <c r="BI594" s="3" t="n">
        <v>0</v>
      </c>
      <c r="BJ594" s="3" t="n">
        <v>0</v>
      </c>
      <c r="BK594" s="3" t="n">
        <v>0</v>
      </c>
      <c r="BL594" s="3" t="n">
        <v>0</v>
      </c>
      <c r="BM594" s="3" t="n">
        <v>0</v>
      </c>
      <c r="BN594" s="3" t="n">
        <v>0</v>
      </c>
      <c r="BO594" s="3" t="n">
        <v>0</v>
      </c>
      <c r="BP594" s="3" t="n">
        <v>0</v>
      </c>
      <c r="BQ594" s="3" t="n">
        <v>0</v>
      </c>
      <c r="BR594" s="3" t="n">
        <v>0</v>
      </c>
      <c r="BS594" s="3" t="n">
        <v>0</v>
      </c>
      <c r="BT594" s="3" t="n">
        <v>0</v>
      </c>
      <c r="BU594" s="3" t="n">
        <v>0</v>
      </c>
      <c r="BV594" s="3" t="n">
        <v>0</v>
      </c>
      <c r="BW594" s="3" t="n">
        <v>0</v>
      </c>
      <c r="BY594" s="20" t="inlineStr">
        <is>
          <t>egy.mit.pe.pow.bio.5</t>
        </is>
      </c>
      <c r="BZ594" s="3" t="n">
        <v>0</v>
      </c>
      <c r="CA594" s="3" t="n">
        <v>0</v>
      </c>
      <c r="CB594" s="3" t="n">
        <v>0</v>
      </c>
      <c r="CC594" s="3" t="n">
        <v>0</v>
      </c>
      <c r="CD594" s="3" t="n">
        <v>0</v>
      </c>
      <c r="CE594" s="3" t="n">
        <v>0</v>
      </c>
      <c r="CF594" s="3" t="n">
        <v>0</v>
      </c>
      <c r="CG594" s="3" t="n">
        <v>0</v>
      </c>
      <c r="CH594" s="3" t="n">
        <v>0</v>
      </c>
      <c r="CI594" s="3" t="n">
        <v>0</v>
      </c>
      <c r="CJ594" s="3" t="n">
        <v>0</v>
      </c>
      <c r="CK594" s="3" t="n">
        <v>0</v>
      </c>
      <c r="CL594" s="3" t="n">
        <v>0</v>
      </c>
      <c r="CM594" s="3" t="n">
        <v>0</v>
      </c>
      <c r="CN594" s="3" t="n">
        <v>0</v>
      </c>
      <c r="CO594" s="3" t="n">
        <v>0</v>
      </c>
      <c r="CP594" s="3" t="n">
        <v>0</v>
      </c>
      <c r="CQ594" s="3" t="n">
        <v>0</v>
      </c>
      <c r="CR594" s="3" t="n">
        <v>0</v>
      </c>
      <c r="CS594" s="3" t="n">
        <v>0</v>
      </c>
      <c r="CU594" s="20" t="inlineStr">
        <is>
          <t>egy.mit.pe.pow.bio.6</t>
        </is>
      </c>
      <c r="CV594" s="3" t="n">
        <v>0</v>
      </c>
      <c r="CW594" s="3" t="n">
        <v>0</v>
      </c>
      <c r="CX594" s="3" t="n">
        <v>0</v>
      </c>
      <c r="CY594" s="3" t="n">
        <v>0</v>
      </c>
      <c r="CZ594" s="3" t="n">
        <v>0</v>
      </c>
      <c r="DA594" s="3" t="n">
        <v>0</v>
      </c>
      <c r="DB594" s="3" t="n">
        <v>0</v>
      </c>
      <c r="DC594" s="3" t="n">
        <v>0</v>
      </c>
      <c r="DD594" s="3" t="n">
        <v>0</v>
      </c>
      <c r="DE594" s="3" t="n">
        <v>0</v>
      </c>
      <c r="DF594" s="3" t="n">
        <v>0</v>
      </c>
      <c r="DG594" s="3" t="n">
        <v>0</v>
      </c>
      <c r="DH594" s="3" t="n">
        <v>0</v>
      </c>
      <c r="DI594" s="3" t="n">
        <v>0</v>
      </c>
      <c r="DJ594" s="3" t="n">
        <v>0</v>
      </c>
      <c r="DK594" s="3" t="n">
        <v>0</v>
      </c>
      <c r="DL594" s="3" t="n">
        <v>0</v>
      </c>
      <c r="DM594" s="3" t="n">
        <v>0</v>
      </c>
      <c r="DN594" s="3" t="n">
        <v>0</v>
      </c>
      <c r="DO594" s="3" t="n">
        <v>0</v>
      </c>
    </row>
    <row r="595">
      <c r="A595" s="14" t="n"/>
      <c r="B595" s="3" t="inlineStr">
        <is>
          <t>mit</t>
        </is>
      </c>
      <c r="C595" s="19" t="n"/>
      <c r="H595" s="14" t="inlineStr">
        <is>
          <t>Fossil fuel consumption by sector, Power, elasticity, policy (ktoe)</t>
        </is>
      </c>
      <c r="I595" s="14" t="inlineStr">
        <is>
          <t>ktoe</t>
        </is>
      </c>
    </row>
    <row r="596">
      <c r="A596" s="14" t="n"/>
      <c r="B596" s="3" t="inlineStr">
        <is>
          <t>mit</t>
        </is>
      </c>
      <c r="C596" s="19" t="n"/>
      <c r="H596" s="14" t="inlineStr">
        <is>
          <t>Energy consumption, power, coal, policy</t>
        </is>
      </c>
      <c r="I596" s="14" t="inlineStr">
        <is>
          <t>ktoe</t>
        </is>
      </c>
    </row>
    <row r="597">
      <c r="A597" s="14" t="n"/>
      <c r="B597" s="3" t="inlineStr">
        <is>
          <t>mit</t>
        </is>
      </c>
      <c r="C597" s="19" t="n"/>
      <c r="H597" s="14" t="inlineStr">
        <is>
          <t>Energy consumption, power, natural gas, policy</t>
        </is>
      </c>
      <c r="I597" s="14" t="inlineStr">
        <is>
          <t>ktoe</t>
        </is>
      </c>
    </row>
    <row r="598">
      <c r="A598" s="14" t="n"/>
      <c r="B598" s="3" t="inlineStr">
        <is>
          <t>mit</t>
        </is>
      </c>
      <c r="C598" s="19" t="n"/>
      <c r="H598" s="14" t="inlineStr">
        <is>
          <t>Energy consumption, power, other oil products, policy</t>
        </is>
      </c>
      <c r="I598" s="14" t="inlineStr">
        <is>
          <t>ktoe</t>
        </is>
      </c>
    </row>
    <row r="599">
      <c r="A599" s="14" t="n"/>
      <c r="B599" s="3" t="inlineStr">
        <is>
          <t>mit</t>
        </is>
      </c>
      <c r="C599" s="19" t="inlineStr">
        <is>
          <t>mit.ener.em.ngaoil.e</t>
        </is>
      </c>
      <c r="H599" s="14" t="inlineStr">
        <is>
          <t>Energy consumption, power, nuclear, policy</t>
        </is>
      </c>
      <c r="I599" s="14" t="inlineStr">
        <is>
          <t>ktoe</t>
        </is>
      </c>
    </row>
    <row r="600">
      <c r="A600" s="14" t="n"/>
      <c r="B600" s="3" t="inlineStr">
        <is>
          <t>mit</t>
        </is>
      </c>
      <c r="C600" s="19" t="n"/>
      <c r="H600" s="14" t="inlineStr">
        <is>
          <t>Energy consumption, power, wind, policy</t>
        </is>
      </c>
      <c r="I600" s="14" t="inlineStr">
        <is>
          <t>ktoe</t>
        </is>
      </c>
    </row>
    <row r="601">
      <c r="A601" s="14" t="n"/>
      <c r="B601" s="3" t="inlineStr">
        <is>
          <t>mit</t>
        </is>
      </c>
      <c r="C601" s="19" t="n"/>
      <c r="H601" s="14" t="inlineStr">
        <is>
          <t>Energy consumption, power, solar, policy</t>
        </is>
      </c>
      <c r="I601" s="14" t="inlineStr">
        <is>
          <t>ktoe</t>
        </is>
      </c>
    </row>
    <row r="602">
      <c r="A602" s="14" t="n"/>
      <c r="B602" s="3" t="inlineStr">
        <is>
          <t>mit</t>
        </is>
      </c>
      <c r="C602" s="19" t="inlineStr">
        <is>
          <t>mit.ener.em.coa.e</t>
        </is>
      </c>
      <c r="H602" s="14" t="inlineStr">
        <is>
          <t>Energy consumption, power, hydro, policy</t>
        </is>
      </c>
      <c r="I602" s="14" t="inlineStr">
        <is>
          <t>ktoe</t>
        </is>
      </c>
    </row>
    <row r="603">
      <c r="A603" s="14" t="n"/>
      <c r="B603" s="3" t="inlineStr">
        <is>
          <t>mit</t>
        </is>
      </c>
      <c r="C603" s="19" t="n"/>
      <c r="H603" s="14" t="inlineStr">
        <is>
          <t>Energy consumption, power, other sector-generated renewables, policy</t>
        </is>
      </c>
      <c r="I603" s="14" t="inlineStr">
        <is>
          <t>ktoe</t>
        </is>
      </c>
    </row>
    <row r="604">
      <c r="A604" s="14" t="n"/>
      <c r="B604" s="3" t="inlineStr">
        <is>
          <t>mit</t>
        </is>
      </c>
      <c r="C604" s="19" t="n"/>
      <c r="H604" s="14" t="inlineStr">
        <is>
          <t>Energy consumption, power, biomass, policy</t>
        </is>
      </c>
      <c r="I604" s="14" t="inlineStr">
        <is>
          <t>ktoe</t>
        </is>
      </c>
    </row>
    <row r="605">
      <c r="A605" s="14" t="n"/>
      <c r="B605" s="3" t="inlineStr">
        <is>
          <t>mit</t>
        </is>
      </c>
      <c r="C605" s="19" t="n"/>
      <c r="H605" s="14" t="inlineStr">
        <is>
          <t>Fossil fuel consumption by sector, Power, average, policy (ktoe)</t>
        </is>
      </c>
      <c r="I605" s="14" t="inlineStr">
        <is>
          <t>ktoe</t>
        </is>
      </c>
    </row>
    <row r="606">
      <c r="A606" s="14" t="n"/>
      <c r="B606" s="3" t="inlineStr">
        <is>
          <t>mit</t>
        </is>
      </c>
      <c r="C606" s="19" t="n"/>
      <c r="H606" s="14" t="inlineStr">
        <is>
          <t>Energy consumption, power, nuclear, policy</t>
        </is>
      </c>
      <c r="I606" s="14" t="inlineStr">
        <is>
          <t>ktoe</t>
        </is>
      </c>
    </row>
    <row r="607">
      <c r="A607" s="14" t="n"/>
      <c r="B607" s="3" t="inlineStr">
        <is>
          <t>mit</t>
        </is>
      </c>
      <c r="C607" s="19" t="n"/>
      <c r="H607" s="14" t="inlineStr">
        <is>
          <t>Energy consumption, power, hydro, policy</t>
        </is>
      </c>
      <c r="I607" s="14" t="inlineStr">
        <is>
          <t>ktoe</t>
        </is>
      </c>
    </row>
    <row r="608">
      <c r="A608" s="5" t="n"/>
      <c r="B608" s="18" t="inlineStr">
        <is>
          <t>Revenues</t>
        </is>
      </c>
      <c r="C608" s="5" t="n"/>
      <c r="D608" s="5" t="n"/>
      <c r="E608" s="5" t="n"/>
      <c r="F608" s="5" t="n"/>
      <c r="G608" s="5" t="n"/>
      <c r="H608" s="5" t="n"/>
      <c r="I608" s="5" t="n"/>
      <c r="J608" s="5" t="n"/>
      <c r="K608" s="5" t="n"/>
      <c r="L608" s="5" t="n"/>
      <c r="M608" s="5" t="n"/>
      <c r="N608" s="5" t="n"/>
      <c r="O608" s="5" t="n"/>
      <c r="P608" s="5" t="n"/>
      <c r="Q608" s="5" t="n"/>
      <c r="R608" s="5" t="n"/>
      <c r="S608" s="5" t="n"/>
      <c r="T608" s="5" t="n"/>
      <c r="U608" s="5" t="n"/>
      <c r="V608" s="5" t="n"/>
      <c r="W608" s="5" t="n"/>
      <c r="X608" s="5" t="n"/>
      <c r="Y608" s="5" t="n"/>
      <c r="Z608" s="5" t="n"/>
      <c r="AA608" s="5" t="n"/>
      <c r="AB608" s="5" t="n"/>
      <c r="AC608" s="5" t="n"/>
      <c r="AD608" s="5" t="n"/>
      <c r="AE608" s="5" t="n"/>
      <c r="AF608" s="5" t="n"/>
      <c r="AG608" s="5" t="n"/>
      <c r="AH608" s="5" t="n"/>
      <c r="AI608" s="5" t="n"/>
      <c r="AJ608" s="5" t="n"/>
      <c r="AK608" s="5" t="n"/>
      <c r="AL608" s="5" t="n"/>
      <c r="AM608" s="5" t="n"/>
      <c r="AN608" s="5" t="n"/>
      <c r="AO608" s="5" t="n"/>
      <c r="AP608" s="5" t="n"/>
      <c r="AQ608" s="5" t="n"/>
      <c r="AR608" s="5" t="n"/>
      <c r="AS608" s="5" t="n"/>
      <c r="AT608" s="5" t="n"/>
      <c r="AU608" s="5" t="n"/>
      <c r="AV608" s="5" t="n"/>
      <c r="AW608" s="5" t="n"/>
      <c r="AX608" s="5" t="n"/>
      <c r="AY608" s="5" t="n"/>
      <c r="AZ608" s="5" t="n"/>
      <c r="BA608" s="5" t="n"/>
      <c r="BB608" s="5" t="n"/>
      <c r="BC608" s="5" t="n"/>
      <c r="BD608" s="5" t="n"/>
      <c r="BE608" s="5" t="n"/>
      <c r="BF608" s="5" t="n"/>
      <c r="BG608" s="5" t="n"/>
      <c r="BH608" s="5" t="n"/>
      <c r="BI608" s="5" t="n"/>
      <c r="BJ608" s="5" t="n"/>
      <c r="BK608" s="5" t="n"/>
      <c r="BL608" s="5" t="n"/>
      <c r="BM608" s="5" t="n"/>
      <c r="BN608" s="5" t="n"/>
      <c r="BO608" s="5" t="n"/>
      <c r="BP608" s="5" t="n"/>
      <c r="BQ608" s="5" t="n"/>
      <c r="BR608" s="5" t="n"/>
      <c r="BS608" s="5" t="n"/>
      <c r="BT608" s="5" t="n"/>
      <c r="BU608" s="5" t="n"/>
      <c r="BV608" s="5" t="n"/>
      <c r="BW608" s="5" t="n"/>
      <c r="BX608" s="5" t="n"/>
      <c r="BY608" s="5" t="n"/>
      <c r="BZ608" s="5" t="n"/>
      <c r="CA608" s="5" t="n"/>
      <c r="CB608" s="5" t="n"/>
      <c r="CC608" s="5" t="n"/>
      <c r="CD608" s="5" t="n"/>
      <c r="CE608" s="5" t="n"/>
      <c r="CF608" s="5" t="n"/>
      <c r="CG608" s="5" t="n"/>
      <c r="CH608" s="5" t="n"/>
      <c r="CI608" s="5" t="n"/>
      <c r="CJ608" s="5" t="n"/>
      <c r="CK608" s="5" t="n"/>
      <c r="CL608" s="5" t="n"/>
      <c r="CM608" s="5" t="n"/>
      <c r="CN608" s="5" t="n"/>
      <c r="CO608" s="5" t="n"/>
      <c r="CP608" s="5" t="n"/>
      <c r="CQ608" s="5" t="n"/>
      <c r="CR608" s="5" t="n"/>
      <c r="CS608" s="5" t="n"/>
      <c r="CT608" s="5" t="n"/>
      <c r="CU608" s="5" t="n"/>
      <c r="CV608" s="5" t="n"/>
      <c r="CW608" s="5" t="n"/>
      <c r="CX608" s="5" t="n"/>
      <c r="CY608" s="5" t="n"/>
      <c r="CZ608" s="5" t="n"/>
      <c r="DA608" s="5" t="n"/>
      <c r="DB608" s="5" t="n"/>
      <c r="DC608" s="5" t="n"/>
      <c r="DD608" s="5" t="n"/>
      <c r="DE608" s="5" t="n"/>
      <c r="DF608" s="5" t="n"/>
      <c r="DG608" s="5" t="n"/>
      <c r="DH608" s="5" t="n"/>
      <c r="DI608" s="5" t="n"/>
      <c r="DJ608" s="5" t="n"/>
      <c r="DK608" s="5" t="n"/>
      <c r="DL608" s="5" t="n"/>
      <c r="DM608" s="5" t="n"/>
      <c r="DN608" s="5" t="n"/>
      <c r="DO608" s="5" t="n"/>
      <c r="DP608" s="5" t="n"/>
      <c r="DQ608" s="5" t="n"/>
      <c r="DR608" s="5" t="n"/>
      <c r="DS608" s="5" t="n"/>
      <c r="DT608" s="5" t="n"/>
      <c r="DU608" s="5" t="n"/>
      <c r="DV608" s="5" t="n"/>
      <c r="DW608" s="5" t="n"/>
      <c r="DX608" s="5" t="n"/>
      <c r="DY608" s="5" t="n"/>
      <c r="DZ608" s="5" t="n"/>
      <c r="EA608" s="5" t="n"/>
      <c r="EB608" s="5" t="n"/>
      <c r="EC608" s="5" t="n"/>
      <c r="ED608" s="5" t="n"/>
      <c r="EE608" s="5" t="n"/>
      <c r="EF608" s="5" t="n"/>
      <c r="EG608" s="5" t="n"/>
      <c r="EH608" s="5" t="n"/>
      <c r="EI608" s="5" t="n"/>
      <c r="EJ608" s="5" t="n"/>
      <c r="EK608" s="5" t="n"/>
      <c r="EL608" s="5" t="n"/>
      <c r="EM608" s="5" t="n"/>
      <c r="EN608" s="5" t="n"/>
      <c r="EO608" s="5" t="n"/>
      <c r="EP608" s="5" t="n"/>
      <c r="EQ608" s="5" t="n"/>
      <c r="ER608" s="5" t="n"/>
      <c r="ES608" s="5" t="n"/>
      <c r="ET608" s="5" t="n"/>
      <c r="EU608" s="5" t="n"/>
      <c r="EV608" s="5" t="n"/>
      <c r="EW608" s="5" t="n"/>
      <c r="EX608" s="5" t="n"/>
      <c r="EY608" s="5" t="n"/>
      <c r="EZ608" s="5" t="n"/>
      <c r="FA608" s="5" t="n"/>
      <c r="FB608" s="5" t="n"/>
      <c r="FC608" s="5" t="n"/>
      <c r="FD608" s="5" t="n"/>
      <c r="FE608" s="5" t="n"/>
      <c r="FF608" s="5" t="n"/>
      <c r="FG608" s="5" t="n"/>
      <c r="FH608" s="5" t="n"/>
      <c r="FI608" s="5" t="n"/>
      <c r="FJ608" s="5" t="n"/>
      <c r="FK608" s="5" t="n"/>
      <c r="FL608" s="5" t="n"/>
      <c r="FM608" s="5" t="n"/>
      <c r="FN608" s="5" t="n"/>
      <c r="FO608" s="5" t="n"/>
      <c r="FP608" s="5" t="n"/>
      <c r="FQ608" s="5" t="n"/>
      <c r="FR608" s="5" t="n"/>
      <c r="FS608" s="5" t="n"/>
      <c r="FT608" s="5" t="n"/>
      <c r="FU608" s="5" t="n"/>
      <c r="FV608" s="5" t="n"/>
      <c r="FW608" s="5" t="n"/>
      <c r="FX608" s="5" t="n"/>
      <c r="FY608" s="5" t="n"/>
      <c r="FZ608" s="5" t="n"/>
      <c r="GA608" s="5" t="n"/>
      <c r="GB608" s="5" t="n"/>
      <c r="GC608" s="5" t="n"/>
      <c r="GD608" s="5" t="n"/>
      <c r="GE608" s="5" t="n"/>
      <c r="GF608" s="5" t="n"/>
      <c r="GG608" s="5" t="n"/>
      <c r="GH608" s="5" t="n"/>
      <c r="GI608" s="5" t="n"/>
      <c r="GJ608" s="5" t="n"/>
      <c r="GK608" s="5" t="n"/>
      <c r="GL608" s="5" t="n"/>
      <c r="GM608" s="5" t="n"/>
      <c r="GN608" s="5" t="n"/>
      <c r="GO608" s="5" t="n"/>
      <c r="GP608" s="5" t="n"/>
      <c r="GQ608" s="5" t="n"/>
      <c r="GR608" s="5" t="n"/>
      <c r="GS608" s="5" t="n"/>
      <c r="GT608" s="5" t="n"/>
      <c r="GU608" s="5" t="n"/>
      <c r="GV608" s="5" t="n"/>
      <c r="GW608" s="5" t="n"/>
      <c r="GX608" s="5" t="n"/>
      <c r="GY608" s="5" t="n"/>
      <c r="GZ608" s="5" t="n"/>
      <c r="HA608" s="5" t="n"/>
      <c r="HB608" s="5" t="n"/>
      <c r="HC608" s="5" t="n"/>
      <c r="HD608" s="5" t="n"/>
      <c r="HE608" s="5" t="n"/>
      <c r="HF608" s="5" t="n"/>
      <c r="HG608" s="5" t="n"/>
      <c r="HH608" s="5" t="n"/>
      <c r="HI608" s="5" t="n"/>
      <c r="HJ608" s="5" t="n"/>
      <c r="HK608" s="5" t="n"/>
      <c r="HL608" s="5" t="n"/>
      <c r="HM608" s="5" t="n"/>
      <c r="HN608" s="5" t="n"/>
      <c r="HO608" s="5" t="n"/>
      <c r="HP608" s="5" t="n"/>
      <c r="HQ608" s="5" t="n"/>
      <c r="HR608" s="5" t="n"/>
      <c r="HS608" s="5" t="n"/>
      <c r="HT608" s="5" t="n"/>
      <c r="HU608" s="5" t="n"/>
      <c r="HV608" s="5" t="n"/>
    </row>
    <row r="609">
      <c r="A609" s="19" t="inlineStr">
        <is>
          <t>mit.rev.usd.tot</t>
        </is>
      </c>
      <c r="B609" s="3" t="inlineStr">
        <is>
          <t>mit</t>
        </is>
      </c>
      <c r="C609" s="19" t="inlineStr">
        <is>
          <t>mit.rev.new.usd</t>
        </is>
      </c>
      <c r="H609" s="3" t="inlineStr">
        <is>
          <t>Total revenue (net existing + new policies + methane fee) | All sectors | All fuels</t>
        </is>
      </c>
      <c r="I609" s="3" t="inlineStr">
        <is>
          <t>USD m real</t>
        </is>
      </c>
      <c r="K609" s="20" t="inlineStr">
        <is>
          <t>egy.mit.rev.usd.tot.1</t>
        </is>
      </c>
      <c r="L609" s="23" t="n">
        <v>-45462.04912899274</v>
      </c>
      <c r="M609" s="23" t="n">
        <v>-41402.14461253794</v>
      </c>
      <c r="N609" s="23" t="n">
        <v>-47350.68492179624</v>
      </c>
      <c r="O609" s="23" t="n">
        <v>-45294.31313752134</v>
      </c>
      <c r="P609" s="23" t="n">
        <v>-50500.21568507566</v>
      </c>
      <c r="Q609" s="23" t="n">
        <v>-47953.30484696926</v>
      </c>
      <c r="R609" s="23" t="n">
        <v>-48307.86495811505</v>
      </c>
      <c r="S609" s="23" t="n">
        <v>-49182.4254804889</v>
      </c>
      <c r="T609" s="23" t="n">
        <v>-49790.0019412703</v>
      </c>
      <c r="U609" s="23" t="n">
        <v>-50021.60757726816</v>
      </c>
      <c r="V609" s="23" t="n">
        <v>-50816.73742767629</v>
      </c>
      <c r="W609" s="23" t="n">
        <v>-52231.83534094644</v>
      </c>
      <c r="X609" s="23" t="n">
        <v>-53583.38559531765</v>
      </c>
      <c r="Y609" s="23" t="n">
        <v>-55024.35302706048</v>
      </c>
      <c r="Z609" s="23" t="n">
        <v>-56488.61320946628</v>
      </c>
      <c r="AA609" s="23" t="n">
        <v>-57982.46372453726</v>
      </c>
      <c r="AB609" s="23" t="n">
        <v>-59503.7369692127</v>
      </c>
      <c r="AC609" s="23" t="n">
        <v>-61052.71662861393</v>
      </c>
      <c r="AD609" s="23" t="n">
        <v>-62631.45503742052</v>
      </c>
      <c r="AE609" s="23" t="n">
        <v>-64240.6277013928</v>
      </c>
      <c r="AG609" s="20" t="inlineStr">
        <is>
          <t>egy.mit.rev.usd.tot.3</t>
        </is>
      </c>
      <c r="AH609" s="23" t="n">
        <v>-45462.04912899274</v>
      </c>
      <c r="AI609" s="23" t="n">
        <v>-41395.41619103285</v>
      </c>
      <c r="AJ609" s="23" t="n">
        <v>-47342.94109229933</v>
      </c>
      <c r="AK609" s="23" t="n">
        <v>-45286.66638563104</v>
      </c>
      <c r="AL609" s="23" t="n">
        <v>-50492.1983370066</v>
      </c>
      <c r="AM609" s="23" t="n">
        <v>-39589.26652315646</v>
      </c>
      <c r="AN609" s="23" t="n">
        <v>-37816.41376147776</v>
      </c>
      <c r="AO609" s="23" t="n">
        <v>-38710.30145350129</v>
      </c>
      <c r="AP609" s="23" t="n">
        <v>-38955.49561921142</v>
      </c>
      <c r="AQ609" s="23" t="n">
        <v>-39399.29791011203</v>
      </c>
      <c r="AR609" s="23" t="n">
        <v>-40087.2864735232</v>
      </c>
      <c r="AS609" s="23" t="n">
        <v>-41372.00373191563</v>
      </c>
      <c r="AT609" s="23" t="n">
        <v>-42531.02337729436</v>
      </c>
      <c r="AU609" s="23" t="n">
        <v>-43802.30091544719</v>
      </c>
      <c r="AV609" s="23" t="n">
        <v>-45102.34664156412</v>
      </c>
      <c r="AW609" s="23" t="n">
        <v>-46446.32928492023</v>
      </c>
      <c r="AX609" s="23" t="n">
        <v>-47794.58241054398</v>
      </c>
      <c r="AY609" s="23" t="n">
        <v>-49159.34773460424</v>
      </c>
      <c r="AZ609" s="23" t="n">
        <v>-50523.17829669776</v>
      </c>
      <c r="BA609" s="23" t="n">
        <v>-51907.14783950022</v>
      </c>
      <c r="BC609" s="20" t="inlineStr">
        <is>
          <t>egy.mit.rev.usd.tot.4</t>
        </is>
      </c>
      <c r="BD609" s="23" t="n">
        <v>-45462.04912899274</v>
      </c>
      <c r="BE609" s="23" t="n">
        <v>-41378.90264449762</v>
      </c>
      <c r="BF609" s="23" t="n">
        <v>-47324.21593312803</v>
      </c>
      <c r="BG609" s="23" t="n">
        <v>-45268.15261218179</v>
      </c>
      <c r="BH609" s="23" t="n">
        <v>-50472.87409876537</v>
      </c>
      <c r="BI609" s="23" t="n">
        <v>-43178.57573720854</v>
      </c>
      <c r="BJ609" s="23" t="n">
        <v>-37099.57523977532</v>
      </c>
      <c r="BK609" s="23" t="n">
        <v>-31932.13975006547</v>
      </c>
      <c r="BL609" s="23" t="n">
        <v>-27546.07736272872</v>
      </c>
      <c r="BM609" s="23" t="n">
        <v>-23834.45795928872</v>
      </c>
      <c r="BN609" s="23" t="n">
        <v>-20616.06916375265</v>
      </c>
      <c r="BO609" s="23" t="n">
        <v>-17828.45513718623</v>
      </c>
      <c r="BP609" s="23" t="n">
        <v>-15182.72685525121</v>
      </c>
      <c r="BQ609" s="23" t="n">
        <v>-12781.59808036565</v>
      </c>
      <c r="BR609" s="23" t="n">
        <v>-10530.85849921231</v>
      </c>
      <c r="BS609" s="23" t="n">
        <v>-8442.201829619742</v>
      </c>
      <c r="BT609" s="23" t="n">
        <v>-6498.741981887735</v>
      </c>
      <c r="BU609" s="23" t="n">
        <v>-4650.61573572534</v>
      </c>
      <c r="BV609" s="23" t="n">
        <v>-2970.000086834989</v>
      </c>
      <c r="BW609" s="23" t="n">
        <v>-1291.318708472543</v>
      </c>
      <c r="BY609" s="20" t="inlineStr">
        <is>
          <t>egy.mit.rev.usd.tot.5</t>
        </is>
      </c>
      <c r="BZ609" s="23" t="n">
        <v>-45462.04912899274</v>
      </c>
      <c r="CA609" s="23" t="n">
        <v>-41362.68914093085</v>
      </c>
      <c r="CB609" s="23" t="n">
        <v>-47305.55558608528</v>
      </c>
      <c r="CC609" s="23" t="n">
        <v>-45249.69742928816</v>
      </c>
      <c r="CD609" s="23" t="n">
        <v>-50453.52886726175</v>
      </c>
      <c r="CE609" s="23" t="n">
        <v>-40783.35880705237</v>
      </c>
      <c r="CF609" s="23" t="n">
        <v>-41045.45227332726</v>
      </c>
      <c r="CG609" s="23" t="n">
        <v>-41795.87215739737</v>
      </c>
      <c r="CH609" s="23" t="n">
        <v>-42232.7161388637</v>
      </c>
      <c r="CI609" s="23" t="n">
        <v>-42240.79819436172</v>
      </c>
      <c r="CJ609" s="23" t="n">
        <v>-42578.58160656289</v>
      </c>
      <c r="CK609" s="23" t="n">
        <v>-43706.46904251756</v>
      </c>
      <c r="CL609" s="23" t="n">
        <v>-44365.92706380803</v>
      </c>
      <c r="CM609" s="23" t="n">
        <v>-45187.82999613722</v>
      </c>
      <c r="CN609" s="23" t="n">
        <v>-46115.29317636997</v>
      </c>
      <c r="CO609" s="23" t="n">
        <v>-46999.21578188222</v>
      </c>
      <c r="CP609" s="23" t="n">
        <v>-47953.02531955957</v>
      </c>
      <c r="CQ609" s="23" t="n">
        <v>-48956.41472875803</v>
      </c>
      <c r="CR609" s="23" t="n">
        <v>-49944.78981594834</v>
      </c>
      <c r="CS609" s="23" t="n">
        <v>-51000.76486996395</v>
      </c>
      <c r="CU609" s="20" t="inlineStr">
        <is>
          <t>egy.mit.rev.usd.tot.6</t>
        </is>
      </c>
      <c r="CV609" s="23" t="n">
        <v>-45462.04912899274</v>
      </c>
      <c r="CW609" s="23" t="n">
        <v>-41386.11454316262</v>
      </c>
      <c r="CX609" s="23" t="n">
        <v>-47332.34608945021</v>
      </c>
      <c r="CY609" s="23" t="n">
        <v>-45276.19487707072</v>
      </c>
      <c r="CZ609" s="23" t="n">
        <v>-50481.25357497008</v>
      </c>
      <c r="DA609" s="23" t="n">
        <v>-30042.98367567215</v>
      </c>
      <c r="DB609" s="23" t="n">
        <v>-26520.18627406217</v>
      </c>
      <c r="DC609" s="23" t="n">
        <v>-27148.10245192508</v>
      </c>
      <c r="DD609" s="23" t="n">
        <v>-27048.60218481228</v>
      </c>
      <c r="DE609" s="23" t="n">
        <v>-27618.53118400638</v>
      </c>
      <c r="DF609" s="23" t="n">
        <v>-28106.82916164383</v>
      </c>
      <c r="DG609" s="23" t="n">
        <v>-29067.0833575793</v>
      </c>
      <c r="DH609" s="23" t="n">
        <v>-29890.44246958244</v>
      </c>
      <c r="DI609" s="23" t="n">
        <v>-30899.18795065266</v>
      </c>
      <c r="DJ609" s="23" t="n">
        <v>-31887.35662559994</v>
      </c>
      <c r="DK609" s="23" t="n">
        <v>-32993.75595120003</v>
      </c>
      <c r="DL609" s="23" t="n">
        <v>-34046.5281328105</v>
      </c>
      <c r="DM609" s="23" t="n">
        <v>-35174.85338496236</v>
      </c>
      <c r="DN609" s="23" t="n">
        <v>-36241.92643434669</v>
      </c>
      <c r="DO609" s="23" t="n">
        <v>-37377.17798294048</v>
      </c>
    </row>
    <row r="610">
      <c r="A610" s="14" t="n"/>
      <c r="B610" s="3" t="inlineStr">
        <is>
          <t>mit</t>
        </is>
      </c>
      <c r="C610" s="19" t="n"/>
      <c r="H610" s="14" t="inlineStr">
        <is>
          <t>Fiscal revenues, coal, baseline</t>
        </is>
      </c>
      <c r="I610" s="14" t="inlineStr">
        <is>
          <t>usd</t>
        </is>
      </c>
    </row>
    <row r="611">
      <c r="A611" s="14" t="n"/>
      <c r="B611" s="3" t="inlineStr">
        <is>
          <t>mit</t>
        </is>
      </c>
      <c r="C611" s="19" t="n"/>
      <c r="H611" s="14" t="inlineStr">
        <is>
          <t>Fiscal revenues, natural gas, baseline</t>
        </is>
      </c>
      <c r="I611" s="14" t="inlineStr">
        <is>
          <t>usd</t>
        </is>
      </c>
    </row>
    <row r="612">
      <c r="A612" s="14" t="n"/>
      <c r="B612" s="3" t="inlineStr">
        <is>
          <t>mit</t>
        </is>
      </c>
      <c r="C612" s="19" t="n"/>
      <c r="H612" s="14" t="inlineStr">
        <is>
          <t>Fiscal revenues, non-road oil, baseline</t>
        </is>
      </c>
      <c r="I612" s="14" t="inlineStr">
        <is>
          <t>usd</t>
        </is>
      </c>
    </row>
    <row r="613">
      <c r="A613" s="14" t="n"/>
      <c r="B613" s="3" t="inlineStr">
        <is>
          <t>mit</t>
        </is>
      </c>
      <c r="C613" s="19" t="n"/>
      <c r="H613" s="14" t="inlineStr">
        <is>
          <t>Fiscal revenues, gasoline, baseline</t>
        </is>
      </c>
      <c r="I613" s="14" t="inlineStr">
        <is>
          <t>usd</t>
        </is>
      </c>
    </row>
    <row r="614">
      <c r="A614" s="14" t="n"/>
      <c r="B614" s="3" t="inlineStr">
        <is>
          <t>mit</t>
        </is>
      </c>
      <c r="C614" s="19" t="n"/>
      <c r="H614" s="14" t="inlineStr">
        <is>
          <t>Fiscal revenues, diesel, baseline</t>
        </is>
      </c>
      <c r="I614" s="14" t="inlineStr">
        <is>
          <t>usd</t>
        </is>
      </c>
    </row>
    <row r="615">
      <c r="A615" s="14" t="n"/>
      <c r="B615" s="3" t="inlineStr">
        <is>
          <t>mit</t>
        </is>
      </c>
      <c r="C615" s="19" t="n"/>
      <c r="H615" s="14" t="inlineStr">
        <is>
          <t>Fiscal revenues, lpg &amp; kerosene, baseline</t>
        </is>
      </c>
      <c r="I615" s="14" t="inlineStr">
        <is>
          <t>usd</t>
        </is>
      </c>
    </row>
    <row r="616">
      <c r="A616" s="14" t="n"/>
      <c r="B616" s="3" t="inlineStr">
        <is>
          <t>mit</t>
        </is>
      </c>
      <c r="C616" s="19" t="inlineStr">
        <is>
          <t>mit.rev.new.coa.usd</t>
        </is>
      </c>
      <c r="H616" s="14" t="inlineStr">
        <is>
          <t>Fiscal revenues, coal, policy</t>
        </is>
      </c>
      <c r="I616" s="14" t="inlineStr">
        <is>
          <t>usd</t>
        </is>
      </c>
    </row>
    <row r="617">
      <c r="A617" s="14" t="n"/>
      <c r="B617" s="3" t="inlineStr">
        <is>
          <t>mit</t>
        </is>
      </c>
      <c r="C617" s="19" t="inlineStr">
        <is>
          <t>mit.rev.new.nga.usd</t>
        </is>
      </c>
      <c r="H617" s="14" t="inlineStr">
        <is>
          <t>Fiscal revenues, natural gas, policy</t>
        </is>
      </c>
      <c r="I617" s="14" t="inlineStr">
        <is>
          <t>usd</t>
        </is>
      </c>
    </row>
    <row r="618">
      <c r="A618" s="14" t="n"/>
      <c r="B618" s="3" t="inlineStr">
        <is>
          <t>mit</t>
        </is>
      </c>
      <c r="C618" s="19" t="inlineStr">
        <is>
          <t>mit.rev.new.oil.usd</t>
        </is>
      </c>
      <c r="H618" s="14" t="inlineStr">
        <is>
          <t>Fiscal revenues, non-road oil, policy</t>
        </is>
      </c>
      <c r="I618" s="14" t="inlineStr">
        <is>
          <t>usd</t>
        </is>
      </c>
    </row>
    <row r="619">
      <c r="A619" s="14" t="n"/>
      <c r="B619" s="3" t="inlineStr">
        <is>
          <t>mit</t>
        </is>
      </c>
      <c r="C619" s="19" t="inlineStr">
        <is>
          <t>mit.rev.new.gso.usd</t>
        </is>
      </c>
      <c r="H619" s="14" t="inlineStr">
        <is>
          <t>Fiscal revenues, gasoline, policy</t>
        </is>
      </c>
      <c r="I619" s="14" t="inlineStr">
        <is>
          <t>usd</t>
        </is>
      </c>
    </row>
    <row r="620">
      <c r="A620" s="14" t="n"/>
      <c r="B620" s="3" t="inlineStr">
        <is>
          <t>mit</t>
        </is>
      </c>
      <c r="C620" s="19" t="inlineStr">
        <is>
          <t>mit.rev.new.die.usd</t>
        </is>
      </c>
      <c r="H620" s="14" t="inlineStr">
        <is>
          <t>Fiscal revenues, diesel, policy</t>
        </is>
      </c>
      <c r="I620" s="14" t="inlineStr">
        <is>
          <t>usd</t>
        </is>
      </c>
    </row>
    <row r="621">
      <c r="A621" s="14" t="n"/>
      <c r="B621" s="3" t="inlineStr">
        <is>
          <t>mit</t>
        </is>
      </c>
      <c r="C621" s="19" t="inlineStr">
        <is>
          <t>mit.rev.new.lpk.usd</t>
        </is>
      </c>
      <c r="H621" s="14" t="inlineStr">
        <is>
          <t>Fiscal revenues, lpg &amp; kerosene, policy</t>
        </is>
      </c>
      <c r="I621" s="14" t="inlineStr">
        <is>
          <t>usd</t>
        </is>
      </c>
    </row>
    <row r="622">
      <c r="A622" s="19" t="inlineStr">
        <is>
          <t>mit.rev.usd.tot.coa</t>
        </is>
      </c>
      <c r="B622" s="3" t="inlineStr">
        <is>
          <t>mit</t>
        </is>
      </c>
      <c r="C622" s="19" t="inlineStr">
        <is>
          <t>mit.rev.tot.coa.usd</t>
        </is>
      </c>
      <c r="H622" s="3" t="inlineStr">
        <is>
          <t>Revenue by fuel net of subsidies: final use (fuels), electricity (VAT, subsidy gap, VAT on new policies) | All sectors | Coal</t>
        </is>
      </c>
      <c r="I622" s="3" t="inlineStr">
        <is>
          <t>USD m real</t>
        </is>
      </c>
      <c r="K622" s="20" t="inlineStr">
        <is>
          <t>egy.mit.rev.usd.tot.coa.1</t>
        </is>
      </c>
      <c r="L622" s="3" t="n">
        <v>24.45879112577497</v>
      </c>
      <c r="M622" s="3" t="n">
        <v>14.04999043023967</v>
      </c>
      <c r="N622" s="3" t="n">
        <v>12.94669276957797</v>
      </c>
      <c r="O622" s="3" t="n">
        <v>14.00011884761281</v>
      </c>
      <c r="P622" s="3" t="n">
        <v>13.77132796835999</v>
      </c>
      <c r="Q622" s="3" t="n">
        <v>13.94667898719225</v>
      </c>
      <c r="R622" s="3" t="n">
        <v>14.32255961669405</v>
      </c>
      <c r="S622" s="3" t="n">
        <v>14.68720361606978</v>
      </c>
      <c r="T622" s="3" t="n">
        <v>15.03493374680431</v>
      </c>
      <c r="U622" s="3" t="n">
        <v>15.38325236784121</v>
      </c>
      <c r="V622" s="3" t="n">
        <v>15.67313278889164</v>
      </c>
      <c r="W622" s="3" t="n">
        <v>15.96372816148784</v>
      </c>
      <c r="X622" s="3" t="n">
        <v>16.25495587420927</v>
      </c>
      <c r="Y622" s="3" t="n">
        <v>16.54673405148523</v>
      </c>
      <c r="Z622" s="3" t="n">
        <v>16.83898148358465</v>
      </c>
      <c r="AA622" s="3" t="n">
        <v>17.13161754918381</v>
      </c>
      <c r="AB622" s="3" t="n">
        <v>17.42456213089402</v>
      </c>
      <c r="AC622" s="3" t="n">
        <v>17.71773552410741</v>
      </c>
      <c r="AD622" s="3" t="n">
        <v>18.01105833949375</v>
      </c>
      <c r="AE622" s="3" t="n">
        <v>18.30445139945717</v>
      </c>
      <c r="AG622" s="20" t="inlineStr">
        <is>
          <t>egy.mit.rev.usd.tot.coa.3</t>
        </is>
      </c>
      <c r="AH622" s="3" t="n">
        <v>24.45879112577497</v>
      </c>
      <c r="AI622" s="3" t="n">
        <v>14.04999043023967</v>
      </c>
      <c r="AJ622" s="3" t="n">
        <v>12.94669276957797</v>
      </c>
      <c r="AK622" s="3" t="n">
        <v>14.00011884761281</v>
      </c>
      <c r="AL622" s="3" t="n">
        <v>13.77132796835999</v>
      </c>
      <c r="AM622" s="3" t="n">
        <v>155.961348220907</v>
      </c>
      <c r="AN622" s="3" t="n">
        <v>160.0663757184313</v>
      </c>
      <c r="AO622" s="3" t="n">
        <v>164.0772574958067</v>
      </c>
      <c r="AP622" s="3" t="n">
        <v>167.7257758902936</v>
      </c>
      <c r="AQ622" s="3" t="n">
        <v>171.5038229061384</v>
      </c>
      <c r="AR622" s="3" t="n">
        <v>174.7027452591587</v>
      </c>
      <c r="AS622" s="3" t="n">
        <v>178.0144307655213</v>
      </c>
      <c r="AT622" s="3" t="n">
        <v>181.3843903411002</v>
      </c>
      <c r="AU622" s="3" t="n">
        <v>184.7377835908956</v>
      </c>
      <c r="AV622" s="3" t="n">
        <v>188.1192673142749</v>
      </c>
      <c r="AW622" s="3" t="n">
        <v>191.5573853559229</v>
      </c>
      <c r="AX622" s="3" t="n">
        <v>194.9528914205458</v>
      </c>
      <c r="AY622" s="3" t="n">
        <v>198.3263551787117</v>
      </c>
      <c r="AZ622" s="3" t="n">
        <v>201.6420812747573</v>
      </c>
      <c r="BA622" s="3" t="n">
        <v>204.9417132761151</v>
      </c>
      <c r="BC622" s="20" t="inlineStr">
        <is>
          <t>egy.mit.rev.usd.tot.coa.4</t>
        </is>
      </c>
      <c r="BD622" s="3" t="n">
        <v>24.45879112577497</v>
      </c>
      <c r="BE622" s="3" t="n">
        <v>14.04999043023967</v>
      </c>
      <c r="BF622" s="3" t="n">
        <v>12.94669276957797</v>
      </c>
      <c r="BG622" s="3" t="n">
        <v>14.00011884761281</v>
      </c>
      <c r="BH622" s="3" t="n">
        <v>13.77132796835999</v>
      </c>
      <c r="BI622" s="3" t="n">
        <v>88.29304931142048</v>
      </c>
      <c r="BJ622" s="3" t="n">
        <v>175.2607044428865</v>
      </c>
      <c r="BK622" s="3" t="n">
        <v>252.4284071203643</v>
      </c>
      <c r="BL622" s="3" t="n">
        <v>322.3732135741209</v>
      </c>
      <c r="BM622" s="3" t="n">
        <v>391.7735563677421</v>
      </c>
      <c r="BN622" s="3" t="n">
        <v>457.1421652581456</v>
      </c>
      <c r="BO622" s="3" t="n">
        <v>520.0681015350601</v>
      </c>
      <c r="BP622" s="3" t="n">
        <v>581.2323544220643</v>
      </c>
      <c r="BQ622" s="3" t="n">
        <v>641.022618821228</v>
      </c>
      <c r="BR622" s="3" t="n">
        <v>699.7840701610151</v>
      </c>
      <c r="BS622" s="3" t="n">
        <v>757.8777370478787</v>
      </c>
      <c r="BT622" s="3" t="n">
        <v>815.4231604966415</v>
      </c>
      <c r="BU622" s="3" t="n">
        <v>872.5171236796161</v>
      </c>
      <c r="BV622" s="3" t="n">
        <v>929.0942941060381</v>
      </c>
      <c r="BW622" s="3" t="n">
        <v>985.1903990012867</v>
      </c>
      <c r="BY622" s="20" t="inlineStr">
        <is>
          <t>egy.mit.rev.usd.tot.coa.5</t>
        </is>
      </c>
      <c r="BZ622" s="3" t="n">
        <v>24.45879112577497</v>
      </c>
      <c r="CA622" s="3" t="n">
        <v>14.04999043023967</v>
      </c>
      <c r="CB622" s="3" t="n">
        <v>12.94669276957797</v>
      </c>
      <c r="CC622" s="3" t="n">
        <v>14.00011884761281</v>
      </c>
      <c r="CD622" s="3" t="n">
        <v>13.77132796835999</v>
      </c>
      <c r="CE622" s="3" t="n">
        <v>12.78840546450875</v>
      </c>
      <c r="CF622" s="3" t="n">
        <v>12.72651116283366</v>
      </c>
      <c r="CG622" s="3" t="n">
        <v>12.67912883156445</v>
      </c>
      <c r="CH622" s="3" t="n">
        <v>12.62487019895879</v>
      </c>
      <c r="CI622" s="3" t="n">
        <v>12.60210301268913</v>
      </c>
      <c r="CJ622" s="3" t="n">
        <v>12.55291459010291</v>
      </c>
      <c r="CK622" s="3" t="n">
        <v>12.52052121582015</v>
      </c>
      <c r="CL622" s="3" t="n">
        <v>12.50079575849168</v>
      </c>
      <c r="CM622" s="3" t="n">
        <v>12.48820013563248</v>
      </c>
      <c r="CN622" s="3" t="n">
        <v>12.60168771318726</v>
      </c>
      <c r="CO622" s="3" t="n">
        <v>12.71543043255213</v>
      </c>
      <c r="CP622" s="3" t="n">
        <v>12.82524262808747</v>
      </c>
      <c r="CQ622" s="3" t="n">
        <v>12.93328366296963</v>
      </c>
      <c r="CR622" s="3" t="n">
        <v>13.03643960981637</v>
      </c>
      <c r="CS622" s="3" t="n">
        <v>13.13803548362472</v>
      </c>
      <c r="CU622" s="20" t="inlineStr">
        <is>
          <t>egy.mit.rev.usd.tot.coa.6</t>
        </is>
      </c>
      <c r="CV622" s="3" t="n">
        <v>24.45879112577497</v>
      </c>
      <c r="CW622" s="3" t="n">
        <v>14.04999043023967</v>
      </c>
      <c r="CX622" s="3" t="n">
        <v>12.94669276957797</v>
      </c>
      <c r="CY622" s="3" t="n">
        <v>14.00011884761281</v>
      </c>
      <c r="CZ622" s="3" t="n">
        <v>13.77132796835999</v>
      </c>
      <c r="DA622" s="3" t="n">
        <v>316.364064248357</v>
      </c>
      <c r="DB622" s="3" t="n">
        <v>324.473901213155</v>
      </c>
      <c r="DC622" s="3" t="n">
        <v>332.4736761572879</v>
      </c>
      <c r="DD622" s="3" t="n">
        <v>339.3406383626845</v>
      </c>
      <c r="DE622" s="3" t="n">
        <v>346.7862525165676</v>
      </c>
      <c r="DF622" s="3" t="n">
        <v>353.134915479164</v>
      </c>
      <c r="DG622" s="3" t="n">
        <v>359.9848752845917</v>
      </c>
      <c r="DH622" s="3" t="n">
        <v>367.0355982006581</v>
      </c>
      <c r="DI622" s="3" t="n">
        <v>374.0125887353895</v>
      </c>
      <c r="DJ622" s="3" t="n">
        <v>381.0943445085496</v>
      </c>
      <c r="DK622" s="3" t="n">
        <v>388.4106763082374</v>
      </c>
      <c r="DL622" s="3" t="n">
        <v>395.5287306221363</v>
      </c>
      <c r="DM622" s="3" t="n">
        <v>402.558742261534</v>
      </c>
      <c r="DN622" s="3" t="n">
        <v>409.3374090938794</v>
      </c>
      <c r="DO622" s="3" t="n">
        <v>416.0540133369213</v>
      </c>
    </row>
    <row r="623">
      <c r="A623" s="19" t="inlineStr">
        <is>
          <t>mit.rev.usd.tot.nga</t>
        </is>
      </c>
      <c r="B623" s="3" t="inlineStr">
        <is>
          <t>mit</t>
        </is>
      </c>
      <c r="C623" s="19" t="inlineStr">
        <is>
          <t>mit.rev.tot.nga.usd</t>
        </is>
      </c>
      <c r="H623" s="3" t="inlineStr">
        <is>
          <t>Revenue by fuel net of subsidies: final use (fuels), electricity (VAT, subsidy gap, VAT on new policies) | All sectors | Natural gas</t>
        </is>
      </c>
      <c r="I623" s="3" t="inlineStr">
        <is>
          <t>USD m real</t>
        </is>
      </c>
      <c r="K623" s="20" t="inlineStr">
        <is>
          <t>egy.mit.rev.usd.tot.nga.1</t>
        </is>
      </c>
      <c r="L623" s="3" t="n">
        <v>-4405.802797468052</v>
      </c>
      <c r="M623" s="3" t="n">
        <v>-3280.2606358313</v>
      </c>
      <c r="N623" s="3" t="n">
        <v>-4053.933448766246</v>
      </c>
      <c r="O623" s="3" t="n">
        <v>-4126.958674474658</v>
      </c>
      <c r="P623" s="3" t="n">
        <v>-4166.754077488642</v>
      </c>
      <c r="Q623" s="3" t="n">
        <v>-4339.213282402573</v>
      </c>
      <c r="R623" s="3" t="n">
        <v>-4549.50141787078</v>
      </c>
      <c r="S623" s="3" t="n">
        <v>-4707.907514551718</v>
      </c>
      <c r="T623" s="3" t="n">
        <v>-4838.766491174455</v>
      </c>
      <c r="U623" s="3" t="n">
        <v>-4968.183094554523</v>
      </c>
      <c r="V623" s="3" t="n">
        <v>-5095.221479150679</v>
      </c>
      <c r="W623" s="3" t="n">
        <v>-5224.544114251496</v>
      </c>
      <c r="X623" s="3" t="n">
        <v>-5356.145508519168</v>
      </c>
      <c r="Y623" s="3" t="n">
        <v>-5490.018431236344</v>
      </c>
      <c r="Z623" s="3" t="n">
        <v>-5626.153865493466</v>
      </c>
      <c r="AA623" s="3" t="n">
        <v>-5764.540957139149</v>
      </c>
      <c r="AB623" s="3" t="n">
        <v>-5905.166959215548</v>
      </c>
      <c r="AC623" s="3" t="n">
        <v>-6048.017171608747</v>
      </c>
      <c r="AD623" s="3" t="n">
        <v>-6193.074875652248</v>
      </c>
      <c r="AE623" s="3" t="n">
        <v>-6340.321263429888</v>
      </c>
      <c r="AG623" s="20" t="inlineStr">
        <is>
          <t>egy.mit.rev.usd.tot.nga.3</t>
        </is>
      </c>
      <c r="AH623" s="3" t="n">
        <v>-4405.802797468052</v>
      </c>
      <c r="AI623" s="3" t="n">
        <v>-3280.2606358313</v>
      </c>
      <c r="AJ623" s="3" t="n">
        <v>-4053.933448766246</v>
      </c>
      <c r="AK623" s="3" t="n">
        <v>-4126.958674474658</v>
      </c>
      <c r="AL623" s="3" t="n">
        <v>-4166.754077488642</v>
      </c>
      <c r="AM623" s="3" t="n">
        <v>-2813.427754031404</v>
      </c>
      <c r="AN623" s="3" t="n">
        <v>-2960.247613399104</v>
      </c>
      <c r="AO623" s="3" t="n">
        <v>-3068.355738879298</v>
      </c>
      <c r="AP623" s="3" t="n">
        <v>-3151.996704057459</v>
      </c>
      <c r="AQ623" s="3" t="n">
        <v>-3237.469095609573</v>
      </c>
      <c r="AR623" s="3" t="n">
        <v>-3319.091752918735</v>
      </c>
      <c r="AS623" s="3" t="n">
        <v>-3404.954967995068</v>
      </c>
      <c r="AT623" s="3" t="n">
        <v>-3493.72613281107</v>
      </c>
      <c r="AU623" s="3" t="n">
        <v>-3583.435675050021</v>
      </c>
      <c r="AV623" s="3" t="n">
        <v>-3675.317547113753</v>
      </c>
      <c r="AW623" s="3" t="n">
        <v>-3770.221336263079</v>
      </c>
      <c r="AX623" s="3" t="n">
        <v>-3865.393122392849</v>
      </c>
      <c r="AY623" s="3" t="n">
        <v>-3961.391045784517</v>
      </c>
      <c r="AZ623" s="3" t="n">
        <v>-4057.154367243616</v>
      </c>
      <c r="BA623" s="3" t="n">
        <v>-4153.865729541077</v>
      </c>
      <c r="BC623" s="20" t="inlineStr">
        <is>
          <t>egy.mit.rev.usd.tot.nga.4</t>
        </is>
      </c>
      <c r="BD623" s="3" t="n">
        <v>-4405.802797468052</v>
      </c>
      <c r="BE623" s="3" t="n">
        <v>-3280.2606358313</v>
      </c>
      <c r="BF623" s="3" t="n">
        <v>-4053.933448766246</v>
      </c>
      <c r="BG623" s="3" t="n">
        <v>-4126.958674474658</v>
      </c>
      <c r="BH623" s="3" t="n">
        <v>-4166.754077488642</v>
      </c>
      <c r="BI623" s="3" t="n">
        <v>-3433.797466576717</v>
      </c>
      <c r="BJ623" s="3" t="n">
        <v>-2710.974193926905</v>
      </c>
      <c r="BK623" s="3" t="n">
        <v>-2121.155868974133</v>
      </c>
      <c r="BL623" s="3" t="n">
        <v>-1619.312625491561</v>
      </c>
      <c r="BM623" s="3" t="n">
        <v>-1192.740449714258</v>
      </c>
      <c r="BN623" s="3" t="n">
        <v>-805.5645764151532</v>
      </c>
      <c r="BO623" s="3" t="n">
        <v>-448.7075478780862</v>
      </c>
      <c r="BP623" s="3" t="n">
        <v>-113.5054558557908</v>
      </c>
      <c r="BQ623" s="3" t="n">
        <v>206.3246535464455</v>
      </c>
      <c r="BR623" s="3" t="n">
        <v>515.3573942103199</v>
      </c>
      <c r="BS623" s="3" t="n">
        <v>817.3076642409355</v>
      </c>
      <c r="BT623" s="3" t="n">
        <v>1114.705165459675</v>
      </c>
      <c r="BU623" s="3" t="n">
        <v>1409.406949499859</v>
      </c>
      <c r="BV623" s="3" t="n">
        <v>1702.257238903446</v>
      </c>
      <c r="BW623" s="3" t="n">
        <v>1994.076909065908</v>
      </c>
      <c r="BY623" s="20" t="inlineStr">
        <is>
          <t>egy.mit.rev.usd.tot.nga.5</t>
        </is>
      </c>
      <c r="BZ623" s="3" t="n">
        <v>-4405.802797468052</v>
      </c>
      <c r="CA623" s="3" t="n">
        <v>-3280.2606358313</v>
      </c>
      <c r="CB623" s="3" t="n">
        <v>-4053.933448766246</v>
      </c>
      <c r="CC623" s="3" t="n">
        <v>-4126.958674474658</v>
      </c>
      <c r="CD623" s="3" t="n">
        <v>-4166.754077488642</v>
      </c>
      <c r="CE623" s="3" t="n">
        <v>-2753.134083745796</v>
      </c>
      <c r="CF623" s="3" t="n">
        <v>-2884.791029500452</v>
      </c>
      <c r="CG623" s="3" t="n">
        <v>-2978.627249771206</v>
      </c>
      <c r="CH623" s="3" t="n">
        <v>-3049.030737469315</v>
      </c>
      <c r="CI623" s="3" t="n">
        <v>-3122.042548674238</v>
      </c>
      <c r="CJ623" s="3" t="n">
        <v>-3190.771731814386</v>
      </c>
      <c r="CK623" s="3" t="n">
        <v>-3263.76695050945</v>
      </c>
      <c r="CL623" s="3" t="n">
        <v>-3338.409790618269</v>
      </c>
      <c r="CM623" s="3" t="n">
        <v>-3413.982351881017</v>
      </c>
      <c r="CN623" s="3" t="n">
        <v>-3497.164538764572</v>
      </c>
      <c r="CO623" s="3" t="n">
        <v>-3582.562841297808</v>
      </c>
      <c r="CP623" s="3" t="n">
        <v>-3668.011060562649</v>
      </c>
      <c r="CQ623" s="3" t="n">
        <v>-3754.39725806922</v>
      </c>
      <c r="CR623" s="3" t="n">
        <v>-3840.588503639561</v>
      </c>
      <c r="CS623" s="3" t="n">
        <v>-3928.021632543661</v>
      </c>
      <c r="CU623" s="20" t="inlineStr">
        <is>
          <t>egy.mit.rev.usd.tot.nga.6</t>
        </is>
      </c>
      <c r="CV623" s="3" t="n">
        <v>-4405.802797468052</v>
      </c>
      <c r="CW623" s="3" t="n">
        <v>-3280.2606358313</v>
      </c>
      <c r="CX623" s="3" t="n">
        <v>-4053.933448766246</v>
      </c>
      <c r="CY623" s="3" t="n">
        <v>-4126.958674474658</v>
      </c>
      <c r="CZ623" s="3" t="n">
        <v>-4166.754077488642</v>
      </c>
      <c r="DA623" s="3" t="n">
        <v>-1478.987699289702</v>
      </c>
      <c r="DB623" s="3" t="n">
        <v>-1566.811070175396</v>
      </c>
      <c r="DC623" s="3" t="n">
        <v>-1625.54800983012</v>
      </c>
      <c r="DD623" s="3" t="n">
        <v>-1665.56610524403</v>
      </c>
      <c r="DE623" s="3" t="n">
        <v>-1707.567232449107</v>
      </c>
      <c r="DF623" s="3" t="n">
        <v>-1745.346986041508</v>
      </c>
      <c r="DG623" s="3" t="n">
        <v>-1786.792129018256</v>
      </c>
      <c r="DH623" s="3" t="n">
        <v>-1830.096854041651</v>
      </c>
      <c r="DI623" s="3" t="n">
        <v>-1873.532462582346</v>
      </c>
      <c r="DJ623" s="3" t="n">
        <v>-1918.262716291673</v>
      </c>
      <c r="DK623" s="3" t="n">
        <v>-1965.185994168512</v>
      </c>
      <c r="DL623" s="3" t="n">
        <v>-2011.446522540115</v>
      </c>
      <c r="DM623" s="3" t="n">
        <v>-2057.754603132146</v>
      </c>
      <c r="DN623" s="3" t="n">
        <v>-2102.964970204273</v>
      </c>
      <c r="DO623" s="3" t="n">
        <v>-2148.34672564575</v>
      </c>
    </row>
    <row r="624">
      <c r="A624" s="19" t="inlineStr">
        <is>
          <t>mit.rev.usd.tot.oop</t>
        </is>
      </c>
      <c r="B624" s="3" t="inlineStr">
        <is>
          <t>mit</t>
        </is>
      </c>
      <c r="C624" s="19" t="inlineStr">
        <is>
          <t>mit.rev.tot.oil.usd</t>
        </is>
      </c>
      <c r="H624" s="3" t="inlineStr">
        <is>
          <t>Revenue by fuel net of subsidies: final use (fuels), electricity (VAT, subsidy gap, VAT on new policies) | All sectors | Other oil products</t>
        </is>
      </c>
      <c r="I624" s="3" t="inlineStr">
        <is>
          <t>USD m real</t>
        </is>
      </c>
      <c r="K624" s="20" t="inlineStr">
        <is>
          <t>egy.mit.rev.usd.tot.oop.1</t>
        </is>
      </c>
      <c r="L624" s="3" t="n">
        <v>-1695.661303279324</v>
      </c>
      <c r="M624" s="3" t="n">
        <v>-1202.325302908917</v>
      </c>
      <c r="N624" s="3" t="n">
        <v>-1331.132001176631</v>
      </c>
      <c r="O624" s="3" t="n">
        <v>-1084.791823702132</v>
      </c>
      <c r="P624" s="3" t="n">
        <v>-1325.066115165118</v>
      </c>
      <c r="Q624" s="3" t="n">
        <v>-1149.202588132402</v>
      </c>
      <c r="R624" s="3" t="n">
        <v>-1131.791075410193</v>
      </c>
      <c r="S624" s="3" t="n">
        <v>-1140.757049639222</v>
      </c>
      <c r="T624" s="3" t="n">
        <v>-1149.384398942166</v>
      </c>
      <c r="U624" s="3" t="n">
        <v>-1153.885101555308</v>
      </c>
      <c r="V624" s="3" t="n">
        <v>-1191.714022813161</v>
      </c>
      <c r="W624" s="3" t="n">
        <v>-1230.195483258455</v>
      </c>
      <c r="X624" s="3" t="n">
        <v>-1269.323132098404</v>
      </c>
      <c r="Y624" s="3" t="n">
        <v>-1309.090227689872</v>
      </c>
      <c r="Z624" s="3" t="n">
        <v>-1349.489633358001</v>
      </c>
      <c r="AA624" s="3" t="n">
        <v>-1390.513811680822</v>
      </c>
      <c r="AB624" s="3" t="n">
        <v>-1432.15481720131</v>
      </c>
      <c r="AC624" s="3" t="n">
        <v>-1474.404287531409</v>
      </c>
      <c r="AD624" s="3" t="n">
        <v>-1517.253432815167</v>
      </c>
      <c r="AE624" s="3" t="n">
        <v>-1560.693023520559</v>
      </c>
      <c r="AG624" s="20" t="inlineStr">
        <is>
          <t>egy.mit.rev.usd.tot.oop.3</t>
        </is>
      </c>
      <c r="AH624" s="3" t="n">
        <v>-1695.661303279324</v>
      </c>
      <c r="AI624" s="3" t="n">
        <v>-1202.325302908917</v>
      </c>
      <c r="AJ624" s="3" t="n">
        <v>-1331.132001176631</v>
      </c>
      <c r="AK624" s="3" t="n">
        <v>-1084.791823702132</v>
      </c>
      <c r="AL624" s="3" t="n">
        <v>-1325.066115165118</v>
      </c>
      <c r="AM624" s="3" t="n">
        <v>-789.8748608168943</v>
      </c>
      <c r="AN624" s="3" t="n">
        <v>-768.9732495188007</v>
      </c>
      <c r="AO624" s="3" t="n">
        <v>-770.4853246247235</v>
      </c>
      <c r="AP624" s="3" t="n">
        <v>-770.9102100382327</v>
      </c>
      <c r="AQ624" s="3" t="n">
        <v>-768.7776383463982</v>
      </c>
      <c r="AR624" s="3" t="n">
        <v>-793.6447009371705</v>
      </c>
      <c r="AS624" s="3" t="n">
        <v>-819.708418420258</v>
      </c>
      <c r="AT624" s="3" t="n">
        <v>-846.5953187708682</v>
      </c>
      <c r="AU624" s="3" t="n">
        <v>-873.7563843514835</v>
      </c>
      <c r="AV624" s="3" t="n">
        <v>-901.5296180380899</v>
      </c>
      <c r="AW624" s="3" t="n">
        <v>-930.1457274490575</v>
      </c>
      <c r="AX624" s="3" t="n">
        <v>-958.8406624680862</v>
      </c>
      <c r="AY624" s="3" t="n">
        <v>-987.7660742055818</v>
      </c>
      <c r="AZ624" s="3" t="n">
        <v>-1016.627716359969</v>
      </c>
      <c r="BA624" s="3" t="n">
        <v>-1045.749362347975</v>
      </c>
      <c r="BC624" s="20" t="inlineStr">
        <is>
          <t>egy.mit.rev.usd.tot.oop.4</t>
        </is>
      </c>
      <c r="BD624" s="3" t="n">
        <v>-1695.661303279324</v>
      </c>
      <c r="BE624" s="3" t="n">
        <v>-1202.325302908917</v>
      </c>
      <c r="BF624" s="3" t="n">
        <v>-1331.132001176631</v>
      </c>
      <c r="BG624" s="3" t="n">
        <v>-1084.791823702132</v>
      </c>
      <c r="BH624" s="3" t="n">
        <v>-1325.066115165118</v>
      </c>
      <c r="BI624" s="3" t="n">
        <v>-934.0353358868317</v>
      </c>
      <c r="BJ624" s="3" t="n">
        <v>-699.8835925558365</v>
      </c>
      <c r="BK624" s="3" t="n">
        <v>-532.6575318936901</v>
      </c>
      <c r="BL624" s="3" t="n">
        <v>-392.4498352822469</v>
      </c>
      <c r="BM624" s="3" t="n">
        <v>-270.7970667583123</v>
      </c>
      <c r="BN624" s="3" t="n">
        <v>-178.2944324684515</v>
      </c>
      <c r="BO624" s="3" t="n">
        <v>-91.80277539753001</v>
      </c>
      <c r="BP624" s="3" t="n">
        <v>-9.654455090959232</v>
      </c>
      <c r="BQ624" s="3" t="n">
        <v>69.43103221442675</v>
      </c>
      <c r="BR624" s="3" t="n">
        <v>146.3931197981184</v>
      </c>
      <c r="BS624" s="3" t="n">
        <v>221.9985826072286</v>
      </c>
      <c r="BT624" s="3" t="n">
        <v>296.791568949688</v>
      </c>
      <c r="BU624" s="3" t="n">
        <v>371.1689579323819</v>
      </c>
      <c r="BV624" s="3" t="n">
        <v>445.3175040790765</v>
      </c>
      <c r="BW624" s="3" t="n">
        <v>519.4072712345297</v>
      </c>
      <c r="BY624" s="20" t="inlineStr">
        <is>
          <t>egy.mit.rev.usd.tot.oop.5</t>
        </is>
      </c>
      <c r="BZ624" s="3" t="n">
        <v>-1695.661303279324</v>
      </c>
      <c r="CA624" s="3" t="n">
        <v>-1202.325302908917</v>
      </c>
      <c r="CB624" s="3" t="n">
        <v>-1331.132001176631</v>
      </c>
      <c r="CC624" s="3" t="n">
        <v>-1084.791823702132</v>
      </c>
      <c r="CD624" s="3" t="n">
        <v>-1325.066115165118</v>
      </c>
      <c r="CE624" s="3" t="n">
        <v>-721.0755625480767</v>
      </c>
      <c r="CF624" s="3" t="n">
        <v>-699.4304704355189</v>
      </c>
      <c r="CG624" s="3" t="n">
        <v>-699.3241141887218</v>
      </c>
      <c r="CH624" s="3" t="n">
        <v>-698.4135657272964</v>
      </c>
      <c r="CI624" s="3" t="n">
        <v>-695.0694251115635</v>
      </c>
      <c r="CJ624" s="3" t="n">
        <v>-717.513860706937</v>
      </c>
      <c r="CK624" s="3" t="n">
        <v>-741.1254937405189</v>
      </c>
      <c r="CL624" s="3" t="n">
        <v>-765.1814721009212</v>
      </c>
      <c r="CM624" s="3" t="n">
        <v>-789.5311066583176</v>
      </c>
      <c r="CN624" s="3" t="n">
        <v>-814.4206635493285</v>
      </c>
      <c r="CO624" s="3" t="n">
        <v>-839.974362608594</v>
      </c>
      <c r="CP624" s="3" t="n">
        <v>-865.6152792405705</v>
      </c>
      <c r="CQ624" s="3" t="n">
        <v>-891.5721395787562</v>
      </c>
      <c r="CR624" s="3" t="n">
        <v>-917.5587987507101</v>
      </c>
      <c r="CS624" s="3" t="n">
        <v>-943.9473248533579</v>
      </c>
      <c r="CU624" s="20" t="inlineStr">
        <is>
          <t>egy.mit.rev.usd.tot.oop.6</t>
        </is>
      </c>
      <c r="CV624" s="3" t="n">
        <v>-1695.661303279324</v>
      </c>
      <c r="CW624" s="3" t="n">
        <v>-1202.325302908917</v>
      </c>
      <c r="CX624" s="3" t="n">
        <v>-1331.132001176631</v>
      </c>
      <c r="CY624" s="3" t="n">
        <v>-1084.791823702132</v>
      </c>
      <c r="CZ624" s="3" t="n">
        <v>-1325.066115165118</v>
      </c>
      <c r="DA624" s="3" t="n">
        <v>-450.1529534709188</v>
      </c>
      <c r="DB624" s="3" t="n">
        <v>-425.2916796936436</v>
      </c>
      <c r="DC624" s="3" t="n">
        <v>-419.1100854070563</v>
      </c>
      <c r="DD624" s="3" t="n">
        <v>-412.0587082874581</v>
      </c>
      <c r="DE624" s="3" t="n">
        <v>-403.1987931455</v>
      </c>
      <c r="DF624" s="3" t="n">
        <v>-416.0085220274788</v>
      </c>
      <c r="DG624" s="3" t="n">
        <v>-429.9617798670795</v>
      </c>
      <c r="DH624" s="3" t="n">
        <v>-444.5151610505675</v>
      </c>
      <c r="DI624" s="3" t="n">
        <v>-459.1452740030709</v>
      </c>
      <c r="DJ624" s="3" t="n">
        <v>-474.2019301076203</v>
      </c>
      <c r="DK624" s="3" t="n">
        <v>-489.95579260564</v>
      </c>
      <c r="DL624" s="3" t="n">
        <v>-505.540296950967</v>
      </c>
      <c r="DM624" s="3" t="n">
        <v>-521.1681896143757</v>
      </c>
      <c r="DN624" s="3" t="n">
        <v>-536.490051682996</v>
      </c>
      <c r="DO624" s="3" t="n">
        <v>-551.8887582430825</v>
      </c>
    </row>
    <row r="625">
      <c r="A625" s="19" t="inlineStr">
        <is>
          <t>mit.rev.usd.tot.gso</t>
        </is>
      </c>
      <c r="B625" s="3" t="inlineStr">
        <is>
          <t>mit</t>
        </is>
      </c>
      <c r="C625" s="19" t="inlineStr">
        <is>
          <t>mit.rev.tot.gso.usd</t>
        </is>
      </c>
      <c r="H625" s="3" t="inlineStr">
        <is>
          <t>Revenue by fuel net of subsidies: final use (fuels), electricity (VAT, subsidy gap, VAT on new policies) | All sectors | Gasoline</t>
        </is>
      </c>
      <c r="I625" s="3" t="inlineStr">
        <is>
          <t>USD m real</t>
        </is>
      </c>
      <c r="K625" s="20" t="inlineStr">
        <is>
          <t>egy.mit.rev.usd.tot.gso.1</t>
        </is>
      </c>
      <c r="L625" s="3" t="n">
        <v>-3091.293215158225</v>
      </c>
      <c r="M625" s="3" t="n">
        <v>-3853.382691864617</v>
      </c>
      <c r="N625" s="3" t="n">
        <v>-5260.728278685763</v>
      </c>
      <c r="O625" s="3" t="n">
        <v>-4112.255651923183</v>
      </c>
      <c r="P625" s="3" t="n">
        <v>-5119.663412727991</v>
      </c>
      <c r="Q625" s="3" t="n">
        <v>-4290.223215038086</v>
      </c>
      <c r="R625" s="3" t="n">
        <v>-4151.875517412846</v>
      </c>
      <c r="S625" s="3" t="n">
        <v>-4131.163417640472</v>
      </c>
      <c r="T625" s="3" t="n">
        <v>-4112.317595084687</v>
      </c>
      <c r="U625" s="3" t="n">
        <v>-4075.991403954584</v>
      </c>
      <c r="V625" s="3" t="n">
        <v>-4179.905798485834</v>
      </c>
      <c r="W625" s="3" t="n">
        <v>-4284.673924069612</v>
      </c>
      <c r="X625" s="3" t="n">
        <v>-4390.258340687267</v>
      </c>
      <c r="Y625" s="3" t="n">
        <v>-4496.621281128893</v>
      </c>
      <c r="Z625" s="3" t="n">
        <v>-4603.724649082143</v>
      </c>
      <c r="AA625" s="3" t="n">
        <v>-4711.530012949015</v>
      </c>
      <c r="AB625" s="3" t="n">
        <v>-4819.998595470644</v>
      </c>
      <c r="AC625" s="3" t="n">
        <v>-4929.091259243786</v>
      </c>
      <c r="AD625" s="3" t="n">
        <v>-5038.768488215093</v>
      </c>
      <c r="AE625" s="3" t="n">
        <v>-5148.990365240874</v>
      </c>
      <c r="AG625" s="20" t="inlineStr">
        <is>
          <t>egy.mit.rev.usd.tot.gso.3</t>
        </is>
      </c>
      <c r="AH625" s="3" t="n">
        <v>-3091.293215158225</v>
      </c>
      <c r="AI625" s="3" t="n">
        <v>-3853.382691864617</v>
      </c>
      <c r="AJ625" s="3" t="n">
        <v>-5260.728278685763</v>
      </c>
      <c r="AK625" s="3" t="n">
        <v>-4112.255651923183</v>
      </c>
      <c r="AL625" s="3" t="n">
        <v>-5119.663412727991</v>
      </c>
      <c r="AM625" s="3" t="n">
        <v>-3383.417097619025</v>
      </c>
      <c r="AN625" s="3" t="n">
        <v>-3238.837612191112</v>
      </c>
      <c r="AO625" s="3" t="n">
        <v>-3204.354083397031</v>
      </c>
      <c r="AP625" s="3" t="n">
        <v>-3168.604951230716</v>
      </c>
      <c r="AQ625" s="3" t="n">
        <v>-3120.163541841213</v>
      </c>
      <c r="AR625" s="3" t="n">
        <v>-3198.550910995527</v>
      </c>
      <c r="AS625" s="3" t="n">
        <v>-3280.277620888959</v>
      </c>
      <c r="AT625" s="3" t="n">
        <v>-3363.97488219849</v>
      </c>
      <c r="AU625" s="3" t="n">
        <v>-3447.705672407288</v>
      </c>
      <c r="AV625" s="3" t="n">
        <v>-3532.627840763954</v>
      </c>
      <c r="AW625" s="3" t="n">
        <v>-3619.501836743535</v>
      </c>
      <c r="AX625" s="3" t="n">
        <v>-3705.703203133847</v>
      </c>
      <c r="AY625" s="3" t="n">
        <v>-3791.75419886386</v>
      </c>
      <c r="AZ625" s="3" t="n">
        <v>-3876.675062843146</v>
      </c>
      <c r="BA625" s="3" t="n">
        <v>-3961.560082336212</v>
      </c>
      <c r="BC625" s="20" t="inlineStr">
        <is>
          <t>egy.mit.rev.usd.tot.gso.4</t>
        </is>
      </c>
      <c r="BD625" s="3" t="n">
        <v>-3091.293215158225</v>
      </c>
      <c r="BE625" s="3" t="n">
        <v>-3853.382691864617</v>
      </c>
      <c r="BF625" s="3" t="n">
        <v>-5260.728278685763</v>
      </c>
      <c r="BG625" s="3" t="n">
        <v>-4112.255651923183</v>
      </c>
      <c r="BH625" s="3" t="n">
        <v>-5119.663412727991</v>
      </c>
      <c r="BI625" s="3" t="n">
        <v>-3756.22226090394</v>
      </c>
      <c r="BJ625" s="3" t="n">
        <v>-3003.756187593815</v>
      </c>
      <c r="BK625" s="3" t="n">
        <v>-2433.087041147933</v>
      </c>
      <c r="BL625" s="3" t="n">
        <v>-1917.32196901649</v>
      </c>
      <c r="BM625" s="3" t="n">
        <v>-1447.3855189984</v>
      </c>
      <c r="BN625" s="3" t="n">
        <v>-1097.955636574176</v>
      </c>
      <c r="BO625" s="3" t="n">
        <v>-758.9856590689878</v>
      </c>
      <c r="BP625" s="3" t="n">
        <v>-428.2588712246143</v>
      </c>
      <c r="BQ625" s="3" t="n">
        <v>-103.5894995958656</v>
      </c>
      <c r="BR625" s="3" t="n">
        <v>216.6782292371549</v>
      </c>
      <c r="BS625" s="3" t="n">
        <v>534.0149089937636</v>
      </c>
      <c r="BT625" s="3" t="n">
        <v>849.5656290109036</v>
      </c>
      <c r="BU625" s="3" t="n">
        <v>1164.137222584699</v>
      </c>
      <c r="BV625" s="3" t="n">
        <v>1477.993656320597</v>
      </c>
      <c r="BW625" s="3" t="n">
        <v>1791.357062890841</v>
      </c>
      <c r="BY625" s="20" t="inlineStr">
        <is>
          <t>egy.mit.rev.usd.tot.gso.5</t>
        </is>
      </c>
      <c r="BZ625" s="3" t="n">
        <v>-3091.293215158225</v>
      </c>
      <c r="CA625" s="3" t="n">
        <v>-3853.382691864617</v>
      </c>
      <c r="CB625" s="3" t="n">
        <v>-5260.728278685763</v>
      </c>
      <c r="CC625" s="3" t="n">
        <v>-4112.255651923183</v>
      </c>
      <c r="CD625" s="3" t="n">
        <v>-5119.663412727991</v>
      </c>
      <c r="CE625" s="3" t="n">
        <v>-3181.496047463787</v>
      </c>
      <c r="CF625" s="3" t="n">
        <v>-3035.428821037536</v>
      </c>
      <c r="CG625" s="3" t="n">
        <v>-2997.27012662673</v>
      </c>
      <c r="CH625" s="3" t="n">
        <v>-2958.713942681351</v>
      </c>
      <c r="CI625" s="3" t="n">
        <v>-2907.892375154601</v>
      </c>
      <c r="CJ625" s="3" t="n">
        <v>-2980.812445845595</v>
      </c>
      <c r="CK625" s="3" t="n">
        <v>-3057.154690154414</v>
      </c>
      <c r="CL625" s="3" t="n">
        <v>-3134.256406720768</v>
      </c>
      <c r="CM625" s="3" t="n">
        <v>-3211.565168083162</v>
      </c>
      <c r="CN625" s="3" t="n">
        <v>-3289.946753072485</v>
      </c>
      <c r="CO625" s="3" t="n">
        <v>-3369.8146352354</v>
      </c>
      <c r="CP625" s="3" t="n">
        <v>-3449.126371498778</v>
      </c>
      <c r="CQ625" s="3" t="n">
        <v>-3528.684490039533</v>
      </c>
      <c r="CR625" s="3" t="n">
        <v>-3607.498702938877</v>
      </c>
      <c r="CS625" s="3" t="n">
        <v>-3686.854076881452</v>
      </c>
      <c r="CU625" s="20" t="inlineStr">
        <is>
          <t>egy.mit.rev.usd.tot.gso.6</t>
        </is>
      </c>
      <c r="CV625" s="3" t="n">
        <v>-3091.293215158225</v>
      </c>
      <c r="CW625" s="3" t="n">
        <v>-3853.382691864617</v>
      </c>
      <c r="CX625" s="3" t="n">
        <v>-5260.728278685763</v>
      </c>
      <c r="CY625" s="3" t="n">
        <v>-4112.255651923183</v>
      </c>
      <c r="CZ625" s="3" t="n">
        <v>-5119.663412727991</v>
      </c>
      <c r="DA625" s="3" t="n">
        <v>-2286.606268703074</v>
      </c>
      <c r="DB625" s="3" t="n">
        <v>-2133.482405461264</v>
      </c>
      <c r="DC625" s="3" t="n">
        <v>-2080.721808185665</v>
      </c>
      <c r="DD625" s="3" t="n">
        <v>-2026.369753034063</v>
      </c>
      <c r="DE625" s="3" t="n">
        <v>-1962.46943919648</v>
      </c>
      <c r="DF625" s="3" t="n">
        <v>-2010.809448108882</v>
      </c>
      <c r="DG625" s="3" t="n">
        <v>-2063.431120201282</v>
      </c>
      <c r="DH625" s="3" t="n">
        <v>-2117.978276943552</v>
      </c>
      <c r="DI625" s="3" t="n">
        <v>-2172.24343607122</v>
      </c>
      <c r="DJ625" s="3" t="n">
        <v>-2227.670442998464</v>
      </c>
      <c r="DK625" s="3" t="n">
        <v>-2285.339530786611</v>
      </c>
      <c r="DL625" s="3" t="n">
        <v>-2341.69145259796</v>
      </c>
      <c r="DM625" s="3" t="n">
        <v>-2397.609515192664</v>
      </c>
      <c r="DN625" s="3" t="n">
        <v>-2451.704895996314</v>
      </c>
      <c r="DO625" s="3" t="n">
        <v>-2505.533926725046</v>
      </c>
    </row>
    <row r="626">
      <c r="A626" s="19" t="inlineStr">
        <is>
          <t>mit.rev.usd.tot.die</t>
        </is>
      </c>
      <c r="B626" s="3" t="inlineStr">
        <is>
          <t>mit</t>
        </is>
      </c>
      <c r="C626" s="19" t="inlineStr">
        <is>
          <t>mit.rev.tot.die.usd</t>
        </is>
      </c>
      <c r="H626" s="3" t="inlineStr">
        <is>
          <t>Revenue by fuel net of subsidies: final use (fuels), electricity (VAT, subsidy gap, VAT on new policies) | All sectors | Diesel</t>
        </is>
      </c>
      <c r="I626" s="3" t="inlineStr">
        <is>
          <t>USD m real</t>
        </is>
      </c>
      <c r="K626" s="20" t="inlineStr">
        <is>
          <t>egy.mit.rev.usd.tot.die.1</t>
        </is>
      </c>
      <c r="L626" s="3" t="n">
        <v>-11278.46375520808</v>
      </c>
      <c r="M626" s="3" t="n">
        <v>-10357.11140304578</v>
      </c>
      <c r="N626" s="3" t="n">
        <v>-11564.33429502082</v>
      </c>
      <c r="O626" s="3" t="n">
        <v>-9388.809278952118</v>
      </c>
      <c r="P626" s="3" t="n">
        <v>-11269.2745173895</v>
      </c>
      <c r="Q626" s="3" t="n">
        <v>-9710.858069110409</v>
      </c>
      <c r="R626" s="3" t="n">
        <v>-9448.893459128309</v>
      </c>
      <c r="S626" s="3" t="n">
        <v>-9407.970966894531</v>
      </c>
      <c r="T626" s="3" t="n">
        <v>-9372.234901990778</v>
      </c>
      <c r="U626" s="3" t="n">
        <v>-9306.058515056338</v>
      </c>
      <c r="V626" s="3" t="n">
        <v>-9495.464505875592</v>
      </c>
      <c r="W626" s="3" t="n">
        <v>-9685.487190141954</v>
      </c>
      <c r="X626" s="3" t="n">
        <v>-9876.065018445941</v>
      </c>
      <c r="Y626" s="3" t="n">
        <v>-10067.13685712961</v>
      </c>
      <c r="Z626" s="3" t="n">
        <v>-10258.64195425109</v>
      </c>
      <c r="AA626" s="3" t="n">
        <v>-10450.51989950664</v>
      </c>
      <c r="AB626" s="3" t="n">
        <v>-10642.71057838645</v>
      </c>
      <c r="AC626" s="3" t="n">
        <v>-10835.15412082877</v>
      </c>
      <c r="AD626" s="3" t="n">
        <v>-11027.79084462418</v>
      </c>
      <c r="AE626" s="3" t="n">
        <v>-11220.5611938089</v>
      </c>
      <c r="AG626" s="20" t="inlineStr">
        <is>
          <t>egy.mit.rev.usd.tot.die.3</t>
        </is>
      </c>
      <c r="AH626" s="3" t="n">
        <v>-11278.46375520808</v>
      </c>
      <c r="AI626" s="3" t="n">
        <v>-10357.11140304578</v>
      </c>
      <c r="AJ626" s="3" t="n">
        <v>-11564.33429502082</v>
      </c>
      <c r="AK626" s="3" t="n">
        <v>-9388.809278952118</v>
      </c>
      <c r="AL626" s="3" t="n">
        <v>-11269.2745173895</v>
      </c>
      <c r="AM626" s="3" t="n">
        <v>-7388.383246713626</v>
      </c>
      <c r="AN626" s="3" t="n">
        <v>-7132.900008909564</v>
      </c>
      <c r="AO626" s="3" t="n">
        <v>-7073.698948031679</v>
      </c>
      <c r="AP626" s="3" t="n">
        <v>-7013.495601320183</v>
      </c>
      <c r="AQ626" s="3" t="n">
        <v>-6932.834181248508</v>
      </c>
      <c r="AR626" s="3" t="n">
        <v>-7071.693286341051</v>
      </c>
      <c r="AS626" s="3" t="n">
        <v>-7215.753408051938</v>
      </c>
      <c r="AT626" s="3" t="n">
        <v>-7362.543432497092</v>
      </c>
      <c r="AU626" s="3" t="n">
        <v>-7508.64935484919</v>
      </c>
      <c r="AV626" s="3" t="n">
        <v>-7656.104995970813</v>
      </c>
      <c r="AW626" s="3" t="n">
        <v>-7806.216721256375</v>
      </c>
      <c r="AX626" s="3" t="n">
        <v>-7954.438359059131</v>
      </c>
      <c r="AY626" s="3" t="n">
        <v>-8101.701942514715</v>
      </c>
      <c r="AZ626" s="3" t="n">
        <v>-8246.359130512479</v>
      </c>
      <c r="BA626" s="3" t="n">
        <v>-8390.312505582622</v>
      </c>
      <c r="BC626" s="20" t="inlineStr">
        <is>
          <t>egy.mit.rev.usd.tot.die.4</t>
        </is>
      </c>
      <c r="BD626" s="3" t="n">
        <v>-11278.46375520808</v>
      </c>
      <c r="BE626" s="3" t="n">
        <v>-10357.11140304578</v>
      </c>
      <c r="BF626" s="3" t="n">
        <v>-11564.33429502082</v>
      </c>
      <c r="BG626" s="3" t="n">
        <v>-9388.809278952118</v>
      </c>
      <c r="BH626" s="3" t="n">
        <v>-11269.2745173895</v>
      </c>
      <c r="BI626" s="3" t="n">
        <v>-8317.744437500412</v>
      </c>
      <c r="BJ626" s="3" t="n">
        <v>-6583.315101447336</v>
      </c>
      <c r="BK626" s="3" t="n">
        <v>-5319.996734184933</v>
      </c>
      <c r="BL626" s="3" t="n">
        <v>-4247.447566287858</v>
      </c>
      <c r="BM626" s="3" t="n">
        <v>-3331.041038428425</v>
      </c>
      <c r="BN626" s="3" t="n">
        <v>-2652.717561576606</v>
      </c>
      <c r="BO626" s="3" t="n">
        <v>-2022.91666203561</v>
      </c>
      <c r="BP626" s="3" t="n">
        <v>-1431.971574435531</v>
      </c>
      <c r="BQ626" s="3" t="n">
        <v>-871.7622654269335</v>
      </c>
      <c r="BR626" s="3" t="n">
        <v>-336.2480975861727</v>
      </c>
      <c r="BS626" s="3" t="n">
        <v>179.3720641364016</v>
      </c>
      <c r="BT626" s="3" t="n">
        <v>679.0132100456603</v>
      </c>
      <c r="BU626" s="3" t="n">
        <v>1165.609408770703</v>
      </c>
      <c r="BV626" s="3" t="n">
        <v>1641.124454484398</v>
      </c>
      <c r="BW626" s="3" t="n">
        <v>2107.068898505157</v>
      </c>
      <c r="BY626" s="20" t="inlineStr">
        <is>
          <t>egy.mit.rev.usd.tot.die.5</t>
        </is>
      </c>
      <c r="BZ626" s="3" t="n">
        <v>-11278.46375520808</v>
      </c>
      <c r="CA626" s="3" t="n">
        <v>-10357.11140304578</v>
      </c>
      <c r="CB626" s="3" t="n">
        <v>-11564.33429502082</v>
      </c>
      <c r="CC626" s="3" t="n">
        <v>-9388.809278952118</v>
      </c>
      <c r="CD626" s="3" t="n">
        <v>-11269.2745173895</v>
      </c>
      <c r="CE626" s="3" t="n">
        <v>-6907.627590511487</v>
      </c>
      <c r="CF626" s="3" t="n">
        <v>-6653.178984623337</v>
      </c>
      <c r="CG626" s="3" t="n">
        <v>-6589.083328209091</v>
      </c>
      <c r="CH626" s="3" t="n">
        <v>-6525.393084067933</v>
      </c>
      <c r="CI626" s="3" t="n">
        <v>-6442.255633432354</v>
      </c>
      <c r="CJ626" s="3" t="n">
        <v>-6571.009875590673</v>
      </c>
      <c r="CK626" s="3" t="n">
        <v>-6705.146228790501</v>
      </c>
      <c r="CL626" s="3" t="n">
        <v>-6839.926926947121</v>
      </c>
      <c r="CM626" s="3" t="n">
        <v>-6974.388997646432</v>
      </c>
      <c r="CN626" s="3" t="n">
        <v>-7110.049221718185</v>
      </c>
      <c r="CO626" s="3" t="n">
        <v>-7247.613712596998</v>
      </c>
      <c r="CP626" s="3" t="n">
        <v>-7383.554248003114</v>
      </c>
      <c r="CQ626" s="3" t="n">
        <v>-7519.275718996694</v>
      </c>
      <c r="CR626" s="3" t="n">
        <v>-7653.103393449152</v>
      </c>
      <c r="CS626" s="3" t="n">
        <v>-7787.249784707503</v>
      </c>
      <c r="CU626" s="20" t="inlineStr">
        <is>
          <t>egy.mit.rev.usd.tot.die.6</t>
        </is>
      </c>
      <c r="CV626" s="3" t="n">
        <v>-11278.46375520808</v>
      </c>
      <c r="CW626" s="3" t="n">
        <v>-10357.11140304578</v>
      </c>
      <c r="CX626" s="3" t="n">
        <v>-11564.33429502082</v>
      </c>
      <c r="CY626" s="3" t="n">
        <v>-9388.809278952118</v>
      </c>
      <c r="CZ626" s="3" t="n">
        <v>-11269.2745173895</v>
      </c>
      <c r="DA626" s="3" t="n">
        <v>-4908.518724356107</v>
      </c>
      <c r="DB626" s="3" t="n">
        <v>-4657.013566747655</v>
      </c>
      <c r="DC626" s="3" t="n">
        <v>-4575.197376396782</v>
      </c>
      <c r="DD626" s="3" t="n">
        <v>-4490.925697949586</v>
      </c>
      <c r="DE626" s="3" t="n">
        <v>-4393.006215453075</v>
      </c>
      <c r="DF626" s="3" t="n">
        <v>-4479.112474811764</v>
      </c>
      <c r="DG626" s="3" t="n">
        <v>-4572.434424784222</v>
      </c>
      <c r="DH626" s="3" t="n">
        <v>-4668.67689847561</v>
      </c>
      <c r="DI626" s="3" t="n">
        <v>-4763.896236798028</v>
      </c>
      <c r="DJ626" s="3" t="n">
        <v>-4860.656555946261</v>
      </c>
      <c r="DK626" s="3" t="n">
        <v>-4960.832888391067</v>
      </c>
      <c r="DL626" s="3" t="n">
        <v>-5058.179423800713</v>
      </c>
      <c r="DM626" s="3" t="n">
        <v>-5154.276348790258</v>
      </c>
      <c r="DN626" s="3" t="n">
        <v>-5246.750891194422</v>
      </c>
      <c r="DO626" s="3" t="n">
        <v>-5338.332355273023</v>
      </c>
    </row>
    <row r="627">
      <c r="A627" s="14" t="n"/>
      <c r="B627" s="3" t="inlineStr">
        <is>
          <t>mit</t>
        </is>
      </c>
      <c r="C627" s="19" t="inlineStr">
        <is>
          <t>mit.rev.tot.lpk.usd</t>
        </is>
      </c>
      <c r="H627" s="14" t="inlineStr">
        <is>
          <t>Additional fiscal revenues , lpg &amp; kerosene, baseline</t>
        </is>
      </c>
      <c r="I627" s="14" t="inlineStr">
        <is>
          <t>usd</t>
        </is>
      </c>
    </row>
    <row r="628">
      <c r="A628" s="19" t="inlineStr">
        <is>
          <t>mit.rpol.tot.ren</t>
        </is>
      </c>
      <c r="B628" s="3" t="inlineStr">
        <is>
          <t>mit</t>
        </is>
      </c>
      <c r="C628" s="19" t="inlineStr">
        <is>
          <t>mit.sub.ren.usd</t>
        </is>
      </c>
      <c r="H628" s="3" t="inlineStr">
        <is>
          <t xml:space="preserve">Total revenue by policy (12e, legacy rows 8016-8027): ct new carbon tax, exc new excise, exi existing taxes and subsidies, vat VAT, ets auctioned ETS, psu producer subsidies (electricity subsidy gap), ren renewable subsidies, mf methane fee, trs transport; ctp, etp: of which power | All sectors | </t>
        </is>
      </c>
      <c r="I628" s="3" t="inlineStr">
        <is>
          <t>USD m real</t>
        </is>
      </c>
      <c r="K628" s="20" t="inlineStr">
        <is>
          <t>egy.mit.rpol.tot.ren.1</t>
        </is>
      </c>
      <c r="L628" s="3" t="n">
        <v>0</v>
      </c>
      <c r="M628" s="3" t="n">
        <v>0</v>
      </c>
      <c r="N628" s="3" t="n">
        <v>0</v>
      </c>
      <c r="O628" s="3" t="n">
        <v>0</v>
      </c>
      <c r="P628" s="3" t="n">
        <v>0</v>
      </c>
      <c r="Q628" s="3" t="n">
        <v>0</v>
      </c>
      <c r="R628" s="3" t="n">
        <v>0</v>
      </c>
      <c r="S628" s="3" t="n">
        <v>0</v>
      </c>
      <c r="T628" s="3" t="n">
        <v>0</v>
      </c>
      <c r="U628" s="3" t="n">
        <v>0</v>
      </c>
      <c r="V628" s="3" t="n">
        <v>0</v>
      </c>
      <c r="W628" s="3" t="n">
        <v>0</v>
      </c>
      <c r="X628" s="3" t="n">
        <v>0</v>
      </c>
      <c r="Y628" s="3" t="n">
        <v>0</v>
      </c>
      <c r="Z628" s="3" t="n">
        <v>0</v>
      </c>
      <c r="AA628" s="3" t="n">
        <v>0</v>
      </c>
      <c r="AB628" s="3" t="n">
        <v>0</v>
      </c>
      <c r="AC628" s="3" t="n">
        <v>0</v>
      </c>
      <c r="AD628" s="3" t="n">
        <v>0</v>
      </c>
      <c r="AE628" s="3" t="n">
        <v>0</v>
      </c>
      <c r="AG628" s="20" t="inlineStr">
        <is>
          <t>egy.mit.rpol.tot.ren.3</t>
        </is>
      </c>
      <c r="AH628" s="3" t="n">
        <v>0</v>
      </c>
      <c r="AI628" s="3" t="n">
        <v>0</v>
      </c>
      <c r="AJ628" s="3" t="n">
        <v>0</v>
      </c>
      <c r="AK628" s="3" t="n">
        <v>0</v>
      </c>
      <c r="AL628" s="3" t="n">
        <v>0</v>
      </c>
      <c r="AM628" s="3" t="n">
        <v>0</v>
      </c>
      <c r="AN628" s="3" t="n">
        <v>0</v>
      </c>
      <c r="AO628" s="3" t="n">
        <v>0</v>
      </c>
      <c r="AP628" s="3" t="n">
        <v>0</v>
      </c>
      <c r="AQ628" s="3" t="n">
        <v>0</v>
      </c>
      <c r="AR628" s="3" t="n">
        <v>0</v>
      </c>
      <c r="AS628" s="3" t="n">
        <v>0</v>
      </c>
      <c r="AT628" s="3" t="n">
        <v>0</v>
      </c>
      <c r="AU628" s="3" t="n">
        <v>0</v>
      </c>
      <c r="AV628" s="3" t="n">
        <v>0</v>
      </c>
      <c r="AW628" s="3" t="n">
        <v>0</v>
      </c>
      <c r="AX628" s="3" t="n">
        <v>0</v>
      </c>
      <c r="AY628" s="3" t="n">
        <v>0</v>
      </c>
      <c r="AZ628" s="3" t="n">
        <v>0</v>
      </c>
      <c r="BA628" s="3" t="n">
        <v>0</v>
      </c>
      <c r="BC628" s="20" t="inlineStr">
        <is>
          <t>egy.mit.rpol.tot.ren.4</t>
        </is>
      </c>
      <c r="BD628" s="3" t="n">
        <v>0</v>
      </c>
      <c r="BE628" s="3" t="n">
        <v>0</v>
      </c>
      <c r="BF628" s="3" t="n">
        <v>0</v>
      </c>
      <c r="BG628" s="3" t="n">
        <v>0</v>
      </c>
      <c r="BH628" s="3" t="n">
        <v>0</v>
      </c>
      <c r="BI628" s="3" t="n">
        <v>0</v>
      </c>
      <c r="BJ628" s="3" t="n">
        <v>0</v>
      </c>
      <c r="BK628" s="3" t="n">
        <v>0</v>
      </c>
      <c r="BL628" s="3" t="n">
        <v>0</v>
      </c>
      <c r="BM628" s="3" t="n">
        <v>0</v>
      </c>
      <c r="BN628" s="3" t="n">
        <v>0</v>
      </c>
      <c r="BO628" s="3" t="n">
        <v>0</v>
      </c>
      <c r="BP628" s="3" t="n">
        <v>0</v>
      </c>
      <c r="BQ628" s="3" t="n">
        <v>0</v>
      </c>
      <c r="BR628" s="3" t="n">
        <v>0</v>
      </c>
      <c r="BS628" s="3" t="n">
        <v>0</v>
      </c>
      <c r="BT628" s="3" t="n">
        <v>0</v>
      </c>
      <c r="BU628" s="3" t="n">
        <v>0</v>
      </c>
      <c r="BV628" s="3" t="n">
        <v>0</v>
      </c>
      <c r="BW628" s="3" t="n">
        <v>0</v>
      </c>
      <c r="BY628" s="20" t="inlineStr">
        <is>
          <t>egy.mit.rpol.tot.ren.5</t>
        </is>
      </c>
      <c r="BZ628" s="3" t="n">
        <v>0</v>
      </c>
      <c r="CA628" s="3" t="n">
        <v>0</v>
      </c>
      <c r="CB628" s="3" t="n">
        <v>0</v>
      </c>
      <c r="CC628" s="3" t="n">
        <v>0</v>
      </c>
      <c r="CD628" s="3" t="n">
        <v>0</v>
      </c>
      <c r="CE628" s="3" t="n">
        <v>0</v>
      </c>
      <c r="CF628" s="3" t="n">
        <v>0</v>
      </c>
      <c r="CG628" s="3" t="n">
        <v>0</v>
      </c>
      <c r="CH628" s="3" t="n">
        <v>0</v>
      </c>
      <c r="CI628" s="3" t="n">
        <v>0</v>
      </c>
      <c r="CJ628" s="3" t="n">
        <v>0</v>
      </c>
      <c r="CK628" s="3" t="n">
        <v>0</v>
      </c>
      <c r="CL628" s="3" t="n">
        <v>0</v>
      </c>
      <c r="CM628" s="3" t="n">
        <v>0</v>
      </c>
      <c r="CN628" s="3" t="n">
        <v>0</v>
      </c>
      <c r="CO628" s="3" t="n">
        <v>0</v>
      </c>
      <c r="CP628" s="3" t="n">
        <v>0</v>
      </c>
      <c r="CQ628" s="3" t="n">
        <v>0</v>
      </c>
      <c r="CR628" s="3" t="n">
        <v>0</v>
      </c>
      <c r="CS628" s="3" t="n">
        <v>0</v>
      </c>
      <c r="CU628" s="20" t="inlineStr">
        <is>
          <t>egy.mit.rpol.tot.ren.6</t>
        </is>
      </c>
      <c r="CV628" s="3" t="n">
        <v>0</v>
      </c>
      <c r="CW628" s="3" t="n">
        <v>0</v>
      </c>
      <c r="CX628" s="3" t="n">
        <v>0</v>
      </c>
      <c r="CY628" s="3" t="n">
        <v>0</v>
      </c>
      <c r="CZ628" s="3" t="n">
        <v>0</v>
      </c>
      <c r="DA628" s="3" t="n">
        <v>0</v>
      </c>
      <c r="DB628" s="3" t="n">
        <v>0</v>
      </c>
      <c r="DC628" s="3" t="n">
        <v>0</v>
      </c>
      <c r="DD628" s="3" t="n">
        <v>0</v>
      </c>
      <c r="DE628" s="3" t="n">
        <v>0</v>
      </c>
      <c r="DF628" s="3" t="n">
        <v>0</v>
      </c>
      <c r="DG628" s="3" t="n">
        <v>0</v>
      </c>
      <c r="DH628" s="3" t="n">
        <v>0</v>
      </c>
      <c r="DI628" s="3" t="n">
        <v>0</v>
      </c>
      <c r="DJ628" s="3" t="n">
        <v>0</v>
      </c>
      <c r="DK628" s="3" t="n">
        <v>0</v>
      </c>
      <c r="DL628" s="3" t="n">
        <v>0</v>
      </c>
      <c r="DM628" s="3" t="n">
        <v>0</v>
      </c>
      <c r="DN628" s="3" t="n">
        <v>0</v>
      </c>
      <c r="DO628" s="3" t="n">
        <v>0</v>
      </c>
    </row>
    <row r="629">
      <c r="A629" s="19" t="inlineStr">
        <is>
          <t>mit.rfu.pow.ecy</t>
        </is>
      </c>
      <c r="B629" s="3" t="inlineStr">
        <is>
          <t>mit</t>
        </is>
      </c>
      <c r="C629" s="19" t="inlineStr">
        <is>
          <t>mit.rev.tot.ecy.usd</t>
        </is>
      </c>
      <c r="H629" s="3" t="inlineStr">
        <is>
          <t>Revenue by fuel net of subsidies: final use (fuels), electricity (VAT, subsidy gap, VAT on new policies) | Power | Electricity</t>
        </is>
      </c>
      <c r="I629" s="3" t="inlineStr">
        <is>
          <t>USD m real</t>
        </is>
      </c>
      <c r="K629" s="20" t="inlineStr">
        <is>
          <t>egy.mit.rfu.pow.ecy.1</t>
        </is>
      </c>
      <c r="L629" s="3" t="n">
        <v>-7664.183078656577</v>
      </c>
      <c r="M629" s="3" t="n">
        <v>-7862.142629450054</v>
      </c>
      <c r="N629" s="3" t="n">
        <v>-10374.42733480392</v>
      </c>
      <c r="O629" s="3" t="n">
        <v>-11669.7190258702</v>
      </c>
      <c r="P629" s="3" t="n">
        <v>-12218.1403298645</v>
      </c>
      <c r="Q629" s="3" t="n">
        <v>-12693.62632787342</v>
      </c>
      <c r="R629" s="3" t="n">
        <v>-13188.40496904966</v>
      </c>
      <c r="S629" s="3" t="n">
        <v>-13716.93950193112</v>
      </c>
      <c r="T629" s="3" t="n">
        <v>-14120.88214642979</v>
      </c>
      <c r="U629" s="3" t="n">
        <v>-14538.71457998912</v>
      </c>
      <c r="V629" s="3" t="n">
        <v>-14950.42720877028</v>
      </c>
      <c r="W629" s="3" t="n">
        <v>-15660.70603027815</v>
      </c>
      <c r="X629" s="3" t="n">
        <v>-16370.11307900629</v>
      </c>
      <c r="Y629" s="3" t="n">
        <v>-17114.35935107095</v>
      </c>
      <c r="Z629" s="3" t="n">
        <v>-17876.84656010474</v>
      </c>
      <c r="AA629" s="3" t="n">
        <v>-18657.86218525985</v>
      </c>
      <c r="AB629" s="3" t="n">
        <v>-19456.96383403947</v>
      </c>
      <c r="AC629" s="3" t="n">
        <v>-20274.28071875502</v>
      </c>
      <c r="AD629" s="3" t="n">
        <v>-21110.73323860468</v>
      </c>
      <c r="AE629" s="3" t="n">
        <v>-21966.7085312096</v>
      </c>
      <c r="AG629" s="20" t="inlineStr">
        <is>
          <t>egy.mit.rfu.pow.ecy.3</t>
        </is>
      </c>
      <c r="AH629" s="3" t="n">
        <v>-7664.183078656577</v>
      </c>
      <c r="AI629" s="3" t="n">
        <v>-7862.142629450054</v>
      </c>
      <c r="AJ629" s="3" t="n">
        <v>-10372.48939578165</v>
      </c>
      <c r="AK629" s="3" t="n">
        <v>-11667.55740688805</v>
      </c>
      <c r="AL629" s="3" t="n">
        <v>-12215.71781184239</v>
      </c>
      <c r="AM629" s="3" t="n">
        <v>-12690.82364538456</v>
      </c>
      <c r="AN629" s="3" t="n">
        <v>-12088.31599211173</v>
      </c>
      <c r="AO629" s="3" t="n">
        <v>-12602.61160244477</v>
      </c>
      <c r="AP629" s="3" t="n">
        <v>-12878.23209955158</v>
      </c>
      <c r="AQ629" s="3" t="n">
        <v>-13434.91467345407</v>
      </c>
      <c r="AR629" s="3" t="n">
        <v>-13860.35029123613</v>
      </c>
      <c r="AS629" s="3" t="n">
        <v>-14562.14698201526</v>
      </c>
      <c r="AT629" s="3" t="n">
        <v>-15255.71606845492</v>
      </c>
      <c r="AU629" s="3" t="n">
        <v>-15987.88305273277</v>
      </c>
      <c r="AV629" s="3" t="n">
        <v>-16741.8120770122</v>
      </c>
      <c r="AW629" s="3" t="n">
        <v>-17520.26554669259</v>
      </c>
      <c r="AX629" s="3" t="n">
        <v>-18309.56596706419</v>
      </c>
      <c r="AY629" s="3" t="n">
        <v>-19113.4336454531</v>
      </c>
      <c r="AZ629" s="3" t="n">
        <v>-19925.62971247452</v>
      </c>
      <c r="BA629" s="3" t="n">
        <v>-20753.66063677301</v>
      </c>
      <c r="BC629" s="20" t="inlineStr">
        <is>
          <t>egy.mit.rfu.pow.ecy.4</t>
        </is>
      </c>
      <c r="BD629" s="3" t="n">
        <v>-7664.183078656577</v>
      </c>
      <c r="BE629" s="3" t="n">
        <v>-7862.142629450054</v>
      </c>
      <c r="BF629" s="3" t="n">
        <v>-10367.98976005269</v>
      </c>
      <c r="BG629" s="3" t="n">
        <v>-11662.53859709982</v>
      </c>
      <c r="BH629" s="3" t="n">
        <v>-12210.09409675464</v>
      </c>
      <c r="BI629" s="3" t="n">
        <v>-12684.29631253977</v>
      </c>
      <c r="BJ629" s="3" t="n">
        <v>-12594.35210350547</v>
      </c>
      <c r="BK629" s="3" t="n">
        <v>-12428.14980999466</v>
      </c>
      <c r="BL629" s="3" t="n">
        <v>-12232.61054395693</v>
      </c>
      <c r="BM629" s="3" t="n">
        <v>-12229.68076280503</v>
      </c>
      <c r="BN629" s="3" t="n">
        <v>-12216.70139232541</v>
      </c>
      <c r="BO629" s="3" t="n">
        <v>-12336.53658051517</v>
      </c>
      <c r="BP629" s="3" t="n">
        <v>-12484.8850275701</v>
      </c>
      <c r="BQ629" s="3" t="n">
        <v>-12728.22871941579</v>
      </c>
      <c r="BR629" s="3" t="n">
        <v>-12995.43928701533</v>
      </c>
      <c r="BS629" s="3" t="n">
        <v>-13350.98981065896</v>
      </c>
      <c r="BT629" s="3" t="n">
        <v>-13715.9409869006</v>
      </c>
      <c r="BU629" s="3" t="n">
        <v>-14171.63345114488</v>
      </c>
      <c r="BV629" s="3" t="n">
        <v>-14607.66958501563</v>
      </c>
      <c r="BW629" s="3" t="n">
        <v>-15154.54476151742</v>
      </c>
      <c r="BY629" s="20" t="inlineStr">
        <is>
          <t>egy.mit.rfu.pow.ecy.5</t>
        </is>
      </c>
      <c r="BZ629" s="3" t="n">
        <v>-7664.183078656577</v>
      </c>
      <c r="CA629" s="3" t="n">
        <v>-7862.142629450054</v>
      </c>
      <c r="CB629" s="3" t="n">
        <v>-10363.33085066947</v>
      </c>
      <c r="CC629" s="3" t="n">
        <v>-11657.34144513061</v>
      </c>
      <c r="CD629" s="3" t="n">
        <v>-12204.27277393779</v>
      </c>
      <c r="CE629" s="3" t="n">
        <v>-12677.56116403818</v>
      </c>
      <c r="CF629" s="3" t="n">
        <v>-13170.61600023104</v>
      </c>
      <c r="CG629" s="3" t="n">
        <v>-13702.27744189542</v>
      </c>
      <c r="CH629" s="3" t="n">
        <v>-14089.30736940898</v>
      </c>
      <c r="CI629" s="3" t="n">
        <v>-14511.97032392052</v>
      </c>
      <c r="CJ629" s="3" t="n">
        <v>-14913.03357087086</v>
      </c>
      <c r="CK629" s="3" t="n">
        <v>-15642.69803590226</v>
      </c>
      <c r="CL629" s="3" t="n">
        <v>-16380.75236736601</v>
      </c>
      <c r="CM629" s="3" t="n">
        <v>-17143.2820273557</v>
      </c>
      <c r="CN629" s="3" t="n">
        <v>-17968.28886567479</v>
      </c>
      <c r="CO629" s="3" t="n">
        <v>-18811.47134616841</v>
      </c>
      <c r="CP629" s="3" t="n">
        <v>-19669.87288445884</v>
      </c>
      <c r="CQ629" s="3" t="n">
        <v>-20553.72260937402</v>
      </c>
      <c r="CR629" s="3" t="n">
        <v>-21444.87886322337</v>
      </c>
      <c r="CS629" s="3" t="n">
        <v>-22356.63804862209</v>
      </c>
      <c r="CU629" s="20" t="inlineStr">
        <is>
          <t>egy.mit.rfu.pow.ecy.6</t>
        </is>
      </c>
      <c r="CV629" s="3" t="n">
        <v>-7664.183078656577</v>
      </c>
      <c r="CW629" s="3" t="n">
        <v>-7862.142629450054</v>
      </c>
      <c r="CX629" s="3" t="n">
        <v>-10369.91125305875</v>
      </c>
      <c r="CY629" s="3" t="n">
        <v>-11664.68176141914</v>
      </c>
      <c r="CZ629" s="3" t="n">
        <v>-12212.49542283802</v>
      </c>
      <c r="DA629" s="3" t="n">
        <v>-12687.08726382907</v>
      </c>
      <c r="DB629" s="3" t="n">
        <v>-10862.61732575105</v>
      </c>
      <c r="DC629" s="3" t="n">
        <v>-11375.70934962671</v>
      </c>
      <c r="DD629" s="3" t="n">
        <v>-11540.81926734902</v>
      </c>
      <c r="DE629" s="3" t="n">
        <v>-12081.84775991312</v>
      </c>
      <c r="DF629" s="3" t="n">
        <v>-12586.045339643</v>
      </c>
      <c r="DG629" s="3" t="n">
        <v>-13274.31324615717</v>
      </c>
      <c r="DH629" s="3" t="n">
        <v>-14003.06073429914</v>
      </c>
      <c r="DI629" s="3" t="n">
        <v>-14811.39338588829</v>
      </c>
      <c r="DJ629" s="3" t="n">
        <v>-15641.49897947969</v>
      </c>
      <c r="DK629" s="3" t="n">
        <v>-16524.56504025775</v>
      </c>
      <c r="DL629" s="3" t="n">
        <v>-17404.31653260469</v>
      </c>
      <c r="DM629" s="3" t="n">
        <v>-18311.302720008</v>
      </c>
      <c r="DN629" s="3" t="n">
        <v>-19203.63945517276</v>
      </c>
      <c r="DO629" s="3" t="n">
        <v>-20119.57374931726</v>
      </c>
    </row>
    <row r="630">
      <c r="A630" s="5" t="n"/>
      <c r="B630" s="18" t="inlineStr">
        <is>
          <t>Air pollution effects</t>
        </is>
      </c>
      <c r="C630" s="5" t="n"/>
      <c r="D630" s="5" t="n"/>
      <c r="E630" s="5" t="n"/>
      <c r="F630" s="5" t="n"/>
      <c r="G630" s="5" t="n"/>
      <c r="H630" s="5" t="n"/>
      <c r="I630" s="5" t="n"/>
      <c r="J630" s="5" t="n"/>
      <c r="K630" s="5" t="n"/>
      <c r="L630" s="5" t="n"/>
      <c r="M630" s="5" t="n"/>
      <c r="N630" s="5" t="n"/>
      <c r="O630" s="5" t="n"/>
      <c r="P630" s="5" t="n"/>
      <c r="Q630" s="5" t="n"/>
      <c r="R630" s="5" t="n"/>
      <c r="S630" s="5" t="n"/>
      <c r="T630" s="5" t="n"/>
      <c r="U630" s="5" t="n"/>
      <c r="V630" s="5" t="n"/>
      <c r="W630" s="5" t="n"/>
      <c r="X630" s="5" t="n"/>
      <c r="Y630" s="5" t="n"/>
      <c r="Z630" s="5" t="n"/>
      <c r="AA630" s="5" t="n"/>
      <c r="AB630" s="5" t="n"/>
      <c r="AC630" s="5" t="n"/>
      <c r="AD630" s="5" t="n"/>
      <c r="AE630" s="5" t="n"/>
      <c r="AF630" s="5" t="n"/>
      <c r="AG630" s="5" t="n"/>
      <c r="AH630" s="5" t="n"/>
      <c r="AI630" s="5" t="n"/>
      <c r="AJ630" s="5" t="n"/>
      <c r="AK630" s="5" t="n"/>
      <c r="AL630" s="5" t="n"/>
      <c r="AM630" s="5" t="n"/>
      <c r="AN630" s="5" t="n"/>
      <c r="AO630" s="5" t="n"/>
      <c r="AP630" s="5" t="n"/>
      <c r="AQ630" s="5" t="n"/>
      <c r="AR630" s="5" t="n"/>
      <c r="AS630" s="5" t="n"/>
      <c r="AT630" s="5" t="n"/>
      <c r="AU630" s="5" t="n"/>
      <c r="AV630" s="5" t="n"/>
      <c r="AW630" s="5" t="n"/>
      <c r="AX630" s="5" t="n"/>
      <c r="AY630" s="5" t="n"/>
      <c r="AZ630" s="5" t="n"/>
      <c r="BA630" s="5" t="n"/>
      <c r="BB630" s="5" t="n"/>
      <c r="BC630" s="5" t="n"/>
      <c r="BD630" s="5" t="n"/>
      <c r="BE630" s="5" t="n"/>
      <c r="BF630" s="5" t="n"/>
      <c r="BG630" s="5" t="n"/>
      <c r="BH630" s="5" t="n"/>
      <c r="BI630" s="5" t="n"/>
      <c r="BJ630" s="5" t="n"/>
      <c r="BK630" s="5" t="n"/>
      <c r="BL630" s="5" t="n"/>
      <c r="BM630" s="5" t="n"/>
      <c r="BN630" s="5" t="n"/>
      <c r="BO630" s="5" t="n"/>
      <c r="BP630" s="5" t="n"/>
      <c r="BQ630" s="5" t="n"/>
      <c r="BR630" s="5" t="n"/>
      <c r="BS630" s="5" t="n"/>
      <c r="BT630" s="5" t="n"/>
      <c r="BU630" s="5" t="n"/>
      <c r="BV630" s="5" t="n"/>
      <c r="BW630" s="5" t="n"/>
      <c r="BX630" s="5" t="n"/>
      <c r="BY630" s="5" t="n"/>
      <c r="BZ630" s="5" t="n"/>
      <c r="CA630" s="5" t="n"/>
      <c r="CB630" s="5" t="n"/>
      <c r="CC630" s="5" t="n"/>
      <c r="CD630" s="5" t="n"/>
      <c r="CE630" s="5" t="n"/>
      <c r="CF630" s="5" t="n"/>
      <c r="CG630" s="5" t="n"/>
      <c r="CH630" s="5" t="n"/>
      <c r="CI630" s="5" t="n"/>
      <c r="CJ630" s="5" t="n"/>
      <c r="CK630" s="5" t="n"/>
      <c r="CL630" s="5" t="n"/>
      <c r="CM630" s="5" t="n"/>
      <c r="CN630" s="5" t="n"/>
      <c r="CO630" s="5" t="n"/>
      <c r="CP630" s="5" t="n"/>
      <c r="CQ630" s="5" t="n"/>
      <c r="CR630" s="5" t="n"/>
      <c r="CS630" s="5" t="n"/>
      <c r="CT630" s="5" t="n"/>
      <c r="CU630" s="5" t="n"/>
      <c r="CV630" s="5" t="n"/>
      <c r="CW630" s="5" t="n"/>
      <c r="CX630" s="5" t="n"/>
      <c r="CY630" s="5" t="n"/>
      <c r="CZ630" s="5" t="n"/>
      <c r="DA630" s="5" t="n"/>
      <c r="DB630" s="5" t="n"/>
      <c r="DC630" s="5" t="n"/>
      <c r="DD630" s="5" t="n"/>
      <c r="DE630" s="5" t="n"/>
      <c r="DF630" s="5" t="n"/>
      <c r="DG630" s="5" t="n"/>
      <c r="DH630" s="5" t="n"/>
      <c r="DI630" s="5" t="n"/>
      <c r="DJ630" s="5" t="n"/>
      <c r="DK630" s="5" t="n"/>
      <c r="DL630" s="5" t="n"/>
      <c r="DM630" s="5" t="n"/>
      <c r="DN630" s="5" t="n"/>
      <c r="DO630" s="5" t="n"/>
      <c r="DP630" s="5" t="n"/>
      <c r="DQ630" s="5" t="n"/>
      <c r="DR630" s="5" t="n"/>
      <c r="DS630" s="5" t="n"/>
      <c r="DT630" s="5" t="n"/>
      <c r="DU630" s="5" t="n"/>
      <c r="DV630" s="5" t="n"/>
      <c r="DW630" s="5" t="n"/>
      <c r="DX630" s="5" t="n"/>
      <c r="DY630" s="5" t="n"/>
      <c r="DZ630" s="5" t="n"/>
      <c r="EA630" s="5" t="n"/>
      <c r="EB630" s="5" t="n"/>
      <c r="EC630" s="5" t="n"/>
      <c r="ED630" s="5" t="n"/>
      <c r="EE630" s="5" t="n"/>
      <c r="EF630" s="5" t="n"/>
      <c r="EG630" s="5" t="n"/>
      <c r="EH630" s="5" t="n"/>
      <c r="EI630" s="5" t="n"/>
      <c r="EJ630" s="5" t="n"/>
      <c r="EK630" s="5" t="n"/>
      <c r="EL630" s="5" t="n"/>
      <c r="EM630" s="5" t="n"/>
      <c r="EN630" s="5" t="n"/>
      <c r="EO630" s="5" t="n"/>
      <c r="EP630" s="5" t="n"/>
      <c r="EQ630" s="5" t="n"/>
      <c r="ER630" s="5" t="n"/>
      <c r="ES630" s="5" t="n"/>
      <c r="ET630" s="5" t="n"/>
      <c r="EU630" s="5" t="n"/>
      <c r="EV630" s="5" t="n"/>
      <c r="EW630" s="5" t="n"/>
      <c r="EX630" s="5" t="n"/>
      <c r="EY630" s="5" t="n"/>
      <c r="EZ630" s="5" t="n"/>
      <c r="FA630" s="5" t="n"/>
      <c r="FB630" s="5" t="n"/>
      <c r="FC630" s="5" t="n"/>
      <c r="FD630" s="5" t="n"/>
      <c r="FE630" s="5" t="n"/>
      <c r="FF630" s="5" t="n"/>
      <c r="FG630" s="5" t="n"/>
      <c r="FH630" s="5" t="n"/>
      <c r="FI630" s="5" t="n"/>
      <c r="FJ630" s="5" t="n"/>
      <c r="FK630" s="5" t="n"/>
      <c r="FL630" s="5" t="n"/>
      <c r="FM630" s="5" t="n"/>
      <c r="FN630" s="5" t="n"/>
      <c r="FO630" s="5" t="n"/>
      <c r="FP630" s="5" t="n"/>
      <c r="FQ630" s="5" t="n"/>
      <c r="FR630" s="5" t="n"/>
      <c r="FS630" s="5" t="n"/>
      <c r="FT630" s="5" t="n"/>
      <c r="FU630" s="5" t="n"/>
      <c r="FV630" s="5" t="n"/>
      <c r="FW630" s="5" t="n"/>
      <c r="FX630" s="5" t="n"/>
      <c r="FY630" s="5" t="n"/>
      <c r="FZ630" s="5" t="n"/>
      <c r="GA630" s="5" t="n"/>
      <c r="GB630" s="5" t="n"/>
      <c r="GC630" s="5" t="n"/>
      <c r="GD630" s="5" t="n"/>
      <c r="GE630" s="5" t="n"/>
      <c r="GF630" s="5" t="n"/>
      <c r="GG630" s="5" t="n"/>
      <c r="GH630" s="5" t="n"/>
      <c r="GI630" s="5" t="n"/>
      <c r="GJ630" s="5" t="n"/>
      <c r="GK630" s="5" t="n"/>
      <c r="GL630" s="5" t="n"/>
      <c r="GM630" s="5" t="n"/>
      <c r="GN630" s="5" t="n"/>
      <c r="GO630" s="5" t="n"/>
      <c r="GP630" s="5" t="n"/>
      <c r="GQ630" s="5" t="n"/>
      <c r="GR630" s="5" t="n"/>
      <c r="GS630" s="5" t="n"/>
      <c r="GT630" s="5" t="n"/>
      <c r="GU630" s="5" t="n"/>
      <c r="GV630" s="5" t="n"/>
      <c r="GW630" s="5" t="n"/>
      <c r="GX630" s="5" t="n"/>
      <c r="GY630" s="5" t="n"/>
      <c r="GZ630" s="5" t="n"/>
      <c r="HA630" s="5" t="n"/>
      <c r="HB630" s="5" t="n"/>
      <c r="HC630" s="5" t="n"/>
      <c r="HD630" s="5" t="n"/>
      <c r="HE630" s="5" t="n"/>
      <c r="HF630" s="5" t="n"/>
      <c r="HG630" s="5" t="n"/>
      <c r="HH630" s="5" t="n"/>
      <c r="HI630" s="5" t="n"/>
      <c r="HJ630" s="5" t="n"/>
      <c r="HK630" s="5" t="n"/>
      <c r="HL630" s="5" t="n"/>
      <c r="HM630" s="5" t="n"/>
      <c r="HN630" s="5" t="n"/>
      <c r="HO630" s="5" t="n"/>
      <c r="HP630" s="5" t="n"/>
      <c r="HQ630" s="5" t="n"/>
      <c r="HR630" s="5" t="n"/>
      <c r="HS630" s="5" t="n"/>
      <c r="HT630" s="5" t="n"/>
      <c r="HU630" s="5" t="n"/>
      <c r="HV630" s="5" t="n"/>
    </row>
    <row r="631">
      <c r="A631" s="14" t="n"/>
      <c r="B631" s="3" t="inlineStr">
        <is>
          <t>air</t>
        </is>
      </c>
      <c r="C631" s="19" t="inlineStr">
        <is>
          <t>air.con.pm2.oap.urb</t>
        </is>
      </c>
      <c r="H631" s="14" t="inlineStr">
        <is>
          <t>Ambient PM2.5 - urban, Baseline</t>
        </is>
      </c>
      <c r="I631" s="14" t="inlineStr"/>
    </row>
    <row r="632">
      <c r="A632" s="14" t="n"/>
      <c r="B632" s="3" t="inlineStr">
        <is>
          <t>air</t>
        </is>
      </c>
      <c r="C632" s="19" t="inlineStr">
        <is>
          <t>air.con.pm2.oap.rur</t>
        </is>
      </c>
      <c r="H632" s="14" t="inlineStr">
        <is>
          <t>Ambient PM2.5 - rural, Baseline</t>
        </is>
      </c>
      <c r="I632" s="14" t="inlineStr"/>
    </row>
    <row r="633">
      <c r="A633" s="14" t="n"/>
      <c r="B633" s="3" t="inlineStr">
        <is>
          <t>air</t>
        </is>
      </c>
      <c r="C633" s="19" t="inlineStr">
        <is>
          <t>air.con.pm2.mod.all</t>
        </is>
      </c>
      <c r="H633" s="14" t="inlineStr">
        <is>
          <t>Modeled PM2.5 - all areas Baseline</t>
        </is>
      </c>
      <c r="I633" s="14" t="inlineStr"/>
    </row>
    <row r="634">
      <c r="A634" s="14" t="n"/>
      <c r="B634" s="3" t="inlineStr">
        <is>
          <t>air</t>
        </is>
      </c>
      <c r="C634" s="19" t="inlineStr">
        <is>
          <t>air.con.pm2.obs.all</t>
        </is>
      </c>
      <c r="H634" s="14" t="inlineStr">
        <is>
          <t>Observed PM2.5 - all areas Baseline</t>
        </is>
      </c>
      <c r="I634" s="14" t="inlineStr"/>
    </row>
    <row r="635">
      <c r="A635" s="14" t="n"/>
      <c r="B635" s="3" t="inlineStr">
        <is>
          <t>gui</t>
        </is>
      </c>
      <c r="C635" s="19" t="n"/>
      <c r="H635" s="14" t="inlineStr">
        <is>
          <t>Recommended WHO concentration</t>
        </is>
      </c>
      <c r="I635" s="14" t="inlineStr"/>
    </row>
    <row r="636">
      <c r="A636" s="14" t="n"/>
      <c r="B636" s="3" t="inlineStr">
        <is>
          <t>air</t>
        </is>
      </c>
      <c r="C636" s="19" t="inlineStr">
        <is>
          <t>air.cad.ao3</t>
        </is>
      </c>
      <c r="H636" s="14" t="inlineStr">
        <is>
          <t>Cumulative averted deaths - Ambient ozone</t>
        </is>
      </c>
      <c r="I636" s="14" t="inlineStr"/>
    </row>
    <row r="637">
      <c r="A637" s="14" t="n"/>
      <c r="B637" s="3" t="inlineStr">
        <is>
          <t>air</t>
        </is>
      </c>
      <c r="C637" s="19" t="inlineStr">
        <is>
          <t>air.cad.apm25</t>
        </is>
      </c>
      <c r="H637" s="14" t="inlineStr">
        <is>
          <t>Cumulative averted deaths - Ambient PM2.5</t>
        </is>
      </c>
      <c r="I637" s="14" t="inlineStr"/>
    </row>
    <row r="638">
      <c r="A638" s="14" t="n"/>
      <c r="B638" s="3" t="inlineStr">
        <is>
          <t>air</t>
        </is>
      </c>
      <c r="C638" s="19" t="inlineStr">
        <is>
          <t>air.cad.hpm25</t>
        </is>
      </c>
      <c r="H638" s="14" t="inlineStr">
        <is>
          <t>Cumulative averted deaths - Household PM2.5</t>
        </is>
      </c>
      <c r="I638" s="14" t="inlineStr"/>
    </row>
    <row r="639">
      <c r="A639" s="14" t="n"/>
      <c r="B639" s="3" t="inlineStr">
        <is>
          <t>air</t>
        </is>
      </c>
      <c r="C639" s="19" t="inlineStr">
        <is>
          <t>air.cad.net</t>
        </is>
      </c>
      <c r="H639" s="14" t="inlineStr">
        <is>
          <t>Cumulative averted deaths - net</t>
        </is>
      </c>
      <c r="I639" s="14" t="inlineStr"/>
    </row>
    <row r="640">
      <c r="A640" s="14" t="n"/>
      <c r="B640" s="3" t="inlineStr">
        <is>
          <t>air</t>
        </is>
      </c>
      <c r="C640" s="19" t="inlineStr">
        <is>
          <t>air.ada</t>
        </is>
      </c>
      <c r="H640" s="14" t="inlineStr">
        <is>
          <t>Averted deaths by age group: 25 to 64 years</t>
        </is>
      </c>
      <c r="I640" s="14" t="inlineStr"/>
    </row>
    <row r="641">
      <c r="A641" s="14" t="n"/>
      <c r="B641" s="3" t="inlineStr">
        <is>
          <t>air</t>
        </is>
      </c>
      <c r="C641" s="19" t="inlineStr">
        <is>
          <t>air.ada</t>
        </is>
      </c>
      <c r="H641" s="14" t="inlineStr">
        <is>
          <t>Averted deaths by age group: 65+ years</t>
        </is>
      </c>
      <c r="I641" s="14" t="inlineStr"/>
    </row>
    <row r="642">
      <c r="A642" s="14" t="n"/>
      <c r="B642" s="3" t="inlineStr">
        <is>
          <t>air</t>
        </is>
      </c>
      <c r="C642" s="19" t="inlineStr">
        <is>
          <t>air.ada.u24</t>
        </is>
      </c>
      <c r="H642" s="14" t="inlineStr">
        <is>
          <t>Averted deaths by age group: under 24 years (including neonatal)</t>
        </is>
      </c>
      <c r="I642" s="14" t="inlineStr"/>
    </row>
    <row r="643">
      <c r="A643" s="14" t="n"/>
      <c r="B643" s="3" t="inlineStr">
        <is>
          <t>air</t>
        </is>
      </c>
      <c r="C643" s="19" t="inlineStr">
        <is>
          <t>air.av.yll</t>
        </is>
      </c>
      <c r="H643" s="14" t="inlineStr">
        <is>
          <t>Averted YLL (years of life lost)</t>
        </is>
      </c>
      <c r="I643" s="14" t="inlineStr"/>
    </row>
    <row r="644">
      <c r="A644" s="14" t="n"/>
      <c r="B644" s="3" t="inlineStr">
        <is>
          <t>air</t>
        </is>
      </c>
      <c r="C644" s="19" t="inlineStr">
        <is>
          <t>air.av.yld</t>
        </is>
      </c>
      <c r="H644" s="14" t="inlineStr">
        <is>
          <t>Averted YLD (years lived with disability)</t>
        </is>
      </c>
      <c r="I644" s="14" t="inlineStr"/>
    </row>
    <row r="645">
      <c r="A645" s="14" t="n"/>
      <c r="B645" s="3" t="inlineStr">
        <is>
          <t>air</t>
        </is>
      </c>
      <c r="C645" s="19" t="inlineStr">
        <is>
          <t>air.mort</t>
        </is>
      </c>
      <c r="H645" s="14" t="inlineStr">
        <is>
          <t>Baseline air pollution deaths</t>
        </is>
      </c>
      <c r="I645" s="14" t="inlineStr"/>
    </row>
    <row r="646">
      <c r="A646" s="19" t="inlineStr">
        <is>
          <t>mit.airpol.cost.pow.coa</t>
        </is>
      </c>
      <c r="B646" s="3" t="inlineStr">
        <is>
          <t>mit</t>
        </is>
      </c>
      <c r="C646" s="19" t="inlineStr">
        <is>
          <t>air.ext.pp.coa</t>
        </is>
      </c>
      <c r="H646" s="3" t="inlineStr">
        <is>
          <t>Air-pollution cost per unit of fuel, marginal damages (coal, gas, other oil products USD/GJ; gasoline, diesel, LPG, kerosene USD/l) | Power | Coal</t>
        </is>
      </c>
      <c r="I646" s="3" t="inlineStr">
        <is>
          <t>USD per unit</t>
        </is>
      </c>
      <c r="K646" s="20" t="inlineStr">
        <is>
          <t>egy.mit.airpol.cost.pow.coa.1</t>
        </is>
      </c>
      <c r="L646" s="3" t="n">
        <v>0.5186144017929447</v>
      </c>
      <c r="M646" s="3" t="n">
        <v>0.5168726572519241</v>
      </c>
      <c r="N646" s="3" t="n">
        <v>0.4896408923164133</v>
      </c>
      <c r="O646" s="3" t="n">
        <v>0.3467736418146612</v>
      </c>
      <c r="P646" s="3" t="n">
        <v>0.3941115088072515</v>
      </c>
      <c r="Q646" s="3" t="n">
        <v>0.4076080975122535</v>
      </c>
      <c r="R646" s="3" t="n">
        <v>0.4436872089926524</v>
      </c>
      <c r="S646" s="3" t="n">
        <v>0.4775599857805631</v>
      </c>
      <c r="T646" s="3" t="n">
        <v>0.5088177111982911</v>
      </c>
      <c r="U646" s="3" t="n">
        <v>0.5178181346394432</v>
      </c>
      <c r="V646" s="3" t="n">
        <v>0.5377770512838581</v>
      </c>
      <c r="W646" s="3" t="n">
        <v>0.5582823651574287</v>
      </c>
      <c r="X646" s="3" t="n">
        <v>0.5793216416730614</v>
      </c>
      <c r="Y646" s="3" t="n">
        <v>0.6009029925393746</v>
      </c>
      <c r="Z646" s="3" t="n">
        <v>0.6230037100214199</v>
      </c>
      <c r="AA646" s="3" t="n">
        <v>0.6456504343503848</v>
      </c>
      <c r="AB646" s="3" t="n">
        <v>0.6687849152080704</v>
      </c>
      <c r="AC646" s="3" t="n">
        <v>0.6923866304030869</v>
      </c>
      <c r="AD646" s="3" t="n">
        <v>0.7164318970006542</v>
      </c>
      <c r="AE646" s="3" t="n">
        <v>0.713870977444944</v>
      </c>
      <c r="AG646" s="20" t="inlineStr">
        <is>
          <t>egy.mit.airpol.cost.pow.coa.3</t>
        </is>
      </c>
      <c r="AH646" s="3" t="n">
        <v>0.5186144017929447</v>
      </c>
      <c r="AI646" s="3" t="n">
        <v>0.5168726572519241</v>
      </c>
      <c r="AJ646" s="3" t="n">
        <v>0.4896408923164133</v>
      </c>
      <c r="AK646" s="3" t="n">
        <v>0.3467736418146612</v>
      </c>
      <c r="AL646" s="3" t="n">
        <v>0.3941115088072515</v>
      </c>
      <c r="AM646" s="3" t="n">
        <v>0.4076080975122535</v>
      </c>
      <c r="AN646" s="3" t="n">
        <v>0.4436872089926524</v>
      </c>
      <c r="AO646" s="3" t="n">
        <v>0.4775599857805631</v>
      </c>
      <c r="AP646" s="3" t="n">
        <v>0.5088177111982911</v>
      </c>
      <c r="AQ646" s="3" t="n">
        <v>0.5178181346394432</v>
      </c>
      <c r="AR646" s="3" t="n">
        <v>0.5377770512838581</v>
      </c>
      <c r="AS646" s="3" t="n">
        <v>0.5582823651574287</v>
      </c>
      <c r="AT646" s="3" t="n">
        <v>0.5793216416730614</v>
      </c>
      <c r="AU646" s="3" t="n">
        <v>0.6009029925393746</v>
      </c>
      <c r="AV646" s="3" t="n">
        <v>0.6230037100214199</v>
      </c>
      <c r="AW646" s="3" t="n">
        <v>0.6456504343503848</v>
      </c>
      <c r="AX646" s="3" t="n">
        <v>0.6687849152080704</v>
      </c>
      <c r="AY646" s="3" t="n">
        <v>0.6923866304030869</v>
      </c>
      <c r="AZ646" s="3" t="n">
        <v>0.7164318970006542</v>
      </c>
      <c r="BA646" s="3" t="n">
        <v>0.713870977444944</v>
      </c>
      <c r="BC646" s="20" t="inlineStr">
        <is>
          <t>egy.mit.airpol.cost.pow.coa.4</t>
        </is>
      </c>
      <c r="BD646" s="3" t="n">
        <v>0.5186144017929447</v>
      </c>
      <c r="BE646" s="3" t="n">
        <v>0.5168726572519241</v>
      </c>
      <c r="BF646" s="3" t="n">
        <v>0.4896408923164133</v>
      </c>
      <c r="BG646" s="3" t="n">
        <v>0.3467736418146612</v>
      </c>
      <c r="BH646" s="3" t="n">
        <v>0.3941115088072515</v>
      </c>
      <c r="BI646" s="3" t="n">
        <v>0.4076080975122535</v>
      </c>
      <c r="BJ646" s="3" t="n">
        <v>0.4436872089926524</v>
      </c>
      <c r="BK646" s="3" t="n">
        <v>0.4775599857805631</v>
      </c>
      <c r="BL646" s="3" t="n">
        <v>0.5088177111982911</v>
      </c>
      <c r="BM646" s="3" t="n">
        <v>0.5178181346394432</v>
      </c>
      <c r="BN646" s="3" t="n">
        <v>0.5377770512838581</v>
      </c>
      <c r="BO646" s="3" t="n">
        <v>0.5582823651574287</v>
      </c>
      <c r="BP646" s="3" t="n">
        <v>0.5793216416730614</v>
      </c>
      <c r="BQ646" s="3" t="n">
        <v>0.6009029925393746</v>
      </c>
      <c r="BR646" s="3" t="n">
        <v>0.6230037100214199</v>
      </c>
      <c r="BS646" s="3" t="n">
        <v>0.6456504343503848</v>
      </c>
      <c r="BT646" s="3" t="n">
        <v>0.6687849152080704</v>
      </c>
      <c r="BU646" s="3" t="n">
        <v>0.6923866304030869</v>
      </c>
      <c r="BV646" s="3" t="n">
        <v>0.7164318970006542</v>
      </c>
      <c r="BW646" s="3" t="n">
        <v>0.713870977444944</v>
      </c>
      <c r="BY646" s="20" t="inlineStr">
        <is>
          <t>egy.mit.airpol.cost.pow.coa.5</t>
        </is>
      </c>
      <c r="BZ646" s="3" t="n">
        <v>0.5186144017929447</v>
      </c>
      <c r="CA646" s="3" t="n">
        <v>0.5168726572519241</v>
      </c>
      <c r="CB646" s="3" t="n">
        <v>0.4896408923164133</v>
      </c>
      <c r="CC646" s="3" t="n">
        <v>0.3467736418146612</v>
      </c>
      <c r="CD646" s="3" t="n">
        <v>0.3941115088072515</v>
      </c>
      <c r="CE646" s="3" t="n">
        <v>0.4076080975122535</v>
      </c>
      <c r="CF646" s="3" t="n">
        <v>0.4436872089926524</v>
      </c>
      <c r="CG646" s="3" t="n">
        <v>0.4775599857805631</v>
      </c>
      <c r="CH646" s="3" t="n">
        <v>0.5088177111982911</v>
      </c>
      <c r="CI646" s="3" t="n">
        <v>0.5178181346394432</v>
      </c>
      <c r="CJ646" s="3" t="n">
        <v>0.5377770512838581</v>
      </c>
      <c r="CK646" s="3" t="n">
        <v>0.5582823651574287</v>
      </c>
      <c r="CL646" s="3" t="n">
        <v>0.5793216416730614</v>
      </c>
      <c r="CM646" s="3" t="n">
        <v>0.6009029925393746</v>
      </c>
      <c r="CN646" s="3" t="n">
        <v>0.6230037100214199</v>
      </c>
      <c r="CO646" s="3" t="n">
        <v>0.6456504343503848</v>
      </c>
      <c r="CP646" s="3" t="n">
        <v>0.6687849152080704</v>
      </c>
      <c r="CQ646" s="3" t="n">
        <v>0.6923866304030869</v>
      </c>
      <c r="CR646" s="3" t="n">
        <v>0.7164318970006542</v>
      </c>
      <c r="CS646" s="3" t="n">
        <v>0.713870977444944</v>
      </c>
      <c r="CU646" s="20" t="inlineStr">
        <is>
          <t>egy.mit.airpol.cost.pow.coa.6</t>
        </is>
      </c>
      <c r="CV646" s="3" t="n">
        <v>0.5186144017929447</v>
      </c>
      <c r="CW646" s="3" t="n">
        <v>0.5168726572519241</v>
      </c>
      <c r="CX646" s="3" t="n">
        <v>0.4896408923164133</v>
      </c>
      <c r="CY646" s="3" t="n">
        <v>0.3467736418146612</v>
      </c>
      <c r="CZ646" s="3" t="n">
        <v>0.3941115088072515</v>
      </c>
      <c r="DA646" s="3" t="n">
        <v>0.4076080975122535</v>
      </c>
      <c r="DB646" s="3" t="n">
        <v>0.4436872089926524</v>
      </c>
      <c r="DC646" s="3" t="n">
        <v>0.4775599857805631</v>
      </c>
      <c r="DD646" s="3" t="n">
        <v>0.5088177111982911</v>
      </c>
      <c r="DE646" s="3" t="n">
        <v>0.5178181346394432</v>
      </c>
      <c r="DF646" s="3" t="n">
        <v>0.5377770512838581</v>
      </c>
      <c r="DG646" s="3" t="n">
        <v>0.5582823651574287</v>
      </c>
      <c r="DH646" s="3" t="n">
        <v>0.5793216416730614</v>
      </c>
      <c r="DI646" s="3" t="n">
        <v>0.6009029925393746</v>
      </c>
      <c r="DJ646" s="3" t="n">
        <v>0.6230037100214199</v>
      </c>
      <c r="DK646" s="3" t="n">
        <v>0.6456504343503848</v>
      </c>
      <c r="DL646" s="3" t="n">
        <v>0.6687849152080704</v>
      </c>
      <c r="DM646" s="3" t="n">
        <v>0.6923866304030869</v>
      </c>
      <c r="DN646" s="3" t="n">
        <v>0.7164318970006542</v>
      </c>
      <c r="DO646" s="3" t="n">
        <v>0.713870977444944</v>
      </c>
    </row>
    <row r="647">
      <c r="A647" s="19" t="inlineStr">
        <is>
          <t>mit.airpol.cost.pow.nga</t>
        </is>
      </c>
      <c r="B647" s="3" t="inlineStr">
        <is>
          <t>mit</t>
        </is>
      </c>
      <c r="C647" s="19" t="inlineStr">
        <is>
          <t>air.ext.pp.gas</t>
        </is>
      </c>
      <c r="H647" s="3" t="inlineStr">
        <is>
          <t>Air-pollution cost per unit of fuel, marginal damages (coal, gas, other oil products USD/GJ; gasoline, diesel, LPG, kerosene USD/l) | Power | Natural gas</t>
        </is>
      </c>
      <c r="I647" s="3" t="inlineStr">
        <is>
          <t>USD per unit</t>
        </is>
      </c>
      <c r="K647" s="20" t="inlineStr">
        <is>
          <t>egy.mit.airpol.cost.pow.nga.1</t>
        </is>
      </c>
      <c r="L647" s="3" t="n">
        <v>0.3841932382979173</v>
      </c>
      <c r="M647" s="3" t="n">
        <v>0.3833916990410631</v>
      </c>
      <c r="N647" s="3" t="n">
        <v>0.363658601349268</v>
      </c>
      <c r="O647" s="3" t="n">
        <v>0.2578827886369751</v>
      </c>
      <c r="P647" s="3" t="n">
        <v>0.2934665289050769</v>
      </c>
      <c r="Q647" s="3" t="n">
        <v>0.3039124917358505</v>
      </c>
      <c r="R647" s="3" t="n">
        <v>0.3312470993631918</v>
      </c>
      <c r="S647" s="3" t="n">
        <v>0.3570061491257512</v>
      </c>
      <c r="T647" s="3" t="n">
        <v>0.3808778939923376</v>
      </c>
      <c r="U647" s="3" t="n">
        <v>0.3881323142811484</v>
      </c>
      <c r="V647" s="3" t="n">
        <v>0.4036333622109438</v>
      </c>
      <c r="W647" s="3" t="n">
        <v>0.4195891187695747</v>
      </c>
      <c r="X647" s="3" t="n">
        <v>0.4359923597196574</v>
      </c>
      <c r="Y647" s="3" t="n">
        <v>0.452851323784807</v>
      </c>
      <c r="Z647" s="3" t="n">
        <v>0.4701510552471407</v>
      </c>
      <c r="AA647" s="3" t="n">
        <v>0.4879138265844611</v>
      </c>
      <c r="AB647" s="3" t="n">
        <v>0.5060978121568287</v>
      </c>
      <c r="AC647" s="3" t="n">
        <v>0.5246895626600027</v>
      </c>
      <c r="AD647" s="3" t="n">
        <v>0.5436731729545946</v>
      </c>
      <c r="AE647" s="3" t="n">
        <v>0.5424946548027048</v>
      </c>
      <c r="AG647" s="20" t="inlineStr">
        <is>
          <t>egy.mit.airpol.cost.pow.nga.3</t>
        </is>
      </c>
      <c r="AH647" s="3" t="n">
        <v>0.3841932382979173</v>
      </c>
      <c r="AI647" s="3" t="n">
        <v>0.3833916990410631</v>
      </c>
      <c r="AJ647" s="3" t="n">
        <v>0.363658601349268</v>
      </c>
      <c r="AK647" s="3" t="n">
        <v>0.2578827886369751</v>
      </c>
      <c r="AL647" s="3" t="n">
        <v>0.2934665289050769</v>
      </c>
      <c r="AM647" s="3" t="n">
        <v>0.3039124917358505</v>
      </c>
      <c r="AN647" s="3" t="n">
        <v>0.3312470993631918</v>
      </c>
      <c r="AO647" s="3" t="n">
        <v>0.3570061491257512</v>
      </c>
      <c r="AP647" s="3" t="n">
        <v>0.3808778939923376</v>
      </c>
      <c r="AQ647" s="3" t="n">
        <v>0.3881323142811484</v>
      </c>
      <c r="AR647" s="3" t="n">
        <v>0.4036333622109438</v>
      </c>
      <c r="AS647" s="3" t="n">
        <v>0.4195891187695747</v>
      </c>
      <c r="AT647" s="3" t="n">
        <v>0.4359923597196574</v>
      </c>
      <c r="AU647" s="3" t="n">
        <v>0.452851323784807</v>
      </c>
      <c r="AV647" s="3" t="n">
        <v>0.4701510552471407</v>
      </c>
      <c r="AW647" s="3" t="n">
        <v>0.4879138265844611</v>
      </c>
      <c r="AX647" s="3" t="n">
        <v>0.5060978121568287</v>
      </c>
      <c r="AY647" s="3" t="n">
        <v>0.5246895626600027</v>
      </c>
      <c r="AZ647" s="3" t="n">
        <v>0.5436731729545946</v>
      </c>
      <c r="BA647" s="3" t="n">
        <v>0.5424946548027048</v>
      </c>
      <c r="BC647" s="20" t="inlineStr">
        <is>
          <t>egy.mit.airpol.cost.pow.nga.4</t>
        </is>
      </c>
      <c r="BD647" s="3" t="n">
        <v>0.3841932382979173</v>
      </c>
      <c r="BE647" s="3" t="n">
        <v>0.3833916990410631</v>
      </c>
      <c r="BF647" s="3" t="n">
        <v>0.363658601349268</v>
      </c>
      <c r="BG647" s="3" t="n">
        <v>0.2578827886369751</v>
      </c>
      <c r="BH647" s="3" t="n">
        <v>0.2934665289050769</v>
      </c>
      <c r="BI647" s="3" t="n">
        <v>0.3039124917358505</v>
      </c>
      <c r="BJ647" s="3" t="n">
        <v>0.3312470993631918</v>
      </c>
      <c r="BK647" s="3" t="n">
        <v>0.3570061491257512</v>
      </c>
      <c r="BL647" s="3" t="n">
        <v>0.3808778939923376</v>
      </c>
      <c r="BM647" s="3" t="n">
        <v>0.3881323142811484</v>
      </c>
      <c r="BN647" s="3" t="n">
        <v>0.4036333622109438</v>
      </c>
      <c r="BO647" s="3" t="n">
        <v>0.4195891187695747</v>
      </c>
      <c r="BP647" s="3" t="n">
        <v>0.4359923597196574</v>
      </c>
      <c r="BQ647" s="3" t="n">
        <v>0.452851323784807</v>
      </c>
      <c r="BR647" s="3" t="n">
        <v>0.4701510552471407</v>
      </c>
      <c r="BS647" s="3" t="n">
        <v>0.4879138265844611</v>
      </c>
      <c r="BT647" s="3" t="n">
        <v>0.5060978121568287</v>
      </c>
      <c r="BU647" s="3" t="n">
        <v>0.5246895626600027</v>
      </c>
      <c r="BV647" s="3" t="n">
        <v>0.5436731729545946</v>
      </c>
      <c r="BW647" s="3" t="n">
        <v>0.5424946548027048</v>
      </c>
      <c r="BY647" s="20" t="inlineStr">
        <is>
          <t>egy.mit.airpol.cost.pow.nga.5</t>
        </is>
      </c>
      <c r="BZ647" s="3" t="n">
        <v>0.3841932382979173</v>
      </c>
      <c r="CA647" s="3" t="n">
        <v>0.3833916990410631</v>
      </c>
      <c r="CB647" s="3" t="n">
        <v>0.363658601349268</v>
      </c>
      <c r="CC647" s="3" t="n">
        <v>0.2578827886369751</v>
      </c>
      <c r="CD647" s="3" t="n">
        <v>0.2934665289050769</v>
      </c>
      <c r="CE647" s="3" t="n">
        <v>0.3039124917358505</v>
      </c>
      <c r="CF647" s="3" t="n">
        <v>0.3312470993631918</v>
      </c>
      <c r="CG647" s="3" t="n">
        <v>0.3570061491257512</v>
      </c>
      <c r="CH647" s="3" t="n">
        <v>0.3808778939923376</v>
      </c>
      <c r="CI647" s="3" t="n">
        <v>0.3881323142811484</v>
      </c>
      <c r="CJ647" s="3" t="n">
        <v>0.4036333622109438</v>
      </c>
      <c r="CK647" s="3" t="n">
        <v>0.4195891187695747</v>
      </c>
      <c r="CL647" s="3" t="n">
        <v>0.4359923597196574</v>
      </c>
      <c r="CM647" s="3" t="n">
        <v>0.452851323784807</v>
      </c>
      <c r="CN647" s="3" t="n">
        <v>0.4701510552471407</v>
      </c>
      <c r="CO647" s="3" t="n">
        <v>0.4879138265844611</v>
      </c>
      <c r="CP647" s="3" t="n">
        <v>0.5060978121568287</v>
      </c>
      <c r="CQ647" s="3" t="n">
        <v>0.5246895626600027</v>
      </c>
      <c r="CR647" s="3" t="n">
        <v>0.5436731729545946</v>
      </c>
      <c r="CS647" s="3" t="n">
        <v>0.5424946548027048</v>
      </c>
      <c r="CU647" s="20" t="inlineStr">
        <is>
          <t>egy.mit.airpol.cost.pow.nga.6</t>
        </is>
      </c>
      <c r="CV647" s="3" t="n">
        <v>0.3841932382979173</v>
      </c>
      <c r="CW647" s="3" t="n">
        <v>0.3833916990410631</v>
      </c>
      <c r="CX647" s="3" t="n">
        <v>0.363658601349268</v>
      </c>
      <c r="CY647" s="3" t="n">
        <v>0.2578827886369751</v>
      </c>
      <c r="CZ647" s="3" t="n">
        <v>0.2934665289050769</v>
      </c>
      <c r="DA647" s="3" t="n">
        <v>0.3039124917358505</v>
      </c>
      <c r="DB647" s="3" t="n">
        <v>0.3312470993631918</v>
      </c>
      <c r="DC647" s="3" t="n">
        <v>0.3570061491257512</v>
      </c>
      <c r="DD647" s="3" t="n">
        <v>0.3808778939923376</v>
      </c>
      <c r="DE647" s="3" t="n">
        <v>0.3881323142811484</v>
      </c>
      <c r="DF647" s="3" t="n">
        <v>0.4036333622109438</v>
      </c>
      <c r="DG647" s="3" t="n">
        <v>0.4195891187695747</v>
      </c>
      <c r="DH647" s="3" t="n">
        <v>0.4359923597196574</v>
      </c>
      <c r="DI647" s="3" t="n">
        <v>0.452851323784807</v>
      </c>
      <c r="DJ647" s="3" t="n">
        <v>0.4701510552471407</v>
      </c>
      <c r="DK647" s="3" t="n">
        <v>0.4879138265844611</v>
      </c>
      <c r="DL647" s="3" t="n">
        <v>0.5060978121568287</v>
      </c>
      <c r="DM647" s="3" t="n">
        <v>0.5246895626600027</v>
      </c>
      <c r="DN647" s="3" t="n">
        <v>0.5436731729545946</v>
      </c>
      <c r="DO647" s="3" t="n">
        <v>0.5424946548027048</v>
      </c>
    </row>
    <row r="648">
      <c r="A648" s="19" t="inlineStr">
        <is>
          <t>mit.airpol.cost.pow.oop</t>
        </is>
      </c>
      <c r="B648" s="3" t="inlineStr">
        <is>
          <t>mit</t>
        </is>
      </c>
      <c r="C648" s="19" t="inlineStr">
        <is>
          <t>air.ext.pp.oil</t>
        </is>
      </c>
      <c r="H648" s="3" t="inlineStr">
        <is>
          <t>Air-pollution cost per unit of fuel, marginal damages (coal, gas, other oil products USD/GJ; gasoline, diesel, LPG, kerosene USD/l) | Power | Other oil products</t>
        </is>
      </c>
      <c r="I648" s="3" t="inlineStr">
        <is>
          <t>USD per unit</t>
        </is>
      </c>
      <c r="K648" s="20" t="inlineStr">
        <is>
          <t>egy.mit.airpol.cost.pow.oop.1</t>
        </is>
      </c>
      <c r="L648" s="3" t="n">
        <v>4.059121884216492</v>
      </c>
      <c r="M648" s="3" t="n">
        <v>4.0334866859484</v>
      </c>
      <c r="N648" s="3" t="n">
        <v>3.809532548478162</v>
      </c>
      <c r="O648" s="3" t="n">
        <v>2.689826219154245</v>
      </c>
      <c r="P648" s="3" t="n">
        <v>3.047673205289422</v>
      </c>
      <c r="Q648" s="3" t="n">
        <v>3.142317182434786</v>
      </c>
      <c r="R648" s="3" t="n">
        <v>3.409798068186398</v>
      </c>
      <c r="S648" s="3" t="n">
        <v>3.658563568954257</v>
      </c>
      <c r="T648" s="3" t="n">
        <v>3.885634921965087</v>
      </c>
      <c r="U648" s="3" t="n">
        <v>3.941668405679072</v>
      </c>
      <c r="V648" s="3" t="n">
        <v>4.080316846132452</v>
      </c>
      <c r="W648" s="3" t="n">
        <v>4.222015599522128</v>
      </c>
      <c r="X648" s="3" t="n">
        <v>4.366618536080081</v>
      </c>
      <c r="Y648" s="3" t="n">
        <v>4.514134393091839</v>
      </c>
      <c r="Z648" s="3" t="n">
        <v>4.664339607262609</v>
      </c>
      <c r="AA648" s="3" t="n">
        <v>4.817380379754802</v>
      </c>
      <c r="AB648" s="3" t="n">
        <v>4.972768214903097</v>
      </c>
      <c r="AC648" s="3" t="n">
        <v>5.130299421853841</v>
      </c>
      <c r="AD648" s="3" t="n">
        <v>5.28974837885053</v>
      </c>
      <c r="AE648" s="3" t="n">
        <v>5.252056467658545</v>
      </c>
      <c r="AG648" s="20" t="inlineStr">
        <is>
          <t>egy.mit.airpol.cost.pow.oop.3</t>
        </is>
      </c>
      <c r="AH648" s="3" t="n">
        <v>4.059121884216492</v>
      </c>
      <c r="AI648" s="3" t="n">
        <v>4.0334866859484</v>
      </c>
      <c r="AJ648" s="3" t="n">
        <v>3.809532548478162</v>
      </c>
      <c r="AK648" s="3" t="n">
        <v>2.689826219154245</v>
      </c>
      <c r="AL648" s="3" t="n">
        <v>3.047673205289422</v>
      </c>
      <c r="AM648" s="3" t="n">
        <v>3.142317182434786</v>
      </c>
      <c r="AN648" s="3" t="n">
        <v>3.409798068186398</v>
      </c>
      <c r="AO648" s="3" t="n">
        <v>3.658563568954257</v>
      </c>
      <c r="AP648" s="3" t="n">
        <v>3.885634921965087</v>
      </c>
      <c r="AQ648" s="3" t="n">
        <v>3.941668405679072</v>
      </c>
      <c r="AR648" s="3" t="n">
        <v>4.080316846132452</v>
      </c>
      <c r="AS648" s="3" t="n">
        <v>4.222015599522128</v>
      </c>
      <c r="AT648" s="3" t="n">
        <v>4.366618536080081</v>
      </c>
      <c r="AU648" s="3" t="n">
        <v>4.514134393091839</v>
      </c>
      <c r="AV648" s="3" t="n">
        <v>4.664339607262609</v>
      </c>
      <c r="AW648" s="3" t="n">
        <v>4.817380379754802</v>
      </c>
      <c r="AX648" s="3" t="n">
        <v>4.972768214903097</v>
      </c>
      <c r="AY648" s="3" t="n">
        <v>5.130299421853841</v>
      </c>
      <c r="AZ648" s="3" t="n">
        <v>5.28974837885053</v>
      </c>
      <c r="BA648" s="3" t="n">
        <v>5.252056467658545</v>
      </c>
      <c r="BC648" s="20" t="inlineStr">
        <is>
          <t>egy.mit.airpol.cost.pow.oop.4</t>
        </is>
      </c>
      <c r="BD648" s="3" t="n">
        <v>4.059121884216492</v>
      </c>
      <c r="BE648" s="3" t="n">
        <v>4.0334866859484</v>
      </c>
      <c r="BF648" s="3" t="n">
        <v>3.809532548478162</v>
      </c>
      <c r="BG648" s="3" t="n">
        <v>2.689826219154245</v>
      </c>
      <c r="BH648" s="3" t="n">
        <v>3.047673205289422</v>
      </c>
      <c r="BI648" s="3" t="n">
        <v>3.142317182434786</v>
      </c>
      <c r="BJ648" s="3" t="n">
        <v>3.409798068186398</v>
      </c>
      <c r="BK648" s="3" t="n">
        <v>3.658563568954257</v>
      </c>
      <c r="BL648" s="3" t="n">
        <v>3.885634921965087</v>
      </c>
      <c r="BM648" s="3" t="n">
        <v>3.941668405679072</v>
      </c>
      <c r="BN648" s="3" t="n">
        <v>4.080316846132452</v>
      </c>
      <c r="BO648" s="3" t="n">
        <v>4.222015599522128</v>
      </c>
      <c r="BP648" s="3" t="n">
        <v>4.366618536080081</v>
      </c>
      <c r="BQ648" s="3" t="n">
        <v>4.514134393091839</v>
      </c>
      <c r="BR648" s="3" t="n">
        <v>4.664339607262609</v>
      </c>
      <c r="BS648" s="3" t="n">
        <v>4.817380379754802</v>
      </c>
      <c r="BT648" s="3" t="n">
        <v>4.972768214903097</v>
      </c>
      <c r="BU648" s="3" t="n">
        <v>5.130299421853841</v>
      </c>
      <c r="BV648" s="3" t="n">
        <v>5.28974837885053</v>
      </c>
      <c r="BW648" s="3" t="n">
        <v>5.252056467658545</v>
      </c>
      <c r="BY648" s="20" t="inlineStr">
        <is>
          <t>egy.mit.airpol.cost.pow.oop.5</t>
        </is>
      </c>
      <c r="BZ648" s="3" t="n">
        <v>4.059121884216492</v>
      </c>
      <c r="CA648" s="3" t="n">
        <v>4.0334866859484</v>
      </c>
      <c r="CB648" s="3" t="n">
        <v>3.809532548478162</v>
      </c>
      <c r="CC648" s="3" t="n">
        <v>2.689826219154245</v>
      </c>
      <c r="CD648" s="3" t="n">
        <v>3.047673205289422</v>
      </c>
      <c r="CE648" s="3" t="n">
        <v>3.142317182434786</v>
      </c>
      <c r="CF648" s="3" t="n">
        <v>3.409798068186398</v>
      </c>
      <c r="CG648" s="3" t="n">
        <v>3.658563568954257</v>
      </c>
      <c r="CH648" s="3" t="n">
        <v>3.885634921965087</v>
      </c>
      <c r="CI648" s="3" t="n">
        <v>3.941668405679072</v>
      </c>
      <c r="CJ648" s="3" t="n">
        <v>4.080316846132452</v>
      </c>
      <c r="CK648" s="3" t="n">
        <v>4.222015599522128</v>
      </c>
      <c r="CL648" s="3" t="n">
        <v>4.366618536080081</v>
      </c>
      <c r="CM648" s="3" t="n">
        <v>4.514134393091839</v>
      </c>
      <c r="CN648" s="3" t="n">
        <v>4.664339607262609</v>
      </c>
      <c r="CO648" s="3" t="n">
        <v>4.817380379754802</v>
      </c>
      <c r="CP648" s="3" t="n">
        <v>4.972768214903097</v>
      </c>
      <c r="CQ648" s="3" t="n">
        <v>5.130299421853841</v>
      </c>
      <c r="CR648" s="3" t="n">
        <v>5.28974837885053</v>
      </c>
      <c r="CS648" s="3" t="n">
        <v>5.252056467658545</v>
      </c>
      <c r="CU648" s="20" t="inlineStr">
        <is>
          <t>egy.mit.airpol.cost.pow.oop.6</t>
        </is>
      </c>
      <c r="CV648" s="3" t="n">
        <v>4.059121884216492</v>
      </c>
      <c r="CW648" s="3" t="n">
        <v>4.0334866859484</v>
      </c>
      <c r="CX648" s="3" t="n">
        <v>3.809532548478162</v>
      </c>
      <c r="CY648" s="3" t="n">
        <v>2.689826219154245</v>
      </c>
      <c r="CZ648" s="3" t="n">
        <v>3.047673205289422</v>
      </c>
      <c r="DA648" s="3" t="n">
        <v>3.142317182434786</v>
      </c>
      <c r="DB648" s="3" t="n">
        <v>3.409798068186398</v>
      </c>
      <c r="DC648" s="3" t="n">
        <v>3.658563568954257</v>
      </c>
      <c r="DD648" s="3" t="n">
        <v>3.885634921965087</v>
      </c>
      <c r="DE648" s="3" t="n">
        <v>3.941668405679072</v>
      </c>
      <c r="DF648" s="3" t="n">
        <v>4.080316846132452</v>
      </c>
      <c r="DG648" s="3" t="n">
        <v>4.222015599522128</v>
      </c>
      <c r="DH648" s="3" t="n">
        <v>4.366618536080081</v>
      </c>
      <c r="DI648" s="3" t="n">
        <v>4.514134393091839</v>
      </c>
      <c r="DJ648" s="3" t="n">
        <v>4.664339607262609</v>
      </c>
      <c r="DK648" s="3" t="n">
        <v>4.817380379754802</v>
      </c>
      <c r="DL648" s="3" t="n">
        <v>4.972768214903097</v>
      </c>
      <c r="DM648" s="3" t="n">
        <v>5.130299421853841</v>
      </c>
      <c r="DN648" s="3" t="n">
        <v>5.28974837885053</v>
      </c>
      <c r="DO648" s="3" t="n">
        <v>5.252056467658545</v>
      </c>
    </row>
    <row r="649">
      <c r="A649" s="19" t="inlineStr">
        <is>
          <t>mit.airpol.cost.ind.coa</t>
        </is>
      </c>
      <c r="B649" s="3" t="inlineStr">
        <is>
          <t>mit</t>
        </is>
      </c>
      <c r="C649" s="19" t="inlineStr">
        <is>
          <t>air.ext.ind.coa</t>
        </is>
      </c>
      <c r="H649" s="3" t="inlineStr">
        <is>
          <t>Air-pollution cost per unit of fuel, marginal damages (coal, gas, other oil products USD/GJ; gasoline, diesel, LPG, kerosene USD/l) | Industry | Coal</t>
        </is>
      </c>
      <c r="I649" s="3" t="inlineStr">
        <is>
          <t>USD per unit</t>
        </is>
      </c>
      <c r="K649" s="20" t="inlineStr">
        <is>
          <t>egy.mit.airpol.cost.ind.coa.1</t>
        </is>
      </c>
      <c r="L649" s="3" t="n">
        <v>1.646935644617493</v>
      </c>
      <c r="M649" s="3" t="n">
        <v>1.63895261334982</v>
      </c>
      <c r="N649" s="3" t="n">
        <v>1.550264955579954</v>
      </c>
      <c r="O649" s="3" t="n">
        <v>1.096261845275072</v>
      </c>
      <c r="P649" s="3" t="n">
        <v>1.244004062999655</v>
      </c>
      <c r="Q649" s="3" t="n">
        <v>1.28461907908624</v>
      </c>
      <c r="R649" s="3" t="n">
        <v>1.396148797944161</v>
      </c>
      <c r="S649" s="3" t="n">
        <v>1.500376452551572</v>
      </c>
      <c r="T649" s="3" t="n">
        <v>1.596049085791322</v>
      </c>
      <c r="U649" s="3" t="n">
        <v>1.621687328159148</v>
      </c>
      <c r="V649" s="3" t="n">
        <v>1.681481249496546</v>
      </c>
      <c r="W649" s="3" t="n">
        <v>1.742759841027165</v>
      </c>
      <c r="X649" s="3" t="n">
        <v>1.805473645085426</v>
      </c>
      <c r="Y649" s="3" t="n">
        <v>1.869637237165814</v>
      </c>
      <c r="Z649" s="3" t="n">
        <v>1.935169143022714</v>
      </c>
      <c r="AA649" s="3" t="n">
        <v>2.002141234624387</v>
      </c>
      <c r="AB649" s="3" t="n">
        <v>2.070361874610471</v>
      </c>
      <c r="AC649" s="3" t="n">
        <v>2.139757094372805</v>
      </c>
      <c r="AD649" s="3" t="n">
        <v>2.210243461461712</v>
      </c>
      <c r="AE649" s="3" t="n">
        <v>2.198505861368388</v>
      </c>
      <c r="AG649" s="20" t="inlineStr">
        <is>
          <t>egy.mit.airpol.cost.ind.coa.3</t>
        </is>
      </c>
      <c r="AH649" s="3" t="n">
        <v>1.646935644617493</v>
      </c>
      <c r="AI649" s="3" t="n">
        <v>1.63895261334982</v>
      </c>
      <c r="AJ649" s="3" t="n">
        <v>1.550264955579954</v>
      </c>
      <c r="AK649" s="3" t="n">
        <v>1.096261845275072</v>
      </c>
      <c r="AL649" s="3" t="n">
        <v>1.244004062999655</v>
      </c>
      <c r="AM649" s="3" t="n">
        <v>1.28461907908624</v>
      </c>
      <c r="AN649" s="3" t="n">
        <v>1.396148797944161</v>
      </c>
      <c r="AO649" s="3" t="n">
        <v>1.500376452551572</v>
      </c>
      <c r="AP649" s="3" t="n">
        <v>1.596049085791322</v>
      </c>
      <c r="AQ649" s="3" t="n">
        <v>1.621687328159149</v>
      </c>
      <c r="AR649" s="3" t="n">
        <v>1.681481249496546</v>
      </c>
      <c r="AS649" s="3" t="n">
        <v>1.742759841027165</v>
      </c>
      <c r="AT649" s="3" t="n">
        <v>1.805473645085426</v>
      </c>
      <c r="AU649" s="3" t="n">
        <v>1.869637237165813</v>
      </c>
      <c r="AV649" s="3" t="n">
        <v>1.935169143022714</v>
      </c>
      <c r="AW649" s="3" t="n">
        <v>2.002141234624387</v>
      </c>
      <c r="AX649" s="3" t="n">
        <v>2.070361874610471</v>
      </c>
      <c r="AY649" s="3" t="n">
        <v>2.139757094372805</v>
      </c>
      <c r="AZ649" s="3" t="n">
        <v>2.210243461461712</v>
      </c>
      <c r="BA649" s="3" t="n">
        <v>2.198505861368388</v>
      </c>
      <c r="BC649" s="20" t="inlineStr">
        <is>
          <t>egy.mit.airpol.cost.ind.coa.4</t>
        </is>
      </c>
      <c r="BD649" s="3" t="n">
        <v>1.646935644617493</v>
      </c>
      <c r="BE649" s="3" t="n">
        <v>1.63895261334982</v>
      </c>
      <c r="BF649" s="3" t="n">
        <v>1.550264955579954</v>
      </c>
      <c r="BG649" s="3" t="n">
        <v>1.096261845275072</v>
      </c>
      <c r="BH649" s="3" t="n">
        <v>1.244004062999655</v>
      </c>
      <c r="BI649" s="3" t="n">
        <v>1.28461907908624</v>
      </c>
      <c r="BJ649" s="3" t="n">
        <v>1.396148797944161</v>
      </c>
      <c r="BK649" s="3" t="n">
        <v>1.500376452551572</v>
      </c>
      <c r="BL649" s="3" t="n">
        <v>1.596049085791322</v>
      </c>
      <c r="BM649" s="3" t="n">
        <v>1.621687328159149</v>
      </c>
      <c r="BN649" s="3" t="n">
        <v>1.681481249496546</v>
      </c>
      <c r="BO649" s="3" t="n">
        <v>1.742759841027165</v>
      </c>
      <c r="BP649" s="3" t="n">
        <v>1.805473645085426</v>
      </c>
      <c r="BQ649" s="3" t="n">
        <v>1.869637237165813</v>
      </c>
      <c r="BR649" s="3" t="n">
        <v>1.935169143022714</v>
      </c>
      <c r="BS649" s="3" t="n">
        <v>2.002141234624387</v>
      </c>
      <c r="BT649" s="3" t="n">
        <v>2.070361874610471</v>
      </c>
      <c r="BU649" s="3" t="n">
        <v>2.139757094372805</v>
      </c>
      <c r="BV649" s="3" t="n">
        <v>2.210243461461712</v>
      </c>
      <c r="BW649" s="3" t="n">
        <v>2.198505861368387</v>
      </c>
      <c r="BY649" s="20" t="inlineStr">
        <is>
          <t>egy.mit.airpol.cost.ind.coa.5</t>
        </is>
      </c>
      <c r="BZ649" s="3" t="n">
        <v>1.646935644617493</v>
      </c>
      <c r="CA649" s="3" t="n">
        <v>1.63895261334982</v>
      </c>
      <c r="CB649" s="3" t="n">
        <v>1.550264955579954</v>
      </c>
      <c r="CC649" s="3" t="n">
        <v>1.096261845275072</v>
      </c>
      <c r="CD649" s="3" t="n">
        <v>1.244004062999655</v>
      </c>
      <c r="CE649" s="3" t="n">
        <v>1.28461907908624</v>
      </c>
      <c r="CF649" s="3" t="n">
        <v>1.396148797944161</v>
      </c>
      <c r="CG649" s="3" t="n">
        <v>1.500376452551572</v>
      </c>
      <c r="CH649" s="3" t="n">
        <v>1.596049085791322</v>
      </c>
      <c r="CI649" s="3" t="n">
        <v>1.621687328159148</v>
      </c>
      <c r="CJ649" s="3" t="n">
        <v>1.681481249496545</v>
      </c>
      <c r="CK649" s="3" t="n">
        <v>1.742759841027165</v>
      </c>
      <c r="CL649" s="3" t="n">
        <v>1.805473645085426</v>
      </c>
      <c r="CM649" s="3" t="n">
        <v>1.869637237165813</v>
      </c>
      <c r="CN649" s="3" t="n">
        <v>1.935169143022714</v>
      </c>
      <c r="CO649" s="3" t="n">
        <v>2.002141234624387</v>
      </c>
      <c r="CP649" s="3" t="n">
        <v>2.070361874610471</v>
      </c>
      <c r="CQ649" s="3" t="n">
        <v>2.139757094372805</v>
      </c>
      <c r="CR649" s="3" t="n">
        <v>2.210243461461712</v>
      </c>
      <c r="CS649" s="3" t="n">
        <v>2.198505861368387</v>
      </c>
      <c r="CU649" s="20" t="inlineStr">
        <is>
          <t>egy.mit.airpol.cost.ind.coa.6</t>
        </is>
      </c>
      <c r="CV649" s="3" t="n">
        <v>1.646935644617493</v>
      </c>
      <c r="CW649" s="3" t="n">
        <v>1.63895261334982</v>
      </c>
      <c r="CX649" s="3" t="n">
        <v>1.550264955579954</v>
      </c>
      <c r="CY649" s="3" t="n">
        <v>1.096261845275072</v>
      </c>
      <c r="CZ649" s="3" t="n">
        <v>1.244004062999655</v>
      </c>
      <c r="DA649" s="3" t="n">
        <v>1.28461907908624</v>
      </c>
      <c r="DB649" s="3" t="n">
        <v>1.396148797944161</v>
      </c>
      <c r="DC649" s="3" t="n">
        <v>1.500376452551572</v>
      </c>
      <c r="DD649" s="3" t="n">
        <v>1.596049085791322</v>
      </c>
      <c r="DE649" s="3" t="n">
        <v>1.621687328159148</v>
      </c>
      <c r="DF649" s="3" t="n">
        <v>1.681481249496546</v>
      </c>
      <c r="DG649" s="3" t="n">
        <v>1.742759841027165</v>
      </c>
      <c r="DH649" s="3" t="n">
        <v>1.805473645085427</v>
      </c>
      <c r="DI649" s="3" t="n">
        <v>1.869637237165813</v>
      </c>
      <c r="DJ649" s="3" t="n">
        <v>1.935169143022714</v>
      </c>
      <c r="DK649" s="3" t="n">
        <v>2.002141234624387</v>
      </c>
      <c r="DL649" s="3" t="n">
        <v>2.070361874610471</v>
      </c>
      <c r="DM649" s="3" t="n">
        <v>2.139757094372805</v>
      </c>
      <c r="DN649" s="3" t="n">
        <v>2.210243461461712</v>
      </c>
      <c r="DO649" s="3" t="n">
        <v>2.198505861368387</v>
      </c>
    </row>
    <row r="650">
      <c r="A650" s="19" t="inlineStr">
        <is>
          <t>mit.airpol.cost.ind.nga</t>
        </is>
      </c>
      <c r="B650" s="3" t="inlineStr">
        <is>
          <t>mit</t>
        </is>
      </c>
      <c r="C650" s="19" t="inlineStr">
        <is>
          <t>air.ext.ind.gas</t>
        </is>
      </c>
      <c r="H650" s="3" t="inlineStr">
        <is>
          <t>Air-pollution cost per unit of fuel, marginal damages (coal, gas, other oil products USD/GJ; gasoline, diesel, LPG, kerosene USD/l) | Industry | Natural gas</t>
        </is>
      </c>
      <c r="I650" s="3" t="inlineStr">
        <is>
          <t>USD per unit</t>
        </is>
      </c>
      <c r="K650" s="20" t="inlineStr">
        <is>
          <t>egy.mit.airpol.cost.ind.nga.1</t>
        </is>
      </c>
      <c r="L650" s="3" t="n">
        <v>0.2020428661152153</v>
      </c>
      <c r="M650" s="3" t="n">
        <v>0.2020426861197173</v>
      </c>
      <c r="N650" s="3" t="n">
        <v>0.1920449162405957</v>
      </c>
      <c r="O650" s="3" t="n">
        <v>0.1364714286476296</v>
      </c>
      <c r="P650" s="3" t="n">
        <v>0.1556289182313551</v>
      </c>
      <c r="Q650" s="3" t="n">
        <v>0.1615081863421373</v>
      </c>
      <c r="R650" s="3" t="n">
        <v>0.1764063722335561</v>
      </c>
      <c r="S650" s="3" t="n">
        <v>0.1905267748188695</v>
      </c>
      <c r="T650" s="3" t="n">
        <v>0.2036977199043904</v>
      </c>
      <c r="U650" s="3" t="n">
        <v>0.2080186333094487</v>
      </c>
      <c r="V650" s="3" t="n">
        <v>0.2167871281223921</v>
      </c>
      <c r="W650" s="3" t="n">
        <v>0.2258377950860143</v>
      </c>
      <c r="X650" s="3" t="n">
        <v>0.2351685483166424</v>
      </c>
      <c r="Y650" s="3" t="n">
        <v>0.2447856424485271</v>
      </c>
      <c r="Z650" s="3" t="n">
        <v>0.2546828213390341</v>
      </c>
      <c r="AA650" s="3" t="n">
        <v>0.2648739850655973</v>
      </c>
      <c r="AB650" s="3" t="n">
        <v>0.2753382816219426</v>
      </c>
      <c r="AC650" s="3" t="n">
        <v>0.2860701499575127</v>
      </c>
      <c r="AD650" s="3" t="n">
        <v>0.2970626389626759</v>
      </c>
      <c r="AE650" s="3" t="n">
        <v>0.2970623743119305</v>
      </c>
      <c r="AG650" s="20" t="inlineStr">
        <is>
          <t>egy.mit.airpol.cost.ind.nga.3</t>
        </is>
      </c>
      <c r="AH650" s="3" t="n">
        <v>0.2020428661152153</v>
      </c>
      <c r="AI650" s="3" t="n">
        <v>0.2020426861197173</v>
      </c>
      <c r="AJ650" s="3" t="n">
        <v>0.1920449162405957</v>
      </c>
      <c r="AK650" s="3" t="n">
        <v>0.1364714286476296</v>
      </c>
      <c r="AL650" s="3" t="n">
        <v>0.1556289182313551</v>
      </c>
      <c r="AM650" s="3" t="n">
        <v>0.1615081863421373</v>
      </c>
      <c r="AN650" s="3" t="n">
        <v>0.1764063722335561</v>
      </c>
      <c r="AO650" s="3" t="n">
        <v>0.1905267748188695</v>
      </c>
      <c r="AP650" s="3" t="n">
        <v>0.2036977199043905</v>
      </c>
      <c r="AQ650" s="3" t="n">
        <v>0.2080186333094487</v>
      </c>
      <c r="AR650" s="3" t="n">
        <v>0.2167871281223921</v>
      </c>
      <c r="AS650" s="3" t="n">
        <v>0.2258377950860143</v>
      </c>
      <c r="AT650" s="3" t="n">
        <v>0.2351685483166424</v>
      </c>
      <c r="AU650" s="3" t="n">
        <v>0.2447856424485271</v>
      </c>
      <c r="AV650" s="3" t="n">
        <v>0.2546828213390341</v>
      </c>
      <c r="AW650" s="3" t="n">
        <v>0.2648739850655974</v>
      </c>
      <c r="AX650" s="3" t="n">
        <v>0.2753382816219425</v>
      </c>
      <c r="AY650" s="3" t="n">
        <v>0.2860701499575128</v>
      </c>
      <c r="AZ650" s="3" t="n">
        <v>0.2970626389626758</v>
      </c>
      <c r="BA650" s="3" t="n">
        <v>0.2970623743119306</v>
      </c>
      <c r="BC650" s="20" t="inlineStr">
        <is>
          <t>egy.mit.airpol.cost.ind.nga.4</t>
        </is>
      </c>
      <c r="BD650" s="3" t="n">
        <v>0.2020428661152153</v>
      </c>
      <c r="BE650" s="3" t="n">
        <v>0.2020426861197173</v>
      </c>
      <c r="BF650" s="3" t="n">
        <v>0.1920449162405957</v>
      </c>
      <c r="BG650" s="3" t="n">
        <v>0.1364714286476296</v>
      </c>
      <c r="BH650" s="3" t="n">
        <v>0.1556289182313551</v>
      </c>
      <c r="BI650" s="3" t="n">
        <v>0.1615081863421372</v>
      </c>
      <c r="BJ650" s="3" t="n">
        <v>0.1764063722335561</v>
      </c>
      <c r="BK650" s="3" t="n">
        <v>0.1905267748188695</v>
      </c>
      <c r="BL650" s="3" t="n">
        <v>0.2036977199043904</v>
      </c>
      <c r="BM650" s="3" t="n">
        <v>0.2080186333094487</v>
      </c>
      <c r="BN650" s="3" t="n">
        <v>0.2167871281223921</v>
      </c>
      <c r="BO650" s="3" t="n">
        <v>0.2258377950860143</v>
      </c>
      <c r="BP650" s="3" t="n">
        <v>0.2351685483166424</v>
      </c>
      <c r="BQ650" s="3" t="n">
        <v>0.2447856424485271</v>
      </c>
      <c r="BR650" s="3" t="n">
        <v>0.2546828213390341</v>
      </c>
      <c r="BS650" s="3" t="n">
        <v>0.2648739850655974</v>
      </c>
      <c r="BT650" s="3" t="n">
        <v>0.2753382816219426</v>
      </c>
      <c r="BU650" s="3" t="n">
        <v>0.2860701499575128</v>
      </c>
      <c r="BV650" s="3" t="n">
        <v>0.2970626389626758</v>
      </c>
      <c r="BW650" s="3" t="n">
        <v>0.2970623743119305</v>
      </c>
      <c r="BY650" s="20" t="inlineStr">
        <is>
          <t>egy.mit.airpol.cost.ind.nga.5</t>
        </is>
      </c>
      <c r="BZ650" s="3" t="n">
        <v>0.2020428661152153</v>
      </c>
      <c r="CA650" s="3" t="n">
        <v>0.2020426861197173</v>
      </c>
      <c r="CB650" s="3" t="n">
        <v>0.1920449162405957</v>
      </c>
      <c r="CC650" s="3" t="n">
        <v>0.1364714286476296</v>
      </c>
      <c r="CD650" s="3" t="n">
        <v>0.1556289182313551</v>
      </c>
      <c r="CE650" s="3" t="n">
        <v>0.1615081841258396</v>
      </c>
      <c r="CF650" s="3" t="n">
        <v>0.1764063700040586</v>
      </c>
      <c r="CG650" s="3" t="n">
        <v>0.1905267727909045</v>
      </c>
      <c r="CH650" s="3" t="n">
        <v>0.2036977183053272</v>
      </c>
      <c r="CI650" s="3" t="n">
        <v>0.2080186323942242</v>
      </c>
      <c r="CJ650" s="3" t="n">
        <v>0.2167871280549286</v>
      </c>
      <c r="CK650" s="3" t="n">
        <v>0.2258377960962258</v>
      </c>
      <c r="CL650" s="3" t="n">
        <v>0.2351685506240351</v>
      </c>
      <c r="CM650" s="3" t="n">
        <v>0.2447856462939832</v>
      </c>
      <c r="CN650" s="3" t="n">
        <v>0.2546828262871326</v>
      </c>
      <c r="CO650" s="3" t="n">
        <v>0.2648739912886974</v>
      </c>
      <c r="CP650" s="3" t="n">
        <v>0.2753382892966513</v>
      </c>
      <c r="CQ650" s="3" t="n">
        <v>0.2860701592722994</v>
      </c>
      <c r="CR650" s="3" t="n">
        <v>0.2970626501230279</v>
      </c>
      <c r="CS650" s="3" t="n">
        <v>0.2970623870546586</v>
      </c>
      <c r="CU650" s="20" t="inlineStr">
        <is>
          <t>egy.mit.airpol.cost.ind.nga.6</t>
        </is>
      </c>
      <c r="CV650" s="3" t="n">
        <v>0.2020428661152153</v>
      </c>
      <c r="CW650" s="3" t="n">
        <v>0.2020426861197173</v>
      </c>
      <c r="CX650" s="3" t="n">
        <v>0.1920449162405957</v>
      </c>
      <c r="CY650" s="3" t="n">
        <v>0.1364714286476296</v>
      </c>
      <c r="CZ650" s="3" t="n">
        <v>0.1556289182313551</v>
      </c>
      <c r="DA650" s="3" t="n">
        <v>0.1615081863421372</v>
      </c>
      <c r="DB650" s="3" t="n">
        <v>0.1764063722335561</v>
      </c>
      <c r="DC650" s="3" t="n">
        <v>0.1905267748188695</v>
      </c>
      <c r="DD650" s="3" t="n">
        <v>0.2036977199043904</v>
      </c>
      <c r="DE650" s="3" t="n">
        <v>0.2080186333094487</v>
      </c>
      <c r="DF650" s="3" t="n">
        <v>0.2167871281223921</v>
      </c>
      <c r="DG650" s="3" t="n">
        <v>0.2258377950860143</v>
      </c>
      <c r="DH650" s="3" t="n">
        <v>0.2351685483166424</v>
      </c>
      <c r="DI650" s="3" t="n">
        <v>0.2447856424485271</v>
      </c>
      <c r="DJ650" s="3" t="n">
        <v>0.2546828213390341</v>
      </c>
      <c r="DK650" s="3" t="n">
        <v>0.2648739850655974</v>
      </c>
      <c r="DL650" s="3" t="n">
        <v>0.2753382816219426</v>
      </c>
      <c r="DM650" s="3" t="n">
        <v>0.2860701499575128</v>
      </c>
      <c r="DN650" s="3" t="n">
        <v>0.2970626389626759</v>
      </c>
      <c r="DO650" s="3" t="n">
        <v>0.2970623743119306</v>
      </c>
    </row>
    <row r="651">
      <c r="A651" s="19" t="inlineStr">
        <is>
          <t>mit.airpol.cost.ind.oop</t>
        </is>
      </c>
      <c r="B651" s="3" t="inlineStr">
        <is>
          <t>mit</t>
        </is>
      </c>
      <c r="C651" s="19" t="inlineStr">
        <is>
          <t>air.ext.ind.oil</t>
        </is>
      </c>
      <c r="H651" s="3" t="inlineStr">
        <is>
          <t>Air-pollution cost per unit of fuel, marginal damages (coal, gas, other oil products USD/GJ; gasoline, diesel, LPG, kerosene USD/l) | Industry | Other oil products</t>
        </is>
      </c>
      <c r="I651" s="3" t="inlineStr">
        <is>
          <t>USD per unit</t>
        </is>
      </c>
      <c r="K651" s="20" t="inlineStr">
        <is>
          <t>egy.mit.airpol.cost.ind.oop.1</t>
        </is>
      </c>
      <c r="L651" s="3" t="n">
        <v>16.23764128813878</v>
      </c>
      <c r="M651" s="3" t="n">
        <v>16.14465748217565</v>
      </c>
      <c r="N651" s="3" t="n">
        <v>15.25739501951309</v>
      </c>
      <c r="O651" s="3" t="n">
        <v>10.77945026503923</v>
      </c>
      <c r="P651" s="3" t="n">
        <v>12.22102773613082</v>
      </c>
      <c r="Q651" s="3" t="n">
        <v>12.60838930800907</v>
      </c>
      <c r="R651" s="3" t="n">
        <v>13.69026591362982</v>
      </c>
      <c r="S651" s="3" t="n">
        <v>14.69842845396078</v>
      </c>
      <c r="T651" s="3" t="n">
        <v>15.62078556382359</v>
      </c>
      <c r="U651" s="3" t="n">
        <v>15.85641908153289</v>
      </c>
      <c r="V651" s="3" t="n">
        <v>16.42505042583246</v>
      </c>
      <c r="W651" s="3" t="n">
        <v>17.00686101830703</v>
      </c>
      <c r="X651" s="3" t="n">
        <v>17.60130518874484</v>
      </c>
      <c r="Y651" s="3" t="n">
        <v>18.20846151708344</v>
      </c>
      <c r="Z651" s="3" t="n">
        <v>18.82747220803642</v>
      </c>
      <c r="AA651" s="3" t="n">
        <v>19.45897175722305</v>
      </c>
      <c r="AB651" s="3" t="n">
        <v>20.10103200296634</v>
      </c>
      <c r="AC651" s="3" t="n">
        <v>20.75287244094578</v>
      </c>
      <c r="AD651" s="3" t="n">
        <v>21.41362259964658</v>
      </c>
      <c r="AE651" s="3" t="n">
        <v>21.27690677166652</v>
      </c>
      <c r="AG651" s="20" t="inlineStr">
        <is>
          <t>egy.mit.airpol.cost.ind.oop.3</t>
        </is>
      </c>
      <c r="AH651" s="3" t="n">
        <v>16.23764128813878</v>
      </c>
      <c r="AI651" s="3" t="n">
        <v>16.14465748217565</v>
      </c>
      <c r="AJ651" s="3" t="n">
        <v>15.25739501951309</v>
      </c>
      <c r="AK651" s="3" t="n">
        <v>10.77945026503923</v>
      </c>
      <c r="AL651" s="3" t="n">
        <v>12.22102773613082</v>
      </c>
      <c r="AM651" s="3" t="n">
        <v>12.60838930800907</v>
      </c>
      <c r="AN651" s="3" t="n">
        <v>13.69026591362982</v>
      </c>
      <c r="AO651" s="3" t="n">
        <v>14.69842845396078</v>
      </c>
      <c r="AP651" s="3" t="n">
        <v>15.62078556382358</v>
      </c>
      <c r="AQ651" s="3" t="n">
        <v>15.85641908153289</v>
      </c>
      <c r="AR651" s="3" t="n">
        <v>16.42505042583246</v>
      </c>
      <c r="AS651" s="3" t="n">
        <v>17.00686101830703</v>
      </c>
      <c r="AT651" s="3" t="n">
        <v>17.60130518874484</v>
      </c>
      <c r="AU651" s="3" t="n">
        <v>18.20846151708344</v>
      </c>
      <c r="AV651" s="3" t="n">
        <v>18.82747220803643</v>
      </c>
      <c r="AW651" s="3" t="n">
        <v>19.45897175722304</v>
      </c>
      <c r="AX651" s="3" t="n">
        <v>20.10103200296634</v>
      </c>
      <c r="AY651" s="3" t="n">
        <v>20.75287244094578</v>
      </c>
      <c r="AZ651" s="3" t="n">
        <v>21.41362259964658</v>
      </c>
      <c r="BA651" s="3" t="n">
        <v>21.27690677166652</v>
      </c>
      <c r="BC651" s="20" t="inlineStr">
        <is>
          <t>egy.mit.airpol.cost.ind.oop.4</t>
        </is>
      </c>
      <c r="BD651" s="3" t="n">
        <v>16.23764128813878</v>
      </c>
      <c r="BE651" s="3" t="n">
        <v>16.14465748217565</v>
      </c>
      <c r="BF651" s="3" t="n">
        <v>15.25739501951309</v>
      </c>
      <c r="BG651" s="3" t="n">
        <v>10.77945026503923</v>
      </c>
      <c r="BH651" s="3" t="n">
        <v>12.22102773613082</v>
      </c>
      <c r="BI651" s="3" t="n">
        <v>12.60838930800907</v>
      </c>
      <c r="BJ651" s="3" t="n">
        <v>13.69026591362982</v>
      </c>
      <c r="BK651" s="3" t="n">
        <v>14.69842845396078</v>
      </c>
      <c r="BL651" s="3" t="n">
        <v>15.62078556382359</v>
      </c>
      <c r="BM651" s="3" t="n">
        <v>15.85641908153289</v>
      </c>
      <c r="BN651" s="3" t="n">
        <v>16.42505042583247</v>
      </c>
      <c r="BO651" s="3" t="n">
        <v>17.00686101830703</v>
      </c>
      <c r="BP651" s="3" t="n">
        <v>17.60130518874484</v>
      </c>
      <c r="BQ651" s="3" t="n">
        <v>18.20846151708344</v>
      </c>
      <c r="BR651" s="3" t="n">
        <v>18.82747220803642</v>
      </c>
      <c r="BS651" s="3" t="n">
        <v>19.45897175722304</v>
      </c>
      <c r="BT651" s="3" t="n">
        <v>20.10103200296634</v>
      </c>
      <c r="BU651" s="3" t="n">
        <v>20.75287244094578</v>
      </c>
      <c r="BV651" s="3" t="n">
        <v>21.41362259964658</v>
      </c>
      <c r="BW651" s="3" t="n">
        <v>21.27690677166652</v>
      </c>
      <c r="BY651" s="20" t="inlineStr">
        <is>
          <t>egy.mit.airpol.cost.ind.oop.5</t>
        </is>
      </c>
      <c r="BZ651" s="3" t="n">
        <v>16.23764128813878</v>
      </c>
      <c r="CA651" s="3" t="n">
        <v>16.14465748217565</v>
      </c>
      <c r="CB651" s="3" t="n">
        <v>15.25739501951309</v>
      </c>
      <c r="CC651" s="3" t="n">
        <v>10.77945026503923</v>
      </c>
      <c r="CD651" s="3" t="n">
        <v>12.22102773613082</v>
      </c>
      <c r="CE651" s="3" t="n">
        <v>12.60838930800907</v>
      </c>
      <c r="CF651" s="3" t="n">
        <v>13.69026591362982</v>
      </c>
      <c r="CG651" s="3" t="n">
        <v>14.69842845396078</v>
      </c>
      <c r="CH651" s="3" t="n">
        <v>15.62078556382358</v>
      </c>
      <c r="CI651" s="3" t="n">
        <v>15.85641908153289</v>
      </c>
      <c r="CJ651" s="3" t="n">
        <v>16.42505042583246</v>
      </c>
      <c r="CK651" s="3" t="n">
        <v>17.00686101830703</v>
      </c>
      <c r="CL651" s="3" t="n">
        <v>17.60130518874484</v>
      </c>
      <c r="CM651" s="3" t="n">
        <v>18.20846151708344</v>
      </c>
      <c r="CN651" s="3" t="n">
        <v>18.82747220803643</v>
      </c>
      <c r="CO651" s="3" t="n">
        <v>19.45897175722304</v>
      </c>
      <c r="CP651" s="3" t="n">
        <v>20.10103200296634</v>
      </c>
      <c r="CQ651" s="3" t="n">
        <v>20.75287244094578</v>
      </c>
      <c r="CR651" s="3" t="n">
        <v>21.41362259964658</v>
      </c>
      <c r="CS651" s="3" t="n">
        <v>21.27690677166652</v>
      </c>
      <c r="CU651" s="20" t="inlineStr">
        <is>
          <t>egy.mit.airpol.cost.ind.oop.6</t>
        </is>
      </c>
      <c r="CV651" s="3" t="n">
        <v>16.23764128813878</v>
      </c>
      <c r="CW651" s="3" t="n">
        <v>16.14465748217565</v>
      </c>
      <c r="CX651" s="3" t="n">
        <v>15.25739501951309</v>
      </c>
      <c r="CY651" s="3" t="n">
        <v>10.77945026503923</v>
      </c>
      <c r="CZ651" s="3" t="n">
        <v>12.22102773613082</v>
      </c>
      <c r="DA651" s="3" t="n">
        <v>12.60838930800907</v>
      </c>
      <c r="DB651" s="3" t="n">
        <v>13.69026591362982</v>
      </c>
      <c r="DC651" s="3" t="n">
        <v>14.69842845396078</v>
      </c>
      <c r="DD651" s="3" t="n">
        <v>15.62078556382358</v>
      </c>
      <c r="DE651" s="3" t="n">
        <v>15.85641908153289</v>
      </c>
      <c r="DF651" s="3" t="n">
        <v>16.42505042583247</v>
      </c>
      <c r="DG651" s="3" t="n">
        <v>17.00686101830703</v>
      </c>
      <c r="DH651" s="3" t="n">
        <v>17.60130518874484</v>
      </c>
      <c r="DI651" s="3" t="n">
        <v>18.20846151708344</v>
      </c>
      <c r="DJ651" s="3" t="n">
        <v>18.82747220803642</v>
      </c>
      <c r="DK651" s="3" t="n">
        <v>19.45897175722304</v>
      </c>
      <c r="DL651" s="3" t="n">
        <v>20.10103200296634</v>
      </c>
      <c r="DM651" s="3" t="n">
        <v>20.75287244094578</v>
      </c>
      <c r="DN651" s="3" t="n">
        <v>21.41362259964658</v>
      </c>
      <c r="DO651" s="3" t="n">
        <v>21.27690677166652</v>
      </c>
    </row>
    <row r="652">
      <c r="A652" s="19" t="inlineStr">
        <is>
          <t>mit.airpol.cost.all.gso</t>
        </is>
      </c>
      <c r="B652" s="3" t="inlineStr">
        <is>
          <t>mit</t>
        </is>
      </c>
      <c r="C652" s="19" t="inlineStr">
        <is>
          <t>air.ext.tra.gso</t>
        </is>
      </c>
      <c r="H652" s="3" t="inlineStr">
        <is>
          <t>Air-pollution cost per unit of fuel, marginal damages (coal, gas, other oil products USD/GJ; gasoline, diesel, LPG, kerosene USD/l) | All sectors | Gasoline</t>
        </is>
      </c>
      <c r="I652" s="3" t="inlineStr">
        <is>
          <t>USD per unit</t>
        </is>
      </c>
      <c r="K652" s="20" t="inlineStr">
        <is>
          <t>egy.mit.airpol.cost.all.gso.1</t>
        </is>
      </c>
      <c r="L652" s="3" t="n">
        <v>0.04216236881214521</v>
      </c>
      <c r="M652" s="3" t="n">
        <v>0.04172959605047277</v>
      </c>
      <c r="N652" s="3" t="n">
        <v>0.03925334882068982</v>
      </c>
      <c r="O652" s="3" t="n">
        <v>0.02760201519464342</v>
      </c>
      <c r="P652" s="3" t="n">
        <v>0.03114338340674845</v>
      </c>
      <c r="Q652" s="3" t="n">
        <v>0.03197398106467778</v>
      </c>
      <c r="R652" s="3" t="n">
        <v>0.03454556318702138</v>
      </c>
      <c r="S652" s="3" t="n">
        <v>0.03690267911209675</v>
      </c>
      <c r="T652" s="3" t="n">
        <v>0.03901744283167993</v>
      </c>
      <c r="U652" s="3" t="n">
        <v>0.03939955480924744</v>
      </c>
      <c r="V652" s="3" t="n">
        <v>0.04059602022586596</v>
      </c>
      <c r="W652" s="3" t="n">
        <v>0.04180715923156138</v>
      </c>
      <c r="X652" s="3" t="n">
        <v>0.04303077694897126</v>
      </c>
      <c r="Y652" s="3" t="n">
        <v>0.04426620463579224</v>
      </c>
      <c r="Z652" s="3" t="n">
        <v>0.04551048434713235</v>
      </c>
      <c r="AA652" s="3" t="n">
        <v>0.0467642703696456</v>
      </c>
      <c r="AB652" s="3" t="n">
        <v>0.04802203674844796</v>
      </c>
      <c r="AC652" s="3" t="n">
        <v>0.04928107033080896</v>
      </c>
      <c r="AD652" s="3" t="n">
        <v>0.05053846911482016</v>
      </c>
      <c r="AE652" s="3" t="n">
        <v>0.04990215523385551</v>
      </c>
      <c r="AG652" s="20" t="inlineStr">
        <is>
          <t>egy.mit.airpol.cost.all.gso.3</t>
        </is>
      </c>
      <c r="AH652" s="3" t="n">
        <v>0.04216236881214521</v>
      </c>
      <c r="AI652" s="3" t="n">
        <v>0.04172959605047277</v>
      </c>
      <c r="AJ652" s="3" t="n">
        <v>0.03925334882068982</v>
      </c>
      <c r="AK652" s="3" t="n">
        <v>0.02760201519464342</v>
      </c>
      <c r="AL652" s="3" t="n">
        <v>0.03114338340674845</v>
      </c>
      <c r="AM652" s="3" t="n">
        <v>0.03197398106467779</v>
      </c>
      <c r="AN652" s="3" t="n">
        <v>0.03454556318702137</v>
      </c>
      <c r="AO652" s="3" t="n">
        <v>0.03690267911209675</v>
      </c>
      <c r="AP652" s="3" t="n">
        <v>0.03901744283167993</v>
      </c>
      <c r="AQ652" s="3" t="n">
        <v>0.03939955480924744</v>
      </c>
      <c r="AR652" s="3" t="n">
        <v>0.04059602022586596</v>
      </c>
      <c r="AS652" s="3" t="n">
        <v>0.04180715923156138</v>
      </c>
      <c r="AT652" s="3" t="n">
        <v>0.04303077694897126</v>
      </c>
      <c r="AU652" s="3" t="n">
        <v>0.04426620463579224</v>
      </c>
      <c r="AV652" s="3" t="n">
        <v>0.04551048434713235</v>
      </c>
      <c r="AW652" s="3" t="n">
        <v>0.0467642703696456</v>
      </c>
      <c r="AX652" s="3" t="n">
        <v>0.04802203674844796</v>
      </c>
      <c r="AY652" s="3" t="n">
        <v>0.04928107033080896</v>
      </c>
      <c r="AZ652" s="3" t="n">
        <v>0.05053846911482016</v>
      </c>
      <c r="BA652" s="3" t="n">
        <v>0.04990215523385551</v>
      </c>
      <c r="BC652" s="20" t="inlineStr">
        <is>
          <t>egy.mit.airpol.cost.all.gso.4</t>
        </is>
      </c>
      <c r="BD652" s="3" t="n">
        <v>0.04216236881214521</v>
      </c>
      <c r="BE652" s="3" t="n">
        <v>0.04172959605047277</v>
      </c>
      <c r="BF652" s="3" t="n">
        <v>0.03925334882068982</v>
      </c>
      <c r="BG652" s="3" t="n">
        <v>0.02760201519464342</v>
      </c>
      <c r="BH652" s="3" t="n">
        <v>0.03114338340674845</v>
      </c>
      <c r="BI652" s="3" t="n">
        <v>0.03197398106467778</v>
      </c>
      <c r="BJ652" s="3" t="n">
        <v>0.03454556318702138</v>
      </c>
      <c r="BK652" s="3" t="n">
        <v>0.03690267911209675</v>
      </c>
      <c r="BL652" s="3" t="n">
        <v>0.03901744283167993</v>
      </c>
      <c r="BM652" s="3" t="n">
        <v>0.03939955480924744</v>
      </c>
      <c r="BN652" s="3" t="n">
        <v>0.04059602022586596</v>
      </c>
      <c r="BO652" s="3" t="n">
        <v>0.04180715923156138</v>
      </c>
      <c r="BP652" s="3" t="n">
        <v>0.04303077694897126</v>
      </c>
      <c r="BQ652" s="3" t="n">
        <v>0.04426620463579224</v>
      </c>
      <c r="BR652" s="3" t="n">
        <v>0.04551048434713235</v>
      </c>
      <c r="BS652" s="3" t="n">
        <v>0.0467642703696456</v>
      </c>
      <c r="BT652" s="3" t="n">
        <v>0.04802203674844796</v>
      </c>
      <c r="BU652" s="3" t="n">
        <v>0.04928107033080896</v>
      </c>
      <c r="BV652" s="3" t="n">
        <v>0.05053846911482016</v>
      </c>
      <c r="BW652" s="3" t="n">
        <v>0.04990215523385551</v>
      </c>
      <c r="BY652" s="20" t="inlineStr">
        <is>
          <t>egy.mit.airpol.cost.all.gso.5</t>
        </is>
      </c>
      <c r="BZ652" s="3" t="n">
        <v>0.04216236881214521</v>
      </c>
      <c r="CA652" s="3" t="n">
        <v>0.04172959605047277</v>
      </c>
      <c r="CB652" s="3" t="n">
        <v>0.03925334882068982</v>
      </c>
      <c r="CC652" s="3" t="n">
        <v>0.02760201519464342</v>
      </c>
      <c r="CD652" s="3" t="n">
        <v>0.03114338340674845</v>
      </c>
      <c r="CE652" s="3" t="n">
        <v>0.03197398106467778</v>
      </c>
      <c r="CF652" s="3" t="n">
        <v>0.03454556318702138</v>
      </c>
      <c r="CG652" s="3" t="n">
        <v>0.03690267911209675</v>
      </c>
      <c r="CH652" s="3" t="n">
        <v>0.03901744283167993</v>
      </c>
      <c r="CI652" s="3" t="n">
        <v>0.03939955480924744</v>
      </c>
      <c r="CJ652" s="3" t="n">
        <v>0.04059602022586596</v>
      </c>
      <c r="CK652" s="3" t="n">
        <v>0.04180715923156138</v>
      </c>
      <c r="CL652" s="3" t="n">
        <v>0.04303077694897126</v>
      </c>
      <c r="CM652" s="3" t="n">
        <v>0.04426620463579224</v>
      </c>
      <c r="CN652" s="3" t="n">
        <v>0.04551048434713235</v>
      </c>
      <c r="CO652" s="3" t="n">
        <v>0.0467642703696456</v>
      </c>
      <c r="CP652" s="3" t="n">
        <v>0.04802203674844796</v>
      </c>
      <c r="CQ652" s="3" t="n">
        <v>0.04928107033080896</v>
      </c>
      <c r="CR652" s="3" t="n">
        <v>0.05053846911482016</v>
      </c>
      <c r="CS652" s="3" t="n">
        <v>0.04990215523385551</v>
      </c>
      <c r="CU652" s="20" t="inlineStr">
        <is>
          <t>egy.mit.airpol.cost.all.gso.6</t>
        </is>
      </c>
      <c r="CV652" s="3" t="n">
        <v>0.04216236881214521</v>
      </c>
      <c r="CW652" s="3" t="n">
        <v>0.04172959605047277</v>
      </c>
      <c r="CX652" s="3" t="n">
        <v>0.03925334882068982</v>
      </c>
      <c r="CY652" s="3" t="n">
        <v>0.02760201519464342</v>
      </c>
      <c r="CZ652" s="3" t="n">
        <v>0.03114338340674845</v>
      </c>
      <c r="DA652" s="3" t="n">
        <v>0.03197398106467779</v>
      </c>
      <c r="DB652" s="3" t="n">
        <v>0.03454556318702137</v>
      </c>
      <c r="DC652" s="3" t="n">
        <v>0.03690267911209675</v>
      </c>
      <c r="DD652" s="3" t="n">
        <v>0.03901744283167993</v>
      </c>
      <c r="DE652" s="3" t="n">
        <v>0.03939955480924744</v>
      </c>
      <c r="DF652" s="3" t="n">
        <v>0.04059602022586596</v>
      </c>
      <c r="DG652" s="3" t="n">
        <v>0.04180715923156138</v>
      </c>
      <c r="DH652" s="3" t="n">
        <v>0.04303077694897126</v>
      </c>
      <c r="DI652" s="3" t="n">
        <v>0.04426620463579224</v>
      </c>
      <c r="DJ652" s="3" t="n">
        <v>0.04551048434713235</v>
      </c>
      <c r="DK652" s="3" t="n">
        <v>0.0467642703696456</v>
      </c>
      <c r="DL652" s="3" t="n">
        <v>0.04802203674844797</v>
      </c>
      <c r="DM652" s="3" t="n">
        <v>0.04928107033080896</v>
      </c>
      <c r="DN652" s="3" t="n">
        <v>0.05053846911482016</v>
      </c>
      <c r="DO652" s="3" t="n">
        <v>0.04990215523385551</v>
      </c>
    </row>
    <row r="653">
      <c r="A653" s="19" t="inlineStr">
        <is>
          <t>mit.airpol.cost.all.die</t>
        </is>
      </c>
      <c r="B653" s="3" t="inlineStr">
        <is>
          <t>mit</t>
        </is>
      </c>
      <c r="C653" s="19" t="inlineStr">
        <is>
          <t>air.ext.tra.die</t>
        </is>
      </c>
      <c r="H653" s="3" t="inlineStr">
        <is>
          <t>Air-pollution cost per unit of fuel, marginal damages (coal, gas, other oil products USD/GJ; gasoline, diesel, LPG, kerosene USD/l) | All sectors | Diesel</t>
        </is>
      </c>
      <c r="I653" s="3" t="inlineStr">
        <is>
          <t>USD per unit</t>
        </is>
      </c>
      <c r="K653" s="20" t="inlineStr">
        <is>
          <t>egy.mit.airpol.cost.all.die.1</t>
        </is>
      </c>
      <c r="L653" s="3" t="n">
        <v>0.1633258832495285</v>
      </c>
      <c r="M653" s="3" t="n">
        <v>0.165011179856565</v>
      </c>
      <c r="N653" s="3" t="n">
        <v>0.1574187674583845</v>
      </c>
      <c r="O653" s="3" t="n">
        <v>0.1118562136053213</v>
      </c>
      <c r="P653" s="3" t="n">
        <v>0.1275491957767035</v>
      </c>
      <c r="Q653" s="3" t="n">
        <v>0.1323545440775214</v>
      </c>
      <c r="R653" s="3" t="n">
        <v>0.1445443913289823</v>
      </c>
      <c r="S653" s="3" t="n">
        <v>0.1560966596383548</v>
      </c>
      <c r="T653" s="3" t="n">
        <v>0.1668721116350861</v>
      </c>
      <c r="U653" s="3" t="n">
        <v>0.170396884803349</v>
      </c>
      <c r="V653" s="3" t="n">
        <v>0.1775645104777193</v>
      </c>
      <c r="W653" s="3" t="n">
        <v>0.1849626310681634</v>
      </c>
      <c r="X653" s="3" t="n">
        <v>0.1925895476680426</v>
      </c>
      <c r="Y653" s="3" t="n">
        <v>0.200450395253166</v>
      </c>
      <c r="Z653" s="3" t="n">
        <v>0.2085400666196191</v>
      </c>
      <c r="AA653" s="3" t="n">
        <v>0.2168699626563158</v>
      </c>
      <c r="AB653" s="3" t="n">
        <v>0.2254230326061016</v>
      </c>
      <c r="AC653" s="3" t="n">
        <v>0.234194751584584</v>
      </c>
      <c r="AD653" s="3" t="n">
        <v>0.2431794610151761</v>
      </c>
      <c r="AE653" s="3" t="n">
        <v>0.2431655521184413</v>
      </c>
      <c r="AG653" s="20" t="inlineStr">
        <is>
          <t>egy.mit.airpol.cost.all.die.3</t>
        </is>
      </c>
      <c r="AH653" s="3" t="n">
        <v>0.1633258832495285</v>
      </c>
      <c r="AI653" s="3" t="n">
        <v>0.165011179856565</v>
      </c>
      <c r="AJ653" s="3" t="n">
        <v>0.1574187674583845</v>
      </c>
      <c r="AK653" s="3" t="n">
        <v>0.1118562136053213</v>
      </c>
      <c r="AL653" s="3" t="n">
        <v>0.1275491957767035</v>
      </c>
      <c r="AM653" s="3" t="n">
        <v>0.131495148201768</v>
      </c>
      <c r="AN653" s="3" t="n">
        <v>0.1436048185253834</v>
      </c>
      <c r="AO653" s="3" t="n">
        <v>0.1550803478065354</v>
      </c>
      <c r="AP653" s="3" t="n">
        <v>0.1657853920683467</v>
      </c>
      <c r="AQ653" s="3" t="n">
        <v>0.1692856079570534</v>
      </c>
      <c r="AR653" s="3" t="n">
        <v>0.1764054765521089</v>
      </c>
      <c r="AS653" s="3" t="n">
        <v>0.1837531053027382</v>
      </c>
      <c r="AT653" s="3" t="n">
        <v>0.1913273048486521</v>
      </c>
      <c r="AU653" s="3" t="n">
        <v>0.1991339544037932</v>
      </c>
      <c r="AV653" s="3" t="n">
        <v>0.2071674685959245</v>
      </c>
      <c r="AW653" s="3" t="n">
        <v>0.2154388026667201</v>
      </c>
      <c r="AX653" s="3" t="n">
        <v>0.2239321425257242</v>
      </c>
      <c r="AY653" s="3" t="n">
        <v>0.2326427592093755</v>
      </c>
      <c r="AZ653" s="3" t="n">
        <v>0.241565478440321</v>
      </c>
      <c r="BA653" s="3" t="n">
        <v>0.241549412783965</v>
      </c>
      <c r="BC653" s="20" t="inlineStr">
        <is>
          <t>egy.mit.airpol.cost.all.die.4</t>
        </is>
      </c>
      <c r="BD653" s="3" t="n">
        <v>0.1633258832495285</v>
      </c>
      <c r="BE653" s="3" t="n">
        <v>0.165011179856565</v>
      </c>
      <c r="BF653" s="3" t="n">
        <v>0.1574187674583845</v>
      </c>
      <c r="BG653" s="3" t="n">
        <v>0.1118562136053213</v>
      </c>
      <c r="BH653" s="3" t="n">
        <v>0.1275491957767035</v>
      </c>
      <c r="BI653" s="3" t="n">
        <v>0.1324802113480113</v>
      </c>
      <c r="BJ653" s="3" t="n">
        <v>0.1447113488266001</v>
      </c>
      <c r="BK653" s="3" t="n">
        <v>0.1561992324065057</v>
      </c>
      <c r="BL653" s="3" t="n">
        <v>0.1668338727614164</v>
      </c>
      <c r="BM653" s="3" t="n">
        <v>0.1696574296394834</v>
      </c>
      <c r="BN653" s="3" t="n">
        <v>0.1761570929444585</v>
      </c>
      <c r="BO653" s="3" t="n">
        <v>0.1829100201225785</v>
      </c>
      <c r="BP653" s="3" t="n">
        <v>0.1899063067221593</v>
      </c>
      <c r="BQ653" s="3" t="n">
        <v>0.1971452625595001</v>
      </c>
      <c r="BR653" s="3" t="n">
        <v>0.2046171849953423</v>
      </c>
      <c r="BS653" s="3" t="n">
        <v>0.2123292976528207</v>
      </c>
      <c r="BT653" s="3" t="n">
        <v>0.2202621953271095</v>
      </c>
      <c r="BU653" s="3" t="n">
        <v>0.2284092551268073</v>
      </c>
      <c r="BV653" s="3" t="n">
        <v>0.2367634759703918</v>
      </c>
      <c r="BW653" s="3" t="n">
        <v>0.2363691962571725</v>
      </c>
      <c r="BY653" s="20" t="inlineStr">
        <is>
          <t>egy.mit.airpol.cost.all.die.5</t>
        </is>
      </c>
      <c r="BZ653" s="3" t="n">
        <v>0.1633258832495285</v>
      </c>
      <c r="CA653" s="3" t="n">
        <v>0.165011179856565</v>
      </c>
      <c r="CB653" s="3" t="n">
        <v>0.1574187674583845</v>
      </c>
      <c r="CC653" s="3" t="n">
        <v>0.1118562136053213</v>
      </c>
      <c r="CD653" s="3" t="n">
        <v>0.1275491957767035</v>
      </c>
      <c r="CE653" s="3" t="n">
        <v>0.1313116631650793</v>
      </c>
      <c r="CF653" s="3" t="n">
        <v>0.1434042103753825</v>
      </c>
      <c r="CG653" s="3" t="n">
        <v>0.1548635176459337</v>
      </c>
      <c r="CH653" s="3" t="n">
        <v>0.1655532164448125</v>
      </c>
      <c r="CI653" s="3" t="n">
        <v>0.1690479971513532</v>
      </c>
      <c r="CJ653" s="3" t="n">
        <v>0.1761575964415043</v>
      </c>
      <c r="CK653" s="3" t="n">
        <v>0.1834944776882871</v>
      </c>
      <c r="CL653" s="3" t="n">
        <v>0.1910580613264767</v>
      </c>
      <c r="CM653" s="3" t="n">
        <v>0.1988536666241193</v>
      </c>
      <c r="CN653" s="3" t="n">
        <v>0.2068758122809264</v>
      </c>
      <c r="CO653" s="3" t="n">
        <v>0.2151355781475103</v>
      </c>
      <c r="CP653" s="3" t="n">
        <v>0.2236169796846126</v>
      </c>
      <c r="CQ653" s="3" t="n">
        <v>0.2323151394133657</v>
      </c>
      <c r="CR653" s="3" t="n">
        <v>0.2412249155676172</v>
      </c>
      <c r="CS653" s="3" t="n">
        <v>0.2412082067192906</v>
      </c>
      <c r="CU653" s="20" t="inlineStr">
        <is>
          <t>egy.mit.airpol.cost.all.die.6</t>
        </is>
      </c>
      <c r="CV653" s="3" t="n">
        <v>0.1633258832495285</v>
      </c>
      <c r="CW653" s="3" t="n">
        <v>0.165011179856565</v>
      </c>
      <c r="CX653" s="3" t="n">
        <v>0.1574187674583845</v>
      </c>
      <c r="CY653" s="3" t="n">
        <v>0.1118562136053213</v>
      </c>
      <c r="CZ653" s="3" t="n">
        <v>0.1275491957767035</v>
      </c>
      <c r="DA653" s="3" t="n">
        <v>0.1305280935087391</v>
      </c>
      <c r="DB653" s="3" t="n">
        <v>0.1425474925188997</v>
      </c>
      <c r="DC653" s="3" t="n">
        <v>0.1539366314220499</v>
      </c>
      <c r="DD653" s="3" t="n">
        <v>0.1645622948380021</v>
      </c>
      <c r="DE653" s="3" t="n">
        <v>0.1680346782861321</v>
      </c>
      <c r="DF653" s="3" t="n">
        <v>0.1751007230716543</v>
      </c>
      <c r="DG653" s="3" t="n">
        <v>0.1823913657464507</v>
      </c>
      <c r="DH653" s="3" t="n">
        <v>0.1899062841926524</v>
      </c>
      <c r="DI653" s="3" t="n">
        <v>0.1976518949083491</v>
      </c>
      <c r="DJ653" s="3" t="n">
        <v>0.2056222009220878</v>
      </c>
      <c r="DK653" s="3" t="n">
        <v>0.2138276649427023</v>
      </c>
      <c r="DL653" s="3" t="n">
        <v>0.2222537998525185</v>
      </c>
      <c r="DM653" s="3" t="n">
        <v>0.2308955557282774</v>
      </c>
      <c r="DN653" s="3" t="n">
        <v>0.2397483212317864</v>
      </c>
      <c r="DO653" s="3" t="n">
        <v>0.2397295817997611</v>
      </c>
    </row>
    <row r="654">
      <c r="A654" s="14" t="n"/>
      <c r="B654" s="3" t="inlineStr">
        <is>
          <t>air</t>
        </is>
      </c>
      <c r="C654" s="19" t="inlineStr">
        <is>
          <t>air.gdp.loss</t>
        </is>
      </c>
      <c r="H654" s="14" t="inlineStr">
        <is>
          <t>Baseline GDP loss due to pollution</t>
        </is>
      </c>
      <c r="I654" s="14" t="inlineStr">
        <is>
          <t>loss</t>
        </is>
      </c>
    </row>
    <row r="655">
      <c r="A655" s="14" t="n"/>
      <c r="B655" s="3" t="inlineStr">
        <is>
          <t>air</t>
        </is>
      </c>
      <c r="C655" s="19" t="inlineStr">
        <is>
          <t>air.gdp.loss.ch</t>
        </is>
      </c>
      <c r="H655" s="14" t="inlineStr">
        <is>
          <t>Change in GDP loss due to pollution</t>
        </is>
      </c>
      <c r="I655" s="14" t="inlineStr">
        <is>
          <t>loss</t>
        </is>
      </c>
    </row>
    <row r="656">
      <c r="A656" s="19" t="inlineStr">
        <is>
          <t>mit.airpol.cost.res.coa</t>
        </is>
      </c>
      <c r="B656" s="3" t="inlineStr">
        <is>
          <t>mit</t>
        </is>
      </c>
      <c r="C656" s="19" t="inlineStr">
        <is>
          <t>mit.airpol.cost.coa.res</t>
        </is>
      </c>
      <c r="H656" s="3" t="inlineStr">
        <is>
          <t>Air-pollution cost per unit of fuel, marginal damages (coal, gas, other oil products USD/GJ; gasoline, diesel, LPG, kerosene USD/l) | Residential | Coal</t>
        </is>
      </c>
      <c r="I656" s="3" t="inlineStr">
        <is>
          <t>USD per unit</t>
        </is>
      </c>
      <c r="K656" s="20" t="inlineStr">
        <is>
          <t>egy.mit.airpol.cost.res.coa.1</t>
        </is>
      </c>
      <c r="L656" s="3" t="n">
        <v>31.71236851198692</v>
      </c>
      <c r="M656" s="3" t="n">
        <v>31.71236851198692</v>
      </c>
      <c r="N656" s="3" t="n">
        <v>30.14315785080923</v>
      </c>
      <c r="O656" s="3" t="n">
        <v>21.42042372781679</v>
      </c>
      <c r="P656" s="3" t="n">
        <v>24.4273865652779</v>
      </c>
      <c r="Q656" s="3" t="n">
        <v>25.35021421981781</v>
      </c>
      <c r="R656" s="3" t="n">
        <v>27.68864793243904</v>
      </c>
      <c r="S656" s="3" t="n">
        <v>29.90500525950285</v>
      </c>
      <c r="T656" s="3" t="n">
        <v>31.9723399389604</v>
      </c>
      <c r="U656" s="3" t="n">
        <v>32.65057844567213</v>
      </c>
      <c r="V656" s="3" t="n">
        <v>34.02691059955268</v>
      </c>
      <c r="W656" s="3" t="n">
        <v>35.44753498983742</v>
      </c>
      <c r="X656" s="3" t="n">
        <v>36.91212433399139</v>
      </c>
      <c r="Y656" s="3" t="n">
        <v>38.42166047961955</v>
      </c>
      <c r="Z656" s="3" t="n">
        <v>39.97516157911693</v>
      </c>
      <c r="AA656" s="3" t="n">
        <v>41.57480951605023</v>
      </c>
      <c r="AB656" s="3" t="n">
        <v>43.21733146506936</v>
      </c>
      <c r="AC656" s="3" t="n">
        <v>44.90185467274767</v>
      </c>
      <c r="AD656" s="3" t="n">
        <v>46.62728819730177</v>
      </c>
      <c r="AE656" s="3" t="n">
        <v>46.62728819730177</v>
      </c>
      <c r="AG656" s="20" t="inlineStr">
        <is>
          <t>egy.mit.airpol.cost.res.coa.3</t>
        </is>
      </c>
      <c r="AH656" s="3" t="n">
        <v>31.71236851198692</v>
      </c>
      <c r="AI656" s="3" t="n">
        <v>31.71236851198692</v>
      </c>
      <c r="AJ656" s="3" t="n">
        <v>30.14315785080923</v>
      </c>
      <c r="AK656" s="3" t="n">
        <v>21.42042372781679</v>
      </c>
      <c r="AL656" s="3" t="n">
        <v>24.4273865652779</v>
      </c>
      <c r="AM656" s="3" t="n">
        <v>25.35021421981781</v>
      </c>
      <c r="AN656" s="3" t="n">
        <v>27.68864793243904</v>
      </c>
      <c r="AO656" s="3" t="n">
        <v>29.90500525950285</v>
      </c>
      <c r="AP656" s="3" t="n">
        <v>31.9723399389604</v>
      </c>
      <c r="AQ656" s="3" t="n">
        <v>32.65057844567213</v>
      </c>
      <c r="AR656" s="3" t="n">
        <v>34.02691059955268</v>
      </c>
      <c r="AS656" s="3" t="n">
        <v>35.44753498983742</v>
      </c>
      <c r="AT656" s="3" t="n">
        <v>36.91212433399139</v>
      </c>
      <c r="AU656" s="3" t="n">
        <v>38.42166047961955</v>
      </c>
      <c r="AV656" s="3" t="n">
        <v>39.97516157911693</v>
      </c>
      <c r="AW656" s="3" t="n">
        <v>41.57480951605023</v>
      </c>
      <c r="AX656" s="3" t="n">
        <v>43.21733146506936</v>
      </c>
      <c r="AY656" s="3" t="n">
        <v>44.90185467274767</v>
      </c>
      <c r="AZ656" s="3" t="n">
        <v>46.62728819730177</v>
      </c>
      <c r="BA656" s="3" t="n">
        <v>46.62728819730177</v>
      </c>
      <c r="BC656" s="20" t="inlineStr">
        <is>
          <t>egy.mit.airpol.cost.res.coa.4</t>
        </is>
      </c>
      <c r="BD656" s="3" t="n">
        <v>31.71236851198692</v>
      </c>
      <c r="BE656" s="3" t="n">
        <v>31.71236851198692</v>
      </c>
      <c r="BF656" s="3" t="n">
        <v>30.14315785080923</v>
      </c>
      <c r="BG656" s="3" t="n">
        <v>21.42042372781679</v>
      </c>
      <c r="BH656" s="3" t="n">
        <v>24.4273865652779</v>
      </c>
      <c r="BI656" s="3" t="n">
        <v>25.35021421981781</v>
      </c>
      <c r="BJ656" s="3" t="n">
        <v>27.68864793243904</v>
      </c>
      <c r="BK656" s="3" t="n">
        <v>29.90500525950285</v>
      </c>
      <c r="BL656" s="3" t="n">
        <v>31.9723399389604</v>
      </c>
      <c r="BM656" s="3" t="n">
        <v>32.65057844567213</v>
      </c>
      <c r="BN656" s="3" t="n">
        <v>34.02691059955268</v>
      </c>
      <c r="BO656" s="3" t="n">
        <v>35.44753498983742</v>
      </c>
      <c r="BP656" s="3" t="n">
        <v>36.91212433399139</v>
      </c>
      <c r="BQ656" s="3" t="n">
        <v>38.42166047961955</v>
      </c>
      <c r="BR656" s="3" t="n">
        <v>39.97516157911693</v>
      </c>
      <c r="BS656" s="3" t="n">
        <v>41.57480951605023</v>
      </c>
      <c r="BT656" s="3" t="n">
        <v>43.21733146506936</v>
      </c>
      <c r="BU656" s="3" t="n">
        <v>44.90185467274767</v>
      </c>
      <c r="BV656" s="3" t="n">
        <v>46.62728819730176</v>
      </c>
      <c r="BW656" s="3" t="n">
        <v>46.62728819730177</v>
      </c>
      <c r="BY656" s="20" t="inlineStr">
        <is>
          <t>egy.mit.airpol.cost.res.coa.5</t>
        </is>
      </c>
      <c r="BZ656" s="3" t="n">
        <v>31.71236851198692</v>
      </c>
      <c r="CA656" s="3" t="n">
        <v>31.71236851198692</v>
      </c>
      <c r="CB656" s="3" t="n">
        <v>30.14315785080923</v>
      </c>
      <c r="CC656" s="3" t="n">
        <v>21.42042372781679</v>
      </c>
      <c r="CD656" s="3" t="n">
        <v>24.4273865652779</v>
      </c>
      <c r="CE656" s="3" t="n">
        <v>25.35021421981781</v>
      </c>
      <c r="CF656" s="3" t="n">
        <v>27.68864793243904</v>
      </c>
      <c r="CG656" s="3" t="n">
        <v>29.90500525950285</v>
      </c>
      <c r="CH656" s="3" t="n">
        <v>31.97233993896039</v>
      </c>
      <c r="CI656" s="3" t="n">
        <v>32.65057844567213</v>
      </c>
      <c r="CJ656" s="3" t="n">
        <v>34.02691059955268</v>
      </c>
      <c r="CK656" s="3" t="n">
        <v>35.44753498983742</v>
      </c>
      <c r="CL656" s="3" t="n">
        <v>36.91212433399139</v>
      </c>
      <c r="CM656" s="3" t="n">
        <v>38.42166047961955</v>
      </c>
      <c r="CN656" s="3" t="n">
        <v>39.97516157911693</v>
      </c>
      <c r="CO656" s="3" t="n">
        <v>41.57480951605023</v>
      </c>
      <c r="CP656" s="3" t="n">
        <v>43.21733146506936</v>
      </c>
      <c r="CQ656" s="3" t="n">
        <v>44.90185467274767</v>
      </c>
      <c r="CR656" s="3" t="n">
        <v>46.62728819730177</v>
      </c>
      <c r="CS656" s="3" t="n">
        <v>46.62728819730177</v>
      </c>
      <c r="CU656" s="20" t="inlineStr">
        <is>
          <t>egy.mit.airpol.cost.res.coa.6</t>
        </is>
      </c>
      <c r="CV656" s="3" t="n">
        <v>31.71236851198692</v>
      </c>
      <c r="CW656" s="3" t="n">
        <v>31.71236851198692</v>
      </c>
      <c r="CX656" s="3" t="n">
        <v>30.14315785080923</v>
      </c>
      <c r="CY656" s="3" t="n">
        <v>21.42042372781679</v>
      </c>
      <c r="CZ656" s="3" t="n">
        <v>24.4273865652779</v>
      </c>
      <c r="DA656" s="3" t="n">
        <v>25.35021421981782</v>
      </c>
      <c r="DB656" s="3" t="n">
        <v>27.68864793243904</v>
      </c>
      <c r="DC656" s="3" t="n">
        <v>29.90500525950285</v>
      </c>
      <c r="DD656" s="3" t="n">
        <v>31.9723399389604</v>
      </c>
      <c r="DE656" s="3" t="n">
        <v>32.65057844567213</v>
      </c>
      <c r="DF656" s="3" t="n">
        <v>34.02691059955268</v>
      </c>
      <c r="DG656" s="3" t="n">
        <v>35.44753498983742</v>
      </c>
      <c r="DH656" s="3" t="n">
        <v>36.91212433399139</v>
      </c>
      <c r="DI656" s="3" t="n">
        <v>38.42166047961955</v>
      </c>
      <c r="DJ656" s="3" t="n">
        <v>39.97516157911693</v>
      </c>
      <c r="DK656" s="3" t="n">
        <v>41.57480951605023</v>
      </c>
      <c r="DL656" s="3" t="n">
        <v>43.21733146506936</v>
      </c>
      <c r="DM656" s="3" t="n">
        <v>44.90185467274767</v>
      </c>
      <c r="DN656" s="3" t="n">
        <v>46.62728819730177</v>
      </c>
      <c r="DO656" s="3" t="n">
        <v>46.62728819730177</v>
      </c>
    </row>
    <row r="657">
      <c r="A657" s="19" t="inlineStr">
        <is>
          <t>mit.airpol.cost.res.nga</t>
        </is>
      </c>
      <c r="B657" s="3" t="inlineStr">
        <is>
          <t>mit</t>
        </is>
      </c>
      <c r="C657" s="19" t="inlineStr">
        <is>
          <t>mit.airpol.cost.nga.res</t>
        </is>
      </c>
      <c r="H657" s="3" t="inlineStr">
        <is>
          <t>Air-pollution cost per unit of fuel, marginal damages (coal, gas, other oil products USD/GJ; gasoline, diesel, LPG, kerosene USD/l) | Residential | Natural gas</t>
        </is>
      </c>
      <c r="I657" s="3" t="inlineStr">
        <is>
          <t>USD per unit</t>
        </is>
      </c>
      <c r="K657" s="20" t="inlineStr">
        <is>
          <t>egy.mit.airpol.cost.res.nga.1</t>
        </is>
      </c>
      <c r="L657" s="3" t="n">
        <v>0.02540981646862925</v>
      </c>
      <c r="M657" s="3" t="n">
        <v>0.02540981646862925</v>
      </c>
      <c r="N657" s="3" t="n">
        <v>0.02415247251193078</v>
      </c>
      <c r="O657" s="3" t="n">
        <v>0.01716330445007161</v>
      </c>
      <c r="P657" s="3" t="n">
        <v>0.0195726600867846</v>
      </c>
      <c r="Q657" s="3" t="n">
        <v>0.02031208392783802</v>
      </c>
      <c r="R657" s="3" t="n">
        <v>0.02218577467532352</v>
      </c>
      <c r="S657" s="3" t="n">
        <v>0.02396165063641127</v>
      </c>
      <c r="T657" s="3" t="n">
        <v>0.02561812087969796</v>
      </c>
      <c r="U657" s="3" t="n">
        <v>0.02616156549724485</v>
      </c>
      <c r="V657" s="3" t="n">
        <v>0.02726436383968838</v>
      </c>
      <c r="W657" s="3" t="n">
        <v>0.02840265172929679</v>
      </c>
      <c r="X657" s="3" t="n">
        <v>0.02957616692803684</v>
      </c>
      <c r="Y657" s="3" t="n">
        <v>0.03078569615000824</v>
      </c>
      <c r="Z657" s="3" t="n">
        <v>0.03203045268111129</v>
      </c>
      <c r="AA657" s="3" t="n">
        <v>0.03331218477490088</v>
      </c>
      <c r="AB657" s="3" t="n">
        <v>0.03462827005104466</v>
      </c>
      <c r="AC657" s="3" t="n">
        <v>0.03597800920812064</v>
      </c>
      <c r="AD657" s="3" t="n">
        <v>0.03736052811935137</v>
      </c>
      <c r="AE657" s="3" t="n">
        <v>0.03736052811935137</v>
      </c>
      <c r="AG657" s="20" t="inlineStr">
        <is>
          <t>egy.mit.airpol.cost.res.nga.3</t>
        </is>
      </c>
      <c r="AH657" s="3" t="n">
        <v>0.02540981646862925</v>
      </c>
      <c r="AI657" s="3" t="n">
        <v>0.02540981646862925</v>
      </c>
      <c r="AJ657" s="3" t="n">
        <v>0.02415247251193078</v>
      </c>
      <c r="AK657" s="3" t="n">
        <v>0.01716330445007161</v>
      </c>
      <c r="AL657" s="3" t="n">
        <v>0.0195726600867846</v>
      </c>
      <c r="AM657" s="3" t="n">
        <v>0.02031208392783802</v>
      </c>
      <c r="AN657" s="3" t="n">
        <v>0.02218577467532352</v>
      </c>
      <c r="AO657" s="3" t="n">
        <v>0.02396165063641127</v>
      </c>
      <c r="AP657" s="3" t="n">
        <v>0.02561812087969796</v>
      </c>
      <c r="AQ657" s="3" t="n">
        <v>0.02616156549724485</v>
      </c>
      <c r="AR657" s="3" t="n">
        <v>0.02726436383968839</v>
      </c>
      <c r="AS657" s="3" t="n">
        <v>0.0284026517292968</v>
      </c>
      <c r="AT657" s="3" t="n">
        <v>0.02957616692803684</v>
      </c>
      <c r="AU657" s="3" t="n">
        <v>0.03078569615000824</v>
      </c>
      <c r="AV657" s="3" t="n">
        <v>0.03203045268111129</v>
      </c>
      <c r="AW657" s="3" t="n">
        <v>0.03331218477490088</v>
      </c>
      <c r="AX657" s="3" t="n">
        <v>0.03462827005104466</v>
      </c>
      <c r="AY657" s="3" t="n">
        <v>0.03597800920812064</v>
      </c>
      <c r="AZ657" s="3" t="n">
        <v>0.03736052811935138</v>
      </c>
      <c r="BA657" s="3" t="n">
        <v>0.03736052811935137</v>
      </c>
      <c r="BC657" s="20" t="inlineStr">
        <is>
          <t>egy.mit.airpol.cost.res.nga.4</t>
        </is>
      </c>
      <c r="BD657" s="3" t="n">
        <v>0.02540981646862925</v>
      </c>
      <c r="BE657" s="3" t="n">
        <v>0.02540981646862925</v>
      </c>
      <c r="BF657" s="3" t="n">
        <v>0.02415247251193078</v>
      </c>
      <c r="BG657" s="3" t="n">
        <v>0.01716330445007161</v>
      </c>
      <c r="BH657" s="3" t="n">
        <v>0.0195726600867846</v>
      </c>
      <c r="BI657" s="3" t="n">
        <v>0.02031208392783802</v>
      </c>
      <c r="BJ657" s="3" t="n">
        <v>0.02218577467532352</v>
      </c>
      <c r="BK657" s="3" t="n">
        <v>0.02396165063641127</v>
      </c>
      <c r="BL657" s="3" t="n">
        <v>0.02561812087969796</v>
      </c>
      <c r="BM657" s="3" t="n">
        <v>0.02616156549724485</v>
      </c>
      <c r="BN657" s="3" t="n">
        <v>0.02726436383968838</v>
      </c>
      <c r="BO657" s="3" t="n">
        <v>0.0284026517292968</v>
      </c>
      <c r="BP657" s="3" t="n">
        <v>0.02957616692803684</v>
      </c>
      <c r="BQ657" s="3" t="n">
        <v>0.03078569615000824</v>
      </c>
      <c r="BR657" s="3" t="n">
        <v>0.03203045268111129</v>
      </c>
      <c r="BS657" s="3" t="n">
        <v>0.03331218477490088</v>
      </c>
      <c r="BT657" s="3" t="n">
        <v>0.03462827005104466</v>
      </c>
      <c r="BU657" s="3" t="n">
        <v>0.03597800920812064</v>
      </c>
      <c r="BV657" s="3" t="n">
        <v>0.03736052811935138</v>
      </c>
      <c r="BW657" s="3" t="n">
        <v>0.03736052811935137</v>
      </c>
      <c r="BY657" s="20" t="inlineStr">
        <is>
          <t>egy.mit.airpol.cost.res.nga.5</t>
        </is>
      </c>
      <c r="BZ657" s="3" t="n">
        <v>0.02540981646862925</v>
      </c>
      <c r="CA657" s="3" t="n">
        <v>0.02540981646862925</v>
      </c>
      <c r="CB657" s="3" t="n">
        <v>0.02415247251193078</v>
      </c>
      <c r="CC657" s="3" t="n">
        <v>0.01716330445007161</v>
      </c>
      <c r="CD657" s="3" t="n">
        <v>0.0195726600867846</v>
      </c>
      <c r="CE657" s="3" t="n">
        <v>0.02031208392783802</v>
      </c>
      <c r="CF657" s="3" t="n">
        <v>0.02218577467532352</v>
      </c>
      <c r="CG657" s="3" t="n">
        <v>0.02396165063641127</v>
      </c>
      <c r="CH657" s="3" t="n">
        <v>0.02561812087969796</v>
      </c>
      <c r="CI657" s="3" t="n">
        <v>0.02616156549724485</v>
      </c>
      <c r="CJ657" s="3" t="n">
        <v>0.02726436383968839</v>
      </c>
      <c r="CK657" s="3" t="n">
        <v>0.02840265172929679</v>
      </c>
      <c r="CL657" s="3" t="n">
        <v>0.02957616692803684</v>
      </c>
      <c r="CM657" s="3" t="n">
        <v>0.03078569615000825</v>
      </c>
      <c r="CN657" s="3" t="n">
        <v>0.03203045268111129</v>
      </c>
      <c r="CO657" s="3" t="n">
        <v>0.03331218477490088</v>
      </c>
      <c r="CP657" s="3" t="n">
        <v>0.03462827005104466</v>
      </c>
      <c r="CQ657" s="3" t="n">
        <v>0.03597800920812064</v>
      </c>
      <c r="CR657" s="3" t="n">
        <v>0.03736052811935138</v>
      </c>
      <c r="CS657" s="3" t="n">
        <v>0.03736052811935137</v>
      </c>
      <c r="CU657" s="20" t="inlineStr">
        <is>
          <t>egy.mit.airpol.cost.res.nga.6</t>
        </is>
      </c>
      <c r="CV657" s="3" t="n">
        <v>0.02540981646862925</v>
      </c>
      <c r="CW657" s="3" t="n">
        <v>0.02540981646862925</v>
      </c>
      <c r="CX657" s="3" t="n">
        <v>0.02415247251193078</v>
      </c>
      <c r="CY657" s="3" t="n">
        <v>0.01716330445007161</v>
      </c>
      <c r="CZ657" s="3" t="n">
        <v>0.0195726600867846</v>
      </c>
      <c r="DA657" s="3" t="n">
        <v>0.02031208392783802</v>
      </c>
      <c r="DB657" s="3" t="n">
        <v>0.02218577467532352</v>
      </c>
      <c r="DC657" s="3" t="n">
        <v>0.02396165063641127</v>
      </c>
      <c r="DD657" s="3" t="n">
        <v>0.02561812087969796</v>
      </c>
      <c r="DE657" s="3" t="n">
        <v>0.02616156549724485</v>
      </c>
      <c r="DF657" s="3" t="n">
        <v>0.02726436383968838</v>
      </c>
      <c r="DG657" s="3" t="n">
        <v>0.0284026517292968</v>
      </c>
      <c r="DH657" s="3" t="n">
        <v>0.02957616692803684</v>
      </c>
      <c r="DI657" s="3" t="n">
        <v>0.03078569615000824</v>
      </c>
      <c r="DJ657" s="3" t="n">
        <v>0.03203045268111129</v>
      </c>
      <c r="DK657" s="3" t="n">
        <v>0.03331218477490088</v>
      </c>
      <c r="DL657" s="3" t="n">
        <v>0.03462827005104466</v>
      </c>
      <c r="DM657" s="3" t="n">
        <v>0.03597800920812064</v>
      </c>
      <c r="DN657" s="3" t="n">
        <v>0.03736052811935138</v>
      </c>
      <c r="DO657" s="3" t="n">
        <v>0.03736052811935137</v>
      </c>
    </row>
    <row r="658">
      <c r="A658" s="19" t="inlineStr">
        <is>
          <t>mit.airpol.cost.all.lpg</t>
        </is>
      </c>
      <c r="B658" s="3" t="inlineStr">
        <is>
          <t>mit</t>
        </is>
      </c>
      <c r="C658" s="19" t="inlineStr">
        <is>
          <t>mit.airpol.cost.lpg</t>
        </is>
      </c>
      <c r="H658" s="3" t="inlineStr">
        <is>
          <t>Air-pollution cost per unit of fuel, marginal damages (coal, gas, other oil products USD/GJ; gasoline, diesel, LPG, kerosene USD/l) | All sectors | LPG</t>
        </is>
      </c>
      <c r="I658" s="3" t="inlineStr">
        <is>
          <t>USD per unit</t>
        </is>
      </c>
      <c r="K658" s="20" t="inlineStr">
        <is>
          <t>egy.mit.airpol.cost.all.lpg.1</t>
        </is>
      </c>
      <c r="L658" s="3" t="n">
        <v>0.002594748942134258</v>
      </c>
      <c r="M658" s="3" t="n">
        <v>0.00263589599466035</v>
      </c>
      <c r="N658" s="3" t="n">
        <v>0.002503920712128188</v>
      </c>
      <c r="O658" s="3" t="n">
        <v>0.001787990752490808</v>
      </c>
      <c r="P658" s="3" t="n">
        <v>0.002048451877182475</v>
      </c>
      <c r="Q658" s="3" t="n">
        <v>0.002136890459944189</v>
      </c>
      <c r="R658" s="3" t="n">
        <v>0.002347644578870465</v>
      </c>
      <c r="S658" s="3" t="n">
        <v>0.002549384838783799</v>
      </c>
      <c r="T658" s="3" t="n">
        <v>0.002739250830935593</v>
      </c>
      <c r="U658" s="3" t="n">
        <v>0.002811066259310453</v>
      </c>
      <c r="V658" s="3" t="n">
        <v>0.002943677263928849</v>
      </c>
      <c r="W658" s="3" t="n">
        <v>0.003081104674260093</v>
      </c>
      <c r="X658" s="3" t="n">
        <v>0.003223354534055732</v>
      </c>
      <c r="Y658" s="3" t="n">
        <v>0.003370546162611949</v>
      </c>
      <c r="Z658" s="3" t="n">
        <v>0.003522626372952255</v>
      </c>
      <c r="AA658" s="3" t="n">
        <v>0.003679819440950732</v>
      </c>
      <c r="AB658" s="3" t="n">
        <v>0.003841867120412181</v>
      </c>
      <c r="AC658" s="3" t="n">
        <v>0.004008719420092556</v>
      </c>
      <c r="AD658" s="3" t="n">
        <v>0.004180304550479009</v>
      </c>
      <c r="AE658" s="3" t="n">
        <v>0.004197630967621001</v>
      </c>
      <c r="AG658" s="20" t="inlineStr">
        <is>
          <t>egy.mit.airpol.cost.all.lpg.3</t>
        </is>
      </c>
      <c r="AH658" s="3" t="n">
        <v>0.002594748942134258</v>
      </c>
      <c r="AI658" s="3" t="n">
        <v>0.00263589599466035</v>
      </c>
      <c r="AJ658" s="3" t="n">
        <v>0.002503920712128188</v>
      </c>
      <c r="AK658" s="3" t="n">
        <v>0.001787990752490808</v>
      </c>
      <c r="AL658" s="3" t="n">
        <v>0.002048451877182475</v>
      </c>
      <c r="AM658" s="3" t="n">
        <v>0.002123797156272783</v>
      </c>
      <c r="AN658" s="3" t="n">
        <v>0.002333316794708737</v>
      </c>
      <c r="AO658" s="3" t="n">
        <v>0.002534040388446201</v>
      </c>
      <c r="AP658" s="3" t="n">
        <v>0.002722449281350811</v>
      </c>
      <c r="AQ658" s="3" t="n">
        <v>0.002793952177887911</v>
      </c>
      <c r="AR658" s="3" t="n">
        <v>0.002925663026278088</v>
      </c>
      <c r="AS658" s="3" t="n">
        <v>0.003062534661739189</v>
      </c>
      <c r="AT658" s="3" t="n">
        <v>0.003204403140880331</v>
      </c>
      <c r="AU658" s="3" t="n">
        <v>0.003351123283072226</v>
      </c>
      <c r="AV658" s="3" t="n">
        <v>0.003502811741880774</v>
      </c>
      <c r="AW658" s="3" t="n">
        <v>0.003659813314647138</v>
      </c>
      <c r="AX658" s="3" t="n">
        <v>0.003821491365601966</v>
      </c>
      <c r="AY658" s="3" t="n">
        <v>0.003987872546038231</v>
      </c>
      <c r="AZ658" s="3" t="n">
        <v>0.004158733831766201</v>
      </c>
      <c r="BA658" s="3" t="n">
        <v>0.004176066510076746</v>
      </c>
      <c r="BC658" s="20" t="inlineStr">
        <is>
          <t>egy.mit.airpol.cost.all.lpg.4</t>
        </is>
      </c>
      <c r="BD658" s="3" t="n">
        <v>0.002594748942134258</v>
      </c>
      <c r="BE658" s="3" t="n">
        <v>0.00263589599466035</v>
      </c>
      <c r="BF658" s="3" t="n">
        <v>0.002503920712128188</v>
      </c>
      <c r="BG658" s="3" t="n">
        <v>0.001787990752490808</v>
      </c>
      <c r="BH658" s="3" t="n">
        <v>0.002048451877182475</v>
      </c>
      <c r="BI658" s="3" t="n">
        <v>0.002117325114405561</v>
      </c>
      <c r="BJ658" s="3" t="n">
        <v>0.002305302462479308</v>
      </c>
      <c r="BK658" s="3" t="n">
        <v>0.002486630304231156</v>
      </c>
      <c r="BL658" s="3" t="n">
        <v>0.00265747122423852</v>
      </c>
      <c r="BM658" s="3" t="n">
        <v>0.002725383272218619</v>
      </c>
      <c r="BN658" s="3" t="n">
        <v>0.002851872472923118</v>
      </c>
      <c r="BO658" s="3" t="n">
        <v>0.002982919324447731</v>
      </c>
      <c r="BP658" s="3" t="n">
        <v>0.00311870181996052</v>
      </c>
      <c r="BQ658" s="3" t="n">
        <v>0.003259296355660567</v>
      </c>
      <c r="BR658" s="3" t="n">
        <v>0.003404677557537933</v>
      </c>
      <c r="BS658" s="3" t="n">
        <v>0.0035551692365685</v>
      </c>
      <c r="BT658" s="3" t="n">
        <v>0.003710435435481592</v>
      </c>
      <c r="BU658" s="3" t="n">
        <v>0.003870369943148705</v>
      </c>
      <c r="BV658" s="3" t="n">
        <v>0.00403473296829639</v>
      </c>
      <c r="BW658" s="3" t="n">
        <v>0.004050075528055109</v>
      </c>
      <c r="BY658" s="20" t="inlineStr">
        <is>
          <t>egy.mit.airpol.cost.all.lpg.5</t>
        </is>
      </c>
      <c r="BZ658" s="3" t="n">
        <v>0.002594748942134258</v>
      </c>
      <c r="CA658" s="3" t="n">
        <v>0.00263589599466035</v>
      </c>
      <c r="CB658" s="3" t="n">
        <v>0.002503920712128188</v>
      </c>
      <c r="CC658" s="3" t="n">
        <v>0.001787990752490808</v>
      </c>
      <c r="CD658" s="3" t="n">
        <v>0.002048451877182475</v>
      </c>
      <c r="CE658" s="3" t="n">
        <v>0.002121044244362265</v>
      </c>
      <c r="CF658" s="3" t="n">
        <v>0.002330303863589781</v>
      </c>
      <c r="CG658" s="3" t="n">
        <v>0.002530757657888297</v>
      </c>
      <c r="CH658" s="3" t="n">
        <v>0.00271895761851689</v>
      </c>
      <c r="CI658" s="3" t="n">
        <v>0.002790456443596533</v>
      </c>
      <c r="CJ658" s="3" t="n">
        <v>0.002921995826903036</v>
      </c>
      <c r="CK658" s="3" t="n">
        <v>0.003058736664939276</v>
      </c>
      <c r="CL658" s="3" t="n">
        <v>0.003200307527570751</v>
      </c>
      <c r="CM658" s="3" t="n">
        <v>0.003346747853195996</v>
      </c>
      <c r="CN658" s="3" t="n">
        <v>0.003498142361189371</v>
      </c>
      <c r="CO658" s="3" t="n">
        <v>0.003654788501487589</v>
      </c>
      <c r="CP658" s="3" t="n">
        <v>0.003816112387384614</v>
      </c>
      <c r="CQ658" s="3" t="n">
        <v>0.003982193112296928</v>
      </c>
      <c r="CR658" s="3" t="n">
        <v>0.004152797693326011</v>
      </c>
      <c r="CS658" s="3" t="n">
        <v>0.004170187727138683</v>
      </c>
      <c r="CU658" s="20" t="inlineStr">
        <is>
          <t>egy.mit.airpol.cost.all.lpg.6</t>
        </is>
      </c>
      <c r="CV658" s="3" t="n">
        <v>0.002594748942134258</v>
      </c>
      <c r="CW658" s="3" t="n">
        <v>0.00263589599466035</v>
      </c>
      <c r="CX658" s="3" t="n">
        <v>0.002503920712128188</v>
      </c>
      <c r="CY658" s="3" t="n">
        <v>0.001787990752490808</v>
      </c>
      <c r="CZ658" s="3" t="n">
        <v>0.002048451877182475</v>
      </c>
      <c r="DA658" s="3" t="n">
        <v>0.002109359046549466</v>
      </c>
      <c r="DB658" s="3" t="n">
        <v>0.002317515049104556</v>
      </c>
      <c r="DC658" s="3" t="n">
        <v>0.002517120126754769</v>
      </c>
      <c r="DD658" s="3" t="n">
        <v>0.002703894472721966</v>
      </c>
      <c r="DE658" s="3" t="n">
        <v>0.002775089479583201</v>
      </c>
      <c r="DF658" s="3" t="n">
        <v>0.002905771672702183</v>
      </c>
      <c r="DG658" s="3" t="n">
        <v>0.003042062068525944</v>
      </c>
      <c r="DH658" s="3" t="n">
        <v>0.003183486213868605</v>
      </c>
      <c r="DI658" s="3" t="n">
        <v>0.00332968157585865</v>
      </c>
      <c r="DJ658" s="3" t="n">
        <v>0.00348092718170895</v>
      </c>
      <c r="DK658" s="3" t="n">
        <v>0.003637711605792935</v>
      </c>
      <c r="DL658" s="3" t="n">
        <v>0.003798958754991207</v>
      </c>
      <c r="DM658" s="3" t="n">
        <v>0.003964820297734244</v>
      </c>
      <c r="DN658" s="3" t="n">
        <v>0.004134881833489199</v>
      </c>
      <c r="DO658" s="3" t="n">
        <v>0.004152239974231397</v>
      </c>
    </row>
    <row r="659">
      <c r="A659" s="19" t="inlineStr">
        <is>
          <t>mit.airpol.cost.all.ker</t>
        </is>
      </c>
      <c r="B659" s="3" t="inlineStr">
        <is>
          <t>mit</t>
        </is>
      </c>
      <c r="C659" s="19" t="inlineStr">
        <is>
          <t>mit.airpol.cost.ker</t>
        </is>
      </c>
      <c r="H659" s="3" t="inlineStr">
        <is>
          <t>Air-pollution cost per unit of fuel, marginal damages (coal, gas, other oil products USD/GJ; gasoline, diesel, LPG, kerosene USD/l) | All sectors | Kerosene</t>
        </is>
      </c>
      <c r="I659" s="3" t="inlineStr">
        <is>
          <t>USD per unit</t>
        </is>
      </c>
      <c r="K659" s="20" t="inlineStr">
        <is>
          <t>egy.mit.airpol.cost.all.ker.1</t>
        </is>
      </c>
      <c r="L659" s="3" t="n">
        <v>0.06607346266388868</v>
      </c>
      <c r="M659" s="3" t="n">
        <v>0.06539545167398719</v>
      </c>
      <c r="N659" s="3" t="n">
        <v>0.06189630028083362</v>
      </c>
      <c r="O659" s="3" t="n">
        <v>0.04373562247786454</v>
      </c>
      <c r="P659" s="3" t="n">
        <v>0.04959912516915031</v>
      </c>
      <c r="Q659" s="3" t="n">
        <v>0.05117463379421568</v>
      </c>
      <c r="R659" s="3" t="n">
        <v>0.05555464264551007</v>
      </c>
      <c r="S659" s="3" t="n">
        <v>0.05964953928662516</v>
      </c>
      <c r="T659" s="3" t="n">
        <v>0.06341518412282288</v>
      </c>
      <c r="U659" s="3" t="n">
        <v>0.06440189055778843</v>
      </c>
      <c r="V659" s="3" t="n">
        <v>0.06674956684119251</v>
      </c>
      <c r="W659" s="3" t="n">
        <v>0.06916064931413266</v>
      </c>
      <c r="X659" s="3" t="n">
        <v>0.07163374344153636</v>
      </c>
      <c r="Y659" s="3" t="n">
        <v>0.0741700231128825</v>
      </c>
      <c r="Z659" s="3" t="n">
        <v>0.0767668780314905</v>
      </c>
      <c r="AA659" s="3" t="n">
        <v>0.0794278071896081</v>
      </c>
      <c r="AB659" s="3" t="n">
        <v>0.08214588079480435</v>
      </c>
      <c r="AC659" s="3" t="n">
        <v>0.08491885840452715</v>
      </c>
      <c r="AD659" s="3" t="n">
        <v>0.08774414281280624</v>
      </c>
      <c r="AE659" s="3" t="n">
        <v>0.08731360851669474</v>
      </c>
      <c r="AG659" s="20" t="inlineStr">
        <is>
          <t>egy.mit.airpol.cost.all.ker.3</t>
        </is>
      </c>
      <c r="AH659" s="3" t="n">
        <v>0.06607346266388868</v>
      </c>
      <c r="AI659" s="3" t="n">
        <v>0.06539545167398719</v>
      </c>
      <c r="AJ659" s="3" t="n">
        <v>0.06189630028083362</v>
      </c>
      <c r="AK659" s="3" t="n">
        <v>0.04373562247786454</v>
      </c>
      <c r="AL659" s="3" t="n">
        <v>0.04959912516915031</v>
      </c>
      <c r="AM659" s="3" t="n">
        <v>0.05125135543894195</v>
      </c>
      <c r="AN659" s="3" t="n">
        <v>0.0556368715363907</v>
      </c>
      <c r="AO659" s="3" t="n">
        <v>0.05973483563683717</v>
      </c>
      <c r="AP659" s="3" t="n">
        <v>0.06350906143596502</v>
      </c>
      <c r="AQ659" s="3" t="n">
        <v>0.06449520772064303</v>
      </c>
      <c r="AR659" s="3" t="n">
        <v>0.06684676487481409</v>
      </c>
      <c r="AS659" s="3" t="n">
        <v>0.06925755336231636</v>
      </c>
      <c r="AT659" s="3" t="n">
        <v>0.0717282490321656</v>
      </c>
      <c r="AU659" s="3" t="n">
        <v>0.07426297861476777</v>
      </c>
      <c r="AV659" s="3" t="n">
        <v>0.07685729119994876</v>
      </c>
      <c r="AW659" s="3" t="n">
        <v>0.07951347431606801</v>
      </c>
      <c r="AX659" s="3" t="n">
        <v>0.08222859256923662</v>
      </c>
      <c r="AY659" s="3" t="n">
        <v>0.08499954611773441</v>
      </c>
      <c r="AZ659" s="3" t="n">
        <v>0.08782518593113024</v>
      </c>
      <c r="BA659" s="3" t="n">
        <v>0.08739265582005172</v>
      </c>
      <c r="BC659" s="20" t="inlineStr">
        <is>
          <t>egy.mit.airpol.cost.all.ker.4</t>
        </is>
      </c>
      <c r="BD659" s="3" t="n">
        <v>0.06607346266388868</v>
      </c>
      <c r="BE659" s="3" t="n">
        <v>0.06539545167398719</v>
      </c>
      <c r="BF659" s="3" t="n">
        <v>0.06189630028083362</v>
      </c>
      <c r="BG659" s="3" t="n">
        <v>0.04373562247786454</v>
      </c>
      <c r="BH659" s="3" t="n">
        <v>0.04959912516915031</v>
      </c>
      <c r="BI659" s="3" t="n">
        <v>0.05140624549675858</v>
      </c>
      <c r="BJ659" s="3" t="n">
        <v>0.05607698906423322</v>
      </c>
      <c r="BK659" s="3" t="n">
        <v>0.0604439559848149</v>
      </c>
      <c r="BL659" s="3" t="n">
        <v>0.06446733067030785</v>
      </c>
      <c r="BM659" s="3" t="n">
        <v>0.06545363919103787</v>
      </c>
      <c r="BN659" s="3" t="n">
        <v>0.06782787097697301</v>
      </c>
      <c r="BO659" s="3" t="n">
        <v>0.07026746520584205</v>
      </c>
      <c r="BP659" s="3" t="n">
        <v>0.07276895244197464</v>
      </c>
      <c r="BQ659" s="3" t="n">
        <v>0.07533387215194237</v>
      </c>
      <c r="BR659" s="3" t="n">
        <v>0.0779591856247895</v>
      </c>
      <c r="BS659" s="3" t="n">
        <v>0.0806472241074391</v>
      </c>
      <c r="BT659" s="3" t="n">
        <v>0.08339182412427434</v>
      </c>
      <c r="BU659" s="3" t="n">
        <v>0.08619124569441414</v>
      </c>
      <c r="BV659" s="3" t="n">
        <v>0.08904448961897855</v>
      </c>
      <c r="BW659" s="3" t="n">
        <v>0.08859517687339868</v>
      </c>
      <c r="BY659" s="20" t="inlineStr">
        <is>
          <t>egy.mit.airpol.cost.all.ker.5</t>
        </is>
      </c>
      <c r="BZ659" s="3" t="n">
        <v>0.06607346266388868</v>
      </c>
      <c r="CA659" s="3" t="n">
        <v>0.06539545167398719</v>
      </c>
      <c r="CB659" s="3" t="n">
        <v>0.06189630028083362</v>
      </c>
      <c r="CC659" s="3" t="n">
        <v>0.04373562247786454</v>
      </c>
      <c r="CD659" s="3" t="n">
        <v>0.04959912516915031</v>
      </c>
      <c r="CE659" s="3" t="n">
        <v>0.05126913371523814</v>
      </c>
      <c r="CF659" s="3" t="n">
        <v>0.05565593787215466</v>
      </c>
      <c r="CG659" s="3" t="n">
        <v>0.05975532676596935</v>
      </c>
      <c r="CH659" s="3" t="n">
        <v>0.0635303066208861</v>
      </c>
      <c r="CI659" s="3" t="n">
        <v>0.06451564166452047</v>
      </c>
      <c r="CJ659" s="3" t="n">
        <v>0.0668678873807689</v>
      </c>
      <c r="CK659" s="3" t="n">
        <v>0.0692788427542554</v>
      </c>
      <c r="CL659" s="3" t="n">
        <v>0.0717514886505954</v>
      </c>
      <c r="CM659" s="3" t="n">
        <v>0.07428787007362415</v>
      </c>
      <c r="CN659" s="3" t="n">
        <v>0.07688388596850632</v>
      </c>
      <c r="CO659" s="3" t="n">
        <v>0.0795423093966737</v>
      </c>
      <c r="CP659" s="3" t="n">
        <v>0.0822595379321371</v>
      </c>
      <c r="CQ659" s="3" t="n">
        <v>0.08503194705632794</v>
      </c>
      <c r="CR659" s="3" t="n">
        <v>0.08785851956358466</v>
      </c>
      <c r="CS659" s="3" t="n">
        <v>0.08742474393448009</v>
      </c>
      <c r="CU659" s="20" t="inlineStr">
        <is>
          <t>egy.mit.airpol.cost.all.ker.6</t>
        </is>
      </c>
      <c r="CV659" s="3" t="n">
        <v>0.06607346266388868</v>
      </c>
      <c r="CW659" s="3" t="n">
        <v>0.06539545167398719</v>
      </c>
      <c r="CX659" s="3" t="n">
        <v>0.06189630028083362</v>
      </c>
      <c r="CY659" s="3" t="n">
        <v>0.04373562247786454</v>
      </c>
      <c r="CZ659" s="3" t="n">
        <v>0.04959912516915031</v>
      </c>
      <c r="DA659" s="3" t="n">
        <v>0.05135094263101599</v>
      </c>
      <c r="DB659" s="3" t="n">
        <v>0.05574369670151369</v>
      </c>
      <c r="DC659" s="3" t="n">
        <v>0.05984601956715228</v>
      </c>
      <c r="DD659" s="3" t="n">
        <v>0.06363100474055004</v>
      </c>
      <c r="DE659" s="3" t="n">
        <v>0.06461620128270992</v>
      </c>
      <c r="DF659" s="3" t="n">
        <v>0.06697295656038239</v>
      </c>
      <c r="DG659" s="3" t="n">
        <v>0.06938351812148812</v>
      </c>
      <c r="DH659" s="3" t="n">
        <v>0.07185226796740368</v>
      </c>
      <c r="DI659" s="3" t="n">
        <v>0.07438578738812203</v>
      </c>
      <c r="DJ659" s="3" t="n">
        <v>0.07697784944464965</v>
      </c>
      <c r="DK659" s="3" t="n">
        <v>0.07962927745325706</v>
      </c>
      <c r="DL659" s="3" t="n">
        <v>0.08234181216677408</v>
      </c>
      <c r="DM659" s="3" t="n">
        <v>0.08511097603194732</v>
      </c>
      <c r="DN659" s="3" t="n">
        <v>0.08793748524951253</v>
      </c>
      <c r="DO659" s="3" t="n">
        <v>0.0875022075004299</v>
      </c>
    </row>
    <row r="660">
      <c r="A660" s="14" t="n"/>
      <c r="B660" s="3" t="inlineStr">
        <is>
          <t>air</t>
        </is>
      </c>
      <c r="C660" s="19" t="inlineStr">
        <is>
          <t>air.sav.the.gov</t>
        </is>
      </c>
      <c r="H660" s="14" t="inlineStr">
        <is>
          <t>Savings health expenditure - Government - Real US$mn</t>
        </is>
      </c>
      <c r="I660" s="14" t="inlineStr">
        <is>
          <t>usdm</t>
        </is>
      </c>
    </row>
    <row r="661">
      <c r="A661" s="14" t="n"/>
      <c r="B661" s="3" t="inlineStr">
        <is>
          <t>air</t>
        </is>
      </c>
      <c r="C661" s="19" t="inlineStr">
        <is>
          <t>air.sav.the.ppr</t>
        </is>
      </c>
      <c r="H661" s="14" t="inlineStr">
        <is>
          <t>Savings health expenditure - Prepaid Private - Real US$mn</t>
        </is>
      </c>
      <c r="I661" s="14" t="inlineStr">
        <is>
          <t>usdm</t>
        </is>
      </c>
    </row>
    <row r="662">
      <c r="A662" s="14" t="n"/>
      <c r="B662" s="3" t="inlineStr">
        <is>
          <t>air</t>
        </is>
      </c>
      <c r="C662" s="19" t="inlineStr">
        <is>
          <t>air.sav.the.opo</t>
        </is>
      </c>
      <c r="H662" s="14" t="inlineStr">
        <is>
          <t>Savings health expenditure - Out-of-pocket - Real US$mn</t>
        </is>
      </c>
      <c r="I662" s="14" t="inlineStr">
        <is>
          <t>usdm</t>
        </is>
      </c>
    </row>
    <row r="663">
      <c r="A663" s="14" t="n"/>
      <c r="B663" s="3" t="inlineStr">
        <is>
          <t>air</t>
        </is>
      </c>
      <c r="C663" s="19" t="inlineStr">
        <is>
          <t>air.sav.the.das</t>
        </is>
      </c>
      <c r="H663" s="14" t="inlineStr">
        <is>
          <t>Savings health expenditure - Development assistance for health - Real US$mn</t>
        </is>
      </c>
      <c r="I663" s="14" t="inlineStr">
        <is>
          <t>usdm</t>
        </is>
      </c>
    </row>
    <row r="664">
      <c r="A664" s="14" t="n"/>
      <c r="B664" s="3" t="inlineStr">
        <is>
          <t>air</t>
        </is>
      </c>
      <c r="C664" s="19" t="inlineStr">
        <is>
          <t>dth.ktoe.pow.coa</t>
        </is>
      </c>
      <c r="H664" s="14" t="inlineStr">
        <is>
          <t>Deaths per Ktoe, Coal power plants</t>
        </is>
      </c>
      <c r="I664" s="14" t="inlineStr">
        <is>
          <t>deathsktoe</t>
        </is>
      </c>
    </row>
    <row r="665">
      <c r="A665" s="14" t="n"/>
      <c r="B665" s="3" t="inlineStr">
        <is>
          <t>air</t>
        </is>
      </c>
      <c r="C665" s="19" t="inlineStr">
        <is>
          <t>dth.ktoe.pow.nga</t>
        </is>
      </c>
      <c r="H665" s="14" t="inlineStr">
        <is>
          <t>Deaths per Ktoe, gas power plants</t>
        </is>
      </c>
      <c r="I665" s="14" t="inlineStr">
        <is>
          <t>deathsktoe</t>
        </is>
      </c>
    </row>
    <row r="666">
      <c r="A666" s="14" t="n"/>
      <c r="B666" s="3" t="inlineStr">
        <is>
          <t>air</t>
        </is>
      </c>
      <c r="C666" s="19" t="inlineStr">
        <is>
          <t>dth.ktoe.pow.opp</t>
        </is>
      </c>
      <c r="H666" s="14" t="inlineStr">
        <is>
          <t>Deaths per Ktoe, oil power plants</t>
        </is>
      </c>
      <c r="I666" s="14" t="inlineStr">
        <is>
          <t>deathsktoe</t>
        </is>
      </c>
    </row>
    <row r="667">
      <c r="A667" s="14" t="n"/>
      <c r="B667" s="3" t="inlineStr">
        <is>
          <t>air</t>
        </is>
      </c>
      <c r="C667" s="19" t="inlineStr">
        <is>
          <t>dth.ktoe.rod.gso</t>
        </is>
      </c>
      <c r="H667" s="14" t="inlineStr">
        <is>
          <t>Deaths per Ktoe, gasoline in transport</t>
        </is>
      </c>
      <c r="I667" s="14" t="inlineStr">
        <is>
          <t>deathsktoe</t>
        </is>
      </c>
    </row>
    <row r="668">
      <c r="A668" s="14" t="n"/>
      <c r="B668" s="3" t="inlineStr">
        <is>
          <t>air</t>
        </is>
      </c>
      <c r="C668" s="19" t="inlineStr">
        <is>
          <t>dth.ktoe.rod.die</t>
        </is>
      </c>
      <c r="H668" s="14" t="inlineStr">
        <is>
          <t>Deaths per Ktoe, diesel in transport</t>
        </is>
      </c>
      <c r="I668" s="14" t="inlineStr">
        <is>
          <t>deathsktoe</t>
        </is>
      </c>
    </row>
    <row r="669">
      <c r="A669" s="14" t="n"/>
      <c r="B669" s="3" t="inlineStr">
        <is>
          <t>air</t>
        </is>
      </c>
      <c r="C669" s="19" t="inlineStr">
        <is>
          <t>dth.ktoe.ind.coa</t>
        </is>
      </c>
      <c r="H669" s="14" t="inlineStr">
        <is>
          <t>Deaths per Ktoe, coal in all industries</t>
        </is>
      </c>
      <c r="I669" s="14" t="inlineStr">
        <is>
          <t>deathsktoe</t>
        </is>
      </c>
    </row>
    <row r="670">
      <c r="A670" s="14" t="n"/>
      <c r="B670" s="3" t="inlineStr">
        <is>
          <t>air</t>
        </is>
      </c>
      <c r="C670" s="19" t="inlineStr">
        <is>
          <t>dth.ktoe.ind.oop</t>
        </is>
      </c>
      <c r="H670" s="14" t="inlineStr">
        <is>
          <t>Deaths per Ktoe, other oil in all industries</t>
        </is>
      </c>
      <c r="I670" s="14" t="inlineStr">
        <is>
          <t>deathsktoe</t>
        </is>
      </c>
    </row>
    <row r="671">
      <c r="A671" s="14" t="n"/>
      <c r="B671" s="3" t="inlineStr">
        <is>
          <t>air</t>
        </is>
      </c>
      <c r="C671" s="19" t="inlineStr">
        <is>
          <t>dth.ktoe.ind.nga</t>
        </is>
      </c>
      <c r="H671" s="14" t="inlineStr">
        <is>
          <t>Deaths per Ktoe, natural gas in all industries</t>
        </is>
      </c>
      <c r="I671" s="14" t="inlineStr">
        <is>
          <t>deathsktoe</t>
        </is>
      </c>
    </row>
    <row r="672">
      <c r="A672" s="14" t="n"/>
      <c r="B672" s="3" t="inlineStr">
        <is>
          <t>air</t>
        </is>
      </c>
      <c r="C672" s="19" t="inlineStr">
        <is>
          <t>dth.ktoe.res.nga</t>
        </is>
      </c>
      <c r="H672" s="14" t="inlineStr">
        <is>
          <t>Deaths per Ktoe, natural gas in residential</t>
        </is>
      </c>
      <c r="I672" s="14" t="inlineStr">
        <is>
          <t>deathsktoe</t>
        </is>
      </c>
    </row>
    <row r="673">
      <c r="A673" s="19" t="inlineStr">
        <is>
          <t>mit.air.con.pm2.cpp</t>
        </is>
      </c>
      <c r="B673" s="3" t="inlineStr">
        <is>
          <t>mit</t>
        </is>
      </c>
      <c r="C673" s="19" t="inlineStr">
        <is>
          <t>air.conc.pm2.cpp</t>
        </is>
      </c>
      <c r="H673" s="3" t="inlineStr">
        <is>
          <t xml:space="preserve">Modelled ambient PM2.5 by air-pollution module sector (total: the summary row) | Coal power plants | </t>
        </is>
      </c>
      <c r="I673" s="3" t="inlineStr">
        <is>
          <t>ug/m3</t>
        </is>
      </c>
      <c r="K673" s="20" t="inlineStr">
        <is>
          <t>egy.mit.air.con.pm2.cpp.1</t>
        </is>
      </c>
      <c r="L673" s="3" t="n">
        <v>0</v>
      </c>
      <c r="M673" s="3" t="n">
        <v>0</v>
      </c>
      <c r="N673" s="3" t="n">
        <v>0</v>
      </c>
      <c r="O673" s="3" t="n">
        <v>0</v>
      </c>
      <c r="P673" s="3" t="n">
        <v>0</v>
      </c>
      <c r="Q673" s="3" t="n">
        <v>0</v>
      </c>
      <c r="R673" s="3" t="n">
        <v>0</v>
      </c>
      <c r="S673" s="3" t="n">
        <v>0</v>
      </c>
      <c r="T673" s="3" t="n">
        <v>0</v>
      </c>
      <c r="U673" s="3" t="n">
        <v>0</v>
      </c>
      <c r="V673" s="3" t="n">
        <v>0</v>
      </c>
      <c r="W673" s="3" t="n">
        <v>0</v>
      </c>
      <c r="X673" s="3" t="n">
        <v>0</v>
      </c>
      <c r="Y673" s="3" t="n">
        <v>0</v>
      </c>
      <c r="Z673" s="3" t="n">
        <v>0</v>
      </c>
      <c r="AA673" s="3" t="n">
        <v>0</v>
      </c>
      <c r="AB673" s="3" t="n">
        <v>0</v>
      </c>
      <c r="AC673" s="3" t="n">
        <v>0</v>
      </c>
      <c r="AD673" s="3" t="n">
        <v>0</v>
      </c>
      <c r="AE673" s="3" t="n">
        <v>0</v>
      </c>
      <c r="AG673" s="20" t="inlineStr">
        <is>
          <t>egy.mit.air.con.pm2.cpp.3</t>
        </is>
      </c>
      <c r="AH673" s="3" t="n">
        <v>0</v>
      </c>
      <c r="AI673" s="3" t="n">
        <v>0</v>
      </c>
      <c r="AJ673" s="3" t="n">
        <v>0</v>
      </c>
      <c r="AK673" s="3" t="n">
        <v>0</v>
      </c>
      <c r="AL673" s="3" t="n">
        <v>0</v>
      </c>
      <c r="AM673" s="3" t="n">
        <v>0</v>
      </c>
      <c r="AN673" s="3" t="n">
        <v>0</v>
      </c>
      <c r="AO673" s="3" t="n">
        <v>0</v>
      </c>
      <c r="AP673" s="3" t="n">
        <v>0</v>
      </c>
      <c r="AQ673" s="3" t="n">
        <v>0</v>
      </c>
      <c r="AR673" s="3" t="n">
        <v>0</v>
      </c>
      <c r="AS673" s="3" t="n">
        <v>0</v>
      </c>
      <c r="AT673" s="3" t="n">
        <v>0</v>
      </c>
      <c r="AU673" s="3" t="n">
        <v>0</v>
      </c>
      <c r="AV673" s="3" t="n">
        <v>0</v>
      </c>
      <c r="AW673" s="3" t="n">
        <v>0</v>
      </c>
      <c r="AX673" s="3" t="n">
        <v>0</v>
      </c>
      <c r="AY673" s="3" t="n">
        <v>0</v>
      </c>
      <c r="AZ673" s="3" t="n">
        <v>0</v>
      </c>
      <c r="BA673" s="3" t="n">
        <v>0</v>
      </c>
      <c r="BC673" s="20" t="inlineStr">
        <is>
          <t>egy.mit.air.con.pm2.cpp.4</t>
        </is>
      </c>
      <c r="BD673" s="3" t="n">
        <v>0</v>
      </c>
      <c r="BE673" s="3" t="n">
        <v>0</v>
      </c>
      <c r="BF673" s="3" t="n">
        <v>0</v>
      </c>
      <c r="BG673" s="3" t="n">
        <v>0</v>
      </c>
      <c r="BH673" s="3" t="n">
        <v>0</v>
      </c>
      <c r="BI673" s="3" t="n">
        <v>0</v>
      </c>
      <c r="BJ673" s="3" t="n">
        <v>0</v>
      </c>
      <c r="BK673" s="3" t="n">
        <v>0</v>
      </c>
      <c r="BL673" s="3" t="n">
        <v>0</v>
      </c>
      <c r="BM673" s="3" t="n">
        <v>0</v>
      </c>
      <c r="BN673" s="3" t="n">
        <v>0</v>
      </c>
      <c r="BO673" s="3" t="n">
        <v>0</v>
      </c>
      <c r="BP673" s="3" t="n">
        <v>0</v>
      </c>
      <c r="BQ673" s="3" t="n">
        <v>0</v>
      </c>
      <c r="BR673" s="3" t="n">
        <v>0</v>
      </c>
      <c r="BS673" s="3" t="n">
        <v>0</v>
      </c>
      <c r="BT673" s="3" t="n">
        <v>0</v>
      </c>
      <c r="BU673" s="3" t="n">
        <v>0</v>
      </c>
      <c r="BV673" s="3" t="n">
        <v>0</v>
      </c>
      <c r="BW673" s="3" t="n">
        <v>0</v>
      </c>
      <c r="BY673" s="20" t="inlineStr">
        <is>
          <t>egy.mit.air.con.pm2.cpp.5</t>
        </is>
      </c>
      <c r="BZ673" s="3" t="n">
        <v>0</v>
      </c>
      <c r="CA673" s="3" t="n">
        <v>0</v>
      </c>
      <c r="CB673" s="3" t="n">
        <v>0</v>
      </c>
      <c r="CC673" s="3" t="n">
        <v>0</v>
      </c>
      <c r="CD673" s="3" t="n">
        <v>0</v>
      </c>
      <c r="CE673" s="3" t="n">
        <v>0</v>
      </c>
      <c r="CF673" s="3" t="n">
        <v>0</v>
      </c>
      <c r="CG673" s="3" t="n">
        <v>0</v>
      </c>
      <c r="CH673" s="3" t="n">
        <v>0</v>
      </c>
      <c r="CI673" s="3" t="n">
        <v>0</v>
      </c>
      <c r="CJ673" s="3" t="n">
        <v>0</v>
      </c>
      <c r="CK673" s="3" t="n">
        <v>0</v>
      </c>
      <c r="CL673" s="3" t="n">
        <v>0</v>
      </c>
      <c r="CM673" s="3" t="n">
        <v>0</v>
      </c>
      <c r="CN673" s="3" t="n">
        <v>0</v>
      </c>
      <c r="CO673" s="3" t="n">
        <v>0</v>
      </c>
      <c r="CP673" s="3" t="n">
        <v>0</v>
      </c>
      <c r="CQ673" s="3" t="n">
        <v>0</v>
      </c>
      <c r="CR673" s="3" t="n">
        <v>0</v>
      </c>
      <c r="CS673" s="3" t="n">
        <v>0</v>
      </c>
      <c r="CU673" s="20" t="inlineStr">
        <is>
          <t>egy.mit.air.con.pm2.cpp.6</t>
        </is>
      </c>
      <c r="CV673" s="3" t="n">
        <v>0</v>
      </c>
      <c r="CW673" s="3" t="n">
        <v>0</v>
      </c>
      <c r="CX673" s="3" t="n">
        <v>0</v>
      </c>
      <c r="CY673" s="3" t="n">
        <v>0</v>
      </c>
      <c r="CZ673" s="3" t="n">
        <v>0</v>
      </c>
      <c r="DA673" s="3" t="n">
        <v>0</v>
      </c>
      <c r="DB673" s="3" t="n">
        <v>0</v>
      </c>
      <c r="DC673" s="3" t="n">
        <v>0</v>
      </c>
      <c r="DD673" s="3" t="n">
        <v>0</v>
      </c>
      <c r="DE673" s="3" t="n">
        <v>0</v>
      </c>
      <c r="DF673" s="3" t="n">
        <v>0</v>
      </c>
      <c r="DG673" s="3" t="n">
        <v>0</v>
      </c>
      <c r="DH673" s="3" t="n">
        <v>0</v>
      </c>
      <c r="DI673" s="3" t="n">
        <v>0</v>
      </c>
      <c r="DJ673" s="3" t="n">
        <v>0</v>
      </c>
      <c r="DK673" s="3" t="n">
        <v>0</v>
      </c>
      <c r="DL673" s="3" t="n">
        <v>0</v>
      </c>
      <c r="DM673" s="3" t="n">
        <v>0</v>
      </c>
      <c r="DN673" s="3" t="n">
        <v>0</v>
      </c>
      <c r="DO673" s="3" t="n">
        <v>0</v>
      </c>
    </row>
    <row r="674">
      <c r="A674" s="19" t="inlineStr">
        <is>
          <t>mit.air.con.pm2.gpp</t>
        </is>
      </c>
      <c r="B674" s="3" t="inlineStr">
        <is>
          <t>mit</t>
        </is>
      </c>
      <c r="C674" s="19" t="inlineStr">
        <is>
          <t>air.conc.pm2.gpp</t>
        </is>
      </c>
      <c r="H674" s="3" t="inlineStr">
        <is>
          <t xml:space="preserve">Modelled ambient PM2.5 by air-pollution module sector (total: the summary row) | Gas power plants | </t>
        </is>
      </c>
      <c r="I674" s="3" t="inlineStr">
        <is>
          <t>ug/m3</t>
        </is>
      </c>
      <c r="K674" s="20" t="inlineStr">
        <is>
          <t>egy.mit.air.con.pm2.gpp.1</t>
        </is>
      </c>
      <c r="L674" s="3" t="n">
        <v>1.596790328071591</v>
      </c>
      <c r="M674" s="3" t="n">
        <v>1.504440738655895</v>
      </c>
      <c r="N674" s="3" t="n">
        <v>1.772245490670599</v>
      </c>
      <c r="O674" s="3" t="n">
        <v>1.95434443446485</v>
      </c>
      <c r="P674" s="3" t="n">
        <v>1.95929320832817</v>
      </c>
      <c r="Q674" s="3" t="n">
        <v>1.940107244979855</v>
      </c>
      <c r="R674" s="3" t="n">
        <v>1.919647135427928</v>
      </c>
      <c r="S674" s="3" t="n">
        <v>1.8979051245209</v>
      </c>
      <c r="T674" s="3" t="n">
        <v>1.84349056945222</v>
      </c>
      <c r="U674" s="3" t="n">
        <v>1.829510184356896</v>
      </c>
      <c r="V674" s="3" t="n">
        <v>1.805548138326882</v>
      </c>
      <c r="W674" s="3" t="n">
        <v>1.849124159449573</v>
      </c>
      <c r="X674" s="3" t="n">
        <v>1.876582051631116</v>
      </c>
      <c r="Y674" s="3" t="n">
        <v>1.914310982365693</v>
      </c>
      <c r="Z674" s="3" t="n">
        <v>1.951288871861214</v>
      </c>
      <c r="AA674" s="3" t="n">
        <v>1.988921372208929</v>
      </c>
      <c r="AB674" s="3" t="n">
        <v>2.026874028297216</v>
      </c>
      <c r="AC674" s="3" t="n">
        <v>2.065223797782741</v>
      </c>
      <c r="AD674" s="3" t="n">
        <v>2.10426237453694</v>
      </c>
      <c r="AE674" s="3" t="n">
        <v>2.144093184520114</v>
      </c>
      <c r="AG674" s="20" t="inlineStr">
        <is>
          <t>egy.mit.air.con.pm2.gpp.3</t>
        </is>
      </c>
      <c r="AH674" s="3" t="n">
        <v>1.596790328071591</v>
      </c>
      <c r="AI674" s="3" t="n">
        <v>1.503262358641906</v>
      </c>
      <c r="AJ674" s="3" t="n">
        <v>1.771112793486895</v>
      </c>
      <c r="AK674" s="3" t="n">
        <v>1.953255885727402</v>
      </c>
      <c r="AL674" s="3" t="n">
        <v>1.958203950498967</v>
      </c>
      <c r="AM674" s="3" t="n">
        <v>1.938989424905988</v>
      </c>
      <c r="AN674" s="3" t="n">
        <v>1.680605328297653</v>
      </c>
      <c r="AO674" s="3" t="n">
        <v>1.812817842966076</v>
      </c>
      <c r="AP674" s="3" t="n">
        <v>1.742486636719158</v>
      </c>
      <c r="AQ674" s="3" t="n">
        <v>1.759525500808478</v>
      </c>
      <c r="AR674" s="3" t="n">
        <v>1.735548855706264</v>
      </c>
      <c r="AS674" s="3" t="n">
        <v>1.791452416525165</v>
      </c>
      <c r="AT674" s="3" t="n">
        <v>1.812471440454605</v>
      </c>
      <c r="AU674" s="3" t="n">
        <v>1.85225580271408</v>
      </c>
      <c r="AV674" s="3" t="n">
        <v>1.891450818200575</v>
      </c>
      <c r="AW674" s="3" t="n">
        <v>1.932363844930272</v>
      </c>
      <c r="AX674" s="3" t="n">
        <v>1.971618615175335</v>
      </c>
      <c r="AY674" s="3" t="n">
        <v>2.010784071223885</v>
      </c>
      <c r="AZ674" s="3" t="n">
        <v>2.04822064058599</v>
      </c>
      <c r="BA674" s="3" t="n">
        <v>2.086048382368225</v>
      </c>
      <c r="BC674" s="20" t="inlineStr">
        <is>
          <t>egy.mit.air.con.pm2.gpp.4</t>
        </is>
      </c>
      <c r="BD674" s="3" t="n">
        <v>1.596790328071591</v>
      </c>
      <c r="BE674" s="3" t="n">
        <v>1.500313155886439</v>
      </c>
      <c r="BF674" s="3" t="n">
        <v>1.768277722432406</v>
      </c>
      <c r="BG674" s="3" t="n">
        <v>1.9505311083042</v>
      </c>
      <c r="BH674" s="3" t="n">
        <v>1.955484572030656</v>
      </c>
      <c r="BI674" s="3" t="n">
        <v>1.936205711148844</v>
      </c>
      <c r="BJ674" s="3" t="n">
        <v>1.789114761380732</v>
      </c>
      <c r="BK674" s="3" t="n">
        <v>1.669375091364826</v>
      </c>
      <c r="BL674" s="3" t="n">
        <v>1.626132728703433</v>
      </c>
      <c r="BM674" s="3" t="n">
        <v>1.617386826683625</v>
      </c>
      <c r="BN674" s="3" t="n">
        <v>1.525854971442749</v>
      </c>
      <c r="BO674" s="3" t="n">
        <v>1.508314433403322</v>
      </c>
      <c r="BP674" s="3" t="n">
        <v>1.438325805921459</v>
      </c>
      <c r="BQ674" s="3" t="n">
        <v>1.408954857374907</v>
      </c>
      <c r="BR674" s="3" t="n">
        <v>1.349718239215364</v>
      </c>
      <c r="BS674" s="3" t="n">
        <v>1.322033798098152</v>
      </c>
      <c r="BT674" s="3" t="n">
        <v>1.263906862485188</v>
      </c>
      <c r="BU674" s="3" t="n">
        <v>1.242344499028282</v>
      </c>
      <c r="BV674" s="3" t="n">
        <v>1.17922319474571</v>
      </c>
      <c r="BW674" s="3" t="n">
        <v>1.170713235596998</v>
      </c>
      <c r="BY674" s="20" t="inlineStr">
        <is>
          <t>egy.mit.air.con.pm2.gpp.5</t>
        </is>
      </c>
      <c r="BZ674" s="3" t="n">
        <v>1.596790328071591</v>
      </c>
      <c r="CA674" s="3" t="n">
        <v>1.497459834486216</v>
      </c>
      <c r="CB674" s="3" t="n">
        <v>1.765531333281836</v>
      </c>
      <c r="CC674" s="3" t="n">
        <v>1.947888000017224</v>
      </c>
      <c r="CD674" s="3" t="n">
        <v>1.952837502616251</v>
      </c>
      <c r="CE674" s="3" t="n">
        <v>1.933486964912745</v>
      </c>
      <c r="CF674" s="3" t="n">
        <v>1.912961758078602</v>
      </c>
      <c r="CG674" s="3" t="n">
        <v>1.892410914363959</v>
      </c>
      <c r="CH674" s="3" t="n">
        <v>1.834650068451805</v>
      </c>
      <c r="CI674" s="3" t="n">
        <v>1.796223662347787</v>
      </c>
      <c r="CJ674" s="3" t="n">
        <v>1.719749193163641</v>
      </c>
      <c r="CK674" s="3" t="n">
        <v>1.738588292982801</v>
      </c>
      <c r="CL674" s="3" t="n">
        <v>1.653303731205129</v>
      </c>
      <c r="CM674" s="3" t="n">
        <v>1.597065587602787</v>
      </c>
      <c r="CN674" s="3" t="n">
        <v>1.54725177490629</v>
      </c>
      <c r="CO674" s="3" t="n">
        <v>1.482226529824204</v>
      </c>
      <c r="CP674" s="3" t="n">
        <v>1.429092570996058</v>
      </c>
      <c r="CQ674" s="3" t="n">
        <v>1.380424649691588</v>
      </c>
      <c r="CR674" s="3" t="n">
        <v>1.327417127162029</v>
      </c>
      <c r="CS674" s="3" t="n">
        <v>1.283406984500625</v>
      </c>
      <c r="CU674" s="20" t="inlineStr">
        <is>
          <t>egy.mit.air.con.pm2.gpp.6</t>
        </is>
      </c>
      <c r="CV674" s="3" t="n">
        <v>1.596790328071591</v>
      </c>
      <c r="CW674" s="3" t="n">
        <v>1.501610714465722</v>
      </c>
      <c r="CX674" s="3" t="n">
        <v>1.76952509966022</v>
      </c>
      <c r="CY674" s="3" t="n">
        <v>1.951729992464129</v>
      </c>
      <c r="CZ674" s="3" t="n">
        <v>1.95667988968311</v>
      </c>
      <c r="DA674" s="3" t="n">
        <v>1.937428147871786</v>
      </c>
      <c r="DB674" s="3" t="n">
        <v>1.413606253537256</v>
      </c>
      <c r="DC674" s="3" t="n">
        <v>1.546098797344724</v>
      </c>
      <c r="DD674" s="3" t="n">
        <v>1.526733363307248</v>
      </c>
      <c r="DE674" s="3" t="n">
        <v>1.634545339305358</v>
      </c>
      <c r="DF674" s="3" t="n">
        <v>1.545551519992046</v>
      </c>
      <c r="DG674" s="3" t="n">
        <v>1.563109650581715</v>
      </c>
      <c r="DH674" s="3" t="n">
        <v>1.505979317873321</v>
      </c>
      <c r="DI674" s="3" t="n">
        <v>1.491109472693866</v>
      </c>
      <c r="DJ674" s="3" t="n">
        <v>1.456914361634277</v>
      </c>
      <c r="DK674" s="3" t="n">
        <v>1.444018355250998</v>
      </c>
      <c r="DL674" s="3" t="n">
        <v>1.41333860408017</v>
      </c>
      <c r="DM674" s="3" t="n">
        <v>1.402138645214389</v>
      </c>
      <c r="DN674" s="3" t="n">
        <v>1.37562081564585</v>
      </c>
      <c r="DO674" s="3" t="n">
        <v>1.366714033310059</v>
      </c>
    </row>
    <row r="675">
      <c r="A675" s="19" t="inlineStr">
        <is>
          <t>mit.air.con.pm2.opp</t>
        </is>
      </c>
      <c r="B675" s="3" t="inlineStr">
        <is>
          <t>mit</t>
        </is>
      </c>
      <c r="C675" s="19" t="inlineStr">
        <is>
          <t>air.conc.pm2.opp</t>
        </is>
      </c>
      <c r="H675" s="3" t="inlineStr">
        <is>
          <t xml:space="preserve">Modelled ambient PM2.5 by air-pollution module sector (total: the summary row) | Other power plants | </t>
        </is>
      </c>
      <c r="I675" s="3" t="inlineStr">
        <is>
          <t>ug/m3</t>
        </is>
      </c>
      <c r="K675" s="20" t="inlineStr">
        <is>
          <t>egy.mit.air.con.pm2.opp.1</t>
        </is>
      </c>
      <c r="L675" s="3" t="n">
        <v>2.720617643009809</v>
      </c>
      <c r="M675" s="3" t="n">
        <v>2.630694987753917</v>
      </c>
      <c r="N675" s="3" t="n">
        <v>2.539290351724221</v>
      </c>
      <c r="O675" s="3" t="n">
        <v>3.05010060050842</v>
      </c>
      <c r="P675" s="3" t="n">
        <v>3.586365195425949</v>
      </c>
      <c r="Q675" s="3" t="n">
        <v>4.150113448706033</v>
      </c>
      <c r="R675" s="3" t="n">
        <v>4.743501752273948</v>
      </c>
      <c r="S675" s="3" t="n">
        <v>5.368822167112421</v>
      </c>
      <c r="T675" s="3" t="n">
        <v>6.02851155555195</v>
      </c>
      <c r="U675" s="3" t="n">
        <v>5.824019497040811</v>
      </c>
      <c r="V675" s="3" t="n">
        <v>5.627602722465454</v>
      </c>
      <c r="W675" s="3" t="n">
        <v>5.437819537744835</v>
      </c>
      <c r="X675" s="3" t="n">
        <v>5.260179377090473</v>
      </c>
      <c r="Y675" s="3" t="n">
        <v>5.085626065776019</v>
      </c>
      <c r="Z675" s="3" t="n">
        <v>4.917196317058961</v>
      </c>
      <c r="AA675" s="3" t="n">
        <v>4.754107544644473</v>
      </c>
      <c r="AB675" s="3" t="n">
        <v>4.596227573340526</v>
      </c>
      <c r="AC675" s="3" t="n">
        <v>4.443361973603496</v>
      </c>
      <c r="AD675" s="3" t="n">
        <v>4.295263100717479</v>
      </c>
      <c r="AE675" s="3" t="n">
        <v>4.151749260026727</v>
      </c>
      <c r="AG675" s="20" t="inlineStr">
        <is>
          <t>egy.mit.air.con.pm2.opp.3</t>
        </is>
      </c>
      <c r="AH675" s="3" t="n">
        <v>2.720617643009809</v>
      </c>
      <c r="AI675" s="3" t="n">
        <v>2.62991539800672</v>
      </c>
      <c r="AJ675" s="3" t="n">
        <v>2.538537849160231</v>
      </c>
      <c r="AK675" s="3" t="n">
        <v>3.049373027732026</v>
      </c>
      <c r="AL675" s="3" t="n">
        <v>3.585660438220293</v>
      </c>
      <c r="AM675" s="3" t="n">
        <v>4.149429430268711</v>
      </c>
      <c r="AN675" s="3" t="n">
        <v>4.742836427456907</v>
      </c>
      <c r="AO675" s="3" t="n">
        <v>4.577083450341351</v>
      </c>
      <c r="AP675" s="3" t="n">
        <v>5.178022998584532</v>
      </c>
      <c r="AQ675" s="3" t="n">
        <v>5.000533780988921</v>
      </c>
      <c r="AR675" s="3" t="n">
        <v>4.831679219266413</v>
      </c>
      <c r="AS675" s="3" t="n">
        <v>4.665850636788409</v>
      </c>
      <c r="AT675" s="3" t="n">
        <v>4.509460615822377</v>
      </c>
      <c r="AU675" s="3" t="n">
        <v>4.356636730220351</v>
      </c>
      <c r="AV675" s="3" t="n">
        <v>4.209264882590937</v>
      </c>
      <c r="AW675" s="3" t="n">
        <v>4.06671551969789</v>
      </c>
      <c r="AX675" s="3" t="n">
        <v>3.928865588667449</v>
      </c>
      <c r="AY675" s="3" t="n">
        <v>3.795417076112118</v>
      </c>
      <c r="AZ675" s="3" t="n">
        <v>3.666263479852954</v>
      </c>
      <c r="BA675" s="3" t="n">
        <v>3.541181542118124</v>
      </c>
      <c r="BC675" s="20" t="inlineStr">
        <is>
          <t>egy.mit.air.con.pm2.opp.4</t>
        </is>
      </c>
      <c r="BD675" s="3" t="n">
        <v>2.720617643009809</v>
      </c>
      <c r="BE675" s="3" t="n">
        <v>2.628363632134743</v>
      </c>
      <c r="BF675" s="3" t="n">
        <v>2.537040000065147</v>
      </c>
      <c r="BG675" s="3" t="n">
        <v>3.047924224917453</v>
      </c>
      <c r="BH675" s="3" t="n">
        <v>3.58425590363025</v>
      </c>
      <c r="BI675" s="3" t="n">
        <v>4.148064464578131</v>
      </c>
      <c r="BJ675" s="3" t="n">
        <v>4.741506396360212</v>
      </c>
      <c r="BK675" s="3" t="n">
        <v>4.577299407893433</v>
      </c>
      <c r="BL675" s="3" t="n">
        <v>4.417377955161509</v>
      </c>
      <c r="BM675" s="3" t="n">
        <v>4.262773770997972</v>
      </c>
      <c r="BN675" s="3" t="n">
        <v>4.11360901470797</v>
      </c>
      <c r="BO675" s="3" t="n">
        <v>3.969341570778175</v>
      </c>
      <c r="BP675" s="3" t="n">
        <v>3.830039669232277</v>
      </c>
      <c r="BQ675" s="3" t="n">
        <v>3.695389341609538</v>
      </c>
      <c r="BR675" s="3" t="n">
        <v>3.565320655010174</v>
      </c>
      <c r="BS675" s="3" t="n">
        <v>3.439618864807442</v>
      </c>
      <c r="BT675" s="3" t="n">
        <v>3.31818589432246</v>
      </c>
      <c r="BU675" s="3" t="n">
        <v>3.200842708874991</v>
      </c>
      <c r="BV675" s="3" t="n">
        <v>3.087489751838705</v>
      </c>
      <c r="BW675" s="3" t="n">
        <v>2.977967701683021</v>
      </c>
      <c r="BY675" s="20" t="inlineStr">
        <is>
          <t>egy.mit.air.con.pm2.opp.5</t>
        </is>
      </c>
      <c r="BZ675" s="3" t="n">
        <v>2.720617643009809</v>
      </c>
      <c r="CA675" s="3" t="n">
        <v>2.626572264903285</v>
      </c>
      <c r="CB675" s="3" t="n">
        <v>2.535310874663529</v>
      </c>
      <c r="CC675" s="3" t="n">
        <v>3.046253364513873</v>
      </c>
      <c r="CD675" s="3" t="n">
        <v>3.582639419561054</v>
      </c>
      <c r="CE675" s="3" t="n">
        <v>4.146498546906716</v>
      </c>
      <c r="CF675" s="3" t="n">
        <v>4.73998730446309</v>
      </c>
      <c r="CG675" s="3" t="n">
        <v>5.365397890262666</v>
      </c>
      <c r="CH675" s="3" t="n">
        <v>6.025167274614172</v>
      </c>
      <c r="CI675" s="3" t="n">
        <v>5.814088203562391</v>
      </c>
      <c r="CJ675" s="3" t="n">
        <v>5.610152289583068</v>
      </c>
      <c r="CK675" s="3" t="n">
        <v>5.413123661942691</v>
      </c>
      <c r="CL675" s="3" t="n">
        <v>5.222774096869796</v>
      </c>
      <c r="CM675" s="3" t="n">
        <v>5.038882773342338</v>
      </c>
      <c r="CN675" s="3" t="n">
        <v>4.861236036386351</v>
      </c>
      <c r="CO675" s="3" t="n">
        <v>4.689627167849611</v>
      </c>
      <c r="CP675" s="3" t="n">
        <v>4.523856164424042</v>
      </c>
      <c r="CQ675" s="3" t="n">
        <v>4.363729522689853</v>
      </c>
      <c r="CR675" s="3" t="n">
        <v>4.209060030961353</v>
      </c>
      <c r="CS675" s="3" t="n">
        <v>4.059666567721266</v>
      </c>
      <c r="CU675" s="20" t="inlineStr">
        <is>
          <t>egy.mit.air.con.pm2.opp.6</t>
        </is>
      </c>
      <c r="CV675" s="3" t="n">
        <v>2.720617643009809</v>
      </c>
      <c r="CW675" s="3" t="n">
        <v>2.628980771745669</v>
      </c>
      <c r="CX675" s="3" t="n">
        <v>2.537635696893167</v>
      </c>
      <c r="CY675" s="3" t="n">
        <v>3.048500534958599</v>
      </c>
      <c r="CZ675" s="3" t="n">
        <v>3.58481484477593</v>
      </c>
      <c r="DA675" s="3" t="n">
        <v>4.14860802252909</v>
      </c>
      <c r="DB675" s="3" t="n">
        <v>4.742036530543405</v>
      </c>
      <c r="DC675" s="3" t="n">
        <v>4.576311508280777</v>
      </c>
      <c r="DD675" s="3" t="n">
        <v>4.417767957448126</v>
      </c>
      <c r="DE675" s="3" t="n">
        <v>4.263488342127033</v>
      </c>
      <c r="DF675" s="3" t="n">
        <v>4.117091268231109</v>
      </c>
      <c r="DG675" s="3" t="n">
        <v>3.974612411926378</v>
      </c>
      <c r="DH675" s="3" t="n">
        <v>3.838094164307246</v>
      </c>
      <c r="DI675" s="3" t="n">
        <v>3.705801173096145</v>
      </c>
      <c r="DJ675" s="3" t="n">
        <v>3.578168184794058</v>
      </c>
      <c r="DK675" s="3" t="n">
        <v>3.454629123291703</v>
      </c>
      <c r="DL675" s="3" t="n">
        <v>3.33529870333515</v>
      </c>
      <c r="DM675" s="3" t="n">
        <v>3.219732840510037</v>
      </c>
      <c r="DN675" s="3" t="n">
        <v>3.108030897032568</v>
      </c>
      <c r="DO675" s="3" t="n">
        <v>2.999856191895845</v>
      </c>
    </row>
    <row r="676">
      <c r="A676" s="19" t="inlineStr">
        <is>
          <t>mit.air.con.pm2.rod</t>
        </is>
      </c>
      <c r="B676" s="3" t="inlineStr">
        <is>
          <t>mit</t>
        </is>
      </c>
      <c r="C676" s="19" t="inlineStr">
        <is>
          <t>air.conc.pm2.rod</t>
        </is>
      </c>
      <c r="H676" s="3" t="inlineStr">
        <is>
          <t xml:space="preserve">Modelled ambient PM2.5 by air-pollution module sector (total: the summary row) | Road | </t>
        </is>
      </c>
      <c r="I676" s="3" t="inlineStr">
        <is>
          <t>ug/m3</t>
        </is>
      </c>
      <c r="K676" s="20" t="inlineStr">
        <is>
          <t>egy.mit.air.con.pm2.rod.1</t>
        </is>
      </c>
      <c r="L676" s="3" t="n">
        <v>7.164123346064874</v>
      </c>
      <c r="M676" s="3" t="n">
        <v>7.100966970984086</v>
      </c>
      <c r="N676" s="3" t="n">
        <v>8.447321181934903</v>
      </c>
      <c r="O676" s="3" t="n">
        <v>8.600777470534506</v>
      </c>
      <c r="P676" s="3" t="n">
        <v>8.746597686906464</v>
      </c>
      <c r="Q676" s="3" t="n">
        <v>8.924310643155959</v>
      </c>
      <c r="R676" s="3" t="n">
        <v>9.140751016533471</v>
      </c>
      <c r="S676" s="3" t="n">
        <v>9.342081951382479</v>
      </c>
      <c r="T676" s="3" t="n">
        <v>9.523500362811355</v>
      </c>
      <c r="U676" s="3" t="n">
        <v>9.703592309982858</v>
      </c>
      <c r="V676" s="3" t="n">
        <v>9.883160208730665</v>
      </c>
      <c r="W676" s="3" t="n">
        <v>10.06211134732751</v>
      </c>
      <c r="X676" s="3" t="n">
        <v>10.24035429531032</v>
      </c>
      <c r="Y676" s="3" t="n">
        <v>10.4177988936324</v>
      </c>
      <c r="Z676" s="3" t="n">
        <v>10.59435623693398</v>
      </c>
      <c r="AA676" s="3" t="n">
        <v>10.76993864843967</v>
      </c>
      <c r="AB676" s="3" t="n">
        <v>10.94445964798042</v>
      </c>
      <c r="AC676" s="3" t="n">
        <v>11.11783391362606</v>
      </c>
      <c r="AD676" s="3" t="n">
        <v>11.28997723739987</v>
      </c>
      <c r="AE676" s="3" t="n">
        <v>11.46080647553205</v>
      </c>
      <c r="AG676" s="20" t="inlineStr">
        <is>
          <t>egy.mit.air.con.pm2.rod.3</t>
        </is>
      </c>
      <c r="AH676" s="3" t="n">
        <v>7.164123346064874</v>
      </c>
      <c r="AI676" s="3" t="n">
        <v>7.100966970984086</v>
      </c>
      <c r="AJ676" s="3" t="n">
        <v>8.447321181934903</v>
      </c>
      <c r="AK676" s="3" t="n">
        <v>8.600777470534506</v>
      </c>
      <c r="AL676" s="3" t="n">
        <v>8.746597686906464</v>
      </c>
      <c r="AM676" s="3" t="n">
        <v>8.122787383334792</v>
      </c>
      <c r="AN676" s="3" t="n">
        <v>8.319754641568574</v>
      </c>
      <c r="AO676" s="3" t="n">
        <v>8.506023941069955</v>
      </c>
      <c r="AP676" s="3" t="n">
        <v>8.664146486430845</v>
      </c>
      <c r="AQ676" s="3" t="n">
        <v>8.829161650960684</v>
      </c>
      <c r="AR676" s="3" t="n">
        <v>8.98960720662234</v>
      </c>
      <c r="AS676" s="3" t="n">
        <v>9.156164079042259</v>
      </c>
      <c r="AT676" s="3" t="n">
        <v>9.325321221305147</v>
      </c>
      <c r="AU676" s="3" t="n">
        <v>9.492278708570417</v>
      </c>
      <c r="AV676" s="3" t="n">
        <v>9.659857855732113</v>
      </c>
      <c r="AW676" s="3" t="n">
        <v>9.829846348813724</v>
      </c>
      <c r="AX676" s="3" t="n">
        <v>9.99590452344982</v>
      </c>
      <c r="AY676" s="3" t="n">
        <v>10.15932369911298</v>
      </c>
      <c r="AZ676" s="3" t="n">
        <v>10.31782458368468</v>
      </c>
      <c r="BA676" s="3" t="n">
        <v>10.47403776896686</v>
      </c>
      <c r="BC676" s="20" t="inlineStr">
        <is>
          <t>egy.mit.air.con.pm2.rod.4</t>
        </is>
      </c>
      <c r="BD676" s="3" t="n">
        <v>7.164123346064874</v>
      </c>
      <c r="BE676" s="3" t="n">
        <v>7.100966970984086</v>
      </c>
      <c r="BF676" s="3" t="n">
        <v>8.447321181934903</v>
      </c>
      <c r="BG676" s="3" t="n">
        <v>8.600777470534506</v>
      </c>
      <c r="BH676" s="3" t="n">
        <v>8.746597686906464</v>
      </c>
      <c r="BI676" s="3" t="n">
        <v>8.343125135863724</v>
      </c>
      <c r="BJ676" s="3" t="n">
        <v>7.910458577655916</v>
      </c>
      <c r="BK676" s="3" t="n">
        <v>7.564217730792358</v>
      </c>
      <c r="BL676" s="3" t="n">
        <v>7.268102950885373</v>
      </c>
      <c r="BM676" s="3" t="n">
        <v>7.113654999800999</v>
      </c>
      <c r="BN676" s="3" t="n">
        <v>6.978386626659754</v>
      </c>
      <c r="BO676" s="3" t="n">
        <v>6.861920240843912</v>
      </c>
      <c r="BP676" s="3" t="n">
        <v>6.762782758794554</v>
      </c>
      <c r="BQ676" s="3" t="n">
        <v>6.677419883893072</v>
      </c>
      <c r="BR676" s="3" t="n">
        <v>6.603813869132514</v>
      </c>
      <c r="BS676" s="3" t="n">
        <v>6.541256841990492</v>
      </c>
      <c r="BT676" s="3" t="n">
        <v>6.487184579799306</v>
      </c>
      <c r="BU676" s="3" t="n">
        <v>6.439778069399242</v>
      </c>
      <c r="BV676" s="3" t="n">
        <v>6.396472117742108</v>
      </c>
      <c r="BW676" s="3" t="n">
        <v>6.356259752060945</v>
      </c>
      <c r="BY676" s="20" t="inlineStr">
        <is>
          <t>egy.mit.air.con.pm2.rod.5</t>
        </is>
      </c>
      <c r="BZ676" s="3" t="n">
        <v>7.164123346064874</v>
      </c>
      <c r="CA676" s="3" t="n">
        <v>7.100966970984086</v>
      </c>
      <c r="CB676" s="3" t="n">
        <v>8.447321181934903</v>
      </c>
      <c r="CC676" s="3" t="n">
        <v>8.600777470534506</v>
      </c>
      <c r="CD676" s="3" t="n">
        <v>8.746597686906464</v>
      </c>
      <c r="CE676" s="3" t="n">
        <v>7.953154790338982</v>
      </c>
      <c r="CF676" s="3" t="n">
        <v>8.145998918840391</v>
      </c>
      <c r="CG676" s="3" t="n">
        <v>8.327926904613632</v>
      </c>
      <c r="CH676" s="3" t="n">
        <v>8.483153022389452</v>
      </c>
      <c r="CI676" s="3" t="n">
        <v>8.64608210210519</v>
      </c>
      <c r="CJ676" s="3" t="n">
        <v>8.802839671536143</v>
      </c>
      <c r="CK676" s="3" t="n">
        <v>8.966391306955625</v>
      </c>
      <c r="CL676" s="3" t="n">
        <v>9.12970518265824</v>
      </c>
      <c r="CM676" s="3" t="n">
        <v>9.291346635485386</v>
      </c>
      <c r="CN676" s="3" t="n">
        <v>9.453526463078569</v>
      </c>
      <c r="CO676" s="3" t="n">
        <v>9.617251705526371</v>
      </c>
      <c r="CP676" s="3" t="n">
        <v>9.777342110809697</v>
      </c>
      <c r="CQ676" s="3" t="n">
        <v>9.935844516949414</v>
      </c>
      <c r="CR676" s="3" t="n">
        <v>10.09031517218073</v>
      </c>
      <c r="CS676" s="3" t="n">
        <v>10.24396624716734</v>
      </c>
      <c r="CU676" s="20" t="inlineStr">
        <is>
          <t>egy.mit.air.con.pm2.rod.6</t>
        </is>
      </c>
      <c r="CV676" s="3" t="n">
        <v>7.164123346064874</v>
      </c>
      <c r="CW676" s="3" t="n">
        <v>7.100966970984086</v>
      </c>
      <c r="CX676" s="3" t="n">
        <v>8.447321181934903</v>
      </c>
      <c r="CY676" s="3" t="n">
        <v>8.600777470534506</v>
      </c>
      <c r="CZ676" s="3" t="n">
        <v>8.746597686906464</v>
      </c>
      <c r="DA676" s="3" t="n">
        <v>7.236257342477558</v>
      </c>
      <c r="DB676" s="3" t="n">
        <v>7.411709554037322</v>
      </c>
      <c r="DC676" s="3" t="n">
        <v>7.580740961644872</v>
      </c>
      <c r="DD676" s="3" t="n">
        <v>7.714298438298492</v>
      </c>
      <c r="DE676" s="3" t="n">
        <v>7.863068981716711</v>
      </c>
      <c r="DF676" s="3" t="n">
        <v>8.002535139576374</v>
      </c>
      <c r="DG676" s="3" t="n">
        <v>8.155123965763353</v>
      </c>
      <c r="DH676" s="3" t="n">
        <v>8.312350104337142</v>
      </c>
      <c r="DI676" s="3" t="n">
        <v>8.466475780586483</v>
      </c>
      <c r="DJ676" s="3" t="n">
        <v>8.622488647193453</v>
      </c>
      <c r="DK676" s="3" t="n">
        <v>8.783998657738517</v>
      </c>
      <c r="DL676" s="3" t="n">
        <v>8.938843305263591</v>
      </c>
      <c r="DM676" s="3" t="n">
        <v>9.09009926180571</v>
      </c>
      <c r="DN676" s="3" t="n">
        <v>9.233189666825577</v>
      </c>
      <c r="DO676" s="3" t="n">
        <v>9.373405227772359</v>
      </c>
    </row>
    <row r="677">
      <c r="A677" s="19" t="inlineStr">
        <is>
          <t>mit.air.con.pm2.gro</t>
        </is>
      </c>
      <c r="B677" s="3" t="inlineStr">
        <is>
          <t>mit</t>
        </is>
      </c>
      <c r="C677" s="19" t="inlineStr">
        <is>
          <t>air.conc.pm2.gro</t>
        </is>
      </c>
      <c r="H677" s="3" t="inlineStr">
        <is>
          <t xml:space="preserve">Modelled ambient PM2.5 by air-pollution module sector (total: the summary row) | Ground level other | </t>
        </is>
      </c>
      <c r="I677" s="3" t="inlineStr">
        <is>
          <t>ug/m3</t>
        </is>
      </c>
      <c r="K677" s="20" t="inlineStr">
        <is>
          <t>egy.mit.air.con.pm2.gro.1</t>
        </is>
      </c>
      <c r="L677" s="3" t="n">
        <v>7.506515540397882</v>
      </c>
      <c r="M677" s="3" t="n">
        <v>5.87652239847455</v>
      </c>
      <c r="N677" s="3" t="n">
        <v>6.365450732402812</v>
      </c>
      <c r="O677" s="3" t="n">
        <v>6.295392233985108</v>
      </c>
      <c r="P677" s="3" t="n">
        <v>6.225026773067412</v>
      </c>
      <c r="Q677" s="3" t="n">
        <v>6.155372958075686</v>
      </c>
      <c r="R677" s="3" t="n">
        <v>6.08633129685195</v>
      </c>
      <c r="S677" s="3" t="n">
        <v>6.017658153380204</v>
      </c>
      <c r="T677" s="3" t="n">
        <v>5.94933814480923</v>
      </c>
      <c r="U677" s="3" t="n">
        <v>5.881422003140629</v>
      </c>
      <c r="V677" s="3" t="n">
        <v>5.813879352426473</v>
      </c>
      <c r="W677" s="3" t="n">
        <v>5.746739146604995</v>
      </c>
      <c r="X677" s="3" t="n">
        <v>5.679999255485543</v>
      </c>
      <c r="Y677" s="3" t="n">
        <v>5.613657560598567</v>
      </c>
      <c r="Z677" s="3" t="n">
        <v>5.547711954919821</v>
      </c>
      <c r="AA677" s="3" t="n">
        <v>5.482160342585769</v>
      </c>
      <c r="AB677" s="3" t="n">
        <v>5.417000638600904</v>
      </c>
      <c r="AC677" s="3" t="n">
        <v>5.352230768537732</v>
      </c>
      <c r="AD677" s="3" t="n">
        <v>5.287848668229962</v>
      </c>
      <c r="AE677" s="3" t="n">
        <v>5.223852283459528</v>
      </c>
      <c r="AG677" s="20" t="inlineStr">
        <is>
          <t>egy.mit.air.con.pm2.gro.3</t>
        </is>
      </c>
      <c r="AH677" s="3" t="n">
        <v>7.506515540397882</v>
      </c>
      <c r="AI677" s="3" t="n">
        <v>5.87652239847455</v>
      </c>
      <c r="AJ677" s="3" t="n">
        <v>6.365450732402812</v>
      </c>
      <c r="AK677" s="3" t="n">
        <v>6.295392233985108</v>
      </c>
      <c r="AL677" s="3" t="n">
        <v>6.225026773067412</v>
      </c>
      <c r="AM677" s="3" t="n">
        <v>6.148012693558495</v>
      </c>
      <c r="AN677" s="3" t="n">
        <v>6.078848629491733</v>
      </c>
      <c r="AO677" s="3" t="n">
        <v>6.01006886170237</v>
      </c>
      <c r="AP677" s="3" t="n">
        <v>5.941624611731203</v>
      </c>
      <c r="AQ677" s="3" t="n">
        <v>5.873607122803067</v>
      </c>
      <c r="AR677" s="3" t="n">
        <v>5.805958765889869</v>
      </c>
      <c r="AS677" s="3" t="n">
        <v>5.73873128074966</v>
      </c>
      <c r="AT677" s="3" t="n">
        <v>5.671913187188736</v>
      </c>
      <c r="AU677" s="3" t="n">
        <v>5.605489691240957</v>
      </c>
      <c r="AV677" s="3" t="n">
        <v>5.539466492153917</v>
      </c>
      <c r="AW677" s="3" t="n">
        <v>5.473846457357932</v>
      </c>
      <c r="AX677" s="3" t="n">
        <v>5.40861085077495</v>
      </c>
      <c r="AY677" s="3" t="n">
        <v>5.343761311440672</v>
      </c>
      <c r="AZ677" s="3" t="n">
        <v>5.279290014847277</v>
      </c>
      <c r="BA677" s="3" t="n">
        <v>5.215202125673184</v>
      </c>
      <c r="BC677" s="20" t="inlineStr">
        <is>
          <t>egy.mit.air.con.pm2.gro.4</t>
        </is>
      </c>
      <c r="BD677" s="3" t="n">
        <v>7.506515540397882</v>
      </c>
      <c r="BE677" s="3" t="n">
        <v>5.87652239847455</v>
      </c>
      <c r="BF677" s="3" t="n">
        <v>6.365450732402812</v>
      </c>
      <c r="BG677" s="3" t="n">
        <v>6.295392233985108</v>
      </c>
      <c r="BH677" s="3" t="n">
        <v>6.225026773067412</v>
      </c>
      <c r="BI677" s="3" t="n">
        <v>6.151141968827091</v>
      </c>
      <c r="BJ677" s="3" t="n">
        <v>6.07795405356169</v>
      </c>
      <c r="BK677" s="3" t="n">
        <v>6.00610721151311</v>
      </c>
      <c r="BL677" s="3" t="n">
        <v>5.935204922960041</v>
      </c>
      <c r="BM677" s="3" t="n">
        <v>5.865101209058777</v>
      </c>
      <c r="BN677" s="3" t="n">
        <v>5.795662967830908</v>
      </c>
      <c r="BO677" s="3" t="n">
        <v>5.726841883898079</v>
      </c>
      <c r="BP677" s="3" t="n">
        <v>5.658590087842454</v>
      </c>
      <c r="BQ677" s="3" t="n">
        <v>5.59086792543113</v>
      </c>
      <c r="BR677" s="3" t="n">
        <v>5.523648038862837</v>
      </c>
      <c r="BS677" s="3" t="n">
        <v>5.456911698177474</v>
      </c>
      <c r="BT677" s="3" t="n">
        <v>5.390639643122025</v>
      </c>
      <c r="BU677" s="3" t="n">
        <v>5.32481713394568</v>
      </c>
      <c r="BV677" s="3" t="n">
        <v>5.259429773634119</v>
      </c>
      <c r="BW677" s="3" t="n">
        <v>5.19446817648988</v>
      </c>
      <c r="BY677" s="20" t="inlineStr">
        <is>
          <t>egy.mit.air.con.pm2.gro.5</t>
        </is>
      </c>
      <c r="BZ677" s="3" t="n">
        <v>7.506515540397882</v>
      </c>
      <c r="CA677" s="3" t="n">
        <v>5.87652239847455</v>
      </c>
      <c r="CB677" s="3" t="n">
        <v>6.365450732402812</v>
      </c>
      <c r="CC677" s="3" t="n">
        <v>6.295392233985108</v>
      </c>
      <c r="CD677" s="3" t="n">
        <v>6.225026773067412</v>
      </c>
      <c r="CE677" s="3" t="n">
        <v>6.146718094864802</v>
      </c>
      <c r="CF677" s="3" t="n">
        <v>6.07753169578995</v>
      </c>
      <c r="CG677" s="3" t="n">
        <v>6.008729414083057</v>
      </c>
      <c r="CH677" s="3" t="n">
        <v>5.940267657990908</v>
      </c>
      <c r="CI677" s="3" t="n">
        <v>5.872234533902062</v>
      </c>
      <c r="CJ677" s="3" t="n">
        <v>5.804567726586378</v>
      </c>
      <c r="CK677" s="3" t="n">
        <v>5.737323348930232</v>
      </c>
      <c r="CL677" s="3" t="n">
        <v>5.670480755869508</v>
      </c>
      <c r="CM677" s="3" t="n">
        <v>5.604034284230661</v>
      </c>
      <c r="CN677" s="3" t="n">
        <v>5.537987891685955</v>
      </c>
      <c r="CO677" s="3" t="n">
        <v>5.472342324337401</v>
      </c>
      <c r="CP677" s="3" t="n">
        <v>5.407082149890641</v>
      </c>
      <c r="CQ677" s="3" t="n">
        <v>5.342210907589628</v>
      </c>
      <c r="CR677" s="3" t="n">
        <v>5.277720412270439</v>
      </c>
      <c r="CS677" s="3" t="n">
        <v>5.213617210420805</v>
      </c>
      <c r="CU677" s="20" t="inlineStr">
        <is>
          <t>egy.mit.air.con.pm2.gro.6</t>
        </is>
      </c>
      <c r="CV677" s="3" t="n">
        <v>7.506515540397882</v>
      </c>
      <c r="CW677" s="3" t="n">
        <v>5.87652239847455</v>
      </c>
      <c r="CX677" s="3" t="n">
        <v>6.365450732402812</v>
      </c>
      <c r="CY677" s="3" t="n">
        <v>6.295392233985108</v>
      </c>
      <c r="CZ677" s="3" t="n">
        <v>6.225026773067412</v>
      </c>
      <c r="DA677" s="3" t="n">
        <v>6.14188475983631</v>
      </c>
      <c r="DB677" s="3" t="n">
        <v>6.072613373905082</v>
      </c>
      <c r="DC677" s="3" t="n">
        <v>6.003738887355265</v>
      </c>
      <c r="DD677" s="3" t="n">
        <v>5.935186550222602</v>
      </c>
      <c r="DE677" s="3" t="n">
        <v>5.867080671151519</v>
      </c>
      <c r="DF677" s="3" t="n">
        <v>5.799339201914948</v>
      </c>
      <c r="DG677" s="3" t="n">
        <v>5.732034965120835</v>
      </c>
      <c r="DH677" s="3" t="n">
        <v>5.665144617168392</v>
      </c>
      <c r="DI677" s="3" t="n">
        <v>5.598646960769605</v>
      </c>
      <c r="DJ677" s="3" t="n">
        <v>5.532552508248012</v>
      </c>
      <c r="DK677" s="3" t="n">
        <v>5.466868231309175</v>
      </c>
      <c r="DL677" s="3" t="n">
        <v>5.401562249154834</v>
      </c>
      <c r="DM677" s="3" t="n">
        <v>5.336640370821581</v>
      </c>
      <c r="DN677" s="3" t="n">
        <v>5.272089600998684</v>
      </c>
      <c r="DO677" s="3" t="n">
        <v>5.207921120573988</v>
      </c>
    </row>
    <row r="678">
      <c r="A678" s="19" t="inlineStr">
        <is>
          <t>mit.air.con.pm2.oth</t>
        </is>
      </c>
      <c r="B678" s="3" t="inlineStr">
        <is>
          <t>mit</t>
        </is>
      </c>
      <c r="C678" s="19" t="inlineStr">
        <is>
          <t>air.conc.pm2.oth</t>
        </is>
      </c>
      <c r="H678" s="3" t="inlineStr">
        <is>
          <t xml:space="preserve">Modelled ambient PM2.5 by air-pollution module sector (total: the summary row) | Other | </t>
        </is>
      </c>
      <c r="I678" s="3" t="inlineStr">
        <is>
          <t>ug/m3</t>
        </is>
      </c>
      <c r="K678" s="20" t="inlineStr">
        <is>
          <t>egy.mit.air.con.pm2.oth.1</t>
        </is>
      </c>
      <c r="L678" s="3" t="n">
        <v>10.89321979343711</v>
      </c>
      <c r="M678" s="3" t="n">
        <v>9.751336096660635</v>
      </c>
      <c r="N678" s="3" t="n">
        <v>11.2630772725613</v>
      </c>
      <c r="O678" s="3" t="n">
        <v>11.56667671750223</v>
      </c>
      <c r="P678" s="3" t="n">
        <v>11.81704338034212</v>
      </c>
      <c r="Q678" s="3" t="n">
        <v>12.13440015916482</v>
      </c>
      <c r="R678" s="3" t="n">
        <v>12.52401688910355</v>
      </c>
      <c r="S678" s="3" t="n">
        <v>12.89238617166851</v>
      </c>
      <c r="T678" s="3" t="n">
        <v>13.23081482786042</v>
      </c>
      <c r="U678" s="3" t="n">
        <v>13.56995449437455</v>
      </c>
      <c r="V678" s="3" t="n">
        <v>13.90916955502665</v>
      </c>
      <c r="W678" s="3" t="n">
        <v>14.25022895612442</v>
      </c>
      <c r="X678" s="3" t="n">
        <v>14.59294961429391</v>
      </c>
      <c r="Y678" s="3" t="n">
        <v>14.93714672433372</v>
      </c>
      <c r="Z678" s="3" t="n">
        <v>15.28263381965831</v>
      </c>
      <c r="AA678" s="3" t="n">
        <v>15.62922281810801</v>
      </c>
      <c r="AB678" s="3" t="n">
        <v>15.97672405347215</v>
      </c>
      <c r="AC678" s="3" t="n">
        <v>16.32494629311136</v>
      </c>
      <c r="AD678" s="3" t="n">
        <v>16.67369674209924</v>
      </c>
      <c r="AE678" s="3" t="n">
        <v>17.02278103433402</v>
      </c>
      <c r="AG678" s="20" t="inlineStr">
        <is>
          <t>egy.mit.air.con.pm2.oth.3</t>
        </is>
      </c>
      <c r="AH678" s="3" t="n">
        <v>10.89321979343711</v>
      </c>
      <c r="AI678" s="3" t="n">
        <v>9.751336096660635</v>
      </c>
      <c r="AJ678" s="3" t="n">
        <v>11.2630772725613</v>
      </c>
      <c r="AK678" s="3" t="n">
        <v>11.56667671750223</v>
      </c>
      <c r="AL678" s="3" t="n">
        <v>11.81704338034212</v>
      </c>
      <c r="AM678" s="3" t="n">
        <v>10.09756548136472</v>
      </c>
      <c r="AN678" s="3" t="n">
        <v>10.42144064420155</v>
      </c>
      <c r="AO678" s="3" t="n">
        <v>10.73227901737522</v>
      </c>
      <c r="AP678" s="3" t="n">
        <v>11.00276598457253</v>
      </c>
      <c r="AQ678" s="3" t="n">
        <v>11.28627554478123</v>
      </c>
      <c r="AR678" s="3" t="n">
        <v>11.56376990093781</v>
      </c>
      <c r="AS678" s="3" t="n">
        <v>11.85325181606489</v>
      </c>
      <c r="AT678" s="3" t="n">
        <v>12.14934891853742</v>
      </c>
      <c r="AU678" s="3" t="n">
        <v>12.44447525728009</v>
      </c>
      <c r="AV678" s="3" t="n">
        <v>12.7430957725859</v>
      </c>
      <c r="AW678" s="3" t="n">
        <v>13.04812517008682</v>
      </c>
      <c r="AX678" s="3" t="n">
        <v>13.34930228992819</v>
      </c>
      <c r="AY678" s="3" t="n">
        <v>13.64861762978848</v>
      </c>
      <c r="AZ678" s="3" t="n">
        <v>13.94221983860904</v>
      </c>
      <c r="BA678" s="3" t="n">
        <v>14.23432617332123</v>
      </c>
      <c r="BC678" s="20" t="inlineStr">
        <is>
          <t>egy.mit.air.con.pm2.oth.4</t>
        </is>
      </c>
      <c r="BD678" s="3" t="n">
        <v>10.89321979343711</v>
      </c>
      <c r="BE678" s="3" t="n">
        <v>9.751336096660635</v>
      </c>
      <c r="BF678" s="3" t="n">
        <v>11.2630772725613</v>
      </c>
      <c r="BG678" s="3" t="n">
        <v>11.56667671750223</v>
      </c>
      <c r="BH678" s="3" t="n">
        <v>11.81704338034212</v>
      </c>
      <c r="BI678" s="3" t="n">
        <v>10.85248943412814</v>
      </c>
      <c r="BJ678" s="3" t="n">
        <v>9.90103677990961</v>
      </c>
      <c r="BK678" s="3" t="n">
        <v>9.194865190902384</v>
      </c>
      <c r="BL678" s="3" t="n">
        <v>8.63136829473912</v>
      </c>
      <c r="BM678" s="3" t="n">
        <v>8.25641296372431</v>
      </c>
      <c r="BN678" s="3" t="n">
        <v>7.946473211142189</v>
      </c>
      <c r="BO678" s="3" t="n">
        <v>7.690926432300011</v>
      </c>
      <c r="BP678" s="3" t="n">
        <v>7.480264955432212</v>
      </c>
      <c r="BQ678" s="3" t="n">
        <v>7.304415680445635</v>
      </c>
      <c r="BR678" s="3" t="n">
        <v>7.156934417564635</v>
      </c>
      <c r="BS678" s="3" t="n">
        <v>7.034135375711274</v>
      </c>
      <c r="BT678" s="3" t="n">
        <v>6.930575223533084</v>
      </c>
      <c r="BU678" s="3" t="n">
        <v>6.842324752543062</v>
      </c>
      <c r="BV678" s="3" t="n">
        <v>6.764853327074177</v>
      </c>
      <c r="BW678" s="3" t="n">
        <v>6.69594276821141</v>
      </c>
      <c r="BY678" s="20" t="inlineStr">
        <is>
          <t>egy.mit.air.con.pm2.oth.5</t>
        </is>
      </c>
      <c r="BZ678" s="3" t="n">
        <v>10.89321979343711</v>
      </c>
      <c r="CA678" s="3" t="n">
        <v>9.751336096660635</v>
      </c>
      <c r="CB678" s="3" t="n">
        <v>11.2630772725613</v>
      </c>
      <c r="CC678" s="3" t="n">
        <v>11.56667671750223</v>
      </c>
      <c r="CD678" s="3" t="n">
        <v>11.81704338034212</v>
      </c>
      <c r="CE678" s="3" t="n">
        <v>9.750105522047217</v>
      </c>
      <c r="CF678" s="3" t="n">
        <v>10.0474127984597</v>
      </c>
      <c r="CG678" s="3" t="n">
        <v>10.33237608101924</v>
      </c>
      <c r="CH678" s="3" t="n">
        <v>10.58056499529093</v>
      </c>
      <c r="CI678" s="3" t="n">
        <v>10.84358195191876</v>
      </c>
      <c r="CJ678" s="3" t="n">
        <v>11.09895339266831</v>
      </c>
      <c r="CK678" s="3" t="n">
        <v>11.36739723866081</v>
      </c>
      <c r="CL678" s="3" t="n">
        <v>11.63833143423403</v>
      </c>
      <c r="CM678" s="3" t="n">
        <v>11.909345203744</v>
      </c>
      <c r="CN678" s="3" t="n">
        <v>12.1884172805424</v>
      </c>
      <c r="CO678" s="3" t="n">
        <v>12.47220937039411</v>
      </c>
      <c r="CP678" s="3" t="n">
        <v>12.75255079747955</v>
      </c>
      <c r="CQ678" s="3" t="n">
        <v>13.03261223969109</v>
      </c>
      <c r="CR678" s="3" t="n">
        <v>13.30837097968223</v>
      </c>
      <c r="CS678" s="3" t="n">
        <v>13.5849233051174</v>
      </c>
      <c r="CU678" s="20" t="inlineStr">
        <is>
          <t>egy.mit.air.con.pm2.oth.6</t>
        </is>
      </c>
      <c r="CV678" s="3" t="n">
        <v>10.89321979343711</v>
      </c>
      <c r="CW678" s="3" t="n">
        <v>9.751336096660635</v>
      </c>
      <c r="CX678" s="3" t="n">
        <v>11.2630772725613</v>
      </c>
      <c r="CY678" s="3" t="n">
        <v>11.56667671750223</v>
      </c>
      <c r="CZ678" s="3" t="n">
        <v>11.81704338034212</v>
      </c>
      <c r="DA678" s="3" t="n">
        <v>8.240715394550044</v>
      </c>
      <c r="DB678" s="3" t="n">
        <v>8.504937159596228</v>
      </c>
      <c r="DC678" s="3" t="n">
        <v>8.762846053313076</v>
      </c>
      <c r="DD678" s="3" t="n">
        <v>8.973083921412115</v>
      </c>
      <c r="DE678" s="3" t="n">
        <v>9.206747006028849</v>
      </c>
      <c r="DF678" s="3" t="n">
        <v>9.428247465613444</v>
      </c>
      <c r="DG678" s="3" t="n">
        <v>9.670571394755497</v>
      </c>
      <c r="DH678" s="3" t="n">
        <v>9.921763824191689</v>
      </c>
      <c r="DI678" s="3" t="n">
        <v>10.17061916531935</v>
      </c>
      <c r="DJ678" s="3" t="n">
        <v>10.42440538663531</v>
      </c>
      <c r="DK678" s="3" t="n">
        <v>10.68854855554135</v>
      </c>
      <c r="DL678" s="3" t="n">
        <v>10.94500217266365</v>
      </c>
      <c r="DM678" s="3" t="n">
        <v>11.19819858749626</v>
      </c>
      <c r="DN678" s="3" t="n">
        <v>11.44108268349859</v>
      </c>
      <c r="DO678" s="3" t="n">
        <v>11.68149443001773</v>
      </c>
    </row>
    <row r="679">
      <c r="A679" s="19" t="inlineStr">
        <is>
          <t>mit.air.con.pm2.foo</t>
        </is>
      </c>
      <c r="B679" s="3" t="inlineStr">
        <is>
          <t>mit</t>
        </is>
      </c>
      <c r="C679" s="19" t="inlineStr">
        <is>
          <t>air.conc.pm2.foo</t>
        </is>
      </c>
      <c r="H679" s="3" t="inlineStr">
        <is>
          <t xml:space="preserve">Modelled ambient PM2.5 by air-pollution module sector (total: the summary row) | Food &amp; forestry | </t>
        </is>
      </c>
      <c r="I679" s="3" t="inlineStr">
        <is>
          <t>ug/m3</t>
        </is>
      </c>
      <c r="K679" s="20" t="inlineStr">
        <is>
          <t>egy.mit.air.con.pm2.foo.1</t>
        </is>
      </c>
      <c r="L679" s="3" t="n">
        <v>2.739336115656291</v>
      </c>
      <c r="M679" s="3" t="n">
        <v>3.270370389657233</v>
      </c>
      <c r="N679" s="3" t="n">
        <v>4.129628740861985</v>
      </c>
      <c r="O679" s="3" t="n">
        <v>4.214615485819694</v>
      </c>
      <c r="P679" s="3" t="n">
        <v>4.297287369470259</v>
      </c>
      <c r="Q679" s="3" t="n">
        <v>4.3933315899403</v>
      </c>
      <c r="R679" s="3" t="n">
        <v>4.505560876091262</v>
      </c>
      <c r="S679" s="3" t="n">
        <v>4.61262859772097</v>
      </c>
      <c r="T679" s="3" t="n">
        <v>4.712602457700427</v>
      </c>
      <c r="U679" s="3" t="n">
        <v>4.812881759222861</v>
      </c>
      <c r="V679" s="3" t="n">
        <v>4.913799739076716</v>
      </c>
      <c r="W679" s="3" t="n">
        <v>5.015332669132387</v>
      </c>
      <c r="X679" s="3" t="n">
        <v>5.117456869692586</v>
      </c>
      <c r="Y679" s="3" t="n">
        <v>5.22014869143074</v>
      </c>
      <c r="Z679" s="3" t="n">
        <v>5.323384494606958</v>
      </c>
      <c r="AA679" s="3" t="n">
        <v>5.427140625654469</v>
      </c>
      <c r="AB679" s="3" t="n">
        <v>5.531393391223439</v>
      </c>
      <c r="AC679" s="3" t="n">
        <v>5.636119029763276</v>
      </c>
      <c r="AD679" s="3" t="n">
        <v>5.741293680717899</v>
      </c>
      <c r="AE679" s="3" t="n">
        <v>5.846893351402323</v>
      </c>
      <c r="AG679" s="20" t="inlineStr">
        <is>
          <t>egy.mit.air.con.pm2.foo.3</t>
        </is>
      </c>
      <c r="AH679" s="3" t="n">
        <v>2.739336115656291</v>
      </c>
      <c r="AI679" s="3" t="n">
        <v>3.270370389657233</v>
      </c>
      <c r="AJ679" s="3" t="n">
        <v>4.129628740861985</v>
      </c>
      <c r="AK679" s="3" t="n">
        <v>4.214615485819694</v>
      </c>
      <c r="AL679" s="3" t="n">
        <v>4.297287369470259</v>
      </c>
      <c r="AM679" s="3" t="n">
        <v>3.576817618011475</v>
      </c>
      <c r="AN679" s="3" t="n">
        <v>3.668188985686955</v>
      </c>
      <c r="AO679" s="3" t="n">
        <v>3.756448982941809</v>
      </c>
      <c r="AP679" s="3" t="n">
        <v>3.835364075035049</v>
      </c>
      <c r="AQ679" s="3" t="n">
        <v>3.917416299175376</v>
      </c>
      <c r="AR679" s="3" t="n">
        <v>3.998523582884192</v>
      </c>
      <c r="AS679" s="3" t="n">
        <v>4.082528299388247</v>
      </c>
      <c r="AT679" s="3" t="n">
        <v>4.168193799061368</v>
      </c>
      <c r="AU679" s="3" t="n">
        <v>4.253804445443065</v>
      </c>
      <c r="AV679" s="3" t="n">
        <v>4.340390034109646</v>
      </c>
      <c r="AW679" s="3" t="n">
        <v>4.428615834979492</v>
      </c>
      <c r="AX679" s="3" t="n">
        <v>4.516189833617938</v>
      </c>
      <c r="AY679" s="3" t="n">
        <v>4.603584884992456</v>
      </c>
      <c r="AZ679" s="3" t="n">
        <v>4.689968005328539</v>
      </c>
      <c r="BA679" s="3" t="n">
        <v>4.776303329346517</v>
      </c>
      <c r="BC679" s="20" t="inlineStr">
        <is>
          <t>egy.mit.air.con.pm2.foo.4</t>
        </is>
      </c>
      <c r="BD679" s="3" t="n">
        <v>2.739336115656291</v>
      </c>
      <c r="BE679" s="3" t="n">
        <v>3.270370389657233</v>
      </c>
      <c r="BF679" s="3" t="n">
        <v>4.129628740861985</v>
      </c>
      <c r="BG679" s="3" t="n">
        <v>4.214615485819694</v>
      </c>
      <c r="BH679" s="3" t="n">
        <v>4.297287369470259</v>
      </c>
      <c r="BI679" s="3" t="n">
        <v>3.944422860115272</v>
      </c>
      <c r="BJ679" s="3" t="n">
        <v>3.557282371764248</v>
      </c>
      <c r="BK679" s="3" t="n">
        <v>3.247973999393526</v>
      </c>
      <c r="BL679" s="3" t="n">
        <v>2.991729267544014</v>
      </c>
      <c r="BM679" s="3" t="n">
        <v>2.780166757869841</v>
      </c>
      <c r="BN679" s="3" t="n">
        <v>2.60239694465029</v>
      </c>
      <c r="BO679" s="3" t="n">
        <v>2.451826552373091</v>
      </c>
      <c r="BP679" s="3" t="n">
        <v>2.323257356442978</v>
      </c>
      <c r="BQ679" s="3" t="n">
        <v>2.212152624641945</v>
      </c>
      <c r="BR679" s="3" t="n">
        <v>2.115312891908556</v>
      </c>
      <c r="BS679" s="3" t="n">
        <v>2.030504969749753</v>
      </c>
      <c r="BT679" s="3" t="n">
        <v>1.955480931857871</v>
      </c>
      <c r="BU679" s="3" t="n">
        <v>1.888548592700334</v>
      </c>
      <c r="BV679" s="3" t="n">
        <v>1.828117933945689</v>
      </c>
      <c r="BW679" s="3" t="n">
        <v>1.773180802216942</v>
      </c>
      <c r="BY679" s="20" t="inlineStr">
        <is>
          <t>egy.mit.air.con.pm2.foo.5</t>
        </is>
      </c>
      <c r="BZ679" s="3" t="n">
        <v>2.739336115656291</v>
      </c>
      <c r="CA679" s="3" t="n">
        <v>3.270370389657233</v>
      </c>
      <c r="CB679" s="3" t="n">
        <v>4.129628740861985</v>
      </c>
      <c r="CC679" s="3" t="n">
        <v>4.214615485819694</v>
      </c>
      <c r="CD679" s="3" t="n">
        <v>4.297287369470259</v>
      </c>
      <c r="CE679" s="3" t="n">
        <v>3.416952722747473</v>
      </c>
      <c r="CF679" s="3" t="n">
        <v>3.504238862719546</v>
      </c>
      <c r="CG679" s="3" t="n">
        <v>3.588399671713733</v>
      </c>
      <c r="CH679" s="3" t="n">
        <v>3.663931697682122</v>
      </c>
      <c r="CI679" s="3" t="n">
        <v>3.742794711159183</v>
      </c>
      <c r="CJ679" s="3" t="n">
        <v>3.820163618858015</v>
      </c>
      <c r="CK679" s="3" t="n">
        <v>3.900584459722979</v>
      </c>
      <c r="CL679" s="3" t="n">
        <v>3.981613326202125</v>
      </c>
      <c r="CM679" s="3" t="n">
        <v>4.06275554063764</v>
      </c>
      <c r="CN679" s="3" t="n">
        <v>4.144800858367677</v>
      </c>
      <c r="CO679" s="3" t="n">
        <v>4.228120687272296</v>
      </c>
      <c r="CP679" s="3" t="n">
        <v>4.310888098881255</v>
      </c>
      <c r="CQ679" s="3" t="n">
        <v>4.393834658784806</v>
      </c>
      <c r="CR679" s="3" t="n">
        <v>4.476091628301043</v>
      </c>
      <c r="CS679" s="3" t="n">
        <v>4.558811760615622</v>
      </c>
      <c r="CU679" s="20" t="inlineStr">
        <is>
          <t>egy.mit.air.con.pm2.foo.6</t>
        </is>
      </c>
      <c r="CV679" s="3" t="n">
        <v>2.739336115656291</v>
      </c>
      <c r="CW679" s="3" t="n">
        <v>3.270370389657233</v>
      </c>
      <c r="CX679" s="3" t="n">
        <v>4.129628740861985</v>
      </c>
      <c r="CY679" s="3" t="n">
        <v>4.214615485819694</v>
      </c>
      <c r="CZ679" s="3" t="n">
        <v>4.297287369470259</v>
      </c>
      <c r="DA679" s="3" t="n">
        <v>2.789141143240136</v>
      </c>
      <c r="DB679" s="3" t="n">
        <v>2.860391219214316</v>
      </c>
      <c r="DC679" s="3" t="n">
        <v>2.930185544925403</v>
      </c>
      <c r="DD679" s="3" t="n">
        <v>2.989450561362386</v>
      </c>
      <c r="DE679" s="3" t="n">
        <v>3.053992974367676</v>
      </c>
      <c r="DF679" s="3" t="n">
        <v>3.116158477733478</v>
      </c>
      <c r="DG679" s="3" t="n">
        <v>3.182996199828662</v>
      </c>
      <c r="DH679" s="3" t="n">
        <v>3.251869086593306</v>
      </c>
      <c r="DI679" s="3" t="n">
        <v>3.320350105853095</v>
      </c>
      <c r="DJ679" s="3" t="n">
        <v>3.390024951767633</v>
      </c>
      <c r="DK679" s="3" t="n">
        <v>3.462057813888708</v>
      </c>
      <c r="DL679" s="3" t="n">
        <v>3.532593585016181</v>
      </c>
      <c r="DM679" s="3" t="n">
        <v>3.602609556818836</v>
      </c>
      <c r="DN679" s="3" t="n">
        <v>3.670636444055606</v>
      </c>
      <c r="DO679" s="3" t="n">
        <v>3.738363293836696</v>
      </c>
    </row>
    <row r="680">
      <c r="A680" s="14" t="n"/>
      <c r="B680" s="3" t="inlineStr">
        <is>
          <t>air</t>
        </is>
      </c>
      <c r="C680" s="19" t="inlineStr">
        <is>
          <t>air.conc.pm2.tot</t>
        </is>
      </c>
      <c r="H680" s="14" t="inlineStr">
        <is>
          <t>Baseline PM2.5 (in µg/m3) total</t>
        </is>
      </c>
      <c r="I680" s="14" t="inlineStr">
        <is>
          <t>ugm3</t>
        </is>
      </c>
    </row>
    <row r="681">
      <c r="A681" s="14" t="n"/>
      <c r="B681" s="3" t="inlineStr">
        <is>
          <t>air</t>
        </is>
      </c>
      <c r="C681" s="19" t="inlineStr">
        <is>
          <t>air.conc.pm2.tot</t>
        </is>
      </c>
      <c r="H681" s="14" t="inlineStr">
        <is>
          <t>Scenario PM2.5 (in µg/m3) total</t>
        </is>
      </c>
      <c r="I681" s="14" t="inlineStr">
        <is>
          <t>ugm3</t>
        </is>
      </c>
    </row>
    <row r="682">
      <c r="A682" s="5" t="n"/>
      <c r="B682" s="18" t="inlineStr">
        <is>
          <t>Climate costs</t>
        </is>
      </c>
      <c r="C682" s="5" t="n"/>
      <c r="D682" s="5" t="n"/>
      <c r="E682" s="5" t="n"/>
      <c r="F682" s="5" t="n"/>
      <c r="G682" s="5" t="n"/>
      <c r="H682" s="5" t="n"/>
      <c r="I682" s="5" t="n"/>
      <c r="J682" s="5" t="n"/>
      <c r="K682" s="5" t="n"/>
      <c r="L682" s="5" t="n"/>
      <c r="M682" s="5" t="n"/>
      <c r="N682" s="5" t="n"/>
      <c r="O682" s="5" t="n"/>
      <c r="P682" s="5" t="n"/>
      <c r="Q682" s="5" t="n"/>
      <c r="R682" s="5" t="n"/>
      <c r="S682" s="5" t="n"/>
      <c r="T682" s="5" t="n"/>
      <c r="U682" s="5" t="n"/>
      <c r="V682" s="5" t="n"/>
      <c r="W682" s="5" t="n"/>
      <c r="X682" s="5" t="n"/>
      <c r="Y682" s="5" t="n"/>
      <c r="Z682" s="5" t="n"/>
      <c r="AA682" s="5" t="n"/>
      <c r="AB682" s="5" t="n"/>
      <c r="AC682" s="5" t="n"/>
      <c r="AD682" s="5" t="n"/>
      <c r="AE682" s="5" t="n"/>
      <c r="AF682" s="5" t="n"/>
      <c r="AG682" s="5" t="n"/>
      <c r="AH682" s="5" t="n"/>
      <c r="AI682" s="5" t="n"/>
      <c r="AJ682" s="5" t="n"/>
      <c r="AK682" s="5" t="n"/>
      <c r="AL682" s="5" t="n"/>
      <c r="AM682" s="5" t="n"/>
      <c r="AN682" s="5" t="n"/>
      <c r="AO682" s="5" t="n"/>
      <c r="AP682" s="5" t="n"/>
      <c r="AQ682" s="5" t="n"/>
      <c r="AR682" s="5" t="n"/>
      <c r="AS682" s="5" t="n"/>
      <c r="AT682" s="5" t="n"/>
      <c r="AU682" s="5" t="n"/>
      <c r="AV682" s="5" t="n"/>
      <c r="AW682" s="5" t="n"/>
      <c r="AX682" s="5" t="n"/>
      <c r="AY682" s="5" t="n"/>
      <c r="AZ682" s="5" t="n"/>
      <c r="BA682" s="5" t="n"/>
      <c r="BB682" s="5" t="n"/>
      <c r="BC682" s="5" t="n"/>
      <c r="BD682" s="5" t="n"/>
      <c r="BE682" s="5" t="n"/>
      <c r="BF682" s="5" t="n"/>
      <c r="BG682" s="5" t="n"/>
      <c r="BH682" s="5" t="n"/>
      <c r="BI682" s="5" t="n"/>
      <c r="BJ682" s="5" t="n"/>
      <c r="BK682" s="5" t="n"/>
      <c r="BL682" s="5" t="n"/>
      <c r="BM682" s="5" t="n"/>
      <c r="BN682" s="5" t="n"/>
      <c r="BO682" s="5" t="n"/>
      <c r="BP682" s="5" t="n"/>
      <c r="BQ682" s="5" t="n"/>
      <c r="BR682" s="5" t="n"/>
      <c r="BS682" s="5" t="n"/>
      <c r="BT682" s="5" t="n"/>
      <c r="BU682" s="5" t="n"/>
      <c r="BV682" s="5" t="n"/>
      <c r="BW682" s="5" t="n"/>
      <c r="BX682" s="5" t="n"/>
      <c r="BY682" s="5" t="n"/>
      <c r="BZ682" s="5" t="n"/>
      <c r="CA682" s="5" t="n"/>
      <c r="CB682" s="5" t="n"/>
      <c r="CC682" s="5" t="n"/>
      <c r="CD682" s="5" t="n"/>
      <c r="CE682" s="5" t="n"/>
      <c r="CF682" s="5" t="n"/>
      <c r="CG682" s="5" t="n"/>
      <c r="CH682" s="5" t="n"/>
      <c r="CI682" s="5" t="n"/>
      <c r="CJ682" s="5" t="n"/>
      <c r="CK682" s="5" t="n"/>
      <c r="CL682" s="5" t="n"/>
      <c r="CM682" s="5" t="n"/>
      <c r="CN682" s="5" t="n"/>
      <c r="CO682" s="5" t="n"/>
      <c r="CP682" s="5" t="n"/>
      <c r="CQ682" s="5" t="n"/>
      <c r="CR682" s="5" t="n"/>
      <c r="CS682" s="5" t="n"/>
      <c r="CT682" s="5" t="n"/>
      <c r="CU682" s="5" t="n"/>
      <c r="CV682" s="5" t="n"/>
      <c r="CW682" s="5" t="n"/>
      <c r="CX682" s="5" t="n"/>
      <c r="CY682" s="5" t="n"/>
      <c r="CZ682" s="5" t="n"/>
      <c r="DA682" s="5" t="n"/>
      <c r="DB682" s="5" t="n"/>
      <c r="DC682" s="5" t="n"/>
      <c r="DD682" s="5" t="n"/>
      <c r="DE682" s="5" t="n"/>
      <c r="DF682" s="5" t="n"/>
      <c r="DG682" s="5" t="n"/>
      <c r="DH682" s="5" t="n"/>
      <c r="DI682" s="5" t="n"/>
      <c r="DJ682" s="5" t="n"/>
      <c r="DK682" s="5" t="n"/>
      <c r="DL682" s="5" t="n"/>
      <c r="DM682" s="5" t="n"/>
      <c r="DN682" s="5" t="n"/>
      <c r="DO682" s="5" t="n"/>
      <c r="DP682" s="5" t="n"/>
      <c r="DQ682" s="5" t="n"/>
      <c r="DR682" s="5" t="n"/>
      <c r="DS682" s="5" t="n"/>
      <c r="DT682" s="5" t="n"/>
      <c r="DU682" s="5" t="n"/>
      <c r="DV682" s="5" t="n"/>
      <c r="DW682" s="5" t="n"/>
      <c r="DX682" s="5" t="n"/>
      <c r="DY682" s="5" t="n"/>
      <c r="DZ682" s="5" t="n"/>
      <c r="EA682" s="5" t="n"/>
      <c r="EB682" s="5" t="n"/>
      <c r="EC682" s="5" t="n"/>
      <c r="ED682" s="5" t="n"/>
      <c r="EE682" s="5" t="n"/>
      <c r="EF682" s="5" t="n"/>
      <c r="EG682" s="5" t="n"/>
      <c r="EH682" s="5" t="n"/>
      <c r="EI682" s="5" t="n"/>
      <c r="EJ682" s="5" t="n"/>
      <c r="EK682" s="5" t="n"/>
      <c r="EL682" s="5" t="n"/>
      <c r="EM682" s="5" t="n"/>
      <c r="EN682" s="5" t="n"/>
      <c r="EO682" s="5" t="n"/>
      <c r="EP682" s="5" t="n"/>
      <c r="EQ682" s="5" t="n"/>
      <c r="ER682" s="5" t="n"/>
      <c r="ES682" s="5" t="n"/>
      <c r="ET682" s="5" t="n"/>
      <c r="EU682" s="5" t="n"/>
      <c r="EV682" s="5" t="n"/>
      <c r="EW682" s="5" t="n"/>
      <c r="EX682" s="5" t="n"/>
      <c r="EY682" s="5" t="n"/>
      <c r="EZ682" s="5" t="n"/>
      <c r="FA682" s="5" t="n"/>
      <c r="FB682" s="5" t="n"/>
      <c r="FC682" s="5" t="n"/>
      <c r="FD682" s="5" t="n"/>
      <c r="FE682" s="5" t="n"/>
      <c r="FF682" s="5" t="n"/>
      <c r="FG682" s="5" t="n"/>
      <c r="FH682" s="5" t="n"/>
      <c r="FI682" s="5" t="n"/>
      <c r="FJ682" s="5" t="n"/>
      <c r="FK682" s="5" t="n"/>
      <c r="FL682" s="5" t="n"/>
      <c r="FM682" s="5" t="n"/>
      <c r="FN682" s="5" t="n"/>
      <c r="FO682" s="5" t="n"/>
      <c r="FP682" s="5" t="n"/>
      <c r="FQ682" s="5" t="n"/>
      <c r="FR682" s="5" t="n"/>
      <c r="FS682" s="5" t="n"/>
      <c r="FT682" s="5" t="n"/>
      <c r="FU682" s="5" t="n"/>
      <c r="FV682" s="5" t="n"/>
      <c r="FW682" s="5" t="n"/>
      <c r="FX682" s="5" t="n"/>
      <c r="FY682" s="5" t="n"/>
      <c r="FZ682" s="5" t="n"/>
      <c r="GA682" s="5" t="n"/>
      <c r="GB682" s="5" t="n"/>
      <c r="GC682" s="5" t="n"/>
      <c r="GD682" s="5" t="n"/>
      <c r="GE682" s="5" t="n"/>
      <c r="GF682" s="5" t="n"/>
      <c r="GG682" s="5" t="n"/>
      <c r="GH682" s="5" t="n"/>
      <c r="GI682" s="5" t="n"/>
      <c r="GJ682" s="5" t="n"/>
      <c r="GK682" s="5" t="n"/>
      <c r="GL682" s="5" t="n"/>
      <c r="GM682" s="5" t="n"/>
      <c r="GN682" s="5" t="n"/>
      <c r="GO682" s="5" t="n"/>
      <c r="GP682" s="5" t="n"/>
      <c r="GQ682" s="5" t="n"/>
      <c r="GR682" s="5" t="n"/>
      <c r="GS682" s="5" t="n"/>
      <c r="GT682" s="5" t="n"/>
      <c r="GU682" s="5" t="n"/>
      <c r="GV682" s="5" t="n"/>
      <c r="GW682" s="5" t="n"/>
      <c r="GX682" s="5" t="n"/>
      <c r="GY682" s="5" t="n"/>
      <c r="GZ682" s="5" t="n"/>
      <c r="HA682" s="5" t="n"/>
      <c r="HB682" s="5" t="n"/>
      <c r="HC682" s="5" t="n"/>
      <c r="HD682" s="5" t="n"/>
      <c r="HE682" s="5" t="n"/>
      <c r="HF682" s="5" t="n"/>
      <c r="HG682" s="5" t="n"/>
      <c r="HH682" s="5" t="n"/>
      <c r="HI682" s="5" t="n"/>
      <c r="HJ682" s="5" t="n"/>
      <c r="HK682" s="5" t="n"/>
      <c r="HL682" s="5" t="n"/>
      <c r="HM682" s="5" t="n"/>
      <c r="HN682" s="5" t="n"/>
      <c r="HO682" s="5" t="n"/>
      <c r="HP682" s="5" t="n"/>
      <c r="HQ682" s="5" t="n"/>
      <c r="HR682" s="5" t="n"/>
      <c r="HS682" s="5" t="n"/>
      <c r="HT682" s="5" t="n"/>
      <c r="HU682" s="5" t="n"/>
      <c r="HV682" s="5" t="n"/>
    </row>
    <row r="683">
      <c r="A683" s="19" t="inlineStr">
        <is>
          <t>mit.cc.glo.all.coa</t>
        </is>
      </c>
      <c r="B683" s="3" t="inlineStr">
        <is>
          <t>mit</t>
        </is>
      </c>
      <c r="C683" s="19" t="inlineStr">
        <is>
          <t>mit.cc.code.coa</t>
        </is>
      </c>
      <c r="H683" s="3" t="inlineStr">
        <is>
          <t>Climate cost per GJ of fuel, global SCC | All sectors | Coal</t>
        </is>
      </c>
      <c r="I683" s="3" t="inlineStr">
        <is>
          <t>USD/GJ</t>
        </is>
      </c>
      <c r="K683" s="20" t="inlineStr">
        <is>
          <t>egy.mit.cc.glo.all.coa.1</t>
        </is>
      </c>
      <c r="L683" s="3" t="n">
        <v>5.272075967130314</v>
      </c>
      <c r="M683" s="3" t="n">
        <v>5.482959005815526</v>
      </c>
      <c r="N683" s="3" t="n">
        <v>5.702277366048148</v>
      </c>
      <c r="O683" s="3" t="n">
        <v>5.930368460690074</v>
      </c>
      <c r="P683" s="3" t="n">
        <v>6.167583199117677</v>
      </c>
      <c r="Q683" s="3" t="n">
        <v>6.414286527082384</v>
      </c>
      <c r="R683" s="3" t="n">
        <v>6.67085798816568</v>
      </c>
      <c r="S683" s="3" t="n">
        <v>6.937692307692306</v>
      </c>
      <c r="T683" s="3" t="n">
        <v>7.215199999999999</v>
      </c>
      <c r="U683" s="3" t="n">
        <v>7.503807999999999</v>
      </c>
      <c r="V683" s="3" t="n">
        <v>7.80396032</v>
      </c>
      <c r="W683" s="3" t="n">
        <v>8.1161187328</v>
      </c>
      <c r="X683" s="3" t="n">
        <v>8.440763482112001</v>
      </c>
      <c r="Y683" s="3" t="n">
        <v>8.77839402139648</v>
      </c>
      <c r="Z683" s="3" t="n">
        <v>9.129529782252341</v>
      </c>
      <c r="AA683" s="3" t="n">
        <v>9.494710973542434</v>
      </c>
      <c r="AB683" s="3" t="n">
        <v>9.874499412484131</v>
      </c>
      <c r="AC683" s="3" t="n">
        <v>10.2694793889835</v>
      </c>
      <c r="AD683" s="3" t="n">
        <v>10.68025856454284</v>
      </c>
      <c r="AE683" s="3" t="n">
        <v>11.10746890712455</v>
      </c>
      <c r="AG683" s="20" t="inlineStr">
        <is>
          <t>egy.mit.cc.glo.all.coa.3</t>
        </is>
      </c>
      <c r="AH683" s="3" t="n">
        <v>5.272075967130314</v>
      </c>
      <c r="AI683" s="3" t="n">
        <v>5.482959005815526</v>
      </c>
      <c r="AJ683" s="3" t="n">
        <v>5.702277366048148</v>
      </c>
      <c r="AK683" s="3" t="n">
        <v>5.930368460690074</v>
      </c>
      <c r="AL683" s="3" t="n">
        <v>6.167583199117677</v>
      </c>
      <c r="AM683" s="3" t="n">
        <v>6.414286527082384</v>
      </c>
      <c r="AN683" s="3" t="n">
        <v>6.67085798816568</v>
      </c>
      <c r="AO683" s="3" t="n">
        <v>6.937692307692306</v>
      </c>
      <c r="AP683" s="3" t="n">
        <v>7.215199999999999</v>
      </c>
      <c r="AQ683" s="3" t="n">
        <v>7.503807999999999</v>
      </c>
      <c r="AR683" s="3" t="n">
        <v>7.80396032</v>
      </c>
      <c r="AS683" s="3" t="n">
        <v>8.1161187328</v>
      </c>
      <c r="AT683" s="3" t="n">
        <v>8.440763482112001</v>
      </c>
      <c r="AU683" s="3" t="n">
        <v>8.77839402139648</v>
      </c>
      <c r="AV683" s="3" t="n">
        <v>9.129529782252341</v>
      </c>
      <c r="AW683" s="3" t="n">
        <v>9.494710973542434</v>
      </c>
      <c r="AX683" s="3" t="n">
        <v>9.874499412484131</v>
      </c>
      <c r="AY683" s="3" t="n">
        <v>10.2694793889835</v>
      </c>
      <c r="AZ683" s="3" t="n">
        <v>10.68025856454284</v>
      </c>
      <c r="BA683" s="3" t="n">
        <v>11.10746890712455</v>
      </c>
      <c r="BC683" s="20" t="inlineStr">
        <is>
          <t>egy.mit.cc.glo.all.coa.4</t>
        </is>
      </c>
      <c r="BD683" s="3" t="n">
        <v>5.272075967130314</v>
      </c>
      <c r="BE683" s="3" t="n">
        <v>5.482959005815526</v>
      </c>
      <c r="BF683" s="3" t="n">
        <v>5.702277366048148</v>
      </c>
      <c r="BG683" s="3" t="n">
        <v>5.930368460690074</v>
      </c>
      <c r="BH683" s="3" t="n">
        <v>6.167583199117677</v>
      </c>
      <c r="BI683" s="3" t="n">
        <v>6.414286527082384</v>
      </c>
      <c r="BJ683" s="3" t="n">
        <v>6.67085798816568</v>
      </c>
      <c r="BK683" s="3" t="n">
        <v>6.937692307692306</v>
      </c>
      <c r="BL683" s="3" t="n">
        <v>7.215199999999999</v>
      </c>
      <c r="BM683" s="3" t="n">
        <v>7.503807999999999</v>
      </c>
      <c r="BN683" s="3" t="n">
        <v>7.80396032</v>
      </c>
      <c r="BO683" s="3" t="n">
        <v>8.1161187328</v>
      </c>
      <c r="BP683" s="3" t="n">
        <v>8.440763482112001</v>
      </c>
      <c r="BQ683" s="3" t="n">
        <v>8.77839402139648</v>
      </c>
      <c r="BR683" s="3" t="n">
        <v>9.129529782252341</v>
      </c>
      <c r="BS683" s="3" t="n">
        <v>9.494710973542434</v>
      </c>
      <c r="BT683" s="3" t="n">
        <v>9.874499412484131</v>
      </c>
      <c r="BU683" s="3" t="n">
        <v>10.2694793889835</v>
      </c>
      <c r="BV683" s="3" t="n">
        <v>10.68025856454284</v>
      </c>
      <c r="BW683" s="3" t="n">
        <v>11.10746890712455</v>
      </c>
      <c r="BY683" s="20" t="inlineStr">
        <is>
          <t>egy.mit.cc.glo.all.coa.5</t>
        </is>
      </c>
      <c r="BZ683" s="3" t="n">
        <v>5.272075967130314</v>
      </c>
      <c r="CA683" s="3" t="n">
        <v>5.482959005815526</v>
      </c>
      <c r="CB683" s="3" t="n">
        <v>5.702277366048148</v>
      </c>
      <c r="CC683" s="3" t="n">
        <v>5.930368460690074</v>
      </c>
      <c r="CD683" s="3" t="n">
        <v>6.167583199117677</v>
      </c>
      <c r="CE683" s="3" t="n">
        <v>6.414286527082384</v>
      </c>
      <c r="CF683" s="3" t="n">
        <v>6.67085798816568</v>
      </c>
      <c r="CG683" s="3" t="n">
        <v>6.937692307692306</v>
      </c>
      <c r="CH683" s="3" t="n">
        <v>7.215199999999999</v>
      </c>
      <c r="CI683" s="3" t="n">
        <v>7.503807999999999</v>
      </c>
      <c r="CJ683" s="3" t="n">
        <v>7.80396032</v>
      </c>
      <c r="CK683" s="3" t="n">
        <v>8.1161187328</v>
      </c>
      <c r="CL683" s="3" t="n">
        <v>8.440763482112001</v>
      </c>
      <c r="CM683" s="3" t="n">
        <v>8.77839402139648</v>
      </c>
      <c r="CN683" s="3" t="n">
        <v>9.129529782252341</v>
      </c>
      <c r="CO683" s="3" t="n">
        <v>9.494710973542434</v>
      </c>
      <c r="CP683" s="3" t="n">
        <v>9.874499412484131</v>
      </c>
      <c r="CQ683" s="3" t="n">
        <v>10.2694793889835</v>
      </c>
      <c r="CR683" s="3" t="n">
        <v>10.68025856454284</v>
      </c>
      <c r="CS683" s="3" t="n">
        <v>11.10746890712455</v>
      </c>
      <c r="CU683" s="20" t="inlineStr">
        <is>
          <t>egy.mit.cc.glo.all.coa.6</t>
        </is>
      </c>
      <c r="CV683" s="3" t="n">
        <v>5.272075967130314</v>
      </c>
      <c r="CW683" s="3" t="n">
        <v>5.482959005815526</v>
      </c>
      <c r="CX683" s="3" t="n">
        <v>5.702277366048148</v>
      </c>
      <c r="CY683" s="3" t="n">
        <v>5.930368460690074</v>
      </c>
      <c r="CZ683" s="3" t="n">
        <v>6.167583199117677</v>
      </c>
      <c r="DA683" s="3" t="n">
        <v>6.414286527082384</v>
      </c>
      <c r="DB683" s="3" t="n">
        <v>6.67085798816568</v>
      </c>
      <c r="DC683" s="3" t="n">
        <v>6.937692307692306</v>
      </c>
      <c r="DD683" s="3" t="n">
        <v>7.215199999999999</v>
      </c>
      <c r="DE683" s="3" t="n">
        <v>7.503807999999999</v>
      </c>
      <c r="DF683" s="3" t="n">
        <v>7.80396032</v>
      </c>
      <c r="DG683" s="3" t="n">
        <v>8.1161187328</v>
      </c>
      <c r="DH683" s="3" t="n">
        <v>8.440763482112001</v>
      </c>
      <c r="DI683" s="3" t="n">
        <v>8.77839402139648</v>
      </c>
      <c r="DJ683" s="3" t="n">
        <v>9.129529782252341</v>
      </c>
      <c r="DK683" s="3" t="n">
        <v>9.494710973542434</v>
      </c>
      <c r="DL683" s="3" t="n">
        <v>9.874499412484131</v>
      </c>
      <c r="DM683" s="3" t="n">
        <v>10.2694793889835</v>
      </c>
      <c r="DN683" s="3" t="n">
        <v>10.68025856454284</v>
      </c>
      <c r="DO683" s="3" t="n">
        <v>11.10746890712455</v>
      </c>
    </row>
    <row r="684">
      <c r="A684" s="19" t="inlineStr">
        <is>
          <t>mit.cc.glo.all.nga</t>
        </is>
      </c>
      <c r="B684" s="3" t="inlineStr">
        <is>
          <t>mit</t>
        </is>
      </c>
      <c r="C684" s="19" t="inlineStr">
        <is>
          <t>mit.cc.code.nga</t>
        </is>
      </c>
      <c r="H684" s="3" t="inlineStr">
        <is>
          <t>Climate cost per GJ of fuel, global SCC | All sectors | Natural gas</t>
        </is>
      </c>
      <c r="I684" s="3" t="inlineStr">
        <is>
          <t>USD/GJ</t>
        </is>
      </c>
      <c r="K684" s="20" t="inlineStr">
        <is>
          <t>egy.mit.cc.glo.all.nga.1</t>
        </is>
      </c>
      <c r="L684" s="3" t="n">
        <v>3.057938507933302</v>
      </c>
      <c r="M684" s="3" t="n">
        <v>3.180256048250635</v>
      </c>
      <c r="N684" s="3" t="n">
        <v>3.30746629018066</v>
      </c>
      <c r="O684" s="3" t="n">
        <v>3.439764941787887</v>
      </c>
      <c r="P684" s="3" t="n">
        <v>3.577355539459402</v>
      </c>
      <c r="Q684" s="3" t="n">
        <v>3.720449761037778</v>
      </c>
      <c r="R684" s="3" t="n">
        <v>3.869267751479289</v>
      </c>
      <c r="S684" s="3" t="n">
        <v>4.024038461538461</v>
      </c>
      <c r="T684" s="3" t="n">
        <v>4.185</v>
      </c>
      <c r="U684" s="3" t="n">
        <v>4.352399999999999</v>
      </c>
      <c r="V684" s="3" t="n">
        <v>4.526496</v>
      </c>
      <c r="W684" s="3" t="n">
        <v>4.707555839999999</v>
      </c>
      <c r="X684" s="3" t="n">
        <v>4.8958580736</v>
      </c>
      <c r="Y684" s="3" t="n">
        <v>5.091692396544</v>
      </c>
      <c r="Z684" s="3" t="n">
        <v>5.295360092405761</v>
      </c>
      <c r="AA684" s="3" t="n">
        <v>5.507174496101992</v>
      </c>
      <c r="AB684" s="3" t="n">
        <v>5.727461475946071</v>
      </c>
      <c r="AC684" s="3" t="n">
        <v>5.956559934983914</v>
      </c>
      <c r="AD684" s="3" t="n">
        <v>6.194822332383271</v>
      </c>
      <c r="AE684" s="3" t="n">
        <v>6.442615225678602</v>
      </c>
      <c r="AG684" s="20" t="inlineStr">
        <is>
          <t>egy.mit.cc.glo.all.nga.3</t>
        </is>
      </c>
      <c r="AH684" s="3" t="n">
        <v>3.057938507933302</v>
      </c>
      <c r="AI684" s="3" t="n">
        <v>3.180256048250635</v>
      </c>
      <c r="AJ684" s="3" t="n">
        <v>3.30746629018066</v>
      </c>
      <c r="AK684" s="3" t="n">
        <v>3.439764941787887</v>
      </c>
      <c r="AL684" s="3" t="n">
        <v>3.577355539459402</v>
      </c>
      <c r="AM684" s="3" t="n">
        <v>3.720449761037778</v>
      </c>
      <c r="AN684" s="3" t="n">
        <v>3.869267751479289</v>
      </c>
      <c r="AO684" s="3" t="n">
        <v>4.024038461538461</v>
      </c>
      <c r="AP684" s="3" t="n">
        <v>4.185</v>
      </c>
      <c r="AQ684" s="3" t="n">
        <v>4.352399999999999</v>
      </c>
      <c r="AR684" s="3" t="n">
        <v>4.526496</v>
      </c>
      <c r="AS684" s="3" t="n">
        <v>4.707555839999999</v>
      </c>
      <c r="AT684" s="3" t="n">
        <v>4.8958580736</v>
      </c>
      <c r="AU684" s="3" t="n">
        <v>5.091692396544</v>
      </c>
      <c r="AV684" s="3" t="n">
        <v>5.295360092405761</v>
      </c>
      <c r="AW684" s="3" t="n">
        <v>5.507174496101992</v>
      </c>
      <c r="AX684" s="3" t="n">
        <v>5.727461475946071</v>
      </c>
      <c r="AY684" s="3" t="n">
        <v>5.956559934983914</v>
      </c>
      <c r="AZ684" s="3" t="n">
        <v>6.194822332383271</v>
      </c>
      <c r="BA684" s="3" t="n">
        <v>6.442615225678602</v>
      </c>
      <c r="BC684" s="20" t="inlineStr">
        <is>
          <t>egy.mit.cc.glo.all.nga.4</t>
        </is>
      </c>
      <c r="BD684" s="3" t="n">
        <v>3.057938507933302</v>
      </c>
      <c r="BE684" s="3" t="n">
        <v>3.180256048250635</v>
      </c>
      <c r="BF684" s="3" t="n">
        <v>3.30746629018066</v>
      </c>
      <c r="BG684" s="3" t="n">
        <v>3.439764941787887</v>
      </c>
      <c r="BH684" s="3" t="n">
        <v>3.577355539459402</v>
      </c>
      <c r="BI684" s="3" t="n">
        <v>3.720449761037778</v>
      </c>
      <c r="BJ684" s="3" t="n">
        <v>3.869267751479289</v>
      </c>
      <c r="BK684" s="3" t="n">
        <v>4.024038461538461</v>
      </c>
      <c r="BL684" s="3" t="n">
        <v>4.185</v>
      </c>
      <c r="BM684" s="3" t="n">
        <v>4.352399999999999</v>
      </c>
      <c r="BN684" s="3" t="n">
        <v>4.526496</v>
      </c>
      <c r="BO684" s="3" t="n">
        <v>4.707555839999999</v>
      </c>
      <c r="BP684" s="3" t="n">
        <v>4.8958580736</v>
      </c>
      <c r="BQ684" s="3" t="n">
        <v>5.091692396544</v>
      </c>
      <c r="BR684" s="3" t="n">
        <v>5.295360092405761</v>
      </c>
      <c r="BS684" s="3" t="n">
        <v>5.507174496101992</v>
      </c>
      <c r="BT684" s="3" t="n">
        <v>5.727461475946071</v>
      </c>
      <c r="BU684" s="3" t="n">
        <v>5.956559934983914</v>
      </c>
      <c r="BV684" s="3" t="n">
        <v>6.194822332383271</v>
      </c>
      <c r="BW684" s="3" t="n">
        <v>6.442615225678602</v>
      </c>
      <c r="BY684" s="20" t="inlineStr">
        <is>
          <t>egy.mit.cc.glo.all.nga.5</t>
        </is>
      </c>
      <c r="BZ684" s="3" t="n">
        <v>3.057938507933302</v>
      </c>
      <c r="CA684" s="3" t="n">
        <v>3.180256048250635</v>
      </c>
      <c r="CB684" s="3" t="n">
        <v>3.30746629018066</v>
      </c>
      <c r="CC684" s="3" t="n">
        <v>3.439764941787887</v>
      </c>
      <c r="CD684" s="3" t="n">
        <v>3.577355539459402</v>
      </c>
      <c r="CE684" s="3" t="n">
        <v>3.720449761037778</v>
      </c>
      <c r="CF684" s="3" t="n">
        <v>3.869267751479289</v>
      </c>
      <c r="CG684" s="3" t="n">
        <v>4.024038461538461</v>
      </c>
      <c r="CH684" s="3" t="n">
        <v>4.185</v>
      </c>
      <c r="CI684" s="3" t="n">
        <v>4.352399999999999</v>
      </c>
      <c r="CJ684" s="3" t="n">
        <v>4.526496</v>
      </c>
      <c r="CK684" s="3" t="n">
        <v>4.707555839999999</v>
      </c>
      <c r="CL684" s="3" t="n">
        <v>4.8958580736</v>
      </c>
      <c r="CM684" s="3" t="n">
        <v>5.091692396544</v>
      </c>
      <c r="CN684" s="3" t="n">
        <v>5.295360092405761</v>
      </c>
      <c r="CO684" s="3" t="n">
        <v>5.507174496101992</v>
      </c>
      <c r="CP684" s="3" t="n">
        <v>5.727461475946071</v>
      </c>
      <c r="CQ684" s="3" t="n">
        <v>5.956559934983914</v>
      </c>
      <c r="CR684" s="3" t="n">
        <v>6.194822332383271</v>
      </c>
      <c r="CS684" s="3" t="n">
        <v>6.442615225678602</v>
      </c>
      <c r="CU684" s="20" t="inlineStr">
        <is>
          <t>egy.mit.cc.glo.all.nga.6</t>
        </is>
      </c>
      <c r="CV684" s="3" t="n">
        <v>3.057938507933302</v>
      </c>
      <c r="CW684" s="3" t="n">
        <v>3.180256048250635</v>
      </c>
      <c r="CX684" s="3" t="n">
        <v>3.30746629018066</v>
      </c>
      <c r="CY684" s="3" t="n">
        <v>3.439764941787887</v>
      </c>
      <c r="CZ684" s="3" t="n">
        <v>3.577355539459402</v>
      </c>
      <c r="DA684" s="3" t="n">
        <v>3.720449761037778</v>
      </c>
      <c r="DB684" s="3" t="n">
        <v>3.869267751479289</v>
      </c>
      <c r="DC684" s="3" t="n">
        <v>4.024038461538461</v>
      </c>
      <c r="DD684" s="3" t="n">
        <v>4.185</v>
      </c>
      <c r="DE684" s="3" t="n">
        <v>4.352399999999999</v>
      </c>
      <c r="DF684" s="3" t="n">
        <v>4.526496</v>
      </c>
      <c r="DG684" s="3" t="n">
        <v>4.707555839999999</v>
      </c>
      <c r="DH684" s="3" t="n">
        <v>4.8958580736</v>
      </c>
      <c r="DI684" s="3" t="n">
        <v>5.091692396544</v>
      </c>
      <c r="DJ684" s="3" t="n">
        <v>5.295360092405761</v>
      </c>
      <c r="DK684" s="3" t="n">
        <v>5.507174496101992</v>
      </c>
      <c r="DL684" s="3" t="n">
        <v>5.727461475946071</v>
      </c>
      <c r="DM684" s="3" t="n">
        <v>5.956559934983914</v>
      </c>
      <c r="DN684" s="3" t="n">
        <v>6.194822332383271</v>
      </c>
      <c r="DO684" s="3" t="n">
        <v>6.442615225678602</v>
      </c>
    </row>
    <row r="685">
      <c r="A685" s="19" t="inlineStr">
        <is>
          <t>mit.cc.glo.all.gso</t>
        </is>
      </c>
      <c r="B685" s="3" t="inlineStr">
        <is>
          <t>mit</t>
        </is>
      </c>
      <c r="C685" s="19" t="inlineStr">
        <is>
          <t>mit.cc.code.gso</t>
        </is>
      </c>
      <c r="H685" s="3" t="inlineStr">
        <is>
          <t>Climate cost per GJ of fuel, global SCC | All sectors | Gasoline</t>
        </is>
      </c>
      <c r="I685" s="3" t="inlineStr">
        <is>
          <t>USD/GJ</t>
        </is>
      </c>
      <c r="K685" s="20" t="inlineStr">
        <is>
          <t>egy.mit.cc.glo.all.gso.1</t>
        </is>
      </c>
      <c r="L685" s="3" t="n">
        <v>3.691803127144961</v>
      </c>
      <c r="M685" s="3" t="n">
        <v>3.839475252230759</v>
      </c>
      <c r="N685" s="3" t="n">
        <v>3.99305426231999</v>
      </c>
      <c r="O685" s="3" t="n">
        <v>4.152776432812789</v>
      </c>
      <c r="P685" s="3" t="n">
        <v>4.318887490125301</v>
      </c>
      <c r="Q685" s="3" t="n">
        <v>4.491642989730313</v>
      </c>
      <c r="R685" s="3" t="n">
        <v>4.671308709319526</v>
      </c>
      <c r="S685" s="3" t="n">
        <v>4.858161057692307</v>
      </c>
      <c r="T685" s="3" t="n">
        <v>5.0524875</v>
      </c>
      <c r="U685" s="3" t="n">
        <v>5.254587</v>
      </c>
      <c r="V685" s="3" t="n">
        <v>5.46477048</v>
      </c>
      <c r="W685" s="3" t="n">
        <v>5.6833612992</v>
      </c>
      <c r="X685" s="3" t="n">
        <v>5.910695751168</v>
      </c>
      <c r="Y685" s="3" t="n">
        <v>6.14712358121472</v>
      </c>
      <c r="Z685" s="3" t="n">
        <v>6.39300852446331</v>
      </c>
      <c r="AA685" s="3" t="n">
        <v>6.648728865441842</v>
      </c>
      <c r="AB685" s="3" t="n">
        <v>6.914678020059516</v>
      </c>
      <c r="AC685" s="3" t="n">
        <v>7.191265140861897</v>
      </c>
      <c r="AD685" s="3" t="n">
        <v>7.478915746496373</v>
      </c>
      <c r="AE685" s="3" t="n">
        <v>7.778072376356229</v>
      </c>
      <c r="AG685" s="20" t="inlineStr">
        <is>
          <t>egy.mit.cc.glo.all.gso.3</t>
        </is>
      </c>
      <c r="AH685" s="3" t="n">
        <v>3.691803127144961</v>
      </c>
      <c r="AI685" s="3" t="n">
        <v>3.839475252230759</v>
      </c>
      <c r="AJ685" s="3" t="n">
        <v>3.99305426231999</v>
      </c>
      <c r="AK685" s="3" t="n">
        <v>4.152776432812789</v>
      </c>
      <c r="AL685" s="3" t="n">
        <v>4.318887490125301</v>
      </c>
      <c r="AM685" s="3" t="n">
        <v>4.491642989730313</v>
      </c>
      <c r="AN685" s="3" t="n">
        <v>4.671308709319526</v>
      </c>
      <c r="AO685" s="3" t="n">
        <v>4.858161057692307</v>
      </c>
      <c r="AP685" s="3" t="n">
        <v>5.0524875</v>
      </c>
      <c r="AQ685" s="3" t="n">
        <v>5.254587</v>
      </c>
      <c r="AR685" s="3" t="n">
        <v>5.46477048</v>
      </c>
      <c r="AS685" s="3" t="n">
        <v>5.6833612992</v>
      </c>
      <c r="AT685" s="3" t="n">
        <v>5.910695751168</v>
      </c>
      <c r="AU685" s="3" t="n">
        <v>6.14712358121472</v>
      </c>
      <c r="AV685" s="3" t="n">
        <v>6.39300852446331</v>
      </c>
      <c r="AW685" s="3" t="n">
        <v>6.648728865441842</v>
      </c>
      <c r="AX685" s="3" t="n">
        <v>6.914678020059516</v>
      </c>
      <c r="AY685" s="3" t="n">
        <v>7.191265140861897</v>
      </c>
      <c r="AZ685" s="3" t="n">
        <v>7.478915746496373</v>
      </c>
      <c r="BA685" s="3" t="n">
        <v>7.778072376356229</v>
      </c>
      <c r="BC685" s="20" t="inlineStr">
        <is>
          <t>egy.mit.cc.glo.all.gso.4</t>
        </is>
      </c>
      <c r="BD685" s="3" t="n">
        <v>3.691803127144961</v>
      </c>
      <c r="BE685" s="3" t="n">
        <v>3.839475252230759</v>
      </c>
      <c r="BF685" s="3" t="n">
        <v>3.99305426231999</v>
      </c>
      <c r="BG685" s="3" t="n">
        <v>4.152776432812789</v>
      </c>
      <c r="BH685" s="3" t="n">
        <v>4.318887490125301</v>
      </c>
      <c r="BI685" s="3" t="n">
        <v>4.491642989730313</v>
      </c>
      <c r="BJ685" s="3" t="n">
        <v>4.671308709319526</v>
      </c>
      <c r="BK685" s="3" t="n">
        <v>4.858161057692307</v>
      </c>
      <c r="BL685" s="3" t="n">
        <v>5.0524875</v>
      </c>
      <c r="BM685" s="3" t="n">
        <v>5.254587</v>
      </c>
      <c r="BN685" s="3" t="n">
        <v>5.46477048</v>
      </c>
      <c r="BO685" s="3" t="n">
        <v>5.6833612992</v>
      </c>
      <c r="BP685" s="3" t="n">
        <v>5.910695751168</v>
      </c>
      <c r="BQ685" s="3" t="n">
        <v>6.14712358121472</v>
      </c>
      <c r="BR685" s="3" t="n">
        <v>6.39300852446331</v>
      </c>
      <c r="BS685" s="3" t="n">
        <v>6.648728865441842</v>
      </c>
      <c r="BT685" s="3" t="n">
        <v>6.914678020059516</v>
      </c>
      <c r="BU685" s="3" t="n">
        <v>7.191265140861897</v>
      </c>
      <c r="BV685" s="3" t="n">
        <v>7.478915746496373</v>
      </c>
      <c r="BW685" s="3" t="n">
        <v>7.778072376356229</v>
      </c>
      <c r="BY685" s="20" t="inlineStr">
        <is>
          <t>egy.mit.cc.glo.all.gso.5</t>
        </is>
      </c>
      <c r="BZ685" s="3" t="n">
        <v>3.691803127144961</v>
      </c>
      <c r="CA685" s="3" t="n">
        <v>3.839475252230759</v>
      </c>
      <c r="CB685" s="3" t="n">
        <v>3.99305426231999</v>
      </c>
      <c r="CC685" s="3" t="n">
        <v>4.152776432812789</v>
      </c>
      <c r="CD685" s="3" t="n">
        <v>4.318887490125301</v>
      </c>
      <c r="CE685" s="3" t="n">
        <v>4.491642989730313</v>
      </c>
      <c r="CF685" s="3" t="n">
        <v>4.671308709319526</v>
      </c>
      <c r="CG685" s="3" t="n">
        <v>4.858161057692307</v>
      </c>
      <c r="CH685" s="3" t="n">
        <v>5.0524875</v>
      </c>
      <c r="CI685" s="3" t="n">
        <v>5.254587</v>
      </c>
      <c r="CJ685" s="3" t="n">
        <v>5.46477048</v>
      </c>
      <c r="CK685" s="3" t="n">
        <v>5.6833612992</v>
      </c>
      <c r="CL685" s="3" t="n">
        <v>5.910695751168</v>
      </c>
      <c r="CM685" s="3" t="n">
        <v>6.14712358121472</v>
      </c>
      <c r="CN685" s="3" t="n">
        <v>6.39300852446331</v>
      </c>
      <c r="CO685" s="3" t="n">
        <v>6.648728865441842</v>
      </c>
      <c r="CP685" s="3" t="n">
        <v>6.914678020059516</v>
      </c>
      <c r="CQ685" s="3" t="n">
        <v>7.191265140861897</v>
      </c>
      <c r="CR685" s="3" t="n">
        <v>7.478915746496373</v>
      </c>
      <c r="CS685" s="3" t="n">
        <v>7.778072376356229</v>
      </c>
      <c r="CU685" s="20" t="inlineStr">
        <is>
          <t>egy.mit.cc.glo.all.gso.6</t>
        </is>
      </c>
      <c r="CV685" s="3" t="n">
        <v>3.691803127144961</v>
      </c>
      <c r="CW685" s="3" t="n">
        <v>3.839475252230759</v>
      </c>
      <c r="CX685" s="3" t="n">
        <v>3.99305426231999</v>
      </c>
      <c r="CY685" s="3" t="n">
        <v>4.152776432812789</v>
      </c>
      <c r="CZ685" s="3" t="n">
        <v>4.318887490125301</v>
      </c>
      <c r="DA685" s="3" t="n">
        <v>4.491642989730313</v>
      </c>
      <c r="DB685" s="3" t="n">
        <v>4.671308709319526</v>
      </c>
      <c r="DC685" s="3" t="n">
        <v>4.858161057692307</v>
      </c>
      <c r="DD685" s="3" t="n">
        <v>5.0524875</v>
      </c>
      <c r="DE685" s="3" t="n">
        <v>5.254587</v>
      </c>
      <c r="DF685" s="3" t="n">
        <v>5.46477048</v>
      </c>
      <c r="DG685" s="3" t="n">
        <v>5.6833612992</v>
      </c>
      <c r="DH685" s="3" t="n">
        <v>5.910695751168</v>
      </c>
      <c r="DI685" s="3" t="n">
        <v>6.14712358121472</v>
      </c>
      <c r="DJ685" s="3" t="n">
        <v>6.39300852446331</v>
      </c>
      <c r="DK685" s="3" t="n">
        <v>6.648728865441842</v>
      </c>
      <c r="DL685" s="3" t="n">
        <v>6.914678020059516</v>
      </c>
      <c r="DM685" s="3" t="n">
        <v>7.191265140861897</v>
      </c>
      <c r="DN685" s="3" t="n">
        <v>7.478915746496373</v>
      </c>
      <c r="DO685" s="3" t="n">
        <v>7.778072376356229</v>
      </c>
    </row>
    <row r="686">
      <c r="A686" s="19" t="inlineStr">
        <is>
          <t>mit.cc.glo.all.die</t>
        </is>
      </c>
      <c r="B686" s="3" t="inlineStr">
        <is>
          <t>mit</t>
        </is>
      </c>
      <c r="C686" s="19" t="inlineStr">
        <is>
          <t>mit.cc.code.die</t>
        </is>
      </c>
      <c r="H686" s="3" t="inlineStr">
        <is>
          <t>Climate cost per GJ of fuel, global SCC | All sectors | Diesel</t>
        </is>
      </c>
      <c r="I686" s="3" t="inlineStr">
        <is>
          <t>USD/GJ</t>
        </is>
      </c>
      <c r="K686" s="20" t="inlineStr">
        <is>
          <t>egy.mit.cc.glo.all.die.1</t>
        </is>
      </c>
      <c r="L686" s="3" t="n">
        <v>3.951453891492416</v>
      </c>
      <c r="M686" s="3" t="n">
        <v>4.109512047152113</v>
      </c>
      <c r="N686" s="3" t="n">
        <v>4.273892529038198</v>
      </c>
      <c r="O686" s="3" t="n">
        <v>4.444848230199725</v>
      </c>
      <c r="P686" s="3" t="n">
        <v>4.622642159407715</v>
      </c>
      <c r="Q686" s="3" t="n">
        <v>4.807547845784023</v>
      </c>
      <c r="R686" s="3" t="n">
        <v>4.999849759615384</v>
      </c>
      <c r="S686" s="3" t="n">
        <v>5.19984375</v>
      </c>
      <c r="T686" s="3" t="n">
        <v>5.4078375</v>
      </c>
      <c r="U686" s="3" t="n">
        <v>5.624151</v>
      </c>
      <c r="V686" s="3" t="n">
        <v>5.84911704</v>
      </c>
      <c r="W686" s="3" t="n">
        <v>6.0830817216</v>
      </c>
      <c r="X686" s="3" t="n">
        <v>6.326404990464001</v>
      </c>
      <c r="Y686" s="3" t="n">
        <v>6.579461190082561</v>
      </c>
      <c r="Z686" s="3" t="n">
        <v>6.842639637685864</v>
      </c>
      <c r="AA686" s="3" t="n">
        <v>7.116345223193298</v>
      </c>
      <c r="AB686" s="3" t="n">
        <v>7.400999032121031</v>
      </c>
      <c r="AC686" s="3" t="n">
        <v>7.697038993405872</v>
      </c>
      <c r="AD686" s="3" t="n">
        <v>8.004920553142108</v>
      </c>
      <c r="AE686" s="3" t="n">
        <v>8.325117375267792</v>
      </c>
      <c r="AG686" s="20" t="inlineStr">
        <is>
          <t>egy.mit.cc.glo.all.die.3</t>
        </is>
      </c>
      <c r="AH686" s="3" t="n">
        <v>3.951453891492416</v>
      </c>
      <c r="AI686" s="3" t="n">
        <v>4.109512047152113</v>
      </c>
      <c r="AJ686" s="3" t="n">
        <v>4.273892529038198</v>
      </c>
      <c r="AK686" s="3" t="n">
        <v>4.444848230199725</v>
      </c>
      <c r="AL686" s="3" t="n">
        <v>4.622642159407715</v>
      </c>
      <c r="AM686" s="3" t="n">
        <v>4.807547845784023</v>
      </c>
      <c r="AN686" s="3" t="n">
        <v>4.999849759615384</v>
      </c>
      <c r="AO686" s="3" t="n">
        <v>5.19984375</v>
      </c>
      <c r="AP686" s="3" t="n">
        <v>5.4078375</v>
      </c>
      <c r="AQ686" s="3" t="n">
        <v>5.624151</v>
      </c>
      <c r="AR686" s="3" t="n">
        <v>5.84911704</v>
      </c>
      <c r="AS686" s="3" t="n">
        <v>6.0830817216</v>
      </c>
      <c r="AT686" s="3" t="n">
        <v>6.326404990464001</v>
      </c>
      <c r="AU686" s="3" t="n">
        <v>6.579461190082561</v>
      </c>
      <c r="AV686" s="3" t="n">
        <v>6.842639637685864</v>
      </c>
      <c r="AW686" s="3" t="n">
        <v>7.116345223193298</v>
      </c>
      <c r="AX686" s="3" t="n">
        <v>7.400999032121031</v>
      </c>
      <c r="AY686" s="3" t="n">
        <v>7.697038993405872</v>
      </c>
      <c r="AZ686" s="3" t="n">
        <v>8.004920553142108</v>
      </c>
      <c r="BA686" s="3" t="n">
        <v>8.325117375267792</v>
      </c>
      <c r="BC686" s="20" t="inlineStr">
        <is>
          <t>egy.mit.cc.glo.all.die.4</t>
        </is>
      </c>
      <c r="BD686" s="3" t="n">
        <v>3.951453891492416</v>
      </c>
      <c r="BE686" s="3" t="n">
        <v>4.109512047152113</v>
      </c>
      <c r="BF686" s="3" t="n">
        <v>4.273892529038198</v>
      </c>
      <c r="BG686" s="3" t="n">
        <v>4.444848230199725</v>
      </c>
      <c r="BH686" s="3" t="n">
        <v>4.622642159407715</v>
      </c>
      <c r="BI686" s="3" t="n">
        <v>4.807547845784023</v>
      </c>
      <c r="BJ686" s="3" t="n">
        <v>4.999849759615384</v>
      </c>
      <c r="BK686" s="3" t="n">
        <v>5.19984375</v>
      </c>
      <c r="BL686" s="3" t="n">
        <v>5.4078375</v>
      </c>
      <c r="BM686" s="3" t="n">
        <v>5.624151</v>
      </c>
      <c r="BN686" s="3" t="n">
        <v>5.84911704</v>
      </c>
      <c r="BO686" s="3" t="n">
        <v>6.0830817216</v>
      </c>
      <c r="BP686" s="3" t="n">
        <v>6.326404990464001</v>
      </c>
      <c r="BQ686" s="3" t="n">
        <v>6.579461190082561</v>
      </c>
      <c r="BR686" s="3" t="n">
        <v>6.842639637685864</v>
      </c>
      <c r="BS686" s="3" t="n">
        <v>7.116345223193298</v>
      </c>
      <c r="BT686" s="3" t="n">
        <v>7.400999032121031</v>
      </c>
      <c r="BU686" s="3" t="n">
        <v>7.697038993405872</v>
      </c>
      <c r="BV686" s="3" t="n">
        <v>8.004920553142108</v>
      </c>
      <c r="BW686" s="3" t="n">
        <v>8.325117375267792</v>
      </c>
      <c r="BY686" s="20" t="inlineStr">
        <is>
          <t>egy.mit.cc.glo.all.die.5</t>
        </is>
      </c>
      <c r="BZ686" s="3" t="n">
        <v>3.951453891492416</v>
      </c>
      <c r="CA686" s="3" t="n">
        <v>4.109512047152113</v>
      </c>
      <c r="CB686" s="3" t="n">
        <v>4.273892529038198</v>
      </c>
      <c r="CC686" s="3" t="n">
        <v>4.444848230199725</v>
      </c>
      <c r="CD686" s="3" t="n">
        <v>4.622642159407715</v>
      </c>
      <c r="CE686" s="3" t="n">
        <v>4.807547845784023</v>
      </c>
      <c r="CF686" s="3" t="n">
        <v>4.999849759615384</v>
      </c>
      <c r="CG686" s="3" t="n">
        <v>5.19984375</v>
      </c>
      <c r="CH686" s="3" t="n">
        <v>5.4078375</v>
      </c>
      <c r="CI686" s="3" t="n">
        <v>5.624151</v>
      </c>
      <c r="CJ686" s="3" t="n">
        <v>5.84911704</v>
      </c>
      <c r="CK686" s="3" t="n">
        <v>6.0830817216</v>
      </c>
      <c r="CL686" s="3" t="n">
        <v>6.326404990464001</v>
      </c>
      <c r="CM686" s="3" t="n">
        <v>6.579461190082561</v>
      </c>
      <c r="CN686" s="3" t="n">
        <v>6.842639637685864</v>
      </c>
      <c r="CO686" s="3" t="n">
        <v>7.116345223193298</v>
      </c>
      <c r="CP686" s="3" t="n">
        <v>7.400999032121031</v>
      </c>
      <c r="CQ686" s="3" t="n">
        <v>7.697038993405872</v>
      </c>
      <c r="CR686" s="3" t="n">
        <v>8.004920553142108</v>
      </c>
      <c r="CS686" s="3" t="n">
        <v>8.325117375267792</v>
      </c>
      <c r="CU686" s="20" t="inlineStr">
        <is>
          <t>egy.mit.cc.glo.all.die.6</t>
        </is>
      </c>
      <c r="CV686" s="3" t="n">
        <v>3.951453891492416</v>
      </c>
      <c r="CW686" s="3" t="n">
        <v>4.109512047152113</v>
      </c>
      <c r="CX686" s="3" t="n">
        <v>4.273892529038198</v>
      </c>
      <c r="CY686" s="3" t="n">
        <v>4.444848230199725</v>
      </c>
      <c r="CZ686" s="3" t="n">
        <v>4.622642159407715</v>
      </c>
      <c r="DA686" s="3" t="n">
        <v>4.807547845784023</v>
      </c>
      <c r="DB686" s="3" t="n">
        <v>4.999849759615384</v>
      </c>
      <c r="DC686" s="3" t="n">
        <v>5.19984375</v>
      </c>
      <c r="DD686" s="3" t="n">
        <v>5.4078375</v>
      </c>
      <c r="DE686" s="3" t="n">
        <v>5.624151</v>
      </c>
      <c r="DF686" s="3" t="n">
        <v>5.84911704</v>
      </c>
      <c r="DG686" s="3" t="n">
        <v>6.0830817216</v>
      </c>
      <c r="DH686" s="3" t="n">
        <v>6.326404990464001</v>
      </c>
      <c r="DI686" s="3" t="n">
        <v>6.579461190082561</v>
      </c>
      <c r="DJ686" s="3" t="n">
        <v>6.842639637685864</v>
      </c>
      <c r="DK686" s="3" t="n">
        <v>7.116345223193298</v>
      </c>
      <c r="DL686" s="3" t="n">
        <v>7.400999032121031</v>
      </c>
      <c r="DM686" s="3" t="n">
        <v>7.697038993405872</v>
      </c>
      <c r="DN686" s="3" t="n">
        <v>8.004920553142108</v>
      </c>
      <c r="DO686" s="3" t="n">
        <v>8.325117375267792</v>
      </c>
    </row>
    <row r="687">
      <c r="A687" s="19" t="inlineStr">
        <is>
          <t>mit.cc.glo.all.lpg</t>
        </is>
      </c>
      <c r="B687" s="3" t="inlineStr">
        <is>
          <t>mit</t>
        </is>
      </c>
      <c r="C687" s="19" t="inlineStr">
        <is>
          <t>mit.cc.code.lpg</t>
        </is>
      </c>
      <c r="H687" s="3" t="inlineStr">
        <is>
          <t>Climate cost per GJ of fuel, global SCC | All sectors | LPG</t>
        </is>
      </c>
      <c r="I687" s="3" t="inlineStr">
        <is>
          <t>USD/GJ</t>
        </is>
      </c>
      <c r="K687" s="20" t="inlineStr">
        <is>
          <t>egy.mit.cc.glo.all.lpg.1</t>
        </is>
      </c>
      <c r="L687" s="3" t="n">
        <v>3.759401104735207</v>
      </c>
      <c r="M687" s="3" t="n">
        <v>3.909777148924615</v>
      </c>
      <c r="N687" s="3" t="n">
        <v>4.0661682348816</v>
      </c>
      <c r="O687" s="3" t="n">
        <v>4.228814964276864</v>
      </c>
      <c r="P687" s="3" t="n">
        <v>4.397967562847938</v>
      </c>
      <c r="Q687" s="3" t="n">
        <v>4.573886265361856</v>
      </c>
      <c r="R687" s="3" t="n">
        <v>4.75684171597633</v>
      </c>
      <c r="S687" s="3" t="n">
        <v>4.947115384615384</v>
      </c>
      <c r="T687" s="3" t="n">
        <v>5.145</v>
      </c>
      <c r="U687" s="3" t="n">
        <v>5.3508</v>
      </c>
      <c r="V687" s="3" t="n">
        <v>5.564832</v>
      </c>
      <c r="W687" s="3" t="n">
        <v>5.78742528</v>
      </c>
      <c r="X687" s="3" t="n">
        <v>6.0189222912</v>
      </c>
      <c r="Y687" s="3" t="n">
        <v>6.259679182848</v>
      </c>
      <c r="Z687" s="3" t="n">
        <v>6.510066350161921</v>
      </c>
      <c r="AA687" s="3" t="n">
        <v>6.770469004168397</v>
      </c>
      <c r="AB687" s="3" t="n">
        <v>7.041287764335133</v>
      </c>
      <c r="AC687" s="3" t="n">
        <v>7.322939274908539</v>
      </c>
      <c r="AD687" s="3" t="n">
        <v>7.615856845904881</v>
      </c>
      <c r="AE687" s="3" t="n">
        <v>7.920491119741077</v>
      </c>
      <c r="AG687" s="20" t="inlineStr">
        <is>
          <t>egy.mit.cc.glo.all.lpg.3</t>
        </is>
      </c>
      <c r="AH687" s="3" t="n">
        <v>3.759401104735207</v>
      </c>
      <c r="AI687" s="3" t="n">
        <v>3.909777148924615</v>
      </c>
      <c r="AJ687" s="3" t="n">
        <v>4.0661682348816</v>
      </c>
      <c r="AK687" s="3" t="n">
        <v>4.228814964276864</v>
      </c>
      <c r="AL687" s="3" t="n">
        <v>4.397967562847938</v>
      </c>
      <c r="AM687" s="3" t="n">
        <v>4.573886265361856</v>
      </c>
      <c r="AN687" s="3" t="n">
        <v>4.75684171597633</v>
      </c>
      <c r="AO687" s="3" t="n">
        <v>4.947115384615384</v>
      </c>
      <c r="AP687" s="3" t="n">
        <v>5.145</v>
      </c>
      <c r="AQ687" s="3" t="n">
        <v>5.3508</v>
      </c>
      <c r="AR687" s="3" t="n">
        <v>5.564832</v>
      </c>
      <c r="AS687" s="3" t="n">
        <v>5.78742528</v>
      </c>
      <c r="AT687" s="3" t="n">
        <v>6.0189222912</v>
      </c>
      <c r="AU687" s="3" t="n">
        <v>6.259679182848</v>
      </c>
      <c r="AV687" s="3" t="n">
        <v>6.510066350161921</v>
      </c>
      <c r="AW687" s="3" t="n">
        <v>6.770469004168397</v>
      </c>
      <c r="AX687" s="3" t="n">
        <v>7.041287764335133</v>
      </c>
      <c r="AY687" s="3" t="n">
        <v>7.322939274908539</v>
      </c>
      <c r="AZ687" s="3" t="n">
        <v>7.615856845904881</v>
      </c>
      <c r="BA687" s="3" t="n">
        <v>7.920491119741077</v>
      </c>
      <c r="BC687" s="20" t="inlineStr">
        <is>
          <t>egy.mit.cc.glo.all.lpg.4</t>
        </is>
      </c>
      <c r="BD687" s="3" t="n">
        <v>3.759401104735207</v>
      </c>
      <c r="BE687" s="3" t="n">
        <v>3.909777148924615</v>
      </c>
      <c r="BF687" s="3" t="n">
        <v>4.0661682348816</v>
      </c>
      <c r="BG687" s="3" t="n">
        <v>4.228814964276864</v>
      </c>
      <c r="BH687" s="3" t="n">
        <v>4.397967562847938</v>
      </c>
      <c r="BI687" s="3" t="n">
        <v>4.573886265361856</v>
      </c>
      <c r="BJ687" s="3" t="n">
        <v>4.75684171597633</v>
      </c>
      <c r="BK687" s="3" t="n">
        <v>4.947115384615384</v>
      </c>
      <c r="BL687" s="3" t="n">
        <v>5.145</v>
      </c>
      <c r="BM687" s="3" t="n">
        <v>5.3508</v>
      </c>
      <c r="BN687" s="3" t="n">
        <v>5.564832</v>
      </c>
      <c r="BO687" s="3" t="n">
        <v>5.78742528</v>
      </c>
      <c r="BP687" s="3" t="n">
        <v>6.0189222912</v>
      </c>
      <c r="BQ687" s="3" t="n">
        <v>6.259679182848</v>
      </c>
      <c r="BR687" s="3" t="n">
        <v>6.510066350161921</v>
      </c>
      <c r="BS687" s="3" t="n">
        <v>6.770469004168397</v>
      </c>
      <c r="BT687" s="3" t="n">
        <v>7.041287764335133</v>
      </c>
      <c r="BU687" s="3" t="n">
        <v>7.322939274908539</v>
      </c>
      <c r="BV687" s="3" t="n">
        <v>7.615856845904881</v>
      </c>
      <c r="BW687" s="3" t="n">
        <v>7.920491119741077</v>
      </c>
      <c r="BY687" s="20" t="inlineStr">
        <is>
          <t>egy.mit.cc.glo.all.lpg.5</t>
        </is>
      </c>
      <c r="BZ687" s="3" t="n">
        <v>3.759401104735207</v>
      </c>
      <c r="CA687" s="3" t="n">
        <v>3.909777148924615</v>
      </c>
      <c r="CB687" s="3" t="n">
        <v>4.0661682348816</v>
      </c>
      <c r="CC687" s="3" t="n">
        <v>4.228814964276864</v>
      </c>
      <c r="CD687" s="3" t="n">
        <v>4.397967562847938</v>
      </c>
      <c r="CE687" s="3" t="n">
        <v>4.573886265361856</v>
      </c>
      <c r="CF687" s="3" t="n">
        <v>4.75684171597633</v>
      </c>
      <c r="CG687" s="3" t="n">
        <v>4.947115384615384</v>
      </c>
      <c r="CH687" s="3" t="n">
        <v>5.145</v>
      </c>
      <c r="CI687" s="3" t="n">
        <v>5.3508</v>
      </c>
      <c r="CJ687" s="3" t="n">
        <v>5.564832</v>
      </c>
      <c r="CK687" s="3" t="n">
        <v>5.78742528</v>
      </c>
      <c r="CL687" s="3" t="n">
        <v>6.0189222912</v>
      </c>
      <c r="CM687" s="3" t="n">
        <v>6.259679182848</v>
      </c>
      <c r="CN687" s="3" t="n">
        <v>6.510066350161921</v>
      </c>
      <c r="CO687" s="3" t="n">
        <v>6.770469004168397</v>
      </c>
      <c r="CP687" s="3" t="n">
        <v>7.041287764335133</v>
      </c>
      <c r="CQ687" s="3" t="n">
        <v>7.322939274908539</v>
      </c>
      <c r="CR687" s="3" t="n">
        <v>7.615856845904881</v>
      </c>
      <c r="CS687" s="3" t="n">
        <v>7.920491119741077</v>
      </c>
      <c r="CU687" s="20" t="inlineStr">
        <is>
          <t>egy.mit.cc.glo.all.lpg.6</t>
        </is>
      </c>
      <c r="CV687" s="3" t="n">
        <v>3.759401104735207</v>
      </c>
      <c r="CW687" s="3" t="n">
        <v>3.909777148924615</v>
      </c>
      <c r="CX687" s="3" t="n">
        <v>4.0661682348816</v>
      </c>
      <c r="CY687" s="3" t="n">
        <v>4.228814964276864</v>
      </c>
      <c r="CZ687" s="3" t="n">
        <v>4.397967562847938</v>
      </c>
      <c r="DA687" s="3" t="n">
        <v>4.573886265361856</v>
      </c>
      <c r="DB687" s="3" t="n">
        <v>4.75684171597633</v>
      </c>
      <c r="DC687" s="3" t="n">
        <v>4.947115384615384</v>
      </c>
      <c r="DD687" s="3" t="n">
        <v>5.145</v>
      </c>
      <c r="DE687" s="3" t="n">
        <v>5.3508</v>
      </c>
      <c r="DF687" s="3" t="n">
        <v>5.564832</v>
      </c>
      <c r="DG687" s="3" t="n">
        <v>5.78742528</v>
      </c>
      <c r="DH687" s="3" t="n">
        <v>6.0189222912</v>
      </c>
      <c r="DI687" s="3" t="n">
        <v>6.259679182848</v>
      </c>
      <c r="DJ687" s="3" t="n">
        <v>6.510066350161921</v>
      </c>
      <c r="DK687" s="3" t="n">
        <v>6.770469004168397</v>
      </c>
      <c r="DL687" s="3" t="n">
        <v>7.041287764335133</v>
      </c>
      <c r="DM687" s="3" t="n">
        <v>7.322939274908539</v>
      </c>
      <c r="DN687" s="3" t="n">
        <v>7.615856845904881</v>
      </c>
      <c r="DO687" s="3" t="n">
        <v>7.920491119741077</v>
      </c>
    </row>
    <row r="688">
      <c r="A688" s="19" t="inlineStr">
        <is>
          <t>mit.cc.glo.all.ker</t>
        </is>
      </c>
      <c r="B688" s="3" t="inlineStr">
        <is>
          <t>mit</t>
        </is>
      </c>
      <c r="C688" s="19" t="inlineStr">
        <is>
          <t>mit.cc.code.ker</t>
        </is>
      </c>
      <c r="H688" s="3" t="inlineStr">
        <is>
          <t>Climate cost per GJ of fuel, global SCC | All sectors | Kerosene</t>
        </is>
      </c>
      <c r="I688" s="3" t="inlineStr">
        <is>
          <t>USD/GJ</t>
        </is>
      </c>
      <c r="K688" s="20" t="inlineStr">
        <is>
          <t>egy.mit.cc.glo.all.ker.1</t>
        </is>
      </c>
      <c r="L688" s="3" t="n">
        <v>3.736055552685394</v>
      </c>
      <c r="M688" s="3" t="n">
        <v>3.88549777479281</v>
      </c>
      <c r="N688" s="3" t="n">
        <v>4.040917685784523</v>
      </c>
      <c r="O688" s="3" t="n">
        <v>4.202554393215904</v>
      </c>
      <c r="P688" s="3" t="n">
        <v>4.37065656894454</v>
      </c>
      <c r="Q688" s="3" t="n">
        <v>4.545482831702321</v>
      </c>
      <c r="R688" s="3" t="n">
        <v>4.727302144970415</v>
      </c>
      <c r="S688" s="3" t="n">
        <v>4.916394230769232</v>
      </c>
      <c r="T688" s="3" t="n">
        <v>5.113050000000001</v>
      </c>
      <c r="U688" s="3" t="n">
        <v>5.317572000000001</v>
      </c>
      <c r="V688" s="3" t="n">
        <v>5.530274880000001</v>
      </c>
      <c r="W688" s="3" t="n">
        <v>5.751485875200001</v>
      </c>
      <c r="X688" s="3" t="n">
        <v>5.981545310208002</v>
      </c>
      <c r="Y688" s="3" t="n">
        <v>6.220807122616321</v>
      </c>
      <c r="Z688" s="3" t="n">
        <v>6.469639407520975</v>
      </c>
      <c r="AA688" s="3" t="n">
        <v>6.728424983821815</v>
      </c>
      <c r="AB688" s="3" t="n">
        <v>6.997561983174687</v>
      </c>
      <c r="AC688" s="3" t="n">
        <v>7.277464462501674</v>
      </c>
      <c r="AD688" s="3" t="n">
        <v>7.568563041001743</v>
      </c>
      <c r="AE688" s="3" t="n">
        <v>7.871305562641813</v>
      </c>
      <c r="AG688" s="20" t="inlineStr">
        <is>
          <t>egy.mit.cc.glo.all.ker.3</t>
        </is>
      </c>
      <c r="AH688" s="3" t="n">
        <v>3.736055552685394</v>
      </c>
      <c r="AI688" s="3" t="n">
        <v>3.88549777479281</v>
      </c>
      <c r="AJ688" s="3" t="n">
        <v>4.040917685784523</v>
      </c>
      <c r="AK688" s="3" t="n">
        <v>4.202554393215904</v>
      </c>
      <c r="AL688" s="3" t="n">
        <v>4.37065656894454</v>
      </c>
      <c r="AM688" s="3" t="n">
        <v>4.545482831702321</v>
      </c>
      <c r="AN688" s="3" t="n">
        <v>4.727302144970415</v>
      </c>
      <c r="AO688" s="3" t="n">
        <v>4.916394230769232</v>
      </c>
      <c r="AP688" s="3" t="n">
        <v>5.113050000000001</v>
      </c>
      <c r="AQ688" s="3" t="n">
        <v>5.317572000000001</v>
      </c>
      <c r="AR688" s="3" t="n">
        <v>5.530274880000001</v>
      </c>
      <c r="AS688" s="3" t="n">
        <v>5.751485875200001</v>
      </c>
      <c r="AT688" s="3" t="n">
        <v>5.981545310208002</v>
      </c>
      <c r="AU688" s="3" t="n">
        <v>6.220807122616321</v>
      </c>
      <c r="AV688" s="3" t="n">
        <v>6.469639407520975</v>
      </c>
      <c r="AW688" s="3" t="n">
        <v>6.728424983821815</v>
      </c>
      <c r="AX688" s="3" t="n">
        <v>6.997561983174687</v>
      </c>
      <c r="AY688" s="3" t="n">
        <v>7.277464462501674</v>
      </c>
      <c r="AZ688" s="3" t="n">
        <v>7.568563041001743</v>
      </c>
      <c r="BA688" s="3" t="n">
        <v>7.871305562641813</v>
      </c>
      <c r="BC688" s="20" t="inlineStr">
        <is>
          <t>egy.mit.cc.glo.all.ker.4</t>
        </is>
      </c>
      <c r="BD688" s="3" t="n">
        <v>3.736055552685394</v>
      </c>
      <c r="BE688" s="3" t="n">
        <v>3.88549777479281</v>
      </c>
      <c r="BF688" s="3" t="n">
        <v>4.040917685784523</v>
      </c>
      <c r="BG688" s="3" t="n">
        <v>4.202554393215904</v>
      </c>
      <c r="BH688" s="3" t="n">
        <v>4.37065656894454</v>
      </c>
      <c r="BI688" s="3" t="n">
        <v>4.545482831702321</v>
      </c>
      <c r="BJ688" s="3" t="n">
        <v>4.727302144970415</v>
      </c>
      <c r="BK688" s="3" t="n">
        <v>4.916394230769232</v>
      </c>
      <c r="BL688" s="3" t="n">
        <v>5.113050000000001</v>
      </c>
      <c r="BM688" s="3" t="n">
        <v>5.317572000000001</v>
      </c>
      <c r="BN688" s="3" t="n">
        <v>5.530274880000001</v>
      </c>
      <c r="BO688" s="3" t="n">
        <v>5.751485875200001</v>
      </c>
      <c r="BP688" s="3" t="n">
        <v>5.981545310208002</v>
      </c>
      <c r="BQ688" s="3" t="n">
        <v>6.220807122616321</v>
      </c>
      <c r="BR688" s="3" t="n">
        <v>6.469639407520975</v>
      </c>
      <c r="BS688" s="3" t="n">
        <v>6.728424983821815</v>
      </c>
      <c r="BT688" s="3" t="n">
        <v>6.997561983174687</v>
      </c>
      <c r="BU688" s="3" t="n">
        <v>7.277464462501674</v>
      </c>
      <c r="BV688" s="3" t="n">
        <v>7.568563041001743</v>
      </c>
      <c r="BW688" s="3" t="n">
        <v>7.871305562641813</v>
      </c>
      <c r="BY688" s="20" t="inlineStr">
        <is>
          <t>egy.mit.cc.glo.all.ker.5</t>
        </is>
      </c>
      <c r="BZ688" s="3" t="n">
        <v>3.736055552685394</v>
      </c>
      <c r="CA688" s="3" t="n">
        <v>3.88549777479281</v>
      </c>
      <c r="CB688" s="3" t="n">
        <v>4.040917685784523</v>
      </c>
      <c r="CC688" s="3" t="n">
        <v>4.202554393215904</v>
      </c>
      <c r="CD688" s="3" t="n">
        <v>4.37065656894454</v>
      </c>
      <c r="CE688" s="3" t="n">
        <v>4.545482831702321</v>
      </c>
      <c r="CF688" s="3" t="n">
        <v>4.727302144970415</v>
      </c>
      <c r="CG688" s="3" t="n">
        <v>4.916394230769232</v>
      </c>
      <c r="CH688" s="3" t="n">
        <v>5.113050000000001</v>
      </c>
      <c r="CI688" s="3" t="n">
        <v>5.317572000000001</v>
      </c>
      <c r="CJ688" s="3" t="n">
        <v>5.530274880000001</v>
      </c>
      <c r="CK688" s="3" t="n">
        <v>5.751485875200001</v>
      </c>
      <c r="CL688" s="3" t="n">
        <v>5.981545310208002</v>
      </c>
      <c r="CM688" s="3" t="n">
        <v>6.220807122616321</v>
      </c>
      <c r="CN688" s="3" t="n">
        <v>6.469639407520975</v>
      </c>
      <c r="CO688" s="3" t="n">
        <v>6.728424983821815</v>
      </c>
      <c r="CP688" s="3" t="n">
        <v>6.997561983174687</v>
      </c>
      <c r="CQ688" s="3" t="n">
        <v>7.277464462501674</v>
      </c>
      <c r="CR688" s="3" t="n">
        <v>7.568563041001743</v>
      </c>
      <c r="CS688" s="3" t="n">
        <v>7.871305562641813</v>
      </c>
      <c r="CU688" s="20" t="inlineStr">
        <is>
          <t>egy.mit.cc.glo.all.ker.6</t>
        </is>
      </c>
      <c r="CV688" s="3" t="n">
        <v>3.736055552685394</v>
      </c>
      <c r="CW688" s="3" t="n">
        <v>3.88549777479281</v>
      </c>
      <c r="CX688" s="3" t="n">
        <v>4.040917685784523</v>
      </c>
      <c r="CY688" s="3" t="n">
        <v>4.202554393215904</v>
      </c>
      <c r="CZ688" s="3" t="n">
        <v>4.37065656894454</v>
      </c>
      <c r="DA688" s="3" t="n">
        <v>4.545482831702321</v>
      </c>
      <c r="DB688" s="3" t="n">
        <v>4.727302144970415</v>
      </c>
      <c r="DC688" s="3" t="n">
        <v>4.916394230769232</v>
      </c>
      <c r="DD688" s="3" t="n">
        <v>5.113050000000001</v>
      </c>
      <c r="DE688" s="3" t="n">
        <v>5.317572000000001</v>
      </c>
      <c r="DF688" s="3" t="n">
        <v>5.530274880000001</v>
      </c>
      <c r="DG688" s="3" t="n">
        <v>5.751485875200001</v>
      </c>
      <c r="DH688" s="3" t="n">
        <v>5.981545310208002</v>
      </c>
      <c r="DI688" s="3" t="n">
        <v>6.220807122616321</v>
      </c>
      <c r="DJ688" s="3" t="n">
        <v>6.469639407520975</v>
      </c>
      <c r="DK688" s="3" t="n">
        <v>6.728424983821815</v>
      </c>
      <c r="DL688" s="3" t="n">
        <v>6.997561983174687</v>
      </c>
      <c r="DM688" s="3" t="n">
        <v>7.277464462501674</v>
      </c>
      <c r="DN688" s="3" t="n">
        <v>7.568563041001743</v>
      </c>
      <c r="DO688" s="3" t="n">
        <v>7.871305562641813</v>
      </c>
    </row>
    <row r="689">
      <c r="A689" s="5" t="n"/>
      <c r="B689" s="18" t="inlineStr">
        <is>
          <t>Transportation effects</t>
        </is>
      </c>
      <c r="C689" s="5" t="n"/>
      <c r="D689" s="5" t="n"/>
      <c r="E689" s="5" t="n"/>
      <c r="F689" s="5" t="n"/>
      <c r="G689" s="5" t="n"/>
      <c r="H689" s="5" t="n"/>
      <c r="I689" s="5" t="n"/>
      <c r="J689" s="5" t="n"/>
      <c r="K689" s="5" t="n"/>
      <c r="L689" s="5" t="n"/>
      <c r="M689" s="5" t="n"/>
      <c r="N689" s="5" t="n"/>
      <c r="O689" s="5" t="n"/>
      <c r="P689" s="5" t="n"/>
      <c r="Q689" s="5" t="n"/>
      <c r="R689" s="5" t="n"/>
      <c r="S689" s="5" t="n"/>
      <c r="T689" s="5" t="n"/>
      <c r="U689" s="5" t="n"/>
      <c r="V689" s="5" t="n"/>
      <c r="W689" s="5" t="n"/>
      <c r="X689" s="5" t="n"/>
      <c r="Y689" s="5" t="n"/>
      <c r="Z689" s="5" t="n"/>
      <c r="AA689" s="5" t="n"/>
      <c r="AB689" s="5" t="n"/>
      <c r="AC689" s="5" t="n"/>
      <c r="AD689" s="5" t="n"/>
      <c r="AE689" s="5" t="n"/>
      <c r="AF689" s="5" t="n"/>
      <c r="AG689" s="5" t="n"/>
      <c r="AH689" s="5" t="n"/>
      <c r="AI689" s="5" t="n"/>
      <c r="AJ689" s="5" t="n"/>
      <c r="AK689" s="5" t="n"/>
      <c r="AL689" s="5" t="n"/>
      <c r="AM689" s="5" t="n"/>
      <c r="AN689" s="5" t="n"/>
      <c r="AO689" s="5" t="n"/>
      <c r="AP689" s="5" t="n"/>
      <c r="AQ689" s="5" t="n"/>
      <c r="AR689" s="5" t="n"/>
      <c r="AS689" s="5" t="n"/>
      <c r="AT689" s="5" t="n"/>
      <c r="AU689" s="5" t="n"/>
      <c r="AV689" s="5" t="n"/>
      <c r="AW689" s="5" t="n"/>
      <c r="AX689" s="5" t="n"/>
      <c r="AY689" s="5" t="n"/>
      <c r="AZ689" s="5" t="n"/>
      <c r="BA689" s="5" t="n"/>
      <c r="BB689" s="5" t="n"/>
      <c r="BC689" s="5" t="n"/>
      <c r="BD689" s="5" t="n"/>
      <c r="BE689" s="5" t="n"/>
      <c r="BF689" s="5" t="n"/>
      <c r="BG689" s="5" t="n"/>
      <c r="BH689" s="5" t="n"/>
      <c r="BI689" s="5" t="n"/>
      <c r="BJ689" s="5" t="n"/>
      <c r="BK689" s="5" t="n"/>
      <c r="BL689" s="5" t="n"/>
      <c r="BM689" s="5" t="n"/>
      <c r="BN689" s="5" t="n"/>
      <c r="BO689" s="5" t="n"/>
      <c r="BP689" s="5" t="n"/>
      <c r="BQ689" s="5" t="n"/>
      <c r="BR689" s="5" t="n"/>
      <c r="BS689" s="5" t="n"/>
      <c r="BT689" s="5" t="n"/>
      <c r="BU689" s="5" t="n"/>
      <c r="BV689" s="5" t="n"/>
      <c r="BW689" s="5" t="n"/>
      <c r="BX689" s="5" t="n"/>
      <c r="BY689" s="5" t="n"/>
      <c r="BZ689" s="5" t="n"/>
      <c r="CA689" s="5" t="n"/>
      <c r="CB689" s="5" t="n"/>
      <c r="CC689" s="5" t="n"/>
      <c r="CD689" s="5" t="n"/>
      <c r="CE689" s="5" t="n"/>
      <c r="CF689" s="5" t="n"/>
      <c r="CG689" s="5" t="n"/>
      <c r="CH689" s="5" t="n"/>
      <c r="CI689" s="5" t="n"/>
      <c r="CJ689" s="5" t="n"/>
      <c r="CK689" s="5" t="n"/>
      <c r="CL689" s="5" t="n"/>
      <c r="CM689" s="5" t="n"/>
      <c r="CN689" s="5" t="n"/>
      <c r="CO689" s="5" t="n"/>
      <c r="CP689" s="5" t="n"/>
      <c r="CQ689" s="5" t="n"/>
      <c r="CR689" s="5" t="n"/>
      <c r="CS689" s="5" t="n"/>
      <c r="CT689" s="5" t="n"/>
      <c r="CU689" s="5" t="n"/>
      <c r="CV689" s="5" t="n"/>
      <c r="CW689" s="5" t="n"/>
      <c r="CX689" s="5" t="n"/>
      <c r="CY689" s="5" t="n"/>
      <c r="CZ689" s="5" t="n"/>
      <c r="DA689" s="5" t="n"/>
      <c r="DB689" s="5" t="n"/>
      <c r="DC689" s="5" t="n"/>
      <c r="DD689" s="5" t="n"/>
      <c r="DE689" s="5" t="n"/>
      <c r="DF689" s="5" t="n"/>
      <c r="DG689" s="5" t="n"/>
      <c r="DH689" s="5" t="n"/>
      <c r="DI689" s="5" t="n"/>
      <c r="DJ689" s="5" t="n"/>
      <c r="DK689" s="5" t="n"/>
      <c r="DL689" s="5" t="n"/>
      <c r="DM689" s="5" t="n"/>
      <c r="DN689" s="5" t="n"/>
      <c r="DO689" s="5" t="n"/>
      <c r="DP689" s="5" t="n"/>
      <c r="DQ689" s="5" t="n"/>
      <c r="DR689" s="5" t="n"/>
      <c r="DS689" s="5" t="n"/>
      <c r="DT689" s="5" t="n"/>
      <c r="DU689" s="5" t="n"/>
      <c r="DV689" s="5" t="n"/>
      <c r="DW689" s="5" t="n"/>
      <c r="DX689" s="5" t="n"/>
      <c r="DY689" s="5" t="n"/>
      <c r="DZ689" s="5" t="n"/>
      <c r="EA689" s="5" t="n"/>
      <c r="EB689" s="5" t="n"/>
      <c r="EC689" s="5" t="n"/>
      <c r="ED689" s="5" t="n"/>
      <c r="EE689" s="5" t="n"/>
      <c r="EF689" s="5" t="n"/>
      <c r="EG689" s="5" t="n"/>
      <c r="EH689" s="5" t="n"/>
      <c r="EI689" s="5" t="n"/>
      <c r="EJ689" s="5" t="n"/>
      <c r="EK689" s="5" t="n"/>
      <c r="EL689" s="5" t="n"/>
      <c r="EM689" s="5" t="n"/>
      <c r="EN689" s="5" t="n"/>
      <c r="EO689" s="5" t="n"/>
      <c r="EP689" s="5" t="n"/>
      <c r="EQ689" s="5" t="n"/>
      <c r="ER689" s="5" t="n"/>
      <c r="ES689" s="5" t="n"/>
      <c r="ET689" s="5" t="n"/>
      <c r="EU689" s="5" t="n"/>
      <c r="EV689" s="5" t="n"/>
      <c r="EW689" s="5" t="n"/>
      <c r="EX689" s="5" t="n"/>
      <c r="EY689" s="5" t="n"/>
      <c r="EZ689" s="5" t="n"/>
      <c r="FA689" s="5" t="n"/>
      <c r="FB689" s="5" t="n"/>
      <c r="FC689" s="5" t="n"/>
      <c r="FD689" s="5" t="n"/>
      <c r="FE689" s="5" t="n"/>
      <c r="FF689" s="5" t="n"/>
      <c r="FG689" s="5" t="n"/>
      <c r="FH689" s="5" t="n"/>
      <c r="FI689" s="5" t="n"/>
      <c r="FJ689" s="5" t="n"/>
      <c r="FK689" s="5" t="n"/>
      <c r="FL689" s="5" t="n"/>
      <c r="FM689" s="5" t="n"/>
      <c r="FN689" s="5" t="n"/>
      <c r="FO689" s="5" t="n"/>
      <c r="FP689" s="5" t="n"/>
      <c r="FQ689" s="5" t="n"/>
      <c r="FR689" s="5" t="n"/>
      <c r="FS689" s="5" t="n"/>
      <c r="FT689" s="5" t="n"/>
      <c r="FU689" s="5" t="n"/>
      <c r="FV689" s="5" t="n"/>
      <c r="FW689" s="5" t="n"/>
      <c r="FX689" s="5" t="n"/>
      <c r="FY689" s="5" t="n"/>
      <c r="FZ689" s="5" t="n"/>
      <c r="GA689" s="5" t="n"/>
      <c r="GB689" s="5" t="n"/>
      <c r="GC689" s="5" t="n"/>
      <c r="GD689" s="5" t="n"/>
      <c r="GE689" s="5" t="n"/>
      <c r="GF689" s="5" t="n"/>
      <c r="GG689" s="5" t="n"/>
      <c r="GH689" s="5" t="n"/>
      <c r="GI689" s="5" t="n"/>
      <c r="GJ689" s="5" t="n"/>
      <c r="GK689" s="5" t="n"/>
      <c r="GL689" s="5" t="n"/>
      <c r="GM689" s="5" t="n"/>
      <c r="GN689" s="5" t="n"/>
      <c r="GO689" s="5" t="n"/>
      <c r="GP689" s="5" t="n"/>
      <c r="GQ689" s="5" t="n"/>
      <c r="GR689" s="5" t="n"/>
      <c r="GS689" s="5" t="n"/>
      <c r="GT689" s="5" t="n"/>
      <c r="GU689" s="5" t="n"/>
      <c r="GV689" s="5" t="n"/>
      <c r="GW689" s="5" t="n"/>
      <c r="GX689" s="5" t="n"/>
      <c r="GY689" s="5" t="n"/>
      <c r="GZ689" s="5" t="n"/>
      <c r="HA689" s="5" t="n"/>
      <c r="HB689" s="5" t="n"/>
      <c r="HC689" s="5" t="n"/>
      <c r="HD689" s="5" t="n"/>
      <c r="HE689" s="5" t="n"/>
      <c r="HF689" s="5" t="n"/>
      <c r="HG689" s="5" t="n"/>
      <c r="HH689" s="5" t="n"/>
      <c r="HI689" s="5" t="n"/>
      <c r="HJ689" s="5" t="n"/>
      <c r="HK689" s="5" t="n"/>
      <c r="HL689" s="5" t="n"/>
      <c r="HM689" s="5" t="n"/>
      <c r="HN689" s="5" t="n"/>
      <c r="HO689" s="5" t="n"/>
      <c r="HP689" s="5" t="n"/>
      <c r="HQ689" s="5" t="n"/>
      <c r="HR689" s="5" t="n"/>
      <c r="HS689" s="5" t="n"/>
      <c r="HT689" s="5" t="n"/>
      <c r="HU689" s="5" t="n"/>
      <c r="HV689" s="5" t="n"/>
    </row>
    <row r="690">
      <c r="A690" s="14" t="n"/>
      <c r="B690" s="3" t="inlineStr">
        <is>
          <t>tran</t>
        </is>
      </c>
      <c r="C690" s="19" t="inlineStr">
        <is>
          <t>tran.vmt</t>
        </is>
      </c>
      <c r="H690" s="14" t="inlineStr">
        <is>
          <t>VMT, Baseline</t>
        </is>
      </c>
      <c r="I690" s="14" t="inlineStr"/>
    </row>
    <row r="691">
      <c r="A691" s="14" t="n"/>
      <c r="B691" s="3" t="inlineStr">
        <is>
          <t>tran</t>
        </is>
      </c>
      <c r="C691" s="19" t="inlineStr">
        <is>
          <t>tran.deaths</t>
        </is>
      </c>
      <c r="H691" s="14" t="inlineStr">
        <is>
          <t>Transport accidents, Baseline</t>
        </is>
      </c>
      <c r="I691" s="14" t="inlineStr"/>
    </row>
    <row r="692">
      <c r="A692" s="14" t="n"/>
      <c r="B692" s="3" t="inlineStr">
        <is>
          <t>tran</t>
        </is>
      </c>
      <c r="C692" s="19" t="inlineStr">
        <is>
          <t>tran.acc.avd.cum</t>
        </is>
      </c>
      <c r="H692" s="14" t="inlineStr">
        <is>
          <t>Cumulative averted deaths from accidents</t>
        </is>
      </c>
      <c r="I692" s="14" t="inlineStr"/>
    </row>
    <row r="693">
      <c r="A693" s="14" t="n"/>
      <c r="B693" s="3" t="inlineStr">
        <is>
          <t>tran</t>
        </is>
      </c>
      <c r="C693" s="19" t="inlineStr">
        <is>
          <t>tran.congestionP</t>
        </is>
      </c>
      <c r="H693" s="14" t="inlineStr">
        <is>
          <t>Peak hours: baseline</t>
        </is>
      </c>
      <c r="I693" s="14" t="inlineStr"/>
    </row>
    <row r="694">
      <c r="A694" s="19" t="inlineStr">
        <is>
          <t>mit.tran.acc.cost.all.gso</t>
        </is>
      </c>
      <c r="B694" s="3" t="inlineStr">
        <is>
          <t>mit</t>
        </is>
      </c>
      <c r="C694" s="19" t="inlineStr">
        <is>
          <t>tran.acc.cost.gso</t>
        </is>
      </c>
      <c r="H694" s="3" t="inlineStr">
        <is>
          <t>Accident cost per unit of the fuel (all use) | All sectors | Gasoline</t>
        </is>
      </c>
      <c r="I694" s="3" t="inlineStr">
        <is>
          <t>USD per liter or kWh</t>
        </is>
      </c>
      <c r="K694" s="20" t="inlineStr">
        <is>
          <t>egy.mit.tran.acc.cost.all.gso.1</t>
        </is>
      </c>
      <c r="L694" s="3" t="n">
        <v>0.04238686171029128</v>
      </c>
      <c r="M694" s="3" t="n">
        <v>0.03435954470043374</v>
      </c>
      <c r="N694" s="3" t="n">
        <v>0.03148472695092446</v>
      </c>
      <c r="O694" s="3" t="n">
        <v>0.02846435340616282</v>
      </c>
      <c r="P694" s="3" t="n">
        <v>0.03221002771032511</v>
      </c>
      <c r="Q694" s="3" t="n">
        <v>0.03327387781677121</v>
      </c>
      <c r="R694" s="3" t="n">
        <v>0.03602939309468674</v>
      </c>
      <c r="S694" s="3" t="n">
        <v>0.03857141163834784</v>
      </c>
      <c r="T694" s="3" t="n">
        <v>0.04087445110376525</v>
      </c>
      <c r="U694" s="3" t="n">
        <v>0.04131312033644261</v>
      </c>
      <c r="V694" s="3" t="n">
        <v>0.04264546406837974</v>
      </c>
      <c r="W694" s="3" t="n">
        <v>0.04401065908249566</v>
      </c>
      <c r="X694" s="3" t="n">
        <v>0.04542514534386635</v>
      </c>
      <c r="Y694" s="3" t="n">
        <v>0.04689454853734373</v>
      </c>
      <c r="Z694" s="3" t="n">
        <v>0.04842293476413442</v>
      </c>
      <c r="AA694" s="3" t="n">
        <v>0.05001225953824051</v>
      </c>
      <c r="AB694" s="3" t="n">
        <v>0.0516774213886144</v>
      </c>
      <c r="AC694" s="3" t="n">
        <v>0.05342168194260418</v>
      </c>
      <c r="AD694" s="3" t="n">
        <v>0.055247563197055</v>
      </c>
      <c r="AE694" s="3" t="n">
        <v>0.05716139058551239</v>
      </c>
      <c r="AG694" s="20" t="inlineStr">
        <is>
          <t>egy.mit.tran.acc.cost.all.gso.3</t>
        </is>
      </c>
      <c r="AH694" s="3" t="n">
        <v>0.04238686171029128</v>
      </c>
      <c r="AI694" s="3" t="n">
        <v>0.03435954470043374</v>
      </c>
      <c r="AJ694" s="3" t="n">
        <v>0.03148472695092446</v>
      </c>
      <c r="AK694" s="3" t="n">
        <v>0.02846435340616282</v>
      </c>
      <c r="AL694" s="3" t="n">
        <v>0.0322100277337547</v>
      </c>
      <c r="AM694" s="3" t="n">
        <v>0.0332665549322966</v>
      </c>
      <c r="AN694" s="3" t="n">
        <v>0.03618575378505345</v>
      </c>
      <c r="AO694" s="3" t="n">
        <v>0.03889956967413073</v>
      </c>
      <c r="AP694" s="3" t="n">
        <v>0.04137929239790503</v>
      </c>
      <c r="AQ694" s="3" t="n">
        <v>0.04196828142026317</v>
      </c>
      <c r="AR694" s="3" t="n">
        <v>0.04345919824656826</v>
      </c>
      <c r="AS694" s="3" t="n">
        <v>0.04497962615859614</v>
      </c>
      <c r="AT694" s="3" t="n">
        <v>0.04654687185432099</v>
      </c>
      <c r="AU694" s="3" t="n">
        <v>0.04816778366533796</v>
      </c>
      <c r="AV694" s="3" t="n">
        <v>0.04984675647607408</v>
      </c>
      <c r="AW694" s="3" t="n">
        <v>0.05158590171970773</v>
      </c>
      <c r="AX694" s="3" t="n">
        <v>0.05340166343341222</v>
      </c>
      <c r="AY694" s="3" t="n">
        <v>0.0552977702979212</v>
      </c>
      <c r="AZ694" s="3" t="n">
        <v>0.05727743709245707</v>
      </c>
      <c r="BA694" s="3" t="n">
        <v>0.05934727762919274</v>
      </c>
      <c r="BC694" s="20" t="inlineStr">
        <is>
          <t>egy.mit.tran.acc.cost.all.gso.4</t>
        </is>
      </c>
      <c r="BD694" s="3" t="n">
        <v>0.04238686171029128</v>
      </c>
      <c r="BE694" s="3" t="n">
        <v>0.03435954470043374</v>
      </c>
      <c r="BF694" s="3" t="n">
        <v>0.03148472695092446</v>
      </c>
      <c r="BG694" s="3" t="n">
        <v>0.02846435340616282</v>
      </c>
      <c r="BH694" s="3" t="n">
        <v>0.03221002778844063</v>
      </c>
      <c r="BI694" s="3" t="n">
        <v>0.03327012910961059</v>
      </c>
      <c r="BJ694" s="3" t="n">
        <v>0.03610417282831998</v>
      </c>
      <c r="BK694" s="3" t="n">
        <v>0.03884313810317389</v>
      </c>
      <c r="BL694" s="3" t="n">
        <v>0.04146449864343221</v>
      </c>
      <c r="BM694" s="3" t="n">
        <v>0.04230120164203385</v>
      </c>
      <c r="BN694" s="3" t="n">
        <v>0.0441469675458851</v>
      </c>
      <c r="BO694" s="3" t="n">
        <v>0.04612538950281456</v>
      </c>
      <c r="BP694" s="3" t="n">
        <v>0.04825135459222685</v>
      </c>
      <c r="BQ694" s="3" t="n">
        <v>0.05052947482925733</v>
      </c>
      <c r="BR694" s="3" t="n">
        <v>0.0529634988887206</v>
      </c>
      <c r="BS694" s="3" t="n">
        <v>0.05555508451484939</v>
      </c>
      <c r="BT694" s="3" t="n">
        <v>0.05832171844013678</v>
      </c>
      <c r="BU694" s="3" t="n">
        <v>0.06126878620406071</v>
      </c>
      <c r="BV694" s="3" t="n">
        <v>0.06440169725392569</v>
      </c>
      <c r="BW694" s="3" t="n">
        <v>0.06773052951768437</v>
      </c>
      <c r="BY694" s="20" t="inlineStr">
        <is>
          <t>egy.mit.tran.acc.cost.all.gso.5</t>
        </is>
      </c>
      <c r="BZ694" s="3" t="n">
        <v>0.04238686171029128</v>
      </c>
      <c r="CA694" s="3" t="n">
        <v>0.03435954470043374</v>
      </c>
      <c r="CB694" s="3" t="n">
        <v>0.03148472695092446</v>
      </c>
      <c r="CC694" s="3" t="n">
        <v>0.02846435340616282</v>
      </c>
      <c r="CD694" s="3" t="n">
        <v>0.0322100278444779</v>
      </c>
      <c r="CE694" s="3" t="n">
        <v>0.03326482796824187</v>
      </c>
      <c r="CF694" s="3" t="n">
        <v>0.03622268335771719</v>
      </c>
      <c r="CG694" s="3" t="n">
        <v>0.0389771114805491</v>
      </c>
      <c r="CH694" s="3" t="n">
        <v>0.0414980923504948</v>
      </c>
      <c r="CI694" s="3" t="n">
        <v>0.04212203941775174</v>
      </c>
      <c r="CJ694" s="3" t="n">
        <v>0.04364986696743565</v>
      </c>
      <c r="CK694" s="3" t="n">
        <v>0.04520657496220579</v>
      </c>
      <c r="CL694" s="3" t="n">
        <v>0.04681022746209023</v>
      </c>
      <c r="CM694" s="3" t="n">
        <v>0.04846753146146413</v>
      </c>
      <c r="CN694" s="3" t="n">
        <v>0.05018293779204103</v>
      </c>
      <c r="CO694" s="3" t="n">
        <v>0.05195866575646199</v>
      </c>
      <c r="CP694" s="3" t="n">
        <v>0.05381119088635202</v>
      </c>
      <c r="CQ694" s="3" t="n">
        <v>0.05574419651878677</v>
      </c>
      <c r="CR694" s="3" t="n">
        <v>0.05776096812801898</v>
      </c>
      <c r="CS694" s="3" t="n">
        <v>0.05986819273604436</v>
      </c>
      <c r="CU694" s="20" t="inlineStr">
        <is>
          <t>egy.mit.tran.acc.cost.all.gso.6</t>
        </is>
      </c>
      <c r="CV694" s="3" t="n">
        <v>0.04238686171029128</v>
      </c>
      <c r="CW694" s="3" t="n">
        <v>0.03435954470043374</v>
      </c>
      <c r="CX694" s="3" t="n">
        <v>0.03148472695092446</v>
      </c>
      <c r="CY694" s="3" t="n">
        <v>0.02846435340616282</v>
      </c>
      <c r="CZ694" s="3" t="n">
        <v>0.03221002776503672</v>
      </c>
      <c r="DA694" s="3" t="n">
        <v>0.03325671249704541</v>
      </c>
      <c r="DB694" s="3" t="n">
        <v>0.03639974592949407</v>
      </c>
      <c r="DC694" s="3" t="n">
        <v>0.03934848403835562</v>
      </c>
      <c r="DD694" s="3" t="n">
        <v>0.04206962756738748</v>
      </c>
      <c r="DE694" s="3" t="n">
        <v>0.04286403559219307</v>
      </c>
      <c r="DF694" s="3" t="n">
        <v>0.04457166266095876</v>
      </c>
      <c r="DG694" s="3" t="n">
        <v>0.04630425787612765</v>
      </c>
      <c r="DH694" s="3" t="n">
        <v>0.04808047342966833</v>
      </c>
      <c r="DI694" s="3" t="n">
        <v>0.04990859437451391</v>
      </c>
      <c r="DJ694" s="3" t="n">
        <v>0.0517935488579061</v>
      </c>
      <c r="DK694" s="3" t="n">
        <v>0.05373765562085868</v>
      </c>
      <c r="DL694" s="3" t="n">
        <v>0.05575941567901044</v>
      </c>
      <c r="DM694" s="3" t="n">
        <v>0.05786311671191691</v>
      </c>
      <c r="DN694" s="3" t="n">
        <v>0.06005292744771876</v>
      </c>
      <c r="DO694" s="3" t="n">
        <v>0.06233587006449379</v>
      </c>
    </row>
    <row r="695">
      <c r="A695" s="19" t="inlineStr">
        <is>
          <t>mit.tran.acc.cost.all.die</t>
        </is>
      </c>
      <c r="B695" s="3" t="inlineStr">
        <is>
          <t>mit</t>
        </is>
      </c>
      <c r="C695" s="19" t="inlineStr">
        <is>
          <t>tran.acc.cost.die</t>
        </is>
      </c>
      <c r="H695" s="3" t="inlineStr">
        <is>
          <t>Accident cost per unit of the fuel (all use) | All sectors | Diesel</t>
        </is>
      </c>
      <c r="I695" s="3" t="inlineStr">
        <is>
          <t>USD per liter or kWh</t>
        </is>
      </c>
      <c r="K695" s="20" t="inlineStr">
        <is>
          <t>egy.mit.tran.acc.cost.all.die.1</t>
        </is>
      </c>
      <c r="L695" s="3" t="n">
        <v>0.01333492530938054</v>
      </c>
      <c r="M695" s="3" t="n">
        <v>0.009840154401114437</v>
      </c>
      <c r="N695" s="3" t="n">
        <v>0.008827210898690301</v>
      </c>
      <c r="O695" s="3" t="n">
        <v>0.00803374476867535</v>
      </c>
      <c r="P695" s="3" t="n">
        <v>0.009068660250138532</v>
      </c>
      <c r="Q695" s="3" t="n">
        <v>0.009349924913067029</v>
      </c>
      <c r="R695" s="3" t="n">
        <v>0.01013782759180642</v>
      </c>
      <c r="S695" s="3" t="n">
        <v>0.01087774407651189</v>
      </c>
      <c r="T695" s="3" t="n">
        <v>0.01156086154349326</v>
      </c>
      <c r="U695" s="3" t="n">
        <v>0.01172270781046239</v>
      </c>
      <c r="V695" s="3" t="n">
        <v>0.01214260517224757</v>
      </c>
      <c r="W695" s="3" t="n">
        <v>0.01257652222516249</v>
      </c>
      <c r="X695" s="3" t="n">
        <v>0.01302660000379084</v>
      </c>
      <c r="Y695" s="3" t="n">
        <v>0.0134879119590307</v>
      </c>
      <c r="Z695" s="3" t="n">
        <v>0.0139580895868194</v>
      </c>
      <c r="AA695" s="3" t="n">
        <v>0.01444034971891154</v>
      </c>
      <c r="AB695" s="3" t="n">
        <v>0.01493899867586501</v>
      </c>
      <c r="AC695" s="3" t="n">
        <v>0.01545469800180054</v>
      </c>
      <c r="AD695" s="3" t="n">
        <v>0.01598797468225511</v>
      </c>
      <c r="AE695" s="3" t="n">
        <v>0.01654020927134838</v>
      </c>
      <c r="AG695" s="20" t="inlineStr">
        <is>
          <t>egy.mit.tran.acc.cost.all.die.3</t>
        </is>
      </c>
      <c r="AH695" s="3" t="n">
        <v>0.01333492530938054</v>
      </c>
      <c r="AI695" s="3" t="n">
        <v>0.009840154401114437</v>
      </c>
      <c r="AJ695" s="3" t="n">
        <v>0.008827210898690301</v>
      </c>
      <c r="AK695" s="3" t="n">
        <v>0.00803374476867535</v>
      </c>
      <c r="AL695" s="3" t="n">
        <v>0.009068660250207503</v>
      </c>
      <c r="AM695" s="3" t="n">
        <v>0.009676843714108938</v>
      </c>
      <c r="AN695" s="3" t="n">
        <v>0.01055828775671557</v>
      </c>
      <c r="AO695" s="3" t="n">
        <v>0.01139319741222847</v>
      </c>
      <c r="AP695" s="3" t="n">
        <v>0.01217246658236791</v>
      </c>
      <c r="AQ695" s="3" t="n">
        <v>0.01240061379182216</v>
      </c>
      <c r="AR695" s="3" t="n">
        <v>0.01290030336860822</v>
      </c>
      <c r="AS695" s="3" t="n">
        <v>0.01341371790844819</v>
      </c>
      <c r="AT695" s="3" t="n">
        <v>0.01394517918237285</v>
      </c>
      <c r="AU695" s="3" t="n">
        <v>0.01448965774257717</v>
      </c>
      <c r="AV695" s="3" t="n">
        <v>0.01504397163887131</v>
      </c>
      <c r="AW695" s="3" t="n">
        <v>0.01561134667012196</v>
      </c>
      <c r="AX695" s="3" t="n">
        <v>0.01619731398030863</v>
      </c>
      <c r="AY695" s="3" t="n">
        <v>0.016801942467246</v>
      </c>
      <c r="AZ695" s="3" t="n">
        <v>0.01742579459782704</v>
      </c>
      <c r="BA695" s="3" t="n">
        <v>0.0180695549081372</v>
      </c>
      <c r="BC695" s="20" t="inlineStr">
        <is>
          <t>egy.mit.tran.acc.cost.all.die.4</t>
        </is>
      </c>
      <c r="BD695" s="3" t="n">
        <v>0.01333492530938054</v>
      </c>
      <c r="BE695" s="3" t="n">
        <v>0.009840154401114437</v>
      </c>
      <c r="BF695" s="3" t="n">
        <v>0.008827210898690301</v>
      </c>
      <c r="BG695" s="3" t="n">
        <v>0.00803374476867535</v>
      </c>
      <c r="BH695" s="3" t="n">
        <v>0.009068660250368479</v>
      </c>
      <c r="BI695" s="3" t="n">
        <v>0.009504828057789311</v>
      </c>
      <c r="BJ695" s="3" t="n">
        <v>0.01054094655198787</v>
      </c>
      <c r="BK695" s="3" t="n">
        <v>0.01158177314956723</v>
      </c>
      <c r="BL695" s="3" t="n">
        <v>0.01261718370048373</v>
      </c>
      <c r="BM695" s="3" t="n">
        <v>0.01313386782693676</v>
      </c>
      <c r="BN695" s="3" t="n">
        <v>0.0139714375070905</v>
      </c>
      <c r="BO695" s="3" t="n">
        <v>0.01486701709700319</v>
      </c>
      <c r="BP695" s="3" t="n">
        <v>0.01582987871958361</v>
      </c>
      <c r="BQ695" s="3" t="n">
        <v>0.01685613923670106</v>
      </c>
      <c r="BR695" s="3" t="n">
        <v>0.01794464387252544</v>
      </c>
      <c r="BS695" s="3" t="n">
        <v>0.01910060025169386</v>
      </c>
      <c r="BT695" s="3" t="n">
        <v>0.02033019304183357</v>
      </c>
      <c r="BU695" s="3" t="n">
        <v>0.02163436590426882</v>
      </c>
      <c r="BV695" s="3" t="n">
        <v>0.02301453305304844</v>
      </c>
      <c r="BW695" s="3" t="n">
        <v>0.02447260755820459</v>
      </c>
      <c r="BY695" s="20" t="inlineStr">
        <is>
          <t>egy.mit.tran.acc.cost.all.die.5</t>
        </is>
      </c>
      <c r="BZ695" s="3" t="n">
        <v>0.01333492530938054</v>
      </c>
      <c r="CA695" s="3" t="n">
        <v>0.009840154401114437</v>
      </c>
      <c r="CB695" s="3" t="n">
        <v>0.008827210898690301</v>
      </c>
      <c r="CC695" s="3" t="n">
        <v>0.00803374476867535</v>
      </c>
      <c r="CD695" s="3" t="n">
        <v>0.009068660250533435</v>
      </c>
      <c r="CE695" s="3" t="n">
        <v>0.009747340699026176</v>
      </c>
      <c r="CF695" s="3" t="n">
        <v>0.01065066438864891</v>
      </c>
      <c r="CG695" s="3" t="n">
        <v>0.01150790110227233</v>
      </c>
      <c r="CH695" s="3" t="n">
        <v>0.01230933493057847</v>
      </c>
      <c r="CI695" s="3" t="n">
        <v>0.01255301426216776</v>
      </c>
      <c r="CJ695" s="3" t="n">
        <v>0.01307143203975667</v>
      </c>
      <c r="CK695" s="3" t="n">
        <v>0.01360378557495838</v>
      </c>
      <c r="CL695" s="3" t="n">
        <v>0.01415568394693527</v>
      </c>
      <c r="CM695" s="3" t="n">
        <v>0.01472105822925574</v>
      </c>
      <c r="CN695" s="3" t="n">
        <v>0.01529671555472239</v>
      </c>
      <c r="CO695" s="3" t="n">
        <v>0.01588608444781303</v>
      </c>
      <c r="CP695" s="3" t="n">
        <v>0.01649446017286015</v>
      </c>
      <c r="CQ695" s="3" t="n">
        <v>0.01712165544449736</v>
      </c>
      <c r="CR695" s="3" t="n">
        <v>0.01776823110694628</v>
      </c>
      <c r="CS695" s="3" t="n">
        <v>0.0184347321379674</v>
      </c>
      <c r="CU695" s="20" t="inlineStr">
        <is>
          <t>egy.mit.tran.acc.cost.all.die.6</t>
        </is>
      </c>
      <c r="CV695" s="3" t="n">
        <v>0.01333492530938054</v>
      </c>
      <c r="CW695" s="3" t="n">
        <v>0.009840154401114437</v>
      </c>
      <c r="CX695" s="3" t="n">
        <v>0.008827210898690301</v>
      </c>
      <c r="CY695" s="3" t="n">
        <v>0.00803374476867535</v>
      </c>
      <c r="CZ695" s="3" t="n">
        <v>0.009068660250299584</v>
      </c>
      <c r="DA695" s="3" t="n">
        <v>0.01004991905260417</v>
      </c>
      <c r="DB695" s="3" t="n">
        <v>0.0110552589225145</v>
      </c>
      <c r="DC695" s="3" t="n">
        <v>0.01201651751808972</v>
      </c>
      <c r="DD695" s="3" t="n">
        <v>0.01292431882802243</v>
      </c>
      <c r="DE695" s="3" t="n">
        <v>0.01324392901637286</v>
      </c>
      <c r="DF695" s="3" t="n">
        <v>0.01385218549987514</v>
      </c>
      <c r="DG695" s="3" t="n">
        <v>0.01447395358723576</v>
      </c>
      <c r="DH695" s="3" t="n">
        <v>0.0151171284258424</v>
      </c>
      <c r="DI695" s="3" t="n">
        <v>0.01577605876097029</v>
      </c>
      <c r="DJ695" s="3" t="n">
        <v>0.01644643102093231</v>
      </c>
      <c r="DK695" s="3" t="n">
        <v>0.01713131068393596</v>
      </c>
      <c r="DL695" s="3" t="n">
        <v>0.01783797702176847</v>
      </c>
      <c r="DM695" s="3" t="n">
        <v>0.01856547143689943</v>
      </c>
      <c r="DN695" s="3" t="n">
        <v>0.01931451609829654</v>
      </c>
      <c r="DO695" s="3" t="n">
        <v>0.02008469372431311</v>
      </c>
    </row>
    <row r="696">
      <c r="A696" s="19" t="inlineStr">
        <is>
          <t>mit.tran.con.cost.all.gso</t>
        </is>
      </c>
      <c r="B696" s="3" t="inlineStr">
        <is>
          <t>mit</t>
        </is>
      </c>
      <c r="C696" s="19" t="inlineStr">
        <is>
          <t>tran.con.cost.gso</t>
        </is>
      </c>
      <c r="H696" s="3" t="inlineStr">
        <is>
          <t>Congestion cost per unit of the fuel (all use) | All sectors | Gasoline</t>
        </is>
      </c>
      <c r="I696" s="3" t="inlineStr">
        <is>
          <t>USD per liter or kWh</t>
        </is>
      </c>
      <c r="K696" s="20" t="inlineStr">
        <is>
          <t>egy.mit.tran.con.cost.all.gso.1</t>
        </is>
      </c>
      <c r="L696" s="3" t="n">
        <v>0.03595229617425699</v>
      </c>
      <c r="M696" s="3" t="n">
        <v>0.03784006819556944</v>
      </c>
      <c r="N696" s="3" t="n">
        <v>0.03740562526707948</v>
      </c>
      <c r="O696" s="3" t="n">
        <v>0.03959919793721156</v>
      </c>
      <c r="P696" s="3" t="n">
        <v>0.04225867546953934</v>
      </c>
      <c r="Q696" s="3" t="n">
        <v>0.04566872066897791</v>
      </c>
      <c r="R696" s="3" t="n">
        <v>0.04968303176695768</v>
      </c>
      <c r="S696" s="3" t="n">
        <v>0.05380067037270214</v>
      </c>
      <c r="T696" s="3" t="n">
        <v>0.05794207544013436</v>
      </c>
      <c r="U696" s="3" t="n">
        <v>0.06234943647980895</v>
      </c>
      <c r="V696" s="3" t="n">
        <v>0.06703668176484619</v>
      </c>
      <c r="W696" s="3" t="n">
        <v>0.07202005683217247</v>
      </c>
      <c r="X696" s="3" t="n">
        <v>0.07734073765893382</v>
      </c>
      <c r="Y696" s="3" t="n">
        <v>0.08302776699616032</v>
      </c>
      <c r="Z696" s="3" t="n">
        <v>0.08910708560779415</v>
      </c>
      <c r="AA696" s="3" t="n">
        <v>0.0956032322889683</v>
      </c>
      <c r="AB696" s="3" t="n">
        <v>0.1025780958000428</v>
      </c>
      <c r="AC696" s="3" t="n">
        <v>0.1100635429441093</v>
      </c>
      <c r="AD696" s="3" t="n">
        <v>0.1180884709947879</v>
      </c>
      <c r="AE696" s="3" t="n">
        <v>0.126687068398402</v>
      </c>
      <c r="AG696" s="20" t="inlineStr">
        <is>
          <t>egy.mit.tran.con.cost.all.gso.3</t>
        </is>
      </c>
      <c r="AH696" s="3" t="n">
        <v>0.03595229617425699</v>
      </c>
      <c r="AI696" s="3" t="n">
        <v>0.03784006819556944</v>
      </c>
      <c r="AJ696" s="3" t="n">
        <v>0.03740562526707948</v>
      </c>
      <c r="AK696" s="3" t="n">
        <v>0.03959919793721156</v>
      </c>
      <c r="AL696" s="3" t="n">
        <v>0.04225867550027832</v>
      </c>
      <c r="AM696" s="3" t="n">
        <v>0.04565866993887054</v>
      </c>
      <c r="AN696" s="3" t="n">
        <v>0.04989864664357179</v>
      </c>
      <c r="AO696" s="3" t="n">
        <v>0.05425839596695434</v>
      </c>
      <c r="AP696" s="3" t="n">
        <v>0.05865771935853422</v>
      </c>
      <c r="AQ696" s="3" t="n">
        <v>0.06333820043777316</v>
      </c>
      <c r="AR696" s="3" t="n">
        <v>0.06831583396393902</v>
      </c>
      <c r="AS696" s="3" t="n">
        <v>0.07360569688719759</v>
      </c>
      <c r="AT696" s="3" t="n">
        <v>0.07925058638068057</v>
      </c>
      <c r="AU696" s="3" t="n">
        <v>0.08528205609448158</v>
      </c>
      <c r="AV696" s="3" t="n">
        <v>0.09172717883002518</v>
      </c>
      <c r="AW696" s="3" t="n">
        <v>0.09861140029424502</v>
      </c>
      <c r="AX696" s="3" t="n">
        <v>0.1060006633527787</v>
      </c>
      <c r="AY696" s="3" t="n">
        <v>0.1139288074538308</v>
      </c>
      <c r="AZ696" s="3" t="n">
        <v>0.1224272090449222</v>
      </c>
      <c r="BA696" s="3" t="n">
        <v>0.1315316605011718</v>
      </c>
      <c r="BC696" s="20" t="inlineStr">
        <is>
          <t>egy.mit.tran.con.cost.all.gso.4</t>
        </is>
      </c>
      <c r="BD696" s="3" t="n">
        <v>0.03595229617425699</v>
      </c>
      <c r="BE696" s="3" t="n">
        <v>0.03784006819556944</v>
      </c>
      <c r="BF696" s="3" t="n">
        <v>0.03740562526707948</v>
      </c>
      <c r="BG696" s="3" t="n">
        <v>0.03959919793721156</v>
      </c>
      <c r="BH696" s="3" t="n">
        <v>0.04225867557202477</v>
      </c>
      <c r="BI696" s="3" t="n">
        <v>0.0456635755319689</v>
      </c>
      <c r="BJ696" s="3" t="n">
        <v>0.04978614990363738</v>
      </c>
      <c r="BK696" s="3" t="n">
        <v>0.0541796833604226</v>
      </c>
      <c r="BL696" s="3" t="n">
        <v>0.05877850450849924</v>
      </c>
      <c r="BM696" s="3" t="n">
        <v>0.0638406410196293</v>
      </c>
      <c r="BN696" s="3" t="n">
        <v>0.06939697524480316</v>
      </c>
      <c r="BO696" s="3" t="n">
        <v>0.07548065042997811</v>
      </c>
      <c r="BP696" s="3" t="n">
        <v>0.08215263438247875</v>
      </c>
      <c r="BQ696" s="3" t="n">
        <v>0.08946347909120025</v>
      </c>
      <c r="BR696" s="3" t="n">
        <v>0.09746255679366812</v>
      </c>
      <c r="BS696" s="3" t="n">
        <v>0.1061988740109875</v>
      </c>
      <c r="BT696" s="3" t="n">
        <v>0.1157668215754579</v>
      </c>
      <c r="BU696" s="3" t="n">
        <v>0.1262307631712009</v>
      </c>
      <c r="BV696" s="3" t="n">
        <v>0.1376549030960827</v>
      </c>
      <c r="BW696" s="3" t="n">
        <v>0.15011150249801</v>
      </c>
      <c r="BY696" s="20" t="inlineStr">
        <is>
          <t>egy.mit.tran.con.cost.all.gso.5</t>
        </is>
      </c>
      <c r="BZ696" s="3" t="n">
        <v>0.03595229617425699</v>
      </c>
      <c r="CA696" s="3" t="n">
        <v>0.03784006819556944</v>
      </c>
      <c r="CB696" s="3" t="n">
        <v>0.03740562526707948</v>
      </c>
      <c r="CC696" s="3" t="n">
        <v>0.03959919793721156</v>
      </c>
      <c r="CD696" s="3" t="n">
        <v>0.04225867564554413</v>
      </c>
      <c r="CE696" s="3" t="n">
        <v>0.04565629966392228</v>
      </c>
      <c r="CF696" s="3" t="n">
        <v>0.04994957098545486</v>
      </c>
      <c r="CG696" s="3" t="n">
        <v>0.05436655382247527</v>
      </c>
      <c r="CH696" s="3" t="n">
        <v>0.05882612567664638</v>
      </c>
      <c r="CI696" s="3" t="n">
        <v>0.06357025079900476</v>
      </c>
      <c r="CJ696" s="3" t="n">
        <v>0.06861555630586974</v>
      </c>
      <c r="CK696" s="3" t="n">
        <v>0.07397708113989244</v>
      </c>
      <c r="CL696" s="3" t="n">
        <v>0.07969897497288658</v>
      </c>
      <c r="CM696" s="3" t="n">
        <v>0.08581276576011698</v>
      </c>
      <c r="CN696" s="3" t="n">
        <v>0.09234581414090673</v>
      </c>
      <c r="CO696" s="3" t="n">
        <v>0.09932397451352303</v>
      </c>
      <c r="CP696" s="3" t="n">
        <v>0.106813562781032</v>
      </c>
      <c r="CQ696" s="3" t="n">
        <v>0.1148485698002205</v>
      </c>
      <c r="CR696" s="3" t="n">
        <v>0.1234607286675773</v>
      </c>
      <c r="CS696" s="3" t="n">
        <v>0.1326861671899611</v>
      </c>
      <c r="CU696" s="20" t="inlineStr">
        <is>
          <t>egy.mit.tran.con.cost.all.gso.6</t>
        </is>
      </c>
      <c r="CV696" s="3" t="n">
        <v>0.03595229617425699</v>
      </c>
      <c r="CW696" s="3" t="n">
        <v>0.03784006819556944</v>
      </c>
      <c r="CX696" s="3" t="n">
        <v>0.03740562526707948</v>
      </c>
      <c r="CY696" s="3" t="n">
        <v>0.03959919793721156</v>
      </c>
      <c r="CZ696" s="3" t="n">
        <v>0.04225867554131948</v>
      </c>
      <c r="DA696" s="3" t="n">
        <v>0.04564516110083656</v>
      </c>
      <c r="DB696" s="3" t="n">
        <v>0.05019373289390584</v>
      </c>
      <c r="DC696" s="3" t="n">
        <v>0.05488455644979294</v>
      </c>
      <c r="DD696" s="3" t="n">
        <v>0.05963631237664193</v>
      </c>
      <c r="DE696" s="3" t="n">
        <v>0.06469006559318727</v>
      </c>
      <c r="DF696" s="3" t="n">
        <v>0.07006457617020588</v>
      </c>
      <c r="DG696" s="3" t="n">
        <v>0.07577335475843044</v>
      </c>
      <c r="DH696" s="3" t="n">
        <v>0.08186169254697669</v>
      </c>
      <c r="DI696" s="3" t="n">
        <v>0.08836419741909171</v>
      </c>
      <c r="DJ696" s="3" t="n">
        <v>0.09530963405033524</v>
      </c>
      <c r="DK696" s="3" t="n">
        <v>0.1027246843157985</v>
      </c>
      <c r="DL696" s="3" t="n">
        <v>0.1106807292156437</v>
      </c>
      <c r="DM696" s="3" t="n">
        <v>0.1192141355254308</v>
      </c>
      <c r="DN696" s="3" t="n">
        <v>0.1283596591539816</v>
      </c>
      <c r="DO696" s="3" t="n">
        <v>0.1381552924735173</v>
      </c>
    </row>
    <row r="697">
      <c r="A697" s="19" t="inlineStr">
        <is>
          <t>mit.tran.con.cost.all.die</t>
        </is>
      </c>
      <c r="B697" s="3" t="inlineStr">
        <is>
          <t>mit</t>
        </is>
      </c>
      <c r="C697" s="19" t="inlineStr">
        <is>
          <t>tran.con.cost.die</t>
        </is>
      </c>
      <c r="H697" s="3" t="inlineStr">
        <is>
          <t>Congestion cost per unit of the fuel (all use) | All sectors | Diesel</t>
        </is>
      </c>
      <c r="I697" s="3" t="inlineStr">
        <is>
          <t>USD per liter or kWh</t>
        </is>
      </c>
      <c r="K697" s="20" t="inlineStr">
        <is>
          <t>egy.mit.tran.con.cost.all.die.1</t>
        </is>
      </c>
      <c r="L697" s="3" t="n">
        <v>0.01131060816583276</v>
      </c>
      <c r="M697" s="3" t="n">
        <v>0.01083693386625122</v>
      </c>
      <c r="N697" s="3" t="n">
        <v>0.01048722269513582</v>
      </c>
      <c r="O697" s="3" t="n">
        <v>0.01117642985710453</v>
      </c>
      <c r="P697" s="3" t="n">
        <v>0.01189783423661164</v>
      </c>
      <c r="Q697" s="3" t="n">
        <v>0.01283286280854085</v>
      </c>
      <c r="R697" s="3" t="n">
        <v>0.01397964181544696</v>
      </c>
      <c r="S697" s="3" t="n">
        <v>0.01517263430610851</v>
      </c>
      <c r="T697" s="3" t="n">
        <v>0.0163882399302563</v>
      </c>
      <c r="U697" s="3" t="n">
        <v>0.017691818483995</v>
      </c>
      <c r="V697" s="3" t="n">
        <v>0.01908760935097176</v>
      </c>
      <c r="W697" s="3" t="n">
        <v>0.02058051081919677</v>
      </c>
      <c r="X697" s="3" t="n">
        <v>0.02217905624416659</v>
      </c>
      <c r="Y697" s="3" t="n">
        <v>0.02388062677492957</v>
      </c>
      <c r="Z697" s="3" t="n">
        <v>0.0256854461587735</v>
      </c>
      <c r="AA697" s="3" t="n">
        <v>0.02760411389642259</v>
      </c>
      <c r="AB697" s="3" t="n">
        <v>0.02965345398730007</v>
      </c>
      <c r="AC697" s="3" t="n">
        <v>0.03184098207609698</v>
      </c>
      <c r="AD697" s="3" t="n">
        <v>0.03417337119099446</v>
      </c>
      <c r="AE697" s="3" t="n">
        <v>0.03665814637851524</v>
      </c>
      <c r="AG697" s="20" t="inlineStr">
        <is>
          <t>egy.mit.tran.con.cost.all.die.3</t>
        </is>
      </c>
      <c r="AH697" s="3" t="n">
        <v>0.01131060816583276</v>
      </c>
      <c r="AI697" s="3" t="n">
        <v>0.01083693386625122</v>
      </c>
      <c r="AJ697" s="3" t="n">
        <v>0.01048722269513582</v>
      </c>
      <c r="AK697" s="3" t="n">
        <v>0.01117642985710453</v>
      </c>
      <c r="AL697" s="3" t="n">
        <v>0.01189783423670213</v>
      </c>
      <c r="AM697" s="3" t="n">
        <v>0.01328156204006519</v>
      </c>
      <c r="AN697" s="3" t="n">
        <v>0.01455943886268065</v>
      </c>
      <c r="AO697" s="3" t="n">
        <v>0.01589160552934023</v>
      </c>
      <c r="AP697" s="3" t="n">
        <v>0.01725522809389128</v>
      </c>
      <c r="AQ697" s="3" t="n">
        <v>0.01871490886254454</v>
      </c>
      <c r="AR697" s="3" t="n">
        <v>0.02027867559852817</v>
      </c>
      <c r="AS697" s="3" t="n">
        <v>0.02195051713009673</v>
      </c>
      <c r="AT697" s="3" t="n">
        <v>0.02374302683208377</v>
      </c>
      <c r="AU697" s="3" t="n">
        <v>0.02565423838011326</v>
      </c>
      <c r="AV697" s="3" t="n">
        <v>0.02768366839465137</v>
      </c>
      <c r="AW697" s="3" t="n">
        <v>0.02984258691423623</v>
      </c>
      <c r="AX697" s="3" t="n">
        <v>0.03215117125680601</v>
      </c>
      <c r="AY697" s="3" t="n">
        <v>0.03461668088764101</v>
      </c>
      <c r="AZ697" s="3" t="n">
        <v>0.03724662810171363</v>
      </c>
      <c r="BA697" s="3" t="n">
        <v>0.04004764256305641</v>
      </c>
      <c r="BC697" s="20" t="inlineStr">
        <is>
          <t>egy.mit.tran.con.cost.all.die.4</t>
        </is>
      </c>
      <c r="BD697" s="3" t="n">
        <v>0.01131060816583276</v>
      </c>
      <c r="BE697" s="3" t="n">
        <v>0.01083693386625122</v>
      </c>
      <c r="BF697" s="3" t="n">
        <v>0.01048722269513582</v>
      </c>
      <c r="BG697" s="3" t="n">
        <v>0.01117642985710453</v>
      </c>
      <c r="BH697" s="3" t="n">
        <v>0.01189783423691332</v>
      </c>
      <c r="BI697" s="3" t="n">
        <v>0.0130454688800671</v>
      </c>
      <c r="BJ697" s="3" t="n">
        <v>0.0145355260639527</v>
      </c>
      <c r="BK697" s="3" t="n">
        <v>0.01615463715441992</v>
      </c>
      <c r="BL697" s="3" t="n">
        <v>0.01788564225509851</v>
      </c>
      <c r="BM697" s="3" t="n">
        <v>0.01982153008877065</v>
      </c>
      <c r="BN697" s="3" t="n">
        <v>0.02196244853751562</v>
      </c>
      <c r="BO697" s="3" t="n">
        <v>0.02432872941629969</v>
      </c>
      <c r="BP697" s="3" t="n">
        <v>0.02695191150091431</v>
      </c>
      <c r="BQ697" s="3" t="n">
        <v>0.02984414275542412</v>
      </c>
      <c r="BR697" s="3" t="n">
        <v>0.03302143757992208</v>
      </c>
      <c r="BS697" s="3" t="n">
        <v>0.03651262989477916</v>
      </c>
      <c r="BT697" s="3" t="n">
        <v>0.04035480938176283</v>
      </c>
      <c r="BU697" s="3" t="n">
        <v>0.04457281901628177</v>
      </c>
      <c r="BV697" s="3" t="n">
        <v>0.04919223331533958</v>
      </c>
      <c r="BW697" s="3" t="n">
        <v>0.05423875934185732</v>
      </c>
      <c r="BY697" s="20" t="inlineStr">
        <is>
          <t>egy.mit.tran.con.cost.all.die.5</t>
        </is>
      </c>
      <c r="BZ697" s="3" t="n">
        <v>0.01131060816583276</v>
      </c>
      <c r="CA697" s="3" t="n">
        <v>0.01083693386625122</v>
      </c>
      <c r="CB697" s="3" t="n">
        <v>0.01048722269513582</v>
      </c>
      <c r="CC697" s="3" t="n">
        <v>0.01117642985710453</v>
      </c>
      <c r="CD697" s="3" t="n">
        <v>0.01189783423712974</v>
      </c>
      <c r="CE697" s="3" t="n">
        <v>0.01337831983697481</v>
      </c>
      <c r="CF697" s="3" t="n">
        <v>0.01468682238887014</v>
      </c>
      <c r="CG697" s="3" t="n">
        <v>0.01605159799931888</v>
      </c>
      <c r="CH697" s="3" t="n">
        <v>0.01744924748603555</v>
      </c>
      <c r="CI697" s="3" t="n">
        <v>0.01894491045448248</v>
      </c>
      <c r="CJ697" s="3" t="n">
        <v>0.02054768189308332</v>
      </c>
      <c r="CK697" s="3" t="n">
        <v>0.02226154824004588</v>
      </c>
      <c r="CL697" s="3" t="n">
        <v>0.02410143171221644</v>
      </c>
      <c r="CM697" s="3" t="n">
        <v>0.02606393772236082</v>
      </c>
      <c r="CN697" s="3" t="n">
        <v>0.02814876357849951</v>
      </c>
      <c r="CO697" s="3" t="n">
        <v>0.03036777453466499</v>
      </c>
      <c r="CP697" s="3" t="n">
        <v>0.03274099733146544</v>
      </c>
      <c r="CQ697" s="3" t="n">
        <v>0.03527537866206339</v>
      </c>
      <c r="CR697" s="3" t="n">
        <v>0.03797856633454486</v>
      </c>
      <c r="CS697" s="3" t="n">
        <v>0.04085698663637508</v>
      </c>
      <c r="CU697" s="20" t="inlineStr">
        <is>
          <t>egy.mit.tran.con.cost.all.die.6</t>
        </is>
      </c>
      <c r="CV697" s="3" t="n">
        <v>0.01131060816583276</v>
      </c>
      <c r="CW697" s="3" t="n">
        <v>0.01083693386625122</v>
      </c>
      <c r="CX697" s="3" t="n">
        <v>0.01048722269513582</v>
      </c>
      <c r="CY697" s="3" t="n">
        <v>0.01117642985710453</v>
      </c>
      <c r="CZ697" s="3" t="n">
        <v>0.01189783423682294</v>
      </c>
      <c r="DA697" s="3" t="n">
        <v>0.01379361156780721</v>
      </c>
      <c r="DB697" s="3" t="n">
        <v>0.01524474139200057</v>
      </c>
      <c r="DC697" s="3" t="n">
        <v>0.01676103286237511</v>
      </c>
      <c r="DD697" s="3" t="n">
        <v>0.0183210253917426</v>
      </c>
      <c r="DE697" s="3" t="n">
        <v>0.01998763357075783</v>
      </c>
      <c r="DF697" s="3" t="n">
        <v>0.02177498994063656</v>
      </c>
      <c r="DG697" s="3" t="n">
        <v>0.02368551123001803</v>
      </c>
      <c r="DH697" s="3" t="n">
        <v>0.02573838465213317</v>
      </c>
      <c r="DI697" s="3" t="n">
        <v>0.02793183795938448</v>
      </c>
      <c r="DJ697" s="3" t="n">
        <v>0.03026445100990344</v>
      </c>
      <c r="DK697" s="3" t="n">
        <v>0.03274814395215454</v>
      </c>
      <c r="DL697" s="3" t="n">
        <v>0.03540783705243212</v>
      </c>
      <c r="DM697" s="3" t="n">
        <v>0.03825004171467695</v>
      </c>
      <c r="DN697" s="3" t="n">
        <v>0.0412836610714739</v>
      </c>
      <c r="DO697" s="3" t="n">
        <v>0.04451380453746186</v>
      </c>
    </row>
    <row r="698">
      <c r="A698" s="14" t="n"/>
      <c r="B698" s="3" t="inlineStr">
        <is>
          <t>tran</t>
        </is>
      </c>
      <c r="C698" s="19" t="inlineStr">
        <is>
          <t>tran.rdm.cost.gso</t>
        </is>
      </c>
      <c r="H698" s="14" t="inlineStr">
        <is>
          <t>Gasoline road damage per liter</t>
        </is>
      </c>
      <c r="I698" s="14" t="inlineStr"/>
    </row>
    <row r="699">
      <c r="A699" s="19" t="inlineStr">
        <is>
          <t>mit.tran.rdm.cost.all.die</t>
        </is>
      </c>
      <c r="B699" s="3" t="inlineStr">
        <is>
          <t>mit</t>
        </is>
      </c>
      <c r="C699" s="19" t="inlineStr">
        <is>
          <t>tran.rdm.cost.die</t>
        </is>
      </c>
      <c r="H699" s="3" t="inlineStr">
        <is>
          <t>Road damage cost per unit of the fuel (all use) | All sectors | Diesel</t>
        </is>
      </c>
      <c r="I699" s="3" t="inlineStr">
        <is>
          <t>USD per liter or kWh</t>
        </is>
      </c>
      <c r="K699" s="20" t="inlineStr">
        <is>
          <t>egy.mit.tran.rdm.cost.all.die.1</t>
        </is>
      </c>
      <c r="L699" s="3" t="n">
        <v>0.1482030229825683</v>
      </c>
      <c r="M699" s="3" t="n">
        <v>0.140804833298682</v>
      </c>
      <c r="N699" s="3" t="n">
        <v>0.1357942719546926</v>
      </c>
      <c r="O699" s="3" t="n">
        <v>0.13481695309124</v>
      </c>
      <c r="P699" s="3" t="n">
        <v>0.1347467971457631</v>
      </c>
      <c r="Q699" s="3" t="n">
        <v>0.1353479789799577</v>
      </c>
      <c r="R699" s="3" t="n">
        <v>0.1360440054023598</v>
      </c>
      <c r="S699" s="3" t="n">
        <v>0.1367784276613949</v>
      </c>
      <c r="T699" s="3" t="n">
        <v>0.1375439606070316</v>
      </c>
      <c r="U699" s="3" t="n">
        <v>0.1383552803729082</v>
      </c>
      <c r="V699" s="3" t="n">
        <v>0.1392103489466334</v>
      </c>
      <c r="W699" s="3" t="n">
        <v>0.1401065411676835</v>
      </c>
      <c r="X699" s="3" t="n">
        <v>0.1410415100200551</v>
      </c>
      <c r="Y699" s="3" t="n">
        <v>0.1420128623746113</v>
      </c>
      <c r="Z699" s="3" t="n">
        <v>0.1430184732241808</v>
      </c>
      <c r="AA699" s="3" t="n">
        <v>0.1440564369996294</v>
      </c>
      <c r="AB699" s="3" t="n">
        <v>0.14512490723868</v>
      </c>
      <c r="AC699" s="3" t="n">
        <v>0.1462221518247348</v>
      </c>
      <c r="AD699" s="3" t="n">
        <v>0.1473465529922342</v>
      </c>
      <c r="AE699" s="3" t="n">
        <v>0.1484966989701439</v>
      </c>
      <c r="AG699" s="20" t="inlineStr">
        <is>
          <t>egy.mit.tran.rdm.cost.all.die.3</t>
        </is>
      </c>
      <c r="AH699" s="3" t="n">
        <v>0.1482030229825683</v>
      </c>
      <c r="AI699" s="3" t="n">
        <v>0.140804833298682</v>
      </c>
      <c r="AJ699" s="3" t="n">
        <v>0.1357942719546926</v>
      </c>
      <c r="AK699" s="3" t="n">
        <v>0.13481695309124</v>
      </c>
      <c r="AL699" s="3" t="n">
        <v>0.1347467971457743</v>
      </c>
      <c r="AM699" s="3" t="n">
        <v>0.1411720258869401</v>
      </c>
      <c r="AN699" s="3" t="n">
        <v>0.1427728766103121</v>
      </c>
      <c r="AO699" s="3" t="n">
        <v>0.1443581439689492</v>
      </c>
      <c r="AP699" s="3" t="n">
        <v>0.1459122306735008</v>
      </c>
      <c r="AQ699" s="3" t="n">
        <v>0.1474707990208532</v>
      </c>
      <c r="AR699" s="3" t="n">
        <v>0.1490238984501481</v>
      </c>
      <c r="AS699" s="3" t="n">
        <v>0.1505831905377835</v>
      </c>
      <c r="AT699" s="3" t="n">
        <v>0.1521470004127029</v>
      </c>
      <c r="AU699" s="3" t="n">
        <v>0.1537103702687691</v>
      </c>
      <c r="AV699" s="3" t="n">
        <v>0.1552763822858847</v>
      </c>
      <c r="AW699" s="3" t="n">
        <v>0.156848175446057</v>
      </c>
      <c r="AX699" s="3" t="n">
        <v>0.1584205344798543</v>
      </c>
      <c r="AY699" s="3" t="n">
        <v>0.1599952747834156</v>
      </c>
      <c r="AZ699" s="3" t="n">
        <v>0.1615708108512631</v>
      </c>
      <c r="BA699" s="3" t="n">
        <v>0.1631502230163937</v>
      </c>
      <c r="BC699" s="20" t="inlineStr">
        <is>
          <t>egy.mit.tran.rdm.cost.all.die.4</t>
        </is>
      </c>
      <c r="BD699" s="3" t="n">
        <v>0.1482030229825683</v>
      </c>
      <c r="BE699" s="3" t="n">
        <v>0.140804833298682</v>
      </c>
      <c r="BF699" s="3" t="n">
        <v>0.1357942719546926</v>
      </c>
      <c r="BG699" s="3" t="n">
        <v>0.13481695309124</v>
      </c>
      <c r="BH699" s="3" t="n">
        <v>0.1347467971458004</v>
      </c>
      <c r="BI699" s="3" t="n">
        <v>0.1381512000030617</v>
      </c>
      <c r="BJ699" s="3" t="n">
        <v>0.1427119233330217</v>
      </c>
      <c r="BK699" s="3" t="n">
        <v>0.1475557798414511</v>
      </c>
      <c r="BL699" s="3" t="n">
        <v>0.1526788511934012</v>
      </c>
      <c r="BM699" s="3" t="n">
        <v>0.1582253413785222</v>
      </c>
      <c r="BN699" s="3" t="n">
        <v>0.1640388203018614</v>
      </c>
      <c r="BO699" s="3" t="n">
        <v>0.1701196948222997</v>
      </c>
      <c r="BP699" s="3" t="n">
        <v>0.1764660846158371</v>
      </c>
      <c r="BQ699" s="3" t="n">
        <v>0.1830616659119165</v>
      </c>
      <c r="BR699" s="3" t="n">
        <v>0.189891456974024</v>
      </c>
      <c r="BS699" s="3" t="n">
        <v>0.1969460417242882</v>
      </c>
      <c r="BT699" s="3" t="n">
        <v>0.2042104045923713</v>
      </c>
      <c r="BU699" s="3" t="n">
        <v>0.2116695006729635</v>
      </c>
      <c r="BV699" s="3" t="n">
        <v>0.2193078521217878</v>
      </c>
      <c r="BW699" s="3" t="n">
        <v>0.2271128863199703</v>
      </c>
      <c r="BY699" s="20" t="inlineStr">
        <is>
          <t>egy.mit.tran.rdm.cost.all.die.5</t>
        </is>
      </c>
      <c r="BZ699" s="3" t="n">
        <v>0.1482030229825683</v>
      </c>
      <c r="CA699" s="3" t="n">
        <v>0.140804833298682</v>
      </c>
      <c r="CB699" s="3" t="n">
        <v>0.1357942719546926</v>
      </c>
      <c r="CC699" s="3" t="n">
        <v>0.13481695309124</v>
      </c>
      <c r="CD699" s="3" t="n">
        <v>0.1347467971458272</v>
      </c>
      <c r="CE699" s="3" t="n">
        <v>0.1424463299350533</v>
      </c>
      <c r="CF699" s="3" t="n">
        <v>0.1442675190880716</v>
      </c>
      <c r="CG699" s="3" t="n">
        <v>0.1460585852741458</v>
      </c>
      <c r="CH699" s="3" t="n">
        <v>0.1478065453450813</v>
      </c>
      <c r="CI699" s="3" t="n">
        <v>0.1495477056743257</v>
      </c>
      <c r="CJ699" s="3" t="n">
        <v>0.1512706915575591</v>
      </c>
      <c r="CK699" s="3" t="n">
        <v>0.1529905175482517</v>
      </c>
      <c r="CL699" s="3" t="n">
        <v>0.1547031822327</v>
      </c>
      <c r="CM699" s="3" t="n">
        <v>0.1564073330729285</v>
      </c>
      <c r="CN699" s="3" t="n">
        <v>0.1581060933579057</v>
      </c>
      <c r="CO699" s="3" t="n">
        <v>0.1598027106309571</v>
      </c>
      <c r="CP699" s="3" t="n">
        <v>0.1614935777804281</v>
      </c>
      <c r="CQ699" s="3" t="n">
        <v>0.1631817507570403</v>
      </c>
      <c r="CR699" s="3" t="n">
        <v>0.1648659121003634</v>
      </c>
      <c r="CS699" s="3" t="n">
        <v>0.1665501844401702</v>
      </c>
      <c r="CU699" s="20" t="inlineStr">
        <is>
          <t>egy.mit.tran.rdm.cost.all.die.6</t>
        </is>
      </c>
      <c r="CV699" s="3" t="n">
        <v>0.1482030229825683</v>
      </c>
      <c r="CW699" s="3" t="n">
        <v>0.140804833298682</v>
      </c>
      <c r="CX699" s="3" t="n">
        <v>0.1357942719546926</v>
      </c>
      <c r="CY699" s="3" t="n">
        <v>0.13481695309124</v>
      </c>
      <c r="CZ699" s="3" t="n">
        <v>0.1347467971457892</v>
      </c>
      <c r="DA699" s="3" t="n">
        <v>0.1479993408797582</v>
      </c>
      <c r="DB699" s="3" t="n">
        <v>0.1508872375755213</v>
      </c>
      <c r="DC699" s="3" t="n">
        <v>0.1536798826146956</v>
      </c>
      <c r="DD699" s="3" t="n">
        <v>0.1563556584562405</v>
      </c>
      <c r="DE699" s="3" t="n">
        <v>0.1589733148303184</v>
      </c>
      <c r="DF699" s="3" t="n">
        <v>0.1615154283964093</v>
      </c>
      <c r="DG699" s="3" t="n">
        <v>0.164012034159833</v>
      </c>
      <c r="DH699" s="3" t="n">
        <v>0.1664628972305672</v>
      </c>
      <c r="DI699" s="3" t="n">
        <v>0.1688621947799185</v>
      </c>
      <c r="DJ699" s="3" t="n">
        <v>0.1712186379534417</v>
      </c>
      <c r="DK699" s="3" t="n">
        <v>0.1735419919898279</v>
      </c>
      <c r="DL699" s="3" t="n">
        <v>0.1758242328518672</v>
      </c>
      <c r="DM699" s="3" t="n">
        <v>0.1780719372080556</v>
      </c>
      <c r="DN699" s="3" t="n">
        <v>0.180283756003588</v>
      </c>
      <c r="DO699" s="3" t="n">
        <v>0.1824682592942054</v>
      </c>
    </row>
    <row r="700">
      <c r="A700" s="5" t="n"/>
      <c r="B700" s="18" t="inlineStr">
        <is>
          <t>Welfare effects</t>
        </is>
      </c>
      <c r="C700" s="5" t="n"/>
      <c r="D700" s="5" t="n"/>
      <c r="E700" s="5" t="n"/>
      <c r="F700" s="5" t="n"/>
      <c r="G700" s="5" t="n"/>
      <c r="H700" s="5" t="n"/>
      <c r="I700" s="5" t="n"/>
      <c r="J700" s="5" t="n"/>
      <c r="K700" s="5" t="n"/>
      <c r="L700" s="5" t="n"/>
      <c r="M700" s="5" t="n"/>
      <c r="N700" s="5" t="n"/>
      <c r="O700" s="5" t="n"/>
      <c r="P700" s="5" t="n"/>
      <c r="Q700" s="5" t="n"/>
      <c r="R700" s="5" t="n"/>
      <c r="S700" s="5" t="n"/>
      <c r="T700" s="5" t="n"/>
      <c r="U700" s="5" t="n"/>
      <c r="V700" s="5" t="n"/>
      <c r="W700" s="5" t="n"/>
      <c r="X700" s="5" t="n"/>
      <c r="Y700" s="5" t="n"/>
      <c r="Z700" s="5" t="n"/>
      <c r="AA700" s="5" t="n"/>
      <c r="AB700" s="5" t="n"/>
      <c r="AC700" s="5" t="n"/>
      <c r="AD700" s="5" t="n"/>
      <c r="AE700" s="5" t="n"/>
      <c r="AF700" s="5" t="n"/>
      <c r="AG700" s="5" t="n"/>
      <c r="AH700" s="5" t="n"/>
      <c r="AI700" s="5" t="n"/>
      <c r="AJ700" s="5" t="n"/>
      <c r="AK700" s="5" t="n"/>
      <c r="AL700" s="5" t="n"/>
      <c r="AM700" s="5" t="n"/>
      <c r="AN700" s="5" t="n"/>
      <c r="AO700" s="5" t="n"/>
      <c r="AP700" s="5" t="n"/>
      <c r="AQ700" s="5" t="n"/>
      <c r="AR700" s="5" t="n"/>
      <c r="AS700" s="5" t="n"/>
      <c r="AT700" s="5" t="n"/>
      <c r="AU700" s="5" t="n"/>
      <c r="AV700" s="5" t="n"/>
      <c r="AW700" s="5" t="n"/>
      <c r="AX700" s="5" t="n"/>
      <c r="AY700" s="5" t="n"/>
      <c r="AZ700" s="5" t="n"/>
      <c r="BA700" s="5" t="n"/>
      <c r="BB700" s="5" t="n"/>
      <c r="BC700" s="5" t="n"/>
      <c r="BD700" s="5" t="n"/>
      <c r="BE700" s="5" t="n"/>
      <c r="BF700" s="5" t="n"/>
      <c r="BG700" s="5" t="n"/>
      <c r="BH700" s="5" t="n"/>
      <c r="BI700" s="5" t="n"/>
      <c r="BJ700" s="5" t="n"/>
      <c r="BK700" s="5" t="n"/>
      <c r="BL700" s="5" t="n"/>
      <c r="BM700" s="5" t="n"/>
      <c r="BN700" s="5" t="n"/>
      <c r="BO700" s="5" t="n"/>
      <c r="BP700" s="5" t="n"/>
      <c r="BQ700" s="5" t="n"/>
      <c r="BR700" s="5" t="n"/>
      <c r="BS700" s="5" t="n"/>
      <c r="BT700" s="5" t="n"/>
      <c r="BU700" s="5" t="n"/>
      <c r="BV700" s="5" t="n"/>
      <c r="BW700" s="5" t="n"/>
      <c r="BX700" s="5" t="n"/>
      <c r="BY700" s="5" t="n"/>
      <c r="BZ700" s="5" t="n"/>
      <c r="CA700" s="5" t="n"/>
      <c r="CB700" s="5" t="n"/>
      <c r="CC700" s="5" t="n"/>
      <c r="CD700" s="5" t="n"/>
      <c r="CE700" s="5" t="n"/>
      <c r="CF700" s="5" t="n"/>
      <c r="CG700" s="5" t="n"/>
      <c r="CH700" s="5" t="n"/>
      <c r="CI700" s="5" t="n"/>
      <c r="CJ700" s="5" t="n"/>
      <c r="CK700" s="5" t="n"/>
      <c r="CL700" s="5" t="n"/>
      <c r="CM700" s="5" t="n"/>
      <c r="CN700" s="5" t="n"/>
      <c r="CO700" s="5" t="n"/>
      <c r="CP700" s="5" t="n"/>
      <c r="CQ700" s="5" t="n"/>
      <c r="CR700" s="5" t="n"/>
      <c r="CS700" s="5" t="n"/>
      <c r="CT700" s="5" t="n"/>
      <c r="CU700" s="5" t="n"/>
      <c r="CV700" s="5" t="n"/>
      <c r="CW700" s="5" t="n"/>
      <c r="CX700" s="5" t="n"/>
      <c r="CY700" s="5" t="n"/>
      <c r="CZ700" s="5" t="n"/>
      <c r="DA700" s="5" t="n"/>
      <c r="DB700" s="5" t="n"/>
      <c r="DC700" s="5" t="n"/>
      <c r="DD700" s="5" t="n"/>
      <c r="DE700" s="5" t="n"/>
      <c r="DF700" s="5" t="n"/>
      <c r="DG700" s="5" t="n"/>
      <c r="DH700" s="5" t="n"/>
      <c r="DI700" s="5" t="n"/>
      <c r="DJ700" s="5" t="n"/>
      <c r="DK700" s="5" t="n"/>
      <c r="DL700" s="5" t="n"/>
      <c r="DM700" s="5" t="n"/>
      <c r="DN700" s="5" t="n"/>
      <c r="DO700" s="5" t="n"/>
      <c r="DP700" s="5" t="n"/>
      <c r="DQ700" s="5" t="n"/>
      <c r="DR700" s="5" t="n"/>
      <c r="DS700" s="5" t="n"/>
      <c r="DT700" s="5" t="n"/>
      <c r="DU700" s="5" t="n"/>
      <c r="DV700" s="5" t="n"/>
      <c r="DW700" s="5" t="n"/>
      <c r="DX700" s="5" t="n"/>
      <c r="DY700" s="5" t="n"/>
      <c r="DZ700" s="5" t="n"/>
      <c r="EA700" s="5" t="n"/>
      <c r="EB700" s="5" t="n"/>
      <c r="EC700" s="5" t="n"/>
      <c r="ED700" s="5" t="n"/>
      <c r="EE700" s="5" t="n"/>
      <c r="EF700" s="5" t="n"/>
      <c r="EG700" s="5" t="n"/>
      <c r="EH700" s="5" t="n"/>
      <c r="EI700" s="5" t="n"/>
      <c r="EJ700" s="5" t="n"/>
      <c r="EK700" s="5" t="n"/>
      <c r="EL700" s="5" t="n"/>
      <c r="EM700" s="5" t="n"/>
      <c r="EN700" s="5" t="n"/>
      <c r="EO700" s="5" t="n"/>
      <c r="EP700" s="5" t="n"/>
      <c r="EQ700" s="5" t="n"/>
      <c r="ER700" s="5" t="n"/>
      <c r="ES700" s="5" t="n"/>
      <c r="ET700" s="5" t="n"/>
      <c r="EU700" s="5" t="n"/>
      <c r="EV700" s="5" t="n"/>
      <c r="EW700" s="5" t="n"/>
      <c r="EX700" s="5" t="n"/>
      <c r="EY700" s="5" t="n"/>
      <c r="EZ700" s="5" t="n"/>
      <c r="FA700" s="5" t="n"/>
      <c r="FB700" s="5" t="n"/>
      <c r="FC700" s="5" t="n"/>
      <c r="FD700" s="5" t="n"/>
      <c r="FE700" s="5" t="n"/>
      <c r="FF700" s="5" t="n"/>
      <c r="FG700" s="5" t="n"/>
      <c r="FH700" s="5" t="n"/>
      <c r="FI700" s="5" t="n"/>
      <c r="FJ700" s="5" t="n"/>
      <c r="FK700" s="5" t="n"/>
      <c r="FL700" s="5" t="n"/>
      <c r="FM700" s="5" t="n"/>
      <c r="FN700" s="5" t="n"/>
      <c r="FO700" s="5" t="n"/>
      <c r="FP700" s="5" t="n"/>
      <c r="FQ700" s="5" t="n"/>
      <c r="FR700" s="5" t="n"/>
      <c r="FS700" s="5" t="n"/>
      <c r="FT700" s="5" t="n"/>
      <c r="FU700" s="5" t="n"/>
      <c r="FV700" s="5" t="n"/>
      <c r="FW700" s="5" t="n"/>
      <c r="FX700" s="5" t="n"/>
      <c r="FY700" s="5" t="n"/>
      <c r="FZ700" s="5" t="n"/>
      <c r="GA700" s="5" t="n"/>
      <c r="GB700" s="5" t="n"/>
      <c r="GC700" s="5" t="n"/>
      <c r="GD700" s="5" t="n"/>
      <c r="GE700" s="5" t="n"/>
      <c r="GF700" s="5" t="n"/>
      <c r="GG700" s="5" t="n"/>
      <c r="GH700" s="5" t="n"/>
      <c r="GI700" s="5" t="n"/>
      <c r="GJ700" s="5" t="n"/>
      <c r="GK700" s="5" t="n"/>
      <c r="GL700" s="5" t="n"/>
      <c r="GM700" s="5" t="n"/>
      <c r="GN700" s="5" t="n"/>
      <c r="GO700" s="5" t="n"/>
      <c r="GP700" s="5" t="n"/>
      <c r="GQ700" s="5" t="n"/>
      <c r="GR700" s="5" t="n"/>
      <c r="GS700" s="5" t="n"/>
      <c r="GT700" s="5" t="n"/>
      <c r="GU700" s="5" t="n"/>
      <c r="GV700" s="5" t="n"/>
      <c r="GW700" s="5" t="n"/>
      <c r="GX700" s="5" t="n"/>
      <c r="GY700" s="5" t="n"/>
      <c r="GZ700" s="5" t="n"/>
      <c r="HA700" s="5" t="n"/>
      <c r="HB700" s="5" t="n"/>
      <c r="HC700" s="5" t="n"/>
      <c r="HD700" s="5" t="n"/>
      <c r="HE700" s="5" t="n"/>
      <c r="HF700" s="5" t="n"/>
      <c r="HG700" s="5" t="n"/>
      <c r="HH700" s="5" t="n"/>
      <c r="HI700" s="5" t="n"/>
      <c r="HJ700" s="5" t="n"/>
      <c r="HK700" s="5" t="n"/>
      <c r="HL700" s="5" t="n"/>
      <c r="HM700" s="5" t="n"/>
      <c r="HN700" s="5" t="n"/>
      <c r="HO700" s="5" t="n"/>
      <c r="HP700" s="5" t="n"/>
      <c r="HQ700" s="5" t="n"/>
      <c r="HR700" s="5" t="n"/>
      <c r="HS700" s="5" t="n"/>
      <c r="HT700" s="5" t="n"/>
      <c r="HU700" s="5" t="n"/>
      <c r="HV700" s="5" t="n"/>
    </row>
    <row r="701">
      <c r="A701" s="19" t="inlineStr">
        <is>
          <t>mit.wcli.all.nat</t>
        </is>
      </c>
      <c r="B701" s="3" t="inlineStr">
        <is>
          <t>mit</t>
        </is>
      </c>
      <c r="C701" s="19" t="inlineStr">
        <is>
          <t>mit.wel.cli.usd</t>
        </is>
      </c>
      <c r="H701" s="3" t="inlineStr">
        <is>
          <t xml:space="preserve">Climate damages avoided against scenario 1 (national, global) | All sectors | </t>
        </is>
      </c>
      <c r="I701" s="3" t="inlineStr">
        <is>
          <t>USD bn real</t>
        </is>
      </c>
      <c r="K701" s="20" t="inlineStr">
        <is>
          <t>egy.mit.wcli.all.nat.1</t>
        </is>
      </c>
      <c r="L701" s="27" t="n">
        <v>0</v>
      </c>
      <c r="M701" s="27" t="n">
        <v>0</v>
      </c>
      <c r="N701" s="27" t="n">
        <v>0</v>
      </c>
      <c r="O701" s="27" t="n">
        <v>0</v>
      </c>
      <c r="P701" s="27" t="n">
        <v>0</v>
      </c>
      <c r="Q701" s="27" t="n">
        <v>0</v>
      </c>
      <c r="R701" s="27" t="n">
        <v>0</v>
      </c>
      <c r="S701" s="27" t="n">
        <v>0</v>
      </c>
      <c r="T701" s="27" t="n">
        <v>0</v>
      </c>
      <c r="U701" s="27" t="n">
        <v>0</v>
      </c>
      <c r="V701" s="27" t="n">
        <v>0</v>
      </c>
      <c r="W701" s="27" t="n">
        <v>0</v>
      </c>
      <c r="X701" s="27" t="n">
        <v>0</v>
      </c>
      <c r="Y701" s="27" t="n">
        <v>0</v>
      </c>
      <c r="Z701" s="27" t="n">
        <v>0</v>
      </c>
      <c r="AA701" s="27" t="n">
        <v>0</v>
      </c>
      <c r="AB701" s="27" t="n">
        <v>0</v>
      </c>
      <c r="AC701" s="27" t="n">
        <v>0</v>
      </c>
      <c r="AD701" s="27" t="n">
        <v>0</v>
      </c>
      <c r="AE701" s="27" t="n">
        <v>0</v>
      </c>
      <c r="AG701" s="20" t="inlineStr">
        <is>
          <t>egy.mit.wcli.all.nat.3</t>
        </is>
      </c>
      <c r="AH701" s="27" t="n">
        <v>0</v>
      </c>
      <c r="AI701" s="27" t="n">
        <v>0.003064747229920783</v>
      </c>
      <c r="AJ701" s="27" t="n">
        <v>0.003072212737158964</v>
      </c>
      <c r="AK701" s="27" t="n">
        <v>0.003078001715039136</v>
      </c>
      <c r="AL701" s="27" t="n">
        <v>0.003202190463408527</v>
      </c>
      <c r="AM701" s="27" t="n">
        <v>2.224202992023976</v>
      </c>
      <c r="AN701" s="27" t="n">
        <v>3.092431136338149</v>
      </c>
      <c r="AO701" s="27" t="n">
        <v>3.140825356853405</v>
      </c>
      <c r="AP701" s="27" t="n">
        <v>3.435295294237818</v>
      </c>
      <c r="AQ701" s="27" t="n">
        <v>3.535267722859984</v>
      </c>
      <c r="AR701" s="27" t="n">
        <v>3.754388053041843</v>
      </c>
      <c r="AS701" s="27" t="n">
        <v>3.926428325376421</v>
      </c>
      <c r="AT701" s="27" t="n">
        <v>4.170669671827085</v>
      </c>
      <c r="AU701" s="27" t="n">
        <v>4.399303778634533</v>
      </c>
      <c r="AV701" s="27" t="n">
        <v>4.635766178108632</v>
      </c>
      <c r="AW701" s="27" t="n">
        <v>4.870225910701166</v>
      </c>
      <c r="AX701" s="27" t="n">
        <v>5.135277653735216</v>
      </c>
      <c r="AY701" s="27" t="n">
        <v>5.422518199170035</v>
      </c>
      <c r="AZ701" s="27" t="n">
        <v>5.751060330120097</v>
      </c>
      <c r="BA701" s="27" t="n">
        <v>6.104850567043329</v>
      </c>
      <c r="BC701" s="20" t="inlineStr">
        <is>
          <t>egy.mit.wcli.all.nat.4</t>
        </is>
      </c>
      <c r="BD701" s="27" t="n">
        <v>0</v>
      </c>
      <c r="BE701" s="27" t="n">
        <v>0.01060977962173126</v>
      </c>
      <c r="BF701" s="27" t="n">
        <v>0.01063514325783288</v>
      </c>
      <c r="BG701" s="27" t="n">
        <v>0.01065469488648674</v>
      </c>
      <c r="BH701" s="27" t="n">
        <v>0.01106889242445419</v>
      </c>
      <c r="BI701" s="27" t="n">
        <v>1.440825390823662</v>
      </c>
      <c r="BJ701" s="27" t="n">
        <v>3.477939862424002</v>
      </c>
      <c r="BK701" s="27" t="n">
        <v>5.62626573070429</v>
      </c>
      <c r="BL701" s="27" t="n">
        <v>7.410721168436247</v>
      </c>
      <c r="BM701" s="27" t="n">
        <v>8.679912588874643</v>
      </c>
      <c r="BN701" s="27" t="n">
        <v>10.21641614326222</v>
      </c>
      <c r="BO701" s="27" t="n">
        <v>11.77474837442249</v>
      </c>
      <c r="BP701" s="27" t="n">
        <v>13.5265238884712</v>
      </c>
      <c r="BQ701" s="27" t="n">
        <v>15.23540716896446</v>
      </c>
      <c r="BR701" s="27" t="n">
        <v>17.14346005475534</v>
      </c>
      <c r="BS701" s="27" t="n">
        <v>19.01515320392632</v>
      </c>
      <c r="BT701" s="27" t="n">
        <v>21.12215417304506</v>
      </c>
      <c r="BU701" s="27" t="n">
        <v>23.18097827957796</v>
      </c>
      <c r="BV701" s="27" t="n">
        <v>25.56572178917115</v>
      </c>
      <c r="BW701" s="27" t="n">
        <v>27.82646503813762</v>
      </c>
      <c r="BY701" s="20" t="inlineStr">
        <is>
          <t>egy.mit.wcli.all.nat.5</t>
        </is>
      </c>
      <c r="BZ701" s="27" t="n">
        <v>0</v>
      </c>
      <c r="CA701" s="27" t="n">
        <v>0.01800051647690282</v>
      </c>
      <c r="CB701" s="27" t="n">
        <v>0.01805283423276904</v>
      </c>
      <c r="CC701" s="27" t="n">
        <v>0.01809554490496268</v>
      </c>
      <c r="CD701" s="27" t="n">
        <v>0.01881621842353809</v>
      </c>
      <c r="CE701" s="27" t="n">
        <v>2.522955576390547</v>
      </c>
      <c r="CF701" s="27" t="n">
        <v>2.762472350049137</v>
      </c>
      <c r="CG701" s="27" t="n">
        <v>3.002459588429303</v>
      </c>
      <c r="CH701" s="27" t="n">
        <v>3.283795111235662</v>
      </c>
      <c r="CI701" s="27" t="n">
        <v>3.635059023062254</v>
      </c>
      <c r="CJ701" s="27" t="n">
        <v>4.119135809347711</v>
      </c>
      <c r="CK701" s="27" t="n">
        <v>4.518680072299837</v>
      </c>
      <c r="CL701" s="27" t="n">
        <v>5.279460357591319</v>
      </c>
      <c r="CM701" s="27" t="n">
        <v>6.023380817946226</v>
      </c>
      <c r="CN701" s="27" t="n">
        <v>6.762986505370847</v>
      </c>
      <c r="CO701" s="27" t="n">
        <v>7.616428353242441</v>
      </c>
      <c r="CP701" s="27" t="n">
        <v>8.487851649919428</v>
      </c>
      <c r="CQ701" s="27" t="n">
        <v>9.403479830494298</v>
      </c>
      <c r="CR701" s="27" t="n">
        <v>10.41747497456709</v>
      </c>
      <c r="CS701" s="27" t="n">
        <v>11.45912694472998</v>
      </c>
      <c r="CU701" s="20" t="inlineStr">
        <is>
          <t>egy.mit.wcli.all.nat.6</t>
        </is>
      </c>
      <c r="CV701" s="27" t="n">
        <v>0</v>
      </c>
      <c r="CW701" s="27" t="n">
        <v>0.007310775357101562</v>
      </c>
      <c r="CX701" s="27" t="n">
        <v>0.007328393497164853</v>
      </c>
      <c r="CY701" s="27" t="n">
        <v>0.007342009203764377</v>
      </c>
      <c r="CZ701" s="27" t="n">
        <v>0.007632064165182584</v>
      </c>
      <c r="DA701" s="27" t="n">
        <v>4.377433197333243</v>
      </c>
      <c r="DB701" s="27" t="n">
        <v>6.190779434861302</v>
      </c>
      <c r="DC701" s="27" t="n">
        <v>6.432929414736446</v>
      </c>
      <c r="DD701" s="27" t="n">
        <v>7.112284803800193</v>
      </c>
      <c r="DE701" s="27" t="n">
        <v>7.121528603408052</v>
      </c>
      <c r="DF701" s="27" t="n">
        <v>7.789353439051702</v>
      </c>
      <c r="DG701" s="27" t="n">
        <v>8.329020330467728</v>
      </c>
      <c r="DH701" s="27" t="n">
        <v>9.113355999213184</v>
      </c>
      <c r="DI701" s="27" t="n">
        <v>9.829636858781413</v>
      </c>
      <c r="DJ701" s="27" t="n">
        <v>10.66111159884623</v>
      </c>
      <c r="DK701" s="27" t="n">
        <v>11.4397587668962</v>
      </c>
      <c r="DL701" s="27" t="n">
        <v>12.36528110106549</v>
      </c>
      <c r="DM701" s="27" t="n">
        <v>13.26997146064363</v>
      </c>
      <c r="DN701" s="27" t="n">
        <v>14.33288535029407</v>
      </c>
      <c r="DO701" s="27" t="n">
        <v>15.3853900775028</v>
      </c>
    </row>
    <row r="702">
      <c r="A702" s="19" t="inlineStr">
        <is>
          <t>mit.wel.air.usd</t>
        </is>
      </c>
      <c r="B702" s="3" t="inlineStr">
        <is>
          <t>mit</t>
        </is>
      </c>
      <c r="C702" s="19" t="inlineStr">
        <is>
          <t>mit.wel.air.usd</t>
        </is>
      </c>
      <c r="H702" s="3" t="inlineStr">
        <is>
          <t xml:space="preserve">Welfare, national: avoided damages and co-benefits - efficiency costs (USD bn real; % of baseline real GDP) |  | </t>
        </is>
      </c>
      <c r="I702" s="3" t="inlineStr">
        <is>
          <t>mixed</t>
        </is>
      </c>
      <c r="K702" s="20" t="inlineStr">
        <is>
          <t>egy.mit.wel.air.usd.1</t>
        </is>
      </c>
      <c r="L702" s="3" t="n">
        <v>0</v>
      </c>
      <c r="M702" s="3" t="n">
        <v>0</v>
      </c>
      <c r="N702" s="3" t="n">
        <v>0</v>
      </c>
      <c r="O702" s="3" t="n">
        <v>0</v>
      </c>
      <c r="P702" s="3" t="n">
        <v>0</v>
      </c>
      <c r="Q702" s="3" t="n">
        <v>0</v>
      </c>
      <c r="R702" s="3" t="n">
        <v>0</v>
      </c>
      <c r="S702" s="3" t="n">
        <v>0</v>
      </c>
      <c r="T702" s="3" t="n">
        <v>0</v>
      </c>
      <c r="U702" s="3" t="n">
        <v>0</v>
      </c>
      <c r="V702" s="3" t="n">
        <v>0</v>
      </c>
      <c r="W702" s="3" t="n">
        <v>0</v>
      </c>
      <c r="X702" s="3" t="n">
        <v>0</v>
      </c>
      <c r="Y702" s="3" t="n">
        <v>0</v>
      </c>
      <c r="Z702" s="3" t="n">
        <v>0</v>
      </c>
      <c r="AA702" s="3" t="n">
        <v>0</v>
      </c>
      <c r="AB702" s="3" t="n">
        <v>0</v>
      </c>
      <c r="AC702" s="3" t="n">
        <v>0</v>
      </c>
      <c r="AD702" s="3" t="n">
        <v>0</v>
      </c>
      <c r="AE702" s="3" t="n">
        <v>0</v>
      </c>
      <c r="AG702" s="20" t="inlineStr">
        <is>
          <t>egy.mit.wel.air.usd.3</t>
        </is>
      </c>
      <c r="AH702" s="3" t="n">
        <v>0</v>
      </c>
      <c r="AI702" s="3" t="n">
        <v>0.000569158313939638</v>
      </c>
      <c r="AJ702" s="3" t="n">
        <v>0.00052088823108576</v>
      </c>
      <c r="AK702" s="3" t="n">
        <v>0.0003565918269995712</v>
      </c>
      <c r="AL702" s="3" t="n">
        <v>0.0004016997004707083</v>
      </c>
      <c r="AM702" s="3" t="n">
        <v>0.8514115835028605</v>
      </c>
      <c r="AN702" s="3" t="n">
        <v>1.017284528442633</v>
      </c>
      <c r="AO702" s="3" t="n">
        <v>1.298445406980902</v>
      </c>
      <c r="AP702" s="3" t="n">
        <v>1.443036800803782</v>
      </c>
      <c r="AQ702" s="3" t="n">
        <v>1.482930244012048</v>
      </c>
      <c r="AR702" s="3" t="n">
        <v>1.568275826711001</v>
      </c>
      <c r="AS702" s="3" t="n">
        <v>1.648472188623852</v>
      </c>
      <c r="AT702" s="3" t="n">
        <v>1.736015466134068</v>
      </c>
      <c r="AU702" s="3" t="n">
        <v>1.825653940176337</v>
      </c>
      <c r="AV702" s="3" t="n">
        <v>1.917534520937187</v>
      </c>
      <c r="AW702" s="3" t="n">
        <v>2.009103434984345</v>
      </c>
      <c r="AX702" s="3" t="n">
        <v>2.108368663576985</v>
      </c>
      <c r="AY702" s="3" t="n">
        <v>2.213613737179934</v>
      </c>
      <c r="AZ702" s="3" t="n">
        <v>2.328734304135851</v>
      </c>
      <c r="BA702" s="3" t="n">
        <v>2.360584889026286</v>
      </c>
      <c r="BC702" s="20" t="inlineStr">
        <is>
          <t>egy.mit.wel.air.usd.4</t>
        </is>
      </c>
      <c r="BD702" s="3" t="n">
        <v>0</v>
      </c>
      <c r="BE702" s="3" t="n">
        <v>0.00187753588231388</v>
      </c>
      <c r="BF702" s="3" t="n">
        <v>0.001718091400093189</v>
      </c>
      <c r="BG702" s="3" t="n">
        <v>0.001176065959526376</v>
      </c>
      <c r="BH702" s="3" t="n">
        <v>0.001325089197279045</v>
      </c>
      <c r="BI702" s="3" t="n">
        <v>0.5396064698855213</v>
      </c>
      <c r="BJ702" s="3" t="n">
        <v>1.254420051590023</v>
      </c>
      <c r="BK702" s="3" t="n">
        <v>2.157782797163287</v>
      </c>
      <c r="BL702" s="3" t="n">
        <v>3.05331384913796</v>
      </c>
      <c r="BM702" s="3" t="n">
        <v>3.509416286786296</v>
      </c>
      <c r="BN702" s="3" t="n">
        <v>4.051874991147078</v>
      </c>
      <c r="BO702" s="3" t="n">
        <v>4.598412766737807</v>
      </c>
      <c r="BP702" s="3" t="n">
        <v>5.168061426036522</v>
      </c>
      <c r="BQ702" s="3" t="n">
        <v>5.74048429272649</v>
      </c>
      <c r="BR702" s="3" t="n">
        <v>6.339872611998</v>
      </c>
      <c r="BS702" s="3" t="n">
        <v>6.94615701469575</v>
      </c>
      <c r="BT702" s="3" t="n">
        <v>7.584910220137786</v>
      </c>
      <c r="BU702" s="3" t="n">
        <v>8.232196291484216</v>
      </c>
      <c r="BV702" s="3" t="n">
        <v>8.922808895220522</v>
      </c>
      <c r="BW702" s="3" t="n">
        <v>9.266821010171466</v>
      </c>
      <c r="BY702" s="20" t="inlineStr">
        <is>
          <t>egy.mit.wel.air.usd.5</t>
        </is>
      </c>
      <c r="BZ702" s="3" t="n">
        <v>0</v>
      </c>
      <c r="CA702" s="3" t="n">
        <v>0.003227691131280319</v>
      </c>
      <c r="CB702" s="3" t="n">
        <v>0.002954693972921611</v>
      </c>
      <c r="CC702" s="3" t="n">
        <v>0.002023105083979143</v>
      </c>
      <c r="CD702" s="3" t="n">
        <v>0.002279745721346243</v>
      </c>
      <c r="CE702" s="3" t="n">
        <v>1.010976667490312</v>
      </c>
      <c r="CF702" s="3" t="n">
        <v>1.140010240356985</v>
      </c>
      <c r="CG702" s="3" t="n">
        <v>1.265408678581857</v>
      </c>
      <c r="CH702" s="3" t="n">
        <v>1.395171295264823</v>
      </c>
      <c r="CI702" s="3" t="n">
        <v>1.468419185877785</v>
      </c>
      <c r="CJ702" s="3" t="n">
        <v>1.589691666534003</v>
      </c>
      <c r="CK702" s="3" t="n">
        <v>1.701945331720754</v>
      </c>
      <c r="CL702" s="3" t="n">
        <v>1.851224203365912</v>
      </c>
      <c r="CM702" s="3" t="n">
        <v>2.002279959041103</v>
      </c>
      <c r="CN702" s="3" t="n">
        <v>2.155824683161306</v>
      </c>
      <c r="CO702" s="3" t="n">
        <v>2.320735032747172</v>
      </c>
      <c r="CP702" s="3" t="n">
        <v>2.492504410925373</v>
      </c>
      <c r="CQ702" s="3" t="n">
        <v>2.671642107359873</v>
      </c>
      <c r="CR702" s="3" t="n">
        <v>2.865045635539373</v>
      </c>
      <c r="CS702" s="3" t="n">
        <v>2.951559496902989</v>
      </c>
      <c r="CU702" s="20" t="inlineStr">
        <is>
          <t>egy.mit.wel.air.usd.6</t>
        </is>
      </c>
      <c r="CV702" s="3" t="n">
        <v>0</v>
      </c>
      <c r="CW702" s="3" t="n">
        <v>0.00132095609479842</v>
      </c>
      <c r="CX702" s="3" t="n">
        <v>0.001208842666169923</v>
      </c>
      <c r="CY702" s="3" t="n">
        <v>0.0008275101285340345</v>
      </c>
      <c r="CZ702" s="3" t="n">
        <v>0.0009322913555310425</v>
      </c>
      <c r="DA702" s="3" t="n">
        <v>1.673900818632516</v>
      </c>
      <c r="DB702" s="3" t="n">
        <v>2.008743447963206</v>
      </c>
      <c r="DC702" s="3" t="n">
        <v>2.393504071950419</v>
      </c>
      <c r="DD702" s="3" t="n">
        <v>2.852089931293403</v>
      </c>
      <c r="DE702" s="3" t="n">
        <v>2.912807570689842</v>
      </c>
      <c r="DF702" s="3" t="n">
        <v>3.101647185895603</v>
      </c>
      <c r="DG702" s="3" t="n">
        <v>3.276198714097459</v>
      </c>
      <c r="DH702" s="3" t="n">
        <v>3.475649862415612</v>
      </c>
      <c r="DI702" s="3" t="n">
        <v>3.675323472472989</v>
      </c>
      <c r="DJ702" s="3" t="n">
        <v>3.888540405200778</v>
      </c>
      <c r="DK702" s="3" t="n">
        <v>4.097250578896483</v>
      </c>
      <c r="DL702" s="3" t="n">
        <v>4.328318250491701</v>
      </c>
      <c r="DM702" s="3" t="n">
        <v>4.564632961504569</v>
      </c>
      <c r="DN702" s="3" t="n">
        <v>4.826114197485246</v>
      </c>
      <c r="DO702" s="3" t="n">
        <v>4.907632789829587</v>
      </c>
    </row>
    <row r="703">
      <c r="A703" s="19" t="inlineStr">
        <is>
          <t>mit.wel.rod.aci.usd</t>
        </is>
      </c>
      <c r="B703" s="3" t="inlineStr">
        <is>
          <t>mit</t>
        </is>
      </c>
      <c r="C703" s="19" t="inlineStr">
        <is>
          <t>mit.wel.rod.aci.usd</t>
        </is>
      </c>
      <c r="H703" s="3" t="inlineStr">
        <is>
          <t xml:space="preserve">Road transport co-benefits: averted accidents, reduced congestion, reduced road damage |  | </t>
        </is>
      </c>
      <c r="I703" s="3" t="inlineStr">
        <is>
          <t>USD bn real</t>
        </is>
      </c>
      <c r="K703" s="20" t="inlineStr">
        <is>
          <t>egy.mit.wel.rod.aci.usd.1</t>
        </is>
      </c>
      <c r="L703" s="3" t="n">
        <v>0</v>
      </c>
      <c r="M703" s="3" t="n">
        <v>0</v>
      </c>
      <c r="N703" s="3" t="n">
        <v>0</v>
      </c>
      <c r="O703" s="3" t="n">
        <v>0</v>
      </c>
      <c r="P703" s="3" t="n">
        <v>0</v>
      </c>
      <c r="Q703" s="3" t="n">
        <v>0</v>
      </c>
      <c r="R703" s="3" t="n">
        <v>0</v>
      </c>
      <c r="S703" s="3" t="n">
        <v>0</v>
      </c>
      <c r="T703" s="3" t="n">
        <v>0</v>
      </c>
      <c r="U703" s="3" t="n">
        <v>0</v>
      </c>
      <c r="V703" s="3" t="n">
        <v>0</v>
      </c>
      <c r="W703" s="3" t="n">
        <v>0</v>
      </c>
      <c r="X703" s="3" t="n">
        <v>0</v>
      </c>
      <c r="Y703" s="3" t="n">
        <v>0</v>
      </c>
      <c r="Z703" s="3" t="n">
        <v>0</v>
      </c>
      <c r="AA703" s="3" t="n">
        <v>0</v>
      </c>
      <c r="AB703" s="3" t="n">
        <v>0</v>
      </c>
      <c r="AC703" s="3" t="n">
        <v>0</v>
      </c>
      <c r="AD703" s="3" t="n">
        <v>0</v>
      </c>
      <c r="AE703" s="3" t="n">
        <v>0</v>
      </c>
      <c r="AG703" s="20" t="inlineStr">
        <is>
          <t>egy.mit.wel.rod.aci.usd.3</t>
        </is>
      </c>
      <c r="AH703" s="3" t="n">
        <v>0</v>
      </c>
      <c r="AI703" s="3" t="n">
        <v>0</v>
      </c>
      <c r="AJ703" s="3" t="n">
        <v>0</v>
      </c>
      <c r="AK703" s="3" t="n">
        <v>0</v>
      </c>
      <c r="AL703" s="3" t="n">
        <v>1.02996389545865e-08</v>
      </c>
      <c r="AM703" s="3" t="n">
        <v>0.06392874270850332</v>
      </c>
      <c r="AN703" s="3" t="n">
        <v>0.06893766812555724</v>
      </c>
      <c r="AO703" s="3" t="n">
        <v>0.07392298897252234</v>
      </c>
      <c r="AP703" s="3" t="n">
        <v>0.07913858006287935</v>
      </c>
      <c r="AQ703" s="3" t="n">
        <v>0.08140847798265501</v>
      </c>
      <c r="AR703" s="3" t="n">
        <v>0.08609338793351616</v>
      </c>
      <c r="AS703" s="3" t="n">
        <v>0.09146011374024485</v>
      </c>
      <c r="AT703" s="3" t="n">
        <v>0.09696572829547835</v>
      </c>
      <c r="AU703" s="3" t="n">
        <v>0.1024253097048635</v>
      </c>
      <c r="AV703" s="3" t="n">
        <v>0.1077697610803208</v>
      </c>
      <c r="AW703" s="3" t="n">
        <v>0.1126410572127098</v>
      </c>
      <c r="AX703" s="3" t="n">
        <v>0.117003357377393</v>
      </c>
      <c r="AY703" s="3" t="n">
        <v>0.1211174668244451</v>
      </c>
      <c r="AZ703" s="3" t="n">
        <v>0.1255212278216546</v>
      </c>
      <c r="BA703" s="3" t="n">
        <v>0.1305858462400477</v>
      </c>
      <c r="BC703" s="20" t="inlineStr">
        <is>
          <t>egy.mit.wel.rod.aci.usd.4</t>
        </is>
      </c>
      <c r="BD703" s="3" t="n">
        <v>0</v>
      </c>
      <c r="BE703" s="3" t="n">
        <v>0</v>
      </c>
      <c r="BF703" s="3" t="n">
        <v>0</v>
      </c>
      <c r="BG703" s="3" t="n">
        <v>0</v>
      </c>
      <c r="BH703" s="3" t="n">
        <v>3.433884618835123e-08</v>
      </c>
      <c r="BI703" s="3" t="n">
        <v>0.03396626812033286</v>
      </c>
      <c r="BJ703" s="3" t="n">
        <v>0.08029611488599252</v>
      </c>
      <c r="BK703" s="3" t="n">
        <v>0.1280575676685058</v>
      </c>
      <c r="BL703" s="3" t="n">
        <v>0.1774193571332103</v>
      </c>
      <c r="BM703" s="3" t="n">
        <v>0.2198542430519941</v>
      </c>
      <c r="BN703" s="3" t="n">
        <v>0.2682273508184849</v>
      </c>
      <c r="BO703" s="3" t="n">
        <v>0.3198565720098782</v>
      </c>
      <c r="BP703" s="3" t="n">
        <v>0.3754354923168401</v>
      </c>
      <c r="BQ703" s="3" t="n">
        <v>0.4350962524776267</v>
      </c>
      <c r="BR703" s="3" t="n">
        <v>0.4994534388682029</v>
      </c>
      <c r="BS703" s="3" t="n">
        <v>0.5681872696423524</v>
      </c>
      <c r="BT703" s="3" t="n">
        <v>0.6426223636111392</v>
      </c>
      <c r="BU703" s="3" t="n">
        <v>0.7219678880368329</v>
      </c>
      <c r="BV703" s="3" t="n">
        <v>0.8097038639538612</v>
      </c>
      <c r="BW703" s="3" t="n">
        <v>0.9020826999548567</v>
      </c>
      <c r="BY703" s="20" t="inlineStr">
        <is>
          <t>egy.mit.wel.rod.aci.usd.5</t>
        </is>
      </c>
      <c r="BZ703" s="3" t="n">
        <v>0</v>
      </c>
      <c r="CA703" s="3" t="n">
        <v>0</v>
      </c>
      <c r="CB703" s="3" t="n">
        <v>0</v>
      </c>
      <c r="CC703" s="3" t="n">
        <v>0</v>
      </c>
      <c r="CD703" s="3" t="n">
        <v>5.897121092874954e-08</v>
      </c>
      <c r="CE703" s="3" t="n">
        <v>0.0776812569405855</v>
      </c>
      <c r="CF703" s="3" t="n">
        <v>0.08354810350991229</v>
      </c>
      <c r="CG703" s="3" t="n">
        <v>0.08947080733492226</v>
      </c>
      <c r="CH703" s="3" t="n">
        <v>0.09547902942443652</v>
      </c>
      <c r="CI703" s="3" t="n">
        <v>0.09780566255739559</v>
      </c>
      <c r="CJ703" s="3" t="n">
        <v>0.1027207541859309</v>
      </c>
      <c r="CK703" s="3" t="n">
        <v>0.1081123426794093</v>
      </c>
      <c r="CL703" s="3" t="n">
        <v>0.1133301521054052</v>
      </c>
      <c r="CM703" s="3" t="n">
        <v>0.1182597111964611</v>
      </c>
      <c r="CN703" s="3" t="n">
        <v>0.1225260801381285</v>
      </c>
      <c r="CO703" s="3" t="n">
        <v>0.1257194331015213</v>
      </c>
      <c r="CP703" s="3" t="n">
        <v>0.1275279935512969</v>
      </c>
      <c r="CQ703" s="3" t="n">
        <v>0.1277056408804468</v>
      </c>
      <c r="CR703" s="3" t="n">
        <v>0.1262833343086319</v>
      </c>
      <c r="CS703" s="3" t="n">
        <v>0.1231141699371905</v>
      </c>
      <c r="CU703" s="20" t="inlineStr">
        <is>
          <t>egy.mit.wel.rod.aci.usd.6</t>
        </is>
      </c>
      <c r="CV703" s="3" t="n">
        <v>0</v>
      </c>
      <c r="CW703" s="3" t="n">
        <v>0</v>
      </c>
      <c r="CX703" s="3" t="n">
        <v>0</v>
      </c>
      <c r="CY703" s="3" t="n">
        <v>0</v>
      </c>
      <c r="CZ703" s="3" t="n">
        <v>2.405092317280037e-08</v>
      </c>
      <c r="DA703" s="3" t="n">
        <v>0.1369532124053812</v>
      </c>
      <c r="DB703" s="3" t="n">
        <v>0.1476923492942833</v>
      </c>
      <c r="DC703" s="3" t="n">
        <v>0.1583616379762045</v>
      </c>
      <c r="DD703" s="3" t="n">
        <v>0.169556673333561</v>
      </c>
      <c r="DE703" s="3" t="n">
        <v>0.1745005239254015</v>
      </c>
      <c r="DF703" s="3" t="n">
        <v>0.1844930528839048</v>
      </c>
      <c r="DG703" s="3" t="n">
        <v>0.1960289136830025</v>
      </c>
      <c r="DH703" s="3" t="n">
        <v>0.2077765722420518</v>
      </c>
      <c r="DI703" s="3" t="n">
        <v>0.2192413992650688</v>
      </c>
      <c r="DJ703" s="3" t="n">
        <v>0.2302615664414346</v>
      </c>
      <c r="DK703" s="3" t="n">
        <v>0.2397576801788002</v>
      </c>
      <c r="DL703" s="3" t="n">
        <v>0.2476489133946034</v>
      </c>
      <c r="DM703" s="3" t="n">
        <v>0.2538790403032651</v>
      </c>
      <c r="DN703" s="3" t="n">
        <v>0.2595432881582934</v>
      </c>
      <c r="DO703" s="3" t="n">
        <v>0.2645921598750587</v>
      </c>
    </row>
    <row r="704">
      <c r="A704" s="19" t="inlineStr">
        <is>
          <t>mit.wel.rod.con.usd</t>
        </is>
      </c>
      <c r="B704" s="3" t="inlineStr">
        <is>
          <t>mit</t>
        </is>
      </c>
      <c r="C704" s="19" t="inlineStr">
        <is>
          <t>mit.wel.rod.con.usd</t>
        </is>
      </c>
      <c r="H704" s="3" t="inlineStr">
        <is>
          <t xml:space="preserve">Road transport co-benefits: averted accidents, reduced congestion, reduced road damage |  | </t>
        </is>
      </c>
      <c r="I704" s="3" t="inlineStr">
        <is>
          <t>USD bn real</t>
        </is>
      </c>
      <c r="K704" s="20" t="inlineStr">
        <is>
          <t>egy.mit.wel.rod.con.usd.1</t>
        </is>
      </c>
      <c r="L704" s="3" t="n">
        <v>0</v>
      </c>
      <c r="M704" s="3" t="n">
        <v>0</v>
      </c>
      <c r="N704" s="3" t="n">
        <v>0</v>
      </c>
      <c r="O704" s="3" t="n">
        <v>0</v>
      </c>
      <c r="P704" s="3" t="n">
        <v>0</v>
      </c>
      <c r="Q704" s="3" t="n">
        <v>0</v>
      </c>
      <c r="R704" s="3" t="n">
        <v>0</v>
      </c>
      <c r="S704" s="3" t="n">
        <v>0</v>
      </c>
      <c r="T704" s="3" t="n">
        <v>0</v>
      </c>
      <c r="U704" s="3" t="n">
        <v>0</v>
      </c>
      <c r="V704" s="3" t="n">
        <v>0</v>
      </c>
      <c r="W704" s="3" t="n">
        <v>0</v>
      </c>
      <c r="X704" s="3" t="n">
        <v>0</v>
      </c>
      <c r="Y704" s="3" t="n">
        <v>0</v>
      </c>
      <c r="Z704" s="3" t="n">
        <v>0</v>
      </c>
      <c r="AA704" s="3" t="n">
        <v>0</v>
      </c>
      <c r="AB704" s="3" t="n">
        <v>0</v>
      </c>
      <c r="AC704" s="3" t="n">
        <v>0</v>
      </c>
      <c r="AD704" s="3" t="n">
        <v>0</v>
      </c>
      <c r="AE704" s="3" t="n">
        <v>0</v>
      </c>
      <c r="AG704" s="20" t="inlineStr">
        <is>
          <t>egy.mit.wel.rod.con.usd.3</t>
        </is>
      </c>
      <c r="AH704" s="3" t="n">
        <v>0</v>
      </c>
      <c r="AI704" s="3" t="n">
        <v>0</v>
      </c>
      <c r="AJ704" s="3" t="n">
        <v>0</v>
      </c>
      <c r="AK704" s="3" t="n">
        <v>0</v>
      </c>
      <c r="AL704" s="3" t="n">
        <v>1.35128446317907e-08</v>
      </c>
      <c r="AM704" s="3" t="n">
        <v>0.08774282064599166</v>
      </c>
      <c r="AN704" s="3" t="n">
        <v>0.09506217177794027</v>
      </c>
      <c r="AO704" s="3" t="n">
        <v>0.1031102102242355</v>
      </c>
      <c r="AP704" s="3" t="n">
        <v>0.1121838569669763</v>
      </c>
      <c r="AQ704" s="3" t="n">
        <v>0.1228610350794563</v>
      </c>
      <c r="AR704" s="3" t="n">
        <v>0.1353347929266853</v>
      </c>
      <c r="AS704" s="3" t="n">
        <v>0.1496674379972923</v>
      </c>
      <c r="AT704" s="3" t="n">
        <v>0.1650936039331941</v>
      </c>
      <c r="AU704" s="3" t="n">
        <v>0.1813461268725686</v>
      </c>
      <c r="AV704" s="3" t="n">
        <v>0.1983161362129665</v>
      </c>
      <c r="AW704" s="3" t="n">
        <v>0.2153241876573794</v>
      </c>
      <c r="AX704" s="3" t="n">
        <v>0.2322480742939923</v>
      </c>
      <c r="AY704" s="3" t="n">
        <v>0.2495357133352024</v>
      </c>
      <c r="AZ704" s="3" t="n">
        <v>0.2682943647302393</v>
      </c>
      <c r="BA704" s="3" t="n">
        <v>0.2894180471296847</v>
      </c>
      <c r="BC704" s="20" t="inlineStr">
        <is>
          <t>egy.mit.wel.rod.con.usd.4</t>
        </is>
      </c>
      <c r="BD704" s="3" t="n">
        <v>0</v>
      </c>
      <c r="BE704" s="3" t="n">
        <v>0</v>
      </c>
      <c r="BF704" s="3" t="n">
        <v>0</v>
      </c>
      <c r="BG704" s="3" t="n">
        <v>0</v>
      </c>
      <c r="BH704" s="3" t="n">
        <v>4.505162709334769e-08</v>
      </c>
      <c r="BI704" s="3" t="n">
        <v>0.04661903308947157</v>
      </c>
      <c r="BJ704" s="3" t="n">
        <v>0.1107249965648841</v>
      </c>
      <c r="BK704" s="3" t="n">
        <v>0.1786188965926679</v>
      </c>
      <c r="BL704" s="3" t="n">
        <v>0.2515029681855627</v>
      </c>
      <c r="BM704" s="3" t="n">
        <v>0.3318022955021153</v>
      </c>
      <c r="BN704" s="3" t="n">
        <v>0.4216408931232365</v>
      </c>
      <c r="BO704" s="3" t="n">
        <v>0.5234206661417034</v>
      </c>
      <c r="BP704" s="3" t="n">
        <v>0.6392155203758774</v>
      </c>
      <c r="BQ704" s="3" t="n">
        <v>0.7703469038164918</v>
      </c>
      <c r="BR704" s="3" t="n">
        <v>0.9190859775665579</v>
      </c>
      <c r="BS704" s="3" t="n">
        <v>1.086144477869827</v>
      </c>
      <c r="BT704" s="3" t="n">
        <v>1.275585673713137</v>
      </c>
      <c r="BU704" s="3" t="n">
        <v>1.487454920168622</v>
      </c>
      <c r="BV704" s="3" t="n">
        <v>1.730695178569977</v>
      </c>
      <c r="BW704" s="3" t="n">
        <v>1.999290282122021</v>
      </c>
      <c r="BY704" s="20" t="inlineStr">
        <is>
          <t>egy.mit.wel.rod.con.usd.5</t>
        </is>
      </c>
      <c r="BZ704" s="3" t="n">
        <v>0</v>
      </c>
      <c r="CA704" s="3" t="n">
        <v>0</v>
      </c>
      <c r="CB704" s="3" t="n">
        <v>0</v>
      </c>
      <c r="CC704" s="3" t="n">
        <v>0</v>
      </c>
      <c r="CD704" s="3" t="n">
        <v>7.736861598181548e-08</v>
      </c>
      <c r="CE704" s="3" t="n">
        <v>0.1066182800805557</v>
      </c>
      <c r="CF704" s="3" t="n">
        <v>0.1152093533699899</v>
      </c>
      <c r="CG704" s="3" t="n">
        <v>0.1247968173563035</v>
      </c>
      <c r="CH704" s="3" t="n">
        <v>0.1353474597571266</v>
      </c>
      <c r="CI704" s="3" t="n">
        <v>0.1476075371534878</v>
      </c>
      <c r="CJ704" s="3" t="n">
        <v>0.161472237656174</v>
      </c>
      <c r="CK704" s="3" t="n">
        <v>0.1769175292157164</v>
      </c>
      <c r="CL704" s="3" t="n">
        <v>0.1929556305539643</v>
      </c>
      <c r="CM704" s="3" t="n">
        <v>0.2093812618418515</v>
      </c>
      <c r="CN704" s="3" t="n">
        <v>0.2254704710740146</v>
      </c>
      <c r="CO704" s="3" t="n">
        <v>0.2403247579096484</v>
      </c>
      <c r="CP704" s="3" t="n">
        <v>0.2531391541640334</v>
      </c>
      <c r="CQ704" s="3" t="n">
        <v>0.2631091867221892</v>
      </c>
      <c r="CR704" s="3" t="n">
        <v>0.2699233232683988</v>
      </c>
      <c r="CS704" s="3" t="n">
        <v>0.2728585345437417</v>
      </c>
      <c r="CU704" s="20" t="inlineStr">
        <is>
          <t>egy.mit.wel.rod.con.usd.6</t>
        </is>
      </c>
      <c r="CV704" s="3" t="n">
        <v>0</v>
      </c>
      <c r="CW704" s="3" t="n">
        <v>0</v>
      </c>
      <c r="CX704" s="3" t="n">
        <v>0</v>
      </c>
      <c r="CY704" s="3" t="n">
        <v>0</v>
      </c>
      <c r="CZ704" s="3" t="n">
        <v>3.155415345316186e-08</v>
      </c>
      <c r="DA704" s="3" t="n">
        <v>0.1879696149785125</v>
      </c>
      <c r="DB704" s="3" t="n">
        <v>0.203661595476794</v>
      </c>
      <c r="DC704" s="3" t="n">
        <v>0.2208880080491633</v>
      </c>
      <c r="DD704" s="3" t="n">
        <v>0.2403571251080703</v>
      </c>
      <c r="DE704" s="3" t="n">
        <v>0.2633548190883772</v>
      </c>
      <c r="DF704" s="3" t="n">
        <v>0.2900144797151732</v>
      </c>
      <c r="DG704" s="3" t="n">
        <v>0.3207862322110513</v>
      </c>
      <c r="DH704" s="3" t="n">
        <v>0.3537598667830102</v>
      </c>
      <c r="DI704" s="3" t="n">
        <v>0.3881714267831477</v>
      </c>
      <c r="DJ704" s="3" t="n">
        <v>0.4237235354078288</v>
      </c>
      <c r="DK704" s="3" t="n">
        <v>0.4583198080396994</v>
      </c>
      <c r="DL704" s="3" t="n">
        <v>0.4915754942944004</v>
      </c>
      <c r="DM704" s="3" t="n">
        <v>0.5230615293065689</v>
      </c>
      <c r="DN704" s="3" t="n">
        <v>0.5547587673008221</v>
      </c>
      <c r="DO704" s="3" t="n">
        <v>0.5864168928085571</v>
      </c>
    </row>
    <row r="705">
      <c r="A705" s="19" t="inlineStr">
        <is>
          <t>mit.eff.tot.tot</t>
        </is>
      </c>
      <c r="B705" s="3" t="inlineStr">
        <is>
          <t>mit</t>
        </is>
      </c>
      <c r="C705" s="19" t="inlineStr">
        <is>
          <t>mit.wel.eco.dwl.usd</t>
        </is>
      </c>
      <c r="H705" s="3" t="inlineStr">
        <is>
          <t>Efficiency (deadweight) cost of energy use (positive = cost; negative = gain from lower subsidised use) | All sectors | All fuels</t>
        </is>
      </c>
      <c r="I705" s="3" t="inlineStr">
        <is>
          <t>USD bn real</t>
        </is>
      </c>
      <c r="K705" s="20" t="inlineStr">
        <is>
          <t>egy.mit.eff.tot.tot.1</t>
        </is>
      </c>
      <c r="L705" s="27" t="n">
        <v>0</v>
      </c>
      <c r="M705" s="27" t="n">
        <v>0</v>
      </c>
      <c r="N705" s="27" t="n">
        <v>0</v>
      </c>
      <c r="O705" s="27" t="n">
        <v>0</v>
      </c>
      <c r="P705" s="27" t="n">
        <v>0</v>
      </c>
      <c r="Q705" s="27" t="n">
        <v>0</v>
      </c>
      <c r="R705" s="27" t="n">
        <v>0</v>
      </c>
      <c r="S705" s="27" t="n">
        <v>0</v>
      </c>
      <c r="T705" s="27" t="n">
        <v>0</v>
      </c>
      <c r="U705" s="27" t="n">
        <v>0</v>
      </c>
      <c r="V705" s="27" t="n">
        <v>0</v>
      </c>
      <c r="W705" s="27" t="n">
        <v>0</v>
      </c>
      <c r="X705" s="27" t="n">
        <v>0</v>
      </c>
      <c r="Y705" s="27" t="n">
        <v>0</v>
      </c>
      <c r="Z705" s="27" t="n">
        <v>0</v>
      </c>
      <c r="AA705" s="27" t="n">
        <v>0</v>
      </c>
      <c r="AB705" s="27" t="n">
        <v>0</v>
      </c>
      <c r="AC705" s="27" t="n">
        <v>0</v>
      </c>
      <c r="AD705" s="27" t="n">
        <v>0</v>
      </c>
      <c r="AE705" s="27" t="n">
        <v>0</v>
      </c>
      <c r="AG705" s="20" t="inlineStr">
        <is>
          <t>egy.mit.eff.tot.tot.3</t>
        </is>
      </c>
      <c r="AH705" s="27" t="n">
        <v>0</v>
      </c>
      <c r="AI705" s="27" t="n">
        <v>-0.006716574108767546</v>
      </c>
      <c r="AJ705" s="27" t="n">
        <v>-0.00600260230275511</v>
      </c>
      <c r="AK705" s="27" t="n">
        <v>-0.005642500391557271</v>
      </c>
      <c r="AL705" s="27" t="n">
        <v>-0.005918861322679763</v>
      </c>
      <c r="AM705" s="27" t="n">
        <v>-2.968722258050079</v>
      </c>
      <c r="AN705" s="27" t="n">
        <v>-5.073921338129463</v>
      </c>
      <c r="AO705" s="27" t="n">
        <v>-4.85633235285923</v>
      </c>
      <c r="AP705" s="27" t="n">
        <v>-5.110187979894746</v>
      </c>
      <c r="AQ705" s="27" t="n">
        <v>-4.816398639796189</v>
      </c>
      <c r="AR705" s="27" t="n">
        <v>-4.865712299826238</v>
      </c>
      <c r="AS705" s="27" t="n">
        <v>-4.867005867305256</v>
      </c>
      <c r="AT705" s="27" t="n">
        <v>-4.957829083867587</v>
      </c>
      <c r="AU705" s="27" t="n">
        <v>-5.012156194835043</v>
      </c>
      <c r="AV705" s="27" t="n">
        <v>-5.059936314895464</v>
      </c>
      <c r="AW705" s="27" t="n">
        <v>-5.08986563802508</v>
      </c>
      <c r="AX705" s="27" t="n">
        <v>-5.14345842717807</v>
      </c>
      <c r="AY705" s="27" t="n">
        <v>-5.207489330979994</v>
      </c>
      <c r="AZ705" s="27" t="n">
        <v>-5.303036007688842</v>
      </c>
      <c r="BA705" s="27" t="n">
        <v>-5.407618595711464</v>
      </c>
      <c r="BC705" s="20" t="inlineStr">
        <is>
          <t>egy.mit.eff.tot.tot.4</t>
        </is>
      </c>
      <c r="BD705" s="27" t="n">
        <v>0</v>
      </c>
      <c r="BE705" s="27" t="n">
        <v>-0.02320044083390987</v>
      </c>
      <c r="BF705" s="27" t="n">
        <v>-0.02072086592570296</v>
      </c>
      <c r="BG705" s="27" t="n">
        <v>-0.01953164747419258</v>
      </c>
      <c r="BH705" s="27" t="n">
        <v>-0.02039530285500593</v>
      </c>
      <c r="BI705" s="27" t="n">
        <v>-2.00687561855892</v>
      </c>
      <c r="BJ705" s="27" t="n">
        <v>-4.903420018836289</v>
      </c>
      <c r="BK705" s="27" t="n">
        <v>-7.53267561613314</v>
      </c>
      <c r="BL705" s="27" t="n">
        <v>-9.120758657109839</v>
      </c>
      <c r="BM705" s="27" t="n">
        <v>-9.672912809589707</v>
      </c>
      <c r="BN705" s="27" t="n">
        <v>-10.45694281048084</v>
      </c>
      <c r="BO705" s="27" t="n">
        <v>-11.20477001320004</v>
      </c>
      <c r="BP705" s="27" t="n">
        <v>-11.85921383282888</v>
      </c>
      <c r="BQ705" s="27" t="n">
        <v>-12.20603099326231</v>
      </c>
      <c r="BR705" s="27" t="n">
        <v>-12.45744713365508</v>
      </c>
      <c r="BS705" s="27" t="n">
        <v>-12.42949172992092</v>
      </c>
      <c r="BT705" s="27" t="n">
        <v>-12.32149519300776</v>
      </c>
      <c r="BU705" s="27" t="n">
        <v>-11.95741170739972</v>
      </c>
      <c r="BV705" s="27" t="n">
        <v>-11.54732064083774</v>
      </c>
      <c r="BW705" s="27" t="n">
        <v>-10.87873151142965</v>
      </c>
      <c r="BY705" s="20" t="inlineStr">
        <is>
          <t>egy.mit.eff.tot.tot.5</t>
        </is>
      </c>
      <c r="BZ705" s="27" t="n">
        <v>0</v>
      </c>
      <c r="CA705" s="27" t="n">
        <v>-0.03938519046084209</v>
      </c>
      <c r="CB705" s="27" t="n">
        <v>-0.03520015348275437</v>
      </c>
      <c r="CC705" s="27" t="n">
        <v>-0.03317241985039361</v>
      </c>
      <c r="CD705" s="27" t="n">
        <v>-0.03469883111538215</v>
      </c>
      <c r="CE705" s="27" t="n">
        <v>-3.542471107709831</v>
      </c>
      <c r="CF705" s="27" t="n">
        <v>-3.517999509941862</v>
      </c>
      <c r="CG705" s="27" t="n">
        <v>-3.538840098118841</v>
      </c>
      <c r="CH705" s="27" t="n">
        <v>-3.621891469809846</v>
      </c>
      <c r="CI705" s="27" t="n">
        <v>-3.753030436831787</v>
      </c>
      <c r="CJ705" s="27" t="n">
        <v>-4.118880904409911</v>
      </c>
      <c r="CK705" s="27" t="n">
        <v>-4.307435882147693</v>
      </c>
      <c r="CL705" s="27" t="n">
        <v>-4.893859598625064</v>
      </c>
      <c r="CM705" s="27" t="n">
        <v>-5.40067625530638</v>
      </c>
      <c r="CN705" s="27" t="n">
        <v>-5.819082301040774</v>
      </c>
      <c r="CO705" s="27" t="n">
        <v>-6.303699071009516</v>
      </c>
      <c r="CP705" s="27" t="n">
        <v>-6.743564703807222</v>
      </c>
      <c r="CQ705" s="27" t="n">
        <v>-7.15872616948135</v>
      </c>
      <c r="CR705" s="27" t="n">
        <v>-7.615395613267543</v>
      </c>
      <c r="CS705" s="27" t="n">
        <v>-8.032471734752427</v>
      </c>
      <c r="CU705" s="20" t="inlineStr">
        <is>
          <t>egy.mit.eff.tot.tot.6</t>
        </is>
      </c>
      <c r="CV705" s="27" t="n">
        <v>0</v>
      </c>
      <c r="CW705" s="27" t="n">
        <v>-0.01600160541794141</v>
      </c>
      <c r="CX705" s="27" t="n">
        <v>-0.01429533888495311</v>
      </c>
      <c r="CY705" s="27" t="n">
        <v>-0.01345906078803709</v>
      </c>
      <c r="CZ705" s="27" t="n">
        <v>-0.01408158836393445</v>
      </c>
      <c r="DA705" s="27" t="n">
        <v>-5.17848996157212</v>
      </c>
      <c r="DB705" s="27" t="n">
        <v>-9.284454551203567</v>
      </c>
      <c r="DC705" s="27" t="n">
        <v>-9.090307647774235</v>
      </c>
      <c r="DD705" s="27" t="n">
        <v>-9.593333102154897</v>
      </c>
      <c r="DE705" s="27" t="n">
        <v>-8.969107649462766</v>
      </c>
      <c r="DF705" s="27" t="n">
        <v>-9.225441124298968</v>
      </c>
      <c r="DG705" s="27" t="n">
        <v>-9.422238068575133</v>
      </c>
      <c r="DH705" s="27" t="n">
        <v>-9.794394624640686</v>
      </c>
      <c r="DI705" s="27" t="n">
        <v>-10.00642736594716</v>
      </c>
      <c r="DJ705" s="27" t="n">
        <v>-10.27963699142422</v>
      </c>
      <c r="DK705" s="27" t="n">
        <v>-10.43011407125591</v>
      </c>
      <c r="DL705" s="27" t="n">
        <v>-10.68153676661944</v>
      </c>
      <c r="DM705" s="27" t="n">
        <v>-10.86017307233062</v>
      </c>
      <c r="DN705" s="27" t="n">
        <v>-11.1480329077246</v>
      </c>
      <c r="DO705" s="27" t="n">
        <v>-11.37525517102181</v>
      </c>
    </row>
    <row r="706">
      <c r="A706" s="19" t="inlineStr">
        <is>
          <t>mit.wel.tot</t>
        </is>
      </c>
      <c r="B706" s="3" t="inlineStr">
        <is>
          <t>mit</t>
        </is>
      </c>
      <c r="C706" s="19" t="inlineStr">
        <is>
          <t>mit.wel.tot.tot</t>
        </is>
      </c>
      <c r="H706" s="3" t="inlineStr">
        <is>
          <t xml:space="preserve">Welfare, national: avoided damages and co-benefits - efficiency costs (USD bn real; % of baseline real GDP) | All sectors | </t>
        </is>
      </c>
      <c r="I706" s="3" t="inlineStr">
        <is>
          <t>mixed</t>
        </is>
      </c>
      <c r="K706" s="20" t="inlineStr">
        <is>
          <t>egy.mit.wel.tot.1</t>
        </is>
      </c>
      <c r="L706" s="27" t="n">
        <v>0</v>
      </c>
      <c r="M706" s="27" t="n">
        <v>0</v>
      </c>
      <c r="N706" s="27" t="n">
        <v>0</v>
      </c>
      <c r="O706" s="27" t="n">
        <v>0</v>
      </c>
      <c r="P706" s="27" t="n">
        <v>0</v>
      </c>
      <c r="Q706" s="27" t="n">
        <v>0</v>
      </c>
      <c r="R706" s="27" t="n">
        <v>0</v>
      </c>
      <c r="S706" s="27" t="n">
        <v>0</v>
      </c>
      <c r="T706" s="27" t="n">
        <v>0</v>
      </c>
      <c r="U706" s="27" t="n">
        <v>0</v>
      </c>
      <c r="V706" s="27" t="n">
        <v>0</v>
      </c>
      <c r="W706" s="27" t="n">
        <v>0</v>
      </c>
      <c r="X706" s="27" t="n">
        <v>0</v>
      </c>
      <c r="Y706" s="27" t="n">
        <v>0</v>
      </c>
      <c r="Z706" s="27" t="n">
        <v>0</v>
      </c>
      <c r="AA706" s="27" t="n">
        <v>0</v>
      </c>
      <c r="AB706" s="27" t="n">
        <v>0</v>
      </c>
      <c r="AC706" s="27" t="n">
        <v>0</v>
      </c>
      <c r="AD706" s="27" t="n">
        <v>0</v>
      </c>
      <c r="AE706" s="27" t="n">
        <v>0</v>
      </c>
      <c r="AG706" s="20" t="inlineStr">
        <is>
          <t>egy.mit.wel.tot.3</t>
        </is>
      </c>
      <c r="AH706" s="27" t="n">
        <v>0</v>
      </c>
      <c r="AI706" s="27" t="n">
        <v>0.01035047965262797</v>
      </c>
      <c r="AJ706" s="27" t="n">
        <v>0.009595703270999834</v>
      </c>
      <c r="AK706" s="27" t="n">
        <v>0.009077093933595978</v>
      </c>
      <c r="AL706" s="27" t="n">
        <v>0.009522776726288533</v>
      </c>
      <c r="AM706" s="27" t="n">
        <v>6.271240577967706</v>
      </c>
      <c r="AN706" s="27" t="n">
        <v>9.423008761147305</v>
      </c>
      <c r="AO706" s="27" t="n">
        <v>9.548490337234657</v>
      </c>
      <c r="AP706" s="27" t="n">
        <v>10.25738978320722</v>
      </c>
      <c r="AQ706" s="27" t="n">
        <v>10.11821530453873</v>
      </c>
      <c r="AR706" s="27" t="n">
        <v>10.49162014280927</v>
      </c>
      <c r="AS706" s="27" t="n">
        <v>10.76698855942787</v>
      </c>
      <c r="AT706" s="27" t="n">
        <v>11.21243323255986</v>
      </c>
      <c r="AU706" s="27" t="n">
        <v>11.60858119375107</v>
      </c>
      <c r="AV706" s="27" t="n">
        <v>12.00851214077962</v>
      </c>
      <c r="AW706" s="27" t="n">
        <v>12.38706783441392</v>
      </c>
      <c r="AX706" s="27" t="n">
        <v>12.82669327558841</v>
      </c>
      <c r="AY706" s="27" t="n">
        <v>13.30479162072915</v>
      </c>
      <c r="AZ706" s="27" t="n">
        <v>13.86756224192319</v>
      </c>
      <c r="BA706" s="27" t="n">
        <v>14.38444388674458</v>
      </c>
      <c r="BC706" s="20" t="inlineStr">
        <is>
          <t>egy.mit.wel.tot.4</t>
        </is>
      </c>
      <c r="BD706" s="27" t="n">
        <v>0</v>
      </c>
      <c r="BE706" s="27" t="n">
        <v>0.03568775633795501</v>
      </c>
      <c r="BF706" s="27" t="n">
        <v>0.03307410058362903</v>
      </c>
      <c r="BG706" s="27" t="n">
        <v>0.03136240832020569</v>
      </c>
      <c r="BH706" s="27" t="n">
        <v>0.03278936862351937</v>
      </c>
      <c r="BI706" s="27" t="n">
        <v>4.107801433643608</v>
      </c>
      <c r="BJ706" s="27" t="n">
        <v>9.914654441063657</v>
      </c>
      <c r="BK706" s="27" t="n">
        <v>15.75501985062817</v>
      </c>
      <c r="BL706" s="27" t="n">
        <v>20.18684585414736</v>
      </c>
      <c r="BM706" s="27" t="n">
        <v>22.62718716401371</v>
      </c>
      <c r="BN706" s="27" t="n">
        <v>25.66781687745862</v>
      </c>
      <c r="BO706" s="27" t="n">
        <v>28.71242961913616</v>
      </c>
      <c r="BP706" s="27" t="n">
        <v>31.89841392888658</v>
      </c>
      <c r="BQ706" s="27" t="n">
        <v>34.75627680124164</v>
      </c>
      <c r="BR706" s="27" t="n">
        <v>37.76760996013987</v>
      </c>
      <c r="BS706" s="27" t="n">
        <v>40.49265661275679</v>
      </c>
      <c r="BT706" s="27" t="n">
        <v>43.43354802526906</v>
      </c>
      <c r="BU706" s="27" t="n">
        <v>46.1051249892274</v>
      </c>
      <c r="BV706" s="27" t="n">
        <v>49.139995739731</v>
      </c>
      <c r="BW706" s="27" t="n">
        <v>51.47346692990983</v>
      </c>
      <c r="BY706" s="20" t="inlineStr">
        <is>
          <t>egy.mit.wel.tot.5</t>
        </is>
      </c>
      <c r="BZ706" s="27" t="n">
        <v>0</v>
      </c>
      <c r="CA706" s="27" t="n">
        <v>0.06061339806902523</v>
      </c>
      <c r="CB706" s="27" t="n">
        <v>0.05620768168844503</v>
      </c>
      <c r="CC706" s="27" t="n">
        <v>0.05329106983933543</v>
      </c>
      <c r="CD706" s="27" t="n">
        <v>0.05579493976874613</v>
      </c>
      <c r="CE706" s="27" t="n">
        <v>7.35215392241548</v>
      </c>
      <c r="CF706" s="27" t="n">
        <v>7.710835253255059</v>
      </c>
      <c r="CG706" s="27" t="n">
        <v>8.113227978916193</v>
      </c>
      <c r="CH706" s="27" t="n">
        <v>8.625798748650633</v>
      </c>
      <c r="CI706" s="27" t="n">
        <v>9.197922704965638</v>
      </c>
      <c r="CJ706" s="27" t="n">
        <v>10.19044212595463</v>
      </c>
      <c r="CK706" s="27" t="n">
        <v>10.91355932293374</v>
      </c>
      <c r="CL706" s="27" t="n">
        <v>12.43323524901869</v>
      </c>
      <c r="CM706" s="27" t="n">
        <v>13.85828263521866</v>
      </c>
      <c r="CN706" s="27" t="n">
        <v>15.19166711472773</v>
      </c>
      <c r="CO706" s="27" t="n">
        <v>16.71337904663137</v>
      </c>
      <c r="CP706" s="27" t="n">
        <v>18.21127036903174</v>
      </c>
      <c r="CQ706" s="27" t="n">
        <v>19.73080694078018</v>
      </c>
      <c r="CR706" s="27" t="n">
        <v>21.39925848538491</v>
      </c>
      <c r="CS706" s="27" t="n">
        <v>22.94234698508699</v>
      </c>
      <c r="CU706" s="20" t="inlineStr">
        <is>
          <t>egy.mit.wel.tot.6</t>
        </is>
      </c>
      <c r="CV706" s="27" t="n">
        <v>0</v>
      </c>
      <c r="CW706" s="27" t="n">
        <v>0.02463333686984139</v>
      </c>
      <c r="CX706" s="27" t="n">
        <v>0.02283257504828789</v>
      </c>
      <c r="CY706" s="27" t="n">
        <v>0.0216285801203355</v>
      </c>
      <c r="CZ706" s="27" t="n">
        <v>0.02264600282168192</v>
      </c>
      <c r="DA706" s="27" t="n">
        <v>11.71599987736459</v>
      </c>
      <c r="DB706" s="27" t="n">
        <v>17.99688710064018</v>
      </c>
      <c r="DC706" s="27" t="n">
        <v>18.45861650525002</v>
      </c>
      <c r="DD706" s="27" t="n">
        <v>20.13383420329843</v>
      </c>
      <c r="DE706" s="27" t="n">
        <v>19.61128786827511</v>
      </c>
      <c r="DF706" s="27" t="n">
        <v>20.76609009657094</v>
      </c>
      <c r="DG706" s="27" t="n">
        <v>21.72381946247846</v>
      </c>
      <c r="DH706" s="27" t="n">
        <v>23.12850075933781</v>
      </c>
      <c r="DI706" s="27" t="n">
        <v>24.30612523060478</v>
      </c>
      <c r="DJ706" s="27" t="n">
        <v>25.67355929009224</v>
      </c>
      <c r="DK706" s="27" t="n">
        <v>26.85659714906139</v>
      </c>
      <c r="DL706" s="27" t="n">
        <v>28.30602473652476</v>
      </c>
      <c r="DM706" s="27" t="n">
        <v>29.66260935300676</v>
      </c>
      <c r="DN706" s="27" t="n">
        <v>31.31142640860278</v>
      </c>
      <c r="DO706" s="27" t="n">
        <v>32.70794866944129</v>
      </c>
    </row>
    <row r="707">
      <c r="A707" s="19" t="inlineStr">
        <is>
          <t>mit.wel.cli.pct</t>
        </is>
      </c>
      <c r="B707" s="3" t="inlineStr">
        <is>
          <t>mit</t>
        </is>
      </c>
      <c r="C707" s="19" t="inlineStr">
        <is>
          <t>mit.wel.cli.pct</t>
        </is>
      </c>
      <c r="H707" s="3" t="inlineStr">
        <is>
          <t xml:space="preserve">Welfare, national: avoided damages and co-benefits - efficiency costs (USD bn real; % of baseline real GDP) | All sectors | </t>
        </is>
      </c>
      <c r="I707" s="3" t="inlineStr">
        <is>
          <t>mixed</t>
        </is>
      </c>
      <c r="K707" s="20" t="inlineStr">
        <is>
          <t>egy.mit.wel.cli.pct.1</t>
        </is>
      </c>
      <c r="L707" s="3" t="n">
        <v>0</v>
      </c>
      <c r="M707" s="3" t="n">
        <v>0</v>
      </c>
      <c r="N707" s="3" t="n">
        <v>0</v>
      </c>
      <c r="O707" s="3" t="n">
        <v>0</v>
      </c>
      <c r="P707" s="3" t="n">
        <v>0</v>
      </c>
      <c r="Q707" s="3" t="n">
        <v>0</v>
      </c>
      <c r="R707" s="3" t="n">
        <v>0</v>
      </c>
      <c r="S707" s="3" t="n">
        <v>0</v>
      </c>
      <c r="T707" s="3" t="n">
        <v>0</v>
      </c>
      <c r="U707" s="3" t="n">
        <v>0</v>
      </c>
      <c r="V707" s="3" t="n">
        <v>0</v>
      </c>
      <c r="W707" s="3" t="n">
        <v>0</v>
      </c>
      <c r="X707" s="3" t="n">
        <v>0</v>
      </c>
      <c r="Y707" s="3" t="n">
        <v>0</v>
      </c>
      <c r="Z707" s="3" t="n">
        <v>0</v>
      </c>
      <c r="AA707" s="3" t="n">
        <v>0</v>
      </c>
      <c r="AB707" s="3" t="n">
        <v>0</v>
      </c>
      <c r="AC707" s="3" t="n">
        <v>0</v>
      </c>
      <c r="AD707" s="3" t="n">
        <v>0</v>
      </c>
      <c r="AE707" s="3" t="n">
        <v>0</v>
      </c>
      <c r="AG707" s="20" t="inlineStr">
        <is>
          <t>egy.mit.wel.cli.pct.3</t>
        </is>
      </c>
      <c r="AH707" s="3" t="n">
        <v>0</v>
      </c>
      <c r="AI707" s="3" t="n">
        <v>5.400068653499026e-06</v>
      </c>
      <c r="AJ707" s="3" t="n">
        <v>5.286412326606808e-06</v>
      </c>
      <c r="AK707" s="3" t="n">
        <v>5.073524687313432e-06</v>
      </c>
      <c r="AL707" s="3" t="n">
        <v>5.06354766443402e-06</v>
      </c>
      <c r="AM707" s="3" t="n">
        <v>0.003355056337898021</v>
      </c>
      <c r="AN707" s="3" t="n">
        <v>0.004420054446551607</v>
      </c>
      <c r="AO707" s="3" t="n">
        <v>0.004266245148073999</v>
      </c>
      <c r="AP707" s="3" t="n">
        <v>0.004450730582632196</v>
      </c>
      <c r="AQ707" s="3" t="n">
        <v>0.004370940933268923</v>
      </c>
      <c r="AR707" s="3" t="n">
        <v>0.004431976863063489</v>
      </c>
      <c r="AS707" s="3" t="n">
        <v>0.0044277399339501</v>
      </c>
      <c r="AT707" s="3" t="n">
        <v>0.004495074050019937</v>
      </c>
      <c r="AU707" s="3" t="n">
        <v>0.004534007851154952</v>
      </c>
      <c r="AV707" s="3" t="n">
        <v>0.004570964449985722</v>
      </c>
      <c r="AW707" s="3" t="n">
        <v>0.004596680204496871</v>
      </c>
      <c r="AX707" s="3" t="n">
        <v>0.004641826955473747</v>
      </c>
      <c r="AY707" s="3" t="n">
        <v>0.00469652836492855</v>
      </c>
      <c r="AZ707" s="3" t="n">
        <v>0.004775248370741439</v>
      </c>
      <c r="BA707" s="3" t="n">
        <v>0.004862017274577054</v>
      </c>
      <c r="BC707" s="20" t="inlineStr">
        <is>
          <t>egy.mit.wel.cli.pct.4</t>
        </is>
      </c>
      <c r="BD707" s="3" t="n">
        <v>0</v>
      </c>
      <c r="BE707" s="3" t="n">
        <v>1.869437642246426e-05</v>
      </c>
      <c r="BF707" s="3" t="n">
        <v>1.830008440933301e-05</v>
      </c>
      <c r="BG707" s="3" t="n">
        <v>1.756232209951687e-05</v>
      </c>
      <c r="BH707" s="3" t="n">
        <v>1.750297648568257e-05</v>
      </c>
      <c r="BI707" s="3" t="n">
        <v>0.002173385422383791</v>
      </c>
      <c r="BJ707" s="3" t="n">
        <v>0.004971067382263393</v>
      </c>
      <c r="BK707" s="3" t="n">
        <v>0.00764226792267091</v>
      </c>
      <c r="BL707" s="3" t="n">
        <v>0.009601248369839747</v>
      </c>
      <c r="BM707" s="3" t="n">
        <v>0.01073168659521377</v>
      </c>
      <c r="BN707" s="3" t="n">
        <v>0.01206026636849141</v>
      </c>
      <c r="BO707" s="3" t="n">
        <v>0.01327810398389135</v>
      </c>
      <c r="BP707" s="3" t="n">
        <v>0.01457864834723419</v>
      </c>
      <c r="BQ707" s="3" t="n">
        <v>0.01570190630051643</v>
      </c>
      <c r="BR707" s="3" t="n">
        <v>0.01690381771843555</v>
      </c>
      <c r="BS707" s="3" t="n">
        <v>0.01794713015794773</v>
      </c>
      <c r="BT707" s="3" t="n">
        <v>0.01909251869308336</v>
      </c>
      <c r="BU707" s="3" t="n">
        <v>0.0200774101659067</v>
      </c>
      <c r="BV707" s="3" t="n">
        <v>0.0212278543977679</v>
      </c>
      <c r="BW707" s="3" t="n">
        <v>0.02216151766862393</v>
      </c>
      <c r="BY707" s="20" t="inlineStr">
        <is>
          <t>egy.mit.wel.cli.pct.5</t>
        </is>
      </c>
      <c r="BZ707" s="3" t="n">
        <v>0</v>
      </c>
      <c r="CA707" s="3" t="n">
        <v>3.171681625966528e-05</v>
      </c>
      <c r="CB707" s="3" t="n">
        <v>3.1063840164452e-05</v>
      </c>
      <c r="CC707" s="3" t="n">
        <v>2.982720683914552e-05</v>
      </c>
      <c r="CD707" s="3" t="n">
        <v>2.9753638935821e-05</v>
      </c>
      <c r="CE707" s="3" t="n">
        <v>0.003805703943011788</v>
      </c>
      <c r="CF707" s="3" t="n">
        <v>0.003948439805443543</v>
      </c>
      <c r="CG707" s="3" t="n">
        <v>0.004078300190577145</v>
      </c>
      <c r="CH707" s="3" t="n">
        <v>0.004254448621400776</v>
      </c>
      <c r="CI707" s="3" t="n">
        <v>0.004494321088049779</v>
      </c>
      <c r="CJ707" s="3" t="n">
        <v>0.004862553988806305</v>
      </c>
      <c r="CK707" s="3" t="n">
        <v>0.005095608157560961</v>
      </c>
      <c r="CL707" s="3" t="n">
        <v>0.005690109051748852</v>
      </c>
      <c r="CM707" s="3" t="n">
        <v>0.006207813166187149</v>
      </c>
      <c r="CN707" s="3" t="n">
        <v>0.006668449120183151</v>
      </c>
      <c r="CO707" s="3" t="n">
        <v>0.007188636848116519</v>
      </c>
      <c r="CP707" s="3" t="n">
        <v>0.007672250896502315</v>
      </c>
      <c r="CQ707" s="3" t="n">
        <v>0.008144501895763049</v>
      </c>
      <c r="CR707" s="3" t="n">
        <v>0.008649888463003201</v>
      </c>
      <c r="CS707" s="3" t="n">
        <v>0.009126263213979356</v>
      </c>
      <c r="CU707" s="20" t="inlineStr">
        <is>
          <t>egy.mit.wel.cli.pct.6</t>
        </is>
      </c>
      <c r="CV707" s="3" t="n">
        <v>0</v>
      </c>
      <c r="CW707" s="3" t="n">
        <v>1.288154809415644e-05</v>
      </c>
      <c r="CX707" s="3" t="n">
        <v>1.261009996119709e-05</v>
      </c>
      <c r="CY707" s="3" t="n">
        <v>1.210196367590633e-05</v>
      </c>
      <c r="CZ707" s="3" t="n">
        <v>1.20684016519384e-05</v>
      </c>
      <c r="DA707" s="3" t="n">
        <v>0.006603055137100446</v>
      </c>
      <c r="DB707" s="3" t="n">
        <v>0.008848566374571262</v>
      </c>
      <c r="DC707" s="3" t="n">
        <v>0.008737975145175452</v>
      </c>
      <c r="DD707" s="3" t="n">
        <v>0.009214597517063508</v>
      </c>
      <c r="DE707" s="3" t="n">
        <v>0.008804928882415661</v>
      </c>
      <c r="DF707" s="3" t="n">
        <v>0.009195169421054092</v>
      </c>
      <c r="DG707" s="3" t="n">
        <v>0.009392438336273134</v>
      </c>
      <c r="DH707" s="3" t="n">
        <v>0.009822214004953951</v>
      </c>
      <c r="DI707" s="3" t="n">
        <v>0.01013061450954179</v>
      </c>
      <c r="DJ707" s="3" t="n">
        <v>0.0105120837081431</v>
      </c>
      <c r="DK707" s="3" t="n">
        <v>0.01079722247636776</v>
      </c>
      <c r="DL707" s="3" t="n">
        <v>0.01117709674085237</v>
      </c>
      <c r="DM707" s="3" t="n">
        <v>0.01149333115677587</v>
      </c>
      <c r="DN707" s="3" t="n">
        <v>0.01190095104002957</v>
      </c>
      <c r="DO707" s="3" t="n">
        <v>0.01225321267268197</v>
      </c>
    </row>
    <row r="708">
      <c r="A708" s="19" t="inlineStr">
        <is>
          <t>mit.wel.air.pct</t>
        </is>
      </c>
      <c r="B708" s="3" t="inlineStr">
        <is>
          <t>mit</t>
        </is>
      </c>
      <c r="C708" s="19" t="inlineStr">
        <is>
          <t>mit.wel.air.pct</t>
        </is>
      </c>
      <c r="H708" s="3" t="inlineStr">
        <is>
          <t xml:space="preserve">Welfare, national: avoided damages and co-benefits - efficiency costs (USD bn real; % of baseline real GDP) |  | </t>
        </is>
      </c>
      <c r="I708" s="3" t="inlineStr">
        <is>
          <t>mixed</t>
        </is>
      </c>
      <c r="K708" s="20" t="inlineStr">
        <is>
          <t>egy.mit.wel.air.pct.1</t>
        </is>
      </c>
      <c r="L708" s="3" t="n">
        <v>0</v>
      </c>
      <c r="M708" s="3" t="n">
        <v>0</v>
      </c>
      <c r="N708" s="3" t="n">
        <v>0</v>
      </c>
      <c r="O708" s="3" t="n">
        <v>0</v>
      </c>
      <c r="P708" s="3" t="n">
        <v>0</v>
      </c>
      <c r="Q708" s="3" t="n">
        <v>0</v>
      </c>
      <c r="R708" s="3" t="n">
        <v>0</v>
      </c>
      <c r="S708" s="3" t="n">
        <v>0</v>
      </c>
      <c r="T708" s="3" t="n">
        <v>0</v>
      </c>
      <c r="U708" s="3" t="n">
        <v>0</v>
      </c>
      <c r="V708" s="3" t="n">
        <v>0</v>
      </c>
      <c r="W708" s="3" t="n">
        <v>0</v>
      </c>
      <c r="X708" s="3" t="n">
        <v>0</v>
      </c>
      <c r="Y708" s="3" t="n">
        <v>0</v>
      </c>
      <c r="Z708" s="3" t="n">
        <v>0</v>
      </c>
      <c r="AA708" s="3" t="n">
        <v>0</v>
      </c>
      <c r="AB708" s="3" t="n">
        <v>0</v>
      </c>
      <c r="AC708" s="3" t="n">
        <v>0</v>
      </c>
      <c r="AD708" s="3" t="n">
        <v>0</v>
      </c>
      <c r="AE708" s="3" t="n">
        <v>0</v>
      </c>
      <c r="AG708" s="20" t="inlineStr">
        <is>
          <t>egy.mit.wel.air.pct.3</t>
        </is>
      </c>
      <c r="AH708" s="3" t="n">
        <v>0</v>
      </c>
      <c r="AI708" s="3" t="n">
        <v>1.002853984164704e-06</v>
      </c>
      <c r="AJ708" s="3" t="n">
        <v>8.9630185185112e-07</v>
      </c>
      <c r="AK708" s="3" t="n">
        <v>5.877766177766803e-07</v>
      </c>
      <c r="AL708" s="3" t="n">
        <v>6.351981880419475e-07</v>
      </c>
      <c r="AM708" s="3" t="n">
        <v>0.001284295471067449</v>
      </c>
      <c r="AN708" s="3" t="n">
        <v>0.001454018797868985</v>
      </c>
      <c r="AO708" s="3" t="n">
        <v>0.00176370405488604</v>
      </c>
      <c r="AP708" s="3" t="n">
        <v>0.001869582516523104</v>
      </c>
      <c r="AQ708" s="3" t="n">
        <v>0.001833468074517152</v>
      </c>
      <c r="AR708" s="3" t="n">
        <v>0.001851316933861834</v>
      </c>
      <c r="AS708" s="3" t="n">
        <v>0.00185894292082263</v>
      </c>
      <c r="AT708" s="3" t="n">
        <v>0.001871046782957988</v>
      </c>
      <c r="AU708" s="3" t="n">
        <v>0.00188155438104815</v>
      </c>
      <c r="AV708" s="3" t="n">
        <v>0.001890729987248914</v>
      </c>
      <c r="AW708" s="3" t="n">
        <v>0.001896258234774496</v>
      </c>
      <c r="AX708" s="3" t="n">
        <v>0.001905774751546166</v>
      </c>
      <c r="AY708" s="3" t="n">
        <v>0.001917245700946158</v>
      </c>
      <c r="AZ708" s="3" t="n">
        <v>0.001933605988007815</v>
      </c>
      <c r="BA708" s="3" t="n">
        <v>0.001880013995839696</v>
      </c>
      <c r="BC708" s="20" t="inlineStr">
        <is>
          <t>egy.mit.wel.air.pct.4</t>
        </is>
      </c>
      <c r="BD708" s="3" t="n">
        <v>0</v>
      </c>
      <c r="BE708" s="3" t="n">
        <v>3.308208443723721e-06</v>
      </c>
      <c r="BF708" s="3" t="n">
        <v>2.956351116520951e-06</v>
      </c>
      <c r="BG708" s="3" t="n">
        <v>1.938530329730554e-06</v>
      </c>
      <c r="BH708" s="3" t="n">
        <v>2.095332050582358e-06</v>
      </c>
      <c r="BI708" s="3" t="n">
        <v>0.0008139590285834309</v>
      </c>
      <c r="BJ708" s="3" t="n">
        <v>0.001792959869573532</v>
      </c>
      <c r="BK708" s="3" t="n">
        <v>0.002930959013339716</v>
      </c>
      <c r="BL708" s="3" t="n">
        <v>0.003955839647766821</v>
      </c>
      <c r="BM708" s="3" t="n">
        <v>0.004338978686283325</v>
      </c>
      <c r="BN708" s="3" t="n">
        <v>0.004783153994494476</v>
      </c>
      <c r="BO708" s="3" t="n">
        <v>0.005185520822698073</v>
      </c>
      <c r="BP708" s="3" t="n">
        <v>0.005570045252447158</v>
      </c>
      <c r="BQ708" s="3" t="n">
        <v>0.005916254517148174</v>
      </c>
      <c r="BR708" s="3" t="n">
        <v>0.006251249785575767</v>
      </c>
      <c r="BS708" s="3" t="n">
        <v>0.006556012602335768</v>
      </c>
      <c r="BT708" s="3" t="n">
        <v>0.00685607343725124</v>
      </c>
      <c r="BU708" s="3" t="n">
        <v>0.007130034786150265</v>
      </c>
      <c r="BV708" s="3" t="n">
        <v>0.007408830058030226</v>
      </c>
      <c r="BW708" s="3" t="n">
        <v>0.007380269727664814</v>
      </c>
      <c r="BY708" s="20" t="inlineStr">
        <is>
          <t>egy.mit.wel.air.pct.5</t>
        </is>
      </c>
      <c r="BZ708" s="3" t="n">
        <v>0</v>
      </c>
      <c r="CA708" s="3" t="n">
        <v>5.687174958847808e-06</v>
      </c>
      <c r="CB708" s="3" t="n">
        <v>5.084195651844095e-06</v>
      </c>
      <c r="CC708" s="3" t="n">
        <v>3.334719905595305e-06</v>
      </c>
      <c r="CD708" s="3" t="n">
        <v>3.604907720116933e-06</v>
      </c>
      <c r="CE708" s="3" t="n">
        <v>0.001524988361176446</v>
      </c>
      <c r="CF708" s="3" t="n">
        <v>0.001629432349452734</v>
      </c>
      <c r="CG708" s="3" t="n">
        <v>0.00171882961386272</v>
      </c>
      <c r="CH708" s="3" t="n">
        <v>0.001807568497025936</v>
      </c>
      <c r="CI708" s="3" t="n">
        <v>0.001815526865263336</v>
      </c>
      <c r="CJ708" s="3" t="n">
        <v>0.001876597886511818</v>
      </c>
      <c r="CK708" s="3" t="n">
        <v>0.001919243313816887</v>
      </c>
      <c r="CL708" s="3" t="n">
        <v>0.001995216723474892</v>
      </c>
      <c r="CM708" s="3" t="n">
        <v>0.002063588583855498</v>
      </c>
      <c r="CN708" s="3" t="n">
        <v>0.002125689175969725</v>
      </c>
      <c r="CO708" s="3" t="n">
        <v>0.002190386438023673</v>
      </c>
      <c r="CP708" s="3" t="n">
        <v>0.002252998755160818</v>
      </c>
      <c r="CQ708" s="3" t="n">
        <v>0.002313951281910613</v>
      </c>
      <c r="CR708" s="3" t="n">
        <v>0.002378918619851021</v>
      </c>
      <c r="CS708" s="3" t="n">
        <v>0.002350677236614895</v>
      </c>
      <c r="CU708" s="20" t="inlineStr">
        <is>
          <t>egy.mit.wel.air.pct.6</t>
        </is>
      </c>
      <c r="CV708" s="3" t="n">
        <v>0</v>
      </c>
      <c r="CW708" s="3" t="n">
        <v>2.327517757591321e-06</v>
      </c>
      <c r="CX708" s="3" t="n">
        <v>2.080077559107609e-06</v>
      </c>
      <c r="CY708" s="3" t="n">
        <v>1.363999586356941e-06</v>
      </c>
      <c r="CZ708" s="3" t="n">
        <v>1.474210160143426e-06</v>
      </c>
      <c r="DA708" s="3" t="n">
        <v>0.00252496358052969</v>
      </c>
      <c r="DB708" s="3" t="n">
        <v>0.002871124696947919</v>
      </c>
      <c r="DC708" s="3" t="n">
        <v>0.003251143878971948</v>
      </c>
      <c r="DD708" s="3" t="n">
        <v>0.00369513616570807</v>
      </c>
      <c r="DE708" s="3" t="n">
        <v>0.003601342483664592</v>
      </c>
      <c r="DF708" s="3" t="n">
        <v>0.003661429871144459</v>
      </c>
      <c r="DG708" s="3" t="n">
        <v>0.003694491450209931</v>
      </c>
      <c r="DH708" s="3" t="n">
        <v>0.003745993984859399</v>
      </c>
      <c r="DI708" s="3" t="n">
        <v>0.00378785969740394</v>
      </c>
      <c r="DJ708" s="3" t="n">
        <v>0.003834183880636896</v>
      </c>
      <c r="DK708" s="3" t="n">
        <v>0.003867120534900468</v>
      </c>
      <c r="DL708" s="3" t="n">
        <v>0.003912408574906881</v>
      </c>
      <c r="DM708" s="3" t="n">
        <v>0.003953500457126227</v>
      </c>
      <c r="DN708" s="3" t="n">
        <v>0.004007242601482549</v>
      </c>
      <c r="DO708" s="3" t="n">
        <v>0.003908530624851718</v>
      </c>
    </row>
    <row r="709">
      <c r="A709" s="19" t="inlineStr">
        <is>
          <t>mit.wel.rod.pct</t>
        </is>
      </c>
      <c r="B709" s="3" t="inlineStr">
        <is>
          <t>mit</t>
        </is>
      </c>
      <c r="C709" s="19" t="inlineStr">
        <is>
          <t>mit.wel.rod.pct</t>
        </is>
      </c>
      <c r="H709" s="3" t="inlineStr">
        <is>
          <t xml:space="preserve">Welfare, national: avoided damages and co-benefits - efficiency costs (USD bn real; % of baseline real GDP) | Road | </t>
        </is>
      </c>
      <c r="I709" s="3" t="inlineStr">
        <is>
          <t>mixed</t>
        </is>
      </c>
      <c r="K709" s="20" t="inlineStr">
        <is>
          <t>egy.mit.wel.rod.pct.1</t>
        </is>
      </c>
      <c r="L709" s="3" t="n">
        <v>0</v>
      </c>
      <c r="M709" s="3" t="n">
        <v>0</v>
      </c>
      <c r="N709" s="3" t="n">
        <v>0</v>
      </c>
      <c r="O709" s="3" t="n">
        <v>0</v>
      </c>
      <c r="P709" s="3" t="n">
        <v>0</v>
      </c>
      <c r="Q709" s="3" t="n">
        <v>0</v>
      </c>
      <c r="R709" s="3" t="n">
        <v>0</v>
      </c>
      <c r="S709" s="3" t="n">
        <v>0</v>
      </c>
      <c r="T709" s="3" t="n">
        <v>0</v>
      </c>
      <c r="U709" s="3" t="n">
        <v>0</v>
      </c>
      <c r="V709" s="3" t="n">
        <v>0</v>
      </c>
      <c r="W709" s="3" t="n">
        <v>0</v>
      </c>
      <c r="X709" s="3" t="n">
        <v>0</v>
      </c>
      <c r="Y709" s="3" t="n">
        <v>0</v>
      </c>
      <c r="Z709" s="3" t="n">
        <v>0</v>
      </c>
      <c r="AA709" s="3" t="n">
        <v>0</v>
      </c>
      <c r="AB709" s="3" t="n">
        <v>0</v>
      </c>
      <c r="AC709" s="3" t="n">
        <v>0</v>
      </c>
      <c r="AD709" s="3" t="n">
        <v>0</v>
      </c>
      <c r="AE709" s="3" t="n">
        <v>0</v>
      </c>
      <c r="AG709" s="20" t="inlineStr">
        <is>
          <t>egy.mit.wel.rod.pct.3</t>
        </is>
      </c>
      <c r="AH709" s="3" t="n">
        <v>0</v>
      </c>
      <c r="AI709" s="3" t="n">
        <v>0</v>
      </c>
      <c r="AJ709" s="3" t="n">
        <v>0</v>
      </c>
      <c r="AK709" s="3" t="n">
        <v>0</v>
      </c>
      <c r="AL709" s="3" t="n">
        <v>3.991098437011078e-11</v>
      </c>
      <c r="AM709" s="3" t="n">
        <v>0.000342268600681259</v>
      </c>
      <c r="AN709" s="3" t="n">
        <v>0.0003421373533405343</v>
      </c>
      <c r="AO709" s="3" t="n">
        <v>0.0003435017089661862</v>
      </c>
      <c r="AP709" s="3" t="n">
        <v>0.0003483446198502363</v>
      </c>
      <c r="AQ709" s="3" t="n">
        <v>0.0003506610172538147</v>
      </c>
      <c r="AR709" s="3" t="n">
        <v>0.0003579731796266895</v>
      </c>
      <c r="AS709" s="3" t="n">
        <v>0.0003665874485942021</v>
      </c>
      <c r="AT709" s="3" t="n">
        <v>0.0003749809598229248</v>
      </c>
      <c r="AU709" s="3" t="n">
        <v>0.0003828413879085966</v>
      </c>
      <c r="AV709" s="3" t="n">
        <v>0.0003897497162979877</v>
      </c>
      <c r="AW709" s="3" t="n">
        <v>0.000394402209680682</v>
      </c>
      <c r="AX709" s="3" t="n">
        <v>0.000397348309196928</v>
      </c>
      <c r="AY709" s="3" t="n">
        <v>0.0003994269020867338</v>
      </c>
      <c r="AZ709" s="3" t="n">
        <v>0.0004024846985034889</v>
      </c>
      <c r="BA709" s="3" t="n">
        <v>0.0004072804377978162</v>
      </c>
      <c r="BC709" s="20" t="inlineStr">
        <is>
          <t>egy.mit.wel.rod.pct.4</t>
        </is>
      </c>
      <c r="BD709" s="3" t="n">
        <v>0</v>
      </c>
      <c r="BE709" s="3" t="n">
        <v>0</v>
      </c>
      <c r="BF709" s="3" t="n">
        <v>0</v>
      </c>
      <c r="BG709" s="3" t="n">
        <v>0</v>
      </c>
      <c r="BH709" s="3" t="n">
        <v>1.330593033853367e-10</v>
      </c>
      <c r="BI709" s="3" t="n">
        <v>0.000181756794121592</v>
      </c>
      <c r="BJ709" s="3" t="n">
        <v>0.0003985991783532126</v>
      </c>
      <c r="BK709" s="3" t="n">
        <v>0.0005953457194749384</v>
      </c>
      <c r="BL709" s="3" t="n">
        <v>0.000780012143926122</v>
      </c>
      <c r="BM709" s="3" t="n">
        <v>0.000945764724754588</v>
      </c>
      <c r="BN709" s="3" t="n">
        <v>0.001112699510450806</v>
      </c>
      <c r="BO709" s="3" t="n">
        <v>0.001279346964015031</v>
      </c>
      <c r="BP709" s="3" t="n">
        <v>0.001449202043654226</v>
      </c>
      <c r="BQ709" s="3" t="n">
        <v>0.001622560142638518</v>
      </c>
      <c r="BR709" s="3" t="n">
        <v>0.001801293550077442</v>
      </c>
      <c r="BS709" s="3" t="n">
        <v>0.001983799910901877</v>
      </c>
      <c r="BT709" s="3" t="n">
        <v>0.002173892224892099</v>
      </c>
      <c r="BU709" s="3" t="n">
        <v>0.002368427020138175</v>
      </c>
      <c r="BV709" s="3" t="n">
        <v>0.002577448280321778</v>
      </c>
      <c r="BW709" s="3" t="n">
        <v>0.002788619825640356</v>
      </c>
      <c r="BY709" s="20" t="inlineStr">
        <is>
          <t>egy.mit.wel.rod.pct.5</t>
        </is>
      </c>
      <c r="BZ709" s="3" t="n">
        <v>0</v>
      </c>
      <c r="CA709" s="3" t="n">
        <v>0</v>
      </c>
      <c r="CB709" s="3" t="n">
        <v>0</v>
      </c>
      <c r="CC709" s="3" t="n">
        <v>0</v>
      </c>
      <c r="CD709" s="3" t="n">
        <v>2.285078239384833e-10</v>
      </c>
      <c r="CE709" s="3" t="n">
        <v>0.0004159506590191365</v>
      </c>
      <c r="CF709" s="3" t="n">
        <v>0.0004150057634256286</v>
      </c>
      <c r="CG709" s="3" t="n">
        <v>0.0004163516485408604</v>
      </c>
      <c r="CH709" s="3" t="n">
        <v>0.0004209897997700461</v>
      </c>
      <c r="CI709" s="3" t="n">
        <v>0.0004221181544113658</v>
      </c>
      <c r="CJ709" s="3" t="n">
        <v>0.000428199628146658</v>
      </c>
      <c r="CK709" s="3" t="n">
        <v>0.0004347169769569536</v>
      </c>
      <c r="CL709" s="3" t="n">
        <v>0.0004404800320220773</v>
      </c>
      <c r="CM709" s="3" t="n">
        <v>0.0004451715211040647</v>
      </c>
      <c r="CN709" s="3" t="n">
        <v>0.0004474304848934406</v>
      </c>
      <c r="CO709" s="3" t="n">
        <v>0.0004459767767828686</v>
      </c>
      <c r="CP709" s="3" t="n">
        <v>0.0004405200035686072</v>
      </c>
      <c r="CQ709" s="3" t="n">
        <v>0.0004304238679792545</v>
      </c>
      <c r="CR709" s="3" t="n">
        <v>0.000416276944151167</v>
      </c>
      <c r="CS709" s="3" t="n">
        <v>0.0003975633120792592</v>
      </c>
      <c r="CU709" s="20" t="inlineStr">
        <is>
          <t>egy.mit.wel.rod.pct.6</t>
        </is>
      </c>
      <c r="CV709" s="3" t="n">
        <v>0</v>
      </c>
      <c r="CW709" s="3" t="n">
        <v>0</v>
      </c>
      <c r="CX709" s="3" t="n">
        <v>0</v>
      </c>
      <c r="CY709" s="3" t="n">
        <v>0</v>
      </c>
      <c r="CZ709" s="3" t="n">
        <v>9.31957306953981e-11</v>
      </c>
      <c r="DA709" s="3" t="n">
        <v>0.0007333627101016454</v>
      </c>
      <c r="DB709" s="3" t="n">
        <v>0.0007331088559898125</v>
      </c>
      <c r="DC709" s="3" t="n">
        <v>0.0007360400241435372</v>
      </c>
      <c r="DD709" s="3" t="n">
        <v>0.0007464229468541585</v>
      </c>
      <c r="DE709" s="3" t="n">
        <v>0.0007515273592735854</v>
      </c>
      <c r="DF709" s="3" t="n">
        <v>0.0007668963367112787</v>
      </c>
      <c r="DG709" s="3" t="n">
        <v>0.0007852712763751216</v>
      </c>
      <c r="DH709" s="3" t="n">
        <v>0.0008030559036493899</v>
      </c>
      <c r="DI709" s="3" t="n">
        <v>0.0008190719253254564</v>
      </c>
      <c r="DJ709" s="3" t="n">
        <v>0.0008324685401769177</v>
      </c>
      <c r="DK709" s="3" t="n">
        <v>0.0008395147106789099</v>
      </c>
      <c r="DL709" s="3" t="n">
        <v>0.0008414391922993833</v>
      </c>
      <c r="DM709" s="3" t="n">
        <v>0.0008382544067355527</v>
      </c>
      <c r="DN709" s="3" t="n">
        <v>0.0008339732697635905</v>
      </c>
      <c r="DO709" s="3" t="n">
        <v>0.0008280131532628235</v>
      </c>
    </row>
    <row r="710">
      <c r="A710" s="19" t="inlineStr">
        <is>
          <t>mit.wel.eco.dwl.pct</t>
        </is>
      </c>
      <c r="B710" s="3" t="inlineStr">
        <is>
          <t>mit</t>
        </is>
      </c>
      <c r="C710" s="19" t="inlineStr">
        <is>
          <t>mit.wel.eco.dwl.pct</t>
        </is>
      </c>
      <c r="H710" s="3" t="inlineStr">
        <is>
          <t xml:space="preserve">Welfare, national: avoided damages and co-benefits - efficiency costs (USD bn real; % of baseline real GDP) | All sectors | </t>
        </is>
      </c>
      <c r="I710" s="3" t="inlineStr">
        <is>
          <t>mixed</t>
        </is>
      </c>
      <c r="K710" s="20" t="inlineStr">
        <is>
          <t>egy.mit.wel.eco.dwl.pct.1</t>
        </is>
      </c>
      <c r="L710" s="3" t="n">
        <v>0</v>
      </c>
      <c r="M710" s="3" t="n">
        <v>0</v>
      </c>
      <c r="N710" s="3" t="n">
        <v>0</v>
      </c>
      <c r="O710" s="3" t="n">
        <v>0</v>
      </c>
      <c r="P710" s="3" t="n">
        <v>0</v>
      </c>
      <c r="Q710" s="3" t="n">
        <v>0</v>
      </c>
      <c r="R710" s="3" t="n">
        <v>0</v>
      </c>
      <c r="S710" s="3" t="n">
        <v>0</v>
      </c>
      <c r="T710" s="3" t="n">
        <v>0</v>
      </c>
      <c r="U710" s="3" t="n">
        <v>0</v>
      </c>
      <c r="V710" s="3" t="n">
        <v>0</v>
      </c>
      <c r="W710" s="3" t="n">
        <v>0</v>
      </c>
      <c r="X710" s="3" t="n">
        <v>0</v>
      </c>
      <c r="Y710" s="3" t="n">
        <v>0</v>
      </c>
      <c r="Z710" s="3" t="n">
        <v>0</v>
      </c>
      <c r="AA710" s="3" t="n">
        <v>0</v>
      </c>
      <c r="AB710" s="3" t="n">
        <v>0</v>
      </c>
      <c r="AC710" s="3" t="n">
        <v>0</v>
      </c>
      <c r="AD710" s="3" t="n">
        <v>0</v>
      </c>
      <c r="AE710" s="3" t="n">
        <v>0</v>
      </c>
      <c r="AG710" s="20" t="inlineStr">
        <is>
          <t>egy.mit.wel.eco.dwl.pct.3</t>
        </is>
      </c>
      <c r="AH710" s="3" t="n">
        <v>0</v>
      </c>
      <c r="AI710" s="3" t="n">
        <v>-1.183456859004854e-05</v>
      </c>
      <c r="AJ710" s="3" t="n">
        <v>-1.032878694277776e-05</v>
      </c>
      <c r="AK710" s="3" t="n">
        <v>-9.300633230601541e-06</v>
      </c>
      <c r="AL710" s="3" t="n">
        <v>-9.359354719538561e-06</v>
      </c>
      <c r="AM710" s="3" t="n">
        <v>-0.004478112143112554</v>
      </c>
      <c r="AN710" s="3" t="n">
        <v>-0.007252225703110977</v>
      </c>
      <c r="AO710" s="3" t="n">
        <v>-0.006596452200887999</v>
      </c>
      <c r="AP710" s="3" t="n">
        <v>-0.006620703018825394</v>
      </c>
      <c r="AQ710" s="3" t="n">
        <v>-0.005954907977547733</v>
      </c>
      <c r="AR710" s="3" t="n">
        <v>-0.005743871978732024</v>
      </c>
      <c r="AS710" s="3" t="n">
        <v>-0.005488406880665769</v>
      </c>
      <c r="AT710" s="3" t="n">
        <v>-0.005343460550200887</v>
      </c>
      <c r="AU710" s="3" t="n">
        <v>-0.00516562544486312</v>
      </c>
      <c r="AV710" s="3" t="n">
        <v>-0.004989205263155733</v>
      </c>
      <c r="AW710" s="3" t="n">
        <v>-0.00480398343954651</v>
      </c>
      <c r="AX710" s="3" t="n">
        <v>-0.004649221635419833</v>
      </c>
      <c r="AY710" s="3" t="n">
        <v>-0.00451028847754789</v>
      </c>
      <c r="AZ710" s="3" t="n">
        <v>-0.004403242637374752</v>
      </c>
      <c r="BA710" s="3" t="n">
        <v>-0.004306728680405166</v>
      </c>
      <c r="BC710" s="20" t="inlineStr">
        <is>
          <t>egy.mit.wel.eco.dwl.pct.4</t>
        </is>
      </c>
      <c r="BD710" s="3" t="n">
        <v>0</v>
      </c>
      <c r="BE710" s="3" t="n">
        <v>-4.087905588800998e-05</v>
      </c>
      <c r="BF710" s="3" t="n">
        <v>-3.565477081801947e-05</v>
      </c>
      <c r="BG710" s="3" t="n">
        <v>-3.219436011359049e-05</v>
      </c>
      <c r="BH710" s="3" t="n">
        <v>-3.225060761281598e-05</v>
      </c>
      <c r="BI710" s="3" t="n">
        <v>-0.003027233030242474</v>
      </c>
      <c r="BJ710" s="3" t="n">
        <v>-0.007008525817403222</v>
      </c>
      <c r="BK710" s="3" t="n">
        <v>-0.01023178214262082</v>
      </c>
      <c r="BL710" s="3" t="n">
        <v>-0.01181675402405622</v>
      </c>
      <c r="BM710" s="3" t="n">
        <v>-0.01195941406926127</v>
      </c>
      <c r="BN710" s="3" t="n">
        <v>-0.01234420308707302</v>
      </c>
      <c r="BO710" s="3" t="n">
        <v>-0.01263535292813888</v>
      </c>
      <c r="BP710" s="3" t="n">
        <v>-0.01278165104124235</v>
      </c>
      <c r="BQ710" s="3" t="n">
        <v>-0.01257977242300582</v>
      </c>
      <c r="BR710" s="3" t="n">
        <v>-0.01228330890682371</v>
      </c>
      <c r="BS710" s="3" t="n">
        <v>-0.01173136516344053</v>
      </c>
      <c r="BT710" s="3" t="n">
        <v>-0.01113751823663178</v>
      </c>
      <c r="BU710" s="3" t="n">
        <v>-0.01035650249427048</v>
      </c>
      <c r="BV710" s="3" t="n">
        <v>-0.009588027409101777</v>
      </c>
      <c r="BW710" s="3" t="n">
        <v>-0.008664025425879239</v>
      </c>
      <c r="BY710" s="20" t="inlineStr">
        <is>
          <t>egy.mit.wel.eco.dwl.pct.5</t>
        </is>
      </c>
      <c r="BZ710" s="3" t="n">
        <v>0</v>
      </c>
      <c r="CA710" s="3" t="n">
        <v>-6.939650041715826e-05</v>
      </c>
      <c r="CB710" s="3" t="n">
        <v>-6.056954423076983e-05</v>
      </c>
      <c r="CC710" s="3" t="n">
        <v>-5.467868657336282e-05</v>
      </c>
      <c r="CD710" s="3" t="n">
        <v>-5.486843685926889e-05</v>
      </c>
      <c r="CE710" s="3" t="n">
        <v>-0.005343572589535648</v>
      </c>
      <c r="CF710" s="3" t="n">
        <v>-0.005028325188608041</v>
      </c>
      <c r="CG710" s="3" t="n">
        <v>-0.004806876436305429</v>
      </c>
      <c r="CH710" s="3" t="n">
        <v>-0.004692482523611957</v>
      </c>
      <c r="CI710" s="3" t="n">
        <v>-0.004640178805717539</v>
      </c>
      <c r="CJ710" s="3" t="n">
        <v>-0.004862253078838916</v>
      </c>
      <c r="CK710" s="3" t="n">
        <v>-0.004857393103307569</v>
      </c>
      <c r="CL710" s="3" t="n">
        <v>-0.005274515369754403</v>
      </c>
      <c r="CM710" s="3" t="n">
        <v>-0.005566041759158878</v>
      </c>
      <c r="CN710" s="3" t="n">
        <v>-0.005737739417316916</v>
      </c>
      <c r="CO710" s="3" t="n">
        <v>-0.005949639558022695</v>
      </c>
      <c r="CP710" s="3" t="n">
        <v>-0.006095573117715538</v>
      </c>
      <c r="CQ710" s="3" t="n">
        <v>-0.006200285416630135</v>
      </c>
      <c r="CR710" s="3" t="n">
        <v>-0.006323252306074822</v>
      </c>
      <c r="CS710" s="3" t="n">
        <v>-0.006397210857666032</v>
      </c>
      <c r="CU710" s="20" t="inlineStr">
        <is>
          <t>egy.mit.wel.eco.dwl.pct.6</t>
        </is>
      </c>
      <c r="CV710" s="3" t="n">
        <v>0</v>
      </c>
      <c r="CW710" s="3" t="n">
        <v>-2.81947453869855e-05</v>
      </c>
      <c r="CX710" s="3" t="n">
        <v>-2.459824958746909e-05</v>
      </c>
      <c r="CY710" s="3" t="n">
        <v>-2.218480803390005e-05</v>
      </c>
      <c r="CZ710" s="3" t="n">
        <v>-2.226688096367143e-05</v>
      </c>
      <c r="DA710" s="3" t="n">
        <v>-0.00781139384697246</v>
      </c>
      <c r="DB710" s="3" t="n">
        <v>-0.01327039885888869</v>
      </c>
      <c r="DC710" s="3" t="n">
        <v>-0.01234754451157053</v>
      </c>
      <c r="DD710" s="3" t="n">
        <v>-0.01242901624752808</v>
      </c>
      <c r="DE710" s="3" t="n">
        <v>-0.01108924212625605</v>
      </c>
      <c r="DF710" s="3" t="n">
        <v>-0.01089044100844089</v>
      </c>
      <c r="DG710" s="3" t="n">
        <v>-0.01062523400561894</v>
      </c>
      <c r="DH710" s="3" t="n">
        <v>-0.01055622539715306</v>
      </c>
      <c r="DI710" s="3" t="n">
        <v>-0.01031281823718434</v>
      </c>
      <c r="DJ710" s="3" t="n">
        <v>-0.01013594159870442</v>
      </c>
      <c r="DK710" s="3" t="n">
        <v>-0.009844286437851058</v>
      </c>
      <c r="DL710" s="3" t="n">
        <v>-0.009655144012147808</v>
      </c>
      <c r="DM710" s="3" t="n">
        <v>-0.00940616684145768</v>
      </c>
      <c r="DN710" s="3" t="n">
        <v>-0.009256488877499245</v>
      </c>
      <c r="DO710" s="3" t="n">
        <v>-0.009059466163316076</v>
      </c>
    </row>
    <row r="711">
      <c r="A711" s="19" t="inlineStr">
        <is>
          <t>mit.wel.pct.tot</t>
        </is>
      </c>
      <c r="B711" s="3" t="inlineStr">
        <is>
          <t>mit</t>
        </is>
      </c>
      <c r="C711" s="19" t="inlineStr">
        <is>
          <t>mit.wel.tot.pct</t>
        </is>
      </c>
      <c r="H711" s="3" t="inlineStr">
        <is>
          <t xml:space="preserve">Welfare, national: avoided damages and co-benefits - efficiency costs (USD bn real; % of baseline real GDP) | All sectors | </t>
        </is>
      </c>
      <c r="I711" s="3" t="inlineStr">
        <is>
          <t>mixed</t>
        </is>
      </c>
      <c r="K711" s="20" t="inlineStr">
        <is>
          <t>egy.mit.wel.pct.tot.1</t>
        </is>
      </c>
      <c r="L711" s="24" t="n">
        <v>0</v>
      </c>
      <c r="M711" s="24" t="n">
        <v>0</v>
      </c>
      <c r="N711" s="24" t="n">
        <v>0</v>
      </c>
      <c r="O711" s="24" t="n">
        <v>0</v>
      </c>
      <c r="P711" s="24" t="n">
        <v>0</v>
      </c>
      <c r="Q711" s="24" t="n">
        <v>0</v>
      </c>
      <c r="R711" s="24" t="n">
        <v>0</v>
      </c>
      <c r="S711" s="24" t="n">
        <v>0</v>
      </c>
      <c r="T711" s="24" t="n">
        <v>0</v>
      </c>
      <c r="U711" s="24" t="n">
        <v>0</v>
      </c>
      <c r="V711" s="24" t="n">
        <v>0</v>
      </c>
      <c r="W711" s="24" t="n">
        <v>0</v>
      </c>
      <c r="X711" s="24" t="n">
        <v>0</v>
      </c>
      <c r="Y711" s="24" t="n">
        <v>0</v>
      </c>
      <c r="Z711" s="24" t="n">
        <v>0</v>
      </c>
      <c r="AA711" s="24" t="n">
        <v>0</v>
      </c>
      <c r="AB711" s="24" t="n">
        <v>0</v>
      </c>
      <c r="AC711" s="24" t="n">
        <v>0</v>
      </c>
      <c r="AD711" s="24" t="n">
        <v>0</v>
      </c>
      <c r="AE711" s="24" t="n">
        <v>0</v>
      </c>
      <c r="AG711" s="20" t="inlineStr">
        <is>
          <t>egy.mit.wel.pct.tot.3</t>
        </is>
      </c>
      <c r="AH711" s="24" t="n">
        <v>0</v>
      </c>
      <c r="AI711" s="24" t="n">
        <v>1.823749122771227e-05</v>
      </c>
      <c r="AJ711" s="24" t="n">
        <v>1.651150112123569e-05</v>
      </c>
      <c r="AK711" s="24" t="n">
        <v>1.496193453569165e-05</v>
      </c>
      <c r="AL711" s="24" t="n">
        <v>1.50581404829989e-05</v>
      </c>
      <c r="AM711" s="24" t="n">
        <v>0.009459732552759283</v>
      </c>
      <c r="AN711" s="24" t="n">
        <v>0.0134684363008721</v>
      </c>
      <c r="AO711" s="24" t="n">
        <v>0.01296990311281422</v>
      </c>
      <c r="AP711" s="24" t="n">
        <v>0.01328936073783093</v>
      </c>
      <c r="AQ711" s="24" t="n">
        <v>0.01250997800258762</v>
      </c>
      <c r="AR711" s="24" t="n">
        <v>0.01238513895528404</v>
      </c>
      <c r="AS711" s="24" t="n">
        <v>0.0121416771840327</v>
      </c>
      <c r="AT711" s="24" t="n">
        <v>0.01208456234300174</v>
      </c>
      <c r="AU711" s="24" t="n">
        <v>0.01196402906497482</v>
      </c>
      <c r="AV711" s="24" t="n">
        <v>0.01184064941668836</v>
      </c>
      <c r="AW711" s="24" t="n">
        <v>0.01169132408849856</v>
      </c>
      <c r="AX711" s="24" t="n">
        <v>0.01159417165163668</v>
      </c>
      <c r="AY711" s="24" t="n">
        <v>0.01152348944550933</v>
      </c>
      <c r="AZ711" s="24" t="n">
        <v>0.01151458169462749</v>
      </c>
      <c r="BA711" s="24" t="n">
        <v>0.01145604038861973</v>
      </c>
      <c r="BC711" s="20" t="inlineStr">
        <is>
          <t>egy.mit.wel.pct.tot.4</t>
        </is>
      </c>
      <c r="BD711" s="24" t="n">
        <v>0</v>
      </c>
      <c r="BE711" s="24" t="n">
        <v>6.288164075419796e-05</v>
      </c>
      <c r="BF711" s="24" t="n">
        <v>5.691120634387342e-05</v>
      </c>
      <c r="BG711" s="24" t="n">
        <v>5.169521254283792e-05</v>
      </c>
      <c r="BH711" s="24" t="n">
        <v>5.18490492083843e-05</v>
      </c>
      <c r="BI711" s="24" t="n">
        <v>0.006196334275331287</v>
      </c>
      <c r="BJ711" s="24" t="n">
        <v>0.01417115224759336</v>
      </c>
      <c r="BK711" s="24" t="n">
        <v>0.02140035479810639</v>
      </c>
      <c r="BL711" s="24" t="n">
        <v>0.02615385418558891</v>
      </c>
      <c r="BM711" s="24" t="n">
        <v>0.02797584407551296</v>
      </c>
      <c r="BN711" s="24" t="n">
        <v>0.03030032296050971</v>
      </c>
      <c r="BO711" s="24" t="n">
        <v>0.03237832469874334</v>
      </c>
      <c r="BP711" s="24" t="n">
        <v>0.03437954668457793</v>
      </c>
      <c r="BQ711" s="24" t="n">
        <v>0.03582049338330894</v>
      </c>
      <c r="BR711" s="24" t="n">
        <v>0.03723966996091246</v>
      </c>
      <c r="BS711" s="24" t="n">
        <v>0.03821830783462591</v>
      </c>
      <c r="BT711" s="24" t="n">
        <v>0.03926000259185847</v>
      </c>
      <c r="BU711" s="24" t="n">
        <v>0.03993237446646561</v>
      </c>
      <c r="BV711" s="24" t="n">
        <v>0.04080216014522168</v>
      </c>
      <c r="BW711" s="24" t="n">
        <v>0.04099443264780834</v>
      </c>
      <c r="BY711" s="20" t="inlineStr">
        <is>
          <t>egy.mit.wel.pct.tot.5</t>
        </is>
      </c>
      <c r="BZ711" s="24" t="n">
        <v>0</v>
      </c>
      <c r="CA711" s="24" t="n">
        <v>0.0001068004916356713</v>
      </c>
      <c r="CB711" s="24" t="n">
        <v>9.671758004706594e-05</v>
      </c>
      <c r="CC711" s="24" t="n">
        <v>8.784061331810363e-05</v>
      </c>
      <c r="CD711" s="24" t="n">
        <v>8.822721202303077e-05</v>
      </c>
      <c r="CE711" s="24" t="n">
        <v>0.01109021555274302</v>
      </c>
      <c r="CF711" s="24" t="n">
        <v>0.01102120310692995</v>
      </c>
      <c r="CG711" s="24" t="n">
        <v>0.01102035788928615</v>
      </c>
      <c r="CH711" s="24" t="n">
        <v>0.01117548944180871</v>
      </c>
      <c r="CI711" s="24" t="n">
        <v>0.01137214491344202</v>
      </c>
      <c r="CJ711" s="24" t="n">
        <v>0.0120296045823037</v>
      </c>
      <c r="CK711" s="24" t="n">
        <v>0.01230696155164237</v>
      </c>
      <c r="CL711" s="24" t="n">
        <v>0.01340032117700023</v>
      </c>
      <c r="CM711" s="24" t="n">
        <v>0.01428261503030559</v>
      </c>
      <c r="CN711" s="24" t="n">
        <v>0.01497930819836323</v>
      </c>
      <c r="CO711" s="24" t="n">
        <v>0.01577463962094575</v>
      </c>
      <c r="CP711" s="24" t="n">
        <v>0.01646134277294728</v>
      </c>
      <c r="CQ711" s="24" t="n">
        <v>0.01708916246228305</v>
      </c>
      <c r="CR711" s="24" t="n">
        <v>0.01776833633308021</v>
      </c>
      <c r="CS711" s="24" t="n">
        <v>0.01827171462033955</v>
      </c>
      <c r="CU711" s="20" t="inlineStr">
        <is>
          <t>egy.mit.wel.pct.tot.6</t>
        </is>
      </c>
      <c r="CV711" s="24" t="n">
        <v>0</v>
      </c>
      <c r="CW711" s="24" t="n">
        <v>4.340381123873326e-05</v>
      </c>
      <c r="CX711" s="24" t="n">
        <v>3.928842710777379e-05</v>
      </c>
      <c r="CY711" s="24" t="n">
        <v>3.565077129616332e-05</v>
      </c>
      <c r="CZ711" s="24" t="n">
        <v>3.580958597148395e-05</v>
      </c>
      <c r="DA711" s="24" t="n">
        <v>0.01767277527470424</v>
      </c>
      <c r="DB711" s="24" t="n">
        <v>0.02572319878639768</v>
      </c>
      <c r="DC711" s="24" t="n">
        <v>0.02507270355986146</v>
      </c>
      <c r="DD711" s="24" t="n">
        <v>0.02608517287715382</v>
      </c>
      <c r="DE711" s="24" t="n">
        <v>0.02424704085160989</v>
      </c>
      <c r="DF711" s="24" t="n">
        <v>0.02451393663735072</v>
      </c>
      <c r="DG711" s="24" t="n">
        <v>0.02449743506847713</v>
      </c>
      <c r="DH711" s="24" t="n">
        <v>0.0249274892906158</v>
      </c>
      <c r="DI711" s="24" t="n">
        <v>0.02505036436945553</v>
      </c>
      <c r="DJ711" s="24" t="n">
        <v>0.02531467772766133</v>
      </c>
      <c r="DK711" s="24" t="n">
        <v>0.0253481441597982</v>
      </c>
      <c r="DL711" s="24" t="n">
        <v>0.02558608852020644</v>
      </c>
      <c r="DM711" s="24" t="n">
        <v>0.02569125286209533</v>
      </c>
      <c r="DN711" s="24" t="n">
        <v>0.02599865578877496</v>
      </c>
      <c r="DO711" s="24" t="n">
        <v>0.02604922261411259</v>
      </c>
    </row>
    <row r="712">
      <c r="A712" s="5" t="n"/>
      <c r="B712" s="18" t="inlineStr">
        <is>
          <t>Distributional effects</t>
        </is>
      </c>
      <c r="C712" s="5" t="n"/>
      <c r="D712" s="5" t="n"/>
      <c r="E712" s="5" t="n"/>
      <c r="F712" s="5" t="n"/>
      <c r="G712" s="5" t="n"/>
      <c r="H712" s="5" t="n"/>
      <c r="I712" s="5" t="n"/>
      <c r="J712" s="5" t="n"/>
      <c r="K712" s="5" t="n"/>
      <c r="L712" s="5" t="n"/>
      <c r="M712" s="5" t="n"/>
      <c r="N712" s="5" t="n"/>
      <c r="O712" s="5" t="n"/>
      <c r="P712" s="5" t="n"/>
      <c r="Q712" s="5" t="n"/>
      <c r="R712" s="5" t="n"/>
      <c r="S712" s="5" t="n"/>
      <c r="T712" s="5" t="n"/>
      <c r="U712" s="5" t="n"/>
      <c r="V712" s="5" t="n"/>
      <c r="W712" s="5" t="n"/>
      <c r="X712" s="5" t="n"/>
      <c r="Y712" s="5" t="n"/>
      <c r="Z712" s="5" t="n"/>
      <c r="AA712" s="5" t="n"/>
      <c r="AB712" s="5" t="n"/>
      <c r="AC712" s="5" t="n"/>
      <c r="AD712" s="5" t="n"/>
      <c r="AE712" s="5" t="n"/>
      <c r="AF712" s="5" t="n"/>
      <c r="AG712" s="5" t="n"/>
      <c r="AH712" s="5" t="n"/>
      <c r="AI712" s="5" t="n"/>
      <c r="AJ712" s="5" t="n"/>
      <c r="AK712" s="5" t="n"/>
      <c r="AL712" s="5" t="n"/>
      <c r="AM712" s="5" t="n"/>
      <c r="AN712" s="5" t="n"/>
      <c r="AO712" s="5" t="n"/>
      <c r="AP712" s="5" t="n"/>
      <c r="AQ712" s="5" t="n"/>
      <c r="AR712" s="5" t="n"/>
      <c r="AS712" s="5" t="n"/>
      <c r="AT712" s="5" t="n"/>
      <c r="AU712" s="5" t="n"/>
      <c r="AV712" s="5" t="n"/>
      <c r="AW712" s="5" t="n"/>
      <c r="AX712" s="5" t="n"/>
      <c r="AY712" s="5" t="n"/>
      <c r="AZ712" s="5" t="n"/>
      <c r="BA712" s="5" t="n"/>
      <c r="BB712" s="5" t="n"/>
      <c r="BC712" s="5" t="n"/>
      <c r="BD712" s="5" t="n"/>
      <c r="BE712" s="5" t="n"/>
      <c r="BF712" s="5" t="n"/>
      <c r="BG712" s="5" t="n"/>
      <c r="BH712" s="5" t="n"/>
      <c r="BI712" s="5" t="n"/>
      <c r="BJ712" s="5" t="n"/>
      <c r="BK712" s="5" t="n"/>
      <c r="BL712" s="5" t="n"/>
      <c r="BM712" s="5" t="n"/>
      <c r="BN712" s="5" t="n"/>
      <c r="BO712" s="5" t="n"/>
      <c r="BP712" s="5" t="n"/>
      <c r="BQ712" s="5" t="n"/>
      <c r="BR712" s="5" t="n"/>
      <c r="BS712" s="5" t="n"/>
      <c r="BT712" s="5" t="n"/>
      <c r="BU712" s="5" t="n"/>
      <c r="BV712" s="5" t="n"/>
      <c r="BW712" s="5" t="n"/>
      <c r="BX712" s="5" t="n"/>
      <c r="BY712" s="5" t="n"/>
      <c r="BZ712" s="5" t="n"/>
      <c r="CA712" s="5" t="n"/>
      <c r="CB712" s="5" t="n"/>
      <c r="CC712" s="5" t="n"/>
      <c r="CD712" s="5" t="n"/>
      <c r="CE712" s="5" t="n"/>
      <c r="CF712" s="5" t="n"/>
      <c r="CG712" s="5" t="n"/>
      <c r="CH712" s="5" t="n"/>
      <c r="CI712" s="5" t="n"/>
      <c r="CJ712" s="5" t="n"/>
      <c r="CK712" s="5" t="n"/>
      <c r="CL712" s="5" t="n"/>
      <c r="CM712" s="5" t="n"/>
      <c r="CN712" s="5" t="n"/>
      <c r="CO712" s="5" t="n"/>
      <c r="CP712" s="5" t="n"/>
      <c r="CQ712" s="5" t="n"/>
      <c r="CR712" s="5" t="n"/>
      <c r="CS712" s="5" t="n"/>
      <c r="CT712" s="5" t="n"/>
      <c r="CU712" s="5" t="n"/>
      <c r="CV712" s="5" t="n"/>
      <c r="CW712" s="5" t="n"/>
      <c r="CX712" s="5" t="n"/>
      <c r="CY712" s="5" t="n"/>
      <c r="CZ712" s="5" t="n"/>
      <c r="DA712" s="5" t="n"/>
      <c r="DB712" s="5" t="n"/>
      <c r="DC712" s="5" t="n"/>
      <c r="DD712" s="5" t="n"/>
      <c r="DE712" s="5" t="n"/>
      <c r="DF712" s="5" t="n"/>
      <c r="DG712" s="5" t="n"/>
      <c r="DH712" s="5" t="n"/>
      <c r="DI712" s="5" t="n"/>
      <c r="DJ712" s="5" t="n"/>
      <c r="DK712" s="5" t="n"/>
      <c r="DL712" s="5" t="n"/>
      <c r="DM712" s="5" t="n"/>
      <c r="DN712" s="5" t="n"/>
      <c r="DO712" s="5" t="n"/>
      <c r="DP712" s="5" t="n"/>
      <c r="DQ712" s="5" t="n"/>
      <c r="DR712" s="5" t="n"/>
      <c r="DS712" s="5" t="n"/>
      <c r="DT712" s="5" t="n"/>
      <c r="DU712" s="5" t="n"/>
      <c r="DV712" s="5" t="n"/>
      <c r="DW712" s="5" t="n"/>
      <c r="DX712" s="5" t="n"/>
      <c r="DY712" s="5" t="n"/>
      <c r="DZ712" s="5" t="n"/>
      <c r="EA712" s="5" t="n"/>
      <c r="EB712" s="5" t="n"/>
      <c r="EC712" s="5" t="n"/>
      <c r="ED712" s="5" t="n"/>
      <c r="EE712" s="5" t="n"/>
      <c r="EF712" s="5" t="n"/>
      <c r="EG712" s="5" t="n"/>
      <c r="EH712" s="5" t="n"/>
      <c r="EI712" s="5" t="n"/>
      <c r="EJ712" s="5" t="n"/>
      <c r="EK712" s="5" t="n"/>
      <c r="EL712" s="5" t="n"/>
      <c r="EM712" s="5" t="n"/>
      <c r="EN712" s="5" t="n"/>
      <c r="EO712" s="5" t="n"/>
      <c r="EP712" s="5" t="n"/>
      <c r="EQ712" s="5" t="n"/>
      <c r="ER712" s="5" t="n"/>
      <c r="ES712" s="5" t="n"/>
      <c r="ET712" s="5" t="n"/>
      <c r="EU712" s="5" t="n"/>
      <c r="EV712" s="5" t="n"/>
      <c r="EW712" s="5" t="n"/>
      <c r="EX712" s="5" t="n"/>
      <c r="EY712" s="5" t="n"/>
      <c r="EZ712" s="5" t="n"/>
      <c r="FA712" s="5" t="n"/>
      <c r="FB712" s="5" t="n"/>
      <c r="FC712" s="5" t="n"/>
      <c r="FD712" s="5" t="n"/>
      <c r="FE712" s="5" t="n"/>
      <c r="FF712" s="5" t="n"/>
      <c r="FG712" s="5" t="n"/>
      <c r="FH712" s="5" t="n"/>
      <c r="FI712" s="5" t="n"/>
      <c r="FJ712" s="5" t="n"/>
      <c r="FK712" s="5" t="n"/>
      <c r="FL712" s="5" t="n"/>
      <c r="FM712" s="5" t="n"/>
      <c r="FN712" s="5" t="n"/>
      <c r="FO712" s="5" t="n"/>
      <c r="FP712" s="5" t="n"/>
      <c r="FQ712" s="5" t="n"/>
      <c r="FR712" s="5" t="n"/>
      <c r="FS712" s="5" t="n"/>
      <c r="FT712" s="5" t="n"/>
      <c r="FU712" s="5" t="n"/>
      <c r="FV712" s="5" t="n"/>
      <c r="FW712" s="5" t="n"/>
      <c r="FX712" s="5" t="n"/>
      <c r="FY712" s="5" t="n"/>
      <c r="FZ712" s="5" t="n"/>
      <c r="GA712" s="5" t="n"/>
      <c r="GB712" s="5" t="n"/>
      <c r="GC712" s="5" t="n"/>
      <c r="GD712" s="5" t="n"/>
      <c r="GE712" s="5" t="n"/>
      <c r="GF712" s="5" t="n"/>
      <c r="GG712" s="5" t="n"/>
      <c r="GH712" s="5" t="n"/>
      <c r="GI712" s="5" t="n"/>
      <c r="GJ712" s="5" t="n"/>
      <c r="GK712" s="5" t="n"/>
      <c r="GL712" s="5" t="n"/>
      <c r="GM712" s="5" t="n"/>
      <c r="GN712" s="5" t="n"/>
      <c r="GO712" s="5" t="n"/>
      <c r="GP712" s="5" t="n"/>
      <c r="GQ712" s="5" t="n"/>
      <c r="GR712" s="5" t="n"/>
      <c r="GS712" s="5" t="n"/>
      <c r="GT712" s="5" t="n"/>
      <c r="GU712" s="5" t="n"/>
      <c r="GV712" s="5" t="n"/>
      <c r="GW712" s="5" t="n"/>
      <c r="GX712" s="5" t="n"/>
      <c r="GY712" s="5" t="n"/>
      <c r="GZ712" s="5" t="n"/>
      <c r="HA712" s="5" t="n"/>
      <c r="HB712" s="5" t="n"/>
      <c r="HC712" s="5" t="n"/>
      <c r="HD712" s="5" t="n"/>
      <c r="HE712" s="5" t="n"/>
      <c r="HF712" s="5" t="n"/>
      <c r="HG712" s="5" t="n"/>
      <c r="HH712" s="5" t="n"/>
      <c r="HI712" s="5" t="n"/>
      <c r="HJ712" s="5" t="n"/>
      <c r="HK712" s="5" t="n"/>
      <c r="HL712" s="5" t="n"/>
      <c r="HM712" s="5" t="n"/>
      <c r="HN712" s="5" t="n"/>
      <c r="HO712" s="5" t="n"/>
      <c r="HP712" s="5" t="n"/>
      <c r="HQ712" s="5" t="n"/>
      <c r="HR712" s="5" t="n"/>
      <c r="HS712" s="5" t="n"/>
      <c r="HT712" s="5" t="n"/>
      <c r="HU712" s="5" t="n"/>
      <c r="HV712" s="5" t="n"/>
    </row>
    <row r="713">
      <c r="A713" s="14" t="inlineStr">
        <is>
          <t>distn.tef.tot.dec.rur</t>
        </is>
      </c>
      <c r="B713" s="3" t="inlineStr">
        <is>
          <t>distn</t>
        </is>
      </c>
      <c r="C713" s="19" t="inlineStr">
        <is>
          <t>distn.tef.tot.dec.rur</t>
        </is>
      </c>
      <c r="H713" s="14" t="inlineStr">
        <is>
          <t>Relative loss in consumption by prices increases on rural population (% consumption)</t>
        </is>
      </c>
      <c r="I713" s="14" t="inlineStr">
        <is>
          <t>dec</t>
        </is>
      </c>
    </row>
    <row r="714">
      <c r="A714" s="14" t="inlineStr">
        <is>
          <t>distn.tef.tot.dec.urb</t>
        </is>
      </c>
      <c r="B714" s="3" t="inlineStr">
        <is>
          <t>distn</t>
        </is>
      </c>
      <c r="C714" s="19" t="inlineStr">
        <is>
          <t>distn.tef.tot.dec.urb</t>
        </is>
      </c>
      <c r="H714" s="14" t="inlineStr">
        <is>
          <t>Relative loss in consumption by prices increases on urban population (% consumption)</t>
        </is>
      </c>
      <c r="I714" s="14" t="inlineStr">
        <is>
          <t>dec</t>
        </is>
      </c>
    </row>
    <row r="715">
      <c r="A715" s="14" t="inlineStr">
        <is>
          <t>distn.def.tot.dec.ove</t>
        </is>
      </c>
      <c r="B715" s="3" t="inlineStr">
        <is>
          <t>distn</t>
        </is>
      </c>
      <c r="C715" s="19" t="inlineStr">
        <is>
          <t>distn.def.tot.dec.ove</t>
        </is>
      </c>
      <c r="H715" s="14" t="inlineStr">
        <is>
          <t>Relative price impacts on consumption deciles: direct effect  (% consumption)</t>
        </is>
      </c>
      <c r="I715" s="14" t="inlineStr">
        <is>
          <t>dec</t>
        </is>
      </c>
    </row>
    <row r="716">
      <c r="A716" s="14" t="inlineStr">
        <is>
          <t>distn.def.coa.dec.ove</t>
        </is>
      </c>
      <c r="B716" s="3" t="inlineStr">
        <is>
          <t>distn</t>
        </is>
      </c>
      <c r="C716" s="19" t="inlineStr">
        <is>
          <t>distn.def.coa.dec.ove</t>
        </is>
      </c>
      <c r="H716" s="14" t="inlineStr">
        <is>
          <t>Relative price impacts on consumption deciles: coal direct effect  (% consumption)</t>
        </is>
      </c>
      <c r="I716" s="14" t="inlineStr">
        <is>
          <t>dec</t>
        </is>
      </c>
    </row>
    <row r="717">
      <c r="A717" s="14" t="inlineStr">
        <is>
          <t>distn.def.ely.dec.ove</t>
        </is>
      </c>
      <c r="B717" s="3" t="inlineStr">
        <is>
          <t>distn</t>
        </is>
      </c>
      <c r="C717" s="19" t="inlineStr">
        <is>
          <t>distn.def.ely.dec.ove</t>
        </is>
      </c>
      <c r="H717" s="14" t="inlineStr">
        <is>
          <t>Relative price impacts on consumption deciles: electricity direct effect  (% consumption)</t>
        </is>
      </c>
      <c r="I717" s="14" t="inlineStr">
        <is>
          <t>dec</t>
        </is>
      </c>
    </row>
    <row r="718">
      <c r="A718" s="14" t="inlineStr">
        <is>
          <t>distn.def.nga.dec.ove</t>
        </is>
      </c>
      <c r="B718" s="3" t="inlineStr">
        <is>
          <t>distn</t>
        </is>
      </c>
      <c r="C718" s="19" t="inlineStr">
        <is>
          <t>distn.def.nga.dec.ove</t>
        </is>
      </c>
      <c r="H718" s="14" t="inlineStr">
        <is>
          <t>Relative price impacts on consumption deciles: natural gas direct effect  (% consumption)</t>
        </is>
      </c>
      <c r="I718" s="14" t="inlineStr">
        <is>
          <t>dec</t>
        </is>
      </c>
    </row>
    <row r="719">
      <c r="A719" s="14" t="inlineStr">
        <is>
          <t>distn.def.oil.dec.ove</t>
        </is>
      </c>
      <c r="B719" s="3" t="inlineStr">
        <is>
          <t>distn</t>
        </is>
      </c>
      <c r="C719" s="19" t="inlineStr">
        <is>
          <t>distn.def.oil.dec.ove</t>
        </is>
      </c>
      <c r="H719" s="14" t="inlineStr">
        <is>
          <t>Relative price impacts on consumption deciles: oil direct effect  (% consumption)</t>
        </is>
      </c>
      <c r="I719" s="14" t="inlineStr">
        <is>
          <t>dec</t>
        </is>
      </c>
    </row>
    <row r="720">
      <c r="A720" s="14" t="inlineStr">
        <is>
          <t>distn.def.gso.dec.ove</t>
        </is>
      </c>
      <c r="B720" s="3" t="inlineStr">
        <is>
          <t>distn</t>
        </is>
      </c>
      <c r="C720" s="19" t="inlineStr">
        <is>
          <t>distn.def.gso.dec.ove</t>
        </is>
      </c>
      <c r="H720" s="14" t="inlineStr">
        <is>
          <t>Relative price impacts on consumption deciles: gasoline direct effect  (% consumption)</t>
        </is>
      </c>
      <c r="I720" s="14" t="inlineStr">
        <is>
          <t>dec</t>
        </is>
      </c>
    </row>
    <row r="721">
      <c r="A721" s="14" t="inlineStr">
        <is>
          <t>distn.def.die.dec.ove</t>
        </is>
      </c>
      <c r="B721" s="3" t="inlineStr">
        <is>
          <t>distn</t>
        </is>
      </c>
      <c r="C721" s="19" t="inlineStr">
        <is>
          <t>distn.def.die.dec.ove</t>
        </is>
      </c>
      <c r="H721" s="14" t="inlineStr">
        <is>
          <t>Relative price impacts on consumption deciles: diesel direct effect  (% consumption)</t>
        </is>
      </c>
      <c r="I721" s="14" t="inlineStr">
        <is>
          <t>dec</t>
        </is>
      </c>
    </row>
    <row r="722">
      <c r="A722" s="14" t="inlineStr">
        <is>
          <t>distn.def.ker.dec.ove</t>
        </is>
      </c>
      <c r="B722" s="3" t="inlineStr">
        <is>
          <t>distn</t>
        </is>
      </c>
      <c r="C722" s="19" t="inlineStr">
        <is>
          <t>distn.def.ker.dec.ove</t>
        </is>
      </c>
      <c r="H722" s="14" t="inlineStr">
        <is>
          <t>Relative price impacts on consumption deciles: kerosene direct effect  (% consumption)</t>
        </is>
      </c>
      <c r="I722" s="14" t="inlineStr">
        <is>
          <t>dec</t>
        </is>
      </c>
    </row>
    <row r="723">
      <c r="A723" s="14" t="inlineStr">
        <is>
          <t>distn.def.lpg.dec.ove</t>
        </is>
      </c>
      <c r="B723" s="3" t="inlineStr">
        <is>
          <t>distn</t>
        </is>
      </c>
      <c r="C723" s="19" t="inlineStr">
        <is>
          <t>distn.def.lpg.dec.ove</t>
        </is>
      </c>
      <c r="H723" s="14" t="inlineStr">
        <is>
          <t>Relative price impacts on consumption deciles: lpg direct effect  (% consumption)</t>
        </is>
      </c>
      <c r="I723" s="14" t="inlineStr">
        <is>
          <t>dec</t>
        </is>
      </c>
    </row>
    <row r="724">
      <c r="A724" s="14" t="inlineStr">
        <is>
          <t>distn.ief.tot.dec.ove</t>
        </is>
      </c>
      <c r="B724" s="3" t="inlineStr">
        <is>
          <t>distn</t>
        </is>
      </c>
      <c r="C724" s="19" t="inlineStr">
        <is>
          <t>distn.ief.tot.dec.ove</t>
        </is>
      </c>
      <c r="H724" s="14" t="inlineStr">
        <is>
          <t>Relative price impacts on consumption deciles: indirect effect  (% consumption)</t>
        </is>
      </c>
      <c r="I724" s="14" t="inlineStr">
        <is>
          <t>dec</t>
        </is>
      </c>
    </row>
    <row r="725">
      <c r="A725" s="14" t="inlineStr">
        <is>
          <t>distn.ief.app.dec.ove</t>
        </is>
      </c>
      <c r="B725" s="3" t="inlineStr">
        <is>
          <t>distn</t>
        </is>
      </c>
      <c r="C725" s="19" t="inlineStr">
        <is>
          <t>distn.ief.app.dec.ove</t>
        </is>
      </c>
      <c r="H725" s="14" t="inlineStr">
        <is>
          <t>Relative price impacts on consumption deciles: appliances indirect effect  (% consumption)</t>
        </is>
      </c>
      <c r="I725" s="14" t="inlineStr">
        <is>
          <t>dec</t>
        </is>
      </c>
    </row>
    <row r="726">
      <c r="A726" s="14" t="inlineStr">
        <is>
          <t>distn.ief.che.dec.ove</t>
        </is>
      </c>
      <c r="B726" s="3" t="inlineStr">
        <is>
          <t>distn</t>
        </is>
      </c>
      <c r="C726" s="19" t="inlineStr">
        <is>
          <t>distn.ief.che.dec.ove</t>
        </is>
      </c>
      <c r="H726" s="14" t="inlineStr">
        <is>
          <t>Relative price impacts on consumption deciles: chemicals indirect effect  (% consumption)</t>
        </is>
      </c>
      <c r="I726" s="14" t="inlineStr">
        <is>
          <t>dec</t>
        </is>
      </c>
    </row>
    <row r="727">
      <c r="A727" s="14" t="inlineStr">
        <is>
          <t>distn.ief.clo.dec.ove</t>
        </is>
      </c>
      <c r="B727" s="3" t="inlineStr">
        <is>
          <t>distn</t>
        </is>
      </c>
      <c r="C727" s="19" t="inlineStr">
        <is>
          <t>distn.ief.clo.dec.ove</t>
        </is>
      </c>
      <c r="H727" s="14" t="inlineStr">
        <is>
          <t>Relative price impacts on consumption deciles: clothing indirect effect  (% consumption)</t>
        </is>
      </c>
      <c r="I727" s="14" t="inlineStr">
        <is>
          <t>dec</t>
        </is>
      </c>
    </row>
    <row r="728">
      <c r="A728" s="14" t="inlineStr">
        <is>
          <t>distn.ief.com.dec.ove</t>
        </is>
      </c>
      <c r="B728" s="3" t="inlineStr">
        <is>
          <t>distn</t>
        </is>
      </c>
      <c r="C728" s="19" t="inlineStr">
        <is>
          <t>distn.ief.com.dec.ove</t>
        </is>
      </c>
      <c r="H728" s="14" t="inlineStr">
        <is>
          <t>Relative price impacts on consumption deciles: communications indirect effect  (% consumption)</t>
        </is>
      </c>
      <c r="I728" s="14" t="inlineStr">
        <is>
          <t>dec</t>
        </is>
      </c>
    </row>
    <row r="729">
      <c r="A729" s="14" t="inlineStr">
        <is>
          <t>distn.ief.edu.dec.ove</t>
        </is>
      </c>
      <c r="B729" s="3" t="inlineStr">
        <is>
          <t>distn</t>
        </is>
      </c>
      <c r="C729" s="19" t="inlineStr">
        <is>
          <t>distn.ief.edu.dec.ove</t>
        </is>
      </c>
      <c r="H729" s="14" t="inlineStr">
        <is>
          <t>Relative price impacts on consumption deciles: education indirect effect  (% consumption)</t>
        </is>
      </c>
      <c r="I729" s="14" t="inlineStr">
        <is>
          <t>dec</t>
        </is>
      </c>
    </row>
    <row r="730">
      <c r="A730" s="14" t="inlineStr">
        <is>
          <t>distn.ief.food.dec.ove</t>
        </is>
      </c>
      <c r="B730" s="3" t="inlineStr">
        <is>
          <t>distn</t>
        </is>
      </c>
      <c r="C730" s="19" t="inlineStr">
        <is>
          <t>distn.ief.food.dec.ove</t>
        </is>
      </c>
      <c r="H730" s="14" t="inlineStr">
        <is>
          <t>Relative price impacts on consumption deciles: food indirect effect  (% consumption)</t>
        </is>
      </c>
      <c r="I730" s="14" t="inlineStr">
        <is>
          <t>dec</t>
        </is>
      </c>
    </row>
    <row r="731">
      <c r="A731" s="14" t="inlineStr">
        <is>
          <t>distn.ief.hea.dec.ove</t>
        </is>
      </c>
      <c r="B731" s="3" t="inlineStr">
        <is>
          <t>distn</t>
        </is>
      </c>
      <c r="C731" s="19" t="inlineStr">
        <is>
          <t>distn.ief.hea.dec.ove</t>
        </is>
      </c>
      <c r="H731" s="14" t="inlineStr">
        <is>
          <t>Relative price impacts on consumption deciles: health services indirect effect  (% consumption)</t>
        </is>
      </c>
      <c r="I731" s="14" t="inlineStr">
        <is>
          <t>dec</t>
        </is>
      </c>
    </row>
    <row r="732">
      <c r="A732" s="14" t="inlineStr">
        <is>
          <t>distn.ief.hou.dec.ove</t>
        </is>
      </c>
      <c r="B732" s="3" t="inlineStr">
        <is>
          <t>distn</t>
        </is>
      </c>
      <c r="C732" s="19" t="inlineStr">
        <is>
          <t>distn.ief.hou.dec.ove</t>
        </is>
      </c>
      <c r="H732" s="14" t="inlineStr">
        <is>
          <t>Relative price impacts on consumption deciles: housing indirect effect  (% consumption)</t>
        </is>
      </c>
      <c r="I732" s="14" t="inlineStr">
        <is>
          <t>dec</t>
        </is>
      </c>
    </row>
    <row r="733">
      <c r="A733" s="14" t="inlineStr">
        <is>
          <t>distn.ief.oth.dec.ove</t>
        </is>
      </c>
      <c r="B733" s="3" t="inlineStr">
        <is>
          <t>distn</t>
        </is>
      </c>
      <c r="C733" s="19" t="inlineStr">
        <is>
          <t>distn.ief.oth.dec.ove</t>
        </is>
      </c>
      <c r="H733" s="14" t="inlineStr">
        <is>
          <t>Relative price impacts on consumption deciles: other indirect effect  (% consumption)</t>
        </is>
      </c>
      <c r="I733" s="14" t="inlineStr">
        <is>
          <t>dec</t>
        </is>
      </c>
    </row>
    <row r="734">
      <c r="A734" s="14" t="inlineStr">
        <is>
          <t>distn.ief.pap.dec.ove</t>
        </is>
      </c>
      <c r="B734" s="3" t="inlineStr">
        <is>
          <t>distn</t>
        </is>
      </c>
      <c r="C734" s="19" t="inlineStr">
        <is>
          <t>distn.ief.pap.dec.ove</t>
        </is>
      </c>
      <c r="H734" s="14" t="inlineStr">
        <is>
          <t>Relative price impacts on consumption deciles: paper indirect effect  (% consumption)</t>
        </is>
      </c>
      <c r="I734" s="14" t="inlineStr">
        <is>
          <t>dec</t>
        </is>
      </c>
    </row>
    <row r="735">
      <c r="A735" s="14" t="inlineStr">
        <is>
          <t>distn.ief.pha.dec.ove</t>
        </is>
      </c>
      <c r="B735" s="3" t="inlineStr">
        <is>
          <t>distn</t>
        </is>
      </c>
      <c r="C735" s="19" t="inlineStr">
        <is>
          <t>distn.ief.pha.dec.ove</t>
        </is>
      </c>
      <c r="H735" s="14" t="inlineStr">
        <is>
          <t>Relative price impacts on consumption deciles: pharmaceuticals indirect effect  (% consumption)</t>
        </is>
      </c>
      <c r="I735" s="14" t="inlineStr">
        <is>
          <t>dec</t>
        </is>
      </c>
    </row>
    <row r="736">
      <c r="A736" s="14" t="inlineStr">
        <is>
          <t>distn.ief.ret.dec.ove</t>
        </is>
      </c>
      <c r="B736" s="3" t="inlineStr">
        <is>
          <t>distn</t>
        </is>
      </c>
      <c r="C736" s="19" t="inlineStr">
        <is>
          <t>distn.ief.ret.dec.ove</t>
        </is>
      </c>
      <c r="H736" s="14" t="inlineStr">
        <is>
          <t>Relative price impacts on consumption deciles: recreation and tourism indirect effect  (% consumption)</t>
        </is>
      </c>
      <c r="I736" s="14" t="inlineStr">
        <is>
          <t>dec</t>
        </is>
      </c>
    </row>
    <row r="737">
      <c r="A737" s="14" t="inlineStr">
        <is>
          <t>distn.ief.teq.dec.ove</t>
        </is>
      </c>
      <c r="B737" s="3" t="inlineStr">
        <is>
          <t>distn</t>
        </is>
      </c>
      <c r="C737" s="19" t="inlineStr">
        <is>
          <t>distn.ief.teq.dec.ove</t>
        </is>
      </c>
      <c r="H737" s="14" t="inlineStr">
        <is>
          <t>Relative price impacts on consumption deciles: transportation equipment indirect effect  (% consumption)</t>
        </is>
      </c>
      <c r="I737" s="14" t="inlineStr">
        <is>
          <t>dec</t>
        </is>
      </c>
    </row>
    <row r="738">
      <c r="A738" s="14" t="inlineStr">
        <is>
          <t>distn.ief.tpu.dec.ove</t>
        </is>
      </c>
      <c r="B738" s="3" t="inlineStr">
        <is>
          <t>distn</t>
        </is>
      </c>
      <c r="C738" s="19" t="inlineStr">
        <is>
          <t>distn.ief.tpu.dec.ove</t>
        </is>
      </c>
      <c r="H738" s="14" t="inlineStr">
        <is>
          <t>Relative price impacts on consumption deciles: public transportation indirect effect  (% consumption)</t>
        </is>
      </c>
      <c r="I738" s="14" t="inlineStr">
        <is>
          <t>dec</t>
        </is>
      </c>
    </row>
    <row r="739">
      <c r="A739" s="14" t="inlineStr">
        <is>
          <t>distn.bsh.coa.dec.ove</t>
        </is>
      </c>
      <c r="B739" s="3" t="inlineStr">
        <is>
          <t>distn</t>
        </is>
      </c>
      <c r="C739" s="19" t="inlineStr">
        <is>
          <t>distn.bsh.coa.dec.ove</t>
        </is>
      </c>
      <c r="H739" s="14" t="inlineStr">
        <is>
          <t>Budget shares for consumption deciles: coal (% consumption)</t>
        </is>
      </c>
      <c r="I739" s="14" t="inlineStr">
        <is>
          <t>dec</t>
        </is>
      </c>
    </row>
    <row r="740">
      <c r="A740" s="14" t="inlineStr">
        <is>
          <t>distn.bsh.ely.dec.ove</t>
        </is>
      </c>
      <c r="B740" s="3" t="inlineStr">
        <is>
          <t>distn</t>
        </is>
      </c>
      <c r="C740" s="19" t="inlineStr">
        <is>
          <t>distn.bsh.ely.dec.ove</t>
        </is>
      </c>
      <c r="H740" s="14" t="inlineStr">
        <is>
          <t>Budget shares for consumption deciles: electricity (% consumption)</t>
        </is>
      </c>
      <c r="I740" s="14" t="inlineStr">
        <is>
          <t>dec</t>
        </is>
      </c>
    </row>
    <row r="741">
      <c r="A741" s="14" t="inlineStr">
        <is>
          <t>distn.bsh.nga.dec.ove</t>
        </is>
      </c>
      <c r="B741" s="3" t="inlineStr">
        <is>
          <t>distn</t>
        </is>
      </c>
      <c r="C741" s="19" t="inlineStr">
        <is>
          <t>distn.bsh.nga.dec.ove</t>
        </is>
      </c>
      <c r="H741" s="14" t="inlineStr">
        <is>
          <t>Budget shares for consumption deciles: natural gas (% consumption)</t>
        </is>
      </c>
      <c r="I741" s="14" t="inlineStr">
        <is>
          <t>dec</t>
        </is>
      </c>
    </row>
    <row r="742">
      <c r="A742" s="14" t="inlineStr">
        <is>
          <t>distn.bsh.oil.dec.ove</t>
        </is>
      </c>
      <c r="B742" s="3" t="inlineStr">
        <is>
          <t>distn</t>
        </is>
      </c>
      <c r="C742" s="19" t="inlineStr">
        <is>
          <t>distn.bsh.oil.dec.ove</t>
        </is>
      </c>
      <c r="H742" s="14" t="inlineStr">
        <is>
          <t>Budget shares for consumption deciles: oil (% consumption)</t>
        </is>
      </c>
      <c r="I742" s="14" t="inlineStr">
        <is>
          <t>dec</t>
        </is>
      </c>
    </row>
    <row r="743">
      <c r="A743" s="14" t="inlineStr">
        <is>
          <t>distn.bsh.gso.dec.ove</t>
        </is>
      </c>
      <c r="B743" s="3" t="inlineStr">
        <is>
          <t>distn</t>
        </is>
      </c>
      <c r="C743" s="19" t="inlineStr">
        <is>
          <t>distn.bsh.gso.dec.ove</t>
        </is>
      </c>
      <c r="H743" s="14" t="inlineStr">
        <is>
          <t>Budget shares for consumption deciles: gasoline (% consumption)</t>
        </is>
      </c>
      <c r="I743" s="14" t="inlineStr">
        <is>
          <t>dec</t>
        </is>
      </c>
    </row>
    <row r="744">
      <c r="A744" s="14" t="inlineStr">
        <is>
          <t>distn.bsh.die.dec.ove</t>
        </is>
      </c>
      <c r="B744" s="3" t="inlineStr">
        <is>
          <t>distn</t>
        </is>
      </c>
      <c r="C744" s="19" t="inlineStr">
        <is>
          <t>distn.bsh.die.dec.ove</t>
        </is>
      </c>
      <c r="H744" s="14" t="inlineStr">
        <is>
          <t>Budget shares for consumption deciles: diesel (% consumption)</t>
        </is>
      </c>
      <c r="I744" s="14" t="inlineStr">
        <is>
          <t>dec</t>
        </is>
      </c>
    </row>
    <row r="745">
      <c r="A745" s="14" t="inlineStr">
        <is>
          <t>distn.bsh.ker.dec.ove</t>
        </is>
      </c>
      <c r="B745" s="3" t="inlineStr">
        <is>
          <t>distn</t>
        </is>
      </c>
      <c r="C745" s="19" t="inlineStr">
        <is>
          <t>distn.bsh.ker.dec.ove</t>
        </is>
      </c>
      <c r="H745" s="14" t="inlineStr">
        <is>
          <t>Budget shares for consumption deciles: kerosene (% consumption)</t>
        </is>
      </c>
      <c r="I745" s="14" t="inlineStr">
        <is>
          <t>dec</t>
        </is>
      </c>
    </row>
    <row r="746">
      <c r="A746" s="14" t="inlineStr">
        <is>
          <t>distn.bsh.lpg.dec.ove</t>
        </is>
      </c>
      <c r="B746" s="3" t="inlineStr">
        <is>
          <t>distn</t>
        </is>
      </c>
      <c r="C746" s="19" t="inlineStr">
        <is>
          <t>distn.bsh.lpg.dec.ove</t>
        </is>
      </c>
      <c r="H746" s="14" t="inlineStr">
        <is>
          <t>Budget shares for consumption deciles: lpg (% consumption)</t>
        </is>
      </c>
      <c r="I746" s="14" t="inlineStr">
        <is>
          <t>dec</t>
        </is>
      </c>
    </row>
    <row r="747">
      <c r="A747" s="14" t="inlineStr">
        <is>
          <t>distn.bsh.ccl.dec.ove</t>
        </is>
      </c>
      <c r="B747" s="3" t="inlineStr">
        <is>
          <t>distn</t>
        </is>
      </c>
      <c r="C747" s="19" t="inlineStr">
        <is>
          <t>distn.bsh.ccl.dec.ove</t>
        </is>
      </c>
      <c r="H747" s="14" t="inlineStr">
        <is>
          <t>Budget shares for consumption deciles: charcoal (% consumption)</t>
        </is>
      </c>
      <c r="I747" s="14" t="inlineStr">
        <is>
          <t>dec</t>
        </is>
      </c>
    </row>
    <row r="748">
      <c r="A748" s="14" t="inlineStr">
        <is>
          <t>distn.bsh.ethanol.dec.ove</t>
        </is>
      </c>
      <c r="B748" s="3" t="inlineStr">
        <is>
          <t>distn</t>
        </is>
      </c>
      <c r="C748" s="19" t="inlineStr">
        <is>
          <t>distn.bsh.ethanol.dec.ove</t>
        </is>
      </c>
      <c r="H748" s="14" t="inlineStr">
        <is>
          <t>Budget shares for consumption deciles: ethanol (% consumption)</t>
        </is>
      </c>
      <c r="I748" s="14" t="inlineStr">
        <is>
          <t>dec</t>
        </is>
      </c>
    </row>
    <row r="749">
      <c r="A749" s="14" t="inlineStr">
        <is>
          <t>distn.bsh.fwd.dec.ove</t>
        </is>
      </c>
      <c r="B749" s="3" t="inlineStr">
        <is>
          <t>distn</t>
        </is>
      </c>
      <c r="C749" s="19" t="inlineStr">
        <is>
          <t>distn.bsh.fwd.dec.ove</t>
        </is>
      </c>
      <c r="H749" s="14" t="inlineStr">
        <is>
          <t>Budget shares for consumption deciles: firewood (% consumption)</t>
        </is>
      </c>
      <c r="I749" s="14" t="inlineStr">
        <is>
          <t>dec</t>
        </is>
      </c>
    </row>
    <row r="750">
      <c r="A750" s="14" t="inlineStr">
        <is>
          <t>distn.bsh.app.dec.ove</t>
        </is>
      </c>
      <c r="B750" s="3" t="inlineStr">
        <is>
          <t>distn</t>
        </is>
      </c>
      <c r="C750" s="19" t="inlineStr">
        <is>
          <t>distn.bsh.app.dec.ove</t>
        </is>
      </c>
      <c r="H750" s="14" t="inlineStr">
        <is>
          <t>Budget shares for consumption deciles: appliances (% consumption)</t>
        </is>
      </c>
      <c r="I750" s="14" t="inlineStr">
        <is>
          <t>dec</t>
        </is>
      </c>
    </row>
    <row r="751">
      <c r="A751" s="14" t="inlineStr">
        <is>
          <t>distn.bsh.che.dec.ove</t>
        </is>
      </c>
      <c r="B751" s="3" t="inlineStr">
        <is>
          <t>distn</t>
        </is>
      </c>
      <c r="C751" s="19" t="inlineStr">
        <is>
          <t>distn.bsh.che.dec.ove</t>
        </is>
      </c>
      <c r="H751" s="14" t="inlineStr">
        <is>
          <t>Budget shares for consumption deciles: chemicals (% consumption)</t>
        </is>
      </c>
      <c r="I751" s="14" t="inlineStr">
        <is>
          <t>dec</t>
        </is>
      </c>
    </row>
    <row r="752">
      <c r="A752" s="14" t="inlineStr">
        <is>
          <t>distn.bsh.clo.dec.ove</t>
        </is>
      </c>
      <c r="B752" s="3" t="inlineStr">
        <is>
          <t>distn</t>
        </is>
      </c>
      <c r="C752" s="19" t="inlineStr">
        <is>
          <t>distn.bsh.clo.dec.ove</t>
        </is>
      </c>
      <c r="H752" s="14" t="inlineStr">
        <is>
          <t>Budget shares for consumption deciles: clothing (% consumption)</t>
        </is>
      </c>
      <c r="I752" s="14" t="inlineStr">
        <is>
          <t>dec</t>
        </is>
      </c>
    </row>
    <row r="753">
      <c r="A753" s="14" t="inlineStr">
        <is>
          <t>distn.bsh.com.dec.ove</t>
        </is>
      </c>
      <c r="B753" s="3" t="inlineStr">
        <is>
          <t>distn</t>
        </is>
      </c>
      <c r="C753" s="19" t="inlineStr">
        <is>
          <t>distn.bsh.com.dec.ove</t>
        </is>
      </c>
      <c r="H753" s="14" t="inlineStr">
        <is>
          <t>Budget shares for consumption deciles: communications (% consumption)</t>
        </is>
      </c>
      <c r="I753" s="14" t="inlineStr">
        <is>
          <t>dec</t>
        </is>
      </c>
    </row>
    <row r="754">
      <c r="A754" s="14" t="inlineStr">
        <is>
          <t>distn.bsh.edu.dec.ove</t>
        </is>
      </c>
      <c r="B754" s="3" t="inlineStr">
        <is>
          <t>distn</t>
        </is>
      </c>
      <c r="C754" s="19" t="inlineStr">
        <is>
          <t>distn.bsh.edu.dec.ove</t>
        </is>
      </c>
      <c r="H754" s="14" t="inlineStr">
        <is>
          <t>Budget shares for consumption deciles: education (% consumption)</t>
        </is>
      </c>
      <c r="I754" s="14" t="inlineStr">
        <is>
          <t>dec</t>
        </is>
      </c>
    </row>
    <row r="755">
      <c r="A755" s="14" t="inlineStr">
        <is>
          <t>distn.bsh.food.dec.ove</t>
        </is>
      </c>
      <c r="B755" s="3" t="inlineStr">
        <is>
          <t>distn</t>
        </is>
      </c>
      <c r="C755" s="19" t="inlineStr">
        <is>
          <t>distn.bsh.food.dec.ove</t>
        </is>
      </c>
      <c r="H755" s="14" t="inlineStr">
        <is>
          <t>Budget shares for consumption deciles: food (% consumption)</t>
        </is>
      </c>
      <c r="I755" s="14" t="inlineStr">
        <is>
          <t>dec</t>
        </is>
      </c>
    </row>
    <row r="756">
      <c r="A756" s="14" t="inlineStr">
        <is>
          <t>distn.bsh.hea.dec.ove</t>
        </is>
      </c>
      <c r="B756" s="3" t="inlineStr">
        <is>
          <t>distn</t>
        </is>
      </c>
      <c r="C756" s="19" t="inlineStr">
        <is>
          <t>distn.bsh.hea.dec.ove</t>
        </is>
      </c>
      <c r="H756" s="14" t="inlineStr">
        <is>
          <t>Budget shares for consumption deciles: heatlh services (% consumption)</t>
        </is>
      </c>
      <c r="I756" s="14" t="inlineStr">
        <is>
          <t>dec</t>
        </is>
      </c>
    </row>
    <row r="757">
      <c r="A757" s="14" t="inlineStr">
        <is>
          <t>distn.bsh.hou.dec.ove</t>
        </is>
      </c>
      <c r="B757" s="3" t="inlineStr">
        <is>
          <t>distn</t>
        </is>
      </c>
      <c r="C757" s="19" t="inlineStr">
        <is>
          <t>distn.bsh.hou.dec.ove</t>
        </is>
      </c>
      <c r="H757" s="14" t="inlineStr">
        <is>
          <t>Budget shares for consumption deciles: housing (% consumption)</t>
        </is>
      </c>
      <c r="I757" s="14" t="inlineStr">
        <is>
          <t>dec</t>
        </is>
      </c>
    </row>
    <row r="758">
      <c r="A758" s="14" t="inlineStr">
        <is>
          <t>distn.bsh.oth.dec.ove</t>
        </is>
      </c>
      <c r="B758" s="3" t="inlineStr">
        <is>
          <t>distn</t>
        </is>
      </c>
      <c r="C758" s="19" t="inlineStr">
        <is>
          <t>distn.bsh.oth.dec.ove</t>
        </is>
      </c>
      <c r="H758" s="14" t="inlineStr">
        <is>
          <t>Budget shares for consumption deciles: other (% consumption)</t>
        </is>
      </c>
      <c r="I758" s="14" t="inlineStr">
        <is>
          <t>dec</t>
        </is>
      </c>
    </row>
    <row r="759">
      <c r="A759" s="14" t="inlineStr">
        <is>
          <t>distn.bsh.pap.dec.ove</t>
        </is>
      </c>
      <c r="B759" s="3" t="inlineStr">
        <is>
          <t>distn</t>
        </is>
      </c>
      <c r="C759" s="19" t="inlineStr">
        <is>
          <t>distn.bsh.pap.dec.ove</t>
        </is>
      </c>
      <c r="H759" s="14" t="inlineStr">
        <is>
          <t>Budget shares for consumption deciles: paper (% consumption)</t>
        </is>
      </c>
      <c r="I759" s="14" t="inlineStr">
        <is>
          <t>dec</t>
        </is>
      </c>
    </row>
    <row r="760">
      <c r="A760" s="14" t="inlineStr">
        <is>
          <t>distn.bsh.pha.dec.ove</t>
        </is>
      </c>
      <c r="B760" s="3" t="inlineStr">
        <is>
          <t>distn</t>
        </is>
      </c>
      <c r="C760" s="19" t="inlineStr">
        <is>
          <t>distn.bsh.pha.dec.ove</t>
        </is>
      </c>
      <c r="H760" s="14" t="inlineStr">
        <is>
          <t>Budget shares for consumption deciles: pharmaceuticals (% consumption)</t>
        </is>
      </c>
      <c r="I760" s="14" t="inlineStr">
        <is>
          <t>dec</t>
        </is>
      </c>
    </row>
    <row r="761">
      <c r="A761" s="14" t="inlineStr">
        <is>
          <t>distn.bsh.ret.dec.ove</t>
        </is>
      </c>
      <c r="B761" s="3" t="inlineStr">
        <is>
          <t>distn</t>
        </is>
      </c>
      <c r="C761" s="19" t="inlineStr">
        <is>
          <t>distn.bsh.ret.dec.ove</t>
        </is>
      </c>
      <c r="H761" s="14" t="inlineStr">
        <is>
          <t>Budget shares for consumption deciles: recreation and tourism (% consumption)</t>
        </is>
      </c>
      <c r="I761" s="14" t="inlineStr">
        <is>
          <t>dec</t>
        </is>
      </c>
    </row>
    <row r="762">
      <c r="A762" s="14" t="inlineStr">
        <is>
          <t>distn.bsh.teq.dec.ove</t>
        </is>
      </c>
      <c r="B762" s="3" t="inlineStr">
        <is>
          <t>distn</t>
        </is>
      </c>
      <c r="C762" s="19" t="inlineStr">
        <is>
          <t>distn.bsh.teq.dec.ove</t>
        </is>
      </c>
      <c r="H762" s="14" t="inlineStr">
        <is>
          <t>Budget shares for consumption deciles: transportation equipment (% consumption)</t>
        </is>
      </c>
      <c r="I762" s="14" t="inlineStr">
        <is>
          <t>dec</t>
        </is>
      </c>
    </row>
    <row r="763">
      <c r="A763" s="14" t="inlineStr">
        <is>
          <t>distn.bsh.tpu.dec.ove</t>
        </is>
      </c>
      <c r="B763" s="3" t="inlineStr">
        <is>
          <t>distn</t>
        </is>
      </c>
      <c r="C763" s="19" t="inlineStr">
        <is>
          <t>distn.bsh.tpu.dec.ove</t>
        </is>
      </c>
      <c r="H763" s="14" t="inlineStr">
        <is>
          <t>Budget shares for consumption deciles: public transportation (% consumption)</t>
        </is>
      </c>
      <c r="I763" s="14" t="inlineStr">
        <is>
          <t>dec</t>
        </is>
      </c>
    </row>
    <row r="764">
      <c r="A764" s="14" t="inlineStr">
        <is>
          <t>distn.cons_pc_na.dec.ove</t>
        </is>
      </c>
      <c r="B764" s="3" t="inlineStr">
        <is>
          <t>distn</t>
        </is>
      </c>
      <c r="C764" s="19" t="inlineStr">
        <is>
          <t>distn.cons_pc_na.dec.ove</t>
        </is>
      </c>
      <c r="H764" s="14" t="inlineStr">
        <is>
          <t>Real per-capita national accounts-adjusted consumption by decile (real 2026 LCU in year 2030)</t>
        </is>
      </c>
      <c r="I764" s="14" t="inlineStr">
        <is>
          <t>dec</t>
        </is>
      </c>
    </row>
    <row r="765">
      <c r="A765" s="14" t="inlineStr">
        <is>
          <t>distn.tot_cons_na.dec.ove</t>
        </is>
      </c>
      <c r="B765" s="3" t="inlineStr">
        <is>
          <t>distn</t>
        </is>
      </c>
      <c r="C765" s="19" t="inlineStr">
        <is>
          <t>distn.tot_cons_na.dec.ove</t>
        </is>
      </c>
      <c r="H765" s="14" t="inlineStr">
        <is>
          <t>Real total national accounts-adjusted consumption by decile (real 2026 LCU in year 2030)</t>
        </is>
      </c>
      <c r="I765" s="14" t="inlineStr">
        <is>
          <t>dec</t>
        </is>
      </c>
    </row>
    <row r="766">
      <c r="A766" s="14" t="inlineStr">
        <is>
          <t>distn.pop_tot_adj.dec.ove</t>
        </is>
      </c>
      <c r="B766" s="3" t="inlineStr">
        <is>
          <t>distn</t>
        </is>
      </c>
      <c r="C766" s="19" t="inlineStr">
        <is>
          <t>distn.pop_tot_adj.dec.ove</t>
        </is>
      </c>
      <c r="H766" s="14" t="inlineStr">
        <is>
          <t>Total population by decile (individuals in year 2030)</t>
        </is>
      </c>
      <c r="I766" s="14" t="inlineStr">
        <is>
          <t>dec</t>
        </is>
      </c>
    </row>
    <row r="767">
      <c r="A767" s="14" t="inlineStr">
        <is>
          <t>distn.pctrev_comp.dec.rur</t>
        </is>
      </c>
      <c r="B767" s="3" t="inlineStr">
        <is>
          <t>distn</t>
        </is>
      </c>
      <c r="C767" s="19" t="inlineStr">
        <is>
          <t>distn.pctrev_comp.dec.rur</t>
        </is>
      </c>
      <c r="H767" s="14" t="inlineStr">
        <is>
          <t>Share of CP Revenues to Compenate each Decile - Rural</t>
        </is>
      </c>
      <c r="I767" s="14" t="inlineStr">
        <is>
          <t>dec</t>
        </is>
      </c>
    </row>
    <row r="768">
      <c r="A768" s="14" t="inlineStr">
        <is>
          <t>distn.pctrev_comp.dec.urb</t>
        </is>
      </c>
      <c r="B768" s="3" t="inlineStr">
        <is>
          <t>distn</t>
        </is>
      </c>
      <c r="C768" s="19" t="inlineStr">
        <is>
          <t>distn.pctrev_comp.dec.urb</t>
        </is>
      </c>
      <c r="H768" s="14" t="inlineStr">
        <is>
          <t>Share of CP Revenues to Compenate each Decile - Urban</t>
        </is>
      </c>
      <c r="I768" s="14" t="inlineStr">
        <is>
          <t>dec</t>
        </is>
      </c>
    </row>
    <row r="769">
      <c r="A769" s="14" t="inlineStr">
        <is>
          <t>distn.pctrev_comp.dec.ove</t>
        </is>
      </c>
      <c r="B769" s="3" t="inlineStr">
        <is>
          <t>distn</t>
        </is>
      </c>
      <c r="C769" s="19" t="inlineStr">
        <is>
          <t>distn.pctrev_comp.dec.ove</t>
        </is>
      </c>
      <c r="H769" s="14" t="inlineStr">
        <is>
          <t>Share of CP Revenues to Compenate each Decile - Overall</t>
        </is>
      </c>
      <c r="I769" s="14" t="inlineStr">
        <is>
          <t>dec</t>
        </is>
      </c>
    </row>
    <row r="770">
      <c r="A770" s="14" t="inlineStr">
        <is>
          <t>distn.pct_gini_norec.dec.ove</t>
        </is>
      </c>
      <c r="B770" s="3" t="inlineStr">
        <is>
          <t>distn</t>
        </is>
      </c>
      <c r="C770" s="19" t="inlineStr">
        <is>
          <t>distn.pct_gini_norec.dec.ove</t>
        </is>
      </c>
      <c r="H770" s="14" t="inlineStr">
        <is>
          <t>Percent change in consumption-based Gini coefficient (% excl. recycling) - Overall</t>
        </is>
      </c>
      <c r="I770" s="14" t="inlineStr"/>
    </row>
    <row r="771">
      <c r="A771" s="14" t="inlineStr">
        <is>
          <t>distn.pct_gini_norec.dec.urb</t>
        </is>
      </c>
      <c r="B771" s="3" t="inlineStr">
        <is>
          <t>distn</t>
        </is>
      </c>
      <c r="C771" s="19" t="inlineStr">
        <is>
          <t>distn.pct_gini_norec.dec.urb</t>
        </is>
      </c>
      <c r="H771" s="14" t="inlineStr">
        <is>
          <t>Percent change in consumption-based Gini coefficient (% excl. recycling) - Urban</t>
        </is>
      </c>
      <c r="I771" s="14" t="inlineStr"/>
    </row>
    <row r="772">
      <c r="A772" s="14" t="inlineStr">
        <is>
          <t>distn.pct_gini_norec.dec.rur</t>
        </is>
      </c>
      <c r="B772" s="3" t="inlineStr">
        <is>
          <t>distn</t>
        </is>
      </c>
      <c r="C772" s="19" t="inlineStr">
        <is>
          <t>distn.pct_gini_norec.dec.rur</t>
        </is>
      </c>
      <c r="H772" s="14" t="inlineStr">
        <is>
          <t>Percent change in consumption-based Gini coefficient (% excl. recycling) - Rural</t>
        </is>
      </c>
      <c r="I772" s="14" t="inlineStr"/>
    </row>
    <row r="773">
      <c r="A773" s="14" t="inlineStr">
        <is>
          <t>distn.pct_gini_rec.dec.ove</t>
        </is>
      </c>
      <c r="B773" s="3" t="inlineStr">
        <is>
          <t>distn</t>
        </is>
      </c>
      <c r="C773" s="19" t="inlineStr">
        <is>
          <t>distn.pct_gini_rec.dec.ove</t>
        </is>
      </c>
      <c r="H773" s="14" t="inlineStr">
        <is>
          <t>Percent change in consumption-based Gini coefficient (% incl. recycling) - Overall</t>
        </is>
      </c>
      <c r="I773" s="14" t="inlineStr"/>
    </row>
    <row r="774">
      <c r="A774" s="14" t="inlineStr">
        <is>
          <t>distn.pct_gini_rec.dec.urb</t>
        </is>
      </c>
      <c r="B774" s="3" t="inlineStr">
        <is>
          <t>distn</t>
        </is>
      </c>
      <c r="C774" s="19" t="inlineStr">
        <is>
          <t>distn.pct_gini_rec.dec.urb</t>
        </is>
      </c>
      <c r="H774" s="14" t="inlineStr">
        <is>
          <t>Percent change in consumption-based Gini coefficient (% incl. recycling) - Urban</t>
        </is>
      </c>
      <c r="I774" s="14" t="inlineStr"/>
    </row>
    <row r="775">
      <c r="A775" s="14" t="inlineStr">
        <is>
          <t>distn.pct_gini_rec.dec.rur</t>
        </is>
      </c>
      <c r="B775" s="3" t="inlineStr">
        <is>
          <t>distn</t>
        </is>
      </c>
      <c r="C775" s="19" t="inlineStr">
        <is>
          <t>distn.pct_gini_rec.dec.rur</t>
        </is>
      </c>
      <c r="H775" s="14" t="inlineStr">
        <is>
          <t>Percent change in consumption-based Gini coefficient (% incl. recycling) - Rural</t>
        </is>
      </c>
      <c r="I775" s="14" t="inlineStr"/>
    </row>
    <row r="776">
      <c r="A776" s="14" t="inlineStr">
        <is>
          <t>distn.dpr.coa.res</t>
        </is>
      </c>
      <c r="B776" s="3" t="inlineStr">
        <is>
          <t>distn</t>
        </is>
      </c>
      <c r="C776" s="19" t="inlineStr">
        <is>
          <t>distn.dpr.coa.res</t>
        </is>
      </c>
      <c r="H776" s="14" t="inlineStr">
        <is>
          <t>Percent Price Increases: coal (%)</t>
        </is>
      </c>
      <c r="I776" s="14" t="inlineStr"/>
    </row>
    <row r="777">
      <c r="A777" s="14" t="inlineStr">
        <is>
          <t>distn.dpr.ely.res</t>
        </is>
      </c>
      <c r="B777" s="3" t="inlineStr">
        <is>
          <t>distn</t>
        </is>
      </c>
      <c r="C777" s="19" t="inlineStr">
        <is>
          <t>distn.dpr.ely.res</t>
        </is>
      </c>
      <c r="H777" s="14" t="inlineStr">
        <is>
          <t>Percent Price Increases: electricity (%)</t>
        </is>
      </c>
      <c r="I777" s="14" t="inlineStr"/>
    </row>
    <row r="778">
      <c r="A778" s="14" t="inlineStr">
        <is>
          <t>distn.dpr.nga.res</t>
        </is>
      </c>
      <c r="B778" s="3" t="inlineStr">
        <is>
          <t>distn</t>
        </is>
      </c>
      <c r="C778" s="19" t="inlineStr">
        <is>
          <t>distn.dpr.nga.res</t>
        </is>
      </c>
      <c r="H778" s="14" t="inlineStr">
        <is>
          <t>Percent Price Increases: natural gas (%)</t>
        </is>
      </c>
      <c r="I778" s="14" t="inlineStr"/>
    </row>
    <row r="779">
      <c r="A779" s="14" t="inlineStr">
        <is>
          <t>distn.dpr.oop.res</t>
        </is>
      </c>
      <c r="B779" s="3" t="inlineStr">
        <is>
          <t>distn</t>
        </is>
      </c>
      <c r="C779" s="19" t="inlineStr">
        <is>
          <t>distn.dpr.oop.res</t>
        </is>
      </c>
      <c r="H779" s="14" t="inlineStr">
        <is>
          <t>Percent Price Increases: oil (%)</t>
        </is>
      </c>
      <c r="I779" s="14" t="inlineStr"/>
    </row>
    <row r="780">
      <c r="A780" s="14" t="inlineStr">
        <is>
          <t>distn.dpr.gso.res</t>
        </is>
      </c>
      <c r="B780" s="3" t="inlineStr">
        <is>
          <t>distn</t>
        </is>
      </c>
      <c r="C780" s="19" t="inlineStr">
        <is>
          <t>distn.dpr.gso.res</t>
        </is>
      </c>
      <c r="H780" s="14" t="inlineStr">
        <is>
          <t>Percent Price Increases: gasoline (%)</t>
        </is>
      </c>
      <c r="I780" s="14" t="inlineStr"/>
    </row>
    <row r="781">
      <c r="A781" s="14" t="inlineStr">
        <is>
          <t>distn.dpr.die.res</t>
        </is>
      </c>
      <c r="B781" s="3" t="inlineStr">
        <is>
          <t>distn</t>
        </is>
      </c>
      <c r="C781" s="19" t="inlineStr">
        <is>
          <t>distn.dpr.die.res</t>
        </is>
      </c>
      <c r="H781" s="14" t="inlineStr">
        <is>
          <t>Percent Price Increases: diesel (%)</t>
        </is>
      </c>
      <c r="I781" s="14" t="inlineStr"/>
    </row>
    <row r="782">
      <c r="A782" s="14" t="inlineStr">
        <is>
          <t>distn.dpr.ker.res</t>
        </is>
      </c>
      <c r="B782" s="3" t="inlineStr">
        <is>
          <t>distn</t>
        </is>
      </c>
      <c r="C782" s="19" t="inlineStr">
        <is>
          <t>distn.dpr.ker.res</t>
        </is>
      </c>
      <c r="H782" s="14" t="inlineStr">
        <is>
          <t>Percent Price Increases: kerosene (%)</t>
        </is>
      </c>
      <c r="I782" s="14" t="inlineStr"/>
    </row>
    <row r="783">
      <c r="A783" s="14" t="inlineStr">
        <is>
          <t>distn.dpr.lpg.res</t>
        </is>
      </c>
      <c r="B783" s="3" t="inlineStr">
        <is>
          <t>distn</t>
        </is>
      </c>
      <c r="C783" s="19" t="inlineStr">
        <is>
          <t>distn.dpr.lpg.res</t>
        </is>
      </c>
      <c r="H783" s="14" t="inlineStr">
        <is>
          <t>Percent Price Increases: lpg (%)</t>
        </is>
      </c>
      <c r="I783" s="14" t="inlineStr"/>
    </row>
    <row r="784">
      <c r="A784" s="14" t="inlineStr">
        <is>
          <t>distn.dpr.app</t>
        </is>
      </c>
      <c r="B784" s="3" t="inlineStr">
        <is>
          <t>distn</t>
        </is>
      </c>
      <c r="C784" s="19" t="inlineStr">
        <is>
          <t>distn.dpr.app</t>
        </is>
      </c>
      <c r="H784" s="14" t="inlineStr">
        <is>
          <t>Percent Price Increases: appliances (%)</t>
        </is>
      </c>
      <c r="I784" s="14" t="inlineStr"/>
    </row>
    <row r="785">
      <c r="A785" s="14" t="inlineStr">
        <is>
          <t>distn.dpr.che</t>
        </is>
      </c>
      <c r="B785" s="3" t="inlineStr">
        <is>
          <t>distn</t>
        </is>
      </c>
      <c r="C785" s="19" t="inlineStr">
        <is>
          <t>distn.dpr.che</t>
        </is>
      </c>
      <c r="H785" s="14" t="inlineStr">
        <is>
          <t>Percent Price Increases: chemicals (%)</t>
        </is>
      </c>
      <c r="I785" s="14" t="inlineStr"/>
    </row>
    <row r="786">
      <c r="A786" s="14" t="inlineStr">
        <is>
          <t>distn.dpr.clo</t>
        </is>
      </c>
      <c r="B786" s="3" t="inlineStr">
        <is>
          <t>distn</t>
        </is>
      </c>
      <c r="C786" s="19" t="inlineStr">
        <is>
          <t>distn.dpr.clo</t>
        </is>
      </c>
      <c r="H786" s="14" t="inlineStr">
        <is>
          <t>Percent Price Increases: clothing (%)</t>
        </is>
      </c>
      <c r="I786" s="14" t="inlineStr"/>
    </row>
    <row r="787">
      <c r="A787" s="14" t="inlineStr">
        <is>
          <t>distn.dpr.com</t>
        </is>
      </c>
      <c r="B787" s="3" t="inlineStr">
        <is>
          <t>distn</t>
        </is>
      </c>
      <c r="C787" s="19" t="inlineStr">
        <is>
          <t>distn.dpr.com</t>
        </is>
      </c>
      <c r="H787" s="14" t="inlineStr">
        <is>
          <t>Percent Price Increases: communications (%)</t>
        </is>
      </c>
      <c r="I787" s="14" t="inlineStr"/>
    </row>
    <row r="788">
      <c r="A788" s="14" t="inlineStr">
        <is>
          <t>distn.dpr.edu</t>
        </is>
      </c>
      <c r="B788" s="3" t="inlineStr">
        <is>
          <t>distn</t>
        </is>
      </c>
      <c r="C788" s="19" t="inlineStr">
        <is>
          <t>distn.dpr.edu</t>
        </is>
      </c>
      <c r="H788" s="14" t="inlineStr">
        <is>
          <t>Percent Price Increases: education (%)</t>
        </is>
      </c>
      <c r="I788" s="14" t="inlineStr"/>
    </row>
    <row r="789">
      <c r="A789" s="14" t="inlineStr">
        <is>
          <t>distn.dpr.food</t>
        </is>
      </c>
      <c r="B789" s="3" t="inlineStr">
        <is>
          <t>distn</t>
        </is>
      </c>
      <c r="C789" s="19" t="inlineStr">
        <is>
          <t>distn.dpr.food</t>
        </is>
      </c>
      <c r="H789" s="14" t="inlineStr">
        <is>
          <t>Percent Price Increases: food (%)</t>
        </is>
      </c>
      <c r="I789" s="14" t="inlineStr"/>
    </row>
    <row r="790">
      <c r="A790" s="14" t="inlineStr">
        <is>
          <t>distn.dpr.hea</t>
        </is>
      </c>
      <c r="B790" s="3" t="inlineStr">
        <is>
          <t>distn</t>
        </is>
      </c>
      <c r="C790" s="19" t="inlineStr">
        <is>
          <t>distn.dpr.hea</t>
        </is>
      </c>
      <c r="H790" s="14" t="inlineStr">
        <is>
          <t>Percent Price Increases: heatlh services (%)</t>
        </is>
      </c>
      <c r="I790" s="14" t="inlineStr"/>
    </row>
    <row r="791">
      <c r="A791" s="14" t="inlineStr">
        <is>
          <t>distn.dpr.hou</t>
        </is>
      </c>
      <c r="B791" s="3" t="inlineStr">
        <is>
          <t>distn</t>
        </is>
      </c>
      <c r="C791" s="19" t="inlineStr">
        <is>
          <t>distn.dpr.hou</t>
        </is>
      </c>
      <c r="H791" s="14" t="inlineStr">
        <is>
          <t>Percent Price Increases: housing (%)</t>
        </is>
      </c>
      <c r="I791" s="14" t="inlineStr"/>
    </row>
    <row r="792">
      <c r="A792" s="14" t="inlineStr">
        <is>
          <t>distn.dpr.oth</t>
        </is>
      </c>
      <c r="B792" s="3" t="inlineStr">
        <is>
          <t>distn</t>
        </is>
      </c>
      <c r="C792" s="19" t="inlineStr">
        <is>
          <t>distn.dpr.oth</t>
        </is>
      </c>
      <c r="H792" s="14" t="inlineStr">
        <is>
          <t>Percent Price Increases: other (%)</t>
        </is>
      </c>
      <c r="I792" s="14" t="inlineStr"/>
    </row>
    <row r="793">
      <c r="A793" s="14" t="inlineStr">
        <is>
          <t>distn.dpr.pap</t>
        </is>
      </c>
      <c r="B793" s="3" t="inlineStr">
        <is>
          <t>distn</t>
        </is>
      </c>
      <c r="C793" s="19" t="inlineStr">
        <is>
          <t>distn.dpr.pap</t>
        </is>
      </c>
      <c r="H793" s="14" t="inlineStr">
        <is>
          <t>Percent Price Increases: paper (%)</t>
        </is>
      </c>
      <c r="I793" s="14" t="inlineStr"/>
    </row>
    <row r="794">
      <c r="A794" s="14" t="inlineStr">
        <is>
          <t>distn.dpr.pha</t>
        </is>
      </c>
      <c r="B794" s="3" t="inlineStr">
        <is>
          <t>distn</t>
        </is>
      </c>
      <c r="C794" s="19" t="inlineStr">
        <is>
          <t>distn.dpr.pha</t>
        </is>
      </c>
      <c r="H794" s="14" t="inlineStr">
        <is>
          <t>Percent Price Increases: pharmaceuticals (%)</t>
        </is>
      </c>
      <c r="I794" s="14" t="inlineStr"/>
    </row>
    <row r="795">
      <c r="A795" s="14" t="inlineStr">
        <is>
          <t>distn.dpr.ret</t>
        </is>
      </c>
      <c r="B795" s="3" t="inlineStr">
        <is>
          <t>distn</t>
        </is>
      </c>
      <c r="C795" s="19" t="inlineStr">
        <is>
          <t>distn.dpr.ret</t>
        </is>
      </c>
      <c r="H795" s="14" t="inlineStr">
        <is>
          <t>Percent Price Increases: recreation and tourism (%)</t>
        </is>
      </c>
      <c r="I795" s="14" t="inlineStr"/>
    </row>
    <row r="796">
      <c r="A796" s="14" t="inlineStr">
        <is>
          <t>distn.dpr.teq</t>
        </is>
      </c>
      <c r="B796" s="3" t="inlineStr">
        <is>
          <t>distn</t>
        </is>
      </c>
      <c r="C796" s="19" t="inlineStr">
        <is>
          <t>distn.dpr.teq</t>
        </is>
      </c>
      <c r="H796" s="14" t="inlineStr">
        <is>
          <t>Percent Price Increases: transportation equipment (%)</t>
        </is>
      </c>
      <c r="I796" s="14" t="inlineStr"/>
    </row>
    <row r="797">
      <c r="A797" s="14" t="inlineStr">
        <is>
          <t>distn.dpr.tpu</t>
        </is>
      </c>
      <c r="B797" s="3" t="inlineStr">
        <is>
          <t>distn</t>
        </is>
      </c>
      <c r="C797" s="19" t="inlineStr">
        <is>
          <t>distn.dpr.tpu</t>
        </is>
      </c>
      <c r="H797" s="14" t="inlineStr">
        <is>
          <t>Percent Price Increases: public transportation (%)</t>
        </is>
      </c>
      <c r="I797" s="14" t="inlineStr"/>
    </row>
    <row r="798">
      <c r="A798" s="14" t="inlineStr">
        <is>
          <t>distn.pit.tot.dec.ove</t>
        </is>
      </c>
      <c r="B798" s="3" t="inlineStr">
        <is>
          <t>distn</t>
        </is>
      </c>
      <c r="C798" s="19" t="inlineStr">
        <is>
          <t>distn.pit.tot.dec.ove</t>
        </is>
      </c>
      <c r="H798" s="14" t="inlineStr">
        <is>
          <t>Relative gains from revenue recycling on consumption deciles: labor tax reductions  (% consumption)</t>
        </is>
      </c>
      <c r="I798" s="14" t="inlineStr">
        <is>
          <t>dec</t>
        </is>
      </c>
    </row>
    <row r="799">
      <c r="A799" s="14" t="inlineStr">
        <is>
          <t>distn.pui.tot.dec.ove</t>
        </is>
      </c>
      <c r="B799" s="3" t="inlineStr">
        <is>
          <t>distn</t>
        </is>
      </c>
      <c r="C799" s="19" t="inlineStr">
        <is>
          <t>distn.pui.tot.dec.ove</t>
        </is>
      </c>
      <c r="H799" s="14" t="inlineStr">
        <is>
          <t>Relative gains from revenue recycling on consumption deciles: public investment  (% consumption)</t>
        </is>
      </c>
      <c r="I799" s="14" t="inlineStr">
        <is>
          <t>dec</t>
        </is>
      </c>
    </row>
    <row r="800">
      <c r="A800" s="14" t="inlineStr">
        <is>
          <t>distn.cts.tot.dec.ove</t>
        </is>
      </c>
      <c r="B800" s="3" t="inlineStr">
        <is>
          <t>distn</t>
        </is>
      </c>
      <c r="C800" s="19" t="inlineStr">
        <is>
          <t>distn.cts.tot.dec.ove</t>
        </is>
      </c>
      <c r="H800" s="14" t="inlineStr">
        <is>
          <t>Relative gains from revenue recycling on consumption deciles: current spending  (% consumption)</t>
        </is>
      </c>
      <c r="I800" s="14" t="inlineStr">
        <is>
          <t>dec</t>
        </is>
      </c>
    </row>
    <row r="801">
      <c r="A801" s="14" t="inlineStr">
        <is>
          <t>distn.tgt.tot.dec.ove</t>
        </is>
      </c>
      <c r="B801" s="3" t="inlineStr">
        <is>
          <t>distn</t>
        </is>
      </c>
      <c r="C801" s="19" t="inlineStr">
        <is>
          <t>distn.tgt.tot.dec.ove</t>
        </is>
      </c>
      <c r="H801" s="14" t="inlineStr">
        <is>
          <t>Relative gains from revenue recycling on consumption deciles: targeted transfer  (% consumption)</t>
        </is>
      </c>
      <c r="I801" s="14" t="inlineStr">
        <is>
          <t>dec</t>
        </is>
      </c>
    </row>
    <row r="802">
      <c r="A802" s="14" t="inlineStr">
        <is>
          <t>distn.tef.tot.dec.ove</t>
        </is>
      </c>
      <c r="B802" s="3" t="inlineStr">
        <is>
          <t>distn</t>
        </is>
      </c>
      <c r="C802" s="19" t="inlineStr">
        <is>
          <t>distn.tef.tot.dec.ove</t>
        </is>
      </c>
      <c r="H802" s="14" t="inlineStr">
        <is>
          <t>Relative price impacts on consumption deciles: total effect  (% consumption)</t>
        </is>
      </c>
      <c r="I802" s="14" t="inlineStr">
        <is>
          <t>dec</t>
        </is>
      </c>
    </row>
    <row r="803">
      <c r="A803" s="14" t="inlineStr">
        <is>
          <t>distn.YearDistn</t>
        </is>
      </c>
      <c r="B803" s="3" t="inlineStr">
        <is>
          <t>distn</t>
        </is>
      </c>
      <c r="C803" s="19" t="inlineStr">
        <is>
          <t>year</t>
        </is>
      </c>
      <c r="H803" s="14" t="inlineStr">
        <is>
          <t>Distributional analysis year</t>
        </is>
      </c>
      <c r="I803" s="14" t="inlineStr"/>
    </row>
    <row r="804">
      <c r="A804" s="14" t="inlineStr">
        <is>
          <t>distn.QuantilesStatistic</t>
        </is>
      </c>
      <c r="B804" s="3" t="inlineStr">
        <is>
          <t>distn</t>
        </is>
      </c>
      <c r="C804" s="19" t="inlineStr">
        <is>
          <t>stat</t>
        </is>
      </c>
      <c r="H804" s="14" t="inlineStr">
        <is>
          <t>Distributional impacts on average, p25, p75, median</t>
        </is>
      </c>
      <c r="I804" s="14" t="inlineStr"/>
    </row>
    <row r="805">
      <c r="A805" s="5" t="n"/>
      <c r="B805" s="18" t="inlineStr">
        <is>
          <t>Gains from revenue recycling</t>
        </is>
      </c>
      <c r="C805" s="5" t="n"/>
      <c r="D805" s="5" t="n"/>
      <c r="E805" s="5" t="n"/>
      <c r="F805" s="5" t="n"/>
      <c r="G805" s="5" t="n"/>
      <c r="H805" s="5" t="n"/>
      <c r="I805" s="5" t="n"/>
      <c r="J805" s="5" t="n"/>
      <c r="K805" s="5" t="n"/>
      <c r="L805" s="5" t="n"/>
      <c r="M805" s="5" t="n"/>
      <c r="N805" s="5" t="n"/>
      <c r="O805" s="5" t="n"/>
      <c r="P805" s="5" t="n"/>
      <c r="Q805" s="5" t="n"/>
      <c r="R805" s="5" t="n"/>
      <c r="S805" s="5" t="n"/>
      <c r="T805" s="5" t="n"/>
      <c r="U805" s="5" t="n"/>
      <c r="V805" s="5" t="n"/>
      <c r="W805" s="5" t="n"/>
      <c r="X805" s="5" t="n"/>
      <c r="Y805" s="5" t="n"/>
      <c r="Z805" s="5" t="n"/>
      <c r="AA805" s="5" t="n"/>
      <c r="AB805" s="5" t="n"/>
      <c r="AC805" s="5" t="n"/>
      <c r="AD805" s="5" t="n"/>
      <c r="AE805" s="5" t="n"/>
      <c r="AF805" s="5" t="n"/>
      <c r="AG805" s="5" t="n"/>
      <c r="AH805" s="5" t="n"/>
      <c r="AI805" s="5" t="n"/>
      <c r="AJ805" s="5" t="n"/>
      <c r="AK805" s="5" t="n"/>
      <c r="AL805" s="5" t="n"/>
      <c r="AM805" s="5" t="n"/>
      <c r="AN805" s="5" t="n"/>
      <c r="AO805" s="5" t="n"/>
      <c r="AP805" s="5" t="n"/>
      <c r="AQ805" s="5" t="n"/>
      <c r="AR805" s="5" t="n"/>
      <c r="AS805" s="5" t="n"/>
      <c r="AT805" s="5" t="n"/>
      <c r="AU805" s="5" t="n"/>
      <c r="AV805" s="5" t="n"/>
      <c r="AW805" s="5" t="n"/>
      <c r="AX805" s="5" t="n"/>
      <c r="AY805" s="5" t="n"/>
      <c r="AZ805" s="5" t="n"/>
      <c r="BA805" s="5" t="n"/>
      <c r="BB805" s="5" t="n"/>
      <c r="BC805" s="5" t="n"/>
      <c r="BD805" s="5" t="n"/>
      <c r="BE805" s="5" t="n"/>
      <c r="BF805" s="5" t="n"/>
      <c r="BG805" s="5" t="n"/>
      <c r="BH805" s="5" t="n"/>
      <c r="BI805" s="5" t="n"/>
      <c r="BJ805" s="5" t="n"/>
      <c r="BK805" s="5" t="n"/>
      <c r="BL805" s="5" t="n"/>
      <c r="BM805" s="5" t="n"/>
      <c r="BN805" s="5" t="n"/>
      <c r="BO805" s="5" t="n"/>
      <c r="BP805" s="5" t="n"/>
      <c r="BQ805" s="5" t="n"/>
      <c r="BR805" s="5" t="n"/>
      <c r="BS805" s="5" t="n"/>
      <c r="BT805" s="5" t="n"/>
      <c r="BU805" s="5" t="n"/>
      <c r="BV805" s="5" t="n"/>
      <c r="BW805" s="5" t="n"/>
      <c r="BX805" s="5" t="n"/>
      <c r="BY805" s="5" t="n"/>
      <c r="BZ805" s="5" t="n"/>
      <c r="CA805" s="5" t="n"/>
      <c r="CB805" s="5" t="n"/>
      <c r="CC805" s="5" t="n"/>
      <c r="CD805" s="5" t="n"/>
      <c r="CE805" s="5" t="n"/>
      <c r="CF805" s="5" t="n"/>
      <c r="CG805" s="5" t="n"/>
      <c r="CH805" s="5" t="n"/>
      <c r="CI805" s="5" t="n"/>
      <c r="CJ805" s="5" t="n"/>
      <c r="CK805" s="5" t="n"/>
      <c r="CL805" s="5" t="n"/>
      <c r="CM805" s="5" t="n"/>
      <c r="CN805" s="5" t="n"/>
      <c r="CO805" s="5" t="n"/>
      <c r="CP805" s="5" t="n"/>
      <c r="CQ805" s="5" t="n"/>
      <c r="CR805" s="5" t="n"/>
      <c r="CS805" s="5" t="n"/>
      <c r="CT805" s="5" t="n"/>
      <c r="CU805" s="5" t="n"/>
      <c r="CV805" s="5" t="n"/>
      <c r="CW805" s="5" t="n"/>
      <c r="CX805" s="5" t="n"/>
      <c r="CY805" s="5" t="n"/>
      <c r="CZ805" s="5" t="n"/>
      <c r="DA805" s="5" t="n"/>
      <c r="DB805" s="5" t="n"/>
      <c r="DC805" s="5" t="n"/>
      <c r="DD805" s="5" t="n"/>
      <c r="DE805" s="5" t="n"/>
      <c r="DF805" s="5" t="n"/>
      <c r="DG805" s="5" t="n"/>
      <c r="DH805" s="5" t="n"/>
      <c r="DI805" s="5" t="n"/>
      <c r="DJ805" s="5" t="n"/>
      <c r="DK805" s="5" t="n"/>
      <c r="DL805" s="5" t="n"/>
      <c r="DM805" s="5" t="n"/>
      <c r="DN805" s="5" t="n"/>
      <c r="DO805" s="5" t="n"/>
      <c r="DP805" s="5" t="n"/>
      <c r="DQ805" s="5" t="n"/>
      <c r="DR805" s="5" t="n"/>
      <c r="DS805" s="5" t="n"/>
      <c r="DT805" s="5" t="n"/>
      <c r="DU805" s="5" t="n"/>
      <c r="DV805" s="5" t="n"/>
      <c r="DW805" s="5" t="n"/>
      <c r="DX805" s="5" t="n"/>
      <c r="DY805" s="5" t="n"/>
      <c r="DZ805" s="5" t="n"/>
      <c r="EA805" s="5" t="n"/>
      <c r="EB805" s="5" t="n"/>
      <c r="EC805" s="5" t="n"/>
      <c r="ED805" s="5" t="n"/>
      <c r="EE805" s="5" t="n"/>
      <c r="EF805" s="5" t="n"/>
      <c r="EG805" s="5" t="n"/>
      <c r="EH805" s="5" t="n"/>
      <c r="EI805" s="5" t="n"/>
      <c r="EJ805" s="5" t="n"/>
      <c r="EK805" s="5" t="n"/>
      <c r="EL805" s="5" t="n"/>
      <c r="EM805" s="5" t="n"/>
      <c r="EN805" s="5" t="n"/>
      <c r="EO805" s="5" t="n"/>
      <c r="EP805" s="5" t="n"/>
      <c r="EQ805" s="5" t="n"/>
      <c r="ER805" s="5" t="n"/>
      <c r="ES805" s="5" t="n"/>
      <c r="ET805" s="5" t="n"/>
      <c r="EU805" s="5" t="n"/>
      <c r="EV805" s="5" t="n"/>
      <c r="EW805" s="5" t="n"/>
      <c r="EX805" s="5" t="n"/>
      <c r="EY805" s="5" t="n"/>
      <c r="EZ805" s="5" t="n"/>
      <c r="FA805" s="5" t="n"/>
      <c r="FB805" s="5" t="n"/>
      <c r="FC805" s="5" t="n"/>
      <c r="FD805" s="5" t="n"/>
      <c r="FE805" s="5" t="n"/>
      <c r="FF805" s="5" t="n"/>
      <c r="FG805" s="5" t="n"/>
      <c r="FH805" s="5" t="n"/>
      <c r="FI805" s="5" t="n"/>
      <c r="FJ805" s="5" t="n"/>
      <c r="FK805" s="5" t="n"/>
      <c r="FL805" s="5" t="n"/>
      <c r="FM805" s="5" t="n"/>
      <c r="FN805" s="5" t="n"/>
      <c r="FO805" s="5" t="n"/>
      <c r="FP805" s="5" t="n"/>
      <c r="FQ805" s="5" t="n"/>
      <c r="FR805" s="5" t="n"/>
      <c r="FS805" s="5" t="n"/>
      <c r="FT805" s="5" t="n"/>
      <c r="FU805" s="5" t="n"/>
      <c r="FV805" s="5" t="n"/>
      <c r="FW805" s="5" t="n"/>
      <c r="FX805" s="5" t="n"/>
      <c r="FY805" s="5" t="n"/>
      <c r="FZ805" s="5" t="n"/>
      <c r="GA805" s="5" t="n"/>
      <c r="GB805" s="5" t="n"/>
      <c r="GC805" s="5" t="n"/>
      <c r="GD805" s="5" t="n"/>
      <c r="GE805" s="5" t="n"/>
      <c r="GF805" s="5" t="n"/>
      <c r="GG805" s="5" t="n"/>
      <c r="GH805" s="5" t="n"/>
      <c r="GI805" s="5" t="n"/>
      <c r="GJ805" s="5" t="n"/>
      <c r="GK805" s="5" t="n"/>
      <c r="GL805" s="5" t="n"/>
      <c r="GM805" s="5" t="n"/>
      <c r="GN805" s="5" t="n"/>
      <c r="GO805" s="5" t="n"/>
      <c r="GP805" s="5" t="n"/>
      <c r="GQ805" s="5" t="n"/>
      <c r="GR805" s="5" t="n"/>
      <c r="GS805" s="5" t="n"/>
      <c r="GT805" s="5" t="n"/>
      <c r="GU805" s="5" t="n"/>
      <c r="GV805" s="5" t="n"/>
      <c r="GW805" s="5" t="n"/>
      <c r="GX805" s="5" t="n"/>
      <c r="GY805" s="5" t="n"/>
      <c r="GZ805" s="5" t="n"/>
      <c r="HA805" s="5" t="n"/>
      <c r="HB805" s="5" t="n"/>
      <c r="HC805" s="5" t="n"/>
      <c r="HD805" s="5" t="n"/>
      <c r="HE805" s="5" t="n"/>
      <c r="HF805" s="5" t="n"/>
      <c r="HG805" s="5" t="n"/>
      <c r="HH805" s="5" t="n"/>
      <c r="HI805" s="5" t="n"/>
      <c r="HJ805" s="5" t="n"/>
      <c r="HK805" s="5" t="n"/>
      <c r="HL805" s="5" t="n"/>
      <c r="HM805" s="5" t="n"/>
      <c r="HN805" s="5" t="n"/>
      <c r="HO805" s="5" t="n"/>
      <c r="HP805" s="5" t="n"/>
      <c r="HQ805" s="5" t="n"/>
      <c r="HR805" s="5" t="n"/>
      <c r="HS805" s="5" t="n"/>
      <c r="HT805" s="5" t="n"/>
      <c r="HU805" s="5" t="n"/>
      <c r="HV805" s="5" t="n"/>
    </row>
    <row r="806">
      <c r="A806" s="14" t="inlineStr">
        <is>
          <t>distn.pit.tot.dec.ove</t>
        </is>
      </c>
      <c r="B806" s="3" t="inlineStr">
        <is>
          <t>distn</t>
        </is>
      </c>
      <c r="C806" s="19" t="inlineStr">
        <is>
          <t>distn.pit.tot.dec.ove.mean</t>
        </is>
      </c>
      <c r="H806" s="14" t="inlineStr">
        <is>
          <t>PIT reductions (Personal Allowance)</t>
        </is>
      </c>
      <c r="I806" s="14" t="inlineStr">
        <is>
          <t>dec</t>
        </is>
      </c>
    </row>
    <row r="807">
      <c r="A807" s="14" t="inlineStr">
        <is>
          <t>distn.pui.tot.dec.ove</t>
        </is>
      </c>
      <c r="B807" s="3" t="inlineStr">
        <is>
          <t>distn</t>
        </is>
      </c>
      <c r="C807" s="19" t="inlineStr">
        <is>
          <t>distn.pui.tot.dec.ove.mean</t>
        </is>
      </c>
      <c r="H807" s="14" t="inlineStr">
        <is>
          <t>Public Investment (All Infr.)</t>
        </is>
      </c>
      <c r="I807" s="14" t="inlineStr">
        <is>
          <t>dec</t>
        </is>
      </c>
    </row>
    <row r="808">
      <c r="A808" s="14" t="inlineStr">
        <is>
          <t>distn.cts.tot.dec.ove</t>
        </is>
      </c>
      <c r="B808" s="3" t="inlineStr">
        <is>
          <t>distn</t>
        </is>
      </c>
      <c r="C808" s="19" t="inlineStr">
        <is>
          <t>distn.cts.tot.dec.ove.mean</t>
        </is>
      </c>
      <c r="H808" s="14" t="inlineStr">
        <is>
          <t>Current Spending (All Social Protection and Labor)</t>
        </is>
      </c>
      <c r="I808" s="14" t="inlineStr">
        <is>
          <t>dec</t>
        </is>
      </c>
    </row>
    <row r="809">
      <c r="A809" s="14" t="inlineStr">
        <is>
          <t>distn.tgt.tot.dec.ove</t>
        </is>
      </c>
      <c r="B809" s="3" t="inlineStr">
        <is>
          <t>distn</t>
        </is>
      </c>
      <c r="C809" s="19" t="inlineStr">
        <is>
          <t>distn.tgt.tot.dec.ove.mean</t>
        </is>
      </c>
      <c r="H809" s="14" t="inlineStr">
        <is>
          <t>Targeted Transfer (Cash)</t>
        </is>
      </c>
      <c r="I809" s="14" t="inlineStr">
        <is>
          <t>dec</t>
        </is>
      </c>
    </row>
    <row r="810">
      <c r="A810" s="14" t="inlineStr">
        <is>
          <t>distn.rec.tot.dec.ove</t>
        </is>
      </c>
      <c r="B810" s="3" t="inlineStr">
        <is>
          <t>distn</t>
        </is>
      </c>
      <c r="C810" s="19" t="inlineStr">
        <is>
          <t>distn.rec.tot.dec.ove.mean</t>
        </is>
      </c>
      <c r="H810" s="14" t="inlineStr">
        <is>
          <t>Total Recycled - Overall</t>
        </is>
      </c>
      <c r="I810" s="14" t="inlineStr">
        <is>
          <t>dec</t>
        </is>
      </c>
    </row>
    <row r="811">
      <c r="A811" s="14" t="inlineStr">
        <is>
          <t>distn.pit.tot.dec.rur</t>
        </is>
      </c>
      <c r="B811" s="3" t="inlineStr">
        <is>
          <t>distn</t>
        </is>
      </c>
      <c r="C811" s="19" t="inlineStr">
        <is>
          <t>distn.pit.tot.dec.rur.mean</t>
        </is>
      </c>
      <c r="H811" s="14" t="inlineStr">
        <is>
          <t>Rural: PIT reductions (Personal Allowance)</t>
        </is>
      </c>
      <c r="I811" s="14" t="inlineStr">
        <is>
          <t>dec</t>
        </is>
      </c>
    </row>
    <row r="812">
      <c r="A812" s="14" t="inlineStr">
        <is>
          <t>distn.pui.tot.dec.rur</t>
        </is>
      </c>
      <c r="B812" s="3" t="inlineStr">
        <is>
          <t>distn</t>
        </is>
      </c>
      <c r="C812" s="19" t="inlineStr">
        <is>
          <t>distn.pui.tot.dec.rur.mean</t>
        </is>
      </c>
      <c r="H812" s="14" t="inlineStr">
        <is>
          <t>Rural: Public Investment (All Infr.)</t>
        </is>
      </c>
      <c r="I812" s="14" t="inlineStr">
        <is>
          <t>dec</t>
        </is>
      </c>
    </row>
    <row r="813">
      <c r="A813" s="14" t="inlineStr">
        <is>
          <t>distn.cts.tot.dec.rur</t>
        </is>
      </c>
      <c r="B813" s="3" t="inlineStr">
        <is>
          <t>distn</t>
        </is>
      </c>
      <c r="C813" s="19" t="inlineStr">
        <is>
          <t>distn.cts.tot.dec.rur.mean</t>
        </is>
      </c>
      <c r="H813" s="14" t="inlineStr">
        <is>
          <t>Rural: Current Spending (All Social Protection and Labor)</t>
        </is>
      </c>
      <c r="I813" s="14" t="inlineStr">
        <is>
          <t>dec</t>
        </is>
      </c>
    </row>
    <row r="814">
      <c r="A814" s="14" t="inlineStr">
        <is>
          <t>distn.tgt.tot.dec.rur</t>
        </is>
      </c>
      <c r="B814" s="3" t="inlineStr">
        <is>
          <t>distn</t>
        </is>
      </c>
      <c r="C814" s="19" t="inlineStr">
        <is>
          <t>distn.tgt.tot.dec.rur.mean</t>
        </is>
      </c>
      <c r="H814" s="14" t="inlineStr">
        <is>
          <t>Rural: Targeted Transfer (Cash)</t>
        </is>
      </c>
      <c r="I814" s="14" t="inlineStr">
        <is>
          <t>dec</t>
        </is>
      </c>
    </row>
    <row r="815">
      <c r="A815" s="14" t="inlineStr">
        <is>
          <t>distn.rec.tot.dec.rur</t>
        </is>
      </c>
      <c r="B815" s="3" t="inlineStr">
        <is>
          <t>distn</t>
        </is>
      </c>
      <c r="C815" s="19" t="inlineStr">
        <is>
          <t>distn.rec.tot.dec.rur.mean</t>
        </is>
      </c>
      <c r="H815" s="14" t="inlineStr">
        <is>
          <t>Total Recycled - Rural</t>
        </is>
      </c>
      <c r="I815" s="14" t="inlineStr">
        <is>
          <t>dec</t>
        </is>
      </c>
    </row>
    <row r="816">
      <c r="A816" s="14" t="inlineStr">
        <is>
          <t>distn.pit.tot.dec.urb</t>
        </is>
      </c>
      <c r="B816" s="3" t="inlineStr">
        <is>
          <t>distn</t>
        </is>
      </c>
      <c r="C816" s="19" t="inlineStr">
        <is>
          <t>distn.pit.tot.dec.urb.mean</t>
        </is>
      </c>
      <c r="H816" s="14" t="inlineStr">
        <is>
          <t>Urban: PIT reductions (Personal Allowance)</t>
        </is>
      </c>
      <c r="I816" s="14" t="inlineStr">
        <is>
          <t>dec</t>
        </is>
      </c>
    </row>
    <row r="817">
      <c r="A817" s="14" t="inlineStr">
        <is>
          <t>distn.pui.tot.dec.urb</t>
        </is>
      </c>
      <c r="B817" s="3" t="inlineStr">
        <is>
          <t>distn</t>
        </is>
      </c>
      <c r="C817" s="19" t="inlineStr">
        <is>
          <t>distn.pui.tot.dec.urb.mean</t>
        </is>
      </c>
      <c r="H817" s="14" t="inlineStr">
        <is>
          <t>Urban: Public Investment (All Infr.)</t>
        </is>
      </c>
      <c r="I817" s="14" t="inlineStr">
        <is>
          <t>dec</t>
        </is>
      </c>
    </row>
    <row r="818">
      <c r="A818" s="14" t="inlineStr">
        <is>
          <t>distn.cts.tot.dec.urb</t>
        </is>
      </c>
      <c r="B818" s="3" t="inlineStr">
        <is>
          <t>distn</t>
        </is>
      </c>
      <c r="C818" s="19" t="inlineStr">
        <is>
          <t>distn.cts.tot.dec.urb.mean</t>
        </is>
      </c>
      <c r="H818" s="14" t="inlineStr">
        <is>
          <t>Urban: Current Spending (All Social Protection and Labor)</t>
        </is>
      </c>
      <c r="I818" s="14" t="inlineStr">
        <is>
          <t>dec</t>
        </is>
      </c>
    </row>
    <row r="819">
      <c r="A819" s="14" t="inlineStr">
        <is>
          <t>distn.tgt.tot.dec.urb</t>
        </is>
      </c>
      <c r="B819" s="3" t="inlineStr">
        <is>
          <t>distn</t>
        </is>
      </c>
      <c r="C819" s="19" t="inlineStr">
        <is>
          <t>distn.tgt.tot.dec.urb.mean</t>
        </is>
      </c>
      <c r="H819" s="14" t="inlineStr">
        <is>
          <t>Urban: Targeted Transfer (Cash)</t>
        </is>
      </c>
      <c r="I819" s="14" t="inlineStr">
        <is>
          <t>dec</t>
        </is>
      </c>
    </row>
    <row r="820">
      <c r="A820" s="14" t="inlineStr">
        <is>
          <t>distn.rec.tot.dec.urb</t>
        </is>
      </c>
      <c r="B820" s="3" t="inlineStr">
        <is>
          <t>distn</t>
        </is>
      </c>
      <c r="C820" s="19" t="inlineStr">
        <is>
          <t>distn.rec.tot.dec.urb.mean</t>
        </is>
      </c>
      <c r="H820" s="14" t="inlineStr">
        <is>
          <t>Total Recycled - Urban</t>
        </is>
      </c>
      <c r="I820" s="14" t="inlineStr">
        <is>
          <t>dec</t>
        </is>
      </c>
    </row>
    <row r="821">
      <c r="A821" s="5" t="n"/>
      <c r="B821" s="18" t="inlineStr">
        <is>
          <t>Direct and indirect price changes: by aggregated CPAT non-fuel consumption category</t>
        </is>
      </c>
      <c r="C821" s="5" t="n"/>
      <c r="D821" s="5" t="n"/>
      <c r="E821" s="5" t="n"/>
      <c r="F821" s="5" t="n"/>
      <c r="G821" s="5" t="n"/>
      <c r="H821" s="5" t="n"/>
      <c r="I821" s="5" t="n"/>
      <c r="J821" s="5" t="n"/>
      <c r="K821" s="5" t="n"/>
      <c r="L821" s="5" t="n"/>
      <c r="M821" s="5" t="n"/>
      <c r="N821" s="5" t="n"/>
      <c r="O821" s="5" t="n"/>
      <c r="P821" s="5" t="n"/>
      <c r="Q821" s="5" t="n"/>
      <c r="R821" s="5" t="n"/>
      <c r="S821" s="5" t="n"/>
      <c r="T821" s="5" t="n"/>
      <c r="U821" s="5" t="n"/>
      <c r="V821" s="5" t="n"/>
      <c r="W821" s="5" t="n"/>
      <c r="X821" s="5" t="n"/>
      <c r="Y821" s="5" t="n"/>
      <c r="Z821" s="5" t="n"/>
      <c r="AA821" s="5" t="n"/>
      <c r="AB821" s="5" t="n"/>
      <c r="AC821" s="5" t="n"/>
      <c r="AD821" s="5" t="n"/>
      <c r="AE821" s="5" t="n"/>
      <c r="AF821" s="5" t="n"/>
      <c r="AG821" s="5" t="n"/>
      <c r="AH821" s="5" t="n"/>
      <c r="AI821" s="5" t="n"/>
      <c r="AJ821" s="5" t="n"/>
      <c r="AK821" s="5" t="n"/>
      <c r="AL821" s="5" t="n"/>
      <c r="AM821" s="5" t="n"/>
      <c r="AN821" s="5" t="n"/>
      <c r="AO821" s="5" t="n"/>
      <c r="AP821" s="5" t="n"/>
      <c r="AQ821" s="5" t="n"/>
      <c r="AR821" s="5" t="n"/>
      <c r="AS821" s="5" t="n"/>
      <c r="AT821" s="5" t="n"/>
      <c r="AU821" s="5" t="n"/>
      <c r="AV821" s="5" t="n"/>
      <c r="AW821" s="5" t="n"/>
      <c r="AX821" s="5" t="n"/>
      <c r="AY821" s="5" t="n"/>
      <c r="AZ821" s="5" t="n"/>
      <c r="BA821" s="5" t="n"/>
      <c r="BB821" s="5" t="n"/>
      <c r="BC821" s="5" t="n"/>
      <c r="BD821" s="5" t="n"/>
      <c r="BE821" s="5" t="n"/>
      <c r="BF821" s="5" t="n"/>
      <c r="BG821" s="5" t="n"/>
      <c r="BH821" s="5" t="n"/>
      <c r="BI821" s="5" t="n"/>
      <c r="BJ821" s="5" t="n"/>
      <c r="BK821" s="5" t="n"/>
      <c r="BL821" s="5" t="n"/>
      <c r="BM821" s="5" t="n"/>
      <c r="BN821" s="5" t="n"/>
      <c r="BO821" s="5" t="n"/>
      <c r="BP821" s="5" t="n"/>
      <c r="BQ821" s="5" t="n"/>
      <c r="BR821" s="5" t="n"/>
      <c r="BS821" s="5" t="n"/>
      <c r="BT821" s="5" t="n"/>
      <c r="BU821" s="5" t="n"/>
      <c r="BV821" s="5" t="n"/>
      <c r="BW821" s="5" t="n"/>
      <c r="BX821" s="5" t="n"/>
      <c r="BY821" s="5" t="n"/>
      <c r="BZ821" s="5" t="n"/>
      <c r="CA821" s="5" t="n"/>
      <c r="CB821" s="5" t="n"/>
      <c r="CC821" s="5" t="n"/>
      <c r="CD821" s="5" t="n"/>
      <c r="CE821" s="5" t="n"/>
      <c r="CF821" s="5" t="n"/>
      <c r="CG821" s="5" t="n"/>
      <c r="CH821" s="5" t="n"/>
      <c r="CI821" s="5" t="n"/>
      <c r="CJ821" s="5" t="n"/>
      <c r="CK821" s="5" t="n"/>
      <c r="CL821" s="5" t="n"/>
      <c r="CM821" s="5" t="n"/>
      <c r="CN821" s="5" t="n"/>
      <c r="CO821" s="5" t="n"/>
      <c r="CP821" s="5" t="n"/>
      <c r="CQ821" s="5" t="n"/>
      <c r="CR821" s="5" t="n"/>
      <c r="CS821" s="5" t="n"/>
      <c r="CT821" s="5" t="n"/>
      <c r="CU821" s="5" t="n"/>
      <c r="CV821" s="5" t="n"/>
      <c r="CW821" s="5" t="n"/>
      <c r="CX821" s="5" t="n"/>
      <c r="CY821" s="5" t="n"/>
      <c r="CZ821" s="5" t="n"/>
      <c r="DA821" s="5" t="n"/>
      <c r="DB821" s="5" t="n"/>
      <c r="DC821" s="5" t="n"/>
      <c r="DD821" s="5" t="n"/>
      <c r="DE821" s="5" t="n"/>
      <c r="DF821" s="5" t="n"/>
      <c r="DG821" s="5" t="n"/>
      <c r="DH821" s="5" t="n"/>
      <c r="DI821" s="5" t="n"/>
      <c r="DJ821" s="5" t="n"/>
      <c r="DK821" s="5" t="n"/>
      <c r="DL821" s="5" t="n"/>
      <c r="DM821" s="5" t="n"/>
      <c r="DN821" s="5" t="n"/>
      <c r="DO821" s="5" t="n"/>
      <c r="DP821" s="5" t="n"/>
      <c r="DQ821" s="5" t="n"/>
      <c r="DR821" s="5" t="n"/>
      <c r="DS821" s="5" t="n"/>
      <c r="DT821" s="5" t="n"/>
      <c r="DU821" s="5" t="n"/>
      <c r="DV821" s="5" t="n"/>
      <c r="DW821" s="5" t="n"/>
      <c r="DX821" s="5" t="n"/>
      <c r="DY821" s="5" t="n"/>
      <c r="DZ821" s="5" t="n"/>
      <c r="EA821" s="5" t="n"/>
      <c r="EB821" s="5" t="n"/>
      <c r="EC821" s="5" t="n"/>
      <c r="ED821" s="5" t="n"/>
      <c r="EE821" s="5" t="n"/>
      <c r="EF821" s="5" t="n"/>
      <c r="EG821" s="5" t="n"/>
      <c r="EH821" s="5" t="n"/>
      <c r="EI821" s="5" t="n"/>
      <c r="EJ821" s="5" t="n"/>
      <c r="EK821" s="5" t="n"/>
      <c r="EL821" s="5" t="n"/>
      <c r="EM821" s="5" t="n"/>
      <c r="EN821" s="5" t="n"/>
      <c r="EO821" s="5" t="n"/>
      <c r="EP821" s="5" t="n"/>
      <c r="EQ821" s="5" t="n"/>
      <c r="ER821" s="5" t="n"/>
      <c r="ES821" s="5" t="n"/>
      <c r="ET821" s="5" t="n"/>
      <c r="EU821" s="5" t="n"/>
      <c r="EV821" s="5" t="n"/>
      <c r="EW821" s="5" t="n"/>
      <c r="EX821" s="5" t="n"/>
      <c r="EY821" s="5" t="n"/>
      <c r="EZ821" s="5" t="n"/>
      <c r="FA821" s="5" t="n"/>
      <c r="FB821" s="5" t="n"/>
      <c r="FC821" s="5" t="n"/>
      <c r="FD821" s="5" t="n"/>
      <c r="FE821" s="5" t="n"/>
      <c r="FF821" s="5" t="n"/>
      <c r="FG821" s="5" t="n"/>
      <c r="FH821" s="5" t="n"/>
      <c r="FI821" s="5" t="n"/>
      <c r="FJ821" s="5" t="n"/>
      <c r="FK821" s="5" t="n"/>
      <c r="FL821" s="5" t="n"/>
      <c r="FM821" s="5" t="n"/>
      <c r="FN821" s="5" t="n"/>
      <c r="FO821" s="5" t="n"/>
      <c r="FP821" s="5" t="n"/>
      <c r="FQ821" s="5" t="n"/>
      <c r="FR821" s="5" t="n"/>
      <c r="FS821" s="5" t="n"/>
      <c r="FT821" s="5" t="n"/>
      <c r="FU821" s="5" t="n"/>
      <c r="FV821" s="5" t="n"/>
      <c r="FW821" s="5" t="n"/>
      <c r="FX821" s="5" t="n"/>
      <c r="FY821" s="5" t="n"/>
      <c r="FZ821" s="5" t="n"/>
      <c r="GA821" s="5" t="n"/>
      <c r="GB821" s="5" t="n"/>
      <c r="GC821" s="5" t="n"/>
      <c r="GD821" s="5" t="n"/>
      <c r="GE821" s="5" t="n"/>
      <c r="GF821" s="5" t="n"/>
      <c r="GG821" s="5" t="n"/>
      <c r="GH821" s="5" t="n"/>
      <c r="GI821" s="5" t="n"/>
      <c r="GJ821" s="5" t="n"/>
      <c r="GK821" s="5" t="n"/>
      <c r="GL821" s="5" t="n"/>
      <c r="GM821" s="5" t="n"/>
      <c r="GN821" s="5" t="n"/>
      <c r="GO821" s="5" t="n"/>
      <c r="GP821" s="5" t="n"/>
      <c r="GQ821" s="5" t="n"/>
      <c r="GR821" s="5" t="n"/>
      <c r="GS821" s="5" t="n"/>
      <c r="GT821" s="5" t="n"/>
      <c r="GU821" s="5" t="n"/>
      <c r="GV821" s="5" t="n"/>
      <c r="GW821" s="5" t="n"/>
      <c r="GX821" s="5" t="n"/>
      <c r="GY821" s="5" t="n"/>
      <c r="GZ821" s="5" t="n"/>
      <c r="HA821" s="5" t="n"/>
      <c r="HB821" s="5" t="n"/>
      <c r="HC821" s="5" t="n"/>
      <c r="HD821" s="5" t="n"/>
      <c r="HE821" s="5" t="n"/>
      <c r="HF821" s="5" t="n"/>
      <c r="HG821" s="5" t="n"/>
      <c r="HH821" s="5" t="n"/>
      <c r="HI821" s="5" t="n"/>
      <c r="HJ821" s="5" t="n"/>
      <c r="HK821" s="5" t="n"/>
      <c r="HL821" s="5" t="n"/>
      <c r="HM821" s="5" t="n"/>
      <c r="HN821" s="5" t="n"/>
      <c r="HO821" s="5" t="n"/>
      <c r="HP821" s="5" t="n"/>
      <c r="HQ821" s="5" t="n"/>
      <c r="HR821" s="5" t="n"/>
      <c r="HS821" s="5" t="n"/>
      <c r="HT821" s="5" t="n"/>
      <c r="HU821" s="5" t="n"/>
      <c r="HV821" s="5" t="n"/>
    </row>
    <row r="822">
      <c r="A822" s="14" t="inlineStr">
        <is>
          <t>distn.dpr.food</t>
        </is>
      </c>
      <c r="B822" s="3" t="inlineStr">
        <is>
          <t>distn</t>
        </is>
      </c>
      <c r="C822" s="19" t="inlineStr">
        <is>
          <t>distn.dpr.food</t>
        </is>
      </c>
      <c r="H822" s="14" t="inlineStr">
        <is>
          <t>food</t>
        </is>
      </c>
      <c r="I822" s="14" t="inlineStr"/>
    </row>
    <row r="823">
      <c r="A823" s="14" t="inlineStr">
        <is>
          <t>distn.dpr.edu</t>
        </is>
      </c>
      <c r="B823" s="3" t="inlineStr">
        <is>
          <t>distn</t>
        </is>
      </c>
      <c r="C823" s="19" t="inlineStr">
        <is>
          <t>distn.dpr.edu</t>
        </is>
      </c>
      <c r="H823" s="14" t="inlineStr">
        <is>
          <t>edu</t>
        </is>
      </c>
      <c r="I823" s="14" t="inlineStr"/>
    </row>
    <row r="824">
      <c r="A824" s="14" t="inlineStr">
        <is>
          <t>distn.dpr.hea</t>
        </is>
      </c>
      <c r="B824" s="3" t="inlineStr">
        <is>
          <t>distn</t>
        </is>
      </c>
      <c r="C824" s="19" t="inlineStr">
        <is>
          <t>distn.dpr.hea</t>
        </is>
      </c>
      <c r="H824" s="14" t="inlineStr">
        <is>
          <t>hea</t>
        </is>
      </c>
      <c r="I824" s="14" t="inlineStr"/>
    </row>
    <row r="825">
      <c r="A825" s="14" t="inlineStr">
        <is>
          <t>distn.dpr.clo</t>
        </is>
      </c>
      <c r="B825" s="3" t="inlineStr">
        <is>
          <t>distn</t>
        </is>
      </c>
      <c r="C825" s="19" t="inlineStr">
        <is>
          <t>distn.dpr.clo</t>
        </is>
      </c>
      <c r="H825" s="14" t="inlineStr">
        <is>
          <t>clo</t>
        </is>
      </c>
      <c r="I825" s="14" t="inlineStr"/>
    </row>
    <row r="826">
      <c r="A826" s="14" t="inlineStr">
        <is>
          <t>distn.dpr.hou</t>
        </is>
      </c>
      <c r="B826" s="3" t="inlineStr">
        <is>
          <t>distn</t>
        </is>
      </c>
      <c r="C826" s="19" t="inlineStr">
        <is>
          <t>distn.dpr.hou</t>
        </is>
      </c>
      <c r="H826" s="14" t="inlineStr">
        <is>
          <t>hou</t>
        </is>
      </c>
      <c r="I826" s="14" t="inlineStr"/>
    </row>
    <row r="827">
      <c r="A827" s="14" t="inlineStr">
        <is>
          <t>distn.dpr.app</t>
        </is>
      </c>
      <c r="B827" s="3" t="inlineStr">
        <is>
          <t>distn</t>
        </is>
      </c>
      <c r="C827" s="19" t="inlineStr">
        <is>
          <t>distn.dpr.app</t>
        </is>
      </c>
      <c r="H827" s="14" t="inlineStr">
        <is>
          <t>app</t>
        </is>
      </c>
      <c r="I827" s="14" t="inlineStr"/>
    </row>
    <row r="828">
      <c r="A828" s="14" t="inlineStr">
        <is>
          <t>distn.dpr.che</t>
        </is>
      </c>
      <c r="B828" s="3" t="inlineStr">
        <is>
          <t>distn</t>
        </is>
      </c>
      <c r="C828" s="19" t="inlineStr">
        <is>
          <t>distn.dpr.che</t>
        </is>
      </c>
      <c r="H828" s="14" t="inlineStr">
        <is>
          <t>che</t>
        </is>
      </c>
      <c r="I828" s="14" t="inlineStr"/>
    </row>
    <row r="829">
      <c r="A829" s="14" t="inlineStr">
        <is>
          <t>distn.dpr.tpu</t>
        </is>
      </c>
      <c r="B829" s="3" t="inlineStr">
        <is>
          <t>distn</t>
        </is>
      </c>
      <c r="C829" s="19" t="inlineStr">
        <is>
          <t>distn.dpr.tpu</t>
        </is>
      </c>
      <c r="H829" s="14" t="inlineStr">
        <is>
          <t>tpu</t>
        </is>
      </c>
      <c r="I829" s="14" t="inlineStr"/>
    </row>
    <row r="830">
      <c r="A830" s="14" t="inlineStr">
        <is>
          <t>distn.dpr.teq</t>
        </is>
      </c>
      <c r="B830" s="3" t="inlineStr">
        <is>
          <t>distn</t>
        </is>
      </c>
      <c r="C830" s="19" t="inlineStr">
        <is>
          <t>distn.dpr.teq</t>
        </is>
      </c>
      <c r="H830" s="14" t="inlineStr">
        <is>
          <t>teq</t>
        </is>
      </c>
      <c r="I830" s="14" t="inlineStr"/>
    </row>
    <row r="831">
      <c r="A831" s="14" t="inlineStr">
        <is>
          <t>distn.dpr.pap</t>
        </is>
      </c>
      <c r="B831" s="3" t="inlineStr">
        <is>
          <t>distn</t>
        </is>
      </c>
      <c r="C831" s="19" t="inlineStr">
        <is>
          <t>distn.dpr.pap</t>
        </is>
      </c>
      <c r="H831" s="14" t="inlineStr">
        <is>
          <t>pap</t>
        </is>
      </c>
      <c r="I831" s="14" t="inlineStr"/>
    </row>
    <row r="832">
      <c r="A832" s="14" t="inlineStr">
        <is>
          <t>distn.dpr.com</t>
        </is>
      </c>
      <c r="B832" s="3" t="inlineStr">
        <is>
          <t>distn</t>
        </is>
      </c>
      <c r="C832" s="19" t="inlineStr">
        <is>
          <t>distn.dpr.com</t>
        </is>
      </c>
      <c r="H832" s="14" t="inlineStr">
        <is>
          <t>com</t>
        </is>
      </c>
      <c r="I832" s="14" t="inlineStr"/>
    </row>
    <row r="833">
      <c r="A833" s="14" t="inlineStr">
        <is>
          <t>distn.dpr.pha</t>
        </is>
      </c>
      <c r="B833" s="3" t="inlineStr">
        <is>
          <t>distn</t>
        </is>
      </c>
      <c r="C833" s="19" t="inlineStr">
        <is>
          <t>distn.dpr.pha</t>
        </is>
      </c>
      <c r="H833" s="14" t="inlineStr">
        <is>
          <t>pha</t>
        </is>
      </c>
      <c r="I833" s="14" t="inlineStr"/>
    </row>
    <row r="834">
      <c r="A834" s="14" t="inlineStr">
        <is>
          <t>distn.dpr.ret</t>
        </is>
      </c>
      <c r="B834" s="3" t="inlineStr">
        <is>
          <t>distn</t>
        </is>
      </c>
      <c r="C834" s="19" t="inlineStr">
        <is>
          <t>distn.dpr.ret</t>
        </is>
      </c>
      <c r="H834" s="14" t="inlineStr">
        <is>
          <t>ret</t>
        </is>
      </c>
      <c r="I834" s="14" t="inlineStr"/>
    </row>
    <row r="835">
      <c r="A835" s="14" t="inlineStr">
        <is>
          <t>distn.dpr.oth</t>
        </is>
      </c>
      <c r="B835" s="3" t="inlineStr">
        <is>
          <t>distn</t>
        </is>
      </c>
      <c r="C835" s="19" t="inlineStr">
        <is>
          <t>distn.dpr.oth</t>
        </is>
      </c>
      <c r="H835" s="14" t="inlineStr">
        <is>
          <t>oth</t>
        </is>
      </c>
      <c r="I835" s="14" t="inlineStr"/>
    </row>
    <row r="836">
      <c r="A836" s="5" t="n"/>
      <c r="B836" s="18" t="inlineStr">
        <is>
          <t>Percent increase in input costs and output prices by sector (weighted by output)</t>
        </is>
      </c>
      <c r="C836" s="5" t="n"/>
      <c r="D836" s="5" t="n"/>
      <c r="E836" s="5" t="n"/>
      <c r="F836" s="5" t="n"/>
      <c r="G836" s="5" t="n"/>
      <c r="H836" s="5" t="n"/>
      <c r="I836" s="5" t="n"/>
      <c r="J836" s="5" t="n"/>
      <c r="K836" s="5" t="n"/>
      <c r="L836" s="5" t="n"/>
      <c r="M836" s="5" t="n"/>
      <c r="N836" s="5" t="n"/>
      <c r="O836" s="5" t="n"/>
      <c r="P836" s="5" t="n"/>
      <c r="Q836" s="5" t="n"/>
      <c r="R836" s="5" t="n"/>
      <c r="S836" s="5" t="n"/>
      <c r="T836" s="5" t="n"/>
      <c r="U836" s="5" t="n"/>
      <c r="V836" s="5" t="n"/>
      <c r="W836" s="5" t="n"/>
      <c r="X836" s="5" t="n"/>
      <c r="Y836" s="5" t="n"/>
      <c r="Z836" s="5" t="n"/>
      <c r="AA836" s="5" t="n"/>
      <c r="AB836" s="5" t="n"/>
      <c r="AC836" s="5" t="n"/>
      <c r="AD836" s="5" t="n"/>
      <c r="AE836" s="5" t="n"/>
      <c r="AF836" s="5" t="n"/>
      <c r="AG836" s="5" t="n"/>
      <c r="AH836" s="5" t="n"/>
      <c r="AI836" s="5" t="n"/>
      <c r="AJ836" s="5" t="n"/>
      <c r="AK836" s="5" t="n"/>
      <c r="AL836" s="5" t="n"/>
      <c r="AM836" s="5" t="n"/>
      <c r="AN836" s="5" t="n"/>
      <c r="AO836" s="5" t="n"/>
      <c r="AP836" s="5" t="n"/>
      <c r="AQ836" s="5" t="n"/>
      <c r="AR836" s="5" t="n"/>
      <c r="AS836" s="5" t="n"/>
      <c r="AT836" s="5" t="n"/>
      <c r="AU836" s="5" t="n"/>
      <c r="AV836" s="5" t="n"/>
      <c r="AW836" s="5" t="n"/>
      <c r="AX836" s="5" t="n"/>
      <c r="AY836" s="5" t="n"/>
      <c r="AZ836" s="5" t="n"/>
      <c r="BA836" s="5" t="n"/>
      <c r="BB836" s="5" t="n"/>
      <c r="BC836" s="5" t="n"/>
      <c r="BD836" s="5" t="n"/>
      <c r="BE836" s="5" t="n"/>
      <c r="BF836" s="5" t="n"/>
      <c r="BG836" s="5" t="n"/>
      <c r="BH836" s="5" t="n"/>
      <c r="BI836" s="5" t="n"/>
      <c r="BJ836" s="5" t="n"/>
      <c r="BK836" s="5" t="n"/>
      <c r="BL836" s="5" t="n"/>
      <c r="BM836" s="5" t="n"/>
      <c r="BN836" s="5" t="n"/>
      <c r="BO836" s="5" t="n"/>
      <c r="BP836" s="5" t="n"/>
      <c r="BQ836" s="5" t="n"/>
      <c r="BR836" s="5" t="n"/>
      <c r="BS836" s="5" t="n"/>
      <c r="BT836" s="5" t="n"/>
      <c r="BU836" s="5" t="n"/>
      <c r="BV836" s="5" t="n"/>
      <c r="BW836" s="5" t="n"/>
      <c r="BX836" s="5" t="n"/>
      <c r="BY836" s="5" t="n"/>
      <c r="BZ836" s="5" t="n"/>
      <c r="CA836" s="5" t="n"/>
      <c r="CB836" s="5" t="n"/>
      <c r="CC836" s="5" t="n"/>
      <c r="CD836" s="5" t="n"/>
      <c r="CE836" s="5" t="n"/>
      <c r="CF836" s="5" t="n"/>
      <c r="CG836" s="5" t="n"/>
      <c r="CH836" s="5" t="n"/>
      <c r="CI836" s="5" t="n"/>
      <c r="CJ836" s="5" t="n"/>
      <c r="CK836" s="5" t="n"/>
      <c r="CL836" s="5" t="n"/>
      <c r="CM836" s="5" t="n"/>
      <c r="CN836" s="5" t="n"/>
      <c r="CO836" s="5" t="n"/>
      <c r="CP836" s="5" t="n"/>
      <c r="CQ836" s="5" t="n"/>
      <c r="CR836" s="5" t="n"/>
      <c r="CS836" s="5" t="n"/>
      <c r="CT836" s="5" t="n"/>
      <c r="CU836" s="5" t="n"/>
      <c r="CV836" s="5" t="n"/>
      <c r="CW836" s="5" t="n"/>
      <c r="CX836" s="5" t="n"/>
      <c r="CY836" s="5" t="n"/>
      <c r="CZ836" s="5" t="n"/>
      <c r="DA836" s="5" t="n"/>
      <c r="DB836" s="5" t="n"/>
      <c r="DC836" s="5" t="n"/>
      <c r="DD836" s="5" t="n"/>
      <c r="DE836" s="5" t="n"/>
      <c r="DF836" s="5" t="n"/>
      <c r="DG836" s="5" t="n"/>
      <c r="DH836" s="5" t="n"/>
      <c r="DI836" s="5" t="n"/>
      <c r="DJ836" s="5" t="n"/>
      <c r="DK836" s="5" t="n"/>
      <c r="DL836" s="5" t="n"/>
      <c r="DM836" s="5" t="n"/>
      <c r="DN836" s="5" t="n"/>
      <c r="DO836" s="5" t="n"/>
      <c r="DP836" s="5" t="n"/>
      <c r="DQ836" s="5" t="n"/>
      <c r="DR836" s="5" t="n"/>
      <c r="DS836" s="5" t="n"/>
      <c r="DT836" s="5" t="n"/>
      <c r="DU836" s="5" t="n"/>
      <c r="DV836" s="5" t="n"/>
      <c r="DW836" s="5" t="n"/>
      <c r="DX836" s="5" t="n"/>
      <c r="DY836" s="5" t="n"/>
      <c r="DZ836" s="5" t="n"/>
      <c r="EA836" s="5" t="n"/>
      <c r="EB836" s="5" t="n"/>
      <c r="EC836" s="5" t="n"/>
      <c r="ED836" s="5" t="n"/>
      <c r="EE836" s="5" t="n"/>
      <c r="EF836" s="5" t="n"/>
      <c r="EG836" s="5" t="n"/>
      <c r="EH836" s="5" t="n"/>
      <c r="EI836" s="5" t="n"/>
      <c r="EJ836" s="5" t="n"/>
      <c r="EK836" s="5" t="n"/>
      <c r="EL836" s="5" t="n"/>
      <c r="EM836" s="5" t="n"/>
      <c r="EN836" s="5" t="n"/>
      <c r="EO836" s="5" t="n"/>
      <c r="EP836" s="5" t="n"/>
      <c r="EQ836" s="5" t="n"/>
      <c r="ER836" s="5" t="n"/>
      <c r="ES836" s="5" t="n"/>
      <c r="ET836" s="5" t="n"/>
      <c r="EU836" s="5" t="n"/>
      <c r="EV836" s="5" t="n"/>
      <c r="EW836" s="5" t="n"/>
      <c r="EX836" s="5" t="n"/>
      <c r="EY836" s="5" t="n"/>
      <c r="EZ836" s="5" t="n"/>
      <c r="FA836" s="5" t="n"/>
      <c r="FB836" s="5" t="n"/>
      <c r="FC836" s="5" t="n"/>
      <c r="FD836" s="5" t="n"/>
      <c r="FE836" s="5" t="n"/>
      <c r="FF836" s="5" t="n"/>
      <c r="FG836" s="5" t="n"/>
      <c r="FH836" s="5" t="n"/>
      <c r="FI836" s="5" t="n"/>
      <c r="FJ836" s="5" t="n"/>
      <c r="FK836" s="5" t="n"/>
      <c r="FL836" s="5" t="n"/>
      <c r="FM836" s="5" t="n"/>
      <c r="FN836" s="5" t="n"/>
      <c r="FO836" s="5" t="n"/>
      <c r="FP836" s="5" t="n"/>
      <c r="FQ836" s="5" t="n"/>
      <c r="FR836" s="5" t="n"/>
      <c r="FS836" s="5" t="n"/>
      <c r="FT836" s="5" t="n"/>
      <c r="FU836" s="5" t="n"/>
      <c r="FV836" s="5" t="n"/>
      <c r="FW836" s="5" t="n"/>
      <c r="FX836" s="5" t="n"/>
      <c r="FY836" s="5" t="n"/>
      <c r="FZ836" s="5" t="n"/>
      <c r="GA836" s="5" t="n"/>
      <c r="GB836" s="5" t="n"/>
      <c r="GC836" s="5" t="n"/>
      <c r="GD836" s="5" t="n"/>
      <c r="GE836" s="5" t="n"/>
      <c r="GF836" s="5" t="n"/>
      <c r="GG836" s="5" t="n"/>
      <c r="GH836" s="5" t="n"/>
      <c r="GI836" s="5" t="n"/>
      <c r="GJ836" s="5" t="n"/>
      <c r="GK836" s="5" t="n"/>
      <c r="GL836" s="5" t="n"/>
      <c r="GM836" s="5" t="n"/>
      <c r="GN836" s="5" t="n"/>
      <c r="GO836" s="5" t="n"/>
      <c r="GP836" s="5" t="n"/>
      <c r="GQ836" s="5" t="n"/>
      <c r="GR836" s="5" t="n"/>
      <c r="GS836" s="5" t="n"/>
      <c r="GT836" s="5" t="n"/>
      <c r="GU836" s="5" t="n"/>
      <c r="GV836" s="5" t="n"/>
      <c r="GW836" s="5" t="n"/>
      <c r="GX836" s="5" t="n"/>
      <c r="GY836" s="5" t="n"/>
      <c r="GZ836" s="5" t="n"/>
      <c r="HA836" s="5" t="n"/>
      <c r="HB836" s="5" t="n"/>
      <c r="HC836" s="5" t="n"/>
      <c r="HD836" s="5" t="n"/>
      <c r="HE836" s="5" t="n"/>
      <c r="HF836" s="5" t="n"/>
      <c r="HG836" s="5" t="n"/>
      <c r="HH836" s="5" t="n"/>
      <c r="HI836" s="5" t="n"/>
      <c r="HJ836" s="5" t="n"/>
      <c r="HK836" s="5" t="n"/>
      <c r="HL836" s="5" t="n"/>
      <c r="HM836" s="5" t="n"/>
      <c r="HN836" s="5" t="n"/>
      <c r="HO836" s="5" t="n"/>
      <c r="HP836" s="5" t="n"/>
      <c r="HQ836" s="5" t="n"/>
      <c r="HR836" s="5" t="n"/>
      <c r="HS836" s="5" t="n"/>
      <c r="HT836" s="5" t="n"/>
      <c r="HU836" s="5" t="n"/>
      <c r="HV836" s="5" t="n"/>
    </row>
    <row r="837">
      <c r="A837" s="14" t="inlineStr">
        <is>
          <t>distn.ppic.avi</t>
        </is>
      </c>
      <c r="B837" s="3" t="inlineStr">
        <is>
          <t>distn</t>
        </is>
      </c>
      <c r="C837" s="19" t="inlineStr">
        <is>
          <t>ppic.avi</t>
        </is>
      </c>
      <c r="H837" s="14" t="inlineStr">
        <is>
          <t>Aviation</t>
        </is>
      </c>
      <c r="I837" s="14" t="inlineStr"/>
    </row>
    <row r="838">
      <c r="A838" s="14" t="inlineStr">
        <is>
          <t>distn.ppic.foo</t>
        </is>
      </c>
      <c r="B838" s="3" t="inlineStr">
        <is>
          <t>distn</t>
        </is>
      </c>
      <c r="C838" s="19" t="inlineStr">
        <is>
          <t>ppic.foo</t>
        </is>
      </c>
      <c r="H838" s="14" t="inlineStr">
        <is>
          <t>Food</t>
        </is>
      </c>
      <c r="I838" s="14" t="inlineStr"/>
    </row>
    <row r="839">
      <c r="A839" s="14" t="inlineStr">
        <is>
          <t>distn.ppic.srv</t>
        </is>
      </c>
      <c r="B839" s="3" t="inlineStr">
        <is>
          <t>distn</t>
        </is>
      </c>
      <c r="C839" s="19" t="inlineStr">
        <is>
          <t>ppic.srv</t>
        </is>
      </c>
      <c r="H839" s="14" t="inlineStr">
        <is>
          <t>Services</t>
        </is>
      </c>
      <c r="I839" s="14" t="inlineStr"/>
    </row>
    <row r="840">
      <c r="A840" s="14" t="inlineStr">
        <is>
          <t>distn.ppic.cst</t>
        </is>
      </c>
      <c r="B840" s="3" t="inlineStr">
        <is>
          <t>distn</t>
        </is>
      </c>
      <c r="C840" s="19" t="inlineStr">
        <is>
          <t>ppic.con</t>
        </is>
      </c>
      <c r="H840" s="14" t="inlineStr">
        <is>
          <t>Construction</t>
        </is>
      </c>
      <c r="I840" s="14" t="inlineStr"/>
    </row>
    <row r="841">
      <c r="A841" s="14" t="inlineStr">
        <is>
          <t>distn.ppic.mac</t>
        </is>
      </c>
      <c r="B841" s="3" t="inlineStr">
        <is>
          <t>distn</t>
        </is>
      </c>
      <c r="C841" s="19" t="inlineStr">
        <is>
          <t>ppic.mac</t>
        </is>
      </c>
      <c r="H841" s="14" t="inlineStr">
        <is>
          <t>Machinery</t>
        </is>
      </c>
      <c r="I841" s="14" t="inlineStr"/>
    </row>
    <row r="842">
      <c r="A842" s="14" t="inlineStr">
        <is>
          <t>distn.ppic.irn</t>
        </is>
      </c>
      <c r="B842" s="3" t="inlineStr">
        <is>
          <t>distn</t>
        </is>
      </c>
      <c r="C842" s="19" t="inlineStr">
        <is>
          <t>ppic.irn</t>
        </is>
      </c>
      <c r="H842" s="14" t="inlineStr">
        <is>
          <t>Iron/steel</t>
        </is>
      </c>
      <c r="I842" s="14" t="inlineStr"/>
    </row>
    <row r="843">
      <c r="A843" s="14" t="inlineStr">
        <is>
          <t>distn.ppic.omn</t>
        </is>
      </c>
      <c r="B843" s="3" t="inlineStr">
        <is>
          <t>distn</t>
        </is>
      </c>
      <c r="C843" s="19" t="inlineStr">
        <is>
          <t>ppic.man</t>
        </is>
      </c>
      <c r="H843" s="14" t="inlineStr">
        <is>
          <t>Manufactures</t>
        </is>
      </c>
      <c r="I843" s="14" t="inlineStr"/>
    </row>
    <row r="844">
      <c r="A844" s="14" t="inlineStr">
        <is>
          <t>distn.ppic.nfm</t>
        </is>
      </c>
      <c r="B844" s="3" t="inlineStr">
        <is>
          <t>distn</t>
        </is>
      </c>
      <c r="C844" s="19" t="inlineStr">
        <is>
          <t>ppic.oth</t>
        </is>
      </c>
      <c r="H844" s="14" t="inlineStr">
        <is>
          <t>Other metals</t>
        </is>
      </c>
      <c r="I844" s="14" t="inlineStr"/>
    </row>
    <row r="845">
      <c r="A845" s="14" t="inlineStr">
        <is>
          <t>distn.ppic.cem</t>
        </is>
      </c>
      <c r="B845" s="3" t="inlineStr">
        <is>
          <t>distn</t>
        </is>
      </c>
      <c r="C845" s="19" t="inlineStr">
        <is>
          <t>ppic.cem</t>
        </is>
      </c>
      <c r="H845" s="14" t="inlineStr">
        <is>
          <t>Cement</t>
        </is>
      </c>
      <c r="I845" s="14" t="inlineStr"/>
    </row>
    <row r="846">
      <c r="A846" s="14" t="inlineStr">
        <is>
          <t>distn.ppic.nav</t>
        </is>
      </c>
      <c r="B846" s="3" t="inlineStr">
        <is>
          <t>distn</t>
        </is>
      </c>
      <c r="C846" s="19" t="inlineStr">
        <is>
          <t>ppic.shi</t>
        </is>
      </c>
      <c r="H846" s="14" t="inlineStr">
        <is>
          <t>Shipping</t>
        </is>
      </c>
      <c r="I846" s="14" t="inlineStr"/>
    </row>
    <row r="847">
      <c r="A847" s="14" t="inlineStr">
        <is>
          <t>distn.ppic.res</t>
        </is>
      </c>
      <c r="B847" s="3" t="inlineStr">
        <is>
          <t>distn</t>
        </is>
      </c>
      <c r="C847" s="19" t="inlineStr">
        <is>
          <t>ppic.res</t>
        </is>
      </c>
      <c r="H847" s="14" t="inlineStr">
        <is>
          <t>Residential</t>
        </is>
      </c>
      <c r="I847" s="14" t="inlineStr"/>
    </row>
    <row r="848">
      <c r="A848" s="14" t="inlineStr">
        <is>
          <t>distn.ppic.ftr</t>
        </is>
      </c>
      <c r="B848" s="3" t="inlineStr">
        <is>
          <t>distn</t>
        </is>
      </c>
      <c r="C848" s="19" t="inlineStr">
        <is>
          <t>ppic.fuel</t>
        </is>
      </c>
      <c r="H848" s="14" t="inlineStr">
        <is>
          <t>Fuel</t>
        </is>
      </c>
      <c r="I848" s="14" t="inlineStr"/>
    </row>
    <row r="849">
      <c r="A849" s="5" t="n"/>
      <c r="B849" s="18" t="inlineStr">
        <is>
          <t>Sectoral output price increases and share in total output</t>
        </is>
      </c>
      <c r="C849" s="5" t="n"/>
      <c r="D849" s="5" t="n"/>
      <c r="E849" s="5" t="n"/>
      <c r="F849" s="5" t="n"/>
      <c r="G849" s="5" t="n"/>
      <c r="H849" s="5" t="n"/>
      <c r="I849" s="5" t="n"/>
      <c r="J849" s="5" t="n"/>
      <c r="K849" s="5" t="n"/>
      <c r="L849" s="5" t="n"/>
      <c r="M849" s="5" t="n"/>
      <c r="N849" s="5" t="n"/>
      <c r="O849" s="5" t="n"/>
      <c r="P849" s="5" t="n"/>
      <c r="Q849" s="5" t="n"/>
      <c r="R849" s="5" t="n"/>
      <c r="S849" s="5" t="n"/>
      <c r="T849" s="5" t="n"/>
      <c r="U849" s="5" t="n"/>
      <c r="V849" s="5" t="n"/>
      <c r="W849" s="5" t="n"/>
      <c r="X849" s="5" t="n"/>
      <c r="Y849" s="5" t="n"/>
      <c r="Z849" s="5" t="n"/>
      <c r="AA849" s="5" t="n"/>
      <c r="AB849" s="5" t="n"/>
      <c r="AC849" s="5" t="n"/>
      <c r="AD849" s="5" t="n"/>
      <c r="AE849" s="5" t="n"/>
      <c r="AF849" s="5" t="n"/>
      <c r="AG849" s="5" t="n"/>
      <c r="AH849" s="5" t="n"/>
      <c r="AI849" s="5" t="n"/>
      <c r="AJ849" s="5" t="n"/>
      <c r="AK849" s="5" t="n"/>
      <c r="AL849" s="5" t="n"/>
      <c r="AM849" s="5" t="n"/>
      <c r="AN849" s="5" t="n"/>
      <c r="AO849" s="5" t="n"/>
      <c r="AP849" s="5" t="n"/>
      <c r="AQ849" s="5" t="n"/>
      <c r="AR849" s="5" t="n"/>
      <c r="AS849" s="5" t="n"/>
      <c r="AT849" s="5" t="n"/>
      <c r="AU849" s="5" t="n"/>
      <c r="AV849" s="5" t="n"/>
      <c r="AW849" s="5" t="n"/>
      <c r="AX849" s="5" t="n"/>
      <c r="AY849" s="5" t="n"/>
      <c r="AZ849" s="5" t="n"/>
      <c r="BA849" s="5" t="n"/>
      <c r="BB849" s="5" t="n"/>
      <c r="BC849" s="5" t="n"/>
      <c r="BD849" s="5" t="n"/>
      <c r="BE849" s="5" t="n"/>
      <c r="BF849" s="5" t="n"/>
      <c r="BG849" s="5" t="n"/>
      <c r="BH849" s="5" t="n"/>
      <c r="BI849" s="5" t="n"/>
      <c r="BJ849" s="5" t="n"/>
      <c r="BK849" s="5" t="n"/>
      <c r="BL849" s="5" t="n"/>
      <c r="BM849" s="5" t="n"/>
      <c r="BN849" s="5" t="n"/>
      <c r="BO849" s="5" t="n"/>
      <c r="BP849" s="5" t="n"/>
      <c r="BQ849" s="5" t="n"/>
      <c r="BR849" s="5" t="n"/>
      <c r="BS849" s="5" t="n"/>
      <c r="BT849" s="5" t="n"/>
      <c r="BU849" s="5" t="n"/>
      <c r="BV849" s="5" t="n"/>
      <c r="BW849" s="5" t="n"/>
      <c r="BX849" s="5" t="n"/>
      <c r="BY849" s="5" t="n"/>
      <c r="BZ849" s="5" t="n"/>
      <c r="CA849" s="5" t="n"/>
      <c r="CB849" s="5" t="n"/>
      <c r="CC849" s="5" t="n"/>
      <c r="CD849" s="5" t="n"/>
      <c r="CE849" s="5" t="n"/>
      <c r="CF849" s="5" t="n"/>
      <c r="CG849" s="5" t="n"/>
      <c r="CH849" s="5" t="n"/>
      <c r="CI849" s="5" t="n"/>
      <c r="CJ849" s="5" t="n"/>
      <c r="CK849" s="5" t="n"/>
      <c r="CL849" s="5" t="n"/>
      <c r="CM849" s="5" t="n"/>
      <c r="CN849" s="5" t="n"/>
      <c r="CO849" s="5" t="n"/>
      <c r="CP849" s="5" t="n"/>
      <c r="CQ849" s="5" t="n"/>
      <c r="CR849" s="5" t="n"/>
      <c r="CS849" s="5" t="n"/>
      <c r="CT849" s="5" t="n"/>
      <c r="CU849" s="5" t="n"/>
      <c r="CV849" s="5" t="n"/>
      <c r="CW849" s="5" t="n"/>
      <c r="CX849" s="5" t="n"/>
      <c r="CY849" s="5" t="n"/>
      <c r="CZ849" s="5" t="n"/>
      <c r="DA849" s="5" t="n"/>
      <c r="DB849" s="5" t="n"/>
      <c r="DC849" s="5" t="n"/>
      <c r="DD849" s="5" t="n"/>
      <c r="DE849" s="5" t="n"/>
      <c r="DF849" s="5" t="n"/>
      <c r="DG849" s="5" t="n"/>
      <c r="DH849" s="5" t="n"/>
      <c r="DI849" s="5" t="n"/>
      <c r="DJ849" s="5" t="n"/>
      <c r="DK849" s="5" t="n"/>
      <c r="DL849" s="5" t="n"/>
      <c r="DM849" s="5" t="n"/>
      <c r="DN849" s="5" t="n"/>
      <c r="DO849" s="5" t="n"/>
      <c r="DP849" s="5" t="n"/>
      <c r="DQ849" s="5" t="n"/>
      <c r="DR849" s="5" t="n"/>
      <c r="DS849" s="5" t="n"/>
      <c r="DT849" s="5" t="n"/>
      <c r="DU849" s="5" t="n"/>
      <c r="DV849" s="5" t="n"/>
      <c r="DW849" s="5" t="n"/>
      <c r="DX849" s="5" t="n"/>
      <c r="DY849" s="5" t="n"/>
      <c r="DZ849" s="5" t="n"/>
      <c r="EA849" s="5" t="n"/>
      <c r="EB849" s="5" t="n"/>
      <c r="EC849" s="5" t="n"/>
      <c r="ED849" s="5" t="n"/>
      <c r="EE849" s="5" t="n"/>
      <c r="EF849" s="5" t="n"/>
      <c r="EG849" s="5" t="n"/>
      <c r="EH849" s="5" t="n"/>
      <c r="EI849" s="5" t="n"/>
      <c r="EJ849" s="5" t="n"/>
      <c r="EK849" s="5" t="n"/>
      <c r="EL849" s="5" t="n"/>
      <c r="EM849" s="5" t="n"/>
      <c r="EN849" s="5" t="n"/>
      <c r="EO849" s="5" t="n"/>
      <c r="EP849" s="5" t="n"/>
      <c r="EQ849" s="5" t="n"/>
      <c r="ER849" s="5" t="n"/>
      <c r="ES849" s="5" t="n"/>
      <c r="ET849" s="5" t="n"/>
      <c r="EU849" s="5" t="n"/>
      <c r="EV849" s="5" t="n"/>
      <c r="EW849" s="5" t="n"/>
      <c r="EX849" s="5" t="n"/>
      <c r="EY849" s="5" t="n"/>
      <c r="EZ849" s="5" t="n"/>
      <c r="FA849" s="5" t="n"/>
      <c r="FB849" s="5" t="n"/>
      <c r="FC849" s="5" t="n"/>
      <c r="FD849" s="5" t="n"/>
      <c r="FE849" s="5" t="n"/>
      <c r="FF849" s="5" t="n"/>
      <c r="FG849" s="5" t="n"/>
      <c r="FH849" s="5" t="n"/>
      <c r="FI849" s="5" t="n"/>
      <c r="FJ849" s="5" t="n"/>
      <c r="FK849" s="5" t="n"/>
      <c r="FL849" s="5" t="n"/>
      <c r="FM849" s="5" t="n"/>
      <c r="FN849" s="5" t="n"/>
      <c r="FO849" s="5" t="n"/>
      <c r="FP849" s="5" t="n"/>
      <c r="FQ849" s="5" t="n"/>
      <c r="FR849" s="5" t="n"/>
      <c r="FS849" s="5" t="n"/>
      <c r="FT849" s="5" t="n"/>
      <c r="FU849" s="5" t="n"/>
      <c r="FV849" s="5" t="n"/>
      <c r="FW849" s="5" t="n"/>
      <c r="FX849" s="5" t="n"/>
      <c r="FY849" s="5" t="n"/>
      <c r="FZ849" s="5" t="n"/>
      <c r="GA849" s="5" t="n"/>
      <c r="GB849" s="5" t="n"/>
      <c r="GC849" s="5" t="n"/>
      <c r="GD849" s="5" t="n"/>
      <c r="GE849" s="5" t="n"/>
      <c r="GF849" s="5" t="n"/>
      <c r="GG849" s="5" t="n"/>
      <c r="GH849" s="5" t="n"/>
      <c r="GI849" s="5" t="n"/>
      <c r="GJ849" s="5" t="n"/>
      <c r="GK849" s="5" t="n"/>
      <c r="GL849" s="5" t="n"/>
      <c r="GM849" s="5" t="n"/>
      <c r="GN849" s="5" t="n"/>
      <c r="GO849" s="5" t="n"/>
      <c r="GP849" s="5" t="n"/>
      <c r="GQ849" s="5" t="n"/>
      <c r="GR849" s="5" t="n"/>
      <c r="GS849" s="5" t="n"/>
      <c r="GT849" s="5" t="n"/>
      <c r="GU849" s="5" t="n"/>
      <c r="GV849" s="5" t="n"/>
      <c r="GW849" s="5" t="n"/>
      <c r="GX849" s="5" t="n"/>
      <c r="GY849" s="5" t="n"/>
      <c r="GZ849" s="5" t="n"/>
      <c r="HA849" s="5" t="n"/>
      <c r="HB849" s="5" t="n"/>
      <c r="HC849" s="5" t="n"/>
      <c r="HD849" s="5" t="n"/>
      <c r="HE849" s="5" t="n"/>
      <c r="HF849" s="5" t="n"/>
      <c r="HG849" s="5" t="n"/>
      <c r="HH849" s="5" t="n"/>
      <c r="HI849" s="5" t="n"/>
      <c r="HJ849" s="5" t="n"/>
      <c r="HK849" s="5" t="n"/>
      <c r="HL849" s="5" t="n"/>
      <c r="HM849" s="5" t="n"/>
      <c r="HN849" s="5" t="n"/>
      <c r="HO849" s="5" t="n"/>
      <c r="HP849" s="5" t="n"/>
      <c r="HQ849" s="5" t="n"/>
      <c r="HR849" s="5" t="n"/>
      <c r="HS849" s="5" t="n"/>
      <c r="HT849" s="5" t="n"/>
      <c r="HU849" s="5" t="n"/>
      <c r="HV849" s="5" t="n"/>
    </row>
    <row r="850">
      <c r="A850" s="14" t="inlineStr">
        <is>
          <t>distn.outpriin.avi</t>
        </is>
      </c>
      <c r="B850" s="3" t="inlineStr">
        <is>
          <t>distn</t>
        </is>
      </c>
      <c r="C850" s="19" t="inlineStr">
        <is>
          <t>outpriin.avi</t>
        </is>
      </c>
      <c r="H850" s="14" t="inlineStr">
        <is>
          <t>Aviation</t>
        </is>
      </c>
      <c r="I850" s="14" t="inlineStr"/>
    </row>
    <row r="851">
      <c r="A851" s="14" t="inlineStr">
        <is>
          <t>distn.outpriin.nav</t>
        </is>
      </c>
      <c r="B851" s="3" t="inlineStr">
        <is>
          <t>distn</t>
        </is>
      </c>
      <c r="C851" s="19" t="inlineStr">
        <is>
          <t>outpriin.shi</t>
        </is>
      </c>
      <c r="H851" s="14" t="inlineStr">
        <is>
          <t>Shipping</t>
        </is>
      </c>
      <c r="I851" s="14" t="inlineStr"/>
    </row>
    <row r="852">
      <c r="A852" s="14" t="inlineStr">
        <is>
          <t>distn.outpriin.cem</t>
        </is>
      </c>
      <c r="B852" s="3" t="inlineStr">
        <is>
          <t>distn</t>
        </is>
      </c>
      <c r="C852" s="19" t="inlineStr">
        <is>
          <t>outpriin.cem</t>
        </is>
      </c>
      <c r="H852" s="14" t="inlineStr">
        <is>
          <t>Cement</t>
        </is>
      </c>
      <c r="I852" s="14" t="inlineStr"/>
    </row>
    <row r="853">
      <c r="A853" s="14" t="inlineStr">
        <is>
          <t>distn.outpriin.irn</t>
        </is>
      </c>
      <c r="B853" s="3" t="inlineStr">
        <is>
          <t>distn</t>
        </is>
      </c>
      <c r="C853" s="19" t="inlineStr">
        <is>
          <t>outpriin.irn</t>
        </is>
      </c>
      <c r="H853" s="14" t="inlineStr">
        <is>
          <t>Iron/steel</t>
        </is>
      </c>
      <c r="I853" s="14" t="inlineStr"/>
    </row>
    <row r="854">
      <c r="A854" s="14" t="inlineStr">
        <is>
          <t>distn.outpriin.nfm</t>
        </is>
      </c>
      <c r="B854" s="3" t="inlineStr">
        <is>
          <t>distn</t>
        </is>
      </c>
      <c r="C854" s="19" t="inlineStr">
        <is>
          <t>outpriin.oth</t>
        </is>
      </c>
      <c r="H854" s="14" t="inlineStr">
        <is>
          <t>Other metals</t>
        </is>
      </c>
      <c r="I854" s="14" t="inlineStr"/>
    </row>
    <row r="855">
      <c r="A855" s="14" t="inlineStr">
        <is>
          <t>distn.outpriin.omn</t>
        </is>
      </c>
      <c r="B855" s="3" t="inlineStr">
        <is>
          <t>distn</t>
        </is>
      </c>
      <c r="C855" s="19" t="inlineStr">
        <is>
          <t>outpriin.man</t>
        </is>
      </c>
      <c r="H855" s="14" t="inlineStr">
        <is>
          <t>Manufactures</t>
        </is>
      </c>
      <c r="I855" s="14" t="inlineStr"/>
    </row>
    <row r="856">
      <c r="A856" s="14" t="inlineStr">
        <is>
          <t>distn.outpriin.foo</t>
        </is>
      </c>
      <c r="B856" s="3" t="inlineStr">
        <is>
          <t>distn</t>
        </is>
      </c>
      <c r="C856" s="19" t="inlineStr">
        <is>
          <t>outpriin.foo</t>
        </is>
      </c>
      <c r="H856" s="14" t="inlineStr">
        <is>
          <t>Food</t>
        </is>
      </c>
      <c r="I856" s="14" t="inlineStr"/>
    </row>
    <row r="857">
      <c r="A857" s="14" t="inlineStr">
        <is>
          <t>distn.outpriin.mac</t>
        </is>
      </c>
      <c r="B857" s="3" t="inlineStr">
        <is>
          <t>distn</t>
        </is>
      </c>
      <c r="C857" s="19" t="inlineStr">
        <is>
          <t>outpriin.mac</t>
        </is>
      </c>
      <c r="H857" s="14" t="inlineStr">
        <is>
          <t>Machinery</t>
        </is>
      </c>
      <c r="I857" s="14" t="inlineStr"/>
    </row>
    <row r="858">
      <c r="A858" s="14" t="inlineStr">
        <is>
          <t>distn.outpriin.res</t>
        </is>
      </c>
      <c r="B858" s="3" t="inlineStr">
        <is>
          <t>distn</t>
        </is>
      </c>
      <c r="C858" s="19" t="inlineStr">
        <is>
          <t>outpriin.res</t>
        </is>
      </c>
      <c r="H858" s="14" t="inlineStr">
        <is>
          <t>Residential</t>
        </is>
      </c>
      <c r="I858" s="14" t="inlineStr"/>
    </row>
    <row r="859">
      <c r="A859" s="14" t="inlineStr">
        <is>
          <t>distn.outpriin.cst</t>
        </is>
      </c>
      <c r="B859" s="3" t="inlineStr">
        <is>
          <t>distn</t>
        </is>
      </c>
      <c r="C859" s="19" t="inlineStr">
        <is>
          <t>outpriin.con</t>
        </is>
      </c>
      <c r="H859" s="14" t="inlineStr">
        <is>
          <t>Construction</t>
        </is>
      </c>
      <c r="I859" s="14" t="inlineStr"/>
    </row>
    <row r="860">
      <c r="A860" s="14" t="inlineStr">
        <is>
          <t>distn.outpriin.srv</t>
        </is>
      </c>
      <c r="B860" s="3" t="inlineStr">
        <is>
          <t>distn</t>
        </is>
      </c>
      <c r="C860" s="19" t="inlineStr">
        <is>
          <t>outpriin.srv</t>
        </is>
      </c>
      <c r="H860" s="14" t="inlineStr">
        <is>
          <t>Services</t>
        </is>
      </c>
      <c r="I860" s="14" t="inlineStr"/>
    </row>
    <row r="861">
      <c r="A861" s="5" t="n"/>
      <c r="B861" s="18" t="inlineStr">
        <is>
          <t>Input parameters</t>
        </is>
      </c>
      <c r="C861" s="5" t="n"/>
      <c r="D861" s="5" t="n"/>
      <c r="E861" s="5" t="n"/>
      <c r="F861" s="5" t="n"/>
      <c r="G861" s="5" t="n"/>
      <c r="H861" s="5" t="n"/>
      <c r="I861" s="5" t="n"/>
      <c r="J861" s="5" t="n"/>
      <c r="K861" s="5" t="n"/>
      <c r="L861" s="5" t="n"/>
      <c r="M861" s="5" t="n"/>
      <c r="N861" s="5" t="n"/>
      <c r="O861" s="5" t="n"/>
      <c r="P861" s="5" t="n"/>
      <c r="Q861" s="5" t="n"/>
      <c r="R861" s="5" t="n"/>
      <c r="S861" s="5" t="n"/>
      <c r="T861" s="5" t="n"/>
      <c r="U861" s="5" t="n"/>
      <c r="V861" s="5" t="n"/>
      <c r="W861" s="5" t="n"/>
      <c r="X861" s="5" t="n"/>
      <c r="Y861" s="5" t="n"/>
      <c r="Z861" s="5" t="n"/>
      <c r="AA861" s="5" t="n"/>
      <c r="AB861" s="5" t="n"/>
      <c r="AC861" s="5" t="n"/>
      <c r="AD861" s="5" t="n"/>
      <c r="AE861" s="5" t="n"/>
      <c r="AF861" s="5" t="n"/>
      <c r="AG861" s="5" t="n"/>
      <c r="AH861" s="5" t="n"/>
      <c r="AI861" s="5" t="n"/>
      <c r="AJ861" s="5" t="n"/>
      <c r="AK861" s="5" t="n"/>
      <c r="AL861" s="5" t="n"/>
      <c r="AM861" s="5" t="n"/>
      <c r="AN861" s="5" t="n"/>
      <c r="AO861" s="5" t="n"/>
      <c r="AP861" s="5" t="n"/>
      <c r="AQ861" s="5" t="n"/>
      <c r="AR861" s="5" t="n"/>
      <c r="AS861" s="5" t="n"/>
      <c r="AT861" s="5" t="n"/>
      <c r="AU861" s="5" t="n"/>
      <c r="AV861" s="5" t="n"/>
      <c r="AW861" s="5" t="n"/>
      <c r="AX861" s="5" t="n"/>
      <c r="AY861" s="5" t="n"/>
      <c r="AZ861" s="5" t="n"/>
      <c r="BA861" s="5" t="n"/>
      <c r="BB861" s="5" t="n"/>
      <c r="BC861" s="5" t="n"/>
      <c r="BD861" s="5" t="n"/>
      <c r="BE861" s="5" t="n"/>
      <c r="BF861" s="5" t="n"/>
      <c r="BG861" s="5" t="n"/>
      <c r="BH861" s="5" t="n"/>
      <c r="BI861" s="5" t="n"/>
      <c r="BJ861" s="5" t="n"/>
      <c r="BK861" s="5" t="n"/>
      <c r="BL861" s="5" t="n"/>
      <c r="BM861" s="5" t="n"/>
      <c r="BN861" s="5" t="n"/>
      <c r="BO861" s="5" t="n"/>
      <c r="BP861" s="5" t="n"/>
      <c r="BQ861" s="5" t="n"/>
      <c r="BR861" s="5" t="n"/>
      <c r="BS861" s="5" t="n"/>
      <c r="BT861" s="5" t="n"/>
      <c r="BU861" s="5" t="n"/>
      <c r="BV861" s="5" t="n"/>
      <c r="BW861" s="5" t="n"/>
      <c r="BX861" s="5" t="n"/>
      <c r="BY861" s="5" t="n"/>
      <c r="BZ861" s="5" t="n"/>
      <c r="CA861" s="5" t="n"/>
      <c r="CB861" s="5" t="n"/>
      <c r="CC861" s="5" t="n"/>
      <c r="CD861" s="5" t="n"/>
      <c r="CE861" s="5" t="n"/>
      <c r="CF861" s="5" t="n"/>
      <c r="CG861" s="5" t="n"/>
      <c r="CH861" s="5" t="n"/>
      <c r="CI861" s="5" t="n"/>
      <c r="CJ861" s="5" t="n"/>
      <c r="CK861" s="5" t="n"/>
      <c r="CL861" s="5" t="n"/>
      <c r="CM861" s="5" t="n"/>
      <c r="CN861" s="5" t="n"/>
      <c r="CO861" s="5" t="n"/>
      <c r="CP861" s="5" t="n"/>
      <c r="CQ861" s="5" t="n"/>
      <c r="CR861" s="5" t="n"/>
      <c r="CS861" s="5" t="n"/>
      <c r="CT861" s="5" t="n"/>
      <c r="CU861" s="5" t="n"/>
      <c r="CV861" s="5" t="n"/>
      <c r="CW861" s="5" t="n"/>
      <c r="CX861" s="5" t="n"/>
      <c r="CY861" s="5" t="n"/>
      <c r="CZ861" s="5" t="n"/>
      <c r="DA861" s="5" t="n"/>
      <c r="DB861" s="5" t="n"/>
      <c r="DC861" s="5" t="n"/>
      <c r="DD861" s="5" t="n"/>
      <c r="DE861" s="5" t="n"/>
      <c r="DF861" s="5" t="n"/>
      <c r="DG861" s="5" t="n"/>
      <c r="DH861" s="5" t="n"/>
      <c r="DI861" s="5" t="n"/>
      <c r="DJ861" s="5" t="n"/>
      <c r="DK861" s="5" t="n"/>
      <c r="DL861" s="5" t="n"/>
      <c r="DM861" s="5" t="n"/>
      <c r="DN861" s="5" t="n"/>
      <c r="DO861" s="5" t="n"/>
      <c r="DP861" s="5" t="n"/>
      <c r="DQ861" s="5" t="n"/>
      <c r="DR861" s="5" t="n"/>
      <c r="DS861" s="5" t="n"/>
      <c r="DT861" s="5" t="n"/>
      <c r="DU861" s="5" t="n"/>
      <c r="DV861" s="5" t="n"/>
      <c r="DW861" s="5" t="n"/>
      <c r="DX861" s="5" t="n"/>
      <c r="DY861" s="5" t="n"/>
      <c r="DZ861" s="5" t="n"/>
      <c r="EA861" s="5" t="n"/>
      <c r="EB861" s="5" t="n"/>
      <c r="EC861" s="5" t="n"/>
      <c r="ED861" s="5" t="n"/>
      <c r="EE861" s="5" t="n"/>
      <c r="EF861" s="5" t="n"/>
      <c r="EG861" s="5" t="n"/>
      <c r="EH861" s="5" t="n"/>
      <c r="EI861" s="5" t="n"/>
      <c r="EJ861" s="5" t="n"/>
      <c r="EK861" s="5" t="n"/>
      <c r="EL861" s="5" t="n"/>
      <c r="EM861" s="5" t="n"/>
      <c r="EN861" s="5" t="n"/>
      <c r="EO861" s="5" t="n"/>
      <c r="EP861" s="5" t="n"/>
      <c r="EQ861" s="5" t="n"/>
      <c r="ER861" s="5" t="n"/>
      <c r="ES861" s="5" t="n"/>
      <c r="ET861" s="5" t="n"/>
      <c r="EU861" s="5" t="n"/>
      <c r="EV861" s="5" t="n"/>
      <c r="EW861" s="5" t="n"/>
      <c r="EX861" s="5" t="n"/>
      <c r="EY861" s="5" t="n"/>
      <c r="EZ861" s="5" t="n"/>
      <c r="FA861" s="5" t="n"/>
      <c r="FB861" s="5" t="n"/>
      <c r="FC861" s="5" t="n"/>
      <c r="FD861" s="5" t="n"/>
      <c r="FE861" s="5" t="n"/>
      <c r="FF861" s="5" t="n"/>
      <c r="FG861" s="5" t="n"/>
      <c r="FH861" s="5" t="n"/>
      <c r="FI861" s="5" t="n"/>
      <c r="FJ861" s="5" t="n"/>
      <c r="FK861" s="5" t="n"/>
      <c r="FL861" s="5" t="n"/>
      <c r="FM861" s="5" t="n"/>
      <c r="FN861" s="5" t="n"/>
      <c r="FO861" s="5" t="n"/>
      <c r="FP861" s="5" t="n"/>
      <c r="FQ861" s="5" t="n"/>
      <c r="FR861" s="5" t="n"/>
      <c r="FS861" s="5" t="n"/>
      <c r="FT861" s="5" t="n"/>
      <c r="FU861" s="5" t="n"/>
      <c r="FV861" s="5" t="n"/>
      <c r="FW861" s="5" t="n"/>
      <c r="FX861" s="5" t="n"/>
      <c r="FY861" s="5" t="n"/>
      <c r="FZ861" s="5" t="n"/>
      <c r="GA861" s="5" t="n"/>
      <c r="GB861" s="5" t="n"/>
      <c r="GC861" s="5" t="n"/>
      <c r="GD861" s="5" t="n"/>
      <c r="GE861" s="5" t="n"/>
      <c r="GF861" s="5" t="n"/>
      <c r="GG861" s="5" t="n"/>
      <c r="GH861" s="5" t="n"/>
      <c r="GI861" s="5" t="n"/>
      <c r="GJ861" s="5" t="n"/>
      <c r="GK861" s="5" t="n"/>
      <c r="GL861" s="5" t="n"/>
      <c r="GM861" s="5" t="n"/>
      <c r="GN861" s="5" t="n"/>
      <c r="GO861" s="5" t="n"/>
      <c r="GP861" s="5" t="n"/>
      <c r="GQ861" s="5" t="n"/>
      <c r="GR861" s="5" t="n"/>
      <c r="GS861" s="5" t="n"/>
      <c r="GT861" s="5" t="n"/>
      <c r="GU861" s="5" t="n"/>
      <c r="GV861" s="5" t="n"/>
      <c r="GW861" s="5" t="n"/>
      <c r="GX861" s="5" t="n"/>
      <c r="GY861" s="5" t="n"/>
      <c r="GZ861" s="5" t="n"/>
      <c r="HA861" s="5" t="n"/>
      <c r="HB861" s="5" t="n"/>
      <c r="HC861" s="5" t="n"/>
      <c r="HD861" s="5" t="n"/>
      <c r="HE861" s="5" t="n"/>
      <c r="HF861" s="5" t="n"/>
      <c r="HG861" s="5" t="n"/>
      <c r="HH861" s="5" t="n"/>
      <c r="HI861" s="5" t="n"/>
      <c r="HJ861" s="5" t="n"/>
      <c r="HK861" s="5" t="n"/>
      <c r="HL861" s="5" t="n"/>
      <c r="HM861" s="5" t="n"/>
      <c r="HN861" s="5" t="n"/>
      <c r="HO861" s="5" t="n"/>
      <c r="HP861" s="5" t="n"/>
      <c r="HQ861" s="5" t="n"/>
      <c r="HR861" s="5" t="n"/>
      <c r="HS861" s="5" t="n"/>
      <c r="HT861" s="5" t="n"/>
      <c r="HU861" s="5" t="n"/>
      <c r="HV861" s="5" t="n"/>
    </row>
    <row r="862">
      <c r="A862" s="14" t="n"/>
      <c r="B862" s="3" t="inlineStr">
        <is>
          <t>mit</t>
        </is>
      </c>
      <c r="C862" s="19" t="inlineStr">
        <is>
          <t>mit.el.inc.ecy.res</t>
        </is>
      </c>
      <c r="H862" s="14" t="inlineStr">
        <is>
          <t>Income elasticity - electricity</t>
        </is>
      </c>
      <c r="I862" s="14" t="inlineStr"/>
    </row>
    <row r="863">
      <c r="A863" s="14" t="n"/>
      <c r="B863" s="3" t="inlineStr">
        <is>
          <t>mit</t>
        </is>
      </c>
      <c r="C863" s="19" t="inlineStr">
        <is>
          <t>mit.el.inc.gso.res</t>
        </is>
      </c>
      <c r="H863" s="14" t="inlineStr">
        <is>
          <t>Income elasticity - motor fuels (gasoline)</t>
        </is>
      </c>
      <c r="I863" s="14" t="inlineStr"/>
    </row>
    <row r="864">
      <c r="A864" s="14" t="n"/>
      <c r="B864" s="3" t="inlineStr">
        <is>
          <t>mit</t>
        </is>
      </c>
      <c r="C864" s="19" t="inlineStr">
        <is>
          <t>mit.el.inc.die.res</t>
        </is>
      </c>
      <c r="H864" s="14" t="inlineStr">
        <is>
          <t>Income elasticity - non-road transport (diesel)</t>
        </is>
      </c>
      <c r="I864" s="14" t="inlineStr"/>
    </row>
    <row r="865">
      <c r="A865" s="5" t="n"/>
      <c r="B865" s="18" t="inlineStr">
        <is>
          <t>Power Sector Sustainability Indicators</t>
        </is>
      </c>
      <c r="C865" s="5" t="n"/>
      <c r="D865" s="5" t="n"/>
      <c r="E865" s="5" t="n"/>
      <c r="F865" s="5" t="n"/>
      <c r="G865" s="5" t="n"/>
      <c r="H865" s="5" t="n"/>
      <c r="I865" s="5" t="n"/>
      <c r="J865" s="5" t="n"/>
      <c r="K865" s="5" t="n"/>
      <c r="L865" s="5" t="n"/>
      <c r="M865" s="5" t="n"/>
      <c r="N865" s="5" t="n"/>
      <c r="O865" s="5" t="n"/>
      <c r="P865" s="5" t="n"/>
      <c r="Q865" s="5" t="n"/>
      <c r="R865" s="5" t="n"/>
      <c r="S865" s="5" t="n"/>
      <c r="T865" s="5" t="n"/>
      <c r="U865" s="5" t="n"/>
      <c r="V865" s="5" t="n"/>
      <c r="W865" s="5" t="n"/>
      <c r="X865" s="5" t="n"/>
      <c r="Y865" s="5" t="n"/>
      <c r="Z865" s="5" t="n"/>
      <c r="AA865" s="5" t="n"/>
      <c r="AB865" s="5" t="n"/>
      <c r="AC865" s="5" t="n"/>
      <c r="AD865" s="5" t="n"/>
      <c r="AE865" s="5" t="n"/>
      <c r="AF865" s="5" t="n"/>
      <c r="AG865" s="5" t="n"/>
      <c r="AH865" s="5" t="n"/>
      <c r="AI865" s="5" t="n"/>
      <c r="AJ865" s="5" t="n"/>
      <c r="AK865" s="5" t="n"/>
      <c r="AL865" s="5" t="n"/>
      <c r="AM865" s="5" t="n"/>
      <c r="AN865" s="5" t="n"/>
      <c r="AO865" s="5" t="n"/>
      <c r="AP865" s="5" t="n"/>
      <c r="AQ865" s="5" t="n"/>
      <c r="AR865" s="5" t="n"/>
      <c r="AS865" s="5" t="n"/>
      <c r="AT865" s="5" t="n"/>
      <c r="AU865" s="5" t="n"/>
      <c r="AV865" s="5" t="n"/>
      <c r="AW865" s="5" t="n"/>
      <c r="AX865" s="5" t="n"/>
      <c r="AY865" s="5" t="n"/>
      <c r="AZ865" s="5" t="n"/>
      <c r="BA865" s="5" t="n"/>
      <c r="BB865" s="5" t="n"/>
      <c r="BC865" s="5" t="n"/>
      <c r="BD865" s="5" t="n"/>
      <c r="BE865" s="5" t="n"/>
      <c r="BF865" s="5" t="n"/>
      <c r="BG865" s="5" t="n"/>
      <c r="BH865" s="5" t="n"/>
      <c r="BI865" s="5" t="n"/>
      <c r="BJ865" s="5" t="n"/>
      <c r="BK865" s="5" t="n"/>
      <c r="BL865" s="5" t="n"/>
      <c r="BM865" s="5" t="n"/>
      <c r="BN865" s="5" t="n"/>
      <c r="BO865" s="5" t="n"/>
      <c r="BP865" s="5" t="n"/>
      <c r="BQ865" s="5" t="n"/>
      <c r="BR865" s="5" t="n"/>
      <c r="BS865" s="5" t="n"/>
      <c r="BT865" s="5" t="n"/>
      <c r="BU865" s="5" t="n"/>
      <c r="BV865" s="5" t="n"/>
      <c r="BW865" s="5" t="n"/>
      <c r="BX865" s="5" t="n"/>
      <c r="BY865" s="5" t="n"/>
      <c r="BZ865" s="5" t="n"/>
      <c r="CA865" s="5" t="n"/>
      <c r="CB865" s="5" t="n"/>
      <c r="CC865" s="5" t="n"/>
      <c r="CD865" s="5" t="n"/>
      <c r="CE865" s="5" t="n"/>
      <c r="CF865" s="5" t="n"/>
      <c r="CG865" s="5" t="n"/>
      <c r="CH865" s="5" t="n"/>
      <c r="CI865" s="5" t="n"/>
      <c r="CJ865" s="5" t="n"/>
      <c r="CK865" s="5" t="n"/>
      <c r="CL865" s="5" t="n"/>
      <c r="CM865" s="5" t="n"/>
      <c r="CN865" s="5" t="n"/>
      <c r="CO865" s="5" t="n"/>
      <c r="CP865" s="5" t="n"/>
      <c r="CQ865" s="5" t="n"/>
      <c r="CR865" s="5" t="n"/>
      <c r="CS865" s="5" t="n"/>
      <c r="CT865" s="5" t="n"/>
      <c r="CU865" s="5" t="n"/>
      <c r="CV865" s="5" t="n"/>
      <c r="CW865" s="5" t="n"/>
      <c r="CX865" s="5" t="n"/>
      <c r="CY865" s="5" t="n"/>
      <c r="CZ865" s="5" t="n"/>
      <c r="DA865" s="5" t="n"/>
      <c r="DB865" s="5" t="n"/>
      <c r="DC865" s="5" t="n"/>
      <c r="DD865" s="5" t="n"/>
      <c r="DE865" s="5" t="n"/>
      <c r="DF865" s="5" t="n"/>
      <c r="DG865" s="5" t="n"/>
      <c r="DH865" s="5" t="n"/>
      <c r="DI865" s="5" t="n"/>
      <c r="DJ865" s="5" t="n"/>
      <c r="DK865" s="5" t="n"/>
      <c r="DL865" s="5" t="n"/>
      <c r="DM865" s="5" t="n"/>
      <c r="DN865" s="5" t="n"/>
      <c r="DO865" s="5" t="n"/>
      <c r="DP865" s="5" t="n"/>
      <c r="DQ865" s="5" t="n"/>
      <c r="DR865" s="5" t="n"/>
      <c r="DS865" s="5" t="n"/>
      <c r="DT865" s="5" t="n"/>
      <c r="DU865" s="5" t="n"/>
      <c r="DV865" s="5" t="n"/>
      <c r="DW865" s="5" t="n"/>
      <c r="DX865" s="5" t="n"/>
      <c r="DY865" s="5" t="n"/>
      <c r="DZ865" s="5" t="n"/>
      <c r="EA865" s="5" t="n"/>
      <c r="EB865" s="5" t="n"/>
      <c r="EC865" s="5" t="n"/>
      <c r="ED865" s="5" t="n"/>
      <c r="EE865" s="5" t="n"/>
      <c r="EF865" s="5" t="n"/>
      <c r="EG865" s="5" t="n"/>
      <c r="EH865" s="5" t="n"/>
      <c r="EI865" s="5" t="n"/>
      <c r="EJ865" s="5" t="n"/>
      <c r="EK865" s="5" t="n"/>
      <c r="EL865" s="5" t="n"/>
      <c r="EM865" s="5" t="n"/>
      <c r="EN865" s="5" t="n"/>
      <c r="EO865" s="5" t="n"/>
      <c r="EP865" s="5" t="n"/>
      <c r="EQ865" s="5" t="n"/>
      <c r="ER865" s="5" t="n"/>
      <c r="ES865" s="5" t="n"/>
      <c r="ET865" s="5" t="n"/>
      <c r="EU865" s="5" t="n"/>
      <c r="EV865" s="5" t="n"/>
      <c r="EW865" s="5" t="n"/>
      <c r="EX865" s="5" t="n"/>
      <c r="EY865" s="5" t="n"/>
      <c r="EZ865" s="5" t="n"/>
      <c r="FA865" s="5" t="n"/>
      <c r="FB865" s="5" t="n"/>
      <c r="FC865" s="5" t="n"/>
      <c r="FD865" s="5" t="n"/>
      <c r="FE865" s="5" t="n"/>
      <c r="FF865" s="5" t="n"/>
      <c r="FG865" s="5" t="n"/>
      <c r="FH865" s="5" t="n"/>
      <c r="FI865" s="5" t="n"/>
      <c r="FJ865" s="5" t="n"/>
      <c r="FK865" s="5" t="n"/>
      <c r="FL865" s="5" t="n"/>
      <c r="FM865" s="5" t="n"/>
      <c r="FN865" s="5" t="n"/>
      <c r="FO865" s="5" t="n"/>
      <c r="FP865" s="5" t="n"/>
      <c r="FQ865" s="5" t="n"/>
      <c r="FR865" s="5" t="n"/>
      <c r="FS865" s="5" t="n"/>
      <c r="FT865" s="5" t="n"/>
      <c r="FU865" s="5" t="n"/>
      <c r="FV865" s="5" t="n"/>
      <c r="FW865" s="5" t="n"/>
      <c r="FX865" s="5" t="n"/>
      <c r="FY865" s="5" t="n"/>
      <c r="FZ865" s="5" t="n"/>
      <c r="GA865" s="5" t="n"/>
      <c r="GB865" s="5" t="n"/>
      <c r="GC865" s="5" t="n"/>
      <c r="GD865" s="5" t="n"/>
      <c r="GE865" s="5" t="n"/>
      <c r="GF865" s="5" t="n"/>
      <c r="GG865" s="5" t="n"/>
      <c r="GH865" s="5" t="n"/>
      <c r="GI865" s="5" t="n"/>
      <c r="GJ865" s="5" t="n"/>
      <c r="GK865" s="5" t="n"/>
      <c r="GL865" s="5" t="n"/>
      <c r="GM865" s="5" t="n"/>
      <c r="GN865" s="5" t="n"/>
      <c r="GO865" s="5" t="n"/>
      <c r="GP865" s="5" t="n"/>
      <c r="GQ865" s="5" t="n"/>
      <c r="GR865" s="5" t="n"/>
      <c r="GS865" s="5" t="n"/>
      <c r="GT865" s="5" t="n"/>
      <c r="GU865" s="5" t="n"/>
      <c r="GV865" s="5" t="n"/>
      <c r="GW865" s="5" t="n"/>
      <c r="GX865" s="5" t="n"/>
      <c r="GY865" s="5" t="n"/>
      <c r="GZ865" s="5" t="n"/>
      <c r="HA865" s="5" t="n"/>
      <c r="HB865" s="5" t="n"/>
      <c r="HC865" s="5" t="n"/>
      <c r="HD865" s="5" t="n"/>
      <c r="HE865" s="5" t="n"/>
      <c r="HF865" s="5" t="n"/>
      <c r="HG865" s="5" t="n"/>
      <c r="HH865" s="5" t="n"/>
      <c r="HI865" s="5" t="n"/>
      <c r="HJ865" s="5" t="n"/>
      <c r="HK865" s="5" t="n"/>
      <c r="HL865" s="5" t="n"/>
      <c r="HM865" s="5" t="n"/>
      <c r="HN865" s="5" t="n"/>
      <c r="HO865" s="5" t="n"/>
      <c r="HP865" s="5" t="n"/>
      <c r="HQ865" s="5" t="n"/>
      <c r="HR865" s="5" t="n"/>
      <c r="HS865" s="5" t="n"/>
      <c r="HT865" s="5" t="n"/>
      <c r="HU865" s="5" t="n"/>
      <c r="HV865" s="5" t="n"/>
    </row>
    <row r="866">
      <c r="A866" s="19" t="inlineStr">
        <is>
          <t>mit.gdp.usd.all.all</t>
        </is>
      </c>
      <c r="B866" s="3" t="inlineStr">
        <is>
          <t>mit</t>
        </is>
      </c>
      <c r="C866" s="19" t="n"/>
      <c r="H866" s="3" t="inlineStr">
        <is>
          <t>Real GDP, baseline (USD bn, sheet WEO; legacy row 465): the basis of every % of GDP row (12d, 16); moved up from section 16 (v0.3.13)</t>
        </is>
      </c>
      <c r="I866" s="3" t="inlineStr">
        <is>
          <t>USD bn</t>
        </is>
      </c>
      <c r="K866" s="20" t="inlineStr">
        <is>
          <t>egy.mit.gdp.usd.all.all.1</t>
        </is>
      </c>
      <c r="L866" s="3" t="n">
        <v>546.9709241189541</v>
      </c>
      <c r="M866" s="3" t="n">
        <v>567.5385678541237</v>
      </c>
      <c r="N866" s="3" t="n">
        <v>581.1526886951941</v>
      </c>
      <c r="O866" s="3" t="n">
        <v>606.6791638435923</v>
      </c>
      <c r="P866" s="3" t="n">
        <v>632.400576753819</v>
      </c>
      <c r="Q866" s="3" t="n">
        <v>662.9405792385182</v>
      </c>
      <c r="R866" s="3" t="n">
        <v>699.6364351916005</v>
      </c>
      <c r="S866" s="3" t="n">
        <v>736.2036750915108</v>
      </c>
      <c r="T866" s="3" t="n">
        <v>771.8497515089215</v>
      </c>
      <c r="U866" s="3" t="n">
        <v>808.8115984253398</v>
      </c>
      <c r="V866" s="3" t="n">
        <v>847.1136400397902</v>
      </c>
      <c r="W866" s="3" t="n">
        <v>886.779346562379</v>
      </c>
      <c r="X866" s="3" t="n">
        <v>927.8311381341064</v>
      </c>
      <c r="Y866" s="3" t="n">
        <v>970.2902868846807</v>
      </c>
      <c r="Z866" s="3" t="n">
        <v>1014.176817350464</v>
      </c>
      <c r="AA866" s="3" t="n">
        <v>1059.50940549153</v>
      </c>
      <c r="AB866" s="3" t="n">
        <v>1106.305276563483</v>
      </c>
      <c r="AC866" s="3" t="n">
        <v>1154.58010211603</v>
      </c>
      <c r="AD866" s="3" t="n">
        <v>1204.347896406307</v>
      </c>
      <c r="AE866" s="3" t="n">
        <v>1255.620912530466</v>
      </c>
      <c r="AG866" s="20" t="inlineStr">
        <is>
          <t>egy.mit.gdp.usd.all.all.3</t>
        </is>
      </c>
      <c r="AH866" s="3" t="n">
        <v>546.9709241189541</v>
      </c>
      <c r="AI866" s="3" t="n">
        <v>567.5385678541237</v>
      </c>
      <c r="AJ866" s="3" t="n">
        <v>581.1526886951941</v>
      </c>
      <c r="AK866" s="3" t="n">
        <v>606.6791638435923</v>
      </c>
      <c r="AL866" s="3" t="n">
        <v>632.400576753819</v>
      </c>
      <c r="AM866" s="3" t="n">
        <v>662.9405792385182</v>
      </c>
      <c r="AN866" s="3" t="n">
        <v>699.6364351916005</v>
      </c>
      <c r="AO866" s="3" t="n">
        <v>736.2036750915108</v>
      </c>
      <c r="AP866" s="3" t="n">
        <v>771.8497515089215</v>
      </c>
      <c r="AQ866" s="3" t="n">
        <v>808.8115984253398</v>
      </c>
      <c r="AR866" s="3" t="n">
        <v>847.1136400397902</v>
      </c>
      <c r="AS866" s="3" t="n">
        <v>886.779346562379</v>
      </c>
      <c r="AT866" s="3" t="n">
        <v>927.8311381341064</v>
      </c>
      <c r="AU866" s="3" t="n">
        <v>970.2902868846807</v>
      </c>
      <c r="AV866" s="3" t="n">
        <v>1014.176817350464</v>
      </c>
      <c r="AW866" s="3" t="n">
        <v>1059.50940549153</v>
      </c>
      <c r="AX866" s="3" t="n">
        <v>1106.305276563483</v>
      </c>
      <c r="AY866" s="3" t="n">
        <v>1154.58010211603</v>
      </c>
      <c r="AZ866" s="3" t="n">
        <v>1204.347896406307</v>
      </c>
      <c r="BA866" s="3" t="n">
        <v>1255.620912530466</v>
      </c>
      <c r="BC866" s="20" t="inlineStr">
        <is>
          <t>egy.mit.gdp.usd.all.all.4</t>
        </is>
      </c>
      <c r="BD866" s="3" t="n">
        <v>546.9709241189541</v>
      </c>
      <c r="BE866" s="3" t="n">
        <v>567.5385678541237</v>
      </c>
      <c r="BF866" s="3" t="n">
        <v>581.1526886951941</v>
      </c>
      <c r="BG866" s="3" t="n">
        <v>606.6791638435923</v>
      </c>
      <c r="BH866" s="3" t="n">
        <v>632.400576753819</v>
      </c>
      <c r="BI866" s="3" t="n">
        <v>662.9405792385182</v>
      </c>
      <c r="BJ866" s="3" t="n">
        <v>699.6364351916005</v>
      </c>
      <c r="BK866" s="3" t="n">
        <v>736.2036750915108</v>
      </c>
      <c r="BL866" s="3" t="n">
        <v>771.8497515089215</v>
      </c>
      <c r="BM866" s="3" t="n">
        <v>808.8115984253398</v>
      </c>
      <c r="BN866" s="3" t="n">
        <v>847.1136400397902</v>
      </c>
      <c r="BO866" s="3" t="n">
        <v>886.779346562379</v>
      </c>
      <c r="BP866" s="3" t="n">
        <v>927.8311381341064</v>
      </c>
      <c r="BQ866" s="3" t="n">
        <v>970.2902868846807</v>
      </c>
      <c r="BR866" s="3" t="n">
        <v>1014.176817350464</v>
      </c>
      <c r="BS866" s="3" t="n">
        <v>1059.50940549153</v>
      </c>
      <c r="BT866" s="3" t="n">
        <v>1106.305276563483</v>
      </c>
      <c r="BU866" s="3" t="n">
        <v>1154.58010211603</v>
      </c>
      <c r="BV866" s="3" t="n">
        <v>1204.347896406307</v>
      </c>
      <c r="BW866" s="3" t="n">
        <v>1255.620912530466</v>
      </c>
      <c r="BY866" s="20" t="inlineStr">
        <is>
          <t>egy.mit.gdp.usd.all.all.5</t>
        </is>
      </c>
      <c r="BZ866" s="3" t="n">
        <v>546.9709241189541</v>
      </c>
      <c r="CA866" s="3" t="n">
        <v>567.5385678541237</v>
      </c>
      <c r="CB866" s="3" t="n">
        <v>581.1526886951941</v>
      </c>
      <c r="CC866" s="3" t="n">
        <v>606.6791638435923</v>
      </c>
      <c r="CD866" s="3" t="n">
        <v>632.400576753819</v>
      </c>
      <c r="CE866" s="3" t="n">
        <v>662.9405792385182</v>
      </c>
      <c r="CF866" s="3" t="n">
        <v>699.6364351916005</v>
      </c>
      <c r="CG866" s="3" t="n">
        <v>736.2036750915108</v>
      </c>
      <c r="CH866" s="3" t="n">
        <v>771.8497515089215</v>
      </c>
      <c r="CI866" s="3" t="n">
        <v>808.8115984253398</v>
      </c>
      <c r="CJ866" s="3" t="n">
        <v>847.1136400397902</v>
      </c>
      <c r="CK866" s="3" t="n">
        <v>886.779346562379</v>
      </c>
      <c r="CL866" s="3" t="n">
        <v>927.8311381341064</v>
      </c>
      <c r="CM866" s="3" t="n">
        <v>970.2902868846807</v>
      </c>
      <c r="CN866" s="3" t="n">
        <v>1014.176817350464</v>
      </c>
      <c r="CO866" s="3" t="n">
        <v>1059.50940549153</v>
      </c>
      <c r="CP866" s="3" t="n">
        <v>1106.305276563483</v>
      </c>
      <c r="CQ866" s="3" t="n">
        <v>1154.58010211603</v>
      </c>
      <c r="CR866" s="3" t="n">
        <v>1204.347896406307</v>
      </c>
      <c r="CS866" s="3" t="n">
        <v>1255.620912530466</v>
      </c>
      <c r="CU866" s="20" t="inlineStr">
        <is>
          <t>egy.mit.gdp.usd.all.all.6</t>
        </is>
      </c>
      <c r="CV866" s="3" t="n">
        <v>546.9709241189541</v>
      </c>
      <c r="CW866" s="3" t="n">
        <v>567.5385678541237</v>
      </c>
      <c r="CX866" s="3" t="n">
        <v>581.1526886951941</v>
      </c>
      <c r="CY866" s="3" t="n">
        <v>606.6791638435923</v>
      </c>
      <c r="CZ866" s="3" t="n">
        <v>632.400576753819</v>
      </c>
      <c r="DA866" s="3" t="n">
        <v>662.9405792385182</v>
      </c>
      <c r="DB866" s="3" t="n">
        <v>699.6364351916005</v>
      </c>
      <c r="DC866" s="3" t="n">
        <v>736.2036750915108</v>
      </c>
      <c r="DD866" s="3" t="n">
        <v>771.8497515089215</v>
      </c>
      <c r="DE866" s="3" t="n">
        <v>808.8115984253398</v>
      </c>
      <c r="DF866" s="3" t="n">
        <v>847.1136400397902</v>
      </c>
      <c r="DG866" s="3" t="n">
        <v>886.779346562379</v>
      </c>
      <c r="DH866" s="3" t="n">
        <v>927.8311381341064</v>
      </c>
      <c r="DI866" s="3" t="n">
        <v>970.2902868846807</v>
      </c>
      <c r="DJ866" s="3" t="n">
        <v>1014.176817350464</v>
      </c>
      <c r="DK866" s="3" t="n">
        <v>1059.50940549153</v>
      </c>
      <c r="DL866" s="3" t="n">
        <v>1106.305276563483</v>
      </c>
      <c r="DM866" s="3" t="n">
        <v>1154.58010211603</v>
      </c>
      <c r="DN866" s="3" t="n">
        <v>1204.347896406307</v>
      </c>
      <c r="DO866" s="3" t="n">
        <v>1255.620912530466</v>
      </c>
    </row>
    <row r="867">
      <c r="A867" s="19" t="inlineStr">
        <is>
          <t>mit.co2.pow.tot</t>
        </is>
      </c>
      <c r="B867" s="3" t="inlineStr">
        <is>
          <t>mit</t>
        </is>
      </c>
      <c r="C867" s="19" t="n"/>
      <c r="H867" s="3" t="inlineStr">
        <is>
          <t>CO2 emissions from fuel combustion | Power | All fuels</t>
        </is>
      </c>
      <c r="I867" s="3" t="inlineStr">
        <is>
          <t>MtCO2</t>
        </is>
      </c>
      <c r="K867" s="20" t="inlineStr">
        <is>
          <t>egy.mit.co2.pow.tot.1</t>
        </is>
      </c>
      <c r="L867" s="22" t="n">
        <v>81.3199580388397</v>
      </c>
      <c r="M867" s="22" t="n">
        <v>77.20653392882141</v>
      </c>
      <c r="N867" s="22" t="n">
        <v>88.11266803704939</v>
      </c>
      <c r="O867" s="22" t="n">
        <v>98.82871468255865</v>
      </c>
      <c r="P867" s="22" t="n">
        <v>102.3253499061277</v>
      </c>
      <c r="Q867" s="22" t="n">
        <v>105.0046936976205</v>
      </c>
      <c r="R867" s="22" t="n">
        <v>107.8396746145152</v>
      </c>
      <c r="S867" s="22" t="n">
        <v>110.846926263396</v>
      </c>
      <c r="T867" s="22" t="n">
        <v>112.7165806866704</v>
      </c>
      <c r="U867" s="22" t="n">
        <v>111.3348607790458</v>
      </c>
      <c r="V867" s="22" t="n">
        <v>109.561518083676</v>
      </c>
      <c r="W867" s="22" t="n">
        <v>110.6866845664146</v>
      </c>
      <c r="X867" s="22" t="n">
        <v>111.192322554483</v>
      </c>
      <c r="Y867" s="22" t="n">
        <v>112.1497455258402</v>
      </c>
      <c r="Z867" s="22" t="n">
        <v>113.1078636934526</v>
      </c>
      <c r="AA867" s="22" t="n">
        <v>114.1226815014539</v>
      </c>
      <c r="AB867" s="22" t="n">
        <v>115.1796752789207</v>
      </c>
      <c r="AC867" s="22" t="n">
        <v>116.281550495627</v>
      </c>
      <c r="AD867" s="22" t="n">
        <v>117.4399728094749</v>
      </c>
      <c r="AE867" s="22" t="n">
        <v>118.6589420043022</v>
      </c>
      <c r="AG867" s="20" t="inlineStr">
        <is>
          <t>egy.mit.co2.pow.tot.3</t>
        </is>
      </c>
      <c r="AH867" s="22" t="n">
        <v>81.3199580388397</v>
      </c>
      <c r="AI867" s="22" t="n">
        <v>77.15310961766957</v>
      </c>
      <c r="AJ867" s="22" t="n">
        <v>88.06117315756347</v>
      </c>
      <c r="AK867" s="22" t="n">
        <v>98.77908205391338</v>
      </c>
      <c r="AL867" s="22" t="n">
        <v>102.2756943259865</v>
      </c>
      <c r="AM867" s="22" t="n">
        <v>104.953833174054</v>
      </c>
      <c r="AN867" s="22" t="n">
        <v>97.76448489751169</v>
      </c>
      <c r="AO867" s="22" t="n">
        <v>102.7247973353274</v>
      </c>
      <c r="AP867" s="22" t="n">
        <v>103.5449999895009</v>
      </c>
      <c r="AQ867" s="22" t="n">
        <v>103.5932125027018</v>
      </c>
      <c r="AR867" s="22" t="n">
        <v>101.9416840589933</v>
      </c>
      <c r="AS867" s="22" t="n">
        <v>103.6946814770722</v>
      </c>
      <c r="AT867" s="22" t="n">
        <v>104.0151171416368</v>
      </c>
      <c r="AU867" s="22" t="n">
        <v>105.1535107362925</v>
      </c>
      <c r="AV867" s="22" t="n">
        <v>106.2972191597455</v>
      </c>
      <c r="AW867" s="22" t="n">
        <v>107.5418819839249</v>
      </c>
      <c r="AX867" s="22" t="n">
        <v>108.7423919952376</v>
      </c>
      <c r="AY867" s="22" t="n">
        <v>109.964580561639</v>
      </c>
      <c r="AZ867" s="22" t="n">
        <v>111.137334802502</v>
      </c>
      <c r="BA867" s="22" t="n">
        <v>112.3510283744688</v>
      </c>
      <c r="BC867" s="20" t="inlineStr">
        <is>
          <t>egy.mit.co2.pow.tot.4</t>
        </is>
      </c>
      <c r="BD867" s="22" t="n">
        <v>81.3199580388397</v>
      </c>
      <c r="BE867" s="22" t="n">
        <v>77.02159905756798</v>
      </c>
      <c r="BF867" s="22" t="n">
        <v>87.93442029326513</v>
      </c>
      <c r="BG867" s="22" t="n">
        <v>98.6569209417886</v>
      </c>
      <c r="BH867" s="22" t="n">
        <v>102.1537181633486</v>
      </c>
      <c r="BI867" s="22" t="n">
        <v>104.8290859959549</v>
      </c>
      <c r="BJ867" s="22" t="n">
        <v>102.3286897943353</v>
      </c>
      <c r="BK867" s="22" t="n">
        <v>96.66977796738483</v>
      </c>
      <c r="BL867" s="22" t="n">
        <v>94.24140166599717</v>
      </c>
      <c r="BM867" s="22" t="n">
        <v>93.28936983855527</v>
      </c>
      <c r="BN867" s="22" t="n">
        <v>88.84094958750353</v>
      </c>
      <c r="BO867" s="22" t="n">
        <v>87.54629984790721</v>
      </c>
      <c r="BP867" s="22" t="n">
        <v>84.03124222090494</v>
      </c>
      <c r="BQ867" s="22" t="n">
        <v>82.25939432102504</v>
      </c>
      <c r="BR867" s="22" t="n">
        <v>79.22156429738655</v>
      </c>
      <c r="BS867" s="22" t="n">
        <v>77.5459507192987</v>
      </c>
      <c r="BT867" s="22" t="n">
        <v>74.57316755175422</v>
      </c>
      <c r="BU867" s="22" t="n">
        <v>73.18368989650875</v>
      </c>
      <c r="BV867" s="22" t="n">
        <v>70.0110794869497</v>
      </c>
      <c r="BW867" s="22" t="n">
        <v>69.20821807471894</v>
      </c>
      <c r="BY867" s="20" t="inlineStr">
        <is>
          <t>egy.mit.co2.pow.tot.5</t>
        </is>
      </c>
      <c r="BZ867" s="22" t="n">
        <v>81.3199580388397</v>
      </c>
      <c r="CA867" s="22" t="n">
        <v>76.89276787578312</v>
      </c>
      <c r="CB867" s="22" t="n">
        <v>87.81009195725736</v>
      </c>
      <c r="CC867" s="22" t="n">
        <v>98.5369415746233</v>
      </c>
      <c r="CD867" s="22" t="n">
        <v>102.0335868337854</v>
      </c>
      <c r="CE867" s="22" t="n">
        <v>104.7059356554633</v>
      </c>
      <c r="CF867" s="22" t="n">
        <v>107.5380287115628</v>
      </c>
      <c r="CG867" s="22" t="n">
        <v>110.5953658861139</v>
      </c>
      <c r="CH867" s="22" t="n">
        <v>112.3232840691918</v>
      </c>
      <c r="CI867" s="22" t="n">
        <v>109.8659851601382</v>
      </c>
      <c r="CJ867" s="22" t="n">
        <v>105.8142503171125</v>
      </c>
      <c r="CK867" s="22" t="n">
        <v>105.835203844253</v>
      </c>
      <c r="CL867" s="22" t="n">
        <v>101.444212184893</v>
      </c>
      <c r="CM867" s="22" t="n">
        <v>98.30638450246994</v>
      </c>
      <c r="CN867" s="22" t="n">
        <v>95.45946849873143</v>
      </c>
      <c r="CO867" s="22" t="n">
        <v>91.97538884804774</v>
      </c>
      <c r="CP867" s="22" t="n">
        <v>89.01549936450914</v>
      </c>
      <c r="CQ867" s="22" t="n">
        <v>86.26212330221178</v>
      </c>
      <c r="CR867" s="22" t="n">
        <v>83.33522702888573</v>
      </c>
      <c r="CS867" s="22" t="n">
        <v>80.81052790848952</v>
      </c>
      <c r="CU867" s="20" t="inlineStr">
        <is>
          <t>egy.mit.co2.pow.tot.6</t>
        </is>
      </c>
      <c r="CV867" s="22" t="n">
        <v>81.3199580388397</v>
      </c>
      <c r="CW867" s="22" t="n">
        <v>77.07909872145122</v>
      </c>
      <c r="CX867" s="22" t="n">
        <v>87.98983841238358</v>
      </c>
      <c r="CY867" s="22" t="n">
        <v>98.71033016592463</v>
      </c>
      <c r="CZ867" s="22" t="n">
        <v>102.2070056621294</v>
      </c>
      <c r="DA867" s="22" t="n">
        <v>104.8835519534287</v>
      </c>
      <c r="DB867" s="22" t="n">
        <v>86.5106231629657</v>
      </c>
      <c r="DC867" s="22" t="n">
        <v>91.4593132793154</v>
      </c>
      <c r="DD867" s="22" t="n">
        <v>90.03812240350035</v>
      </c>
      <c r="DE867" s="22" t="n">
        <v>94.02100660170004</v>
      </c>
      <c r="DF867" s="22" t="n">
        <v>89.69813884371737</v>
      </c>
      <c r="DG867" s="22" t="n">
        <v>89.91032450501439</v>
      </c>
      <c r="DH867" s="22" t="n">
        <v>86.96552485424897</v>
      </c>
      <c r="DI867" s="22" t="n">
        <v>85.83421837117078</v>
      </c>
      <c r="DJ867" s="22" t="n">
        <v>83.89191156600062</v>
      </c>
      <c r="DK867" s="22" t="n">
        <v>82.87471469369298</v>
      </c>
      <c r="DL867" s="22" t="n">
        <v>81.10766378330858</v>
      </c>
      <c r="DM867" s="22" t="n">
        <v>80.19044833999807</v>
      </c>
      <c r="DN867" s="22" t="n">
        <v>78.62552263181112</v>
      </c>
      <c r="DO867" s="22" t="n">
        <v>77.83300321524642</v>
      </c>
    </row>
    <row r="868">
      <c r="A868" s="19" t="inlineStr">
        <is>
          <t>mit.co2.tot.tot</t>
        </is>
      </c>
      <c r="B868" s="3" t="inlineStr">
        <is>
          <t>mit</t>
        </is>
      </c>
      <c r="C868" s="19" t="n"/>
      <c r="H868" s="3" t="inlineStr">
        <is>
          <t>CO2 emissions from fuel combustion | All sectors | All fuels</t>
        </is>
      </c>
      <c r="I868" s="3" t="inlineStr">
        <is>
          <t>MtCO2</t>
        </is>
      </c>
      <c r="K868" s="20" t="inlineStr">
        <is>
          <t>egy.mit.co2.tot.tot.1</t>
        </is>
      </c>
      <c r="L868" s="22" t="n">
        <v>211.0535364</v>
      </c>
      <c r="M868" s="22" t="n">
        <v>207.0410283029422</v>
      </c>
      <c r="N868" s="22" t="n">
        <v>242.7147431157638</v>
      </c>
      <c r="O868" s="22" t="n">
        <v>257.689977489835</v>
      </c>
      <c r="P868" s="22" t="n">
        <v>264.5777375367369</v>
      </c>
      <c r="Q868" s="22" t="n">
        <v>271.5523149205187</v>
      </c>
      <c r="R868" s="22" t="n">
        <v>279.6146335040884</v>
      </c>
      <c r="S868" s="22" t="n">
        <v>287.6221812453862</v>
      </c>
      <c r="T868" s="22" t="n">
        <v>294.1593592216437</v>
      </c>
      <c r="U868" s="22" t="n">
        <v>297.4840868457081</v>
      </c>
      <c r="V868" s="22" t="n">
        <v>300.4372037896155</v>
      </c>
      <c r="W868" s="22" t="n">
        <v>306.3435105308475</v>
      </c>
      <c r="X868" s="22" t="n">
        <v>311.6839321014054</v>
      </c>
      <c r="Y868" s="22" t="n">
        <v>317.528715938791</v>
      </c>
      <c r="Z868" s="22" t="n">
        <v>323.4256765889039</v>
      </c>
      <c r="AA868" s="22" t="n">
        <v>329.4296921501582</v>
      </c>
      <c r="AB868" s="22" t="n">
        <v>335.5250807034126</v>
      </c>
      <c r="AC868" s="22" t="n">
        <v>341.7133561710508</v>
      </c>
      <c r="AD868" s="22" t="n">
        <v>348.0049577939575</v>
      </c>
      <c r="AE868" s="22" t="n">
        <v>354.4026223242067</v>
      </c>
      <c r="AG868" s="20" t="inlineStr">
        <is>
          <t>egy.mit.co2.tot.tot.3</t>
        </is>
      </c>
      <c r="AH868" s="22" t="n">
        <v>211.0535364</v>
      </c>
      <c r="AI868" s="22" t="n">
        <v>206.9876039917904</v>
      </c>
      <c r="AJ868" s="22" t="n">
        <v>242.6632482362779</v>
      </c>
      <c r="AK868" s="22" t="n">
        <v>257.6403448611898</v>
      </c>
      <c r="AL868" s="22" t="n">
        <v>264.5280819565958</v>
      </c>
      <c r="AM868" s="22" t="n">
        <v>248.5089585322797</v>
      </c>
      <c r="AN868" s="22" t="n">
        <v>245.8389413846545</v>
      </c>
      <c r="AO868" s="22" t="n">
        <v>255.1801225359139</v>
      </c>
      <c r="AP868" s="22" t="n">
        <v>259.8969914220162</v>
      </c>
      <c r="AQ868" s="22" t="n">
        <v>264.0325802203643</v>
      </c>
      <c r="AR868" s="22" t="n">
        <v>266.4111628397339</v>
      </c>
      <c r="AS868" s="22" t="n">
        <v>272.3744460889114</v>
      </c>
      <c r="AT868" s="22" t="n">
        <v>277.0186146664238</v>
      </c>
      <c r="AU868" s="22" t="n">
        <v>282.4985234951865</v>
      </c>
      <c r="AV868" s="22" t="n">
        <v>288.0597579298014</v>
      </c>
      <c r="AW868" s="22" t="n">
        <v>293.8368165939305</v>
      </c>
      <c r="AX868" s="22" t="n">
        <v>299.5537054829613</v>
      </c>
      <c r="AY868" s="22" t="n">
        <v>305.3026181986414</v>
      </c>
      <c r="AZ868" s="22" t="n">
        <v>310.9631779607115</v>
      </c>
      <c r="BA868" s="22" t="n">
        <v>316.6810220491903</v>
      </c>
      <c r="BC868" s="20" t="inlineStr">
        <is>
          <t>egy.mit.co2.tot.tot.4</t>
        </is>
      </c>
      <c r="BD868" s="22" t="n">
        <v>211.0535364</v>
      </c>
      <c r="BE868" s="22" t="n">
        <v>206.8560934316888</v>
      </c>
      <c r="BF868" s="22" t="n">
        <v>242.5364953719796</v>
      </c>
      <c r="BG868" s="22" t="n">
        <v>257.518183749065</v>
      </c>
      <c r="BH868" s="22" t="n">
        <v>264.4061057939579</v>
      </c>
      <c r="BI868" s="22" t="n">
        <v>256.511647265009</v>
      </c>
      <c r="BJ868" s="22" t="n">
        <v>243.2436786341405</v>
      </c>
      <c r="BK868" s="22" t="n">
        <v>229.3951852380417</v>
      </c>
      <c r="BL868" s="22" t="n">
        <v>220.283224145941</v>
      </c>
      <c r="BM868" s="22" t="n">
        <v>215.2149240392841</v>
      </c>
      <c r="BN868" s="22" t="n">
        <v>207.3283846519539</v>
      </c>
      <c r="BO868" s="22" t="n">
        <v>203.1902748215666</v>
      </c>
      <c r="BP868" s="22" t="n">
        <v>197.3380314605178</v>
      </c>
      <c r="BQ868" s="22" t="n">
        <v>193.627236833236</v>
      </c>
      <c r="BR868" s="22" t="n">
        <v>188.9813407358086</v>
      </c>
      <c r="BS868" s="22" t="n">
        <v>185.9934460035681</v>
      </c>
      <c r="BT868" s="22" t="n">
        <v>181.9407095740375</v>
      </c>
      <c r="BU868" s="22" t="n">
        <v>179.6578176908038</v>
      </c>
      <c r="BV868" s="22" t="n">
        <v>175.72158349542</v>
      </c>
      <c r="BW868" s="22" t="n">
        <v>174.2586952575411</v>
      </c>
      <c r="BY868" s="20" t="inlineStr">
        <is>
          <t>egy.mit.co2.tot.tot.5</t>
        </is>
      </c>
      <c r="BZ868" s="22" t="n">
        <v>211.0535364</v>
      </c>
      <c r="CA868" s="22" t="n">
        <v>206.7272622499039</v>
      </c>
      <c r="CB868" s="22" t="n">
        <v>242.4121670359718</v>
      </c>
      <c r="CC868" s="22" t="n">
        <v>257.3982043818996</v>
      </c>
      <c r="CD868" s="22" t="n">
        <v>264.2859744643947</v>
      </c>
      <c r="CE868" s="22" t="n">
        <v>244.9890036472554</v>
      </c>
      <c r="CF868" s="22" t="n">
        <v>251.8334579767699</v>
      </c>
      <c r="CG868" s="22" t="n">
        <v>258.7743474283282</v>
      </c>
      <c r="CH868" s="22" t="n">
        <v>263.9446050223305</v>
      </c>
      <c r="CI868" s="22" t="n">
        <v>265.1498333392173</v>
      </c>
      <c r="CJ868" s="22" t="n">
        <v>264.6842358917359</v>
      </c>
      <c r="CK868" s="22" t="n">
        <v>268.4830262851629</v>
      </c>
      <c r="CL868" s="22" t="n">
        <v>267.9301083330643</v>
      </c>
      <c r="CM868" s="22" t="n">
        <v>268.6585300536962</v>
      </c>
      <c r="CN868" s="22" t="n">
        <v>269.8892202171522</v>
      </c>
      <c r="CO868" s="22" t="n">
        <v>270.5697483353708</v>
      </c>
      <c r="CP868" s="22" t="n">
        <v>271.7578957205109</v>
      </c>
      <c r="CQ868" s="22" t="n">
        <v>273.1776456982765</v>
      </c>
      <c r="CR868" s="22" t="n">
        <v>274.3970792541219</v>
      </c>
      <c r="CS868" s="22" t="n">
        <v>276.0587174083745</v>
      </c>
      <c r="CU868" s="20" t="inlineStr">
        <is>
          <t>egy.mit.co2.tot.tot.6</t>
        </is>
      </c>
      <c r="CV868" s="22" t="n">
        <v>211.0535364</v>
      </c>
      <c r="CW868" s="22" t="n">
        <v>206.913593095572</v>
      </c>
      <c r="CX868" s="22" t="n">
        <v>242.591913491098</v>
      </c>
      <c r="CY868" s="22" t="n">
        <v>257.5715929732009</v>
      </c>
      <c r="CZ868" s="22" t="n">
        <v>264.4593932927386</v>
      </c>
      <c r="DA868" s="22" t="n">
        <v>226.1631675259696</v>
      </c>
      <c r="DB868" s="22" t="n">
        <v>211.6109871511082</v>
      </c>
      <c r="DC868" s="22" t="n">
        <v>220.3193947986333</v>
      </c>
      <c r="DD868" s="22" t="n">
        <v>222.0540513077268</v>
      </c>
      <c r="DE868" s="22" t="n">
        <v>229.5218044162605</v>
      </c>
      <c r="DF868" s="22" t="n">
        <v>228.5413631277631</v>
      </c>
      <c r="DG868" s="22" t="n">
        <v>232.3938355890091</v>
      </c>
      <c r="DH868" s="22" t="n">
        <v>233.2313114959745</v>
      </c>
      <c r="DI868" s="22" t="n">
        <v>235.877047858077</v>
      </c>
      <c r="DJ868" s="22" t="n">
        <v>237.8039580027475</v>
      </c>
      <c r="DK868" s="22" t="n">
        <v>240.8219263981445</v>
      </c>
      <c r="DL868" s="22" t="n">
        <v>243.0164063361314</v>
      </c>
      <c r="DM868" s="22" t="n">
        <v>246.0466416484756</v>
      </c>
      <c r="DN868" s="22" t="n">
        <v>248.3206249873394</v>
      </c>
      <c r="DO868" s="22" t="n">
        <v>251.3639350195868</v>
      </c>
    </row>
    <row r="869">
      <c r="A869" s="14" t="n"/>
      <c r="B869" s="3" t="inlineStr">
        <is>
          <t>mit</t>
        </is>
      </c>
      <c r="C869" s="19" t="n"/>
      <c r="H869" s="14" t="inlineStr">
        <is>
          <t>Total CO2 emisions to USD GDP</t>
        </is>
      </c>
      <c r="I869" s="14" t="inlineStr"/>
    </row>
    <row r="870">
      <c r="A870" s="19" t="inlineStr">
        <is>
          <t>mit.gen_mwy.pow.tot</t>
        </is>
      </c>
      <c r="B870" s="3" t="inlineStr">
        <is>
          <t>mit</t>
        </is>
      </c>
      <c r="C870" s="19" t="n"/>
      <c r="H870" s="3" t="inlineStr">
        <is>
          <t>Generation, total</t>
        </is>
      </c>
      <c r="I870" s="3" t="inlineStr">
        <is>
          <t>MWy</t>
        </is>
      </c>
      <c r="K870" s="20" t="inlineStr">
        <is>
          <t>egy.mit.gen_mwy.pow.tot.1</t>
        </is>
      </c>
      <c r="L870" s="23" t="n">
        <v>24192.48488439988</v>
      </c>
      <c r="M870" s="23" t="n">
        <v>23573.90156472828</v>
      </c>
      <c r="N870" s="23" t="n">
        <v>26717.98643467805</v>
      </c>
      <c r="O870" s="23" t="n">
        <v>30251.40341301123</v>
      </c>
      <c r="P870" s="23" t="n">
        <v>31717.86506675257</v>
      </c>
      <c r="Q870" s="23" t="n">
        <v>32965.92225088148</v>
      </c>
      <c r="R870" s="23" t="n">
        <v>34278.23234224743</v>
      </c>
      <c r="S870" s="23" t="n">
        <v>35661.74386306156</v>
      </c>
      <c r="T870" s="23" t="n">
        <v>36740.92385438177</v>
      </c>
      <c r="U870" s="23" t="n">
        <v>37863.93785507329</v>
      </c>
      <c r="V870" s="23" t="n">
        <v>38972.24851743015</v>
      </c>
      <c r="W870" s="23" t="n">
        <v>40913.62316540359</v>
      </c>
      <c r="X870" s="23" t="n">
        <v>42886.67932975746</v>
      </c>
      <c r="Y870" s="23" t="n">
        <v>44961.67488225171</v>
      </c>
      <c r="Z870" s="23" t="n">
        <v>47090.46178101845</v>
      </c>
      <c r="AA870" s="23" t="n">
        <v>49273.84072056838</v>
      </c>
      <c r="AB870" s="23" t="n">
        <v>51510.80185174825</v>
      </c>
      <c r="AC870" s="23" t="n">
        <v>53802.09651360512</v>
      </c>
      <c r="AD870" s="23" t="n">
        <v>56150.5107106555</v>
      </c>
      <c r="AE870" s="23" t="n">
        <v>58557.47317225004</v>
      </c>
      <c r="AG870" s="20" t="inlineStr">
        <is>
          <t>egy.mit.gen_mwy.pow.tot.3</t>
        </is>
      </c>
      <c r="AH870" s="23" t="n">
        <v>24192.48488439988</v>
      </c>
      <c r="AI870" s="23" t="n">
        <v>23573.90156472828</v>
      </c>
      <c r="AJ870" s="23" t="n">
        <v>26717.98643467805</v>
      </c>
      <c r="AK870" s="23" t="n">
        <v>30251.40341301123</v>
      </c>
      <c r="AL870" s="23" t="n">
        <v>31717.3399316914</v>
      </c>
      <c r="AM870" s="23" t="n">
        <v>32964.54896522355</v>
      </c>
      <c r="AN870" s="23" t="n">
        <v>31384.93060647518</v>
      </c>
      <c r="AO870" s="23" t="n">
        <v>32730.11846351582</v>
      </c>
      <c r="AP870" s="23" t="n">
        <v>33467.47574033176</v>
      </c>
      <c r="AQ870" s="23" t="n">
        <v>34953.58402367398</v>
      </c>
      <c r="AR870" s="23" t="n">
        <v>36107.16718870113</v>
      </c>
      <c r="AS870" s="23" t="n">
        <v>38040.64968013595</v>
      </c>
      <c r="AT870" s="23" t="n">
        <v>39968.48115081099</v>
      </c>
      <c r="AU870" s="23" t="n">
        <v>42006.62851202318</v>
      </c>
      <c r="AV870" s="23" t="n">
        <v>44107.28641497057</v>
      </c>
      <c r="AW870" s="23" t="n">
        <v>46278.55338488305</v>
      </c>
      <c r="AX870" s="23" t="n">
        <v>48483.7600941947</v>
      </c>
      <c r="AY870" s="23" t="n">
        <v>50733.20375268651</v>
      </c>
      <c r="AZ870" s="23" t="n">
        <v>53010.07287930881</v>
      </c>
      <c r="BA870" s="23" t="n">
        <v>55335.08298205656</v>
      </c>
      <c r="BC870" s="20" t="inlineStr">
        <is>
          <t>egy.mit.gen_mwy.pow.tot.4</t>
        </is>
      </c>
      <c r="BD870" s="23" t="n">
        <v>24192.48488439988</v>
      </c>
      <c r="BE870" s="23" t="n">
        <v>23573.90156472828</v>
      </c>
      <c r="BF870" s="23" t="n">
        <v>26717.98643467805</v>
      </c>
      <c r="BG870" s="23" t="n">
        <v>30251.40341301123</v>
      </c>
      <c r="BH870" s="23" t="n">
        <v>31716.11485755555</v>
      </c>
      <c r="BI870" s="23" t="n">
        <v>32961.29045563116</v>
      </c>
      <c r="BJ870" s="23" t="n">
        <v>32732.9747241307</v>
      </c>
      <c r="BK870" s="23" t="n">
        <v>32283.81478441546</v>
      </c>
      <c r="BL870" s="23" t="n">
        <v>31782.21635162112</v>
      </c>
      <c r="BM870" s="23" t="n">
        <v>31796.40445409017</v>
      </c>
      <c r="BN870" s="23" t="n">
        <v>31789.36718667428</v>
      </c>
      <c r="BO870" s="23" t="n">
        <v>32153.8344841861</v>
      </c>
      <c r="BP870" s="23" t="n">
        <v>32588.64560420554</v>
      </c>
      <c r="BQ870" s="23" t="n">
        <v>33287.49182638205</v>
      </c>
      <c r="BR870" s="23" t="n">
        <v>34050.25610736323</v>
      </c>
      <c r="BS870" s="23" t="n">
        <v>35054.64206832148</v>
      </c>
      <c r="BT870" s="23" t="n">
        <v>36085.0240711913</v>
      </c>
      <c r="BU870" s="23" t="n">
        <v>37365.07181535178</v>
      </c>
      <c r="BV870" s="23" t="n">
        <v>38592.65239399676</v>
      </c>
      <c r="BW870" s="23" t="n">
        <v>40126.89222155725</v>
      </c>
      <c r="BY870" s="20" t="inlineStr">
        <is>
          <t>egy.mit.gen_mwy.pow.tot.5</t>
        </is>
      </c>
      <c r="BZ870" s="23" t="n">
        <v>24192.48488439988</v>
      </c>
      <c r="CA870" s="23" t="n">
        <v>23573.90156472828</v>
      </c>
      <c r="CB870" s="23" t="n">
        <v>26717.98643467805</v>
      </c>
      <c r="CC870" s="23" t="n">
        <v>30251.40341301123</v>
      </c>
      <c r="CD870" s="23" t="n">
        <v>31714.85936479596</v>
      </c>
      <c r="CE870" s="23" t="n">
        <v>32957.99369446711</v>
      </c>
      <c r="CF870" s="23" t="n">
        <v>34266.66506368075</v>
      </c>
      <c r="CG870" s="23" t="n">
        <v>35661.91331585388</v>
      </c>
      <c r="CH870" s="23" t="n">
        <v>36697.59241870695</v>
      </c>
      <c r="CI870" s="23" t="n">
        <v>37834.72049569427</v>
      </c>
      <c r="CJ870" s="23" t="n">
        <v>38915.80975854474</v>
      </c>
      <c r="CK870" s="23" t="n">
        <v>40917.6291884763</v>
      </c>
      <c r="CL870" s="23" t="n">
        <v>42975.09031544036</v>
      </c>
      <c r="CM870" s="23" t="n">
        <v>45118.08411386675</v>
      </c>
      <c r="CN870" s="23" t="n">
        <v>47433.40336644395</v>
      </c>
      <c r="CO870" s="23" t="n">
        <v>49803.62715038015</v>
      </c>
      <c r="CP870" s="23" t="n">
        <v>52222.16308082342</v>
      </c>
      <c r="CQ870" s="23" t="n">
        <v>54714.23107792136</v>
      </c>
      <c r="CR870" s="23" t="n">
        <v>57231.20007042499</v>
      </c>
      <c r="CS870" s="23" t="n">
        <v>59810.41566987627</v>
      </c>
      <c r="CU870" s="20" t="inlineStr">
        <is>
          <t>egy.mit.gen_mwy.pow.tot.6</t>
        </is>
      </c>
      <c r="CV870" s="23" t="n">
        <v>24192.48488439988</v>
      </c>
      <c r="CW870" s="23" t="n">
        <v>23573.90156472828</v>
      </c>
      <c r="CX870" s="23" t="n">
        <v>26717.98643467805</v>
      </c>
      <c r="CY870" s="23" t="n">
        <v>30251.40341301123</v>
      </c>
      <c r="CZ870" s="23" t="n">
        <v>31716.63904364742</v>
      </c>
      <c r="DA870" s="23" t="n">
        <v>32962.69447762721</v>
      </c>
      <c r="DB870" s="23" t="n">
        <v>28156.58307956539</v>
      </c>
      <c r="DC870" s="23" t="n">
        <v>29497.77814089263</v>
      </c>
      <c r="DD870" s="23" t="n">
        <v>29939.76475050501</v>
      </c>
      <c r="DE870" s="23" t="n">
        <v>31380.73363398892</v>
      </c>
      <c r="DF870" s="23" t="n">
        <v>32745.59102499548</v>
      </c>
      <c r="DG870" s="23" t="n">
        <v>34651.62564886298</v>
      </c>
      <c r="DH870" s="23" t="n">
        <v>36673.57403837181</v>
      </c>
      <c r="DI870" s="23" t="n">
        <v>38921.91165817327</v>
      </c>
      <c r="DJ870" s="23" t="n">
        <v>41233.30045945552</v>
      </c>
      <c r="DK870" s="23" t="n">
        <v>43694.97263765315</v>
      </c>
      <c r="DL870" s="23" t="n">
        <v>46152.34583588846</v>
      </c>
      <c r="DM870" s="23" t="n">
        <v>48690.43245200474</v>
      </c>
      <c r="DN870" s="23" t="n">
        <v>51192.67768344616</v>
      </c>
      <c r="DO870" s="23" t="n">
        <v>53765.66329281681</v>
      </c>
    </row>
    <row r="871">
      <c r="A871" s="14" t="n"/>
      <c r="B871" s="3" t="inlineStr">
        <is>
          <t>mit</t>
        </is>
      </c>
      <c r="C871" s="19" t="n"/>
      <c r="H871" s="14" t="inlineStr">
        <is>
          <t>Proportion of renewables in total generation, base year</t>
        </is>
      </c>
      <c r="I871" s="14" t="inlineStr"/>
    </row>
    <row r="872">
      <c r="A872" s="19" t="inlineStr">
        <is>
          <t>mit.vre</t>
        </is>
      </c>
      <c r="B872" s="3" t="inlineStr">
        <is>
          <t>mit</t>
        </is>
      </c>
      <c r="C872" s="19" t="n"/>
      <c r="H872" s="3" t="inlineStr">
        <is>
          <t>Variable renewable share of generation (wind, solar, other renewables)</t>
        </is>
      </c>
      <c r="I872" s="3" t="inlineStr">
        <is>
          <t>share</t>
        </is>
      </c>
      <c r="K872" s="20" t="inlineStr">
        <is>
          <t>egy.mit.vre.1</t>
        </is>
      </c>
      <c r="L872" s="25" t="n">
        <v>0.05048091856203345</v>
      </c>
      <c r="M872" s="25" t="n">
        <v>0.0733825335968068</v>
      </c>
      <c r="N872" s="25" t="n">
        <v>0.06239164335433842</v>
      </c>
      <c r="O872" s="25" t="n">
        <v>0.08410395930554271</v>
      </c>
      <c r="P872" s="25" t="n">
        <v>0.1092049972894674</v>
      </c>
      <c r="Q872" s="25" t="n">
        <v>0.1343679796837429</v>
      </c>
      <c r="R872" s="25" t="n">
        <v>0.1588797219876406</v>
      </c>
      <c r="S872" s="25" t="n">
        <v>0.1827761981225065</v>
      </c>
      <c r="T872" s="25" t="n">
        <v>0.2082313921075592</v>
      </c>
      <c r="U872" s="25" t="n">
        <v>0.2318856612829586</v>
      </c>
      <c r="V872" s="25" t="n">
        <v>0.2558938148012561</v>
      </c>
      <c r="W872" s="25" t="n">
        <v>0.2729775452101032</v>
      </c>
      <c r="X872" s="25" t="n">
        <v>0.288298347334771</v>
      </c>
      <c r="Y872" s="25" t="n">
        <v>0.3031387252147195</v>
      </c>
      <c r="Z872" s="25" t="n">
        <v>0.3170265680819183</v>
      </c>
      <c r="AA872" s="25" t="n">
        <v>0.3301548227354812</v>
      </c>
      <c r="AB872" s="25" t="n">
        <v>0.3425575589031943</v>
      </c>
      <c r="AC872" s="25" t="n">
        <v>0.3542985390499975</v>
      </c>
      <c r="AD872" s="25" t="n">
        <v>0.3654185289811006</v>
      </c>
      <c r="AE872" s="25" t="n">
        <v>0.3759634143984517</v>
      </c>
      <c r="AG872" s="20" t="inlineStr">
        <is>
          <t>egy.mit.vre.3</t>
        </is>
      </c>
      <c r="AH872" s="25" t="n">
        <v>0.05048091856203345</v>
      </c>
      <c r="AI872" s="25" t="n">
        <v>0.07400927955952598</v>
      </c>
      <c r="AJ872" s="25" t="n">
        <v>0.06292448515977604</v>
      </c>
      <c r="AK872" s="25" t="n">
        <v>0.08455735658897762</v>
      </c>
      <c r="AL872" s="25" t="n">
        <v>0.1096233738900544</v>
      </c>
      <c r="AM872" s="25" t="n">
        <v>0.1347596093266973</v>
      </c>
      <c r="AN872" s="25" t="n">
        <v>0.1739169052162907</v>
      </c>
      <c r="AO872" s="25" t="n">
        <v>0.1606713060458398</v>
      </c>
      <c r="AP872" s="25" t="n">
        <v>0.1881716095903672</v>
      </c>
      <c r="AQ872" s="25" t="n">
        <v>0.2115693297847622</v>
      </c>
      <c r="AR872" s="25" t="n">
        <v>0.2352301511770035</v>
      </c>
      <c r="AS872" s="25" t="n">
        <v>0.2513989610858943</v>
      </c>
      <c r="AT872" s="25" t="n">
        <v>0.2678415107225657</v>
      </c>
      <c r="AU872" s="25" t="n">
        <v>0.2836797450180232</v>
      </c>
      <c r="AV872" s="25" t="n">
        <v>0.2983629372844261</v>
      </c>
      <c r="AW872" s="25" t="n">
        <v>0.3121149045555223</v>
      </c>
      <c r="AX872" s="25" t="n">
        <v>0.3252237672234392</v>
      </c>
      <c r="AY872" s="25" t="n">
        <v>0.3377127392152943</v>
      </c>
      <c r="AZ872" s="25" t="n">
        <v>0.3497071273606792</v>
      </c>
      <c r="BA872" s="25" t="n">
        <v>0.3611290971196069</v>
      </c>
      <c r="BC872" s="20" t="inlineStr">
        <is>
          <t>egy.mit.vre.4</t>
        </is>
      </c>
      <c r="BD872" s="25" t="n">
        <v>0.05048091856203345</v>
      </c>
      <c r="BE872" s="25" t="n">
        <v>0.07556478326050306</v>
      </c>
      <c r="BF872" s="25" t="n">
        <v>0.06424693069544017</v>
      </c>
      <c r="BG872" s="25" t="n">
        <v>0.08568263279744648</v>
      </c>
      <c r="BH872" s="25" t="n">
        <v>0.1106615235688092</v>
      </c>
      <c r="BI872" s="25" t="n">
        <v>0.1357311186946059</v>
      </c>
      <c r="BJ872" s="25" t="n">
        <v>0.167683610478144</v>
      </c>
      <c r="BK872" s="25" t="n">
        <v>0.2031729077249751</v>
      </c>
      <c r="BL872" s="25" t="n">
        <v>0.2091578692495429</v>
      </c>
      <c r="BM872" s="25" t="n">
        <v>0.2127448785898325</v>
      </c>
      <c r="BN872" s="25" t="n">
        <v>0.2430754493575233</v>
      </c>
      <c r="BO872" s="25" t="n">
        <v>0.2557788698558577</v>
      </c>
      <c r="BP872" s="25" t="n">
        <v>0.2821244507784096</v>
      </c>
      <c r="BQ872" s="25" t="n">
        <v>0.303060025393555</v>
      </c>
      <c r="BR872" s="25" t="n">
        <v>0.324208544094676</v>
      </c>
      <c r="BS872" s="25" t="n">
        <v>0.3421735494197397</v>
      </c>
      <c r="BT872" s="25" t="n">
        <v>0.3588306683446284</v>
      </c>
      <c r="BU872" s="25" t="n">
        <v>0.3724745818355517</v>
      </c>
      <c r="BV872" s="25" t="n">
        <v>0.3859165545185573</v>
      </c>
      <c r="BW872" s="25" t="n">
        <v>0.396135605719075</v>
      </c>
      <c r="BY872" s="20" t="inlineStr">
        <is>
          <t>egy.mit.vre.5</t>
        </is>
      </c>
      <c r="BZ872" s="25" t="n">
        <v>0.05048091856203345</v>
      </c>
      <c r="CA872" s="25" t="n">
        <v>0.07707922408013052</v>
      </c>
      <c r="CB872" s="25" t="n">
        <v>0.06553610551522682</v>
      </c>
      <c r="CC872" s="25" t="n">
        <v>0.08678105034426642</v>
      </c>
      <c r="CD872" s="25" t="n">
        <v>0.1116765735655461</v>
      </c>
      <c r="CE872" s="25" t="n">
        <v>0.1366827469761916</v>
      </c>
      <c r="CF872" s="25" t="n">
        <v>0.161048637025275</v>
      </c>
      <c r="CG872" s="25" t="n">
        <v>0.1847334530496474</v>
      </c>
      <c r="CH872" s="25" t="n">
        <v>0.2103101170575025</v>
      </c>
      <c r="CI872" s="25" t="n">
        <v>0.2355977628373742</v>
      </c>
      <c r="CJ872" s="25" t="n">
        <v>0.25948923314692</v>
      </c>
      <c r="CK872" s="25" t="n">
        <v>0.2758977566148927</v>
      </c>
      <c r="CL872" s="25" t="n">
        <v>0.2903350732541281</v>
      </c>
      <c r="CM872" s="25" t="n">
        <v>0.3045693064394137</v>
      </c>
      <c r="CN872" s="25" t="n">
        <v>0.3171662500745757</v>
      </c>
      <c r="CO872" s="25" t="n">
        <v>0.3290641812222025</v>
      </c>
      <c r="CP872" s="25" t="n">
        <v>0.3405396977907759</v>
      </c>
      <c r="CQ872" s="25" t="n">
        <v>0.3513677752433981</v>
      </c>
      <c r="CR872" s="25" t="n">
        <v>0.3618979353633205</v>
      </c>
      <c r="CS872" s="25" t="n">
        <v>0.3719619900250858</v>
      </c>
      <c r="CU872" s="20" t="inlineStr">
        <is>
          <t>egy.mit.vre.6</t>
        </is>
      </c>
      <c r="CV872" s="25" t="n">
        <v>0.05048091856203345</v>
      </c>
      <c r="CW872" s="25" t="n">
        <v>0.07488255949731697</v>
      </c>
      <c r="CX872" s="25" t="n">
        <v>0.06366692322301647</v>
      </c>
      <c r="CY872" s="25" t="n">
        <v>0.08518910092782196</v>
      </c>
      <c r="CZ872" s="25" t="n">
        <v>0.1102062393871357</v>
      </c>
      <c r="DA872" s="25" t="n">
        <v>0.135305105020315</v>
      </c>
      <c r="DB872" s="25" t="n">
        <v>0.1944640923997712</v>
      </c>
      <c r="DC872" s="25" t="n">
        <v>0.1788353018599653</v>
      </c>
      <c r="DD872" s="25" t="n">
        <v>0.2009964672876128</v>
      </c>
      <c r="DE872" s="25" t="n">
        <v>0.1957407605763821</v>
      </c>
      <c r="DF872" s="25" t="n">
        <v>0.2178311839653589</v>
      </c>
      <c r="DG872" s="25" t="n">
        <v>0.236276984781477</v>
      </c>
      <c r="DH872" s="25" t="n">
        <v>0.2523427803921895</v>
      </c>
      <c r="DI872" s="25" t="n">
        <v>0.2667430935162751</v>
      </c>
      <c r="DJ872" s="25" t="n">
        <v>0.2802230175342744</v>
      </c>
      <c r="DK872" s="25" t="n">
        <v>0.2925687115791546</v>
      </c>
      <c r="DL872" s="25" t="n">
        <v>0.3047089247654919</v>
      </c>
      <c r="DM872" s="25" t="n">
        <v>0.3162912546681281</v>
      </c>
      <c r="DN872" s="25" t="n">
        <v>0.3279091484733392</v>
      </c>
      <c r="DO872" s="25" t="n">
        <v>0.3390054539022236</v>
      </c>
    </row>
    <row r="873">
      <c r="A873" s="19" t="inlineStr">
        <is>
          <t>mit.co2.grid.pow.all</t>
        </is>
      </c>
      <c r="B873" s="3" t="inlineStr">
        <is>
          <t>mit</t>
        </is>
      </c>
      <c r="C873" s="19" t="n"/>
      <c r="H873" s="3" t="inlineStr">
        <is>
          <t>Grid emission intensity | Power | All fuels</t>
        </is>
      </c>
      <c r="I873" s="3" t="inlineStr">
        <is>
          <t>tCO2 per MWh</t>
        </is>
      </c>
      <c r="K873" s="20" t="inlineStr">
        <is>
          <t>egy.mit.co2.grid.pow.all.1</t>
        </is>
      </c>
      <c r="L873" s="28" t="n">
        <v>0.383718343820494</v>
      </c>
      <c r="M873" s="28" t="n">
        <v>0.373868162900976</v>
      </c>
      <c r="N873" s="28" t="n">
        <v>0.3764701270851148</v>
      </c>
      <c r="O873" s="28" t="n">
        <v>0.3729353177622158</v>
      </c>
      <c r="P873" s="28" t="n">
        <v>0.3682774988826572</v>
      </c>
      <c r="Q873" s="28" t="n">
        <v>0.3636129785440219</v>
      </c>
      <c r="R873" s="28" t="n">
        <v>0.3591336045491126</v>
      </c>
      <c r="S873" s="28" t="n">
        <v>0.354827255628794</v>
      </c>
      <c r="T873" s="28" t="n">
        <v>0.3502140998713446</v>
      </c>
      <c r="U873" s="28" t="n">
        <v>0.3356613102865329</v>
      </c>
      <c r="V873" s="28" t="n">
        <v>0.3209212475050825</v>
      </c>
      <c r="W873" s="28" t="n">
        <v>0.3088327382696669</v>
      </c>
      <c r="X873" s="28" t="n">
        <v>0.2959703969762051</v>
      </c>
      <c r="Y873" s="28" t="n">
        <v>0.2847421142448849</v>
      </c>
      <c r="Z873" s="28" t="n">
        <v>0.2741926092390788</v>
      </c>
      <c r="AA873" s="28" t="n">
        <v>0.2643939091662428</v>
      </c>
      <c r="AB873" s="28" t="n">
        <v>0.2552545152705948</v>
      </c>
      <c r="AC873" s="28" t="n">
        <v>0.2467217907874788</v>
      </c>
      <c r="AD873" s="28" t="n">
        <v>0.2387581060340849</v>
      </c>
      <c r="AE873" s="28" t="n">
        <v>0.2313204547752099</v>
      </c>
      <c r="AG873" s="20" t="inlineStr">
        <is>
          <t>egy.mit.co2.grid.pow.all.3</t>
        </is>
      </c>
      <c r="AH873" s="28" t="n">
        <v>0.383718343820494</v>
      </c>
      <c r="AI873" s="28" t="n">
        <v>0.3736094587726052</v>
      </c>
      <c r="AJ873" s="28" t="n">
        <v>0.376250110097136</v>
      </c>
      <c r="AK873" s="28" t="n">
        <v>0.3727480264451664</v>
      </c>
      <c r="AL873" s="28" t="n">
        <v>0.3681048788014498</v>
      </c>
      <c r="AM873" s="28" t="n">
        <v>0.3634519979900927</v>
      </c>
      <c r="AN873" s="28" t="n">
        <v>0.3555951569922357</v>
      </c>
      <c r="AO873" s="28" t="n">
        <v>0.3582808614442067</v>
      </c>
      <c r="AP873" s="28" t="n">
        <v>0.353184852361272</v>
      </c>
      <c r="AQ873" s="28" t="n">
        <v>0.338326083579773</v>
      </c>
      <c r="AR873" s="28" t="n">
        <v>0.3222955288829405</v>
      </c>
      <c r="AS873" s="28" t="n">
        <v>0.3111748223437851</v>
      </c>
      <c r="AT873" s="28" t="n">
        <v>0.2970808866871494</v>
      </c>
      <c r="AU873" s="28" t="n">
        <v>0.2857602681224859</v>
      </c>
      <c r="AV873" s="28" t="n">
        <v>0.2751106843133934</v>
      </c>
      <c r="AW873" s="28" t="n">
        <v>0.2652734290117261</v>
      </c>
      <c r="AX873" s="28" t="n">
        <v>0.256034495753473</v>
      </c>
      <c r="AY873" s="28" t="n">
        <v>0.2474323201011064</v>
      </c>
      <c r="AZ873" s="28" t="n">
        <v>0.2393301815386571</v>
      </c>
      <c r="BA873" s="28" t="n">
        <v>0.2317780902986642</v>
      </c>
      <c r="BC873" s="20" t="inlineStr">
        <is>
          <t>egy.mit.co2.grid.pow.all.4</t>
        </is>
      </c>
      <c r="BD873" s="28" t="n">
        <v>0.383718343820494</v>
      </c>
      <c r="BE873" s="28" t="n">
        <v>0.3729726265123642</v>
      </c>
      <c r="BF873" s="28" t="n">
        <v>0.3757085458931019</v>
      </c>
      <c r="BG873" s="28" t="n">
        <v>0.3722870451067489</v>
      </c>
      <c r="BH873" s="28" t="n">
        <v>0.3676800706629553</v>
      </c>
      <c r="BI873" s="28" t="n">
        <v>0.3630558899056457</v>
      </c>
      <c r="BJ873" s="28" t="n">
        <v>0.3568681850918638</v>
      </c>
      <c r="BK873" s="28" t="n">
        <v>0.3418233828733305</v>
      </c>
      <c r="BL873" s="28" t="n">
        <v>0.3384959298021106</v>
      </c>
      <c r="BM873" s="28" t="n">
        <v>0.3349269084224251</v>
      </c>
      <c r="BN873" s="28" t="n">
        <v>0.3190268259277187</v>
      </c>
      <c r="BO873" s="28" t="n">
        <v>0.3108142467601085</v>
      </c>
      <c r="BP873" s="28" t="n">
        <v>0.2943542875628473</v>
      </c>
      <c r="BQ873" s="28" t="n">
        <v>0.2820982087339571</v>
      </c>
      <c r="BR873" s="28" t="n">
        <v>0.2655944066816924</v>
      </c>
      <c r="BS873" s="28" t="n">
        <v>0.2525279665420321</v>
      </c>
      <c r="BT873" s="28" t="n">
        <v>0.2359127890145408</v>
      </c>
      <c r="BU873" s="28" t="n">
        <v>0.2235858809769239</v>
      </c>
      <c r="BV873" s="28" t="n">
        <v>0.2070894811771773</v>
      </c>
      <c r="BW873" s="28" t="n">
        <v>0.1968874507339624</v>
      </c>
      <c r="BY873" s="20" t="inlineStr">
        <is>
          <t>egy.mit.co2.grid.pow.all.5</t>
        </is>
      </c>
      <c r="BZ873" s="28" t="n">
        <v>0.383718343820494</v>
      </c>
      <c r="CA873" s="28" t="n">
        <v>0.3723487689862295</v>
      </c>
      <c r="CB873" s="28" t="n">
        <v>0.3751773407270361</v>
      </c>
      <c r="CC873" s="28" t="n">
        <v>0.3718342966969126</v>
      </c>
      <c r="CD873" s="28" t="n">
        <v>0.367262222288562</v>
      </c>
      <c r="CE873" s="28" t="n">
        <v>0.3626656553055667</v>
      </c>
      <c r="CF873" s="28" t="n">
        <v>0.3582499391762318</v>
      </c>
      <c r="CG873" s="28" t="n">
        <v>0.354020314501988</v>
      </c>
      <c r="CH873" s="28" t="n">
        <v>0.3494041940317111</v>
      </c>
      <c r="CI873" s="28" t="n">
        <v>0.331488615841551</v>
      </c>
      <c r="CJ873" s="28" t="n">
        <v>0.3103944744886835</v>
      </c>
      <c r="CK873" s="28" t="n">
        <v>0.2952674559615169</v>
      </c>
      <c r="CL873" s="28" t="n">
        <v>0.2694674853228343</v>
      </c>
      <c r="CM873" s="28" t="n">
        <v>0.2487293118071123</v>
      </c>
      <c r="CN873" s="28" t="n">
        <v>0.2297368273603759</v>
      </c>
      <c r="CO873" s="28" t="n">
        <v>0.2108174487189071</v>
      </c>
      <c r="CP873" s="28" t="n">
        <v>0.1945837951928441</v>
      </c>
      <c r="CQ873" s="28" t="n">
        <v>0.1799764733153892</v>
      </c>
      <c r="CR873" s="28" t="n">
        <v>0.1662232096953144</v>
      </c>
      <c r="CS873" s="28" t="n">
        <v>0.1542364487013796</v>
      </c>
      <c r="CU873" s="20" t="inlineStr">
        <is>
          <t>egy.mit.co2.grid.pow.all.6</t>
        </is>
      </c>
      <c r="CV873" s="28" t="n">
        <v>0.383718343820494</v>
      </c>
      <c r="CW873" s="28" t="n">
        <v>0.3732510652999838</v>
      </c>
      <c r="CX873" s="28" t="n">
        <v>0.3759453253121359</v>
      </c>
      <c r="CY873" s="28" t="n">
        <v>0.3724885876041757</v>
      </c>
      <c r="CZ873" s="28" t="n">
        <v>0.3678657875360016</v>
      </c>
      <c r="DA873" s="28" t="n">
        <v>0.3632290504038793</v>
      </c>
      <c r="DB873" s="28" t="n">
        <v>0.3507400697617957</v>
      </c>
      <c r="DC873" s="28" t="n">
        <v>0.3539439759417159</v>
      </c>
      <c r="DD873" s="28" t="n">
        <v>0.3433001080982795</v>
      </c>
      <c r="DE873" s="28" t="n">
        <v>0.3420248789076613</v>
      </c>
      <c r="DF873" s="28" t="n">
        <v>0.3126989999605853</v>
      </c>
      <c r="DG873" s="28" t="n">
        <v>0.2961978112684934</v>
      </c>
      <c r="DH873" s="28" t="n">
        <v>0.2707009499539486</v>
      </c>
      <c r="DI873" s="28" t="n">
        <v>0.2517457734541225</v>
      </c>
      <c r="DJ873" s="28" t="n">
        <v>0.2322565044963702</v>
      </c>
      <c r="DK873" s="28" t="n">
        <v>0.2165142417549105</v>
      </c>
      <c r="DL873" s="28" t="n">
        <v>0.2006152788335283</v>
      </c>
      <c r="DM873" s="28" t="n">
        <v>0.1880073827323188</v>
      </c>
      <c r="DN873" s="28" t="n">
        <v>0.1753281267620149</v>
      </c>
      <c r="DO873" s="28" t="n">
        <v>0.1652550249542774</v>
      </c>
    </row>
    <row r="874">
      <c r="A874" s="14" t="n"/>
      <c r="B874" s="3" t="inlineStr">
        <is>
          <t>mit</t>
        </is>
      </c>
      <c r="C874" s="19" t="inlineStr">
        <is>
          <t>mit.tsd.ecy</t>
        </is>
      </c>
      <c r="H874" s="14" t="inlineStr">
        <is>
          <t>Transmission &amp; Stat Differences</t>
        </is>
      </c>
      <c r="I874" s="14" t="inlineStr"/>
    </row>
    <row r="875">
      <c r="A875" s="14" t="n"/>
      <c r="B875" s="3" t="inlineStr">
        <is>
          <t>mit</t>
        </is>
      </c>
      <c r="C875" s="19" t="inlineStr">
        <is>
          <t>mit.eou.ecy</t>
        </is>
      </c>
      <c r="H875" s="14" t="inlineStr">
        <is>
          <t>Energy Industry Own Use</t>
        </is>
      </c>
      <c r="I875" s="14" t="inlineStr"/>
    </row>
    <row r="876">
      <c r="A876" s="14" t="n"/>
      <c r="B876" s="3" t="inlineStr">
        <is>
          <t>mit</t>
        </is>
      </c>
      <c r="C876" s="19" t="inlineStr">
        <is>
          <t>mit.nxp.ecy</t>
        </is>
      </c>
      <c r="H876" s="14" t="inlineStr">
        <is>
          <t>Net Exports (Imports negative)</t>
        </is>
      </c>
      <c r="I876" s="14" t="inlineStr"/>
    </row>
    <row r="877">
      <c r="A877" s="5" t="n"/>
      <c r="B877" s="18" t="inlineStr">
        <is>
          <t>Energy consumption</t>
        </is>
      </c>
      <c r="C877" s="5" t="n"/>
      <c r="D877" s="5" t="n"/>
      <c r="E877" s="5" t="n"/>
      <c r="F877" s="5" t="n"/>
      <c r="G877" s="5" t="n"/>
      <c r="H877" s="5" t="n"/>
      <c r="I877" s="5" t="n"/>
      <c r="J877" s="5" t="n"/>
      <c r="K877" s="5" t="n"/>
      <c r="L877" s="5" t="n"/>
      <c r="M877" s="5" t="n"/>
      <c r="N877" s="5" t="n"/>
      <c r="O877" s="5" t="n"/>
      <c r="P877" s="5" t="n"/>
      <c r="Q877" s="5" t="n"/>
      <c r="R877" s="5" t="n"/>
      <c r="S877" s="5" t="n"/>
      <c r="T877" s="5" t="n"/>
      <c r="U877" s="5" t="n"/>
      <c r="V877" s="5" t="n"/>
      <c r="W877" s="5" t="n"/>
      <c r="X877" s="5" t="n"/>
      <c r="Y877" s="5" t="n"/>
      <c r="Z877" s="5" t="n"/>
      <c r="AA877" s="5" t="n"/>
      <c r="AB877" s="5" t="n"/>
      <c r="AC877" s="5" t="n"/>
      <c r="AD877" s="5" t="n"/>
      <c r="AE877" s="5" t="n"/>
      <c r="AF877" s="5" t="n"/>
      <c r="AG877" s="5" t="n"/>
      <c r="AH877" s="5" t="n"/>
      <c r="AI877" s="5" t="n"/>
      <c r="AJ877" s="5" t="n"/>
      <c r="AK877" s="5" t="n"/>
      <c r="AL877" s="5" t="n"/>
      <c r="AM877" s="5" t="n"/>
      <c r="AN877" s="5" t="n"/>
      <c r="AO877" s="5" t="n"/>
      <c r="AP877" s="5" t="n"/>
      <c r="AQ877" s="5" t="n"/>
      <c r="AR877" s="5" t="n"/>
      <c r="AS877" s="5" t="n"/>
      <c r="AT877" s="5" t="n"/>
      <c r="AU877" s="5" t="n"/>
      <c r="AV877" s="5" t="n"/>
      <c r="AW877" s="5" t="n"/>
      <c r="AX877" s="5" t="n"/>
      <c r="AY877" s="5" t="n"/>
      <c r="AZ877" s="5" t="n"/>
      <c r="BA877" s="5" t="n"/>
      <c r="BB877" s="5" t="n"/>
      <c r="BC877" s="5" t="n"/>
      <c r="BD877" s="5" t="n"/>
      <c r="BE877" s="5" t="n"/>
      <c r="BF877" s="5" t="n"/>
      <c r="BG877" s="5" t="n"/>
      <c r="BH877" s="5" t="n"/>
      <c r="BI877" s="5" t="n"/>
      <c r="BJ877" s="5" t="n"/>
      <c r="BK877" s="5" t="n"/>
      <c r="BL877" s="5" t="n"/>
      <c r="BM877" s="5" t="n"/>
      <c r="BN877" s="5" t="n"/>
      <c r="BO877" s="5" t="n"/>
      <c r="BP877" s="5" t="n"/>
      <c r="BQ877" s="5" t="n"/>
      <c r="BR877" s="5" t="n"/>
      <c r="BS877" s="5" t="n"/>
      <c r="BT877" s="5" t="n"/>
      <c r="BU877" s="5" t="n"/>
      <c r="BV877" s="5" t="n"/>
      <c r="BW877" s="5" t="n"/>
      <c r="BX877" s="5" t="n"/>
      <c r="BY877" s="5" t="n"/>
      <c r="BZ877" s="5" t="n"/>
      <c r="CA877" s="5" t="n"/>
      <c r="CB877" s="5" t="n"/>
      <c r="CC877" s="5" t="n"/>
      <c r="CD877" s="5" t="n"/>
      <c r="CE877" s="5" t="n"/>
      <c r="CF877" s="5" t="n"/>
      <c r="CG877" s="5" t="n"/>
      <c r="CH877" s="5" t="n"/>
      <c r="CI877" s="5" t="n"/>
      <c r="CJ877" s="5" t="n"/>
      <c r="CK877" s="5" t="n"/>
      <c r="CL877" s="5" t="n"/>
      <c r="CM877" s="5" t="n"/>
      <c r="CN877" s="5" t="n"/>
      <c r="CO877" s="5" t="n"/>
      <c r="CP877" s="5" t="n"/>
      <c r="CQ877" s="5" t="n"/>
      <c r="CR877" s="5" t="n"/>
      <c r="CS877" s="5" t="n"/>
      <c r="CT877" s="5" t="n"/>
      <c r="CU877" s="5" t="n"/>
      <c r="CV877" s="5" t="n"/>
      <c r="CW877" s="5" t="n"/>
      <c r="CX877" s="5" t="n"/>
      <c r="CY877" s="5" t="n"/>
      <c r="CZ877" s="5" t="n"/>
      <c r="DA877" s="5" t="n"/>
      <c r="DB877" s="5" t="n"/>
      <c r="DC877" s="5" t="n"/>
      <c r="DD877" s="5" t="n"/>
      <c r="DE877" s="5" t="n"/>
      <c r="DF877" s="5" t="n"/>
      <c r="DG877" s="5" t="n"/>
      <c r="DH877" s="5" t="n"/>
      <c r="DI877" s="5" t="n"/>
      <c r="DJ877" s="5" t="n"/>
      <c r="DK877" s="5" t="n"/>
      <c r="DL877" s="5" t="n"/>
      <c r="DM877" s="5" t="n"/>
      <c r="DN877" s="5" t="n"/>
      <c r="DO877" s="5" t="n"/>
      <c r="DP877" s="5" t="n"/>
      <c r="DQ877" s="5" t="n"/>
      <c r="DR877" s="5" t="n"/>
      <c r="DS877" s="5" t="n"/>
      <c r="DT877" s="5" t="n"/>
      <c r="DU877" s="5" t="n"/>
      <c r="DV877" s="5" t="n"/>
      <c r="DW877" s="5" t="n"/>
      <c r="DX877" s="5" t="n"/>
      <c r="DY877" s="5" t="n"/>
      <c r="DZ877" s="5" t="n"/>
      <c r="EA877" s="5" t="n"/>
      <c r="EB877" s="5" t="n"/>
      <c r="EC877" s="5" t="n"/>
      <c r="ED877" s="5" t="n"/>
      <c r="EE877" s="5" t="n"/>
      <c r="EF877" s="5" t="n"/>
      <c r="EG877" s="5" t="n"/>
      <c r="EH877" s="5" t="n"/>
      <c r="EI877" s="5" t="n"/>
      <c r="EJ877" s="5" t="n"/>
      <c r="EK877" s="5" t="n"/>
      <c r="EL877" s="5" t="n"/>
      <c r="EM877" s="5" t="n"/>
      <c r="EN877" s="5" t="n"/>
      <c r="EO877" s="5" t="n"/>
      <c r="EP877" s="5" t="n"/>
      <c r="EQ877" s="5" t="n"/>
      <c r="ER877" s="5" t="n"/>
      <c r="ES877" s="5" t="n"/>
      <c r="ET877" s="5" t="n"/>
      <c r="EU877" s="5" t="n"/>
      <c r="EV877" s="5" t="n"/>
      <c r="EW877" s="5" t="n"/>
      <c r="EX877" s="5" t="n"/>
      <c r="EY877" s="5" t="n"/>
      <c r="EZ877" s="5" t="n"/>
      <c r="FA877" s="5" t="n"/>
      <c r="FB877" s="5" t="n"/>
      <c r="FC877" s="5" t="n"/>
      <c r="FD877" s="5" t="n"/>
      <c r="FE877" s="5" t="n"/>
      <c r="FF877" s="5" t="n"/>
      <c r="FG877" s="5" t="n"/>
      <c r="FH877" s="5" t="n"/>
      <c r="FI877" s="5" t="n"/>
      <c r="FJ877" s="5" t="n"/>
      <c r="FK877" s="5" t="n"/>
      <c r="FL877" s="5" t="n"/>
      <c r="FM877" s="5" t="n"/>
      <c r="FN877" s="5" t="n"/>
      <c r="FO877" s="5" t="n"/>
      <c r="FP877" s="5" t="n"/>
      <c r="FQ877" s="5" t="n"/>
      <c r="FR877" s="5" t="n"/>
      <c r="FS877" s="5" t="n"/>
      <c r="FT877" s="5" t="n"/>
      <c r="FU877" s="5" t="n"/>
      <c r="FV877" s="5" t="n"/>
      <c r="FW877" s="5" t="n"/>
      <c r="FX877" s="5" t="n"/>
      <c r="FY877" s="5" t="n"/>
      <c r="FZ877" s="5" t="n"/>
      <c r="GA877" s="5" t="n"/>
      <c r="GB877" s="5" t="n"/>
      <c r="GC877" s="5" t="n"/>
      <c r="GD877" s="5" t="n"/>
      <c r="GE877" s="5" t="n"/>
      <c r="GF877" s="5" t="n"/>
      <c r="GG877" s="5" t="n"/>
      <c r="GH877" s="5" t="n"/>
      <c r="GI877" s="5" t="n"/>
      <c r="GJ877" s="5" t="n"/>
      <c r="GK877" s="5" t="n"/>
      <c r="GL877" s="5" t="n"/>
      <c r="GM877" s="5" t="n"/>
      <c r="GN877" s="5" t="n"/>
      <c r="GO877" s="5" t="n"/>
      <c r="GP877" s="5" t="n"/>
      <c r="GQ877" s="5" t="n"/>
      <c r="GR877" s="5" t="n"/>
      <c r="GS877" s="5" t="n"/>
      <c r="GT877" s="5" t="n"/>
      <c r="GU877" s="5" t="n"/>
      <c r="GV877" s="5" t="n"/>
      <c r="GW877" s="5" t="n"/>
      <c r="GX877" s="5" t="n"/>
      <c r="GY877" s="5" t="n"/>
      <c r="GZ877" s="5" t="n"/>
      <c r="HA877" s="5" t="n"/>
      <c r="HB877" s="5" t="n"/>
      <c r="HC877" s="5" t="n"/>
      <c r="HD877" s="5" t="n"/>
      <c r="HE877" s="5" t="n"/>
      <c r="HF877" s="5" t="n"/>
      <c r="HG877" s="5" t="n"/>
      <c r="HH877" s="5" t="n"/>
      <c r="HI877" s="5" t="n"/>
      <c r="HJ877" s="5" t="n"/>
      <c r="HK877" s="5" t="n"/>
      <c r="HL877" s="5" t="n"/>
      <c r="HM877" s="5" t="n"/>
      <c r="HN877" s="5" t="n"/>
      <c r="HO877" s="5" t="n"/>
      <c r="HP877" s="5" t="n"/>
      <c r="HQ877" s="5" t="n"/>
      <c r="HR877" s="5" t="n"/>
      <c r="HS877" s="5" t="n"/>
      <c r="HT877" s="5" t="n"/>
      <c r="HU877" s="5" t="n"/>
      <c r="HV877" s="5" t="n"/>
    </row>
    <row r="878">
      <c r="A878" s="14" t="n"/>
      <c r="B878" s="3" t="inlineStr">
        <is>
          <t>mit</t>
        </is>
      </c>
      <c r="C878" s="19" t="inlineStr">
        <is>
          <t>mit.ec.ele.2026</t>
        </is>
      </c>
      <c r="H878" s="14" t="inlineStr">
        <is>
          <t>Energy Consumption - Electricity</t>
        </is>
      </c>
      <c r="I878" s="14" t="inlineStr"/>
    </row>
    <row r="879">
      <c r="A879" s="14" t="n"/>
      <c r="B879" s="3" t="inlineStr">
        <is>
          <t>mit</t>
        </is>
      </c>
      <c r="C879" s="19" t="inlineStr">
        <is>
          <t>mit.ec.coa.2026</t>
        </is>
      </c>
      <c r="H879" s="14" t="inlineStr">
        <is>
          <t>Energy Consumption - Coal</t>
        </is>
      </c>
      <c r="I879" s="14" t="inlineStr"/>
    </row>
    <row r="880">
      <c r="A880" s="14" t="n"/>
      <c r="B880" s="3" t="inlineStr">
        <is>
          <t>mit</t>
        </is>
      </c>
      <c r="C880" s="19" t="inlineStr">
        <is>
          <t>mit.ec.nga.2026</t>
        </is>
      </c>
      <c r="H880" s="14" t="inlineStr">
        <is>
          <t>Energy Consumption - Natural gas</t>
        </is>
      </c>
      <c r="I880" s="14" t="inlineStr"/>
    </row>
    <row r="881">
      <c r="A881" s="14" t="n"/>
      <c r="B881" s="3" t="inlineStr">
        <is>
          <t>mit</t>
        </is>
      </c>
      <c r="C881" s="19" t="inlineStr">
        <is>
          <t>mit.ec.oop.2026</t>
        </is>
      </c>
      <c r="H881" s="14" t="inlineStr">
        <is>
          <t>Energy Consumption - Other oil products</t>
        </is>
      </c>
      <c r="I881" s="14" t="inlineStr"/>
    </row>
    <row r="882">
      <c r="A882" s="14" t="n"/>
      <c r="B882" s="3" t="inlineStr">
        <is>
          <t>mit</t>
        </is>
      </c>
      <c r="C882" s="19" t="inlineStr">
        <is>
          <t>mit.ec.gso.2026</t>
        </is>
      </c>
      <c r="H882" s="14" t="inlineStr">
        <is>
          <t>Energy Consumption - Gasoline</t>
        </is>
      </c>
      <c r="I882" s="14" t="inlineStr"/>
    </row>
    <row r="883">
      <c r="A883" s="14" t="n"/>
      <c r="B883" s="3" t="inlineStr">
        <is>
          <t>mit</t>
        </is>
      </c>
      <c r="C883" s="19" t="inlineStr">
        <is>
          <t>mit.ec.die.2026</t>
        </is>
      </c>
      <c r="H883" s="14" t="inlineStr">
        <is>
          <t>Energy Consumption - Diesel</t>
        </is>
      </c>
      <c r="I883" s="14" t="inlineStr"/>
    </row>
    <row r="884">
      <c r="A884" s="14" t="n"/>
      <c r="B884" s="3" t="inlineStr">
        <is>
          <t>mit</t>
        </is>
      </c>
      <c r="C884" s="19" t="inlineStr">
        <is>
          <t>mit.ec.ker.2026</t>
        </is>
      </c>
      <c r="H884" s="14" t="inlineStr">
        <is>
          <t>Energy Consumption - Kerosene</t>
        </is>
      </c>
      <c r="I884" s="14" t="inlineStr"/>
    </row>
    <row r="885">
      <c r="A885" s="14" t="n"/>
      <c r="B885" s="3" t="inlineStr">
        <is>
          <t>mit</t>
        </is>
      </c>
      <c r="C885" s="19" t="inlineStr">
        <is>
          <t>mit.ec.lpg.2026</t>
        </is>
      </c>
      <c r="H885" s="14" t="inlineStr">
        <is>
          <t>Energy Consumption - LPG</t>
        </is>
      </c>
      <c r="I885" s="14" t="inlineStr"/>
    </row>
    <row r="886">
      <c r="A886" s="14" t="n"/>
      <c r="B886" s="3" t="inlineStr">
        <is>
          <t>mit</t>
        </is>
      </c>
      <c r="C886" s="19" t="inlineStr">
        <is>
          <t>mit.ec.jfu.2026</t>
        </is>
      </c>
      <c r="H886" s="14" t="inlineStr">
        <is>
          <t>Energy Consumption - Jet fuel</t>
        </is>
      </c>
      <c r="I886" s="14" t="inlineStr"/>
    </row>
    <row r="887">
      <c r="A887" s="14" t="n"/>
      <c r="B887" s="3" t="inlineStr">
        <is>
          <t>mit</t>
        </is>
      </c>
      <c r="C887" s="19" t="inlineStr">
        <is>
          <t>mit.ec.wnd.2026</t>
        </is>
      </c>
      <c r="H887" s="14" t="inlineStr">
        <is>
          <t>Energy Consumption - Wind</t>
        </is>
      </c>
      <c r="I887" s="14" t="inlineStr"/>
    </row>
    <row r="888">
      <c r="A888" s="14" t="n"/>
      <c r="B888" s="3" t="inlineStr">
        <is>
          <t>mit</t>
        </is>
      </c>
      <c r="C888" s="19" t="inlineStr">
        <is>
          <t>mit.ec.sol.2026</t>
        </is>
      </c>
      <c r="H888" s="14" t="inlineStr">
        <is>
          <t>Energy Consumption - Solar</t>
        </is>
      </c>
      <c r="I888" s="14" t="inlineStr"/>
    </row>
    <row r="889">
      <c r="A889" s="14" t="n"/>
      <c r="B889" s="3" t="inlineStr">
        <is>
          <t>mit</t>
        </is>
      </c>
      <c r="C889" s="19" t="inlineStr">
        <is>
          <t>mit.ec.hyd.2026</t>
        </is>
      </c>
      <c r="H889" s="14" t="inlineStr">
        <is>
          <t>Energy Consumption - Hydro</t>
        </is>
      </c>
      <c r="I889" s="14" t="inlineStr"/>
    </row>
    <row r="890">
      <c r="A890" s="14" t="n"/>
      <c r="B890" s="3" t="inlineStr">
        <is>
          <t>mit</t>
        </is>
      </c>
      <c r="C890" s="19" t="inlineStr">
        <is>
          <t>mit.ec.ore.2026</t>
        </is>
      </c>
      <c r="H890" s="14" t="inlineStr">
        <is>
          <t>Energy Consumption - Other renewables / Total self generated renewables</t>
        </is>
      </c>
      <c r="I890" s="14" t="inlineStr"/>
    </row>
    <row r="891">
      <c r="A891" s="14" t="n"/>
      <c r="B891" s="3" t="inlineStr">
        <is>
          <t>mit</t>
        </is>
      </c>
      <c r="C891" s="19" t="inlineStr">
        <is>
          <t>mit.ec.nuc.2026</t>
        </is>
      </c>
      <c r="H891" s="14" t="inlineStr">
        <is>
          <t>Energy Consumption - Nuclear</t>
        </is>
      </c>
      <c r="I891" s="14" t="inlineStr"/>
    </row>
    <row r="892">
      <c r="A892" s="14" t="n"/>
      <c r="B892" s="3" t="inlineStr">
        <is>
          <t>mit</t>
        </is>
      </c>
      <c r="C892" s="19" t="inlineStr">
        <is>
          <t>mit.ec.bio.2026</t>
        </is>
      </c>
      <c r="H892" s="14" t="inlineStr">
        <is>
          <t>Energy Consumption - Biomass</t>
        </is>
      </c>
      <c r="I892" s="14" t="inlineStr"/>
    </row>
    <row r="893">
      <c r="A893" s="14" t="n"/>
      <c r="B893" s="3" t="inlineStr">
        <is>
          <t>mit</t>
        </is>
      </c>
      <c r="C893" s="19" t="inlineStr">
        <is>
          <t>mit.ec.bgs.2026</t>
        </is>
      </c>
      <c r="H893" s="14" t="inlineStr">
        <is>
          <t>Energy Consumption - - in which: biogasoline</t>
        </is>
      </c>
      <c r="I893" s="14" t="inlineStr"/>
    </row>
    <row r="894">
      <c r="A894" s="14" t="n"/>
      <c r="B894" s="3" t="inlineStr">
        <is>
          <t>mit</t>
        </is>
      </c>
      <c r="C894" s="19" t="inlineStr">
        <is>
          <t>mit.ec.bdi.2026</t>
        </is>
      </c>
      <c r="H894" s="14" t="inlineStr">
        <is>
          <t>Energy Consumption - - in which: biodiesel</t>
        </is>
      </c>
      <c r="I894" s="14" t="inlineStr"/>
    </row>
    <row r="895">
      <c r="A895" s="14" t="n"/>
      <c r="B895" s="3" t="inlineStr">
        <is>
          <t>mit</t>
        </is>
      </c>
      <c r="C895" s="19" t="inlineStr">
        <is>
          <t>mit.ec.obf.2026</t>
        </is>
      </c>
      <c r="H895" s="14" t="inlineStr">
        <is>
          <t>Energy Consumption - - in which: other liquid biofuels</t>
        </is>
      </c>
      <c r="I895" s="14" t="inlineStr"/>
    </row>
    <row r="896">
      <c r="A896" s="14" t="n"/>
      <c r="B896" s="3" t="inlineStr">
        <is>
          <t>mit</t>
        </is>
      </c>
      <c r="C896" s="19" t="inlineStr">
        <is>
          <t>mit.ec.heat.2026</t>
        </is>
      </c>
      <c r="H896" s="14" t="inlineStr">
        <is>
          <t>Energy Consumption - Heat</t>
        </is>
      </c>
      <c r="I896" s="14" t="inlineStr"/>
    </row>
    <row r="897">
      <c r="A897" s="5" t="n"/>
      <c r="B897" s="18" t="inlineStr">
        <is>
          <t>Electricity Demand</t>
        </is>
      </c>
      <c r="C897" s="5" t="n"/>
      <c r="D897" s="5" t="n"/>
      <c r="E897" s="5" t="n"/>
      <c r="F897" s="5" t="n"/>
      <c r="G897" s="5" t="n"/>
      <c r="H897" s="5" t="n"/>
      <c r="I897" s="5" t="n"/>
      <c r="J897" s="5" t="n"/>
      <c r="K897" s="5" t="n"/>
      <c r="L897" s="5" t="n"/>
      <c r="M897" s="5" t="n"/>
      <c r="N897" s="5" t="n"/>
      <c r="O897" s="5" t="n"/>
      <c r="P897" s="5" t="n"/>
      <c r="Q897" s="5" t="n"/>
      <c r="R897" s="5" t="n"/>
      <c r="S897" s="5" t="n"/>
      <c r="T897" s="5" t="n"/>
      <c r="U897" s="5" t="n"/>
      <c r="V897" s="5" t="n"/>
      <c r="W897" s="5" t="n"/>
      <c r="X897" s="5" t="n"/>
      <c r="Y897" s="5" t="n"/>
      <c r="Z897" s="5" t="n"/>
      <c r="AA897" s="5" t="n"/>
      <c r="AB897" s="5" t="n"/>
      <c r="AC897" s="5" t="n"/>
      <c r="AD897" s="5" t="n"/>
      <c r="AE897" s="5" t="n"/>
      <c r="AF897" s="5" t="n"/>
      <c r="AG897" s="5" t="n"/>
      <c r="AH897" s="5" t="n"/>
      <c r="AI897" s="5" t="n"/>
      <c r="AJ897" s="5" t="n"/>
      <c r="AK897" s="5" t="n"/>
      <c r="AL897" s="5" t="n"/>
      <c r="AM897" s="5" t="n"/>
      <c r="AN897" s="5" t="n"/>
      <c r="AO897" s="5" t="n"/>
      <c r="AP897" s="5" t="n"/>
      <c r="AQ897" s="5" t="n"/>
      <c r="AR897" s="5" t="n"/>
      <c r="AS897" s="5" t="n"/>
      <c r="AT897" s="5" t="n"/>
      <c r="AU897" s="5" t="n"/>
      <c r="AV897" s="5" t="n"/>
      <c r="AW897" s="5" t="n"/>
      <c r="AX897" s="5" t="n"/>
      <c r="AY897" s="5" t="n"/>
      <c r="AZ897" s="5" t="n"/>
      <c r="BA897" s="5" t="n"/>
      <c r="BB897" s="5" t="n"/>
      <c r="BC897" s="5" t="n"/>
      <c r="BD897" s="5" t="n"/>
      <c r="BE897" s="5" t="n"/>
      <c r="BF897" s="5" t="n"/>
      <c r="BG897" s="5" t="n"/>
      <c r="BH897" s="5" t="n"/>
      <c r="BI897" s="5" t="n"/>
      <c r="BJ897" s="5" t="n"/>
      <c r="BK897" s="5" t="n"/>
      <c r="BL897" s="5" t="n"/>
      <c r="BM897" s="5" t="n"/>
      <c r="BN897" s="5" t="n"/>
      <c r="BO897" s="5" t="n"/>
      <c r="BP897" s="5" t="n"/>
      <c r="BQ897" s="5" t="n"/>
      <c r="BR897" s="5" t="n"/>
      <c r="BS897" s="5" t="n"/>
      <c r="BT897" s="5" t="n"/>
      <c r="BU897" s="5" t="n"/>
      <c r="BV897" s="5" t="n"/>
      <c r="BW897" s="5" t="n"/>
      <c r="BX897" s="5" t="n"/>
      <c r="BY897" s="5" t="n"/>
      <c r="BZ897" s="5" t="n"/>
      <c r="CA897" s="5" t="n"/>
      <c r="CB897" s="5" t="n"/>
      <c r="CC897" s="5" t="n"/>
      <c r="CD897" s="5" t="n"/>
      <c r="CE897" s="5" t="n"/>
      <c r="CF897" s="5" t="n"/>
      <c r="CG897" s="5" t="n"/>
      <c r="CH897" s="5" t="n"/>
      <c r="CI897" s="5" t="n"/>
      <c r="CJ897" s="5" t="n"/>
      <c r="CK897" s="5" t="n"/>
      <c r="CL897" s="5" t="n"/>
      <c r="CM897" s="5" t="n"/>
      <c r="CN897" s="5" t="n"/>
      <c r="CO897" s="5" t="n"/>
      <c r="CP897" s="5" t="n"/>
      <c r="CQ897" s="5" t="n"/>
      <c r="CR897" s="5" t="n"/>
      <c r="CS897" s="5" t="n"/>
      <c r="CT897" s="5" t="n"/>
      <c r="CU897" s="5" t="n"/>
      <c r="CV897" s="5" t="n"/>
      <c r="CW897" s="5" t="n"/>
      <c r="CX897" s="5" t="n"/>
      <c r="CY897" s="5" t="n"/>
      <c r="CZ897" s="5" t="n"/>
      <c r="DA897" s="5" t="n"/>
      <c r="DB897" s="5" t="n"/>
      <c r="DC897" s="5" t="n"/>
      <c r="DD897" s="5" t="n"/>
      <c r="DE897" s="5" t="n"/>
      <c r="DF897" s="5" t="n"/>
      <c r="DG897" s="5" t="n"/>
      <c r="DH897" s="5" t="n"/>
      <c r="DI897" s="5" t="n"/>
      <c r="DJ897" s="5" t="n"/>
      <c r="DK897" s="5" t="n"/>
      <c r="DL897" s="5" t="n"/>
      <c r="DM897" s="5" t="n"/>
      <c r="DN897" s="5" t="n"/>
      <c r="DO897" s="5" t="n"/>
      <c r="DP897" s="5" t="n"/>
      <c r="DQ897" s="5" t="n"/>
      <c r="DR897" s="5" t="n"/>
      <c r="DS897" s="5" t="n"/>
      <c r="DT897" s="5" t="n"/>
      <c r="DU897" s="5" t="n"/>
      <c r="DV897" s="5" t="n"/>
      <c r="DW897" s="5" t="n"/>
      <c r="DX897" s="5" t="n"/>
      <c r="DY897" s="5" t="n"/>
      <c r="DZ897" s="5" t="n"/>
      <c r="EA897" s="5" t="n"/>
      <c r="EB897" s="5" t="n"/>
      <c r="EC897" s="5" t="n"/>
      <c r="ED897" s="5" t="n"/>
      <c r="EE897" s="5" t="n"/>
      <c r="EF897" s="5" t="n"/>
      <c r="EG897" s="5" t="n"/>
      <c r="EH897" s="5" t="n"/>
      <c r="EI897" s="5" t="n"/>
      <c r="EJ897" s="5" t="n"/>
      <c r="EK897" s="5" t="n"/>
      <c r="EL897" s="5" t="n"/>
      <c r="EM897" s="5" t="n"/>
      <c r="EN897" s="5" t="n"/>
      <c r="EO897" s="5" t="n"/>
      <c r="EP897" s="5" t="n"/>
      <c r="EQ897" s="5" t="n"/>
      <c r="ER897" s="5" t="n"/>
      <c r="ES897" s="5" t="n"/>
      <c r="ET897" s="5" t="n"/>
      <c r="EU897" s="5" t="n"/>
      <c r="EV897" s="5" t="n"/>
      <c r="EW897" s="5" t="n"/>
      <c r="EX897" s="5" t="n"/>
      <c r="EY897" s="5" t="n"/>
      <c r="EZ897" s="5" t="n"/>
      <c r="FA897" s="5" t="n"/>
      <c r="FB897" s="5" t="n"/>
      <c r="FC897" s="5" t="n"/>
      <c r="FD897" s="5" t="n"/>
      <c r="FE897" s="5" t="n"/>
      <c r="FF897" s="5" t="n"/>
      <c r="FG897" s="5" t="n"/>
      <c r="FH897" s="5" t="n"/>
      <c r="FI897" s="5" t="n"/>
      <c r="FJ897" s="5" t="n"/>
      <c r="FK897" s="5" t="n"/>
      <c r="FL897" s="5" t="n"/>
      <c r="FM897" s="5" t="n"/>
      <c r="FN897" s="5" t="n"/>
      <c r="FO897" s="5" t="n"/>
      <c r="FP897" s="5" t="n"/>
      <c r="FQ897" s="5" t="n"/>
      <c r="FR897" s="5" t="n"/>
      <c r="FS897" s="5" t="n"/>
      <c r="FT897" s="5" t="n"/>
      <c r="FU897" s="5" t="n"/>
      <c r="FV897" s="5" t="n"/>
      <c r="FW897" s="5" t="n"/>
      <c r="FX897" s="5" t="n"/>
      <c r="FY897" s="5" t="n"/>
      <c r="FZ897" s="5" t="n"/>
      <c r="GA897" s="5" t="n"/>
      <c r="GB897" s="5" t="n"/>
      <c r="GC897" s="5" t="n"/>
      <c r="GD897" s="5" t="n"/>
      <c r="GE897" s="5" t="n"/>
      <c r="GF897" s="5" t="n"/>
      <c r="GG897" s="5" t="n"/>
      <c r="GH897" s="5" t="n"/>
      <c r="GI897" s="5" t="n"/>
      <c r="GJ897" s="5" t="n"/>
      <c r="GK897" s="5" t="n"/>
      <c r="GL897" s="5" t="n"/>
      <c r="GM897" s="5" t="n"/>
      <c r="GN897" s="5" t="n"/>
      <c r="GO897" s="5" t="n"/>
      <c r="GP897" s="5" t="n"/>
      <c r="GQ897" s="5" t="n"/>
      <c r="GR897" s="5" t="n"/>
      <c r="GS897" s="5" t="n"/>
      <c r="GT897" s="5" t="n"/>
      <c r="GU897" s="5" t="n"/>
      <c r="GV897" s="5" t="n"/>
      <c r="GW897" s="5" t="n"/>
      <c r="GX897" s="5" t="n"/>
      <c r="GY897" s="5" t="n"/>
      <c r="GZ897" s="5" t="n"/>
      <c r="HA897" s="5" t="n"/>
      <c r="HB897" s="5" t="n"/>
      <c r="HC897" s="5" t="n"/>
      <c r="HD897" s="5" t="n"/>
      <c r="HE897" s="5" t="n"/>
      <c r="HF897" s="5" t="n"/>
      <c r="HG897" s="5" t="n"/>
      <c r="HH897" s="5" t="n"/>
      <c r="HI897" s="5" t="n"/>
      <c r="HJ897" s="5" t="n"/>
      <c r="HK897" s="5" t="n"/>
      <c r="HL897" s="5" t="n"/>
      <c r="HM897" s="5" t="n"/>
      <c r="HN897" s="5" t="n"/>
      <c r="HO897" s="5" t="n"/>
      <c r="HP897" s="5" t="n"/>
      <c r="HQ897" s="5" t="n"/>
      <c r="HR897" s="5" t="n"/>
      <c r="HS897" s="5" t="n"/>
      <c r="HT897" s="5" t="n"/>
      <c r="HU897" s="5" t="n"/>
      <c r="HV897" s="5" t="n"/>
    </row>
    <row r="898">
      <c r="A898" s="19" t="inlineStr">
        <is>
          <t>mit.demtot</t>
        </is>
      </c>
      <c r="B898" s="3" t="inlineStr">
        <is>
          <t>mit</t>
        </is>
      </c>
      <c r="C898" s="19" t="inlineStr">
        <is>
          <t>mit.elec.twh.sel.tot.ecy</t>
        </is>
      </c>
      <c r="H898" s="3" t="inlineStr">
        <is>
          <t>Electricity demand, total</t>
        </is>
      </c>
      <c r="I898" s="3" t="inlineStr">
        <is>
          <t>ktoe</t>
        </is>
      </c>
      <c r="K898" s="20" t="inlineStr">
        <is>
          <t>egy.mit.demtot.1</t>
        </is>
      </c>
      <c r="L898" s="23" t="n">
        <v>14392.22063055141</v>
      </c>
      <c r="M898" s="23" t="n">
        <v>14024.22256596097</v>
      </c>
      <c r="N898" s="23" t="n">
        <v>15894.65312924199</v>
      </c>
      <c r="O898" s="23" t="n">
        <v>17996.6991561344</v>
      </c>
      <c r="P898" s="23" t="n">
        <v>18869.10394496609</v>
      </c>
      <c r="Q898" s="23" t="n">
        <v>19611.57890937583</v>
      </c>
      <c r="R898" s="23" t="n">
        <v>20392.27822409636</v>
      </c>
      <c r="S898" s="23" t="n">
        <v>21215.3355969794</v>
      </c>
      <c r="T898" s="23" t="n">
        <v>21857.34474194211</v>
      </c>
      <c r="U898" s="23" t="n">
        <v>22525.43094087461</v>
      </c>
      <c r="V898" s="23" t="n">
        <v>23184.77005614335</v>
      </c>
      <c r="W898" s="23" t="n">
        <v>24339.70277155903</v>
      </c>
      <c r="X898" s="23" t="n">
        <v>25513.48296691885</v>
      </c>
      <c r="Y898" s="23" t="n">
        <v>26747.90737357281</v>
      </c>
      <c r="Z898" s="23" t="n">
        <v>28014.33249975878</v>
      </c>
      <c r="AA898" s="23" t="n">
        <v>29313.23468232726</v>
      </c>
      <c r="AB898" s="23" t="n">
        <v>30644.01315736803</v>
      </c>
      <c r="AC898" s="23" t="n">
        <v>32007.11489993905</v>
      </c>
      <c r="AD898" s="23" t="n">
        <v>33404.1973169529</v>
      </c>
      <c r="AE898" s="23" t="n">
        <v>34836.11036607758</v>
      </c>
      <c r="AG898" s="20" t="inlineStr">
        <is>
          <t>egy.mit.demtot.3</t>
        </is>
      </c>
      <c r="AH898" s="23" t="n">
        <v>14392.22063055141</v>
      </c>
      <c r="AI898" s="23" t="n">
        <v>14024.22256596097</v>
      </c>
      <c r="AJ898" s="23" t="n">
        <v>15894.65312924199</v>
      </c>
      <c r="AK898" s="23" t="n">
        <v>17996.6991561344</v>
      </c>
      <c r="AL898" s="23" t="n">
        <v>18868.79153970068</v>
      </c>
      <c r="AM898" s="23" t="n">
        <v>19610.76193541585</v>
      </c>
      <c r="AN898" s="23" t="n">
        <v>18671.03970184588</v>
      </c>
      <c r="AO898" s="23" t="n">
        <v>19471.29815072277</v>
      </c>
      <c r="AP898" s="23" t="n">
        <v>19909.95538920763</v>
      </c>
      <c r="AQ898" s="23" t="n">
        <v>20794.04804843434</v>
      </c>
      <c r="AR898" s="23" t="n">
        <v>21480.31998395869</v>
      </c>
      <c r="AS898" s="23" t="n">
        <v>22630.55761911712</v>
      </c>
      <c r="AT898" s="23" t="n">
        <v>23777.43343601045</v>
      </c>
      <c r="AU898" s="23" t="n">
        <v>24989.93668403593</v>
      </c>
      <c r="AV898" s="23" t="n">
        <v>26239.62774111397</v>
      </c>
      <c r="AW898" s="23" t="n">
        <v>27531.32445718631</v>
      </c>
      <c r="AX898" s="23" t="n">
        <v>28843.21208047263</v>
      </c>
      <c r="AY898" s="23" t="n">
        <v>30181.41646847599</v>
      </c>
      <c r="AZ898" s="23" t="n">
        <v>31535.9363937264</v>
      </c>
      <c r="BA898" s="23" t="n">
        <v>32919.09560729624</v>
      </c>
      <c r="BC898" s="20" t="inlineStr">
        <is>
          <t>egy.mit.demtot.4</t>
        </is>
      </c>
      <c r="BD898" s="23" t="n">
        <v>14392.22063055141</v>
      </c>
      <c r="BE898" s="23" t="n">
        <v>14024.22256596097</v>
      </c>
      <c r="BF898" s="23" t="n">
        <v>15894.65312924199</v>
      </c>
      <c r="BG898" s="23" t="n">
        <v>17996.6991561344</v>
      </c>
      <c r="BH898" s="23" t="n">
        <v>18868.0627374575</v>
      </c>
      <c r="BI898" s="23" t="n">
        <v>19608.82343305843</v>
      </c>
      <c r="BJ898" s="23" t="n">
        <v>19472.99735331168</v>
      </c>
      <c r="BK898" s="23" t="n">
        <v>19205.79003741685</v>
      </c>
      <c r="BL898" s="23" t="n">
        <v>18907.38682058276</v>
      </c>
      <c r="BM898" s="23" t="n">
        <v>18915.82738805812</v>
      </c>
      <c r="BN898" s="23" t="n">
        <v>18911.64088527556</v>
      </c>
      <c r="BO898" s="23" t="n">
        <v>19128.46415843148</v>
      </c>
      <c r="BP898" s="23" t="n">
        <v>19387.13529543289</v>
      </c>
      <c r="BQ898" s="23" t="n">
        <v>19802.88213022278</v>
      </c>
      <c r="BR898" s="23" t="n">
        <v>20256.65411244955</v>
      </c>
      <c r="BS898" s="23" t="n">
        <v>20854.16794442721</v>
      </c>
      <c r="BT898" s="23" t="n">
        <v>21467.14694141377</v>
      </c>
      <c r="BU898" s="23" t="n">
        <v>22228.65323725843</v>
      </c>
      <c r="BV898" s="23" t="n">
        <v>22958.94657479943</v>
      </c>
      <c r="BW898" s="23" t="n">
        <v>23871.67291126056</v>
      </c>
      <c r="BY898" s="20" t="inlineStr">
        <is>
          <t>egy.mit.demtot.5</t>
        </is>
      </c>
      <c r="BZ898" s="23" t="n">
        <v>14392.22063055141</v>
      </c>
      <c r="CA898" s="23" t="n">
        <v>14024.22256596097</v>
      </c>
      <c r="CB898" s="23" t="n">
        <v>15894.65312924199</v>
      </c>
      <c r="CC898" s="23" t="n">
        <v>17996.6991561344</v>
      </c>
      <c r="CD898" s="23" t="n">
        <v>18867.31583903502</v>
      </c>
      <c r="CE898" s="23" t="n">
        <v>19606.86217466492</v>
      </c>
      <c r="CF898" s="23" t="n">
        <v>20385.39679682578</v>
      </c>
      <c r="CG898" s="23" t="n">
        <v>21215.43640522564</v>
      </c>
      <c r="CH898" s="23" t="n">
        <v>21831.56667137803</v>
      </c>
      <c r="CI898" s="23" t="n">
        <v>22508.04939927463</v>
      </c>
      <c r="CJ898" s="23" t="n">
        <v>23151.19437866025</v>
      </c>
      <c r="CK898" s="23" t="n">
        <v>24342.08597312716</v>
      </c>
      <c r="CL898" s="23" t="n">
        <v>25566.07906931151</v>
      </c>
      <c r="CM898" s="23" t="n">
        <v>26840.95594550806</v>
      </c>
      <c r="CN898" s="23" t="n">
        <v>28218.35002769852</v>
      </c>
      <c r="CO898" s="23" t="n">
        <v>29628.40706835363</v>
      </c>
      <c r="CP898" s="23" t="n">
        <v>31067.20522737617</v>
      </c>
      <c r="CQ898" s="23" t="n">
        <v>32549.74795136472</v>
      </c>
      <c r="CR898" s="23" t="n">
        <v>34047.10439215464</v>
      </c>
      <c r="CS898" s="23" t="n">
        <v>35581.49162597696</v>
      </c>
      <c r="CU898" s="20" t="inlineStr">
        <is>
          <t>egy.mit.demtot.6</t>
        </is>
      </c>
      <c r="CV898" s="23" t="n">
        <v>14392.22063055141</v>
      </c>
      <c r="CW898" s="23" t="n">
        <v>14024.22256596097</v>
      </c>
      <c r="CX898" s="23" t="n">
        <v>15894.65312924199</v>
      </c>
      <c r="CY898" s="23" t="n">
        <v>17996.6991561344</v>
      </c>
      <c r="CZ898" s="23" t="n">
        <v>18868.3745781767</v>
      </c>
      <c r="DA898" s="23" t="n">
        <v>19609.65869220745</v>
      </c>
      <c r="DB898" s="23" t="n">
        <v>16750.48089602674</v>
      </c>
      <c r="DC898" s="23" t="n">
        <v>17548.36401235245</v>
      </c>
      <c r="DD898" s="23" t="n">
        <v>17811.30388114586</v>
      </c>
      <c r="DE898" s="23" t="n">
        <v>18668.54290359257</v>
      </c>
      <c r="DF898" s="23" t="n">
        <v>19480.5028487767</v>
      </c>
      <c r="DG898" s="23" t="n">
        <v>20614.41162115999</v>
      </c>
      <c r="DH898" s="23" t="n">
        <v>21817.27802634535</v>
      </c>
      <c r="DI898" s="23" t="n">
        <v>23154.82442684004</v>
      </c>
      <c r="DJ898" s="23" t="n">
        <v>24529.88026546086</v>
      </c>
      <c r="DK898" s="23" t="n">
        <v>25994.34037685505</v>
      </c>
      <c r="DL898" s="23" t="n">
        <v>27456.2430052788</v>
      </c>
      <c r="DM898" s="23" t="n">
        <v>28966.16241757324</v>
      </c>
      <c r="DN898" s="23" t="n">
        <v>30454.75962512477</v>
      </c>
      <c r="DO898" s="23" t="n">
        <v>31985.44060916766</v>
      </c>
    </row>
    <row r="899">
      <c r="A899" s="5" t="n"/>
      <c r="B899" s="18" t="inlineStr">
        <is>
          <t>Capacity</t>
        </is>
      </c>
      <c r="C899" s="5" t="n"/>
      <c r="D899" s="5" t="n"/>
      <c r="E899" s="5" t="n"/>
      <c r="F899" s="5" t="n"/>
      <c r="G899" s="5" t="n"/>
      <c r="H899" s="5" t="n"/>
      <c r="I899" s="5" t="n"/>
      <c r="J899" s="5" t="n"/>
      <c r="K899" s="5" t="n"/>
      <c r="L899" s="5" t="n"/>
      <c r="M899" s="5" t="n"/>
      <c r="N899" s="5" t="n"/>
      <c r="O899" s="5" t="n"/>
      <c r="P899" s="5" t="n"/>
      <c r="Q899" s="5" t="n"/>
      <c r="R899" s="5" t="n"/>
      <c r="S899" s="5" t="n"/>
      <c r="T899" s="5" t="n"/>
      <c r="U899" s="5" t="n"/>
      <c r="V899" s="5" t="n"/>
      <c r="W899" s="5" t="n"/>
      <c r="X899" s="5" t="n"/>
      <c r="Y899" s="5" t="n"/>
      <c r="Z899" s="5" t="n"/>
      <c r="AA899" s="5" t="n"/>
      <c r="AB899" s="5" t="n"/>
      <c r="AC899" s="5" t="n"/>
      <c r="AD899" s="5" t="n"/>
      <c r="AE899" s="5" t="n"/>
      <c r="AF899" s="5" t="n"/>
      <c r="AG899" s="5" t="n"/>
      <c r="AH899" s="5" t="n"/>
      <c r="AI899" s="5" t="n"/>
      <c r="AJ899" s="5" t="n"/>
      <c r="AK899" s="5" t="n"/>
      <c r="AL899" s="5" t="n"/>
      <c r="AM899" s="5" t="n"/>
      <c r="AN899" s="5" t="n"/>
      <c r="AO899" s="5" t="n"/>
      <c r="AP899" s="5" t="n"/>
      <c r="AQ899" s="5" t="n"/>
      <c r="AR899" s="5" t="n"/>
      <c r="AS899" s="5" t="n"/>
      <c r="AT899" s="5" t="n"/>
      <c r="AU899" s="5" t="n"/>
      <c r="AV899" s="5" t="n"/>
      <c r="AW899" s="5" t="n"/>
      <c r="AX899" s="5" t="n"/>
      <c r="AY899" s="5" t="n"/>
      <c r="AZ899" s="5" t="n"/>
      <c r="BA899" s="5" t="n"/>
      <c r="BB899" s="5" t="n"/>
      <c r="BC899" s="5" t="n"/>
      <c r="BD899" s="5" t="n"/>
      <c r="BE899" s="5" t="n"/>
      <c r="BF899" s="5" t="n"/>
      <c r="BG899" s="5" t="n"/>
      <c r="BH899" s="5" t="n"/>
      <c r="BI899" s="5" t="n"/>
      <c r="BJ899" s="5" t="n"/>
      <c r="BK899" s="5" t="n"/>
      <c r="BL899" s="5" t="n"/>
      <c r="BM899" s="5" t="n"/>
      <c r="BN899" s="5" t="n"/>
      <c r="BO899" s="5" t="n"/>
      <c r="BP899" s="5" t="n"/>
      <c r="BQ899" s="5" t="n"/>
      <c r="BR899" s="5" t="n"/>
      <c r="BS899" s="5" t="n"/>
      <c r="BT899" s="5" t="n"/>
      <c r="BU899" s="5" t="n"/>
      <c r="BV899" s="5" t="n"/>
      <c r="BW899" s="5" t="n"/>
      <c r="BX899" s="5" t="n"/>
      <c r="BY899" s="5" t="n"/>
      <c r="BZ899" s="5" t="n"/>
      <c r="CA899" s="5" t="n"/>
      <c r="CB899" s="5" t="n"/>
      <c r="CC899" s="5" t="n"/>
      <c r="CD899" s="5" t="n"/>
      <c r="CE899" s="5" t="n"/>
      <c r="CF899" s="5" t="n"/>
      <c r="CG899" s="5" t="n"/>
      <c r="CH899" s="5" t="n"/>
      <c r="CI899" s="5" t="n"/>
      <c r="CJ899" s="5" t="n"/>
      <c r="CK899" s="5" t="n"/>
      <c r="CL899" s="5" t="n"/>
      <c r="CM899" s="5" t="n"/>
      <c r="CN899" s="5" t="n"/>
      <c r="CO899" s="5" t="n"/>
      <c r="CP899" s="5" t="n"/>
      <c r="CQ899" s="5" t="n"/>
      <c r="CR899" s="5" t="n"/>
      <c r="CS899" s="5" t="n"/>
      <c r="CT899" s="5" t="n"/>
      <c r="CU899" s="5" t="n"/>
      <c r="CV899" s="5" t="n"/>
      <c r="CW899" s="5" t="n"/>
      <c r="CX899" s="5" t="n"/>
      <c r="CY899" s="5" t="n"/>
      <c r="CZ899" s="5" t="n"/>
      <c r="DA899" s="5" t="n"/>
      <c r="DB899" s="5" t="n"/>
      <c r="DC899" s="5" t="n"/>
      <c r="DD899" s="5" t="n"/>
      <c r="DE899" s="5" t="n"/>
      <c r="DF899" s="5" t="n"/>
      <c r="DG899" s="5" t="n"/>
      <c r="DH899" s="5" t="n"/>
      <c r="DI899" s="5" t="n"/>
      <c r="DJ899" s="5" t="n"/>
      <c r="DK899" s="5" t="n"/>
      <c r="DL899" s="5" t="n"/>
      <c r="DM899" s="5" t="n"/>
      <c r="DN899" s="5" t="n"/>
      <c r="DO899" s="5" t="n"/>
      <c r="DP899" s="5" t="n"/>
      <c r="DQ899" s="5" t="n"/>
      <c r="DR899" s="5" t="n"/>
      <c r="DS899" s="5" t="n"/>
      <c r="DT899" s="5" t="n"/>
      <c r="DU899" s="5" t="n"/>
      <c r="DV899" s="5" t="n"/>
      <c r="DW899" s="5" t="n"/>
      <c r="DX899" s="5" t="n"/>
      <c r="DY899" s="5" t="n"/>
      <c r="DZ899" s="5" t="n"/>
      <c r="EA899" s="5" t="n"/>
      <c r="EB899" s="5" t="n"/>
      <c r="EC899" s="5" t="n"/>
      <c r="ED899" s="5" t="n"/>
      <c r="EE899" s="5" t="n"/>
      <c r="EF899" s="5" t="n"/>
      <c r="EG899" s="5" t="n"/>
      <c r="EH899" s="5" t="n"/>
      <c r="EI899" s="5" t="n"/>
      <c r="EJ899" s="5" t="n"/>
      <c r="EK899" s="5" t="n"/>
      <c r="EL899" s="5" t="n"/>
      <c r="EM899" s="5" t="n"/>
      <c r="EN899" s="5" t="n"/>
      <c r="EO899" s="5" t="n"/>
      <c r="EP899" s="5" t="n"/>
      <c r="EQ899" s="5" t="n"/>
      <c r="ER899" s="5" t="n"/>
      <c r="ES899" s="5" t="n"/>
      <c r="ET899" s="5" t="n"/>
      <c r="EU899" s="5" t="n"/>
      <c r="EV899" s="5" t="n"/>
      <c r="EW899" s="5" t="n"/>
      <c r="EX899" s="5" t="n"/>
      <c r="EY899" s="5" t="n"/>
      <c r="EZ899" s="5" t="n"/>
      <c r="FA899" s="5" t="n"/>
      <c r="FB899" s="5" t="n"/>
      <c r="FC899" s="5" t="n"/>
      <c r="FD899" s="5" t="n"/>
      <c r="FE899" s="5" t="n"/>
      <c r="FF899" s="5" t="n"/>
      <c r="FG899" s="5" t="n"/>
      <c r="FH899" s="5" t="n"/>
      <c r="FI899" s="5" t="n"/>
      <c r="FJ899" s="5" t="n"/>
      <c r="FK899" s="5" t="n"/>
      <c r="FL899" s="5" t="n"/>
      <c r="FM899" s="5" t="n"/>
      <c r="FN899" s="5" t="n"/>
      <c r="FO899" s="5" t="n"/>
      <c r="FP899" s="5" t="n"/>
      <c r="FQ899" s="5" t="n"/>
      <c r="FR899" s="5" t="n"/>
      <c r="FS899" s="5" t="n"/>
      <c r="FT899" s="5" t="n"/>
      <c r="FU899" s="5" t="n"/>
      <c r="FV899" s="5" t="n"/>
      <c r="FW899" s="5" t="n"/>
      <c r="FX899" s="5" t="n"/>
      <c r="FY899" s="5" t="n"/>
      <c r="FZ899" s="5" t="n"/>
      <c r="GA899" s="5" t="n"/>
      <c r="GB899" s="5" t="n"/>
      <c r="GC899" s="5" t="n"/>
      <c r="GD899" s="5" t="n"/>
      <c r="GE899" s="5" t="n"/>
      <c r="GF899" s="5" t="n"/>
      <c r="GG899" s="5" t="n"/>
      <c r="GH899" s="5" t="n"/>
      <c r="GI899" s="5" t="n"/>
      <c r="GJ899" s="5" t="n"/>
      <c r="GK899" s="5" t="n"/>
      <c r="GL899" s="5" t="n"/>
      <c r="GM899" s="5" t="n"/>
      <c r="GN899" s="5" t="n"/>
      <c r="GO899" s="5" t="n"/>
      <c r="GP899" s="5" t="n"/>
      <c r="GQ899" s="5" t="n"/>
      <c r="GR899" s="5" t="n"/>
      <c r="GS899" s="5" t="n"/>
      <c r="GT899" s="5" t="n"/>
      <c r="GU899" s="5" t="n"/>
      <c r="GV899" s="5" t="n"/>
      <c r="GW899" s="5" t="n"/>
      <c r="GX899" s="5" t="n"/>
      <c r="GY899" s="5" t="n"/>
      <c r="GZ899" s="5" t="n"/>
      <c r="HA899" s="5" t="n"/>
      <c r="HB899" s="5" t="n"/>
      <c r="HC899" s="5" t="n"/>
      <c r="HD899" s="5" t="n"/>
      <c r="HE899" s="5" t="n"/>
      <c r="HF899" s="5" t="n"/>
      <c r="HG899" s="5" t="n"/>
      <c r="HH899" s="5" t="n"/>
      <c r="HI899" s="5" t="n"/>
      <c r="HJ899" s="5" t="n"/>
      <c r="HK899" s="5" t="n"/>
      <c r="HL899" s="5" t="n"/>
      <c r="HM899" s="5" t="n"/>
      <c r="HN899" s="5" t="n"/>
      <c r="HO899" s="5" t="n"/>
      <c r="HP899" s="5" t="n"/>
      <c r="HQ899" s="5" t="n"/>
      <c r="HR899" s="5" t="n"/>
      <c r="HS899" s="5" t="n"/>
      <c r="HT899" s="5" t="n"/>
      <c r="HU899" s="5" t="n"/>
      <c r="HV899" s="5" t="n"/>
    </row>
    <row r="900">
      <c r="A900" s="14" t="n"/>
      <c r="B900" s="3" t="inlineStr">
        <is>
          <t>mit</t>
        </is>
      </c>
      <c r="C900" s="19" t="inlineStr">
        <is>
          <t>mit.msc.pow.hyd.t</t>
        </is>
      </c>
      <c r="H900" s="14" t="inlineStr">
        <is>
          <t>Nameplate Capacity (MW) - Total - Baseline</t>
        </is>
      </c>
      <c r="I900" s="14" t="inlineStr">
        <is>
          <t>MWe</t>
        </is>
      </c>
    </row>
    <row r="901">
      <c r="A901" s="19" t="inlineStr">
        <is>
          <t>mit.mancap.pow.oop</t>
        </is>
      </c>
      <c r="B901" s="3" t="inlineStr">
        <is>
          <t>mit</t>
        </is>
      </c>
      <c r="C901" s="19" t="inlineStr">
        <is>
          <t>mit.mancap.pow.oop.t</t>
        </is>
      </c>
      <c r="H901" s="3" t="inlineStr">
        <is>
          <t>Manual capacity path (Manual inputs rows 349-357 scenario 1, 363-371 other scenarios) | Power | Other oil products</t>
        </is>
      </c>
      <c r="I901" s="3" t="inlineStr">
        <is>
          <t>MW</t>
        </is>
      </c>
      <c r="K901" s="20" t="inlineStr">
        <is>
          <t>egy.mit.mancap.pow.oop.1</t>
        </is>
      </c>
      <c r="L901" s="3" t="n">
        <v>0</v>
      </c>
      <c r="M901" s="3" t="n">
        <v>0</v>
      </c>
      <c r="N901" s="3" t="n">
        <v>0</v>
      </c>
      <c r="O901" s="3" t="n">
        <v>0</v>
      </c>
      <c r="P901" s="3" t="n">
        <v>0</v>
      </c>
      <c r="Q901" s="3" t="n">
        <v>0</v>
      </c>
      <c r="R901" s="3" t="n">
        <v>0</v>
      </c>
      <c r="S901" s="3" t="n">
        <v>0</v>
      </c>
      <c r="T901" s="3" t="n">
        <v>0</v>
      </c>
      <c r="U901" s="3" t="n">
        <v>0</v>
      </c>
      <c r="V901" s="3" t="n">
        <v>0</v>
      </c>
      <c r="W901" s="3" t="n">
        <v>0</v>
      </c>
      <c r="X901" s="3" t="n">
        <v>0</v>
      </c>
      <c r="Y901" s="3" t="n">
        <v>0</v>
      </c>
      <c r="Z901" s="3" t="n">
        <v>0</v>
      </c>
      <c r="AA901" s="3" t="n">
        <v>0</v>
      </c>
      <c r="AB901" s="3" t="n">
        <v>0</v>
      </c>
      <c r="AC901" s="3" t="n">
        <v>0</v>
      </c>
      <c r="AD901" s="3" t="n">
        <v>0</v>
      </c>
      <c r="AE901" s="3" t="n">
        <v>0</v>
      </c>
      <c r="AG901" s="20" t="inlineStr">
        <is>
          <t>egy.mit.mancap.pow.oop.3</t>
        </is>
      </c>
      <c r="AH901" s="3" t="n">
        <v>0</v>
      </c>
      <c r="AI901" s="3" t="n">
        <v>0</v>
      </c>
      <c r="AJ901" s="3" t="n">
        <v>0</v>
      </c>
      <c r="AK901" s="3" t="n">
        <v>0</v>
      </c>
      <c r="AL901" s="3" t="n">
        <v>0</v>
      </c>
      <c r="AM901" s="3" t="n">
        <v>0</v>
      </c>
      <c r="AN901" s="3" t="n">
        <v>0</v>
      </c>
      <c r="AO901" s="3" t="n">
        <v>0</v>
      </c>
      <c r="AP901" s="3" t="n">
        <v>0</v>
      </c>
      <c r="AQ901" s="3" t="n">
        <v>0</v>
      </c>
      <c r="AR901" s="3" t="n">
        <v>0</v>
      </c>
      <c r="AS901" s="3" t="n">
        <v>0</v>
      </c>
      <c r="AT901" s="3" t="n">
        <v>0</v>
      </c>
      <c r="AU901" s="3" t="n">
        <v>0</v>
      </c>
      <c r="AV901" s="3" t="n">
        <v>0</v>
      </c>
      <c r="AW901" s="3" t="n">
        <v>0</v>
      </c>
      <c r="AX901" s="3" t="n">
        <v>0</v>
      </c>
      <c r="AY901" s="3" t="n">
        <v>0</v>
      </c>
      <c r="AZ901" s="3" t="n">
        <v>0</v>
      </c>
      <c r="BA901" s="3" t="n">
        <v>0</v>
      </c>
      <c r="BC901" s="20" t="inlineStr">
        <is>
          <t>egy.mit.mancap.pow.oop.4</t>
        </is>
      </c>
      <c r="BD901" s="3" t="n">
        <v>0</v>
      </c>
      <c r="BE901" s="3" t="n">
        <v>0</v>
      </c>
      <c r="BF901" s="3" t="n">
        <v>0</v>
      </c>
      <c r="BG901" s="3" t="n">
        <v>0</v>
      </c>
      <c r="BH901" s="3" t="n">
        <v>0</v>
      </c>
      <c r="BI901" s="3" t="n">
        <v>0</v>
      </c>
      <c r="BJ901" s="3" t="n">
        <v>0</v>
      </c>
      <c r="BK901" s="3" t="n">
        <v>0</v>
      </c>
      <c r="BL901" s="3" t="n">
        <v>0</v>
      </c>
      <c r="BM901" s="3" t="n">
        <v>0</v>
      </c>
      <c r="BN901" s="3" t="n">
        <v>0</v>
      </c>
      <c r="BO901" s="3" t="n">
        <v>0</v>
      </c>
      <c r="BP901" s="3" t="n">
        <v>0</v>
      </c>
      <c r="BQ901" s="3" t="n">
        <v>0</v>
      </c>
      <c r="BR901" s="3" t="n">
        <v>0</v>
      </c>
      <c r="BS901" s="3" t="n">
        <v>0</v>
      </c>
      <c r="BT901" s="3" t="n">
        <v>0</v>
      </c>
      <c r="BU901" s="3" t="n">
        <v>0</v>
      </c>
      <c r="BV901" s="3" t="n">
        <v>0</v>
      </c>
      <c r="BW901" s="3" t="n">
        <v>0</v>
      </c>
      <c r="BY901" s="20" t="inlineStr">
        <is>
          <t>egy.mit.mancap.pow.oop.5</t>
        </is>
      </c>
      <c r="BZ901" s="3" t="n">
        <v>0</v>
      </c>
      <c r="CA901" s="3" t="n">
        <v>0</v>
      </c>
      <c r="CB901" s="3" t="n">
        <v>0</v>
      </c>
      <c r="CC901" s="3" t="n">
        <v>0</v>
      </c>
      <c r="CD901" s="3" t="n">
        <v>0</v>
      </c>
      <c r="CE901" s="3" t="n">
        <v>0</v>
      </c>
      <c r="CF901" s="3" t="n">
        <v>0</v>
      </c>
      <c r="CG901" s="3" t="n">
        <v>0</v>
      </c>
      <c r="CH901" s="3" t="n">
        <v>0</v>
      </c>
      <c r="CI901" s="3" t="n">
        <v>0</v>
      </c>
      <c r="CJ901" s="3" t="n">
        <v>0</v>
      </c>
      <c r="CK901" s="3" t="n">
        <v>0</v>
      </c>
      <c r="CL901" s="3" t="n">
        <v>0</v>
      </c>
      <c r="CM901" s="3" t="n">
        <v>0</v>
      </c>
      <c r="CN901" s="3" t="n">
        <v>0</v>
      </c>
      <c r="CO901" s="3" t="n">
        <v>0</v>
      </c>
      <c r="CP901" s="3" t="n">
        <v>0</v>
      </c>
      <c r="CQ901" s="3" t="n">
        <v>0</v>
      </c>
      <c r="CR901" s="3" t="n">
        <v>0</v>
      </c>
      <c r="CS901" s="3" t="n">
        <v>0</v>
      </c>
      <c r="CU901" s="20" t="inlineStr">
        <is>
          <t>egy.mit.mancap.pow.oop.6</t>
        </is>
      </c>
      <c r="CV901" s="3" t="n">
        <v>0</v>
      </c>
      <c r="CW901" s="3" t="n">
        <v>0</v>
      </c>
      <c r="CX901" s="3" t="n">
        <v>0</v>
      </c>
      <c r="CY901" s="3" t="n">
        <v>0</v>
      </c>
      <c r="CZ901" s="3" t="n">
        <v>0</v>
      </c>
      <c r="DA901" s="3" t="n">
        <v>0</v>
      </c>
      <c r="DB901" s="3" t="n">
        <v>0</v>
      </c>
      <c r="DC901" s="3" t="n">
        <v>0</v>
      </c>
      <c r="DD901" s="3" t="n">
        <v>0</v>
      </c>
      <c r="DE901" s="3" t="n">
        <v>0</v>
      </c>
      <c r="DF901" s="3" t="n">
        <v>0</v>
      </c>
      <c r="DG901" s="3" t="n">
        <v>0</v>
      </c>
      <c r="DH901" s="3" t="n">
        <v>0</v>
      </c>
      <c r="DI901" s="3" t="n">
        <v>0</v>
      </c>
      <c r="DJ901" s="3" t="n">
        <v>0</v>
      </c>
      <c r="DK901" s="3" t="n">
        <v>0</v>
      </c>
      <c r="DL901" s="3" t="n">
        <v>0</v>
      </c>
      <c r="DM901" s="3" t="n">
        <v>0</v>
      </c>
      <c r="DN901" s="3" t="n">
        <v>0</v>
      </c>
      <c r="DO901" s="3" t="n">
        <v>0</v>
      </c>
    </row>
    <row r="902">
      <c r="A902" s="5" t="n"/>
      <c r="B902" s="18" t="inlineStr">
        <is>
          <t>New Power Investment</t>
        </is>
      </c>
      <c r="C902" s="5" t="n"/>
      <c r="D902" s="5" t="n"/>
      <c r="E902" s="5" t="n"/>
      <c r="F902" s="5" t="n"/>
      <c r="G902" s="5" t="n"/>
      <c r="H902" s="5" t="n"/>
      <c r="I902" s="5" t="n"/>
      <c r="J902" s="5" t="n"/>
      <c r="K902" s="5" t="n"/>
      <c r="L902" s="5" t="n"/>
      <c r="M902" s="5" t="n"/>
      <c r="N902" s="5" t="n"/>
      <c r="O902" s="5" t="n"/>
      <c r="P902" s="5" t="n"/>
      <c r="Q902" s="5" t="n"/>
      <c r="R902" s="5" t="n"/>
      <c r="S902" s="5" t="n"/>
      <c r="T902" s="5" t="n"/>
      <c r="U902" s="5" t="n"/>
      <c r="V902" s="5" t="n"/>
      <c r="W902" s="5" t="n"/>
      <c r="X902" s="5" t="n"/>
      <c r="Y902" s="5" t="n"/>
      <c r="Z902" s="5" t="n"/>
      <c r="AA902" s="5" t="n"/>
      <c r="AB902" s="5" t="n"/>
      <c r="AC902" s="5" t="n"/>
      <c r="AD902" s="5" t="n"/>
      <c r="AE902" s="5" t="n"/>
      <c r="AF902" s="5" t="n"/>
      <c r="AG902" s="5" t="n"/>
      <c r="AH902" s="5" t="n"/>
      <c r="AI902" s="5" t="n"/>
      <c r="AJ902" s="5" t="n"/>
      <c r="AK902" s="5" t="n"/>
      <c r="AL902" s="5" t="n"/>
      <c r="AM902" s="5" t="n"/>
      <c r="AN902" s="5" t="n"/>
      <c r="AO902" s="5" t="n"/>
      <c r="AP902" s="5" t="n"/>
      <c r="AQ902" s="5" t="n"/>
      <c r="AR902" s="5" t="n"/>
      <c r="AS902" s="5" t="n"/>
      <c r="AT902" s="5" t="n"/>
      <c r="AU902" s="5" t="n"/>
      <c r="AV902" s="5" t="n"/>
      <c r="AW902" s="5" t="n"/>
      <c r="AX902" s="5" t="n"/>
      <c r="AY902" s="5" t="n"/>
      <c r="AZ902" s="5" t="n"/>
      <c r="BA902" s="5" t="n"/>
      <c r="BB902" s="5" t="n"/>
      <c r="BC902" s="5" t="n"/>
      <c r="BD902" s="5" t="n"/>
      <c r="BE902" s="5" t="n"/>
      <c r="BF902" s="5" t="n"/>
      <c r="BG902" s="5" t="n"/>
      <c r="BH902" s="5" t="n"/>
      <c r="BI902" s="5" t="n"/>
      <c r="BJ902" s="5" t="n"/>
      <c r="BK902" s="5" t="n"/>
      <c r="BL902" s="5" t="n"/>
      <c r="BM902" s="5" t="n"/>
      <c r="BN902" s="5" t="n"/>
      <c r="BO902" s="5" t="n"/>
      <c r="BP902" s="5" t="n"/>
      <c r="BQ902" s="5" t="n"/>
      <c r="BR902" s="5" t="n"/>
      <c r="BS902" s="5" t="n"/>
      <c r="BT902" s="5" t="n"/>
      <c r="BU902" s="5" t="n"/>
      <c r="BV902" s="5" t="n"/>
      <c r="BW902" s="5" t="n"/>
      <c r="BX902" s="5" t="n"/>
      <c r="BY902" s="5" t="n"/>
      <c r="BZ902" s="5" t="n"/>
      <c r="CA902" s="5" t="n"/>
      <c r="CB902" s="5" t="n"/>
      <c r="CC902" s="5" t="n"/>
      <c r="CD902" s="5" t="n"/>
      <c r="CE902" s="5" t="n"/>
      <c r="CF902" s="5" t="n"/>
      <c r="CG902" s="5" t="n"/>
      <c r="CH902" s="5" t="n"/>
      <c r="CI902" s="5" t="n"/>
      <c r="CJ902" s="5" t="n"/>
      <c r="CK902" s="5" t="n"/>
      <c r="CL902" s="5" t="n"/>
      <c r="CM902" s="5" t="n"/>
      <c r="CN902" s="5" t="n"/>
      <c r="CO902" s="5" t="n"/>
      <c r="CP902" s="5" t="n"/>
      <c r="CQ902" s="5" t="n"/>
      <c r="CR902" s="5" t="n"/>
      <c r="CS902" s="5" t="n"/>
      <c r="CT902" s="5" t="n"/>
      <c r="CU902" s="5" t="n"/>
      <c r="CV902" s="5" t="n"/>
      <c r="CW902" s="5" t="n"/>
      <c r="CX902" s="5" t="n"/>
      <c r="CY902" s="5" t="n"/>
      <c r="CZ902" s="5" t="n"/>
      <c r="DA902" s="5" t="n"/>
      <c r="DB902" s="5" t="n"/>
      <c r="DC902" s="5" t="n"/>
      <c r="DD902" s="5" t="n"/>
      <c r="DE902" s="5" t="n"/>
      <c r="DF902" s="5" t="n"/>
      <c r="DG902" s="5" t="n"/>
      <c r="DH902" s="5" t="n"/>
      <c r="DI902" s="5" t="n"/>
      <c r="DJ902" s="5" t="n"/>
      <c r="DK902" s="5" t="n"/>
      <c r="DL902" s="5" t="n"/>
      <c r="DM902" s="5" t="n"/>
      <c r="DN902" s="5" t="n"/>
      <c r="DO902" s="5" t="n"/>
      <c r="DP902" s="5" t="n"/>
      <c r="DQ902" s="5" t="n"/>
      <c r="DR902" s="5" t="n"/>
      <c r="DS902" s="5" t="n"/>
      <c r="DT902" s="5" t="n"/>
      <c r="DU902" s="5" t="n"/>
      <c r="DV902" s="5" t="n"/>
      <c r="DW902" s="5" t="n"/>
      <c r="DX902" s="5" t="n"/>
      <c r="DY902" s="5" t="n"/>
      <c r="DZ902" s="5" t="n"/>
      <c r="EA902" s="5" t="n"/>
      <c r="EB902" s="5" t="n"/>
      <c r="EC902" s="5" t="n"/>
      <c r="ED902" s="5" t="n"/>
      <c r="EE902" s="5" t="n"/>
      <c r="EF902" s="5" t="n"/>
      <c r="EG902" s="5" t="n"/>
      <c r="EH902" s="5" t="n"/>
      <c r="EI902" s="5" t="n"/>
      <c r="EJ902" s="5" t="n"/>
      <c r="EK902" s="5" t="n"/>
      <c r="EL902" s="5" t="n"/>
      <c r="EM902" s="5" t="n"/>
      <c r="EN902" s="5" t="n"/>
      <c r="EO902" s="5" t="n"/>
      <c r="EP902" s="5" t="n"/>
      <c r="EQ902" s="5" t="n"/>
      <c r="ER902" s="5" t="n"/>
      <c r="ES902" s="5" t="n"/>
      <c r="ET902" s="5" t="n"/>
      <c r="EU902" s="5" t="n"/>
      <c r="EV902" s="5" t="n"/>
      <c r="EW902" s="5" t="n"/>
      <c r="EX902" s="5" t="n"/>
      <c r="EY902" s="5" t="n"/>
      <c r="EZ902" s="5" t="n"/>
      <c r="FA902" s="5" t="n"/>
      <c r="FB902" s="5" t="n"/>
      <c r="FC902" s="5" t="n"/>
      <c r="FD902" s="5" t="n"/>
      <c r="FE902" s="5" t="n"/>
      <c r="FF902" s="5" t="n"/>
      <c r="FG902" s="5" t="n"/>
      <c r="FH902" s="5" t="n"/>
      <c r="FI902" s="5" t="n"/>
      <c r="FJ902" s="5" t="n"/>
      <c r="FK902" s="5" t="n"/>
      <c r="FL902" s="5" t="n"/>
      <c r="FM902" s="5" t="n"/>
      <c r="FN902" s="5" t="n"/>
      <c r="FO902" s="5" t="n"/>
      <c r="FP902" s="5" t="n"/>
      <c r="FQ902" s="5" t="n"/>
      <c r="FR902" s="5" t="n"/>
      <c r="FS902" s="5" t="n"/>
      <c r="FT902" s="5" t="n"/>
      <c r="FU902" s="5" t="n"/>
      <c r="FV902" s="5" t="n"/>
      <c r="FW902" s="5" t="n"/>
      <c r="FX902" s="5" t="n"/>
      <c r="FY902" s="5" t="n"/>
      <c r="FZ902" s="5" t="n"/>
      <c r="GA902" s="5" t="n"/>
      <c r="GB902" s="5" t="n"/>
      <c r="GC902" s="5" t="n"/>
      <c r="GD902" s="5" t="n"/>
      <c r="GE902" s="5" t="n"/>
      <c r="GF902" s="5" t="n"/>
      <c r="GG902" s="5" t="n"/>
      <c r="GH902" s="5" t="n"/>
      <c r="GI902" s="5" t="n"/>
      <c r="GJ902" s="5" t="n"/>
      <c r="GK902" s="5" t="n"/>
      <c r="GL902" s="5" t="n"/>
      <c r="GM902" s="5" t="n"/>
      <c r="GN902" s="5" t="n"/>
      <c r="GO902" s="5" t="n"/>
      <c r="GP902" s="5" t="n"/>
      <c r="GQ902" s="5" t="n"/>
      <c r="GR902" s="5" t="n"/>
      <c r="GS902" s="5" t="n"/>
      <c r="GT902" s="5" t="n"/>
      <c r="GU902" s="5" t="n"/>
      <c r="GV902" s="5" t="n"/>
      <c r="GW902" s="5" t="n"/>
      <c r="GX902" s="5" t="n"/>
      <c r="GY902" s="5" t="n"/>
      <c r="GZ902" s="5" t="n"/>
      <c r="HA902" s="5" t="n"/>
      <c r="HB902" s="5" t="n"/>
      <c r="HC902" s="5" t="n"/>
      <c r="HD902" s="5" t="n"/>
      <c r="HE902" s="5" t="n"/>
      <c r="HF902" s="5" t="n"/>
      <c r="HG902" s="5" t="n"/>
      <c r="HH902" s="5" t="n"/>
      <c r="HI902" s="5" t="n"/>
      <c r="HJ902" s="5" t="n"/>
      <c r="HK902" s="5" t="n"/>
      <c r="HL902" s="5" t="n"/>
      <c r="HM902" s="5" t="n"/>
      <c r="HN902" s="5" t="n"/>
      <c r="HO902" s="5" t="n"/>
      <c r="HP902" s="5" t="n"/>
      <c r="HQ902" s="5" t="n"/>
      <c r="HR902" s="5" t="n"/>
      <c r="HS902" s="5" t="n"/>
      <c r="HT902" s="5" t="n"/>
      <c r="HU902" s="5" t="n"/>
      <c r="HV902" s="5" t="n"/>
    </row>
    <row r="903">
      <c r="A903" s="19" t="inlineStr">
        <is>
          <t>mit.nim.pow.coa</t>
        </is>
      </c>
      <c r="B903" s="3" t="inlineStr">
        <is>
          <t>mit</t>
        </is>
      </c>
      <c r="C903" s="19" t="inlineStr">
        <is>
          <t>mit.nim.pow.coa.t</t>
        </is>
      </c>
      <c r="H903" s="3" t="inlineStr">
        <is>
          <t>New nameplate investment | Power | Coal</t>
        </is>
      </c>
      <c r="I903" s="3" t="inlineStr">
        <is>
          <t>MW</t>
        </is>
      </c>
      <c r="K903" s="20" t="inlineStr">
        <is>
          <t>egy.mit.nim.pow.coa.1</t>
        </is>
      </c>
      <c r="L903" s="3" t="n">
        <v>0</v>
      </c>
      <c r="M903" s="3" t="n">
        <v>0</v>
      </c>
      <c r="N903" s="3" t="n">
        <v>0</v>
      </c>
      <c r="O903" s="3" t="n">
        <v>0</v>
      </c>
      <c r="P903" s="3" t="n">
        <v>0</v>
      </c>
      <c r="Q903" s="3" t="n">
        <v>0</v>
      </c>
      <c r="R903" s="3" t="n">
        <v>0</v>
      </c>
      <c r="S903" s="3" t="n">
        <v>0</v>
      </c>
      <c r="T903" s="3" t="n">
        <v>0</v>
      </c>
      <c r="U903" s="3" t="n">
        <v>0</v>
      </c>
      <c r="V903" s="3" t="n">
        <v>0</v>
      </c>
      <c r="W903" s="3" t="n">
        <v>0</v>
      </c>
      <c r="X903" s="3" t="n">
        <v>0</v>
      </c>
      <c r="Y903" s="3" t="n">
        <v>0</v>
      </c>
      <c r="Z903" s="3" t="n">
        <v>0</v>
      </c>
      <c r="AA903" s="3" t="n">
        <v>0</v>
      </c>
      <c r="AB903" s="3" t="n">
        <v>0</v>
      </c>
      <c r="AC903" s="3" t="n">
        <v>0</v>
      </c>
      <c r="AD903" s="3" t="n">
        <v>0</v>
      </c>
      <c r="AE903" s="3" t="n">
        <v>0</v>
      </c>
      <c r="AG903" s="20" t="inlineStr">
        <is>
          <t>egy.mit.nim.pow.coa.3</t>
        </is>
      </c>
      <c r="AH903" s="3" t="n">
        <v>0</v>
      </c>
      <c r="AI903" s="3" t="n">
        <v>0</v>
      </c>
      <c r="AJ903" s="3" t="n">
        <v>0</v>
      </c>
      <c r="AK903" s="3" t="n">
        <v>0</v>
      </c>
      <c r="AL903" s="3" t="n">
        <v>0</v>
      </c>
      <c r="AM903" s="3" t="n">
        <v>0</v>
      </c>
      <c r="AN903" s="3" t="n">
        <v>0</v>
      </c>
      <c r="AO903" s="3" t="n">
        <v>0</v>
      </c>
      <c r="AP903" s="3" t="n">
        <v>0</v>
      </c>
      <c r="AQ903" s="3" t="n">
        <v>0</v>
      </c>
      <c r="AR903" s="3" t="n">
        <v>0</v>
      </c>
      <c r="AS903" s="3" t="n">
        <v>0</v>
      </c>
      <c r="AT903" s="3" t="n">
        <v>0</v>
      </c>
      <c r="AU903" s="3" t="n">
        <v>0</v>
      </c>
      <c r="AV903" s="3" t="n">
        <v>0</v>
      </c>
      <c r="AW903" s="3" t="n">
        <v>0</v>
      </c>
      <c r="AX903" s="3" t="n">
        <v>0</v>
      </c>
      <c r="AY903" s="3" t="n">
        <v>0</v>
      </c>
      <c r="AZ903" s="3" t="n">
        <v>0</v>
      </c>
      <c r="BA903" s="3" t="n">
        <v>0</v>
      </c>
      <c r="BC903" s="20" t="inlineStr">
        <is>
          <t>egy.mit.nim.pow.coa.4</t>
        </is>
      </c>
      <c r="BD903" s="3" t="n">
        <v>0</v>
      </c>
      <c r="BE903" s="3" t="n">
        <v>0</v>
      </c>
      <c r="BF903" s="3" t="n">
        <v>0</v>
      </c>
      <c r="BG903" s="3" t="n">
        <v>0</v>
      </c>
      <c r="BH903" s="3" t="n">
        <v>0</v>
      </c>
      <c r="BI903" s="3" t="n">
        <v>0</v>
      </c>
      <c r="BJ903" s="3" t="n">
        <v>0</v>
      </c>
      <c r="BK903" s="3" t="n">
        <v>0</v>
      </c>
      <c r="BL903" s="3" t="n">
        <v>0</v>
      </c>
      <c r="BM903" s="3" t="n">
        <v>0</v>
      </c>
      <c r="BN903" s="3" t="n">
        <v>0</v>
      </c>
      <c r="BO903" s="3" t="n">
        <v>0</v>
      </c>
      <c r="BP903" s="3" t="n">
        <v>0</v>
      </c>
      <c r="BQ903" s="3" t="n">
        <v>0</v>
      </c>
      <c r="BR903" s="3" t="n">
        <v>0</v>
      </c>
      <c r="BS903" s="3" t="n">
        <v>0</v>
      </c>
      <c r="BT903" s="3" t="n">
        <v>0</v>
      </c>
      <c r="BU903" s="3" t="n">
        <v>0</v>
      </c>
      <c r="BV903" s="3" t="n">
        <v>0</v>
      </c>
      <c r="BW903" s="3" t="n">
        <v>0</v>
      </c>
      <c r="BY903" s="20" t="inlineStr">
        <is>
          <t>egy.mit.nim.pow.coa.5</t>
        </is>
      </c>
      <c r="BZ903" s="3" t="n">
        <v>0</v>
      </c>
      <c r="CA903" s="3" t="n">
        <v>0</v>
      </c>
      <c r="CB903" s="3" t="n">
        <v>0</v>
      </c>
      <c r="CC903" s="3" t="n">
        <v>0</v>
      </c>
      <c r="CD903" s="3" t="n">
        <v>0</v>
      </c>
      <c r="CE903" s="3" t="n">
        <v>0</v>
      </c>
      <c r="CF903" s="3" t="n">
        <v>0</v>
      </c>
      <c r="CG903" s="3" t="n">
        <v>0</v>
      </c>
      <c r="CH903" s="3" t="n">
        <v>0</v>
      </c>
      <c r="CI903" s="3" t="n">
        <v>0</v>
      </c>
      <c r="CJ903" s="3" t="n">
        <v>0</v>
      </c>
      <c r="CK903" s="3" t="n">
        <v>0</v>
      </c>
      <c r="CL903" s="3" t="n">
        <v>0</v>
      </c>
      <c r="CM903" s="3" t="n">
        <v>0</v>
      </c>
      <c r="CN903" s="3" t="n">
        <v>0</v>
      </c>
      <c r="CO903" s="3" t="n">
        <v>0</v>
      </c>
      <c r="CP903" s="3" t="n">
        <v>0</v>
      </c>
      <c r="CQ903" s="3" t="n">
        <v>0</v>
      </c>
      <c r="CR903" s="3" t="n">
        <v>0</v>
      </c>
      <c r="CS903" s="3" t="n">
        <v>0</v>
      </c>
      <c r="CU903" s="20" t="inlineStr">
        <is>
          <t>egy.mit.nim.pow.coa.6</t>
        </is>
      </c>
      <c r="CV903" s="3" t="n">
        <v>0</v>
      </c>
      <c r="CW903" s="3" t="n">
        <v>0</v>
      </c>
      <c r="CX903" s="3" t="n">
        <v>0</v>
      </c>
      <c r="CY903" s="3" t="n">
        <v>0</v>
      </c>
      <c r="CZ903" s="3" t="n">
        <v>0</v>
      </c>
      <c r="DA903" s="3" t="n">
        <v>0</v>
      </c>
      <c r="DB903" s="3" t="n">
        <v>0</v>
      </c>
      <c r="DC903" s="3" t="n">
        <v>0</v>
      </c>
      <c r="DD903" s="3" t="n">
        <v>0</v>
      </c>
      <c r="DE903" s="3" t="n">
        <v>0</v>
      </c>
      <c r="DF903" s="3" t="n">
        <v>0</v>
      </c>
      <c r="DG903" s="3" t="n">
        <v>0</v>
      </c>
      <c r="DH903" s="3" t="n">
        <v>0</v>
      </c>
      <c r="DI903" s="3" t="n">
        <v>0</v>
      </c>
      <c r="DJ903" s="3" t="n">
        <v>0</v>
      </c>
      <c r="DK903" s="3" t="n">
        <v>0</v>
      </c>
      <c r="DL903" s="3" t="n">
        <v>0</v>
      </c>
      <c r="DM903" s="3" t="n">
        <v>0</v>
      </c>
      <c r="DN903" s="3" t="n">
        <v>0</v>
      </c>
      <c r="DO903" s="3" t="n">
        <v>0</v>
      </c>
    </row>
    <row r="904">
      <c r="A904" s="19" t="inlineStr">
        <is>
          <t>mit.nim.pow.nga</t>
        </is>
      </c>
      <c r="B904" s="3" t="inlineStr">
        <is>
          <t>mit</t>
        </is>
      </c>
      <c r="C904" s="19" t="inlineStr">
        <is>
          <t>mit.nim.pow.nga.t</t>
        </is>
      </c>
      <c r="H904" s="3" t="inlineStr">
        <is>
          <t>New nameplate investment | Power | Natural gas</t>
        </is>
      </c>
      <c r="I904" s="3" t="inlineStr">
        <is>
          <t>MW</t>
        </is>
      </c>
      <c r="K904" s="20" t="inlineStr">
        <is>
          <t>egy.mit.nim.pow.nga.1</t>
        </is>
      </c>
      <c r="L904" s="3" t="n">
        <v>505.9257293686999</v>
      </c>
      <c r="M904" s="3" t="n">
        <v>0</v>
      </c>
      <c r="N904" s="3" t="n">
        <v>3182.250190858638</v>
      </c>
      <c r="O904" s="3" t="n">
        <v>3434.580510675222</v>
      </c>
      <c r="P904" s="3" t="n">
        <v>3706.125925198293</v>
      </c>
      <c r="Q904" s="3" t="n">
        <v>3998.358235229781</v>
      </c>
      <c r="R904" s="3" t="n">
        <v>4312.861589477887</v>
      </c>
      <c r="S904" s="3" t="n">
        <v>4651.34107698884</v>
      </c>
      <c r="T904" s="3" t="n">
        <v>1103.75874957722</v>
      </c>
      <c r="U904" s="3" t="n">
        <v>1517.741852779962</v>
      </c>
      <c r="V904" s="3" t="n">
        <v>1279.805698783067</v>
      </c>
      <c r="W904" s="3" t="n">
        <v>5379.737920337107</v>
      </c>
      <c r="X904" s="3" t="n">
        <v>3296.680683909462</v>
      </c>
      <c r="Y904" s="3" t="n">
        <v>3657.31927060006</v>
      </c>
      <c r="Z904" s="3" t="n">
        <v>3589.898160566044</v>
      </c>
      <c r="AA904" s="3" t="n">
        <v>3658.51383066186</v>
      </c>
      <c r="AB904" s="3" t="n">
        <v>3720.41161509903</v>
      </c>
      <c r="AC904" s="3" t="n">
        <v>3792.494344219055</v>
      </c>
      <c r="AD904" s="3" t="n">
        <v>3878.756260204412</v>
      </c>
      <c r="AE904" s="3" t="n">
        <v>3964.546366879029</v>
      </c>
      <c r="AG904" s="20" t="inlineStr">
        <is>
          <t>egy.mit.nim.pow.nga.3</t>
        </is>
      </c>
      <c r="AH904" s="3" t="n">
        <v>467.4570378805366</v>
      </c>
      <c r="AI904" s="3" t="n">
        <v>0</v>
      </c>
      <c r="AJ904" s="3" t="n">
        <v>3182.243573123697</v>
      </c>
      <c r="AK904" s="3" t="n">
        <v>3434.567028105471</v>
      </c>
      <c r="AL904" s="3" t="n">
        <v>3706.105301718387</v>
      </c>
      <c r="AM904" s="3" t="n">
        <v>3998.330163967263</v>
      </c>
      <c r="AN904" s="3" t="n">
        <v>0</v>
      </c>
      <c r="AO904" s="3" t="n">
        <v>4176.886225922314</v>
      </c>
      <c r="AP904" s="3" t="n">
        <v>1341.83821462071</v>
      </c>
      <c r="AQ904" s="3" t="n">
        <v>4275.24711141744</v>
      </c>
      <c r="AR904" s="3" t="n">
        <v>850.7983972381428</v>
      </c>
      <c r="AS904" s="3" t="n">
        <v>5062.078484889214</v>
      </c>
      <c r="AT904" s="3" t="n">
        <v>3157.868517396132</v>
      </c>
      <c r="AU904" s="3" t="n">
        <v>3659.26236732245</v>
      </c>
      <c r="AV904" s="3" t="n">
        <v>3610.671377200143</v>
      </c>
      <c r="AW904" s="3" t="n">
        <v>3734.449837010007</v>
      </c>
      <c r="AX904" s="3" t="n">
        <v>3652.519338893323</v>
      </c>
      <c r="AY904" s="3" t="n">
        <v>3724.569013128691</v>
      </c>
      <c r="AZ904" s="3" t="n">
        <v>3686.600728951474</v>
      </c>
      <c r="BA904" s="3" t="n">
        <v>3798.402390992126</v>
      </c>
      <c r="BC904" s="20" t="inlineStr">
        <is>
          <t>egy.mit.nim.pow.nga.4</t>
        </is>
      </c>
      <c r="BD904" s="3" t="n">
        <v>371.1791227857508</v>
      </c>
      <c r="BE904" s="3" t="n">
        <v>0</v>
      </c>
      <c r="BF904" s="3" t="n">
        <v>3182.227340062108</v>
      </c>
      <c r="BG904" s="3" t="n">
        <v>3434.533957913179</v>
      </c>
      <c r="BH904" s="3" t="n">
        <v>3706.054719267143</v>
      </c>
      <c r="BI904" s="3" t="n">
        <v>3998.261318609817</v>
      </c>
      <c r="BJ904" s="3" t="n">
        <v>1243.668624703224</v>
      </c>
      <c r="BK904" s="3" t="n">
        <v>98.34695114565793</v>
      </c>
      <c r="BL904" s="3" t="n">
        <v>85.95347083427347</v>
      </c>
      <c r="BM904" s="3" t="n">
        <v>248.5905643885635</v>
      </c>
      <c r="BN904" s="3" t="n">
        <v>150.3798171158069</v>
      </c>
      <c r="BO904" s="3" t="n">
        <v>239.6350550415931</v>
      </c>
      <c r="BP904" s="3" t="n">
        <v>193.2401801743436</v>
      </c>
      <c r="BQ904" s="3" t="n">
        <v>229.8390625410979</v>
      </c>
      <c r="BR904" s="3" t="n">
        <v>195.1100924230863</v>
      </c>
      <c r="BS904" s="3" t="n">
        <v>216.0755036756618</v>
      </c>
      <c r="BT904" s="3" t="n">
        <v>177.5606884976163</v>
      </c>
      <c r="BU904" s="3" t="n">
        <v>193.6936880759479</v>
      </c>
      <c r="BV904" s="3" t="n">
        <v>147.5030684372885</v>
      </c>
      <c r="BW904" s="3" t="n">
        <v>169.1478407471708</v>
      </c>
      <c r="BY904" s="20" t="inlineStr">
        <is>
          <t>egy.mit.nim.pow.nga.5</t>
        </is>
      </c>
      <c r="BZ904" s="3" t="n">
        <v>278.0312932580749</v>
      </c>
      <c r="CA904" s="3" t="n">
        <v>0</v>
      </c>
      <c r="CB904" s="3" t="n">
        <v>3182.217341427632</v>
      </c>
      <c r="CC904" s="3" t="n">
        <v>3434.513583803227</v>
      </c>
      <c r="CD904" s="3" t="n">
        <v>3706.023549033754</v>
      </c>
      <c r="CE904" s="3" t="n">
        <v>3998.218885031304</v>
      </c>
      <c r="CF904" s="3" t="n">
        <v>4312.683577798793</v>
      </c>
      <c r="CG904" s="3" t="n">
        <v>4651.122543038864</v>
      </c>
      <c r="CH904" s="3" t="n">
        <v>9.857883096672742</v>
      </c>
      <c r="CI904" s="3" t="n">
        <v>4.363055428456674</v>
      </c>
      <c r="CJ904" s="3" t="n">
        <v>1.014393433209404</v>
      </c>
      <c r="CK904" s="3" t="n">
        <v>1668.901565424256</v>
      </c>
      <c r="CL904" s="3" t="n">
        <v>0.007430015972401142</v>
      </c>
      <c r="CM904" s="3" t="n">
        <v>0.0003172968845097909</v>
      </c>
      <c r="CN904" s="3" t="n">
        <v>0.0003246507236771686</v>
      </c>
      <c r="CO904" s="3" t="n">
        <v>0.0002967115925796442</v>
      </c>
      <c r="CP904" s="3" t="n">
        <v>0.0002730155577186664</v>
      </c>
      <c r="CQ904" s="3" t="n">
        <v>0.0002474204855091544</v>
      </c>
      <c r="CR904" s="3" t="n">
        <v>0.0002095979076370309</v>
      </c>
      <c r="CS904" s="3" t="n">
        <v>0.0001931992192611887</v>
      </c>
      <c r="CU904" s="20" t="inlineStr">
        <is>
          <t>egy.mit.nim.pow.nga.6</t>
        </is>
      </c>
      <c r="CV904" s="3" t="n">
        <v>413.538446672566</v>
      </c>
      <c r="CW904" s="3" t="n">
        <v>0</v>
      </c>
      <c r="CX904" s="3" t="n">
        <v>3182.234427987262</v>
      </c>
      <c r="CY904" s="3" t="n">
        <v>3434.548397176463</v>
      </c>
      <c r="CZ904" s="3" t="n">
        <v>3706.076804305653</v>
      </c>
      <c r="DA904" s="3" t="n">
        <v>3998.291376830682</v>
      </c>
      <c r="DB904" s="3" t="n">
        <v>0</v>
      </c>
      <c r="DC904" s="3" t="n">
        <v>429.5441978705107</v>
      </c>
      <c r="DD904" s="3" t="n">
        <v>150.4172472599498</v>
      </c>
      <c r="DE904" s="3" t="n">
        <v>1961.322780040886</v>
      </c>
      <c r="DF904" s="3" t="n">
        <v>718.2398493303332</v>
      </c>
      <c r="DG904" s="3" t="n">
        <v>1189.485352036304</v>
      </c>
      <c r="DH904" s="3" t="n">
        <v>1004.717899426752</v>
      </c>
      <c r="DI904" s="3" t="n">
        <v>1110.354322249373</v>
      </c>
      <c r="DJ904" s="3" t="n">
        <v>1068.266625793691</v>
      </c>
      <c r="DK904" s="3" t="n">
        <v>1133.04045895303</v>
      </c>
      <c r="DL904" s="3" t="n">
        <v>1070.167981785415</v>
      </c>
      <c r="DM904" s="3" t="n">
        <v>1107.645346251182</v>
      </c>
      <c r="DN904" s="3" t="n">
        <v>1046.310385502715</v>
      </c>
      <c r="DO904" s="3" t="n">
        <v>1084.544516670843</v>
      </c>
    </row>
    <row r="905">
      <c r="A905" s="19" t="inlineStr">
        <is>
          <t>mit.nim.pow.oop</t>
        </is>
      </c>
      <c r="B905" s="3" t="inlineStr">
        <is>
          <t>mit</t>
        </is>
      </c>
      <c r="C905" s="19" t="inlineStr">
        <is>
          <t>mit.nim.pow.oop.t</t>
        </is>
      </c>
      <c r="H905" s="3" t="inlineStr">
        <is>
          <t>New nameplate investment | Power | Other oil products</t>
        </is>
      </c>
      <c r="I905" s="3" t="inlineStr">
        <is>
          <t>MW</t>
        </is>
      </c>
      <c r="K905" s="20" t="inlineStr">
        <is>
          <t>egy.mit.nim.pow.oop.1</t>
        </is>
      </c>
      <c r="L905" s="3" t="n">
        <v>25.95277245795499</v>
      </c>
      <c r="M905" s="3" t="n">
        <v>0</v>
      </c>
      <c r="N905" s="3" t="n">
        <v>3499.659280972114</v>
      </c>
      <c r="O905" s="3" t="n">
        <v>3777.157935274496</v>
      </c>
      <c r="P905" s="3" t="n">
        <v>4075.788267003589</v>
      </c>
      <c r="Q905" s="3" t="n">
        <v>4397.16887967178</v>
      </c>
      <c r="R905" s="3" t="n">
        <v>4743.041930682349</v>
      </c>
      <c r="S905" s="3" t="n">
        <v>5115.282580801305</v>
      </c>
      <c r="T905" s="3" t="n">
        <v>40.73334983975522</v>
      </c>
      <c r="U905" s="3" t="n">
        <v>48.1237028033993</v>
      </c>
      <c r="V905" s="3" t="n">
        <v>48.39372876565753</v>
      </c>
      <c r="W905" s="3" t="n">
        <v>84.18758011070123</v>
      </c>
      <c r="X905" s="3" t="n">
        <v>66.51975231374327</v>
      </c>
      <c r="Y905" s="3" t="n">
        <v>68.30007882157342</v>
      </c>
      <c r="Z905" s="3" t="n">
        <v>66.43849803162603</v>
      </c>
      <c r="AA905" s="3" t="n">
        <v>64.83181595406826</v>
      </c>
      <c r="AB905" s="3" t="n">
        <v>63.05895519865673</v>
      </c>
      <c r="AC905" s="3" t="n">
        <v>60.73093908667821</v>
      </c>
      <c r="AD905" s="3" t="n">
        <v>58.21115601961071</v>
      </c>
      <c r="AE905" s="3" t="n">
        <v>55.76347570232119</v>
      </c>
      <c r="AG905" s="20" t="inlineStr">
        <is>
          <t>egy.mit.nim.pow.oop.3</t>
        </is>
      </c>
      <c r="AH905" s="3" t="n">
        <v>21.4569586689525</v>
      </c>
      <c r="AI905" s="3" t="n">
        <v>0</v>
      </c>
      <c r="AJ905" s="3" t="n">
        <v>3499.652003160465</v>
      </c>
      <c r="AK905" s="3" t="n">
        <v>3777.143107904701</v>
      </c>
      <c r="AL905" s="3" t="n">
        <v>4075.765586463553</v>
      </c>
      <c r="AM905" s="3" t="n">
        <v>4397.138008480482</v>
      </c>
      <c r="AN905" s="3" t="n">
        <v>0</v>
      </c>
      <c r="AO905" s="3" t="n">
        <v>4593.503894855437</v>
      </c>
      <c r="AP905" s="3" t="n">
        <v>23.76821251315335</v>
      </c>
      <c r="AQ905" s="3" t="n">
        <v>40.03421664701436</v>
      </c>
      <c r="AR905" s="3" t="n">
        <v>23.77138024521233</v>
      </c>
      <c r="AS905" s="3" t="n">
        <v>47.63185112247336</v>
      </c>
      <c r="AT905" s="3" t="n">
        <v>37.15866378538815</v>
      </c>
      <c r="AU905" s="3" t="n">
        <v>39.11440873389756</v>
      </c>
      <c r="AV905" s="3" t="n">
        <v>38.25908499953786</v>
      </c>
      <c r="AW905" s="3" t="n">
        <v>37.6237194841087</v>
      </c>
      <c r="AX905" s="3" t="n">
        <v>36.06475308039023</v>
      </c>
      <c r="AY905" s="3" t="n">
        <v>34.73527585344826</v>
      </c>
      <c r="AZ905" s="3" t="n">
        <v>32.85805647007381</v>
      </c>
      <c r="BA905" s="3" t="n">
        <v>31.54616558516605</v>
      </c>
      <c r="BC905" s="20" t="inlineStr">
        <is>
          <t>egy.mit.nim.pow.oop.4</t>
        </is>
      </c>
      <c r="BD905" s="3" t="n">
        <v>12.50808468796086</v>
      </c>
      <c r="BE905" s="3" t="n">
        <v>0</v>
      </c>
      <c r="BF905" s="3" t="n">
        <v>3499.634150954875</v>
      </c>
      <c r="BG905" s="3" t="n">
        <v>3777.106739172377</v>
      </c>
      <c r="BH905" s="3" t="n">
        <v>4075.709958736524</v>
      </c>
      <c r="BI905" s="3" t="n">
        <v>4397.062296239242</v>
      </c>
      <c r="BJ905" s="3" t="n">
        <v>8.990333703672523</v>
      </c>
      <c r="BK905" s="3" t="n">
        <v>1.443580644663425</v>
      </c>
      <c r="BL905" s="3" t="n">
        <v>0.9075313707042404</v>
      </c>
      <c r="BM905" s="3" t="n">
        <v>2.183674978336703</v>
      </c>
      <c r="BN905" s="3" t="n">
        <v>1.247440845989832</v>
      </c>
      <c r="BO905" s="3" t="n">
        <v>1.722757827526348</v>
      </c>
      <c r="BP905" s="3" t="n">
        <v>1.2704411446206</v>
      </c>
      <c r="BQ905" s="3" t="n">
        <v>1.338619885746166</v>
      </c>
      <c r="BR905" s="3" t="n">
        <v>1.00862124634943</v>
      </c>
      <c r="BS905" s="3" t="n">
        <v>0.9701508380247365</v>
      </c>
      <c r="BT905" s="3" t="n">
        <v>0.6900576171078711</v>
      </c>
      <c r="BU905" s="3" t="n">
        <v>0.6386884218818537</v>
      </c>
      <c r="BV905" s="3" t="n">
        <v>0.4113797524019443</v>
      </c>
      <c r="BW905" s="3" t="n">
        <v>0.3951453021321691</v>
      </c>
      <c r="BY905" s="20" t="inlineStr">
        <is>
          <t>egy.mit.nim.pow.oop.5</t>
        </is>
      </c>
      <c r="BZ905" s="3" t="n">
        <v>2.177454341281908</v>
      </c>
      <c r="CA905" s="3" t="n">
        <v>0</v>
      </c>
      <c r="CB905" s="3" t="n">
        <v>3499.623155020602</v>
      </c>
      <c r="CC905" s="3" t="n">
        <v>3777.084332875351</v>
      </c>
      <c r="CD905" s="3" t="n">
        <v>4075.675679471845</v>
      </c>
      <c r="CE905" s="3" t="n">
        <v>4397.015630182847</v>
      </c>
      <c r="CF905" s="3" t="n">
        <v>4742.846163477543</v>
      </c>
      <c r="CG905" s="3" t="n">
        <v>5115.042249488438</v>
      </c>
      <c r="CH905" s="3" t="n">
        <v>1.497854350769195e-06</v>
      </c>
      <c r="CI905" s="3" t="n">
        <v>5.03599005273984e-08</v>
      </c>
      <c r="CJ905" s="3" t="n">
        <v>3.858998871567775e-10</v>
      </c>
      <c r="CK905" s="3" t="n">
        <v>5.013569270462944e-13</v>
      </c>
      <c r="CL905" s="3" t="n">
        <v>7.210308509691482e-18</v>
      </c>
      <c r="CM905" s="3" t="n">
        <v>1.403511329148809e-22</v>
      </c>
      <c r="CN905" s="3" t="n">
        <v>9.917954121161609e-23</v>
      </c>
      <c r="CO905" s="3" t="n">
        <v>6.292581764452266e-23</v>
      </c>
      <c r="CP905" s="3" t="n">
        <v>4.046578895915289e-23</v>
      </c>
      <c r="CQ905" s="3" t="n">
        <v>2.580391930116177e-23</v>
      </c>
      <c r="CR905" s="3" t="n">
        <v>1.547863346606292e-23</v>
      </c>
      <c r="CS905" s="3" t="n">
        <v>1.017017549453969e-23</v>
      </c>
      <c r="CU905" s="20" t="inlineStr">
        <is>
          <t>egy.mit.nim.pow.oop.6</t>
        </is>
      </c>
      <c r="CV905" s="3" t="n">
        <v>16.06706527040005</v>
      </c>
      <c r="CW905" s="3" t="n">
        <v>0</v>
      </c>
      <c r="CX905" s="3" t="n">
        <v>3499.641945855201</v>
      </c>
      <c r="CY905" s="3" t="n">
        <v>3777.122618659762</v>
      </c>
      <c r="CZ905" s="3" t="n">
        <v>4075.734246616282</v>
      </c>
      <c r="DA905" s="3" t="n">
        <v>4397.095352575265</v>
      </c>
      <c r="DB905" s="3" t="n">
        <v>0</v>
      </c>
      <c r="DC905" s="3" t="n">
        <v>9.551154846764971</v>
      </c>
      <c r="DD905" s="3" t="n">
        <v>2.962566802083984</v>
      </c>
      <c r="DE905" s="3" t="n">
        <v>19.26628947217245</v>
      </c>
      <c r="DF905" s="3" t="n">
        <v>13.01522705254969</v>
      </c>
      <c r="DG905" s="3" t="n">
        <v>20.13167136178503</v>
      </c>
      <c r="DH905" s="3" t="n">
        <v>17.7578681118275</v>
      </c>
      <c r="DI905" s="3" t="n">
        <v>18.95763242517627</v>
      </c>
      <c r="DJ905" s="3" t="n">
        <v>17.56995495630331</v>
      </c>
      <c r="DK905" s="3" t="n">
        <v>17.75539964551665</v>
      </c>
      <c r="DL905" s="3" t="n">
        <v>15.98854837250065</v>
      </c>
      <c r="DM905" s="3" t="n">
        <v>15.6421825011795</v>
      </c>
      <c r="DN905" s="3" t="n">
        <v>13.93272008368822</v>
      </c>
      <c r="DO905" s="3" t="n">
        <v>13.62024800244173</v>
      </c>
    </row>
    <row r="906">
      <c r="A906" s="19" t="inlineStr">
        <is>
          <t>mit.nim.pow.nuc</t>
        </is>
      </c>
      <c r="B906" s="3" t="inlineStr">
        <is>
          <t>mit</t>
        </is>
      </c>
      <c r="C906" s="19" t="inlineStr">
        <is>
          <t>mit.nim.pow.nuc.t</t>
        </is>
      </c>
      <c r="H906" s="3" t="inlineStr">
        <is>
          <t>New nameplate investment | Power | Nuclear</t>
        </is>
      </c>
      <c r="I906" s="3" t="inlineStr">
        <is>
          <t>MW</t>
        </is>
      </c>
      <c r="K906" s="20" t="inlineStr">
        <is>
          <t>egy.mit.nim.pow.nuc.1</t>
        </is>
      </c>
      <c r="L906" s="3" t="n">
        <v>0</v>
      </c>
      <c r="M906" s="3" t="n">
        <v>0</v>
      </c>
      <c r="N906" s="3" t="n">
        <v>0</v>
      </c>
      <c r="O906" s="3" t="n">
        <v>0</v>
      </c>
      <c r="P906" s="3" t="n">
        <v>0</v>
      </c>
      <c r="Q906" s="3" t="n">
        <v>0</v>
      </c>
      <c r="R906" s="3" t="n">
        <v>0</v>
      </c>
      <c r="S906" s="3" t="n">
        <v>0</v>
      </c>
      <c r="T906" s="3" t="n">
        <v>0</v>
      </c>
      <c r="U906" s="3" t="n">
        <v>0</v>
      </c>
      <c r="V906" s="3" t="n">
        <v>0</v>
      </c>
      <c r="W906" s="3" t="n">
        <v>0</v>
      </c>
      <c r="X906" s="3" t="n">
        <v>0</v>
      </c>
      <c r="Y906" s="3" t="n">
        <v>0</v>
      </c>
      <c r="Z906" s="3" t="n">
        <v>0</v>
      </c>
      <c r="AA906" s="3" t="n">
        <v>0</v>
      </c>
      <c r="AB906" s="3" t="n">
        <v>0</v>
      </c>
      <c r="AC906" s="3" t="n">
        <v>0</v>
      </c>
      <c r="AD906" s="3" t="n">
        <v>0</v>
      </c>
      <c r="AE906" s="3" t="n">
        <v>0</v>
      </c>
      <c r="AG906" s="20" t="inlineStr">
        <is>
          <t>egy.mit.nim.pow.nuc.3</t>
        </is>
      </c>
      <c r="AH906" s="3" t="n">
        <v>0</v>
      </c>
      <c r="AI906" s="3" t="n">
        <v>0</v>
      </c>
      <c r="AJ906" s="3" t="n">
        <v>0</v>
      </c>
      <c r="AK906" s="3" t="n">
        <v>0</v>
      </c>
      <c r="AL906" s="3" t="n">
        <v>0</v>
      </c>
      <c r="AM906" s="3" t="n">
        <v>0</v>
      </c>
      <c r="AN906" s="3" t="n">
        <v>0</v>
      </c>
      <c r="AO906" s="3" t="n">
        <v>0</v>
      </c>
      <c r="AP906" s="3" t="n">
        <v>0</v>
      </c>
      <c r="AQ906" s="3" t="n">
        <v>0</v>
      </c>
      <c r="AR906" s="3" t="n">
        <v>0</v>
      </c>
      <c r="AS906" s="3" t="n">
        <v>0</v>
      </c>
      <c r="AT906" s="3" t="n">
        <v>0</v>
      </c>
      <c r="AU906" s="3" t="n">
        <v>0</v>
      </c>
      <c r="AV906" s="3" t="n">
        <v>0</v>
      </c>
      <c r="AW906" s="3" t="n">
        <v>0</v>
      </c>
      <c r="AX906" s="3" t="n">
        <v>0</v>
      </c>
      <c r="AY906" s="3" t="n">
        <v>0</v>
      </c>
      <c r="AZ906" s="3" t="n">
        <v>0</v>
      </c>
      <c r="BA906" s="3" t="n">
        <v>0</v>
      </c>
      <c r="BC906" s="20" t="inlineStr">
        <is>
          <t>egy.mit.nim.pow.nuc.4</t>
        </is>
      </c>
      <c r="BD906" s="3" t="n">
        <v>0</v>
      </c>
      <c r="BE906" s="3" t="n">
        <v>0</v>
      </c>
      <c r="BF906" s="3" t="n">
        <v>0</v>
      </c>
      <c r="BG906" s="3" t="n">
        <v>0</v>
      </c>
      <c r="BH906" s="3" t="n">
        <v>0</v>
      </c>
      <c r="BI906" s="3" t="n">
        <v>0</v>
      </c>
      <c r="BJ906" s="3" t="n">
        <v>0</v>
      </c>
      <c r="BK906" s="3" t="n">
        <v>0</v>
      </c>
      <c r="BL906" s="3" t="n">
        <v>0</v>
      </c>
      <c r="BM906" s="3" t="n">
        <v>0</v>
      </c>
      <c r="BN906" s="3" t="n">
        <v>0</v>
      </c>
      <c r="BO906" s="3" t="n">
        <v>0</v>
      </c>
      <c r="BP906" s="3" t="n">
        <v>0</v>
      </c>
      <c r="BQ906" s="3" t="n">
        <v>0</v>
      </c>
      <c r="BR906" s="3" t="n">
        <v>0</v>
      </c>
      <c r="BS906" s="3" t="n">
        <v>0</v>
      </c>
      <c r="BT906" s="3" t="n">
        <v>0</v>
      </c>
      <c r="BU906" s="3" t="n">
        <v>0</v>
      </c>
      <c r="BV906" s="3" t="n">
        <v>0</v>
      </c>
      <c r="BW906" s="3" t="n">
        <v>0</v>
      </c>
      <c r="BY906" s="20" t="inlineStr">
        <is>
          <t>egy.mit.nim.pow.nuc.5</t>
        </is>
      </c>
      <c r="BZ906" s="3" t="n">
        <v>0</v>
      </c>
      <c r="CA906" s="3" t="n">
        <v>0</v>
      </c>
      <c r="CB906" s="3" t="n">
        <v>0</v>
      </c>
      <c r="CC906" s="3" t="n">
        <v>0</v>
      </c>
      <c r="CD906" s="3" t="n">
        <v>0</v>
      </c>
      <c r="CE906" s="3" t="n">
        <v>0</v>
      </c>
      <c r="CF906" s="3" t="n">
        <v>0</v>
      </c>
      <c r="CG906" s="3" t="n">
        <v>0</v>
      </c>
      <c r="CH906" s="3" t="n">
        <v>0</v>
      </c>
      <c r="CI906" s="3" t="n">
        <v>0</v>
      </c>
      <c r="CJ906" s="3" t="n">
        <v>0</v>
      </c>
      <c r="CK906" s="3" t="n">
        <v>0</v>
      </c>
      <c r="CL906" s="3" t="n">
        <v>0</v>
      </c>
      <c r="CM906" s="3" t="n">
        <v>0</v>
      </c>
      <c r="CN906" s="3" t="n">
        <v>0</v>
      </c>
      <c r="CO906" s="3" t="n">
        <v>0</v>
      </c>
      <c r="CP906" s="3" t="n">
        <v>0</v>
      </c>
      <c r="CQ906" s="3" t="n">
        <v>0</v>
      </c>
      <c r="CR906" s="3" t="n">
        <v>0</v>
      </c>
      <c r="CS906" s="3" t="n">
        <v>0</v>
      </c>
      <c r="CU906" s="20" t="inlineStr">
        <is>
          <t>egy.mit.nim.pow.nuc.6</t>
        </is>
      </c>
      <c r="CV906" s="3" t="n">
        <v>0</v>
      </c>
      <c r="CW906" s="3" t="n">
        <v>0</v>
      </c>
      <c r="CX906" s="3" t="n">
        <v>0</v>
      </c>
      <c r="CY906" s="3" t="n">
        <v>0</v>
      </c>
      <c r="CZ906" s="3" t="n">
        <v>0</v>
      </c>
      <c r="DA906" s="3" t="n">
        <v>0</v>
      </c>
      <c r="DB906" s="3" t="n">
        <v>0</v>
      </c>
      <c r="DC906" s="3" t="n">
        <v>0</v>
      </c>
      <c r="DD906" s="3" t="n">
        <v>0</v>
      </c>
      <c r="DE906" s="3" t="n">
        <v>0</v>
      </c>
      <c r="DF906" s="3" t="n">
        <v>0</v>
      </c>
      <c r="DG906" s="3" t="n">
        <v>0</v>
      </c>
      <c r="DH906" s="3" t="n">
        <v>0</v>
      </c>
      <c r="DI906" s="3" t="n">
        <v>0</v>
      </c>
      <c r="DJ906" s="3" t="n">
        <v>0</v>
      </c>
      <c r="DK906" s="3" t="n">
        <v>0</v>
      </c>
      <c r="DL906" s="3" t="n">
        <v>0</v>
      </c>
      <c r="DM906" s="3" t="n">
        <v>0</v>
      </c>
      <c r="DN906" s="3" t="n">
        <v>0</v>
      </c>
      <c r="DO906" s="3" t="n">
        <v>0</v>
      </c>
    </row>
    <row r="907">
      <c r="A907" s="19" t="inlineStr">
        <is>
          <t>mit.nim.pow.wnd</t>
        </is>
      </c>
      <c r="B907" s="3" t="inlineStr">
        <is>
          <t>mit</t>
        </is>
      </c>
      <c r="C907" s="19" t="inlineStr">
        <is>
          <t>mit.nim.pow.wnd.t</t>
        </is>
      </c>
      <c r="H907" s="3" t="inlineStr">
        <is>
          <t>New nameplate investment | Power | Wind</t>
        </is>
      </c>
      <c r="I907" s="3" t="inlineStr">
        <is>
          <t>MW</t>
        </is>
      </c>
      <c r="K907" s="20" t="inlineStr">
        <is>
          <t>egy.mit.nim.pow.wnd.1</t>
        </is>
      </c>
      <c r="L907" s="3" t="n">
        <v>728.1715580469762</v>
      </c>
      <c r="M907" s="3" t="n">
        <v>0</v>
      </c>
      <c r="N907" s="3" t="n">
        <v>1156.067954084859</v>
      </c>
      <c r="O907" s="3" t="n">
        <v>1247.73610683473</v>
      </c>
      <c r="P907" s="3" t="n">
        <v>1346.384840586273</v>
      </c>
      <c r="Q907" s="3" t="n">
        <v>1452.548840433324</v>
      </c>
      <c r="R907" s="3" t="n">
        <v>1566.803605926897</v>
      </c>
      <c r="S907" s="3" t="n">
        <v>1689.768572588081</v>
      </c>
      <c r="T907" s="3" t="n">
        <v>1652.260895620183</v>
      </c>
      <c r="U907" s="3" t="n">
        <v>1866.29530802522</v>
      </c>
      <c r="V907" s="3" t="n">
        <v>1923.907911277358</v>
      </c>
      <c r="W907" s="3" t="n">
        <v>1977.734290682184</v>
      </c>
      <c r="X907" s="3" t="n">
        <v>2117.694037956237</v>
      </c>
      <c r="Y907" s="3" t="n">
        <v>2216.458968797252</v>
      </c>
      <c r="Z907" s="3" t="n">
        <v>2324.049302140777</v>
      </c>
      <c r="AA907" s="3" t="n">
        <v>2431.678826660263</v>
      </c>
      <c r="AB907" s="3" t="n">
        <v>2542.041738000178</v>
      </c>
      <c r="AC907" s="3" t="n">
        <v>2654.990682251827</v>
      </c>
      <c r="AD907" s="3" t="n">
        <v>2770.657759262942</v>
      </c>
      <c r="AE907" s="3" t="n">
        <v>2889.28922404068</v>
      </c>
      <c r="AG907" s="20" t="inlineStr">
        <is>
          <t>egy.mit.nim.pow.wnd.3</t>
        </is>
      </c>
      <c r="AH907" s="3" t="n">
        <v>747.6243826518079</v>
      </c>
      <c r="AI907" s="3" t="n">
        <v>0</v>
      </c>
      <c r="AJ907" s="3" t="n">
        <v>1156.0655499523</v>
      </c>
      <c r="AK907" s="3" t="n">
        <v>1247.731208801611</v>
      </c>
      <c r="AL907" s="3" t="n">
        <v>1346.377348358198</v>
      </c>
      <c r="AM907" s="3" t="n">
        <v>1452.538642527728</v>
      </c>
      <c r="AN907" s="3" t="n">
        <v>0</v>
      </c>
      <c r="AO907" s="3" t="n">
        <v>1517.40561679229</v>
      </c>
      <c r="AP907" s="3" t="n">
        <v>1636.590821416255</v>
      </c>
      <c r="AQ907" s="3" t="n">
        <v>1687.256589599055</v>
      </c>
      <c r="AR907" s="3" t="n">
        <v>1603.513012203656</v>
      </c>
      <c r="AS907" s="3" t="n">
        <v>1838.983853077822</v>
      </c>
      <c r="AT907" s="3" t="n">
        <v>1975.992217005304</v>
      </c>
      <c r="AU907" s="3" t="n">
        <v>2070.475805548834</v>
      </c>
      <c r="AV907" s="3" t="n">
        <v>2176.711155298166</v>
      </c>
      <c r="AW907" s="3" t="n">
        <v>2283.419203326547</v>
      </c>
      <c r="AX907" s="3" t="n">
        <v>2394.043326042865</v>
      </c>
      <c r="AY907" s="3" t="n">
        <v>2504.353364851545</v>
      </c>
      <c r="AZ907" s="3" t="n">
        <v>2617.405911639803</v>
      </c>
      <c r="BA907" s="3" t="n">
        <v>2730.909509864878</v>
      </c>
      <c r="BC907" s="20" t="inlineStr">
        <is>
          <t>egy.mit.nim.pow.wnd.4</t>
        </is>
      </c>
      <c r="BD907" s="3" t="n">
        <v>795.9038171710084</v>
      </c>
      <c r="BE907" s="3" t="n">
        <v>0</v>
      </c>
      <c r="BF907" s="3" t="n">
        <v>1156.059652703129</v>
      </c>
      <c r="BG907" s="3" t="n">
        <v>1247.719194853225</v>
      </c>
      <c r="BH907" s="3" t="n">
        <v>1346.358972445741</v>
      </c>
      <c r="BI907" s="3" t="n">
        <v>1452.513631951326</v>
      </c>
      <c r="BJ907" s="3" t="n">
        <v>1566.758631822122</v>
      </c>
      <c r="BK907" s="3" t="n">
        <v>362.8506517435435</v>
      </c>
      <c r="BL907" s="3" t="n">
        <v>383.6525823729395</v>
      </c>
      <c r="BM907" s="3" t="n">
        <v>1440.957205355312</v>
      </c>
      <c r="BN907" s="3" t="n">
        <v>818.4203698447038</v>
      </c>
      <c r="BO907" s="3" t="n">
        <v>1566.998383697377</v>
      </c>
      <c r="BP907" s="3" t="n">
        <v>1431.259531444533</v>
      </c>
      <c r="BQ907" s="3" t="n">
        <v>1628.480815270442</v>
      </c>
      <c r="BR907" s="3" t="n">
        <v>1676.403773978492</v>
      </c>
      <c r="BS907" s="3" t="n">
        <v>1717.285442548803</v>
      </c>
      <c r="BT907" s="3" t="n">
        <v>1779.317650622231</v>
      </c>
      <c r="BU907" s="3" t="n">
        <v>1831.433936037828</v>
      </c>
      <c r="BV907" s="3" t="n">
        <v>1907.600549749628</v>
      </c>
      <c r="BW907" s="3" t="n">
        <v>1965.288124518351</v>
      </c>
      <c r="BY907" s="20" t="inlineStr">
        <is>
          <t>egy.mit.nim.pow.wnd.5</t>
        </is>
      </c>
      <c r="BZ907" s="3" t="n">
        <v>859.1095523174802</v>
      </c>
      <c r="CA907" s="3" t="n">
        <v>0</v>
      </c>
      <c r="CB907" s="3" t="n">
        <v>1156.056020336027</v>
      </c>
      <c r="CC907" s="3" t="n">
        <v>1247.711793217842</v>
      </c>
      <c r="CD907" s="3" t="n">
        <v>1346.347648726429</v>
      </c>
      <c r="CE907" s="3" t="n">
        <v>1452.498216412837</v>
      </c>
      <c r="CF907" s="3" t="n">
        <v>1566.738936719478</v>
      </c>
      <c r="CG907" s="3" t="n">
        <v>1689.689182194085</v>
      </c>
      <c r="CH907" s="3" t="n">
        <v>1822.015617167343</v>
      </c>
      <c r="CI907" s="3" t="n">
        <v>1861.886921754815</v>
      </c>
      <c r="CJ907" s="3" t="n">
        <v>1923.208114395906</v>
      </c>
      <c r="CK907" s="3" t="n">
        <v>1973.53307388488</v>
      </c>
      <c r="CL907" s="3" t="n">
        <v>2121.180610146254</v>
      </c>
      <c r="CM907" s="3" t="n">
        <v>2225.388961469921</v>
      </c>
      <c r="CN907" s="3" t="n">
        <v>2335.432377069552</v>
      </c>
      <c r="CO907" s="3" t="n">
        <v>2458.672701161797</v>
      </c>
      <c r="CP907" s="3" t="n">
        <v>2578.222863611444</v>
      </c>
      <c r="CQ907" s="3" t="n">
        <v>2699.799644441279</v>
      </c>
      <c r="CR907" s="3" t="n">
        <v>2826.36690767304</v>
      </c>
      <c r="CS907" s="3" t="n">
        <v>2951.53678812767</v>
      </c>
      <c r="CU907" s="20" t="inlineStr">
        <is>
          <t>egy.mit.nim.pow.wnd.6</t>
        </is>
      </c>
      <c r="CV907" s="3" t="n">
        <v>774.729082915155</v>
      </c>
      <c r="CW907" s="3" t="n">
        <v>0</v>
      </c>
      <c r="CX907" s="3" t="n">
        <v>1156.062227649359</v>
      </c>
      <c r="CY907" s="3" t="n">
        <v>1247.724440440014</v>
      </c>
      <c r="CZ907" s="3" t="n">
        <v>1346.36699563806</v>
      </c>
      <c r="DA907" s="3" t="n">
        <v>1452.524551691703</v>
      </c>
      <c r="DB907" s="3" t="n">
        <v>0</v>
      </c>
      <c r="DC907" s="3" t="n">
        <v>1031.443449716256</v>
      </c>
      <c r="DD907" s="3" t="n">
        <v>367.0733923710914</v>
      </c>
      <c r="DE907" s="3" t="n">
        <v>1498.270601165277</v>
      </c>
      <c r="DF907" s="3" t="n">
        <v>1621.662959592812</v>
      </c>
      <c r="DG907" s="3" t="n">
        <v>1684.710838814221</v>
      </c>
      <c r="DH907" s="3" t="n">
        <v>1807.911595106146</v>
      </c>
      <c r="DI907" s="3" t="n">
        <v>1913.663856719879</v>
      </c>
      <c r="DJ907" s="3" t="n">
        <v>2036.656954222111</v>
      </c>
      <c r="DK907" s="3" t="n">
        <v>2153.698127129119</v>
      </c>
      <c r="DL907" s="3" t="n">
        <v>2282.95652112173</v>
      </c>
      <c r="DM907" s="3" t="n">
        <v>2403.47098975802</v>
      </c>
      <c r="DN907" s="3" t="n">
        <v>2532.656429223868</v>
      </c>
      <c r="DO907" s="3" t="n">
        <v>2653.718527206093</v>
      </c>
    </row>
    <row r="908">
      <c r="A908" s="19" t="inlineStr">
        <is>
          <t>mit.nim.pow.sol</t>
        </is>
      </c>
      <c r="B908" s="3" t="inlineStr">
        <is>
          <t>mit</t>
        </is>
      </c>
      <c r="C908" s="19" t="inlineStr">
        <is>
          <t>mit.nim.pow.sol.t</t>
        </is>
      </c>
      <c r="H908" s="3" t="inlineStr">
        <is>
          <t>New nameplate investment | Power | Solar</t>
        </is>
      </c>
      <c r="I908" s="3" t="inlineStr">
        <is>
          <t>MW</t>
        </is>
      </c>
      <c r="K908" s="20" t="inlineStr">
        <is>
          <t>egy.mit.nim.pow.sol.1</t>
        </is>
      </c>
      <c r="L908" s="3" t="n">
        <v>800.461706635204</v>
      </c>
      <c r="M908" s="3" t="n">
        <v>0</v>
      </c>
      <c r="N908" s="3" t="n">
        <v>1456.754416922789</v>
      </c>
      <c r="O908" s="3" t="n">
        <v>1572.264916057103</v>
      </c>
      <c r="P908" s="3" t="n">
        <v>1696.57160417922</v>
      </c>
      <c r="Q908" s="3" t="n">
        <v>1830.348234825302</v>
      </c>
      <c r="R908" s="3" t="n">
        <v>1974.319991588506</v>
      </c>
      <c r="S908" s="3" t="n">
        <v>2129.267421518991</v>
      </c>
      <c r="T908" s="3" t="n">
        <v>2296.030669038086</v>
      </c>
      <c r="U908" s="3" t="n">
        <v>2351.707720676472</v>
      </c>
      <c r="V908" s="3" t="n">
        <v>2424.305022557753</v>
      </c>
      <c r="W908" s="3" t="n">
        <v>2492.131326078996</v>
      </c>
      <c r="X908" s="3" t="n">
        <v>2668.493778919642</v>
      </c>
      <c r="Y908" s="3" t="n">
        <v>2792.946886309522</v>
      </c>
      <c r="Z908" s="3" t="n">
        <v>2928.520831389978</v>
      </c>
      <c r="AA908" s="3" t="n">
        <v>3064.144161040333</v>
      </c>
      <c r="AB908" s="3" t="n">
        <v>3203.211815316889</v>
      </c>
      <c r="AC908" s="3" t="n">
        <v>3345.53811442757</v>
      </c>
      <c r="AD908" s="3" t="n">
        <v>3491.289516612118</v>
      </c>
      <c r="AE908" s="3" t="n">
        <v>3640.776326354017</v>
      </c>
      <c r="AG908" s="20" t="inlineStr">
        <is>
          <t>egy.mit.nim.pow.sol.3</t>
        </is>
      </c>
      <c r="AH908" s="3" t="n">
        <v>821.8457349043423</v>
      </c>
      <c r="AI908" s="3" t="n">
        <v>0</v>
      </c>
      <c r="AJ908" s="3" t="n">
        <v>1456.751387489517</v>
      </c>
      <c r="AK908" s="3" t="n">
        <v>1572.258744074431</v>
      </c>
      <c r="AL908" s="3" t="n">
        <v>1696.56216326677</v>
      </c>
      <c r="AM908" s="3" t="n">
        <v>1830.335384504551</v>
      </c>
      <c r="AN908" s="3" t="n">
        <v>0</v>
      </c>
      <c r="AO908" s="3" t="n">
        <v>1912.073876552901</v>
      </c>
      <c r="AP908" s="3" t="n">
        <v>2062.258450612173</v>
      </c>
      <c r="AQ908" s="3" t="n">
        <v>2126.102086556139</v>
      </c>
      <c r="AR908" s="3" t="n">
        <v>2268.016689669915</v>
      </c>
      <c r="AS908" s="3" t="n">
        <v>2317.292717227385</v>
      </c>
      <c r="AT908" s="3" t="n">
        <v>2489.93614930376</v>
      </c>
      <c r="AU908" s="3" t="n">
        <v>2608.99436249198</v>
      </c>
      <c r="AV908" s="3" t="n">
        <v>2742.860900729504</v>
      </c>
      <c r="AW908" s="3" t="n">
        <v>2877.323083283128</v>
      </c>
      <c r="AX908" s="3" t="n">
        <v>3016.719888475927</v>
      </c>
      <c r="AY908" s="3" t="n">
        <v>3155.720918387421</v>
      </c>
      <c r="AZ908" s="3" t="n">
        <v>3298.177766444015</v>
      </c>
      <c r="BA908" s="3" t="n">
        <v>3441.202981758365</v>
      </c>
      <c r="BC908" s="20" t="inlineStr">
        <is>
          <t>egy.mit.nim.pow.sol.4</t>
        </is>
      </c>
      <c r="BD908" s="3" t="n">
        <v>874.9181710954418</v>
      </c>
      <c r="BE908" s="3" t="n">
        <v>0</v>
      </c>
      <c r="BF908" s="3" t="n">
        <v>1456.743956400586</v>
      </c>
      <c r="BG908" s="3" t="n">
        <v>1572.24360536886</v>
      </c>
      <c r="BH908" s="3" t="n">
        <v>1696.539007887761</v>
      </c>
      <c r="BI908" s="3" t="n">
        <v>1830.303868824599</v>
      </c>
      <c r="BJ908" s="3" t="n">
        <v>1974.263319984084</v>
      </c>
      <c r="BK908" s="3" t="n">
        <v>562.2849500255409</v>
      </c>
      <c r="BL908" s="3" t="n">
        <v>635.5312244498882</v>
      </c>
      <c r="BM908" s="3" t="n">
        <v>1943.879271751952</v>
      </c>
      <c r="BN908" s="3" t="n">
        <v>1391.783729938109</v>
      </c>
      <c r="BO908" s="3" t="n">
        <v>1974.565429909378</v>
      </c>
      <c r="BP908" s="3" t="n">
        <v>2020.549234662161</v>
      </c>
      <c r="BQ908" s="3" t="n">
        <v>2052.039079655267</v>
      </c>
      <c r="BR908" s="3" t="n">
        <v>2112.426517541843</v>
      </c>
      <c r="BS908" s="3" t="n">
        <v>2163.94126721598</v>
      </c>
      <c r="BT908" s="3" t="n">
        <v>2242.107687090469</v>
      </c>
      <c r="BU908" s="3" t="n">
        <v>2307.77911125245</v>
      </c>
      <c r="BV908" s="3" t="n">
        <v>2403.756212386224</v>
      </c>
      <c r="BW908" s="3" t="n">
        <v>2476.44798543379</v>
      </c>
      <c r="BY908" s="20" t="inlineStr">
        <is>
          <t>egy.mit.nim.pow.sol.5</t>
        </is>
      </c>
      <c r="BZ908" s="3" t="n">
        <v>906.1750413942693</v>
      </c>
      <c r="CA908" s="3" t="n">
        <v>0</v>
      </c>
      <c r="CB908" s="3" t="n">
        <v>1456.739379276205</v>
      </c>
      <c r="CC908" s="3" t="n">
        <v>1572.234278611728</v>
      </c>
      <c r="CD908" s="3" t="n">
        <v>1696.524738935781</v>
      </c>
      <c r="CE908" s="3" t="n">
        <v>1830.284443795384</v>
      </c>
      <c r="CF908" s="3" t="n">
        <v>1974.238502301294</v>
      </c>
      <c r="CG908" s="3" t="n">
        <v>2129.167382151317</v>
      </c>
      <c r="CH908" s="3" t="n">
        <v>2295.911143140293</v>
      </c>
      <c r="CI908" s="3" t="n">
        <v>2346.152739113128</v>
      </c>
      <c r="CJ908" s="3" t="n">
        <v>2423.42321263092</v>
      </c>
      <c r="CK908" s="3" t="n">
        <v>2486.837397547979</v>
      </c>
      <c r="CL908" s="3" t="n">
        <v>2672.887187991991</v>
      </c>
      <c r="CM908" s="3" t="n">
        <v>2804.199517457228</v>
      </c>
      <c r="CN908" s="3" t="n">
        <v>2942.86457703405</v>
      </c>
      <c r="CO908" s="3" t="n">
        <v>3098.158983240898</v>
      </c>
      <c r="CP908" s="3" t="n">
        <v>3248.803438505832</v>
      </c>
      <c r="CQ908" s="3" t="n">
        <v>3402.001623649986</v>
      </c>
      <c r="CR908" s="3" t="n">
        <v>3561.48828626287</v>
      </c>
      <c r="CS908" s="3" t="n">
        <v>3719.214115072232</v>
      </c>
      <c r="CU908" s="20" t="inlineStr">
        <is>
          <t>egy.mit.nim.pow.sol.6</t>
        </is>
      </c>
      <c r="CV908" s="3" t="n">
        <v>851.6412884258585</v>
      </c>
      <c r="CW908" s="3" t="n">
        <v>0</v>
      </c>
      <c r="CX908" s="3" t="n">
        <v>1456.747201075158</v>
      </c>
      <c r="CY908" s="3" t="n">
        <v>1572.250215301865</v>
      </c>
      <c r="CZ908" s="3" t="n">
        <v>1696.549117865126</v>
      </c>
      <c r="DA908" s="3" t="n">
        <v>1830.317628725104</v>
      </c>
      <c r="DB908" s="3" t="n">
        <v>0</v>
      </c>
      <c r="DC908" s="3" t="n">
        <v>1605.883386665105</v>
      </c>
      <c r="DD908" s="3" t="n">
        <v>609.2812677539047</v>
      </c>
      <c r="DE908" s="3" t="n">
        <v>1887.961956112547</v>
      </c>
      <c r="DF908" s="3" t="n">
        <v>2043.447939889445</v>
      </c>
      <c r="DG908" s="3" t="n">
        <v>2122.894200992762</v>
      </c>
      <c r="DH908" s="3" t="n">
        <v>2278.138748047576</v>
      </c>
      <c r="DI908" s="3" t="n">
        <v>2411.396549771981</v>
      </c>
      <c r="DJ908" s="3" t="n">
        <v>2566.379427209513</v>
      </c>
      <c r="DK908" s="3" t="n">
        <v>2713.862319535749</v>
      </c>
      <c r="DL908" s="3" t="n">
        <v>2876.740060163148</v>
      </c>
      <c r="DM908" s="3" t="n">
        <v>3028.599631971789</v>
      </c>
      <c r="DN908" s="3" t="n">
        <v>3191.385443029892</v>
      </c>
      <c r="DO908" s="3" t="n">
        <v>3343.935079350492</v>
      </c>
    </row>
    <row r="909">
      <c r="A909" s="19" t="inlineStr">
        <is>
          <t>mit.nim.pow.hyd</t>
        </is>
      </c>
      <c r="B909" s="3" t="inlineStr">
        <is>
          <t>mit</t>
        </is>
      </c>
      <c r="C909" s="19" t="inlineStr">
        <is>
          <t>mit.nim.pow.hyd.t</t>
        </is>
      </c>
      <c r="H909" s="3" t="inlineStr">
        <is>
          <t>New nameplate investment | Power | Hydro</t>
        </is>
      </c>
      <c r="I909" s="3" t="inlineStr">
        <is>
          <t>MW</t>
        </is>
      </c>
      <c r="K909" s="20" t="inlineStr">
        <is>
          <t>egy.mit.nim.pow.hyd.1</t>
        </is>
      </c>
      <c r="L909" s="3" t="n">
        <v>0</v>
      </c>
      <c r="M909" s="3" t="n">
        <v>0</v>
      </c>
      <c r="N909" s="3" t="n">
        <v>0</v>
      </c>
      <c r="O909" s="3" t="n">
        <v>0</v>
      </c>
      <c r="P909" s="3" t="n">
        <v>0</v>
      </c>
      <c r="Q909" s="3" t="n">
        <v>0</v>
      </c>
      <c r="R909" s="3" t="n">
        <v>0</v>
      </c>
      <c r="S909" s="3" t="n">
        <v>0</v>
      </c>
      <c r="T909" s="3" t="n">
        <v>413.9520775256647</v>
      </c>
      <c r="U909" s="3" t="n">
        <v>480.2021441371339</v>
      </c>
      <c r="V909" s="3" t="n">
        <v>476.6463090994943</v>
      </c>
      <c r="W909" s="3" t="n">
        <v>838.3196374711046</v>
      </c>
      <c r="X909" s="3" t="n">
        <v>678.0832687857212</v>
      </c>
      <c r="Y909" s="3" t="n">
        <v>716.8372135403336</v>
      </c>
      <c r="Z909" s="3" t="n">
        <v>719.4656150504684</v>
      </c>
      <c r="AA909" s="3" t="n">
        <v>729.5856963252555</v>
      </c>
      <c r="AB909" s="3" t="n">
        <v>738.1196428113687</v>
      </c>
      <c r="AC909" s="3" t="n">
        <v>744.3220114759595</v>
      </c>
      <c r="AD909" s="3" t="n">
        <v>749.5571953260682</v>
      </c>
      <c r="AE909" s="3" t="n">
        <v>754.3121539900707</v>
      </c>
      <c r="AG909" s="20" t="inlineStr">
        <is>
          <t>egy.mit.nim.pow.hyd.3</t>
        </is>
      </c>
      <c r="AH909" s="3" t="n">
        <v>0</v>
      </c>
      <c r="AI909" s="3" t="n">
        <v>0</v>
      </c>
      <c r="AJ909" s="3" t="n">
        <v>0</v>
      </c>
      <c r="AK909" s="3" t="n">
        <v>0</v>
      </c>
      <c r="AL909" s="3" t="n">
        <v>0</v>
      </c>
      <c r="AM909" s="3" t="n">
        <v>0</v>
      </c>
      <c r="AN909" s="3" t="n">
        <v>0</v>
      </c>
      <c r="AO909" s="3" t="n">
        <v>0</v>
      </c>
      <c r="AP909" s="3" t="n">
        <v>415.5552362586259</v>
      </c>
      <c r="AQ909" s="3" t="n">
        <v>683.8030845656302</v>
      </c>
      <c r="AR909" s="3" t="n">
        <v>399.1994283095382</v>
      </c>
      <c r="AS909" s="3" t="n">
        <v>963.7247334370329</v>
      </c>
      <c r="AT909" s="3" t="n">
        <v>644.8411201122448</v>
      </c>
      <c r="AU909" s="3" t="n">
        <v>697.599500440353</v>
      </c>
      <c r="AV909" s="3" t="n">
        <v>703.6193174681296</v>
      </c>
      <c r="AW909" s="3" t="n">
        <v>719.9206465476441</v>
      </c>
      <c r="AX909" s="3" t="n">
        <v>718.6784612569479</v>
      </c>
      <c r="AY909" s="3" t="n">
        <v>726.3736587074704</v>
      </c>
      <c r="AZ909" s="3" t="n">
        <v>723.7005796462801</v>
      </c>
      <c r="BA909" s="3" t="n">
        <v>731.8008321373351</v>
      </c>
      <c r="BC909" s="20" t="inlineStr">
        <is>
          <t>egy.mit.nim.pow.hyd.4</t>
        </is>
      </c>
      <c r="BD909" s="3" t="n">
        <v>0</v>
      </c>
      <c r="BE909" s="3" t="n">
        <v>0</v>
      </c>
      <c r="BF909" s="3" t="n">
        <v>0</v>
      </c>
      <c r="BG909" s="3" t="n">
        <v>0</v>
      </c>
      <c r="BH909" s="3" t="n">
        <v>0</v>
      </c>
      <c r="BI909" s="3" t="n">
        <v>0</v>
      </c>
      <c r="BJ909" s="3" t="n">
        <v>0</v>
      </c>
      <c r="BK909" s="3" t="n">
        <v>0</v>
      </c>
      <c r="BL909" s="3" t="n">
        <v>106.0655974180285</v>
      </c>
      <c r="BM909" s="3" t="n">
        <v>344.9811869344019</v>
      </c>
      <c r="BN909" s="3" t="n">
        <v>230.0331695223217</v>
      </c>
      <c r="BO909" s="3" t="n">
        <v>627.5746759400581</v>
      </c>
      <c r="BP909" s="3" t="n">
        <v>363.188901427621</v>
      </c>
      <c r="BQ909" s="3" t="n">
        <v>981.0065409245232</v>
      </c>
      <c r="BR909" s="3" t="n">
        <v>728.9940490982852</v>
      </c>
      <c r="BS909" s="3" t="n">
        <v>1396.079487869913</v>
      </c>
      <c r="BT909" s="3" t="n">
        <v>1033.168682183058</v>
      </c>
      <c r="BU909" s="3" t="n">
        <v>1787.566665693292</v>
      </c>
      <c r="BV909" s="3" t="n">
        <v>1126.729933718096</v>
      </c>
      <c r="BW909" s="3" t="n">
        <v>2209.539151909656</v>
      </c>
      <c r="BY909" s="20" t="inlineStr">
        <is>
          <t>egy.mit.nim.pow.hyd.5</t>
        </is>
      </c>
      <c r="BZ909" s="3" t="n">
        <v>0</v>
      </c>
      <c r="CA909" s="3" t="n">
        <v>0</v>
      </c>
      <c r="CB909" s="3" t="n">
        <v>0</v>
      </c>
      <c r="CC909" s="3" t="n">
        <v>0</v>
      </c>
      <c r="CD909" s="3" t="n">
        <v>0</v>
      </c>
      <c r="CE909" s="3" t="n">
        <v>0</v>
      </c>
      <c r="CF909" s="3" t="n">
        <v>0</v>
      </c>
      <c r="CG909" s="3" t="n">
        <v>0</v>
      </c>
      <c r="CH909" s="3" t="n">
        <v>830.0197525085929</v>
      </c>
      <c r="CI909" s="3" t="n">
        <v>1521.884863384933</v>
      </c>
      <c r="CJ909" s="3" t="n">
        <v>1099.138662858227</v>
      </c>
      <c r="CK909" s="3" t="n">
        <v>3300.814591748953</v>
      </c>
      <c r="CL909" s="3" t="n">
        <v>2726.206210074493</v>
      </c>
      <c r="CM909" s="3" t="n">
        <v>2815.042716323162</v>
      </c>
      <c r="CN909" s="3" t="n">
        <v>3146.037750024173</v>
      </c>
      <c r="CO909" s="3" t="n">
        <v>2898.355085170459</v>
      </c>
      <c r="CP909" s="3" t="n">
        <v>2851.21825917133</v>
      </c>
      <c r="CQ909" s="3" t="n">
        <v>2904.554061310835</v>
      </c>
      <c r="CR909" s="3" t="n">
        <v>2741.52983958635</v>
      </c>
      <c r="CS909" s="3" t="n">
        <v>2801.388993570141</v>
      </c>
      <c r="CU909" s="20" t="inlineStr">
        <is>
          <t>egy.mit.nim.pow.hyd.6</t>
        </is>
      </c>
      <c r="CV909" s="3" t="n">
        <v>0</v>
      </c>
      <c r="CW909" s="3" t="n">
        <v>0</v>
      </c>
      <c r="CX909" s="3" t="n">
        <v>0</v>
      </c>
      <c r="CY909" s="3" t="n">
        <v>0</v>
      </c>
      <c r="CZ909" s="3" t="n">
        <v>0</v>
      </c>
      <c r="DA909" s="3" t="n">
        <v>0</v>
      </c>
      <c r="DB909" s="3" t="n">
        <v>0</v>
      </c>
      <c r="DC909" s="3" t="n">
        <v>0</v>
      </c>
      <c r="DD909" s="3" t="n">
        <v>99.37062246148865</v>
      </c>
      <c r="DE909" s="3" t="n">
        <v>2505.918714085511</v>
      </c>
      <c r="DF909" s="3" t="n">
        <v>1139.095735747163</v>
      </c>
      <c r="DG909" s="3" t="n">
        <v>2817.74761883721</v>
      </c>
      <c r="DH909" s="3" t="n">
        <v>2231.924154814252</v>
      </c>
      <c r="DI909" s="3" t="n">
        <v>2652.965378435662</v>
      </c>
      <c r="DJ909" s="3" t="n">
        <v>2370.849232242581</v>
      </c>
      <c r="DK909" s="3" t="n">
        <v>2642.238391027334</v>
      </c>
      <c r="DL909" s="3" t="n">
        <v>2278.919786771861</v>
      </c>
      <c r="DM909" s="3" t="n">
        <v>2451.203075197118</v>
      </c>
      <c r="DN909" s="3" t="n">
        <v>2114.601498623393</v>
      </c>
      <c r="DO909" s="3" t="n">
        <v>2313.990366139</v>
      </c>
    </row>
    <row r="910">
      <c r="A910" s="19" t="inlineStr">
        <is>
          <t>mit.nim.pow.ore</t>
        </is>
      </c>
      <c r="B910" s="3" t="inlineStr">
        <is>
          <t>mit</t>
        </is>
      </c>
      <c r="C910" s="19" t="inlineStr">
        <is>
          <t>mit.nim.pow.ore.t</t>
        </is>
      </c>
      <c r="H910" s="3" t="inlineStr">
        <is>
          <t>New nameplate investment | Power | Other renewables</t>
        </is>
      </c>
      <c r="I910" s="3" t="inlineStr">
        <is>
          <t>MW</t>
        </is>
      </c>
      <c r="K910" s="20" t="inlineStr">
        <is>
          <t>egy.mit.nim.pow.ore.1</t>
        </is>
      </c>
      <c r="L910" s="3" t="n">
        <v>0</v>
      </c>
      <c r="M910" s="3" t="n">
        <v>0</v>
      </c>
      <c r="N910" s="3" t="n">
        <v>0</v>
      </c>
      <c r="O910" s="3" t="n">
        <v>0</v>
      </c>
      <c r="P910" s="3" t="n">
        <v>0</v>
      </c>
      <c r="Q910" s="3" t="n">
        <v>0</v>
      </c>
      <c r="R910" s="3" t="n">
        <v>0</v>
      </c>
      <c r="S910" s="3" t="n">
        <v>0</v>
      </c>
      <c r="T910" s="3" t="n">
        <v>0</v>
      </c>
      <c r="U910" s="3" t="n">
        <v>0</v>
      </c>
      <c r="V910" s="3" t="n">
        <v>0</v>
      </c>
      <c r="W910" s="3" t="n">
        <v>0</v>
      </c>
      <c r="X910" s="3" t="n">
        <v>0</v>
      </c>
      <c r="Y910" s="3" t="n">
        <v>0</v>
      </c>
      <c r="Z910" s="3" t="n">
        <v>0</v>
      </c>
      <c r="AA910" s="3" t="n">
        <v>0</v>
      </c>
      <c r="AB910" s="3" t="n">
        <v>0</v>
      </c>
      <c r="AC910" s="3" t="n">
        <v>0</v>
      </c>
      <c r="AD910" s="3" t="n">
        <v>0</v>
      </c>
      <c r="AE910" s="3" t="n">
        <v>0</v>
      </c>
      <c r="AG910" s="20" t="inlineStr">
        <is>
          <t>egy.mit.nim.pow.ore.3</t>
        </is>
      </c>
      <c r="AH910" s="3" t="n">
        <v>0</v>
      </c>
      <c r="AI910" s="3" t="n">
        <v>0</v>
      </c>
      <c r="AJ910" s="3" t="n">
        <v>0</v>
      </c>
      <c r="AK910" s="3" t="n">
        <v>0</v>
      </c>
      <c r="AL910" s="3" t="n">
        <v>0</v>
      </c>
      <c r="AM910" s="3" t="n">
        <v>0</v>
      </c>
      <c r="AN910" s="3" t="n">
        <v>0</v>
      </c>
      <c r="AO910" s="3" t="n">
        <v>0</v>
      </c>
      <c r="AP910" s="3" t="n">
        <v>0</v>
      </c>
      <c r="AQ910" s="3" t="n">
        <v>0</v>
      </c>
      <c r="AR910" s="3" t="n">
        <v>0</v>
      </c>
      <c r="AS910" s="3" t="n">
        <v>0</v>
      </c>
      <c r="AT910" s="3" t="n">
        <v>0</v>
      </c>
      <c r="AU910" s="3" t="n">
        <v>0</v>
      </c>
      <c r="AV910" s="3" t="n">
        <v>0</v>
      </c>
      <c r="AW910" s="3" t="n">
        <v>0</v>
      </c>
      <c r="AX910" s="3" t="n">
        <v>0</v>
      </c>
      <c r="AY910" s="3" t="n">
        <v>0</v>
      </c>
      <c r="AZ910" s="3" t="n">
        <v>0</v>
      </c>
      <c r="BA910" s="3" t="n">
        <v>0</v>
      </c>
      <c r="BC910" s="20" t="inlineStr">
        <is>
          <t>egy.mit.nim.pow.ore.4</t>
        </is>
      </c>
      <c r="BD910" s="3" t="n">
        <v>0</v>
      </c>
      <c r="BE910" s="3" t="n">
        <v>0</v>
      </c>
      <c r="BF910" s="3" t="n">
        <v>0</v>
      </c>
      <c r="BG910" s="3" t="n">
        <v>0</v>
      </c>
      <c r="BH910" s="3" t="n">
        <v>0</v>
      </c>
      <c r="BI910" s="3" t="n">
        <v>0</v>
      </c>
      <c r="BJ910" s="3" t="n">
        <v>0</v>
      </c>
      <c r="BK910" s="3" t="n">
        <v>0</v>
      </c>
      <c r="BL910" s="3" t="n">
        <v>0</v>
      </c>
      <c r="BM910" s="3" t="n">
        <v>0</v>
      </c>
      <c r="BN910" s="3" t="n">
        <v>0</v>
      </c>
      <c r="BO910" s="3" t="n">
        <v>0</v>
      </c>
      <c r="BP910" s="3" t="n">
        <v>0</v>
      </c>
      <c r="BQ910" s="3" t="n">
        <v>0</v>
      </c>
      <c r="BR910" s="3" t="n">
        <v>0</v>
      </c>
      <c r="BS910" s="3" t="n">
        <v>0</v>
      </c>
      <c r="BT910" s="3" t="n">
        <v>0</v>
      </c>
      <c r="BU910" s="3" t="n">
        <v>0</v>
      </c>
      <c r="BV910" s="3" t="n">
        <v>0</v>
      </c>
      <c r="BW910" s="3" t="n">
        <v>0</v>
      </c>
      <c r="BY910" s="20" t="inlineStr">
        <is>
          <t>egy.mit.nim.pow.ore.5</t>
        </is>
      </c>
      <c r="BZ910" s="3" t="n">
        <v>0</v>
      </c>
      <c r="CA910" s="3" t="n">
        <v>0</v>
      </c>
      <c r="CB910" s="3" t="n">
        <v>0</v>
      </c>
      <c r="CC910" s="3" t="n">
        <v>0</v>
      </c>
      <c r="CD910" s="3" t="n">
        <v>0</v>
      </c>
      <c r="CE910" s="3" t="n">
        <v>0</v>
      </c>
      <c r="CF910" s="3" t="n">
        <v>0</v>
      </c>
      <c r="CG910" s="3" t="n">
        <v>0</v>
      </c>
      <c r="CH910" s="3" t="n">
        <v>0</v>
      </c>
      <c r="CI910" s="3" t="n">
        <v>0</v>
      </c>
      <c r="CJ910" s="3" t="n">
        <v>0</v>
      </c>
      <c r="CK910" s="3" t="n">
        <v>0</v>
      </c>
      <c r="CL910" s="3" t="n">
        <v>0</v>
      </c>
      <c r="CM910" s="3" t="n">
        <v>0</v>
      </c>
      <c r="CN910" s="3" t="n">
        <v>0</v>
      </c>
      <c r="CO910" s="3" t="n">
        <v>0</v>
      </c>
      <c r="CP910" s="3" t="n">
        <v>0</v>
      </c>
      <c r="CQ910" s="3" t="n">
        <v>0</v>
      </c>
      <c r="CR910" s="3" t="n">
        <v>0</v>
      </c>
      <c r="CS910" s="3" t="n">
        <v>0</v>
      </c>
      <c r="CU910" s="20" t="inlineStr">
        <is>
          <t>egy.mit.nim.pow.ore.6</t>
        </is>
      </c>
      <c r="CV910" s="3" t="n">
        <v>0</v>
      </c>
      <c r="CW910" s="3" t="n">
        <v>0</v>
      </c>
      <c r="CX910" s="3" t="n">
        <v>0</v>
      </c>
      <c r="CY910" s="3" t="n">
        <v>0</v>
      </c>
      <c r="CZ910" s="3" t="n">
        <v>0</v>
      </c>
      <c r="DA910" s="3" t="n">
        <v>0</v>
      </c>
      <c r="DB910" s="3" t="n">
        <v>0</v>
      </c>
      <c r="DC910" s="3" t="n">
        <v>0</v>
      </c>
      <c r="DD910" s="3" t="n">
        <v>0</v>
      </c>
      <c r="DE910" s="3" t="n">
        <v>0</v>
      </c>
      <c r="DF910" s="3" t="n">
        <v>0</v>
      </c>
      <c r="DG910" s="3" t="n">
        <v>0</v>
      </c>
      <c r="DH910" s="3" t="n">
        <v>0</v>
      </c>
      <c r="DI910" s="3" t="n">
        <v>0</v>
      </c>
      <c r="DJ910" s="3" t="n">
        <v>0</v>
      </c>
      <c r="DK910" s="3" t="n">
        <v>0</v>
      </c>
      <c r="DL910" s="3" t="n">
        <v>0</v>
      </c>
      <c r="DM910" s="3" t="n">
        <v>0</v>
      </c>
      <c r="DN910" s="3" t="n">
        <v>0</v>
      </c>
      <c r="DO910" s="3" t="n">
        <v>0</v>
      </c>
    </row>
    <row r="911">
      <c r="A911" s="19" t="inlineStr">
        <is>
          <t>mit.nim.pow.bio</t>
        </is>
      </c>
      <c r="B911" s="3" t="inlineStr">
        <is>
          <t>mit</t>
        </is>
      </c>
      <c r="C911" s="19" t="inlineStr">
        <is>
          <t>mit.nim.pow.bio.t</t>
        </is>
      </c>
      <c r="H911" s="3" t="inlineStr">
        <is>
          <t>New nameplate investment | Power | Biomass</t>
        </is>
      </c>
      <c r="I911" s="3" t="inlineStr">
        <is>
          <t>MW</t>
        </is>
      </c>
      <c r="K911" s="20" t="inlineStr">
        <is>
          <t>egy.mit.nim.pow.bio.1</t>
        </is>
      </c>
      <c r="L911" s="3" t="n">
        <v>0</v>
      </c>
      <c r="M911" s="3" t="n">
        <v>0</v>
      </c>
      <c r="N911" s="3" t="n">
        <v>0</v>
      </c>
      <c r="O911" s="3" t="n">
        <v>0</v>
      </c>
      <c r="P911" s="3" t="n">
        <v>0</v>
      </c>
      <c r="Q911" s="3" t="n">
        <v>0</v>
      </c>
      <c r="R911" s="3" t="n">
        <v>0</v>
      </c>
      <c r="S911" s="3" t="n">
        <v>0</v>
      </c>
      <c r="T911" s="3" t="n">
        <v>0</v>
      </c>
      <c r="U911" s="3" t="n">
        <v>0</v>
      </c>
      <c r="V911" s="3" t="n">
        <v>0</v>
      </c>
      <c r="W911" s="3" t="n">
        <v>0</v>
      </c>
      <c r="X911" s="3" t="n">
        <v>0</v>
      </c>
      <c r="Y911" s="3" t="n">
        <v>0</v>
      </c>
      <c r="Z911" s="3" t="n">
        <v>0</v>
      </c>
      <c r="AA911" s="3" t="n">
        <v>0</v>
      </c>
      <c r="AB911" s="3" t="n">
        <v>0</v>
      </c>
      <c r="AC911" s="3" t="n">
        <v>0</v>
      </c>
      <c r="AD911" s="3" t="n">
        <v>0</v>
      </c>
      <c r="AE911" s="3" t="n">
        <v>0</v>
      </c>
      <c r="AG911" s="20" t="inlineStr">
        <is>
          <t>egy.mit.nim.pow.bio.3</t>
        </is>
      </c>
      <c r="AH911" s="3" t="n">
        <v>0</v>
      </c>
      <c r="AI911" s="3" t="n">
        <v>0</v>
      </c>
      <c r="AJ911" s="3" t="n">
        <v>0</v>
      </c>
      <c r="AK911" s="3" t="n">
        <v>0</v>
      </c>
      <c r="AL911" s="3" t="n">
        <v>0</v>
      </c>
      <c r="AM911" s="3" t="n">
        <v>0</v>
      </c>
      <c r="AN911" s="3" t="n">
        <v>0</v>
      </c>
      <c r="AO911" s="3" t="n">
        <v>0</v>
      </c>
      <c r="AP911" s="3" t="n">
        <v>0</v>
      </c>
      <c r="AQ911" s="3" t="n">
        <v>0</v>
      </c>
      <c r="AR911" s="3" t="n">
        <v>0</v>
      </c>
      <c r="AS911" s="3" t="n">
        <v>0</v>
      </c>
      <c r="AT911" s="3" t="n">
        <v>0</v>
      </c>
      <c r="AU911" s="3" t="n">
        <v>0</v>
      </c>
      <c r="AV911" s="3" t="n">
        <v>0</v>
      </c>
      <c r="AW911" s="3" t="n">
        <v>0</v>
      </c>
      <c r="AX911" s="3" t="n">
        <v>0</v>
      </c>
      <c r="AY911" s="3" t="n">
        <v>0</v>
      </c>
      <c r="AZ911" s="3" t="n">
        <v>0</v>
      </c>
      <c r="BA911" s="3" t="n">
        <v>0</v>
      </c>
      <c r="BC911" s="20" t="inlineStr">
        <is>
          <t>egy.mit.nim.pow.bio.4</t>
        </is>
      </c>
      <c r="BD911" s="3" t="n">
        <v>0</v>
      </c>
      <c r="BE911" s="3" t="n">
        <v>0</v>
      </c>
      <c r="BF911" s="3" t="n">
        <v>0</v>
      </c>
      <c r="BG911" s="3" t="n">
        <v>0</v>
      </c>
      <c r="BH911" s="3" t="n">
        <v>0</v>
      </c>
      <c r="BI911" s="3" t="n">
        <v>0</v>
      </c>
      <c r="BJ911" s="3" t="n">
        <v>0</v>
      </c>
      <c r="BK911" s="3" t="n">
        <v>0</v>
      </c>
      <c r="BL911" s="3" t="n">
        <v>0</v>
      </c>
      <c r="BM911" s="3" t="n">
        <v>0</v>
      </c>
      <c r="BN911" s="3" t="n">
        <v>0</v>
      </c>
      <c r="BO911" s="3" t="n">
        <v>0</v>
      </c>
      <c r="BP911" s="3" t="n">
        <v>0</v>
      </c>
      <c r="BQ911" s="3" t="n">
        <v>0</v>
      </c>
      <c r="BR911" s="3" t="n">
        <v>0</v>
      </c>
      <c r="BS911" s="3" t="n">
        <v>0</v>
      </c>
      <c r="BT911" s="3" t="n">
        <v>0</v>
      </c>
      <c r="BU911" s="3" t="n">
        <v>0</v>
      </c>
      <c r="BV911" s="3" t="n">
        <v>0</v>
      </c>
      <c r="BW911" s="3" t="n">
        <v>0</v>
      </c>
      <c r="BY911" s="20" t="inlineStr">
        <is>
          <t>egy.mit.nim.pow.bio.5</t>
        </is>
      </c>
      <c r="BZ911" s="3" t="n">
        <v>0</v>
      </c>
      <c r="CA911" s="3" t="n">
        <v>0</v>
      </c>
      <c r="CB911" s="3" t="n">
        <v>0</v>
      </c>
      <c r="CC911" s="3" t="n">
        <v>0</v>
      </c>
      <c r="CD911" s="3" t="n">
        <v>0</v>
      </c>
      <c r="CE911" s="3" t="n">
        <v>0</v>
      </c>
      <c r="CF911" s="3" t="n">
        <v>0</v>
      </c>
      <c r="CG911" s="3" t="n">
        <v>0</v>
      </c>
      <c r="CH911" s="3" t="n">
        <v>0</v>
      </c>
      <c r="CI911" s="3" t="n">
        <v>0</v>
      </c>
      <c r="CJ911" s="3" t="n">
        <v>0</v>
      </c>
      <c r="CK911" s="3" t="n">
        <v>0</v>
      </c>
      <c r="CL911" s="3" t="n">
        <v>0</v>
      </c>
      <c r="CM911" s="3" t="n">
        <v>0</v>
      </c>
      <c r="CN911" s="3" t="n">
        <v>0</v>
      </c>
      <c r="CO911" s="3" t="n">
        <v>0</v>
      </c>
      <c r="CP911" s="3" t="n">
        <v>0</v>
      </c>
      <c r="CQ911" s="3" t="n">
        <v>0</v>
      </c>
      <c r="CR911" s="3" t="n">
        <v>0</v>
      </c>
      <c r="CS911" s="3" t="n">
        <v>0</v>
      </c>
      <c r="CU911" s="20" t="inlineStr">
        <is>
          <t>egy.mit.nim.pow.bio.6</t>
        </is>
      </c>
      <c r="CV911" s="3" t="n">
        <v>0</v>
      </c>
      <c r="CW911" s="3" t="n">
        <v>0</v>
      </c>
      <c r="CX911" s="3" t="n">
        <v>0</v>
      </c>
      <c r="CY911" s="3" t="n">
        <v>0</v>
      </c>
      <c r="CZ911" s="3" t="n">
        <v>0</v>
      </c>
      <c r="DA911" s="3" t="n">
        <v>0</v>
      </c>
      <c r="DB911" s="3" t="n">
        <v>0</v>
      </c>
      <c r="DC911" s="3" t="n">
        <v>0</v>
      </c>
      <c r="DD911" s="3" t="n">
        <v>0</v>
      </c>
      <c r="DE911" s="3" t="n">
        <v>0</v>
      </c>
      <c r="DF911" s="3" t="n">
        <v>0</v>
      </c>
      <c r="DG911" s="3" t="n">
        <v>0</v>
      </c>
      <c r="DH911" s="3" t="n">
        <v>0</v>
      </c>
      <c r="DI911" s="3" t="n">
        <v>0</v>
      </c>
      <c r="DJ911" s="3" t="n">
        <v>0</v>
      </c>
      <c r="DK911" s="3" t="n">
        <v>0</v>
      </c>
      <c r="DL911" s="3" t="n">
        <v>0</v>
      </c>
      <c r="DM911" s="3" t="n">
        <v>0</v>
      </c>
      <c r="DN911" s="3" t="n">
        <v>0</v>
      </c>
      <c r="DO911" s="3" t="n">
        <v>0</v>
      </c>
    </row>
    <row r="912">
      <c r="A912" s="19" t="inlineStr">
        <is>
          <t>mit.nid.pow.coa</t>
        </is>
      </c>
      <c r="B912" s="3" t="inlineStr">
        <is>
          <t>mit</t>
        </is>
      </c>
      <c r="C912" s="19" t="inlineStr">
        <is>
          <t>mit.nid.pow.coa.t</t>
        </is>
      </c>
      <c r="H912" s="3" t="inlineStr">
        <is>
          <t>New investment | Power | Coal</t>
        </is>
      </c>
      <c r="I912" s="3" t="inlineStr">
        <is>
          <t>USD m real</t>
        </is>
      </c>
      <c r="K912" s="20" t="inlineStr">
        <is>
          <t>egy.mit.nid.pow.coa.1</t>
        </is>
      </c>
      <c r="L912" s="3" t="n">
        <v>0</v>
      </c>
      <c r="M912" s="3" t="n">
        <v>0</v>
      </c>
      <c r="N912" s="3" t="n">
        <v>0</v>
      </c>
      <c r="O912" s="3" t="n">
        <v>0</v>
      </c>
      <c r="P912" s="3" t="n">
        <v>0</v>
      </c>
      <c r="Q912" s="3" t="n">
        <v>0</v>
      </c>
      <c r="R912" s="3" t="n">
        <v>0</v>
      </c>
      <c r="S912" s="3" t="n">
        <v>0</v>
      </c>
      <c r="T912" s="3" t="n">
        <v>0</v>
      </c>
      <c r="U912" s="3" t="n">
        <v>0</v>
      </c>
      <c r="V912" s="3" t="n">
        <v>0</v>
      </c>
      <c r="W912" s="3" t="n">
        <v>0</v>
      </c>
      <c r="X912" s="3" t="n">
        <v>0</v>
      </c>
      <c r="Y912" s="3" t="n">
        <v>0</v>
      </c>
      <c r="Z912" s="3" t="n">
        <v>0</v>
      </c>
      <c r="AA912" s="3" t="n">
        <v>0</v>
      </c>
      <c r="AB912" s="3" t="n">
        <v>0</v>
      </c>
      <c r="AC912" s="3" t="n">
        <v>0</v>
      </c>
      <c r="AD912" s="3" t="n">
        <v>0</v>
      </c>
      <c r="AE912" s="3" t="n">
        <v>0</v>
      </c>
      <c r="AG912" s="20" t="inlineStr">
        <is>
          <t>egy.mit.nid.pow.coa.3</t>
        </is>
      </c>
      <c r="AH912" s="3" t="n">
        <v>0</v>
      </c>
      <c r="AI912" s="3" t="n">
        <v>0</v>
      </c>
      <c r="AJ912" s="3" t="n">
        <v>0</v>
      </c>
      <c r="AK912" s="3" t="n">
        <v>0</v>
      </c>
      <c r="AL912" s="3" t="n">
        <v>0</v>
      </c>
      <c r="AM912" s="3" t="n">
        <v>0</v>
      </c>
      <c r="AN912" s="3" t="n">
        <v>0</v>
      </c>
      <c r="AO912" s="3" t="n">
        <v>0</v>
      </c>
      <c r="AP912" s="3" t="n">
        <v>0</v>
      </c>
      <c r="AQ912" s="3" t="n">
        <v>0</v>
      </c>
      <c r="AR912" s="3" t="n">
        <v>0</v>
      </c>
      <c r="AS912" s="3" t="n">
        <v>0</v>
      </c>
      <c r="AT912" s="3" t="n">
        <v>0</v>
      </c>
      <c r="AU912" s="3" t="n">
        <v>0</v>
      </c>
      <c r="AV912" s="3" t="n">
        <v>0</v>
      </c>
      <c r="AW912" s="3" t="n">
        <v>0</v>
      </c>
      <c r="AX912" s="3" t="n">
        <v>0</v>
      </c>
      <c r="AY912" s="3" t="n">
        <v>0</v>
      </c>
      <c r="AZ912" s="3" t="n">
        <v>0</v>
      </c>
      <c r="BA912" s="3" t="n">
        <v>0</v>
      </c>
      <c r="BC912" s="20" t="inlineStr">
        <is>
          <t>egy.mit.nid.pow.coa.4</t>
        </is>
      </c>
      <c r="BD912" s="3" t="n">
        <v>0</v>
      </c>
      <c r="BE912" s="3" t="n">
        <v>0</v>
      </c>
      <c r="BF912" s="3" t="n">
        <v>0</v>
      </c>
      <c r="BG912" s="3" t="n">
        <v>0</v>
      </c>
      <c r="BH912" s="3" t="n">
        <v>0</v>
      </c>
      <c r="BI912" s="3" t="n">
        <v>0</v>
      </c>
      <c r="BJ912" s="3" t="n">
        <v>0</v>
      </c>
      <c r="BK912" s="3" t="n">
        <v>0</v>
      </c>
      <c r="BL912" s="3" t="n">
        <v>0</v>
      </c>
      <c r="BM912" s="3" t="n">
        <v>0</v>
      </c>
      <c r="BN912" s="3" t="n">
        <v>0</v>
      </c>
      <c r="BO912" s="3" t="n">
        <v>0</v>
      </c>
      <c r="BP912" s="3" t="n">
        <v>0</v>
      </c>
      <c r="BQ912" s="3" t="n">
        <v>0</v>
      </c>
      <c r="BR912" s="3" t="n">
        <v>0</v>
      </c>
      <c r="BS912" s="3" t="n">
        <v>0</v>
      </c>
      <c r="BT912" s="3" t="n">
        <v>0</v>
      </c>
      <c r="BU912" s="3" t="n">
        <v>0</v>
      </c>
      <c r="BV912" s="3" t="n">
        <v>0</v>
      </c>
      <c r="BW912" s="3" t="n">
        <v>0</v>
      </c>
      <c r="BY912" s="20" t="inlineStr">
        <is>
          <t>egy.mit.nid.pow.coa.5</t>
        </is>
      </c>
      <c r="BZ912" s="3" t="n">
        <v>0</v>
      </c>
      <c r="CA912" s="3" t="n">
        <v>0</v>
      </c>
      <c r="CB912" s="3" t="n">
        <v>0</v>
      </c>
      <c r="CC912" s="3" t="n">
        <v>0</v>
      </c>
      <c r="CD912" s="3" t="n">
        <v>0</v>
      </c>
      <c r="CE912" s="3" t="n">
        <v>0</v>
      </c>
      <c r="CF912" s="3" t="n">
        <v>0</v>
      </c>
      <c r="CG912" s="3" t="n">
        <v>0</v>
      </c>
      <c r="CH912" s="3" t="n">
        <v>0</v>
      </c>
      <c r="CI912" s="3" t="n">
        <v>0</v>
      </c>
      <c r="CJ912" s="3" t="n">
        <v>0</v>
      </c>
      <c r="CK912" s="3" t="n">
        <v>0</v>
      </c>
      <c r="CL912" s="3" t="n">
        <v>0</v>
      </c>
      <c r="CM912" s="3" t="n">
        <v>0</v>
      </c>
      <c r="CN912" s="3" t="n">
        <v>0</v>
      </c>
      <c r="CO912" s="3" t="n">
        <v>0</v>
      </c>
      <c r="CP912" s="3" t="n">
        <v>0</v>
      </c>
      <c r="CQ912" s="3" t="n">
        <v>0</v>
      </c>
      <c r="CR912" s="3" t="n">
        <v>0</v>
      </c>
      <c r="CS912" s="3" t="n">
        <v>0</v>
      </c>
      <c r="CU912" s="20" t="inlineStr">
        <is>
          <t>egy.mit.nid.pow.coa.6</t>
        </is>
      </c>
      <c r="CV912" s="3" t="n">
        <v>0</v>
      </c>
      <c r="CW912" s="3" t="n">
        <v>0</v>
      </c>
      <c r="CX912" s="3" t="n">
        <v>0</v>
      </c>
      <c r="CY912" s="3" t="n">
        <v>0</v>
      </c>
      <c r="CZ912" s="3" t="n">
        <v>0</v>
      </c>
      <c r="DA912" s="3" t="n">
        <v>0</v>
      </c>
      <c r="DB912" s="3" t="n">
        <v>0</v>
      </c>
      <c r="DC912" s="3" t="n">
        <v>0</v>
      </c>
      <c r="DD912" s="3" t="n">
        <v>0</v>
      </c>
      <c r="DE912" s="3" t="n">
        <v>0</v>
      </c>
      <c r="DF912" s="3" t="n">
        <v>0</v>
      </c>
      <c r="DG912" s="3" t="n">
        <v>0</v>
      </c>
      <c r="DH912" s="3" t="n">
        <v>0</v>
      </c>
      <c r="DI912" s="3" t="n">
        <v>0</v>
      </c>
      <c r="DJ912" s="3" t="n">
        <v>0</v>
      </c>
      <c r="DK912" s="3" t="n">
        <v>0</v>
      </c>
      <c r="DL912" s="3" t="n">
        <v>0</v>
      </c>
      <c r="DM912" s="3" t="n">
        <v>0</v>
      </c>
      <c r="DN912" s="3" t="n">
        <v>0</v>
      </c>
      <c r="DO912" s="3" t="n">
        <v>0</v>
      </c>
    </row>
    <row r="913">
      <c r="A913" s="19" t="inlineStr">
        <is>
          <t>mit.nid.pow.nga</t>
        </is>
      </c>
      <c r="B913" s="3" t="inlineStr">
        <is>
          <t>mit</t>
        </is>
      </c>
      <c r="C913" s="19" t="inlineStr">
        <is>
          <t>mit.nid.pow.nga.t</t>
        </is>
      </c>
      <c r="H913" s="3" t="inlineStr">
        <is>
          <t>New investment | Power | Natural gas</t>
        </is>
      </c>
      <c r="I913" s="3" t="inlineStr">
        <is>
          <t>USD m real</t>
        </is>
      </c>
      <c r="K913" s="20" t="inlineStr">
        <is>
          <t>egy.mit.nid.pow.nga.1</t>
        </is>
      </c>
      <c r="L913" s="3" t="n">
        <v>659.8258066140115</v>
      </c>
      <c r="M913" s="3" t="n">
        <v>0</v>
      </c>
      <c r="N913" s="3" t="n">
        <v>4150.274787666882</v>
      </c>
      <c r="O913" s="3" t="n">
        <v>4479.362729120071</v>
      </c>
      <c r="P913" s="3" t="n">
        <v>4833.510901013989</v>
      </c>
      <c r="Q913" s="3" t="n">
        <v>5214.638818595505</v>
      </c>
      <c r="R913" s="3" t="n">
        <v>5624.812520689112</v>
      </c>
      <c r="S913" s="3" t="n">
        <v>6066.25577590346</v>
      </c>
      <c r="T913" s="3" t="n">
        <v>1439.516642404862</v>
      </c>
      <c r="U913" s="3" t="n">
        <v>1979.431335686362</v>
      </c>
      <c r="V913" s="3" t="n">
        <v>1669.116193324382</v>
      </c>
      <c r="W913" s="3" t="n">
        <v>7016.227297014054</v>
      </c>
      <c r="X913" s="3" t="n">
        <v>4299.514464551301</v>
      </c>
      <c r="Y913" s="3" t="n">
        <v>4769.857506120245</v>
      </c>
      <c r="Z913" s="3" t="n">
        <v>4681.927231519431</v>
      </c>
      <c r="AA913" s="3" t="n">
        <v>4771.415445380044</v>
      </c>
      <c r="AB913" s="3" t="n">
        <v>4852.142226354079</v>
      </c>
      <c r="AC913" s="3" t="n">
        <v>4946.15216125877</v>
      </c>
      <c r="AD913" s="3" t="n">
        <v>5058.654520777292</v>
      </c>
      <c r="AE913" s="3" t="n">
        <v>5170.541548951795</v>
      </c>
      <c r="AG913" s="20" t="inlineStr">
        <is>
          <t>egy.mit.nid.pow.nga.3</t>
        </is>
      </c>
      <c r="AH913" s="3" t="n">
        <v>609.6551315186063</v>
      </c>
      <c r="AI913" s="3" t="n">
        <v>0</v>
      </c>
      <c r="AJ913" s="3" t="n">
        <v>4150.26615685006</v>
      </c>
      <c r="AK913" s="3" t="n">
        <v>4479.345145220015</v>
      </c>
      <c r="AL913" s="3" t="n">
        <v>4833.484003974611</v>
      </c>
      <c r="AM913" s="3" t="n">
        <v>5214.602208195285</v>
      </c>
      <c r="AN913" s="3" t="n">
        <v>0</v>
      </c>
      <c r="AO913" s="3" t="n">
        <v>5447.474131416752</v>
      </c>
      <c r="AP913" s="3" t="n">
        <v>1750.018690317256</v>
      </c>
      <c r="AQ913" s="3" t="n">
        <v>5575.755906475069</v>
      </c>
      <c r="AR913" s="3" t="n">
        <v>1109.607015686</v>
      </c>
      <c r="AS913" s="3" t="n">
        <v>6601.937449600088</v>
      </c>
      <c r="AT913" s="3" t="n">
        <v>4118.476331045448</v>
      </c>
      <c r="AU913" s="3" t="n">
        <v>4772.391683150103</v>
      </c>
      <c r="AV913" s="3" t="n">
        <v>4709.019556787541</v>
      </c>
      <c r="AW913" s="3" t="n">
        <v>4870.450805179265</v>
      </c>
      <c r="AX913" s="3" t="n">
        <v>4763.597459187977</v>
      </c>
      <c r="AY913" s="3" t="n">
        <v>4857.564284077373</v>
      </c>
      <c r="AZ913" s="3" t="n">
        <v>4808.046237694868</v>
      </c>
      <c r="BA913" s="3" t="n">
        <v>4953.857406319975</v>
      </c>
      <c r="BC913" s="20" t="inlineStr">
        <is>
          <t>egy.mit.nid.pow.nga.4</t>
        </is>
      </c>
      <c r="BD913" s="3" t="n">
        <v>484.0899560415622</v>
      </c>
      <c r="BE913" s="3" t="n">
        <v>0</v>
      </c>
      <c r="BF913" s="3" t="n">
        <v>4150.2449857723</v>
      </c>
      <c r="BG913" s="3" t="n">
        <v>4479.302015240579</v>
      </c>
      <c r="BH913" s="3" t="n">
        <v>4833.418034594612</v>
      </c>
      <c r="BI913" s="3" t="n">
        <v>5214.512420424329</v>
      </c>
      <c r="BJ913" s="3" t="n">
        <v>1621.986401994821</v>
      </c>
      <c r="BK913" s="3" t="n">
        <v>128.2636019494113</v>
      </c>
      <c r="BL913" s="3" t="n">
        <v>112.1000868947053</v>
      </c>
      <c r="BM913" s="3" t="n">
        <v>324.2105711227425</v>
      </c>
      <c r="BN913" s="3" t="n">
        <v>196.1246055833498</v>
      </c>
      <c r="BO913" s="3" t="n">
        <v>312.5308406099705</v>
      </c>
      <c r="BP913" s="3" t="n">
        <v>252.0228767824781</v>
      </c>
      <c r="BQ913" s="3" t="n">
        <v>299.7549561707872</v>
      </c>
      <c r="BR913" s="3" t="n">
        <v>254.461606987727</v>
      </c>
      <c r="BS913" s="3" t="n">
        <v>281.8045915162797</v>
      </c>
      <c r="BT913" s="3" t="n">
        <v>231.5737621351487</v>
      </c>
      <c r="BU913" s="3" t="n">
        <v>252.6143395202109</v>
      </c>
      <c r="BV913" s="3" t="n">
        <v>192.3727643405695</v>
      </c>
      <c r="BW913" s="3" t="n">
        <v>220.6017681632565</v>
      </c>
      <c r="BY913" s="20" t="inlineStr">
        <is>
          <t>egy.mit.nid.pow.nga.5</t>
        </is>
      </c>
      <c r="BZ913" s="3" t="n">
        <v>362.607022510715</v>
      </c>
      <c r="CA913" s="3" t="n">
        <v>0</v>
      </c>
      <c r="CB913" s="3" t="n">
        <v>4150.23194560321</v>
      </c>
      <c r="CC913" s="3" t="n">
        <v>4479.27544342825</v>
      </c>
      <c r="CD913" s="3" t="n">
        <v>4833.377382532077</v>
      </c>
      <c r="CE913" s="3" t="n">
        <v>5214.457078763401</v>
      </c>
      <c r="CF913" s="3" t="n">
        <v>5624.580358747296</v>
      </c>
      <c r="CG913" s="3" t="n">
        <v>6065.970765018571</v>
      </c>
      <c r="CH913" s="3" t="n">
        <v>12.85660184526511</v>
      </c>
      <c r="CI913" s="3" t="n">
        <v>5.690275074516052</v>
      </c>
      <c r="CJ913" s="3" t="n">
        <v>1.322966843624538</v>
      </c>
      <c r="CK913" s="3" t="n">
        <v>2176.573077118487</v>
      </c>
      <c r="CL913" s="3" t="n">
        <v>0.009690189681125706</v>
      </c>
      <c r="CM913" s="3" t="n">
        <v>0.0004138170102932467</v>
      </c>
      <c r="CN913" s="3" t="n">
        <v>0.0004234078505661449</v>
      </c>
      <c r="CO913" s="3" t="n">
        <v>0.0003869697754844091</v>
      </c>
      <c r="CP913" s="3" t="n">
        <v>0.0003560655252988962</v>
      </c>
      <c r="CQ913" s="3" t="n">
        <v>0.0003226845600986116</v>
      </c>
      <c r="CR913" s="3" t="n">
        <v>0.0002733565431506775</v>
      </c>
      <c r="CS913" s="3" t="n">
        <v>0.0002519694557643459</v>
      </c>
      <c r="CU913" s="20" t="inlineStr">
        <is>
          <t>egy.mit.nid.pow.nga.6</t>
        </is>
      </c>
      <c r="CV913" s="3" t="n">
        <v>539.3347744581272</v>
      </c>
      <c r="CW913" s="3" t="n">
        <v>0</v>
      </c>
      <c r="CX913" s="3" t="n">
        <v>4150.254229808847</v>
      </c>
      <c r="CY913" s="3" t="n">
        <v>4479.320846855558</v>
      </c>
      <c r="CZ913" s="3" t="n">
        <v>4833.446837791411</v>
      </c>
      <c r="DA913" s="3" t="n">
        <v>5214.55162220569</v>
      </c>
      <c r="DB913" s="3" t="n">
        <v>0</v>
      </c>
      <c r="DC913" s="3" t="n">
        <v>560.2093951417307</v>
      </c>
      <c r="DD913" s="3" t="n">
        <v>196.1734217901902</v>
      </c>
      <c r="DE913" s="3" t="n">
        <v>2557.947363115423</v>
      </c>
      <c r="DF913" s="3" t="n">
        <v>936.7248202973738</v>
      </c>
      <c r="DG913" s="3" t="n">
        <v>1551.320848698987</v>
      </c>
      <c r="DH913" s="3" t="n">
        <v>1310.348060842872</v>
      </c>
      <c r="DI913" s="3" t="n">
        <v>1448.11855530602</v>
      </c>
      <c r="DJ913" s="3" t="n">
        <v>1393.227992027003</v>
      </c>
      <c r="DK913" s="3" t="n">
        <v>1477.705701364246</v>
      </c>
      <c r="DL913" s="3" t="n">
        <v>1395.707731004629</v>
      </c>
      <c r="DM913" s="3" t="n">
        <v>1444.58552235406</v>
      </c>
      <c r="DN913" s="3" t="n">
        <v>1364.592773220714</v>
      </c>
      <c r="DO913" s="3" t="n">
        <v>1414.457535919531</v>
      </c>
    </row>
    <row r="914">
      <c r="A914" s="19" t="inlineStr">
        <is>
          <t>mit.nid.pow.oop</t>
        </is>
      </c>
      <c r="B914" s="3" t="inlineStr">
        <is>
          <t>mit</t>
        </is>
      </c>
      <c r="C914" s="19" t="inlineStr">
        <is>
          <t>mit.nid.pow.oop.t</t>
        </is>
      </c>
      <c r="H914" s="3" t="inlineStr">
        <is>
          <t>New investment | Power | Other oil products</t>
        </is>
      </c>
      <c r="I914" s="3" t="inlineStr">
        <is>
          <t>USD m real</t>
        </is>
      </c>
      <c r="K914" s="20" t="inlineStr">
        <is>
          <t>egy.mit.nid.pow.oop.1</t>
        </is>
      </c>
      <c r="L914" s="3" t="n">
        <v>34.91634037257114</v>
      </c>
      <c r="M914" s="3" t="n">
        <v>0</v>
      </c>
      <c r="N914" s="3" t="n">
        <v>4708.371517548404</v>
      </c>
      <c r="O914" s="3" t="n">
        <v>5081.71265026359</v>
      </c>
      <c r="P914" s="3" t="n">
        <v>5483.483918636529</v>
      </c>
      <c r="Q914" s="3" t="n">
        <v>5915.862959420992</v>
      </c>
      <c r="R914" s="3" t="n">
        <v>6381.19363630145</v>
      </c>
      <c r="S914" s="3" t="n">
        <v>6881.998753023256</v>
      </c>
      <c r="T914" s="3" t="n">
        <v>54.80183320776435</v>
      </c>
      <c r="U914" s="3" t="n">
        <v>64.74466609662363</v>
      </c>
      <c r="V914" s="3" t="n">
        <v>65.10795361909986</v>
      </c>
      <c r="W914" s="3" t="n">
        <v>113.2642844632705</v>
      </c>
      <c r="X914" s="3" t="n">
        <v>89.49434273538897</v>
      </c>
      <c r="Y914" s="3" t="n">
        <v>91.88955836880214</v>
      </c>
      <c r="Z914" s="3" t="n">
        <v>89.38502485130817</v>
      </c>
      <c r="AA914" s="3" t="n">
        <v>87.2234269572334</v>
      </c>
      <c r="AB914" s="3" t="n">
        <v>84.83825559762599</v>
      </c>
      <c r="AC914" s="3" t="n">
        <v>81.70618933802464</v>
      </c>
      <c r="AD914" s="3" t="n">
        <v>78.31612365709188</v>
      </c>
      <c r="AE914" s="3" t="n">
        <v>75.02306357188593</v>
      </c>
      <c r="AG914" s="20" t="inlineStr">
        <is>
          <t>egy.mit.nid.pow.oop.3</t>
        </is>
      </c>
      <c r="AH914" s="3" t="n">
        <v>28.86776252745566</v>
      </c>
      <c r="AI914" s="3" t="n">
        <v>0</v>
      </c>
      <c r="AJ914" s="3" t="n">
        <v>4708.361726126345</v>
      </c>
      <c r="AK914" s="3" t="n">
        <v>5081.692701817179</v>
      </c>
      <c r="AL914" s="3" t="n">
        <v>5483.453404692131</v>
      </c>
      <c r="AM914" s="3" t="n">
        <v>5915.821425938401</v>
      </c>
      <c r="AN914" s="3" t="n">
        <v>0</v>
      </c>
      <c r="AO914" s="3" t="n">
        <v>6180.008157330481</v>
      </c>
      <c r="AP914" s="3" t="n">
        <v>31.97727716764565</v>
      </c>
      <c r="AQ914" s="3" t="n">
        <v>53.86123341007222</v>
      </c>
      <c r="AR914" s="3" t="n">
        <v>31.98153897092542</v>
      </c>
      <c r="AS914" s="3" t="n">
        <v>64.08293869421013</v>
      </c>
      <c r="AT914" s="3" t="n">
        <v>49.99252217166708</v>
      </c>
      <c r="AU914" s="3" t="n">
        <v>52.62374226249634</v>
      </c>
      <c r="AV914" s="3" t="n">
        <v>51.47300683775416</v>
      </c>
      <c r="AW914" s="3" t="n">
        <v>50.61819879619871</v>
      </c>
      <c r="AX914" s="3" t="n">
        <v>48.52079661422287</v>
      </c>
      <c r="AY914" s="3" t="n">
        <v>46.73214457526665</v>
      </c>
      <c r="AZ914" s="3" t="n">
        <v>44.20657120733157</v>
      </c>
      <c r="BA914" s="3" t="n">
        <v>42.44157948078975</v>
      </c>
      <c r="BC914" s="20" t="inlineStr">
        <is>
          <t>egy.mit.nid.pow.oop.4</t>
        </is>
      </c>
      <c r="BD914" s="3" t="n">
        <v>16.82812667052529</v>
      </c>
      <c r="BE914" s="3" t="n">
        <v>0</v>
      </c>
      <c r="BF914" s="3" t="n">
        <v>4708.337708126428</v>
      </c>
      <c r="BG914" s="3" t="n">
        <v>5081.643772052978</v>
      </c>
      <c r="BH914" s="3" t="n">
        <v>5483.378564262107</v>
      </c>
      <c r="BI914" s="3" t="n">
        <v>5915.719564205139</v>
      </c>
      <c r="BJ914" s="3" t="n">
        <v>12.09541493761331</v>
      </c>
      <c r="BK914" s="3" t="n">
        <v>1.942164492290069</v>
      </c>
      <c r="BL914" s="3" t="n">
        <v>1.220974533246157</v>
      </c>
      <c r="BM914" s="3" t="n">
        <v>2.937872588764615</v>
      </c>
      <c r="BN914" s="3" t="n">
        <v>1.678281934764097</v>
      </c>
      <c r="BO914" s="3" t="n">
        <v>2.317763883718843</v>
      </c>
      <c r="BP914" s="3" t="n">
        <v>1.709226075971505</v>
      </c>
      <c r="BQ914" s="3" t="n">
        <v>1.80095238903383</v>
      </c>
      <c r="BR914" s="3" t="n">
        <v>1.356978827660814</v>
      </c>
      <c r="BS914" s="3" t="n">
        <v>1.305221510653048</v>
      </c>
      <c r="BT914" s="3" t="n">
        <v>0.9283896999697414</v>
      </c>
      <c r="BU914" s="3" t="n">
        <v>0.8592786133572242</v>
      </c>
      <c r="BV914" s="3" t="n">
        <v>0.5534620811907726</v>
      </c>
      <c r="BW914" s="3" t="n">
        <v>0.5316205768852353</v>
      </c>
      <c r="BY914" s="20" t="inlineStr">
        <is>
          <t>egy.mit.nid.pow.oop.5</t>
        </is>
      </c>
      <c r="BZ914" s="3" t="n">
        <v>2.929503468236497</v>
      </c>
      <c r="CA914" s="3" t="n">
        <v>0</v>
      </c>
      <c r="CB914" s="3" t="n">
        <v>4708.322914416644</v>
      </c>
      <c r="CC914" s="3" t="n">
        <v>5081.613627069634</v>
      </c>
      <c r="CD914" s="3" t="n">
        <v>5483.332445625835</v>
      </c>
      <c r="CE914" s="3" t="n">
        <v>5915.656780627331</v>
      </c>
      <c r="CF914" s="3" t="n">
        <v>6380.930255024253</v>
      </c>
      <c r="CG914" s="3" t="n">
        <v>6881.675416087448</v>
      </c>
      <c r="CH914" s="3" t="n">
        <v>2.015183249678707e-06</v>
      </c>
      <c r="CI914" s="3" t="n">
        <v>6.775320173565856e-08</v>
      </c>
      <c r="CJ914" s="3" t="n">
        <v>5.191819807125368e-10</v>
      </c>
      <c r="CK914" s="3" t="n">
        <v>6.7451557020564e-13</v>
      </c>
      <c r="CL914" s="3" t="n">
        <v>9.70060468581906e-18</v>
      </c>
      <c r="CM914" s="3" t="n">
        <v>1.888256037566364e-22</v>
      </c>
      <c r="CN914" s="3" t="n">
        <v>1.334341687212985e-22</v>
      </c>
      <c r="CO914" s="3" t="n">
        <v>8.465913499831244e-23</v>
      </c>
      <c r="CP914" s="3" t="n">
        <v>5.444186215678586e-23</v>
      </c>
      <c r="CQ914" s="3" t="n">
        <v>3.471607631613773e-23</v>
      </c>
      <c r="CR914" s="3" t="n">
        <v>2.08246435127074e-23</v>
      </c>
      <c r="CS914" s="3" t="n">
        <v>1.368275045725544e-23</v>
      </c>
      <c r="CU914" s="20" t="inlineStr">
        <is>
          <t>egy.mit.nid.pow.oop.6</t>
        </is>
      </c>
      <c r="CV914" s="3" t="n">
        <v>21.61630787918566</v>
      </c>
      <c r="CW914" s="3" t="n">
        <v>0</v>
      </c>
      <c r="CX914" s="3" t="n">
        <v>4708.348195229236</v>
      </c>
      <c r="CY914" s="3" t="n">
        <v>5081.665135997326</v>
      </c>
      <c r="CZ914" s="3" t="n">
        <v>5483.411240689178</v>
      </c>
      <c r="DA914" s="3" t="n">
        <v>5915.764037537686</v>
      </c>
      <c r="DB914" s="3" t="n">
        <v>0</v>
      </c>
      <c r="DC914" s="3" t="n">
        <v>12.8499324733438</v>
      </c>
      <c r="DD914" s="3" t="n">
        <v>3.985778051482788</v>
      </c>
      <c r="DE914" s="3" t="n">
        <v>25.92048005725339</v>
      </c>
      <c r="DF914" s="3" t="n">
        <v>17.51042585254994</v>
      </c>
      <c r="DG914" s="3" t="n">
        <v>27.08474752266285</v>
      </c>
      <c r="DH914" s="3" t="n">
        <v>23.89108016449098</v>
      </c>
      <c r="DI914" s="3" t="n">
        <v>25.50521904694049</v>
      </c>
      <c r="DJ914" s="3" t="n">
        <v>23.63826556792346</v>
      </c>
      <c r="DK914" s="3" t="n">
        <v>23.88775913934627</v>
      </c>
      <c r="DL914" s="3" t="n">
        <v>21.51067281701667</v>
      </c>
      <c r="DM914" s="3" t="n">
        <v>21.04467910955885</v>
      </c>
      <c r="DN914" s="3" t="n">
        <v>18.74480260426671</v>
      </c>
      <c r="DO914" s="3" t="n">
        <v>18.32440892326774</v>
      </c>
    </row>
    <row r="915">
      <c r="A915" s="19" t="inlineStr">
        <is>
          <t>mit.nid.pow.nuc</t>
        </is>
      </c>
      <c r="B915" s="3" t="inlineStr">
        <is>
          <t>mit</t>
        </is>
      </c>
      <c r="C915" s="19" t="inlineStr">
        <is>
          <t>mit.nid.pow.nuc.t</t>
        </is>
      </c>
      <c r="H915" s="3" t="inlineStr">
        <is>
          <t>New investment | Power | Nuclear</t>
        </is>
      </c>
      <c r="I915" s="3" t="inlineStr">
        <is>
          <t>USD m real</t>
        </is>
      </c>
      <c r="K915" s="20" t="inlineStr">
        <is>
          <t>egy.mit.nid.pow.nuc.1</t>
        </is>
      </c>
      <c r="L915" s="3" t="n">
        <v>0</v>
      </c>
      <c r="M915" s="3" t="n">
        <v>0</v>
      </c>
      <c r="N915" s="3" t="n">
        <v>0</v>
      </c>
      <c r="O915" s="3" t="n">
        <v>0</v>
      </c>
      <c r="P915" s="3" t="n">
        <v>0</v>
      </c>
      <c r="Q915" s="3" t="n">
        <v>0</v>
      </c>
      <c r="R915" s="3" t="n">
        <v>0</v>
      </c>
      <c r="S915" s="3" t="n">
        <v>0</v>
      </c>
      <c r="T915" s="3" t="n">
        <v>0</v>
      </c>
      <c r="U915" s="3" t="n">
        <v>0</v>
      </c>
      <c r="V915" s="3" t="n">
        <v>0</v>
      </c>
      <c r="W915" s="3" t="n">
        <v>0</v>
      </c>
      <c r="X915" s="3" t="n">
        <v>0</v>
      </c>
      <c r="Y915" s="3" t="n">
        <v>0</v>
      </c>
      <c r="Z915" s="3" t="n">
        <v>0</v>
      </c>
      <c r="AA915" s="3" t="n">
        <v>0</v>
      </c>
      <c r="AB915" s="3" t="n">
        <v>0</v>
      </c>
      <c r="AC915" s="3" t="n">
        <v>0</v>
      </c>
      <c r="AD915" s="3" t="n">
        <v>0</v>
      </c>
      <c r="AE915" s="3" t="n">
        <v>0</v>
      </c>
      <c r="AG915" s="20" t="inlineStr">
        <is>
          <t>egy.mit.nid.pow.nuc.3</t>
        </is>
      </c>
      <c r="AH915" s="3" t="n">
        <v>0</v>
      </c>
      <c r="AI915" s="3" t="n">
        <v>0</v>
      </c>
      <c r="AJ915" s="3" t="n">
        <v>0</v>
      </c>
      <c r="AK915" s="3" t="n">
        <v>0</v>
      </c>
      <c r="AL915" s="3" t="n">
        <v>0</v>
      </c>
      <c r="AM915" s="3" t="n">
        <v>0</v>
      </c>
      <c r="AN915" s="3" t="n">
        <v>0</v>
      </c>
      <c r="AO915" s="3" t="n">
        <v>0</v>
      </c>
      <c r="AP915" s="3" t="n">
        <v>0</v>
      </c>
      <c r="AQ915" s="3" t="n">
        <v>0</v>
      </c>
      <c r="AR915" s="3" t="n">
        <v>0</v>
      </c>
      <c r="AS915" s="3" t="n">
        <v>0</v>
      </c>
      <c r="AT915" s="3" t="n">
        <v>0</v>
      </c>
      <c r="AU915" s="3" t="n">
        <v>0</v>
      </c>
      <c r="AV915" s="3" t="n">
        <v>0</v>
      </c>
      <c r="AW915" s="3" t="n">
        <v>0</v>
      </c>
      <c r="AX915" s="3" t="n">
        <v>0</v>
      </c>
      <c r="AY915" s="3" t="n">
        <v>0</v>
      </c>
      <c r="AZ915" s="3" t="n">
        <v>0</v>
      </c>
      <c r="BA915" s="3" t="n">
        <v>0</v>
      </c>
      <c r="BC915" s="20" t="inlineStr">
        <is>
          <t>egy.mit.nid.pow.nuc.4</t>
        </is>
      </c>
      <c r="BD915" s="3" t="n">
        <v>0</v>
      </c>
      <c r="BE915" s="3" t="n">
        <v>0</v>
      </c>
      <c r="BF915" s="3" t="n">
        <v>0</v>
      </c>
      <c r="BG915" s="3" t="n">
        <v>0</v>
      </c>
      <c r="BH915" s="3" t="n">
        <v>0</v>
      </c>
      <c r="BI915" s="3" t="n">
        <v>0</v>
      </c>
      <c r="BJ915" s="3" t="n">
        <v>0</v>
      </c>
      <c r="BK915" s="3" t="n">
        <v>0</v>
      </c>
      <c r="BL915" s="3" t="n">
        <v>0</v>
      </c>
      <c r="BM915" s="3" t="n">
        <v>0</v>
      </c>
      <c r="BN915" s="3" t="n">
        <v>0</v>
      </c>
      <c r="BO915" s="3" t="n">
        <v>0</v>
      </c>
      <c r="BP915" s="3" t="n">
        <v>0</v>
      </c>
      <c r="BQ915" s="3" t="n">
        <v>0</v>
      </c>
      <c r="BR915" s="3" t="n">
        <v>0</v>
      </c>
      <c r="BS915" s="3" t="n">
        <v>0</v>
      </c>
      <c r="BT915" s="3" t="n">
        <v>0</v>
      </c>
      <c r="BU915" s="3" t="n">
        <v>0</v>
      </c>
      <c r="BV915" s="3" t="n">
        <v>0</v>
      </c>
      <c r="BW915" s="3" t="n">
        <v>0</v>
      </c>
      <c r="BY915" s="20" t="inlineStr">
        <is>
          <t>egy.mit.nid.pow.nuc.5</t>
        </is>
      </c>
      <c r="BZ915" s="3" t="n">
        <v>0</v>
      </c>
      <c r="CA915" s="3" t="n">
        <v>0</v>
      </c>
      <c r="CB915" s="3" t="n">
        <v>0</v>
      </c>
      <c r="CC915" s="3" t="n">
        <v>0</v>
      </c>
      <c r="CD915" s="3" t="n">
        <v>0</v>
      </c>
      <c r="CE915" s="3" t="n">
        <v>0</v>
      </c>
      <c r="CF915" s="3" t="n">
        <v>0</v>
      </c>
      <c r="CG915" s="3" t="n">
        <v>0</v>
      </c>
      <c r="CH915" s="3" t="n">
        <v>0</v>
      </c>
      <c r="CI915" s="3" t="n">
        <v>0</v>
      </c>
      <c r="CJ915" s="3" t="n">
        <v>0</v>
      </c>
      <c r="CK915" s="3" t="n">
        <v>0</v>
      </c>
      <c r="CL915" s="3" t="n">
        <v>0</v>
      </c>
      <c r="CM915" s="3" t="n">
        <v>0</v>
      </c>
      <c r="CN915" s="3" t="n">
        <v>0</v>
      </c>
      <c r="CO915" s="3" t="n">
        <v>0</v>
      </c>
      <c r="CP915" s="3" t="n">
        <v>0</v>
      </c>
      <c r="CQ915" s="3" t="n">
        <v>0</v>
      </c>
      <c r="CR915" s="3" t="n">
        <v>0</v>
      </c>
      <c r="CS915" s="3" t="n">
        <v>0</v>
      </c>
      <c r="CU915" s="20" t="inlineStr">
        <is>
          <t>egy.mit.nid.pow.nuc.6</t>
        </is>
      </c>
      <c r="CV915" s="3" t="n">
        <v>0</v>
      </c>
      <c r="CW915" s="3" t="n">
        <v>0</v>
      </c>
      <c r="CX915" s="3" t="n">
        <v>0</v>
      </c>
      <c r="CY915" s="3" t="n">
        <v>0</v>
      </c>
      <c r="CZ915" s="3" t="n">
        <v>0</v>
      </c>
      <c r="DA915" s="3" t="n">
        <v>0</v>
      </c>
      <c r="DB915" s="3" t="n">
        <v>0</v>
      </c>
      <c r="DC915" s="3" t="n">
        <v>0</v>
      </c>
      <c r="DD915" s="3" t="n">
        <v>0</v>
      </c>
      <c r="DE915" s="3" t="n">
        <v>0</v>
      </c>
      <c r="DF915" s="3" t="n">
        <v>0</v>
      </c>
      <c r="DG915" s="3" t="n">
        <v>0</v>
      </c>
      <c r="DH915" s="3" t="n">
        <v>0</v>
      </c>
      <c r="DI915" s="3" t="n">
        <v>0</v>
      </c>
      <c r="DJ915" s="3" t="n">
        <v>0</v>
      </c>
      <c r="DK915" s="3" t="n">
        <v>0</v>
      </c>
      <c r="DL915" s="3" t="n">
        <v>0</v>
      </c>
      <c r="DM915" s="3" t="n">
        <v>0</v>
      </c>
      <c r="DN915" s="3" t="n">
        <v>0</v>
      </c>
      <c r="DO915" s="3" t="n">
        <v>0</v>
      </c>
    </row>
    <row r="916">
      <c r="A916" s="19" t="inlineStr">
        <is>
          <t>mit.nid.pow.wnd</t>
        </is>
      </c>
      <c r="B916" s="3" t="inlineStr">
        <is>
          <t>mit</t>
        </is>
      </c>
      <c r="C916" s="19" t="inlineStr">
        <is>
          <t>mit.nid.pow.wnd.t</t>
        </is>
      </c>
      <c r="H916" s="3" t="inlineStr">
        <is>
          <t>New investment | Power | Wind</t>
        </is>
      </c>
      <c r="I916" s="3" t="inlineStr">
        <is>
          <t>USD m real</t>
        </is>
      </c>
      <c r="K916" s="20" t="inlineStr">
        <is>
          <t>egy.mit.nid.pow.wnd.1</t>
        </is>
      </c>
      <c r="L916" s="3" t="n">
        <v>993.9541767341225</v>
      </c>
      <c r="M916" s="3" t="n">
        <v>0</v>
      </c>
      <c r="N916" s="3" t="n">
        <v>1492.368121928144</v>
      </c>
      <c r="O916" s="3" t="n">
        <v>1597.726084801871</v>
      </c>
      <c r="P916" s="3" t="n">
        <v>1711.793686321387</v>
      </c>
      <c r="Q916" s="3" t="n">
        <v>1833.552401278984</v>
      </c>
      <c r="R916" s="3" t="n">
        <v>1961.481434259882</v>
      </c>
      <c r="S916" s="3" t="n">
        <v>2100.044382012467</v>
      </c>
      <c r="T916" s="3" t="n">
        <v>2038.39426692662</v>
      </c>
      <c r="U916" s="3" t="n">
        <v>2295.169969809416</v>
      </c>
      <c r="V916" s="3" t="n">
        <v>2358.518708434913</v>
      </c>
      <c r="W916" s="3" t="n">
        <v>2416.791303213629</v>
      </c>
      <c r="X916" s="3" t="n">
        <v>2579.563107634493</v>
      </c>
      <c r="Y916" s="3" t="n">
        <v>2691.224479913623</v>
      </c>
      <c r="Z916" s="3" t="n">
        <v>2815.818134473766</v>
      </c>
      <c r="AA916" s="3" t="n">
        <v>2936.738518957601</v>
      </c>
      <c r="AB916" s="3" t="n">
        <v>3060.109844204615</v>
      </c>
      <c r="AC916" s="3" t="n">
        <v>3185.723319633968</v>
      </c>
      <c r="AD916" s="3" t="n">
        <v>3313.706680078478</v>
      </c>
      <c r="AE916" s="3" t="n">
        <v>3448.077759970147</v>
      </c>
      <c r="AG916" s="20" t="inlineStr">
        <is>
          <t>egy.mit.nid.pow.wnd.3</t>
        </is>
      </c>
      <c r="AH916" s="3" t="n">
        <v>1020.507282319718</v>
      </c>
      <c r="AI916" s="3" t="n">
        <v>0</v>
      </c>
      <c r="AJ916" s="3" t="n">
        <v>1492.365018433424</v>
      </c>
      <c r="AK916" s="3" t="n">
        <v>1597.719812870463</v>
      </c>
      <c r="AL916" s="3" t="n">
        <v>1711.784160702612</v>
      </c>
      <c r="AM916" s="3" t="n">
        <v>1833.539528462752</v>
      </c>
      <c r="AN916" s="3" t="n">
        <v>0</v>
      </c>
      <c r="AO916" s="3" t="n">
        <v>1885.831700549458</v>
      </c>
      <c r="AP916" s="3" t="n">
        <v>2019.062096381234</v>
      </c>
      <c r="AQ916" s="3" t="n">
        <v>2074.988153888918</v>
      </c>
      <c r="AR916" s="3" t="n">
        <v>1965.746601660462</v>
      </c>
      <c r="AS916" s="3" t="n">
        <v>2247.238268461099</v>
      </c>
      <c r="AT916" s="3" t="n">
        <v>2406.956119534161</v>
      </c>
      <c r="AU916" s="3" t="n">
        <v>2513.971723097394</v>
      </c>
      <c r="AV916" s="3" t="n">
        <v>2637.303235759259</v>
      </c>
      <c r="AW916" s="3" t="n">
        <v>2757.685371857472</v>
      </c>
      <c r="AX916" s="3" t="n">
        <v>2881.949355890401</v>
      </c>
      <c r="AY916" s="3" t="n">
        <v>3004.973602485369</v>
      </c>
      <c r="AZ916" s="3" t="n">
        <v>3130.417470321205</v>
      </c>
      <c r="BA916" s="3" t="n">
        <v>3259.067409072745</v>
      </c>
      <c r="BC916" s="20" t="inlineStr">
        <is>
          <t>egy.mit.nid.pow.wnd.4</t>
        </is>
      </c>
      <c r="BD916" s="3" t="n">
        <v>1086.408710438426</v>
      </c>
      <c r="BE916" s="3" t="n">
        <v>0</v>
      </c>
      <c r="BF916" s="3" t="n">
        <v>1492.357405674469</v>
      </c>
      <c r="BG916" s="3" t="n">
        <v>1597.704429009554</v>
      </c>
      <c r="BH916" s="3" t="n">
        <v>1711.760797567515</v>
      </c>
      <c r="BI916" s="3" t="n">
        <v>1833.507957612158</v>
      </c>
      <c r="BJ916" s="3" t="n">
        <v>1961.425131178114</v>
      </c>
      <c r="BK916" s="3" t="n">
        <v>450.9507899868758</v>
      </c>
      <c r="BL916" s="3" t="n">
        <v>473.3121908734955</v>
      </c>
      <c r="BM916" s="3" t="n">
        <v>1772.089171145962</v>
      </c>
      <c r="BN916" s="3" t="n">
        <v>1003.301531392622</v>
      </c>
      <c r="BO916" s="3" t="n">
        <v>1914.872024878194</v>
      </c>
      <c r="BP916" s="3" t="n">
        <v>1743.417235252586</v>
      </c>
      <c r="BQ916" s="3" t="n">
        <v>1977.301405901371</v>
      </c>
      <c r="BR916" s="3" t="n">
        <v>2031.130812552341</v>
      </c>
      <c r="BS916" s="3" t="n">
        <v>2073.965628966189</v>
      </c>
      <c r="BT916" s="3" t="n">
        <v>2141.942587819041</v>
      </c>
      <c r="BU916" s="3" t="n">
        <v>2197.53757985179</v>
      </c>
      <c r="BV916" s="3" t="n">
        <v>2281.490257500556</v>
      </c>
      <c r="BW916" s="3" t="n">
        <v>2345.3748478002</v>
      </c>
      <c r="BY916" s="20" t="inlineStr">
        <is>
          <t>egy.mit.nid.pow.wnd.5</t>
        </is>
      </c>
      <c r="BZ916" s="3" t="n">
        <v>1172.68453891336</v>
      </c>
      <c r="CA916" s="3" t="n">
        <v>0</v>
      </c>
      <c r="CB916" s="3" t="n">
        <v>1492.352716651777</v>
      </c>
      <c r="CC916" s="3" t="n">
        <v>1597.694951215447</v>
      </c>
      <c r="CD916" s="3" t="n">
        <v>1711.746400590782</v>
      </c>
      <c r="CE916" s="3" t="n">
        <v>1833.488498577924</v>
      </c>
      <c r="CF916" s="3" t="n">
        <v>1961.400474879114</v>
      </c>
      <c r="CG916" s="3" t="n">
        <v>2099.945715630809</v>
      </c>
      <c r="CH916" s="3" t="n">
        <v>2247.820666899351</v>
      </c>
      <c r="CI916" s="3" t="n">
        <v>2289.748536374071</v>
      </c>
      <c r="CJ916" s="3" t="n">
        <v>2357.66082743794</v>
      </c>
      <c r="CK916" s="3" t="n">
        <v>2411.657416287323</v>
      </c>
      <c r="CL916" s="3" t="n">
        <v>2583.810101219152</v>
      </c>
      <c r="CM916" s="3" t="n">
        <v>2702.067277016778</v>
      </c>
      <c r="CN916" s="3" t="n">
        <v>2829.60986805747</v>
      </c>
      <c r="CO916" s="3" t="n">
        <v>2969.339021193102</v>
      </c>
      <c r="CP916" s="3" t="n">
        <v>3103.664683215457</v>
      </c>
      <c r="CQ916" s="3" t="n">
        <v>3239.489593365091</v>
      </c>
      <c r="CR916" s="3" t="n">
        <v>3380.334821576956</v>
      </c>
      <c r="CS916" s="3" t="n">
        <v>3522.364002951561</v>
      </c>
      <c r="CU916" s="20" t="inlineStr">
        <is>
          <t>egy.mit.nid.pow.wnd.6</t>
        </is>
      </c>
      <c r="CV916" s="3" t="n">
        <v>1057.505198179187</v>
      </c>
      <c r="CW916" s="3" t="n">
        <v>0</v>
      </c>
      <c r="CX916" s="3" t="n">
        <v>1492.360729672557</v>
      </c>
      <c r="CY916" s="3" t="n">
        <v>1597.711145983438</v>
      </c>
      <c r="CZ916" s="3" t="n">
        <v>1711.770998254229</v>
      </c>
      <c r="DA916" s="3" t="n">
        <v>1833.521741600436</v>
      </c>
      <c r="DB916" s="3" t="n">
        <v>0</v>
      </c>
      <c r="DC916" s="3" t="n">
        <v>1281.877919307363</v>
      </c>
      <c r="DD916" s="3" t="n">
        <v>452.8584441682155</v>
      </c>
      <c r="DE916" s="3" t="n">
        <v>1842.573185313058</v>
      </c>
      <c r="DF916" s="3" t="n">
        <v>1987.996622164828</v>
      </c>
      <c r="DG916" s="3" t="n">
        <v>2058.716645030978</v>
      </c>
      <c r="DH916" s="3" t="n">
        <v>2202.217113998796</v>
      </c>
      <c r="DI916" s="3" t="n">
        <v>2323.570654829276</v>
      </c>
      <c r="DJ916" s="3" t="n">
        <v>2467.61356573551</v>
      </c>
      <c r="DK916" s="3" t="n">
        <v>2601.021228133837</v>
      </c>
      <c r="DL916" s="3" t="n">
        <v>2748.223060126339</v>
      </c>
      <c r="DM916" s="3" t="n">
        <v>2883.924840610649</v>
      </c>
      <c r="DN916" s="3" t="n">
        <v>3029.057089351746</v>
      </c>
      <c r="DO916" s="3" t="n">
        <v>3166.947690367751</v>
      </c>
    </row>
    <row r="917">
      <c r="A917" s="19" t="inlineStr">
        <is>
          <t>mit.nid.pow.sol</t>
        </is>
      </c>
      <c r="B917" s="3" t="inlineStr">
        <is>
          <t>mit</t>
        </is>
      </c>
      <c r="C917" s="19" t="inlineStr">
        <is>
          <t>mit.nid.pow.sol.t</t>
        </is>
      </c>
      <c r="H917" s="3" t="inlineStr">
        <is>
          <t>New investment | Power | Solar</t>
        </is>
      </c>
      <c r="I917" s="3" t="inlineStr">
        <is>
          <t>USD m real</t>
        </is>
      </c>
      <c r="K917" s="20" t="inlineStr">
        <is>
          <t>egy.mit.nid.pow.sol.1</t>
        </is>
      </c>
      <c r="L917" s="3" t="n">
        <v>1027.646466896544</v>
      </c>
      <c r="M917" s="3" t="n">
        <v>0</v>
      </c>
      <c r="N917" s="3" t="n">
        <v>1700.997162012818</v>
      </c>
      <c r="O917" s="3" t="n">
        <v>1747.444860182737</v>
      </c>
      <c r="P917" s="3" t="n">
        <v>1792.255039527739</v>
      </c>
      <c r="Q917" s="3" t="n">
        <v>1830.63137871514</v>
      </c>
      <c r="R917" s="3" t="n">
        <v>1865.996869982891</v>
      </c>
      <c r="S917" s="3" t="n">
        <v>1892.685670247691</v>
      </c>
      <c r="T917" s="3" t="n">
        <v>1914.590648560839</v>
      </c>
      <c r="U917" s="3" t="n">
        <v>1929.388737247753</v>
      </c>
      <c r="V917" s="3" t="n">
        <v>1956.343315011347</v>
      </c>
      <c r="W917" s="3" t="n">
        <v>1980.606294006759</v>
      </c>
      <c r="X917" s="3" t="n">
        <v>2084.879344639025</v>
      </c>
      <c r="Y917" s="3" t="n">
        <v>2144.550089654371</v>
      </c>
      <c r="Z917" s="3" t="n">
        <v>2212.843328854191</v>
      </c>
      <c r="AA917" s="3" t="n">
        <v>2274.111523978739</v>
      </c>
      <c r="AB917" s="3" t="n">
        <v>2338.158041296298</v>
      </c>
      <c r="AC917" s="3" t="n">
        <v>2397.05209092051</v>
      </c>
      <c r="AD917" s="3" t="n">
        <v>2454.525695522916</v>
      </c>
      <c r="AE917" s="3" t="n">
        <v>2515.106156385062</v>
      </c>
      <c r="AG917" s="20" t="inlineStr">
        <is>
          <t>egy.mit.nid.pow.sol.3</t>
        </is>
      </c>
      <c r="AH917" s="3" t="n">
        <v>1055.099649124548</v>
      </c>
      <c r="AI917" s="3" t="n">
        <v>0</v>
      </c>
      <c r="AJ917" s="3" t="n">
        <v>1700.993624657902</v>
      </c>
      <c r="AK917" s="3" t="n">
        <v>1747.438000524872</v>
      </c>
      <c r="AL917" s="3" t="n">
        <v>1792.245066165652</v>
      </c>
      <c r="AM917" s="3" t="n">
        <v>1830.618526406522</v>
      </c>
      <c r="AN917" s="3" t="n">
        <v>0</v>
      </c>
      <c r="AO917" s="3" t="n">
        <v>1699.624382561075</v>
      </c>
      <c r="AP917" s="3" t="n">
        <v>1719.655054133833</v>
      </c>
      <c r="AQ917" s="3" t="n">
        <v>1744.297296800299</v>
      </c>
      <c r="AR917" s="3" t="n">
        <v>1830.223197115949</v>
      </c>
      <c r="AS917" s="3" t="n">
        <v>1841.654367395525</v>
      </c>
      <c r="AT917" s="3" t="n">
        <v>1945.373261936229</v>
      </c>
      <c r="AU917" s="3" t="n">
        <v>2003.303077984082</v>
      </c>
      <c r="AV917" s="3" t="n">
        <v>2072.555325916351</v>
      </c>
      <c r="AW917" s="3" t="n">
        <v>2135.458789798784</v>
      </c>
      <c r="AX917" s="3" t="n">
        <v>2202.029797670643</v>
      </c>
      <c r="AY917" s="3" t="n">
        <v>2261.049543318818</v>
      </c>
      <c r="AZ917" s="3" t="n">
        <v>2318.759884455214</v>
      </c>
      <c r="BA917" s="3" t="n">
        <v>2377.237717720073</v>
      </c>
      <c r="BC917" s="20" t="inlineStr">
        <is>
          <t>egy.mit.nid.pow.sol.4</t>
        </is>
      </c>
      <c r="BD917" s="3" t="n">
        <v>1123.234952898963</v>
      </c>
      <c r="BE917" s="3" t="n">
        <v>0</v>
      </c>
      <c r="BF917" s="3" t="n">
        <v>1700.984947655769</v>
      </c>
      <c r="BG917" s="3" t="n">
        <v>1747.421175082182</v>
      </c>
      <c r="BH917" s="3" t="n">
        <v>1792.220604866985</v>
      </c>
      <c r="BI917" s="3" t="n">
        <v>1830.587005851283</v>
      </c>
      <c r="BJ917" s="3" t="n">
        <v>1865.943307725041</v>
      </c>
      <c r="BK917" s="3" t="n">
        <v>499.8097734243609</v>
      </c>
      <c r="BL917" s="3" t="n">
        <v>529.9502988389708</v>
      </c>
      <c r="BM917" s="3" t="n">
        <v>1594.798001687363</v>
      </c>
      <c r="BN917" s="3" t="n">
        <v>1123.128802139465</v>
      </c>
      <c r="BO917" s="3" t="n">
        <v>1569.273929299627</v>
      </c>
      <c r="BP917" s="3" t="n">
        <v>1578.643876726154</v>
      </c>
      <c r="BQ917" s="3" t="n">
        <v>1575.647791162928</v>
      </c>
      <c r="BR917" s="3" t="n">
        <v>1596.187698900025</v>
      </c>
      <c r="BS917" s="3" t="n">
        <v>1606.009219657026</v>
      </c>
      <c r="BT917" s="3" t="n">
        <v>1636.608011045377</v>
      </c>
      <c r="BU917" s="3" t="n">
        <v>1653.505820230919</v>
      </c>
      <c r="BV917" s="3" t="n">
        <v>1689.943317791689</v>
      </c>
      <c r="BW917" s="3" t="n">
        <v>1710.76963147839</v>
      </c>
      <c r="BY917" s="20" t="inlineStr">
        <is>
          <t>egy.mit.nid.pow.sol.5</t>
        </is>
      </c>
      <c r="BZ917" s="3" t="n">
        <v>1163.363059043923</v>
      </c>
      <c r="CA917" s="3" t="n">
        <v>0</v>
      </c>
      <c r="CB917" s="3" t="n">
        <v>1700.979603120347</v>
      </c>
      <c r="CC917" s="3" t="n">
        <v>1747.410809148524</v>
      </c>
      <c r="CD917" s="3" t="n">
        <v>1792.205531173052</v>
      </c>
      <c r="CE917" s="3" t="n">
        <v>1830.567577817132</v>
      </c>
      <c r="CF917" s="3" t="n">
        <v>1865.919851690253</v>
      </c>
      <c r="CG917" s="3" t="n">
        <v>1892.596746200038</v>
      </c>
      <c r="CH917" s="3" t="n">
        <v>1914.490979523634</v>
      </c>
      <c r="CI917" s="3" t="n">
        <v>1924.831317645945</v>
      </c>
      <c r="CJ917" s="3" t="n">
        <v>1955.631720166879</v>
      </c>
      <c r="CK917" s="3" t="n">
        <v>1976.398976335002</v>
      </c>
      <c r="CL917" s="3" t="n">
        <v>2088.311890706716</v>
      </c>
      <c r="CM917" s="3" t="n">
        <v>2153.190365362781</v>
      </c>
      <c r="CN917" s="3" t="n">
        <v>2223.681722598585</v>
      </c>
      <c r="CO917" s="3" t="n">
        <v>2299.3562563043</v>
      </c>
      <c r="CP917" s="3" t="n">
        <v>2371.437270557768</v>
      </c>
      <c r="CQ917" s="3" t="n">
        <v>2437.507757008612</v>
      </c>
      <c r="CR917" s="3" t="n">
        <v>2503.878429829827</v>
      </c>
      <c r="CS917" s="3" t="n">
        <v>2569.292227600257</v>
      </c>
      <c r="CU917" s="20" t="inlineStr">
        <is>
          <t>egy.mit.nid.pow.sol.6</t>
        </is>
      </c>
      <c r="CV917" s="3" t="n">
        <v>1093.351691729214</v>
      </c>
      <c r="CW917" s="3" t="n">
        <v>0</v>
      </c>
      <c r="CX917" s="3" t="n">
        <v>1700.988736339829</v>
      </c>
      <c r="CY917" s="3" t="n">
        <v>1747.428521486301</v>
      </c>
      <c r="CZ917" s="3" t="n">
        <v>1792.231285027985</v>
      </c>
      <c r="DA917" s="3" t="n">
        <v>1830.600767880362</v>
      </c>
      <c r="DB917" s="3" t="n">
        <v>0</v>
      </c>
      <c r="DC917" s="3" t="n">
        <v>1427.454552355657</v>
      </c>
      <c r="DD917" s="3" t="n">
        <v>508.0612525413825</v>
      </c>
      <c r="DE917" s="3" t="n">
        <v>1548.922301206709</v>
      </c>
      <c r="DF917" s="3" t="n">
        <v>1649.002777941979</v>
      </c>
      <c r="DG917" s="3" t="n">
        <v>1687.157322729082</v>
      </c>
      <c r="DH917" s="3" t="n">
        <v>1779.897130563716</v>
      </c>
      <c r="DI917" s="3" t="n">
        <v>1851.578600493529</v>
      </c>
      <c r="DJ917" s="3" t="n">
        <v>1939.202731268864</v>
      </c>
      <c r="DK917" s="3" t="n">
        <v>2014.143346719215</v>
      </c>
      <c r="DL917" s="3" t="n">
        <v>2099.852676687333</v>
      </c>
      <c r="DM917" s="3" t="n">
        <v>2169.968128317443</v>
      </c>
      <c r="DN917" s="3" t="n">
        <v>2243.680318393067</v>
      </c>
      <c r="DO917" s="3" t="n">
        <v>2310.043504663406</v>
      </c>
    </row>
    <row r="918">
      <c r="A918" s="19" t="inlineStr">
        <is>
          <t>mit.nid.pow.hyd</t>
        </is>
      </c>
      <c r="B918" s="3" t="inlineStr">
        <is>
          <t>mit</t>
        </is>
      </c>
      <c r="C918" s="19" t="inlineStr">
        <is>
          <t>mit.nid.pow.hyd.t</t>
        </is>
      </c>
      <c r="H918" s="3" t="inlineStr">
        <is>
          <t>New investment | Power | Hydro</t>
        </is>
      </c>
      <c r="I918" s="3" t="inlineStr">
        <is>
          <t>USD m real</t>
        </is>
      </c>
      <c r="K918" s="20" t="inlineStr">
        <is>
          <t>egy.mit.nid.pow.hyd.1</t>
        </is>
      </c>
      <c r="L918" s="3" t="n">
        <v>0</v>
      </c>
      <c r="M918" s="3" t="n">
        <v>0</v>
      </c>
      <c r="N918" s="3" t="n">
        <v>0</v>
      </c>
      <c r="O918" s="3" t="n">
        <v>0</v>
      </c>
      <c r="P918" s="3" t="n">
        <v>0</v>
      </c>
      <c r="Q918" s="3" t="n">
        <v>0</v>
      </c>
      <c r="R918" s="3" t="n">
        <v>0</v>
      </c>
      <c r="S918" s="3" t="n">
        <v>0</v>
      </c>
      <c r="T918" s="3" t="n">
        <v>1366.041855834694</v>
      </c>
      <c r="U918" s="3" t="n">
        <v>1584.667075652542</v>
      </c>
      <c r="V918" s="3" t="n">
        <v>1572.932820028331</v>
      </c>
      <c r="W918" s="3" t="n">
        <v>2766.454803654645</v>
      </c>
      <c r="X918" s="3" t="n">
        <v>2237.67478699288</v>
      </c>
      <c r="Y918" s="3" t="n">
        <v>2365.562804683101</v>
      </c>
      <c r="Z918" s="3" t="n">
        <v>2374.236529666546</v>
      </c>
      <c r="AA918" s="3" t="n">
        <v>2407.632797873343</v>
      </c>
      <c r="AB918" s="3" t="n">
        <v>2435.794821277517</v>
      </c>
      <c r="AC918" s="3" t="n">
        <v>2456.262637870666</v>
      </c>
      <c r="AD918" s="3" t="n">
        <v>2473.538744576025</v>
      </c>
      <c r="AE918" s="3" t="n">
        <v>2489.230108167234</v>
      </c>
      <c r="AG918" s="20" t="inlineStr">
        <is>
          <t>egy.mit.nid.pow.hyd.3</t>
        </is>
      </c>
      <c r="AH918" s="3" t="n">
        <v>0</v>
      </c>
      <c r="AI918" s="3" t="n">
        <v>0</v>
      </c>
      <c r="AJ918" s="3" t="n">
        <v>0</v>
      </c>
      <c r="AK918" s="3" t="n">
        <v>0</v>
      </c>
      <c r="AL918" s="3" t="n">
        <v>0</v>
      </c>
      <c r="AM918" s="3" t="n">
        <v>0</v>
      </c>
      <c r="AN918" s="3" t="n">
        <v>0</v>
      </c>
      <c r="AO918" s="3" t="n">
        <v>0</v>
      </c>
      <c r="AP918" s="3" t="n">
        <v>1371.332279653466</v>
      </c>
      <c r="AQ918" s="3" t="n">
        <v>2256.55017906658</v>
      </c>
      <c r="AR918" s="3" t="n">
        <v>1317.358113421476</v>
      </c>
      <c r="AS918" s="3" t="n">
        <v>3180.291620342208</v>
      </c>
      <c r="AT918" s="3" t="n">
        <v>2127.975696370408</v>
      </c>
      <c r="AU918" s="3" t="n">
        <v>2302.078351453165</v>
      </c>
      <c r="AV918" s="3" t="n">
        <v>2321.943747644828</v>
      </c>
      <c r="AW918" s="3" t="n">
        <v>2375.738133607225</v>
      </c>
      <c r="AX918" s="3" t="n">
        <v>2371.638922147928</v>
      </c>
      <c r="AY918" s="3" t="n">
        <v>2397.033073734652</v>
      </c>
      <c r="AZ918" s="3" t="n">
        <v>2388.211912832724</v>
      </c>
      <c r="BA918" s="3" t="n">
        <v>2414.942746053206</v>
      </c>
      <c r="BC918" s="20" t="inlineStr">
        <is>
          <t>egy.mit.nid.pow.hyd.4</t>
        </is>
      </c>
      <c r="BD918" s="3" t="n">
        <v>0</v>
      </c>
      <c r="BE918" s="3" t="n">
        <v>0</v>
      </c>
      <c r="BF918" s="3" t="n">
        <v>0</v>
      </c>
      <c r="BG918" s="3" t="n">
        <v>0</v>
      </c>
      <c r="BH918" s="3" t="n">
        <v>0</v>
      </c>
      <c r="BI918" s="3" t="n">
        <v>0</v>
      </c>
      <c r="BJ918" s="3" t="n">
        <v>0</v>
      </c>
      <c r="BK918" s="3" t="n">
        <v>0</v>
      </c>
      <c r="BL918" s="3" t="n">
        <v>350.0164714794942</v>
      </c>
      <c r="BM918" s="3" t="n">
        <v>1138.437916883526</v>
      </c>
      <c r="BN918" s="3" t="n">
        <v>759.1094594236615</v>
      </c>
      <c r="BO918" s="3" t="n">
        <v>2070.996430602192</v>
      </c>
      <c r="BP918" s="3" t="n">
        <v>1198.523374711149</v>
      </c>
      <c r="BQ918" s="3" t="n">
        <v>3237.321585050927</v>
      </c>
      <c r="BR918" s="3" t="n">
        <v>2405.680362024341</v>
      </c>
      <c r="BS918" s="3" t="n">
        <v>4607.062309970712</v>
      </c>
      <c r="BT918" s="3" t="n">
        <v>3409.456651204092</v>
      </c>
      <c r="BU918" s="3" t="n">
        <v>5898.969996787862</v>
      </c>
      <c r="BV918" s="3" t="n">
        <v>3718.208781269717</v>
      </c>
      <c r="BW918" s="3" t="n">
        <v>7291.479201301866</v>
      </c>
      <c r="BY918" s="20" t="inlineStr">
        <is>
          <t>egy.mit.nid.pow.hyd.5</t>
        </is>
      </c>
      <c r="BZ918" s="3" t="n">
        <v>0</v>
      </c>
      <c r="CA918" s="3" t="n">
        <v>0</v>
      </c>
      <c r="CB918" s="3" t="n">
        <v>0</v>
      </c>
      <c r="CC918" s="3" t="n">
        <v>0</v>
      </c>
      <c r="CD918" s="3" t="n">
        <v>0</v>
      </c>
      <c r="CE918" s="3" t="n">
        <v>0</v>
      </c>
      <c r="CF918" s="3" t="n">
        <v>0</v>
      </c>
      <c r="CG918" s="3" t="n">
        <v>0</v>
      </c>
      <c r="CH918" s="3" t="n">
        <v>2739.065183278356</v>
      </c>
      <c r="CI918" s="3" t="n">
        <v>5022.220049170278</v>
      </c>
      <c r="CJ918" s="3" t="n">
        <v>3627.157587432149</v>
      </c>
      <c r="CK918" s="3" t="n">
        <v>10892.68815277154</v>
      </c>
      <c r="CL918" s="3" t="n">
        <v>8996.480493245828</v>
      </c>
      <c r="CM918" s="3" t="n">
        <v>9289.640963866434</v>
      </c>
      <c r="CN918" s="3" t="n">
        <v>10381.92457507977</v>
      </c>
      <c r="CO918" s="3" t="n">
        <v>9564.571781062516</v>
      </c>
      <c r="CP918" s="3" t="n">
        <v>9409.02025526539</v>
      </c>
      <c r="CQ918" s="3" t="n">
        <v>9585.028402325754</v>
      </c>
      <c r="CR918" s="3" t="n">
        <v>9047.048470634956</v>
      </c>
      <c r="CS918" s="3" t="n">
        <v>9244.583678781468</v>
      </c>
      <c r="CU918" s="20" t="inlineStr">
        <is>
          <t>egy.mit.nid.pow.hyd.6</t>
        </is>
      </c>
      <c r="CV918" s="3" t="n">
        <v>0</v>
      </c>
      <c r="CW918" s="3" t="n">
        <v>0</v>
      </c>
      <c r="CX918" s="3" t="n">
        <v>0</v>
      </c>
      <c r="CY918" s="3" t="n">
        <v>0</v>
      </c>
      <c r="CZ918" s="3" t="n">
        <v>0</v>
      </c>
      <c r="DA918" s="3" t="n">
        <v>0</v>
      </c>
      <c r="DB918" s="3" t="n">
        <v>0</v>
      </c>
      <c r="DC918" s="3" t="n">
        <v>0</v>
      </c>
      <c r="DD918" s="3" t="n">
        <v>327.9230541229125</v>
      </c>
      <c r="DE918" s="3" t="n">
        <v>8269.531756482187</v>
      </c>
      <c r="DF918" s="3" t="n">
        <v>3759.015927965638</v>
      </c>
      <c r="DG918" s="3" t="n">
        <v>9298.567142162794</v>
      </c>
      <c r="DH918" s="3" t="n">
        <v>7365.349710887032</v>
      </c>
      <c r="DI918" s="3" t="n">
        <v>8754.785748837685</v>
      </c>
      <c r="DJ918" s="3" t="n">
        <v>7823.802466400518</v>
      </c>
      <c r="DK918" s="3" t="n">
        <v>8719.386690390204</v>
      </c>
      <c r="DL918" s="3" t="n">
        <v>7520.435296347142</v>
      </c>
      <c r="DM918" s="3" t="n">
        <v>8088.970148150491</v>
      </c>
      <c r="DN918" s="3" t="n">
        <v>6978.184945457197</v>
      </c>
      <c r="DO918" s="3" t="n">
        <v>7636.168208258701</v>
      </c>
    </row>
    <row r="919">
      <c r="A919" s="19" t="inlineStr">
        <is>
          <t>mit.nid.pow.ore</t>
        </is>
      </c>
      <c r="B919" s="3" t="inlineStr">
        <is>
          <t>mit</t>
        </is>
      </c>
      <c r="C919" s="19" t="inlineStr">
        <is>
          <t>mit.nid.pow.ore.t</t>
        </is>
      </c>
      <c r="H919" s="3" t="inlineStr">
        <is>
          <t>New investment | Power | Other renewables</t>
        </is>
      </c>
      <c r="I919" s="3" t="inlineStr">
        <is>
          <t>USD m real</t>
        </is>
      </c>
      <c r="K919" s="20" t="inlineStr">
        <is>
          <t>egy.mit.nid.pow.ore.1</t>
        </is>
      </c>
      <c r="L919" s="3" t="n">
        <v>0</v>
      </c>
      <c r="M919" s="3" t="n">
        <v>0</v>
      </c>
      <c r="N919" s="3" t="n">
        <v>0</v>
      </c>
      <c r="O919" s="3" t="n">
        <v>0</v>
      </c>
      <c r="P919" s="3" t="n">
        <v>0</v>
      </c>
      <c r="Q919" s="3" t="n">
        <v>0</v>
      </c>
      <c r="R919" s="3" t="n">
        <v>0</v>
      </c>
      <c r="S919" s="3" t="n">
        <v>0</v>
      </c>
      <c r="T919" s="3" t="n">
        <v>0</v>
      </c>
      <c r="U919" s="3" t="n">
        <v>0</v>
      </c>
      <c r="V919" s="3" t="n">
        <v>0</v>
      </c>
      <c r="W919" s="3" t="n">
        <v>0</v>
      </c>
      <c r="X919" s="3" t="n">
        <v>0</v>
      </c>
      <c r="Y919" s="3" t="n">
        <v>0</v>
      </c>
      <c r="Z919" s="3" t="n">
        <v>0</v>
      </c>
      <c r="AA919" s="3" t="n">
        <v>0</v>
      </c>
      <c r="AB919" s="3" t="n">
        <v>0</v>
      </c>
      <c r="AC919" s="3" t="n">
        <v>0</v>
      </c>
      <c r="AD919" s="3" t="n">
        <v>0</v>
      </c>
      <c r="AE919" s="3" t="n">
        <v>0</v>
      </c>
      <c r="AG919" s="20" t="inlineStr">
        <is>
          <t>egy.mit.nid.pow.ore.3</t>
        </is>
      </c>
      <c r="AH919" s="3" t="n">
        <v>0</v>
      </c>
      <c r="AI919" s="3" t="n">
        <v>0</v>
      </c>
      <c r="AJ919" s="3" t="n">
        <v>0</v>
      </c>
      <c r="AK919" s="3" t="n">
        <v>0</v>
      </c>
      <c r="AL919" s="3" t="n">
        <v>0</v>
      </c>
      <c r="AM919" s="3" t="n">
        <v>0</v>
      </c>
      <c r="AN919" s="3" t="n">
        <v>0</v>
      </c>
      <c r="AO919" s="3" t="n">
        <v>0</v>
      </c>
      <c r="AP919" s="3" t="n">
        <v>0</v>
      </c>
      <c r="AQ919" s="3" t="n">
        <v>0</v>
      </c>
      <c r="AR919" s="3" t="n">
        <v>0</v>
      </c>
      <c r="AS919" s="3" t="n">
        <v>0</v>
      </c>
      <c r="AT919" s="3" t="n">
        <v>0</v>
      </c>
      <c r="AU919" s="3" t="n">
        <v>0</v>
      </c>
      <c r="AV919" s="3" t="n">
        <v>0</v>
      </c>
      <c r="AW919" s="3" t="n">
        <v>0</v>
      </c>
      <c r="AX919" s="3" t="n">
        <v>0</v>
      </c>
      <c r="AY919" s="3" t="n">
        <v>0</v>
      </c>
      <c r="AZ919" s="3" t="n">
        <v>0</v>
      </c>
      <c r="BA919" s="3" t="n">
        <v>0</v>
      </c>
      <c r="BC919" s="20" t="inlineStr">
        <is>
          <t>egy.mit.nid.pow.ore.4</t>
        </is>
      </c>
      <c r="BD919" s="3" t="n">
        <v>0</v>
      </c>
      <c r="BE919" s="3" t="n">
        <v>0</v>
      </c>
      <c r="BF919" s="3" t="n">
        <v>0</v>
      </c>
      <c r="BG919" s="3" t="n">
        <v>0</v>
      </c>
      <c r="BH919" s="3" t="n">
        <v>0</v>
      </c>
      <c r="BI919" s="3" t="n">
        <v>0</v>
      </c>
      <c r="BJ919" s="3" t="n">
        <v>0</v>
      </c>
      <c r="BK919" s="3" t="n">
        <v>0</v>
      </c>
      <c r="BL919" s="3" t="n">
        <v>0</v>
      </c>
      <c r="BM919" s="3" t="n">
        <v>0</v>
      </c>
      <c r="BN919" s="3" t="n">
        <v>0</v>
      </c>
      <c r="BO919" s="3" t="n">
        <v>0</v>
      </c>
      <c r="BP919" s="3" t="n">
        <v>0</v>
      </c>
      <c r="BQ919" s="3" t="n">
        <v>0</v>
      </c>
      <c r="BR919" s="3" t="n">
        <v>0</v>
      </c>
      <c r="BS919" s="3" t="n">
        <v>0</v>
      </c>
      <c r="BT919" s="3" t="n">
        <v>0</v>
      </c>
      <c r="BU919" s="3" t="n">
        <v>0</v>
      </c>
      <c r="BV919" s="3" t="n">
        <v>0</v>
      </c>
      <c r="BW919" s="3" t="n">
        <v>0</v>
      </c>
      <c r="BY919" s="20" t="inlineStr">
        <is>
          <t>egy.mit.nid.pow.ore.5</t>
        </is>
      </c>
      <c r="BZ919" s="3" t="n">
        <v>0</v>
      </c>
      <c r="CA919" s="3" t="n">
        <v>0</v>
      </c>
      <c r="CB919" s="3" t="n">
        <v>0</v>
      </c>
      <c r="CC919" s="3" t="n">
        <v>0</v>
      </c>
      <c r="CD919" s="3" t="n">
        <v>0</v>
      </c>
      <c r="CE919" s="3" t="n">
        <v>0</v>
      </c>
      <c r="CF919" s="3" t="n">
        <v>0</v>
      </c>
      <c r="CG919" s="3" t="n">
        <v>0</v>
      </c>
      <c r="CH919" s="3" t="n">
        <v>0</v>
      </c>
      <c r="CI919" s="3" t="n">
        <v>0</v>
      </c>
      <c r="CJ919" s="3" t="n">
        <v>0</v>
      </c>
      <c r="CK919" s="3" t="n">
        <v>0</v>
      </c>
      <c r="CL919" s="3" t="n">
        <v>0</v>
      </c>
      <c r="CM919" s="3" t="n">
        <v>0</v>
      </c>
      <c r="CN919" s="3" t="n">
        <v>0</v>
      </c>
      <c r="CO919" s="3" t="n">
        <v>0</v>
      </c>
      <c r="CP919" s="3" t="n">
        <v>0</v>
      </c>
      <c r="CQ919" s="3" t="n">
        <v>0</v>
      </c>
      <c r="CR919" s="3" t="n">
        <v>0</v>
      </c>
      <c r="CS919" s="3" t="n">
        <v>0</v>
      </c>
      <c r="CU919" s="20" t="inlineStr">
        <is>
          <t>egy.mit.nid.pow.ore.6</t>
        </is>
      </c>
      <c r="CV919" s="3" t="n">
        <v>0</v>
      </c>
      <c r="CW919" s="3" t="n">
        <v>0</v>
      </c>
      <c r="CX919" s="3" t="n">
        <v>0</v>
      </c>
      <c r="CY919" s="3" t="n">
        <v>0</v>
      </c>
      <c r="CZ919" s="3" t="n">
        <v>0</v>
      </c>
      <c r="DA919" s="3" t="n">
        <v>0</v>
      </c>
      <c r="DB919" s="3" t="n">
        <v>0</v>
      </c>
      <c r="DC919" s="3" t="n">
        <v>0</v>
      </c>
      <c r="DD919" s="3" t="n">
        <v>0</v>
      </c>
      <c r="DE919" s="3" t="n">
        <v>0</v>
      </c>
      <c r="DF919" s="3" t="n">
        <v>0</v>
      </c>
      <c r="DG919" s="3" t="n">
        <v>0</v>
      </c>
      <c r="DH919" s="3" t="n">
        <v>0</v>
      </c>
      <c r="DI919" s="3" t="n">
        <v>0</v>
      </c>
      <c r="DJ919" s="3" t="n">
        <v>0</v>
      </c>
      <c r="DK919" s="3" t="n">
        <v>0</v>
      </c>
      <c r="DL919" s="3" t="n">
        <v>0</v>
      </c>
      <c r="DM919" s="3" t="n">
        <v>0</v>
      </c>
      <c r="DN919" s="3" t="n">
        <v>0</v>
      </c>
      <c r="DO919" s="3" t="n">
        <v>0</v>
      </c>
    </row>
    <row r="920">
      <c r="A920" s="19" t="inlineStr">
        <is>
          <t>mit.nid.pow.bio</t>
        </is>
      </c>
      <c r="B920" s="3" t="inlineStr">
        <is>
          <t>mit</t>
        </is>
      </c>
      <c r="C920" s="19" t="inlineStr">
        <is>
          <t>mit.nid.pow.bio.t</t>
        </is>
      </c>
      <c r="H920" s="3" t="inlineStr">
        <is>
          <t>New investment | Power | Biomass</t>
        </is>
      </c>
      <c r="I920" s="3" t="inlineStr">
        <is>
          <t>USD m real</t>
        </is>
      </c>
      <c r="K920" s="20" t="inlineStr">
        <is>
          <t>egy.mit.nid.pow.bio.1</t>
        </is>
      </c>
      <c r="L920" s="3" t="n">
        <v>0</v>
      </c>
      <c r="M920" s="3" t="n">
        <v>0</v>
      </c>
      <c r="N920" s="3" t="n">
        <v>0</v>
      </c>
      <c r="O920" s="3" t="n">
        <v>0</v>
      </c>
      <c r="P920" s="3" t="n">
        <v>0</v>
      </c>
      <c r="Q920" s="3" t="n">
        <v>0</v>
      </c>
      <c r="R920" s="3" t="n">
        <v>0</v>
      </c>
      <c r="S920" s="3" t="n">
        <v>0</v>
      </c>
      <c r="T920" s="3" t="n">
        <v>0</v>
      </c>
      <c r="U920" s="3" t="n">
        <v>0</v>
      </c>
      <c r="V920" s="3" t="n">
        <v>0</v>
      </c>
      <c r="W920" s="3" t="n">
        <v>0</v>
      </c>
      <c r="X920" s="3" t="n">
        <v>0</v>
      </c>
      <c r="Y920" s="3" t="n">
        <v>0</v>
      </c>
      <c r="Z920" s="3" t="n">
        <v>0</v>
      </c>
      <c r="AA920" s="3" t="n">
        <v>0</v>
      </c>
      <c r="AB920" s="3" t="n">
        <v>0</v>
      </c>
      <c r="AC920" s="3" t="n">
        <v>0</v>
      </c>
      <c r="AD920" s="3" t="n">
        <v>0</v>
      </c>
      <c r="AE920" s="3" t="n">
        <v>0</v>
      </c>
      <c r="AG920" s="20" t="inlineStr">
        <is>
          <t>egy.mit.nid.pow.bio.3</t>
        </is>
      </c>
      <c r="AH920" s="3" t="n">
        <v>0</v>
      </c>
      <c r="AI920" s="3" t="n">
        <v>0</v>
      </c>
      <c r="AJ920" s="3" t="n">
        <v>0</v>
      </c>
      <c r="AK920" s="3" t="n">
        <v>0</v>
      </c>
      <c r="AL920" s="3" t="n">
        <v>0</v>
      </c>
      <c r="AM920" s="3" t="n">
        <v>0</v>
      </c>
      <c r="AN920" s="3" t="n">
        <v>0</v>
      </c>
      <c r="AO920" s="3" t="n">
        <v>0</v>
      </c>
      <c r="AP920" s="3" t="n">
        <v>0</v>
      </c>
      <c r="AQ920" s="3" t="n">
        <v>0</v>
      </c>
      <c r="AR920" s="3" t="n">
        <v>0</v>
      </c>
      <c r="AS920" s="3" t="n">
        <v>0</v>
      </c>
      <c r="AT920" s="3" t="n">
        <v>0</v>
      </c>
      <c r="AU920" s="3" t="n">
        <v>0</v>
      </c>
      <c r="AV920" s="3" t="n">
        <v>0</v>
      </c>
      <c r="AW920" s="3" t="n">
        <v>0</v>
      </c>
      <c r="AX920" s="3" t="n">
        <v>0</v>
      </c>
      <c r="AY920" s="3" t="n">
        <v>0</v>
      </c>
      <c r="AZ920" s="3" t="n">
        <v>0</v>
      </c>
      <c r="BA920" s="3" t="n">
        <v>0</v>
      </c>
      <c r="BC920" s="20" t="inlineStr">
        <is>
          <t>egy.mit.nid.pow.bio.4</t>
        </is>
      </c>
      <c r="BD920" s="3" t="n">
        <v>0</v>
      </c>
      <c r="BE920" s="3" t="n">
        <v>0</v>
      </c>
      <c r="BF920" s="3" t="n">
        <v>0</v>
      </c>
      <c r="BG920" s="3" t="n">
        <v>0</v>
      </c>
      <c r="BH920" s="3" t="n">
        <v>0</v>
      </c>
      <c r="BI920" s="3" t="n">
        <v>0</v>
      </c>
      <c r="BJ920" s="3" t="n">
        <v>0</v>
      </c>
      <c r="BK920" s="3" t="n">
        <v>0</v>
      </c>
      <c r="BL920" s="3" t="n">
        <v>0</v>
      </c>
      <c r="BM920" s="3" t="n">
        <v>0</v>
      </c>
      <c r="BN920" s="3" t="n">
        <v>0</v>
      </c>
      <c r="BO920" s="3" t="n">
        <v>0</v>
      </c>
      <c r="BP920" s="3" t="n">
        <v>0</v>
      </c>
      <c r="BQ920" s="3" t="n">
        <v>0</v>
      </c>
      <c r="BR920" s="3" t="n">
        <v>0</v>
      </c>
      <c r="BS920" s="3" t="n">
        <v>0</v>
      </c>
      <c r="BT920" s="3" t="n">
        <v>0</v>
      </c>
      <c r="BU920" s="3" t="n">
        <v>0</v>
      </c>
      <c r="BV920" s="3" t="n">
        <v>0</v>
      </c>
      <c r="BW920" s="3" t="n">
        <v>0</v>
      </c>
      <c r="BY920" s="20" t="inlineStr">
        <is>
          <t>egy.mit.nid.pow.bio.5</t>
        </is>
      </c>
      <c r="BZ920" s="3" t="n">
        <v>0</v>
      </c>
      <c r="CA920" s="3" t="n">
        <v>0</v>
      </c>
      <c r="CB920" s="3" t="n">
        <v>0</v>
      </c>
      <c r="CC920" s="3" t="n">
        <v>0</v>
      </c>
      <c r="CD920" s="3" t="n">
        <v>0</v>
      </c>
      <c r="CE920" s="3" t="n">
        <v>0</v>
      </c>
      <c r="CF920" s="3" t="n">
        <v>0</v>
      </c>
      <c r="CG920" s="3" t="n">
        <v>0</v>
      </c>
      <c r="CH920" s="3" t="n">
        <v>0</v>
      </c>
      <c r="CI920" s="3" t="n">
        <v>0</v>
      </c>
      <c r="CJ920" s="3" t="n">
        <v>0</v>
      </c>
      <c r="CK920" s="3" t="n">
        <v>0</v>
      </c>
      <c r="CL920" s="3" t="n">
        <v>0</v>
      </c>
      <c r="CM920" s="3" t="n">
        <v>0</v>
      </c>
      <c r="CN920" s="3" t="n">
        <v>0</v>
      </c>
      <c r="CO920" s="3" t="n">
        <v>0</v>
      </c>
      <c r="CP920" s="3" t="n">
        <v>0</v>
      </c>
      <c r="CQ920" s="3" t="n">
        <v>0</v>
      </c>
      <c r="CR920" s="3" t="n">
        <v>0</v>
      </c>
      <c r="CS920" s="3" t="n">
        <v>0</v>
      </c>
      <c r="CU920" s="20" t="inlineStr">
        <is>
          <t>egy.mit.nid.pow.bio.6</t>
        </is>
      </c>
      <c r="CV920" s="3" t="n">
        <v>0</v>
      </c>
      <c r="CW920" s="3" t="n">
        <v>0</v>
      </c>
      <c r="CX920" s="3" t="n">
        <v>0</v>
      </c>
      <c r="CY920" s="3" t="n">
        <v>0</v>
      </c>
      <c r="CZ920" s="3" t="n">
        <v>0</v>
      </c>
      <c r="DA920" s="3" t="n">
        <v>0</v>
      </c>
      <c r="DB920" s="3" t="n">
        <v>0</v>
      </c>
      <c r="DC920" s="3" t="n">
        <v>0</v>
      </c>
      <c r="DD920" s="3" t="n">
        <v>0</v>
      </c>
      <c r="DE920" s="3" t="n">
        <v>0</v>
      </c>
      <c r="DF920" s="3" t="n">
        <v>0</v>
      </c>
      <c r="DG920" s="3" t="n">
        <v>0</v>
      </c>
      <c r="DH920" s="3" t="n">
        <v>0</v>
      </c>
      <c r="DI920" s="3" t="n">
        <v>0</v>
      </c>
      <c r="DJ920" s="3" t="n">
        <v>0</v>
      </c>
      <c r="DK920" s="3" t="n">
        <v>0</v>
      </c>
      <c r="DL920" s="3" t="n">
        <v>0</v>
      </c>
      <c r="DM920" s="3" t="n">
        <v>0</v>
      </c>
      <c r="DN920" s="3" t="n">
        <v>0</v>
      </c>
      <c r="DO920" s="3" t="n">
        <v>0</v>
      </c>
    </row>
    <row r="921">
      <c r="A921" s="5" t="n"/>
      <c r="B921" s="18" t="inlineStr">
        <is>
          <t>Simplified prices</t>
        </is>
      </c>
      <c r="C921" s="5" t="n"/>
      <c r="D921" s="5" t="n"/>
      <c r="E921" s="5" t="n"/>
      <c r="F921" s="5" t="n"/>
      <c r="G921" s="5" t="n"/>
      <c r="H921" s="5" t="n"/>
      <c r="I921" s="5" t="n"/>
      <c r="J921" s="5" t="n"/>
      <c r="K921" s="5" t="n"/>
      <c r="L921" s="5" t="n"/>
      <c r="M921" s="5" t="n"/>
      <c r="N921" s="5" t="n"/>
      <c r="O921" s="5" t="n"/>
      <c r="P921" s="5" t="n"/>
      <c r="Q921" s="5" t="n"/>
      <c r="R921" s="5" t="n"/>
      <c r="S921" s="5" t="n"/>
      <c r="T921" s="5" t="n"/>
      <c r="U921" s="5" t="n"/>
      <c r="V921" s="5" t="n"/>
      <c r="W921" s="5" t="n"/>
      <c r="X921" s="5" t="n"/>
      <c r="Y921" s="5" t="n"/>
      <c r="Z921" s="5" t="n"/>
      <c r="AA921" s="5" t="n"/>
      <c r="AB921" s="5" t="n"/>
      <c r="AC921" s="5" t="n"/>
      <c r="AD921" s="5" t="n"/>
      <c r="AE921" s="5" t="n"/>
      <c r="AF921" s="5" t="n"/>
      <c r="AG921" s="5" t="n"/>
      <c r="AH921" s="5" t="n"/>
      <c r="AI921" s="5" t="n"/>
      <c r="AJ921" s="5" t="n"/>
      <c r="AK921" s="5" t="n"/>
      <c r="AL921" s="5" t="n"/>
      <c r="AM921" s="5" t="n"/>
      <c r="AN921" s="5" t="n"/>
      <c r="AO921" s="5" t="n"/>
      <c r="AP921" s="5" t="n"/>
      <c r="AQ921" s="5" t="n"/>
      <c r="AR921" s="5" t="n"/>
      <c r="AS921" s="5" t="n"/>
      <c r="AT921" s="5" t="n"/>
      <c r="AU921" s="5" t="n"/>
      <c r="AV921" s="5" t="n"/>
      <c r="AW921" s="5" t="n"/>
      <c r="AX921" s="5" t="n"/>
      <c r="AY921" s="5" t="n"/>
      <c r="AZ921" s="5" t="n"/>
      <c r="BA921" s="5" t="n"/>
      <c r="BB921" s="5" t="n"/>
      <c r="BC921" s="5" t="n"/>
      <c r="BD921" s="5" t="n"/>
      <c r="BE921" s="5" t="n"/>
      <c r="BF921" s="5" t="n"/>
      <c r="BG921" s="5" t="n"/>
      <c r="BH921" s="5" t="n"/>
      <c r="BI921" s="5" t="n"/>
      <c r="BJ921" s="5" t="n"/>
      <c r="BK921" s="5" t="n"/>
      <c r="BL921" s="5" t="n"/>
      <c r="BM921" s="5" t="n"/>
      <c r="BN921" s="5" t="n"/>
      <c r="BO921" s="5" t="n"/>
      <c r="BP921" s="5" t="n"/>
      <c r="BQ921" s="5" t="n"/>
      <c r="BR921" s="5" t="n"/>
      <c r="BS921" s="5" t="n"/>
      <c r="BT921" s="5" t="n"/>
      <c r="BU921" s="5" t="n"/>
      <c r="BV921" s="5" t="n"/>
      <c r="BW921" s="5" t="n"/>
      <c r="BX921" s="5" t="n"/>
      <c r="BY921" s="5" t="n"/>
      <c r="BZ921" s="5" t="n"/>
      <c r="CA921" s="5" t="n"/>
      <c r="CB921" s="5" t="n"/>
      <c r="CC921" s="5" t="n"/>
      <c r="CD921" s="5" t="n"/>
      <c r="CE921" s="5" t="n"/>
      <c r="CF921" s="5" t="n"/>
      <c r="CG921" s="5" t="n"/>
      <c r="CH921" s="5" t="n"/>
      <c r="CI921" s="5" t="n"/>
      <c r="CJ921" s="5" t="n"/>
      <c r="CK921" s="5" t="n"/>
      <c r="CL921" s="5" t="n"/>
      <c r="CM921" s="5" t="n"/>
      <c r="CN921" s="5" t="n"/>
      <c r="CO921" s="5" t="n"/>
      <c r="CP921" s="5" t="n"/>
      <c r="CQ921" s="5" t="n"/>
      <c r="CR921" s="5" t="n"/>
      <c r="CS921" s="5" t="n"/>
      <c r="CT921" s="5" t="n"/>
      <c r="CU921" s="5" t="n"/>
      <c r="CV921" s="5" t="n"/>
      <c r="CW921" s="5" t="n"/>
      <c r="CX921" s="5" t="n"/>
      <c r="CY921" s="5" t="n"/>
      <c r="CZ921" s="5" t="n"/>
      <c r="DA921" s="5" t="n"/>
      <c r="DB921" s="5" t="n"/>
      <c r="DC921" s="5" t="n"/>
      <c r="DD921" s="5" t="n"/>
      <c r="DE921" s="5" t="n"/>
      <c r="DF921" s="5" t="n"/>
      <c r="DG921" s="5" t="n"/>
      <c r="DH921" s="5" t="n"/>
      <c r="DI921" s="5" t="n"/>
      <c r="DJ921" s="5" t="n"/>
      <c r="DK921" s="5" t="n"/>
      <c r="DL921" s="5" t="n"/>
      <c r="DM921" s="5" t="n"/>
      <c r="DN921" s="5" t="n"/>
      <c r="DO921" s="5" t="n"/>
      <c r="DP921" s="5" t="n"/>
      <c r="DQ921" s="5" t="n"/>
      <c r="DR921" s="5" t="n"/>
      <c r="DS921" s="5" t="n"/>
      <c r="DT921" s="5" t="n"/>
      <c r="DU921" s="5" t="n"/>
      <c r="DV921" s="5" t="n"/>
      <c r="DW921" s="5" t="n"/>
      <c r="DX921" s="5" t="n"/>
      <c r="DY921" s="5" t="n"/>
      <c r="DZ921" s="5" t="n"/>
      <c r="EA921" s="5" t="n"/>
      <c r="EB921" s="5" t="n"/>
      <c r="EC921" s="5" t="n"/>
      <c r="ED921" s="5" t="n"/>
      <c r="EE921" s="5" t="n"/>
      <c r="EF921" s="5" t="n"/>
      <c r="EG921" s="5" t="n"/>
      <c r="EH921" s="5" t="n"/>
      <c r="EI921" s="5" t="n"/>
      <c r="EJ921" s="5" t="n"/>
      <c r="EK921" s="5" t="n"/>
      <c r="EL921" s="5" t="n"/>
      <c r="EM921" s="5" t="n"/>
      <c r="EN921" s="5" t="n"/>
      <c r="EO921" s="5" t="n"/>
      <c r="EP921" s="5" t="n"/>
      <c r="EQ921" s="5" t="n"/>
      <c r="ER921" s="5" t="n"/>
      <c r="ES921" s="5" t="n"/>
      <c r="ET921" s="5" t="n"/>
      <c r="EU921" s="5" t="n"/>
      <c r="EV921" s="5" t="n"/>
      <c r="EW921" s="5" t="n"/>
      <c r="EX921" s="5" t="n"/>
      <c r="EY921" s="5" t="n"/>
      <c r="EZ921" s="5" t="n"/>
      <c r="FA921" s="5" t="n"/>
      <c r="FB921" s="5" t="n"/>
      <c r="FC921" s="5" t="n"/>
      <c r="FD921" s="5" t="n"/>
      <c r="FE921" s="5" t="n"/>
      <c r="FF921" s="5" t="n"/>
      <c r="FG921" s="5" t="n"/>
      <c r="FH921" s="5" t="n"/>
      <c r="FI921" s="5" t="n"/>
      <c r="FJ921" s="5" t="n"/>
      <c r="FK921" s="5" t="n"/>
      <c r="FL921" s="5" t="n"/>
      <c r="FM921" s="5" t="n"/>
      <c r="FN921" s="5" t="n"/>
      <c r="FO921" s="5" t="n"/>
      <c r="FP921" s="5" t="n"/>
      <c r="FQ921" s="5" t="n"/>
      <c r="FR921" s="5" t="n"/>
      <c r="FS921" s="5" t="n"/>
      <c r="FT921" s="5" t="n"/>
      <c r="FU921" s="5" t="n"/>
      <c r="FV921" s="5" t="n"/>
      <c r="FW921" s="5" t="n"/>
      <c r="FX921" s="5" t="n"/>
      <c r="FY921" s="5" t="n"/>
      <c r="FZ921" s="5" t="n"/>
      <c r="GA921" s="5" t="n"/>
      <c r="GB921" s="5" t="n"/>
      <c r="GC921" s="5" t="n"/>
      <c r="GD921" s="5" t="n"/>
      <c r="GE921" s="5" t="n"/>
      <c r="GF921" s="5" t="n"/>
      <c r="GG921" s="5" t="n"/>
      <c r="GH921" s="5" t="n"/>
      <c r="GI921" s="5" t="n"/>
      <c r="GJ921" s="5" t="n"/>
      <c r="GK921" s="5" t="n"/>
      <c r="GL921" s="5" t="n"/>
      <c r="GM921" s="5" t="n"/>
      <c r="GN921" s="5" t="n"/>
      <c r="GO921" s="5" t="n"/>
      <c r="GP921" s="5" t="n"/>
      <c r="GQ921" s="5" t="n"/>
      <c r="GR921" s="5" t="n"/>
      <c r="GS921" s="5" t="n"/>
      <c r="GT921" s="5" t="n"/>
      <c r="GU921" s="5" t="n"/>
      <c r="GV921" s="5" t="n"/>
      <c r="GW921" s="5" t="n"/>
      <c r="GX921" s="5" t="n"/>
      <c r="GY921" s="5" t="n"/>
      <c r="GZ921" s="5" t="n"/>
      <c r="HA921" s="5" t="n"/>
      <c r="HB921" s="5" t="n"/>
      <c r="HC921" s="5" t="n"/>
      <c r="HD921" s="5" t="n"/>
      <c r="HE921" s="5" t="n"/>
      <c r="HF921" s="5" t="n"/>
      <c r="HG921" s="5" t="n"/>
      <c r="HH921" s="5" t="n"/>
      <c r="HI921" s="5" t="n"/>
      <c r="HJ921" s="5" t="n"/>
      <c r="HK921" s="5" t="n"/>
      <c r="HL921" s="5" t="n"/>
      <c r="HM921" s="5" t="n"/>
      <c r="HN921" s="5" t="n"/>
      <c r="HO921" s="5" t="n"/>
      <c r="HP921" s="5" t="n"/>
      <c r="HQ921" s="5" t="n"/>
      <c r="HR921" s="5" t="n"/>
      <c r="HS921" s="5" t="n"/>
      <c r="HT921" s="5" t="n"/>
      <c r="HU921" s="5" t="n"/>
      <c r="HV921" s="5" t="n"/>
    </row>
    <row r="922">
      <c r="A922" s="19" t="inlineStr">
        <is>
          <t>mit.infl</t>
        </is>
      </c>
      <c r="B922" s="3" t="inlineStr">
        <is>
          <t>mit</t>
        </is>
      </c>
      <c r="C922" s="19" t="n"/>
      <c r="H922" s="3" t="inlineStr">
        <is>
          <t>Inflation index: US CPI, ResultsYear = 1 (nominal -&gt; real for domestic prices and nominal policy inputs)</t>
        </is>
      </c>
      <c r="I922" s="3" t="inlineStr">
        <is>
          <t>index</t>
        </is>
      </c>
      <c r="K922" s="20" t="inlineStr">
        <is>
          <t>egy.mit.infl.1</t>
        </is>
      </c>
      <c r="L922" s="3" t="n">
        <v>1.136817589506965</v>
      </c>
      <c r="M922" s="3" t="n">
        <v>1.091761019747098</v>
      </c>
      <c r="N922" s="3" t="n">
        <v>1.060455217769889</v>
      </c>
      <c r="O922" s="3" t="n">
        <v>1.03227909878657</v>
      </c>
      <c r="P922" s="3" t="n">
        <v>1</v>
      </c>
      <c r="Q922" s="3" t="n">
        <v>0.9790356788014311</v>
      </c>
      <c r="R922" s="3" t="n">
        <v>0.9581137472050205</v>
      </c>
      <c r="S922" s="3" t="n">
        <v>0.9375996069477321</v>
      </c>
      <c r="T922" s="3" t="n">
        <v>0.9175077992733255</v>
      </c>
      <c r="U922" s="3" t="n">
        <v>0.897896011223145</v>
      </c>
      <c r="V922" s="3" t="n">
        <v>0.897896011223145</v>
      </c>
      <c r="W922" s="3" t="n">
        <v>0.897896011223145</v>
      </c>
      <c r="X922" s="3" t="n">
        <v>0.897896011223145</v>
      </c>
      <c r="Y922" s="3" t="n">
        <v>0.897896011223145</v>
      </c>
      <c r="Z922" s="3" t="n">
        <v>0.897896011223145</v>
      </c>
      <c r="AA922" s="3" t="n">
        <v>0.897896011223145</v>
      </c>
      <c r="AB922" s="3" t="n">
        <v>0.897896011223145</v>
      </c>
      <c r="AC922" s="3" t="n">
        <v>0.897896011223145</v>
      </c>
      <c r="AD922" s="3" t="n">
        <v>0.897896011223145</v>
      </c>
      <c r="AE922" s="3" t="n">
        <v>0.897896011223145</v>
      </c>
      <c r="AG922" s="20" t="inlineStr">
        <is>
          <t>egy.mit.infl.3</t>
        </is>
      </c>
      <c r="AH922" s="3" t="n">
        <v>1.136817589506965</v>
      </c>
      <c r="AI922" s="3" t="n">
        <v>1.091761019747098</v>
      </c>
      <c r="AJ922" s="3" t="n">
        <v>1.060455217769889</v>
      </c>
      <c r="AK922" s="3" t="n">
        <v>1.03227909878657</v>
      </c>
      <c r="AL922" s="3" t="n">
        <v>1</v>
      </c>
      <c r="AM922" s="3" t="n">
        <v>0.9790356788014311</v>
      </c>
      <c r="AN922" s="3" t="n">
        <v>0.9581137472050205</v>
      </c>
      <c r="AO922" s="3" t="n">
        <v>0.9375996069477321</v>
      </c>
      <c r="AP922" s="3" t="n">
        <v>0.9175077992733255</v>
      </c>
      <c r="AQ922" s="3" t="n">
        <v>0.897896011223145</v>
      </c>
      <c r="AR922" s="3" t="n">
        <v>0.897896011223145</v>
      </c>
      <c r="AS922" s="3" t="n">
        <v>0.897896011223145</v>
      </c>
      <c r="AT922" s="3" t="n">
        <v>0.897896011223145</v>
      </c>
      <c r="AU922" s="3" t="n">
        <v>0.897896011223145</v>
      </c>
      <c r="AV922" s="3" t="n">
        <v>0.897896011223145</v>
      </c>
      <c r="AW922" s="3" t="n">
        <v>0.897896011223145</v>
      </c>
      <c r="AX922" s="3" t="n">
        <v>0.897896011223145</v>
      </c>
      <c r="AY922" s="3" t="n">
        <v>0.897896011223145</v>
      </c>
      <c r="AZ922" s="3" t="n">
        <v>0.897896011223145</v>
      </c>
      <c r="BA922" s="3" t="n">
        <v>0.897896011223145</v>
      </c>
      <c r="BC922" s="20" t="inlineStr">
        <is>
          <t>egy.mit.infl.4</t>
        </is>
      </c>
      <c r="BD922" s="3" t="n">
        <v>1.136817589506965</v>
      </c>
      <c r="BE922" s="3" t="n">
        <v>1.091761019747098</v>
      </c>
      <c r="BF922" s="3" t="n">
        <v>1.060455217769889</v>
      </c>
      <c r="BG922" s="3" t="n">
        <v>1.03227909878657</v>
      </c>
      <c r="BH922" s="3" t="n">
        <v>1</v>
      </c>
      <c r="BI922" s="3" t="n">
        <v>0.9790356788014311</v>
      </c>
      <c r="BJ922" s="3" t="n">
        <v>0.9581137472050205</v>
      </c>
      <c r="BK922" s="3" t="n">
        <v>0.9375996069477321</v>
      </c>
      <c r="BL922" s="3" t="n">
        <v>0.9175077992733255</v>
      </c>
      <c r="BM922" s="3" t="n">
        <v>0.897896011223145</v>
      </c>
      <c r="BN922" s="3" t="n">
        <v>0.897896011223145</v>
      </c>
      <c r="BO922" s="3" t="n">
        <v>0.897896011223145</v>
      </c>
      <c r="BP922" s="3" t="n">
        <v>0.897896011223145</v>
      </c>
      <c r="BQ922" s="3" t="n">
        <v>0.897896011223145</v>
      </c>
      <c r="BR922" s="3" t="n">
        <v>0.897896011223145</v>
      </c>
      <c r="BS922" s="3" t="n">
        <v>0.897896011223145</v>
      </c>
      <c r="BT922" s="3" t="n">
        <v>0.897896011223145</v>
      </c>
      <c r="BU922" s="3" t="n">
        <v>0.897896011223145</v>
      </c>
      <c r="BV922" s="3" t="n">
        <v>0.897896011223145</v>
      </c>
      <c r="BW922" s="3" t="n">
        <v>0.897896011223145</v>
      </c>
      <c r="BY922" s="20" t="inlineStr">
        <is>
          <t>egy.mit.infl.5</t>
        </is>
      </c>
      <c r="BZ922" s="3" t="n">
        <v>1.136817589506965</v>
      </c>
      <c r="CA922" s="3" t="n">
        <v>1.091761019747098</v>
      </c>
      <c r="CB922" s="3" t="n">
        <v>1.060455217769889</v>
      </c>
      <c r="CC922" s="3" t="n">
        <v>1.03227909878657</v>
      </c>
      <c r="CD922" s="3" t="n">
        <v>1</v>
      </c>
      <c r="CE922" s="3" t="n">
        <v>0.9790356788014311</v>
      </c>
      <c r="CF922" s="3" t="n">
        <v>0.9581137472050205</v>
      </c>
      <c r="CG922" s="3" t="n">
        <v>0.9375996069477321</v>
      </c>
      <c r="CH922" s="3" t="n">
        <v>0.9175077992733255</v>
      </c>
      <c r="CI922" s="3" t="n">
        <v>0.897896011223145</v>
      </c>
      <c r="CJ922" s="3" t="n">
        <v>0.897896011223145</v>
      </c>
      <c r="CK922" s="3" t="n">
        <v>0.897896011223145</v>
      </c>
      <c r="CL922" s="3" t="n">
        <v>0.897896011223145</v>
      </c>
      <c r="CM922" s="3" t="n">
        <v>0.897896011223145</v>
      </c>
      <c r="CN922" s="3" t="n">
        <v>0.897896011223145</v>
      </c>
      <c r="CO922" s="3" t="n">
        <v>0.897896011223145</v>
      </c>
      <c r="CP922" s="3" t="n">
        <v>0.897896011223145</v>
      </c>
      <c r="CQ922" s="3" t="n">
        <v>0.897896011223145</v>
      </c>
      <c r="CR922" s="3" t="n">
        <v>0.897896011223145</v>
      </c>
      <c r="CS922" s="3" t="n">
        <v>0.897896011223145</v>
      </c>
      <c r="CU922" s="20" t="inlineStr">
        <is>
          <t>egy.mit.infl.6</t>
        </is>
      </c>
      <c r="CV922" s="3" t="n">
        <v>1.136817589506965</v>
      </c>
      <c r="CW922" s="3" t="n">
        <v>1.091761019747098</v>
      </c>
      <c r="CX922" s="3" t="n">
        <v>1.060455217769889</v>
      </c>
      <c r="CY922" s="3" t="n">
        <v>1.03227909878657</v>
      </c>
      <c r="CZ922" s="3" t="n">
        <v>1</v>
      </c>
      <c r="DA922" s="3" t="n">
        <v>0.9790356788014311</v>
      </c>
      <c r="DB922" s="3" t="n">
        <v>0.9581137472050205</v>
      </c>
      <c r="DC922" s="3" t="n">
        <v>0.9375996069477321</v>
      </c>
      <c r="DD922" s="3" t="n">
        <v>0.9175077992733255</v>
      </c>
      <c r="DE922" s="3" t="n">
        <v>0.897896011223145</v>
      </c>
      <c r="DF922" s="3" t="n">
        <v>0.897896011223145</v>
      </c>
      <c r="DG922" s="3" t="n">
        <v>0.897896011223145</v>
      </c>
      <c r="DH922" s="3" t="n">
        <v>0.897896011223145</v>
      </c>
      <c r="DI922" s="3" t="n">
        <v>0.897896011223145</v>
      </c>
      <c r="DJ922" s="3" t="n">
        <v>0.897896011223145</v>
      </c>
      <c r="DK922" s="3" t="n">
        <v>0.897896011223145</v>
      </c>
      <c r="DL922" s="3" t="n">
        <v>0.897896011223145</v>
      </c>
      <c r="DM922" s="3" t="n">
        <v>0.897896011223145</v>
      </c>
      <c r="DN922" s="3" t="n">
        <v>0.897896011223145</v>
      </c>
      <c r="DO922" s="3" t="n">
        <v>0.897896011223145</v>
      </c>
    </row>
    <row r="923">
      <c r="A923" s="19" t="inlineStr">
        <is>
          <t>mit.vatgen</t>
        </is>
      </c>
      <c r="B923" s="3" t="inlineStr">
        <is>
          <t>mit</t>
        </is>
      </c>
      <c r="C923" s="19" t="n"/>
      <c r="H923" s="3" t="inlineStr">
        <is>
          <t>General VAT rate of the year</t>
        </is>
      </c>
      <c r="I923" s="3" t="inlineStr">
        <is>
          <t>share</t>
        </is>
      </c>
      <c r="K923" s="20" t="inlineStr">
        <is>
          <t>egy.mit.vatgen.1</t>
        </is>
      </c>
      <c r="L923" s="3" t="n">
        <v>0.14</v>
      </c>
      <c r="M923" s="3" t="n">
        <v>0.14</v>
      </c>
      <c r="N923" s="3" t="n">
        <v>0.14</v>
      </c>
      <c r="O923" s="3" t="n">
        <v>0.14</v>
      </c>
      <c r="P923" s="3" t="n">
        <v>0.14</v>
      </c>
      <c r="Q923" s="3" t="n">
        <v>0.14</v>
      </c>
      <c r="R923" s="3" t="n">
        <v>0.14</v>
      </c>
      <c r="S923" s="3" t="n">
        <v>0.14</v>
      </c>
      <c r="T923" s="3" t="n">
        <v>0.14</v>
      </c>
      <c r="U923" s="3" t="n">
        <v>0.14</v>
      </c>
      <c r="V923" s="3" t="n">
        <v>0.14</v>
      </c>
      <c r="W923" s="3" t="n">
        <v>0.14</v>
      </c>
      <c r="X923" s="3" t="n">
        <v>0.14</v>
      </c>
      <c r="Y923" s="3" t="n">
        <v>0.14</v>
      </c>
      <c r="Z923" s="3" t="n">
        <v>0.14</v>
      </c>
      <c r="AA923" s="3" t="n">
        <v>0.14</v>
      </c>
      <c r="AB923" s="3" t="n">
        <v>0.14</v>
      </c>
      <c r="AC923" s="3" t="n">
        <v>0.14</v>
      </c>
      <c r="AD923" s="3" t="n">
        <v>0.14</v>
      </c>
      <c r="AE923" s="3" t="n">
        <v>0.14</v>
      </c>
      <c r="AG923" s="20" t="inlineStr">
        <is>
          <t>egy.mit.vatgen.3</t>
        </is>
      </c>
      <c r="AH923" s="3" t="n">
        <v>0.14</v>
      </c>
      <c r="AI923" s="3" t="n">
        <v>0.14</v>
      </c>
      <c r="AJ923" s="3" t="n">
        <v>0.14</v>
      </c>
      <c r="AK923" s="3" t="n">
        <v>0.14</v>
      </c>
      <c r="AL923" s="3" t="n">
        <v>0.14</v>
      </c>
      <c r="AM923" s="3" t="n">
        <v>0.14</v>
      </c>
      <c r="AN923" s="3" t="n">
        <v>0.14</v>
      </c>
      <c r="AO923" s="3" t="n">
        <v>0.14</v>
      </c>
      <c r="AP923" s="3" t="n">
        <v>0.14</v>
      </c>
      <c r="AQ923" s="3" t="n">
        <v>0.14</v>
      </c>
      <c r="AR923" s="3" t="n">
        <v>0.14</v>
      </c>
      <c r="AS923" s="3" t="n">
        <v>0.14</v>
      </c>
      <c r="AT923" s="3" t="n">
        <v>0.14</v>
      </c>
      <c r="AU923" s="3" t="n">
        <v>0.14</v>
      </c>
      <c r="AV923" s="3" t="n">
        <v>0.14</v>
      </c>
      <c r="AW923" s="3" t="n">
        <v>0.14</v>
      </c>
      <c r="AX923" s="3" t="n">
        <v>0.14</v>
      </c>
      <c r="AY923" s="3" t="n">
        <v>0.14</v>
      </c>
      <c r="AZ923" s="3" t="n">
        <v>0.14</v>
      </c>
      <c r="BA923" s="3" t="n">
        <v>0.14</v>
      </c>
      <c r="BC923" s="20" t="inlineStr">
        <is>
          <t>egy.mit.vatgen.4</t>
        </is>
      </c>
      <c r="BD923" s="3" t="n">
        <v>0.14</v>
      </c>
      <c r="BE923" s="3" t="n">
        <v>0.14</v>
      </c>
      <c r="BF923" s="3" t="n">
        <v>0.14</v>
      </c>
      <c r="BG923" s="3" t="n">
        <v>0.14</v>
      </c>
      <c r="BH923" s="3" t="n">
        <v>0.14</v>
      </c>
      <c r="BI923" s="3" t="n">
        <v>0.14</v>
      </c>
      <c r="BJ923" s="3" t="n">
        <v>0.14</v>
      </c>
      <c r="BK923" s="3" t="n">
        <v>0.14</v>
      </c>
      <c r="BL923" s="3" t="n">
        <v>0.14</v>
      </c>
      <c r="BM923" s="3" t="n">
        <v>0.14</v>
      </c>
      <c r="BN923" s="3" t="n">
        <v>0.14</v>
      </c>
      <c r="BO923" s="3" t="n">
        <v>0.14</v>
      </c>
      <c r="BP923" s="3" t="n">
        <v>0.14</v>
      </c>
      <c r="BQ923" s="3" t="n">
        <v>0.14</v>
      </c>
      <c r="BR923" s="3" t="n">
        <v>0.14</v>
      </c>
      <c r="BS923" s="3" t="n">
        <v>0.14</v>
      </c>
      <c r="BT923" s="3" t="n">
        <v>0.14</v>
      </c>
      <c r="BU923" s="3" t="n">
        <v>0.14</v>
      </c>
      <c r="BV923" s="3" t="n">
        <v>0.14</v>
      </c>
      <c r="BW923" s="3" t="n">
        <v>0.14</v>
      </c>
      <c r="BY923" s="20" t="inlineStr">
        <is>
          <t>egy.mit.vatgen.5</t>
        </is>
      </c>
      <c r="BZ923" s="3" t="n">
        <v>0.14</v>
      </c>
      <c r="CA923" s="3" t="n">
        <v>0.14</v>
      </c>
      <c r="CB923" s="3" t="n">
        <v>0.14</v>
      </c>
      <c r="CC923" s="3" t="n">
        <v>0.14</v>
      </c>
      <c r="CD923" s="3" t="n">
        <v>0.14</v>
      </c>
      <c r="CE923" s="3" t="n">
        <v>0.14</v>
      </c>
      <c r="CF923" s="3" t="n">
        <v>0.14</v>
      </c>
      <c r="CG923" s="3" t="n">
        <v>0.14</v>
      </c>
      <c r="CH923" s="3" t="n">
        <v>0.14</v>
      </c>
      <c r="CI923" s="3" t="n">
        <v>0.14</v>
      </c>
      <c r="CJ923" s="3" t="n">
        <v>0.14</v>
      </c>
      <c r="CK923" s="3" t="n">
        <v>0.14</v>
      </c>
      <c r="CL923" s="3" t="n">
        <v>0.14</v>
      </c>
      <c r="CM923" s="3" t="n">
        <v>0.14</v>
      </c>
      <c r="CN923" s="3" t="n">
        <v>0.14</v>
      </c>
      <c r="CO923" s="3" t="n">
        <v>0.14</v>
      </c>
      <c r="CP923" s="3" t="n">
        <v>0.14</v>
      </c>
      <c r="CQ923" s="3" t="n">
        <v>0.14</v>
      </c>
      <c r="CR923" s="3" t="n">
        <v>0.14</v>
      </c>
      <c r="CS923" s="3" t="n">
        <v>0.14</v>
      </c>
      <c r="CU923" s="20" t="inlineStr">
        <is>
          <t>egy.mit.vatgen.6</t>
        </is>
      </c>
      <c r="CV923" s="3" t="n">
        <v>0.14</v>
      </c>
      <c r="CW923" s="3" t="n">
        <v>0.14</v>
      </c>
      <c r="CX923" s="3" t="n">
        <v>0.14</v>
      </c>
      <c r="CY923" s="3" t="n">
        <v>0.14</v>
      </c>
      <c r="CZ923" s="3" t="n">
        <v>0.14</v>
      </c>
      <c r="DA923" s="3" t="n">
        <v>0.14</v>
      </c>
      <c r="DB923" s="3" t="n">
        <v>0.14</v>
      </c>
      <c r="DC923" s="3" t="n">
        <v>0.14</v>
      </c>
      <c r="DD923" s="3" t="n">
        <v>0.14</v>
      </c>
      <c r="DE923" s="3" t="n">
        <v>0.14</v>
      </c>
      <c r="DF923" s="3" t="n">
        <v>0.14</v>
      </c>
      <c r="DG923" s="3" t="n">
        <v>0.14</v>
      </c>
      <c r="DH923" s="3" t="n">
        <v>0.14</v>
      </c>
      <c r="DI923" s="3" t="n">
        <v>0.14</v>
      </c>
      <c r="DJ923" s="3" t="n">
        <v>0.14</v>
      </c>
      <c r="DK923" s="3" t="n">
        <v>0.14</v>
      </c>
      <c r="DL923" s="3" t="n">
        <v>0.14</v>
      </c>
      <c r="DM923" s="3" t="n">
        <v>0.14</v>
      </c>
      <c r="DN923" s="3" t="n">
        <v>0.14</v>
      </c>
      <c r="DO923" s="3" t="n">
        <v>0.14</v>
      </c>
    </row>
    <row r="924">
      <c r="A924" s="19" t="inlineStr">
        <is>
          <t>mit.gp.int.oil</t>
        </is>
      </c>
      <c r="B924" s="3" t="inlineStr">
        <is>
          <t>mit</t>
        </is>
      </c>
      <c r="C924" s="19" t="n"/>
      <c r="H924" s="3" t="inlineStr">
        <is>
          <t>International energy price (real; source and adjustment from MTInputs) | International | Crude oil</t>
        </is>
      </c>
      <c r="I924" s="3" t="inlineStr">
        <is>
          <t>source unit</t>
        </is>
      </c>
      <c r="K924" s="20" t="inlineStr">
        <is>
          <t>egy.mit.gp.int.oil.1</t>
        </is>
      </c>
      <c r="L924" s="3" t="n">
        <v>111.291833515172</v>
      </c>
      <c r="M924" s="3" t="n">
        <v>89.24363141818066</v>
      </c>
      <c r="N924" s="3" t="n">
        <v>84.53294433420567</v>
      </c>
      <c r="O924" s="3" t="n">
        <v>70.2823137605242</v>
      </c>
      <c r="P924" s="3" t="n">
        <v>80.18651199999999</v>
      </c>
      <c r="Q924" s="3" t="n">
        <v>69.91653615773053</v>
      </c>
      <c r="R924" s="3" t="n">
        <v>67.09109943960662</v>
      </c>
      <c r="S924" s="3" t="n">
        <v>65.66685021454536</v>
      </c>
      <c r="T924" s="3" t="n">
        <v>64.42133540387367</v>
      </c>
      <c r="U924" s="3" t="n">
        <v>63.06819835076644</v>
      </c>
      <c r="V924" s="3" t="n">
        <v>63.06819835076644</v>
      </c>
      <c r="W924" s="3" t="n">
        <v>63.06819835076644</v>
      </c>
      <c r="X924" s="3" t="n">
        <v>63.06819835076645</v>
      </c>
      <c r="Y924" s="3" t="n">
        <v>63.06819835076645</v>
      </c>
      <c r="Z924" s="3" t="n">
        <v>63.06819835076645</v>
      </c>
      <c r="AA924" s="3" t="n">
        <v>63.06819835076644</v>
      </c>
      <c r="AB924" s="3" t="n">
        <v>63.06819835076645</v>
      </c>
      <c r="AC924" s="3" t="n">
        <v>63.06819835076645</v>
      </c>
      <c r="AD924" s="3" t="n">
        <v>63.06819835076645</v>
      </c>
      <c r="AE924" s="3" t="n">
        <v>63.06819835076646</v>
      </c>
      <c r="AG924" s="20" t="inlineStr">
        <is>
          <t>egy.mit.gp.int.oil.3</t>
        </is>
      </c>
      <c r="AH924" s="3" t="n">
        <v>111.291833515172</v>
      </c>
      <c r="AI924" s="3" t="n">
        <v>89.24363141818066</v>
      </c>
      <c r="AJ924" s="3" t="n">
        <v>84.53294433420567</v>
      </c>
      <c r="AK924" s="3" t="n">
        <v>70.2823137605242</v>
      </c>
      <c r="AL924" s="3" t="n">
        <v>80.18651199999999</v>
      </c>
      <c r="AM924" s="3" t="n">
        <v>69.91653615773053</v>
      </c>
      <c r="AN924" s="3" t="n">
        <v>67.09109943960662</v>
      </c>
      <c r="AO924" s="3" t="n">
        <v>65.66685021454536</v>
      </c>
      <c r="AP924" s="3" t="n">
        <v>64.42133540387367</v>
      </c>
      <c r="AQ924" s="3" t="n">
        <v>63.06819835076644</v>
      </c>
      <c r="AR924" s="3" t="n">
        <v>63.06819835076644</v>
      </c>
      <c r="AS924" s="3" t="n">
        <v>63.06819835076644</v>
      </c>
      <c r="AT924" s="3" t="n">
        <v>63.06819835076645</v>
      </c>
      <c r="AU924" s="3" t="n">
        <v>63.06819835076645</v>
      </c>
      <c r="AV924" s="3" t="n">
        <v>63.06819835076645</v>
      </c>
      <c r="AW924" s="3" t="n">
        <v>63.06819835076644</v>
      </c>
      <c r="AX924" s="3" t="n">
        <v>63.06819835076645</v>
      </c>
      <c r="AY924" s="3" t="n">
        <v>63.06819835076645</v>
      </c>
      <c r="AZ924" s="3" t="n">
        <v>63.06819835076645</v>
      </c>
      <c r="BA924" s="3" t="n">
        <v>63.06819835076646</v>
      </c>
      <c r="BC924" s="20" t="inlineStr">
        <is>
          <t>egy.mit.gp.int.oil.4</t>
        </is>
      </c>
      <c r="BD924" s="3" t="n">
        <v>111.291833515172</v>
      </c>
      <c r="BE924" s="3" t="n">
        <v>89.24363141818066</v>
      </c>
      <c r="BF924" s="3" t="n">
        <v>84.53294433420567</v>
      </c>
      <c r="BG924" s="3" t="n">
        <v>70.2823137605242</v>
      </c>
      <c r="BH924" s="3" t="n">
        <v>80.18651199999999</v>
      </c>
      <c r="BI924" s="3" t="n">
        <v>69.91653615773053</v>
      </c>
      <c r="BJ924" s="3" t="n">
        <v>67.09109943960662</v>
      </c>
      <c r="BK924" s="3" t="n">
        <v>65.66685021454536</v>
      </c>
      <c r="BL924" s="3" t="n">
        <v>64.42133540387367</v>
      </c>
      <c r="BM924" s="3" t="n">
        <v>63.06819835076644</v>
      </c>
      <c r="BN924" s="3" t="n">
        <v>63.06819835076644</v>
      </c>
      <c r="BO924" s="3" t="n">
        <v>63.06819835076644</v>
      </c>
      <c r="BP924" s="3" t="n">
        <v>63.06819835076645</v>
      </c>
      <c r="BQ924" s="3" t="n">
        <v>63.06819835076645</v>
      </c>
      <c r="BR924" s="3" t="n">
        <v>63.06819835076645</v>
      </c>
      <c r="BS924" s="3" t="n">
        <v>63.06819835076644</v>
      </c>
      <c r="BT924" s="3" t="n">
        <v>63.06819835076645</v>
      </c>
      <c r="BU924" s="3" t="n">
        <v>63.06819835076645</v>
      </c>
      <c r="BV924" s="3" t="n">
        <v>63.06819835076645</v>
      </c>
      <c r="BW924" s="3" t="n">
        <v>63.06819835076646</v>
      </c>
      <c r="BY924" s="20" t="inlineStr">
        <is>
          <t>egy.mit.gp.int.oil.5</t>
        </is>
      </c>
      <c r="BZ924" s="3" t="n">
        <v>111.291833515172</v>
      </c>
      <c r="CA924" s="3" t="n">
        <v>89.24363141818066</v>
      </c>
      <c r="CB924" s="3" t="n">
        <v>84.53294433420567</v>
      </c>
      <c r="CC924" s="3" t="n">
        <v>70.2823137605242</v>
      </c>
      <c r="CD924" s="3" t="n">
        <v>80.18651199999999</v>
      </c>
      <c r="CE924" s="3" t="n">
        <v>69.91653615773053</v>
      </c>
      <c r="CF924" s="3" t="n">
        <v>67.09109943960662</v>
      </c>
      <c r="CG924" s="3" t="n">
        <v>65.66685021454536</v>
      </c>
      <c r="CH924" s="3" t="n">
        <v>64.42133540387367</v>
      </c>
      <c r="CI924" s="3" t="n">
        <v>63.06819835076644</v>
      </c>
      <c r="CJ924" s="3" t="n">
        <v>63.06819835076644</v>
      </c>
      <c r="CK924" s="3" t="n">
        <v>63.06819835076644</v>
      </c>
      <c r="CL924" s="3" t="n">
        <v>63.06819835076645</v>
      </c>
      <c r="CM924" s="3" t="n">
        <v>63.06819835076645</v>
      </c>
      <c r="CN924" s="3" t="n">
        <v>63.06819835076645</v>
      </c>
      <c r="CO924" s="3" t="n">
        <v>63.06819835076644</v>
      </c>
      <c r="CP924" s="3" t="n">
        <v>63.06819835076645</v>
      </c>
      <c r="CQ924" s="3" t="n">
        <v>63.06819835076645</v>
      </c>
      <c r="CR924" s="3" t="n">
        <v>63.06819835076645</v>
      </c>
      <c r="CS924" s="3" t="n">
        <v>63.06819835076646</v>
      </c>
      <c r="CU924" s="20" t="inlineStr">
        <is>
          <t>egy.mit.gp.int.oil.6</t>
        </is>
      </c>
      <c r="CV924" s="3" t="n">
        <v>111.291833515172</v>
      </c>
      <c r="CW924" s="3" t="n">
        <v>89.24363141818066</v>
      </c>
      <c r="CX924" s="3" t="n">
        <v>84.53294433420567</v>
      </c>
      <c r="CY924" s="3" t="n">
        <v>70.2823137605242</v>
      </c>
      <c r="CZ924" s="3" t="n">
        <v>80.18651199999999</v>
      </c>
      <c r="DA924" s="3" t="n">
        <v>69.91653615773053</v>
      </c>
      <c r="DB924" s="3" t="n">
        <v>67.09109943960662</v>
      </c>
      <c r="DC924" s="3" t="n">
        <v>65.66685021454536</v>
      </c>
      <c r="DD924" s="3" t="n">
        <v>64.42133540387367</v>
      </c>
      <c r="DE924" s="3" t="n">
        <v>63.06819835076644</v>
      </c>
      <c r="DF924" s="3" t="n">
        <v>63.06819835076644</v>
      </c>
      <c r="DG924" s="3" t="n">
        <v>63.06819835076644</v>
      </c>
      <c r="DH924" s="3" t="n">
        <v>63.06819835076645</v>
      </c>
      <c r="DI924" s="3" t="n">
        <v>63.06819835076645</v>
      </c>
      <c r="DJ924" s="3" t="n">
        <v>63.06819835076645</v>
      </c>
      <c r="DK924" s="3" t="n">
        <v>63.06819835076644</v>
      </c>
      <c r="DL924" s="3" t="n">
        <v>63.06819835076645</v>
      </c>
      <c r="DM924" s="3" t="n">
        <v>63.06819835076645</v>
      </c>
      <c r="DN924" s="3" t="n">
        <v>63.06819835076645</v>
      </c>
      <c r="DO924" s="3" t="n">
        <v>63.06819835076646</v>
      </c>
    </row>
    <row r="925">
      <c r="A925" s="19" t="inlineStr">
        <is>
          <t>mit.gp.int.coa</t>
        </is>
      </c>
      <c r="B925" s="3" t="inlineStr">
        <is>
          <t>mit</t>
        </is>
      </c>
      <c r="C925" s="19" t="n"/>
      <c r="H925" s="3" t="inlineStr">
        <is>
          <t>International energy price (real; source and adjustment from MTInputs) | International | Coal</t>
        </is>
      </c>
      <c r="I925" s="3" t="inlineStr">
        <is>
          <t>source unit</t>
        </is>
      </c>
      <c r="K925" s="20" t="inlineStr">
        <is>
          <t>egy.mit.gp.int.coa.1</t>
        </is>
      </c>
      <c r="L925" s="3" t="n">
        <v>431.8842408640053</v>
      </c>
      <c r="M925" s="3" t="n">
        <v>203.974323576167</v>
      </c>
      <c r="N925" s="3" t="n">
        <v>151.8527957914205</v>
      </c>
      <c r="O925" s="3" t="n">
        <v>115.6587583584251</v>
      </c>
      <c r="P925" s="3" t="n">
        <v>135.601486</v>
      </c>
      <c r="Q925" s="3" t="n">
        <v>140.1000624724003</v>
      </c>
      <c r="R925" s="3" t="n">
        <v>137.9670065687367</v>
      </c>
      <c r="S925" s="3" t="n">
        <v>135.6795595263032</v>
      </c>
      <c r="T925" s="3" t="n">
        <v>133.2313966749358</v>
      </c>
      <c r="U925" s="3" t="n">
        <v>130.8688198786811</v>
      </c>
      <c r="V925" s="3" t="n">
        <v>130.8688198786811</v>
      </c>
      <c r="W925" s="3" t="n">
        <v>130.8688198786811</v>
      </c>
      <c r="X925" s="3" t="n">
        <v>130.8688198786811</v>
      </c>
      <c r="Y925" s="3" t="n">
        <v>130.8688198786811</v>
      </c>
      <c r="Z925" s="3" t="n">
        <v>130.8688198786811</v>
      </c>
      <c r="AA925" s="3" t="n">
        <v>130.8688198786811</v>
      </c>
      <c r="AB925" s="3" t="n">
        <v>130.8688198786811</v>
      </c>
      <c r="AC925" s="3" t="n">
        <v>130.8688198786811</v>
      </c>
      <c r="AD925" s="3" t="n">
        <v>130.8688198786811</v>
      </c>
      <c r="AE925" s="3" t="n">
        <v>130.8688198786811</v>
      </c>
      <c r="AG925" s="20" t="inlineStr">
        <is>
          <t>egy.mit.gp.int.coa.3</t>
        </is>
      </c>
      <c r="AH925" s="3" t="n">
        <v>431.8842408640053</v>
      </c>
      <c r="AI925" s="3" t="n">
        <v>203.974323576167</v>
      </c>
      <c r="AJ925" s="3" t="n">
        <v>151.8527957914205</v>
      </c>
      <c r="AK925" s="3" t="n">
        <v>115.6587583584251</v>
      </c>
      <c r="AL925" s="3" t="n">
        <v>135.601486</v>
      </c>
      <c r="AM925" s="3" t="n">
        <v>140.1000624724003</v>
      </c>
      <c r="AN925" s="3" t="n">
        <v>137.9670065687367</v>
      </c>
      <c r="AO925" s="3" t="n">
        <v>135.6795595263032</v>
      </c>
      <c r="AP925" s="3" t="n">
        <v>133.2313966749358</v>
      </c>
      <c r="AQ925" s="3" t="n">
        <v>130.8688198786811</v>
      </c>
      <c r="AR925" s="3" t="n">
        <v>130.8688198786811</v>
      </c>
      <c r="AS925" s="3" t="n">
        <v>130.8688198786811</v>
      </c>
      <c r="AT925" s="3" t="n">
        <v>130.8688198786811</v>
      </c>
      <c r="AU925" s="3" t="n">
        <v>130.8688198786811</v>
      </c>
      <c r="AV925" s="3" t="n">
        <v>130.8688198786811</v>
      </c>
      <c r="AW925" s="3" t="n">
        <v>130.8688198786811</v>
      </c>
      <c r="AX925" s="3" t="n">
        <v>130.8688198786811</v>
      </c>
      <c r="AY925" s="3" t="n">
        <v>130.8688198786811</v>
      </c>
      <c r="AZ925" s="3" t="n">
        <v>130.8688198786811</v>
      </c>
      <c r="BA925" s="3" t="n">
        <v>130.8688198786811</v>
      </c>
      <c r="BC925" s="20" t="inlineStr">
        <is>
          <t>egy.mit.gp.int.coa.4</t>
        </is>
      </c>
      <c r="BD925" s="3" t="n">
        <v>431.8842408640053</v>
      </c>
      <c r="BE925" s="3" t="n">
        <v>203.974323576167</v>
      </c>
      <c r="BF925" s="3" t="n">
        <v>151.8527957914205</v>
      </c>
      <c r="BG925" s="3" t="n">
        <v>115.6587583584251</v>
      </c>
      <c r="BH925" s="3" t="n">
        <v>135.601486</v>
      </c>
      <c r="BI925" s="3" t="n">
        <v>140.1000624724003</v>
      </c>
      <c r="BJ925" s="3" t="n">
        <v>137.9670065687367</v>
      </c>
      <c r="BK925" s="3" t="n">
        <v>135.6795595263032</v>
      </c>
      <c r="BL925" s="3" t="n">
        <v>133.2313966749358</v>
      </c>
      <c r="BM925" s="3" t="n">
        <v>130.8688198786811</v>
      </c>
      <c r="BN925" s="3" t="n">
        <v>130.8688198786811</v>
      </c>
      <c r="BO925" s="3" t="n">
        <v>130.8688198786811</v>
      </c>
      <c r="BP925" s="3" t="n">
        <v>130.8688198786811</v>
      </c>
      <c r="BQ925" s="3" t="n">
        <v>130.8688198786811</v>
      </c>
      <c r="BR925" s="3" t="n">
        <v>130.8688198786811</v>
      </c>
      <c r="BS925" s="3" t="n">
        <v>130.8688198786811</v>
      </c>
      <c r="BT925" s="3" t="n">
        <v>130.8688198786811</v>
      </c>
      <c r="BU925" s="3" t="n">
        <v>130.8688198786811</v>
      </c>
      <c r="BV925" s="3" t="n">
        <v>130.8688198786811</v>
      </c>
      <c r="BW925" s="3" t="n">
        <v>130.8688198786811</v>
      </c>
      <c r="BY925" s="20" t="inlineStr">
        <is>
          <t>egy.mit.gp.int.coa.5</t>
        </is>
      </c>
      <c r="BZ925" s="3" t="n">
        <v>431.8842408640053</v>
      </c>
      <c r="CA925" s="3" t="n">
        <v>203.974323576167</v>
      </c>
      <c r="CB925" s="3" t="n">
        <v>151.8527957914205</v>
      </c>
      <c r="CC925" s="3" t="n">
        <v>115.6587583584251</v>
      </c>
      <c r="CD925" s="3" t="n">
        <v>135.601486</v>
      </c>
      <c r="CE925" s="3" t="n">
        <v>140.1000624724003</v>
      </c>
      <c r="CF925" s="3" t="n">
        <v>137.9670065687367</v>
      </c>
      <c r="CG925" s="3" t="n">
        <v>135.6795595263032</v>
      </c>
      <c r="CH925" s="3" t="n">
        <v>133.2313966749358</v>
      </c>
      <c r="CI925" s="3" t="n">
        <v>130.8688198786811</v>
      </c>
      <c r="CJ925" s="3" t="n">
        <v>130.8688198786811</v>
      </c>
      <c r="CK925" s="3" t="n">
        <v>130.8688198786811</v>
      </c>
      <c r="CL925" s="3" t="n">
        <v>130.8688198786811</v>
      </c>
      <c r="CM925" s="3" t="n">
        <v>130.8688198786811</v>
      </c>
      <c r="CN925" s="3" t="n">
        <v>130.8688198786811</v>
      </c>
      <c r="CO925" s="3" t="n">
        <v>130.8688198786811</v>
      </c>
      <c r="CP925" s="3" t="n">
        <v>130.8688198786811</v>
      </c>
      <c r="CQ925" s="3" t="n">
        <v>130.8688198786811</v>
      </c>
      <c r="CR925" s="3" t="n">
        <v>130.8688198786811</v>
      </c>
      <c r="CS925" s="3" t="n">
        <v>130.8688198786811</v>
      </c>
      <c r="CU925" s="20" t="inlineStr">
        <is>
          <t>egy.mit.gp.int.coa.6</t>
        </is>
      </c>
      <c r="CV925" s="3" t="n">
        <v>431.8842408640053</v>
      </c>
      <c r="CW925" s="3" t="n">
        <v>203.974323576167</v>
      </c>
      <c r="CX925" s="3" t="n">
        <v>151.8527957914205</v>
      </c>
      <c r="CY925" s="3" t="n">
        <v>115.6587583584251</v>
      </c>
      <c r="CZ925" s="3" t="n">
        <v>135.601486</v>
      </c>
      <c r="DA925" s="3" t="n">
        <v>140.1000624724003</v>
      </c>
      <c r="DB925" s="3" t="n">
        <v>137.9670065687367</v>
      </c>
      <c r="DC925" s="3" t="n">
        <v>135.6795595263032</v>
      </c>
      <c r="DD925" s="3" t="n">
        <v>133.2313966749358</v>
      </c>
      <c r="DE925" s="3" t="n">
        <v>130.8688198786811</v>
      </c>
      <c r="DF925" s="3" t="n">
        <v>130.8688198786811</v>
      </c>
      <c r="DG925" s="3" t="n">
        <v>130.8688198786811</v>
      </c>
      <c r="DH925" s="3" t="n">
        <v>130.8688198786811</v>
      </c>
      <c r="DI925" s="3" t="n">
        <v>130.8688198786811</v>
      </c>
      <c r="DJ925" s="3" t="n">
        <v>130.8688198786811</v>
      </c>
      <c r="DK925" s="3" t="n">
        <v>130.8688198786811</v>
      </c>
      <c r="DL925" s="3" t="n">
        <v>130.8688198786811</v>
      </c>
      <c r="DM925" s="3" t="n">
        <v>130.8688198786811</v>
      </c>
      <c r="DN925" s="3" t="n">
        <v>130.8688198786811</v>
      </c>
      <c r="DO925" s="3" t="n">
        <v>130.8688198786811</v>
      </c>
    </row>
    <row r="926">
      <c r="A926" s="19" t="inlineStr">
        <is>
          <t>mit.gp.int.nga</t>
        </is>
      </c>
      <c r="B926" s="3" t="inlineStr">
        <is>
          <t>mit</t>
        </is>
      </c>
      <c r="C926" s="19" t="n"/>
      <c r="H926" s="3" t="inlineStr">
        <is>
          <t>International energy price (real; source and adjustment from MTInputs) | International | Natural gas</t>
        </is>
      </c>
      <c r="I926" s="3" t="inlineStr">
        <is>
          <t>source unit</t>
        </is>
      </c>
      <c r="K926" s="20" t="inlineStr">
        <is>
          <t>egy.mit.gp.int.nga.1</t>
        </is>
      </c>
      <c r="L926" s="3" t="n">
        <v>28.97935227415479</v>
      </c>
      <c r="M926" s="3" t="n">
        <v>10.48609049839016</v>
      </c>
      <c r="N926" s="3" t="n">
        <v>8.821458829840903</v>
      </c>
      <c r="O926" s="3" t="n">
        <v>9.475526728288914</v>
      </c>
      <c r="P926" s="3" t="n">
        <v>11.02912166666667</v>
      </c>
      <c r="Q926" s="3" t="n">
        <v>9.178736250700664</v>
      </c>
      <c r="R926" s="3" t="n">
        <v>7.002062924670931</v>
      </c>
      <c r="S926" s="3" t="n">
        <v>6.226703822674136</v>
      </c>
      <c r="T926" s="3" t="n">
        <v>6.006741383216464</v>
      </c>
      <c r="U926" s="3" t="n">
        <v>5.882091203085631</v>
      </c>
      <c r="V926" s="3" t="n">
        <v>5.882091203085632</v>
      </c>
      <c r="W926" s="3" t="n">
        <v>5.882091203085632</v>
      </c>
      <c r="X926" s="3" t="n">
        <v>5.882091203085633</v>
      </c>
      <c r="Y926" s="3" t="n">
        <v>5.882091203085634</v>
      </c>
      <c r="Z926" s="3" t="n">
        <v>5.882091203085633</v>
      </c>
      <c r="AA926" s="3" t="n">
        <v>5.882091203085633</v>
      </c>
      <c r="AB926" s="3" t="n">
        <v>5.882091203085633</v>
      </c>
      <c r="AC926" s="3" t="n">
        <v>5.882091203085634</v>
      </c>
      <c r="AD926" s="3" t="n">
        <v>5.882091203085634</v>
      </c>
      <c r="AE926" s="3" t="n">
        <v>5.882091203085634</v>
      </c>
      <c r="AG926" s="20" t="inlineStr">
        <is>
          <t>egy.mit.gp.int.nga.3</t>
        </is>
      </c>
      <c r="AH926" s="3" t="n">
        <v>28.97935227415479</v>
      </c>
      <c r="AI926" s="3" t="n">
        <v>10.48609049839016</v>
      </c>
      <c r="AJ926" s="3" t="n">
        <v>8.821458829840903</v>
      </c>
      <c r="AK926" s="3" t="n">
        <v>9.475526728288914</v>
      </c>
      <c r="AL926" s="3" t="n">
        <v>11.02912166666667</v>
      </c>
      <c r="AM926" s="3" t="n">
        <v>9.178736250700664</v>
      </c>
      <c r="AN926" s="3" t="n">
        <v>7.002062924670931</v>
      </c>
      <c r="AO926" s="3" t="n">
        <v>6.226703822674136</v>
      </c>
      <c r="AP926" s="3" t="n">
        <v>6.006741383216464</v>
      </c>
      <c r="AQ926" s="3" t="n">
        <v>5.882091203085631</v>
      </c>
      <c r="AR926" s="3" t="n">
        <v>5.882091203085632</v>
      </c>
      <c r="AS926" s="3" t="n">
        <v>5.882091203085632</v>
      </c>
      <c r="AT926" s="3" t="n">
        <v>5.882091203085633</v>
      </c>
      <c r="AU926" s="3" t="n">
        <v>5.882091203085634</v>
      </c>
      <c r="AV926" s="3" t="n">
        <v>5.882091203085633</v>
      </c>
      <c r="AW926" s="3" t="n">
        <v>5.882091203085633</v>
      </c>
      <c r="AX926" s="3" t="n">
        <v>5.882091203085633</v>
      </c>
      <c r="AY926" s="3" t="n">
        <v>5.882091203085634</v>
      </c>
      <c r="AZ926" s="3" t="n">
        <v>5.882091203085634</v>
      </c>
      <c r="BA926" s="3" t="n">
        <v>5.882091203085634</v>
      </c>
      <c r="BC926" s="20" t="inlineStr">
        <is>
          <t>egy.mit.gp.int.nga.4</t>
        </is>
      </c>
      <c r="BD926" s="3" t="n">
        <v>28.97935227415479</v>
      </c>
      <c r="BE926" s="3" t="n">
        <v>10.48609049839016</v>
      </c>
      <c r="BF926" s="3" t="n">
        <v>8.821458829840903</v>
      </c>
      <c r="BG926" s="3" t="n">
        <v>9.475526728288914</v>
      </c>
      <c r="BH926" s="3" t="n">
        <v>11.02912166666667</v>
      </c>
      <c r="BI926" s="3" t="n">
        <v>9.178736250700664</v>
      </c>
      <c r="BJ926" s="3" t="n">
        <v>7.002062924670931</v>
      </c>
      <c r="BK926" s="3" t="n">
        <v>6.226703822674136</v>
      </c>
      <c r="BL926" s="3" t="n">
        <v>6.006741383216464</v>
      </c>
      <c r="BM926" s="3" t="n">
        <v>5.882091203085631</v>
      </c>
      <c r="BN926" s="3" t="n">
        <v>5.882091203085632</v>
      </c>
      <c r="BO926" s="3" t="n">
        <v>5.882091203085632</v>
      </c>
      <c r="BP926" s="3" t="n">
        <v>5.882091203085633</v>
      </c>
      <c r="BQ926" s="3" t="n">
        <v>5.882091203085634</v>
      </c>
      <c r="BR926" s="3" t="n">
        <v>5.882091203085633</v>
      </c>
      <c r="BS926" s="3" t="n">
        <v>5.882091203085633</v>
      </c>
      <c r="BT926" s="3" t="n">
        <v>5.882091203085633</v>
      </c>
      <c r="BU926" s="3" t="n">
        <v>5.882091203085634</v>
      </c>
      <c r="BV926" s="3" t="n">
        <v>5.882091203085634</v>
      </c>
      <c r="BW926" s="3" t="n">
        <v>5.882091203085634</v>
      </c>
      <c r="BY926" s="20" t="inlineStr">
        <is>
          <t>egy.mit.gp.int.nga.5</t>
        </is>
      </c>
      <c r="BZ926" s="3" t="n">
        <v>28.97935227415479</v>
      </c>
      <c r="CA926" s="3" t="n">
        <v>10.48609049839016</v>
      </c>
      <c r="CB926" s="3" t="n">
        <v>8.821458829840903</v>
      </c>
      <c r="CC926" s="3" t="n">
        <v>9.475526728288914</v>
      </c>
      <c r="CD926" s="3" t="n">
        <v>11.02912166666667</v>
      </c>
      <c r="CE926" s="3" t="n">
        <v>9.178736250700664</v>
      </c>
      <c r="CF926" s="3" t="n">
        <v>7.002062924670931</v>
      </c>
      <c r="CG926" s="3" t="n">
        <v>6.226703822674136</v>
      </c>
      <c r="CH926" s="3" t="n">
        <v>6.006741383216464</v>
      </c>
      <c r="CI926" s="3" t="n">
        <v>5.882091203085631</v>
      </c>
      <c r="CJ926" s="3" t="n">
        <v>5.882091203085632</v>
      </c>
      <c r="CK926" s="3" t="n">
        <v>5.882091203085632</v>
      </c>
      <c r="CL926" s="3" t="n">
        <v>5.882091203085633</v>
      </c>
      <c r="CM926" s="3" t="n">
        <v>5.882091203085634</v>
      </c>
      <c r="CN926" s="3" t="n">
        <v>5.882091203085633</v>
      </c>
      <c r="CO926" s="3" t="n">
        <v>5.882091203085633</v>
      </c>
      <c r="CP926" s="3" t="n">
        <v>5.882091203085633</v>
      </c>
      <c r="CQ926" s="3" t="n">
        <v>5.882091203085634</v>
      </c>
      <c r="CR926" s="3" t="n">
        <v>5.882091203085634</v>
      </c>
      <c r="CS926" s="3" t="n">
        <v>5.882091203085634</v>
      </c>
      <c r="CU926" s="20" t="inlineStr">
        <is>
          <t>egy.mit.gp.int.nga.6</t>
        </is>
      </c>
      <c r="CV926" s="3" t="n">
        <v>28.97935227415479</v>
      </c>
      <c r="CW926" s="3" t="n">
        <v>10.48609049839016</v>
      </c>
      <c r="CX926" s="3" t="n">
        <v>8.821458829840903</v>
      </c>
      <c r="CY926" s="3" t="n">
        <v>9.475526728288914</v>
      </c>
      <c r="CZ926" s="3" t="n">
        <v>11.02912166666667</v>
      </c>
      <c r="DA926" s="3" t="n">
        <v>9.178736250700664</v>
      </c>
      <c r="DB926" s="3" t="n">
        <v>7.002062924670931</v>
      </c>
      <c r="DC926" s="3" t="n">
        <v>6.226703822674136</v>
      </c>
      <c r="DD926" s="3" t="n">
        <v>6.006741383216464</v>
      </c>
      <c r="DE926" s="3" t="n">
        <v>5.882091203085631</v>
      </c>
      <c r="DF926" s="3" t="n">
        <v>5.882091203085632</v>
      </c>
      <c r="DG926" s="3" t="n">
        <v>5.882091203085632</v>
      </c>
      <c r="DH926" s="3" t="n">
        <v>5.882091203085633</v>
      </c>
      <c r="DI926" s="3" t="n">
        <v>5.882091203085634</v>
      </c>
      <c r="DJ926" s="3" t="n">
        <v>5.882091203085633</v>
      </c>
      <c r="DK926" s="3" t="n">
        <v>5.882091203085633</v>
      </c>
      <c r="DL926" s="3" t="n">
        <v>5.882091203085633</v>
      </c>
      <c r="DM926" s="3" t="n">
        <v>5.882091203085634</v>
      </c>
      <c r="DN926" s="3" t="n">
        <v>5.882091203085634</v>
      </c>
      <c r="DO926" s="3" t="n">
        <v>5.882091203085634</v>
      </c>
    </row>
    <row r="927">
      <c r="A927" s="14" t="n"/>
      <c r="B927" s="3" t="inlineStr">
        <is>
          <t>mit</t>
        </is>
      </c>
      <c r="C927" s="19" t="n"/>
      <c r="H927" s="14" t="inlineStr">
        <is>
          <t>For gasoline mark-up</t>
        </is>
      </c>
      <c r="I927" s="14" t="inlineStr">
        <is>
          <t>usdpl</t>
        </is>
      </c>
    </row>
    <row r="928">
      <c r="A928" s="14" t="n"/>
      <c r="B928" s="3" t="inlineStr">
        <is>
          <t>mit</t>
        </is>
      </c>
      <c r="C928" s="19" t="n"/>
      <c r="H928" s="14" t="inlineStr">
        <is>
          <t>For diesel mark-up</t>
        </is>
      </c>
      <c r="I928" s="14" t="inlineStr">
        <is>
          <t>usdpl</t>
        </is>
      </c>
    </row>
    <row r="929">
      <c r="A929" s="14" t="n"/>
      <c r="B929" s="3" t="inlineStr">
        <is>
          <t>mit</t>
        </is>
      </c>
      <c r="C929" s="19" t="n"/>
      <c r="H929" s="14" t="inlineStr">
        <is>
          <t>For kerosene mark-up</t>
        </is>
      </c>
      <c r="I929" s="14" t="inlineStr">
        <is>
          <t>usdpl</t>
        </is>
      </c>
    </row>
    <row r="930">
      <c r="A930" s="14" t="n"/>
      <c r="B930" s="3" t="inlineStr">
        <is>
          <t>mit</t>
        </is>
      </c>
      <c r="C930" s="19" t="n"/>
      <c r="H930" s="14" t="inlineStr">
        <is>
          <t>For LPG mark-up</t>
        </is>
      </c>
      <c r="I930" s="14" t="inlineStr">
        <is>
          <t>usdpl</t>
        </is>
      </c>
    </row>
    <row r="931">
      <c r="A931" s="5" t="n"/>
      <c r="B931" s="18" t="inlineStr">
        <is>
          <t>Markups</t>
        </is>
      </c>
      <c r="C931" s="5" t="n"/>
      <c r="D931" s="5" t="n"/>
      <c r="E931" s="5" t="n"/>
      <c r="F931" s="5" t="n"/>
      <c r="G931" s="5" t="n"/>
      <c r="H931" s="5" t="n"/>
      <c r="I931" s="5" t="n"/>
      <c r="J931" s="5" t="n"/>
      <c r="K931" s="5" t="n"/>
      <c r="L931" s="5" t="n"/>
      <c r="M931" s="5" t="n"/>
      <c r="N931" s="5" t="n"/>
      <c r="O931" s="5" t="n"/>
      <c r="P931" s="5" t="n"/>
      <c r="Q931" s="5" t="n"/>
      <c r="R931" s="5" t="n"/>
      <c r="S931" s="5" t="n"/>
      <c r="T931" s="5" t="n"/>
      <c r="U931" s="5" t="n"/>
      <c r="V931" s="5" t="n"/>
      <c r="W931" s="5" t="n"/>
      <c r="X931" s="5" t="n"/>
      <c r="Y931" s="5" t="n"/>
      <c r="Z931" s="5" t="n"/>
      <c r="AA931" s="5" t="n"/>
      <c r="AB931" s="5" t="n"/>
      <c r="AC931" s="5" t="n"/>
      <c r="AD931" s="5" t="n"/>
      <c r="AE931" s="5" t="n"/>
      <c r="AF931" s="5" t="n"/>
      <c r="AG931" s="5" t="n"/>
      <c r="AH931" s="5" t="n"/>
      <c r="AI931" s="5" t="n"/>
      <c r="AJ931" s="5" t="n"/>
      <c r="AK931" s="5" t="n"/>
      <c r="AL931" s="5" t="n"/>
      <c r="AM931" s="5" t="n"/>
      <c r="AN931" s="5" t="n"/>
      <c r="AO931" s="5" t="n"/>
      <c r="AP931" s="5" t="n"/>
      <c r="AQ931" s="5" t="n"/>
      <c r="AR931" s="5" t="n"/>
      <c r="AS931" s="5" t="n"/>
      <c r="AT931" s="5" t="n"/>
      <c r="AU931" s="5" t="n"/>
      <c r="AV931" s="5" t="n"/>
      <c r="AW931" s="5" t="n"/>
      <c r="AX931" s="5" t="n"/>
      <c r="AY931" s="5" t="n"/>
      <c r="AZ931" s="5" t="n"/>
      <c r="BA931" s="5" t="n"/>
      <c r="BB931" s="5" t="n"/>
      <c r="BC931" s="5" t="n"/>
      <c r="BD931" s="5" t="n"/>
      <c r="BE931" s="5" t="n"/>
      <c r="BF931" s="5" t="n"/>
      <c r="BG931" s="5" t="n"/>
      <c r="BH931" s="5" t="n"/>
      <c r="BI931" s="5" t="n"/>
      <c r="BJ931" s="5" t="n"/>
      <c r="BK931" s="5" t="n"/>
      <c r="BL931" s="5" t="n"/>
      <c r="BM931" s="5" t="n"/>
      <c r="BN931" s="5" t="n"/>
      <c r="BO931" s="5" t="n"/>
      <c r="BP931" s="5" t="n"/>
      <c r="BQ931" s="5" t="n"/>
      <c r="BR931" s="5" t="n"/>
      <c r="BS931" s="5" t="n"/>
      <c r="BT931" s="5" t="n"/>
      <c r="BU931" s="5" t="n"/>
      <c r="BV931" s="5" t="n"/>
      <c r="BW931" s="5" t="n"/>
      <c r="BX931" s="5" t="n"/>
      <c r="BY931" s="5" t="n"/>
      <c r="BZ931" s="5" t="n"/>
      <c r="CA931" s="5" t="n"/>
      <c r="CB931" s="5" t="n"/>
      <c r="CC931" s="5" t="n"/>
      <c r="CD931" s="5" t="n"/>
      <c r="CE931" s="5" t="n"/>
      <c r="CF931" s="5" t="n"/>
      <c r="CG931" s="5" t="n"/>
      <c r="CH931" s="5" t="n"/>
      <c r="CI931" s="5" t="n"/>
      <c r="CJ931" s="5" t="n"/>
      <c r="CK931" s="5" t="n"/>
      <c r="CL931" s="5" t="n"/>
      <c r="CM931" s="5" t="n"/>
      <c r="CN931" s="5" t="n"/>
      <c r="CO931" s="5" t="n"/>
      <c r="CP931" s="5" t="n"/>
      <c r="CQ931" s="5" t="n"/>
      <c r="CR931" s="5" t="n"/>
      <c r="CS931" s="5" t="n"/>
      <c r="CT931" s="5" t="n"/>
      <c r="CU931" s="5" t="n"/>
      <c r="CV931" s="5" t="n"/>
      <c r="CW931" s="5" t="n"/>
      <c r="CX931" s="5" t="n"/>
      <c r="CY931" s="5" t="n"/>
      <c r="CZ931" s="5" t="n"/>
      <c r="DA931" s="5" t="n"/>
      <c r="DB931" s="5" t="n"/>
      <c r="DC931" s="5" t="n"/>
      <c r="DD931" s="5" t="n"/>
      <c r="DE931" s="5" t="n"/>
      <c r="DF931" s="5" t="n"/>
      <c r="DG931" s="5" t="n"/>
      <c r="DH931" s="5" t="n"/>
      <c r="DI931" s="5" t="n"/>
      <c r="DJ931" s="5" t="n"/>
      <c r="DK931" s="5" t="n"/>
      <c r="DL931" s="5" t="n"/>
      <c r="DM931" s="5" t="n"/>
      <c r="DN931" s="5" t="n"/>
      <c r="DO931" s="5" t="n"/>
      <c r="DP931" s="5" t="n"/>
      <c r="DQ931" s="5" t="n"/>
      <c r="DR931" s="5" t="n"/>
      <c r="DS931" s="5" t="n"/>
      <c r="DT931" s="5" t="n"/>
      <c r="DU931" s="5" t="n"/>
      <c r="DV931" s="5" t="n"/>
      <c r="DW931" s="5" t="n"/>
      <c r="DX931" s="5" t="n"/>
      <c r="DY931" s="5" t="n"/>
      <c r="DZ931" s="5" t="n"/>
      <c r="EA931" s="5" t="n"/>
      <c r="EB931" s="5" t="n"/>
      <c r="EC931" s="5" t="n"/>
      <c r="ED931" s="5" t="n"/>
      <c r="EE931" s="5" t="n"/>
      <c r="EF931" s="5" t="n"/>
      <c r="EG931" s="5" t="n"/>
      <c r="EH931" s="5" t="n"/>
      <c r="EI931" s="5" t="n"/>
      <c r="EJ931" s="5" t="n"/>
      <c r="EK931" s="5" t="n"/>
      <c r="EL931" s="5" t="n"/>
      <c r="EM931" s="5" t="n"/>
      <c r="EN931" s="5" t="n"/>
      <c r="EO931" s="5" t="n"/>
      <c r="EP931" s="5" t="n"/>
      <c r="EQ931" s="5" t="n"/>
      <c r="ER931" s="5" t="n"/>
      <c r="ES931" s="5" t="n"/>
      <c r="ET931" s="5" t="n"/>
      <c r="EU931" s="5" t="n"/>
      <c r="EV931" s="5" t="n"/>
      <c r="EW931" s="5" t="n"/>
      <c r="EX931" s="5" t="n"/>
      <c r="EY931" s="5" t="n"/>
      <c r="EZ931" s="5" t="n"/>
      <c r="FA931" s="5" t="n"/>
      <c r="FB931" s="5" t="n"/>
      <c r="FC931" s="5" t="n"/>
      <c r="FD931" s="5" t="n"/>
      <c r="FE931" s="5" t="n"/>
      <c r="FF931" s="5" t="n"/>
      <c r="FG931" s="5" t="n"/>
      <c r="FH931" s="5" t="n"/>
      <c r="FI931" s="5" t="n"/>
      <c r="FJ931" s="5" t="n"/>
      <c r="FK931" s="5" t="n"/>
      <c r="FL931" s="5" t="n"/>
      <c r="FM931" s="5" t="n"/>
      <c r="FN931" s="5" t="n"/>
      <c r="FO931" s="5" t="n"/>
      <c r="FP931" s="5" t="n"/>
      <c r="FQ931" s="5" t="n"/>
      <c r="FR931" s="5" t="n"/>
      <c r="FS931" s="5" t="n"/>
      <c r="FT931" s="5" t="n"/>
      <c r="FU931" s="5" t="n"/>
      <c r="FV931" s="5" t="n"/>
      <c r="FW931" s="5" t="n"/>
      <c r="FX931" s="5" t="n"/>
      <c r="FY931" s="5" t="n"/>
      <c r="FZ931" s="5" t="n"/>
      <c r="GA931" s="5" t="n"/>
      <c r="GB931" s="5" t="n"/>
      <c r="GC931" s="5" t="n"/>
      <c r="GD931" s="5" t="n"/>
      <c r="GE931" s="5" t="n"/>
      <c r="GF931" s="5" t="n"/>
      <c r="GG931" s="5" t="n"/>
      <c r="GH931" s="5" t="n"/>
      <c r="GI931" s="5" t="n"/>
      <c r="GJ931" s="5" t="n"/>
      <c r="GK931" s="5" t="n"/>
      <c r="GL931" s="5" t="n"/>
      <c r="GM931" s="5" t="n"/>
      <c r="GN931" s="5" t="n"/>
      <c r="GO931" s="5" t="n"/>
      <c r="GP931" s="5" t="n"/>
      <c r="GQ931" s="5" t="n"/>
      <c r="GR931" s="5" t="n"/>
      <c r="GS931" s="5" t="n"/>
      <c r="GT931" s="5" t="n"/>
      <c r="GU931" s="5" t="n"/>
      <c r="GV931" s="5" t="n"/>
      <c r="GW931" s="5" t="n"/>
      <c r="GX931" s="5" t="n"/>
      <c r="GY931" s="5" t="n"/>
      <c r="GZ931" s="5" t="n"/>
      <c r="HA931" s="5" t="n"/>
      <c r="HB931" s="5" t="n"/>
      <c r="HC931" s="5" t="n"/>
      <c r="HD931" s="5" t="n"/>
      <c r="HE931" s="5" t="n"/>
      <c r="HF931" s="5" t="n"/>
      <c r="HG931" s="5" t="n"/>
      <c r="HH931" s="5" t="n"/>
      <c r="HI931" s="5" t="n"/>
      <c r="HJ931" s="5" t="n"/>
      <c r="HK931" s="5" t="n"/>
      <c r="HL931" s="5" t="n"/>
      <c r="HM931" s="5" t="n"/>
      <c r="HN931" s="5" t="n"/>
      <c r="HO931" s="5" t="n"/>
      <c r="HP931" s="5" t="n"/>
      <c r="HQ931" s="5" t="n"/>
      <c r="HR931" s="5" t="n"/>
      <c r="HS931" s="5" t="n"/>
      <c r="HT931" s="5" t="n"/>
      <c r="HU931" s="5" t="n"/>
      <c r="HV931" s="5" t="n"/>
    </row>
    <row r="932">
      <c r="A932" s="14" t="n"/>
      <c r="B932" s="3" t="inlineStr">
        <is>
          <t>mit</t>
        </is>
      </c>
      <c r="C932" s="19" t="inlineStr">
        <is>
          <t>mit.mu1.coa.res</t>
        </is>
      </c>
      <c r="H932" s="14" t="inlineStr">
        <is>
          <t>Markup1 (global price to Retail price) coa - pow</t>
        </is>
      </c>
      <c r="I932" s="14" t="inlineStr"/>
    </row>
    <row r="933">
      <c r="A933" s="14" t="n"/>
      <c r="B933" s="3" t="inlineStr">
        <is>
          <t>mit</t>
        </is>
      </c>
      <c r="C933" s="19" t="inlineStr">
        <is>
          <t>mit.mu1.coa.ind</t>
        </is>
      </c>
      <c r="H933" s="14" t="inlineStr">
        <is>
          <t>Markup1 (global price to Retail price) coa - res</t>
        </is>
      </c>
      <c r="I933" s="14" t="inlineStr"/>
    </row>
    <row r="934">
      <c r="A934" s="14" t="n"/>
      <c r="B934" s="3" t="inlineStr">
        <is>
          <t>mit</t>
        </is>
      </c>
      <c r="C934" s="19" t="inlineStr">
        <is>
          <t>mit.mu1.nga.pow</t>
        </is>
      </c>
      <c r="H934" s="14" t="inlineStr">
        <is>
          <t>Markup1 (global price to Retail price) coa - ind</t>
        </is>
      </c>
      <c r="I934" s="14" t="inlineStr"/>
    </row>
    <row r="935">
      <c r="A935" s="14" t="n"/>
      <c r="B935" s="3" t="inlineStr">
        <is>
          <t>mit</t>
        </is>
      </c>
      <c r="C935" s="19" t="inlineStr">
        <is>
          <t>mit.mu1.nga.res</t>
        </is>
      </c>
      <c r="H935" s="14" t="inlineStr">
        <is>
          <t>Markup1 (global price to Retail price) nga - pow</t>
        </is>
      </c>
      <c r="I935" s="14" t="inlineStr"/>
    </row>
    <row r="936">
      <c r="A936" s="14" t="n"/>
      <c r="B936" s="3" t="inlineStr">
        <is>
          <t>mit</t>
        </is>
      </c>
      <c r="C936" s="19" t="inlineStr">
        <is>
          <t>mit.mu1.nga.ind</t>
        </is>
      </c>
      <c r="H936" s="14" t="inlineStr">
        <is>
          <t>Markup1 (global price to Retail price) nga - res</t>
        </is>
      </c>
      <c r="I936" s="14" t="inlineStr"/>
    </row>
    <row r="937">
      <c r="A937" s="14" t="n"/>
      <c r="B937" s="3" t="inlineStr">
        <is>
          <t>mit</t>
        </is>
      </c>
      <c r="C937" s="19" t="inlineStr">
        <is>
          <t>mit.mu1.gso.all</t>
        </is>
      </c>
      <c r="H937" s="14" t="inlineStr">
        <is>
          <t>Markup1 (global price to Retail price) nga - ind</t>
        </is>
      </c>
      <c r="I937" s="14" t="inlineStr"/>
    </row>
    <row r="938">
      <c r="A938" s="14" t="n"/>
      <c r="B938" s="3" t="inlineStr">
        <is>
          <t>mit</t>
        </is>
      </c>
      <c r="C938" s="19" t="inlineStr">
        <is>
          <t>mit.mu1.die.all</t>
        </is>
      </c>
      <c r="H938" s="14" t="inlineStr">
        <is>
          <t>Markup1 (global price to Retail price) gso - all</t>
        </is>
      </c>
      <c r="I938" s="14" t="inlineStr"/>
    </row>
    <row r="939">
      <c r="A939" s="14" t="n"/>
      <c r="B939" s="3" t="inlineStr">
        <is>
          <t>mit</t>
        </is>
      </c>
      <c r="C939" s="19" t="inlineStr">
        <is>
          <t>mit.mu1.lpg.all</t>
        </is>
      </c>
      <c r="H939" s="14" t="inlineStr">
        <is>
          <t>Markup1 (global price to Retail price) die - all</t>
        </is>
      </c>
      <c r="I939" s="14" t="inlineStr"/>
    </row>
    <row r="940">
      <c r="A940" s="14" t="n"/>
      <c r="B940" s="3" t="inlineStr">
        <is>
          <t>mit</t>
        </is>
      </c>
      <c r="C940" s="19" t="inlineStr">
        <is>
          <t>mit.mu1.ker.all</t>
        </is>
      </c>
      <c r="H940" s="14" t="inlineStr">
        <is>
          <t>Markup1 (global price to Retail price) lpg - all</t>
        </is>
      </c>
      <c r="I940" s="14" t="inlineStr"/>
    </row>
    <row r="941">
      <c r="A941" s="14" t="n"/>
      <c r="B941" s="3" t="inlineStr">
        <is>
          <t>mit</t>
        </is>
      </c>
      <c r="C941" s="19" t="inlineStr">
        <is>
          <t>mit.mu1.oop.all</t>
        </is>
      </c>
      <c r="H941" s="14" t="inlineStr">
        <is>
          <t>Markup1 (global price to Retail price) ker - all</t>
        </is>
      </c>
      <c r="I941" s="14" t="inlineStr"/>
    </row>
    <row r="942">
      <c r="A942" s="14" t="n"/>
      <c r="B942" s="3" t="inlineStr">
        <is>
          <t>mit</t>
        </is>
      </c>
      <c r="C942" s="19" t="inlineStr">
        <is>
          <t>mit.mu1.bio.all</t>
        </is>
      </c>
      <c r="H942" s="14" t="inlineStr">
        <is>
          <t>Markup1 (global price to Retail price) oop - all</t>
        </is>
      </c>
      <c r="I942" s="14" t="inlineStr"/>
    </row>
    <row r="943">
      <c r="A943" s="14" t="n"/>
      <c r="B943" s="3" t="inlineStr">
        <is>
          <t>mit</t>
        </is>
      </c>
      <c r="C943" s="19" t="inlineStr">
        <is>
          <t>mit.mu2.coa.pow</t>
        </is>
      </c>
      <c r="H943" s="14" t="inlineStr">
        <is>
          <t>Markup1 (global price to Retail price) bio - all</t>
        </is>
      </c>
      <c r="I943" s="14" t="inlineStr"/>
    </row>
    <row r="944">
      <c r="A944" s="14" t="n"/>
      <c r="B944" s="3" t="inlineStr">
        <is>
          <t>mit</t>
        </is>
      </c>
      <c r="C944" s="19" t="inlineStr">
        <is>
          <t>mit.mu2.coa.res</t>
        </is>
      </c>
      <c r="H944" s="14" t="inlineStr">
        <is>
          <t>Markup2 (pretax to Retail Price) coa - res</t>
        </is>
      </c>
      <c r="I944" s="14" t="inlineStr"/>
    </row>
    <row r="945">
      <c r="A945" s="14" t="n"/>
      <c r="B945" s="3" t="inlineStr">
        <is>
          <t>mit</t>
        </is>
      </c>
      <c r="C945" s="19" t="inlineStr">
        <is>
          <t>mit.mu2.coa.ind</t>
        </is>
      </c>
      <c r="H945" s="14" t="inlineStr">
        <is>
          <t>Markup2 (pretax to Retail Price) coa - ind</t>
        </is>
      </c>
      <c r="I945" s="14" t="inlineStr"/>
    </row>
    <row r="946">
      <c r="A946" s="14" t="n"/>
      <c r="B946" s="3" t="inlineStr">
        <is>
          <t>mit</t>
        </is>
      </c>
      <c r="C946" s="19" t="inlineStr">
        <is>
          <t>mit.mu2.nga.pow</t>
        </is>
      </c>
      <c r="H946" s="14" t="inlineStr">
        <is>
          <t>Markup2 (pretax to Retail Price) nga - pow</t>
        </is>
      </c>
      <c r="I946" s="14" t="inlineStr"/>
    </row>
    <row r="947">
      <c r="A947" s="14" t="n"/>
      <c r="B947" s="3" t="inlineStr">
        <is>
          <t>mit</t>
        </is>
      </c>
      <c r="C947" s="19" t="inlineStr">
        <is>
          <t>mit.mu2.nga.res</t>
        </is>
      </c>
      <c r="H947" s="14" t="inlineStr">
        <is>
          <t>Markup2 (pretax to Retail Price) nga - res</t>
        </is>
      </c>
      <c r="I947" s="14" t="inlineStr"/>
    </row>
    <row r="948">
      <c r="A948" s="14" t="n"/>
      <c r="B948" s="3" t="inlineStr">
        <is>
          <t>mit</t>
        </is>
      </c>
      <c r="C948" s="19" t="inlineStr">
        <is>
          <t>mit.mu2.nga.ind</t>
        </is>
      </c>
      <c r="H948" s="14" t="inlineStr">
        <is>
          <t>Markup2 (pretax to Retail Price) nga - ind</t>
        </is>
      </c>
      <c r="I948" s="14" t="inlineStr"/>
    </row>
    <row r="949">
      <c r="A949" s="14" t="n"/>
      <c r="B949" s="3" t="inlineStr">
        <is>
          <t>mit</t>
        </is>
      </c>
      <c r="C949" s="19" t="inlineStr">
        <is>
          <t>mit.mu2.gso.all</t>
        </is>
      </c>
      <c r="H949" s="14" t="inlineStr">
        <is>
          <t>Markup2 (pretax to Retail Price) gso - all</t>
        </is>
      </c>
      <c r="I949" s="14" t="inlineStr"/>
    </row>
    <row r="950">
      <c r="A950" s="14" t="n"/>
      <c r="B950" s="3" t="inlineStr">
        <is>
          <t>mit</t>
        </is>
      </c>
      <c r="C950" s="19" t="inlineStr">
        <is>
          <t>mit.mu2.die.all</t>
        </is>
      </c>
      <c r="H950" s="14" t="inlineStr">
        <is>
          <t>Markup2 (pretax to Retail Price) die - all</t>
        </is>
      </c>
      <c r="I950" s="14" t="inlineStr"/>
    </row>
    <row r="951">
      <c r="A951" s="14" t="n"/>
      <c r="B951" s="3" t="inlineStr">
        <is>
          <t>mit</t>
        </is>
      </c>
      <c r="C951" s="19" t="inlineStr">
        <is>
          <t>mit.mu2.lpg.all</t>
        </is>
      </c>
      <c r="H951" s="14" t="inlineStr">
        <is>
          <t>Markup2 (pretax to Retail Price) lpg - all</t>
        </is>
      </c>
      <c r="I951" s="14" t="inlineStr"/>
    </row>
    <row r="952">
      <c r="A952" s="14" t="n"/>
      <c r="B952" s="3" t="inlineStr">
        <is>
          <t>mit</t>
        </is>
      </c>
      <c r="C952" s="19" t="inlineStr">
        <is>
          <t>mit.mu2.ker.all</t>
        </is>
      </c>
      <c r="H952" s="14" t="inlineStr">
        <is>
          <t>Markup2 (pretax to Retail Price) ker - all</t>
        </is>
      </c>
      <c r="I952" s="14" t="inlineStr"/>
    </row>
    <row r="953">
      <c r="A953" s="14" t="n"/>
      <c r="B953" s="3" t="inlineStr">
        <is>
          <t>mit</t>
        </is>
      </c>
      <c r="C953" s="19" t="inlineStr">
        <is>
          <t>mit.mu2.oop.all</t>
        </is>
      </c>
      <c r="H953" s="14" t="inlineStr">
        <is>
          <t>Markup2 (pretax to Retail Price) oop - all</t>
        </is>
      </c>
      <c r="I953" s="14" t="inlineStr"/>
    </row>
    <row r="954">
      <c r="A954" s="14" t="n"/>
      <c r="B954" s="3" t="inlineStr">
        <is>
          <t>mit</t>
        </is>
      </c>
      <c r="C954" s="19" t="inlineStr">
        <is>
          <t>mit.mu2.bio.all</t>
        </is>
      </c>
      <c r="H954" s="14" t="inlineStr">
        <is>
          <t>Markup2 (pretax to Retail Price) bio - all</t>
        </is>
      </c>
      <c r="I954" s="14" t="inlineStr"/>
    </row>
    <row r="955">
      <c r="A955" s="19" t="inlineStr">
        <is>
          <t>mit.sp.pow.coa</t>
        </is>
      </c>
      <c r="B955" s="3" t="inlineStr">
        <is>
          <t>mit</t>
        </is>
      </c>
      <c r="C955" s="19" t="inlineStr">
        <is>
          <t>mit.sp.coa.pow</t>
        </is>
      </c>
      <c r="H955" s="3" t="inlineStr">
        <is>
          <t>Supply cost (pre-tax price) | Power | Coal</t>
        </is>
      </c>
      <c r="I955" s="3" t="inlineStr">
        <is>
          <t>USD/GJ real</t>
        </is>
      </c>
      <c r="K955" s="20" t="inlineStr">
        <is>
          <t>egy.mit.sp.pow.coa.1</t>
        </is>
      </c>
      <c r="L955" s="3" t="n">
        <v>13.46421248673108</v>
      </c>
      <c r="M955" s="3" t="n">
        <v>6.58847527233409</v>
      </c>
      <c r="N955" s="3" t="n">
        <v>5.8065680582894</v>
      </c>
      <c r="O955" s="3" t="n">
        <v>4.753248660508235</v>
      </c>
      <c r="P955" s="3" t="n">
        <v>5.333622207074439</v>
      </c>
      <c r="Q955" s="3" t="n">
        <v>5.464539844255792</v>
      </c>
      <c r="R955" s="3" t="n">
        <v>5.402463620677809</v>
      </c>
      <c r="S955" s="3" t="n">
        <v>5.335894303959473</v>
      </c>
      <c r="T955" s="3" t="n">
        <v>5.264647833458736</v>
      </c>
      <c r="U955" s="3" t="n">
        <v>5.195892089564461</v>
      </c>
      <c r="V955" s="3" t="n">
        <v>5.195892089564461</v>
      </c>
      <c r="W955" s="3" t="n">
        <v>5.195892089564461</v>
      </c>
      <c r="X955" s="3" t="n">
        <v>5.195892089564463</v>
      </c>
      <c r="Y955" s="3" t="n">
        <v>5.195892089564463</v>
      </c>
      <c r="Z955" s="3" t="n">
        <v>5.195892089564463</v>
      </c>
      <c r="AA955" s="3" t="n">
        <v>5.195892089564462</v>
      </c>
      <c r="AB955" s="3" t="n">
        <v>5.195892089564462</v>
      </c>
      <c r="AC955" s="3" t="n">
        <v>5.195892089564463</v>
      </c>
      <c r="AD955" s="3" t="n">
        <v>5.195892089564463</v>
      </c>
      <c r="AE955" s="3" t="n">
        <v>5.195892089564463</v>
      </c>
      <c r="AG955" s="20" t="inlineStr">
        <is>
          <t>egy.mit.sp.pow.coa.3</t>
        </is>
      </c>
      <c r="AH955" s="3" t="n">
        <v>13.46421248673108</v>
      </c>
      <c r="AI955" s="3" t="n">
        <v>6.58847527233409</v>
      </c>
      <c r="AJ955" s="3" t="n">
        <v>5.8065680582894</v>
      </c>
      <c r="AK955" s="3" t="n">
        <v>4.753248660508235</v>
      </c>
      <c r="AL955" s="3" t="n">
        <v>5.333622207074439</v>
      </c>
      <c r="AM955" s="3" t="n">
        <v>5.464539844255792</v>
      </c>
      <c r="AN955" s="3" t="n">
        <v>5.402463620677809</v>
      </c>
      <c r="AO955" s="3" t="n">
        <v>5.335894303959473</v>
      </c>
      <c r="AP955" s="3" t="n">
        <v>5.264647833458736</v>
      </c>
      <c r="AQ955" s="3" t="n">
        <v>5.195892089564461</v>
      </c>
      <c r="AR955" s="3" t="n">
        <v>5.195892089564461</v>
      </c>
      <c r="AS955" s="3" t="n">
        <v>5.195892089564461</v>
      </c>
      <c r="AT955" s="3" t="n">
        <v>5.195892089564463</v>
      </c>
      <c r="AU955" s="3" t="n">
        <v>5.195892089564463</v>
      </c>
      <c r="AV955" s="3" t="n">
        <v>5.195892089564463</v>
      </c>
      <c r="AW955" s="3" t="n">
        <v>5.195892089564462</v>
      </c>
      <c r="AX955" s="3" t="n">
        <v>5.195892089564462</v>
      </c>
      <c r="AY955" s="3" t="n">
        <v>5.195892089564463</v>
      </c>
      <c r="AZ955" s="3" t="n">
        <v>5.195892089564463</v>
      </c>
      <c r="BA955" s="3" t="n">
        <v>5.195892089564463</v>
      </c>
      <c r="BC955" s="20" t="inlineStr">
        <is>
          <t>egy.mit.sp.pow.coa.4</t>
        </is>
      </c>
      <c r="BD955" s="3" t="n">
        <v>13.46421248673108</v>
      </c>
      <c r="BE955" s="3" t="n">
        <v>6.58847527233409</v>
      </c>
      <c r="BF955" s="3" t="n">
        <v>5.8065680582894</v>
      </c>
      <c r="BG955" s="3" t="n">
        <v>4.753248660508235</v>
      </c>
      <c r="BH955" s="3" t="n">
        <v>5.333622207074439</v>
      </c>
      <c r="BI955" s="3" t="n">
        <v>5.464539844255792</v>
      </c>
      <c r="BJ955" s="3" t="n">
        <v>5.402463620677809</v>
      </c>
      <c r="BK955" s="3" t="n">
        <v>5.335894303959473</v>
      </c>
      <c r="BL955" s="3" t="n">
        <v>5.264647833458736</v>
      </c>
      <c r="BM955" s="3" t="n">
        <v>5.195892089564461</v>
      </c>
      <c r="BN955" s="3" t="n">
        <v>5.195892089564461</v>
      </c>
      <c r="BO955" s="3" t="n">
        <v>5.195892089564461</v>
      </c>
      <c r="BP955" s="3" t="n">
        <v>5.195892089564463</v>
      </c>
      <c r="BQ955" s="3" t="n">
        <v>5.195892089564463</v>
      </c>
      <c r="BR955" s="3" t="n">
        <v>5.195892089564463</v>
      </c>
      <c r="BS955" s="3" t="n">
        <v>5.195892089564462</v>
      </c>
      <c r="BT955" s="3" t="n">
        <v>5.195892089564462</v>
      </c>
      <c r="BU955" s="3" t="n">
        <v>5.195892089564463</v>
      </c>
      <c r="BV955" s="3" t="n">
        <v>5.195892089564463</v>
      </c>
      <c r="BW955" s="3" t="n">
        <v>5.195892089564463</v>
      </c>
      <c r="BY955" s="20" t="inlineStr">
        <is>
          <t>egy.mit.sp.pow.coa.5</t>
        </is>
      </c>
      <c r="BZ955" s="3" t="n">
        <v>13.46421248673108</v>
      </c>
      <c r="CA955" s="3" t="n">
        <v>6.58847527233409</v>
      </c>
      <c r="CB955" s="3" t="n">
        <v>5.8065680582894</v>
      </c>
      <c r="CC955" s="3" t="n">
        <v>4.753248660508235</v>
      </c>
      <c r="CD955" s="3" t="n">
        <v>5.333622207074439</v>
      </c>
      <c r="CE955" s="3" t="n">
        <v>5.464539844255792</v>
      </c>
      <c r="CF955" s="3" t="n">
        <v>5.402463620677809</v>
      </c>
      <c r="CG955" s="3" t="n">
        <v>5.335894303959473</v>
      </c>
      <c r="CH955" s="3" t="n">
        <v>5.264647833458736</v>
      </c>
      <c r="CI955" s="3" t="n">
        <v>5.195892089564461</v>
      </c>
      <c r="CJ955" s="3" t="n">
        <v>5.195892089564461</v>
      </c>
      <c r="CK955" s="3" t="n">
        <v>5.195892089564461</v>
      </c>
      <c r="CL955" s="3" t="n">
        <v>5.195892089564463</v>
      </c>
      <c r="CM955" s="3" t="n">
        <v>5.195892089564463</v>
      </c>
      <c r="CN955" s="3" t="n">
        <v>5.195892089564463</v>
      </c>
      <c r="CO955" s="3" t="n">
        <v>5.195892089564462</v>
      </c>
      <c r="CP955" s="3" t="n">
        <v>5.195892089564462</v>
      </c>
      <c r="CQ955" s="3" t="n">
        <v>5.195892089564463</v>
      </c>
      <c r="CR955" s="3" t="n">
        <v>5.195892089564463</v>
      </c>
      <c r="CS955" s="3" t="n">
        <v>5.195892089564463</v>
      </c>
      <c r="CU955" s="20" t="inlineStr">
        <is>
          <t>egy.mit.sp.pow.coa.6</t>
        </is>
      </c>
      <c r="CV955" s="3" t="n">
        <v>13.46421248673108</v>
      </c>
      <c r="CW955" s="3" t="n">
        <v>6.58847527233409</v>
      </c>
      <c r="CX955" s="3" t="n">
        <v>5.8065680582894</v>
      </c>
      <c r="CY955" s="3" t="n">
        <v>4.753248660508235</v>
      </c>
      <c r="CZ955" s="3" t="n">
        <v>5.333622207074439</v>
      </c>
      <c r="DA955" s="3" t="n">
        <v>5.464539844255792</v>
      </c>
      <c r="DB955" s="3" t="n">
        <v>5.402463620677809</v>
      </c>
      <c r="DC955" s="3" t="n">
        <v>5.335894303959473</v>
      </c>
      <c r="DD955" s="3" t="n">
        <v>5.264647833458736</v>
      </c>
      <c r="DE955" s="3" t="n">
        <v>5.195892089564461</v>
      </c>
      <c r="DF955" s="3" t="n">
        <v>5.195892089564461</v>
      </c>
      <c r="DG955" s="3" t="n">
        <v>5.195892089564461</v>
      </c>
      <c r="DH955" s="3" t="n">
        <v>5.195892089564463</v>
      </c>
      <c r="DI955" s="3" t="n">
        <v>5.195892089564463</v>
      </c>
      <c r="DJ955" s="3" t="n">
        <v>5.195892089564463</v>
      </c>
      <c r="DK955" s="3" t="n">
        <v>5.195892089564462</v>
      </c>
      <c r="DL955" s="3" t="n">
        <v>5.195892089564462</v>
      </c>
      <c r="DM955" s="3" t="n">
        <v>5.195892089564463</v>
      </c>
      <c r="DN955" s="3" t="n">
        <v>5.195892089564463</v>
      </c>
      <c r="DO955" s="3" t="n">
        <v>5.195892089564463</v>
      </c>
    </row>
    <row r="956">
      <c r="A956" s="19" t="inlineStr">
        <is>
          <t>mit.sp.res.coa</t>
        </is>
      </c>
      <c r="B956" s="3" t="inlineStr">
        <is>
          <t>mit</t>
        </is>
      </c>
      <c r="C956" s="19" t="inlineStr">
        <is>
          <t>mit.sp.coa.res</t>
        </is>
      </c>
      <c r="H956" s="3" t="inlineStr">
        <is>
          <t>Supply cost (pre-tax price) | Residential | Coal</t>
        </is>
      </c>
      <c r="I956" s="3" t="inlineStr">
        <is>
          <t>USD/GJ real</t>
        </is>
      </c>
      <c r="K956" s="20" t="inlineStr">
        <is>
          <t>egy.mit.sp.res.coa.1</t>
        </is>
      </c>
      <c r="L956" s="3" t="n">
        <v>20.50262749770246</v>
      </c>
      <c r="M956" s="3" t="n">
        <v>13.36427843484486</v>
      </c>
      <c r="N956" s="3" t="n">
        <v>12.70156580181755</v>
      </c>
      <c r="O956" s="3" t="n">
        <v>11.6577166486213</v>
      </c>
      <c r="P956" s="3" t="n">
        <v>12.23287213934597</v>
      </c>
      <c r="Q956" s="3" t="n">
        <v>12.36261271470998</v>
      </c>
      <c r="R956" s="3" t="n">
        <v>12.301094609611</v>
      </c>
      <c r="S956" s="3" t="n">
        <v>12.23512380813173</v>
      </c>
      <c r="T956" s="3" t="n">
        <v>12.16451790449312</v>
      </c>
      <c r="U956" s="3" t="n">
        <v>12.09638033369303</v>
      </c>
      <c r="V956" s="3" t="n">
        <v>12.09638033369303</v>
      </c>
      <c r="W956" s="3" t="n">
        <v>12.09638033369303</v>
      </c>
      <c r="X956" s="3" t="n">
        <v>12.09638033369304</v>
      </c>
      <c r="Y956" s="3" t="n">
        <v>12.09638033369304</v>
      </c>
      <c r="Z956" s="3" t="n">
        <v>12.09638033369304</v>
      </c>
      <c r="AA956" s="3" t="n">
        <v>12.09638033369303</v>
      </c>
      <c r="AB956" s="3" t="n">
        <v>12.09638033369303</v>
      </c>
      <c r="AC956" s="3" t="n">
        <v>12.09638033369303</v>
      </c>
      <c r="AD956" s="3" t="n">
        <v>12.09638033369303</v>
      </c>
      <c r="AE956" s="3" t="n">
        <v>12.09638033369303</v>
      </c>
      <c r="AG956" s="20" t="inlineStr">
        <is>
          <t>egy.mit.sp.res.coa.3</t>
        </is>
      </c>
      <c r="AH956" s="3" t="n">
        <v>20.50262749770246</v>
      </c>
      <c r="AI956" s="3" t="n">
        <v>13.36427843484486</v>
      </c>
      <c r="AJ956" s="3" t="n">
        <v>12.70156580181755</v>
      </c>
      <c r="AK956" s="3" t="n">
        <v>11.6577166486213</v>
      </c>
      <c r="AL956" s="3" t="n">
        <v>12.23287213934597</v>
      </c>
      <c r="AM956" s="3" t="n">
        <v>12.36261271470998</v>
      </c>
      <c r="AN956" s="3" t="n">
        <v>12.301094609611</v>
      </c>
      <c r="AO956" s="3" t="n">
        <v>12.23512380813173</v>
      </c>
      <c r="AP956" s="3" t="n">
        <v>12.16451790449312</v>
      </c>
      <c r="AQ956" s="3" t="n">
        <v>12.09638033369303</v>
      </c>
      <c r="AR956" s="3" t="n">
        <v>12.09638033369303</v>
      </c>
      <c r="AS956" s="3" t="n">
        <v>12.09638033369303</v>
      </c>
      <c r="AT956" s="3" t="n">
        <v>12.09638033369304</v>
      </c>
      <c r="AU956" s="3" t="n">
        <v>12.09638033369304</v>
      </c>
      <c r="AV956" s="3" t="n">
        <v>12.09638033369304</v>
      </c>
      <c r="AW956" s="3" t="n">
        <v>12.09638033369303</v>
      </c>
      <c r="AX956" s="3" t="n">
        <v>12.09638033369303</v>
      </c>
      <c r="AY956" s="3" t="n">
        <v>12.09638033369303</v>
      </c>
      <c r="AZ956" s="3" t="n">
        <v>12.09638033369303</v>
      </c>
      <c r="BA956" s="3" t="n">
        <v>12.09638033369303</v>
      </c>
      <c r="BC956" s="20" t="inlineStr">
        <is>
          <t>egy.mit.sp.res.coa.4</t>
        </is>
      </c>
      <c r="BD956" s="3" t="n">
        <v>20.50262749770246</v>
      </c>
      <c r="BE956" s="3" t="n">
        <v>13.36427843484486</v>
      </c>
      <c r="BF956" s="3" t="n">
        <v>12.70156580181755</v>
      </c>
      <c r="BG956" s="3" t="n">
        <v>11.6577166486213</v>
      </c>
      <c r="BH956" s="3" t="n">
        <v>12.23287213934597</v>
      </c>
      <c r="BI956" s="3" t="n">
        <v>12.36261271470998</v>
      </c>
      <c r="BJ956" s="3" t="n">
        <v>12.301094609611</v>
      </c>
      <c r="BK956" s="3" t="n">
        <v>12.23512380813173</v>
      </c>
      <c r="BL956" s="3" t="n">
        <v>12.16451790449312</v>
      </c>
      <c r="BM956" s="3" t="n">
        <v>12.09638033369303</v>
      </c>
      <c r="BN956" s="3" t="n">
        <v>12.09638033369303</v>
      </c>
      <c r="BO956" s="3" t="n">
        <v>12.09638033369303</v>
      </c>
      <c r="BP956" s="3" t="n">
        <v>12.09638033369304</v>
      </c>
      <c r="BQ956" s="3" t="n">
        <v>12.09638033369304</v>
      </c>
      <c r="BR956" s="3" t="n">
        <v>12.09638033369304</v>
      </c>
      <c r="BS956" s="3" t="n">
        <v>12.09638033369303</v>
      </c>
      <c r="BT956" s="3" t="n">
        <v>12.09638033369303</v>
      </c>
      <c r="BU956" s="3" t="n">
        <v>12.09638033369303</v>
      </c>
      <c r="BV956" s="3" t="n">
        <v>12.09638033369303</v>
      </c>
      <c r="BW956" s="3" t="n">
        <v>12.09638033369303</v>
      </c>
      <c r="BY956" s="20" t="inlineStr">
        <is>
          <t>egy.mit.sp.res.coa.5</t>
        </is>
      </c>
      <c r="BZ956" s="3" t="n">
        <v>20.50262749770246</v>
      </c>
      <c r="CA956" s="3" t="n">
        <v>13.36427843484486</v>
      </c>
      <c r="CB956" s="3" t="n">
        <v>12.70156580181755</v>
      </c>
      <c r="CC956" s="3" t="n">
        <v>11.6577166486213</v>
      </c>
      <c r="CD956" s="3" t="n">
        <v>12.23287213934597</v>
      </c>
      <c r="CE956" s="3" t="n">
        <v>12.36261271470998</v>
      </c>
      <c r="CF956" s="3" t="n">
        <v>12.301094609611</v>
      </c>
      <c r="CG956" s="3" t="n">
        <v>12.23512380813173</v>
      </c>
      <c r="CH956" s="3" t="n">
        <v>12.16451790449312</v>
      </c>
      <c r="CI956" s="3" t="n">
        <v>12.09638033369303</v>
      </c>
      <c r="CJ956" s="3" t="n">
        <v>12.09638033369303</v>
      </c>
      <c r="CK956" s="3" t="n">
        <v>12.09638033369303</v>
      </c>
      <c r="CL956" s="3" t="n">
        <v>12.09638033369304</v>
      </c>
      <c r="CM956" s="3" t="n">
        <v>12.09638033369304</v>
      </c>
      <c r="CN956" s="3" t="n">
        <v>12.09638033369304</v>
      </c>
      <c r="CO956" s="3" t="n">
        <v>12.09638033369303</v>
      </c>
      <c r="CP956" s="3" t="n">
        <v>12.09638033369303</v>
      </c>
      <c r="CQ956" s="3" t="n">
        <v>12.09638033369303</v>
      </c>
      <c r="CR956" s="3" t="n">
        <v>12.09638033369303</v>
      </c>
      <c r="CS956" s="3" t="n">
        <v>12.09638033369303</v>
      </c>
      <c r="CU956" s="20" t="inlineStr">
        <is>
          <t>egy.mit.sp.res.coa.6</t>
        </is>
      </c>
      <c r="CV956" s="3" t="n">
        <v>20.50262749770246</v>
      </c>
      <c r="CW956" s="3" t="n">
        <v>13.36427843484486</v>
      </c>
      <c r="CX956" s="3" t="n">
        <v>12.70156580181755</v>
      </c>
      <c r="CY956" s="3" t="n">
        <v>11.6577166486213</v>
      </c>
      <c r="CZ956" s="3" t="n">
        <v>12.23287213934597</v>
      </c>
      <c r="DA956" s="3" t="n">
        <v>12.36261271470998</v>
      </c>
      <c r="DB956" s="3" t="n">
        <v>12.301094609611</v>
      </c>
      <c r="DC956" s="3" t="n">
        <v>12.23512380813173</v>
      </c>
      <c r="DD956" s="3" t="n">
        <v>12.16451790449312</v>
      </c>
      <c r="DE956" s="3" t="n">
        <v>12.09638033369303</v>
      </c>
      <c r="DF956" s="3" t="n">
        <v>12.09638033369303</v>
      </c>
      <c r="DG956" s="3" t="n">
        <v>12.09638033369303</v>
      </c>
      <c r="DH956" s="3" t="n">
        <v>12.09638033369304</v>
      </c>
      <c r="DI956" s="3" t="n">
        <v>12.09638033369304</v>
      </c>
      <c r="DJ956" s="3" t="n">
        <v>12.09638033369304</v>
      </c>
      <c r="DK956" s="3" t="n">
        <v>12.09638033369303</v>
      </c>
      <c r="DL956" s="3" t="n">
        <v>12.09638033369303</v>
      </c>
      <c r="DM956" s="3" t="n">
        <v>12.09638033369303</v>
      </c>
      <c r="DN956" s="3" t="n">
        <v>12.09638033369303</v>
      </c>
      <c r="DO956" s="3" t="n">
        <v>12.09638033369303</v>
      </c>
    </row>
    <row r="957">
      <c r="A957" s="19" t="inlineStr">
        <is>
          <t>mit.sp.ind.coa</t>
        </is>
      </c>
      <c r="B957" s="3" t="inlineStr">
        <is>
          <t>mit</t>
        </is>
      </c>
      <c r="C957" s="19" t="inlineStr">
        <is>
          <t>mit.sp.coa.ind</t>
        </is>
      </c>
      <c r="H957" s="3" t="inlineStr">
        <is>
          <t>Supply cost (pre-tax price) | Industry | Coal</t>
        </is>
      </c>
      <c r="I957" s="3" t="inlineStr">
        <is>
          <t>USD/GJ real</t>
        </is>
      </c>
      <c r="K957" s="20" t="inlineStr">
        <is>
          <t>egy.mit.sp.ind.coa.1</t>
        </is>
      </c>
      <c r="L957" s="3" t="n">
        <v>10.90003858207016</v>
      </c>
      <c r="M957" s="3" t="n">
        <v>8.560471180849413</v>
      </c>
      <c r="N957" s="3" t="n">
        <v>7.405135996043854</v>
      </c>
      <c r="O957" s="3" t="n">
        <v>6.649809078673261</v>
      </c>
      <c r="P957" s="3" t="n">
        <v>7.065990308008567</v>
      </c>
      <c r="Q957" s="3" t="n">
        <v>7.159870298759651</v>
      </c>
      <c r="R957" s="3" t="n">
        <v>7.11535593521908</v>
      </c>
      <c r="S957" s="3" t="n">
        <v>7.067619610516197</v>
      </c>
      <c r="T957" s="3" t="n">
        <v>7.016529336236413</v>
      </c>
      <c r="U957" s="3" t="n">
        <v>6.967225142089241</v>
      </c>
      <c r="V957" s="3" t="n">
        <v>6.967225142089241</v>
      </c>
      <c r="W957" s="3" t="n">
        <v>6.967225142089241</v>
      </c>
      <c r="X957" s="3" t="n">
        <v>6.967225142089242</v>
      </c>
      <c r="Y957" s="3" t="n">
        <v>6.967225142089242</v>
      </c>
      <c r="Z957" s="3" t="n">
        <v>6.967225142089242</v>
      </c>
      <c r="AA957" s="3" t="n">
        <v>6.967225142089241</v>
      </c>
      <c r="AB957" s="3" t="n">
        <v>6.967225142089241</v>
      </c>
      <c r="AC957" s="3" t="n">
        <v>6.967225142089241</v>
      </c>
      <c r="AD957" s="3" t="n">
        <v>6.967225142089241</v>
      </c>
      <c r="AE957" s="3" t="n">
        <v>6.967225142089241</v>
      </c>
      <c r="AG957" s="20" t="inlineStr">
        <is>
          <t>egy.mit.sp.ind.coa.3</t>
        </is>
      </c>
      <c r="AH957" s="3" t="n">
        <v>10.90003858207016</v>
      </c>
      <c r="AI957" s="3" t="n">
        <v>8.560471180849413</v>
      </c>
      <c r="AJ957" s="3" t="n">
        <v>7.405135996043854</v>
      </c>
      <c r="AK957" s="3" t="n">
        <v>6.649809078673261</v>
      </c>
      <c r="AL957" s="3" t="n">
        <v>7.065990308008567</v>
      </c>
      <c r="AM957" s="3" t="n">
        <v>7.159870298759651</v>
      </c>
      <c r="AN957" s="3" t="n">
        <v>7.11535593521908</v>
      </c>
      <c r="AO957" s="3" t="n">
        <v>7.067619610516197</v>
      </c>
      <c r="AP957" s="3" t="n">
        <v>7.016529336236413</v>
      </c>
      <c r="AQ957" s="3" t="n">
        <v>6.967225142089241</v>
      </c>
      <c r="AR957" s="3" t="n">
        <v>6.967225142089241</v>
      </c>
      <c r="AS957" s="3" t="n">
        <v>6.967225142089241</v>
      </c>
      <c r="AT957" s="3" t="n">
        <v>6.967225142089242</v>
      </c>
      <c r="AU957" s="3" t="n">
        <v>6.967225142089242</v>
      </c>
      <c r="AV957" s="3" t="n">
        <v>6.967225142089242</v>
      </c>
      <c r="AW957" s="3" t="n">
        <v>6.967225142089241</v>
      </c>
      <c r="AX957" s="3" t="n">
        <v>6.967225142089241</v>
      </c>
      <c r="AY957" s="3" t="n">
        <v>6.967225142089241</v>
      </c>
      <c r="AZ957" s="3" t="n">
        <v>6.967225142089241</v>
      </c>
      <c r="BA957" s="3" t="n">
        <v>6.967225142089241</v>
      </c>
      <c r="BC957" s="20" t="inlineStr">
        <is>
          <t>egy.mit.sp.ind.coa.4</t>
        </is>
      </c>
      <c r="BD957" s="3" t="n">
        <v>10.90003858207016</v>
      </c>
      <c r="BE957" s="3" t="n">
        <v>8.560471180849413</v>
      </c>
      <c r="BF957" s="3" t="n">
        <v>7.405135996043854</v>
      </c>
      <c r="BG957" s="3" t="n">
        <v>6.649809078673261</v>
      </c>
      <c r="BH957" s="3" t="n">
        <v>7.065990308008567</v>
      </c>
      <c r="BI957" s="3" t="n">
        <v>7.159870298759651</v>
      </c>
      <c r="BJ957" s="3" t="n">
        <v>7.11535593521908</v>
      </c>
      <c r="BK957" s="3" t="n">
        <v>7.067619610516197</v>
      </c>
      <c r="BL957" s="3" t="n">
        <v>7.016529336236413</v>
      </c>
      <c r="BM957" s="3" t="n">
        <v>6.967225142089241</v>
      </c>
      <c r="BN957" s="3" t="n">
        <v>6.967225142089241</v>
      </c>
      <c r="BO957" s="3" t="n">
        <v>6.967225142089241</v>
      </c>
      <c r="BP957" s="3" t="n">
        <v>6.967225142089242</v>
      </c>
      <c r="BQ957" s="3" t="n">
        <v>6.967225142089242</v>
      </c>
      <c r="BR957" s="3" t="n">
        <v>6.967225142089242</v>
      </c>
      <c r="BS957" s="3" t="n">
        <v>6.967225142089241</v>
      </c>
      <c r="BT957" s="3" t="n">
        <v>6.967225142089241</v>
      </c>
      <c r="BU957" s="3" t="n">
        <v>6.967225142089241</v>
      </c>
      <c r="BV957" s="3" t="n">
        <v>6.967225142089241</v>
      </c>
      <c r="BW957" s="3" t="n">
        <v>6.967225142089241</v>
      </c>
      <c r="BY957" s="20" t="inlineStr">
        <is>
          <t>egy.mit.sp.ind.coa.5</t>
        </is>
      </c>
      <c r="BZ957" s="3" t="n">
        <v>10.90003858207016</v>
      </c>
      <c r="CA957" s="3" t="n">
        <v>8.560471180849413</v>
      </c>
      <c r="CB957" s="3" t="n">
        <v>7.405135996043854</v>
      </c>
      <c r="CC957" s="3" t="n">
        <v>6.649809078673261</v>
      </c>
      <c r="CD957" s="3" t="n">
        <v>7.065990308008567</v>
      </c>
      <c r="CE957" s="3" t="n">
        <v>7.159870298759651</v>
      </c>
      <c r="CF957" s="3" t="n">
        <v>7.11535593521908</v>
      </c>
      <c r="CG957" s="3" t="n">
        <v>7.067619610516197</v>
      </c>
      <c r="CH957" s="3" t="n">
        <v>7.016529336236413</v>
      </c>
      <c r="CI957" s="3" t="n">
        <v>6.967225142089241</v>
      </c>
      <c r="CJ957" s="3" t="n">
        <v>6.967225142089241</v>
      </c>
      <c r="CK957" s="3" t="n">
        <v>6.967225142089241</v>
      </c>
      <c r="CL957" s="3" t="n">
        <v>6.967225142089242</v>
      </c>
      <c r="CM957" s="3" t="n">
        <v>6.967225142089242</v>
      </c>
      <c r="CN957" s="3" t="n">
        <v>6.967225142089242</v>
      </c>
      <c r="CO957" s="3" t="n">
        <v>6.967225142089241</v>
      </c>
      <c r="CP957" s="3" t="n">
        <v>6.967225142089241</v>
      </c>
      <c r="CQ957" s="3" t="n">
        <v>6.967225142089241</v>
      </c>
      <c r="CR957" s="3" t="n">
        <v>6.967225142089241</v>
      </c>
      <c r="CS957" s="3" t="n">
        <v>6.967225142089241</v>
      </c>
      <c r="CU957" s="20" t="inlineStr">
        <is>
          <t>egy.mit.sp.ind.coa.6</t>
        </is>
      </c>
      <c r="CV957" s="3" t="n">
        <v>10.90003858207016</v>
      </c>
      <c r="CW957" s="3" t="n">
        <v>8.560471180849413</v>
      </c>
      <c r="CX957" s="3" t="n">
        <v>7.405135996043854</v>
      </c>
      <c r="CY957" s="3" t="n">
        <v>6.649809078673261</v>
      </c>
      <c r="CZ957" s="3" t="n">
        <v>7.065990308008567</v>
      </c>
      <c r="DA957" s="3" t="n">
        <v>7.159870298759651</v>
      </c>
      <c r="DB957" s="3" t="n">
        <v>7.11535593521908</v>
      </c>
      <c r="DC957" s="3" t="n">
        <v>7.067619610516197</v>
      </c>
      <c r="DD957" s="3" t="n">
        <v>7.016529336236413</v>
      </c>
      <c r="DE957" s="3" t="n">
        <v>6.967225142089241</v>
      </c>
      <c r="DF957" s="3" t="n">
        <v>6.967225142089241</v>
      </c>
      <c r="DG957" s="3" t="n">
        <v>6.967225142089241</v>
      </c>
      <c r="DH957" s="3" t="n">
        <v>6.967225142089242</v>
      </c>
      <c r="DI957" s="3" t="n">
        <v>6.967225142089242</v>
      </c>
      <c r="DJ957" s="3" t="n">
        <v>6.967225142089242</v>
      </c>
      <c r="DK957" s="3" t="n">
        <v>6.967225142089241</v>
      </c>
      <c r="DL957" s="3" t="n">
        <v>6.967225142089241</v>
      </c>
      <c r="DM957" s="3" t="n">
        <v>6.967225142089241</v>
      </c>
      <c r="DN957" s="3" t="n">
        <v>6.967225142089241</v>
      </c>
      <c r="DO957" s="3" t="n">
        <v>6.967225142089241</v>
      </c>
    </row>
    <row r="958">
      <c r="A958" s="19" t="inlineStr">
        <is>
          <t>mit.sp.pow.nga</t>
        </is>
      </c>
      <c r="B958" s="3" t="inlineStr">
        <is>
          <t>mit</t>
        </is>
      </c>
      <c r="C958" s="19" t="inlineStr">
        <is>
          <t>mit.sp.nga.pow</t>
        </is>
      </c>
      <c r="H958" s="3" t="inlineStr">
        <is>
          <t>Supply cost (pre-tax price) | Power | Natural gas</t>
        </is>
      </c>
      <c r="I958" s="3" t="inlineStr">
        <is>
          <t>USD/GJ real</t>
        </is>
      </c>
      <c r="K958" s="20" t="inlineStr">
        <is>
          <t>egy.mit.sp.pow.nga.1</t>
        </is>
      </c>
      <c r="L958" s="3" t="n">
        <v>11.60240327842508</v>
      </c>
      <c r="M958" s="3" t="n">
        <v>9.511198561326328</v>
      </c>
      <c r="N958" s="3" t="n">
        <v>8.892230324900334</v>
      </c>
      <c r="O958" s="3" t="n">
        <v>8.904789269497227</v>
      </c>
      <c r="P958" s="3" t="n">
        <v>8.934620289798632</v>
      </c>
      <c r="Q958" s="3" t="n">
        <v>8.899090510738755</v>
      </c>
      <c r="R958" s="3" t="n">
        <v>8.857295584291505</v>
      </c>
      <c r="S958" s="3" t="n">
        <v>8.842407692640224</v>
      </c>
      <c r="T958" s="3" t="n">
        <v>8.83818413099303</v>
      </c>
      <c r="U958" s="3" t="n">
        <v>8.835790687269572</v>
      </c>
      <c r="V958" s="3" t="n">
        <v>8.835790687269572</v>
      </c>
      <c r="W958" s="3" t="n">
        <v>8.835790687269572</v>
      </c>
      <c r="X958" s="3" t="n">
        <v>8.835790687269572</v>
      </c>
      <c r="Y958" s="3" t="n">
        <v>8.835790687269572</v>
      </c>
      <c r="Z958" s="3" t="n">
        <v>8.835790687269572</v>
      </c>
      <c r="AA958" s="3" t="n">
        <v>8.835790687269572</v>
      </c>
      <c r="AB958" s="3" t="n">
        <v>8.835790687269572</v>
      </c>
      <c r="AC958" s="3" t="n">
        <v>8.835790687269572</v>
      </c>
      <c r="AD958" s="3" t="n">
        <v>8.835790687269572</v>
      </c>
      <c r="AE958" s="3" t="n">
        <v>8.835790687269572</v>
      </c>
      <c r="AG958" s="20" t="inlineStr">
        <is>
          <t>egy.mit.sp.pow.nga.3</t>
        </is>
      </c>
      <c r="AH958" s="3" t="n">
        <v>11.60240327842508</v>
      </c>
      <c r="AI958" s="3" t="n">
        <v>9.511198561326328</v>
      </c>
      <c r="AJ958" s="3" t="n">
        <v>8.892230324900334</v>
      </c>
      <c r="AK958" s="3" t="n">
        <v>8.904789269497227</v>
      </c>
      <c r="AL958" s="3" t="n">
        <v>8.934620289798632</v>
      </c>
      <c r="AM958" s="3" t="n">
        <v>8.899090510738755</v>
      </c>
      <c r="AN958" s="3" t="n">
        <v>8.857295584291505</v>
      </c>
      <c r="AO958" s="3" t="n">
        <v>8.842407692640224</v>
      </c>
      <c r="AP958" s="3" t="n">
        <v>8.83818413099303</v>
      </c>
      <c r="AQ958" s="3" t="n">
        <v>8.835790687269572</v>
      </c>
      <c r="AR958" s="3" t="n">
        <v>8.835790687269572</v>
      </c>
      <c r="AS958" s="3" t="n">
        <v>8.835790687269572</v>
      </c>
      <c r="AT958" s="3" t="n">
        <v>8.835790687269572</v>
      </c>
      <c r="AU958" s="3" t="n">
        <v>8.835790687269572</v>
      </c>
      <c r="AV958" s="3" t="n">
        <v>8.835790687269572</v>
      </c>
      <c r="AW958" s="3" t="n">
        <v>8.835790687269572</v>
      </c>
      <c r="AX958" s="3" t="n">
        <v>8.835790687269572</v>
      </c>
      <c r="AY958" s="3" t="n">
        <v>8.835790687269572</v>
      </c>
      <c r="AZ958" s="3" t="n">
        <v>8.835790687269572</v>
      </c>
      <c r="BA958" s="3" t="n">
        <v>8.835790687269572</v>
      </c>
      <c r="BC958" s="20" t="inlineStr">
        <is>
          <t>egy.mit.sp.pow.nga.4</t>
        </is>
      </c>
      <c r="BD958" s="3" t="n">
        <v>11.60240327842508</v>
      </c>
      <c r="BE958" s="3" t="n">
        <v>9.511198561326328</v>
      </c>
      <c r="BF958" s="3" t="n">
        <v>8.892230324900334</v>
      </c>
      <c r="BG958" s="3" t="n">
        <v>8.904789269497227</v>
      </c>
      <c r="BH958" s="3" t="n">
        <v>8.934620289798632</v>
      </c>
      <c r="BI958" s="3" t="n">
        <v>8.899090510738755</v>
      </c>
      <c r="BJ958" s="3" t="n">
        <v>8.857295584291505</v>
      </c>
      <c r="BK958" s="3" t="n">
        <v>8.842407692640224</v>
      </c>
      <c r="BL958" s="3" t="n">
        <v>8.83818413099303</v>
      </c>
      <c r="BM958" s="3" t="n">
        <v>8.835790687269572</v>
      </c>
      <c r="BN958" s="3" t="n">
        <v>8.835790687269572</v>
      </c>
      <c r="BO958" s="3" t="n">
        <v>8.835790687269572</v>
      </c>
      <c r="BP958" s="3" t="n">
        <v>8.835790687269572</v>
      </c>
      <c r="BQ958" s="3" t="n">
        <v>8.835790687269572</v>
      </c>
      <c r="BR958" s="3" t="n">
        <v>8.835790687269572</v>
      </c>
      <c r="BS958" s="3" t="n">
        <v>8.835790687269572</v>
      </c>
      <c r="BT958" s="3" t="n">
        <v>8.835790687269572</v>
      </c>
      <c r="BU958" s="3" t="n">
        <v>8.835790687269572</v>
      </c>
      <c r="BV958" s="3" t="n">
        <v>8.835790687269572</v>
      </c>
      <c r="BW958" s="3" t="n">
        <v>8.835790687269572</v>
      </c>
      <c r="BY958" s="20" t="inlineStr">
        <is>
          <t>egy.mit.sp.pow.nga.5</t>
        </is>
      </c>
      <c r="BZ958" s="3" t="n">
        <v>11.60240327842508</v>
      </c>
      <c r="CA958" s="3" t="n">
        <v>9.511198561326328</v>
      </c>
      <c r="CB958" s="3" t="n">
        <v>8.892230324900334</v>
      </c>
      <c r="CC958" s="3" t="n">
        <v>8.904789269497227</v>
      </c>
      <c r="CD958" s="3" t="n">
        <v>8.934620289798632</v>
      </c>
      <c r="CE958" s="3" t="n">
        <v>8.899090510738755</v>
      </c>
      <c r="CF958" s="3" t="n">
        <v>8.857295584291505</v>
      </c>
      <c r="CG958" s="3" t="n">
        <v>8.842407692640224</v>
      </c>
      <c r="CH958" s="3" t="n">
        <v>8.83818413099303</v>
      </c>
      <c r="CI958" s="3" t="n">
        <v>8.835790687269572</v>
      </c>
      <c r="CJ958" s="3" t="n">
        <v>8.835790687269572</v>
      </c>
      <c r="CK958" s="3" t="n">
        <v>8.835790687269572</v>
      </c>
      <c r="CL958" s="3" t="n">
        <v>8.835790687269572</v>
      </c>
      <c r="CM958" s="3" t="n">
        <v>8.835790687269572</v>
      </c>
      <c r="CN958" s="3" t="n">
        <v>8.835790687269572</v>
      </c>
      <c r="CO958" s="3" t="n">
        <v>8.835790687269572</v>
      </c>
      <c r="CP958" s="3" t="n">
        <v>8.835790687269572</v>
      </c>
      <c r="CQ958" s="3" t="n">
        <v>8.835790687269572</v>
      </c>
      <c r="CR958" s="3" t="n">
        <v>8.835790687269572</v>
      </c>
      <c r="CS958" s="3" t="n">
        <v>8.835790687269572</v>
      </c>
      <c r="CU958" s="20" t="inlineStr">
        <is>
          <t>egy.mit.sp.pow.nga.6</t>
        </is>
      </c>
      <c r="CV958" s="3" t="n">
        <v>11.60240327842508</v>
      </c>
      <c r="CW958" s="3" t="n">
        <v>9.511198561326328</v>
      </c>
      <c r="CX958" s="3" t="n">
        <v>8.892230324900334</v>
      </c>
      <c r="CY958" s="3" t="n">
        <v>8.904789269497227</v>
      </c>
      <c r="CZ958" s="3" t="n">
        <v>8.934620289798632</v>
      </c>
      <c r="DA958" s="3" t="n">
        <v>8.899090510738755</v>
      </c>
      <c r="DB958" s="3" t="n">
        <v>8.857295584291505</v>
      </c>
      <c r="DC958" s="3" t="n">
        <v>8.842407692640224</v>
      </c>
      <c r="DD958" s="3" t="n">
        <v>8.83818413099303</v>
      </c>
      <c r="DE958" s="3" t="n">
        <v>8.835790687269572</v>
      </c>
      <c r="DF958" s="3" t="n">
        <v>8.835790687269572</v>
      </c>
      <c r="DG958" s="3" t="n">
        <v>8.835790687269572</v>
      </c>
      <c r="DH958" s="3" t="n">
        <v>8.835790687269572</v>
      </c>
      <c r="DI958" s="3" t="n">
        <v>8.835790687269572</v>
      </c>
      <c r="DJ958" s="3" t="n">
        <v>8.835790687269572</v>
      </c>
      <c r="DK958" s="3" t="n">
        <v>8.835790687269572</v>
      </c>
      <c r="DL958" s="3" t="n">
        <v>8.835790687269572</v>
      </c>
      <c r="DM958" s="3" t="n">
        <v>8.835790687269572</v>
      </c>
      <c r="DN958" s="3" t="n">
        <v>8.835790687269572</v>
      </c>
      <c r="DO958" s="3" t="n">
        <v>8.835790687269572</v>
      </c>
    </row>
    <row r="959">
      <c r="A959" s="19" t="inlineStr">
        <is>
          <t>mit.sp.res.nga</t>
        </is>
      </c>
      <c r="B959" s="3" t="inlineStr">
        <is>
          <t>mit</t>
        </is>
      </c>
      <c r="C959" s="19" t="inlineStr">
        <is>
          <t>mit.sp.nga.res</t>
        </is>
      </c>
      <c r="H959" s="3" t="inlineStr">
        <is>
          <t>Supply cost (pre-tax price) | Residential | Natural gas</t>
        </is>
      </c>
      <c r="I959" s="3" t="inlineStr">
        <is>
          <t>USD/GJ real</t>
        </is>
      </c>
      <c r="K959" s="20" t="inlineStr">
        <is>
          <t>egy.mit.sp.res.nga.1</t>
        </is>
      </c>
      <c r="L959" s="3" t="n">
        <v>16.97156498304895</v>
      </c>
      <c r="M959" s="3" t="n">
        <v>14.735600113104</v>
      </c>
      <c r="N959" s="3" t="n">
        <v>14.19053880878842</v>
      </c>
      <c r="O959" s="3" t="n">
        <v>14.12676629077407</v>
      </c>
      <c r="P959" s="3" t="n">
        <v>13.97528865148035</v>
      </c>
      <c r="Q959" s="3" t="n">
        <v>14.155703769778</v>
      </c>
      <c r="R959" s="3" t="n">
        <v>14.36793240724053</v>
      </c>
      <c r="S959" s="3" t="n">
        <v>14.44353098411155</v>
      </c>
      <c r="T959" s="3" t="n">
        <v>14.46497762392689</v>
      </c>
      <c r="U959" s="3" t="n">
        <v>14.47713118761156</v>
      </c>
      <c r="V959" s="3" t="n">
        <v>14.47713118761156</v>
      </c>
      <c r="W959" s="3" t="n">
        <v>14.47713118761156</v>
      </c>
      <c r="X959" s="3" t="n">
        <v>14.47713118761156</v>
      </c>
      <c r="Y959" s="3" t="n">
        <v>14.47713118761156</v>
      </c>
      <c r="Z959" s="3" t="n">
        <v>14.47713118761156</v>
      </c>
      <c r="AA959" s="3" t="n">
        <v>14.47713118761156</v>
      </c>
      <c r="AB959" s="3" t="n">
        <v>14.47713118761156</v>
      </c>
      <c r="AC959" s="3" t="n">
        <v>14.47713118761156</v>
      </c>
      <c r="AD959" s="3" t="n">
        <v>14.47713118761156</v>
      </c>
      <c r="AE959" s="3" t="n">
        <v>14.47713118761156</v>
      </c>
      <c r="AG959" s="20" t="inlineStr">
        <is>
          <t>egy.mit.sp.res.nga.3</t>
        </is>
      </c>
      <c r="AH959" s="3" t="n">
        <v>16.97156498304895</v>
      </c>
      <c r="AI959" s="3" t="n">
        <v>14.735600113104</v>
      </c>
      <c r="AJ959" s="3" t="n">
        <v>14.19053880878842</v>
      </c>
      <c r="AK959" s="3" t="n">
        <v>14.12676629077407</v>
      </c>
      <c r="AL959" s="3" t="n">
        <v>13.97528865148035</v>
      </c>
      <c r="AM959" s="3" t="n">
        <v>14.155703769778</v>
      </c>
      <c r="AN959" s="3" t="n">
        <v>14.36793240724053</v>
      </c>
      <c r="AO959" s="3" t="n">
        <v>14.44353098411155</v>
      </c>
      <c r="AP959" s="3" t="n">
        <v>14.46497762392689</v>
      </c>
      <c r="AQ959" s="3" t="n">
        <v>14.47713118761156</v>
      </c>
      <c r="AR959" s="3" t="n">
        <v>14.47713118761156</v>
      </c>
      <c r="AS959" s="3" t="n">
        <v>14.47713118761156</v>
      </c>
      <c r="AT959" s="3" t="n">
        <v>14.47713118761156</v>
      </c>
      <c r="AU959" s="3" t="n">
        <v>14.47713118761156</v>
      </c>
      <c r="AV959" s="3" t="n">
        <v>14.47713118761156</v>
      </c>
      <c r="AW959" s="3" t="n">
        <v>14.47713118761156</v>
      </c>
      <c r="AX959" s="3" t="n">
        <v>14.47713118761156</v>
      </c>
      <c r="AY959" s="3" t="n">
        <v>14.47713118761156</v>
      </c>
      <c r="AZ959" s="3" t="n">
        <v>14.47713118761156</v>
      </c>
      <c r="BA959" s="3" t="n">
        <v>14.47713118761156</v>
      </c>
      <c r="BC959" s="20" t="inlineStr">
        <is>
          <t>egy.mit.sp.res.nga.4</t>
        </is>
      </c>
      <c r="BD959" s="3" t="n">
        <v>16.97156498304895</v>
      </c>
      <c r="BE959" s="3" t="n">
        <v>14.735600113104</v>
      </c>
      <c r="BF959" s="3" t="n">
        <v>14.19053880878842</v>
      </c>
      <c r="BG959" s="3" t="n">
        <v>14.12676629077407</v>
      </c>
      <c r="BH959" s="3" t="n">
        <v>13.97528865148035</v>
      </c>
      <c r="BI959" s="3" t="n">
        <v>14.155703769778</v>
      </c>
      <c r="BJ959" s="3" t="n">
        <v>14.36793240724053</v>
      </c>
      <c r="BK959" s="3" t="n">
        <v>14.44353098411155</v>
      </c>
      <c r="BL959" s="3" t="n">
        <v>14.46497762392689</v>
      </c>
      <c r="BM959" s="3" t="n">
        <v>14.47713118761156</v>
      </c>
      <c r="BN959" s="3" t="n">
        <v>14.47713118761156</v>
      </c>
      <c r="BO959" s="3" t="n">
        <v>14.47713118761156</v>
      </c>
      <c r="BP959" s="3" t="n">
        <v>14.47713118761156</v>
      </c>
      <c r="BQ959" s="3" t="n">
        <v>14.47713118761156</v>
      </c>
      <c r="BR959" s="3" t="n">
        <v>14.47713118761156</v>
      </c>
      <c r="BS959" s="3" t="n">
        <v>14.47713118761156</v>
      </c>
      <c r="BT959" s="3" t="n">
        <v>14.47713118761156</v>
      </c>
      <c r="BU959" s="3" t="n">
        <v>14.47713118761156</v>
      </c>
      <c r="BV959" s="3" t="n">
        <v>14.47713118761156</v>
      </c>
      <c r="BW959" s="3" t="n">
        <v>14.47713118761156</v>
      </c>
      <c r="BY959" s="20" t="inlineStr">
        <is>
          <t>egy.mit.sp.res.nga.5</t>
        </is>
      </c>
      <c r="BZ959" s="3" t="n">
        <v>16.97156498304895</v>
      </c>
      <c r="CA959" s="3" t="n">
        <v>14.735600113104</v>
      </c>
      <c r="CB959" s="3" t="n">
        <v>14.19053880878842</v>
      </c>
      <c r="CC959" s="3" t="n">
        <v>14.12676629077407</v>
      </c>
      <c r="CD959" s="3" t="n">
        <v>13.97528865148035</v>
      </c>
      <c r="CE959" s="3" t="n">
        <v>14.155703769778</v>
      </c>
      <c r="CF959" s="3" t="n">
        <v>14.36793240724053</v>
      </c>
      <c r="CG959" s="3" t="n">
        <v>14.44353098411155</v>
      </c>
      <c r="CH959" s="3" t="n">
        <v>14.46497762392689</v>
      </c>
      <c r="CI959" s="3" t="n">
        <v>14.47713118761156</v>
      </c>
      <c r="CJ959" s="3" t="n">
        <v>14.47713118761156</v>
      </c>
      <c r="CK959" s="3" t="n">
        <v>14.47713118761156</v>
      </c>
      <c r="CL959" s="3" t="n">
        <v>14.47713118761156</v>
      </c>
      <c r="CM959" s="3" t="n">
        <v>14.47713118761156</v>
      </c>
      <c r="CN959" s="3" t="n">
        <v>14.47713118761156</v>
      </c>
      <c r="CO959" s="3" t="n">
        <v>14.47713118761156</v>
      </c>
      <c r="CP959" s="3" t="n">
        <v>14.47713118761156</v>
      </c>
      <c r="CQ959" s="3" t="n">
        <v>14.47713118761156</v>
      </c>
      <c r="CR959" s="3" t="n">
        <v>14.47713118761156</v>
      </c>
      <c r="CS959" s="3" t="n">
        <v>14.47713118761156</v>
      </c>
      <c r="CU959" s="20" t="inlineStr">
        <is>
          <t>egy.mit.sp.res.nga.6</t>
        </is>
      </c>
      <c r="CV959" s="3" t="n">
        <v>16.97156498304895</v>
      </c>
      <c r="CW959" s="3" t="n">
        <v>14.735600113104</v>
      </c>
      <c r="CX959" s="3" t="n">
        <v>14.19053880878842</v>
      </c>
      <c r="CY959" s="3" t="n">
        <v>14.12676629077407</v>
      </c>
      <c r="CZ959" s="3" t="n">
        <v>13.97528865148035</v>
      </c>
      <c r="DA959" s="3" t="n">
        <v>14.155703769778</v>
      </c>
      <c r="DB959" s="3" t="n">
        <v>14.36793240724053</v>
      </c>
      <c r="DC959" s="3" t="n">
        <v>14.44353098411155</v>
      </c>
      <c r="DD959" s="3" t="n">
        <v>14.46497762392689</v>
      </c>
      <c r="DE959" s="3" t="n">
        <v>14.47713118761156</v>
      </c>
      <c r="DF959" s="3" t="n">
        <v>14.47713118761156</v>
      </c>
      <c r="DG959" s="3" t="n">
        <v>14.47713118761156</v>
      </c>
      <c r="DH959" s="3" t="n">
        <v>14.47713118761156</v>
      </c>
      <c r="DI959" s="3" t="n">
        <v>14.47713118761156</v>
      </c>
      <c r="DJ959" s="3" t="n">
        <v>14.47713118761156</v>
      </c>
      <c r="DK959" s="3" t="n">
        <v>14.47713118761156</v>
      </c>
      <c r="DL959" s="3" t="n">
        <v>14.47713118761156</v>
      </c>
      <c r="DM959" s="3" t="n">
        <v>14.47713118761156</v>
      </c>
      <c r="DN959" s="3" t="n">
        <v>14.47713118761156</v>
      </c>
      <c r="DO959" s="3" t="n">
        <v>14.47713118761156</v>
      </c>
    </row>
    <row r="960">
      <c r="A960" s="19" t="inlineStr">
        <is>
          <t>mit.sp.ind.nga</t>
        </is>
      </c>
      <c r="B960" s="3" t="inlineStr">
        <is>
          <t>mit</t>
        </is>
      </c>
      <c r="C960" s="19" t="inlineStr">
        <is>
          <t>mit.sp.nga.ind</t>
        </is>
      </c>
      <c r="H960" s="3" t="inlineStr">
        <is>
          <t>Supply cost (pre-tax price) | Industry | Natural gas</t>
        </is>
      </c>
      <c r="I960" s="3" t="inlineStr">
        <is>
          <t>USD/GJ real</t>
        </is>
      </c>
      <c r="K960" s="20" t="inlineStr">
        <is>
          <t>egy.mit.sp.ind.nga.1</t>
        </is>
      </c>
      <c r="L960" s="3" t="n">
        <v>11.98362049247453</v>
      </c>
      <c r="M960" s="3" t="n">
        <v>10.25510226430741</v>
      </c>
      <c r="N960" s="3" t="n">
        <v>9.420966573414672</v>
      </c>
      <c r="O960" s="3" t="n">
        <v>9.397385865979537</v>
      </c>
      <c r="P960" s="3" t="n">
        <v>9.341375063734812</v>
      </c>
      <c r="Q960" s="3" t="n">
        <v>9.408085870425786</v>
      </c>
      <c r="R960" s="3" t="n">
        <v>9.486560134343589</v>
      </c>
      <c r="S960" s="3" t="n">
        <v>9.514513678898734</v>
      </c>
      <c r="T960" s="3" t="n">
        <v>9.522443849365558</v>
      </c>
      <c r="U960" s="3" t="n">
        <v>9.526937785601195</v>
      </c>
      <c r="V960" s="3" t="n">
        <v>9.526937785601195</v>
      </c>
      <c r="W960" s="3" t="n">
        <v>9.526937785601195</v>
      </c>
      <c r="X960" s="3" t="n">
        <v>9.526937785601195</v>
      </c>
      <c r="Y960" s="3" t="n">
        <v>9.526937785601195</v>
      </c>
      <c r="Z960" s="3" t="n">
        <v>9.526937785601195</v>
      </c>
      <c r="AA960" s="3" t="n">
        <v>9.526937785601195</v>
      </c>
      <c r="AB960" s="3" t="n">
        <v>9.526937785601195</v>
      </c>
      <c r="AC960" s="3" t="n">
        <v>9.526937785601195</v>
      </c>
      <c r="AD960" s="3" t="n">
        <v>9.526937785601195</v>
      </c>
      <c r="AE960" s="3" t="n">
        <v>9.526937785601195</v>
      </c>
      <c r="AG960" s="20" t="inlineStr">
        <is>
          <t>egy.mit.sp.ind.nga.3</t>
        </is>
      </c>
      <c r="AH960" s="3" t="n">
        <v>11.98362049247453</v>
      </c>
      <c r="AI960" s="3" t="n">
        <v>10.25510226430741</v>
      </c>
      <c r="AJ960" s="3" t="n">
        <v>9.420966573414672</v>
      </c>
      <c r="AK960" s="3" t="n">
        <v>9.397385865979537</v>
      </c>
      <c r="AL960" s="3" t="n">
        <v>9.341375063734812</v>
      </c>
      <c r="AM960" s="3" t="n">
        <v>9.408085870425786</v>
      </c>
      <c r="AN960" s="3" t="n">
        <v>9.486560134343589</v>
      </c>
      <c r="AO960" s="3" t="n">
        <v>9.514513678898734</v>
      </c>
      <c r="AP960" s="3" t="n">
        <v>9.522443849365558</v>
      </c>
      <c r="AQ960" s="3" t="n">
        <v>9.526937785601195</v>
      </c>
      <c r="AR960" s="3" t="n">
        <v>9.526937785601195</v>
      </c>
      <c r="AS960" s="3" t="n">
        <v>9.526937785601195</v>
      </c>
      <c r="AT960" s="3" t="n">
        <v>9.526937785601195</v>
      </c>
      <c r="AU960" s="3" t="n">
        <v>9.526937785601195</v>
      </c>
      <c r="AV960" s="3" t="n">
        <v>9.526937785601195</v>
      </c>
      <c r="AW960" s="3" t="n">
        <v>9.526937785601195</v>
      </c>
      <c r="AX960" s="3" t="n">
        <v>9.526937785601195</v>
      </c>
      <c r="AY960" s="3" t="n">
        <v>9.526937785601195</v>
      </c>
      <c r="AZ960" s="3" t="n">
        <v>9.526937785601195</v>
      </c>
      <c r="BA960" s="3" t="n">
        <v>9.526937785601195</v>
      </c>
      <c r="BC960" s="20" t="inlineStr">
        <is>
          <t>egy.mit.sp.ind.nga.4</t>
        </is>
      </c>
      <c r="BD960" s="3" t="n">
        <v>11.98362049247453</v>
      </c>
      <c r="BE960" s="3" t="n">
        <v>10.25510226430741</v>
      </c>
      <c r="BF960" s="3" t="n">
        <v>9.420966573414672</v>
      </c>
      <c r="BG960" s="3" t="n">
        <v>9.397385865979537</v>
      </c>
      <c r="BH960" s="3" t="n">
        <v>9.341375063734812</v>
      </c>
      <c r="BI960" s="3" t="n">
        <v>9.408085870425786</v>
      </c>
      <c r="BJ960" s="3" t="n">
        <v>9.486560134343589</v>
      </c>
      <c r="BK960" s="3" t="n">
        <v>9.514513678898734</v>
      </c>
      <c r="BL960" s="3" t="n">
        <v>9.522443849365558</v>
      </c>
      <c r="BM960" s="3" t="n">
        <v>9.526937785601195</v>
      </c>
      <c r="BN960" s="3" t="n">
        <v>9.526937785601195</v>
      </c>
      <c r="BO960" s="3" t="n">
        <v>9.526937785601195</v>
      </c>
      <c r="BP960" s="3" t="n">
        <v>9.526937785601195</v>
      </c>
      <c r="BQ960" s="3" t="n">
        <v>9.526937785601195</v>
      </c>
      <c r="BR960" s="3" t="n">
        <v>9.526937785601195</v>
      </c>
      <c r="BS960" s="3" t="n">
        <v>9.526937785601195</v>
      </c>
      <c r="BT960" s="3" t="n">
        <v>9.526937785601195</v>
      </c>
      <c r="BU960" s="3" t="n">
        <v>9.526937785601195</v>
      </c>
      <c r="BV960" s="3" t="n">
        <v>9.526937785601195</v>
      </c>
      <c r="BW960" s="3" t="n">
        <v>9.526937785601195</v>
      </c>
      <c r="BY960" s="20" t="inlineStr">
        <is>
          <t>egy.mit.sp.ind.nga.5</t>
        </is>
      </c>
      <c r="BZ960" s="3" t="n">
        <v>11.98362049247453</v>
      </c>
      <c r="CA960" s="3" t="n">
        <v>10.25510226430741</v>
      </c>
      <c r="CB960" s="3" t="n">
        <v>9.420966573414672</v>
      </c>
      <c r="CC960" s="3" t="n">
        <v>9.397385865979537</v>
      </c>
      <c r="CD960" s="3" t="n">
        <v>9.341375063734812</v>
      </c>
      <c r="CE960" s="3" t="n">
        <v>9.408085870425786</v>
      </c>
      <c r="CF960" s="3" t="n">
        <v>9.486560134343589</v>
      </c>
      <c r="CG960" s="3" t="n">
        <v>9.514513678898734</v>
      </c>
      <c r="CH960" s="3" t="n">
        <v>9.522443849365558</v>
      </c>
      <c r="CI960" s="3" t="n">
        <v>9.526937785601195</v>
      </c>
      <c r="CJ960" s="3" t="n">
        <v>9.526937785601195</v>
      </c>
      <c r="CK960" s="3" t="n">
        <v>9.526937785601195</v>
      </c>
      <c r="CL960" s="3" t="n">
        <v>9.526937785601195</v>
      </c>
      <c r="CM960" s="3" t="n">
        <v>9.526937785601195</v>
      </c>
      <c r="CN960" s="3" t="n">
        <v>9.526937785601195</v>
      </c>
      <c r="CO960" s="3" t="n">
        <v>9.526937785601195</v>
      </c>
      <c r="CP960" s="3" t="n">
        <v>9.526937785601195</v>
      </c>
      <c r="CQ960" s="3" t="n">
        <v>9.526937785601195</v>
      </c>
      <c r="CR960" s="3" t="n">
        <v>9.526937785601195</v>
      </c>
      <c r="CS960" s="3" t="n">
        <v>9.526937785601195</v>
      </c>
      <c r="CU960" s="20" t="inlineStr">
        <is>
          <t>egy.mit.sp.ind.nga.6</t>
        </is>
      </c>
      <c r="CV960" s="3" t="n">
        <v>11.98362049247453</v>
      </c>
      <c r="CW960" s="3" t="n">
        <v>10.25510226430741</v>
      </c>
      <c r="CX960" s="3" t="n">
        <v>9.420966573414672</v>
      </c>
      <c r="CY960" s="3" t="n">
        <v>9.397385865979537</v>
      </c>
      <c r="CZ960" s="3" t="n">
        <v>9.341375063734812</v>
      </c>
      <c r="DA960" s="3" t="n">
        <v>9.408085870425786</v>
      </c>
      <c r="DB960" s="3" t="n">
        <v>9.486560134343589</v>
      </c>
      <c r="DC960" s="3" t="n">
        <v>9.514513678898734</v>
      </c>
      <c r="DD960" s="3" t="n">
        <v>9.522443849365558</v>
      </c>
      <c r="DE960" s="3" t="n">
        <v>9.526937785601195</v>
      </c>
      <c r="DF960" s="3" t="n">
        <v>9.526937785601195</v>
      </c>
      <c r="DG960" s="3" t="n">
        <v>9.526937785601195</v>
      </c>
      <c r="DH960" s="3" t="n">
        <v>9.526937785601195</v>
      </c>
      <c r="DI960" s="3" t="n">
        <v>9.526937785601195</v>
      </c>
      <c r="DJ960" s="3" t="n">
        <v>9.526937785601195</v>
      </c>
      <c r="DK960" s="3" t="n">
        <v>9.526937785601195</v>
      </c>
      <c r="DL960" s="3" t="n">
        <v>9.526937785601195</v>
      </c>
      <c r="DM960" s="3" t="n">
        <v>9.526937785601195</v>
      </c>
      <c r="DN960" s="3" t="n">
        <v>9.526937785601195</v>
      </c>
      <c r="DO960" s="3" t="n">
        <v>9.526937785601195</v>
      </c>
    </row>
    <row r="961">
      <c r="A961" s="19" t="inlineStr">
        <is>
          <t>mit.sp.all.gso</t>
        </is>
      </c>
      <c r="B961" s="3" t="inlineStr">
        <is>
          <t>mit</t>
        </is>
      </c>
      <c r="C961" s="19" t="inlineStr">
        <is>
          <t>mit.sp.gso.all</t>
        </is>
      </c>
      <c r="H961" s="3" t="inlineStr">
        <is>
          <t>Supply cost (pre-tax price) | All sectors | Gasoline</t>
        </is>
      </c>
      <c r="I961" s="3" t="inlineStr">
        <is>
          <t>USD/GJ real</t>
        </is>
      </c>
      <c r="K961" s="20" t="inlineStr">
        <is>
          <t>egy.mit.sp.all.gso.1</t>
        </is>
      </c>
      <c r="L961" s="3" t="n">
        <v>28.18147201581047</v>
      </c>
      <c r="M961" s="3" t="n">
        <v>22.83624464482467</v>
      </c>
      <c r="N961" s="3" t="n">
        <v>21.54840057076045</v>
      </c>
      <c r="O961" s="3" t="n">
        <v>18.60461724499398</v>
      </c>
      <c r="P961" s="3" t="n">
        <v>20.65054872021588</v>
      </c>
      <c r="Q961" s="3" t="n">
        <v>18.5290577809776</v>
      </c>
      <c r="R961" s="3" t="n">
        <v>17.94540125744225</v>
      </c>
      <c r="S961" s="3" t="n">
        <v>17.65119103995094</v>
      </c>
      <c r="T961" s="3" t="n">
        <v>17.39390237383241</v>
      </c>
      <c r="U961" s="3" t="n">
        <v>17.11438195024004</v>
      </c>
      <c r="V961" s="3" t="n">
        <v>17.11438195024004</v>
      </c>
      <c r="W961" s="3" t="n">
        <v>17.11438195024004</v>
      </c>
      <c r="X961" s="3" t="n">
        <v>17.11438195024004</v>
      </c>
      <c r="Y961" s="3" t="n">
        <v>17.11438195024004</v>
      </c>
      <c r="Z961" s="3" t="n">
        <v>17.11438195024004</v>
      </c>
      <c r="AA961" s="3" t="n">
        <v>17.11438195024004</v>
      </c>
      <c r="AB961" s="3" t="n">
        <v>17.11438195024004</v>
      </c>
      <c r="AC961" s="3" t="n">
        <v>17.11438195024004</v>
      </c>
      <c r="AD961" s="3" t="n">
        <v>17.11438195024004</v>
      </c>
      <c r="AE961" s="3" t="n">
        <v>17.11438195024004</v>
      </c>
      <c r="AG961" s="20" t="inlineStr">
        <is>
          <t>egy.mit.sp.all.gso.3</t>
        </is>
      </c>
      <c r="AH961" s="3" t="n">
        <v>28.18147201581047</v>
      </c>
      <c r="AI961" s="3" t="n">
        <v>22.83624464482467</v>
      </c>
      <c r="AJ961" s="3" t="n">
        <v>21.54840057076045</v>
      </c>
      <c r="AK961" s="3" t="n">
        <v>18.60461724499398</v>
      </c>
      <c r="AL961" s="3" t="n">
        <v>20.65054872021588</v>
      </c>
      <c r="AM961" s="3" t="n">
        <v>18.5290577809776</v>
      </c>
      <c r="AN961" s="3" t="n">
        <v>17.94540125744225</v>
      </c>
      <c r="AO961" s="3" t="n">
        <v>17.65119103995094</v>
      </c>
      <c r="AP961" s="3" t="n">
        <v>17.39390237383241</v>
      </c>
      <c r="AQ961" s="3" t="n">
        <v>17.11438195024004</v>
      </c>
      <c r="AR961" s="3" t="n">
        <v>17.11438195024004</v>
      </c>
      <c r="AS961" s="3" t="n">
        <v>17.11438195024004</v>
      </c>
      <c r="AT961" s="3" t="n">
        <v>17.11438195024004</v>
      </c>
      <c r="AU961" s="3" t="n">
        <v>17.11438195024004</v>
      </c>
      <c r="AV961" s="3" t="n">
        <v>17.11438195024004</v>
      </c>
      <c r="AW961" s="3" t="n">
        <v>17.11438195024004</v>
      </c>
      <c r="AX961" s="3" t="n">
        <v>17.11438195024004</v>
      </c>
      <c r="AY961" s="3" t="n">
        <v>17.11438195024004</v>
      </c>
      <c r="AZ961" s="3" t="n">
        <v>17.11438195024004</v>
      </c>
      <c r="BA961" s="3" t="n">
        <v>17.11438195024004</v>
      </c>
      <c r="BC961" s="20" t="inlineStr">
        <is>
          <t>egy.mit.sp.all.gso.4</t>
        </is>
      </c>
      <c r="BD961" s="3" t="n">
        <v>28.18147201581047</v>
      </c>
      <c r="BE961" s="3" t="n">
        <v>22.83624464482467</v>
      </c>
      <c r="BF961" s="3" t="n">
        <v>21.54840057076045</v>
      </c>
      <c r="BG961" s="3" t="n">
        <v>18.60461724499398</v>
      </c>
      <c r="BH961" s="3" t="n">
        <v>20.65054872021588</v>
      </c>
      <c r="BI961" s="3" t="n">
        <v>18.5290577809776</v>
      </c>
      <c r="BJ961" s="3" t="n">
        <v>17.94540125744225</v>
      </c>
      <c r="BK961" s="3" t="n">
        <v>17.65119103995094</v>
      </c>
      <c r="BL961" s="3" t="n">
        <v>17.39390237383241</v>
      </c>
      <c r="BM961" s="3" t="n">
        <v>17.11438195024004</v>
      </c>
      <c r="BN961" s="3" t="n">
        <v>17.11438195024004</v>
      </c>
      <c r="BO961" s="3" t="n">
        <v>17.11438195024004</v>
      </c>
      <c r="BP961" s="3" t="n">
        <v>17.11438195024004</v>
      </c>
      <c r="BQ961" s="3" t="n">
        <v>17.11438195024004</v>
      </c>
      <c r="BR961" s="3" t="n">
        <v>17.11438195024004</v>
      </c>
      <c r="BS961" s="3" t="n">
        <v>17.11438195024004</v>
      </c>
      <c r="BT961" s="3" t="n">
        <v>17.11438195024004</v>
      </c>
      <c r="BU961" s="3" t="n">
        <v>17.11438195024004</v>
      </c>
      <c r="BV961" s="3" t="n">
        <v>17.11438195024004</v>
      </c>
      <c r="BW961" s="3" t="n">
        <v>17.11438195024004</v>
      </c>
      <c r="BY961" s="20" t="inlineStr">
        <is>
          <t>egy.mit.sp.all.gso.5</t>
        </is>
      </c>
      <c r="BZ961" s="3" t="n">
        <v>28.18147201581047</v>
      </c>
      <c r="CA961" s="3" t="n">
        <v>22.83624464482467</v>
      </c>
      <c r="CB961" s="3" t="n">
        <v>21.54840057076045</v>
      </c>
      <c r="CC961" s="3" t="n">
        <v>18.60461724499398</v>
      </c>
      <c r="CD961" s="3" t="n">
        <v>20.65054872021588</v>
      </c>
      <c r="CE961" s="3" t="n">
        <v>18.5290577809776</v>
      </c>
      <c r="CF961" s="3" t="n">
        <v>17.94540125744225</v>
      </c>
      <c r="CG961" s="3" t="n">
        <v>17.65119103995094</v>
      </c>
      <c r="CH961" s="3" t="n">
        <v>17.39390237383241</v>
      </c>
      <c r="CI961" s="3" t="n">
        <v>17.11438195024004</v>
      </c>
      <c r="CJ961" s="3" t="n">
        <v>17.11438195024004</v>
      </c>
      <c r="CK961" s="3" t="n">
        <v>17.11438195024004</v>
      </c>
      <c r="CL961" s="3" t="n">
        <v>17.11438195024004</v>
      </c>
      <c r="CM961" s="3" t="n">
        <v>17.11438195024004</v>
      </c>
      <c r="CN961" s="3" t="n">
        <v>17.11438195024004</v>
      </c>
      <c r="CO961" s="3" t="n">
        <v>17.11438195024004</v>
      </c>
      <c r="CP961" s="3" t="n">
        <v>17.11438195024004</v>
      </c>
      <c r="CQ961" s="3" t="n">
        <v>17.11438195024004</v>
      </c>
      <c r="CR961" s="3" t="n">
        <v>17.11438195024004</v>
      </c>
      <c r="CS961" s="3" t="n">
        <v>17.11438195024004</v>
      </c>
      <c r="CU961" s="20" t="inlineStr">
        <is>
          <t>egy.mit.sp.all.gso.6</t>
        </is>
      </c>
      <c r="CV961" s="3" t="n">
        <v>28.18147201581047</v>
      </c>
      <c r="CW961" s="3" t="n">
        <v>22.83624464482467</v>
      </c>
      <c r="CX961" s="3" t="n">
        <v>21.54840057076045</v>
      </c>
      <c r="CY961" s="3" t="n">
        <v>18.60461724499398</v>
      </c>
      <c r="CZ961" s="3" t="n">
        <v>20.65054872021588</v>
      </c>
      <c r="DA961" s="3" t="n">
        <v>18.5290577809776</v>
      </c>
      <c r="DB961" s="3" t="n">
        <v>17.94540125744225</v>
      </c>
      <c r="DC961" s="3" t="n">
        <v>17.65119103995094</v>
      </c>
      <c r="DD961" s="3" t="n">
        <v>17.39390237383241</v>
      </c>
      <c r="DE961" s="3" t="n">
        <v>17.11438195024004</v>
      </c>
      <c r="DF961" s="3" t="n">
        <v>17.11438195024004</v>
      </c>
      <c r="DG961" s="3" t="n">
        <v>17.11438195024004</v>
      </c>
      <c r="DH961" s="3" t="n">
        <v>17.11438195024004</v>
      </c>
      <c r="DI961" s="3" t="n">
        <v>17.11438195024004</v>
      </c>
      <c r="DJ961" s="3" t="n">
        <v>17.11438195024004</v>
      </c>
      <c r="DK961" s="3" t="n">
        <v>17.11438195024004</v>
      </c>
      <c r="DL961" s="3" t="n">
        <v>17.11438195024004</v>
      </c>
      <c r="DM961" s="3" t="n">
        <v>17.11438195024004</v>
      </c>
      <c r="DN961" s="3" t="n">
        <v>17.11438195024004</v>
      </c>
      <c r="DO961" s="3" t="n">
        <v>17.11438195024004</v>
      </c>
    </row>
    <row r="962">
      <c r="A962" s="19" t="inlineStr">
        <is>
          <t>mit.sp.all.die</t>
        </is>
      </c>
      <c r="B962" s="3" t="inlineStr">
        <is>
          <t>mit</t>
        </is>
      </c>
      <c r="C962" s="19" t="inlineStr">
        <is>
          <t>mit.sp.die.all</t>
        </is>
      </c>
      <c r="H962" s="3" t="inlineStr">
        <is>
          <t>Supply cost (pre-tax price) | All sectors | Diesel</t>
        </is>
      </c>
      <c r="I962" s="3" t="inlineStr">
        <is>
          <t>USD/GJ real</t>
        </is>
      </c>
      <c r="K962" s="20" t="inlineStr">
        <is>
          <t>egy.mit.sp.all.die.1</t>
        </is>
      </c>
      <c r="L962" s="3" t="n">
        <v>28.75777236415188</v>
      </c>
      <c r="M962" s="3" t="n">
        <v>23.10673044148727</v>
      </c>
      <c r="N962" s="3" t="n">
        <v>21.01218559222911</v>
      </c>
      <c r="O962" s="3" t="n">
        <v>18.11865001867027</v>
      </c>
      <c r="P962" s="3" t="n">
        <v>20.12965927088041</v>
      </c>
      <c r="Q962" s="3" t="n">
        <v>18.04438028722069</v>
      </c>
      <c r="R962" s="3" t="n">
        <v>17.4706862592645</v>
      </c>
      <c r="S962" s="3" t="n">
        <v>17.18149794741959</v>
      </c>
      <c r="T962" s="3" t="n">
        <v>16.92860096904105</v>
      </c>
      <c r="U962" s="3" t="n">
        <v>16.65385170943303</v>
      </c>
      <c r="V962" s="3" t="n">
        <v>16.65385170943303</v>
      </c>
      <c r="W962" s="3" t="n">
        <v>16.65385170943303</v>
      </c>
      <c r="X962" s="3" t="n">
        <v>16.65385170943303</v>
      </c>
      <c r="Y962" s="3" t="n">
        <v>16.65385170943303</v>
      </c>
      <c r="Z962" s="3" t="n">
        <v>16.65385170943303</v>
      </c>
      <c r="AA962" s="3" t="n">
        <v>16.65385170943303</v>
      </c>
      <c r="AB962" s="3" t="n">
        <v>16.65385170943303</v>
      </c>
      <c r="AC962" s="3" t="n">
        <v>16.65385170943303</v>
      </c>
      <c r="AD962" s="3" t="n">
        <v>16.65385170943303</v>
      </c>
      <c r="AE962" s="3" t="n">
        <v>16.65385170943303</v>
      </c>
      <c r="AG962" s="20" t="inlineStr">
        <is>
          <t>egy.mit.sp.all.die.3</t>
        </is>
      </c>
      <c r="AH962" s="3" t="n">
        <v>28.75777236415188</v>
      </c>
      <c r="AI962" s="3" t="n">
        <v>23.10673044148727</v>
      </c>
      <c r="AJ962" s="3" t="n">
        <v>21.01218559222911</v>
      </c>
      <c r="AK962" s="3" t="n">
        <v>18.11865001867027</v>
      </c>
      <c r="AL962" s="3" t="n">
        <v>20.12965927088041</v>
      </c>
      <c r="AM962" s="3" t="n">
        <v>18.04438028722069</v>
      </c>
      <c r="AN962" s="3" t="n">
        <v>17.4706862592645</v>
      </c>
      <c r="AO962" s="3" t="n">
        <v>17.18149794741959</v>
      </c>
      <c r="AP962" s="3" t="n">
        <v>16.92860096904105</v>
      </c>
      <c r="AQ962" s="3" t="n">
        <v>16.65385170943303</v>
      </c>
      <c r="AR962" s="3" t="n">
        <v>16.65385170943303</v>
      </c>
      <c r="AS962" s="3" t="n">
        <v>16.65385170943303</v>
      </c>
      <c r="AT962" s="3" t="n">
        <v>16.65385170943303</v>
      </c>
      <c r="AU962" s="3" t="n">
        <v>16.65385170943303</v>
      </c>
      <c r="AV962" s="3" t="n">
        <v>16.65385170943303</v>
      </c>
      <c r="AW962" s="3" t="n">
        <v>16.65385170943303</v>
      </c>
      <c r="AX962" s="3" t="n">
        <v>16.65385170943303</v>
      </c>
      <c r="AY962" s="3" t="n">
        <v>16.65385170943303</v>
      </c>
      <c r="AZ962" s="3" t="n">
        <v>16.65385170943303</v>
      </c>
      <c r="BA962" s="3" t="n">
        <v>16.65385170943303</v>
      </c>
      <c r="BC962" s="20" t="inlineStr">
        <is>
          <t>egy.mit.sp.all.die.4</t>
        </is>
      </c>
      <c r="BD962" s="3" t="n">
        <v>28.75777236415188</v>
      </c>
      <c r="BE962" s="3" t="n">
        <v>23.10673044148727</v>
      </c>
      <c r="BF962" s="3" t="n">
        <v>21.01218559222911</v>
      </c>
      <c r="BG962" s="3" t="n">
        <v>18.11865001867027</v>
      </c>
      <c r="BH962" s="3" t="n">
        <v>20.12965927088041</v>
      </c>
      <c r="BI962" s="3" t="n">
        <v>18.04438028722069</v>
      </c>
      <c r="BJ962" s="3" t="n">
        <v>17.4706862592645</v>
      </c>
      <c r="BK962" s="3" t="n">
        <v>17.18149794741959</v>
      </c>
      <c r="BL962" s="3" t="n">
        <v>16.92860096904105</v>
      </c>
      <c r="BM962" s="3" t="n">
        <v>16.65385170943303</v>
      </c>
      <c r="BN962" s="3" t="n">
        <v>16.65385170943303</v>
      </c>
      <c r="BO962" s="3" t="n">
        <v>16.65385170943303</v>
      </c>
      <c r="BP962" s="3" t="n">
        <v>16.65385170943303</v>
      </c>
      <c r="BQ962" s="3" t="n">
        <v>16.65385170943303</v>
      </c>
      <c r="BR962" s="3" t="n">
        <v>16.65385170943303</v>
      </c>
      <c r="BS962" s="3" t="n">
        <v>16.65385170943303</v>
      </c>
      <c r="BT962" s="3" t="n">
        <v>16.65385170943303</v>
      </c>
      <c r="BU962" s="3" t="n">
        <v>16.65385170943303</v>
      </c>
      <c r="BV962" s="3" t="n">
        <v>16.65385170943303</v>
      </c>
      <c r="BW962" s="3" t="n">
        <v>16.65385170943303</v>
      </c>
      <c r="BY962" s="20" t="inlineStr">
        <is>
          <t>egy.mit.sp.all.die.5</t>
        </is>
      </c>
      <c r="BZ962" s="3" t="n">
        <v>28.75777236415188</v>
      </c>
      <c r="CA962" s="3" t="n">
        <v>23.10673044148727</v>
      </c>
      <c r="CB962" s="3" t="n">
        <v>21.01218559222911</v>
      </c>
      <c r="CC962" s="3" t="n">
        <v>18.11865001867027</v>
      </c>
      <c r="CD962" s="3" t="n">
        <v>20.12965927088041</v>
      </c>
      <c r="CE962" s="3" t="n">
        <v>18.04438028722069</v>
      </c>
      <c r="CF962" s="3" t="n">
        <v>17.4706862592645</v>
      </c>
      <c r="CG962" s="3" t="n">
        <v>17.18149794741959</v>
      </c>
      <c r="CH962" s="3" t="n">
        <v>16.92860096904105</v>
      </c>
      <c r="CI962" s="3" t="n">
        <v>16.65385170943303</v>
      </c>
      <c r="CJ962" s="3" t="n">
        <v>16.65385170943303</v>
      </c>
      <c r="CK962" s="3" t="n">
        <v>16.65385170943303</v>
      </c>
      <c r="CL962" s="3" t="n">
        <v>16.65385170943303</v>
      </c>
      <c r="CM962" s="3" t="n">
        <v>16.65385170943303</v>
      </c>
      <c r="CN962" s="3" t="n">
        <v>16.65385170943303</v>
      </c>
      <c r="CO962" s="3" t="n">
        <v>16.65385170943303</v>
      </c>
      <c r="CP962" s="3" t="n">
        <v>16.65385170943303</v>
      </c>
      <c r="CQ962" s="3" t="n">
        <v>16.65385170943303</v>
      </c>
      <c r="CR962" s="3" t="n">
        <v>16.65385170943303</v>
      </c>
      <c r="CS962" s="3" t="n">
        <v>16.65385170943303</v>
      </c>
      <c r="CU962" s="20" t="inlineStr">
        <is>
          <t>egy.mit.sp.all.die.6</t>
        </is>
      </c>
      <c r="CV962" s="3" t="n">
        <v>28.75777236415188</v>
      </c>
      <c r="CW962" s="3" t="n">
        <v>23.10673044148727</v>
      </c>
      <c r="CX962" s="3" t="n">
        <v>21.01218559222911</v>
      </c>
      <c r="CY962" s="3" t="n">
        <v>18.11865001867027</v>
      </c>
      <c r="CZ962" s="3" t="n">
        <v>20.12965927088041</v>
      </c>
      <c r="DA962" s="3" t="n">
        <v>18.04438028722069</v>
      </c>
      <c r="DB962" s="3" t="n">
        <v>17.4706862592645</v>
      </c>
      <c r="DC962" s="3" t="n">
        <v>17.18149794741959</v>
      </c>
      <c r="DD962" s="3" t="n">
        <v>16.92860096904105</v>
      </c>
      <c r="DE962" s="3" t="n">
        <v>16.65385170943303</v>
      </c>
      <c r="DF962" s="3" t="n">
        <v>16.65385170943303</v>
      </c>
      <c r="DG962" s="3" t="n">
        <v>16.65385170943303</v>
      </c>
      <c r="DH962" s="3" t="n">
        <v>16.65385170943303</v>
      </c>
      <c r="DI962" s="3" t="n">
        <v>16.65385170943303</v>
      </c>
      <c r="DJ962" s="3" t="n">
        <v>16.65385170943303</v>
      </c>
      <c r="DK962" s="3" t="n">
        <v>16.65385170943303</v>
      </c>
      <c r="DL962" s="3" t="n">
        <v>16.65385170943303</v>
      </c>
      <c r="DM962" s="3" t="n">
        <v>16.65385170943303</v>
      </c>
      <c r="DN962" s="3" t="n">
        <v>16.65385170943303</v>
      </c>
      <c r="DO962" s="3" t="n">
        <v>16.65385170943303</v>
      </c>
    </row>
    <row r="963">
      <c r="A963" s="19" t="inlineStr">
        <is>
          <t>mit.sp.all.lpg</t>
        </is>
      </c>
      <c r="B963" s="3" t="inlineStr">
        <is>
          <t>mit</t>
        </is>
      </c>
      <c r="C963" s="19" t="inlineStr">
        <is>
          <t>mit.sp.lpg.all</t>
        </is>
      </c>
      <c r="H963" s="3" t="inlineStr">
        <is>
          <t>Supply cost (pre-tax price) | All sectors | LPG</t>
        </is>
      </c>
      <c r="I963" s="3" t="inlineStr">
        <is>
          <t>USD/GJ real</t>
        </is>
      </c>
      <c r="K963" s="20" t="inlineStr">
        <is>
          <t>egy.mit.sp.all.lpg.1</t>
        </is>
      </c>
      <c r="L963" s="3" t="n">
        <v>25.36372135582102</v>
      </c>
      <c r="M963" s="3" t="n">
        <v>22.16828174127977</v>
      </c>
      <c r="N963" s="3" t="n">
        <v>21.27543767141362</v>
      </c>
      <c r="O963" s="3" t="n">
        <v>18.62641297155985</v>
      </c>
      <c r="P963" s="3" t="n">
        <v>20.46748699512439</v>
      </c>
      <c r="Q963" s="3" t="n">
        <v>18.5584192151121</v>
      </c>
      <c r="R963" s="3" t="n">
        <v>18.03320374373451</v>
      </c>
      <c r="S963" s="3" t="n">
        <v>17.76845255560795</v>
      </c>
      <c r="T963" s="3" t="n">
        <v>17.53692599399765</v>
      </c>
      <c r="U963" s="3" t="n">
        <v>17.28539372267568</v>
      </c>
      <c r="V963" s="3" t="n">
        <v>17.28539372267568</v>
      </c>
      <c r="W963" s="3" t="n">
        <v>17.28539372267568</v>
      </c>
      <c r="X963" s="3" t="n">
        <v>17.28539372267569</v>
      </c>
      <c r="Y963" s="3" t="n">
        <v>17.28539372267569</v>
      </c>
      <c r="Z963" s="3" t="n">
        <v>17.28539372267569</v>
      </c>
      <c r="AA963" s="3" t="n">
        <v>17.28539372267568</v>
      </c>
      <c r="AB963" s="3" t="n">
        <v>17.28539372267568</v>
      </c>
      <c r="AC963" s="3" t="n">
        <v>17.28539372267568</v>
      </c>
      <c r="AD963" s="3" t="n">
        <v>17.28539372267568</v>
      </c>
      <c r="AE963" s="3" t="n">
        <v>17.28539372267568</v>
      </c>
      <c r="AG963" s="20" t="inlineStr">
        <is>
          <t>egy.mit.sp.all.lpg.3</t>
        </is>
      </c>
      <c r="AH963" s="3" t="n">
        <v>25.36372135582102</v>
      </c>
      <c r="AI963" s="3" t="n">
        <v>22.16828174127977</v>
      </c>
      <c r="AJ963" s="3" t="n">
        <v>21.27543767141362</v>
      </c>
      <c r="AK963" s="3" t="n">
        <v>18.62641297155985</v>
      </c>
      <c r="AL963" s="3" t="n">
        <v>20.46748699512439</v>
      </c>
      <c r="AM963" s="3" t="n">
        <v>18.5584192151121</v>
      </c>
      <c r="AN963" s="3" t="n">
        <v>18.03320374373451</v>
      </c>
      <c r="AO963" s="3" t="n">
        <v>17.76845255560795</v>
      </c>
      <c r="AP963" s="3" t="n">
        <v>17.53692599399765</v>
      </c>
      <c r="AQ963" s="3" t="n">
        <v>17.28539372267568</v>
      </c>
      <c r="AR963" s="3" t="n">
        <v>17.28539372267568</v>
      </c>
      <c r="AS963" s="3" t="n">
        <v>17.28539372267568</v>
      </c>
      <c r="AT963" s="3" t="n">
        <v>17.28539372267569</v>
      </c>
      <c r="AU963" s="3" t="n">
        <v>17.28539372267569</v>
      </c>
      <c r="AV963" s="3" t="n">
        <v>17.28539372267569</v>
      </c>
      <c r="AW963" s="3" t="n">
        <v>17.28539372267568</v>
      </c>
      <c r="AX963" s="3" t="n">
        <v>17.28539372267568</v>
      </c>
      <c r="AY963" s="3" t="n">
        <v>17.28539372267568</v>
      </c>
      <c r="AZ963" s="3" t="n">
        <v>17.28539372267568</v>
      </c>
      <c r="BA963" s="3" t="n">
        <v>17.28539372267568</v>
      </c>
      <c r="BC963" s="20" t="inlineStr">
        <is>
          <t>egy.mit.sp.all.lpg.4</t>
        </is>
      </c>
      <c r="BD963" s="3" t="n">
        <v>25.36372135582102</v>
      </c>
      <c r="BE963" s="3" t="n">
        <v>22.16828174127977</v>
      </c>
      <c r="BF963" s="3" t="n">
        <v>21.27543767141362</v>
      </c>
      <c r="BG963" s="3" t="n">
        <v>18.62641297155985</v>
      </c>
      <c r="BH963" s="3" t="n">
        <v>20.46748699512439</v>
      </c>
      <c r="BI963" s="3" t="n">
        <v>18.5584192151121</v>
      </c>
      <c r="BJ963" s="3" t="n">
        <v>18.03320374373451</v>
      </c>
      <c r="BK963" s="3" t="n">
        <v>17.76845255560795</v>
      </c>
      <c r="BL963" s="3" t="n">
        <v>17.53692599399765</v>
      </c>
      <c r="BM963" s="3" t="n">
        <v>17.28539372267568</v>
      </c>
      <c r="BN963" s="3" t="n">
        <v>17.28539372267568</v>
      </c>
      <c r="BO963" s="3" t="n">
        <v>17.28539372267568</v>
      </c>
      <c r="BP963" s="3" t="n">
        <v>17.28539372267569</v>
      </c>
      <c r="BQ963" s="3" t="n">
        <v>17.28539372267569</v>
      </c>
      <c r="BR963" s="3" t="n">
        <v>17.28539372267569</v>
      </c>
      <c r="BS963" s="3" t="n">
        <v>17.28539372267568</v>
      </c>
      <c r="BT963" s="3" t="n">
        <v>17.28539372267568</v>
      </c>
      <c r="BU963" s="3" t="n">
        <v>17.28539372267568</v>
      </c>
      <c r="BV963" s="3" t="n">
        <v>17.28539372267568</v>
      </c>
      <c r="BW963" s="3" t="n">
        <v>17.28539372267568</v>
      </c>
      <c r="BY963" s="20" t="inlineStr">
        <is>
          <t>egy.mit.sp.all.lpg.5</t>
        </is>
      </c>
      <c r="BZ963" s="3" t="n">
        <v>25.36372135582102</v>
      </c>
      <c r="CA963" s="3" t="n">
        <v>22.16828174127977</v>
      </c>
      <c r="CB963" s="3" t="n">
        <v>21.27543767141362</v>
      </c>
      <c r="CC963" s="3" t="n">
        <v>18.62641297155985</v>
      </c>
      <c r="CD963" s="3" t="n">
        <v>20.46748699512439</v>
      </c>
      <c r="CE963" s="3" t="n">
        <v>18.5584192151121</v>
      </c>
      <c r="CF963" s="3" t="n">
        <v>18.03320374373451</v>
      </c>
      <c r="CG963" s="3" t="n">
        <v>17.76845255560795</v>
      </c>
      <c r="CH963" s="3" t="n">
        <v>17.53692599399765</v>
      </c>
      <c r="CI963" s="3" t="n">
        <v>17.28539372267568</v>
      </c>
      <c r="CJ963" s="3" t="n">
        <v>17.28539372267568</v>
      </c>
      <c r="CK963" s="3" t="n">
        <v>17.28539372267568</v>
      </c>
      <c r="CL963" s="3" t="n">
        <v>17.28539372267569</v>
      </c>
      <c r="CM963" s="3" t="n">
        <v>17.28539372267569</v>
      </c>
      <c r="CN963" s="3" t="n">
        <v>17.28539372267569</v>
      </c>
      <c r="CO963" s="3" t="n">
        <v>17.28539372267568</v>
      </c>
      <c r="CP963" s="3" t="n">
        <v>17.28539372267568</v>
      </c>
      <c r="CQ963" s="3" t="n">
        <v>17.28539372267568</v>
      </c>
      <c r="CR963" s="3" t="n">
        <v>17.28539372267568</v>
      </c>
      <c r="CS963" s="3" t="n">
        <v>17.28539372267568</v>
      </c>
      <c r="CU963" s="20" t="inlineStr">
        <is>
          <t>egy.mit.sp.all.lpg.6</t>
        </is>
      </c>
      <c r="CV963" s="3" t="n">
        <v>25.36372135582102</v>
      </c>
      <c r="CW963" s="3" t="n">
        <v>22.16828174127977</v>
      </c>
      <c r="CX963" s="3" t="n">
        <v>21.27543767141362</v>
      </c>
      <c r="CY963" s="3" t="n">
        <v>18.62641297155985</v>
      </c>
      <c r="CZ963" s="3" t="n">
        <v>20.46748699512439</v>
      </c>
      <c r="DA963" s="3" t="n">
        <v>18.5584192151121</v>
      </c>
      <c r="DB963" s="3" t="n">
        <v>18.03320374373451</v>
      </c>
      <c r="DC963" s="3" t="n">
        <v>17.76845255560795</v>
      </c>
      <c r="DD963" s="3" t="n">
        <v>17.53692599399765</v>
      </c>
      <c r="DE963" s="3" t="n">
        <v>17.28539372267568</v>
      </c>
      <c r="DF963" s="3" t="n">
        <v>17.28539372267568</v>
      </c>
      <c r="DG963" s="3" t="n">
        <v>17.28539372267568</v>
      </c>
      <c r="DH963" s="3" t="n">
        <v>17.28539372267569</v>
      </c>
      <c r="DI963" s="3" t="n">
        <v>17.28539372267569</v>
      </c>
      <c r="DJ963" s="3" t="n">
        <v>17.28539372267569</v>
      </c>
      <c r="DK963" s="3" t="n">
        <v>17.28539372267568</v>
      </c>
      <c r="DL963" s="3" t="n">
        <v>17.28539372267568</v>
      </c>
      <c r="DM963" s="3" t="n">
        <v>17.28539372267568</v>
      </c>
      <c r="DN963" s="3" t="n">
        <v>17.28539372267568</v>
      </c>
      <c r="DO963" s="3" t="n">
        <v>17.28539372267568</v>
      </c>
    </row>
    <row r="964">
      <c r="A964" s="19" t="inlineStr">
        <is>
          <t>mit.sp.all.ker</t>
        </is>
      </c>
      <c r="B964" s="3" t="inlineStr">
        <is>
          <t>mit</t>
        </is>
      </c>
      <c r="C964" s="19" t="inlineStr">
        <is>
          <t>mit.sp.ker.all</t>
        </is>
      </c>
      <c r="H964" s="3" t="inlineStr">
        <is>
          <t>Supply cost (pre-tax price) | All sectors | Kerosene</t>
        </is>
      </c>
      <c r="I964" s="3" t="inlineStr">
        <is>
          <t>USD/GJ real</t>
        </is>
      </c>
      <c r="K964" s="20" t="inlineStr">
        <is>
          <t>egy.mit.sp.all.ker.1</t>
        </is>
      </c>
      <c r="L964" s="3" t="n">
        <v>20.18522909259451</v>
      </c>
      <c r="M964" s="3" t="n">
        <v>18.53380342983447</v>
      </c>
      <c r="N964" s="3" t="n">
        <v>18.687516334515</v>
      </c>
      <c r="O964" s="3" t="n">
        <v>16.16582277566372</v>
      </c>
      <c r="P964" s="3" t="n">
        <v>17.91840156696279</v>
      </c>
      <c r="Q964" s="3" t="n">
        <v>16.10109728719022</v>
      </c>
      <c r="R964" s="3" t="n">
        <v>15.60112744121068</v>
      </c>
      <c r="S964" s="3" t="n">
        <v>15.34910209549237</v>
      </c>
      <c r="T964" s="3" t="n">
        <v>15.12870436226328</v>
      </c>
      <c r="U964" s="3" t="n">
        <v>14.8892625373264</v>
      </c>
      <c r="V964" s="3" t="n">
        <v>14.8892625373264</v>
      </c>
      <c r="W964" s="3" t="n">
        <v>14.8892625373264</v>
      </c>
      <c r="X964" s="3" t="n">
        <v>14.8892625373264</v>
      </c>
      <c r="Y964" s="3" t="n">
        <v>14.8892625373264</v>
      </c>
      <c r="Z964" s="3" t="n">
        <v>14.8892625373264</v>
      </c>
      <c r="AA964" s="3" t="n">
        <v>14.8892625373264</v>
      </c>
      <c r="AB964" s="3" t="n">
        <v>14.8892625373264</v>
      </c>
      <c r="AC964" s="3" t="n">
        <v>14.8892625373264</v>
      </c>
      <c r="AD964" s="3" t="n">
        <v>14.8892625373264</v>
      </c>
      <c r="AE964" s="3" t="n">
        <v>14.8892625373264</v>
      </c>
      <c r="AG964" s="20" t="inlineStr">
        <is>
          <t>egy.mit.sp.all.ker.3</t>
        </is>
      </c>
      <c r="AH964" s="3" t="n">
        <v>20.18522909259451</v>
      </c>
      <c r="AI964" s="3" t="n">
        <v>18.53380342983447</v>
      </c>
      <c r="AJ964" s="3" t="n">
        <v>18.687516334515</v>
      </c>
      <c r="AK964" s="3" t="n">
        <v>16.16582277566372</v>
      </c>
      <c r="AL964" s="3" t="n">
        <v>17.91840156696279</v>
      </c>
      <c r="AM964" s="3" t="n">
        <v>16.10109728719022</v>
      </c>
      <c r="AN964" s="3" t="n">
        <v>15.60112744121068</v>
      </c>
      <c r="AO964" s="3" t="n">
        <v>15.34910209549237</v>
      </c>
      <c r="AP964" s="3" t="n">
        <v>15.12870436226328</v>
      </c>
      <c r="AQ964" s="3" t="n">
        <v>14.8892625373264</v>
      </c>
      <c r="AR964" s="3" t="n">
        <v>14.8892625373264</v>
      </c>
      <c r="AS964" s="3" t="n">
        <v>14.8892625373264</v>
      </c>
      <c r="AT964" s="3" t="n">
        <v>14.8892625373264</v>
      </c>
      <c r="AU964" s="3" t="n">
        <v>14.8892625373264</v>
      </c>
      <c r="AV964" s="3" t="n">
        <v>14.8892625373264</v>
      </c>
      <c r="AW964" s="3" t="n">
        <v>14.8892625373264</v>
      </c>
      <c r="AX964" s="3" t="n">
        <v>14.8892625373264</v>
      </c>
      <c r="AY964" s="3" t="n">
        <v>14.8892625373264</v>
      </c>
      <c r="AZ964" s="3" t="n">
        <v>14.8892625373264</v>
      </c>
      <c r="BA964" s="3" t="n">
        <v>14.8892625373264</v>
      </c>
      <c r="BC964" s="20" t="inlineStr">
        <is>
          <t>egy.mit.sp.all.ker.4</t>
        </is>
      </c>
      <c r="BD964" s="3" t="n">
        <v>20.18522909259451</v>
      </c>
      <c r="BE964" s="3" t="n">
        <v>18.53380342983447</v>
      </c>
      <c r="BF964" s="3" t="n">
        <v>18.687516334515</v>
      </c>
      <c r="BG964" s="3" t="n">
        <v>16.16582277566372</v>
      </c>
      <c r="BH964" s="3" t="n">
        <v>17.91840156696279</v>
      </c>
      <c r="BI964" s="3" t="n">
        <v>16.10109728719022</v>
      </c>
      <c r="BJ964" s="3" t="n">
        <v>15.60112744121068</v>
      </c>
      <c r="BK964" s="3" t="n">
        <v>15.34910209549237</v>
      </c>
      <c r="BL964" s="3" t="n">
        <v>15.12870436226328</v>
      </c>
      <c r="BM964" s="3" t="n">
        <v>14.8892625373264</v>
      </c>
      <c r="BN964" s="3" t="n">
        <v>14.8892625373264</v>
      </c>
      <c r="BO964" s="3" t="n">
        <v>14.8892625373264</v>
      </c>
      <c r="BP964" s="3" t="n">
        <v>14.8892625373264</v>
      </c>
      <c r="BQ964" s="3" t="n">
        <v>14.8892625373264</v>
      </c>
      <c r="BR964" s="3" t="n">
        <v>14.8892625373264</v>
      </c>
      <c r="BS964" s="3" t="n">
        <v>14.8892625373264</v>
      </c>
      <c r="BT964" s="3" t="n">
        <v>14.8892625373264</v>
      </c>
      <c r="BU964" s="3" t="n">
        <v>14.8892625373264</v>
      </c>
      <c r="BV964" s="3" t="n">
        <v>14.8892625373264</v>
      </c>
      <c r="BW964" s="3" t="n">
        <v>14.8892625373264</v>
      </c>
      <c r="BY964" s="20" t="inlineStr">
        <is>
          <t>egy.mit.sp.all.ker.5</t>
        </is>
      </c>
      <c r="BZ964" s="3" t="n">
        <v>20.18522909259451</v>
      </c>
      <c r="CA964" s="3" t="n">
        <v>18.53380342983447</v>
      </c>
      <c r="CB964" s="3" t="n">
        <v>18.687516334515</v>
      </c>
      <c r="CC964" s="3" t="n">
        <v>16.16582277566372</v>
      </c>
      <c r="CD964" s="3" t="n">
        <v>17.91840156696279</v>
      </c>
      <c r="CE964" s="3" t="n">
        <v>16.10109728719022</v>
      </c>
      <c r="CF964" s="3" t="n">
        <v>15.60112744121068</v>
      </c>
      <c r="CG964" s="3" t="n">
        <v>15.34910209549237</v>
      </c>
      <c r="CH964" s="3" t="n">
        <v>15.12870436226328</v>
      </c>
      <c r="CI964" s="3" t="n">
        <v>14.8892625373264</v>
      </c>
      <c r="CJ964" s="3" t="n">
        <v>14.8892625373264</v>
      </c>
      <c r="CK964" s="3" t="n">
        <v>14.8892625373264</v>
      </c>
      <c r="CL964" s="3" t="n">
        <v>14.8892625373264</v>
      </c>
      <c r="CM964" s="3" t="n">
        <v>14.8892625373264</v>
      </c>
      <c r="CN964" s="3" t="n">
        <v>14.8892625373264</v>
      </c>
      <c r="CO964" s="3" t="n">
        <v>14.8892625373264</v>
      </c>
      <c r="CP964" s="3" t="n">
        <v>14.8892625373264</v>
      </c>
      <c r="CQ964" s="3" t="n">
        <v>14.8892625373264</v>
      </c>
      <c r="CR964" s="3" t="n">
        <v>14.8892625373264</v>
      </c>
      <c r="CS964" s="3" t="n">
        <v>14.8892625373264</v>
      </c>
      <c r="CU964" s="20" t="inlineStr">
        <is>
          <t>egy.mit.sp.all.ker.6</t>
        </is>
      </c>
      <c r="CV964" s="3" t="n">
        <v>20.18522909259451</v>
      </c>
      <c r="CW964" s="3" t="n">
        <v>18.53380342983447</v>
      </c>
      <c r="CX964" s="3" t="n">
        <v>18.687516334515</v>
      </c>
      <c r="CY964" s="3" t="n">
        <v>16.16582277566372</v>
      </c>
      <c r="CZ964" s="3" t="n">
        <v>17.91840156696279</v>
      </c>
      <c r="DA964" s="3" t="n">
        <v>16.10109728719022</v>
      </c>
      <c r="DB964" s="3" t="n">
        <v>15.60112744121068</v>
      </c>
      <c r="DC964" s="3" t="n">
        <v>15.34910209549237</v>
      </c>
      <c r="DD964" s="3" t="n">
        <v>15.12870436226328</v>
      </c>
      <c r="DE964" s="3" t="n">
        <v>14.8892625373264</v>
      </c>
      <c r="DF964" s="3" t="n">
        <v>14.8892625373264</v>
      </c>
      <c r="DG964" s="3" t="n">
        <v>14.8892625373264</v>
      </c>
      <c r="DH964" s="3" t="n">
        <v>14.8892625373264</v>
      </c>
      <c r="DI964" s="3" t="n">
        <v>14.8892625373264</v>
      </c>
      <c r="DJ964" s="3" t="n">
        <v>14.8892625373264</v>
      </c>
      <c r="DK964" s="3" t="n">
        <v>14.8892625373264</v>
      </c>
      <c r="DL964" s="3" t="n">
        <v>14.8892625373264</v>
      </c>
      <c r="DM964" s="3" t="n">
        <v>14.8892625373264</v>
      </c>
      <c r="DN964" s="3" t="n">
        <v>14.8892625373264</v>
      </c>
      <c r="DO964" s="3" t="n">
        <v>14.8892625373264</v>
      </c>
    </row>
    <row r="965">
      <c r="A965" s="19" t="inlineStr">
        <is>
          <t>mit.sp.all.oop</t>
        </is>
      </c>
      <c r="B965" s="3" t="inlineStr">
        <is>
          <t>mit</t>
        </is>
      </c>
      <c r="C965" s="19" t="inlineStr">
        <is>
          <t>mit.sp.oop.all</t>
        </is>
      </c>
      <c r="H965" s="3" t="inlineStr">
        <is>
          <t>Supply cost (pre-tax price) | All sectors | Other oil products</t>
        </is>
      </c>
      <c r="I965" s="3" t="inlineStr">
        <is>
          <t>USD/GJ real</t>
        </is>
      </c>
      <c r="K965" s="20" t="inlineStr">
        <is>
          <t>egy.mit.sp.all.oop.1</t>
        </is>
      </c>
      <c r="L965" s="3" t="n">
        <v>18.7181563452752</v>
      </c>
      <c r="M965" s="3" t="n">
        <v>15.72799110744487</v>
      </c>
      <c r="N965" s="3" t="n">
        <v>15.13575251722198</v>
      </c>
      <c r="O965" s="3" t="n">
        <v>12.83138415607814</v>
      </c>
      <c r="P965" s="3" t="n">
        <v>14.43292178260919</v>
      </c>
      <c r="Q965" s="3" t="n">
        <v>12.77223685514049</v>
      </c>
      <c r="R965" s="3" t="n">
        <v>12.31535553006542</v>
      </c>
      <c r="S965" s="3" t="n">
        <v>12.08505029299921</v>
      </c>
      <c r="T965" s="3" t="n">
        <v>11.88364692995445</v>
      </c>
      <c r="U965" s="3" t="n">
        <v>11.66484073767055</v>
      </c>
      <c r="V965" s="3" t="n">
        <v>11.66484073767055</v>
      </c>
      <c r="W965" s="3" t="n">
        <v>11.66484073767055</v>
      </c>
      <c r="X965" s="3" t="n">
        <v>11.66484073767055</v>
      </c>
      <c r="Y965" s="3" t="n">
        <v>11.66484073767055</v>
      </c>
      <c r="Z965" s="3" t="n">
        <v>11.66484073767055</v>
      </c>
      <c r="AA965" s="3" t="n">
        <v>11.66484073767055</v>
      </c>
      <c r="AB965" s="3" t="n">
        <v>11.66484073767055</v>
      </c>
      <c r="AC965" s="3" t="n">
        <v>11.66484073767055</v>
      </c>
      <c r="AD965" s="3" t="n">
        <v>11.66484073767055</v>
      </c>
      <c r="AE965" s="3" t="n">
        <v>11.66484073767055</v>
      </c>
      <c r="AG965" s="20" t="inlineStr">
        <is>
          <t>egy.mit.sp.all.oop.3</t>
        </is>
      </c>
      <c r="AH965" s="3" t="n">
        <v>18.7181563452752</v>
      </c>
      <c r="AI965" s="3" t="n">
        <v>15.72799110744487</v>
      </c>
      <c r="AJ965" s="3" t="n">
        <v>15.13575251722198</v>
      </c>
      <c r="AK965" s="3" t="n">
        <v>12.83138415607814</v>
      </c>
      <c r="AL965" s="3" t="n">
        <v>14.43292178260919</v>
      </c>
      <c r="AM965" s="3" t="n">
        <v>12.77223685514049</v>
      </c>
      <c r="AN965" s="3" t="n">
        <v>12.31535553006542</v>
      </c>
      <c r="AO965" s="3" t="n">
        <v>12.08505029299921</v>
      </c>
      <c r="AP965" s="3" t="n">
        <v>11.88364692995445</v>
      </c>
      <c r="AQ965" s="3" t="n">
        <v>11.66484073767055</v>
      </c>
      <c r="AR965" s="3" t="n">
        <v>11.66484073767055</v>
      </c>
      <c r="AS965" s="3" t="n">
        <v>11.66484073767055</v>
      </c>
      <c r="AT965" s="3" t="n">
        <v>11.66484073767055</v>
      </c>
      <c r="AU965" s="3" t="n">
        <v>11.66484073767055</v>
      </c>
      <c r="AV965" s="3" t="n">
        <v>11.66484073767055</v>
      </c>
      <c r="AW965" s="3" t="n">
        <v>11.66484073767055</v>
      </c>
      <c r="AX965" s="3" t="n">
        <v>11.66484073767055</v>
      </c>
      <c r="AY965" s="3" t="n">
        <v>11.66484073767055</v>
      </c>
      <c r="AZ965" s="3" t="n">
        <v>11.66484073767055</v>
      </c>
      <c r="BA965" s="3" t="n">
        <v>11.66484073767055</v>
      </c>
      <c r="BC965" s="20" t="inlineStr">
        <is>
          <t>egy.mit.sp.all.oop.4</t>
        </is>
      </c>
      <c r="BD965" s="3" t="n">
        <v>18.7181563452752</v>
      </c>
      <c r="BE965" s="3" t="n">
        <v>15.72799110744487</v>
      </c>
      <c r="BF965" s="3" t="n">
        <v>15.13575251722198</v>
      </c>
      <c r="BG965" s="3" t="n">
        <v>12.83138415607814</v>
      </c>
      <c r="BH965" s="3" t="n">
        <v>14.43292178260919</v>
      </c>
      <c r="BI965" s="3" t="n">
        <v>12.77223685514049</v>
      </c>
      <c r="BJ965" s="3" t="n">
        <v>12.31535553006542</v>
      </c>
      <c r="BK965" s="3" t="n">
        <v>12.08505029299921</v>
      </c>
      <c r="BL965" s="3" t="n">
        <v>11.88364692995445</v>
      </c>
      <c r="BM965" s="3" t="n">
        <v>11.66484073767055</v>
      </c>
      <c r="BN965" s="3" t="n">
        <v>11.66484073767055</v>
      </c>
      <c r="BO965" s="3" t="n">
        <v>11.66484073767055</v>
      </c>
      <c r="BP965" s="3" t="n">
        <v>11.66484073767055</v>
      </c>
      <c r="BQ965" s="3" t="n">
        <v>11.66484073767055</v>
      </c>
      <c r="BR965" s="3" t="n">
        <v>11.66484073767055</v>
      </c>
      <c r="BS965" s="3" t="n">
        <v>11.66484073767055</v>
      </c>
      <c r="BT965" s="3" t="n">
        <v>11.66484073767055</v>
      </c>
      <c r="BU965" s="3" t="n">
        <v>11.66484073767055</v>
      </c>
      <c r="BV965" s="3" t="n">
        <v>11.66484073767055</v>
      </c>
      <c r="BW965" s="3" t="n">
        <v>11.66484073767055</v>
      </c>
      <c r="BY965" s="20" t="inlineStr">
        <is>
          <t>egy.mit.sp.all.oop.5</t>
        </is>
      </c>
      <c r="BZ965" s="3" t="n">
        <v>18.7181563452752</v>
      </c>
      <c r="CA965" s="3" t="n">
        <v>15.72799110744487</v>
      </c>
      <c r="CB965" s="3" t="n">
        <v>15.13575251722198</v>
      </c>
      <c r="CC965" s="3" t="n">
        <v>12.83138415607814</v>
      </c>
      <c r="CD965" s="3" t="n">
        <v>14.43292178260919</v>
      </c>
      <c r="CE965" s="3" t="n">
        <v>12.77223685514049</v>
      </c>
      <c r="CF965" s="3" t="n">
        <v>12.31535553006542</v>
      </c>
      <c r="CG965" s="3" t="n">
        <v>12.08505029299921</v>
      </c>
      <c r="CH965" s="3" t="n">
        <v>11.88364692995445</v>
      </c>
      <c r="CI965" s="3" t="n">
        <v>11.66484073767055</v>
      </c>
      <c r="CJ965" s="3" t="n">
        <v>11.66484073767055</v>
      </c>
      <c r="CK965" s="3" t="n">
        <v>11.66484073767055</v>
      </c>
      <c r="CL965" s="3" t="n">
        <v>11.66484073767055</v>
      </c>
      <c r="CM965" s="3" t="n">
        <v>11.66484073767055</v>
      </c>
      <c r="CN965" s="3" t="n">
        <v>11.66484073767055</v>
      </c>
      <c r="CO965" s="3" t="n">
        <v>11.66484073767055</v>
      </c>
      <c r="CP965" s="3" t="n">
        <v>11.66484073767055</v>
      </c>
      <c r="CQ965" s="3" t="n">
        <v>11.66484073767055</v>
      </c>
      <c r="CR965" s="3" t="n">
        <v>11.66484073767055</v>
      </c>
      <c r="CS965" s="3" t="n">
        <v>11.66484073767055</v>
      </c>
      <c r="CU965" s="20" t="inlineStr">
        <is>
          <t>egy.mit.sp.all.oop.6</t>
        </is>
      </c>
      <c r="CV965" s="3" t="n">
        <v>18.7181563452752</v>
      </c>
      <c r="CW965" s="3" t="n">
        <v>15.72799110744487</v>
      </c>
      <c r="CX965" s="3" t="n">
        <v>15.13575251722198</v>
      </c>
      <c r="CY965" s="3" t="n">
        <v>12.83138415607814</v>
      </c>
      <c r="CZ965" s="3" t="n">
        <v>14.43292178260919</v>
      </c>
      <c r="DA965" s="3" t="n">
        <v>12.77223685514049</v>
      </c>
      <c r="DB965" s="3" t="n">
        <v>12.31535553006542</v>
      </c>
      <c r="DC965" s="3" t="n">
        <v>12.08505029299921</v>
      </c>
      <c r="DD965" s="3" t="n">
        <v>11.88364692995445</v>
      </c>
      <c r="DE965" s="3" t="n">
        <v>11.66484073767055</v>
      </c>
      <c r="DF965" s="3" t="n">
        <v>11.66484073767055</v>
      </c>
      <c r="DG965" s="3" t="n">
        <v>11.66484073767055</v>
      </c>
      <c r="DH965" s="3" t="n">
        <v>11.66484073767055</v>
      </c>
      <c r="DI965" s="3" t="n">
        <v>11.66484073767055</v>
      </c>
      <c r="DJ965" s="3" t="n">
        <v>11.66484073767055</v>
      </c>
      <c r="DK965" s="3" t="n">
        <v>11.66484073767055</v>
      </c>
      <c r="DL965" s="3" t="n">
        <v>11.66484073767055</v>
      </c>
      <c r="DM965" s="3" t="n">
        <v>11.66484073767055</v>
      </c>
      <c r="DN965" s="3" t="n">
        <v>11.66484073767055</v>
      </c>
      <c r="DO965" s="3" t="n">
        <v>11.66484073767055</v>
      </c>
    </row>
    <row r="966">
      <c r="A966" s="19" t="inlineStr">
        <is>
          <t>mit.rpn.pow.coa</t>
        </is>
      </c>
      <c r="B966" s="3" t="inlineStr">
        <is>
          <t>mit</t>
        </is>
      </c>
      <c r="C966" s="19" t="inlineStr">
        <is>
          <t>mit.rp.pow.coa.a</t>
        </is>
      </c>
      <c r="H966" s="3" t="inlineStr">
        <is>
          <t>Retail price incl. new taxes and subsidies (fuel-use weighted average of the after-tax prices atp of the subsectors priced by the block; rpb where they use none) | Power | Coal</t>
        </is>
      </c>
      <c r="I966" s="3" t="inlineStr">
        <is>
          <t>USD/GJ real</t>
        </is>
      </c>
      <c r="K966" s="20" t="inlineStr">
        <is>
          <t>egy.mit.rpn.pow.coa.1</t>
        </is>
      </c>
      <c r="L966" s="3" t="n">
        <v>13.46421248673108</v>
      </c>
      <c r="M966" s="3" t="n">
        <v>6.58847527233409</v>
      </c>
      <c r="N966" s="3" t="n">
        <v>5.8065680582894</v>
      </c>
      <c r="O966" s="3" t="n">
        <v>4.753248660508235</v>
      </c>
      <c r="P966" s="3" t="n">
        <v>5.333622207074439</v>
      </c>
      <c r="Q966" s="3" t="n">
        <v>5.464539844255792</v>
      </c>
      <c r="R966" s="3" t="n">
        <v>5.402463620677809</v>
      </c>
      <c r="S966" s="3" t="n">
        <v>5.335894303959473</v>
      </c>
      <c r="T966" s="3" t="n">
        <v>5.264647833458736</v>
      </c>
      <c r="U966" s="3" t="n">
        <v>5.195892089564461</v>
      </c>
      <c r="V966" s="3" t="n">
        <v>5.195892089564461</v>
      </c>
      <c r="W966" s="3" t="n">
        <v>5.195892089564461</v>
      </c>
      <c r="X966" s="3" t="n">
        <v>5.195892089564463</v>
      </c>
      <c r="Y966" s="3" t="n">
        <v>5.195892089564463</v>
      </c>
      <c r="Z966" s="3" t="n">
        <v>5.195892089564463</v>
      </c>
      <c r="AA966" s="3" t="n">
        <v>5.195892089564462</v>
      </c>
      <c r="AB966" s="3" t="n">
        <v>5.195892089564462</v>
      </c>
      <c r="AC966" s="3" t="n">
        <v>5.195892089564463</v>
      </c>
      <c r="AD966" s="3" t="n">
        <v>5.195892089564463</v>
      </c>
      <c r="AE966" s="3" t="n">
        <v>5.195892089564463</v>
      </c>
      <c r="AG966" s="20" t="inlineStr">
        <is>
          <t>egy.mit.rpn.pow.coa.3</t>
        </is>
      </c>
      <c r="AH966" s="3" t="n">
        <v>13.46421248673108</v>
      </c>
      <c r="AI966" s="3" t="n">
        <v>6.58847527233409</v>
      </c>
      <c r="AJ966" s="3" t="n">
        <v>5.8065680582894</v>
      </c>
      <c r="AK966" s="3" t="n">
        <v>4.753248660508235</v>
      </c>
      <c r="AL966" s="3" t="n">
        <v>5.333622207074439</v>
      </c>
      <c r="AM966" s="3" t="n">
        <v>5.464539844255792</v>
      </c>
      <c r="AN966" s="3" t="n">
        <v>5.402463620677809</v>
      </c>
      <c r="AO966" s="3" t="n">
        <v>5.335894303959473</v>
      </c>
      <c r="AP966" s="3" t="n">
        <v>5.264647833458736</v>
      </c>
      <c r="AQ966" s="3" t="n">
        <v>5.195892089564461</v>
      </c>
      <c r="AR966" s="3" t="n">
        <v>5.195892089564461</v>
      </c>
      <c r="AS966" s="3" t="n">
        <v>5.195892089564461</v>
      </c>
      <c r="AT966" s="3" t="n">
        <v>5.195892089564463</v>
      </c>
      <c r="AU966" s="3" t="n">
        <v>5.195892089564463</v>
      </c>
      <c r="AV966" s="3" t="n">
        <v>5.195892089564463</v>
      </c>
      <c r="AW966" s="3" t="n">
        <v>5.195892089564462</v>
      </c>
      <c r="AX966" s="3" t="n">
        <v>5.195892089564462</v>
      </c>
      <c r="AY966" s="3" t="n">
        <v>5.195892089564463</v>
      </c>
      <c r="AZ966" s="3" t="n">
        <v>5.195892089564463</v>
      </c>
      <c r="BA966" s="3" t="n">
        <v>5.195892089564463</v>
      </c>
      <c r="BC966" s="20" t="inlineStr">
        <is>
          <t>egy.mit.rpn.pow.coa.4</t>
        </is>
      </c>
      <c r="BD966" s="3" t="n">
        <v>13.46421248673108</v>
      </c>
      <c r="BE966" s="3" t="n">
        <v>6.58847527233409</v>
      </c>
      <c r="BF966" s="3" t="n">
        <v>5.8065680582894</v>
      </c>
      <c r="BG966" s="3" t="n">
        <v>4.753248660508235</v>
      </c>
      <c r="BH966" s="3" t="n">
        <v>5.333622207074439</v>
      </c>
      <c r="BI966" s="3" t="n">
        <v>5.464539844255792</v>
      </c>
      <c r="BJ966" s="3" t="n">
        <v>5.402463620677809</v>
      </c>
      <c r="BK966" s="3" t="n">
        <v>5.335894303959473</v>
      </c>
      <c r="BL966" s="3" t="n">
        <v>5.264647833458736</v>
      </c>
      <c r="BM966" s="3" t="n">
        <v>5.195892089564461</v>
      </c>
      <c r="BN966" s="3" t="n">
        <v>5.195892089564461</v>
      </c>
      <c r="BO966" s="3" t="n">
        <v>5.195892089564461</v>
      </c>
      <c r="BP966" s="3" t="n">
        <v>5.195892089564463</v>
      </c>
      <c r="BQ966" s="3" t="n">
        <v>5.195892089564463</v>
      </c>
      <c r="BR966" s="3" t="n">
        <v>5.195892089564463</v>
      </c>
      <c r="BS966" s="3" t="n">
        <v>5.195892089564462</v>
      </c>
      <c r="BT966" s="3" t="n">
        <v>5.195892089564462</v>
      </c>
      <c r="BU966" s="3" t="n">
        <v>5.195892089564463</v>
      </c>
      <c r="BV966" s="3" t="n">
        <v>5.195892089564463</v>
      </c>
      <c r="BW966" s="3" t="n">
        <v>5.195892089564463</v>
      </c>
      <c r="BY966" s="20" t="inlineStr">
        <is>
          <t>egy.mit.rpn.pow.coa.5</t>
        </is>
      </c>
      <c r="BZ966" s="3" t="n">
        <v>13.46421248673108</v>
      </c>
      <c r="CA966" s="3" t="n">
        <v>6.58847527233409</v>
      </c>
      <c r="CB966" s="3" t="n">
        <v>5.8065680582894</v>
      </c>
      <c r="CC966" s="3" t="n">
        <v>4.753248660508235</v>
      </c>
      <c r="CD966" s="3" t="n">
        <v>5.333622207074439</v>
      </c>
      <c r="CE966" s="3" t="n">
        <v>5.464539844255792</v>
      </c>
      <c r="CF966" s="3" t="n">
        <v>5.402463620677809</v>
      </c>
      <c r="CG966" s="3" t="n">
        <v>5.335894303959473</v>
      </c>
      <c r="CH966" s="3" t="n">
        <v>5.264647833458736</v>
      </c>
      <c r="CI966" s="3" t="n">
        <v>5.195892089564461</v>
      </c>
      <c r="CJ966" s="3" t="n">
        <v>5.195892089564461</v>
      </c>
      <c r="CK966" s="3" t="n">
        <v>5.195892089564461</v>
      </c>
      <c r="CL966" s="3" t="n">
        <v>5.195892089564463</v>
      </c>
      <c r="CM966" s="3" t="n">
        <v>5.195892089564463</v>
      </c>
      <c r="CN966" s="3" t="n">
        <v>5.195892089564463</v>
      </c>
      <c r="CO966" s="3" t="n">
        <v>5.195892089564462</v>
      </c>
      <c r="CP966" s="3" t="n">
        <v>5.195892089564462</v>
      </c>
      <c r="CQ966" s="3" t="n">
        <v>5.195892089564463</v>
      </c>
      <c r="CR966" s="3" t="n">
        <v>5.195892089564463</v>
      </c>
      <c r="CS966" s="3" t="n">
        <v>5.195892089564463</v>
      </c>
      <c r="CU966" s="20" t="inlineStr">
        <is>
          <t>egy.mit.rpn.pow.coa.6</t>
        </is>
      </c>
      <c r="CV966" s="3" t="n">
        <v>13.46421248673108</v>
      </c>
      <c r="CW966" s="3" t="n">
        <v>6.58847527233409</v>
      </c>
      <c r="CX966" s="3" t="n">
        <v>5.8065680582894</v>
      </c>
      <c r="CY966" s="3" t="n">
        <v>4.753248660508235</v>
      </c>
      <c r="CZ966" s="3" t="n">
        <v>5.333622207074439</v>
      </c>
      <c r="DA966" s="3" t="n">
        <v>5.464539844255792</v>
      </c>
      <c r="DB966" s="3" t="n">
        <v>5.402463620677809</v>
      </c>
      <c r="DC966" s="3" t="n">
        <v>5.335894303959473</v>
      </c>
      <c r="DD966" s="3" t="n">
        <v>5.264647833458736</v>
      </c>
      <c r="DE966" s="3" t="n">
        <v>5.195892089564461</v>
      </c>
      <c r="DF966" s="3" t="n">
        <v>5.195892089564461</v>
      </c>
      <c r="DG966" s="3" t="n">
        <v>5.195892089564461</v>
      </c>
      <c r="DH966" s="3" t="n">
        <v>5.195892089564463</v>
      </c>
      <c r="DI966" s="3" t="n">
        <v>5.195892089564463</v>
      </c>
      <c r="DJ966" s="3" t="n">
        <v>5.195892089564463</v>
      </c>
      <c r="DK966" s="3" t="n">
        <v>5.195892089564462</v>
      </c>
      <c r="DL966" s="3" t="n">
        <v>5.195892089564462</v>
      </c>
      <c r="DM966" s="3" t="n">
        <v>5.195892089564463</v>
      </c>
      <c r="DN966" s="3" t="n">
        <v>5.195892089564463</v>
      </c>
      <c r="DO966" s="3" t="n">
        <v>5.195892089564463</v>
      </c>
    </row>
    <row r="967">
      <c r="A967" s="19" t="inlineStr">
        <is>
          <t>mit.rpn.res.coa</t>
        </is>
      </c>
      <c r="B967" s="3" t="inlineStr">
        <is>
          <t>mit</t>
        </is>
      </c>
      <c r="C967" s="19" t="inlineStr">
        <is>
          <t>mit.rp.res.coa.a</t>
        </is>
      </c>
      <c r="H967" s="3" t="inlineStr">
        <is>
          <t>Retail price incl. new taxes and subsidies (fuel-use weighted average of the after-tax prices atp of the subsectors priced by the block; rpb where they use none) | Residential | Coal</t>
        </is>
      </c>
      <c r="I967" s="3" t="inlineStr">
        <is>
          <t>USD/GJ real</t>
        </is>
      </c>
      <c r="K967" s="20" t="inlineStr">
        <is>
          <t>egy.mit.rpn.res.coa.1</t>
        </is>
      </c>
      <c r="L967" s="3" t="n">
        <v>23.57657960090451</v>
      </c>
      <c r="M967" s="3" t="n">
        <v>15.45297302294686</v>
      </c>
      <c r="N967" s="3" t="n">
        <v>14.48322663188887</v>
      </c>
      <c r="O967" s="3" t="n">
        <v>13.29323859724514</v>
      </c>
      <c r="P967" s="3" t="n">
        <v>13.94891585667126</v>
      </c>
      <c r="Q967" s="3" t="n">
        <v>14.09682011258624</v>
      </c>
      <c r="R967" s="3" t="n">
        <v>14.0266894727734</v>
      </c>
      <c r="S967" s="3" t="n">
        <v>13.95148275908703</v>
      </c>
      <c r="T967" s="3" t="n">
        <v>13.87099202893901</v>
      </c>
      <c r="U967" s="3" t="n">
        <v>13.79331519822692</v>
      </c>
      <c r="V967" s="3" t="n">
        <v>13.79331519822692</v>
      </c>
      <c r="W967" s="3" t="n">
        <v>13.79331519822692</v>
      </c>
      <c r="X967" s="3" t="n">
        <v>13.79331519822692</v>
      </c>
      <c r="Y967" s="3" t="n">
        <v>13.79331519822692</v>
      </c>
      <c r="Z967" s="3" t="n">
        <v>13.79331519822692</v>
      </c>
      <c r="AA967" s="3" t="n">
        <v>13.79331519822692</v>
      </c>
      <c r="AB967" s="3" t="n">
        <v>13.79331519822692</v>
      </c>
      <c r="AC967" s="3" t="n">
        <v>13.79331519822692</v>
      </c>
      <c r="AD967" s="3" t="n">
        <v>13.79331519822692</v>
      </c>
      <c r="AE967" s="3" t="n">
        <v>13.79331519822692</v>
      </c>
      <c r="AG967" s="20" t="inlineStr">
        <is>
          <t>egy.mit.rpn.res.coa.3</t>
        </is>
      </c>
      <c r="AH967" s="3" t="n">
        <v>23.57657960090451</v>
      </c>
      <c r="AI967" s="3" t="n">
        <v>15.45297302294686</v>
      </c>
      <c r="AJ967" s="3" t="n">
        <v>14.48322663188887</v>
      </c>
      <c r="AK967" s="3" t="n">
        <v>13.29323859724514</v>
      </c>
      <c r="AL967" s="3" t="n">
        <v>13.94891585667126</v>
      </c>
      <c r="AM967" s="3" t="n">
        <v>16.23727186510143</v>
      </c>
      <c r="AN967" s="3" t="n">
        <v>16.1671412252886</v>
      </c>
      <c r="AO967" s="3" t="n">
        <v>16.09193451160223</v>
      </c>
      <c r="AP967" s="3" t="n">
        <v>16.01144378145421</v>
      </c>
      <c r="AQ967" s="3" t="n">
        <v>15.93376695074211</v>
      </c>
      <c r="AR967" s="3" t="n">
        <v>15.93376695074211</v>
      </c>
      <c r="AS967" s="3" t="n">
        <v>15.93376695074211</v>
      </c>
      <c r="AT967" s="3" t="n">
        <v>15.93376695074212</v>
      </c>
      <c r="AU967" s="3" t="n">
        <v>15.93376695074212</v>
      </c>
      <c r="AV967" s="3" t="n">
        <v>15.93376695074212</v>
      </c>
      <c r="AW967" s="3" t="n">
        <v>15.93376695074211</v>
      </c>
      <c r="AX967" s="3" t="n">
        <v>15.93376695074211</v>
      </c>
      <c r="AY967" s="3" t="n">
        <v>15.93376695074211</v>
      </c>
      <c r="AZ967" s="3" t="n">
        <v>15.93376695074211</v>
      </c>
      <c r="BA967" s="3" t="n">
        <v>15.93376695074211</v>
      </c>
      <c r="BC967" s="20" t="inlineStr">
        <is>
          <t>egy.mit.rpn.res.coa.4</t>
        </is>
      </c>
      <c r="BD967" s="3" t="n">
        <v>23.57657960090451</v>
      </c>
      <c r="BE967" s="3" t="n">
        <v>15.45297302294686</v>
      </c>
      <c r="BF967" s="3" t="n">
        <v>14.48322663188887</v>
      </c>
      <c r="BG967" s="3" t="n">
        <v>13.29323859724514</v>
      </c>
      <c r="BH967" s="3" t="n">
        <v>13.94891585667126</v>
      </c>
      <c r="BI967" s="3" t="n">
        <v>15.16704598884384</v>
      </c>
      <c r="BJ967" s="3" t="n">
        <v>16.52388318404113</v>
      </c>
      <c r="BK967" s="3" t="n">
        <v>17.87564430536489</v>
      </c>
      <c r="BL967" s="3" t="n">
        <v>19.222121410227</v>
      </c>
      <c r="BM967" s="3" t="n">
        <v>20.57141241452504</v>
      </c>
      <c r="BN967" s="3" t="n">
        <v>21.99838024953517</v>
      </c>
      <c r="BO967" s="3" t="n">
        <v>23.4253480845453</v>
      </c>
      <c r="BP967" s="3" t="n">
        <v>24.85231591955543</v>
      </c>
      <c r="BQ967" s="3" t="n">
        <v>26.27928375456556</v>
      </c>
      <c r="BR967" s="3" t="n">
        <v>27.70625158957569</v>
      </c>
      <c r="BS967" s="3" t="n">
        <v>29.13321942458582</v>
      </c>
      <c r="BT967" s="3" t="n">
        <v>30.56018725959596</v>
      </c>
      <c r="BU967" s="3" t="n">
        <v>31.98715509460608</v>
      </c>
      <c r="BV967" s="3" t="n">
        <v>33.41412292961621</v>
      </c>
      <c r="BW967" s="3" t="n">
        <v>34.84109076462634</v>
      </c>
      <c r="BY967" s="20" t="inlineStr">
        <is>
          <t>egy.mit.rpn.res.coa.5</t>
        </is>
      </c>
      <c r="BZ967" s="3" t="n">
        <v>23.57657960090451</v>
      </c>
      <c r="CA967" s="3" t="n">
        <v>15.45297302294686</v>
      </c>
      <c r="CB967" s="3" t="n">
        <v>14.48322663188887</v>
      </c>
      <c r="CC967" s="3" t="n">
        <v>13.29323859724514</v>
      </c>
      <c r="CD967" s="3" t="n">
        <v>13.94891585667126</v>
      </c>
      <c r="CE967" s="3" t="n">
        <v>16.77238480323023</v>
      </c>
      <c r="CF967" s="3" t="n">
        <v>16.70225416341739</v>
      </c>
      <c r="CG967" s="3" t="n">
        <v>16.62704744973102</v>
      </c>
      <c r="CH967" s="3" t="n">
        <v>16.54655671958301</v>
      </c>
      <c r="CI967" s="3" t="n">
        <v>16.46887988887091</v>
      </c>
      <c r="CJ967" s="3" t="n">
        <v>16.46887988887091</v>
      </c>
      <c r="CK967" s="3" t="n">
        <v>16.46887988887091</v>
      </c>
      <c r="CL967" s="3" t="n">
        <v>16.46887988887092</v>
      </c>
      <c r="CM967" s="3" t="n">
        <v>16.46887988887092</v>
      </c>
      <c r="CN967" s="3" t="n">
        <v>16.46887988887092</v>
      </c>
      <c r="CO967" s="3" t="n">
        <v>16.46887988887091</v>
      </c>
      <c r="CP967" s="3" t="n">
        <v>16.46887988887091</v>
      </c>
      <c r="CQ967" s="3" t="n">
        <v>16.46887988887091</v>
      </c>
      <c r="CR967" s="3" t="n">
        <v>16.46887988887091</v>
      </c>
      <c r="CS967" s="3" t="n">
        <v>16.46887988887091</v>
      </c>
      <c r="CU967" s="20" t="inlineStr">
        <is>
          <t>egy.mit.rpn.res.coa.6</t>
        </is>
      </c>
      <c r="CV967" s="3" t="n">
        <v>23.57657960090451</v>
      </c>
      <c r="CW967" s="3" t="n">
        <v>15.45297302294686</v>
      </c>
      <c r="CX967" s="3" t="n">
        <v>14.48322663188887</v>
      </c>
      <c r="CY967" s="3" t="n">
        <v>13.29323859724514</v>
      </c>
      <c r="CZ967" s="3" t="n">
        <v>13.94891585667126</v>
      </c>
      <c r="DA967" s="3" t="n">
        <v>19.44794949387423</v>
      </c>
      <c r="DB967" s="3" t="n">
        <v>19.37781885406139</v>
      </c>
      <c r="DC967" s="3" t="n">
        <v>19.30261214037502</v>
      </c>
      <c r="DD967" s="3" t="n">
        <v>19.222121410227</v>
      </c>
      <c r="DE967" s="3" t="n">
        <v>19.14444457951491</v>
      </c>
      <c r="DF967" s="3" t="n">
        <v>19.14444457951491</v>
      </c>
      <c r="DG967" s="3" t="n">
        <v>19.14444457951491</v>
      </c>
      <c r="DH967" s="3" t="n">
        <v>19.14444457951491</v>
      </c>
      <c r="DI967" s="3" t="n">
        <v>19.14444457951491</v>
      </c>
      <c r="DJ967" s="3" t="n">
        <v>19.14444457951491</v>
      </c>
      <c r="DK967" s="3" t="n">
        <v>19.14444457951491</v>
      </c>
      <c r="DL967" s="3" t="n">
        <v>19.14444457951491</v>
      </c>
      <c r="DM967" s="3" t="n">
        <v>19.14444457951491</v>
      </c>
      <c r="DN967" s="3" t="n">
        <v>19.14444457951491</v>
      </c>
      <c r="DO967" s="3" t="n">
        <v>19.14444457951491</v>
      </c>
    </row>
    <row r="968">
      <c r="A968" s="19" t="inlineStr">
        <is>
          <t>mit.rpn.ind.coa</t>
        </is>
      </c>
      <c r="B968" s="3" t="inlineStr">
        <is>
          <t>mit</t>
        </is>
      </c>
      <c r="C968" s="19" t="inlineStr">
        <is>
          <t>mit.rp.ind.coa.a</t>
        </is>
      </c>
      <c r="H968" s="3" t="inlineStr">
        <is>
          <t>Retail price incl. new taxes and subsidies (fuel-use weighted average of the after-tax prices atp of the subsectors priced by the block; rpb where they use none) | Industry | Coal</t>
        </is>
      </c>
      <c r="I968" s="3" t="inlineStr">
        <is>
          <t>USD/GJ real</t>
        </is>
      </c>
      <c r="K968" s="20" t="inlineStr">
        <is>
          <t>egy.mit.rpn.ind.coa.1</t>
        </is>
      </c>
      <c r="L968" s="3" t="n">
        <v>11.25134662435542</v>
      </c>
      <c r="M968" s="3" t="n">
        <v>8.777356272224875</v>
      </c>
      <c r="N968" s="3" t="n">
        <v>7.571528433437519</v>
      </c>
      <c r="O968" s="3" t="n">
        <v>6.816201516066926</v>
      </c>
      <c r="P968" s="3" t="n">
        <v>7.232382745402233</v>
      </c>
      <c r="Q968" s="3" t="n">
        <v>7.326262736153317</v>
      </c>
      <c r="R968" s="3" t="n">
        <v>7.281748372612745</v>
      </c>
      <c r="S968" s="3" t="n">
        <v>7.234012047909863</v>
      </c>
      <c r="T968" s="3" t="n">
        <v>7.182921773630079</v>
      </c>
      <c r="U968" s="3" t="n">
        <v>7.133617579482906</v>
      </c>
      <c r="V968" s="3" t="n">
        <v>7.133617579482906</v>
      </c>
      <c r="W968" s="3" t="n">
        <v>7.133617579482905</v>
      </c>
      <c r="X968" s="3" t="n">
        <v>7.133617579482908</v>
      </c>
      <c r="Y968" s="3" t="n">
        <v>7.133617579482906</v>
      </c>
      <c r="Z968" s="3" t="n">
        <v>7.133617579482907</v>
      </c>
      <c r="AA968" s="3" t="n">
        <v>7.133617579482906</v>
      </c>
      <c r="AB968" s="3" t="n">
        <v>7.133617579482907</v>
      </c>
      <c r="AC968" s="3" t="n">
        <v>7.133617579482907</v>
      </c>
      <c r="AD968" s="3" t="n">
        <v>7.133617579482906</v>
      </c>
      <c r="AE968" s="3" t="n">
        <v>7.133617579482906</v>
      </c>
      <c r="AG968" s="20" t="inlineStr">
        <is>
          <t>egy.mit.rpn.ind.coa.3</t>
        </is>
      </c>
      <c r="AH968" s="3" t="n">
        <v>11.25134662435542</v>
      </c>
      <c r="AI968" s="3" t="n">
        <v>8.777356272224875</v>
      </c>
      <c r="AJ968" s="3" t="n">
        <v>7.571528433437519</v>
      </c>
      <c r="AK968" s="3" t="n">
        <v>6.816201516066926</v>
      </c>
      <c r="AL968" s="3" t="n">
        <v>7.232382745402233</v>
      </c>
      <c r="AM968" s="3" t="n">
        <v>9.317343602104829</v>
      </c>
      <c r="AN968" s="3" t="n">
        <v>9.27282923856426</v>
      </c>
      <c r="AO968" s="3" t="n">
        <v>9.225092913861376</v>
      </c>
      <c r="AP968" s="3" t="n">
        <v>9.174002639581591</v>
      </c>
      <c r="AQ968" s="3" t="n">
        <v>9.124698445434419</v>
      </c>
      <c r="AR968" s="3" t="n">
        <v>9.124698445434419</v>
      </c>
      <c r="AS968" s="3" t="n">
        <v>9.124698445434419</v>
      </c>
      <c r="AT968" s="3" t="n">
        <v>9.12469844543442</v>
      </c>
      <c r="AU968" s="3" t="n">
        <v>9.12469844543442</v>
      </c>
      <c r="AV968" s="3" t="n">
        <v>9.124698445434419</v>
      </c>
      <c r="AW968" s="3" t="n">
        <v>9.124698445434417</v>
      </c>
      <c r="AX968" s="3" t="n">
        <v>9.124698445434419</v>
      </c>
      <c r="AY968" s="3" t="n">
        <v>9.124698445434417</v>
      </c>
      <c r="AZ968" s="3" t="n">
        <v>9.12469844543442</v>
      </c>
      <c r="BA968" s="3" t="n">
        <v>9.12469844543442</v>
      </c>
      <c r="BC968" s="20" t="inlineStr">
        <is>
          <t>egy.mit.rpn.ind.coa.4</t>
        </is>
      </c>
      <c r="BD968" s="3" t="n">
        <v>11.25134662435542</v>
      </c>
      <c r="BE968" s="3" t="n">
        <v>8.777356272224875</v>
      </c>
      <c r="BF968" s="3" t="n">
        <v>7.571528433437519</v>
      </c>
      <c r="BG968" s="3" t="n">
        <v>6.816201516066926</v>
      </c>
      <c r="BH968" s="3" t="n">
        <v>7.232382745402233</v>
      </c>
      <c r="BI968" s="3" t="n">
        <v>8.321803169129073</v>
      </c>
      <c r="BJ968" s="3" t="n">
        <v>9.604676049556177</v>
      </c>
      <c r="BK968" s="3" t="n">
        <v>10.88432696882097</v>
      </c>
      <c r="BL968" s="3" t="n">
        <v>12.16062393850886</v>
      </c>
      <c r="BM968" s="3" t="n">
        <v>13.43870698832936</v>
      </c>
      <c r="BN968" s="3" t="n">
        <v>14.76609423229704</v>
      </c>
      <c r="BO968" s="3" t="n">
        <v>16.09348147626471</v>
      </c>
      <c r="BP968" s="3" t="n">
        <v>17.4208687202324</v>
      </c>
      <c r="BQ968" s="3" t="n">
        <v>18.74825596420007</v>
      </c>
      <c r="BR968" s="3" t="n">
        <v>20.07564320816774</v>
      </c>
      <c r="BS968" s="3" t="n">
        <v>21.40303045213542</v>
      </c>
      <c r="BT968" s="3" t="n">
        <v>22.73041769610309</v>
      </c>
      <c r="BU968" s="3" t="n">
        <v>24.05780494007077</v>
      </c>
      <c r="BV968" s="3" t="n">
        <v>25.38519218403844</v>
      </c>
      <c r="BW968" s="3" t="n">
        <v>26.71257942800612</v>
      </c>
      <c r="BY968" s="20" t="inlineStr">
        <is>
          <t>egy.mit.rpn.ind.coa.5</t>
        </is>
      </c>
      <c r="BZ968" s="3" t="n">
        <v>11.25134662435542</v>
      </c>
      <c r="CA968" s="3" t="n">
        <v>8.777356272224875</v>
      </c>
      <c r="CB968" s="3" t="n">
        <v>7.571528433437519</v>
      </c>
      <c r="CC968" s="3" t="n">
        <v>6.816201516066926</v>
      </c>
      <c r="CD968" s="3" t="n">
        <v>7.232382745402233</v>
      </c>
      <c r="CE968" s="3" t="n">
        <v>7.326262736153317</v>
      </c>
      <c r="CF968" s="3" t="n">
        <v>7.281748372612745</v>
      </c>
      <c r="CG968" s="3" t="n">
        <v>7.234012047909862</v>
      </c>
      <c r="CH968" s="3" t="n">
        <v>7.182921773630079</v>
      </c>
      <c r="CI968" s="3" t="n">
        <v>7.133617579482906</v>
      </c>
      <c r="CJ968" s="3" t="n">
        <v>7.133617579482905</v>
      </c>
      <c r="CK968" s="3" t="n">
        <v>7.133617579482907</v>
      </c>
      <c r="CL968" s="3" t="n">
        <v>7.133617579482907</v>
      </c>
      <c r="CM968" s="3" t="n">
        <v>7.133617579482908</v>
      </c>
      <c r="CN968" s="3" t="n">
        <v>7.133617579482908</v>
      </c>
      <c r="CO968" s="3" t="n">
        <v>7.133617579482907</v>
      </c>
      <c r="CP968" s="3" t="n">
        <v>7.133617579482906</v>
      </c>
      <c r="CQ968" s="3" t="n">
        <v>7.133617579482906</v>
      </c>
      <c r="CR968" s="3" t="n">
        <v>7.133617579482907</v>
      </c>
      <c r="CS968" s="3" t="n">
        <v>7.133617579482906</v>
      </c>
      <c r="CU968" s="20" t="inlineStr">
        <is>
          <t>egy.mit.rpn.ind.coa.6</t>
        </is>
      </c>
      <c r="CV968" s="3" t="n">
        <v>11.25134662435542</v>
      </c>
      <c r="CW968" s="3" t="n">
        <v>8.777356272224875</v>
      </c>
      <c r="CX968" s="3" t="n">
        <v>7.571528433437519</v>
      </c>
      <c r="CY968" s="3" t="n">
        <v>6.816201516066926</v>
      </c>
      <c r="CZ968" s="3" t="n">
        <v>7.232382745402233</v>
      </c>
      <c r="DA968" s="3" t="n">
        <v>12.3039649010321</v>
      </c>
      <c r="DB968" s="3" t="n">
        <v>12.25945053749153</v>
      </c>
      <c r="DC968" s="3" t="n">
        <v>12.21171421278865</v>
      </c>
      <c r="DD968" s="3" t="n">
        <v>12.16062393850886</v>
      </c>
      <c r="DE968" s="3" t="n">
        <v>12.11131974436169</v>
      </c>
      <c r="DF968" s="3" t="n">
        <v>12.11131974436169</v>
      </c>
      <c r="DG968" s="3" t="n">
        <v>12.11131974436169</v>
      </c>
      <c r="DH968" s="3" t="n">
        <v>12.11131974436169</v>
      </c>
      <c r="DI968" s="3" t="n">
        <v>12.11131974436169</v>
      </c>
      <c r="DJ968" s="3" t="n">
        <v>12.11131974436169</v>
      </c>
      <c r="DK968" s="3" t="n">
        <v>12.11131974436169</v>
      </c>
      <c r="DL968" s="3" t="n">
        <v>12.11131974436169</v>
      </c>
      <c r="DM968" s="3" t="n">
        <v>12.11131974436169</v>
      </c>
      <c r="DN968" s="3" t="n">
        <v>12.11131974436169</v>
      </c>
      <c r="DO968" s="3" t="n">
        <v>12.11131974436169</v>
      </c>
    </row>
    <row r="969">
      <c r="A969" s="19" t="inlineStr">
        <is>
          <t>mit.rpn.pow.nga</t>
        </is>
      </c>
      <c r="B969" s="3" t="inlineStr">
        <is>
          <t>mit</t>
        </is>
      </c>
      <c r="C969" s="19" t="inlineStr">
        <is>
          <t>mit.rp.pow.nga.a</t>
        </is>
      </c>
      <c r="H969" s="3" t="inlineStr">
        <is>
          <t>Retail price incl. new taxes and subsidies (fuel-use weighted average of the after-tax prices atp of the subsectors priced by the block; rpb where they use none) | Power | Natural gas</t>
        </is>
      </c>
      <c r="I969" s="3" t="inlineStr">
        <is>
          <t>USD/GJ real</t>
        </is>
      </c>
      <c r="K969" s="20" t="inlineStr">
        <is>
          <t>egy.mit.rpn.pow.nga.1</t>
        </is>
      </c>
      <c r="L969" s="3" t="n">
        <v>3.154220453650453</v>
      </c>
      <c r="M969" s="3" t="n">
        <v>2.623715048675657</v>
      </c>
      <c r="N969" s="3" t="n">
        <v>2.77897804122306</v>
      </c>
      <c r="O969" s="3" t="n">
        <v>2.77897804122306</v>
      </c>
      <c r="P969" s="3" t="n">
        <v>2.77897804122306</v>
      </c>
      <c r="Q969" s="3" t="n">
        <v>2.77897804122306</v>
      </c>
      <c r="R969" s="3" t="n">
        <v>2.77897804122306</v>
      </c>
      <c r="S969" s="3" t="n">
        <v>2.77897804122306</v>
      </c>
      <c r="T969" s="3" t="n">
        <v>2.77897804122306</v>
      </c>
      <c r="U969" s="3" t="n">
        <v>2.77897804122306</v>
      </c>
      <c r="V969" s="3" t="n">
        <v>2.77897804122306</v>
      </c>
      <c r="W969" s="3" t="n">
        <v>2.77897804122306</v>
      </c>
      <c r="X969" s="3" t="n">
        <v>2.77897804122306</v>
      </c>
      <c r="Y969" s="3" t="n">
        <v>2.77897804122306</v>
      </c>
      <c r="Z969" s="3" t="n">
        <v>2.77897804122306</v>
      </c>
      <c r="AA969" s="3" t="n">
        <v>2.77897804122306</v>
      </c>
      <c r="AB969" s="3" t="n">
        <v>2.77897804122306</v>
      </c>
      <c r="AC969" s="3" t="n">
        <v>2.77897804122306</v>
      </c>
      <c r="AD969" s="3" t="n">
        <v>2.77897804122306</v>
      </c>
      <c r="AE969" s="3" t="n">
        <v>2.77897804122306</v>
      </c>
      <c r="AG969" s="20" t="inlineStr">
        <is>
          <t>egy.mit.rpn.pow.nga.3</t>
        </is>
      </c>
      <c r="AH969" s="3" t="n">
        <v>3.154220453650453</v>
      </c>
      <c r="AI969" s="3" t="n">
        <v>2.623715048675657</v>
      </c>
      <c r="AJ969" s="3" t="n">
        <v>2.77897804122306</v>
      </c>
      <c r="AK969" s="3" t="n">
        <v>2.77897804122306</v>
      </c>
      <c r="AL969" s="3" t="n">
        <v>2.77897804122306</v>
      </c>
      <c r="AM969" s="3" t="n">
        <v>2.77897804122306</v>
      </c>
      <c r="AN969" s="3" t="n">
        <v>2.77897804122306</v>
      </c>
      <c r="AO969" s="3" t="n">
        <v>2.77897804122306</v>
      </c>
      <c r="AP969" s="3" t="n">
        <v>2.77897804122306</v>
      </c>
      <c r="AQ969" s="3" t="n">
        <v>2.77897804122306</v>
      </c>
      <c r="AR969" s="3" t="n">
        <v>2.77897804122306</v>
      </c>
      <c r="AS969" s="3" t="n">
        <v>2.77897804122306</v>
      </c>
      <c r="AT969" s="3" t="n">
        <v>2.77897804122306</v>
      </c>
      <c r="AU969" s="3" t="n">
        <v>2.77897804122306</v>
      </c>
      <c r="AV969" s="3" t="n">
        <v>2.77897804122306</v>
      </c>
      <c r="AW969" s="3" t="n">
        <v>2.77897804122306</v>
      </c>
      <c r="AX969" s="3" t="n">
        <v>2.77897804122306</v>
      </c>
      <c r="AY969" s="3" t="n">
        <v>2.77897804122306</v>
      </c>
      <c r="AZ969" s="3" t="n">
        <v>2.77897804122306</v>
      </c>
      <c r="BA969" s="3" t="n">
        <v>2.77897804122306</v>
      </c>
      <c r="BC969" s="20" t="inlineStr">
        <is>
          <t>egy.mit.rpn.pow.nga.4</t>
        </is>
      </c>
      <c r="BD969" s="3" t="n">
        <v>3.154220453650453</v>
      </c>
      <c r="BE969" s="3" t="n">
        <v>2.623715048675657</v>
      </c>
      <c r="BF969" s="3" t="n">
        <v>2.77897804122306</v>
      </c>
      <c r="BG969" s="3" t="n">
        <v>2.77897804122306</v>
      </c>
      <c r="BH969" s="3" t="n">
        <v>2.77897804122306</v>
      </c>
      <c r="BI969" s="3" t="n">
        <v>2.77897804122306</v>
      </c>
      <c r="BJ969" s="3" t="n">
        <v>2.77897804122306</v>
      </c>
      <c r="BK969" s="3" t="n">
        <v>2.77897804122306</v>
      </c>
      <c r="BL969" s="3" t="n">
        <v>2.77897804122306</v>
      </c>
      <c r="BM969" s="3" t="n">
        <v>2.77897804122306</v>
      </c>
      <c r="BN969" s="3" t="n">
        <v>2.77897804122306</v>
      </c>
      <c r="BO969" s="3" t="n">
        <v>2.77897804122306</v>
      </c>
      <c r="BP969" s="3" t="n">
        <v>2.77897804122306</v>
      </c>
      <c r="BQ969" s="3" t="n">
        <v>2.77897804122306</v>
      </c>
      <c r="BR969" s="3" t="n">
        <v>2.77897804122306</v>
      </c>
      <c r="BS969" s="3" t="n">
        <v>2.77897804122306</v>
      </c>
      <c r="BT969" s="3" t="n">
        <v>2.77897804122306</v>
      </c>
      <c r="BU969" s="3" t="n">
        <v>2.77897804122306</v>
      </c>
      <c r="BV969" s="3" t="n">
        <v>2.77897804122306</v>
      </c>
      <c r="BW969" s="3" t="n">
        <v>2.77897804122306</v>
      </c>
      <c r="BY969" s="20" t="inlineStr">
        <is>
          <t>egy.mit.rpn.pow.nga.5</t>
        </is>
      </c>
      <c r="BZ969" s="3" t="n">
        <v>3.154220453650453</v>
      </c>
      <c r="CA969" s="3" t="n">
        <v>2.623715048675657</v>
      </c>
      <c r="CB969" s="3" t="n">
        <v>2.77897804122306</v>
      </c>
      <c r="CC969" s="3" t="n">
        <v>2.77897804122306</v>
      </c>
      <c r="CD969" s="3" t="n">
        <v>2.77897804122306</v>
      </c>
      <c r="CE969" s="3" t="n">
        <v>2.77897804122306</v>
      </c>
      <c r="CF969" s="3" t="n">
        <v>2.77897804122306</v>
      </c>
      <c r="CG969" s="3" t="n">
        <v>2.77897804122306</v>
      </c>
      <c r="CH969" s="3" t="n">
        <v>2.77897804122306</v>
      </c>
      <c r="CI969" s="3" t="n">
        <v>2.77897804122306</v>
      </c>
      <c r="CJ969" s="3" t="n">
        <v>2.77897804122306</v>
      </c>
      <c r="CK969" s="3" t="n">
        <v>2.77897804122306</v>
      </c>
      <c r="CL969" s="3" t="n">
        <v>2.77897804122306</v>
      </c>
      <c r="CM969" s="3" t="n">
        <v>2.77897804122306</v>
      </c>
      <c r="CN969" s="3" t="n">
        <v>2.77897804122306</v>
      </c>
      <c r="CO969" s="3" t="n">
        <v>2.77897804122306</v>
      </c>
      <c r="CP969" s="3" t="n">
        <v>2.77897804122306</v>
      </c>
      <c r="CQ969" s="3" t="n">
        <v>2.77897804122306</v>
      </c>
      <c r="CR969" s="3" t="n">
        <v>2.77897804122306</v>
      </c>
      <c r="CS969" s="3" t="n">
        <v>2.77897804122306</v>
      </c>
      <c r="CU969" s="20" t="inlineStr">
        <is>
          <t>egy.mit.rpn.pow.nga.6</t>
        </is>
      </c>
      <c r="CV969" s="3" t="n">
        <v>3.154220453650453</v>
      </c>
      <c r="CW969" s="3" t="n">
        <v>2.623715048675657</v>
      </c>
      <c r="CX969" s="3" t="n">
        <v>2.77897804122306</v>
      </c>
      <c r="CY969" s="3" t="n">
        <v>2.77897804122306</v>
      </c>
      <c r="CZ969" s="3" t="n">
        <v>2.77897804122306</v>
      </c>
      <c r="DA969" s="3" t="n">
        <v>2.77897804122306</v>
      </c>
      <c r="DB969" s="3" t="n">
        <v>2.77897804122306</v>
      </c>
      <c r="DC969" s="3" t="n">
        <v>2.77897804122306</v>
      </c>
      <c r="DD969" s="3" t="n">
        <v>2.77897804122306</v>
      </c>
      <c r="DE969" s="3" t="n">
        <v>2.77897804122306</v>
      </c>
      <c r="DF969" s="3" t="n">
        <v>2.77897804122306</v>
      </c>
      <c r="DG969" s="3" t="n">
        <v>2.77897804122306</v>
      </c>
      <c r="DH969" s="3" t="n">
        <v>2.77897804122306</v>
      </c>
      <c r="DI969" s="3" t="n">
        <v>2.77897804122306</v>
      </c>
      <c r="DJ969" s="3" t="n">
        <v>2.77897804122306</v>
      </c>
      <c r="DK969" s="3" t="n">
        <v>2.77897804122306</v>
      </c>
      <c r="DL969" s="3" t="n">
        <v>2.77897804122306</v>
      </c>
      <c r="DM969" s="3" t="n">
        <v>2.77897804122306</v>
      </c>
      <c r="DN969" s="3" t="n">
        <v>2.77897804122306</v>
      </c>
      <c r="DO969" s="3" t="n">
        <v>2.77897804122306</v>
      </c>
    </row>
    <row r="970">
      <c r="A970" s="19" t="inlineStr">
        <is>
          <t>mit.rpn.res.nga</t>
        </is>
      </c>
      <c r="B970" s="3" t="inlineStr">
        <is>
          <t>mit</t>
        </is>
      </c>
      <c r="C970" s="19" t="inlineStr">
        <is>
          <t>mit.rp.res.nga.a</t>
        </is>
      </c>
      <c r="H970" s="3" t="inlineStr">
        <is>
          <t>Retail price incl. new taxes and subsidies (fuel-use weighted average of the after-tax prices atp of the subsectors priced by the block; rpb where they use none) | Residential | Natural gas</t>
        </is>
      </c>
      <c r="I970" s="3" t="inlineStr">
        <is>
          <t>USD/GJ real</t>
        </is>
      </c>
      <c r="K970" s="20" t="inlineStr">
        <is>
          <t>egy.mit.rpn.res.nga.1</t>
        </is>
      </c>
      <c r="L970" s="3" t="n">
        <v>4.956488507231395</v>
      </c>
      <c r="M970" s="3" t="n">
        <v>2.734846935064834</v>
      </c>
      <c r="N970" s="3" t="n">
        <v>1.797160127284108</v>
      </c>
      <c r="O970" s="3" t="n">
        <v>1.797160127284109</v>
      </c>
      <c r="P970" s="3" t="n">
        <v>1.797160127284108</v>
      </c>
      <c r="Q970" s="3" t="n">
        <v>1.797160127284108</v>
      </c>
      <c r="R970" s="3" t="n">
        <v>1.797160127284109</v>
      </c>
      <c r="S970" s="3" t="n">
        <v>1.797160127284108</v>
      </c>
      <c r="T970" s="3" t="n">
        <v>1.797160127284108</v>
      </c>
      <c r="U970" s="3" t="n">
        <v>1.797160127284109</v>
      </c>
      <c r="V970" s="3" t="n">
        <v>1.797160127284108</v>
      </c>
      <c r="W970" s="3" t="n">
        <v>1.797160127284108</v>
      </c>
      <c r="X970" s="3" t="n">
        <v>1.797160127284108</v>
      </c>
      <c r="Y970" s="3" t="n">
        <v>1.797160127284109</v>
      </c>
      <c r="Z970" s="3" t="n">
        <v>1.797160127284109</v>
      </c>
      <c r="AA970" s="3" t="n">
        <v>1.797160127284108</v>
      </c>
      <c r="AB970" s="3" t="n">
        <v>1.797160127284108</v>
      </c>
      <c r="AC970" s="3" t="n">
        <v>1.797160127284108</v>
      </c>
      <c r="AD970" s="3" t="n">
        <v>1.797160127284108</v>
      </c>
      <c r="AE970" s="3" t="n">
        <v>1.797160127284108</v>
      </c>
      <c r="AG970" s="20" t="inlineStr">
        <is>
          <t>egy.mit.rpn.res.nga.3</t>
        </is>
      </c>
      <c r="AH970" s="3" t="n">
        <v>4.956488507231395</v>
      </c>
      <c r="AI970" s="3" t="n">
        <v>2.734846935064834</v>
      </c>
      <c r="AJ970" s="3" t="n">
        <v>1.797160127284108</v>
      </c>
      <c r="AK970" s="3" t="n">
        <v>1.797160127284109</v>
      </c>
      <c r="AL970" s="3" t="n">
        <v>1.797160127284108</v>
      </c>
      <c r="AM970" s="3" t="n">
        <v>2.908183250485053</v>
      </c>
      <c r="AN970" s="3" t="n">
        <v>2.908183250485052</v>
      </c>
      <c r="AO970" s="3" t="n">
        <v>2.908183250485052</v>
      </c>
      <c r="AP970" s="3" t="n">
        <v>2.908183250485052</v>
      </c>
      <c r="AQ970" s="3" t="n">
        <v>2.908183250485052</v>
      </c>
      <c r="AR970" s="3" t="n">
        <v>2.908183250485053</v>
      </c>
      <c r="AS970" s="3" t="n">
        <v>2.908183250485052</v>
      </c>
      <c r="AT970" s="3" t="n">
        <v>2.908183250485052</v>
      </c>
      <c r="AU970" s="3" t="n">
        <v>2.908183250485052</v>
      </c>
      <c r="AV970" s="3" t="n">
        <v>2.908183250485053</v>
      </c>
      <c r="AW970" s="3" t="n">
        <v>2.908183250485053</v>
      </c>
      <c r="AX970" s="3" t="n">
        <v>2.908183250485052</v>
      </c>
      <c r="AY970" s="3" t="n">
        <v>2.908183250485053</v>
      </c>
      <c r="AZ970" s="3" t="n">
        <v>2.908183250485052</v>
      </c>
      <c r="BA970" s="3" t="n">
        <v>2.908183250485053</v>
      </c>
      <c r="BC970" s="20" t="inlineStr">
        <is>
          <t>egy.mit.rpn.res.nga.4</t>
        </is>
      </c>
      <c r="BD970" s="3" t="n">
        <v>4.956488507231395</v>
      </c>
      <c r="BE970" s="3" t="n">
        <v>2.734846935064834</v>
      </c>
      <c r="BF970" s="3" t="n">
        <v>1.797160127284108</v>
      </c>
      <c r="BG970" s="3" t="n">
        <v>1.797160127284109</v>
      </c>
      <c r="BH970" s="3" t="n">
        <v>1.797160127284108</v>
      </c>
      <c r="BI970" s="3" t="n">
        <v>2.35267168888458</v>
      </c>
      <c r="BJ970" s="3" t="n">
        <v>3.093353771018544</v>
      </c>
      <c r="BK970" s="3" t="n">
        <v>3.834035853152507</v>
      </c>
      <c r="BL970" s="3" t="n">
        <v>4.574717935286468</v>
      </c>
      <c r="BM970" s="3" t="n">
        <v>5.315400017420432</v>
      </c>
      <c r="BN970" s="3" t="n">
        <v>6.056082099554394</v>
      </c>
      <c r="BO970" s="3" t="n">
        <v>6.796764181688356</v>
      </c>
      <c r="BP970" s="3" t="n">
        <v>7.53744626382232</v>
      </c>
      <c r="BQ970" s="3" t="n">
        <v>8.278128345956283</v>
      </c>
      <c r="BR970" s="3" t="n">
        <v>9.018810428090244</v>
      </c>
      <c r="BS970" s="3" t="n">
        <v>9.759492510224208</v>
      </c>
      <c r="BT970" s="3" t="n">
        <v>10.50017459235817</v>
      </c>
      <c r="BU970" s="3" t="n">
        <v>11.24085667449213</v>
      </c>
      <c r="BV970" s="3" t="n">
        <v>11.98153875662609</v>
      </c>
      <c r="BW970" s="3" t="n">
        <v>12.72222083876006</v>
      </c>
      <c r="BY970" s="20" t="inlineStr">
        <is>
          <t>egy.mit.rpn.res.nga.5</t>
        </is>
      </c>
      <c r="BZ970" s="3" t="n">
        <v>4.956488507231395</v>
      </c>
      <c r="CA970" s="3" t="n">
        <v>2.734846935064834</v>
      </c>
      <c r="CB970" s="3" t="n">
        <v>1.797160127284108</v>
      </c>
      <c r="CC970" s="3" t="n">
        <v>1.797160127284109</v>
      </c>
      <c r="CD970" s="3" t="n">
        <v>1.797160127284108</v>
      </c>
      <c r="CE970" s="3" t="n">
        <v>3.185939031285288</v>
      </c>
      <c r="CF970" s="3" t="n">
        <v>3.185939031285289</v>
      </c>
      <c r="CG970" s="3" t="n">
        <v>3.185939031285288</v>
      </c>
      <c r="CH970" s="3" t="n">
        <v>3.185939031285288</v>
      </c>
      <c r="CI970" s="3" t="n">
        <v>3.185939031285288</v>
      </c>
      <c r="CJ970" s="3" t="n">
        <v>3.185939031285288</v>
      </c>
      <c r="CK970" s="3" t="n">
        <v>3.185939031285288</v>
      </c>
      <c r="CL970" s="3" t="n">
        <v>3.185939031285288</v>
      </c>
      <c r="CM970" s="3" t="n">
        <v>3.185939031285288</v>
      </c>
      <c r="CN970" s="3" t="n">
        <v>3.185939031285289</v>
      </c>
      <c r="CO970" s="3" t="n">
        <v>3.185939031285288</v>
      </c>
      <c r="CP970" s="3" t="n">
        <v>3.185939031285288</v>
      </c>
      <c r="CQ970" s="3" t="n">
        <v>3.185939031285288</v>
      </c>
      <c r="CR970" s="3" t="n">
        <v>3.185939031285288</v>
      </c>
      <c r="CS970" s="3" t="n">
        <v>3.185939031285288</v>
      </c>
      <c r="CU970" s="20" t="inlineStr">
        <is>
          <t>egy.mit.rpn.res.nga.6</t>
        </is>
      </c>
      <c r="CV970" s="3" t="n">
        <v>4.956488507231395</v>
      </c>
      <c r="CW970" s="3" t="n">
        <v>2.734846935064834</v>
      </c>
      <c r="CX970" s="3" t="n">
        <v>1.797160127284108</v>
      </c>
      <c r="CY970" s="3" t="n">
        <v>1.797160127284109</v>
      </c>
      <c r="CZ970" s="3" t="n">
        <v>1.797160127284108</v>
      </c>
      <c r="DA970" s="3" t="n">
        <v>4.574717935286468</v>
      </c>
      <c r="DB970" s="3" t="n">
        <v>4.574717935286468</v>
      </c>
      <c r="DC970" s="3" t="n">
        <v>4.574717935286468</v>
      </c>
      <c r="DD970" s="3" t="n">
        <v>4.574717935286469</v>
      </c>
      <c r="DE970" s="3" t="n">
        <v>4.574717935286468</v>
      </c>
      <c r="DF970" s="3" t="n">
        <v>4.574717935286468</v>
      </c>
      <c r="DG970" s="3" t="n">
        <v>4.574717935286468</v>
      </c>
      <c r="DH970" s="3" t="n">
        <v>4.574717935286468</v>
      </c>
      <c r="DI970" s="3" t="n">
        <v>4.574717935286468</v>
      </c>
      <c r="DJ970" s="3" t="n">
        <v>4.574717935286468</v>
      </c>
      <c r="DK970" s="3" t="n">
        <v>4.574717935286468</v>
      </c>
      <c r="DL970" s="3" t="n">
        <v>4.574717935286468</v>
      </c>
      <c r="DM970" s="3" t="n">
        <v>4.574717935286468</v>
      </c>
      <c r="DN970" s="3" t="n">
        <v>4.574717935286468</v>
      </c>
      <c r="DO970" s="3" t="n">
        <v>4.574717935286468</v>
      </c>
    </row>
    <row r="971">
      <c r="A971" s="19" t="inlineStr">
        <is>
          <t>mit.rpn.ind.nga</t>
        </is>
      </c>
      <c r="B971" s="3" t="inlineStr">
        <is>
          <t>mit</t>
        </is>
      </c>
      <c r="C971" s="19" t="inlineStr">
        <is>
          <t>mit.rp.ind.nga.a</t>
        </is>
      </c>
      <c r="H971" s="3" t="inlineStr">
        <is>
          <t>Retail price incl. new taxes and subsidies (fuel-use weighted average of the after-tax prices atp of the subsectors priced by the block; rpb where they use none) | Industry | Natural gas</t>
        </is>
      </c>
      <c r="I971" s="3" t="inlineStr">
        <is>
          <t>USD/GJ real</t>
        </is>
      </c>
      <c r="K971" s="20" t="inlineStr">
        <is>
          <t>egy.mit.rpn.ind.nga.1</t>
        </is>
      </c>
      <c r="L971" s="3" t="n">
        <v>4.899794962971504</v>
      </c>
      <c r="M971" s="3" t="n">
        <v>5.118455079782481</v>
      </c>
      <c r="N971" s="3" t="n">
        <v>4.885007238406946</v>
      </c>
      <c r="O971" s="3" t="n">
        <v>4.885007238406946</v>
      </c>
      <c r="P971" s="3" t="n">
        <v>4.885007238406946</v>
      </c>
      <c r="Q971" s="3" t="n">
        <v>4.885007238406947</v>
      </c>
      <c r="R971" s="3" t="n">
        <v>4.885007238406946</v>
      </c>
      <c r="S971" s="3" t="n">
        <v>4.885007238406946</v>
      </c>
      <c r="T971" s="3" t="n">
        <v>4.885007238406946</v>
      </c>
      <c r="U971" s="3" t="n">
        <v>4.885007238406946</v>
      </c>
      <c r="V971" s="3" t="n">
        <v>4.885007238406946</v>
      </c>
      <c r="W971" s="3" t="n">
        <v>4.885007238406946</v>
      </c>
      <c r="X971" s="3" t="n">
        <v>4.885007238406946</v>
      </c>
      <c r="Y971" s="3" t="n">
        <v>4.885007238406946</v>
      </c>
      <c r="Z971" s="3" t="n">
        <v>4.885007238406946</v>
      </c>
      <c r="AA971" s="3" t="n">
        <v>4.885007238406945</v>
      </c>
      <c r="AB971" s="3" t="n">
        <v>4.885007238406946</v>
      </c>
      <c r="AC971" s="3" t="n">
        <v>4.885007238406947</v>
      </c>
      <c r="AD971" s="3" t="n">
        <v>4.885007238406946</v>
      </c>
      <c r="AE971" s="3" t="n">
        <v>4.885007238406947</v>
      </c>
      <c r="AG971" s="20" t="inlineStr">
        <is>
          <t>egy.mit.rpn.ind.nga.3</t>
        </is>
      </c>
      <c r="AH971" s="3" t="n">
        <v>4.899794962971504</v>
      </c>
      <c r="AI971" s="3" t="n">
        <v>5.118455079782481</v>
      </c>
      <c r="AJ971" s="3" t="n">
        <v>4.885007238406946</v>
      </c>
      <c r="AK971" s="3" t="n">
        <v>4.885007238406946</v>
      </c>
      <c r="AL971" s="3" t="n">
        <v>4.885007238406946</v>
      </c>
      <c r="AM971" s="3" t="n">
        <v>5.99603036160789</v>
      </c>
      <c r="AN971" s="3" t="n">
        <v>5.99603036160789</v>
      </c>
      <c r="AO971" s="3" t="n">
        <v>5.99603036160789</v>
      </c>
      <c r="AP971" s="3" t="n">
        <v>5.99603036160789</v>
      </c>
      <c r="AQ971" s="3" t="n">
        <v>5.99603036160789</v>
      </c>
      <c r="AR971" s="3" t="n">
        <v>5.996030361607889</v>
      </c>
      <c r="AS971" s="3" t="n">
        <v>5.99603036160789</v>
      </c>
      <c r="AT971" s="3" t="n">
        <v>5.996030361607889</v>
      </c>
      <c r="AU971" s="3" t="n">
        <v>5.99603036160789</v>
      </c>
      <c r="AV971" s="3" t="n">
        <v>5.99603036160789</v>
      </c>
      <c r="AW971" s="3" t="n">
        <v>5.99603036160789</v>
      </c>
      <c r="AX971" s="3" t="n">
        <v>5.99603036160789</v>
      </c>
      <c r="AY971" s="3" t="n">
        <v>5.99603036160789</v>
      </c>
      <c r="AZ971" s="3" t="n">
        <v>5.99603036160789</v>
      </c>
      <c r="BA971" s="3" t="n">
        <v>5.99603036160789</v>
      </c>
      <c r="BC971" s="20" t="inlineStr">
        <is>
          <t>egy.mit.rpn.ind.nga.4</t>
        </is>
      </c>
      <c r="BD971" s="3" t="n">
        <v>4.899794962971504</v>
      </c>
      <c r="BE971" s="3" t="n">
        <v>5.118455079782481</v>
      </c>
      <c r="BF971" s="3" t="n">
        <v>4.885007238406946</v>
      </c>
      <c r="BG971" s="3" t="n">
        <v>4.885007238406946</v>
      </c>
      <c r="BH971" s="3" t="n">
        <v>4.885007238406946</v>
      </c>
      <c r="BI971" s="3" t="n">
        <v>5.440518800007418</v>
      </c>
      <c r="BJ971" s="3" t="n">
        <v>6.181200882141381</v>
      </c>
      <c r="BK971" s="3" t="n">
        <v>6.921882964275342</v>
      </c>
      <c r="BL971" s="3" t="n">
        <v>7.662565046409306</v>
      </c>
      <c r="BM971" s="3" t="n">
        <v>8.403247128543269</v>
      </c>
      <c r="BN971" s="3" t="n">
        <v>9.143929210677232</v>
      </c>
      <c r="BO971" s="3" t="n">
        <v>9.884611292811194</v>
      </c>
      <c r="BP971" s="3" t="n">
        <v>10.62529337494516</v>
      </c>
      <c r="BQ971" s="3" t="n">
        <v>11.36597545707912</v>
      </c>
      <c r="BR971" s="3" t="n">
        <v>12.10665753921308</v>
      </c>
      <c r="BS971" s="3" t="n">
        <v>12.84733962134704</v>
      </c>
      <c r="BT971" s="3" t="n">
        <v>13.58802170348101</v>
      </c>
      <c r="BU971" s="3" t="n">
        <v>14.32870378561497</v>
      </c>
      <c r="BV971" s="3" t="n">
        <v>15.06938586774893</v>
      </c>
      <c r="BW971" s="3" t="n">
        <v>15.8100679498829</v>
      </c>
      <c r="BY971" s="20" t="inlineStr">
        <is>
          <t>egy.mit.rpn.ind.nga.5</t>
        </is>
      </c>
      <c r="BZ971" s="3" t="n">
        <v>4.899794962971504</v>
      </c>
      <c r="CA971" s="3" t="n">
        <v>5.118455079782481</v>
      </c>
      <c r="CB971" s="3" t="n">
        <v>4.885007238406946</v>
      </c>
      <c r="CC971" s="3" t="n">
        <v>4.885007238406946</v>
      </c>
      <c r="CD971" s="3" t="n">
        <v>4.885007238406946</v>
      </c>
      <c r="CE971" s="3" t="n">
        <v>5.836395405568577</v>
      </c>
      <c r="CF971" s="3" t="n">
        <v>5.843820423683842</v>
      </c>
      <c r="CG971" s="3" t="n">
        <v>5.850637259096303</v>
      </c>
      <c r="CH971" s="3" t="n">
        <v>5.85691259349021</v>
      </c>
      <c r="CI971" s="3" t="n">
        <v>5.862642373030317</v>
      </c>
      <c r="CJ971" s="3" t="n">
        <v>5.867968655525083</v>
      </c>
      <c r="CK971" s="3" t="n">
        <v>5.87306259502222</v>
      </c>
      <c r="CL971" s="3" t="n">
        <v>5.877844842844239</v>
      </c>
      <c r="CM971" s="3" t="n">
        <v>5.882392011640539</v>
      </c>
      <c r="CN971" s="3" t="n">
        <v>5.884478644809802</v>
      </c>
      <c r="CO971" s="3" t="n">
        <v>5.886556316895933</v>
      </c>
      <c r="CP971" s="3" t="n">
        <v>5.888601962406106</v>
      </c>
      <c r="CQ971" s="3" t="n">
        <v>5.890617945785959</v>
      </c>
      <c r="CR971" s="3" t="n">
        <v>5.892617026043403</v>
      </c>
      <c r="CS971" s="3" t="n">
        <v>5.894601007452233</v>
      </c>
      <c r="CU971" s="20" t="inlineStr">
        <is>
          <t>egy.mit.rpn.ind.nga.6</t>
        </is>
      </c>
      <c r="CV971" s="3" t="n">
        <v>4.899794962971504</v>
      </c>
      <c r="CW971" s="3" t="n">
        <v>5.118455079782481</v>
      </c>
      <c r="CX971" s="3" t="n">
        <v>4.885007238406946</v>
      </c>
      <c r="CY971" s="3" t="n">
        <v>4.885007238406946</v>
      </c>
      <c r="CZ971" s="3" t="n">
        <v>4.885007238406946</v>
      </c>
      <c r="DA971" s="3" t="n">
        <v>7.662565046409306</v>
      </c>
      <c r="DB971" s="3" t="n">
        <v>7.662565046409306</v>
      </c>
      <c r="DC971" s="3" t="n">
        <v>7.662565046409306</v>
      </c>
      <c r="DD971" s="3" t="n">
        <v>7.662565046409306</v>
      </c>
      <c r="DE971" s="3" t="n">
        <v>7.662565046409305</v>
      </c>
      <c r="DF971" s="3" t="n">
        <v>7.662565046409305</v>
      </c>
      <c r="DG971" s="3" t="n">
        <v>7.662565046409306</v>
      </c>
      <c r="DH971" s="3" t="n">
        <v>7.662565046409306</v>
      </c>
      <c r="DI971" s="3" t="n">
        <v>7.662565046409305</v>
      </c>
      <c r="DJ971" s="3" t="n">
        <v>7.662565046409306</v>
      </c>
      <c r="DK971" s="3" t="n">
        <v>7.662565046409306</v>
      </c>
      <c r="DL971" s="3" t="n">
        <v>7.662565046409306</v>
      </c>
      <c r="DM971" s="3" t="n">
        <v>7.662565046409305</v>
      </c>
      <c r="DN971" s="3" t="n">
        <v>7.662565046409305</v>
      </c>
      <c r="DO971" s="3" t="n">
        <v>7.662565046409306</v>
      </c>
    </row>
    <row r="972">
      <c r="A972" s="19" t="inlineStr">
        <is>
          <t>mit.rpn.all.die</t>
        </is>
      </c>
      <c r="B972" s="3" t="inlineStr">
        <is>
          <t>mit</t>
        </is>
      </c>
      <c r="C972" s="19" t="inlineStr">
        <is>
          <t>mit.rp.all.die.a</t>
        </is>
      </c>
      <c r="H972" s="3" t="inlineStr">
        <is>
          <t>Retail price incl. new taxes and subsidies (fuel-use weighted average of the after-tax prices atp of the subsectors priced by the block; rpb where they use none) | All sectors | Diesel</t>
        </is>
      </c>
      <c r="I972" s="3" t="inlineStr">
        <is>
          <t>USD/GJ real</t>
        </is>
      </c>
      <c r="K972" s="20" t="inlineStr">
        <is>
          <t>egy.mit.rpn.all.die.1</t>
        </is>
      </c>
      <c r="L972" s="3" t="n">
        <v>11.22829503955268</v>
      </c>
      <c r="M972" s="3" t="n">
        <v>7.749170417978281</v>
      </c>
      <c r="N972" s="3" t="n">
        <v>6.826689201296462</v>
      </c>
      <c r="O972" s="3" t="n">
        <v>6.826689201296462</v>
      </c>
      <c r="P972" s="3" t="n">
        <v>6.826689201296461</v>
      </c>
      <c r="Q972" s="3" t="n">
        <v>6.826689201296461</v>
      </c>
      <c r="R972" s="3" t="n">
        <v>6.826689201296462</v>
      </c>
      <c r="S972" s="3" t="n">
        <v>6.826689201296462</v>
      </c>
      <c r="T972" s="3" t="n">
        <v>6.826689201296461</v>
      </c>
      <c r="U972" s="3" t="n">
        <v>6.826689201296462</v>
      </c>
      <c r="V972" s="3" t="n">
        <v>6.826689201296462</v>
      </c>
      <c r="W972" s="3" t="n">
        <v>6.826689201296462</v>
      </c>
      <c r="X972" s="3" t="n">
        <v>6.826689201296466</v>
      </c>
      <c r="Y972" s="3" t="n">
        <v>6.826689201296466</v>
      </c>
      <c r="Z972" s="3" t="n">
        <v>6.826689201296466</v>
      </c>
      <c r="AA972" s="3" t="n">
        <v>6.826689201296461</v>
      </c>
      <c r="AB972" s="3" t="n">
        <v>6.826689201296462</v>
      </c>
      <c r="AC972" s="3" t="n">
        <v>6.826689201296461</v>
      </c>
      <c r="AD972" s="3" t="n">
        <v>6.826689201296462</v>
      </c>
      <c r="AE972" s="3" t="n">
        <v>6.826689201296462</v>
      </c>
      <c r="AG972" s="20" t="inlineStr">
        <is>
          <t>egy.mit.rpn.all.die.3</t>
        </is>
      </c>
      <c r="AH972" s="3" t="n">
        <v>11.22829503955268</v>
      </c>
      <c r="AI972" s="3" t="n">
        <v>7.749170417978281</v>
      </c>
      <c r="AJ972" s="3" t="n">
        <v>6.826689201296462</v>
      </c>
      <c r="AK972" s="3" t="n">
        <v>6.826689201296462</v>
      </c>
      <c r="AL972" s="3" t="n">
        <v>6.826689201296461</v>
      </c>
      <c r="AM972" s="3" t="n">
        <v>8.246435402794202</v>
      </c>
      <c r="AN972" s="3" t="n">
        <v>8.246436164718043</v>
      </c>
      <c r="AO972" s="3" t="n">
        <v>8.246438690467677</v>
      </c>
      <c r="AP972" s="3" t="n">
        <v>8.246444852587587</v>
      </c>
      <c r="AQ972" s="3" t="n">
        <v>8.246450556078083</v>
      </c>
      <c r="AR972" s="3" t="n">
        <v>8.24645708340519</v>
      </c>
      <c r="AS972" s="3" t="n">
        <v>8.246463248652468</v>
      </c>
      <c r="AT972" s="3" t="n">
        <v>8.246469445792028</v>
      </c>
      <c r="AU972" s="3" t="n">
        <v>8.246476175267986</v>
      </c>
      <c r="AV972" s="3" t="n">
        <v>8.24648312658803</v>
      </c>
      <c r="AW972" s="3" t="n">
        <v>8.246490113409919</v>
      </c>
      <c r="AX972" s="3" t="n">
        <v>8.246497762594263</v>
      </c>
      <c r="AY972" s="3" t="n">
        <v>8.246505920509428</v>
      </c>
      <c r="AZ972" s="3" t="n">
        <v>8.246514784505587</v>
      </c>
      <c r="BA972" s="3" t="n">
        <v>8.246524078115714</v>
      </c>
      <c r="BC972" s="20" t="inlineStr">
        <is>
          <t>egy.mit.rpn.all.die.4</t>
        </is>
      </c>
      <c r="BD972" s="3" t="n">
        <v>11.22829503955268</v>
      </c>
      <c r="BE972" s="3" t="n">
        <v>7.749170417978281</v>
      </c>
      <c r="BF972" s="3" t="n">
        <v>6.826689201296462</v>
      </c>
      <c r="BG972" s="3" t="n">
        <v>6.826689201296462</v>
      </c>
      <c r="BH972" s="3" t="n">
        <v>6.826689201296461</v>
      </c>
      <c r="BI972" s="3" t="n">
        <v>7.53674832737078</v>
      </c>
      <c r="BJ972" s="3" t="n">
        <v>8.483076749171278</v>
      </c>
      <c r="BK972" s="3" t="n">
        <v>9.428992547991768</v>
      </c>
      <c r="BL972" s="3" t="n">
        <v>10.37455950405654</v>
      </c>
      <c r="BM972" s="3" t="n">
        <v>11.31971788522931</v>
      </c>
      <c r="BN972" s="3" t="n">
        <v>12.26459584154527</v>
      </c>
      <c r="BO972" s="3" t="n">
        <v>13.20923017143777</v>
      </c>
      <c r="BP972" s="3" t="n">
        <v>14.15365038826209</v>
      </c>
      <c r="BQ972" s="3" t="n">
        <v>15.0978820359032</v>
      </c>
      <c r="BR972" s="3" t="n">
        <v>16.04194590061528</v>
      </c>
      <c r="BS972" s="3" t="n">
        <v>16.9858585778983</v>
      </c>
      <c r="BT972" s="3" t="n">
        <v>17.92963596481705</v>
      </c>
      <c r="BU972" s="3" t="n">
        <v>18.87329168539708</v>
      </c>
      <c r="BV972" s="3" t="n">
        <v>19.81683899467131</v>
      </c>
      <c r="BW972" s="3" t="n">
        <v>20.76028843599126</v>
      </c>
      <c r="BY972" s="20" t="inlineStr">
        <is>
          <t>egy.mit.rpn.all.die.5</t>
        </is>
      </c>
      <c r="BZ972" s="3" t="n">
        <v>11.22829503955268</v>
      </c>
      <c r="CA972" s="3" t="n">
        <v>7.749170417978281</v>
      </c>
      <c r="CB972" s="3" t="n">
        <v>6.826689201296462</v>
      </c>
      <c r="CC972" s="3" t="n">
        <v>6.826689201296462</v>
      </c>
      <c r="CD972" s="3" t="n">
        <v>6.826689201296461</v>
      </c>
      <c r="CE972" s="3" t="n">
        <v>8.601190508880165</v>
      </c>
      <c r="CF972" s="3" t="n">
        <v>8.601191456475494</v>
      </c>
      <c r="CG972" s="3" t="n">
        <v>8.601194660690693</v>
      </c>
      <c r="CH972" s="3" t="n">
        <v>8.601202258365886</v>
      </c>
      <c r="CI972" s="3" t="n">
        <v>8.601209153452832</v>
      </c>
      <c r="CJ972" s="3" t="n">
        <v>8.601217314729762</v>
      </c>
      <c r="CK972" s="3" t="n">
        <v>8.601224913946986</v>
      </c>
      <c r="CL972" s="3" t="n">
        <v>8.601232927838192</v>
      </c>
      <c r="CM972" s="3" t="n">
        <v>8.601241529307408</v>
      </c>
      <c r="CN972" s="3" t="n">
        <v>8.601250407624448</v>
      </c>
      <c r="CO972" s="3" t="n">
        <v>8.60125942558375</v>
      </c>
      <c r="CP972" s="3" t="n">
        <v>8.601269229650491</v>
      </c>
      <c r="CQ972" s="3" t="n">
        <v>8.601279534332264</v>
      </c>
      <c r="CR972" s="3" t="n">
        <v>8.601290617219593</v>
      </c>
      <c r="CS972" s="3" t="n">
        <v>8.601302062568537</v>
      </c>
      <c r="CU972" s="20" t="inlineStr">
        <is>
          <t>egy.mit.rpn.all.die.6</t>
        </is>
      </c>
      <c r="CV972" s="3" t="n">
        <v>11.22829503955268</v>
      </c>
      <c r="CW972" s="3" t="n">
        <v>7.749170417978281</v>
      </c>
      <c r="CX972" s="3" t="n">
        <v>6.826689201296462</v>
      </c>
      <c r="CY972" s="3" t="n">
        <v>6.826689201296462</v>
      </c>
      <c r="CZ972" s="3" t="n">
        <v>6.826689201296461</v>
      </c>
      <c r="DA972" s="3" t="n">
        <v>10.37410903112059</v>
      </c>
      <c r="DB972" s="3" t="n">
        <v>10.37411087175423</v>
      </c>
      <c r="DC972" s="3" t="n">
        <v>10.37411599847441</v>
      </c>
      <c r="DD972" s="3" t="n">
        <v>10.37413313763275</v>
      </c>
      <c r="DE972" s="3" t="n">
        <v>10.37414634981777</v>
      </c>
      <c r="DF972" s="3" t="n">
        <v>10.37416312491132</v>
      </c>
      <c r="DG972" s="3" t="n">
        <v>10.37417675234238</v>
      </c>
      <c r="DH972" s="3" t="n">
        <v>10.3741898385961</v>
      </c>
      <c r="DI972" s="3" t="n">
        <v>10.37420459773856</v>
      </c>
      <c r="DJ972" s="3" t="n">
        <v>10.37421957706922</v>
      </c>
      <c r="DK972" s="3" t="n">
        <v>10.37423379791182</v>
      </c>
      <c r="DL972" s="3" t="n">
        <v>10.37425054886981</v>
      </c>
      <c r="DM972" s="3" t="n">
        <v>10.37426890717153</v>
      </c>
      <c r="DN972" s="3" t="n">
        <v>10.37428998550507</v>
      </c>
      <c r="DO972" s="3" t="n">
        <v>10.374312323593</v>
      </c>
    </row>
    <row r="973">
      <c r="A973" s="19" t="inlineStr">
        <is>
          <t>mit.rpn.all.lpg</t>
        </is>
      </c>
      <c r="B973" s="3" t="inlineStr">
        <is>
          <t>mit</t>
        </is>
      </c>
      <c r="C973" s="19" t="inlineStr">
        <is>
          <t>mit.rp.all.lpg.a</t>
        </is>
      </c>
      <c r="H973" s="3" t="inlineStr">
        <is>
          <t>Retail price incl. new taxes and subsidies (fuel-use weighted average of the after-tax prices atp of the subsectors priced by the block; rpb where they use none) | All sectors | LPG</t>
        </is>
      </c>
      <c r="I973" s="3" t="inlineStr">
        <is>
          <t>USD/GJ real</t>
        </is>
      </c>
      <c r="K973" s="20" t="inlineStr">
        <is>
          <t>egy.mit.rpn.all.lpg.1</t>
        </is>
      </c>
      <c r="L973" s="3" t="n">
        <v>5.926765134904279</v>
      </c>
      <c r="M973" s="3" t="n">
        <v>3.473334242251422</v>
      </c>
      <c r="N973" s="3" t="n">
        <v>4.068268427732345</v>
      </c>
      <c r="O973" s="3" t="n">
        <v>4.068268427732346</v>
      </c>
      <c r="P973" s="3" t="n">
        <v>4.068268427732345</v>
      </c>
      <c r="Q973" s="3" t="n">
        <v>4.068268427732345</v>
      </c>
      <c r="R973" s="3" t="n">
        <v>4.068268427732345</v>
      </c>
      <c r="S973" s="3" t="n">
        <v>4.068268427732345</v>
      </c>
      <c r="T973" s="3" t="n">
        <v>4.068268427732345</v>
      </c>
      <c r="U973" s="3" t="n">
        <v>4.068268427732345</v>
      </c>
      <c r="V973" s="3" t="n">
        <v>4.068268427732345</v>
      </c>
      <c r="W973" s="3" t="n">
        <v>4.068268427732345</v>
      </c>
      <c r="X973" s="3" t="n">
        <v>4.068268427732349</v>
      </c>
      <c r="Y973" s="3" t="n">
        <v>4.068268427732349</v>
      </c>
      <c r="Z973" s="3" t="n">
        <v>4.068268427732349</v>
      </c>
      <c r="AA973" s="3" t="n">
        <v>4.068268427732345</v>
      </c>
      <c r="AB973" s="3" t="n">
        <v>4.068268427732345</v>
      </c>
      <c r="AC973" s="3" t="n">
        <v>4.068268427732345</v>
      </c>
      <c r="AD973" s="3" t="n">
        <v>4.068268427732345</v>
      </c>
      <c r="AE973" s="3" t="n">
        <v>4.068268427732345</v>
      </c>
      <c r="AG973" s="20" t="inlineStr">
        <is>
          <t>egy.mit.rpn.all.lpg.3</t>
        </is>
      </c>
      <c r="AH973" s="3" t="n">
        <v>5.926765134904279</v>
      </c>
      <c r="AI973" s="3" t="n">
        <v>3.473334242251422</v>
      </c>
      <c r="AJ973" s="3" t="n">
        <v>4.068268427732345</v>
      </c>
      <c r="AK973" s="3" t="n">
        <v>4.068268427732346</v>
      </c>
      <c r="AL973" s="3" t="n">
        <v>4.068268427732345</v>
      </c>
      <c r="AM973" s="3" t="n">
        <v>5.434149901775083</v>
      </c>
      <c r="AN973" s="3" t="n">
        <v>5.434149901775084</v>
      </c>
      <c r="AO973" s="3" t="n">
        <v>5.434149901775083</v>
      </c>
      <c r="AP973" s="3" t="n">
        <v>5.434149901775083</v>
      </c>
      <c r="AQ973" s="3" t="n">
        <v>5.434149901775083</v>
      </c>
      <c r="AR973" s="3" t="n">
        <v>5.434149901775083</v>
      </c>
      <c r="AS973" s="3" t="n">
        <v>5.434149901775084</v>
      </c>
      <c r="AT973" s="3" t="n">
        <v>5.434149901775085</v>
      </c>
      <c r="AU973" s="3" t="n">
        <v>5.434149901775086</v>
      </c>
      <c r="AV973" s="3" t="n">
        <v>5.434149901775086</v>
      </c>
      <c r="AW973" s="3" t="n">
        <v>5.434149901775082</v>
      </c>
      <c r="AX973" s="3" t="n">
        <v>5.434149901775083</v>
      </c>
      <c r="AY973" s="3" t="n">
        <v>5.434149901775083</v>
      </c>
      <c r="AZ973" s="3" t="n">
        <v>5.434149901775083</v>
      </c>
      <c r="BA973" s="3" t="n">
        <v>5.434149901775083</v>
      </c>
      <c r="BC973" s="20" t="inlineStr">
        <is>
          <t>egy.mit.rpn.all.lpg.4</t>
        </is>
      </c>
      <c r="BD973" s="3" t="n">
        <v>5.926765134904279</v>
      </c>
      <c r="BE973" s="3" t="n">
        <v>3.473334242251422</v>
      </c>
      <c r="BF973" s="3" t="n">
        <v>4.068268427732345</v>
      </c>
      <c r="BG973" s="3" t="n">
        <v>4.068268427732346</v>
      </c>
      <c r="BH973" s="3" t="n">
        <v>4.068268427732345</v>
      </c>
      <c r="BI973" s="3" t="n">
        <v>4.751209164753715</v>
      </c>
      <c r="BJ973" s="3" t="n">
        <v>5.66179681411554</v>
      </c>
      <c r="BK973" s="3" t="n">
        <v>6.572384463477364</v>
      </c>
      <c r="BL973" s="3" t="n">
        <v>7.482972112839189</v>
      </c>
      <c r="BM973" s="3" t="n">
        <v>8.393559762201015</v>
      </c>
      <c r="BN973" s="3" t="n">
        <v>9.304147411562841</v>
      </c>
      <c r="BO973" s="3" t="n">
        <v>10.21473506092466</v>
      </c>
      <c r="BP973" s="3" t="n">
        <v>11.12532271028649</v>
      </c>
      <c r="BQ973" s="3" t="n">
        <v>12.03591035964832</v>
      </c>
      <c r="BR973" s="3" t="n">
        <v>12.94649800901014</v>
      </c>
      <c r="BS973" s="3" t="n">
        <v>13.85708565837197</v>
      </c>
      <c r="BT973" s="3" t="n">
        <v>14.76767330773379</v>
      </c>
      <c r="BU973" s="3" t="n">
        <v>15.67826095709562</v>
      </c>
      <c r="BV973" s="3" t="n">
        <v>16.58884860645744</v>
      </c>
      <c r="BW973" s="3" t="n">
        <v>17.49943625581927</v>
      </c>
      <c r="BY973" s="20" t="inlineStr">
        <is>
          <t>egy.mit.rpn.all.lpg.5</t>
        </is>
      </c>
      <c r="BZ973" s="3" t="n">
        <v>5.926765134904279</v>
      </c>
      <c r="CA973" s="3" t="n">
        <v>3.473334242251422</v>
      </c>
      <c r="CB973" s="3" t="n">
        <v>4.068268427732345</v>
      </c>
      <c r="CC973" s="3" t="n">
        <v>4.068268427732346</v>
      </c>
      <c r="CD973" s="3" t="n">
        <v>4.068268427732345</v>
      </c>
      <c r="CE973" s="3" t="n">
        <v>5.775620270285767</v>
      </c>
      <c r="CF973" s="3" t="n">
        <v>5.775620270285768</v>
      </c>
      <c r="CG973" s="3" t="n">
        <v>5.775620270285767</v>
      </c>
      <c r="CH973" s="3" t="n">
        <v>5.775620270285767</v>
      </c>
      <c r="CI973" s="3" t="n">
        <v>5.775620270285767</v>
      </c>
      <c r="CJ973" s="3" t="n">
        <v>5.775620270285768</v>
      </c>
      <c r="CK973" s="3" t="n">
        <v>5.775620270285767</v>
      </c>
      <c r="CL973" s="3" t="n">
        <v>5.775620270285771</v>
      </c>
      <c r="CM973" s="3" t="n">
        <v>5.775620270285772</v>
      </c>
      <c r="CN973" s="3" t="n">
        <v>5.775620270285772</v>
      </c>
      <c r="CO973" s="3" t="n">
        <v>5.775620270285767</v>
      </c>
      <c r="CP973" s="3" t="n">
        <v>5.775620270285767</v>
      </c>
      <c r="CQ973" s="3" t="n">
        <v>5.775620270285768</v>
      </c>
      <c r="CR973" s="3" t="n">
        <v>5.775620270285767</v>
      </c>
      <c r="CS973" s="3" t="n">
        <v>5.775620270285767</v>
      </c>
      <c r="CU973" s="20" t="inlineStr">
        <is>
          <t>egy.mit.rpn.all.lpg.6</t>
        </is>
      </c>
      <c r="CV973" s="3" t="n">
        <v>5.926765134904279</v>
      </c>
      <c r="CW973" s="3" t="n">
        <v>3.473334242251422</v>
      </c>
      <c r="CX973" s="3" t="n">
        <v>4.068268427732345</v>
      </c>
      <c r="CY973" s="3" t="n">
        <v>4.068268427732346</v>
      </c>
      <c r="CZ973" s="3" t="n">
        <v>4.068268427732345</v>
      </c>
      <c r="DA973" s="3" t="n">
        <v>7.48297211283919</v>
      </c>
      <c r="DB973" s="3" t="n">
        <v>7.482972112839191</v>
      </c>
      <c r="DC973" s="3" t="n">
        <v>7.48297211283919</v>
      </c>
      <c r="DD973" s="3" t="n">
        <v>7.48297211283919</v>
      </c>
      <c r="DE973" s="3" t="n">
        <v>7.482972112839191</v>
      </c>
      <c r="DF973" s="3" t="n">
        <v>7.482972112839189</v>
      </c>
      <c r="DG973" s="3" t="n">
        <v>7.48297211283919</v>
      </c>
      <c r="DH973" s="3" t="n">
        <v>7.482972112839194</v>
      </c>
      <c r="DI973" s="3" t="n">
        <v>7.482972112839193</v>
      </c>
      <c r="DJ973" s="3" t="n">
        <v>7.482972112839192</v>
      </c>
      <c r="DK973" s="3" t="n">
        <v>7.48297211283919</v>
      </c>
      <c r="DL973" s="3" t="n">
        <v>7.48297211283919</v>
      </c>
      <c r="DM973" s="3" t="n">
        <v>7.482972112839191</v>
      </c>
      <c r="DN973" s="3" t="n">
        <v>7.482972112839189</v>
      </c>
      <c r="DO973" s="3" t="n">
        <v>7.48297211283919</v>
      </c>
    </row>
    <row r="974">
      <c r="A974" s="19" t="inlineStr">
        <is>
          <t>mit.rpn.all.ker</t>
        </is>
      </c>
      <c r="B974" s="3" t="inlineStr">
        <is>
          <t>mit</t>
        </is>
      </c>
      <c r="C974" s="19" t="inlineStr">
        <is>
          <t>mit.rp.all.ker.a</t>
        </is>
      </c>
      <c r="H974" s="3" t="inlineStr">
        <is>
          <t>Retail price incl. new taxes and subsidies (fuel-use weighted average of the after-tax prices atp of the subsectors priced by the block; rpb where they use none) | All sectors | Kerosene</t>
        </is>
      </c>
      <c r="I974" s="3" t="inlineStr">
        <is>
          <t>USD/GJ real</t>
        </is>
      </c>
      <c r="K974" s="20" t="inlineStr">
        <is>
          <t>egy.mit.rpn.all.ker.1</t>
        </is>
      </c>
      <c r="L974" s="3" t="n">
        <v>10.55358878014809</v>
      </c>
      <c r="M974" s="3" t="n">
        <v>6.846515481039771</v>
      </c>
      <c r="N974" s="3" t="n">
        <v>7.076197436466326</v>
      </c>
      <c r="O974" s="3" t="n">
        <v>7.076197436466328</v>
      </c>
      <c r="P974" s="3" t="n">
        <v>7.076197436466326</v>
      </c>
      <c r="Q974" s="3" t="n">
        <v>7.076197436466327</v>
      </c>
      <c r="R974" s="3" t="n">
        <v>7.076197436466327</v>
      </c>
      <c r="S974" s="3" t="n">
        <v>7.076197436466326</v>
      </c>
      <c r="T974" s="3" t="n">
        <v>7.076197436466328</v>
      </c>
      <c r="U974" s="3" t="n">
        <v>7.076197436466328</v>
      </c>
      <c r="V974" s="3" t="n">
        <v>7.076197436466327</v>
      </c>
      <c r="W974" s="3" t="n">
        <v>7.076197436466327</v>
      </c>
      <c r="X974" s="3" t="n">
        <v>7.076197436466329</v>
      </c>
      <c r="Y974" s="3" t="n">
        <v>7.07619743646633</v>
      </c>
      <c r="Z974" s="3" t="n">
        <v>7.07619743646633</v>
      </c>
      <c r="AA974" s="3" t="n">
        <v>7.076197436466328</v>
      </c>
      <c r="AB974" s="3" t="n">
        <v>7.07619743646633</v>
      </c>
      <c r="AC974" s="3" t="n">
        <v>7.07619743646633</v>
      </c>
      <c r="AD974" s="3" t="n">
        <v>7.07619743646633</v>
      </c>
      <c r="AE974" s="3" t="n">
        <v>7.07619743646633</v>
      </c>
      <c r="AG974" s="20" t="inlineStr">
        <is>
          <t>egy.mit.rpn.all.ker.3</t>
        </is>
      </c>
      <c r="AH974" s="3" t="n">
        <v>10.55358878014809</v>
      </c>
      <c r="AI974" s="3" t="n">
        <v>6.846515481039771</v>
      </c>
      <c r="AJ974" s="3" t="n">
        <v>7.076197436466326</v>
      </c>
      <c r="AK974" s="3" t="n">
        <v>7.076197436466328</v>
      </c>
      <c r="AL974" s="3" t="n">
        <v>7.076197436466326</v>
      </c>
      <c r="AM974" s="3" t="n">
        <v>8.499086765928546</v>
      </c>
      <c r="AN974" s="3" t="n">
        <v>8.499087669451244</v>
      </c>
      <c r="AO974" s="3" t="n">
        <v>8.499088333958694</v>
      </c>
      <c r="AP974" s="3" t="n">
        <v>8.499088561426957</v>
      </c>
      <c r="AQ974" s="3" t="n">
        <v>8.499088809127505</v>
      </c>
      <c r="AR974" s="3" t="n">
        <v>8.499088937912152</v>
      </c>
      <c r="AS974" s="3" t="n">
        <v>8.499089076806797</v>
      </c>
      <c r="AT974" s="3" t="n">
        <v>8.499089183319054</v>
      </c>
      <c r="AU974" s="3" t="n">
        <v>8.49908920553707</v>
      </c>
      <c r="AV974" s="3" t="n">
        <v>8.499089177331866</v>
      </c>
      <c r="AW974" s="3" t="n">
        <v>8.499089118579521</v>
      </c>
      <c r="AX974" s="3" t="n">
        <v>8.499088966029715</v>
      </c>
      <c r="AY974" s="3" t="n">
        <v>8.499088737137509</v>
      </c>
      <c r="AZ974" s="3" t="n">
        <v>8.499088413795899</v>
      </c>
      <c r="BA974" s="3" t="n">
        <v>8.499088025246783</v>
      </c>
      <c r="BC974" s="20" t="inlineStr">
        <is>
          <t>egy.mit.rpn.all.ker.4</t>
        </is>
      </c>
      <c r="BD974" s="3" t="n">
        <v>10.55358878014809</v>
      </c>
      <c r="BE974" s="3" t="n">
        <v>6.846515481039771</v>
      </c>
      <c r="BF974" s="3" t="n">
        <v>7.076197436466326</v>
      </c>
      <c r="BG974" s="3" t="n">
        <v>7.076197436466328</v>
      </c>
      <c r="BH974" s="3" t="n">
        <v>7.076197436466326</v>
      </c>
      <c r="BI974" s="3" t="n">
        <v>7.787644006675317</v>
      </c>
      <c r="BJ974" s="3" t="n">
        <v>8.736247689326337</v>
      </c>
      <c r="BK974" s="3" t="n">
        <v>9.684858448822711</v>
      </c>
      <c r="BL974" s="3" t="n">
        <v>10.63347419189352</v>
      </c>
      <c r="BM974" s="3" t="n">
        <v>11.58208259486305</v>
      </c>
      <c r="BN974" s="3" t="n">
        <v>12.53069178945876</v>
      </c>
      <c r="BO974" s="3" t="n">
        <v>13.47930195859225</v>
      </c>
      <c r="BP974" s="3" t="n">
        <v>14.4279132282327</v>
      </c>
      <c r="BQ974" s="3" t="n">
        <v>15.37652551236474</v>
      </c>
      <c r="BR974" s="3" t="n">
        <v>16.32513876153192</v>
      </c>
      <c r="BS974" s="3" t="n">
        <v>17.27375301419029</v>
      </c>
      <c r="BT974" s="3" t="n">
        <v>18.22236807481976</v>
      </c>
      <c r="BU974" s="3" t="n">
        <v>19.1709837590447</v>
      </c>
      <c r="BV974" s="3" t="n">
        <v>20.11959971871194</v>
      </c>
      <c r="BW974" s="3" t="n">
        <v>21.06821575435812</v>
      </c>
      <c r="BY974" s="20" t="inlineStr">
        <is>
          <t>egy.mit.rpn.all.ker.5</t>
        </is>
      </c>
      <c r="BZ974" s="3" t="n">
        <v>10.55358878014809</v>
      </c>
      <c r="CA974" s="3" t="n">
        <v>6.846515481039771</v>
      </c>
      <c r="CB974" s="3" t="n">
        <v>7.076197436466326</v>
      </c>
      <c r="CC974" s="3" t="n">
        <v>7.076197436466328</v>
      </c>
      <c r="CD974" s="3" t="n">
        <v>7.076197436466326</v>
      </c>
      <c r="CE974" s="3" t="n">
        <v>8.854809703983223</v>
      </c>
      <c r="CF974" s="3" t="n">
        <v>8.854810839561688</v>
      </c>
      <c r="CG974" s="3" t="n">
        <v>8.854811668956144</v>
      </c>
      <c r="CH974" s="3" t="n">
        <v>8.854811965676381</v>
      </c>
      <c r="CI974" s="3" t="n">
        <v>8.854812302086758</v>
      </c>
      <c r="CJ974" s="3" t="n">
        <v>8.854812463132518</v>
      </c>
      <c r="CK974" s="3" t="n">
        <v>8.854812648960511</v>
      </c>
      <c r="CL974" s="3" t="n">
        <v>8.854812754416541</v>
      </c>
      <c r="CM974" s="3" t="n">
        <v>8.854812762877959</v>
      </c>
      <c r="CN974" s="3" t="n">
        <v>8.854812708656313</v>
      </c>
      <c r="CO974" s="3" t="n">
        <v>8.854812606893191</v>
      </c>
      <c r="CP974" s="3" t="n">
        <v>8.854812392233512</v>
      </c>
      <c r="CQ974" s="3" t="n">
        <v>8.854812095941705</v>
      </c>
      <c r="CR974" s="3" t="n">
        <v>8.854811691737737</v>
      </c>
      <c r="CS974" s="3" t="n">
        <v>8.854811223110701</v>
      </c>
      <c r="CU974" s="20" t="inlineStr">
        <is>
          <t>egy.mit.rpn.all.ker.6</t>
        </is>
      </c>
      <c r="CV974" s="3" t="n">
        <v>10.55358878014809</v>
      </c>
      <c r="CW974" s="3" t="n">
        <v>6.846515481039771</v>
      </c>
      <c r="CX974" s="3" t="n">
        <v>7.076197436466326</v>
      </c>
      <c r="CY974" s="3" t="n">
        <v>7.076197436466328</v>
      </c>
      <c r="CZ974" s="3" t="n">
        <v>7.076197436466326</v>
      </c>
      <c r="DA974" s="3" t="n">
        <v>10.63342817104513</v>
      </c>
      <c r="DB974" s="3" t="n">
        <v>10.6334304978933</v>
      </c>
      <c r="DC974" s="3" t="n">
        <v>10.63343233713586</v>
      </c>
      <c r="DD974" s="3" t="n">
        <v>10.63343270922236</v>
      </c>
      <c r="DE974" s="3" t="n">
        <v>10.63343345575545</v>
      </c>
      <c r="DF974" s="3" t="n">
        <v>10.63343372708374</v>
      </c>
      <c r="DG974" s="3" t="n">
        <v>10.63343427774087</v>
      </c>
      <c r="DH974" s="3" t="n">
        <v>10.63343481219665</v>
      </c>
      <c r="DI974" s="3" t="n">
        <v>10.63343508935145</v>
      </c>
      <c r="DJ974" s="3" t="n">
        <v>10.6334352709501</v>
      </c>
      <c r="DK974" s="3" t="n">
        <v>10.63343546197261</v>
      </c>
      <c r="DL974" s="3" t="n">
        <v>10.63343531496887</v>
      </c>
      <c r="DM974" s="3" t="n">
        <v>10.63343493420935</v>
      </c>
      <c r="DN974" s="3" t="n">
        <v>10.63343421008335</v>
      </c>
      <c r="DO974" s="3" t="n">
        <v>10.63343329975118</v>
      </c>
    </row>
    <row r="975">
      <c r="A975" s="19" t="inlineStr">
        <is>
          <t>mit.rpn.all.oop</t>
        </is>
      </c>
      <c r="B975" s="3" t="inlineStr">
        <is>
          <t>mit</t>
        </is>
      </c>
      <c r="C975" s="19" t="inlineStr">
        <is>
          <t>mit.rp.all.oop.a</t>
        </is>
      </c>
      <c r="H975" s="3" t="inlineStr">
        <is>
          <t>Retail price incl. new taxes and subsidies (fuel-use weighted average of the after-tax prices atp of the subsectors priced by the block; rpb where they use none) | All sectors | Other oil products</t>
        </is>
      </c>
      <c r="I975" s="3" t="inlineStr">
        <is>
          <t>USD/GJ real</t>
        </is>
      </c>
      <c r="K975" s="20" t="inlineStr">
        <is>
          <t>egy.mit.rpn.all.oop.1</t>
        </is>
      </c>
      <c r="L975" s="3" t="n">
        <v>4.863441586801504</v>
      </c>
      <c r="M975" s="3" t="n">
        <v>4.398444273684698</v>
      </c>
      <c r="N975" s="3" t="n">
        <v>4.185618044494788</v>
      </c>
      <c r="O975" s="3" t="n">
        <v>4.185618044494788</v>
      </c>
      <c r="P975" s="3" t="n">
        <v>4.185618044494788</v>
      </c>
      <c r="Q975" s="3" t="n">
        <v>4.185618044494788</v>
      </c>
      <c r="R975" s="3" t="n">
        <v>4.185618044494788</v>
      </c>
      <c r="S975" s="3" t="n">
        <v>4.185618044494788</v>
      </c>
      <c r="T975" s="3" t="n">
        <v>4.185618044494788</v>
      </c>
      <c r="U975" s="3" t="n">
        <v>4.185618044494788</v>
      </c>
      <c r="V975" s="3" t="n">
        <v>4.185618044494788</v>
      </c>
      <c r="W975" s="3" t="n">
        <v>4.185618044494787</v>
      </c>
      <c r="X975" s="3" t="n">
        <v>4.185618044494792</v>
      </c>
      <c r="Y975" s="3" t="n">
        <v>4.185618044494792</v>
      </c>
      <c r="Z975" s="3" t="n">
        <v>4.185618044494792</v>
      </c>
      <c r="AA975" s="3" t="n">
        <v>4.18561804449479</v>
      </c>
      <c r="AB975" s="3" t="n">
        <v>4.185618044494793</v>
      </c>
      <c r="AC975" s="3" t="n">
        <v>4.185618044494792</v>
      </c>
      <c r="AD975" s="3" t="n">
        <v>4.185618044494792</v>
      </c>
      <c r="AE975" s="3" t="n">
        <v>4.185618044494792</v>
      </c>
      <c r="AG975" s="20" t="inlineStr">
        <is>
          <t>egy.mit.rpn.all.oop.3</t>
        </is>
      </c>
      <c r="AH975" s="3" t="n">
        <v>4.863441586801504</v>
      </c>
      <c r="AI975" s="3" t="n">
        <v>4.398444273684698</v>
      </c>
      <c r="AJ975" s="3" t="n">
        <v>4.185618044494788</v>
      </c>
      <c r="AK975" s="3" t="n">
        <v>4.185618044494788</v>
      </c>
      <c r="AL975" s="3" t="n">
        <v>4.185618044494788</v>
      </c>
      <c r="AM975" s="3" t="n">
        <v>5.641612612414508</v>
      </c>
      <c r="AN975" s="3" t="n">
        <v>5.6416290357413</v>
      </c>
      <c r="AO975" s="3" t="n">
        <v>5.641645405581253</v>
      </c>
      <c r="AP975" s="3" t="n">
        <v>5.641661722066684</v>
      </c>
      <c r="AQ975" s="3" t="n">
        <v>5.64167798532989</v>
      </c>
      <c r="AR975" s="3" t="n">
        <v>5.641694195503145</v>
      </c>
      <c r="AS975" s="3" t="n">
        <v>5.641710352718693</v>
      </c>
      <c r="AT975" s="3" t="n">
        <v>5.641726457108752</v>
      </c>
      <c r="AU975" s="3" t="n">
        <v>5.641742508805498</v>
      </c>
      <c r="AV975" s="3" t="n">
        <v>5.641758507941086</v>
      </c>
      <c r="AW975" s="3" t="n">
        <v>5.641774454647624</v>
      </c>
      <c r="AX975" s="3" t="n">
        <v>5.641790349057191</v>
      </c>
      <c r="AY975" s="3" t="n">
        <v>5.641806191301806</v>
      </c>
      <c r="AZ975" s="3" t="n">
        <v>5.641821981513463</v>
      </c>
      <c r="BA975" s="3" t="n">
        <v>5.641837719824096</v>
      </c>
      <c r="BC975" s="20" t="inlineStr">
        <is>
          <t>egy.mit.rpn.all.oop.4</t>
        </is>
      </c>
      <c r="BD975" s="3" t="n">
        <v>4.863441586801504</v>
      </c>
      <c r="BE975" s="3" t="n">
        <v>4.398444273684698</v>
      </c>
      <c r="BF975" s="3" t="n">
        <v>4.185618044494788</v>
      </c>
      <c r="BG975" s="3" t="n">
        <v>4.185618044494788</v>
      </c>
      <c r="BH975" s="3" t="n">
        <v>4.185618044494788</v>
      </c>
      <c r="BI975" s="3" t="n">
        <v>4.916233322627264</v>
      </c>
      <c r="BJ975" s="3" t="n">
        <v>5.883100282863285</v>
      </c>
      <c r="BK975" s="3" t="n">
        <v>6.843095265852652</v>
      </c>
      <c r="BL975" s="3" t="n">
        <v>7.797285477170166</v>
      </c>
      <c r="BM975" s="3" t="n">
        <v>8.74463169119551</v>
      </c>
      <c r="BN975" s="3" t="n">
        <v>9.68619719895481</v>
      </c>
      <c r="BO975" s="3" t="n">
        <v>10.62229691555894</v>
      </c>
      <c r="BP975" s="3" t="n">
        <v>11.55319930750162</v>
      </c>
      <c r="BQ975" s="3" t="n">
        <v>12.4791369889502</v>
      </c>
      <c r="BR975" s="3" t="n">
        <v>13.40031419252547</v>
      </c>
      <c r="BS975" s="3" t="n">
        <v>14.31691221301936</v>
      </c>
      <c r="BT975" s="3" t="n">
        <v>15.229093483293</v>
      </c>
      <c r="BU975" s="3" t="n">
        <v>16.13700469641576</v>
      </c>
      <c r="BV975" s="3" t="n">
        <v>17.04077924412943</v>
      </c>
      <c r="BW975" s="3" t="n">
        <v>17.94053915352658</v>
      </c>
      <c r="BY975" s="20" t="inlineStr">
        <is>
          <t>egy.mit.rpn.all.oop.5</t>
        </is>
      </c>
      <c r="BZ975" s="3" t="n">
        <v>4.863441586801504</v>
      </c>
      <c r="CA975" s="3" t="n">
        <v>4.398444273684698</v>
      </c>
      <c r="CB975" s="3" t="n">
        <v>4.185618044494788</v>
      </c>
      <c r="CC975" s="3" t="n">
        <v>4.185618044494788</v>
      </c>
      <c r="CD975" s="3" t="n">
        <v>4.185618044494788</v>
      </c>
      <c r="CE975" s="3" t="n">
        <v>6.002532365739725</v>
      </c>
      <c r="CF975" s="3" t="n">
        <v>6.002551871961028</v>
      </c>
      <c r="CG975" s="3" t="n">
        <v>6.002571314707296</v>
      </c>
      <c r="CH975" s="3" t="n">
        <v>6.002590694135182</v>
      </c>
      <c r="CI975" s="3" t="n">
        <v>6.002610010401304</v>
      </c>
      <c r="CJ975" s="3" t="n">
        <v>6.002629263662268</v>
      </c>
      <c r="CK975" s="3" t="n">
        <v>6.002648454074642</v>
      </c>
      <c r="CL975" s="3" t="n">
        <v>6.002667581794974</v>
      </c>
      <c r="CM975" s="3" t="n">
        <v>6.002686646979754</v>
      </c>
      <c r="CN975" s="3" t="n">
        <v>6.002705649785458</v>
      </c>
      <c r="CO975" s="3" t="n">
        <v>6.002724590368506</v>
      </c>
      <c r="CP975" s="3" t="n">
        <v>6.002743468885289</v>
      </c>
      <c r="CQ975" s="3" t="n">
        <v>6.002762285492133</v>
      </c>
      <c r="CR975" s="3" t="n">
        <v>6.002781040345328</v>
      </c>
      <c r="CS975" s="3" t="n">
        <v>6.002799733601103</v>
      </c>
      <c r="CU975" s="20" t="inlineStr">
        <is>
          <t>egy.mit.rpn.all.oop.6</t>
        </is>
      </c>
      <c r="CV975" s="3" t="n">
        <v>4.863441586801504</v>
      </c>
      <c r="CW975" s="3" t="n">
        <v>4.398444273684698</v>
      </c>
      <c r="CX975" s="3" t="n">
        <v>4.185618044494788</v>
      </c>
      <c r="CY975" s="3" t="n">
        <v>4.185618044494788</v>
      </c>
      <c r="CZ975" s="3" t="n">
        <v>4.185618044494788</v>
      </c>
      <c r="DA975" s="3" t="n">
        <v>7.790908789611065</v>
      </c>
      <c r="DB975" s="3" t="n">
        <v>7.790938006559598</v>
      </c>
      <c r="DC975" s="3" t="n">
        <v>7.790967128723961</v>
      </c>
      <c r="DD975" s="3" t="n">
        <v>7.790996156335956</v>
      </c>
      <c r="DE975" s="3" t="n">
        <v>7.79102508962737</v>
      </c>
      <c r="DF975" s="3" t="n">
        <v>7.791053928829969</v>
      </c>
      <c r="DG975" s="3" t="n">
        <v>7.791082674175498</v>
      </c>
      <c r="DH975" s="3" t="n">
        <v>7.791111325895669</v>
      </c>
      <c r="DI975" s="3" t="n">
        <v>7.791139884222155</v>
      </c>
      <c r="DJ975" s="3" t="n">
        <v>7.7911683493866</v>
      </c>
      <c r="DK975" s="3" t="n">
        <v>7.791196721620596</v>
      </c>
      <c r="DL975" s="3" t="n">
        <v>7.791225001155699</v>
      </c>
      <c r="DM975" s="3" t="n">
        <v>7.791253188223401</v>
      </c>
      <c r="DN975" s="3" t="n">
        <v>7.791281283055139</v>
      </c>
      <c r="DO975" s="3" t="n">
        <v>7.791309285882292</v>
      </c>
    </row>
    <row r="976">
      <c r="A976" s="5" t="n"/>
      <c r="B976" s="18" t="inlineStr">
        <is>
          <t>Methane</t>
        </is>
      </c>
      <c r="C976" s="5" t="n"/>
      <c r="D976" s="5" t="n"/>
      <c r="E976" s="5" t="n"/>
      <c r="F976" s="5" t="n"/>
      <c r="G976" s="5" t="n"/>
      <c r="H976" s="5" t="n"/>
      <c r="I976" s="5" t="n"/>
      <c r="J976" s="5" t="n"/>
      <c r="K976" s="5" t="n"/>
      <c r="L976" s="5" t="n"/>
      <c r="M976" s="5" t="n"/>
      <c r="N976" s="5" t="n"/>
      <c r="O976" s="5" t="n"/>
      <c r="P976" s="5" t="n"/>
      <c r="Q976" s="5" t="n"/>
      <c r="R976" s="5" t="n"/>
      <c r="S976" s="5" t="n"/>
      <c r="T976" s="5" t="n"/>
      <c r="U976" s="5" t="n"/>
      <c r="V976" s="5" t="n"/>
      <c r="W976" s="5" t="n"/>
      <c r="X976" s="5" t="n"/>
      <c r="Y976" s="5" t="n"/>
      <c r="Z976" s="5" t="n"/>
      <c r="AA976" s="5" t="n"/>
      <c r="AB976" s="5" t="n"/>
      <c r="AC976" s="5" t="n"/>
      <c r="AD976" s="5" t="n"/>
      <c r="AE976" s="5" t="n"/>
      <c r="AF976" s="5" t="n"/>
      <c r="AG976" s="5" t="n"/>
      <c r="AH976" s="5" t="n"/>
      <c r="AI976" s="5" t="n"/>
      <c r="AJ976" s="5" t="n"/>
      <c r="AK976" s="5" t="n"/>
      <c r="AL976" s="5" t="n"/>
      <c r="AM976" s="5" t="n"/>
      <c r="AN976" s="5" t="n"/>
      <c r="AO976" s="5" t="n"/>
      <c r="AP976" s="5" t="n"/>
      <c r="AQ976" s="5" t="n"/>
      <c r="AR976" s="5" t="n"/>
      <c r="AS976" s="5" t="n"/>
      <c r="AT976" s="5" t="n"/>
      <c r="AU976" s="5" t="n"/>
      <c r="AV976" s="5" t="n"/>
      <c r="AW976" s="5" t="n"/>
      <c r="AX976" s="5" t="n"/>
      <c r="AY976" s="5" t="n"/>
      <c r="AZ976" s="5" t="n"/>
      <c r="BA976" s="5" t="n"/>
      <c r="BB976" s="5" t="n"/>
      <c r="BC976" s="5" t="n"/>
      <c r="BD976" s="5" t="n"/>
      <c r="BE976" s="5" t="n"/>
      <c r="BF976" s="5" t="n"/>
      <c r="BG976" s="5" t="n"/>
      <c r="BH976" s="5" t="n"/>
      <c r="BI976" s="5" t="n"/>
      <c r="BJ976" s="5" t="n"/>
      <c r="BK976" s="5" t="n"/>
      <c r="BL976" s="5" t="n"/>
      <c r="BM976" s="5" t="n"/>
      <c r="BN976" s="5" t="n"/>
      <c r="BO976" s="5" t="n"/>
      <c r="BP976" s="5" t="n"/>
      <c r="BQ976" s="5" t="n"/>
      <c r="BR976" s="5" t="n"/>
      <c r="BS976" s="5" t="n"/>
      <c r="BT976" s="5" t="n"/>
      <c r="BU976" s="5" t="n"/>
      <c r="BV976" s="5" t="n"/>
      <c r="BW976" s="5" t="n"/>
      <c r="BX976" s="5" t="n"/>
      <c r="BY976" s="5" t="n"/>
      <c r="BZ976" s="5" t="n"/>
      <c r="CA976" s="5" t="n"/>
      <c r="CB976" s="5" t="n"/>
      <c r="CC976" s="5" t="n"/>
      <c r="CD976" s="5" t="n"/>
      <c r="CE976" s="5" t="n"/>
      <c r="CF976" s="5" t="n"/>
      <c r="CG976" s="5" t="n"/>
      <c r="CH976" s="5" t="n"/>
      <c r="CI976" s="5" t="n"/>
      <c r="CJ976" s="5" t="n"/>
      <c r="CK976" s="5" t="n"/>
      <c r="CL976" s="5" t="n"/>
      <c r="CM976" s="5" t="n"/>
      <c r="CN976" s="5" t="n"/>
      <c r="CO976" s="5" t="n"/>
      <c r="CP976" s="5" t="n"/>
      <c r="CQ976" s="5" t="n"/>
      <c r="CR976" s="5" t="n"/>
      <c r="CS976" s="5" t="n"/>
      <c r="CT976" s="5" t="n"/>
      <c r="CU976" s="5" t="n"/>
      <c r="CV976" s="5" t="n"/>
      <c r="CW976" s="5" t="n"/>
      <c r="CX976" s="5" t="n"/>
      <c r="CY976" s="5" t="n"/>
      <c r="CZ976" s="5" t="n"/>
      <c r="DA976" s="5" t="n"/>
      <c r="DB976" s="5" t="n"/>
      <c r="DC976" s="5" t="n"/>
      <c r="DD976" s="5" t="n"/>
      <c r="DE976" s="5" t="n"/>
      <c r="DF976" s="5" t="n"/>
      <c r="DG976" s="5" t="n"/>
      <c r="DH976" s="5" t="n"/>
      <c r="DI976" s="5" t="n"/>
      <c r="DJ976" s="5" t="n"/>
      <c r="DK976" s="5" t="n"/>
      <c r="DL976" s="5" t="n"/>
      <c r="DM976" s="5" t="n"/>
      <c r="DN976" s="5" t="n"/>
      <c r="DO976" s="5" t="n"/>
      <c r="DP976" s="5" t="n"/>
      <c r="DQ976" s="5" t="n"/>
      <c r="DR976" s="5" t="n"/>
      <c r="DS976" s="5" t="n"/>
      <c r="DT976" s="5" t="n"/>
      <c r="DU976" s="5" t="n"/>
      <c r="DV976" s="5" t="n"/>
      <c r="DW976" s="5" t="n"/>
      <c r="DX976" s="5" t="n"/>
      <c r="DY976" s="5" t="n"/>
      <c r="DZ976" s="5" t="n"/>
      <c r="EA976" s="5" t="n"/>
      <c r="EB976" s="5" t="n"/>
      <c r="EC976" s="5" t="n"/>
      <c r="ED976" s="5" t="n"/>
      <c r="EE976" s="5" t="n"/>
      <c r="EF976" s="5" t="n"/>
      <c r="EG976" s="5" t="n"/>
      <c r="EH976" s="5" t="n"/>
      <c r="EI976" s="5" t="n"/>
      <c r="EJ976" s="5" t="n"/>
      <c r="EK976" s="5" t="n"/>
      <c r="EL976" s="5" t="n"/>
      <c r="EM976" s="5" t="n"/>
      <c r="EN976" s="5" t="n"/>
      <c r="EO976" s="5" t="n"/>
      <c r="EP976" s="5" t="n"/>
      <c r="EQ976" s="5" t="n"/>
      <c r="ER976" s="5" t="n"/>
      <c r="ES976" s="5" t="n"/>
      <c r="ET976" s="5" t="n"/>
      <c r="EU976" s="5" t="n"/>
      <c r="EV976" s="5" t="n"/>
      <c r="EW976" s="5" t="n"/>
      <c r="EX976" s="5" t="n"/>
      <c r="EY976" s="5" t="n"/>
      <c r="EZ976" s="5" t="n"/>
      <c r="FA976" s="5" t="n"/>
      <c r="FB976" s="5" t="n"/>
      <c r="FC976" s="5" t="n"/>
      <c r="FD976" s="5" t="n"/>
      <c r="FE976" s="5" t="n"/>
      <c r="FF976" s="5" t="n"/>
      <c r="FG976" s="5" t="n"/>
      <c r="FH976" s="5" t="n"/>
      <c r="FI976" s="5" t="n"/>
      <c r="FJ976" s="5" t="n"/>
      <c r="FK976" s="5" t="n"/>
      <c r="FL976" s="5" t="n"/>
      <c r="FM976" s="5" t="n"/>
      <c r="FN976" s="5" t="n"/>
      <c r="FO976" s="5" t="n"/>
      <c r="FP976" s="5" t="n"/>
      <c r="FQ976" s="5" t="n"/>
      <c r="FR976" s="5" t="n"/>
      <c r="FS976" s="5" t="n"/>
      <c r="FT976" s="5" t="n"/>
      <c r="FU976" s="5" t="n"/>
      <c r="FV976" s="5" t="n"/>
      <c r="FW976" s="5" t="n"/>
      <c r="FX976" s="5" t="n"/>
      <c r="FY976" s="5" t="n"/>
      <c r="FZ976" s="5" t="n"/>
      <c r="GA976" s="5" t="n"/>
      <c r="GB976" s="5" t="n"/>
      <c r="GC976" s="5" t="n"/>
      <c r="GD976" s="5" t="n"/>
      <c r="GE976" s="5" t="n"/>
      <c r="GF976" s="5" t="n"/>
      <c r="GG976" s="5" t="n"/>
      <c r="GH976" s="5" t="n"/>
      <c r="GI976" s="5" t="n"/>
      <c r="GJ976" s="5" t="n"/>
      <c r="GK976" s="5" t="n"/>
      <c r="GL976" s="5" t="n"/>
      <c r="GM976" s="5" t="n"/>
      <c r="GN976" s="5" t="n"/>
      <c r="GO976" s="5" t="n"/>
      <c r="GP976" s="5" t="n"/>
      <c r="GQ976" s="5" t="n"/>
      <c r="GR976" s="5" t="n"/>
      <c r="GS976" s="5" t="n"/>
      <c r="GT976" s="5" t="n"/>
      <c r="GU976" s="5" t="n"/>
      <c r="GV976" s="5" t="n"/>
      <c r="GW976" s="5" t="n"/>
      <c r="GX976" s="5" t="n"/>
      <c r="GY976" s="5" t="n"/>
      <c r="GZ976" s="5" t="n"/>
      <c r="HA976" s="5" t="n"/>
      <c r="HB976" s="5" t="n"/>
      <c r="HC976" s="5" t="n"/>
      <c r="HD976" s="5" t="n"/>
      <c r="HE976" s="5" t="n"/>
      <c r="HF976" s="5" t="n"/>
      <c r="HG976" s="5" t="n"/>
      <c r="HH976" s="5" t="n"/>
      <c r="HI976" s="5" t="n"/>
      <c r="HJ976" s="5" t="n"/>
      <c r="HK976" s="5" t="n"/>
      <c r="HL976" s="5" t="n"/>
      <c r="HM976" s="5" t="n"/>
      <c r="HN976" s="5" t="n"/>
      <c r="HO976" s="5" t="n"/>
      <c r="HP976" s="5" t="n"/>
      <c r="HQ976" s="5" t="n"/>
      <c r="HR976" s="5" t="n"/>
      <c r="HS976" s="5" t="n"/>
      <c r="HT976" s="5" t="n"/>
      <c r="HU976" s="5" t="n"/>
      <c r="HV976" s="5" t="n"/>
    </row>
    <row r="977">
      <c r="A977" s="14" t="n"/>
      <c r="B977" s="3" t="inlineStr">
        <is>
          <t>mit</t>
        </is>
      </c>
      <c r="C977" s="19" t="inlineStr">
        <is>
          <t>air.ef.ext.ngaoil.ch4</t>
        </is>
      </c>
      <c r="H977" s="14" t="inlineStr">
        <is>
          <t>Oil and natural gas extraction - CH4 emissions factor, after abatement - baseline</t>
        </is>
      </c>
      <c r="I977" s="14" t="inlineStr"/>
    </row>
    <row r="978">
      <c r="A978" s="14" t="n"/>
      <c r="B978" s="3" t="inlineStr">
        <is>
          <t>mit</t>
        </is>
      </c>
      <c r="C978" s="19" t="inlineStr">
        <is>
          <t>air.ef.ext.coa.ch4</t>
        </is>
      </c>
      <c r="H978" s="14" t="inlineStr">
        <is>
          <t>Coal extraction - CH4 emissions factor, after abatement - baseline</t>
        </is>
      </c>
      <c r="I978" s="14" t="inlineStr"/>
    </row>
    <row r="979">
      <c r="A979" s="19" t="inlineStr">
        <is>
          <t>mit.ghg.enr.ch4</t>
        </is>
      </c>
      <c r="B979" s="3" t="inlineStr">
        <is>
          <t>mit</t>
        </is>
      </c>
      <c r="C979" s="19" t="inlineStr">
        <is>
          <t>mit.ghg.enr.ch4</t>
        </is>
      </c>
      <c r="H979" s="3" t="inlineStr">
        <is>
          <t>GHG emissions | Energy | CH4</t>
        </is>
      </c>
      <c r="I979" s="3" t="inlineStr">
        <is>
          <t>Mt CO2e</t>
        </is>
      </c>
      <c r="K979" s="20" t="inlineStr">
        <is>
          <t>egy.mit.ghg.enr.ch4.1</t>
        </is>
      </c>
      <c r="L979" s="3" t="n">
        <v>1.776082236756628</v>
      </c>
      <c r="M979" s="3" t="n">
        <v>1.698295226288005</v>
      </c>
      <c r="N979" s="3" t="n">
        <v>1.9748123586723</v>
      </c>
      <c r="O979" s="3" t="n">
        <v>2.040833994481005</v>
      </c>
      <c r="P979" s="3" t="n">
        <v>2.053257922886598</v>
      </c>
      <c r="Q979" s="3" t="n">
        <v>2.061514115781198</v>
      </c>
      <c r="R979" s="3" t="n">
        <v>2.072879477457227</v>
      </c>
      <c r="S979" s="3" t="n">
        <v>2.082632629037432</v>
      </c>
      <c r="T979" s="3" t="n">
        <v>2.080960887846683</v>
      </c>
      <c r="U979" s="3" t="n">
        <v>2.089635842715973</v>
      </c>
      <c r="V979" s="3" t="n">
        <v>2.091323410010716</v>
      </c>
      <c r="W979" s="3" t="n">
        <v>2.113311798167837</v>
      </c>
      <c r="X979" s="3" t="n">
        <v>2.130496846528293</v>
      </c>
      <c r="Y979" s="3" t="n">
        <v>2.150802262249226</v>
      </c>
      <c r="Z979" s="3" t="n">
        <v>2.170909296845678</v>
      </c>
      <c r="AA979" s="3" t="n">
        <v>2.190835807102671</v>
      </c>
      <c r="AB979" s="3" t="n">
        <v>2.210878311517982</v>
      </c>
      <c r="AC979" s="3" t="n">
        <v>2.231055213393089</v>
      </c>
      <c r="AD979" s="3" t="n">
        <v>2.251450591235084</v>
      </c>
      <c r="AE979" s="3" t="n">
        <v>2.272091784930012</v>
      </c>
      <c r="AG979" s="20" t="inlineStr">
        <is>
          <t>egy.mit.ghg.enr.ch4.3</t>
        </is>
      </c>
      <c r="AH979" s="3" t="n">
        <v>1.776082236756628</v>
      </c>
      <c r="AI979" s="3" t="n">
        <v>1.697946227104104</v>
      </c>
      <c r="AJ979" s="3" t="n">
        <v>1.974476182088958</v>
      </c>
      <c r="AK979" s="3" t="n">
        <v>2.040510259321533</v>
      </c>
      <c r="AL979" s="3" t="n">
        <v>2.052933362545671</v>
      </c>
      <c r="AM979" s="3" t="n">
        <v>1.913000679644778</v>
      </c>
      <c r="AN979" s="3" t="n">
        <v>1.850816755278517</v>
      </c>
      <c r="AO979" s="3" t="n">
        <v>1.902724197598699</v>
      </c>
      <c r="AP979" s="3" t="n">
        <v>1.893399798758217</v>
      </c>
      <c r="AQ979" s="3" t="n">
        <v>1.909301885877843</v>
      </c>
      <c r="AR979" s="3" t="n">
        <v>1.908620097217443</v>
      </c>
      <c r="AS979" s="3" t="n">
        <v>1.932494174385198</v>
      </c>
      <c r="AT979" s="3" t="n">
        <v>1.94618808756791</v>
      </c>
      <c r="AU979" s="3" t="n">
        <v>1.965455734457538</v>
      </c>
      <c r="AV979" s="3" t="n">
        <v>1.984704795948566</v>
      </c>
      <c r="AW979" s="3" t="n">
        <v>2.004382238316502</v>
      </c>
      <c r="AX979" s="3" t="n">
        <v>2.023350445646157</v>
      </c>
      <c r="AY979" s="3" t="n">
        <v>2.0421898537839</v>
      </c>
      <c r="AZ979" s="3" t="n">
        <v>2.060211368221803</v>
      </c>
      <c r="BA979" s="3" t="n">
        <v>2.078276981483727</v>
      </c>
      <c r="BC979" s="20" t="inlineStr">
        <is>
          <t>egy.mit.ghg.enr.ch4.4</t>
        </is>
      </c>
      <c r="BD979" s="3" t="n">
        <v>1.776082236756628</v>
      </c>
      <c r="BE979" s="3" t="n">
        <v>1.697073481875778</v>
      </c>
      <c r="BF979" s="3" t="n">
        <v>1.973635448742402</v>
      </c>
      <c r="BG979" s="3" t="n">
        <v>2.039700584950915</v>
      </c>
      <c r="BH979" s="3" t="n">
        <v>2.052123732632519</v>
      </c>
      <c r="BI979" s="3" t="n">
        <v>1.964687265321379</v>
      </c>
      <c r="BJ979" s="3" t="n">
        <v>1.848990445288501</v>
      </c>
      <c r="BK979" s="3" t="n">
        <v>1.761542317927723</v>
      </c>
      <c r="BL979" s="3" t="n">
        <v>1.708450587410633</v>
      </c>
      <c r="BM979" s="3" t="n">
        <v>1.678619163609617</v>
      </c>
      <c r="BN979" s="3" t="n">
        <v>1.624666964986772</v>
      </c>
      <c r="BO979" s="3" t="n">
        <v>1.596560991992879</v>
      </c>
      <c r="BP979" s="3" t="n">
        <v>1.555548493159475</v>
      </c>
      <c r="BQ979" s="3" t="n">
        <v>1.528978346818293</v>
      </c>
      <c r="BR979" s="3" t="n">
        <v>1.495140030561938</v>
      </c>
      <c r="BS979" s="3" t="n">
        <v>1.471955377244477</v>
      </c>
      <c r="BT979" s="3" t="n">
        <v>1.440698456323571</v>
      </c>
      <c r="BU979" s="3" t="n">
        <v>1.421491918369876</v>
      </c>
      <c r="BV979" s="3" t="n">
        <v>1.390285079363919</v>
      </c>
      <c r="BW979" s="3" t="n">
        <v>1.376294340721848</v>
      </c>
      <c r="BY979" s="20" t="inlineStr">
        <is>
          <t>egy.mit.ghg.enr.ch4.5</t>
        </is>
      </c>
      <c r="BZ979" s="3" t="n">
        <v>1.776082236756628</v>
      </c>
      <c r="CA979" s="3" t="n">
        <v>1.696228590331476</v>
      </c>
      <c r="CB979" s="3" t="n">
        <v>1.972820511898005</v>
      </c>
      <c r="CC979" s="3" t="n">
        <v>2.038914696607039</v>
      </c>
      <c r="CD979" s="3" t="n">
        <v>2.051335175313955</v>
      </c>
      <c r="CE979" s="3" t="n">
        <v>1.8915119038546</v>
      </c>
      <c r="CF979" s="3" t="n">
        <v>1.898477503205972</v>
      </c>
      <c r="CG979" s="3" t="n">
        <v>1.904674182401168</v>
      </c>
      <c r="CH979" s="3" t="n">
        <v>1.897723491293731</v>
      </c>
      <c r="CI979" s="3" t="n">
        <v>1.895542883959095</v>
      </c>
      <c r="CJ979" s="3" t="n">
        <v>1.877492746968803</v>
      </c>
      <c r="CK979" s="3" t="n">
        <v>1.888614035665217</v>
      </c>
      <c r="CL979" s="3" t="n">
        <v>1.868387972834608</v>
      </c>
      <c r="CM979" s="3" t="n">
        <v>1.856745438060932</v>
      </c>
      <c r="CN979" s="3" t="n">
        <v>1.847614228960196</v>
      </c>
      <c r="CO979" s="3" t="n">
        <v>1.833551989200291</v>
      </c>
      <c r="CP979" s="3" t="n">
        <v>1.822767669104892</v>
      </c>
      <c r="CQ979" s="3" t="n">
        <v>1.813183562805532</v>
      </c>
      <c r="CR979" s="3" t="n">
        <v>1.80191908472674</v>
      </c>
      <c r="CS979" s="3" t="n">
        <v>1.793304397711796</v>
      </c>
      <c r="CU979" s="20" t="inlineStr">
        <is>
          <t>egy.mit.ghg.enr.ch4.6</t>
        </is>
      </c>
      <c r="CV979" s="3" t="n">
        <v>1.776082236756628</v>
      </c>
      <c r="CW979" s="3" t="n">
        <v>1.697457345348011</v>
      </c>
      <c r="CX979" s="3" t="n">
        <v>1.974005241111715</v>
      </c>
      <c r="CY979" s="3" t="n">
        <v>2.04005672528789</v>
      </c>
      <c r="CZ979" s="3" t="n">
        <v>2.052479503075532</v>
      </c>
      <c r="DA979" s="3" t="n">
        <v>1.793091423791962</v>
      </c>
      <c r="DB979" s="3" t="n">
        <v>1.649423524487359</v>
      </c>
      <c r="DC979" s="3" t="n">
        <v>1.699236681213892</v>
      </c>
      <c r="DD979" s="3" t="n">
        <v>1.701157221602583</v>
      </c>
      <c r="DE979" s="3" t="n">
        <v>1.742338097388899</v>
      </c>
      <c r="DF979" s="3" t="n">
        <v>1.719915667284646</v>
      </c>
      <c r="DG979" s="3" t="n">
        <v>1.730487875052669</v>
      </c>
      <c r="DH979" s="3" t="n">
        <v>1.718954716258021</v>
      </c>
      <c r="DI979" s="3" t="n">
        <v>1.71994070592791</v>
      </c>
      <c r="DJ979" s="3" t="n">
        <v>1.715251383411222</v>
      </c>
      <c r="DK979" s="3" t="n">
        <v>1.717057380038806</v>
      </c>
      <c r="DL979" s="3" t="n">
        <v>1.712988924903238</v>
      </c>
      <c r="DM979" s="3" t="n">
        <v>1.714601055148234</v>
      </c>
      <c r="DN979" s="3" t="n">
        <v>1.710949625622001</v>
      </c>
      <c r="DO979" s="3" t="n">
        <v>1.712486931525572</v>
      </c>
    </row>
    <row r="980">
      <c r="A980" s="19" t="inlineStr">
        <is>
          <t>mit.ghg.agr.ch4</t>
        </is>
      </c>
      <c r="B980" s="3" t="inlineStr">
        <is>
          <t>mit</t>
        </is>
      </c>
      <c r="C980" s="19" t="inlineStr">
        <is>
          <t>mit.ghg.agr.ch4</t>
        </is>
      </c>
      <c r="H980" s="3" t="inlineStr">
        <is>
          <t>GHG emissions | Agriculture | CH4</t>
        </is>
      </c>
      <c r="I980" s="3" t="inlineStr">
        <is>
          <t>Mt CO2e</t>
        </is>
      </c>
      <c r="K980" s="20" t="inlineStr">
        <is>
          <t>egy.mit.ghg.agr.ch4.1</t>
        </is>
      </c>
      <c r="L980" s="3" t="n">
        <v>15.7883507129642</v>
      </c>
      <c r="M980" s="3" t="n">
        <v>17.7094450059996</v>
      </c>
      <c r="N980" s="3" t="n">
        <v>17.1665620578909</v>
      </c>
      <c r="O980" s="3" t="n">
        <v>18.11891436396014</v>
      </c>
      <c r="P980" s="3" t="n">
        <v>18.34522774833547</v>
      </c>
      <c r="Q980" s="3" t="n">
        <v>18.58846491134409</v>
      </c>
      <c r="R980" s="3" t="n">
        <v>18.85264482257509</v>
      </c>
      <c r="S980" s="3" t="n">
        <v>19.10969918143904</v>
      </c>
      <c r="T980" s="3" t="n">
        <v>19.35693413208933</v>
      </c>
      <c r="U980" s="3" t="n">
        <v>19.60379813124664</v>
      </c>
      <c r="V980" s="3" t="n">
        <v>19.85061076537344</v>
      </c>
      <c r="W980" s="3" t="n">
        <v>20.09707171652244</v>
      </c>
      <c r="X980" s="3" t="n">
        <v>20.34358618722453</v>
      </c>
      <c r="Y980" s="3" t="n">
        <v>20.58958401723435</v>
      </c>
      <c r="Z980" s="3" t="n">
        <v>20.83496090404383</v>
      </c>
      <c r="AA980" s="3" t="n">
        <v>21.07997435907804</v>
      </c>
      <c r="AB980" s="3" t="n">
        <v>21.32370407948291</v>
      </c>
      <c r="AC980" s="3" t="n">
        <v>21.56594391707342</v>
      </c>
      <c r="AD980" s="3" t="n">
        <v>21.80581940129237</v>
      </c>
      <c r="AE980" s="3" t="n">
        <v>22.04233766898039</v>
      </c>
      <c r="AG980" s="20" t="inlineStr">
        <is>
          <t>egy.mit.ghg.agr.ch4.3</t>
        </is>
      </c>
      <c r="AH980" s="3" t="n">
        <v>15.7883507129642</v>
      </c>
      <c r="AI980" s="3" t="n">
        <v>17.7094450059996</v>
      </c>
      <c r="AJ980" s="3" t="n">
        <v>17.1665620578909</v>
      </c>
      <c r="AK980" s="3" t="n">
        <v>18.11891436396014</v>
      </c>
      <c r="AL980" s="3" t="n">
        <v>18.34522774833547</v>
      </c>
      <c r="AM980" s="3" t="n">
        <v>18.58846507642486</v>
      </c>
      <c r="AN980" s="3" t="n">
        <v>18.8526444492426</v>
      </c>
      <c r="AO980" s="3" t="n">
        <v>19.11139620234612</v>
      </c>
      <c r="AP980" s="3" t="n">
        <v>19.35474936824336</v>
      </c>
      <c r="AQ980" s="3" t="n">
        <v>19.60226913930729</v>
      </c>
      <c r="AR980" s="3" t="n">
        <v>19.8474602777739</v>
      </c>
      <c r="AS980" s="3" t="n">
        <v>20.09601202870729</v>
      </c>
      <c r="AT980" s="3" t="n">
        <v>20.34639306294434</v>
      </c>
      <c r="AU980" s="3" t="n">
        <v>20.5954172644082</v>
      </c>
      <c r="AV980" s="3" t="n">
        <v>20.84458326886639</v>
      </c>
      <c r="AW980" s="3" t="n">
        <v>21.09516161641141</v>
      </c>
      <c r="AX980" s="3" t="n">
        <v>21.34280226425485</v>
      </c>
      <c r="AY980" s="3" t="n">
        <v>21.58806253700325</v>
      </c>
      <c r="AZ980" s="3" t="n">
        <v>21.82888548061566</v>
      </c>
      <c r="BA980" s="3" t="n">
        <v>22.06575949157994</v>
      </c>
      <c r="BC980" s="20" t="inlineStr">
        <is>
          <t>egy.mit.ghg.agr.ch4.4</t>
        </is>
      </c>
      <c r="BD980" s="3" t="n">
        <v>15.7883507129642</v>
      </c>
      <c r="BE980" s="3" t="n">
        <v>17.7094450059996</v>
      </c>
      <c r="BF980" s="3" t="n">
        <v>17.1665620578909</v>
      </c>
      <c r="BG980" s="3" t="n">
        <v>18.11891436396014</v>
      </c>
      <c r="BH980" s="3" t="n">
        <v>18.34522774833547</v>
      </c>
      <c r="BI980" s="3" t="n">
        <v>18.5884654358869</v>
      </c>
      <c r="BJ980" s="3" t="n">
        <v>18.85264363053214</v>
      </c>
      <c r="BK980" s="3" t="n">
        <v>19.11066167472324</v>
      </c>
      <c r="BL980" s="3" t="n">
        <v>19.35671084611366</v>
      </c>
      <c r="BM980" s="3" t="n">
        <v>19.60250488214204</v>
      </c>
      <c r="BN980" s="3" t="n">
        <v>19.84741498243999</v>
      </c>
      <c r="BO980" s="3" t="n">
        <v>20.09345505871563</v>
      </c>
      <c r="BP980" s="3" t="n">
        <v>20.34218533175422</v>
      </c>
      <c r="BQ980" s="3" t="n">
        <v>20.59220321957094</v>
      </c>
      <c r="BR980" s="3" t="n">
        <v>20.84333045180648</v>
      </c>
      <c r="BS980" s="3" t="n">
        <v>21.09652684093408</v>
      </c>
      <c r="BT980" s="3" t="n">
        <v>21.34984627571183</v>
      </c>
      <c r="BU980" s="3" t="n">
        <v>21.60241866115561</v>
      </c>
      <c r="BV980" s="3" t="n">
        <v>21.85185403809063</v>
      </c>
      <c r="BW980" s="3" t="n">
        <v>22.09680399210376</v>
      </c>
      <c r="BY980" s="20" t="inlineStr">
        <is>
          <t>egy.mit.ghg.agr.ch4.5</t>
        </is>
      </c>
      <c r="BZ980" s="3" t="n">
        <v>15.7883507129642</v>
      </c>
      <c r="CA980" s="3" t="n">
        <v>17.7094450059996</v>
      </c>
      <c r="CB980" s="3" t="n">
        <v>17.1665620578909</v>
      </c>
      <c r="CC980" s="3" t="n">
        <v>18.11891436396014</v>
      </c>
      <c r="CD980" s="3" t="n">
        <v>18.34522774833547</v>
      </c>
      <c r="CE980" s="3" t="n">
        <v>18.5884657847691</v>
      </c>
      <c r="CF980" s="3" t="n">
        <v>18.85264266477781</v>
      </c>
      <c r="CG980" s="3" t="n">
        <v>19.11114265702146</v>
      </c>
      <c r="CH980" s="3" t="n">
        <v>19.35473298989164</v>
      </c>
      <c r="CI980" s="3" t="n">
        <v>19.60303184595044</v>
      </c>
      <c r="CJ980" s="3" t="n">
        <v>19.84803303999612</v>
      </c>
      <c r="CK980" s="3" t="n">
        <v>20.09685485356263</v>
      </c>
      <c r="CL980" s="3" t="n">
        <v>20.34593466130555</v>
      </c>
      <c r="CM980" s="3" t="n">
        <v>20.59393991975181</v>
      </c>
      <c r="CN980" s="3" t="n">
        <v>20.84205666260046</v>
      </c>
      <c r="CO980" s="3" t="n">
        <v>21.09114110963689</v>
      </c>
      <c r="CP980" s="3" t="n">
        <v>21.33741818559994</v>
      </c>
      <c r="CQ980" s="3" t="n">
        <v>21.5818774275314</v>
      </c>
      <c r="CR980" s="3" t="n">
        <v>21.82233725903109</v>
      </c>
      <c r="CS980" s="3" t="n">
        <v>22.05963400935222</v>
      </c>
      <c r="CU980" s="20" t="inlineStr">
        <is>
          <t>egy.mit.ghg.agr.ch4.6</t>
        </is>
      </c>
      <c r="CV980" s="3" t="n">
        <v>15.7883507129642</v>
      </c>
      <c r="CW980" s="3" t="n">
        <v>17.7094450059996</v>
      </c>
      <c r="CX980" s="3" t="n">
        <v>17.1665620578909</v>
      </c>
      <c r="CY980" s="3" t="n">
        <v>18.11891436396014</v>
      </c>
      <c r="CZ980" s="3" t="n">
        <v>18.34522774833547</v>
      </c>
      <c r="DA980" s="3" t="n">
        <v>18.58846528642726</v>
      </c>
      <c r="DB980" s="3" t="n">
        <v>18.85264397132286</v>
      </c>
      <c r="DC980" s="3" t="n">
        <v>19.11333159565504</v>
      </c>
      <c r="DD980" s="3" t="n">
        <v>19.35212209505329</v>
      </c>
      <c r="DE980" s="3" t="n">
        <v>19.60077998557268</v>
      </c>
      <c r="DF980" s="3" t="n">
        <v>19.84383559194821</v>
      </c>
      <c r="DG980" s="3" t="n">
        <v>20.09504719545668</v>
      </c>
      <c r="DH980" s="3" t="n">
        <v>20.34950133097796</v>
      </c>
      <c r="DI980" s="3" t="n">
        <v>20.60185868708062</v>
      </c>
      <c r="DJ980" s="3" t="n">
        <v>20.85514874347454</v>
      </c>
      <c r="DK980" s="3" t="n">
        <v>21.11186393152371</v>
      </c>
      <c r="DL980" s="3" t="n">
        <v>21.36366408968885</v>
      </c>
      <c r="DM980" s="3" t="n">
        <v>21.6123040234582</v>
      </c>
      <c r="DN980" s="3" t="n">
        <v>21.85420026537375</v>
      </c>
      <c r="DO980" s="3" t="n">
        <v>22.09163987650106</v>
      </c>
    </row>
    <row r="981">
      <c r="A981" s="19" t="inlineStr">
        <is>
          <t>mit.ghg.wst.ch4</t>
        </is>
      </c>
      <c r="B981" s="3" t="inlineStr">
        <is>
          <t>mit</t>
        </is>
      </c>
      <c r="C981" s="19" t="inlineStr">
        <is>
          <t>mit.ghg.wst.ch4</t>
        </is>
      </c>
      <c r="H981" s="3" t="inlineStr">
        <is>
          <t>GHG emissions | Waste | CH4</t>
        </is>
      </c>
      <c r="I981" s="3" t="inlineStr">
        <is>
          <t>Mt CO2e</t>
        </is>
      </c>
      <c r="K981" s="20" t="inlineStr">
        <is>
          <t>egy.mit.ghg.wst.ch4.1</t>
        </is>
      </c>
      <c r="L981" s="3" t="n">
        <v>35.1260429723887</v>
      </c>
      <c r="M981" s="3" t="n">
        <v>35.772328129627</v>
      </c>
      <c r="N981" s="3" t="n">
        <v>36.4327701914859</v>
      </c>
      <c r="O981" s="3" t="n">
        <v>38.39904993553178</v>
      </c>
      <c r="P981" s="3" t="n">
        <v>38.76714929678482</v>
      </c>
      <c r="Q981" s="3" t="n">
        <v>39.13422442284993</v>
      </c>
      <c r="R981" s="3" t="n">
        <v>39.50126075355413</v>
      </c>
      <c r="S981" s="3" t="n">
        <v>39.86484138797261</v>
      </c>
      <c r="T981" s="3" t="n">
        <v>40.22433020282005</v>
      </c>
      <c r="U981" s="3" t="n">
        <v>40.58132374860617</v>
      </c>
      <c r="V981" s="3" t="n">
        <v>40.93684110261295</v>
      </c>
      <c r="W981" s="3" t="n">
        <v>41.29018882767109</v>
      </c>
      <c r="X981" s="3" t="n">
        <v>41.64261030098916</v>
      </c>
      <c r="Y981" s="3" t="n">
        <v>41.99267927134471</v>
      </c>
      <c r="Z981" s="3" t="n">
        <v>42.34025329835539</v>
      </c>
      <c r="AA981" s="3" t="n">
        <v>42.68616953324331</v>
      </c>
      <c r="AB981" s="3" t="n">
        <v>43.02808510819958</v>
      </c>
      <c r="AC981" s="3" t="n">
        <v>43.36560510045297</v>
      </c>
      <c r="AD981" s="3" t="n">
        <v>43.69655456538757</v>
      </c>
      <c r="AE981" s="3" t="n">
        <v>44.01847317061931</v>
      </c>
      <c r="AG981" s="20" t="inlineStr">
        <is>
          <t>egy.mit.ghg.wst.ch4.3</t>
        </is>
      </c>
      <c r="AH981" s="3" t="n">
        <v>35.1260429723887</v>
      </c>
      <c r="AI981" s="3" t="n">
        <v>35.772328129627</v>
      </c>
      <c r="AJ981" s="3" t="n">
        <v>36.4327701914859</v>
      </c>
      <c r="AK981" s="3" t="n">
        <v>38.39904993553178</v>
      </c>
      <c r="AL981" s="3" t="n">
        <v>38.76714929678482</v>
      </c>
      <c r="AM981" s="3" t="n">
        <v>39.13422442284993</v>
      </c>
      <c r="AN981" s="3" t="n">
        <v>39.50126075355413</v>
      </c>
      <c r="AO981" s="3" t="n">
        <v>39.86484138797261</v>
      </c>
      <c r="AP981" s="3" t="n">
        <v>40.22433020282005</v>
      </c>
      <c r="AQ981" s="3" t="n">
        <v>40.58132374860617</v>
      </c>
      <c r="AR981" s="3" t="n">
        <v>40.93684110261295</v>
      </c>
      <c r="AS981" s="3" t="n">
        <v>41.29018882767109</v>
      </c>
      <c r="AT981" s="3" t="n">
        <v>41.64261030098916</v>
      </c>
      <c r="AU981" s="3" t="n">
        <v>41.99267927134471</v>
      </c>
      <c r="AV981" s="3" t="n">
        <v>42.34025329835539</v>
      </c>
      <c r="AW981" s="3" t="n">
        <v>42.68616953324331</v>
      </c>
      <c r="AX981" s="3" t="n">
        <v>43.02808510819958</v>
      </c>
      <c r="AY981" s="3" t="n">
        <v>43.36560510045297</v>
      </c>
      <c r="AZ981" s="3" t="n">
        <v>43.69655456538757</v>
      </c>
      <c r="BA981" s="3" t="n">
        <v>44.01847317061931</v>
      </c>
      <c r="BC981" s="20" t="inlineStr">
        <is>
          <t>egy.mit.ghg.wst.ch4.4</t>
        </is>
      </c>
      <c r="BD981" s="3" t="n">
        <v>35.1260429723887</v>
      </c>
      <c r="BE981" s="3" t="n">
        <v>35.772328129627</v>
      </c>
      <c r="BF981" s="3" t="n">
        <v>36.4327701914859</v>
      </c>
      <c r="BG981" s="3" t="n">
        <v>38.39904993553178</v>
      </c>
      <c r="BH981" s="3" t="n">
        <v>38.76714929678482</v>
      </c>
      <c r="BI981" s="3" t="n">
        <v>39.13422442284993</v>
      </c>
      <c r="BJ981" s="3" t="n">
        <v>39.50126075355413</v>
      </c>
      <c r="BK981" s="3" t="n">
        <v>39.86484138797261</v>
      </c>
      <c r="BL981" s="3" t="n">
        <v>40.22433020282005</v>
      </c>
      <c r="BM981" s="3" t="n">
        <v>40.58132374860617</v>
      </c>
      <c r="BN981" s="3" t="n">
        <v>40.93684110261295</v>
      </c>
      <c r="BO981" s="3" t="n">
        <v>41.29018882767109</v>
      </c>
      <c r="BP981" s="3" t="n">
        <v>41.64261030098916</v>
      </c>
      <c r="BQ981" s="3" t="n">
        <v>41.99267927134471</v>
      </c>
      <c r="BR981" s="3" t="n">
        <v>42.34025329835539</v>
      </c>
      <c r="BS981" s="3" t="n">
        <v>42.68616953324331</v>
      </c>
      <c r="BT981" s="3" t="n">
        <v>43.02808510819958</v>
      </c>
      <c r="BU981" s="3" t="n">
        <v>43.36560510045297</v>
      </c>
      <c r="BV981" s="3" t="n">
        <v>43.69655456538757</v>
      </c>
      <c r="BW981" s="3" t="n">
        <v>44.01847317061931</v>
      </c>
      <c r="BY981" s="20" t="inlineStr">
        <is>
          <t>egy.mit.ghg.wst.ch4.5</t>
        </is>
      </c>
      <c r="BZ981" s="3" t="n">
        <v>35.1260429723887</v>
      </c>
      <c r="CA981" s="3" t="n">
        <v>35.772328129627</v>
      </c>
      <c r="CB981" s="3" t="n">
        <v>36.4327701914859</v>
      </c>
      <c r="CC981" s="3" t="n">
        <v>38.39904993553178</v>
      </c>
      <c r="CD981" s="3" t="n">
        <v>38.76714929678482</v>
      </c>
      <c r="CE981" s="3" t="n">
        <v>39.13422442284993</v>
      </c>
      <c r="CF981" s="3" t="n">
        <v>39.50126075355413</v>
      </c>
      <c r="CG981" s="3" t="n">
        <v>39.86484138797261</v>
      </c>
      <c r="CH981" s="3" t="n">
        <v>40.22433020282005</v>
      </c>
      <c r="CI981" s="3" t="n">
        <v>40.58132374860617</v>
      </c>
      <c r="CJ981" s="3" t="n">
        <v>40.93684110261295</v>
      </c>
      <c r="CK981" s="3" t="n">
        <v>41.29018882767109</v>
      </c>
      <c r="CL981" s="3" t="n">
        <v>41.64261030098916</v>
      </c>
      <c r="CM981" s="3" t="n">
        <v>41.99267927134471</v>
      </c>
      <c r="CN981" s="3" t="n">
        <v>42.34025329835539</v>
      </c>
      <c r="CO981" s="3" t="n">
        <v>42.68616953324331</v>
      </c>
      <c r="CP981" s="3" t="n">
        <v>43.02808510819958</v>
      </c>
      <c r="CQ981" s="3" t="n">
        <v>43.36560510045297</v>
      </c>
      <c r="CR981" s="3" t="n">
        <v>43.69655456538757</v>
      </c>
      <c r="CS981" s="3" t="n">
        <v>44.01847317061931</v>
      </c>
      <c r="CU981" s="20" t="inlineStr">
        <is>
          <t>egy.mit.ghg.wst.ch4.6</t>
        </is>
      </c>
      <c r="CV981" s="3" t="n">
        <v>35.1260429723887</v>
      </c>
      <c r="CW981" s="3" t="n">
        <v>35.772328129627</v>
      </c>
      <c r="CX981" s="3" t="n">
        <v>36.4327701914859</v>
      </c>
      <c r="CY981" s="3" t="n">
        <v>38.39904993553178</v>
      </c>
      <c r="CZ981" s="3" t="n">
        <v>38.76714929678482</v>
      </c>
      <c r="DA981" s="3" t="n">
        <v>39.13422442284993</v>
      </c>
      <c r="DB981" s="3" t="n">
        <v>39.50126075355413</v>
      </c>
      <c r="DC981" s="3" t="n">
        <v>39.86484138797261</v>
      </c>
      <c r="DD981" s="3" t="n">
        <v>40.22433020282005</v>
      </c>
      <c r="DE981" s="3" t="n">
        <v>40.58132374860617</v>
      </c>
      <c r="DF981" s="3" t="n">
        <v>40.93684110261295</v>
      </c>
      <c r="DG981" s="3" t="n">
        <v>41.29018882767109</v>
      </c>
      <c r="DH981" s="3" t="n">
        <v>41.64261030098916</v>
      </c>
      <c r="DI981" s="3" t="n">
        <v>41.99267927134471</v>
      </c>
      <c r="DJ981" s="3" t="n">
        <v>42.34025329835539</v>
      </c>
      <c r="DK981" s="3" t="n">
        <v>42.68616953324331</v>
      </c>
      <c r="DL981" s="3" t="n">
        <v>43.02808510819958</v>
      </c>
      <c r="DM981" s="3" t="n">
        <v>43.36560510045297</v>
      </c>
      <c r="DN981" s="3" t="n">
        <v>43.69655456538757</v>
      </c>
      <c r="DO981" s="3" t="n">
        <v>44.01847317061931</v>
      </c>
    </row>
    <row r="982">
      <c r="A982" s="19" t="inlineStr">
        <is>
          <t>mit.ghg.oth.ch4</t>
        </is>
      </c>
      <c r="B982" s="3" t="inlineStr">
        <is>
          <t>mit</t>
        </is>
      </c>
      <c r="C982" s="19" t="inlineStr">
        <is>
          <t>mit.ghg.oth.ch4</t>
        </is>
      </c>
      <c r="H982" s="3" t="inlineStr">
        <is>
          <t>GHG emissions | Other | CH4</t>
        </is>
      </c>
      <c r="I982" s="3" t="inlineStr">
        <is>
          <t>Mt CO2e</t>
        </is>
      </c>
      <c r="K982" s="20" t="inlineStr">
        <is>
          <t>egy.mit.ghg.oth.ch4.1</t>
        </is>
      </c>
      <c r="L982" s="3" t="n">
        <v>0.089167736</v>
      </c>
      <c r="M982" s="3" t="n">
        <v>0.106864256591645</v>
      </c>
      <c r="N982" s="3" t="n">
        <v>0.128820209256864</v>
      </c>
      <c r="O982" s="3" t="n">
        <v>0.1308405701068288</v>
      </c>
      <c r="P982" s="3" t="n">
        <v>0.1327586215978554</v>
      </c>
      <c r="Q982" s="3" t="n">
        <v>0.1346891208841496</v>
      </c>
      <c r="R982" s="3" t="n">
        <v>0.1366355355737175</v>
      </c>
      <c r="S982" s="3" t="n">
        <v>0.1385860976860583</v>
      </c>
      <c r="T982" s="3" t="n">
        <v>0.1405385168533719</v>
      </c>
      <c r="U982" s="3" t="n">
        <v>0.1424982968117953</v>
      </c>
      <c r="V982" s="3" t="n">
        <v>0.1444690146029312</v>
      </c>
      <c r="W982" s="3" t="n">
        <v>0.146448245001416</v>
      </c>
      <c r="X982" s="3" t="n">
        <v>0.148440417304438</v>
      </c>
      <c r="Y982" s="3" t="n">
        <v>0.1504404854072646</v>
      </c>
      <c r="Z982" s="3" t="n">
        <v>0.1524479231443198</v>
      </c>
      <c r="AA982" s="3" t="n">
        <v>0.154465738281426</v>
      </c>
      <c r="AB982" s="3" t="n">
        <v>0.1564854336866922</v>
      </c>
      <c r="AC982" s="3" t="n">
        <v>0.1585054607089179</v>
      </c>
      <c r="AD982" s="3" t="n">
        <v>0.1605177013649358</v>
      </c>
      <c r="AE982" s="3" t="n">
        <v>0.1625128217427274</v>
      </c>
      <c r="AG982" s="20" t="inlineStr">
        <is>
          <t>egy.mit.ghg.oth.ch4.3</t>
        </is>
      </c>
      <c r="AH982" s="3" t="n">
        <v>0.089167736</v>
      </c>
      <c r="AI982" s="3" t="n">
        <v>0.106864256591645</v>
      </c>
      <c r="AJ982" s="3" t="n">
        <v>0.128820209256864</v>
      </c>
      <c r="AK982" s="3" t="n">
        <v>0.1308405701068288</v>
      </c>
      <c r="AL982" s="3" t="n">
        <v>0.1327586215978554</v>
      </c>
      <c r="AM982" s="3" t="n">
        <v>0.1346891208841496</v>
      </c>
      <c r="AN982" s="3" t="n">
        <v>0.1366355355737175</v>
      </c>
      <c r="AO982" s="3" t="n">
        <v>0.1385860976860583</v>
      </c>
      <c r="AP982" s="3" t="n">
        <v>0.1405385168533719</v>
      </c>
      <c r="AQ982" s="3" t="n">
        <v>0.1424982968117953</v>
      </c>
      <c r="AR982" s="3" t="n">
        <v>0.1444690146029312</v>
      </c>
      <c r="AS982" s="3" t="n">
        <v>0.146448245001416</v>
      </c>
      <c r="AT982" s="3" t="n">
        <v>0.148440417304438</v>
      </c>
      <c r="AU982" s="3" t="n">
        <v>0.1504404854072646</v>
      </c>
      <c r="AV982" s="3" t="n">
        <v>0.1524479231443198</v>
      </c>
      <c r="AW982" s="3" t="n">
        <v>0.154465738281426</v>
      </c>
      <c r="AX982" s="3" t="n">
        <v>0.1564854336866922</v>
      </c>
      <c r="AY982" s="3" t="n">
        <v>0.1585054607089179</v>
      </c>
      <c r="AZ982" s="3" t="n">
        <v>0.1605177013649358</v>
      </c>
      <c r="BA982" s="3" t="n">
        <v>0.1625128217427274</v>
      </c>
      <c r="BC982" s="20" t="inlineStr">
        <is>
          <t>egy.mit.ghg.oth.ch4.4</t>
        </is>
      </c>
      <c r="BD982" s="3" t="n">
        <v>0.089167736</v>
      </c>
      <c r="BE982" s="3" t="n">
        <v>0.106864256591645</v>
      </c>
      <c r="BF982" s="3" t="n">
        <v>0.128820209256864</v>
      </c>
      <c r="BG982" s="3" t="n">
        <v>0.1308405701068288</v>
      </c>
      <c r="BH982" s="3" t="n">
        <v>0.1327586215978554</v>
      </c>
      <c r="BI982" s="3" t="n">
        <v>0.1346891208841496</v>
      </c>
      <c r="BJ982" s="3" t="n">
        <v>0.1366355355737175</v>
      </c>
      <c r="BK982" s="3" t="n">
        <v>0.1385860976860583</v>
      </c>
      <c r="BL982" s="3" t="n">
        <v>0.1405385168533719</v>
      </c>
      <c r="BM982" s="3" t="n">
        <v>0.1424982968117953</v>
      </c>
      <c r="BN982" s="3" t="n">
        <v>0.1444690146029312</v>
      </c>
      <c r="BO982" s="3" t="n">
        <v>0.146448245001416</v>
      </c>
      <c r="BP982" s="3" t="n">
        <v>0.148440417304438</v>
      </c>
      <c r="BQ982" s="3" t="n">
        <v>0.1504404854072646</v>
      </c>
      <c r="BR982" s="3" t="n">
        <v>0.1524479231443198</v>
      </c>
      <c r="BS982" s="3" t="n">
        <v>0.154465738281426</v>
      </c>
      <c r="BT982" s="3" t="n">
        <v>0.1564854336866922</v>
      </c>
      <c r="BU982" s="3" t="n">
        <v>0.1585054607089179</v>
      </c>
      <c r="BV982" s="3" t="n">
        <v>0.1605177013649358</v>
      </c>
      <c r="BW982" s="3" t="n">
        <v>0.1625128217427274</v>
      </c>
      <c r="BY982" s="20" t="inlineStr">
        <is>
          <t>egy.mit.ghg.oth.ch4.5</t>
        </is>
      </c>
      <c r="BZ982" s="3" t="n">
        <v>0.089167736</v>
      </c>
      <c r="CA982" s="3" t="n">
        <v>0.106864256591645</v>
      </c>
      <c r="CB982" s="3" t="n">
        <v>0.128820209256864</v>
      </c>
      <c r="CC982" s="3" t="n">
        <v>0.1308405701068288</v>
      </c>
      <c r="CD982" s="3" t="n">
        <v>0.1327586215978554</v>
      </c>
      <c r="CE982" s="3" t="n">
        <v>0.1346891208841496</v>
      </c>
      <c r="CF982" s="3" t="n">
        <v>0.1366355355737175</v>
      </c>
      <c r="CG982" s="3" t="n">
        <v>0.1385860976860583</v>
      </c>
      <c r="CH982" s="3" t="n">
        <v>0.1405385168533719</v>
      </c>
      <c r="CI982" s="3" t="n">
        <v>0.1424982968117953</v>
      </c>
      <c r="CJ982" s="3" t="n">
        <v>0.1444690146029312</v>
      </c>
      <c r="CK982" s="3" t="n">
        <v>0.146448245001416</v>
      </c>
      <c r="CL982" s="3" t="n">
        <v>0.148440417304438</v>
      </c>
      <c r="CM982" s="3" t="n">
        <v>0.1504404854072646</v>
      </c>
      <c r="CN982" s="3" t="n">
        <v>0.1524479231443198</v>
      </c>
      <c r="CO982" s="3" t="n">
        <v>0.154465738281426</v>
      </c>
      <c r="CP982" s="3" t="n">
        <v>0.1564854336866922</v>
      </c>
      <c r="CQ982" s="3" t="n">
        <v>0.1585054607089179</v>
      </c>
      <c r="CR982" s="3" t="n">
        <v>0.1605177013649358</v>
      </c>
      <c r="CS982" s="3" t="n">
        <v>0.1625128217427274</v>
      </c>
      <c r="CU982" s="20" t="inlineStr">
        <is>
          <t>egy.mit.ghg.oth.ch4.6</t>
        </is>
      </c>
      <c r="CV982" s="3" t="n">
        <v>0.089167736</v>
      </c>
      <c r="CW982" s="3" t="n">
        <v>0.106864256591645</v>
      </c>
      <c r="CX982" s="3" t="n">
        <v>0.128820209256864</v>
      </c>
      <c r="CY982" s="3" t="n">
        <v>0.1308405701068288</v>
      </c>
      <c r="CZ982" s="3" t="n">
        <v>0.1327586215978554</v>
      </c>
      <c r="DA982" s="3" t="n">
        <v>0.1346891208841496</v>
      </c>
      <c r="DB982" s="3" t="n">
        <v>0.1366355355737175</v>
      </c>
      <c r="DC982" s="3" t="n">
        <v>0.1385860976860583</v>
      </c>
      <c r="DD982" s="3" t="n">
        <v>0.1405385168533719</v>
      </c>
      <c r="DE982" s="3" t="n">
        <v>0.1424982968117953</v>
      </c>
      <c r="DF982" s="3" t="n">
        <v>0.1444690146029312</v>
      </c>
      <c r="DG982" s="3" t="n">
        <v>0.146448245001416</v>
      </c>
      <c r="DH982" s="3" t="n">
        <v>0.148440417304438</v>
      </c>
      <c r="DI982" s="3" t="n">
        <v>0.1504404854072646</v>
      </c>
      <c r="DJ982" s="3" t="n">
        <v>0.1524479231443198</v>
      </c>
      <c r="DK982" s="3" t="n">
        <v>0.154465738281426</v>
      </c>
      <c r="DL982" s="3" t="n">
        <v>0.1564854336866922</v>
      </c>
      <c r="DM982" s="3" t="n">
        <v>0.1585054607089179</v>
      </c>
      <c r="DN982" s="3" t="n">
        <v>0.1605177013649358</v>
      </c>
      <c r="DO982" s="3" t="n">
        <v>0.1625128217427274</v>
      </c>
    </row>
    <row r="983">
      <c r="A983" s="14" t="n"/>
      <c r="B983" s="3" t="inlineStr">
        <is>
          <t>mit</t>
        </is>
      </c>
      <c r="C983" s="19" t="inlineStr">
        <is>
          <t>mit.ghg.tot.inc.ch4</t>
        </is>
      </c>
      <c r="H983" s="14" t="inlineStr">
        <is>
          <t>Total CH4 emissions, including LULUCF - baseline</t>
        </is>
      </c>
      <c r="I983" s="14" t="inlineStr"/>
    </row>
    <row r="984">
      <c r="A984" s="19" t="inlineStr">
        <is>
          <t>mit.ch4.tot</t>
        </is>
      </c>
      <c r="B984" s="3" t="inlineStr">
        <is>
          <t>mit</t>
        </is>
      </c>
      <c r="C984" s="19" t="inlineStr">
        <is>
          <t>mit.ghg.tot.exc.ch4</t>
        </is>
      </c>
      <c r="H984" s="3" t="inlineStr">
        <is>
          <t>GHG emissions | All sectors | CH4</t>
        </is>
      </c>
      <c r="I984" s="3" t="inlineStr">
        <is>
          <t>Mt CO2e</t>
        </is>
      </c>
      <c r="K984" s="20" t="inlineStr">
        <is>
          <t>egy.mit.ch4.tot.1</t>
        </is>
      </c>
      <c r="L984" s="22" t="n">
        <v>52.94536186530953</v>
      </c>
      <c r="M984" s="22" t="n">
        <v>55.45282204338682</v>
      </c>
      <c r="N984" s="22" t="n">
        <v>55.86902802889644</v>
      </c>
      <c r="O984" s="22" t="n">
        <v>58.86187412005188</v>
      </c>
      <c r="P984" s="22" t="n">
        <v>59.47478512145509</v>
      </c>
      <c r="Q984" s="22" t="n">
        <v>60.10086751173842</v>
      </c>
      <c r="R984" s="22" t="n">
        <v>60.75229323552946</v>
      </c>
      <c r="S984" s="22" t="n">
        <v>61.39130345769374</v>
      </c>
      <c r="T984" s="22" t="n">
        <v>62.0046145261101</v>
      </c>
      <c r="U984" s="22" t="n">
        <v>62.62550653936977</v>
      </c>
      <c r="V984" s="22" t="n">
        <v>63.23791912795107</v>
      </c>
      <c r="W984" s="22" t="n">
        <v>63.86823322131266</v>
      </c>
      <c r="X984" s="22" t="n">
        <v>64.49299695998907</v>
      </c>
      <c r="Y984" s="22" t="n">
        <v>65.11813181223337</v>
      </c>
      <c r="Z984" s="22" t="n">
        <v>65.74007090415125</v>
      </c>
      <c r="AA984" s="22" t="n">
        <v>66.3599288297967</v>
      </c>
      <c r="AB984" s="22" t="n">
        <v>66.97472942792398</v>
      </c>
      <c r="AC984" s="22" t="n">
        <v>67.58388738920587</v>
      </c>
      <c r="AD984" s="22" t="n">
        <v>68.18442808236875</v>
      </c>
      <c r="AE984" s="22" t="n">
        <v>68.77291505481368</v>
      </c>
      <c r="AG984" s="20" t="inlineStr">
        <is>
          <t>egy.mit.ch4.tot.3</t>
        </is>
      </c>
      <c r="AH984" s="22" t="n">
        <v>52.94536186530953</v>
      </c>
      <c r="AI984" s="22" t="n">
        <v>55.45247304420293</v>
      </c>
      <c r="AJ984" s="22" t="n">
        <v>55.86869185231309</v>
      </c>
      <c r="AK984" s="22" t="n">
        <v>58.86155038489241</v>
      </c>
      <c r="AL984" s="22" t="n">
        <v>59.47446056111416</v>
      </c>
      <c r="AM984" s="22" t="n">
        <v>59.9231526565529</v>
      </c>
      <c r="AN984" s="22" t="n">
        <v>60.49992753827668</v>
      </c>
      <c r="AO984" s="22" t="n">
        <v>61.18179512591622</v>
      </c>
      <c r="AP984" s="22" t="n">
        <v>61.7823961949488</v>
      </c>
      <c r="AQ984" s="22" t="n">
        <v>62.41017279989981</v>
      </c>
      <c r="AR984" s="22" t="n">
        <v>63.0175075810651</v>
      </c>
      <c r="AS984" s="22" t="n">
        <v>63.65085865123692</v>
      </c>
      <c r="AT984" s="22" t="n">
        <v>64.27512628018593</v>
      </c>
      <c r="AU984" s="22" t="n">
        <v>64.9013284875402</v>
      </c>
      <c r="AV984" s="22" t="n">
        <v>65.52530221511292</v>
      </c>
      <c r="AW984" s="22" t="n">
        <v>66.14965567910932</v>
      </c>
      <c r="AX984" s="22" t="n">
        <v>66.76638434820821</v>
      </c>
      <c r="AY984" s="22" t="n">
        <v>67.37626261984504</v>
      </c>
      <c r="AZ984" s="22" t="n">
        <v>67.97429747731923</v>
      </c>
      <c r="BA984" s="22" t="n">
        <v>68.55944022704</v>
      </c>
      <c r="BC984" s="20" t="inlineStr">
        <is>
          <t>egy.mit.ch4.tot.4</t>
        </is>
      </c>
      <c r="BD984" s="22" t="n">
        <v>52.94536186530953</v>
      </c>
      <c r="BE984" s="22" t="n">
        <v>55.4516002989746</v>
      </c>
      <c r="BF984" s="22" t="n">
        <v>55.86785111896653</v>
      </c>
      <c r="BG984" s="22" t="n">
        <v>58.86074071052179</v>
      </c>
      <c r="BH984" s="22" t="n">
        <v>59.47365093120101</v>
      </c>
      <c r="BI984" s="22" t="n">
        <v>59.98545493262773</v>
      </c>
      <c r="BJ984" s="22" t="n">
        <v>60.48953107523005</v>
      </c>
      <c r="BK984" s="22" t="n">
        <v>61.01545090148068</v>
      </c>
      <c r="BL984" s="22" t="n">
        <v>61.56160047331413</v>
      </c>
      <c r="BM984" s="22" t="n">
        <v>62.13131031434398</v>
      </c>
      <c r="BN984" s="22" t="n">
        <v>62.67541174635616</v>
      </c>
      <c r="BO984" s="22" t="n">
        <v>63.24509613476506</v>
      </c>
      <c r="BP984" s="22" t="n">
        <v>63.80430197463456</v>
      </c>
      <c r="BQ984" s="22" t="n">
        <v>64.37740717131774</v>
      </c>
      <c r="BR984" s="22" t="n">
        <v>64.94229267887259</v>
      </c>
      <c r="BS984" s="22" t="n">
        <v>65.51863230382102</v>
      </c>
      <c r="BT984" s="22" t="n">
        <v>66.08332353481555</v>
      </c>
      <c r="BU984" s="22" t="n">
        <v>66.65516507725972</v>
      </c>
      <c r="BV984" s="22" t="n">
        <v>67.20546420319137</v>
      </c>
      <c r="BW984" s="22" t="n">
        <v>67.75958610203365</v>
      </c>
      <c r="BY984" s="20" t="inlineStr">
        <is>
          <t>egy.mit.ch4.tot.5</t>
        </is>
      </c>
      <c r="BZ984" s="22" t="n">
        <v>52.94536186530953</v>
      </c>
      <c r="CA984" s="22" t="n">
        <v>55.45075540743029</v>
      </c>
      <c r="CB984" s="22" t="n">
        <v>55.86703618212214</v>
      </c>
      <c r="CC984" s="22" t="n">
        <v>58.85995482217792</v>
      </c>
      <c r="CD984" s="22" t="n">
        <v>59.47286237388245</v>
      </c>
      <c r="CE984" s="22" t="n">
        <v>59.89898316093109</v>
      </c>
      <c r="CF984" s="22" t="n">
        <v>60.54376800898185</v>
      </c>
      <c r="CG984" s="22" t="n">
        <v>61.17856545564812</v>
      </c>
      <c r="CH984" s="22" t="n">
        <v>61.78073965168603</v>
      </c>
      <c r="CI984" s="22" t="n">
        <v>62.39022980843071</v>
      </c>
      <c r="CJ984" s="22" t="n">
        <v>62.97901595862677</v>
      </c>
      <c r="CK984" s="22" t="n">
        <v>63.59890696257489</v>
      </c>
      <c r="CL984" s="22" t="n">
        <v>64.18691561323909</v>
      </c>
      <c r="CM984" s="22" t="n">
        <v>64.7801645821216</v>
      </c>
      <c r="CN984" s="22" t="n">
        <v>65.37402794567798</v>
      </c>
      <c r="CO984" s="22" t="n">
        <v>65.9624206957785</v>
      </c>
      <c r="CP984" s="22" t="n">
        <v>66.54729813735337</v>
      </c>
      <c r="CQ984" s="22" t="n">
        <v>67.12722759516426</v>
      </c>
      <c r="CR984" s="22" t="n">
        <v>67.69489713028761</v>
      </c>
      <c r="CS984" s="22" t="n">
        <v>68.25308789565899</v>
      </c>
      <c r="CU984" s="20" t="inlineStr">
        <is>
          <t>egy.mit.ch4.tot.6</t>
        </is>
      </c>
      <c r="CV984" s="22" t="n">
        <v>52.94536186530953</v>
      </c>
      <c r="CW984" s="22" t="n">
        <v>55.45198416244683</v>
      </c>
      <c r="CX984" s="22" t="n">
        <v>55.86822091133585</v>
      </c>
      <c r="CY984" s="22" t="n">
        <v>58.86109685085876</v>
      </c>
      <c r="CZ984" s="22" t="n">
        <v>59.47400670164403</v>
      </c>
      <c r="DA984" s="22" t="n">
        <v>59.77501449443795</v>
      </c>
      <c r="DB984" s="22" t="n">
        <v>60.26924342251434</v>
      </c>
      <c r="DC984" s="22" t="n">
        <v>60.9499797348522</v>
      </c>
      <c r="DD984" s="22" t="n">
        <v>61.55616175390666</v>
      </c>
      <c r="DE984" s="22" t="n">
        <v>62.20940293461446</v>
      </c>
      <c r="DF984" s="22" t="n">
        <v>62.79181482573468</v>
      </c>
      <c r="DG984" s="22" t="n">
        <v>63.41360462915065</v>
      </c>
      <c r="DH984" s="22" t="n">
        <v>64.01582399748084</v>
      </c>
      <c r="DI984" s="22" t="n">
        <v>64.62615028754242</v>
      </c>
      <c r="DJ984" s="22" t="n">
        <v>65.22939427509908</v>
      </c>
      <c r="DK984" s="22" t="n">
        <v>65.84115155180473</v>
      </c>
      <c r="DL984" s="22" t="n">
        <v>66.43806725450797</v>
      </c>
      <c r="DM984" s="22" t="n">
        <v>67.03312695275896</v>
      </c>
      <c r="DN984" s="22" t="n">
        <v>67.60950105372535</v>
      </c>
      <c r="DO984" s="22" t="n">
        <v>68.17758942185857</v>
      </c>
    </row>
    <row r="985">
      <c r="A985" s="19" t="inlineStr">
        <is>
          <t>mit.mfp.all.og</t>
        </is>
      </c>
      <c r="B985" s="3" t="inlineStr">
        <is>
          <t>mit</t>
        </is>
      </c>
      <c r="C985" s="19" t="inlineStr">
        <is>
          <t>mit.mftrajfossil</t>
        </is>
      </c>
      <c r="H985" s="3" t="inlineStr">
        <is>
          <t>Methane fee per t CH4 used on the abatement curve | All sectors | Oil and gas extraction</t>
        </is>
      </c>
      <c r="I985" s="3" t="inlineStr">
        <is>
          <t>USD/tCH4</t>
        </is>
      </c>
      <c r="K985" s="20" t="inlineStr">
        <is>
          <t>egy.mit.mfp.all.og.1</t>
        </is>
      </c>
      <c r="L985" s="3" t="n">
        <v>0</v>
      </c>
      <c r="M985" s="3" t="n">
        <v>0</v>
      </c>
      <c r="N985" s="3" t="n">
        <v>0</v>
      </c>
      <c r="O985" s="3" t="n">
        <v>0</v>
      </c>
      <c r="P985" s="3" t="n">
        <v>0</v>
      </c>
      <c r="Q985" s="3" t="n">
        <v>0</v>
      </c>
      <c r="R985" s="3" t="n">
        <v>0</v>
      </c>
      <c r="S985" s="3" t="n">
        <v>0</v>
      </c>
      <c r="T985" s="3" t="n">
        <v>0</v>
      </c>
      <c r="U985" s="3" t="n">
        <v>0</v>
      </c>
      <c r="V985" s="3" t="n">
        <v>0</v>
      </c>
      <c r="W985" s="3" t="n">
        <v>0</v>
      </c>
      <c r="X985" s="3" t="n">
        <v>0</v>
      </c>
      <c r="Y985" s="3" t="n">
        <v>0</v>
      </c>
      <c r="Z985" s="3" t="n">
        <v>0</v>
      </c>
      <c r="AA985" s="3" t="n">
        <v>0</v>
      </c>
      <c r="AB985" s="3" t="n">
        <v>0</v>
      </c>
      <c r="AC985" s="3" t="n">
        <v>0</v>
      </c>
      <c r="AD985" s="3" t="n">
        <v>0</v>
      </c>
      <c r="AE985" s="3" t="n">
        <v>0</v>
      </c>
      <c r="AG985" s="20" t="inlineStr">
        <is>
          <t>egy.mit.mfp.all.og.3</t>
        </is>
      </c>
      <c r="AH985" s="3" t="n">
        <v>0</v>
      </c>
      <c r="AI985" s="3" t="n">
        <v>0</v>
      </c>
      <c r="AJ985" s="3" t="n">
        <v>0</v>
      </c>
      <c r="AK985" s="3" t="n">
        <v>0</v>
      </c>
      <c r="AL985" s="3" t="n">
        <v>0</v>
      </c>
      <c r="AM985" s="3" t="n">
        <v>0</v>
      </c>
      <c r="AN985" s="3" t="n">
        <v>0</v>
      </c>
      <c r="AO985" s="3" t="n">
        <v>0</v>
      </c>
      <c r="AP985" s="3" t="n">
        <v>0</v>
      </c>
      <c r="AQ985" s="3" t="n">
        <v>0</v>
      </c>
      <c r="AR985" s="3" t="n">
        <v>0</v>
      </c>
      <c r="AS985" s="3" t="n">
        <v>0</v>
      </c>
      <c r="AT985" s="3" t="n">
        <v>0</v>
      </c>
      <c r="AU985" s="3" t="n">
        <v>0</v>
      </c>
      <c r="AV985" s="3" t="n">
        <v>0</v>
      </c>
      <c r="AW985" s="3" t="n">
        <v>0</v>
      </c>
      <c r="AX985" s="3" t="n">
        <v>0</v>
      </c>
      <c r="AY985" s="3" t="n">
        <v>0</v>
      </c>
      <c r="AZ985" s="3" t="n">
        <v>0</v>
      </c>
      <c r="BA985" s="3" t="n">
        <v>0</v>
      </c>
      <c r="BC985" s="20" t="inlineStr">
        <is>
          <t>egy.mit.mfp.all.og.4</t>
        </is>
      </c>
      <c r="BD985" s="3" t="n">
        <v>0</v>
      </c>
      <c r="BE985" s="3" t="n">
        <v>0</v>
      </c>
      <c r="BF985" s="3" t="n">
        <v>0</v>
      </c>
      <c r="BG985" s="3" t="n">
        <v>0</v>
      </c>
      <c r="BH985" s="3" t="n">
        <v>0</v>
      </c>
      <c r="BI985" s="3" t="n">
        <v>0</v>
      </c>
      <c r="BJ985" s="3" t="n">
        <v>0</v>
      </c>
      <c r="BK985" s="3" t="n">
        <v>0</v>
      </c>
      <c r="BL985" s="3" t="n">
        <v>0</v>
      </c>
      <c r="BM985" s="3" t="n">
        <v>0</v>
      </c>
      <c r="BN985" s="3" t="n">
        <v>0</v>
      </c>
      <c r="BO985" s="3" t="n">
        <v>0</v>
      </c>
      <c r="BP985" s="3" t="n">
        <v>0</v>
      </c>
      <c r="BQ985" s="3" t="n">
        <v>0</v>
      </c>
      <c r="BR985" s="3" t="n">
        <v>0</v>
      </c>
      <c r="BS985" s="3" t="n">
        <v>0</v>
      </c>
      <c r="BT985" s="3" t="n">
        <v>0</v>
      </c>
      <c r="BU985" s="3" t="n">
        <v>0</v>
      </c>
      <c r="BV985" s="3" t="n">
        <v>0</v>
      </c>
      <c r="BW985" s="3" t="n">
        <v>0</v>
      </c>
      <c r="BY985" s="20" t="inlineStr">
        <is>
          <t>egy.mit.mfp.all.og.5</t>
        </is>
      </c>
      <c r="BZ985" s="3" t="n">
        <v>0</v>
      </c>
      <c r="CA985" s="3" t="n">
        <v>0</v>
      </c>
      <c r="CB985" s="3" t="n">
        <v>0</v>
      </c>
      <c r="CC985" s="3" t="n">
        <v>0</v>
      </c>
      <c r="CD985" s="3" t="n">
        <v>0</v>
      </c>
      <c r="CE985" s="3" t="n">
        <v>0</v>
      </c>
      <c r="CF985" s="3" t="n">
        <v>0</v>
      </c>
      <c r="CG985" s="3" t="n">
        <v>0</v>
      </c>
      <c r="CH985" s="3" t="n">
        <v>0</v>
      </c>
      <c r="CI985" s="3" t="n">
        <v>0</v>
      </c>
      <c r="CJ985" s="3" t="n">
        <v>0</v>
      </c>
      <c r="CK985" s="3" t="n">
        <v>0</v>
      </c>
      <c r="CL985" s="3" t="n">
        <v>0</v>
      </c>
      <c r="CM985" s="3" t="n">
        <v>0</v>
      </c>
      <c r="CN985" s="3" t="n">
        <v>0</v>
      </c>
      <c r="CO985" s="3" t="n">
        <v>0</v>
      </c>
      <c r="CP985" s="3" t="n">
        <v>0</v>
      </c>
      <c r="CQ985" s="3" t="n">
        <v>0</v>
      </c>
      <c r="CR985" s="3" t="n">
        <v>0</v>
      </c>
      <c r="CS985" s="3" t="n">
        <v>0</v>
      </c>
      <c r="CU985" s="20" t="inlineStr">
        <is>
          <t>egy.mit.mfp.all.og.6</t>
        </is>
      </c>
      <c r="CV985" s="3" t="n">
        <v>0</v>
      </c>
      <c r="CW985" s="3" t="n">
        <v>0</v>
      </c>
      <c r="CX985" s="3" t="n">
        <v>0</v>
      </c>
      <c r="CY985" s="3" t="n">
        <v>0</v>
      </c>
      <c r="CZ985" s="3" t="n">
        <v>0</v>
      </c>
      <c r="DA985" s="3" t="n">
        <v>0</v>
      </c>
      <c r="DB985" s="3" t="n">
        <v>0</v>
      </c>
      <c r="DC985" s="3" t="n">
        <v>0</v>
      </c>
      <c r="DD985" s="3" t="n">
        <v>0</v>
      </c>
      <c r="DE985" s="3" t="n">
        <v>0</v>
      </c>
      <c r="DF985" s="3" t="n">
        <v>0</v>
      </c>
      <c r="DG985" s="3" t="n">
        <v>0</v>
      </c>
      <c r="DH985" s="3" t="n">
        <v>0</v>
      </c>
      <c r="DI985" s="3" t="n">
        <v>0</v>
      </c>
      <c r="DJ985" s="3" t="n">
        <v>0</v>
      </c>
      <c r="DK985" s="3" t="n">
        <v>0</v>
      </c>
      <c r="DL985" s="3" t="n">
        <v>0</v>
      </c>
      <c r="DM985" s="3" t="n">
        <v>0</v>
      </c>
      <c r="DN985" s="3" t="n">
        <v>0</v>
      </c>
      <c r="DO985" s="3" t="n">
        <v>0</v>
      </c>
    </row>
    <row r="986">
      <c r="A986" s="19" t="inlineStr">
        <is>
          <t>mit.mfp.all.liv</t>
        </is>
      </c>
      <c r="B986" s="3" t="inlineStr">
        <is>
          <t>mit</t>
        </is>
      </c>
      <c r="C986" s="19" t="inlineStr">
        <is>
          <t>mit.mftrajnonfossil</t>
        </is>
      </c>
      <c r="H986" s="3" t="inlineStr">
        <is>
          <t>Methane fee per t CH4 used on the abatement curve | All sectors | Livestock</t>
        </is>
      </c>
      <c r="I986" s="3" t="inlineStr">
        <is>
          <t>USD/tCH4</t>
        </is>
      </c>
      <c r="K986" s="20" t="inlineStr">
        <is>
          <t>egy.mit.mfp.all.liv.1</t>
        </is>
      </c>
      <c r="L986" s="3" t="n">
        <v>0</v>
      </c>
      <c r="M986" s="3" t="n">
        <v>0</v>
      </c>
      <c r="N986" s="3" t="n">
        <v>0</v>
      </c>
      <c r="O986" s="3" t="n">
        <v>0</v>
      </c>
      <c r="P986" s="3" t="n">
        <v>0</v>
      </c>
      <c r="Q986" s="3" t="n">
        <v>0</v>
      </c>
      <c r="R986" s="3" t="n">
        <v>0</v>
      </c>
      <c r="S986" s="3" t="n">
        <v>0</v>
      </c>
      <c r="T986" s="3" t="n">
        <v>0</v>
      </c>
      <c r="U986" s="3" t="n">
        <v>0</v>
      </c>
      <c r="V986" s="3" t="n">
        <v>0</v>
      </c>
      <c r="W986" s="3" t="n">
        <v>0</v>
      </c>
      <c r="X986" s="3" t="n">
        <v>0</v>
      </c>
      <c r="Y986" s="3" t="n">
        <v>0</v>
      </c>
      <c r="Z986" s="3" t="n">
        <v>0</v>
      </c>
      <c r="AA986" s="3" t="n">
        <v>0</v>
      </c>
      <c r="AB986" s="3" t="n">
        <v>0</v>
      </c>
      <c r="AC986" s="3" t="n">
        <v>0</v>
      </c>
      <c r="AD986" s="3" t="n">
        <v>0</v>
      </c>
      <c r="AE986" s="3" t="n">
        <v>0</v>
      </c>
      <c r="AG986" s="20" t="inlineStr">
        <is>
          <t>egy.mit.mfp.all.liv.3</t>
        </is>
      </c>
      <c r="AH986" s="3" t="n">
        <v>0</v>
      </c>
      <c r="AI986" s="3" t="n">
        <v>0</v>
      </c>
      <c r="AJ986" s="3" t="n">
        <v>0</v>
      </c>
      <c r="AK986" s="3" t="n">
        <v>0</v>
      </c>
      <c r="AL986" s="3" t="n">
        <v>0</v>
      </c>
      <c r="AM986" s="3" t="n">
        <v>0</v>
      </c>
      <c r="AN986" s="3" t="n">
        <v>0</v>
      </c>
      <c r="AO986" s="3" t="n">
        <v>0</v>
      </c>
      <c r="AP986" s="3" t="n">
        <v>0</v>
      </c>
      <c r="AQ986" s="3" t="n">
        <v>0</v>
      </c>
      <c r="AR986" s="3" t="n">
        <v>0</v>
      </c>
      <c r="AS986" s="3" t="n">
        <v>0</v>
      </c>
      <c r="AT986" s="3" t="n">
        <v>0</v>
      </c>
      <c r="AU986" s="3" t="n">
        <v>0</v>
      </c>
      <c r="AV986" s="3" t="n">
        <v>0</v>
      </c>
      <c r="AW986" s="3" t="n">
        <v>0</v>
      </c>
      <c r="AX986" s="3" t="n">
        <v>0</v>
      </c>
      <c r="AY986" s="3" t="n">
        <v>0</v>
      </c>
      <c r="AZ986" s="3" t="n">
        <v>0</v>
      </c>
      <c r="BA986" s="3" t="n">
        <v>0</v>
      </c>
      <c r="BC986" s="20" t="inlineStr">
        <is>
          <t>egy.mit.mfp.all.liv.4</t>
        </is>
      </c>
      <c r="BD986" s="3" t="n">
        <v>0</v>
      </c>
      <c r="BE986" s="3" t="n">
        <v>0</v>
      </c>
      <c r="BF986" s="3" t="n">
        <v>0</v>
      </c>
      <c r="BG986" s="3" t="n">
        <v>0</v>
      </c>
      <c r="BH986" s="3" t="n">
        <v>0</v>
      </c>
      <c r="BI986" s="3" t="n">
        <v>0</v>
      </c>
      <c r="BJ986" s="3" t="n">
        <v>0</v>
      </c>
      <c r="BK986" s="3" t="n">
        <v>0</v>
      </c>
      <c r="BL986" s="3" t="n">
        <v>0</v>
      </c>
      <c r="BM986" s="3" t="n">
        <v>0</v>
      </c>
      <c r="BN986" s="3" t="n">
        <v>0</v>
      </c>
      <c r="BO986" s="3" t="n">
        <v>0</v>
      </c>
      <c r="BP986" s="3" t="n">
        <v>0</v>
      </c>
      <c r="BQ986" s="3" t="n">
        <v>0</v>
      </c>
      <c r="BR986" s="3" t="n">
        <v>0</v>
      </c>
      <c r="BS986" s="3" t="n">
        <v>0</v>
      </c>
      <c r="BT986" s="3" t="n">
        <v>0</v>
      </c>
      <c r="BU986" s="3" t="n">
        <v>0</v>
      </c>
      <c r="BV986" s="3" t="n">
        <v>0</v>
      </c>
      <c r="BW986" s="3" t="n">
        <v>0</v>
      </c>
      <c r="BY986" s="20" t="inlineStr">
        <is>
          <t>egy.mit.mfp.all.liv.5</t>
        </is>
      </c>
      <c r="BZ986" s="3" t="n">
        <v>0</v>
      </c>
      <c r="CA986" s="3" t="n">
        <v>0</v>
      </c>
      <c r="CB986" s="3" t="n">
        <v>0</v>
      </c>
      <c r="CC986" s="3" t="n">
        <v>0</v>
      </c>
      <c r="CD986" s="3" t="n">
        <v>0</v>
      </c>
      <c r="CE986" s="3" t="n">
        <v>0</v>
      </c>
      <c r="CF986" s="3" t="n">
        <v>0</v>
      </c>
      <c r="CG986" s="3" t="n">
        <v>0</v>
      </c>
      <c r="CH986" s="3" t="n">
        <v>0</v>
      </c>
      <c r="CI986" s="3" t="n">
        <v>0</v>
      </c>
      <c r="CJ986" s="3" t="n">
        <v>0</v>
      </c>
      <c r="CK986" s="3" t="n">
        <v>0</v>
      </c>
      <c r="CL986" s="3" t="n">
        <v>0</v>
      </c>
      <c r="CM986" s="3" t="n">
        <v>0</v>
      </c>
      <c r="CN986" s="3" t="n">
        <v>0</v>
      </c>
      <c r="CO986" s="3" t="n">
        <v>0</v>
      </c>
      <c r="CP986" s="3" t="n">
        <v>0</v>
      </c>
      <c r="CQ986" s="3" t="n">
        <v>0</v>
      </c>
      <c r="CR986" s="3" t="n">
        <v>0</v>
      </c>
      <c r="CS986" s="3" t="n">
        <v>0</v>
      </c>
      <c r="CU986" s="20" t="inlineStr">
        <is>
          <t>egy.mit.mfp.all.liv.6</t>
        </is>
      </c>
      <c r="CV986" s="3" t="n">
        <v>0</v>
      </c>
      <c r="CW986" s="3" t="n">
        <v>0</v>
      </c>
      <c r="CX986" s="3" t="n">
        <v>0</v>
      </c>
      <c r="CY986" s="3" t="n">
        <v>0</v>
      </c>
      <c r="CZ986" s="3" t="n">
        <v>0</v>
      </c>
      <c r="DA986" s="3" t="n">
        <v>0</v>
      </c>
      <c r="DB986" s="3" t="n">
        <v>0</v>
      </c>
      <c r="DC986" s="3" t="n">
        <v>0</v>
      </c>
      <c r="DD986" s="3" t="n">
        <v>0</v>
      </c>
      <c r="DE986" s="3" t="n">
        <v>0</v>
      </c>
      <c r="DF986" s="3" t="n">
        <v>0</v>
      </c>
      <c r="DG986" s="3" t="n">
        <v>0</v>
      </c>
      <c r="DH986" s="3" t="n">
        <v>0</v>
      </c>
      <c r="DI986" s="3" t="n">
        <v>0</v>
      </c>
      <c r="DJ986" s="3" t="n">
        <v>0</v>
      </c>
      <c r="DK986" s="3" t="n">
        <v>0</v>
      </c>
      <c r="DL986" s="3" t="n">
        <v>0</v>
      </c>
      <c r="DM986" s="3" t="n">
        <v>0</v>
      </c>
      <c r="DN986" s="3" t="n">
        <v>0</v>
      </c>
      <c r="DO986" s="3" t="n">
        <v>0</v>
      </c>
    </row>
    <row r="987">
      <c r="A987" s="14" t="n"/>
      <c r="B987" s="3" t="inlineStr">
        <is>
          <t>mit</t>
        </is>
      </c>
      <c r="C987" s="19" t="inlineStr">
        <is>
          <t>mit.wel.eco.ext.dwl.pct</t>
        </is>
      </c>
      <c r="H987" s="14" t="inlineStr">
        <is>
          <t>Efficiency cost - extractives</t>
        </is>
      </c>
      <c r="I987" s="14" t="inlineStr"/>
    </row>
    <row r="988">
      <c r="A988" s="14" t="n"/>
      <c r="B988" s="3" t="inlineStr">
        <is>
          <t>mit</t>
        </is>
      </c>
      <c r="C988" s="19" t="inlineStr">
        <is>
          <t>mit.wel.eco.agc.dwl.pct</t>
        </is>
      </c>
      <c r="H988" s="14" t="inlineStr">
        <is>
          <t>Efficiency cost - agriculture</t>
        </is>
      </c>
      <c r="I988" s="14" t="inlineStr"/>
    </row>
    <row r="989">
      <c r="A989" s="14" t="n"/>
      <c r="B989" s="3" t="inlineStr">
        <is>
          <t>mit</t>
        </is>
      </c>
      <c r="C989" s="19" t="inlineStr">
        <is>
          <t>mit.wel.eco.was.dwl.pct</t>
        </is>
      </c>
      <c r="H989" s="14" t="inlineStr">
        <is>
          <t>Efficiency cost - waste</t>
        </is>
      </c>
      <c r="I989" s="14" t="inlineStr"/>
    </row>
    <row r="990">
      <c r="A990" s="14" t="n"/>
      <c r="B990" s="3" t="inlineStr">
        <is>
          <t>mit</t>
        </is>
      </c>
      <c r="C990" s="19" t="inlineStr">
        <is>
          <t>mit.ener.mfpct.oil.e</t>
        </is>
      </c>
      <c r="H990" s="14" t="inlineStr">
        <is>
          <t>Crude oil - producer price increase, percent</t>
        </is>
      </c>
      <c r="I990" s="14" t="inlineStr"/>
    </row>
    <row r="991">
      <c r="A991" s="14" t="n"/>
      <c r="B991" s="3" t="inlineStr">
        <is>
          <t>mit</t>
        </is>
      </c>
      <c r="C991" s="19" t="inlineStr">
        <is>
          <t>mit.ener.mfpct.coa.e</t>
        </is>
      </c>
      <c r="H991" s="14" t="inlineStr">
        <is>
          <t>Natural gas - producer price increase, percent</t>
        </is>
      </c>
      <c r="I991" s="14" t="inlineStr"/>
    </row>
    <row r="992">
      <c r="A992" s="14" t="n"/>
      <c r="B992" s="3" t="inlineStr">
        <is>
          <t>mit</t>
        </is>
      </c>
      <c r="C992" s="19" t="inlineStr">
        <is>
          <t>mit.ener.mfpct.nga.e</t>
        </is>
      </c>
      <c r="H992" s="14" t="inlineStr">
        <is>
          <t>Coal - producer price increase, percent</t>
        </is>
      </c>
      <c r="I992" s="14" t="inlineStr"/>
    </row>
    <row r="993">
      <c r="A993" s="5" t="n"/>
      <c r="B993" s="18" t="inlineStr">
        <is>
          <t>Subsidies</t>
        </is>
      </c>
      <c r="C993" s="5" t="n"/>
      <c r="D993" s="5" t="n"/>
      <c r="E993" s="5" t="n"/>
      <c r="F993" s="5" t="n"/>
      <c r="G993" s="5" t="n"/>
      <c r="H993" s="5" t="n"/>
      <c r="I993" s="5" t="n"/>
      <c r="J993" s="5" t="n"/>
      <c r="K993" s="5" t="n"/>
      <c r="L993" s="5" t="n"/>
      <c r="M993" s="5" t="n"/>
      <c r="N993" s="5" t="n"/>
      <c r="O993" s="5" t="n"/>
      <c r="P993" s="5" t="n"/>
      <c r="Q993" s="5" t="n"/>
      <c r="R993" s="5" t="n"/>
      <c r="S993" s="5" t="n"/>
      <c r="T993" s="5" t="n"/>
      <c r="U993" s="5" t="n"/>
      <c r="V993" s="5" t="n"/>
      <c r="W993" s="5" t="n"/>
      <c r="X993" s="5" t="n"/>
      <c r="Y993" s="5" t="n"/>
      <c r="Z993" s="5" t="n"/>
      <c r="AA993" s="5" t="n"/>
      <c r="AB993" s="5" t="n"/>
      <c r="AC993" s="5" t="n"/>
      <c r="AD993" s="5" t="n"/>
      <c r="AE993" s="5" t="n"/>
      <c r="AF993" s="5" t="n"/>
      <c r="AG993" s="5" t="n"/>
      <c r="AH993" s="5" t="n"/>
      <c r="AI993" s="5" t="n"/>
      <c r="AJ993" s="5" t="n"/>
      <c r="AK993" s="5" t="n"/>
      <c r="AL993" s="5" t="n"/>
      <c r="AM993" s="5" t="n"/>
      <c r="AN993" s="5" t="n"/>
      <c r="AO993" s="5" t="n"/>
      <c r="AP993" s="5" t="n"/>
      <c r="AQ993" s="5" t="n"/>
      <c r="AR993" s="5" t="n"/>
      <c r="AS993" s="5" t="n"/>
      <c r="AT993" s="5" t="n"/>
      <c r="AU993" s="5" t="n"/>
      <c r="AV993" s="5" t="n"/>
      <c r="AW993" s="5" t="n"/>
      <c r="AX993" s="5" t="n"/>
      <c r="AY993" s="5" t="n"/>
      <c r="AZ993" s="5" t="n"/>
      <c r="BA993" s="5" t="n"/>
      <c r="BB993" s="5" t="n"/>
      <c r="BC993" s="5" t="n"/>
      <c r="BD993" s="5" t="n"/>
      <c r="BE993" s="5" t="n"/>
      <c r="BF993" s="5" t="n"/>
      <c r="BG993" s="5" t="n"/>
      <c r="BH993" s="5" t="n"/>
      <c r="BI993" s="5" t="n"/>
      <c r="BJ993" s="5" t="n"/>
      <c r="BK993" s="5" t="n"/>
      <c r="BL993" s="5" t="n"/>
      <c r="BM993" s="5" t="n"/>
      <c r="BN993" s="5" t="n"/>
      <c r="BO993" s="5" t="n"/>
      <c r="BP993" s="5" t="n"/>
      <c r="BQ993" s="5" t="n"/>
      <c r="BR993" s="5" t="n"/>
      <c r="BS993" s="5" t="n"/>
      <c r="BT993" s="5" t="n"/>
      <c r="BU993" s="5" t="n"/>
      <c r="BV993" s="5" t="n"/>
      <c r="BW993" s="5" t="n"/>
      <c r="BX993" s="5" t="n"/>
      <c r="BY993" s="5" t="n"/>
      <c r="BZ993" s="5" t="n"/>
      <c r="CA993" s="5" t="n"/>
      <c r="CB993" s="5" t="n"/>
      <c r="CC993" s="5" t="n"/>
      <c r="CD993" s="5" t="n"/>
      <c r="CE993" s="5" t="n"/>
      <c r="CF993" s="5" t="n"/>
      <c r="CG993" s="5" t="n"/>
      <c r="CH993" s="5" t="n"/>
      <c r="CI993" s="5" t="n"/>
      <c r="CJ993" s="5" t="n"/>
      <c r="CK993" s="5" t="n"/>
      <c r="CL993" s="5" t="n"/>
      <c r="CM993" s="5" t="n"/>
      <c r="CN993" s="5" t="n"/>
      <c r="CO993" s="5" t="n"/>
      <c r="CP993" s="5" t="n"/>
      <c r="CQ993" s="5" t="n"/>
      <c r="CR993" s="5" t="n"/>
      <c r="CS993" s="5" t="n"/>
      <c r="CT993" s="5" t="n"/>
      <c r="CU993" s="5" t="n"/>
      <c r="CV993" s="5" t="n"/>
      <c r="CW993" s="5" t="n"/>
      <c r="CX993" s="5" t="n"/>
      <c r="CY993" s="5" t="n"/>
      <c r="CZ993" s="5" t="n"/>
      <c r="DA993" s="5" t="n"/>
      <c r="DB993" s="5" t="n"/>
      <c r="DC993" s="5" t="n"/>
      <c r="DD993" s="5" t="n"/>
      <c r="DE993" s="5" t="n"/>
      <c r="DF993" s="5" t="n"/>
      <c r="DG993" s="5" t="n"/>
      <c r="DH993" s="5" t="n"/>
      <c r="DI993" s="5" t="n"/>
      <c r="DJ993" s="5" t="n"/>
      <c r="DK993" s="5" t="n"/>
      <c r="DL993" s="5" t="n"/>
      <c r="DM993" s="5" t="n"/>
      <c r="DN993" s="5" t="n"/>
      <c r="DO993" s="5" t="n"/>
      <c r="DP993" s="5" t="n"/>
      <c r="DQ993" s="5" t="n"/>
      <c r="DR993" s="5" t="n"/>
      <c r="DS993" s="5" t="n"/>
      <c r="DT993" s="5" t="n"/>
      <c r="DU993" s="5" t="n"/>
      <c r="DV993" s="5" t="n"/>
      <c r="DW993" s="5" t="n"/>
      <c r="DX993" s="5" t="n"/>
      <c r="DY993" s="5" t="n"/>
      <c r="DZ993" s="5" t="n"/>
      <c r="EA993" s="5" t="n"/>
      <c r="EB993" s="5" t="n"/>
      <c r="EC993" s="5" t="n"/>
      <c r="ED993" s="5" t="n"/>
      <c r="EE993" s="5" t="n"/>
      <c r="EF993" s="5" t="n"/>
      <c r="EG993" s="5" t="n"/>
      <c r="EH993" s="5" t="n"/>
      <c r="EI993" s="5" t="n"/>
      <c r="EJ993" s="5" t="n"/>
      <c r="EK993" s="5" t="n"/>
      <c r="EL993" s="5" t="n"/>
      <c r="EM993" s="5" t="n"/>
      <c r="EN993" s="5" t="n"/>
      <c r="EO993" s="5" t="n"/>
      <c r="EP993" s="5" t="n"/>
      <c r="EQ993" s="5" t="n"/>
      <c r="ER993" s="5" t="n"/>
      <c r="ES993" s="5" t="n"/>
      <c r="ET993" s="5" t="n"/>
      <c r="EU993" s="5" t="n"/>
      <c r="EV993" s="5" t="n"/>
      <c r="EW993" s="5" t="n"/>
      <c r="EX993" s="5" t="n"/>
      <c r="EY993" s="5" t="n"/>
      <c r="EZ993" s="5" t="n"/>
      <c r="FA993" s="5" t="n"/>
      <c r="FB993" s="5" t="n"/>
      <c r="FC993" s="5" t="n"/>
      <c r="FD993" s="5" t="n"/>
      <c r="FE993" s="5" t="n"/>
      <c r="FF993" s="5" t="n"/>
      <c r="FG993" s="5" t="n"/>
      <c r="FH993" s="5" t="n"/>
      <c r="FI993" s="5" t="n"/>
      <c r="FJ993" s="5" t="n"/>
      <c r="FK993" s="5" t="n"/>
      <c r="FL993" s="5" t="n"/>
      <c r="FM993" s="5" t="n"/>
      <c r="FN993" s="5" t="n"/>
      <c r="FO993" s="5" t="n"/>
      <c r="FP993" s="5" t="n"/>
      <c r="FQ993" s="5" t="n"/>
      <c r="FR993" s="5" t="n"/>
      <c r="FS993" s="5" t="n"/>
      <c r="FT993" s="5" t="n"/>
      <c r="FU993" s="5" t="n"/>
      <c r="FV993" s="5" t="n"/>
      <c r="FW993" s="5" t="n"/>
      <c r="FX993" s="5" t="n"/>
      <c r="FY993" s="5" t="n"/>
      <c r="FZ993" s="5" t="n"/>
      <c r="GA993" s="5" t="n"/>
      <c r="GB993" s="5" t="n"/>
      <c r="GC993" s="5" t="n"/>
      <c r="GD993" s="5" t="n"/>
      <c r="GE993" s="5" t="n"/>
      <c r="GF993" s="5" t="n"/>
      <c r="GG993" s="5" t="n"/>
      <c r="GH993" s="5" t="n"/>
      <c r="GI993" s="5" t="n"/>
      <c r="GJ993" s="5" t="n"/>
      <c r="GK993" s="5" t="n"/>
      <c r="GL993" s="5" t="n"/>
      <c r="GM993" s="5" t="n"/>
      <c r="GN993" s="5" t="n"/>
      <c r="GO993" s="5" t="n"/>
      <c r="GP993" s="5" t="n"/>
      <c r="GQ993" s="5" t="n"/>
      <c r="GR993" s="5" t="n"/>
      <c r="GS993" s="5" t="n"/>
      <c r="GT993" s="5" t="n"/>
      <c r="GU993" s="5" t="n"/>
      <c r="GV993" s="5" t="n"/>
      <c r="GW993" s="5" t="n"/>
      <c r="GX993" s="5" t="n"/>
      <c r="GY993" s="5" t="n"/>
      <c r="GZ993" s="5" t="n"/>
      <c r="HA993" s="5" t="n"/>
      <c r="HB993" s="5" t="n"/>
      <c r="HC993" s="5" t="n"/>
      <c r="HD993" s="5" t="n"/>
      <c r="HE993" s="5" t="n"/>
      <c r="HF993" s="5" t="n"/>
      <c r="HG993" s="5" t="n"/>
      <c r="HH993" s="5" t="n"/>
      <c r="HI993" s="5" t="n"/>
      <c r="HJ993" s="5" t="n"/>
      <c r="HK993" s="5" t="n"/>
      <c r="HL993" s="5" t="n"/>
      <c r="HM993" s="5" t="n"/>
      <c r="HN993" s="5" t="n"/>
      <c r="HO993" s="5" t="n"/>
      <c r="HP993" s="5" t="n"/>
      <c r="HQ993" s="5" t="n"/>
      <c r="HR993" s="5" t="n"/>
      <c r="HS993" s="5" t="n"/>
      <c r="HT993" s="5" t="n"/>
      <c r="HU993" s="5" t="n"/>
      <c r="HV993" s="5" t="n"/>
    </row>
    <row r="994">
      <c r="A994" s="14" t="n"/>
      <c r="B994" s="3" t="inlineStr">
        <is>
          <t>mit</t>
        </is>
      </c>
      <c r="C994" s="19" t="inlineStr">
        <is>
          <t>mit.trs.gso.all.a</t>
        </is>
      </c>
      <c r="H994" s="14" t="inlineStr">
        <is>
          <t>Gasoline - portion used for transportation</t>
        </is>
      </c>
      <c r="I994" s="14" t="inlineStr"/>
    </row>
    <row r="995">
      <c r="A995" s="14" t="n"/>
      <c r="B995" s="3" t="inlineStr">
        <is>
          <t>mit</t>
        </is>
      </c>
      <c r="C995" s="19" t="inlineStr">
        <is>
          <t>mit.vatrate.all.gso.a</t>
        </is>
      </c>
      <c r="H995" s="14" t="inlineStr">
        <is>
          <t>Gasoline - VAT rate</t>
        </is>
      </c>
      <c r="I995" s="14" t="inlineStr"/>
    </row>
    <row r="996">
      <c r="A996" s="14" t="n"/>
      <c r="B996" s="3" t="inlineStr">
        <is>
          <t>mit</t>
        </is>
      </c>
      <c r="C996" s="19" t="inlineStr">
        <is>
          <t>mit.rescon.gso.all</t>
        </is>
      </c>
      <c r="H996" s="14" t="inlineStr">
        <is>
          <t>Gasoline - portion used for residential consumption</t>
        </is>
      </c>
      <c r="I996" s="14" t="inlineStr"/>
    </row>
    <row r="997">
      <c r="A997" s="19" t="inlineStr">
        <is>
          <t>mit.effprice.all.gso</t>
        </is>
      </c>
      <c r="B997" s="3" t="inlineStr">
        <is>
          <t>mit</t>
        </is>
      </c>
      <c r="C997" s="19" t="inlineStr">
        <is>
          <t>mit.effprice.gso.all</t>
        </is>
      </c>
      <c r="H997" s="3" t="inlineStr">
        <is>
          <t>Energy subsidies: efficient price | All sectors | Gasoline</t>
        </is>
      </c>
      <c r="I997" s="3" t="inlineStr">
        <is>
          <t>USD/GJ, USD/kWh</t>
        </is>
      </c>
      <c r="K997" s="20" t="inlineStr">
        <is>
          <t>egy.mit.effprice.all.gso.1</t>
        </is>
      </c>
      <c r="L997" s="3" t="n">
        <v>40.26383683120066</v>
      </c>
      <c r="M997" s="3" t="n">
        <v>34.12436883395866</v>
      </c>
      <c r="N997" s="3" t="n">
        <v>32.64270134068816</v>
      </c>
      <c r="O997" s="3" t="n">
        <v>29.0620892646775</v>
      </c>
      <c r="P997" s="3" t="n">
        <v>31.90807045868987</v>
      </c>
      <c r="Q997" s="3" t="n">
        <v>29.85943647669859</v>
      </c>
      <c r="R997" s="3" t="n">
        <v>29.70341326459895</v>
      </c>
      <c r="S997" s="3" t="n">
        <v>29.87496860893594</v>
      </c>
      <c r="T997" s="3" t="n">
        <v>30.08221855268098</v>
      </c>
      <c r="U997" s="3" t="n">
        <v>30.16439411523081</v>
      </c>
      <c r="V997" s="3" t="n">
        <v>30.63924386626974</v>
      </c>
      <c r="W997" s="3" t="n">
        <v>31.13488099279918</v>
      </c>
      <c r="X997" s="3" t="n">
        <v>31.65349557476782</v>
      </c>
      <c r="Y997" s="3" t="n">
        <v>32.19659469869171</v>
      </c>
      <c r="Z997" s="3" t="n">
        <v>32.76547480695086</v>
      </c>
      <c r="AA997" s="3" t="n">
        <v>33.36145217763069</v>
      </c>
      <c r="AB997" s="3" t="n">
        <v>33.98729839681086</v>
      </c>
      <c r="AC997" s="3" t="n">
        <v>34.64453662391054</v>
      </c>
      <c r="AD997" s="3" t="n">
        <v>35.33458160211408</v>
      </c>
      <c r="AE997" s="3" t="n">
        <v>35.99757755642499</v>
      </c>
      <c r="AG997" s="20" t="inlineStr">
        <is>
          <t>egy.mit.effprice.all.gso.3</t>
        </is>
      </c>
      <c r="AH997" s="3" t="n">
        <v>40.26383683120066</v>
      </c>
      <c r="AI997" s="3" t="n">
        <v>34.12436883395866</v>
      </c>
      <c r="AJ997" s="3" t="n">
        <v>32.64270134068816</v>
      </c>
      <c r="AK997" s="3" t="n">
        <v>29.0620892646775</v>
      </c>
      <c r="AL997" s="3" t="n">
        <v>31.90807046045574</v>
      </c>
      <c r="AM997" s="3" t="n">
        <v>29.85887010358219</v>
      </c>
      <c r="AN997" s="3" t="n">
        <v>29.71553952422679</v>
      </c>
      <c r="AO997" s="3" t="n">
        <v>29.90058811134688</v>
      </c>
      <c r="AP997" s="3" t="n">
        <v>30.1220058986062</v>
      </c>
      <c r="AQ997" s="3" t="n">
        <v>30.21798543583069</v>
      </c>
      <c r="AR997" s="3" t="n">
        <v>30.70747115277804</v>
      </c>
      <c r="AS997" s="3" t="n">
        <v>31.21816019731952</v>
      </c>
      <c r="AT997" s="3" t="n">
        <v>31.75232375492329</v>
      </c>
      <c r="AU997" s="3" t="n">
        <v>32.31159062425477</v>
      </c>
      <c r="AV997" s="3" t="n">
        <v>32.89730486988397</v>
      </c>
      <c r="AW997" s="3" t="n">
        <v>33.51081741777512</v>
      </c>
      <c r="AX997" s="3" t="n">
        <v>34.15508239924235</v>
      </c>
      <c r="AY997" s="3" t="n">
        <v>34.83170250693237</v>
      </c>
      <c r="AZ997" s="3" t="n">
        <v>35.54219588857751</v>
      </c>
      <c r="BA997" s="3" t="n">
        <v>36.22676845767141</v>
      </c>
      <c r="BC997" s="20" t="inlineStr">
        <is>
          <t>egy.mit.effprice.all.gso.4</t>
        </is>
      </c>
      <c r="BD997" s="3" t="n">
        <v>40.26383683120066</v>
      </c>
      <c r="BE997" s="3" t="n">
        <v>34.12436883395866</v>
      </c>
      <c r="BF997" s="3" t="n">
        <v>32.64270134068816</v>
      </c>
      <c r="BG997" s="3" t="n">
        <v>29.0620892646775</v>
      </c>
      <c r="BH997" s="3" t="n">
        <v>31.90807046457739</v>
      </c>
      <c r="BI997" s="3" t="n">
        <v>29.85914654081821</v>
      </c>
      <c r="BJ997" s="3" t="n">
        <v>29.70921266637193</v>
      </c>
      <c r="BK997" s="3" t="n">
        <v>29.89618246342566</v>
      </c>
      <c r="BL997" s="3" t="n">
        <v>30.1287211384353</v>
      </c>
      <c r="BM997" s="3" t="n">
        <v>30.2452178749662</v>
      </c>
      <c r="BN997" s="3" t="n">
        <v>30.76513695359344</v>
      </c>
      <c r="BO997" s="3" t="n">
        <v>31.31663439962067</v>
      </c>
      <c r="BP997" s="3" t="n">
        <v>31.90249487553392</v>
      </c>
      <c r="BQ997" s="3" t="n">
        <v>32.52489361544451</v>
      </c>
      <c r="BR997" s="3" t="n">
        <v>33.1858805707319</v>
      </c>
      <c r="BS997" s="3" t="n">
        <v>33.88755995070638</v>
      </c>
      <c r="BT997" s="3" t="n">
        <v>34.63384727085764</v>
      </c>
      <c r="BU997" s="3" t="n">
        <v>35.42739431507281</v>
      </c>
      <c r="BV997" s="3" t="n">
        <v>36.27086095164052</v>
      </c>
      <c r="BW997" s="3" t="n">
        <v>37.10575489077831</v>
      </c>
      <c r="BY997" s="20" t="inlineStr">
        <is>
          <t>egy.mit.effprice.all.gso.5</t>
        </is>
      </c>
      <c r="BZ997" s="3" t="n">
        <v>40.26383683120066</v>
      </c>
      <c r="CA997" s="3" t="n">
        <v>34.12436883395866</v>
      </c>
      <c r="CB997" s="3" t="n">
        <v>32.64270134068816</v>
      </c>
      <c r="CC997" s="3" t="n">
        <v>29.0620892646775</v>
      </c>
      <c r="CD997" s="3" t="n">
        <v>31.90807046880088</v>
      </c>
      <c r="CE997" s="3" t="n">
        <v>29.85873653517523</v>
      </c>
      <c r="CF997" s="3" t="n">
        <v>29.71840352786489</v>
      </c>
      <c r="CG997" s="3" t="n">
        <v>29.90664184850967</v>
      </c>
      <c r="CH997" s="3" t="n">
        <v>30.13136871195855</v>
      </c>
      <c r="CI997" s="3" t="n">
        <v>30.23056263911962</v>
      </c>
      <c r="CJ997" s="3" t="n">
        <v>30.72345771177419</v>
      </c>
      <c r="CK997" s="3" t="n">
        <v>31.2376656235591</v>
      </c>
      <c r="CL997" s="3" t="n">
        <v>31.77552634058654</v>
      </c>
      <c r="CM997" s="3" t="n">
        <v>32.33866321634176</v>
      </c>
      <c r="CN997" s="3" t="n">
        <v>32.92843152265883</v>
      </c>
      <c r="CO997" s="3" t="n">
        <v>33.54619902518417</v>
      </c>
      <c r="CP997" s="3" t="n">
        <v>34.19493304281477</v>
      </c>
      <c r="CQ997" s="3" t="n">
        <v>34.87623972587283</v>
      </c>
      <c r="CR997" s="3" t="n">
        <v>35.59165115333977</v>
      </c>
      <c r="CS997" s="3" t="n">
        <v>36.28138656026613</v>
      </c>
      <c r="CU997" s="20" t="inlineStr">
        <is>
          <t>egy.mit.effprice.all.gso.6</t>
        </is>
      </c>
      <c r="CV997" s="3" t="n">
        <v>40.26383683120066</v>
      </c>
      <c r="CW997" s="3" t="n">
        <v>34.12436883395866</v>
      </c>
      <c r="CX997" s="3" t="n">
        <v>32.64270134068816</v>
      </c>
      <c r="CY997" s="3" t="n">
        <v>29.0620892646775</v>
      </c>
      <c r="CZ997" s="3" t="n">
        <v>31.90807046281345</v>
      </c>
      <c r="DA997" s="3" t="n">
        <v>29.85810886110383</v>
      </c>
      <c r="DB997" s="3" t="n">
        <v>29.73213528301834</v>
      </c>
      <c r="DC997" s="3" t="n">
        <v>29.93563513559278</v>
      </c>
      <c r="DD997" s="3" t="n">
        <v>30.17641231208977</v>
      </c>
      <c r="DE997" s="3" t="n">
        <v>30.29125695667048</v>
      </c>
      <c r="DF997" s="3" t="n">
        <v>30.80074538208456</v>
      </c>
      <c r="DG997" s="3" t="n">
        <v>31.33200748732486</v>
      </c>
      <c r="DH997" s="3" t="n">
        <v>31.88743962439997</v>
      </c>
      <c r="DI997" s="3" t="n">
        <v>32.46881699535493</v>
      </c>
      <c r="DJ997" s="3" t="n">
        <v>33.07755620336377</v>
      </c>
      <c r="DK997" s="3" t="n">
        <v>33.71505523114985</v>
      </c>
      <c r="DL997" s="3" t="n">
        <v>34.38451254781217</v>
      </c>
      <c r="DM997" s="3" t="n">
        <v>35.08763145903723</v>
      </c>
      <c r="DN997" s="3" t="n">
        <v>35.8260713800546</v>
      </c>
      <c r="DO997" s="3" t="n">
        <v>36.54012325598323</v>
      </c>
    </row>
    <row r="998">
      <c r="A998" s="19" t="inlineStr">
        <is>
          <t>mit.con.all.gso</t>
        </is>
      </c>
      <c r="B998" s="3" t="inlineStr">
        <is>
          <t>mit</t>
        </is>
      </c>
      <c r="C998" s="19" t="inlineStr">
        <is>
          <t>mit.con.gso.all</t>
        </is>
      </c>
      <c r="H998" s="3" t="inlineStr">
        <is>
          <t>Energy subsidies: consumption of the line | All sectors | Gasoline</t>
        </is>
      </c>
      <c r="I998" s="3" t="inlineStr">
        <is>
          <t>PJ, GWh</t>
        </is>
      </c>
      <c r="K998" s="20" t="inlineStr">
        <is>
          <t>egy.mit.con.all.gso.1</t>
        </is>
      </c>
      <c r="L998" s="3" t="n">
        <v>306.8481809436043</v>
      </c>
      <c r="M998" s="3" t="n">
        <v>334.8563539164938</v>
      </c>
      <c r="N998" s="3" t="n">
        <v>424.1373594322408</v>
      </c>
      <c r="O998" s="3" t="n">
        <v>434.7187908436715</v>
      </c>
      <c r="P998" s="3" t="n">
        <v>444.9750006645852</v>
      </c>
      <c r="Q998" s="3" t="n">
        <v>457.1840827813534</v>
      </c>
      <c r="R998" s="3" t="n">
        <v>471.784709058887</v>
      </c>
      <c r="S998" s="3" t="n">
        <v>485.667814598668</v>
      </c>
      <c r="T998" s="3" t="n">
        <v>498.5315292047012</v>
      </c>
      <c r="U998" s="3" t="n">
        <v>511.4590160086846</v>
      </c>
      <c r="V998" s="3" t="n">
        <v>524.4982863870584</v>
      </c>
      <c r="W998" s="3" t="n">
        <v>537.644683695003</v>
      </c>
      <c r="X998" s="3" t="n">
        <v>550.8935099257756</v>
      </c>
      <c r="Y998" s="3" t="n">
        <v>564.2400260163847</v>
      </c>
      <c r="Z998" s="3" t="n">
        <v>577.6794516077728</v>
      </c>
      <c r="AA998" s="3" t="n">
        <v>591.2069642689411</v>
      </c>
      <c r="AB998" s="3" t="n">
        <v>604.8176981950589</v>
      </c>
      <c r="AC998" s="3" t="n">
        <v>618.5067423900596</v>
      </c>
      <c r="AD998" s="3" t="n">
        <v>632.2691383445259</v>
      </c>
      <c r="AE998" s="3" t="n">
        <v>646.0998772198683</v>
      </c>
      <c r="AG998" s="20" t="inlineStr">
        <is>
          <t>egy.mit.con.all.gso.3</t>
        </is>
      </c>
      <c r="AH998" s="3" t="n">
        <v>306.8481809436043</v>
      </c>
      <c r="AI998" s="3" t="n">
        <v>334.8563539164938</v>
      </c>
      <c r="AJ998" s="3" t="n">
        <v>424.1373594322408</v>
      </c>
      <c r="AK998" s="3" t="n">
        <v>434.7187908436715</v>
      </c>
      <c r="AL998" s="3" t="n">
        <v>444.9750006645852</v>
      </c>
      <c r="AM998" s="3" t="n">
        <v>419.4478421725341</v>
      </c>
      <c r="AN998" s="3" t="n">
        <v>432.843266780179</v>
      </c>
      <c r="AO998" s="3" t="n">
        <v>445.7616052462576</v>
      </c>
      <c r="AP998" s="3" t="n">
        <v>457.1507196474351</v>
      </c>
      <c r="AQ998" s="3" t="n">
        <v>469.0787602819127</v>
      </c>
      <c r="AR998" s="3" t="n">
        <v>480.8633508815992</v>
      </c>
      <c r="AS998" s="3" t="n">
        <v>493.1499708759178</v>
      </c>
      <c r="AT998" s="3" t="n">
        <v>505.7328393850789</v>
      </c>
      <c r="AU998" s="3" t="n">
        <v>518.3207485577472</v>
      </c>
      <c r="AV998" s="3" t="n">
        <v>531.0877669909187</v>
      </c>
      <c r="AW998" s="3" t="n">
        <v>544.1482190436309</v>
      </c>
      <c r="AX998" s="3" t="n">
        <v>557.107549392422</v>
      </c>
      <c r="AY998" s="3" t="n">
        <v>570.0442733355007</v>
      </c>
      <c r="AZ998" s="3" t="n">
        <v>582.8110956713472</v>
      </c>
      <c r="BA998" s="3" t="n">
        <v>595.5725292232619</v>
      </c>
      <c r="BC998" s="20" t="inlineStr">
        <is>
          <t>egy.mit.con.all.gso.4</t>
        </is>
      </c>
      <c r="BD998" s="3" t="n">
        <v>306.8481809436043</v>
      </c>
      <c r="BE998" s="3" t="n">
        <v>334.8563539164938</v>
      </c>
      <c r="BF998" s="3" t="n">
        <v>424.1373594322408</v>
      </c>
      <c r="BG998" s="3" t="n">
        <v>434.7187908436715</v>
      </c>
      <c r="BH998" s="3" t="n">
        <v>444.9750006645852</v>
      </c>
      <c r="BI998" s="3" t="n">
        <v>430.5032903363447</v>
      </c>
      <c r="BJ998" s="3" t="n">
        <v>413.564305688614</v>
      </c>
      <c r="BK998" s="3" t="n">
        <v>399.4924988258816</v>
      </c>
      <c r="BL998" s="3" t="n">
        <v>386.9689489704023</v>
      </c>
      <c r="BM998" s="3" t="n">
        <v>381.2160509422534</v>
      </c>
      <c r="BN998" s="3" t="n">
        <v>376.228562525704</v>
      </c>
      <c r="BO998" s="3" t="n">
        <v>372.073231332287</v>
      </c>
      <c r="BP998" s="3" t="n">
        <v>368.7296354987026</v>
      </c>
      <c r="BQ998" s="3" t="n">
        <v>366.0331314643951</v>
      </c>
      <c r="BR998" s="3" t="n">
        <v>363.9005573313793</v>
      </c>
      <c r="BS998" s="3" t="n">
        <v>362.3213699755438</v>
      </c>
      <c r="BT998" s="3" t="n">
        <v>361.1623984965241</v>
      </c>
      <c r="BU998" s="3" t="n">
        <v>360.3306093466342</v>
      </c>
      <c r="BV998" s="3" t="n">
        <v>359.6804111817372</v>
      </c>
      <c r="BW998" s="3" t="n">
        <v>359.1603933976186</v>
      </c>
      <c r="BY998" s="20" t="inlineStr">
        <is>
          <t>egy.mit.con.all.gso.5</t>
        </is>
      </c>
      <c r="BZ998" s="3" t="n">
        <v>306.8481809436043</v>
      </c>
      <c r="CA998" s="3" t="n">
        <v>334.8563539164938</v>
      </c>
      <c r="CB998" s="3" t="n">
        <v>424.1373594322408</v>
      </c>
      <c r="CC998" s="3" t="n">
        <v>434.7187908436715</v>
      </c>
      <c r="CD998" s="3" t="n">
        <v>444.9750006645852</v>
      </c>
      <c r="CE998" s="3" t="n">
        <v>411.2082979341378</v>
      </c>
      <c r="CF998" s="3" t="n">
        <v>424.3403249030334</v>
      </c>
      <c r="CG998" s="3" t="n">
        <v>436.9785482423877</v>
      </c>
      <c r="CH998" s="3" t="n">
        <v>448.1684598725979</v>
      </c>
      <c r="CI998" s="3" t="n">
        <v>459.9444008244645</v>
      </c>
      <c r="CJ998" s="3" t="n">
        <v>471.4782452365239</v>
      </c>
      <c r="CK998" s="3" t="n">
        <v>483.5533784554237</v>
      </c>
      <c r="CL998" s="3" t="n">
        <v>495.7486382015014</v>
      </c>
      <c r="CM998" s="3" t="n">
        <v>507.9766464411176</v>
      </c>
      <c r="CN998" s="3" t="n">
        <v>520.3743443241658</v>
      </c>
      <c r="CO998" s="3" t="n">
        <v>533.0071313971702</v>
      </c>
      <c r="CP998" s="3" t="n">
        <v>545.551952287272</v>
      </c>
      <c r="CQ998" s="3" t="n">
        <v>558.1357437217827</v>
      </c>
      <c r="CR998" s="3" t="n">
        <v>570.601870817189</v>
      </c>
      <c r="CS998" s="3" t="n">
        <v>583.1535939249876</v>
      </c>
      <c r="CU998" s="20" t="inlineStr">
        <is>
          <t>egy.mit.con.all.gso.6</t>
        </is>
      </c>
      <c r="CV998" s="3" t="n">
        <v>306.8481809436043</v>
      </c>
      <c r="CW998" s="3" t="n">
        <v>334.8563539164938</v>
      </c>
      <c r="CX998" s="3" t="n">
        <v>424.1373594322408</v>
      </c>
      <c r="CY998" s="3" t="n">
        <v>434.7187908436715</v>
      </c>
      <c r="CZ998" s="3" t="n">
        <v>444.9750006645852</v>
      </c>
      <c r="DA998" s="3" t="n">
        <v>375.476822307388</v>
      </c>
      <c r="DB998" s="3" t="n">
        <v>387.4679291623833</v>
      </c>
      <c r="DC998" s="3" t="n">
        <v>399.2170369074342</v>
      </c>
      <c r="DD998" s="3" t="n">
        <v>408.9778275264006</v>
      </c>
      <c r="DE998" s="3" t="n">
        <v>419.7618301836246</v>
      </c>
      <c r="DF998" s="3" t="n">
        <v>430.1015023369249</v>
      </c>
      <c r="DG998" s="3" t="n">
        <v>441.3569995913803</v>
      </c>
      <c r="DH998" s="3" t="n">
        <v>453.024347825258</v>
      </c>
      <c r="DI998" s="3" t="n">
        <v>464.6313782613407</v>
      </c>
      <c r="DJ998" s="3" t="n">
        <v>476.4869217947505</v>
      </c>
      <c r="DK998" s="3" t="n">
        <v>488.8220345621035</v>
      </c>
      <c r="DL998" s="3" t="n">
        <v>500.8754124957654</v>
      </c>
      <c r="DM998" s="3" t="n">
        <v>512.8359902384108</v>
      </c>
      <c r="DN998" s="3" t="n">
        <v>524.4067059892342</v>
      </c>
      <c r="DO998" s="3" t="n">
        <v>535.9204508682141</v>
      </c>
    </row>
    <row r="999">
      <c r="A999" s="19" t="inlineStr">
        <is>
          <t>mit.expsub.con.all.gso</t>
        </is>
      </c>
      <c r="B999" s="3" t="inlineStr">
        <is>
          <t>mit</t>
        </is>
      </c>
      <c r="C999" s="19" t="inlineStr">
        <is>
          <t>mit.expsub.con.gso.all</t>
        </is>
      </c>
      <c r="H999" s="3" t="inlineStr">
        <is>
          <t>Explicit consumer subsidy | All sectors | Gasoline</t>
        </is>
      </c>
      <c r="I999" s="3" t="inlineStr">
        <is>
          <t>USD bn real</t>
        </is>
      </c>
      <c r="K999" s="20" t="inlineStr">
        <is>
          <t>egy.mit.expsub.con.all.gso.1</t>
        </is>
      </c>
      <c r="L999" s="3" t="n">
        <v>3.091293215158224</v>
      </c>
      <c r="M999" s="3" t="n">
        <v>3.853382691864617</v>
      </c>
      <c r="N999" s="3" t="n">
        <v>5.260728278685763</v>
      </c>
      <c r="O999" s="3" t="n">
        <v>4.112255651923183</v>
      </c>
      <c r="P999" s="3" t="n">
        <v>5.119663412727991</v>
      </c>
      <c r="Q999" s="3" t="n">
        <v>4.290223215038086</v>
      </c>
      <c r="R999" s="3" t="n">
        <v>4.151875517412846</v>
      </c>
      <c r="S999" s="3" t="n">
        <v>4.131163417640472</v>
      </c>
      <c r="T999" s="3" t="n">
        <v>4.112317595084687</v>
      </c>
      <c r="U999" s="3" t="n">
        <v>4.075991403954584</v>
      </c>
      <c r="V999" s="3" t="n">
        <v>4.179905798485834</v>
      </c>
      <c r="W999" s="3" t="n">
        <v>4.284673924069613</v>
      </c>
      <c r="X999" s="3" t="n">
        <v>4.390258340687267</v>
      </c>
      <c r="Y999" s="3" t="n">
        <v>4.496621281128894</v>
      </c>
      <c r="Z999" s="3" t="n">
        <v>4.603724649082142</v>
      </c>
      <c r="AA999" s="3" t="n">
        <v>4.711530012949015</v>
      </c>
      <c r="AB999" s="3" t="n">
        <v>4.819998595470644</v>
      </c>
      <c r="AC999" s="3" t="n">
        <v>4.929091259243786</v>
      </c>
      <c r="AD999" s="3" t="n">
        <v>5.038768488215093</v>
      </c>
      <c r="AE999" s="3" t="n">
        <v>5.148990365240874</v>
      </c>
      <c r="AG999" s="20" t="inlineStr">
        <is>
          <t>egy.mit.expsub.con.all.gso.3</t>
        </is>
      </c>
      <c r="AH999" s="3" t="n">
        <v>3.091293215158224</v>
      </c>
      <c r="AI999" s="3" t="n">
        <v>3.853382691864617</v>
      </c>
      <c r="AJ999" s="3" t="n">
        <v>5.260728278685763</v>
      </c>
      <c r="AK999" s="3" t="n">
        <v>4.112255651923183</v>
      </c>
      <c r="AL999" s="3" t="n">
        <v>5.119663412727991</v>
      </c>
      <c r="AM999" s="3" t="n">
        <v>3.383417097619025</v>
      </c>
      <c r="AN999" s="3" t="n">
        <v>3.238837612191112</v>
      </c>
      <c r="AO999" s="3" t="n">
        <v>3.204354083397031</v>
      </c>
      <c r="AP999" s="3" t="n">
        <v>3.168604951230716</v>
      </c>
      <c r="AQ999" s="3" t="n">
        <v>3.120163541841213</v>
      </c>
      <c r="AR999" s="3" t="n">
        <v>3.198550910995528</v>
      </c>
      <c r="AS999" s="3" t="n">
        <v>3.280277620888959</v>
      </c>
      <c r="AT999" s="3" t="n">
        <v>3.363974882198491</v>
      </c>
      <c r="AU999" s="3" t="n">
        <v>3.447705672407289</v>
      </c>
      <c r="AV999" s="3" t="n">
        <v>3.532627840763953</v>
      </c>
      <c r="AW999" s="3" t="n">
        <v>3.619501836743535</v>
      </c>
      <c r="AX999" s="3" t="n">
        <v>3.705703203133847</v>
      </c>
      <c r="AY999" s="3" t="n">
        <v>3.79175419886386</v>
      </c>
      <c r="AZ999" s="3" t="n">
        <v>3.876675062843145</v>
      </c>
      <c r="BA999" s="3" t="n">
        <v>3.961560082336212</v>
      </c>
      <c r="BC999" s="20" t="inlineStr">
        <is>
          <t>egy.mit.expsub.con.all.gso.4</t>
        </is>
      </c>
      <c r="BD999" s="3" t="n">
        <v>3.091293215158224</v>
      </c>
      <c r="BE999" s="3" t="n">
        <v>3.853382691864617</v>
      </c>
      <c r="BF999" s="3" t="n">
        <v>5.260728278685763</v>
      </c>
      <c r="BG999" s="3" t="n">
        <v>4.112255651923183</v>
      </c>
      <c r="BH999" s="3" t="n">
        <v>5.119663412727991</v>
      </c>
      <c r="BI999" s="3" t="n">
        <v>3.75622226090394</v>
      </c>
      <c r="BJ999" s="3" t="n">
        <v>3.003756187593815</v>
      </c>
      <c r="BK999" s="3" t="n">
        <v>2.433087041147932</v>
      </c>
      <c r="BL999" s="3" t="n">
        <v>1.917321969016491</v>
      </c>
      <c r="BM999" s="3" t="n">
        <v>1.4473855189984</v>
      </c>
      <c r="BN999" s="3" t="n">
        <v>1.097955636574175</v>
      </c>
      <c r="BO999" s="3" t="n">
        <v>0.758985659068988</v>
      </c>
      <c r="BP999" s="3" t="n">
        <v>0.4282588712246145</v>
      </c>
      <c r="BQ999" s="3" t="n">
        <v>0.103589499595865</v>
      </c>
      <c r="BR999" s="3" t="n">
        <v>0</v>
      </c>
      <c r="BS999" s="3" t="n">
        <v>0</v>
      </c>
      <c r="BT999" s="3" t="n">
        <v>0</v>
      </c>
      <c r="BU999" s="3" t="n">
        <v>0</v>
      </c>
      <c r="BV999" s="3" t="n">
        <v>0</v>
      </c>
      <c r="BW999" s="3" t="n">
        <v>0</v>
      </c>
      <c r="BY999" s="20" t="inlineStr">
        <is>
          <t>egy.mit.expsub.con.all.gso.5</t>
        </is>
      </c>
      <c r="BZ999" s="3" t="n">
        <v>3.091293215158224</v>
      </c>
      <c r="CA999" s="3" t="n">
        <v>3.853382691864617</v>
      </c>
      <c r="CB999" s="3" t="n">
        <v>5.260728278685763</v>
      </c>
      <c r="CC999" s="3" t="n">
        <v>4.112255651923183</v>
      </c>
      <c r="CD999" s="3" t="n">
        <v>5.119663412727991</v>
      </c>
      <c r="CE999" s="3" t="n">
        <v>3.181496047463787</v>
      </c>
      <c r="CF999" s="3" t="n">
        <v>3.035428821037536</v>
      </c>
      <c r="CG999" s="3" t="n">
        <v>2.997270126626729</v>
      </c>
      <c r="CH999" s="3" t="n">
        <v>2.958713942681351</v>
      </c>
      <c r="CI999" s="3" t="n">
        <v>2.907892375154601</v>
      </c>
      <c r="CJ999" s="3" t="n">
        <v>2.980812445845595</v>
      </c>
      <c r="CK999" s="3" t="n">
        <v>3.057154690154414</v>
      </c>
      <c r="CL999" s="3" t="n">
        <v>3.134256406720768</v>
      </c>
      <c r="CM999" s="3" t="n">
        <v>3.211565168083162</v>
      </c>
      <c r="CN999" s="3" t="n">
        <v>3.289946753072485</v>
      </c>
      <c r="CO999" s="3" t="n">
        <v>3.369814635235399</v>
      </c>
      <c r="CP999" s="3" t="n">
        <v>3.449126371498779</v>
      </c>
      <c r="CQ999" s="3" t="n">
        <v>3.528684490039533</v>
      </c>
      <c r="CR999" s="3" t="n">
        <v>3.607498702938877</v>
      </c>
      <c r="CS999" s="3" t="n">
        <v>3.686854076881452</v>
      </c>
      <c r="CU999" s="20" t="inlineStr">
        <is>
          <t>egy.mit.expsub.con.all.gso.6</t>
        </is>
      </c>
      <c r="CV999" s="3" t="n">
        <v>3.091293215158224</v>
      </c>
      <c r="CW999" s="3" t="n">
        <v>3.853382691864617</v>
      </c>
      <c r="CX999" s="3" t="n">
        <v>5.260728278685763</v>
      </c>
      <c r="CY999" s="3" t="n">
        <v>4.112255651923183</v>
      </c>
      <c r="CZ999" s="3" t="n">
        <v>5.119663412727991</v>
      </c>
      <c r="DA999" s="3" t="n">
        <v>2.286606268703075</v>
      </c>
      <c r="DB999" s="3" t="n">
        <v>2.133482405461264</v>
      </c>
      <c r="DC999" s="3" t="n">
        <v>2.080721808185666</v>
      </c>
      <c r="DD999" s="3" t="n">
        <v>2.026369753034063</v>
      </c>
      <c r="DE999" s="3" t="n">
        <v>1.96246943919648</v>
      </c>
      <c r="DF999" s="3" t="n">
        <v>2.010809448108882</v>
      </c>
      <c r="DG999" s="3" t="n">
        <v>2.063431120201283</v>
      </c>
      <c r="DH999" s="3" t="n">
        <v>2.117978276943552</v>
      </c>
      <c r="DI999" s="3" t="n">
        <v>2.172243436071221</v>
      </c>
      <c r="DJ999" s="3" t="n">
        <v>2.227670442998464</v>
      </c>
      <c r="DK999" s="3" t="n">
        <v>2.285339530786611</v>
      </c>
      <c r="DL999" s="3" t="n">
        <v>2.34169145259796</v>
      </c>
      <c r="DM999" s="3" t="n">
        <v>2.397609515192664</v>
      </c>
      <c r="DN999" s="3" t="n">
        <v>2.451704895996314</v>
      </c>
      <c r="DO999" s="3" t="n">
        <v>2.505533926725046</v>
      </c>
    </row>
    <row r="1000">
      <c r="A1000" s="19" t="inlineStr">
        <is>
          <t>mit.impsub.con.all.gso</t>
        </is>
      </c>
      <c r="B1000" s="3" t="inlineStr">
        <is>
          <t>mit</t>
        </is>
      </c>
      <c r="C1000" s="19" t="inlineStr">
        <is>
          <t>mit.impsub.con.gso.all</t>
        </is>
      </c>
      <c r="H1000" s="3" t="inlineStr">
        <is>
          <t>Implicit consumer subsidy | All sectors | Gasoline</t>
        </is>
      </c>
      <c r="I1000" s="3" t="inlineStr">
        <is>
          <t>USD bn real</t>
        </is>
      </c>
      <c r="K1000" s="20" t="inlineStr">
        <is>
          <t>egy.mit.impsub.con.all.gso.1</t>
        </is>
      </c>
      <c r="L1000" s="3" t="n">
        <v>3.707451665099486</v>
      </c>
      <c r="M1000" s="3" t="n">
        <v>3.779900108529986</v>
      </c>
      <c r="N1000" s="3" t="n">
        <v>4.705507433304216</v>
      </c>
      <c r="O1000" s="3" t="n">
        <v>4.546059591678345</v>
      </c>
      <c r="P1000" s="3" t="n">
        <v>5.009315743059044</v>
      </c>
      <c r="Q1000" s="3" t="n">
        <v>5.180068791568588</v>
      </c>
      <c r="R1000" s="3" t="n">
        <v>5.547250273907323</v>
      </c>
      <c r="S1000" s="3" t="n">
        <v>5.936695338069166</v>
      </c>
      <c r="T1000" s="3" t="n">
        <v>6.325525667674128</v>
      </c>
      <c r="U1000" s="3" t="n">
        <v>6.674546380807542</v>
      </c>
      <c r="V1000" s="3" t="n">
        <v>7.093766898579169</v>
      </c>
      <c r="W1000" s="3" t="n">
        <v>7.538046772982802</v>
      </c>
      <c r="X1000" s="3" t="n">
        <v>8.009503335825775</v>
      </c>
      <c r="Y1000" s="3" t="n">
        <v>8.509988113571021</v>
      </c>
      <c r="Z1000" s="3" t="n">
        <v>9.041314738527033</v>
      </c>
      <c r="AA1000" s="3" t="n">
        <v>9.60538106739992</v>
      </c>
      <c r="AB1000" s="3" t="n">
        <v>10.20503848705252</v>
      </c>
      <c r="AC1000" s="3" t="n">
        <v>10.84251886080582</v>
      </c>
      <c r="AD1000" s="3" t="n">
        <v>11.52006993435563</v>
      </c>
      <c r="AE1000" s="3" t="n">
        <v>12.20043036267485</v>
      </c>
      <c r="AG1000" s="20" t="inlineStr">
        <is>
          <t>egy.mit.impsub.con.all.gso.3</t>
        </is>
      </c>
      <c r="AH1000" s="3" t="n">
        <v>3.707451665099486</v>
      </c>
      <c r="AI1000" s="3" t="n">
        <v>3.779900108529986</v>
      </c>
      <c r="AJ1000" s="3" t="n">
        <v>4.705507433304216</v>
      </c>
      <c r="AK1000" s="3" t="n">
        <v>4.546059591678345</v>
      </c>
      <c r="AL1000" s="3" t="n">
        <v>5.009315743844815</v>
      </c>
      <c r="AM1000" s="3" t="n">
        <v>4.752265330936283</v>
      </c>
      <c r="AN1000" s="3" t="n">
        <v>5.094625097849415</v>
      </c>
      <c r="AO1000" s="3" t="n">
        <v>5.460310901844263</v>
      </c>
      <c r="AP1000" s="3" t="n">
        <v>5.818661686097395</v>
      </c>
      <c r="AQ1000" s="3" t="n">
        <v>6.146622078246613</v>
      </c>
      <c r="AR1000" s="3" t="n">
        <v>6.53641842276491</v>
      </c>
      <c r="AS1000" s="3" t="n">
        <v>6.95527783178765</v>
      </c>
      <c r="AT1000" s="3" t="n">
        <v>7.402887871636003</v>
      </c>
      <c r="AU1000" s="3" t="n">
        <v>7.877028575903602</v>
      </c>
      <c r="AV1000" s="3" t="n">
        <v>8.382117289983483</v>
      </c>
      <c r="AW1000" s="3" t="n">
        <v>8.922091158323033</v>
      </c>
      <c r="AX1000" s="3" t="n">
        <v>9.493502867074023</v>
      </c>
      <c r="AY1000" s="3" t="n">
        <v>10.09965712219181</v>
      </c>
      <c r="AZ1000" s="3" t="n">
        <v>10.73993443223018</v>
      </c>
      <c r="BA1000" s="3" t="n">
        <v>11.38281237172344</v>
      </c>
      <c r="BC1000" s="20" t="inlineStr">
        <is>
          <t>egy.mit.impsub.con.all.gso.4</t>
        </is>
      </c>
      <c r="BD1000" s="3" t="n">
        <v>3.707451665099486</v>
      </c>
      <c r="BE1000" s="3" t="n">
        <v>3.779900108529986</v>
      </c>
      <c r="BF1000" s="3" t="n">
        <v>4.705507433304216</v>
      </c>
      <c r="BG1000" s="3" t="n">
        <v>4.546059591678345</v>
      </c>
      <c r="BH1000" s="3" t="n">
        <v>5.009315745678844</v>
      </c>
      <c r="BI1000" s="3" t="n">
        <v>4.877640490914219</v>
      </c>
      <c r="BJ1000" s="3" t="n">
        <v>4.865092497585801</v>
      </c>
      <c r="BK1000" s="3" t="n">
        <v>4.891782221865404</v>
      </c>
      <c r="BL1000" s="3" t="n">
        <v>4.927979432666937</v>
      </c>
      <c r="BM1000" s="3" t="n">
        <v>5.00568541679478</v>
      </c>
      <c r="BN1000" s="3" t="n">
        <v>5.135803932302214</v>
      </c>
      <c r="BO1000" s="3" t="n">
        <v>5.284277961037942</v>
      </c>
      <c r="BP1000" s="3" t="n">
        <v>5.452815488657265</v>
      </c>
      <c r="BQ1000" s="3" t="n">
        <v>5.640757842283382</v>
      </c>
      <c r="BR1000" s="3" t="n">
        <v>5.631749075910326</v>
      </c>
      <c r="BS1000" s="3" t="n">
        <v>5.543265922978853</v>
      </c>
      <c r="BT1000" s="3" t="n">
        <v>5.477806486560026</v>
      </c>
      <c r="BU1000" s="3" t="n">
        <v>5.434601681807938</v>
      </c>
      <c r="BV1000" s="3" t="n">
        <v>5.412216587697444</v>
      </c>
      <c r="BW1000" s="3" t="n">
        <v>5.388752306991392</v>
      </c>
      <c r="BY1000" s="20" t="inlineStr">
        <is>
          <t>egy.mit.impsub.con.all.gso.5</t>
        </is>
      </c>
      <c r="BZ1000" s="3" t="n">
        <v>3.707451665099486</v>
      </c>
      <c r="CA1000" s="3" t="n">
        <v>3.779900108529986</v>
      </c>
      <c r="CB1000" s="3" t="n">
        <v>4.705507433304216</v>
      </c>
      <c r="CC1000" s="3" t="n">
        <v>4.546059591678345</v>
      </c>
      <c r="CD1000" s="3" t="n">
        <v>5.009315747558194</v>
      </c>
      <c r="CE1000" s="3" t="n">
        <v>4.658857916654171</v>
      </c>
      <c r="CF1000" s="3" t="n">
        <v>4.995759608515294</v>
      </c>
      <c r="CG1000" s="3" t="n">
        <v>5.355369102379989</v>
      </c>
      <c r="CH1000" s="3" t="n">
        <v>5.708530671437052</v>
      </c>
      <c r="CI1000" s="3" t="n">
        <v>6.032713868052131</v>
      </c>
      <c r="CJ1000" s="3" t="n">
        <v>6.416383159339032</v>
      </c>
      <c r="CK1000" s="3" t="n">
        <v>6.829361535117757</v>
      </c>
      <c r="CL1000" s="3" t="n">
        <v>7.268242365989858</v>
      </c>
      <c r="CM1000" s="3" t="n">
        <v>7.733579342030685</v>
      </c>
      <c r="CN1000" s="3" t="n">
        <v>8.229225677357284</v>
      </c>
      <c r="CO1000" s="3" t="n">
        <v>8.758275682759008</v>
      </c>
      <c r="CP1000" s="3" t="n">
        <v>9.31832799469664</v>
      </c>
      <c r="CQ1000" s="3" t="n">
        <v>9.913527699483335</v>
      </c>
      <c r="CR1000" s="3" t="n">
        <v>10.54316437488153</v>
      </c>
      <c r="CS1000" s="3" t="n">
        <v>11.17730762311352</v>
      </c>
      <c r="CU1000" s="20" t="inlineStr">
        <is>
          <t>egy.mit.impsub.con.all.gso.6</t>
        </is>
      </c>
      <c r="CV1000" s="3" t="n">
        <v>3.707451665099486</v>
      </c>
      <c r="CW1000" s="3" t="n">
        <v>3.779900108529986</v>
      </c>
      <c r="CX1000" s="3" t="n">
        <v>4.705507433304216</v>
      </c>
      <c r="CY1000" s="3" t="n">
        <v>4.546059591678345</v>
      </c>
      <c r="CZ1000" s="3" t="n">
        <v>5.009315744893937</v>
      </c>
      <c r="DA1000" s="3" t="n">
        <v>4.253796099323878</v>
      </c>
      <c r="DB1000" s="3" t="n">
        <v>4.566981424477768</v>
      </c>
      <c r="DC1000" s="3" t="n">
        <v>4.904159371917158</v>
      </c>
      <c r="DD1000" s="3" t="n">
        <v>5.22776314488312</v>
      </c>
      <c r="DE1000" s="3" t="n">
        <v>5.531149168800105</v>
      </c>
      <c r="DF1000" s="3" t="n">
        <v>5.886525473565482</v>
      </c>
      <c r="DG1000" s="3" t="n">
        <v>6.275048548361545</v>
      </c>
      <c r="DH1000" s="3" t="n">
        <v>6.692554818221224</v>
      </c>
      <c r="DI1000" s="3" t="n">
        <v>7.13415231743596</v>
      </c>
      <c r="DJ1000" s="3" t="n">
        <v>7.60624376194414</v>
      </c>
      <c r="DK1000" s="3" t="n">
        <v>8.114774888275081</v>
      </c>
      <c r="DL1000" s="3" t="n">
        <v>8.650183786914679</v>
      </c>
      <c r="DM1000" s="3" t="n">
        <v>9.217329209646033</v>
      </c>
      <c r="DN1000" s="3" t="n">
        <v>9.812535417382623</v>
      </c>
      <c r="DO1000" s="3" t="n">
        <v>10.41065203902318</v>
      </c>
    </row>
    <row r="1001">
      <c r="A1001" s="14" t="n"/>
      <c r="B1001" s="3" t="inlineStr">
        <is>
          <t>mit</t>
        </is>
      </c>
      <c r="C1001" s="19" t="inlineStr">
        <is>
          <t>mit.trs.die.all.a</t>
        </is>
      </c>
      <c r="H1001" s="14" t="inlineStr">
        <is>
          <t>Diesel - portion used for transportation</t>
        </is>
      </c>
      <c r="I1001" s="14" t="inlineStr"/>
    </row>
    <row r="1002">
      <c r="A1002" s="14" t="n"/>
      <c r="B1002" s="3" t="inlineStr">
        <is>
          <t>mit</t>
        </is>
      </c>
      <c r="C1002" s="19" t="inlineStr">
        <is>
          <t>mit.vatrate.all.die.a</t>
        </is>
      </c>
      <c r="H1002" s="14" t="inlineStr">
        <is>
          <t>Diesel - VAT rate</t>
        </is>
      </c>
      <c r="I1002" s="14" t="inlineStr"/>
    </row>
    <row r="1003">
      <c r="A1003" s="14" t="n"/>
      <c r="B1003" s="3" t="inlineStr">
        <is>
          <t>mit</t>
        </is>
      </c>
      <c r="C1003" s="19" t="inlineStr">
        <is>
          <t>mit.rescon.die.all</t>
        </is>
      </c>
      <c r="H1003" s="14" t="inlineStr">
        <is>
          <t>Diesel - portion used for residential consumption</t>
        </is>
      </c>
      <c r="I1003" s="14" t="inlineStr"/>
    </row>
    <row r="1004">
      <c r="A1004" s="19" t="inlineStr">
        <is>
          <t>mit.effprice.all.die</t>
        </is>
      </c>
      <c r="B1004" s="3" t="inlineStr">
        <is>
          <t>mit</t>
        </is>
      </c>
      <c r="C1004" s="19" t="inlineStr">
        <is>
          <t>mit.effprice.die.all</t>
        </is>
      </c>
      <c r="H1004" s="3" t="inlineStr">
        <is>
          <t>Energy subsidies: efficient price | All sectors | Diesel</t>
        </is>
      </c>
      <c r="I1004" s="3" t="inlineStr">
        <is>
          <t>USD/GJ, USD/kWh</t>
        </is>
      </c>
      <c r="K1004" s="20" t="inlineStr">
        <is>
          <t>egy.mit.effprice.all.die.1</t>
        </is>
      </c>
      <c r="L1004" s="3" t="n">
        <v>41.90688676414569</v>
      </c>
      <c r="M1004" s="3" t="n">
        <v>36.12897776055519</v>
      </c>
      <c r="N1004" s="3" t="n">
        <v>33.81420024313721</v>
      </c>
      <c r="O1004" s="3" t="n">
        <v>29.82344510949497</v>
      </c>
      <c r="P1004" s="3" t="n">
        <v>32.48993084493275</v>
      </c>
      <c r="Q1004" s="3" t="n">
        <v>30.75954760655069</v>
      </c>
      <c r="R1004" s="3" t="n">
        <v>30.77561110575796</v>
      </c>
      <c r="S1004" s="3" t="n">
        <v>31.0689749774948</v>
      </c>
      <c r="T1004" s="3" t="n">
        <v>31.38582160747453</v>
      </c>
      <c r="U1004" s="3" t="n">
        <v>31.48337036719886</v>
      </c>
      <c r="V1004" s="3" t="n">
        <v>31.97428689691631</v>
      </c>
      <c r="W1004" s="3" t="n">
        <v>32.48454959581667</v>
      </c>
      <c r="X1004" s="3" t="n">
        <v>33.01469850769425</v>
      </c>
      <c r="Y1004" s="3" t="n">
        <v>33.56498025939647</v>
      </c>
      <c r="Z1004" s="3" t="n">
        <v>34.13553334986445</v>
      </c>
      <c r="AA1004" s="3" t="n">
        <v>34.72739226352446</v>
      </c>
      <c r="AB1004" s="3" t="n">
        <v>35.34104008076337</v>
      </c>
      <c r="AC1004" s="3" t="n">
        <v>35.97696837245978</v>
      </c>
      <c r="AD1004" s="3" t="n">
        <v>36.63563253520281</v>
      </c>
      <c r="AE1004" s="3" t="n">
        <v>37.06963033584282</v>
      </c>
      <c r="AG1004" s="20" t="inlineStr">
        <is>
          <t>egy.mit.effprice.all.die.3</t>
        </is>
      </c>
      <c r="AH1004" s="3" t="n">
        <v>41.90688676414569</v>
      </c>
      <c r="AI1004" s="3" t="n">
        <v>36.12897776055519</v>
      </c>
      <c r="AJ1004" s="3" t="n">
        <v>33.81420024313721</v>
      </c>
      <c r="AK1004" s="3" t="n">
        <v>29.82344510949497</v>
      </c>
      <c r="AL1004" s="3" t="n">
        <v>32.48993084493735</v>
      </c>
      <c r="AM1004" s="3" t="n">
        <v>30.91414001741442</v>
      </c>
      <c r="AN1004" s="3" t="n">
        <v>30.95846207664147</v>
      </c>
      <c r="AO1004" s="3" t="n">
        <v>31.27897997492219</v>
      </c>
      <c r="AP1004" s="3" t="n">
        <v>31.6217429065271</v>
      </c>
      <c r="AQ1004" s="3" t="n">
        <v>31.74474420677461</v>
      </c>
      <c r="AR1004" s="3" t="n">
        <v>32.25984609343119</v>
      </c>
      <c r="AS1004" s="3" t="n">
        <v>32.79356710660745</v>
      </c>
      <c r="AT1004" s="3" t="n">
        <v>33.34664718560359</v>
      </c>
      <c r="AU1004" s="3" t="n">
        <v>33.91929873278505</v>
      </c>
      <c r="AV1004" s="3" t="n">
        <v>34.51174665443137</v>
      </c>
      <c r="AW1004" s="3" t="n">
        <v>35.12516758892313</v>
      </c>
      <c r="AX1004" s="3" t="n">
        <v>35.76011049043495</v>
      </c>
      <c r="AY1004" s="3" t="n">
        <v>36.4171341126617</v>
      </c>
      <c r="AZ1004" s="3" t="n">
        <v>37.09673132179064</v>
      </c>
      <c r="BA1004" s="3" t="n">
        <v>37.55321330363013</v>
      </c>
      <c r="BC1004" s="20" t="inlineStr">
        <is>
          <t>egy.mit.effprice.all.die.4</t>
        </is>
      </c>
      <c r="BD1004" s="3" t="n">
        <v>41.90688676414569</v>
      </c>
      <c r="BE1004" s="3" t="n">
        <v>36.12897776055519</v>
      </c>
      <c r="BF1004" s="3" t="n">
        <v>33.81420024313721</v>
      </c>
      <c r="BG1004" s="3" t="n">
        <v>29.82344510949497</v>
      </c>
      <c r="BH1004" s="3" t="n">
        <v>32.48993084494808</v>
      </c>
      <c r="BI1004" s="3" t="n">
        <v>30.8483235911863</v>
      </c>
      <c r="BJ1004" s="3" t="n">
        <v>30.98550971418162</v>
      </c>
      <c r="BK1004" s="3" t="n">
        <v>31.40739144294053</v>
      </c>
      <c r="BL1004" s="3" t="n">
        <v>31.86116765453952</v>
      </c>
      <c r="BM1004" s="3" t="n">
        <v>32.09394076379458</v>
      </c>
      <c r="BN1004" s="3" t="n">
        <v>32.73171987564757</v>
      </c>
      <c r="BO1004" s="3" t="n">
        <v>33.400190817807</v>
      </c>
      <c r="BP1004" s="3" t="n">
        <v>34.10049683010814</v>
      </c>
      <c r="BQ1004" s="3" t="n">
        <v>34.83277828027787</v>
      </c>
      <c r="BR1004" s="3" t="n">
        <v>35.59716160790031</v>
      </c>
      <c r="BS1004" s="3" t="n">
        <v>36.39491122096634</v>
      </c>
      <c r="BT1004" s="3" t="n">
        <v>37.22668849725206</v>
      </c>
      <c r="BU1004" s="3" t="n">
        <v>38.09304422000755</v>
      </c>
      <c r="BV1004" s="3" t="n">
        <v>38.99455729596662</v>
      </c>
      <c r="BW1004" s="3" t="n">
        <v>39.69092188994572</v>
      </c>
      <c r="BY1004" s="20" t="inlineStr">
        <is>
          <t>egy.mit.effprice.all.die.5</t>
        </is>
      </c>
      <c r="BZ1004" s="3" t="n">
        <v>41.90688676414569</v>
      </c>
      <c r="CA1004" s="3" t="n">
        <v>36.12897776055519</v>
      </c>
      <c r="CB1004" s="3" t="n">
        <v>33.81420024313721</v>
      </c>
      <c r="CC1004" s="3" t="n">
        <v>29.82344510949497</v>
      </c>
      <c r="CD1004" s="3" t="n">
        <v>32.48993084495907</v>
      </c>
      <c r="CE1004" s="3" t="n">
        <v>30.94802147115496</v>
      </c>
      <c r="CF1004" s="3" t="n">
        <v>30.99923039891414</v>
      </c>
      <c r="CG1004" s="3" t="n">
        <v>31.32633332408391</v>
      </c>
      <c r="CH1004" s="3" t="n">
        <v>31.67541753618483</v>
      </c>
      <c r="CI1004" s="3" t="n">
        <v>31.80457722719741</v>
      </c>
      <c r="CJ1004" s="3" t="n">
        <v>32.32553261448903</v>
      </c>
      <c r="CK1004" s="3" t="n">
        <v>32.8649293865342</v>
      </c>
      <c r="CL1004" s="3" t="n">
        <v>33.42355863584875</v>
      </c>
      <c r="CM1004" s="3" t="n">
        <v>34.00164831974933</v>
      </c>
      <c r="CN1004" s="3" t="n">
        <v>34.5994318265432</v>
      </c>
      <c r="CO1004" s="3" t="n">
        <v>35.218113563691</v>
      </c>
      <c r="CP1004" s="3" t="n">
        <v>35.85827079685918</v>
      </c>
      <c r="CQ1004" s="3" t="n">
        <v>36.52047636702882</v>
      </c>
      <c r="CR1004" s="3" t="n">
        <v>37.20523484056366</v>
      </c>
      <c r="CS1004" s="3" t="n">
        <v>37.66722058060571</v>
      </c>
      <c r="CU1004" s="20" t="inlineStr">
        <is>
          <t>egy.mit.effprice.all.die.6</t>
        </is>
      </c>
      <c r="CV1004" s="3" t="n">
        <v>41.90688676414569</v>
      </c>
      <c r="CW1004" s="3" t="n">
        <v>36.12897776055519</v>
      </c>
      <c r="CX1004" s="3" t="n">
        <v>33.81420024313721</v>
      </c>
      <c r="CY1004" s="3" t="n">
        <v>29.82344510949497</v>
      </c>
      <c r="CZ1004" s="3" t="n">
        <v>32.48993084494349</v>
      </c>
      <c r="DA1004" s="3" t="n">
        <v>31.09580142447241</v>
      </c>
      <c r="DB1004" s="3" t="n">
        <v>31.18035665588372</v>
      </c>
      <c r="DC1004" s="3" t="n">
        <v>31.53942553700996</v>
      </c>
      <c r="DD1004" s="3" t="n">
        <v>31.91900910348182</v>
      </c>
      <c r="DE1004" s="3" t="n">
        <v>32.07781938317766</v>
      </c>
      <c r="DF1004" s="3" t="n">
        <v>32.62705245872588</v>
      </c>
      <c r="DG1004" s="3" t="n">
        <v>33.19382779030426</v>
      </c>
      <c r="DH1004" s="3" t="n">
        <v>33.77922126896986</v>
      </c>
      <c r="DI1004" s="3" t="n">
        <v>34.38342495140341</v>
      </c>
      <c r="DJ1004" s="3" t="n">
        <v>35.00674854980682</v>
      </c>
      <c r="DK1004" s="3" t="n">
        <v>35.65054708180539</v>
      </c>
      <c r="DL1004" s="3" t="n">
        <v>36.31550440759361</v>
      </c>
      <c r="DM1004" s="3" t="n">
        <v>37.00225104597804</v>
      </c>
      <c r="DN1004" s="3" t="n">
        <v>37.71134314959922</v>
      </c>
      <c r="DO1004" s="3" t="n">
        <v>38.19901049809567</v>
      </c>
    </row>
    <row r="1005">
      <c r="A1005" s="19" t="inlineStr">
        <is>
          <t>mit.con.all.die</t>
        </is>
      </c>
      <c r="B1005" s="3" t="inlineStr">
        <is>
          <t>mit</t>
        </is>
      </c>
      <c r="C1005" s="19" t="inlineStr">
        <is>
          <t>mit.con.die.all</t>
        </is>
      </c>
      <c r="H1005" s="3" t="inlineStr">
        <is>
          <t>Energy subsidies: consumption of the line | All sectors | Diesel</t>
        </is>
      </c>
      <c r="I1005" s="3" t="inlineStr">
        <is>
          <t>PJ, GWh</t>
        </is>
      </c>
      <c r="K1005" s="20" t="inlineStr">
        <is>
          <t>egy.mit.con.all.die.1</t>
        </is>
      </c>
      <c r="L1005" s="3" t="n">
        <v>643.3998884485256</v>
      </c>
      <c r="M1005" s="3" t="n">
        <v>674.3982369068628</v>
      </c>
      <c r="N1005" s="3" t="n">
        <v>815.2223916825875</v>
      </c>
      <c r="O1005" s="3" t="n">
        <v>831.4596048284632</v>
      </c>
      <c r="P1005" s="3" t="n">
        <v>847.1246991042771</v>
      </c>
      <c r="Q1005" s="3" t="n">
        <v>865.6735146946091</v>
      </c>
      <c r="R1005" s="3" t="n">
        <v>887.7204125169236</v>
      </c>
      <c r="S1005" s="3" t="n">
        <v>908.5605729238507</v>
      </c>
      <c r="T1005" s="3" t="n">
        <v>927.7684380412365</v>
      </c>
      <c r="U1005" s="3" t="n">
        <v>946.9730970004036</v>
      </c>
      <c r="V1005" s="3" t="n">
        <v>966.2468182462295</v>
      </c>
      <c r="W1005" s="3" t="n">
        <v>985.5832934606191</v>
      </c>
      <c r="X1005" s="3" t="n">
        <v>1004.976259451178</v>
      </c>
      <c r="Y1005" s="3" t="n">
        <v>1024.419495331878</v>
      </c>
      <c r="Z1005" s="3" t="n">
        <v>1043.906819059649</v>
      </c>
      <c r="AA1005" s="3" t="n">
        <v>1063.432083356102</v>
      </c>
      <c r="AB1005" s="3" t="n">
        <v>1082.989171042469</v>
      </c>
      <c r="AC1005" s="3" t="n">
        <v>1102.571989814722</v>
      </c>
      <c r="AD1005" s="3" t="n">
        <v>1122.174466484454</v>
      </c>
      <c r="AE1005" s="3" t="n">
        <v>1141.790540709859</v>
      </c>
      <c r="AG1005" s="20" t="inlineStr">
        <is>
          <t>egy.mit.con.all.die.3</t>
        </is>
      </c>
      <c r="AH1005" s="3" t="n">
        <v>643.3998884485256</v>
      </c>
      <c r="AI1005" s="3" t="n">
        <v>674.3982369068628</v>
      </c>
      <c r="AJ1005" s="3" t="n">
        <v>815.2223916825875</v>
      </c>
      <c r="AK1005" s="3" t="n">
        <v>831.4596048284632</v>
      </c>
      <c r="AL1005" s="3" t="n">
        <v>847.1246991042771</v>
      </c>
      <c r="AM1005" s="3" t="n">
        <v>754.0747915878995</v>
      </c>
      <c r="AN1005" s="3" t="n">
        <v>773.2769532264377</v>
      </c>
      <c r="AO1005" s="3" t="n">
        <v>791.6790190874218</v>
      </c>
      <c r="AP1005" s="3" t="n">
        <v>807.8057463202007</v>
      </c>
      <c r="AQ1005" s="3" t="n">
        <v>824.6108464185727</v>
      </c>
      <c r="AR1005" s="3" t="n">
        <v>841.1277929607719</v>
      </c>
      <c r="AS1005" s="3" t="n">
        <v>858.2633527298696</v>
      </c>
      <c r="AT1005" s="3" t="n">
        <v>875.7236440095658</v>
      </c>
      <c r="AU1005" s="3" t="n">
        <v>893.1026483040157</v>
      </c>
      <c r="AV1005" s="3" t="n">
        <v>910.6422444226937</v>
      </c>
      <c r="AW1005" s="3" t="n">
        <v>928.4977970911719</v>
      </c>
      <c r="AX1005" s="3" t="n">
        <v>946.1286403970257</v>
      </c>
      <c r="AY1005" s="3" t="n">
        <v>963.6456196661303</v>
      </c>
      <c r="AZ1005" s="3" t="n">
        <v>980.8527009381927</v>
      </c>
      <c r="BA1005" s="3" t="n">
        <v>997.9761552682556</v>
      </c>
      <c r="BC1005" s="20" t="inlineStr">
        <is>
          <t>egy.mit.con.all.die.4</t>
        </is>
      </c>
      <c r="BD1005" s="3" t="n">
        <v>643.3998884485256</v>
      </c>
      <c r="BE1005" s="3" t="n">
        <v>674.3982369068628</v>
      </c>
      <c r="BF1005" s="3" t="n">
        <v>815.2223916825875</v>
      </c>
      <c r="BG1005" s="3" t="n">
        <v>831.4596048284632</v>
      </c>
      <c r="BH1005" s="3" t="n">
        <v>847.1246991042771</v>
      </c>
      <c r="BI1005" s="3" t="n">
        <v>791.5907665288295</v>
      </c>
      <c r="BJ1005" s="3" t="n">
        <v>732.4878872467896</v>
      </c>
      <c r="BK1005" s="3" t="n">
        <v>686.2293491053329</v>
      </c>
      <c r="BL1005" s="3" t="n">
        <v>648.0654095614425</v>
      </c>
      <c r="BM1005" s="3" t="n">
        <v>624.4764657597781</v>
      </c>
      <c r="BN1005" s="3" t="n">
        <v>604.3661252432694</v>
      </c>
      <c r="BO1005" s="3" t="n">
        <v>587.2681917947165</v>
      </c>
      <c r="BP1005" s="3" t="n">
        <v>572.7425076972939</v>
      </c>
      <c r="BQ1005" s="3" t="n">
        <v>560.2694450009944</v>
      </c>
      <c r="BR1005" s="3" t="n">
        <v>549.5095695133718</v>
      </c>
      <c r="BS1005" s="3" t="n">
        <v>540.2661245098968</v>
      </c>
      <c r="BT1005" s="3" t="n">
        <v>532.2320033188312</v>
      </c>
      <c r="BU1005" s="3" t="n">
        <v>525.1817671998105</v>
      </c>
      <c r="BV1005" s="3" t="n">
        <v>518.8526878193776</v>
      </c>
      <c r="BW1005" s="3" t="n">
        <v>513.1136892668439</v>
      </c>
      <c r="BY1005" s="20" t="inlineStr">
        <is>
          <t>egy.mit.con.all.die.5</t>
        </is>
      </c>
      <c r="BZ1005" s="3" t="n">
        <v>643.3998884485256</v>
      </c>
      <c r="CA1005" s="3" t="n">
        <v>674.3982369068628</v>
      </c>
      <c r="CB1005" s="3" t="n">
        <v>815.2223916825875</v>
      </c>
      <c r="CC1005" s="3" t="n">
        <v>831.4596048284632</v>
      </c>
      <c r="CD1005" s="3" t="n">
        <v>847.1246991042771</v>
      </c>
      <c r="CE1005" s="3" t="n">
        <v>731.4930391799647</v>
      </c>
      <c r="CF1005" s="3" t="n">
        <v>750.1192720166259</v>
      </c>
      <c r="CG1005" s="3" t="n">
        <v>767.9312849465805</v>
      </c>
      <c r="CH1005" s="3" t="n">
        <v>783.6052182421408</v>
      </c>
      <c r="CI1005" s="3" t="n">
        <v>800.0175828800564</v>
      </c>
      <c r="CJ1005" s="3" t="n">
        <v>816.0074769957081</v>
      </c>
      <c r="CK1005" s="3" t="n">
        <v>832.6657125783005</v>
      </c>
      <c r="CL1005" s="3" t="n">
        <v>849.404040159027</v>
      </c>
      <c r="CM1005" s="3" t="n">
        <v>866.1028960348394</v>
      </c>
      <c r="CN1005" s="3" t="n">
        <v>882.9506087829403</v>
      </c>
      <c r="CO1005" s="3" t="n">
        <v>900.0348530166133</v>
      </c>
      <c r="CP1005" s="3" t="n">
        <v>916.9175561431208</v>
      </c>
      <c r="CQ1005" s="3" t="n">
        <v>933.7731541540145</v>
      </c>
      <c r="CR1005" s="3" t="n">
        <v>950.3937077670178</v>
      </c>
      <c r="CS1005" s="3" t="n">
        <v>967.0539302716016</v>
      </c>
      <c r="CU1005" s="20" t="inlineStr">
        <is>
          <t>egy.mit.con.all.die.6</t>
        </is>
      </c>
      <c r="CV1005" s="3" t="n">
        <v>643.3998884485256</v>
      </c>
      <c r="CW1005" s="3" t="n">
        <v>674.3982369068628</v>
      </c>
      <c r="CX1005" s="3" t="n">
        <v>815.2223916825875</v>
      </c>
      <c r="CY1005" s="3" t="n">
        <v>831.4596048284632</v>
      </c>
      <c r="CZ1005" s="3" t="n">
        <v>847.1246991042771</v>
      </c>
      <c r="DA1005" s="3" t="n">
        <v>639.9406957677548</v>
      </c>
      <c r="DB1005" s="3" t="n">
        <v>656.2339315022056</v>
      </c>
      <c r="DC1005" s="3" t="n">
        <v>672.0935318027394</v>
      </c>
      <c r="DD1005" s="3" t="n">
        <v>685.1701485862145</v>
      </c>
      <c r="DE1005" s="3" t="n">
        <v>699.5561039701749</v>
      </c>
      <c r="DF1005" s="3" t="n">
        <v>713.269840458643</v>
      </c>
      <c r="DG1005" s="3" t="n">
        <v>728.1323406112436</v>
      </c>
      <c r="DH1005" s="3" t="n">
        <v>743.459917827293</v>
      </c>
      <c r="DI1005" s="3" t="n">
        <v>758.6248322658627</v>
      </c>
      <c r="DJ1005" s="3" t="n">
        <v>774.0352386082501</v>
      </c>
      <c r="DK1005" s="3" t="n">
        <v>789.9896073755438</v>
      </c>
      <c r="DL1005" s="3" t="n">
        <v>805.4937398837998</v>
      </c>
      <c r="DM1005" s="3" t="n">
        <v>820.7991694820913</v>
      </c>
      <c r="DN1005" s="3" t="n">
        <v>835.5281979635524</v>
      </c>
      <c r="DO1005" s="3" t="n">
        <v>850.1152755424442</v>
      </c>
    </row>
    <row r="1006">
      <c r="A1006" s="19" t="inlineStr">
        <is>
          <t>mit.expsub.con.all.die</t>
        </is>
      </c>
      <c r="B1006" s="3" t="inlineStr">
        <is>
          <t>mit</t>
        </is>
      </c>
      <c r="C1006" s="19" t="inlineStr">
        <is>
          <t>mit.expsub.con.die.all</t>
        </is>
      </c>
      <c r="H1006" s="3" t="inlineStr">
        <is>
          <t>Explicit consumer subsidy | All sectors | Diesel</t>
        </is>
      </c>
      <c r="I1006" s="3" t="inlineStr">
        <is>
          <t>USD bn real</t>
        </is>
      </c>
      <c r="K1006" s="20" t="inlineStr">
        <is>
          <t>egy.mit.expsub.con.all.die.1</t>
        </is>
      </c>
      <c r="L1006" s="3" t="n">
        <v>11.27846375520808</v>
      </c>
      <c r="M1006" s="3" t="n">
        <v>10.35711140304578</v>
      </c>
      <c r="N1006" s="3" t="n">
        <v>11.56433429502083</v>
      </c>
      <c r="O1006" s="3" t="n">
        <v>9.388809278952118</v>
      </c>
      <c r="P1006" s="3" t="n">
        <v>11.2692745173895</v>
      </c>
      <c r="Q1006" s="3" t="n">
        <v>9.710858069110412</v>
      </c>
      <c r="R1006" s="3" t="n">
        <v>9.448893459128309</v>
      </c>
      <c r="S1006" s="3" t="n">
        <v>9.407970966894529</v>
      </c>
      <c r="T1006" s="3" t="n">
        <v>9.372234901990781</v>
      </c>
      <c r="U1006" s="3" t="n">
        <v>9.306058515056339</v>
      </c>
      <c r="V1006" s="3" t="n">
        <v>9.495464505875592</v>
      </c>
      <c r="W1006" s="3" t="n">
        <v>9.685487190141954</v>
      </c>
      <c r="X1006" s="3" t="n">
        <v>9.87606501844594</v>
      </c>
      <c r="Y1006" s="3" t="n">
        <v>10.06713685712961</v>
      </c>
      <c r="Z1006" s="3" t="n">
        <v>10.25864195425109</v>
      </c>
      <c r="AA1006" s="3" t="n">
        <v>10.45051989950665</v>
      </c>
      <c r="AB1006" s="3" t="n">
        <v>10.64271057838645</v>
      </c>
      <c r="AC1006" s="3" t="n">
        <v>10.83515412082877</v>
      </c>
      <c r="AD1006" s="3" t="n">
        <v>11.02779084462418</v>
      </c>
      <c r="AE1006" s="3" t="n">
        <v>11.2205611938089</v>
      </c>
      <c r="AG1006" s="20" t="inlineStr">
        <is>
          <t>egy.mit.expsub.con.all.die.3</t>
        </is>
      </c>
      <c r="AH1006" s="3" t="n">
        <v>11.27846375520808</v>
      </c>
      <c r="AI1006" s="3" t="n">
        <v>10.35711140304578</v>
      </c>
      <c r="AJ1006" s="3" t="n">
        <v>11.56433429502083</v>
      </c>
      <c r="AK1006" s="3" t="n">
        <v>9.388809278952118</v>
      </c>
      <c r="AL1006" s="3" t="n">
        <v>11.2692745173895</v>
      </c>
      <c r="AM1006" s="3" t="n">
        <v>7.388383246713628</v>
      </c>
      <c r="AN1006" s="3" t="n">
        <v>7.132900008909565</v>
      </c>
      <c r="AO1006" s="3" t="n">
        <v>7.073698948031679</v>
      </c>
      <c r="AP1006" s="3" t="n">
        <v>7.013495601320182</v>
      </c>
      <c r="AQ1006" s="3" t="n">
        <v>6.932834181248505</v>
      </c>
      <c r="AR1006" s="3" t="n">
        <v>7.071693286341049</v>
      </c>
      <c r="AS1006" s="3" t="n">
        <v>7.215753408051941</v>
      </c>
      <c r="AT1006" s="3" t="n">
        <v>7.36254343249709</v>
      </c>
      <c r="AU1006" s="3" t="n">
        <v>7.50864935484919</v>
      </c>
      <c r="AV1006" s="3" t="n">
        <v>7.656104995970813</v>
      </c>
      <c r="AW1006" s="3" t="n">
        <v>7.806216721256376</v>
      </c>
      <c r="AX1006" s="3" t="n">
        <v>7.954438359059128</v>
      </c>
      <c r="AY1006" s="3" t="n">
        <v>8.101701942514714</v>
      </c>
      <c r="AZ1006" s="3" t="n">
        <v>8.246359130512479</v>
      </c>
      <c r="BA1006" s="3" t="n">
        <v>8.390312505582624</v>
      </c>
      <c r="BC1006" s="20" t="inlineStr">
        <is>
          <t>egy.mit.expsub.con.all.die.4</t>
        </is>
      </c>
      <c r="BD1006" s="3" t="n">
        <v>11.27846375520808</v>
      </c>
      <c r="BE1006" s="3" t="n">
        <v>10.35711140304578</v>
      </c>
      <c r="BF1006" s="3" t="n">
        <v>11.56433429502083</v>
      </c>
      <c r="BG1006" s="3" t="n">
        <v>9.388809278952118</v>
      </c>
      <c r="BH1006" s="3" t="n">
        <v>11.2692745173895</v>
      </c>
      <c r="BI1006" s="3" t="n">
        <v>8.317744437500414</v>
      </c>
      <c r="BJ1006" s="3" t="n">
        <v>6.583315101447337</v>
      </c>
      <c r="BK1006" s="3" t="n">
        <v>5.319996734184932</v>
      </c>
      <c r="BL1006" s="3" t="n">
        <v>4.247447566287858</v>
      </c>
      <c r="BM1006" s="3" t="n">
        <v>3.331041038428427</v>
      </c>
      <c r="BN1006" s="3" t="n">
        <v>2.652717561576607</v>
      </c>
      <c r="BO1006" s="3" t="n">
        <v>2.02291666203561</v>
      </c>
      <c r="BP1006" s="3" t="n">
        <v>1.431971574435532</v>
      </c>
      <c r="BQ1006" s="3" t="n">
        <v>0.8717622654269345</v>
      </c>
      <c r="BR1006" s="3" t="n">
        <v>0.3362480975861729</v>
      </c>
      <c r="BS1006" s="3" t="n">
        <v>0</v>
      </c>
      <c r="BT1006" s="3" t="n">
        <v>0</v>
      </c>
      <c r="BU1006" s="3" t="n">
        <v>0</v>
      </c>
      <c r="BV1006" s="3" t="n">
        <v>0</v>
      </c>
      <c r="BW1006" s="3" t="n">
        <v>0</v>
      </c>
      <c r="BY1006" s="20" t="inlineStr">
        <is>
          <t>egy.mit.expsub.con.all.die.5</t>
        </is>
      </c>
      <c r="BZ1006" s="3" t="n">
        <v>11.27846375520808</v>
      </c>
      <c r="CA1006" s="3" t="n">
        <v>10.35711140304578</v>
      </c>
      <c r="CB1006" s="3" t="n">
        <v>11.56433429502083</v>
      </c>
      <c r="CC1006" s="3" t="n">
        <v>9.388809278952118</v>
      </c>
      <c r="CD1006" s="3" t="n">
        <v>11.2692745173895</v>
      </c>
      <c r="CE1006" s="3" t="n">
        <v>6.907627590511486</v>
      </c>
      <c r="CF1006" s="3" t="n">
        <v>6.653178984623337</v>
      </c>
      <c r="CG1006" s="3" t="n">
        <v>6.58908332820909</v>
      </c>
      <c r="CH1006" s="3" t="n">
        <v>6.525393084067932</v>
      </c>
      <c r="CI1006" s="3" t="n">
        <v>6.442255633432356</v>
      </c>
      <c r="CJ1006" s="3" t="n">
        <v>6.571009875590672</v>
      </c>
      <c r="CK1006" s="3" t="n">
        <v>6.705146228790501</v>
      </c>
      <c r="CL1006" s="3" t="n">
        <v>6.839926926947117</v>
      </c>
      <c r="CM1006" s="3" t="n">
        <v>6.974388997646431</v>
      </c>
      <c r="CN1006" s="3" t="n">
        <v>7.110049221718185</v>
      </c>
      <c r="CO1006" s="3" t="n">
        <v>7.247613712596998</v>
      </c>
      <c r="CP1006" s="3" t="n">
        <v>7.383554248003114</v>
      </c>
      <c r="CQ1006" s="3" t="n">
        <v>7.519275718996694</v>
      </c>
      <c r="CR1006" s="3" t="n">
        <v>7.653103393449151</v>
      </c>
      <c r="CS1006" s="3" t="n">
        <v>7.787249784707503</v>
      </c>
      <c r="CU1006" s="20" t="inlineStr">
        <is>
          <t>egy.mit.expsub.con.all.die.6</t>
        </is>
      </c>
      <c r="CV1006" s="3" t="n">
        <v>11.27846375520808</v>
      </c>
      <c r="CW1006" s="3" t="n">
        <v>10.35711140304578</v>
      </c>
      <c r="CX1006" s="3" t="n">
        <v>11.56433429502083</v>
      </c>
      <c r="CY1006" s="3" t="n">
        <v>9.388809278952118</v>
      </c>
      <c r="CZ1006" s="3" t="n">
        <v>11.2692745173895</v>
      </c>
      <c r="DA1006" s="3" t="n">
        <v>4.908518724356108</v>
      </c>
      <c r="DB1006" s="3" t="n">
        <v>4.657013566747655</v>
      </c>
      <c r="DC1006" s="3" t="n">
        <v>4.575197376396781</v>
      </c>
      <c r="DD1006" s="3" t="n">
        <v>4.490925697949585</v>
      </c>
      <c r="DE1006" s="3" t="n">
        <v>4.393006215453078</v>
      </c>
      <c r="DF1006" s="3" t="n">
        <v>4.479112474811763</v>
      </c>
      <c r="DG1006" s="3" t="n">
        <v>4.572434424784221</v>
      </c>
      <c r="DH1006" s="3" t="n">
        <v>4.668676898475611</v>
      </c>
      <c r="DI1006" s="3" t="n">
        <v>4.763896236798027</v>
      </c>
      <c r="DJ1006" s="3" t="n">
        <v>4.86065655594626</v>
      </c>
      <c r="DK1006" s="3" t="n">
        <v>4.960832888391069</v>
      </c>
      <c r="DL1006" s="3" t="n">
        <v>5.058179423800715</v>
      </c>
      <c r="DM1006" s="3" t="n">
        <v>5.154276348790258</v>
      </c>
      <c r="DN1006" s="3" t="n">
        <v>5.246750891194422</v>
      </c>
      <c r="DO1006" s="3" t="n">
        <v>5.338332355273024</v>
      </c>
    </row>
    <row r="1007">
      <c r="A1007" s="19" t="inlineStr">
        <is>
          <t>mit.impsub.con.all.die</t>
        </is>
      </c>
      <c r="B1007" s="3" t="inlineStr">
        <is>
          <t>mit</t>
        </is>
      </c>
      <c r="C1007" s="19" t="inlineStr">
        <is>
          <t>mit.impsub.con.die.all</t>
        </is>
      </c>
      <c r="H1007" s="3" t="inlineStr">
        <is>
          <t>Implicit consumer subsidy | All sectors | Diesel</t>
        </is>
      </c>
      <c r="I1007" s="3" t="inlineStr">
        <is>
          <t>USD bn real</t>
        </is>
      </c>
      <c r="K1007" s="20" t="inlineStr">
        <is>
          <t>egy.mit.impsub.con.all.die.1</t>
        </is>
      </c>
      <c r="L1007" s="3" t="n">
        <v>8.460138738152922</v>
      </c>
      <c r="M1007" s="3" t="n">
        <v>8.782180632544529</v>
      </c>
      <c r="N1007" s="3" t="n">
        <v>10.43648900206883</v>
      </c>
      <c r="O1007" s="3" t="n">
        <v>9.732064300815241</v>
      </c>
      <c r="P1007" s="3" t="n">
        <v>10.47069133801624</v>
      </c>
      <c r="Q1007" s="3" t="n">
        <v>11.00718358325443</v>
      </c>
      <c r="R1007" s="3" t="n">
        <v>11.81105337323584</v>
      </c>
      <c r="S1007" s="3" t="n">
        <v>12.61761408691195</v>
      </c>
      <c r="T1007" s="3" t="n">
        <v>13.41295301013696</v>
      </c>
      <c r="U1007" s="3" t="n">
        <v>14.04315521036977</v>
      </c>
      <c r="V1007" s="3" t="n">
        <v>14.8033217540533</v>
      </c>
      <c r="W1007" s="3" t="n">
        <v>15.60247136064206</v>
      </c>
      <c r="X1007" s="3" t="n">
        <v>16.44226261677034</v>
      </c>
      <c r="Y1007" s="3" t="n">
        <v>17.32408977464605</v>
      </c>
      <c r="Z1007" s="3" t="n">
        <v>18.24924667307623</v>
      </c>
      <c r="AA1007" s="3" t="n">
        <v>19.21998288505845</v>
      </c>
      <c r="AB1007" s="3" t="n">
        <v>20.23802264338152</v>
      </c>
      <c r="AC1007" s="3" t="n">
        <v>21.30512718857542</v>
      </c>
      <c r="AD1007" s="3" t="n">
        <v>22.4230442375675</v>
      </c>
      <c r="AE1007" s="3" t="n">
        <v>23.31054291686122</v>
      </c>
      <c r="AG1007" s="20" t="inlineStr">
        <is>
          <t>egy.mit.impsub.con.all.die.3</t>
        </is>
      </c>
      <c r="AH1007" s="3" t="n">
        <v>8.460138738152922</v>
      </c>
      <c r="AI1007" s="3" t="n">
        <v>8.782180632544529</v>
      </c>
      <c r="AJ1007" s="3" t="n">
        <v>10.43648900206883</v>
      </c>
      <c r="AK1007" s="3" t="n">
        <v>9.732064300815241</v>
      </c>
      <c r="AL1007" s="3" t="n">
        <v>10.47069133802013</v>
      </c>
      <c r="AM1007" s="3" t="n">
        <v>9.704761386332182</v>
      </c>
      <c r="AN1007" s="3" t="n">
        <v>10.42978618986249</v>
      </c>
      <c r="AO1007" s="3" t="n">
        <v>11.16068074313582</v>
      </c>
      <c r="AP1007" s="3" t="n">
        <v>11.86920448859956</v>
      </c>
      <c r="AQ1007" s="3" t="n">
        <v>12.44411363544453</v>
      </c>
      <c r="AR1007" s="3" t="n">
        <v>13.12663561317057</v>
      </c>
      <c r="AS1007" s="3" t="n">
        <v>13.85212624888482</v>
      </c>
      <c r="AT1007" s="3" t="n">
        <v>14.61827568309848</v>
      </c>
      <c r="AU1007" s="3" t="n">
        <v>15.41981646070837</v>
      </c>
      <c r="AV1007" s="3" t="n">
        <v>16.26215353337796</v>
      </c>
      <c r="AW1007" s="3" t="n">
        <v>17.15057610348175</v>
      </c>
      <c r="AX1007" s="3" t="n">
        <v>18.07697864354309</v>
      </c>
      <c r="AY1007" s="3" t="n">
        <v>19.04480051809602</v>
      </c>
      <c r="AZ1007" s="3" t="n">
        <v>20.05145368273527</v>
      </c>
      <c r="BA1007" s="3" t="n">
        <v>20.85706453133787</v>
      </c>
      <c r="BC1007" s="20" t="inlineStr">
        <is>
          <t>egy.mit.impsub.con.all.die.4</t>
        </is>
      </c>
      <c r="BD1007" s="3" t="n">
        <v>8.460138738152922</v>
      </c>
      <c r="BE1007" s="3" t="n">
        <v>8.782180632544529</v>
      </c>
      <c r="BF1007" s="3" t="n">
        <v>10.43648900206883</v>
      </c>
      <c r="BG1007" s="3" t="n">
        <v>9.732064300815241</v>
      </c>
      <c r="BH1007" s="3" t="n">
        <v>10.47069133802922</v>
      </c>
      <c r="BI1007" s="3" t="n">
        <v>10.13548329457781</v>
      </c>
      <c r="BJ1007" s="3" t="n">
        <v>9.899444479005599</v>
      </c>
      <c r="BK1007" s="3" t="n">
        <v>9.76222563387312</v>
      </c>
      <c r="BL1007" s="3" t="n">
        <v>9.677279944841125</v>
      </c>
      <c r="BM1007" s="3" t="n">
        <v>9.64197224368394</v>
      </c>
      <c r="BN1007" s="3" t="n">
        <v>9.716918885787193</v>
      </c>
      <c r="BO1007" s="3" t="n">
        <v>9.834592287355928</v>
      </c>
      <c r="BP1007" s="3" t="n">
        <v>9.992435277320221</v>
      </c>
      <c r="BQ1007" s="3" t="n">
        <v>10.18509710056107</v>
      </c>
      <c r="BR1007" s="3" t="n">
        <v>10.40953006746515</v>
      </c>
      <c r="BS1007" s="3" t="n">
        <v>10.48605365187894</v>
      </c>
      <c r="BT1007" s="3" t="n">
        <v>10.27050892748661</v>
      </c>
      <c r="BU1007" s="3" t="n">
        <v>10.09386360126976</v>
      </c>
      <c r="BV1007" s="3" t="n">
        <v>9.950410686869938</v>
      </c>
      <c r="BW1007" s="3" t="n">
        <v>9.71356717171691</v>
      </c>
      <c r="BY1007" s="20" t="inlineStr">
        <is>
          <t>egy.mit.impsub.con.all.die.5</t>
        </is>
      </c>
      <c r="BZ1007" s="3" t="n">
        <v>8.460138738152922</v>
      </c>
      <c r="CA1007" s="3" t="n">
        <v>8.782180632544529</v>
      </c>
      <c r="CB1007" s="3" t="n">
        <v>10.43648900206883</v>
      </c>
      <c r="CC1007" s="3" t="n">
        <v>9.732064300815241</v>
      </c>
      <c r="CD1007" s="3" t="n">
        <v>10.47069133803854</v>
      </c>
      <c r="CE1007" s="3" t="n">
        <v>9.438923706123836</v>
      </c>
      <c r="CF1007" s="3" t="n">
        <v>10.14802168147878</v>
      </c>
      <c r="CG1007" s="3" t="n">
        <v>10.86226160615968</v>
      </c>
      <c r="CH1007" s="3" t="n">
        <v>11.55568241447352</v>
      </c>
      <c r="CI1007" s="3" t="n">
        <v>12.12084680760105</v>
      </c>
      <c r="CJ1007" s="3" t="n">
        <v>12.78820879561656</v>
      </c>
      <c r="CK1007" s="3" t="n">
        <v>13.49840854566563</v>
      </c>
      <c r="CL1007" s="3" t="n">
        <v>14.24425681558033</v>
      </c>
      <c r="CM1007" s="3" t="n">
        <v>15.02497688401832</v>
      </c>
      <c r="CN1007" s="3" t="n">
        <v>15.84506088936545</v>
      </c>
      <c r="CO1007" s="3" t="n">
        <v>16.70848268935899</v>
      </c>
      <c r="CP1007" s="3" t="n">
        <v>17.60886901679109</v>
      </c>
      <c r="CQ1007" s="3" t="n">
        <v>18.55092076891714</v>
      </c>
      <c r="CR1007" s="3" t="n">
        <v>19.53190521373579</v>
      </c>
      <c r="CS1007" s="3" t="n">
        <v>20.32106095511448</v>
      </c>
      <c r="CU1007" s="20" t="inlineStr">
        <is>
          <t>egy.mit.impsub.con.all.die.6</t>
        </is>
      </c>
      <c r="CV1007" s="3" t="n">
        <v>8.460138738152922</v>
      </c>
      <c r="CW1007" s="3" t="n">
        <v>8.782180632544529</v>
      </c>
      <c r="CX1007" s="3" t="n">
        <v>10.43648900206883</v>
      </c>
      <c r="CY1007" s="3" t="n">
        <v>9.732064300815241</v>
      </c>
      <c r="CZ1007" s="3" t="n">
        <v>10.47069133802534</v>
      </c>
      <c r="DA1007" s="3" t="n">
        <v>8.352135523330849</v>
      </c>
      <c r="DB1007" s="3" t="n">
        <v>8.996750903972835</v>
      </c>
      <c r="DC1007" s="3" t="n">
        <v>9.649870263055783</v>
      </c>
      <c r="DD1007" s="3" t="n">
        <v>10.27098016884278</v>
      </c>
      <c r="DE1007" s="3" t="n">
        <v>10.78993073360672</v>
      </c>
      <c r="DF1007" s="3" t="n">
        <v>11.39320235006199</v>
      </c>
      <c r="DG1007" s="3" t="n">
        <v>12.04329149741876</v>
      </c>
      <c r="DH1007" s="3" t="n">
        <v>12.73202584549528</v>
      </c>
      <c r="DI1007" s="3" t="n">
        <v>13.45009452683511</v>
      </c>
      <c r="DJ1007" s="3" t="n">
        <v>14.20578888499132</v>
      </c>
      <c r="DK1007" s="3" t="n">
        <v>15.00719191865325</v>
      </c>
      <c r="DL1007" s="3" t="n">
        <v>15.83733816413777</v>
      </c>
      <c r="DM1007" s="3" t="n">
        <v>16.70194927572609</v>
      </c>
      <c r="DN1007" s="3" t="n">
        <v>17.59412787663499</v>
      </c>
      <c r="DO1007" s="3" t="n">
        <v>18.31586860022965</v>
      </c>
    </row>
    <row r="1008">
      <c r="A1008" s="14" t="n"/>
      <c r="B1008" s="3" t="inlineStr">
        <is>
          <t>mit</t>
        </is>
      </c>
      <c r="C1008" s="19" t="inlineStr">
        <is>
          <t>mit.vatrate.all.lpg.a</t>
        </is>
      </c>
      <c r="H1008" s="14" t="inlineStr">
        <is>
          <t>LPG - VAT rate</t>
        </is>
      </c>
      <c r="I1008" s="14" t="inlineStr"/>
    </row>
    <row r="1009">
      <c r="A1009" s="14" t="n"/>
      <c r="B1009" s="3" t="inlineStr">
        <is>
          <t>mit</t>
        </is>
      </c>
      <c r="C1009" s="19" t="inlineStr">
        <is>
          <t>mit.rescon.lpg.all</t>
        </is>
      </c>
      <c r="H1009" s="14" t="inlineStr">
        <is>
          <t>LPG - portion used for residential consumption</t>
        </is>
      </c>
      <c r="I1009" s="14" t="inlineStr"/>
    </row>
    <row r="1010">
      <c r="A1010" s="19" t="inlineStr">
        <is>
          <t>mit.effprice.all.lpg</t>
        </is>
      </c>
      <c r="B1010" s="3" t="inlineStr">
        <is>
          <t>mit</t>
        </is>
      </c>
      <c r="C1010" s="19" t="inlineStr">
        <is>
          <t>mit.effprice.lpg.all</t>
        </is>
      </c>
      <c r="H1010" s="3" t="inlineStr">
        <is>
          <t>Energy subsidies: efficient price | All sectors | LPG</t>
        </is>
      </c>
      <c r="I1010" s="3" t="inlineStr">
        <is>
          <t>USD/GJ, USD/kWh</t>
        </is>
      </c>
      <c r="K1010" s="20" t="inlineStr">
        <is>
          <t>egy.mit.effprice.all.lpg.1</t>
        </is>
      </c>
      <c r="L1010" s="3" t="n">
        <v>33.29436384001588</v>
      </c>
      <c r="M1010" s="3" t="n">
        <v>29.82697063542455</v>
      </c>
      <c r="N1010" s="3" t="n">
        <v>28.98210440835564</v>
      </c>
      <c r="O1010" s="3" t="n">
        <v>26.11775857571154</v>
      </c>
      <c r="P1010" s="3" t="n">
        <v>28.41950107190168</v>
      </c>
      <c r="Q1010" s="3" t="n">
        <v>26.44884939784217</v>
      </c>
      <c r="R1010" s="3" t="n">
        <v>26.06822977608498</v>
      </c>
      <c r="S1010" s="3" t="n">
        <v>25.99229382929262</v>
      </c>
      <c r="T1010" s="3" t="n">
        <v>25.96235669477213</v>
      </c>
      <c r="U1010" s="3" t="n">
        <v>25.91342812122515</v>
      </c>
      <c r="V1010" s="3" t="n">
        <v>26.16313324206763</v>
      </c>
      <c r="W1010" s="3" t="n">
        <v>26.42280499987353</v>
      </c>
      <c r="X1010" s="3" t="n">
        <v>26.69283381309391</v>
      </c>
      <c r="Y1010" s="3" t="n">
        <v>26.97363071225807</v>
      </c>
      <c r="Z1010" s="3" t="n">
        <v>27.26561533456453</v>
      </c>
      <c r="AA1010" s="3" t="n">
        <v>27.56923645872847</v>
      </c>
      <c r="AB1010" s="3" t="n">
        <v>27.88493909389492</v>
      </c>
      <c r="AC1010" s="3" t="n">
        <v>28.21319570956568</v>
      </c>
      <c r="AD1010" s="3" t="n">
        <v>28.55449679905561</v>
      </c>
      <c r="AE1010" s="3" t="n">
        <v>28.90232940857299</v>
      </c>
      <c r="AG1010" s="20" t="inlineStr">
        <is>
          <t>egy.mit.effprice.all.lpg.3</t>
        </is>
      </c>
      <c r="AH1010" s="3" t="n">
        <v>33.29436384001588</v>
      </c>
      <c r="AI1010" s="3" t="n">
        <v>29.82697063542455</v>
      </c>
      <c r="AJ1010" s="3" t="n">
        <v>28.98210440835564</v>
      </c>
      <c r="AK1010" s="3" t="n">
        <v>26.11775857571154</v>
      </c>
      <c r="AL1010" s="3" t="n">
        <v>28.41950107190168</v>
      </c>
      <c r="AM1010" s="3" t="n">
        <v>26.44827076110342</v>
      </c>
      <c r="AN1010" s="3" t="n">
        <v>26.06759658353793</v>
      </c>
      <c r="AO1010" s="3" t="n">
        <v>25.99161570687798</v>
      </c>
      <c r="AP1010" s="3" t="n">
        <v>25.96161417828417</v>
      </c>
      <c r="AQ1010" s="3" t="n">
        <v>25.91267179291339</v>
      </c>
      <c r="AR1010" s="3" t="n">
        <v>26.16233713285127</v>
      </c>
      <c r="AS1010" s="3" t="n">
        <v>26.42198432911285</v>
      </c>
      <c r="AT1010" s="3" t="n">
        <v>26.69199628785069</v>
      </c>
      <c r="AU1010" s="3" t="n">
        <v>26.9727723504606</v>
      </c>
      <c r="AV1010" s="3" t="n">
        <v>27.26473965996088</v>
      </c>
      <c r="AW1010" s="3" t="n">
        <v>27.56835232131212</v>
      </c>
      <c r="AX1010" s="3" t="n">
        <v>27.88403862136262</v>
      </c>
      <c r="AY1010" s="3" t="n">
        <v>28.2122744167034</v>
      </c>
      <c r="AZ1010" s="3" t="n">
        <v>28.55354351708477</v>
      </c>
      <c r="BA1010" s="3" t="n">
        <v>28.90137640330406</v>
      </c>
      <c r="BC1010" s="20" t="inlineStr">
        <is>
          <t>egy.mit.effprice.all.lpg.4</t>
        </is>
      </c>
      <c r="BD1010" s="3" t="n">
        <v>33.29436384001588</v>
      </c>
      <c r="BE1010" s="3" t="n">
        <v>29.82697063542455</v>
      </c>
      <c r="BF1010" s="3" t="n">
        <v>28.98210440835564</v>
      </c>
      <c r="BG1010" s="3" t="n">
        <v>26.11775857571154</v>
      </c>
      <c r="BH1010" s="3" t="n">
        <v>28.41950107190168</v>
      </c>
      <c r="BI1010" s="3" t="n">
        <v>26.44798473999727</v>
      </c>
      <c r="BJ1010" s="3" t="n">
        <v>26.06635853680453</v>
      </c>
      <c r="BK1010" s="3" t="n">
        <v>25.98952049720416</v>
      </c>
      <c r="BL1010" s="3" t="n">
        <v>25.95874258132118</v>
      </c>
      <c r="BM1010" s="3" t="n">
        <v>25.90964150438174</v>
      </c>
      <c r="BN1010" s="3" t="n">
        <v>26.15907608230084</v>
      </c>
      <c r="BO1010" s="3" t="n">
        <v>26.41846586194202</v>
      </c>
      <c r="BP1010" s="3" t="n">
        <v>26.6882088607743</v>
      </c>
      <c r="BQ1010" s="3" t="n">
        <v>26.96871421241223</v>
      </c>
      <c r="BR1010" s="3" t="n">
        <v>27.26040278320203</v>
      </c>
      <c r="BS1010" s="3" t="n">
        <v>27.56372775064687</v>
      </c>
      <c r="BT1010" s="3" t="n">
        <v>27.87913068958028</v>
      </c>
      <c r="BU1010" s="3" t="n">
        <v>28.20708158495993</v>
      </c>
      <c r="BV1010" s="3" t="n">
        <v>28.54806350554282</v>
      </c>
      <c r="BW1010" s="3" t="n">
        <v>28.89580844178878</v>
      </c>
      <c r="BY1010" s="20" t="inlineStr">
        <is>
          <t>egy.mit.effprice.all.lpg.5</t>
        </is>
      </c>
      <c r="BZ1010" s="3" t="n">
        <v>33.29436384001588</v>
      </c>
      <c r="CA1010" s="3" t="n">
        <v>29.82697063542455</v>
      </c>
      <c r="CB1010" s="3" t="n">
        <v>28.98210440835564</v>
      </c>
      <c r="CC1010" s="3" t="n">
        <v>26.11775857571154</v>
      </c>
      <c r="CD1010" s="3" t="n">
        <v>28.41950107190168</v>
      </c>
      <c r="CE1010" s="3" t="n">
        <v>26.44814910074863</v>
      </c>
      <c r="CF1010" s="3" t="n">
        <v>26.06746343206749</v>
      </c>
      <c r="CG1010" s="3" t="n">
        <v>25.99147063207089</v>
      </c>
      <c r="CH1010" s="3" t="n">
        <v>25.96145987006329</v>
      </c>
      <c r="CI1010" s="3" t="n">
        <v>25.91251730476122</v>
      </c>
      <c r="CJ1010" s="3" t="n">
        <v>26.16217506708544</v>
      </c>
      <c r="CK1010" s="3" t="n">
        <v>26.42181648297277</v>
      </c>
      <c r="CL1010" s="3" t="n">
        <v>26.69181528904488</v>
      </c>
      <c r="CM1010" s="3" t="n">
        <v>26.97257898562788</v>
      </c>
      <c r="CN1010" s="3" t="n">
        <v>27.26453330446168</v>
      </c>
      <c r="CO1010" s="3" t="n">
        <v>27.56813025806724</v>
      </c>
      <c r="CP1010" s="3" t="n">
        <v>27.88380090638315</v>
      </c>
      <c r="CQ1010" s="3" t="n">
        <v>28.21202342359268</v>
      </c>
      <c r="CR1010" s="3" t="n">
        <v>28.55328117933762</v>
      </c>
      <c r="CS1010" s="3" t="n">
        <v>28.90111660028775</v>
      </c>
      <c r="CU1010" s="20" t="inlineStr">
        <is>
          <t>egy.mit.effprice.all.lpg.6</t>
        </is>
      </c>
      <c r="CV1010" s="3" t="n">
        <v>33.29436384001588</v>
      </c>
      <c r="CW1010" s="3" t="n">
        <v>29.82697063542455</v>
      </c>
      <c r="CX1010" s="3" t="n">
        <v>28.98210440835564</v>
      </c>
      <c r="CY1010" s="3" t="n">
        <v>26.11775857571154</v>
      </c>
      <c r="CZ1010" s="3" t="n">
        <v>28.41950107190168</v>
      </c>
      <c r="DA1010" s="3" t="n">
        <v>26.447632692902</v>
      </c>
      <c r="DB1010" s="3" t="n">
        <v>26.06689825172095</v>
      </c>
      <c r="DC1010" s="3" t="n">
        <v>25.99086794410627</v>
      </c>
      <c r="DD1010" s="3" t="n">
        <v>25.96079417943417</v>
      </c>
      <c r="DE1010" s="3" t="n">
        <v>25.91183818739218</v>
      </c>
      <c r="DF1010" s="3" t="n">
        <v>26.16145806762438</v>
      </c>
      <c r="DG1010" s="3" t="n">
        <v>26.42107957696869</v>
      </c>
      <c r="DH1010" s="3" t="n">
        <v>26.69107189911468</v>
      </c>
      <c r="DI1010" s="3" t="n">
        <v>26.971824769938</v>
      </c>
      <c r="DJ1010" s="3" t="n">
        <v>27.2637725082897</v>
      </c>
      <c r="DK1010" s="3" t="n">
        <v>27.56737557311676</v>
      </c>
      <c r="DL1010" s="3" t="n">
        <v>27.88304283018213</v>
      </c>
      <c r="DM1010" s="3" t="n">
        <v>28.21125566100091</v>
      </c>
      <c r="DN1010" s="3" t="n">
        <v>28.55248941776482</v>
      </c>
      <c r="DO1010" s="3" t="n">
        <v>28.90032342925385</v>
      </c>
    </row>
    <row r="1011">
      <c r="A1011" s="19" t="inlineStr">
        <is>
          <t>mit.con.all.lpg</t>
        </is>
      </c>
      <c r="B1011" s="3" t="inlineStr">
        <is>
          <t>mit</t>
        </is>
      </c>
      <c r="C1011" s="19" t="inlineStr">
        <is>
          <t>mit.con.lpg.all</t>
        </is>
      </c>
      <c r="H1011" s="3" t="inlineStr">
        <is>
          <t>Energy subsidies: consumption of the line | All sectors | LPG</t>
        </is>
      </c>
      <c r="I1011" s="3" t="inlineStr">
        <is>
          <t>PJ, GWh</t>
        </is>
      </c>
      <c r="K1011" s="20" t="inlineStr">
        <is>
          <t>egy.mit.con.all.lpg.1</t>
        </is>
      </c>
      <c r="L1011" s="3" t="n">
        <v>220.6315997016229</v>
      </c>
      <c r="M1011" s="3" t="n">
        <v>246.5003536447797</v>
      </c>
      <c r="N1011" s="3" t="n">
        <v>247.6136047021317</v>
      </c>
      <c r="O1011" s="3" t="n">
        <v>253.7050015101117</v>
      </c>
      <c r="P1011" s="3" t="n">
        <v>259.6476803661475</v>
      </c>
      <c r="Q1011" s="3" t="n">
        <v>266.6433317547825</v>
      </c>
      <c r="R1011" s="3" t="n">
        <v>274.9281654651001</v>
      </c>
      <c r="S1011" s="3" t="n">
        <v>282.863640427941</v>
      </c>
      <c r="T1011" s="3" t="n">
        <v>290.289362772742</v>
      </c>
      <c r="U1011" s="3" t="n">
        <v>297.778180025235</v>
      </c>
      <c r="V1011" s="3" t="n">
        <v>305.3564364029975</v>
      </c>
      <c r="W1011" s="3" t="n">
        <v>313.0226108697924</v>
      </c>
      <c r="X1011" s="3" t="n">
        <v>320.7751432825829</v>
      </c>
      <c r="Y1011" s="3" t="n">
        <v>328.6124333555903</v>
      </c>
      <c r="Z1011" s="3" t="n">
        <v>336.5328393646378</v>
      </c>
      <c r="AA1011" s="3" t="n">
        <v>344.5346765906766</v>
      </c>
      <c r="AB1011" s="3" t="n">
        <v>352.6162155015271</v>
      </c>
      <c r="AC1011" s="3" t="n">
        <v>360.7756796709767</v>
      </c>
      <c r="AD1011" s="3" t="n">
        <v>369.0112434344127</v>
      </c>
      <c r="AE1011" s="3" t="n">
        <v>377.3210292802038</v>
      </c>
      <c r="AG1011" s="20" t="inlineStr">
        <is>
          <t>egy.mit.con.all.lpg.3</t>
        </is>
      </c>
      <c r="AH1011" s="3" t="n">
        <v>220.6315997016229</v>
      </c>
      <c r="AI1011" s="3" t="n">
        <v>246.5003536447797</v>
      </c>
      <c r="AJ1011" s="3" t="n">
        <v>247.6136047021317</v>
      </c>
      <c r="AK1011" s="3" t="n">
        <v>253.7050015101117</v>
      </c>
      <c r="AL1011" s="3" t="n">
        <v>259.6476803661475</v>
      </c>
      <c r="AM1011" s="3" t="n">
        <v>223.7073944895587</v>
      </c>
      <c r="AN1011" s="3" t="n">
        <v>230.64179886638</v>
      </c>
      <c r="AO1011" s="3" t="n">
        <v>237.370622352067</v>
      </c>
      <c r="AP1011" s="3" t="n">
        <v>243.3854971958524</v>
      </c>
      <c r="AQ1011" s="3" t="n">
        <v>249.6846414199406</v>
      </c>
      <c r="AR1011" s="3" t="n">
        <v>255.9391004685514</v>
      </c>
      <c r="AS1011" s="3" t="n">
        <v>262.4624060347942</v>
      </c>
      <c r="AT1011" s="3" t="n">
        <v>269.1562442312899</v>
      </c>
      <c r="AU1011" s="3" t="n">
        <v>275.88009992573</v>
      </c>
      <c r="AV1011" s="3" t="n">
        <v>282.71947035379</v>
      </c>
      <c r="AW1011" s="3" t="n">
        <v>289.7312464638992</v>
      </c>
      <c r="AX1011" s="3" t="n">
        <v>296.7236143563918</v>
      </c>
      <c r="AY1011" s="3" t="n">
        <v>303.7353657739944</v>
      </c>
      <c r="AZ1011" s="3" t="n">
        <v>310.6945832999764</v>
      </c>
      <c r="BA1011" s="3" t="n">
        <v>317.6822956697853</v>
      </c>
      <c r="BC1011" s="20" t="inlineStr">
        <is>
          <t>egy.mit.con.all.lpg.4</t>
        </is>
      </c>
      <c r="BD1011" s="3" t="n">
        <v>220.6315997016229</v>
      </c>
      <c r="BE1011" s="3" t="n">
        <v>246.5003536447797</v>
      </c>
      <c r="BF1011" s="3" t="n">
        <v>247.6136047021317</v>
      </c>
      <c r="BG1011" s="3" t="n">
        <v>253.7050015101117</v>
      </c>
      <c r="BH1011" s="3" t="n">
        <v>259.6476803661475</v>
      </c>
      <c r="BI1011" s="3" t="n">
        <v>240.9200013045969</v>
      </c>
      <c r="BJ1011" s="3" t="n">
        <v>221.8710927593245</v>
      </c>
      <c r="BK1011" s="3" t="n">
        <v>207.6140983114107</v>
      </c>
      <c r="BL1011" s="3" t="n">
        <v>196.2097034516043</v>
      </c>
      <c r="BM1011" s="3" t="n">
        <v>188.0402040745943</v>
      </c>
      <c r="BN1011" s="3" t="n">
        <v>181.3456538148557</v>
      </c>
      <c r="BO1011" s="3" t="n">
        <v>175.8551905875037</v>
      </c>
      <c r="BP1011" s="3" t="n">
        <v>171.3511582219901</v>
      </c>
      <c r="BQ1011" s="3" t="n">
        <v>167.6159329142554</v>
      </c>
      <c r="BR1011" s="3" t="n">
        <v>164.5081195299644</v>
      </c>
      <c r="BS1011" s="3" t="n">
        <v>161.9439015845678</v>
      </c>
      <c r="BT1011" s="3" t="n">
        <v>159.8089041088775</v>
      </c>
      <c r="BU1011" s="3" t="n">
        <v>158.0199459523181</v>
      </c>
      <c r="BV1011" s="3" t="n">
        <v>156.4836717502669</v>
      </c>
      <c r="BW1011" s="3" t="n">
        <v>155.1523633045747</v>
      </c>
      <c r="BY1011" s="20" t="inlineStr">
        <is>
          <t>egy.mit.con.all.lpg.5</t>
        </is>
      </c>
      <c r="BZ1011" s="3" t="n">
        <v>220.6315997016229</v>
      </c>
      <c r="CA1011" s="3" t="n">
        <v>246.5003536447797</v>
      </c>
      <c r="CB1011" s="3" t="n">
        <v>247.6136047021317</v>
      </c>
      <c r="CC1011" s="3" t="n">
        <v>253.7050015101117</v>
      </c>
      <c r="CD1011" s="3" t="n">
        <v>259.6476803661475</v>
      </c>
      <c r="CE1011" s="3" t="n">
        <v>215.5918193571069</v>
      </c>
      <c r="CF1011" s="3" t="n">
        <v>222.2712244000229</v>
      </c>
      <c r="CG1011" s="3" t="n">
        <v>228.7401179553804</v>
      </c>
      <c r="CH1011" s="3" t="n">
        <v>234.5453007959466</v>
      </c>
      <c r="CI1011" s="3" t="n">
        <v>240.6516864753041</v>
      </c>
      <c r="CJ1011" s="3" t="n">
        <v>246.6667494170734</v>
      </c>
      <c r="CK1011" s="3" t="n">
        <v>252.9640885330048</v>
      </c>
      <c r="CL1011" s="3" t="n">
        <v>259.3443035942788</v>
      </c>
      <c r="CM1011" s="3" t="n">
        <v>265.7664248185098</v>
      </c>
      <c r="CN1011" s="3" t="n">
        <v>272.2967057837095</v>
      </c>
      <c r="CO1011" s="3" t="n">
        <v>278.9675071711783</v>
      </c>
      <c r="CP1011" s="3" t="n">
        <v>285.624584926314</v>
      </c>
      <c r="CQ1011" s="3" t="n">
        <v>292.3293989970061</v>
      </c>
      <c r="CR1011" s="3" t="n">
        <v>299.0069327233148</v>
      </c>
      <c r="CS1011" s="3" t="n">
        <v>305.7556797966076</v>
      </c>
      <c r="CU1011" s="20" t="inlineStr">
        <is>
          <t>egy.mit.con.all.lpg.6</t>
        </is>
      </c>
      <c r="CV1011" s="3" t="n">
        <v>220.6315997016229</v>
      </c>
      <c r="CW1011" s="3" t="n">
        <v>246.5003536447797</v>
      </c>
      <c r="CX1011" s="3" t="n">
        <v>247.6136047021317</v>
      </c>
      <c r="CY1011" s="3" t="n">
        <v>253.7050015101117</v>
      </c>
      <c r="CZ1011" s="3" t="n">
        <v>259.6476803661475</v>
      </c>
      <c r="DA1011" s="3" t="n">
        <v>184.2677216666154</v>
      </c>
      <c r="DB1011" s="3" t="n">
        <v>189.9647128008355</v>
      </c>
      <c r="DC1011" s="3" t="n">
        <v>195.5742455419319</v>
      </c>
      <c r="DD1011" s="3" t="n">
        <v>200.3222091782729</v>
      </c>
      <c r="DE1011" s="3" t="n">
        <v>205.5430054811081</v>
      </c>
      <c r="DF1011" s="3" t="n">
        <v>210.586318941297</v>
      </c>
      <c r="DG1011" s="3" t="n">
        <v>216.0575974408571</v>
      </c>
      <c r="DH1011" s="3" t="n">
        <v>221.7343329684982</v>
      </c>
      <c r="DI1011" s="3" t="n">
        <v>227.4069261742245</v>
      </c>
      <c r="DJ1011" s="3" t="n">
        <v>233.2139725761116</v>
      </c>
      <c r="DK1011" s="3" t="n">
        <v>239.2601113452153</v>
      </c>
      <c r="DL1011" s="3" t="n">
        <v>245.2050861808413</v>
      </c>
      <c r="DM1011" s="3" t="n">
        <v>251.1337283160922</v>
      </c>
      <c r="DN1011" s="3" t="n">
        <v>256.9123807139508</v>
      </c>
      <c r="DO1011" s="3" t="n">
        <v>262.690814657627</v>
      </c>
    </row>
    <row r="1012">
      <c r="A1012" s="19" t="inlineStr">
        <is>
          <t>mit.expsub.con.all.lpg</t>
        </is>
      </c>
      <c r="B1012" s="3" t="inlineStr">
        <is>
          <t>mit</t>
        </is>
      </c>
      <c r="C1012" s="19" t="inlineStr">
        <is>
          <t>mit.expsub.con.lpg.all</t>
        </is>
      </c>
      <c r="H1012" s="3" t="inlineStr">
        <is>
          <t>Explicit consumer subsidy | All sectors | LPG</t>
        </is>
      </c>
      <c r="I1012" s="3" t="inlineStr">
        <is>
          <t>USD bn real</t>
        </is>
      </c>
      <c r="K1012" s="20" t="inlineStr">
        <is>
          <t>egy.mit.expsub.con.all.lpg.1</t>
        </is>
      </c>
      <c r="L1012" s="3" t="n">
        <v>4.288406744351273</v>
      </c>
      <c r="M1012" s="3" t="n">
        <v>4.608311169881077</v>
      </c>
      <c r="N1012" s="3" t="n">
        <v>4.260729203147574</v>
      </c>
      <c r="O1012" s="3" t="n">
        <v>3.693474083476182</v>
      </c>
      <c r="P1012" s="3" t="n">
        <v>4.2580190608408</v>
      </c>
      <c r="Q1012" s="3" t="n">
        <v>3.863702083576122</v>
      </c>
      <c r="R1012" s="3" t="n">
        <v>3.839354047267264</v>
      </c>
      <c r="S1012" s="3" t="n">
        <v>3.875283956943989</v>
      </c>
      <c r="T1012" s="3" t="n">
        <v>3.909808022315425</v>
      </c>
      <c r="U1012" s="3" t="n">
        <v>3.935771515493724</v>
      </c>
      <c r="V1012" s="3" t="n">
        <v>4.035934279555814</v>
      </c>
      <c r="W1012" s="3" t="n">
        <v>4.137259068016339</v>
      </c>
      <c r="X1012" s="3" t="n">
        <v>4.239725260269299</v>
      </c>
      <c r="Y1012" s="3" t="n">
        <v>4.343311705137054</v>
      </c>
      <c r="Z1012" s="3" t="n">
        <v>4.447996703745457</v>
      </c>
      <c r="AA1012" s="3" t="n">
        <v>4.553757988951753</v>
      </c>
      <c r="AB1012" s="3" t="n">
        <v>4.660572701312424</v>
      </c>
      <c r="AC1012" s="3" t="n">
        <v>4.768417361579639</v>
      </c>
      <c r="AD1012" s="3" t="n">
        <v>4.877267839715469</v>
      </c>
      <c r="AE1012" s="3" t="n">
        <v>4.987099320413438</v>
      </c>
      <c r="AG1012" s="20" t="inlineStr">
        <is>
          <t>egy.mit.expsub.con.all.lpg.3</t>
        </is>
      </c>
      <c r="AH1012" s="3" t="n">
        <v>4.288406744351273</v>
      </c>
      <c r="AI1012" s="3" t="n">
        <v>4.608311169881077</v>
      </c>
      <c r="AJ1012" s="3" t="n">
        <v>4.260729203147574</v>
      </c>
      <c r="AK1012" s="3" t="n">
        <v>3.693474083476182</v>
      </c>
      <c r="AL1012" s="3" t="n">
        <v>4.2580190608408</v>
      </c>
      <c r="AM1012" s="3" t="n">
        <v>2.935996092665893</v>
      </c>
      <c r="AN1012" s="3" t="n">
        <v>2.905868442123899</v>
      </c>
      <c r="AO1012" s="3" t="n">
        <v>2.927801097219059</v>
      </c>
      <c r="AP1012" s="3" t="n">
        <v>2.945640176655665</v>
      </c>
      <c r="AQ1012" s="3" t="n">
        <v>2.959073563801853</v>
      </c>
      <c r="AR1012" s="3" t="n">
        <v>3.033196682954777</v>
      </c>
      <c r="AS1012" s="3" t="n">
        <v>3.110505967738559</v>
      </c>
      <c r="AT1012" s="3" t="n">
        <v>3.189836276302887</v>
      </c>
      <c r="AU1012" s="3" t="n">
        <v>3.269522329554248</v>
      </c>
      <c r="AV1012" s="3" t="n">
        <v>3.350577376078644</v>
      </c>
      <c r="AW1012" s="3" t="n">
        <v>3.433675644377114</v>
      </c>
      <c r="AX1012" s="3" t="n">
        <v>3.516543901156481</v>
      </c>
      <c r="AY1012" s="3" t="n">
        <v>3.599641876818034</v>
      </c>
      <c r="AZ1012" s="3" t="n">
        <v>3.682117260521132</v>
      </c>
      <c r="BA1012" s="3" t="n">
        <v>3.76493034356606</v>
      </c>
      <c r="BC1012" s="20" t="inlineStr">
        <is>
          <t>egy.mit.expsub.con.all.lpg.4</t>
        </is>
      </c>
      <c r="BD1012" s="3" t="n">
        <v>4.288406744351273</v>
      </c>
      <c r="BE1012" s="3" t="n">
        <v>4.608311169881077</v>
      </c>
      <c r="BF1012" s="3" t="n">
        <v>4.260729203147574</v>
      </c>
      <c r="BG1012" s="3" t="n">
        <v>3.693474083476182</v>
      </c>
      <c r="BH1012" s="3" t="n">
        <v>4.2580190608408</v>
      </c>
      <c r="BI1012" s="3" t="n">
        <v>3.326433063345185</v>
      </c>
      <c r="BJ1012" s="3" t="n">
        <v>2.74485757444484</v>
      </c>
      <c r="BK1012" s="3" t="n">
        <v>2.324461581580847</v>
      </c>
      <c r="BL1012" s="3" t="n">
        <v>1.972683309538208</v>
      </c>
      <c r="BM1012" s="3" t="n">
        <v>1.672022272525065</v>
      </c>
      <c r="BN1012" s="3" t="n">
        <v>1.447364330546163</v>
      </c>
      <c r="BO1012" s="3" t="n">
        <v>1.243412026541409</v>
      </c>
      <c r="BP1012" s="3" t="n">
        <v>1.055535302702595</v>
      </c>
      <c r="BQ1012" s="3" t="n">
        <v>0.8798970512116948</v>
      </c>
      <c r="BR1012" s="3" t="n">
        <v>0.7137835746917411</v>
      </c>
      <c r="BS1012" s="3" t="n">
        <v>0.5551935837671812</v>
      </c>
      <c r="BT1012" s="3" t="n">
        <v>0.4023541403644117</v>
      </c>
      <c r="BU1012" s="3" t="n">
        <v>0.2539590327551617</v>
      </c>
      <c r="BV1012" s="3" t="n">
        <v>0.108997937325547</v>
      </c>
      <c r="BW1012" s="3" t="n">
        <v>0</v>
      </c>
      <c r="BY1012" s="20" t="inlineStr">
        <is>
          <t>egy.mit.expsub.con.all.lpg.5</t>
        </is>
      </c>
      <c r="BZ1012" s="3" t="n">
        <v>4.288406744351273</v>
      </c>
      <c r="CA1012" s="3" t="n">
        <v>4.608311169881077</v>
      </c>
      <c r="CB1012" s="3" t="n">
        <v>4.260729203147574</v>
      </c>
      <c r="CC1012" s="3" t="n">
        <v>3.693474083476182</v>
      </c>
      <c r="CD1012" s="3" t="n">
        <v>4.2580190608408</v>
      </c>
      <c r="CE1012" s="3" t="n">
        <v>2.755866880991215</v>
      </c>
      <c r="CF1012" s="3" t="n">
        <v>2.724508086828938</v>
      </c>
      <c r="CG1012" s="3" t="n">
        <v>2.743241871563689</v>
      </c>
      <c r="CH1012" s="3" t="n">
        <v>2.758558988721092</v>
      </c>
      <c r="CI1012" s="3" t="n">
        <v>2.769846392266316</v>
      </c>
      <c r="CJ1012" s="3" t="n">
        <v>2.839078404027947</v>
      </c>
      <c r="CK1012" s="3" t="n">
        <v>2.911559350605191</v>
      </c>
      <c r="CL1012" s="3" t="n">
        <v>2.984994180537981</v>
      </c>
      <c r="CM1012" s="3" t="n">
        <v>3.058911340912665</v>
      </c>
      <c r="CN1012" s="3" t="n">
        <v>3.134073395402567</v>
      </c>
      <c r="CO1012" s="3" t="n">
        <v>3.210852808118222</v>
      </c>
      <c r="CP1012" s="3" t="n">
        <v>3.287474264934778</v>
      </c>
      <c r="CQ1012" s="3" t="n">
        <v>3.36464515592884</v>
      </c>
      <c r="CR1012" s="3" t="n">
        <v>3.441502056339346</v>
      </c>
      <c r="CS1012" s="3" t="n">
        <v>3.519178606240425</v>
      </c>
      <c r="CU1012" s="20" t="inlineStr">
        <is>
          <t>egy.mit.expsub.con.all.lpg.6</t>
        </is>
      </c>
      <c r="CV1012" s="3" t="n">
        <v>4.288406744351273</v>
      </c>
      <c r="CW1012" s="3" t="n">
        <v>4.608311169881077</v>
      </c>
      <c r="CX1012" s="3" t="n">
        <v>4.260729203147574</v>
      </c>
      <c r="CY1012" s="3" t="n">
        <v>3.693474083476182</v>
      </c>
      <c r="CZ1012" s="3" t="n">
        <v>4.2580190608408</v>
      </c>
      <c r="DA1012" s="3" t="n">
        <v>2.040847403974947</v>
      </c>
      <c r="DB1012" s="3" t="n">
        <v>2.00417172174532</v>
      </c>
      <c r="DC1012" s="3" t="n">
        <v>2.011575077630795</v>
      </c>
      <c r="DD1012" s="3" t="n">
        <v>2.014030252450134</v>
      </c>
      <c r="DE1012" s="3" t="n">
        <v>2.014819198678755</v>
      </c>
      <c r="DF1012" s="3" t="n">
        <v>2.06425588352609</v>
      </c>
      <c r="DG1012" s="3" t="n">
        <v>2.117887662123611</v>
      </c>
      <c r="DH1012" s="3" t="n">
        <v>2.173533417133087</v>
      </c>
      <c r="DI1012" s="3" t="n">
        <v>2.229138567356711</v>
      </c>
      <c r="DJ1012" s="3" t="n">
        <v>2.286061684495892</v>
      </c>
      <c r="DK1012" s="3" t="n">
        <v>2.345328485822224</v>
      </c>
      <c r="DL1012" s="3" t="n">
        <v>2.403603635620899</v>
      </c>
      <c r="DM1012" s="3" t="n">
        <v>2.461718685404469</v>
      </c>
      <c r="DN1012" s="3" t="n">
        <v>2.518363472544972</v>
      </c>
      <c r="DO1012" s="3" t="n">
        <v>2.575006118305475</v>
      </c>
    </row>
    <row r="1013">
      <c r="A1013" s="19" t="inlineStr">
        <is>
          <t>mit.impsub.con.all.lpg</t>
        </is>
      </c>
      <c r="B1013" s="3" t="inlineStr">
        <is>
          <t>mit</t>
        </is>
      </c>
      <c r="C1013" s="19" t="inlineStr">
        <is>
          <t>mit.impsub.con.lpg.all</t>
        </is>
      </c>
      <c r="H1013" s="3" t="inlineStr">
        <is>
          <t>Implicit consumer subsidy | All sectors | LPG</t>
        </is>
      </c>
      <c r="I1013" s="3" t="inlineStr">
        <is>
          <t>USD bn real</t>
        </is>
      </c>
      <c r="K1013" s="20" t="inlineStr">
        <is>
          <t>egy.mit.impsub.con.all.lpg.1</t>
        </is>
      </c>
      <c r="L1013" s="3" t="n">
        <v>1.749750337949565</v>
      </c>
      <c r="M1013" s="3" t="n">
        <v>1.887869520862035</v>
      </c>
      <c r="N1013" s="3" t="n">
        <v>1.908275530972229</v>
      </c>
      <c r="O1013" s="3" t="n">
        <v>1.900591847814073</v>
      </c>
      <c r="P1013" s="3" t="n">
        <v>2.064722009274176</v>
      </c>
      <c r="Q1013" s="3" t="n">
        <v>2.103930592901644</v>
      </c>
      <c r="R1013" s="3" t="n">
        <v>2.209054966538436</v>
      </c>
      <c r="S1013" s="3" t="n">
        <v>2.326225680976003</v>
      </c>
      <c r="T1013" s="3" t="n">
        <v>2.445812909213721</v>
      </c>
      <c r="U1013" s="3" t="n">
        <v>2.569240380395184</v>
      </c>
      <c r="V1013" s="3" t="n">
        <v>2.710874902955585</v>
      </c>
      <c r="W1013" s="3" t="n">
        <v>2.860216334579556</v>
      </c>
      <c r="X1013" s="3" t="n">
        <v>3.01767294292622</v>
      </c>
      <c r="Y1013" s="3" t="n">
        <v>3.183675132072307</v>
      </c>
      <c r="Z1013" s="3" t="n">
        <v>3.358672316537275</v>
      </c>
      <c r="AA1013" s="3" t="n">
        <v>3.543140431175325</v>
      </c>
      <c r="AB1013" s="3" t="n">
        <v>3.737571574836059</v>
      </c>
      <c r="AC1013" s="3" t="n">
        <v>3.942485189130089</v>
      </c>
      <c r="AD1013" s="3" t="n">
        <v>4.158425738605525</v>
      </c>
      <c r="AE1013" s="3" t="n">
        <v>4.383314130084701</v>
      </c>
      <c r="AG1013" s="20" t="inlineStr">
        <is>
          <t>egy.mit.impsub.con.all.lpg.3</t>
        </is>
      </c>
      <c r="AH1013" s="3" t="n">
        <v>1.749750337949565</v>
      </c>
      <c r="AI1013" s="3" t="n">
        <v>1.887869520862035</v>
      </c>
      <c r="AJ1013" s="3" t="n">
        <v>1.908275530972229</v>
      </c>
      <c r="AK1013" s="3" t="n">
        <v>1.900591847814073</v>
      </c>
      <c r="AL1013" s="3" t="n">
        <v>2.064722009274176</v>
      </c>
      <c r="AM1013" s="3" t="n">
        <v>1.765018132263135</v>
      </c>
      <c r="AN1013" s="3" t="n">
        <v>1.853066817371423</v>
      </c>
      <c r="AO1013" s="3" t="n">
        <v>1.951937354919551</v>
      </c>
      <c r="AP1013" s="3" t="n">
        <v>2.050446922452597</v>
      </c>
      <c r="AQ1013" s="3" t="n">
        <v>2.154098831397419</v>
      </c>
      <c r="AR1013" s="3" t="n">
        <v>2.271956911310576</v>
      </c>
      <c r="AS1013" s="3" t="n">
        <v>2.3980115535204</v>
      </c>
      <c r="AT1013" s="3" t="n">
        <v>2.531845817418922</v>
      </c>
      <c r="AU1013" s="3" t="n">
        <v>2.672554983851684</v>
      </c>
      <c r="AV1013" s="3" t="n">
        <v>2.821355397866515</v>
      </c>
      <c r="AW1013" s="3" t="n">
        <v>2.979294412119605</v>
      </c>
      <c r="AX1013" s="3" t="n">
        <v>3.144868221618323</v>
      </c>
      <c r="AY1013" s="3" t="n">
        <v>3.318880104369306</v>
      </c>
      <c r="AZ1013" s="3" t="n">
        <v>3.500953104935647</v>
      </c>
      <c r="BA1013" s="3" t="n">
        <v>3.690192044442488</v>
      </c>
      <c r="BC1013" s="20" t="inlineStr">
        <is>
          <t>egy.mit.impsub.con.all.lpg.4</t>
        </is>
      </c>
      <c r="BD1013" s="3" t="n">
        <v>1.749750337949565</v>
      </c>
      <c r="BE1013" s="3" t="n">
        <v>1.887869520862035</v>
      </c>
      <c r="BF1013" s="3" t="n">
        <v>1.908275530972229</v>
      </c>
      <c r="BG1013" s="3" t="n">
        <v>1.900591847814073</v>
      </c>
      <c r="BH1013" s="3" t="n">
        <v>2.064722009274176</v>
      </c>
      <c r="BI1013" s="3" t="n">
        <v>1.900754136548038</v>
      </c>
      <c r="BJ1013" s="3" t="n">
        <v>1.78232483224325</v>
      </c>
      <c r="BK1013" s="3" t="n">
        <v>1.706809607851343</v>
      </c>
      <c r="BL1013" s="3" t="n">
        <v>1.652442135122551</v>
      </c>
      <c r="BM1013" s="3" t="n">
        <v>1.621705312861874</v>
      </c>
      <c r="BN1013" s="3" t="n">
        <v>1.609203729251575</v>
      </c>
      <c r="BO1013" s="3" t="n">
        <v>1.606098141700102</v>
      </c>
      <c r="BP1013" s="3" t="n">
        <v>1.611183264460459</v>
      </c>
      <c r="BQ1013" s="3" t="n">
        <v>1.623078797594915</v>
      </c>
      <c r="BR1013" s="3" t="n">
        <v>1.640969982841546</v>
      </c>
      <c r="BS1013" s="3" t="n">
        <v>1.664513514279081</v>
      </c>
      <c r="BT1013" s="3" t="n">
        <v>1.692973495098728</v>
      </c>
      <c r="BU1013" s="3" t="n">
        <v>1.725844525706245</v>
      </c>
      <c r="BV1013" s="3" t="n">
        <v>1.762423921333831</v>
      </c>
      <c r="BW1013" s="3" t="n">
        <v>1.768174077751693</v>
      </c>
      <c r="BY1013" s="20" t="inlineStr">
        <is>
          <t>egy.mit.impsub.con.all.lpg.5</t>
        </is>
      </c>
      <c r="BZ1013" s="3" t="n">
        <v>1.749750337949565</v>
      </c>
      <c r="CA1013" s="3" t="n">
        <v>1.887869520862035</v>
      </c>
      <c r="CB1013" s="3" t="n">
        <v>1.908275530972229</v>
      </c>
      <c r="CC1013" s="3" t="n">
        <v>1.900591847814073</v>
      </c>
      <c r="CD1013" s="3" t="n">
        <v>2.064722009274176</v>
      </c>
      <c r="CE1013" s="3" t="n">
        <v>1.700961220280518</v>
      </c>
      <c r="CF1013" s="3" t="n">
        <v>1.785784738073517</v>
      </c>
      <c r="CG1013" s="3" t="n">
        <v>1.880934124759359</v>
      </c>
      <c r="CH1013" s="3" t="n">
        <v>1.975934832027456</v>
      </c>
      <c r="CI1013" s="3" t="n">
        <v>2.076131839459753</v>
      </c>
      <c r="CJ1013" s="3" t="n">
        <v>2.189606799511674</v>
      </c>
      <c r="CK1013" s="3" t="n">
        <v>2.311186856010754</v>
      </c>
      <c r="CL1013" s="3" t="n">
        <v>2.439501850444223</v>
      </c>
      <c r="CM1013" s="3" t="n">
        <v>2.57452859388936</v>
      </c>
      <c r="CN1013" s="3" t="n">
        <v>2.71728683467615</v>
      </c>
      <c r="CO1013" s="3" t="n">
        <v>2.868549378176182</v>
      </c>
      <c r="CP1013" s="3" t="n">
        <v>3.02716565272651</v>
      </c>
      <c r="CQ1013" s="3" t="n">
        <v>3.194175093531903</v>
      </c>
      <c r="CR1013" s="3" t="n">
        <v>3.369176466688</v>
      </c>
      <c r="CS1013" s="3" t="n">
        <v>3.551573244773286</v>
      </c>
      <c r="CU1013" s="20" t="inlineStr">
        <is>
          <t>egy.mit.impsub.con.all.lpg.6</t>
        </is>
      </c>
      <c r="CV1013" s="3" t="n">
        <v>1.749750337949565</v>
      </c>
      <c r="CW1013" s="3" t="n">
        <v>1.887869520862035</v>
      </c>
      <c r="CX1013" s="3" t="n">
        <v>1.908275530972229</v>
      </c>
      <c r="CY1013" s="3" t="n">
        <v>1.900591847814073</v>
      </c>
      <c r="CZ1013" s="3" t="n">
        <v>2.064722009274176</v>
      </c>
      <c r="DA1013" s="3" t="n">
        <v>1.453727393293901</v>
      </c>
      <c r="DB1013" s="3" t="n">
        <v>1.526118469939293</v>
      </c>
      <c r="DC1013" s="3" t="n">
        <v>1.608092686137931</v>
      </c>
      <c r="DD1013" s="3" t="n">
        <v>1.687487884733212</v>
      </c>
      <c r="DE1013" s="3" t="n">
        <v>1.773105321893699</v>
      </c>
      <c r="DF1013" s="3" t="n">
        <v>1.869177717088841</v>
      </c>
      <c r="DG1013" s="3" t="n">
        <v>1.973834336652972</v>
      </c>
      <c r="DH1013" s="3" t="n">
        <v>2.085561776569062</v>
      </c>
      <c r="DI1013" s="3" t="n">
        <v>2.202761510056498</v>
      </c>
      <c r="DJ1013" s="3" t="n">
        <v>2.327097356462241</v>
      </c>
      <c r="DK1013" s="3" t="n">
        <v>2.460068122386014</v>
      </c>
      <c r="DL1013" s="3" t="n">
        <v>2.598597462720434</v>
      </c>
      <c r="DM1013" s="3" t="n">
        <v>2.7438524436385</v>
      </c>
      <c r="DN1013" s="3" t="n">
        <v>2.894656378757256</v>
      </c>
      <c r="DO1013" s="3" t="n">
        <v>3.051135346812091</v>
      </c>
    </row>
    <row r="1014">
      <c r="A1014" s="14" t="n"/>
      <c r="B1014" s="3" t="inlineStr">
        <is>
          <t>mit</t>
        </is>
      </c>
      <c r="C1014" s="19" t="inlineStr">
        <is>
          <t>mit.vatrate.all.ker.a</t>
        </is>
      </c>
      <c r="H1014" s="14" t="inlineStr">
        <is>
          <t>Kerosene - VAT rate</t>
        </is>
      </c>
      <c r="I1014" s="14" t="inlineStr"/>
    </row>
    <row r="1015">
      <c r="A1015" s="14" t="n"/>
      <c r="B1015" s="3" t="inlineStr">
        <is>
          <t>mit</t>
        </is>
      </c>
      <c r="C1015" s="19" t="inlineStr">
        <is>
          <t>mit.rescon.ker.all</t>
        </is>
      </c>
      <c r="H1015" s="14" t="inlineStr">
        <is>
          <t>Kerosene - portion used for residential consumption</t>
        </is>
      </c>
      <c r="I1015" s="14" t="inlineStr"/>
    </row>
    <row r="1016">
      <c r="A1016" s="19" t="inlineStr">
        <is>
          <t>mit.effprice.all.ker</t>
        </is>
      </c>
      <c r="B1016" s="3" t="inlineStr">
        <is>
          <t>mit</t>
        </is>
      </c>
      <c r="C1016" s="19" t="inlineStr">
        <is>
          <t>mit.effprice.ker.all</t>
        </is>
      </c>
      <c r="H1016" s="3" t="inlineStr">
        <is>
          <t>Energy subsidies: efficient price | All sectors | Kerosene</t>
        </is>
      </c>
      <c r="I1016" s="3" t="inlineStr">
        <is>
          <t>USD/GJ, USD/kWh</t>
        </is>
      </c>
      <c r="K1016" s="20" t="inlineStr">
        <is>
          <t>egy.mit.effprice.all.ker.1</t>
        </is>
      </c>
      <c r="L1016" s="3" t="n">
        <v>27.07260700267554</v>
      </c>
      <c r="M1016" s="3" t="n">
        <v>25.46971452308235</v>
      </c>
      <c r="N1016" s="3" t="n">
        <v>25.69796333843108</v>
      </c>
      <c r="O1016" s="3" t="n">
        <v>22.70176398720409</v>
      </c>
      <c r="P1016" s="3" t="n">
        <v>24.89106844667807</v>
      </c>
      <c r="Q1016" s="3" t="n">
        <v>23.20296979972584</v>
      </c>
      <c r="R1016" s="3" t="n">
        <v>22.98981928358129</v>
      </c>
      <c r="S1016" s="3" t="n">
        <v>23.03784895258505</v>
      </c>
      <c r="T1016" s="3" t="n">
        <v>23.11801053629349</v>
      </c>
      <c r="U1016" s="3" t="n">
        <v>23.10875022983732</v>
      </c>
      <c r="V1016" s="3" t="n">
        <v>23.39864697654708</v>
      </c>
      <c r="W1016" s="3" t="n">
        <v>23.69928750352501</v>
      </c>
      <c r="X1016" s="3" t="n">
        <v>24.0109917493791</v>
      </c>
      <c r="Y1016" s="3" t="n">
        <v>24.33416576158697</v>
      </c>
      <c r="Z1016" s="3" t="n">
        <v>24.6691248005485</v>
      </c>
      <c r="AA1016" s="3" t="n">
        <v>25.01637032659519</v>
      </c>
      <c r="AB1016" s="3" t="n">
        <v>25.37612860395663</v>
      </c>
      <c r="AC1016" s="3" t="n">
        <v>25.74877369559066</v>
      </c>
      <c r="AD1016" s="3" t="n">
        <v>26.13468716383726</v>
      </c>
      <c r="AE1016" s="3" t="n">
        <v>26.44192359803937</v>
      </c>
      <c r="AG1016" s="20" t="inlineStr">
        <is>
          <t>egy.mit.effprice.all.ker.3</t>
        </is>
      </c>
      <c r="AH1016" s="3" t="n">
        <v>27.07260700267554</v>
      </c>
      <c r="AI1016" s="3" t="n">
        <v>25.46971452308235</v>
      </c>
      <c r="AJ1016" s="3" t="n">
        <v>25.69796333843108</v>
      </c>
      <c r="AK1016" s="3" t="n">
        <v>22.70176398720409</v>
      </c>
      <c r="AL1016" s="3" t="n">
        <v>24.89106844667807</v>
      </c>
      <c r="AM1016" s="3" t="n">
        <v>23.20511313967511</v>
      </c>
      <c r="AN1016" s="3" t="n">
        <v>22.99211647712345</v>
      </c>
      <c r="AO1016" s="3" t="n">
        <v>23.04023184043356</v>
      </c>
      <c r="AP1016" s="3" t="n">
        <v>23.12063314685281</v>
      </c>
      <c r="AQ1016" s="3" t="n">
        <v>23.11135719171636</v>
      </c>
      <c r="AR1016" s="3" t="n">
        <v>23.40136235666172</v>
      </c>
      <c r="AS1016" s="3" t="n">
        <v>23.70199467069354</v>
      </c>
      <c r="AT1016" s="3" t="n">
        <v>24.0136319118593</v>
      </c>
      <c r="AU1016" s="3" t="n">
        <v>24.33676261989737</v>
      </c>
      <c r="AV1016" s="3" t="n">
        <v>24.67165063477153</v>
      </c>
      <c r="AW1016" s="3" t="n">
        <v>25.01876357266201</v>
      </c>
      <c r="AX1016" s="3" t="n">
        <v>25.37843928761113</v>
      </c>
      <c r="AY1016" s="3" t="n">
        <v>25.75102783390781</v>
      </c>
      <c r="AZ1016" s="3" t="n">
        <v>26.13695123095597</v>
      </c>
      <c r="BA1016" s="3" t="n">
        <v>26.44413190892441</v>
      </c>
      <c r="BC1016" s="20" t="inlineStr">
        <is>
          <t>egy.mit.effprice.all.ker.4</t>
        </is>
      </c>
      <c r="BD1016" s="3" t="n">
        <v>27.07260700267554</v>
      </c>
      <c r="BE1016" s="3" t="n">
        <v>25.46971452308235</v>
      </c>
      <c r="BF1016" s="3" t="n">
        <v>25.69796333843108</v>
      </c>
      <c r="BG1016" s="3" t="n">
        <v>22.70176398720409</v>
      </c>
      <c r="BH1016" s="3" t="n">
        <v>24.89106844667807</v>
      </c>
      <c r="BI1016" s="3" t="n">
        <v>23.20944023732594</v>
      </c>
      <c r="BJ1016" s="3" t="n">
        <v>23.00441185326097</v>
      </c>
      <c r="BK1016" s="3" t="n">
        <v>23.06004223391619</v>
      </c>
      <c r="BL1016" s="3" t="n">
        <v>23.14740390677919</v>
      </c>
      <c r="BM1016" s="3" t="n">
        <v>23.1381324839623</v>
      </c>
      <c r="BN1016" s="3" t="n">
        <v>23.42877110044885</v>
      </c>
      <c r="BO1016" s="3" t="n">
        <v>23.7302081482225</v>
      </c>
      <c r="BP1016" s="3" t="n">
        <v>24.04270560027595</v>
      </c>
      <c r="BQ1016" s="3" t="n">
        <v>24.36667971705856</v>
      </c>
      <c r="BR1016" s="3" t="n">
        <v>24.70243379054283</v>
      </c>
      <c r="BS1016" s="3" t="n">
        <v>25.05043665825594</v>
      </c>
      <c r="BT1016" s="3" t="n">
        <v>25.41093599269429</v>
      </c>
      <c r="BU1016" s="3" t="n">
        <v>25.78431983800052</v>
      </c>
      <c r="BV1016" s="3" t="n">
        <v>26.17101439935885</v>
      </c>
      <c r="BW1016" s="3" t="n">
        <v>26.47772622800702</v>
      </c>
      <c r="BY1016" s="20" t="inlineStr">
        <is>
          <t>egy.mit.effprice.all.ker.5</t>
        </is>
      </c>
      <c r="BZ1016" s="3" t="n">
        <v>27.07260700267554</v>
      </c>
      <c r="CA1016" s="3" t="n">
        <v>25.46971452308235</v>
      </c>
      <c r="CB1016" s="3" t="n">
        <v>25.69796333843108</v>
      </c>
      <c r="CC1016" s="3" t="n">
        <v>22.70176398720409</v>
      </c>
      <c r="CD1016" s="3" t="n">
        <v>24.89106844667807</v>
      </c>
      <c r="CE1016" s="3" t="n">
        <v>23.20560980381664</v>
      </c>
      <c r="CF1016" s="3" t="n">
        <v>22.99264912523435</v>
      </c>
      <c r="CG1016" s="3" t="n">
        <v>23.04080429239065</v>
      </c>
      <c r="CH1016" s="3" t="n">
        <v>23.12122666454568</v>
      </c>
      <c r="CI1016" s="3" t="n">
        <v>23.11192804611332</v>
      </c>
      <c r="CJ1016" s="3" t="n">
        <v>23.40195244712449</v>
      </c>
      <c r="CK1016" s="3" t="n">
        <v>23.70258942337906</v>
      </c>
      <c r="CL1016" s="3" t="n">
        <v>24.01428114719261</v>
      </c>
      <c r="CM1016" s="3" t="n">
        <v>24.33745800199395</v>
      </c>
      <c r="CN1016" s="3" t="n">
        <v>24.6723936015066</v>
      </c>
      <c r="CO1016" s="3" t="n">
        <v>25.01956912604168</v>
      </c>
      <c r="CP1016" s="3" t="n">
        <v>25.3793037950495</v>
      </c>
      <c r="CQ1016" s="3" t="n">
        <v>25.75193300514507</v>
      </c>
      <c r="CR1016" s="3" t="n">
        <v>26.13788245846482</v>
      </c>
      <c r="CS1016" s="3" t="n">
        <v>26.44502834092605</v>
      </c>
      <c r="CU1016" s="20" t="inlineStr">
        <is>
          <t>egy.mit.effprice.all.ker.6</t>
        </is>
      </c>
      <c r="CV1016" s="3" t="n">
        <v>27.07260700267554</v>
      </c>
      <c r="CW1016" s="3" t="n">
        <v>25.46971452308235</v>
      </c>
      <c r="CX1016" s="3" t="n">
        <v>25.69796333843108</v>
      </c>
      <c r="CY1016" s="3" t="n">
        <v>22.70176398720409</v>
      </c>
      <c r="CZ1016" s="3" t="n">
        <v>24.89106844667807</v>
      </c>
      <c r="DA1016" s="3" t="n">
        <v>23.20789526469301</v>
      </c>
      <c r="DB1016" s="3" t="n">
        <v>22.99510080631519</v>
      </c>
      <c r="DC1016" s="3" t="n">
        <v>23.04333793859415</v>
      </c>
      <c r="DD1016" s="3" t="n">
        <v>23.12403982507505</v>
      </c>
      <c r="DE1016" s="3" t="n">
        <v>23.11473733738591</v>
      </c>
      <c r="DF1016" s="3" t="n">
        <v>23.40488772009611</v>
      </c>
      <c r="DG1016" s="3" t="n">
        <v>23.70551369458173</v>
      </c>
      <c r="DH1016" s="3" t="n">
        <v>24.01709657609205</v>
      </c>
      <c r="DI1016" s="3" t="n">
        <v>24.34019347635243</v>
      </c>
      <c r="DJ1016" s="3" t="n">
        <v>24.67501861916502</v>
      </c>
      <c r="DK1016" s="3" t="n">
        <v>25.0219987156399</v>
      </c>
      <c r="DL1016" s="3" t="n">
        <v>25.38160225534088</v>
      </c>
      <c r="DM1016" s="3" t="n">
        <v>25.7541408040159</v>
      </c>
      <c r="DN1016" s="3" t="n">
        <v>26.14008848923847</v>
      </c>
      <c r="DO1016" s="3" t="n">
        <v>26.44719240761291</v>
      </c>
    </row>
    <row r="1017">
      <c r="A1017" s="19" t="inlineStr">
        <is>
          <t>mit.con.all.ker</t>
        </is>
      </c>
      <c r="B1017" s="3" t="inlineStr">
        <is>
          <t>mit</t>
        </is>
      </c>
      <c r="C1017" s="19" t="inlineStr">
        <is>
          <t>mit.con.ker.all</t>
        </is>
      </c>
      <c r="H1017" s="3" t="inlineStr">
        <is>
          <t>Energy subsidies: consumption of the line | All sectors | Kerosene</t>
        </is>
      </c>
      <c r="I1017" s="3" t="inlineStr">
        <is>
          <t>PJ, GWh</t>
        </is>
      </c>
      <c r="K1017" s="20" t="inlineStr">
        <is>
          <t>egy.mit.con.all.ker.1</t>
        </is>
      </c>
      <c r="L1017" s="3" t="n">
        <v>26.86437421745931</v>
      </c>
      <c r="M1017" s="3" t="n">
        <v>27.9930452027308</v>
      </c>
      <c r="N1017" s="3" t="n">
        <v>30.3730509298318</v>
      </c>
      <c r="O1017" s="3" t="n">
        <v>31.23577043358283</v>
      </c>
      <c r="P1017" s="3" t="n">
        <v>32.07454018510195</v>
      </c>
      <c r="Q1017" s="3" t="n">
        <v>33.07706617985377</v>
      </c>
      <c r="R1017" s="3" t="n">
        <v>34.28142711208744</v>
      </c>
      <c r="S1017" s="3" t="n">
        <v>35.43109154375998</v>
      </c>
      <c r="T1017" s="3" t="n">
        <v>36.50000059111093</v>
      </c>
      <c r="U1017" s="3" t="n">
        <v>37.57795425581246</v>
      </c>
      <c r="V1017" s="3" t="n">
        <v>38.66896150817902</v>
      </c>
      <c r="W1017" s="3" t="n">
        <v>39.77264148128047</v>
      </c>
      <c r="X1017" s="3" t="n">
        <v>40.88860498547591</v>
      </c>
      <c r="Y1017" s="3" t="n">
        <v>42.01645461696165</v>
      </c>
      <c r="Z1017" s="3" t="n">
        <v>43.15578481847022</v>
      </c>
      <c r="AA1017" s="3" t="n">
        <v>44.30618189198366</v>
      </c>
      <c r="AB1017" s="3" t="n">
        <v>45.46722396345386</v>
      </c>
      <c r="AC1017" s="3" t="n">
        <v>46.63848089963741</v>
      </c>
      <c r="AD1017" s="3" t="n">
        <v>47.81951417725065</v>
      </c>
      <c r="AE1017" s="3" t="n">
        <v>49.00987670474003</v>
      </c>
      <c r="AG1017" s="20" t="inlineStr">
        <is>
          <t>egy.mit.con.all.ker.3</t>
        </is>
      </c>
      <c r="AH1017" s="3" t="n">
        <v>26.86437421745931</v>
      </c>
      <c r="AI1017" s="3" t="n">
        <v>27.9930452027308</v>
      </c>
      <c r="AJ1017" s="3" t="n">
        <v>30.3730509298318</v>
      </c>
      <c r="AK1017" s="3" t="n">
        <v>31.23577043358283</v>
      </c>
      <c r="AL1017" s="3" t="n">
        <v>32.07454018510195</v>
      </c>
      <c r="AM1017" s="3" t="n">
        <v>29.74019050588007</v>
      </c>
      <c r="AN1017" s="3" t="n">
        <v>30.82303780056266</v>
      </c>
      <c r="AO1017" s="3" t="n">
        <v>31.871491540513</v>
      </c>
      <c r="AP1017" s="3" t="n">
        <v>32.79880645184186</v>
      </c>
      <c r="AQ1017" s="3" t="n">
        <v>33.77349007552802</v>
      </c>
      <c r="AR1017" s="3" t="n">
        <v>34.73966587513907</v>
      </c>
      <c r="AS1017" s="3" t="n">
        <v>35.7505383443557</v>
      </c>
      <c r="AT1017" s="3" t="n">
        <v>36.78937466779121</v>
      </c>
      <c r="AU1017" s="3" t="n">
        <v>37.83208938371194</v>
      </c>
      <c r="AV1017" s="3" t="n">
        <v>38.89315756689172</v>
      </c>
      <c r="AW1017" s="3" t="n">
        <v>39.98223872062277</v>
      </c>
      <c r="AX1017" s="3" t="n">
        <v>41.06630325931653</v>
      </c>
      <c r="AY1017" s="3" t="n">
        <v>42.15182119901989</v>
      </c>
      <c r="AZ1017" s="3" t="n">
        <v>43.22623481760225</v>
      </c>
      <c r="BA1017" s="3" t="n">
        <v>44.30331593693902</v>
      </c>
      <c r="BC1017" s="20" t="inlineStr">
        <is>
          <t>egy.mit.con.all.ker.4</t>
        </is>
      </c>
      <c r="BD1017" s="3" t="n">
        <v>26.86437421745931</v>
      </c>
      <c r="BE1017" s="3" t="n">
        <v>27.9930452027308</v>
      </c>
      <c r="BF1017" s="3" t="n">
        <v>30.3730509298318</v>
      </c>
      <c r="BG1017" s="3" t="n">
        <v>31.23577043358283</v>
      </c>
      <c r="BH1017" s="3" t="n">
        <v>32.07454018510195</v>
      </c>
      <c r="BI1017" s="3" t="n">
        <v>31.2860658951728</v>
      </c>
      <c r="BJ1017" s="3" t="n">
        <v>30.33060225659166</v>
      </c>
      <c r="BK1017" s="3" t="n">
        <v>29.53352748356015</v>
      </c>
      <c r="BL1017" s="3" t="n">
        <v>28.80801261700404</v>
      </c>
      <c r="BM1017" s="3" t="n">
        <v>28.21627391498324</v>
      </c>
      <c r="BN1017" s="3" t="n">
        <v>27.72557931021183</v>
      </c>
      <c r="BO1017" s="3" t="n">
        <v>27.33198873836712</v>
      </c>
      <c r="BP1017" s="3" t="n">
        <v>27.02691933121073</v>
      </c>
      <c r="BQ1017" s="3" t="n">
        <v>26.7916569974231</v>
      </c>
      <c r="BR1017" s="3" t="n">
        <v>26.61568313243843</v>
      </c>
      <c r="BS1017" s="3" t="n">
        <v>26.49548479988535</v>
      </c>
      <c r="BT1017" s="3" t="n">
        <v>26.41798813018476</v>
      </c>
      <c r="BU1017" s="3" t="n">
        <v>26.37395021403896</v>
      </c>
      <c r="BV1017" s="3" t="n">
        <v>26.35006844359527</v>
      </c>
      <c r="BW1017" s="3" t="n">
        <v>26.34113586274825</v>
      </c>
      <c r="BY1017" s="20" t="inlineStr">
        <is>
          <t>egy.mit.con.all.ker.5</t>
        </is>
      </c>
      <c r="BZ1017" s="3" t="n">
        <v>26.86437421745931</v>
      </c>
      <c r="CA1017" s="3" t="n">
        <v>27.9930452027308</v>
      </c>
      <c r="CB1017" s="3" t="n">
        <v>30.3730509298318</v>
      </c>
      <c r="CC1017" s="3" t="n">
        <v>31.23577043358283</v>
      </c>
      <c r="CD1017" s="3" t="n">
        <v>32.07454018510195</v>
      </c>
      <c r="CE1017" s="3" t="n">
        <v>29.04081518659109</v>
      </c>
      <c r="CF1017" s="3" t="n">
        <v>30.09817462839092</v>
      </c>
      <c r="CG1017" s="3" t="n">
        <v>31.11982877639366</v>
      </c>
      <c r="CH1017" s="3" t="n">
        <v>32.02732686090196</v>
      </c>
      <c r="CI1017" s="3" t="n">
        <v>32.98581516234865</v>
      </c>
      <c r="CJ1017" s="3" t="n">
        <v>33.92770895591121</v>
      </c>
      <c r="CK1017" s="3" t="n">
        <v>34.91728570412996</v>
      </c>
      <c r="CL1017" s="3" t="n">
        <v>35.92010263702861</v>
      </c>
      <c r="CM1017" s="3" t="n">
        <v>36.92893511581474</v>
      </c>
      <c r="CN1017" s="3" t="n">
        <v>37.95513591969267</v>
      </c>
      <c r="CO1017" s="3" t="n">
        <v>39.00423358144253</v>
      </c>
      <c r="CP1017" s="3" t="n">
        <v>40.04927873274038</v>
      </c>
      <c r="CQ1017" s="3" t="n">
        <v>41.10079978720018</v>
      </c>
      <c r="CR1017" s="3" t="n">
        <v>42.14555500758948</v>
      </c>
      <c r="CS1017" s="3" t="n">
        <v>43.20057761776888</v>
      </c>
      <c r="CU1017" s="20" t="inlineStr">
        <is>
          <t>egy.mit.con.all.ker.6</t>
        </is>
      </c>
      <c r="CV1017" s="3" t="n">
        <v>26.86437421745931</v>
      </c>
      <c r="CW1017" s="3" t="n">
        <v>27.9930452027308</v>
      </c>
      <c r="CX1017" s="3" t="n">
        <v>30.3730509298318</v>
      </c>
      <c r="CY1017" s="3" t="n">
        <v>31.23577043358283</v>
      </c>
      <c r="CZ1017" s="3" t="n">
        <v>32.07454018510195</v>
      </c>
      <c r="DA1017" s="3" t="n">
        <v>26.11385962884362</v>
      </c>
      <c r="DB1017" s="3" t="n">
        <v>27.06465482595056</v>
      </c>
      <c r="DC1017" s="3" t="n">
        <v>28.00006261931518</v>
      </c>
      <c r="DD1017" s="3" t="n">
        <v>28.77945965458043</v>
      </c>
      <c r="DE1017" s="3" t="n">
        <v>29.64378722761669</v>
      </c>
      <c r="DF1017" s="3" t="n">
        <v>30.47515780289396</v>
      </c>
      <c r="DG1017" s="3" t="n">
        <v>31.38350461102239</v>
      </c>
      <c r="DH1017" s="3" t="n">
        <v>32.3284949370024</v>
      </c>
      <c r="DI1017" s="3" t="n">
        <v>33.27181870413209</v>
      </c>
      <c r="DJ1017" s="3" t="n">
        <v>34.23867613604126</v>
      </c>
      <c r="DK1017" s="3" t="n">
        <v>35.24821789455141</v>
      </c>
      <c r="DL1017" s="3" t="n">
        <v>36.237907279544</v>
      </c>
      <c r="DM1017" s="3" t="n">
        <v>37.22309001579818</v>
      </c>
      <c r="DN1017" s="3" t="n">
        <v>38.17893844112681</v>
      </c>
      <c r="DO1017" s="3" t="n">
        <v>39.13284001358968</v>
      </c>
    </row>
    <row r="1018">
      <c r="A1018" s="19" t="inlineStr">
        <is>
          <t>mit.expsub.con.all.ker</t>
        </is>
      </c>
      <c r="B1018" s="3" t="inlineStr">
        <is>
          <t>mit</t>
        </is>
      </c>
      <c r="C1018" s="19" t="inlineStr">
        <is>
          <t>mit.expsub.con.ker.all</t>
        </is>
      </c>
      <c r="H1018" s="3" t="inlineStr">
        <is>
          <t>Explicit consumer subsidy | All sectors | Kerosene</t>
        </is>
      </c>
      <c r="I1018" s="3" t="inlineStr">
        <is>
          <t>USD bn real</t>
        </is>
      </c>
      <c r="K1018" s="20" t="inlineStr">
        <is>
          <t>egy.mit.expsub.con.all.ker.1</t>
        </is>
      </c>
      <c r="L1018" s="3" t="n">
        <v>0.2587479896815274</v>
      </c>
      <c r="M1018" s="3" t="n">
        <v>0.3271627798479411</v>
      </c>
      <c r="N1018" s="3" t="n">
        <v>0.3526711802529508</v>
      </c>
      <c r="O1018" s="3" t="n">
        <v>0.2839214504224473</v>
      </c>
      <c r="P1018" s="3" t="n">
        <v>0.3477587120786872</v>
      </c>
      <c r="Q1018" s="3" t="n">
        <v>0.2985172096289468</v>
      </c>
      <c r="R1018" s="3" t="n">
        <v>0.2922467665932907</v>
      </c>
      <c r="S1018" s="3" t="n">
        <v>0.2931180423067503</v>
      </c>
      <c r="T1018" s="3" t="n">
        <v>0.2939165075515134</v>
      </c>
      <c r="U1018" s="3" t="n">
        <v>0.2935990029578046</v>
      </c>
      <c r="V1018" s="3" t="n">
        <v>0.302123113646055</v>
      </c>
      <c r="W1018" s="3" t="n">
        <v>0.3107462371264121</v>
      </c>
      <c r="X1018" s="3" t="n">
        <v>0.3194653326348751</v>
      </c>
      <c r="Y1018" s="3" t="n">
        <v>0.3282772952296542</v>
      </c>
      <c r="Z1018" s="3" t="n">
        <v>0.3371789562654167</v>
      </c>
      <c r="AA1018" s="3" t="n">
        <v>0.3461670834926161</v>
      </c>
      <c r="AB1018" s="3" t="n">
        <v>0.3552383807818502</v>
      </c>
      <c r="AC1018" s="3" t="n">
        <v>0.3643894874740862</v>
      </c>
      <c r="AD1018" s="3" t="n">
        <v>0.3736169773583605</v>
      </c>
      <c r="AE1018" s="3" t="n">
        <v>0.3829173572792595</v>
      </c>
      <c r="AG1018" s="20" t="inlineStr">
        <is>
          <t>egy.mit.expsub.con.all.ker.3</t>
        </is>
      </c>
      <c r="AH1018" s="3" t="n">
        <v>0.2587479896815274</v>
      </c>
      <c r="AI1018" s="3" t="n">
        <v>0.3271627798479411</v>
      </c>
      <c r="AJ1018" s="3" t="n">
        <v>0.3526711802529508</v>
      </c>
      <c r="AK1018" s="3" t="n">
        <v>0.2839214504224473</v>
      </c>
      <c r="AL1018" s="3" t="n">
        <v>0.3477587120786872</v>
      </c>
      <c r="AM1018" s="3" t="n">
        <v>0.226085241130027</v>
      </c>
      <c r="AN1018" s="3" t="n">
        <v>0.2189064403460404</v>
      </c>
      <c r="AO1018" s="3" t="n">
        <v>0.2183201556531183</v>
      </c>
      <c r="AP1018" s="3" t="n">
        <v>0.217443485501703</v>
      </c>
      <c r="AQ1018" s="3" t="n">
        <v>0.2158184689902253</v>
      </c>
      <c r="AR1018" s="3" t="n">
        <v>0.2219924957277858</v>
      </c>
      <c r="AS1018" s="3" t="n">
        <v>0.2284521413273903</v>
      </c>
      <c r="AT1018" s="3" t="n">
        <v>0.2350904817127124</v>
      </c>
      <c r="AU1018" s="3" t="n">
        <v>0.2417536086656664</v>
      </c>
      <c r="AV1018" s="3" t="n">
        <v>0.2485340193700215</v>
      </c>
      <c r="AW1018" s="3" t="n">
        <v>0.2554934390945159</v>
      </c>
      <c r="AX1018" s="3" t="n">
        <v>0.2624208057585396</v>
      </c>
      <c r="AY1018" s="3" t="n">
        <v>0.2693574634562238</v>
      </c>
      <c r="AZ1018" s="3" t="n">
        <v>0.2762231671890952</v>
      </c>
      <c r="BA1018" s="3" t="n">
        <v>0.2831059203008386</v>
      </c>
      <c r="BC1018" s="20" t="inlineStr">
        <is>
          <t>egy.mit.expsub.con.all.ker.4</t>
        </is>
      </c>
      <c r="BD1018" s="3" t="n">
        <v>0.2587479896815274</v>
      </c>
      <c r="BE1018" s="3" t="n">
        <v>0.3271627798479411</v>
      </c>
      <c r="BF1018" s="3" t="n">
        <v>0.3526711802529508</v>
      </c>
      <c r="BG1018" s="3" t="n">
        <v>0.2839214504224473</v>
      </c>
      <c r="BH1018" s="3" t="n">
        <v>0.3477587120786872</v>
      </c>
      <c r="BI1018" s="3" t="n">
        <v>0.2600952471506299</v>
      </c>
      <c r="BJ1018" s="3" t="n">
        <v>0.2082159372937335</v>
      </c>
      <c r="BK1018" s="3" t="n">
        <v>0.1672850954124994</v>
      </c>
      <c r="BL1018" s="3" t="n">
        <v>0.1294986474643492</v>
      </c>
      <c r="BM1018" s="3" t="n">
        <v>0.09331629514268436</v>
      </c>
      <c r="BN1018" s="3" t="n">
        <v>0.06539274032874978</v>
      </c>
      <c r="BO1018" s="3" t="n">
        <v>0.03853702665950343</v>
      </c>
      <c r="BP1018" s="3" t="n">
        <v>0.01246885056038524</v>
      </c>
      <c r="BQ1018" s="3" t="n">
        <v>0</v>
      </c>
      <c r="BR1018" s="3" t="n">
        <v>0</v>
      </c>
      <c r="BS1018" s="3" t="n">
        <v>0</v>
      </c>
      <c r="BT1018" s="3" t="n">
        <v>0</v>
      </c>
      <c r="BU1018" s="3" t="n">
        <v>0</v>
      </c>
      <c r="BV1018" s="3" t="n">
        <v>0</v>
      </c>
      <c r="BW1018" s="3" t="n">
        <v>0</v>
      </c>
      <c r="BY1018" s="20" t="inlineStr">
        <is>
          <t>egy.mit.expsub.con.all.ker.5</t>
        </is>
      </c>
      <c r="BZ1018" s="3" t="n">
        <v>0.2587479896815274</v>
      </c>
      <c r="CA1018" s="3" t="n">
        <v>0.3271627798479411</v>
      </c>
      <c r="CB1018" s="3" t="n">
        <v>0.3526711802529508</v>
      </c>
      <c r="CC1018" s="3" t="n">
        <v>0.2839214504224473</v>
      </c>
      <c r="CD1018" s="3" t="n">
        <v>0.3477587120786872</v>
      </c>
      <c r="CE1018" s="3" t="n">
        <v>0.2104380984928044</v>
      </c>
      <c r="CF1018" s="3" t="n">
        <v>0.203051815174844</v>
      </c>
      <c r="CG1018" s="3" t="n">
        <v>0.20210120609798</v>
      </c>
      <c r="CH1018" s="3" t="n">
        <v>0.200936002475616</v>
      </c>
      <c r="CI1018" s="3" t="n">
        <v>0.1990512600660062</v>
      </c>
      <c r="CJ1018" s="3" t="n">
        <v>0.2047350658262269</v>
      </c>
      <c r="CK1018" s="3" t="n">
        <v>0.2107066108193269</v>
      </c>
      <c r="CL1018" s="3" t="n">
        <v>0.2167580555601173</v>
      </c>
      <c r="CM1018" s="3" t="n">
        <v>0.2228458041802495</v>
      </c>
      <c r="CN1018" s="3" t="n">
        <v>0.2290383634477395</v>
      </c>
      <c r="CO1018" s="3" t="n">
        <v>0.2353690946221366</v>
      </c>
      <c r="CP1018" s="3" t="n">
        <v>0.2416753758596509</v>
      </c>
      <c r="CQ1018" s="3" t="n">
        <v>0.2480207394171343</v>
      </c>
      <c r="CR1018" s="3" t="n">
        <v>0.254325280053352</v>
      </c>
      <c r="CS1018" s="3" t="n">
        <v>0.2606917823804229</v>
      </c>
      <c r="CU1018" s="20" t="inlineStr">
        <is>
          <t>egy.mit.expsub.con.all.ker.6</t>
        </is>
      </c>
      <c r="CV1018" s="3" t="n">
        <v>0.2587479896815274</v>
      </c>
      <c r="CW1018" s="3" t="n">
        <v>0.3271627798479411</v>
      </c>
      <c r="CX1018" s="3" t="n">
        <v>0.3526711802529508</v>
      </c>
      <c r="CY1018" s="3" t="n">
        <v>0.2839214504224473</v>
      </c>
      <c r="CZ1018" s="3" t="n">
        <v>0.3477587120786872</v>
      </c>
      <c r="DA1018" s="3" t="n">
        <v>0.1427819437959765</v>
      </c>
      <c r="DB1018" s="3" t="n">
        <v>0.1344490030508144</v>
      </c>
      <c r="DC1018" s="3" t="n">
        <v>0.1320390485259931</v>
      </c>
      <c r="DD1018" s="3" t="n">
        <v>0.1293714891750701</v>
      </c>
      <c r="DE1018" s="3" t="n">
        <v>0.1261588917711927</v>
      </c>
      <c r="DF1018" s="3" t="n">
        <v>0.1296970545742475</v>
      </c>
      <c r="DG1018" s="3" t="n">
        <v>0.133562805808422</v>
      </c>
      <c r="DH1018" s="3" t="n">
        <v>0.1375845050646116</v>
      </c>
      <c r="DI1018" s="3" t="n">
        <v>0.1415991192850918</v>
      </c>
      <c r="DJ1018" s="3" t="n">
        <v>0.145713891464392</v>
      </c>
      <c r="DK1018" s="3" t="n">
        <v>0.1500103200736018</v>
      </c>
      <c r="DL1018" s="3" t="n">
        <v>0.1542222722815514</v>
      </c>
      <c r="DM1018" s="3" t="n">
        <v>0.1584150539625449</v>
      </c>
      <c r="DN1018" s="3" t="n">
        <v>0.1624830077218163</v>
      </c>
      <c r="DO1018" s="3" t="n">
        <v>0.1665426846791884</v>
      </c>
    </row>
    <row r="1019">
      <c r="A1019" s="19" t="inlineStr">
        <is>
          <t>mit.impsub.con.all.ker</t>
        </is>
      </c>
      <c r="B1019" s="3" t="inlineStr">
        <is>
          <t>mit</t>
        </is>
      </c>
      <c r="C1019" s="19" t="inlineStr">
        <is>
          <t>mit.impsub.con.ker.all</t>
        </is>
      </c>
      <c r="H1019" s="3" t="inlineStr">
        <is>
          <t>Implicit consumer subsidy | All sectors | Kerosene</t>
        </is>
      </c>
      <c r="I1019" s="3" t="inlineStr">
        <is>
          <t>USD bn real</t>
        </is>
      </c>
      <c r="K1019" s="20" t="inlineStr">
        <is>
          <t>egy.mit.impsub.con.all.ker.1</t>
        </is>
      </c>
      <c r="L1019" s="3" t="n">
        <v>0.1850250975534793</v>
      </c>
      <c r="M1019" s="3" t="n">
        <v>0.1941572727554099</v>
      </c>
      <c r="N1019" s="3" t="n">
        <v>0.2129286638908299</v>
      </c>
      <c r="O1019" s="3" t="n">
        <v>0.2041551592510681</v>
      </c>
      <c r="P1019" s="3" t="n">
        <v>0.2236450840307571</v>
      </c>
      <c r="Q1019" s="3" t="n">
        <v>0.234909107098025</v>
      </c>
      <c r="R1019" s="3" t="n">
        <v>0.2532949008479033</v>
      </c>
      <c r="S1019" s="3" t="n">
        <v>0.2724206937504475</v>
      </c>
      <c r="T1019" s="3" t="n">
        <v>0.2916096800746691</v>
      </c>
      <c r="U1019" s="3" t="n">
        <v>0.3088715325153888</v>
      </c>
      <c r="V1019" s="3" t="n">
        <v>0.329049059338522</v>
      </c>
      <c r="W1019" s="3" t="n">
        <v>0.3503979644217475</v>
      </c>
      <c r="X1019" s="3" t="n">
        <v>0.3729747825360992</v>
      </c>
      <c r="Y1019" s="3" t="n">
        <v>0.3968413476837388</v>
      </c>
      <c r="Z1019" s="3" t="n">
        <v>0.42205763138589</v>
      </c>
      <c r="AA1019" s="3" t="n">
        <v>0.4486934797510675</v>
      </c>
      <c r="AB1019" s="3" t="n">
        <v>0.476808688126221</v>
      </c>
      <c r="AC1019" s="3" t="n">
        <v>0.5064711037341068</v>
      </c>
      <c r="AD1019" s="3" t="n">
        <v>0.5377507423566394</v>
      </c>
      <c r="AE1019" s="3" t="n">
        <v>0.5661944941971938</v>
      </c>
      <c r="AG1019" s="20" t="inlineStr">
        <is>
          <t>egy.mit.impsub.con.all.ker.3</t>
        </is>
      </c>
      <c r="AH1019" s="3" t="n">
        <v>0.1850250975534793</v>
      </c>
      <c r="AI1019" s="3" t="n">
        <v>0.1941572727554099</v>
      </c>
      <c r="AJ1019" s="3" t="n">
        <v>0.2129286638908299</v>
      </c>
      <c r="AK1019" s="3" t="n">
        <v>0.2041551592510681</v>
      </c>
      <c r="AL1019" s="3" t="n">
        <v>0.2236450840307571</v>
      </c>
      <c r="AM1019" s="3" t="n">
        <v>0.2112747848096924</v>
      </c>
      <c r="AN1019" s="3" t="n">
        <v>0.2278127344374835</v>
      </c>
      <c r="AO1019" s="3" t="n">
        <v>0.245127776602881</v>
      </c>
      <c r="AP1019" s="3" t="n">
        <v>0.262125725382656</v>
      </c>
      <c r="AQ1019" s="3" t="n">
        <v>0.2776888322100914</v>
      </c>
      <c r="AR1019" s="3" t="n">
        <v>0.2957075036195406</v>
      </c>
      <c r="AS1019" s="3" t="n">
        <v>0.3150599180524774</v>
      </c>
      <c r="AT1019" s="3" t="n">
        <v>0.3356798435270103</v>
      </c>
      <c r="AU1019" s="3" t="n">
        <v>0.3574186675764509</v>
      </c>
      <c r="AV1019" s="3" t="n">
        <v>0.3804679616544195</v>
      </c>
      <c r="AW1019" s="3" t="n">
        <v>0.4050001285155838</v>
      </c>
      <c r="AX1019" s="3" t="n">
        <v>0.4307517133677648</v>
      </c>
      <c r="AY1019" s="3" t="n">
        <v>0.4578431886872188</v>
      </c>
      <c r="AZ1019" s="3" t="n">
        <v>0.4861952326261212</v>
      </c>
      <c r="BA1019" s="3" t="n">
        <v>0.5119190283799666</v>
      </c>
      <c r="BC1019" s="20" t="inlineStr">
        <is>
          <t>egy.mit.impsub.con.all.ker.4</t>
        </is>
      </c>
      <c r="BD1019" s="3" t="n">
        <v>0.1850250975534793</v>
      </c>
      <c r="BE1019" s="3" t="n">
        <v>0.1941572727554099</v>
      </c>
      <c r="BF1019" s="3" t="n">
        <v>0.2129286638908299</v>
      </c>
      <c r="BG1019" s="3" t="n">
        <v>0.2041551592510681</v>
      </c>
      <c r="BH1019" s="3" t="n">
        <v>0.2236450840307571</v>
      </c>
      <c r="BI1019" s="3" t="n">
        <v>0.2223920859434331</v>
      </c>
      <c r="BJ1019" s="3" t="n">
        <v>0.2245460748943224</v>
      </c>
      <c r="BK1019" s="3" t="n">
        <v>0.2277312625022268</v>
      </c>
      <c r="BL1019" s="3" t="n">
        <v>0.231002797650379</v>
      </c>
      <c r="BM1019" s="3" t="n">
        <v>0.2327523739033518</v>
      </c>
      <c r="BN1019" s="3" t="n">
        <v>0.2367628219370846</v>
      </c>
      <c r="BO1019" s="3" t="n">
        <v>0.2416406258735284</v>
      </c>
      <c r="BP1019" s="3" t="n">
        <v>0.2473893672651679</v>
      </c>
      <c r="BQ1019" s="3" t="n">
        <v>0.2408611278060979</v>
      </c>
      <c r="BR1019" s="3" t="n">
        <v>0.2229674299991061</v>
      </c>
      <c r="BS1019" s="3" t="n">
        <v>0.2060470032848586</v>
      </c>
      <c r="BT1019" s="3" t="n">
        <v>0.1899075019274364</v>
      </c>
      <c r="BU1019" s="3" t="n">
        <v>0.1744197964950885</v>
      </c>
      <c r="BV1019" s="3" t="n">
        <v>0.1594551910156234</v>
      </c>
      <c r="BW1019" s="3" t="n">
        <v>0.1424926503373453</v>
      </c>
      <c r="BY1019" s="20" t="inlineStr">
        <is>
          <t>egy.mit.impsub.con.all.ker.5</t>
        </is>
      </c>
      <c r="BZ1019" s="3" t="n">
        <v>0.1850250975534793</v>
      </c>
      <c r="CA1019" s="3" t="n">
        <v>0.1941572727554099</v>
      </c>
      <c r="CB1019" s="3" t="n">
        <v>0.2129286638908299</v>
      </c>
      <c r="CC1019" s="3" t="n">
        <v>0.2041551592510681</v>
      </c>
      <c r="CD1019" s="3" t="n">
        <v>0.2236450840307571</v>
      </c>
      <c r="CE1019" s="3" t="n">
        <v>0.2063208349861709</v>
      </c>
      <c r="CF1019" s="3" t="n">
        <v>0.2224713104152828</v>
      </c>
      <c r="CG1019" s="3" t="n">
        <v>0.2393644553664855</v>
      </c>
      <c r="CH1019" s="3" t="n">
        <v>0.2559791242182473</v>
      </c>
      <c r="CI1019" s="3" t="n">
        <v>0.2712313246146648</v>
      </c>
      <c r="CJ1019" s="3" t="n">
        <v>0.2888160656915518</v>
      </c>
      <c r="CK1019" s="3" t="n">
        <v>0.3077374528841908</v>
      </c>
      <c r="CL1019" s="3" t="n">
        <v>0.3277716050311903</v>
      </c>
      <c r="CM1019" s="3" t="n">
        <v>0.3489117972762429</v>
      </c>
      <c r="CN1019" s="3" t="n">
        <v>0.3713200692611268</v>
      </c>
      <c r="CO1019" s="3" t="n">
        <v>0.3951248444378768</v>
      </c>
      <c r="CP1019" s="3" t="n">
        <v>0.4201185862484987</v>
      </c>
      <c r="CQ1019" s="3" t="n">
        <v>0.4464644440521472</v>
      </c>
      <c r="CR1019" s="3" t="n">
        <v>0.4740793296458057</v>
      </c>
      <c r="CS1019" s="3" t="n">
        <v>0.4992157575311659</v>
      </c>
      <c r="CU1019" s="20" t="inlineStr">
        <is>
          <t>egy.mit.impsub.con.all.ker.6</t>
        </is>
      </c>
      <c r="CV1019" s="3" t="n">
        <v>0.1850250975534793</v>
      </c>
      <c r="CW1019" s="3" t="n">
        <v>0.1941572727554099</v>
      </c>
      <c r="CX1019" s="3" t="n">
        <v>0.2129286638908299</v>
      </c>
      <c r="CY1019" s="3" t="n">
        <v>0.2041551592510681</v>
      </c>
      <c r="CZ1019" s="3" t="n">
        <v>0.2236450840307571</v>
      </c>
      <c r="DA1019" s="3" t="n">
        <v>0.1855859247950576</v>
      </c>
      <c r="DB1019" s="3" t="n">
        <v>0.2001153369188259</v>
      </c>
      <c r="DC1019" s="3" t="n">
        <v>0.2154390854146291</v>
      </c>
      <c r="DD1019" s="3" t="n">
        <v>0.2301014343768275</v>
      </c>
      <c r="DE1019" s="3" t="n">
        <v>0.2438342248190871</v>
      </c>
      <c r="DF1019" s="3" t="n">
        <v>0.2595150212352045</v>
      </c>
      <c r="DG1019" s="3" t="n">
        <v>0.2766848588456541</v>
      </c>
      <c r="DH1019" s="3" t="n">
        <v>0.2950891365080334</v>
      </c>
      <c r="DI1019" s="3" t="n">
        <v>0.3144496607885467</v>
      </c>
      <c r="DJ1019" s="3" t="n">
        <v>0.3350513332323686</v>
      </c>
      <c r="DK1019" s="3" t="n">
        <v>0.3571608926811983</v>
      </c>
      <c r="DL1019" s="3" t="n">
        <v>0.3802204338468853</v>
      </c>
      <c r="DM1019" s="3" t="n">
        <v>0.4044243417316724</v>
      </c>
      <c r="DN1019" s="3" t="n">
        <v>0.4295445914298825</v>
      </c>
      <c r="DO1019" s="3" t="n">
        <v>0.4522946205022111</v>
      </c>
    </row>
    <row r="1020">
      <c r="A1020" s="14" t="n"/>
      <c r="B1020" s="3" t="inlineStr">
        <is>
          <t>mit</t>
        </is>
      </c>
      <c r="C1020" s="19" t="inlineStr">
        <is>
          <t>mit.vatrate.all.oop.a</t>
        </is>
      </c>
      <c r="H1020" s="14" t="inlineStr">
        <is>
          <t>Other oil products - VAT rate</t>
        </is>
      </c>
      <c r="I1020" s="14" t="inlineStr"/>
    </row>
    <row r="1021">
      <c r="A1021" s="14" t="n"/>
      <c r="B1021" s="3" t="inlineStr">
        <is>
          <t>mit</t>
        </is>
      </c>
      <c r="C1021" s="19" t="inlineStr">
        <is>
          <t>mit.rescon.oop.all</t>
        </is>
      </c>
      <c r="H1021" s="14" t="inlineStr">
        <is>
          <t>Other oil products - portion used for residential consumption</t>
        </is>
      </c>
      <c r="I1021" s="14" t="inlineStr"/>
    </row>
    <row r="1022">
      <c r="A1022" s="19" t="inlineStr">
        <is>
          <t>mit.effprice.all.oop</t>
        </is>
      </c>
      <c r="B1022" s="3" t="inlineStr">
        <is>
          <t>mit</t>
        </is>
      </c>
      <c r="C1022" s="19" t="inlineStr">
        <is>
          <t>mit.effprice.oop.all</t>
        </is>
      </c>
      <c r="H1022" s="3" t="inlineStr">
        <is>
          <t>Energy subsidies: efficient price | All sectors | Other oil products</t>
        </is>
      </c>
      <c r="I1022" s="3" t="inlineStr">
        <is>
          <t>USD/GJ, USD/kWh</t>
        </is>
      </c>
      <c r="K1022" s="20" t="inlineStr">
        <is>
          <t>egy.mit.effprice.all.oop.1</t>
        </is>
      </c>
      <c r="L1022" s="3" t="n">
        <v>31.12195704559131</v>
      </c>
      <c r="M1022" s="3" t="n">
        <v>27.93107979955269</v>
      </c>
      <c r="N1022" s="3" t="n">
        <v>27.493080911634</v>
      </c>
      <c r="O1022" s="3" t="n">
        <v>22.72078395194863</v>
      </c>
      <c r="P1022" s="3" t="n">
        <v>24.94640865613717</v>
      </c>
      <c r="Q1022" s="3" t="n">
        <v>23.42762078591624</v>
      </c>
      <c r="R1022" s="3" t="n">
        <v>23.45737419515411</v>
      </c>
      <c r="S1022" s="3" t="n">
        <v>23.68205260738316</v>
      </c>
      <c r="T1022" s="3" t="n">
        <v>23.90043764620363</v>
      </c>
      <c r="U1022" s="3" t="n">
        <v>24.12631358963536</v>
      </c>
      <c r="V1022" s="3" t="n">
        <v>24.73049892926386</v>
      </c>
      <c r="W1022" s="3" t="n">
        <v>25.36202030532147</v>
      </c>
      <c r="X1022" s="3" t="n">
        <v>26.018647733337</v>
      </c>
      <c r="Y1022" s="3" t="n">
        <v>26.70520848006724</v>
      </c>
      <c r="Z1022" s="3" t="n">
        <v>27.42061694586228</v>
      </c>
      <c r="AA1022" s="3" t="n">
        <v>28.16628714767961</v>
      </c>
      <c r="AB1022" s="3" t="n">
        <v>28.94207605798122</v>
      </c>
      <c r="AC1022" s="3" t="n">
        <v>29.74836951186173</v>
      </c>
      <c r="AD1022" s="3" t="n">
        <v>30.58552251404298</v>
      </c>
      <c r="AE1022" s="3" t="n">
        <v>31.04081851667628</v>
      </c>
      <c r="AG1022" s="20" t="inlineStr">
        <is>
          <t>egy.mit.effprice.all.oop.3</t>
        </is>
      </c>
      <c r="AH1022" s="3" t="n">
        <v>31.12195704559131</v>
      </c>
      <c r="AI1022" s="3" t="n">
        <v>27.93187283085996</v>
      </c>
      <c r="AJ1022" s="3" t="n">
        <v>27.49386915125899</v>
      </c>
      <c r="AK1022" s="3" t="n">
        <v>22.72121143728008</v>
      </c>
      <c r="AL1022" s="3" t="n">
        <v>24.94678823646892</v>
      </c>
      <c r="AM1022" s="3" t="n">
        <v>23.06755052311836</v>
      </c>
      <c r="AN1022" s="3" t="n">
        <v>23.08553015390211</v>
      </c>
      <c r="AO1022" s="3" t="n">
        <v>23.60418770330103</v>
      </c>
      <c r="AP1022" s="3" t="n">
        <v>23.8046023628069</v>
      </c>
      <c r="AQ1022" s="3" t="n">
        <v>24.02684637182862</v>
      </c>
      <c r="AR1022" s="3" t="n">
        <v>24.62328912709115</v>
      </c>
      <c r="AS1022" s="3" t="n">
        <v>25.2503576329352</v>
      </c>
      <c r="AT1022" s="3" t="n">
        <v>25.90448128103425</v>
      </c>
      <c r="AU1022" s="3" t="n">
        <v>26.58785651569796</v>
      </c>
      <c r="AV1022" s="3" t="n">
        <v>27.30087287931589</v>
      </c>
      <c r="AW1022" s="3" t="n">
        <v>28.04574172468529</v>
      </c>
      <c r="AX1022" s="3" t="n">
        <v>28.81990050221619</v>
      </c>
      <c r="AY1022" s="3" t="n">
        <v>29.62431293107255</v>
      </c>
      <c r="AZ1022" s="3" t="n">
        <v>30.4582044267778</v>
      </c>
      <c r="BA1022" s="3" t="n">
        <v>30.91478780861731</v>
      </c>
      <c r="BC1022" s="20" t="inlineStr">
        <is>
          <t>egy.mit.effprice.all.oop.4</t>
        </is>
      </c>
      <c r="BD1022" s="3" t="n">
        <v>31.12195704559131</v>
      </c>
      <c r="BE1022" s="3" t="n">
        <v>27.93345229061824</v>
      </c>
      <c r="BF1022" s="3" t="n">
        <v>27.4954390153166</v>
      </c>
      <c r="BG1022" s="3" t="n">
        <v>22.72206308771291</v>
      </c>
      <c r="BH1022" s="3" t="n">
        <v>24.94754502598297</v>
      </c>
      <c r="BI1022" s="3" t="n">
        <v>23.19802173009426</v>
      </c>
      <c r="BJ1022" s="3" t="n">
        <v>22.97927375618399</v>
      </c>
      <c r="BK1022" s="3" t="n">
        <v>23.27908477849793</v>
      </c>
      <c r="BL1022" s="3" t="n">
        <v>23.59702724329235</v>
      </c>
      <c r="BM1022" s="3" t="n">
        <v>23.67174178488905</v>
      </c>
      <c r="BN1022" s="3" t="n">
        <v>24.11772486509752</v>
      </c>
      <c r="BO1022" s="3" t="n">
        <v>24.58924205349487</v>
      </c>
      <c r="BP1022" s="3" t="n">
        <v>25.08610490249298</v>
      </c>
      <c r="BQ1022" s="3" t="n">
        <v>25.6079171381672</v>
      </c>
      <c r="BR1022" s="3" t="n">
        <v>26.15441699127073</v>
      </c>
      <c r="BS1022" s="3" t="n">
        <v>26.72665407619305</v>
      </c>
      <c r="BT1022" s="3" t="n">
        <v>27.3237494217851</v>
      </c>
      <c r="BU1022" s="3" t="n">
        <v>27.9455899838934</v>
      </c>
      <c r="BV1022" s="3" t="n">
        <v>28.5914561976051</v>
      </c>
      <c r="BW1022" s="3" t="n">
        <v>28.9283474884292</v>
      </c>
      <c r="BY1022" s="20" t="inlineStr">
        <is>
          <t>egy.mit.effprice.all.oop.5</t>
        </is>
      </c>
      <c r="BZ1022" s="3" t="n">
        <v>31.12195704559131</v>
      </c>
      <c r="CA1022" s="3" t="n">
        <v>27.93527718320713</v>
      </c>
      <c r="CB1022" s="3" t="n">
        <v>27.49725273453472</v>
      </c>
      <c r="CC1022" s="3" t="n">
        <v>22.72304594283242</v>
      </c>
      <c r="CD1022" s="3" t="n">
        <v>24.94841653080694</v>
      </c>
      <c r="CE1022" s="3" t="n">
        <v>22.99820630072535</v>
      </c>
      <c r="CF1022" s="3" t="n">
        <v>23.01406108435934</v>
      </c>
      <c r="CG1022" s="3" t="n">
        <v>23.23013032650097</v>
      </c>
      <c r="CH1022" s="3" t="n">
        <v>23.44212039046106</v>
      </c>
      <c r="CI1022" s="3" t="n">
        <v>23.647094953969</v>
      </c>
      <c r="CJ1022" s="3" t="n">
        <v>24.21883935485037</v>
      </c>
      <c r="CK1022" s="3" t="n">
        <v>24.81923000906324</v>
      </c>
      <c r="CL1022" s="3" t="n">
        <v>25.44707358739728</v>
      </c>
      <c r="CM1022" s="3" t="n">
        <v>26.10290332046209</v>
      </c>
      <c r="CN1022" s="3" t="n">
        <v>26.78807090872854</v>
      </c>
      <c r="CO1022" s="3" t="n">
        <v>27.50425700378024</v>
      </c>
      <c r="CP1022" s="3" t="n">
        <v>28.24964092621559</v>
      </c>
      <c r="CQ1022" s="3" t="n">
        <v>29.02547616352226</v>
      </c>
      <c r="CR1022" s="3" t="n">
        <v>29.83115596394079</v>
      </c>
      <c r="CS1022" s="3" t="n">
        <v>30.28404118788189</v>
      </c>
      <c r="CU1022" s="20" t="inlineStr">
        <is>
          <t>egy.mit.effprice.all.oop.6</t>
        </is>
      </c>
      <c r="CV1022" s="3" t="n">
        <v>31.12195704559131</v>
      </c>
      <c r="CW1022" s="3" t="n">
        <v>27.93282398739661</v>
      </c>
      <c r="CX1022" s="3" t="n">
        <v>27.49481453755885</v>
      </c>
      <c r="CY1022" s="3" t="n">
        <v>22.72172425027521</v>
      </c>
      <c r="CZ1022" s="3" t="n">
        <v>24.94724380841094</v>
      </c>
      <c r="DA1022" s="3" t="n">
        <v>22.71729503210332</v>
      </c>
      <c r="DB1022" s="3" t="n">
        <v>22.72646777641898</v>
      </c>
      <c r="DC1022" s="3" t="n">
        <v>23.20434387103879</v>
      </c>
      <c r="DD1022" s="3" t="n">
        <v>23.69179774740112</v>
      </c>
      <c r="DE1022" s="3" t="n">
        <v>23.91022543283945</v>
      </c>
      <c r="DF1022" s="3" t="n">
        <v>24.49854075667214</v>
      </c>
      <c r="DG1022" s="3" t="n">
        <v>25.11925671749751</v>
      </c>
      <c r="DH1022" s="3" t="n">
        <v>25.76928939353056</v>
      </c>
      <c r="DI1022" s="3" t="n">
        <v>26.44765585848211</v>
      </c>
      <c r="DJ1022" s="3" t="n">
        <v>27.15647101515778</v>
      </c>
      <c r="DK1022" s="3" t="n">
        <v>27.89895664081026</v>
      </c>
      <c r="DL1022" s="3" t="n">
        <v>28.66968396955829</v>
      </c>
      <c r="DM1022" s="3" t="n">
        <v>29.47055690944612</v>
      </c>
      <c r="DN1022" s="3" t="n">
        <v>30.29934612358526</v>
      </c>
      <c r="DO1022" s="3" t="n">
        <v>30.75671339157945</v>
      </c>
    </row>
    <row r="1023">
      <c r="A1023" s="19" t="inlineStr">
        <is>
          <t>mit.rpsub.all.oop</t>
        </is>
      </c>
      <c r="B1023" s="3" t="inlineStr">
        <is>
          <t>mit</t>
        </is>
      </c>
      <c r="C1023" s="19" t="inlineStr">
        <is>
          <t>mit.rp.oop.all</t>
        </is>
      </c>
      <c r="H1023" s="3" t="inlineStr">
        <is>
          <t>Energy subsidies: retail price of the scenario | All sectors | Other oil products</t>
        </is>
      </c>
      <c r="I1023" s="3" t="inlineStr">
        <is>
          <t>USD/GJ, USD/kWh</t>
        </is>
      </c>
      <c r="K1023" s="20" t="inlineStr">
        <is>
          <t>egy.mit.rpsub.all.oop.1</t>
        </is>
      </c>
      <c r="L1023" s="3" t="n">
        <v>4.863441586801504</v>
      </c>
      <c r="M1023" s="3" t="n">
        <v>4.398444273684698</v>
      </c>
      <c r="N1023" s="3" t="n">
        <v>4.185618044494788</v>
      </c>
      <c r="O1023" s="3" t="n">
        <v>4.185618044494788</v>
      </c>
      <c r="P1023" s="3" t="n">
        <v>4.185618044494788</v>
      </c>
      <c r="Q1023" s="3" t="n">
        <v>4.185618044494788</v>
      </c>
      <c r="R1023" s="3" t="n">
        <v>4.185618044494788</v>
      </c>
      <c r="S1023" s="3" t="n">
        <v>4.185618044494788</v>
      </c>
      <c r="T1023" s="3" t="n">
        <v>4.185618044494788</v>
      </c>
      <c r="U1023" s="3" t="n">
        <v>4.185618044494788</v>
      </c>
      <c r="V1023" s="3" t="n">
        <v>4.185618044494788</v>
      </c>
      <c r="W1023" s="3" t="n">
        <v>4.185618044494787</v>
      </c>
      <c r="X1023" s="3" t="n">
        <v>4.185618044494792</v>
      </c>
      <c r="Y1023" s="3" t="n">
        <v>4.185618044494792</v>
      </c>
      <c r="Z1023" s="3" t="n">
        <v>4.185618044494792</v>
      </c>
      <c r="AA1023" s="3" t="n">
        <v>4.18561804449479</v>
      </c>
      <c r="AB1023" s="3" t="n">
        <v>4.185618044494793</v>
      </c>
      <c r="AC1023" s="3" t="n">
        <v>4.185618044494792</v>
      </c>
      <c r="AD1023" s="3" t="n">
        <v>4.185618044494792</v>
      </c>
      <c r="AE1023" s="3" t="n">
        <v>4.185618044494792</v>
      </c>
      <c r="AG1023" s="20" t="inlineStr">
        <is>
          <t>egy.mit.rpsub.all.oop.3</t>
        </is>
      </c>
      <c r="AH1023" s="3" t="n">
        <v>4.863441586801504</v>
      </c>
      <c r="AI1023" s="3" t="n">
        <v>4.398444273684698</v>
      </c>
      <c r="AJ1023" s="3" t="n">
        <v>4.185618044494788</v>
      </c>
      <c r="AK1023" s="3" t="n">
        <v>4.185618044494788</v>
      </c>
      <c r="AL1023" s="3" t="n">
        <v>4.185618044494788</v>
      </c>
      <c r="AM1023" s="3" t="n">
        <v>5.641612612414508</v>
      </c>
      <c r="AN1023" s="3" t="n">
        <v>5.6416290357413</v>
      </c>
      <c r="AO1023" s="3" t="n">
        <v>5.641645405581253</v>
      </c>
      <c r="AP1023" s="3" t="n">
        <v>5.641661722066684</v>
      </c>
      <c r="AQ1023" s="3" t="n">
        <v>5.64167798532989</v>
      </c>
      <c r="AR1023" s="3" t="n">
        <v>5.641694195503145</v>
      </c>
      <c r="AS1023" s="3" t="n">
        <v>5.641710352718693</v>
      </c>
      <c r="AT1023" s="3" t="n">
        <v>5.641726457108752</v>
      </c>
      <c r="AU1023" s="3" t="n">
        <v>5.641742508805498</v>
      </c>
      <c r="AV1023" s="3" t="n">
        <v>5.641758507941086</v>
      </c>
      <c r="AW1023" s="3" t="n">
        <v>5.641774454647624</v>
      </c>
      <c r="AX1023" s="3" t="n">
        <v>5.641790349057191</v>
      </c>
      <c r="AY1023" s="3" t="n">
        <v>5.641806191301806</v>
      </c>
      <c r="AZ1023" s="3" t="n">
        <v>5.641821981513463</v>
      </c>
      <c r="BA1023" s="3" t="n">
        <v>5.641837719824096</v>
      </c>
      <c r="BC1023" s="20" t="inlineStr">
        <is>
          <t>egy.mit.rpsub.all.oop.4</t>
        </is>
      </c>
      <c r="BD1023" s="3" t="n">
        <v>4.863441586801504</v>
      </c>
      <c r="BE1023" s="3" t="n">
        <v>4.398444273684698</v>
      </c>
      <c r="BF1023" s="3" t="n">
        <v>4.185618044494788</v>
      </c>
      <c r="BG1023" s="3" t="n">
        <v>4.185618044494788</v>
      </c>
      <c r="BH1023" s="3" t="n">
        <v>4.185618044494788</v>
      </c>
      <c r="BI1023" s="3" t="n">
        <v>4.916233322627264</v>
      </c>
      <c r="BJ1023" s="3" t="n">
        <v>5.883100282863285</v>
      </c>
      <c r="BK1023" s="3" t="n">
        <v>6.843095265852652</v>
      </c>
      <c r="BL1023" s="3" t="n">
        <v>7.797285477170166</v>
      </c>
      <c r="BM1023" s="3" t="n">
        <v>8.74463169119551</v>
      </c>
      <c r="BN1023" s="3" t="n">
        <v>9.68619719895481</v>
      </c>
      <c r="BO1023" s="3" t="n">
        <v>10.62229691555894</v>
      </c>
      <c r="BP1023" s="3" t="n">
        <v>11.55319930750162</v>
      </c>
      <c r="BQ1023" s="3" t="n">
        <v>12.4791369889502</v>
      </c>
      <c r="BR1023" s="3" t="n">
        <v>13.40031419252547</v>
      </c>
      <c r="BS1023" s="3" t="n">
        <v>14.31691221301936</v>
      </c>
      <c r="BT1023" s="3" t="n">
        <v>15.229093483293</v>
      </c>
      <c r="BU1023" s="3" t="n">
        <v>16.13700469641576</v>
      </c>
      <c r="BV1023" s="3" t="n">
        <v>17.04077924412943</v>
      </c>
      <c r="BW1023" s="3" t="n">
        <v>17.94053915352658</v>
      </c>
      <c r="BY1023" s="20" t="inlineStr">
        <is>
          <t>egy.mit.rpsub.all.oop.5</t>
        </is>
      </c>
      <c r="BZ1023" s="3" t="n">
        <v>4.863441586801504</v>
      </c>
      <c r="CA1023" s="3" t="n">
        <v>4.398444273684698</v>
      </c>
      <c r="CB1023" s="3" t="n">
        <v>4.185618044494788</v>
      </c>
      <c r="CC1023" s="3" t="n">
        <v>4.185618044494788</v>
      </c>
      <c r="CD1023" s="3" t="n">
        <v>4.185618044494788</v>
      </c>
      <c r="CE1023" s="3" t="n">
        <v>6.002532365739725</v>
      </c>
      <c r="CF1023" s="3" t="n">
        <v>6.002551871961028</v>
      </c>
      <c r="CG1023" s="3" t="n">
        <v>6.002571314707296</v>
      </c>
      <c r="CH1023" s="3" t="n">
        <v>6.002590694135182</v>
      </c>
      <c r="CI1023" s="3" t="n">
        <v>6.002610010401304</v>
      </c>
      <c r="CJ1023" s="3" t="n">
        <v>6.002629263662268</v>
      </c>
      <c r="CK1023" s="3" t="n">
        <v>6.002648454074642</v>
      </c>
      <c r="CL1023" s="3" t="n">
        <v>6.002667581794974</v>
      </c>
      <c r="CM1023" s="3" t="n">
        <v>6.002686646979754</v>
      </c>
      <c r="CN1023" s="3" t="n">
        <v>6.002705649785458</v>
      </c>
      <c r="CO1023" s="3" t="n">
        <v>6.002724590368506</v>
      </c>
      <c r="CP1023" s="3" t="n">
        <v>6.002743468885289</v>
      </c>
      <c r="CQ1023" s="3" t="n">
        <v>6.002762285492133</v>
      </c>
      <c r="CR1023" s="3" t="n">
        <v>6.002781040345328</v>
      </c>
      <c r="CS1023" s="3" t="n">
        <v>6.002799733601103</v>
      </c>
      <c r="CU1023" s="20" t="inlineStr">
        <is>
          <t>egy.mit.rpsub.all.oop.6</t>
        </is>
      </c>
      <c r="CV1023" s="3" t="n">
        <v>4.863441586801504</v>
      </c>
      <c r="CW1023" s="3" t="n">
        <v>4.398444273684698</v>
      </c>
      <c r="CX1023" s="3" t="n">
        <v>4.185618044494788</v>
      </c>
      <c r="CY1023" s="3" t="n">
        <v>4.185618044494788</v>
      </c>
      <c r="CZ1023" s="3" t="n">
        <v>4.185618044494788</v>
      </c>
      <c r="DA1023" s="3" t="n">
        <v>7.790908789611065</v>
      </c>
      <c r="DB1023" s="3" t="n">
        <v>7.790938006559598</v>
      </c>
      <c r="DC1023" s="3" t="n">
        <v>7.790967128723961</v>
      </c>
      <c r="DD1023" s="3" t="n">
        <v>7.790996156335956</v>
      </c>
      <c r="DE1023" s="3" t="n">
        <v>7.79102508962737</v>
      </c>
      <c r="DF1023" s="3" t="n">
        <v>7.791053928829969</v>
      </c>
      <c r="DG1023" s="3" t="n">
        <v>7.791082674175498</v>
      </c>
      <c r="DH1023" s="3" t="n">
        <v>7.791111325895669</v>
      </c>
      <c r="DI1023" s="3" t="n">
        <v>7.791139884222155</v>
      </c>
      <c r="DJ1023" s="3" t="n">
        <v>7.7911683493866</v>
      </c>
      <c r="DK1023" s="3" t="n">
        <v>7.791196721620596</v>
      </c>
      <c r="DL1023" s="3" t="n">
        <v>7.791225001155699</v>
      </c>
      <c r="DM1023" s="3" t="n">
        <v>7.791253188223401</v>
      </c>
      <c r="DN1023" s="3" t="n">
        <v>7.791281283055139</v>
      </c>
      <c r="DO1023" s="3" t="n">
        <v>7.791309285882292</v>
      </c>
    </row>
    <row r="1024">
      <c r="A1024" s="19" t="inlineStr">
        <is>
          <t>mit.con.all.oop</t>
        </is>
      </c>
      <c r="B1024" s="3" t="inlineStr">
        <is>
          <t>mit</t>
        </is>
      </c>
      <c r="C1024" s="19" t="inlineStr">
        <is>
          <t>mit.con.oop.all</t>
        </is>
      </c>
      <c r="H1024" s="3" t="inlineStr">
        <is>
          <t>Energy subsidies: consumption of the line | All sectors | Other oil products</t>
        </is>
      </c>
      <c r="I1024" s="3" t="inlineStr">
        <is>
          <t>PJ, GWh</t>
        </is>
      </c>
      <c r="K1024" s="20" t="inlineStr">
        <is>
          <t>egy.mit.con.all.oop.1</t>
        </is>
      </c>
      <c r="L1024" s="3" t="n">
        <v>317.2217577554</v>
      </c>
      <c r="M1024" s="3" t="n">
        <v>295.7136580233436</v>
      </c>
      <c r="N1024" s="3" t="n">
        <v>305.7368723105776</v>
      </c>
      <c r="O1024" s="3" t="n">
        <v>348.117655548185</v>
      </c>
      <c r="P1024" s="3" t="n">
        <v>392.7971840792984</v>
      </c>
      <c r="Q1024" s="3" t="n">
        <v>440.7315880098161</v>
      </c>
      <c r="R1024" s="3" t="n">
        <v>492.2941250827971</v>
      </c>
      <c r="S1024" s="3" t="n">
        <v>546.6735910038697</v>
      </c>
      <c r="T1024" s="3" t="n">
        <v>604.0047305011902</v>
      </c>
      <c r="U1024" s="3" t="n">
        <v>596.4922884962373</v>
      </c>
      <c r="V1024" s="3" t="n">
        <v>589.5168837351129</v>
      </c>
      <c r="W1024" s="3" t="n">
        <v>582.9759081963581</v>
      </c>
      <c r="X1024" s="3" t="n">
        <v>577.3025329839583</v>
      </c>
      <c r="Y1024" s="3" t="n">
        <v>571.805428330601</v>
      </c>
      <c r="Z1024" s="3" t="n">
        <v>566.7240892399238</v>
      </c>
      <c r="AA1024" s="3" t="n">
        <v>562.0025316469678</v>
      </c>
      <c r="AB1024" s="3" t="n">
        <v>557.6349858995709</v>
      </c>
      <c r="AC1024" s="3" t="n">
        <v>553.6104989089536</v>
      </c>
      <c r="AD1024" s="3" t="n">
        <v>549.9134804075824</v>
      </c>
      <c r="AE1024" s="3" t="n">
        <v>546.5332344488942</v>
      </c>
      <c r="AG1024" s="20" t="inlineStr">
        <is>
          <t>egy.mit.con.all.oop.3</t>
        </is>
      </c>
      <c r="AH1024" s="3" t="n">
        <v>317.2217577554</v>
      </c>
      <c r="AI1024" s="3" t="n">
        <v>295.6574740311606</v>
      </c>
      <c r="AJ1024" s="3" t="n">
        <v>305.6822935753141</v>
      </c>
      <c r="AK1024" s="3" t="n">
        <v>348.0645452548575</v>
      </c>
      <c r="AL1024" s="3" t="n">
        <v>392.7454059259184</v>
      </c>
      <c r="AM1024" s="3" t="n">
        <v>417.6167443779264</v>
      </c>
      <c r="AN1024" s="3" t="n">
        <v>468.2523808747031</v>
      </c>
      <c r="AO1024" s="3" t="n">
        <v>462.5192432809226</v>
      </c>
      <c r="AP1024" s="3" t="n">
        <v>514.0523792479989</v>
      </c>
      <c r="AQ1024" s="3" t="n">
        <v>507.3237432577243</v>
      </c>
      <c r="AR1024" s="3" t="n">
        <v>501.1047796256005</v>
      </c>
      <c r="AS1024" s="3" t="n">
        <v>495.1769316393532</v>
      </c>
      <c r="AT1024" s="3" t="n">
        <v>489.9769730573472</v>
      </c>
      <c r="AU1024" s="3" t="n">
        <v>484.9677952392026</v>
      </c>
      <c r="AV1024" s="3" t="n">
        <v>480.3566905016268</v>
      </c>
      <c r="AW1024" s="3" t="n">
        <v>476.1383647947615</v>
      </c>
      <c r="AX1024" s="3" t="n">
        <v>472.1814902988802</v>
      </c>
      <c r="AY1024" s="3" t="n">
        <v>468.4926078872844</v>
      </c>
      <c r="AZ1024" s="3" t="n">
        <v>465.0191691041884</v>
      </c>
      <c r="BA1024" s="3" t="n">
        <v>461.8016274235638</v>
      </c>
      <c r="BC1024" s="20" t="inlineStr">
        <is>
          <t>egy.mit.con.all.oop.4</t>
        </is>
      </c>
      <c r="BD1024" s="3" t="n">
        <v>317.2217577554</v>
      </c>
      <c r="BE1024" s="3" t="n">
        <v>295.5456403366638</v>
      </c>
      <c r="BF1024" s="3" t="n">
        <v>305.5736551292314</v>
      </c>
      <c r="BG1024" s="3" t="n">
        <v>347.9587876661293</v>
      </c>
      <c r="BH1024" s="3" t="n">
        <v>392.6422154840937</v>
      </c>
      <c r="BI1024" s="3" t="n">
        <v>425.6380822778084</v>
      </c>
      <c r="BJ1024" s="3" t="n">
        <v>461.7378427305144</v>
      </c>
      <c r="BK1024" s="3" t="n">
        <v>444.5723561575825</v>
      </c>
      <c r="BL1024" s="3" t="n">
        <v>429.2162489759909</v>
      </c>
      <c r="BM1024" s="3" t="n">
        <v>416.4013782910153</v>
      </c>
      <c r="BN1024" s="3" t="n">
        <v>404.5583161997423</v>
      </c>
      <c r="BO1024" s="3" t="n">
        <v>393.5367406314548</v>
      </c>
      <c r="BP1024" s="3" t="n">
        <v>383.2510992417528</v>
      </c>
      <c r="BQ1024" s="3" t="n">
        <v>373.5754519601575</v>
      </c>
      <c r="BR1024" s="3" t="n">
        <v>364.4430839418699</v>
      </c>
      <c r="BS1024" s="3" t="n">
        <v>355.8073243494928</v>
      </c>
      <c r="BT1024" s="3" t="n">
        <v>347.6065000614684</v>
      </c>
      <c r="BU1024" s="3" t="n">
        <v>339.7890586662239</v>
      </c>
      <c r="BV1024" s="3" t="n">
        <v>332.3000004162355</v>
      </c>
      <c r="BW1024" s="3" t="n">
        <v>325.1071292944673</v>
      </c>
      <c r="BY1024" s="20" t="inlineStr">
        <is>
          <t>egy.mit.con.all.oop.5</t>
        </is>
      </c>
      <c r="BZ1024" s="3" t="n">
        <v>317.2217577554</v>
      </c>
      <c r="CA1024" s="3" t="n">
        <v>295.4165388921017</v>
      </c>
      <c r="CB1024" s="3" t="n">
        <v>305.4482422973712</v>
      </c>
      <c r="CC1024" s="3" t="n">
        <v>347.8368206423172</v>
      </c>
      <c r="CD1024" s="3" t="n">
        <v>392.5234532218572</v>
      </c>
      <c r="CE1024" s="3" t="n">
        <v>413.1428921957117</v>
      </c>
      <c r="CF1024" s="3" t="n">
        <v>463.6118778208967</v>
      </c>
      <c r="CG1024" s="3" t="n">
        <v>516.9805549842333</v>
      </c>
      <c r="CH1024" s="3" t="n">
        <v>573.2000529597155</v>
      </c>
      <c r="CI1024" s="3" t="n">
        <v>564.2148710099171</v>
      </c>
      <c r="CJ1024" s="3" t="n">
        <v>555.5660600224517</v>
      </c>
      <c r="CK1024" s="3" t="n">
        <v>547.4837884031917</v>
      </c>
      <c r="CL1024" s="3" t="n">
        <v>539.8300983123131</v>
      </c>
      <c r="CM1024" s="3" t="n">
        <v>532.5683747685551</v>
      </c>
      <c r="CN1024" s="3" t="n">
        <v>525.7323952004068</v>
      </c>
      <c r="CO1024" s="3" t="n">
        <v>519.3346603367743</v>
      </c>
      <c r="CP1024" s="3" t="n">
        <v>513.2641096518269</v>
      </c>
      <c r="CQ1024" s="3" t="n">
        <v>507.5522321016742</v>
      </c>
      <c r="CR1024" s="3" t="n">
        <v>502.139838150746</v>
      </c>
      <c r="CS1024" s="3" t="n">
        <v>497.084234937199</v>
      </c>
      <c r="CU1024" s="20" t="inlineStr">
        <is>
          <t>egy.mit.con.all.oop.6</t>
        </is>
      </c>
      <c r="CV1024" s="3" t="n">
        <v>317.2217577554</v>
      </c>
      <c r="CW1024" s="3" t="n">
        <v>295.5901167644269</v>
      </c>
      <c r="CX1024" s="3" t="n">
        <v>305.6168608019156</v>
      </c>
      <c r="CY1024" s="3" t="n">
        <v>348.0008563035576</v>
      </c>
      <c r="CZ1024" s="3" t="n">
        <v>392.6832806057258</v>
      </c>
      <c r="DA1024" s="3" t="n">
        <v>397.151872774225</v>
      </c>
      <c r="DB1024" s="3" t="n">
        <v>446.9680845996181</v>
      </c>
      <c r="DC1024" s="3" t="n">
        <v>440.4858107153742</v>
      </c>
      <c r="DD1024" s="3" t="n">
        <v>433.8893183866916</v>
      </c>
      <c r="DE1024" s="3" t="n">
        <v>427.8066658062302</v>
      </c>
      <c r="DF1024" s="3" t="n">
        <v>422.1057380867481</v>
      </c>
      <c r="DG1024" s="3" t="n">
        <v>416.8793215139588</v>
      </c>
      <c r="DH1024" s="3" t="n">
        <v>412.1490739826593</v>
      </c>
      <c r="DI1024" s="3" t="n">
        <v>407.6515368711529</v>
      </c>
      <c r="DJ1024" s="3" t="n">
        <v>403.5155925094325</v>
      </c>
      <c r="DK1024" s="3" t="n">
        <v>399.7715973158501</v>
      </c>
      <c r="DL1024" s="3" t="n">
        <v>396.2094502159795</v>
      </c>
      <c r="DM1024" s="3" t="n">
        <v>392.853231331618</v>
      </c>
      <c r="DN1024" s="3" t="n">
        <v>389.6249241700655</v>
      </c>
      <c r="DO1024" s="3" t="n">
        <v>386.600425791115</v>
      </c>
    </row>
    <row r="1025">
      <c r="A1025" s="19" t="inlineStr">
        <is>
          <t>mit.expsub.con.all.oop</t>
        </is>
      </c>
      <c r="B1025" s="3" t="inlineStr">
        <is>
          <t>mit</t>
        </is>
      </c>
      <c r="C1025" s="19" t="inlineStr">
        <is>
          <t>mit.expsub.con.oop.all</t>
        </is>
      </c>
      <c r="H1025" s="3" t="inlineStr">
        <is>
          <t>Explicit consumer subsidy | All sectors | Other oil products</t>
        </is>
      </c>
      <c r="I1025" s="3" t="inlineStr">
        <is>
          <t>USD bn real</t>
        </is>
      </c>
      <c r="K1025" s="20" t="inlineStr">
        <is>
          <t>egy.mit.expsub.con.all.oop.1</t>
        </is>
      </c>
      <c r="L1025" s="3" t="n">
        <v>4.395016968882708</v>
      </c>
      <c r="M1025" s="3" t="n">
        <v>3.350301737958009</v>
      </c>
      <c r="N1025" s="3" t="n">
        <v>3.347859865071849</v>
      </c>
      <c r="O1025" s="3" t="n">
        <v>3.009743829182344</v>
      </c>
      <c r="P1025" s="3" t="n">
        <v>4.025112052736604</v>
      </c>
      <c r="Q1025" s="3" t="n">
        <v>3.784394144050839</v>
      </c>
      <c r="R1025" s="3" t="n">
        <v>4.002222002611814</v>
      </c>
      <c r="S1025" s="3" t="n">
        <v>4.318410994181682</v>
      </c>
      <c r="T1025" s="3" t="n">
        <v>4.649645862352439</v>
      </c>
      <c r="U1025" s="3" t="n">
        <v>4.4612986604254</v>
      </c>
      <c r="V1025" s="3" t="n">
        <v>4.409128054841912</v>
      </c>
      <c r="W1025" s="3" t="n">
        <v>4.360206642156951</v>
      </c>
      <c r="X1025" s="3" t="n">
        <v>4.317774205521468</v>
      </c>
      <c r="Y1025" s="3" t="n">
        <v>4.276660135651317</v>
      </c>
      <c r="Z1025" s="3" t="n">
        <v>4.238655669012603</v>
      </c>
      <c r="AA1025" s="3" t="n">
        <v>4.20334208831623</v>
      </c>
      <c r="AB1025" s="3" t="n">
        <v>4.170676241048816</v>
      </c>
      <c r="AC1025" s="3" t="n">
        <v>4.140576206620199</v>
      </c>
      <c r="AD1025" s="3" t="n">
        <v>4.112925381947655</v>
      </c>
      <c r="AE1025" s="3" t="n">
        <v>4.087643769664917</v>
      </c>
      <c r="AG1025" s="20" t="inlineStr">
        <is>
          <t>egy.mit.expsub.con.all.oop.3</t>
        </is>
      </c>
      <c r="AH1025" s="3" t="n">
        <v>4.395016968882708</v>
      </c>
      <c r="AI1025" s="3" t="n">
        <v>3.349665198787265</v>
      </c>
      <c r="AJ1025" s="3" t="n">
        <v>3.347262220581362</v>
      </c>
      <c r="AK1025" s="3" t="n">
        <v>3.009284650008117</v>
      </c>
      <c r="AL1025" s="3" t="n">
        <v>4.02458146627192</v>
      </c>
      <c r="AM1025" s="3" t="n">
        <v>2.977868081629542</v>
      </c>
      <c r="AN1025" s="3" t="n">
        <v>3.124988320273857</v>
      </c>
      <c r="AO1025" s="3" t="n">
        <v>2.98019875268115</v>
      </c>
      <c r="AP1025" s="3" t="n">
        <v>3.20870734734552</v>
      </c>
      <c r="AQ1025" s="3" t="n">
        <v>3.05569347376796</v>
      </c>
      <c r="AR1025" s="3" t="n">
        <v>3.018227520665494</v>
      </c>
      <c r="AS1025" s="3" t="n">
        <v>2.982515222884216</v>
      </c>
      <c r="AT1025" s="3" t="n">
        <v>2.951187303568152</v>
      </c>
      <c r="AU1025" s="3" t="n">
        <v>2.921008668561832</v>
      </c>
      <c r="AV1025" s="3" t="n">
        <v>2.893227846492005</v>
      </c>
      <c r="AW1025" s="3" t="n">
        <v>2.867812931048998</v>
      </c>
      <c r="AX1025" s="3" t="n">
        <v>2.843972908640707</v>
      </c>
      <c r="AY1025" s="3" t="n">
        <v>2.821747162023501</v>
      </c>
      <c r="AZ1025" s="3" t="n">
        <v>2.800819177487112</v>
      </c>
      <c r="BA1025" s="3" t="n">
        <v>2.781432595618529</v>
      </c>
      <c r="BC1025" s="20" t="inlineStr">
        <is>
          <t>egy.mit.expsub.con.all.oop.4</t>
        </is>
      </c>
      <c r="BD1025" s="3" t="n">
        <v>4.395016968882708</v>
      </c>
      <c r="BE1025" s="3" t="n">
        <v>3.348398173707871</v>
      </c>
      <c r="BF1025" s="3" t="n">
        <v>3.346072614987849</v>
      </c>
      <c r="BG1025" s="3" t="n">
        <v>3.008370294631447</v>
      </c>
      <c r="BH1025" s="3" t="n">
        <v>4.023524042471673</v>
      </c>
      <c r="BI1025" s="3" t="n">
        <v>3.343814277946618</v>
      </c>
      <c r="BJ1025" s="3" t="n">
        <v>2.970015661735148</v>
      </c>
      <c r="BK1025" s="3" t="n">
        <v>2.330428297290628</v>
      </c>
      <c r="BL1025" s="3" t="n">
        <v>1.75393273472415</v>
      </c>
      <c r="BM1025" s="3" t="n">
        <v>1.215979071850098</v>
      </c>
      <c r="BN1025" s="3" t="n">
        <v>0.8004766983823389</v>
      </c>
      <c r="BO1025" s="3" t="n">
        <v>0.410279297719262</v>
      </c>
      <c r="BP1025" s="3" t="n">
        <v>0.04278670083316394</v>
      </c>
      <c r="BQ1025" s="3" t="n">
        <v>0</v>
      </c>
      <c r="BR1025" s="3" t="n">
        <v>0</v>
      </c>
      <c r="BS1025" s="3" t="n">
        <v>0</v>
      </c>
      <c r="BT1025" s="3" t="n">
        <v>0</v>
      </c>
      <c r="BU1025" s="3" t="n">
        <v>0</v>
      </c>
      <c r="BV1025" s="3" t="n">
        <v>0</v>
      </c>
      <c r="BW1025" s="3" t="n">
        <v>0</v>
      </c>
      <c r="BY1025" s="20" t="inlineStr">
        <is>
          <t>egy.mit.expsub.con.all.oop.5</t>
        </is>
      </c>
      <c r="BZ1025" s="3" t="n">
        <v>4.395016968882708</v>
      </c>
      <c r="CA1025" s="3" t="n">
        <v>3.346935512845398</v>
      </c>
      <c r="CB1025" s="3" t="n">
        <v>3.344699327614373</v>
      </c>
      <c r="CC1025" s="3" t="n">
        <v>3.007315796270241</v>
      </c>
      <c r="CD1025" s="3" t="n">
        <v>4.022307049497909</v>
      </c>
      <c r="CE1025" s="3" t="n">
        <v>2.796855292061327</v>
      </c>
      <c r="CF1025" s="3" t="n">
        <v>2.926690758248405</v>
      </c>
      <c r="CG1025" s="3" t="n">
        <v>3.144523357877284</v>
      </c>
      <c r="CH1025" s="3" t="n">
        <v>3.371021745830668</v>
      </c>
      <c r="CI1025" s="3" t="n">
        <v>3.194714779414606</v>
      </c>
      <c r="CJ1025" s="3" t="n">
        <v>3.145732519628699</v>
      </c>
      <c r="CK1025" s="3" t="n">
        <v>3.099958482090407</v>
      </c>
      <c r="CL1025" s="3" t="n">
        <v>3.056611491397653</v>
      </c>
      <c r="CM1025" s="3" t="n">
        <v>3.015484201768325</v>
      </c>
      <c r="CN1025" s="3" t="n">
        <v>2.976767841702097</v>
      </c>
      <c r="CO1025" s="3" t="n">
        <v>2.940533166146472</v>
      </c>
      <c r="CP1025" s="3" t="n">
        <v>2.906151313425109</v>
      </c>
      <c r="CQ1025" s="3" t="n">
        <v>2.873800556737949</v>
      </c>
      <c r="CR1025" s="3" t="n">
        <v>2.84314574001475</v>
      </c>
      <c r="CS1025" s="3" t="n">
        <v>2.814511320690912</v>
      </c>
      <c r="CU1025" s="20" t="inlineStr">
        <is>
          <t>egy.mit.expsub.con.all.oop.6</t>
        </is>
      </c>
      <c r="CV1025" s="3" t="n">
        <v>4.395016968882708</v>
      </c>
      <c r="CW1025" s="3" t="n">
        <v>3.348902071479211</v>
      </c>
      <c r="CX1025" s="3" t="n">
        <v>3.346545722913725</v>
      </c>
      <c r="CY1025" s="3" t="n">
        <v>3.008734010231286</v>
      </c>
      <c r="CZ1025" s="3" t="n">
        <v>4.02394484924608</v>
      </c>
      <c r="DA1025" s="3" t="n">
        <v>1.978343770127819</v>
      </c>
      <c r="DB1025" s="3" t="n">
        <v>2.022270234410347</v>
      </c>
      <c r="DC1025" s="3" t="n">
        <v>1.891482703895021</v>
      </c>
      <c r="DD1025" s="3" t="n">
        <v>1.775757454560093</v>
      </c>
      <c r="DE1025" s="3" t="n">
        <v>1.657244156337353</v>
      </c>
      <c r="DF1025" s="3" t="n">
        <v>1.635147640136362</v>
      </c>
      <c r="DG1025" s="3" t="n">
        <v>1.614889633219044</v>
      </c>
      <c r="DH1025" s="3" t="n">
        <v>1.59655398992241</v>
      </c>
      <c r="DI1025" s="3" t="n">
        <v>1.579120106287335</v>
      </c>
      <c r="DJ1025" s="3" t="n">
        <v>1.563087208945827</v>
      </c>
      <c r="DK1025" s="3" t="n">
        <v>1.548572855729275</v>
      </c>
      <c r="DL1025" s="3" t="n">
        <v>1.534763161312516</v>
      </c>
      <c r="DM1025" s="3" t="n">
        <v>1.521751385646237</v>
      </c>
      <c r="DN1025" s="3" t="n">
        <v>1.50923530877277</v>
      </c>
      <c r="DO1025" s="3" t="n">
        <v>1.497508908576617</v>
      </c>
    </row>
    <row r="1026">
      <c r="A1026" s="19" t="inlineStr">
        <is>
          <t>mit.vatext.ind.nga</t>
        </is>
      </c>
      <c r="B1026" s="3" t="inlineStr">
        <is>
          <t>mit</t>
        </is>
      </c>
      <c r="C1026" s="19" t="inlineStr">
        <is>
          <t>mit.vatext.nga.ind</t>
        </is>
      </c>
      <c r="H1026" s="3" t="inlineStr">
        <is>
          <t>Energy subsidies: VAT on supply cost and externalities | Industry | Natural gas</t>
        </is>
      </c>
      <c r="I1026" s="3" t="inlineStr">
        <is>
          <t>USD/GJ, USD/kWh</t>
        </is>
      </c>
      <c r="K1026" s="20" t="inlineStr">
        <is>
          <t>egy.mit.vatext.ind.nga.1</t>
        </is>
      </c>
      <c r="L1026" s="3" t="n">
        <v>0</v>
      </c>
      <c r="M1026" s="3" t="n">
        <v>0</v>
      </c>
      <c r="N1026" s="3" t="n">
        <v>0</v>
      </c>
      <c r="O1026" s="3" t="n">
        <v>0</v>
      </c>
      <c r="P1026" s="3" t="n">
        <v>0</v>
      </c>
      <c r="Q1026" s="3" t="n">
        <v>0</v>
      </c>
      <c r="R1026" s="3" t="n">
        <v>0</v>
      </c>
      <c r="S1026" s="3" t="n">
        <v>0</v>
      </c>
      <c r="T1026" s="3" t="n">
        <v>0</v>
      </c>
      <c r="U1026" s="3" t="n">
        <v>0</v>
      </c>
      <c r="V1026" s="3" t="n">
        <v>0</v>
      </c>
      <c r="W1026" s="3" t="n">
        <v>0</v>
      </c>
      <c r="X1026" s="3" t="n">
        <v>0</v>
      </c>
      <c r="Y1026" s="3" t="n">
        <v>0</v>
      </c>
      <c r="Z1026" s="3" t="n">
        <v>0</v>
      </c>
      <c r="AA1026" s="3" t="n">
        <v>0</v>
      </c>
      <c r="AB1026" s="3" t="n">
        <v>0</v>
      </c>
      <c r="AC1026" s="3" t="n">
        <v>0</v>
      </c>
      <c r="AD1026" s="3" t="n">
        <v>0</v>
      </c>
      <c r="AE1026" s="3" t="n">
        <v>0</v>
      </c>
      <c r="AG1026" s="20" t="inlineStr">
        <is>
          <t>egy.mit.vatext.ind.nga.3</t>
        </is>
      </c>
      <c r="AH1026" s="3" t="n">
        <v>0</v>
      </c>
      <c r="AI1026" s="3" t="n">
        <v>0</v>
      </c>
      <c r="AJ1026" s="3" t="n">
        <v>0</v>
      </c>
      <c r="AK1026" s="3" t="n">
        <v>0</v>
      </c>
      <c r="AL1026" s="3" t="n">
        <v>0</v>
      </c>
      <c r="AM1026" s="3" t="n">
        <v>0</v>
      </c>
      <c r="AN1026" s="3" t="n">
        <v>0</v>
      </c>
      <c r="AO1026" s="3" t="n">
        <v>0</v>
      </c>
      <c r="AP1026" s="3" t="n">
        <v>0</v>
      </c>
      <c r="AQ1026" s="3" t="n">
        <v>0</v>
      </c>
      <c r="AR1026" s="3" t="n">
        <v>0</v>
      </c>
      <c r="AS1026" s="3" t="n">
        <v>0</v>
      </c>
      <c r="AT1026" s="3" t="n">
        <v>0</v>
      </c>
      <c r="AU1026" s="3" t="n">
        <v>0</v>
      </c>
      <c r="AV1026" s="3" t="n">
        <v>0</v>
      </c>
      <c r="AW1026" s="3" t="n">
        <v>0</v>
      </c>
      <c r="AX1026" s="3" t="n">
        <v>0</v>
      </c>
      <c r="AY1026" s="3" t="n">
        <v>0</v>
      </c>
      <c r="AZ1026" s="3" t="n">
        <v>0</v>
      </c>
      <c r="BA1026" s="3" t="n">
        <v>0</v>
      </c>
      <c r="BC1026" s="20" t="inlineStr">
        <is>
          <t>egy.mit.vatext.ind.nga.4</t>
        </is>
      </c>
      <c r="BD1026" s="3" t="n">
        <v>0</v>
      </c>
      <c r="BE1026" s="3" t="n">
        <v>0</v>
      </c>
      <c r="BF1026" s="3" t="n">
        <v>0</v>
      </c>
      <c r="BG1026" s="3" t="n">
        <v>0</v>
      </c>
      <c r="BH1026" s="3" t="n">
        <v>0</v>
      </c>
      <c r="BI1026" s="3" t="n">
        <v>0</v>
      </c>
      <c r="BJ1026" s="3" t="n">
        <v>0</v>
      </c>
      <c r="BK1026" s="3" t="n">
        <v>0</v>
      </c>
      <c r="BL1026" s="3" t="n">
        <v>0</v>
      </c>
      <c r="BM1026" s="3" t="n">
        <v>0</v>
      </c>
      <c r="BN1026" s="3" t="n">
        <v>0</v>
      </c>
      <c r="BO1026" s="3" t="n">
        <v>0</v>
      </c>
      <c r="BP1026" s="3" t="n">
        <v>0</v>
      </c>
      <c r="BQ1026" s="3" t="n">
        <v>0</v>
      </c>
      <c r="BR1026" s="3" t="n">
        <v>0</v>
      </c>
      <c r="BS1026" s="3" t="n">
        <v>0</v>
      </c>
      <c r="BT1026" s="3" t="n">
        <v>0</v>
      </c>
      <c r="BU1026" s="3" t="n">
        <v>0</v>
      </c>
      <c r="BV1026" s="3" t="n">
        <v>0</v>
      </c>
      <c r="BW1026" s="3" t="n">
        <v>0</v>
      </c>
      <c r="BY1026" s="20" t="inlineStr">
        <is>
          <t>egy.mit.vatext.ind.nga.5</t>
        </is>
      </c>
      <c r="BZ1026" s="3" t="n">
        <v>0</v>
      </c>
      <c r="CA1026" s="3" t="n">
        <v>0</v>
      </c>
      <c r="CB1026" s="3" t="n">
        <v>0</v>
      </c>
      <c r="CC1026" s="3" t="n">
        <v>0</v>
      </c>
      <c r="CD1026" s="3" t="n">
        <v>0</v>
      </c>
      <c r="CE1026" s="3" t="n">
        <v>0</v>
      </c>
      <c r="CF1026" s="3" t="n">
        <v>0</v>
      </c>
      <c r="CG1026" s="3" t="n">
        <v>0</v>
      </c>
      <c r="CH1026" s="3" t="n">
        <v>0</v>
      </c>
      <c r="CI1026" s="3" t="n">
        <v>0</v>
      </c>
      <c r="CJ1026" s="3" t="n">
        <v>0</v>
      </c>
      <c r="CK1026" s="3" t="n">
        <v>0</v>
      </c>
      <c r="CL1026" s="3" t="n">
        <v>0</v>
      </c>
      <c r="CM1026" s="3" t="n">
        <v>0</v>
      </c>
      <c r="CN1026" s="3" t="n">
        <v>0</v>
      </c>
      <c r="CO1026" s="3" t="n">
        <v>0</v>
      </c>
      <c r="CP1026" s="3" t="n">
        <v>0</v>
      </c>
      <c r="CQ1026" s="3" t="n">
        <v>0</v>
      </c>
      <c r="CR1026" s="3" t="n">
        <v>0</v>
      </c>
      <c r="CS1026" s="3" t="n">
        <v>0</v>
      </c>
      <c r="CU1026" s="20" t="inlineStr">
        <is>
          <t>egy.mit.vatext.ind.nga.6</t>
        </is>
      </c>
      <c r="CV1026" s="3" t="n">
        <v>0</v>
      </c>
      <c r="CW1026" s="3" t="n">
        <v>0</v>
      </c>
      <c r="CX1026" s="3" t="n">
        <v>0</v>
      </c>
      <c r="CY1026" s="3" t="n">
        <v>0</v>
      </c>
      <c r="CZ1026" s="3" t="n">
        <v>0</v>
      </c>
      <c r="DA1026" s="3" t="n">
        <v>0</v>
      </c>
      <c r="DB1026" s="3" t="n">
        <v>0</v>
      </c>
      <c r="DC1026" s="3" t="n">
        <v>0</v>
      </c>
      <c r="DD1026" s="3" t="n">
        <v>0</v>
      </c>
      <c r="DE1026" s="3" t="n">
        <v>0</v>
      </c>
      <c r="DF1026" s="3" t="n">
        <v>0</v>
      </c>
      <c r="DG1026" s="3" t="n">
        <v>0</v>
      </c>
      <c r="DH1026" s="3" t="n">
        <v>0</v>
      </c>
      <c r="DI1026" s="3" t="n">
        <v>0</v>
      </c>
      <c r="DJ1026" s="3" t="n">
        <v>0</v>
      </c>
      <c r="DK1026" s="3" t="n">
        <v>0</v>
      </c>
      <c r="DL1026" s="3" t="n">
        <v>0</v>
      </c>
      <c r="DM1026" s="3" t="n">
        <v>0</v>
      </c>
      <c r="DN1026" s="3" t="n">
        <v>0</v>
      </c>
      <c r="DO1026" s="3" t="n">
        <v>0</v>
      </c>
    </row>
    <row r="1027">
      <c r="A1027" s="19" t="inlineStr">
        <is>
          <t>mit.effprice.ind.nga</t>
        </is>
      </c>
      <c r="B1027" s="3" t="inlineStr">
        <is>
          <t>mit</t>
        </is>
      </c>
      <c r="C1027" s="19" t="inlineStr">
        <is>
          <t>mit.effprice.nga.ind</t>
        </is>
      </c>
      <c r="H1027" s="3" t="inlineStr">
        <is>
          <t>Energy subsidies: efficient price | Industry | Natural gas</t>
        </is>
      </c>
      <c r="I1027" s="3" t="inlineStr">
        <is>
          <t>USD/GJ, USD/kWh</t>
        </is>
      </c>
      <c r="K1027" s="20" t="inlineStr">
        <is>
          <t>egy.mit.effprice.ind.nga.1</t>
        </is>
      </c>
      <c r="L1027" s="3" t="n">
        <v>15.24360186652304</v>
      </c>
      <c r="M1027" s="3" t="n">
        <v>13.63740099867776</v>
      </c>
      <c r="N1027" s="3" t="n">
        <v>12.92047777983593</v>
      </c>
      <c r="O1027" s="3" t="n">
        <v>12.97362223641505</v>
      </c>
      <c r="P1027" s="3" t="n">
        <v>13.07435952142557</v>
      </c>
      <c r="Q1027" s="3" t="n">
        <v>13.2900438178057</v>
      </c>
      <c r="R1027" s="3" t="n">
        <v>13.53223425805643</v>
      </c>
      <c r="S1027" s="3" t="n">
        <v>13.72907891525606</v>
      </c>
      <c r="T1027" s="3" t="n">
        <v>13.91114156926995</v>
      </c>
      <c r="U1027" s="3" t="n">
        <v>14.08735641891064</v>
      </c>
      <c r="V1027" s="3" t="n">
        <v>14.27022091372359</v>
      </c>
      <c r="W1027" s="3" t="n">
        <v>14.46033142068721</v>
      </c>
      <c r="X1027" s="3" t="n">
        <v>14.65796440751784</v>
      </c>
      <c r="Y1027" s="3" t="n">
        <v>14.86341582459372</v>
      </c>
      <c r="Z1027" s="3" t="n">
        <v>15.07698069934599</v>
      </c>
      <c r="AA1027" s="3" t="n">
        <v>15.29898626676878</v>
      </c>
      <c r="AB1027" s="3" t="n">
        <v>15.52973754316921</v>
      </c>
      <c r="AC1027" s="3" t="n">
        <v>15.76956787054262</v>
      </c>
      <c r="AD1027" s="3" t="n">
        <v>16.01882275694714</v>
      </c>
      <c r="AE1027" s="3" t="n">
        <v>16.26661538559173</v>
      </c>
      <c r="AG1027" s="20" t="inlineStr">
        <is>
          <t>egy.mit.effprice.ind.nga.3</t>
        </is>
      </c>
      <c r="AH1027" s="3" t="n">
        <v>15.24360186652304</v>
      </c>
      <c r="AI1027" s="3" t="n">
        <v>13.63740099867776</v>
      </c>
      <c r="AJ1027" s="3" t="n">
        <v>12.92047777983593</v>
      </c>
      <c r="AK1027" s="3" t="n">
        <v>12.97362223641505</v>
      </c>
      <c r="AL1027" s="3" t="n">
        <v>13.07435952142557</v>
      </c>
      <c r="AM1027" s="3" t="n">
        <v>13.2900438178057</v>
      </c>
      <c r="AN1027" s="3" t="n">
        <v>13.53223425805643</v>
      </c>
      <c r="AO1027" s="3" t="n">
        <v>13.72907891525606</v>
      </c>
      <c r="AP1027" s="3" t="n">
        <v>13.91114156926995</v>
      </c>
      <c r="AQ1027" s="3" t="n">
        <v>14.08735641891064</v>
      </c>
      <c r="AR1027" s="3" t="n">
        <v>14.27022091372359</v>
      </c>
      <c r="AS1027" s="3" t="n">
        <v>14.46033142068721</v>
      </c>
      <c r="AT1027" s="3" t="n">
        <v>14.65796440751784</v>
      </c>
      <c r="AU1027" s="3" t="n">
        <v>14.86341582459372</v>
      </c>
      <c r="AV1027" s="3" t="n">
        <v>15.07698069934599</v>
      </c>
      <c r="AW1027" s="3" t="n">
        <v>15.29898626676878</v>
      </c>
      <c r="AX1027" s="3" t="n">
        <v>15.52973754316921</v>
      </c>
      <c r="AY1027" s="3" t="n">
        <v>15.76956787054262</v>
      </c>
      <c r="AZ1027" s="3" t="n">
        <v>16.01882275694714</v>
      </c>
      <c r="BA1027" s="3" t="n">
        <v>16.26661538559173</v>
      </c>
      <c r="BC1027" s="20" t="inlineStr">
        <is>
          <t>egy.mit.effprice.ind.nga.4</t>
        </is>
      </c>
      <c r="BD1027" s="3" t="n">
        <v>15.24360186652304</v>
      </c>
      <c r="BE1027" s="3" t="n">
        <v>13.63740099867776</v>
      </c>
      <c r="BF1027" s="3" t="n">
        <v>12.92047777983593</v>
      </c>
      <c r="BG1027" s="3" t="n">
        <v>12.97362223641505</v>
      </c>
      <c r="BH1027" s="3" t="n">
        <v>13.07435952142557</v>
      </c>
      <c r="BI1027" s="3" t="n">
        <v>13.2900438178057</v>
      </c>
      <c r="BJ1027" s="3" t="n">
        <v>13.53223425805643</v>
      </c>
      <c r="BK1027" s="3" t="n">
        <v>13.72907891525606</v>
      </c>
      <c r="BL1027" s="3" t="n">
        <v>13.91114156926995</v>
      </c>
      <c r="BM1027" s="3" t="n">
        <v>14.08735641891064</v>
      </c>
      <c r="BN1027" s="3" t="n">
        <v>14.27022091372359</v>
      </c>
      <c r="BO1027" s="3" t="n">
        <v>14.46033142068721</v>
      </c>
      <c r="BP1027" s="3" t="n">
        <v>14.65796440751784</v>
      </c>
      <c r="BQ1027" s="3" t="n">
        <v>14.86341582459372</v>
      </c>
      <c r="BR1027" s="3" t="n">
        <v>15.07698069934599</v>
      </c>
      <c r="BS1027" s="3" t="n">
        <v>15.29898626676878</v>
      </c>
      <c r="BT1027" s="3" t="n">
        <v>15.52973754316921</v>
      </c>
      <c r="BU1027" s="3" t="n">
        <v>15.76956787054262</v>
      </c>
      <c r="BV1027" s="3" t="n">
        <v>16.01882275694714</v>
      </c>
      <c r="BW1027" s="3" t="n">
        <v>16.26661538559173</v>
      </c>
      <c r="BY1027" s="20" t="inlineStr">
        <is>
          <t>egy.mit.effprice.ind.nga.5</t>
        </is>
      </c>
      <c r="BZ1027" s="3" t="n">
        <v>15.24360186652304</v>
      </c>
      <c r="CA1027" s="3" t="n">
        <v>13.63740099867776</v>
      </c>
      <c r="CB1027" s="3" t="n">
        <v>12.92047777983593</v>
      </c>
      <c r="CC1027" s="3" t="n">
        <v>12.97362223641505</v>
      </c>
      <c r="CD1027" s="3" t="n">
        <v>13.07435952142557</v>
      </c>
      <c r="CE1027" s="3" t="n">
        <v>13.2900438155894</v>
      </c>
      <c r="CF1027" s="3" t="n">
        <v>13.53223425582694</v>
      </c>
      <c r="CG1027" s="3" t="n">
        <v>13.7290789132281</v>
      </c>
      <c r="CH1027" s="3" t="n">
        <v>13.91114156767089</v>
      </c>
      <c r="CI1027" s="3" t="n">
        <v>14.08735641799542</v>
      </c>
      <c r="CJ1027" s="3" t="n">
        <v>14.27022091365612</v>
      </c>
      <c r="CK1027" s="3" t="n">
        <v>14.46033142169742</v>
      </c>
      <c r="CL1027" s="3" t="n">
        <v>14.65796440982523</v>
      </c>
      <c r="CM1027" s="3" t="n">
        <v>14.86341582843918</v>
      </c>
      <c r="CN1027" s="3" t="n">
        <v>15.07698070429409</v>
      </c>
      <c r="CO1027" s="3" t="n">
        <v>15.29898627299188</v>
      </c>
      <c r="CP1027" s="3" t="n">
        <v>15.52973755084392</v>
      </c>
      <c r="CQ1027" s="3" t="n">
        <v>15.76956787985741</v>
      </c>
      <c r="CR1027" s="3" t="n">
        <v>16.01882276810749</v>
      </c>
      <c r="CS1027" s="3" t="n">
        <v>16.26661539833446</v>
      </c>
      <c r="CU1027" s="20" t="inlineStr">
        <is>
          <t>egy.mit.effprice.ind.nga.6</t>
        </is>
      </c>
      <c r="CV1027" s="3" t="n">
        <v>15.24360186652304</v>
      </c>
      <c r="CW1027" s="3" t="n">
        <v>13.63740099867776</v>
      </c>
      <c r="CX1027" s="3" t="n">
        <v>12.92047777983593</v>
      </c>
      <c r="CY1027" s="3" t="n">
        <v>12.97362223641505</v>
      </c>
      <c r="CZ1027" s="3" t="n">
        <v>13.07435952142557</v>
      </c>
      <c r="DA1027" s="3" t="n">
        <v>13.2900438178057</v>
      </c>
      <c r="DB1027" s="3" t="n">
        <v>13.53223425805643</v>
      </c>
      <c r="DC1027" s="3" t="n">
        <v>13.72907891525606</v>
      </c>
      <c r="DD1027" s="3" t="n">
        <v>13.91114156926995</v>
      </c>
      <c r="DE1027" s="3" t="n">
        <v>14.08735641891064</v>
      </c>
      <c r="DF1027" s="3" t="n">
        <v>14.27022091372359</v>
      </c>
      <c r="DG1027" s="3" t="n">
        <v>14.46033142068721</v>
      </c>
      <c r="DH1027" s="3" t="n">
        <v>14.65796440751784</v>
      </c>
      <c r="DI1027" s="3" t="n">
        <v>14.86341582459372</v>
      </c>
      <c r="DJ1027" s="3" t="n">
        <v>15.07698069934599</v>
      </c>
      <c r="DK1027" s="3" t="n">
        <v>15.29898626676878</v>
      </c>
      <c r="DL1027" s="3" t="n">
        <v>15.52973754316921</v>
      </c>
      <c r="DM1027" s="3" t="n">
        <v>15.76956787054262</v>
      </c>
      <c r="DN1027" s="3" t="n">
        <v>16.01882275694714</v>
      </c>
      <c r="DO1027" s="3" t="n">
        <v>16.26661538559173</v>
      </c>
    </row>
    <row r="1028">
      <c r="A1028" s="19" t="inlineStr">
        <is>
          <t>mit.con.ind.nga</t>
        </is>
      </c>
      <c r="B1028" s="3" t="inlineStr">
        <is>
          <t>mit</t>
        </is>
      </c>
      <c r="C1028" s="19" t="inlineStr">
        <is>
          <t>mit.con.nga.ind</t>
        </is>
      </c>
      <c r="H1028" s="3" t="inlineStr">
        <is>
          <t>Energy subsidies: consumption of the line | Industry | Natural gas</t>
        </is>
      </c>
      <c r="I1028" s="3" t="inlineStr">
        <is>
          <t>PJ, GWh</t>
        </is>
      </c>
      <c r="K1028" s="20" t="inlineStr">
        <is>
          <t>egy.mit.con.ind.nga.1</t>
        </is>
      </c>
      <c r="L1028" s="3" t="n">
        <v>454.8494995931825</v>
      </c>
      <c r="M1028" s="3" t="n">
        <v>360.2507584668136</v>
      </c>
      <c r="N1028" s="3" t="n">
        <v>415.4573514817808</v>
      </c>
      <c r="O1028" s="3" t="n">
        <v>431.8751373952008</v>
      </c>
      <c r="P1028" s="3" t="n">
        <v>448.093844692275</v>
      </c>
      <c r="Q1028" s="3" t="n">
        <v>467.4184835987624</v>
      </c>
      <c r="R1028" s="3" t="n">
        <v>490.6289512746599</v>
      </c>
      <c r="S1028" s="3" t="n">
        <v>513.2040057075872</v>
      </c>
      <c r="T1028" s="3" t="n">
        <v>534.6288548021824</v>
      </c>
      <c r="U1028" s="3" t="n">
        <v>556.5175924370764</v>
      </c>
      <c r="V1028" s="3" t="n">
        <v>578.9501254616524</v>
      </c>
      <c r="W1028" s="3" t="n">
        <v>601.9265152357095</v>
      </c>
      <c r="X1028" s="3" t="n">
        <v>625.4464163211322</v>
      </c>
      <c r="Y1028" s="3" t="n">
        <v>649.509070340939</v>
      </c>
      <c r="Z1028" s="3" t="n">
        <v>674.1132990002212</v>
      </c>
      <c r="AA1028" s="3" t="n">
        <v>699.2574961999887</v>
      </c>
      <c r="AB1028" s="3" t="n">
        <v>724.939619177622</v>
      </c>
      <c r="AC1028" s="3" t="n">
        <v>751.1571786102807</v>
      </c>
      <c r="AD1028" s="3" t="n">
        <v>777.9072276201881</v>
      </c>
      <c r="AE1028" s="3" t="n">
        <v>805.1863496232667</v>
      </c>
      <c r="AG1028" s="20" t="inlineStr">
        <is>
          <t>egy.mit.con.ind.nga.3</t>
        </is>
      </c>
      <c r="AH1028" s="3" t="n">
        <v>454.8494995931825</v>
      </c>
      <c r="AI1028" s="3" t="n">
        <v>360.2507584668136</v>
      </c>
      <c r="AJ1028" s="3" t="n">
        <v>415.4573514817808</v>
      </c>
      <c r="AK1028" s="3" t="n">
        <v>431.8751373952008</v>
      </c>
      <c r="AL1028" s="3" t="n">
        <v>448.093844692275</v>
      </c>
      <c r="AM1028" s="3" t="n">
        <v>400.8269823267374</v>
      </c>
      <c r="AN1028" s="3" t="n">
        <v>420.7306548237519</v>
      </c>
      <c r="AO1028" s="3" t="n">
        <v>440.3451402598906</v>
      </c>
      <c r="AP1028" s="3" t="n">
        <v>458.1303400160579</v>
      </c>
      <c r="AQ1028" s="3" t="n">
        <v>476.994001535735</v>
      </c>
      <c r="AR1028" s="3" t="n">
        <v>495.9643063033939</v>
      </c>
      <c r="AS1028" s="3" t="n">
        <v>515.9969128571246</v>
      </c>
      <c r="AT1028" s="3" t="n">
        <v>536.8118378737715</v>
      </c>
      <c r="AU1028" s="3" t="n">
        <v>557.980364801867</v>
      </c>
      <c r="AV1028" s="3" t="n">
        <v>579.7743319233364</v>
      </c>
      <c r="AW1028" s="3" t="n">
        <v>602.3862723492153</v>
      </c>
      <c r="AX1028" s="3" t="n">
        <v>625.2029672504608</v>
      </c>
      <c r="AY1028" s="3" t="n">
        <v>648.3456230143761</v>
      </c>
      <c r="AZ1028" s="3" t="n">
        <v>671.5706071532931</v>
      </c>
      <c r="BA1028" s="3" t="n">
        <v>695.1417608893976</v>
      </c>
      <c r="BC1028" s="20" t="inlineStr">
        <is>
          <t>egy.mit.con.ind.nga.4</t>
        </is>
      </c>
      <c r="BD1028" s="3" t="n">
        <v>454.8494995931825</v>
      </c>
      <c r="BE1028" s="3" t="n">
        <v>360.2507584668136</v>
      </c>
      <c r="BF1028" s="3" t="n">
        <v>415.4573514817808</v>
      </c>
      <c r="BG1028" s="3" t="n">
        <v>431.8751373952008</v>
      </c>
      <c r="BH1028" s="3" t="n">
        <v>448.093844692275</v>
      </c>
      <c r="BI1028" s="3" t="n">
        <v>425.8125561160231</v>
      </c>
      <c r="BJ1028" s="3" t="n">
        <v>401.1173609687737</v>
      </c>
      <c r="BK1028" s="3" t="n">
        <v>381.9533367600515</v>
      </c>
      <c r="BL1028" s="3" t="n">
        <v>365.8516920871982</v>
      </c>
      <c r="BM1028" s="3" t="n">
        <v>356.4538025579928</v>
      </c>
      <c r="BN1028" s="3" t="n">
        <v>348.8519762950239</v>
      </c>
      <c r="BO1028" s="3" t="n">
        <v>342.9247507691007</v>
      </c>
      <c r="BP1028" s="3" t="n">
        <v>338.4961474289909</v>
      </c>
      <c r="BQ1028" s="3" t="n">
        <v>335.2451722174664</v>
      </c>
      <c r="BR1028" s="3" t="n">
        <v>332.9890059956649</v>
      </c>
      <c r="BS1028" s="3" t="n">
        <v>331.6607691792643</v>
      </c>
      <c r="BT1028" s="3" t="n">
        <v>331.048079802728</v>
      </c>
      <c r="BU1028" s="3" t="n">
        <v>331.0011460425708</v>
      </c>
      <c r="BV1028" s="3" t="n">
        <v>331.307667117536</v>
      </c>
      <c r="BW1028" s="3" t="n">
        <v>331.8829560384553</v>
      </c>
      <c r="BY1028" s="20" t="inlineStr">
        <is>
          <t>egy.mit.con.ind.nga.5</t>
        </is>
      </c>
      <c r="BZ1028" s="3" t="n">
        <v>454.8494995931825</v>
      </c>
      <c r="CA1028" s="3" t="n">
        <v>360.2507584668136</v>
      </c>
      <c r="CB1028" s="3" t="n">
        <v>415.4573514817808</v>
      </c>
      <c r="CC1028" s="3" t="n">
        <v>431.8751373952008</v>
      </c>
      <c r="CD1028" s="3" t="n">
        <v>448.093844692275</v>
      </c>
      <c r="CE1028" s="3" t="n">
        <v>400.4481845701749</v>
      </c>
      <c r="CF1028" s="3" t="n">
        <v>417.0776356986629</v>
      </c>
      <c r="CG1028" s="3" t="n">
        <v>433.4028805181365</v>
      </c>
      <c r="CH1028" s="3" t="n">
        <v>448.0322889098218</v>
      </c>
      <c r="CI1028" s="3" t="n">
        <v>463.8647075785752</v>
      </c>
      <c r="CJ1028" s="3" t="n">
        <v>479.6684823299458</v>
      </c>
      <c r="CK1028" s="3" t="n">
        <v>496.5115862875234</v>
      </c>
      <c r="CL1028" s="3" t="n">
        <v>513.8410606789421</v>
      </c>
      <c r="CM1028" s="3" t="n">
        <v>531.5022288385559</v>
      </c>
      <c r="CN1028" s="3" t="n">
        <v>550.9357865667926</v>
      </c>
      <c r="CO1028" s="3" t="n">
        <v>570.9842151383212</v>
      </c>
      <c r="CP1028" s="3" t="n">
        <v>591.1726157303115</v>
      </c>
      <c r="CQ1028" s="3" t="n">
        <v>611.6941273789157</v>
      </c>
      <c r="CR1028" s="3" t="n">
        <v>632.2953139681783</v>
      </c>
      <c r="CS1028" s="3" t="n">
        <v>653.2940330854723</v>
      </c>
      <c r="CU1028" s="20" t="inlineStr">
        <is>
          <t>egy.mit.con.ind.nga.6</t>
        </is>
      </c>
      <c r="CV1028" s="3" t="n">
        <v>454.8494995931825</v>
      </c>
      <c r="CW1028" s="3" t="n">
        <v>360.2507584668136</v>
      </c>
      <c r="CX1028" s="3" t="n">
        <v>415.4573514817808</v>
      </c>
      <c r="CY1028" s="3" t="n">
        <v>431.8751373952008</v>
      </c>
      <c r="CZ1028" s="3" t="n">
        <v>448.093844692275</v>
      </c>
      <c r="DA1028" s="3" t="n">
        <v>333.48339844433</v>
      </c>
      <c r="DB1028" s="3" t="n">
        <v>350.0429381887516</v>
      </c>
      <c r="DC1028" s="3" t="n">
        <v>366.6046434960974</v>
      </c>
      <c r="DD1028" s="3" t="n">
        <v>380.8272520366964</v>
      </c>
      <c r="DE1028" s="3" t="n">
        <v>396.6603295175824</v>
      </c>
      <c r="DF1028" s="3" t="n">
        <v>412.153773210509</v>
      </c>
      <c r="DG1028" s="3" t="n">
        <v>429.1704930311882</v>
      </c>
      <c r="DH1028" s="3" t="n">
        <v>447.0551436479131</v>
      </c>
      <c r="DI1028" s="3" t="n">
        <v>465.1576276322028</v>
      </c>
      <c r="DJ1028" s="3" t="n">
        <v>483.9222209948402</v>
      </c>
      <c r="DK1028" s="3" t="n">
        <v>503.7044113940647</v>
      </c>
      <c r="DL1028" s="3" t="n">
        <v>523.3977747354205</v>
      </c>
      <c r="DM1028" s="3" t="n">
        <v>543.2707686107738</v>
      </c>
      <c r="DN1028" s="3" t="n">
        <v>562.8623150246365</v>
      </c>
      <c r="DO1028" s="3" t="n">
        <v>582.666352708617</v>
      </c>
    </row>
    <row r="1029">
      <c r="A1029" s="19" t="inlineStr">
        <is>
          <t>mit.expsub.con.ind.nga</t>
        </is>
      </c>
      <c r="B1029" s="3" t="inlineStr">
        <is>
          <t>mit</t>
        </is>
      </c>
      <c r="C1029" s="19" t="inlineStr">
        <is>
          <t>mit.expsub.con.nga.ind</t>
        </is>
      </c>
      <c r="H1029" s="3" t="inlineStr">
        <is>
          <t>Explicit consumer subsidy | Industry | Natural gas</t>
        </is>
      </c>
      <c r="I1029" s="3" t="inlineStr">
        <is>
          <t>USD bn real</t>
        </is>
      </c>
      <c r="K1029" s="20" t="inlineStr">
        <is>
          <t>egy.mit.expsub.con.ind.nga.1</t>
        </is>
      </c>
      <c r="L1029" s="3" t="n">
        <v>3.22207449729986</v>
      </c>
      <c r="M1029" s="3" t="n">
        <v>1.850481044201527</v>
      </c>
      <c r="N1029" s="3" t="n">
        <v>1.88449765175137</v>
      </c>
      <c r="O1029" s="3" t="n">
        <v>1.94878413976208</v>
      </c>
      <c r="P1029" s="3" t="n">
        <v>1.996870992214117</v>
      </c>
      <c r="Q1029" s="3" t="n">
        <v>2.114170555376211</v>
      </c>
      <c r="R1029" s="3" t="n">
        <v>2.25765507156827</v>
      </c>
      <c r="S1029" s="3" t="n">
        <v>2.375881249709459</v>
      </c>
      <c r="T1029" s="3" t="n">
        <v>2.479307424534517</v>
      </c>
      <c r="U1029" s="3" t="n">
        <v>2.583316012384664</v>
      </c>
      <c r="V1029" s="3" t="n">
        <v>2.687446272682388</v>
      </c>
      <c r="W1029" s="3" t="n">
        <v>2.794101078238825</v>
      </c>
      <c r="X1029" s="3" t="n">
        <v>2.903278825554235</v>
      </c>
      <c r="Y1029" s="3" t="n">
        <v>3.014975994295343</v>
      </c>
      <c r="Z1029" s="3" t="n">
        <v>3.129187114899018</v>
      </c>
      <c r="AA1029" s="3" t="n">
        <v>3.245904731965295</v>
      </c>
      <c r="AB1029" s="3" t="n">
        <v>3.36511936313197</v>
      </c>
      <c r="AC1029" s="3" t="n">
        <v>3.486819453135308</v>
      </c>
      <c r="AD1029" s="3" t="n">
        <v>3.610991322773341</v>
      </c>
      <c r="AE1029" s="3" t="n">
        <v>3.73761911250007</v>
      </c>
      <c r="AG1029" s="20" t="inlineStr">
        <is>
          <t>egy.mit.expsub.con.ind.nga.3</t>
        </is>
      </c>
      <c r="AH1029" s="3" t="n">
        <v>3.22207449729986</v>
      </c>
      <c r="AI1029" s="3" t="n">
        <v>1.850481044201527</v>
      </c>
      <c r="AJ1029" s="3" t="n">
        <v>1.88449765175137</v>
      </c>
      <c r="AK1029" s="3" t="n">
        <v>1.94878413976208</v>
      </c>
      <c r="AL1029" s="3" t="n">
        <v>1.996870992214117</v>
      </c>
      <c r="AM1029" s="3" t="n">
        <v>1.367643913130798</v>
      </c>
      <c r="AN1029" s="3" t="n">
        <v>1.468572876964892</v>
      </c>
      <c r="AO1029" s="3" t="n">
        <v>1.549347029854522</v>
      </c>
      <c r="AP1029" s="3" t="n">
        <v>1.615557010183633</v>
      </c>
      <c r="AQ1029" s="3" t="n">
        <v>1.684221661222801</v>
      </c>
      <c r="AR1029" s="3" t="n">
        <v>1.751204051162344</v>
      </c>
      <c r="AS1029" s="3" t="n">
        <v>1.821937330364848</v>
      </c>
      <c r="AT1029" s="3" t="n">
        <v>1.895432903635991</v>
      </c>
      <c r="AU1029" s="3" t="n">
        <v>1.970177012521405</v>
      </c>
      <c r="AV1029" s="3" t="n">
        <v>2.047129492828867</v>
      </c>
      <c r="AW1029" s="3" t="n">
        <v>2.126970161149497</v>
      </c>
      <c r="AX1029" s="3" t="n">
        <v>2.207533798567296</v>
      </c>
      <c r="AY1029" s="3" t="n">
        <v>2.289248373615025</v>
      </c>
      <c r="AZ1029" s="3" t="n">
        <v>2.371253642533254</v>
      </c>
      <c r="BA1029" s="3" t="n">
        <v>2.454481204252152</v>
      </c>
      <c r="BC1029" s="20" t="inlineStr">
        <is>
          <t>egy.mit.expsub.con.ind.nga.4</t>
        </is>
      </c>
      <c r="BD1029" s="3" t="n">
        <v>3.22207449729986</v>
      </c>
      <c r="BE1029" s="3" t="n">
        <v>1.850481044201527</v>
      </c>
      <c r="BF1029" s="3" t="n">
        <v>1.88449765175137</v>
      </c>
      <c r="BG1029" s="3" t="n">
        <v>1.94878413976208</v>
      </c>
      <c r="BH1029" s="3" t="n">
        <v>1.996870992214117</v>
      </c>
      <c r="BI1029" s="3" t="n">
        <v>1.689439875816607</v>
      </c>
      <c r="BJ1029" s="3" t="n">
        <v>1.325836980297069</v>
      </c>
      <c r="BK1029" s="3" t="n">
        <v>0.9902639524370012</v>
      </c>
      <c r="BL1029" s="3" t="n">
        <v>0.6804398071386577</v>
      </c>
      <c r="BM1029" s="3" t="n">
        <v>0.4005438076071873</v>
      </c>
      <c r="BN1029" s="3" t="n">
        <v>0.1336132983001652</v>
      </c>
      <c r="BO1029" s="3" t="n">
        <v>0</v>
      </c>
      <c r="BP1029" s="3" t="n">
        <v>0</v>
      </c>
      <c r="BQ1029" s="3" t="n">
        <v>0</v>
      </c>
      <c r="BR1029" s="3" t="n">
        <v>0</v>
      </c>
      <c r="BS1029" s="3" t="n">
        <v>0</v>
      </c>
      <c r="BT1029" s="3" t="n">
        <v>0</v>
      </c>
      <c r="BU1029" s="3" t="n">
        <v>0</v>
      </c>
      <c r="BV1029" s="3" t="n">
        <v>0</v>
      </c>
      <c r="BW1029" s="3" t="n">
        <v>0</v>
      </c>
      <c r="BY1029" s="20" t="inlineStr">
        <is>
          <t>egy.mit.expsub.con.ind.nga.5</t>
        </is>
      </c>
      <c r="BZ1029" s="3" t="n">
        <v>3.22207449729986</v>
      </c>
      <c r="CA1029" s="3" t="n">
        <v>1.850481044201527</v>
      </c>
      <c r="CB1029" s="3" t="n">
        <v>1.88449765175137</v>
      </c>
      <c r="CC1029" s="3" t="n">
        <v>1.94878413976208</v>
      </c>
      <c r="CD1029" s="3" t="n">
        <v>1.996870992214117</v>
      </c>
      <c r="CE1029" s="3" t="n">
        <v>1.430276962498673</v>
      </c>
      <c r="CF1029" s="3" t="n">
        <v>1.519305265987599</v>
      </c>
      <c r="CG1029" s="3" t="n">
        <v>1.58793459420485</v>
      </c>
      <c r="CH1029" s="3" t="n">
        <v>1.642276358640326</v>
      </c>
      <c r="CI1029" s="3" t="n">
        <v>1.699737320033705</v>
      </c>
      <c r="CJ1029" s="3" t="n">
        <v>1.755092169515731</v>
      </c>
      <c r="CK1029" s="3" t="n">
        <v>1.814191366970994</v>
      </c>
      <c r="CL1029" s="3" t="n">
        <v>1.875053788222276</v>
      </c>
      <c r="CM1029" s="3" t="n">
        <v>1.937084201964228</v>
      </c>
      <c r="CN1029" s="3" t="n">
        <v>2.00676109176931</v>
      </c>
      <c r="CO1029" s="3" t="n">
        <v>2.078600355712763</v>
      </c>
      <c r="CP1029" s="3" t="n">
        <v>2.150884505503537</v>
      </c>
      <c r="CQ1029" s="3" t="n">
        <v>2.22431549128642</v>
      </c>
      <c r="CR1029" s="3" t="n">
        <v>2.297963985725662</v>
      </c>
      <c r="CS1029" s="3" t="n">
        <v>2.372983943321626</v>
      </c>
      <c r="CU1029" s="20" t="inlineStr">
        <is>
          <t>egy.mit.expsub.con.ind.nga.6</t>
        </is>
      </c>
      <c r="CV1029" s="3" t="n">
        <v>3.22207449729986</v>
      </c>
      <c r="CW1029" s="3" t="n">
        <v>1.850481044201527</v>
      </c>
      <c r="CX1029" s="3" t="n">
        <v>1.88449765175137</v>
      </c>
      <c r="CY1029" s="3" t="n">
        <v>1.94878413976208</v>
      </c>
      <c r="CZ1029" s="3" t="n">
        <v>1.996870992214117</v>
      </c>
      <c r="DA1029" s="3" t="n">
        <v>0.5821022164483629</v>
      </c>
      <c r="DB1029" s="3" t="n">
        <v>0.6384765998223672</v>
      </c>
      <c r="DC1029" s="3" t="n">
        <v>0.6789329681868714</v>
      </c>
      <c r="DD1029" s="3" t="n">
        <v>0.7082925336511301</v>
      </c>
      <c r="DE1029" s="3" t="n">
        <v>0.7395227050714529</v>
      </c>
      <c r="DF1029" s="3" t="n">
        <v>0.7684082591287497</v>
      </c>
      <c r="DG1029" s="3" t="n">
        <v>0.8001337676728897</v>
      </c>
      <c r="DH1029" s="3" t="n">
        <v>0.833477422732683</v>
      </c>
      <c r="DI1029" s="3" t="n">
        <v>0.8672272003846513</v>
      </c>
      <c r="DJ1029" s="3" t="n">
        <v>0.9022113967119731</v>
      </c>
      <c r="DK1029" s="3" t="n">
        <v>0.9390927732137908</v>
      </c>
      <c r="DL1029" s="3" t="n">
        <v>0.975808542970415</v>
      </c>
      <c r="DM1029" s="3" t="n">
        <v>1.012859210997752</v>
      </c>
      <c r="DN1029" s="3" t="n">
        <v>1.04938515605037</v>
      </c>
      <c r="DO1029" s="3" t="n">
        <v>1.086307264034311</v>
      </c>
    </row>
    <row r="1030">
      <c r="A1030" s="19" t="inlineStr">
        <is>
          <t>mit.impsub.con.ind.nga</t>
        </is>
      </c>
      <c r="B1030" s="3" t="inlineStr">
        <is>
          <t>mit</t>
        </is>
      </c>
      <c r="C1030" s="19" t="inlineStr">
        <is>
          <t>mit.impsub.con.nga.ind</t>
        </is>
      </c>
      <c r="H1030" s="3" t="inlineStr">
        <is>
          <t>Implicit consumer subsidy | Industry | Natural gas</t>
        </is>
      </c>
      <c r="I1030" s="3" t="inlineStr">
        <is>
          <t>USD bn real</t>
        </is>
      </c>
      <c r="K1030" s="20" t="inlineStr">
        <is>
          <t>egy.mit.impsub.con.ind.nga.1</t>
        </is>
      </c>
      <c r="L1030" s="3" t="n">
        <v>1.482800896669064</v>
      </c>
      <c r="M1030" s="3" t="n">
        <v>1.218475684418263</v>
      </c>
      <c r="N1030" s="3" t="n">
        <v>1.453897657300586</v>
      </c>
      <c r="O1030" s="3" t="n">
        <v>1.544487573839553</v>
      </c>
      <c r="P1030" s="3" t="n">
        <v>1.672727357823158</v>
      </c>
      <c r="Q1030" s="3" t="n">
        <v>1.814498897158484</v>
      </c>
      <c r="R1030" s="3" t="n">
        <v>1.984924852516261</v>
      </c>
      <c r="S1030" s="3" t="n">
        <v>2.162931761614526</v>
      </c>
      <c r="T1030" s="3" t="n">
        <v>2.346324436065433</v>
      </c>
      <c r="U1030" s="3" t="n">
        <v>2.537953198314556</v>
      </c>
      <c r="V1030" s="3" t="n">
        <v>2.746124362126598</v>
      </c>
      <c r="W1030" s="3" t="n">
        <v>2.969540439053353</v>
      </c>
      <c r="X1030" s="3" t="n">
        <v>3.209182212726089</v>
      </c>
      <c r="Y1030" s="3" t="n">
        <v>3.466090890000874</v>
      </c>
      <c r="Z1030" s="3" t="n">
        <v>3.741357738177304</v>
      </c>
      <c r="AA1030" s="3" t="n">
        <v>4.036148168886196</v>
      </c>
      <c r="AB1030" s="3" t="n">
        <v>4.351667370250877</v>
      </c>
      <c r="AC1030" s="3" t="n">
        <v>4.689196401712258</v>
      </c>
      <c r="AD1030" s="3" t="n">
        <v>5.050084240088889</v>
      </c>
      <c r="AE1030" s="3" t="n">
        <v>5.426696404374075</v>
      </c>
      <c r="AG1030" s="20" t="inlineStr">
        <is>
          <t>egy.mit.impsub.con.ind.nga.3</t>
        </is>
      </c>
      <c r="AH1030" s="3" t="n">
        <v>1.482800896669064</v>
      </c>
      <c r="AI1030" s="3" t="n">
        <v>1.218475684418263</v>
      </c>
      <c r="AJ1030" s="3" t="n">
        <v>1.453897657300586</v>
      </c>
      <c r="AK1030" s="3" t="n">
        <v>1.544487573839553</v>
      </c>
      <c r="AL1030" s="3" t="n">
        <v>1.672727357823158</v>
      </c>
      <c r="AM1030" s="3" t="n">
        <v>1.555993489567587</v>
      </c>
      <c r="AN1030" s="3" t="n">
        <v>1.702139123273213</v>
      </c>
      <c r="AO1030" s="3" t="n">
        <v>1.855863320138228</v>
      </c>
      <c r="AP1030" s="3" t="n">
        <v>2.010595578647496</v>
      </c>
      <c r="AQ1030" s="3" t="n">
        <v>2.175292332580401</v>
      </c>
      <c r="AR1030" s="3" t="n">
        <v>2.352499126239814</v>
      </c>
      <c r="AS1030" s="3" t="n">
        <v>2.54561588561337</v>
      </c>
      <c r="AT1030" s="3" t="n">
        <v>2.754395831090322</v>
      </c>
      <c r="AU1030" s="3" t="n">
        <v>2.977649962954203</v>
      </c>
      <c r="AV1030" s="3" t="n">
        <v>3.217772422462235</v>
      </c>
      <c r="AW1030" s="3" t="n">
        <v>3.477002768389494</v>
      </c>
      <c r="AX1030" s="3" t="n">
        <v>3.752968220241868</v>
      </c>
      <c r="AY1030" s="3" t="n">
        <v>4.047381891669636</v>
      </c>
      <c r="AZ1030" s="3" t="n">
        <v>4.359759131776136</v>
      </c>
      <c r="BA1030" s="3" t="n">
        <v>4.685031354684247</v>
      </c>
      <c r="BC1030" s="20" t="inlineStr">
        <is>
          <t>egy.mit.impsub.con.ind.nga.4</t>
        </is>
      </c>
      <c r="BD1030" s="3" t="n">
        <v>1.482800896669064</v>
      </c>
      <c r="BE1030" s="3" t="n">
        <v>1.218475684418263</v>
      </c>
      <c r="BF1030" s="3" t="n">
        <v>1.453897657300586</v>
      </c>
      <c r="BG1030" s="3" t="n">
        <v>1.544487573839553</v>
      </c>
      <c r="BH1030" s="3" t="n">
        <v>1.672727357823158</v>
      </c>
      <c r="BI1030" s="3" t="n">
        <v>1.652986436308752</v>
      </c>
      <c r="BJ1030" s="3" t="n">
        <v>1.622790127843352</v>
      </c>
      <c r="BK1030" s="3" t="n">
        <v>1.609767255019598</v>
      </c>
      <c r="BL1030" s="3" t="n">
        <v>1.605612486886249</v>
      </c>
      <c r="BM1030" s="3" t="n">
        <v>1.625578563099478</v>
      </c>
      <c r="BN1030" s="3" t="n">
        <v>1.65470369337234</v>
      </c>
      <c r="BO1030" s="3" t="n">
        <v>1.56912768444104</v>
      </c>
      <c r="BP1030" s="3" t="n">
        <v>1.365043608374343</v>
      </c>
      <c r="BQ1030" s="3" t="n">
        <v>1.172499998327752</v>
      </c>
      <c r="BR1030" s="3" t="n">
        <v>0.9890849565785592</v>
      </c>
      <c r="BS1030" s="3" t="n">
        <v>0.8131150121763371</v>
      </c>
      <c r="BT1030" s="3" t="n">
        <v>0.6428013002513208</v>
      </c>
      <c r="BU1030" s="3" t="n">
        <v>0.4769276634026328</v>
      </c>
      <c r="BV1030" s="3" t="n">
        <v>0.3145557208355891</v>
      </c>
      <c r="BW1030" s="3" t="n">
        <v>0.1515203125348235</v>
      </c>
      <c r="BY1030" s="20" t="inlineStr">
        <is>
          <t>egy.mit.impsub.con.ind.nga.5</t>
        </is>
      </c>
      <c r="BZ1030" s="3" t="n">
        <v>1.482800896669064</v>
      </c>
      <c r="CA1030" s="3" t="n">
        <v>1.218475684418263</v>
      </c>
      <c r="CB1030" s="3" t="n">
        <v>1.453897657300586</v>
      </c>
      <c r="CC1030" s="3" t="n">
        <v>1.544487573839553</v>
      </c>
      <c r="CD1030" s="3" t="n">
        <v>1.672727357823158</v>
      </c>
      <c r="CE1030" s="3" t="n">
        <v>1.554523011718537</v>
      </c>
      <c r="CF1030" s="3" t="n">
        <v>1.68736019739554</v>
      </c>
      <c r="CG1030" s="3" t="n">
        <v>1.826604712689942</v>
      </c>
      <c r="CH1030" s="3" t="n">
        <v>1.966278284065648</v>
      </c>
      <c r="CI1030" s="3" t="n">
        <v>2.115417255351433</v>
      </c>
      <c r="CJ1030" s="3" t="n">
        <v>2.275203419295345</v>
      </c>
      <c r="CK1030" s="3" t="n">
        <v>2.44948710003891</v>
      </c>
      <c r="CL1030" s="3" t="n">
        <v>2.63653216296317</v>
      </c>
      <c r="CM1030" s="3" t="n">
        <v>2.836349973916402</v>
      </c>
      <c r="CN1030" s="3" t="n">
        <v>3.057717260889527</v>
      </c>
      <c r="CO1030" s="3" t="n">
        <v>3.295748575313106</v>
      </c>
      <c r="CP1030" s="3" t="n">
        <v>3.54869083892384</v>
      </c>
      <c r="CQ1030" s="3" t="n">
        <v>3.818580168055413</v>
      </c>
      <c r="CR1030" s="3" t="n">
        <v>4.104788453259123</v>
      </c>
      <c r="CS1030" s="3" t="n">
        <v>4.40299116931838</v>
      </c>
      <c r="CU1030" s="20" t="inlineStr">
        <is>
          <t>egy.mit.impsub.con.ind.nga.6</t>
        </is>
      </c>
      <c r="CV1030" s="3" t="n">
        <v>1.482800896669064</v>
      </c>
      <c r="CW1030" s="3" t="n">
        <v>1.218475684418263</v>
      </c>
      <c r="CX1030" s="3" t="n">
        <v>1.453897657300586</v>
      </c>
      <c r="CY1030" s="3" t="n">
        <v>1.544487573839553</v>
      </c>
      <c r="CZ1030" s="3" t="n">
        <v>1.672727357823158</v>
      </c>
      <c r="DA1030" s="3" t="n">
        <v>1.294568528910229</v>
      </c>
      <c r="DB1030" s="3" t="n">
        <v>1.416159657218647</v>
      </c>
      <c r="DC1030" s="3" t="n">
        <v>1.545079185965825</v>
      </c>
      <c r="DD1030" s="3" t="n">
        <v>1.671335692690904</v>
      </c>
      <c r="DE1030" s="3" t="n">
        <v>1.808937157826648</v>
      </c>
      <c r="DF1030" s="3" t="n">
        <v>1.95496203866139</v>
      </c>
      <c r="DG1030" s="3" t="n">
        <v>2.11726697868679</v>
      </c>
      <c r="DH1030" s="3" t="n">
        <v>2.293851843522211</v>
      </c>
      <c r="DI1030" s="3" t="n">
        <v>2.482303464529114</v>
      </c>
      <c r="DJ1030" s="3" t="n">
        <v>2.685789093436056</v>
      </c>
      <c r="DK1030" s="3" t="n">
        <v>2.907406282744526</v>
      </c>
      <c r="DL1030" s="3" t="n">
        <v>3.14185203529342</v>
      </c>
      <c r="DM1030" s="3" t="n">
        <v>3.391438444398869</v>
      </c>
      <c r="DN1030" s="3" t="n">
        <v>3.654037403845425</v>
      </c>
      <c r="DO1030" s="3" t="n">
        <v>3.926983365618449</v>
      </c>
    </row>
    <row r="1031">
      <c r="A1031" s="14" t="n"/>
      <c r="B1031" s="3" t="inlineStr">
        <is>
          <t>mit</t>
        </is>
      </c>
      <c r="C1031" s="19" t="inlineStr">
        <is>
          <t>mit.vatrate.res.nga.a</t>
        </is>
      </c>
      <c r="H1031" s="14" t="inlineStr">
        <is>
          <t>Natural gas, residential - VAT rate</t>
        </is>
      </c>
      <c r="I1031" s="14" t="inlineStr"/>
    </row>
    <row r="1032">
      <c r="A1032" s="19" t="inlineStr">
        <is>
          <t>mit.effprice.res.nga</t>
        </is>
      </c>
      <c r="B1032" s="3" t="inlineStr">
        <is>
          <t>mit</t>
        </is>
      </c>
      <c r="C1032" s="19" t="inlineStr">
        <is>
          <t>mit.effprice.nga.res</t>
        </is>
      </c>
      <c r="H1032" s="3" t="inlineStr">
        <is>
          <t>Energy subsidies: efficient price | Residential | Natural gas</t>
        </is>
      </c>
      <c r="I1032" s="3" t="inlineStr">
        <is>
          <t>USD/GJ, USD/kWh</t>
        </is>
      </c>
      <c r="K1032" s="20" t="inlineStr">
        <is>
          <t>egy.mit.effprice.res.nga.1</t>
        </is>
      </c>
      <c r="L1032" s="3" t="n">
        <v>22.86260117049401</v>
      </c>
      <c r="M1032" s="3" t="n">
        <v>20.45304321471852</v>
      </c>
      <c r="N1032" s="3" t="n">
        <v>19.97525963148836</v>
      </c>
      <c r="O1032" s="3" t="n">
        <v>20.04541177219371</v>
      </c>
      <c r="P1032" s="3" t="n">
        <v>20.03232721017025</v>
      </c>
      <c r="Q1032" s="3" t="n">
        <v>20.40197080080772</v>
      </c>
      <c r="R1032" s="3" t="n">
        <v>20.81569996407046</v>
      </c>
      <c r="S1032" s="3" t="n">
        <v>21.08034544976652</v>
      </c>
      <c r="T1032" s="3" t="n">
        <v>21.29017914907952</v>
      </c>
      <c r="U1032" s="3" t="n">
        <v>21.49548973854404</v>
      </c>
      <c r="V1032" s="3" t="n">
        <v>21.69521636865443</v>
      </c>
      <c r="W1032" s="3" t="n">
        <v>21.90292223444858</v>
      </c>
      <c r="X1032" s="3" t="n">
        <v>22.11892458807915</v>
      </c>
      <c r="Y1032" s="3" t="n">
        <v>22.34355457954835</v>
      </c>
      <c r="Z1032" s="3" t="n">
        <v>22.57715477527622</v>
      </c>
      <c r="AA1032" s="3" t="n">
        <v>22.82008437007684</v>
      </c>
      <c r="AB1032" s="3" t="n">
        <v>23.07271186431389</v>
      </c>
      <c r="AC1032" s="3" t="n">
        <v>23.3354228102561</v>
      </c>
      <c r="AD1032" s="3" t="n">
        <v>23.60861801485017</v>
      </c>
      <c r="AE1032" s="3" t="n">
        <v>23.89110191320685</v>
      </c>
      <c r="AG1032" s="20" t="inlineStr">
        <is>
          <t>egy.mit.effprice.res.nga.3</t>
        </is>
      </c>
      <c r="AH1032" s="3" t="n">
        <v>22.86260117049401</v>
      </c>
      <c r="AI1032" s="3" t="n">
        <v>20.45304321471852</v>
      </c>
      <c r="AJ1032" s="3" t="n">
        <v>19.97525963148836</v>
      </c>
      <c r="AK1032" s="3" t="n">
        <v>20.04541177219371</v>
      </c>
      <c r="AL1032" s="3" t="n">
        <v>20.03232721017025</v>
      </c>
      <c r="AM1032" s="3" t="n">
        <v>20.40197080080772</v>
      </c>
      <c r="AN1032" s="3" t="n">
        <v>20.81569996407046</v>
      </c>
      <c r="AO1032" s="3" t="n">
        <v>21.08034544976652</v>
      </c>
      <c r="AP1032" s="3" t="n">
        <v>21.29017914907952</v>
      </c>
      <c r="AQ1032" s="3" t="n">
        <v>21.49548973854404</v>
      </c>
      <c r="AR1032" s="3" t="n">
        <v>21.69521636865443</v>
      </c>
      <c r="AS1032" s="3" t="n">
        <v>21.90292223444858</v>
      </c>
      <c r="AT1032" s="3" t="n">
        <v>22.11892458807915</v>
      </c>
      <c r="AU1032" s="3" t="n">
        <v>22.34355457954835</v>
      </c>
      <c r="AV1032" s="3" t="n">
        <v>22.57715477527622</v>
      </c>
      <c r="AW1032" s="3" t="n">
        <v>22.82008437007684</v>
      </c>
      <c r="AX1032" s="3" t="n">
        <v>23.07271186431389</v>
      </c>
      <c r="AY1032" s="3" t="n">
        <v>23.3354228102561</v>
      </c>
      <c r="AZ1032" s="3" t="n">
        <v>23.60861801485017</v>
      </c>
      <c r="BA1032" s="3" t="n">
        <v>23.89110191320685</v>
      </c>
      <c r="BC1032" s="20" t="inlineStr">
        <is>
          <t>egy.mit.effprice.res.nga.4</t>
        </is>
      </c>
      <c r="BD1032" s="3" t="n">
        <v>22.86260117049401</v>
      </c>
      <c r="BE1032" s="3" t="n">
        <v>20.45304321471852</v>
      </c>
      <c r="BF1032" s="3" t="n">
        <v>19.97525963148836</v>
      </c>
      <c r="BG1032" s="3" t="n">
        <v>20.04541177219371</v>
      </c>
      <c r="BH1032" s="3" t="n">
        <v>20.03232721017025</v>
      </c>
      <c r="BI1032" s="3" t="n">
        <v>20.40197080080772</v>
      </c>
      <c r="BJ1032" s="3" t="n">
        <v>20.81569996407046</v>
      </c>
      <c r="BK1032" s="3" t="n">
        <v>21.08034544976652</v>
      </c>
      <c r="BL1032" s="3" t="n">
        <v>21.29017914907952</v>
      </c>
      <c r="BM1032" s="3" t="n">
        <v>21.49548973854404</v>
      </c>
      <c r="BN1032" s="3" t="n">
        <v>21.69521636865443</v>
      </c>
      <c r="BO1032" s="3" t="n">
        <v>21.90292223444858</v>
      </c>
      <c r="BP1032" s="3" t="n">
        <v>22.11892458807915</v>
      </c>
      <c r="BQ1032" s="3" t="n">
        <v>22.34355457954835</v>
      </c>
      <c r="BR1032" s="3" t="n">
        <v>22.57715477527622</v>
      </c>
      <c r="BS1032" s="3" t="n">
        <v>22.82008437007684</v>
      </c>
      <c r="BT1032" s="3" t="n">
        <v>23.07271186431389</v>
      </c>
      <c r="BU1032" s="3" t="n">
        <v>23.3354228102561</v>
      </c>
      <c r="BV1032" s="3" t="n">
        <v>23.60861801485017</v>
      </c>
      <c r="BW1032" s="3" t="n">
        <v>23.89110191320685</v>
      </c>
      <c r="BY1032" s="20" t="inlineStr">
        <is>
          <t>egy.mit.effprice.res.nga.5</t>
        </is>
      </c>
      <c r="BZ1032" s="3" t="n">
        <v>22.86260117049401</v>
      </c>
      <c r="CA1032" s="3" t="n">
        <v>20.45304321471852</v>
      </c>
      <c r="CB1032" s="3" t="n">
        <v>19.97525963148836</v>
      </c>
      <c r="CC1032" s="3" t="n">
        <v>20.04541177219371</v>
      </c>
      <c r="CD1032" s="3" t="n">
        <v>20.03232721017025</v>
      </c>
      <c r="CE1032" s="3" t="n">
        <v>20.40197080080772</v>
      </c>
      <c r="CF1032" s="3" t="n">
        <v>20.81569996407046</v>
      </c>
      <c r="CG1032" s="3" t="n">
        <v>21.08034544976652</v>
      </c>
      <c r="CH1032" s="3" t="n">
        <v>21.29017914907952</v>
      </c>
      <c r="CI1032" s="3" t="n">
        <v>21.49548973854404</v>
      </c>
      <c r="CJ1032" s="3" t="n">
        <v>21.69521636865443</v>
      </c>
      <c r="CK1032" s="3" t="n">
        <v>21.90292223444858</v>
      </c>
      <c r="CL1032" s="3" t="n">
        <v>22.11892458807915</v>
      </c>
      <c r="CM1032" s="3" t="n">
        <v>22.34355457954835</v>
      </c>
      <c r="CN1032" s="3" t="n">
        <v>22.57715477527622</v>
      </c>
      <c r="CO1032" s="3" t="n">
        <v>22.82008437007684</v>
      </c>
      <c r="CP1032" s="3" t="n">
        <v>23.07271186431389</v>
      </c>
      <c r="CQ1032" s="3" t="n">
        <v>23.3354228102561</v>
      </c>
      <c r="CR1032" s="3" t="n">
        <v>23.60861801485017</v>
      </c>
      <c r="CS1032" s="3" t="n">
        <v>23.89110191320685</v>
      </c>
      <c r="CU1032" s="20" t="inlineStr">
        <is>
          <t>egy.mit.effprice.res.nga.6</t>
        </is>
      </c>
      <c r="CV1032" s="3" t="n">
        <v>22.86260117049401</v>
      </c>
      <c r="CW1032" s="3" t="n">
        <v>20.45304321471852</v>
      </c>
      <c r="CX1032" s="3" t="n">
        <v>19.97525963148836</v>
      </c>
      <c r="CY1032" s="3" t="n">
        <v>20.04541177219371</v>
      </c>
      <c r="CZ1032" s="3" t="n">
        <v>20.03232721017025</v>
      </c>
      <c r="DA1032" s="3" t="n">
        <v>20.40197080080772</v>
      </c>
      <c r="DB1032" s="3" t="n">
        <v>20.81569996407046</v>
      </c>
      <c r="DC1032" s="3" t="n">
        <v>21.08034544976652</v>
      </c>
      <c r="DD1032" s="3" t="n">
        <v>21.29017914907952</v>
      </c>
      <c r="DE1032" s="3" t="n">
        <v>21.49548973854404</v>
      </c>
      <c r="DF1032" s="3" t="n">
        <v>21.69521636865443</v>
      </c>
      <c r="DG1032" s="3" t="n">
        <v>21.90292223444858</v>
      </c>
      <c r="DH1032" s="3" t="n">
        <v>22.11892458807915</v>
      </c>
      <c r="DI1032" s="3" t="n">
        <v>22.34355457954835</v>
      </c>
      <c r="DJ1032" s="3" t="n">
        <v>22.57715477527622</v>
      </c>
      <c r="DK1032" s="3" t="n">
        <v>22.82008437007684</v>
      </c>
      <c r="DL1032" s="3" t="n">
        <v>23.07271186431389</v>
      </c>
      <c r="DM1032" s="3" t="n">
        <v>23.3354228102561</v>
      </c>
      <c r="DN1032" s="3" t="n">
        <v>23.60861801485017</v>
      </c>
      <c r="DO1032" s="3" t="n">
        <v>23.89110191320685</v>
      </c>
    </row>
    <row r="1033">
      <c r="A1033" s="19" t="inlineStr">
        <is>
          <t>mit.con.res.nga</t>
        </is>
      </c>
      <c r="B1033" s="3" t="inlineStr">
        <is>
          <t>mit</t>
        </is>
      </c>
      <c r="C1033" s="19" t="inlineStr">
        <is>
          <t>mit.con.nga.res</t>
        </is>
      </c>
      <c r="H1033" s="3" t="inlineStr">
        <is>
          <t>Energy subsidies: consumption of the line | Residential | Natural gas</t>
        </is>
      </c>
      <c r="I1033" s="3" t="inlineStr">
        <is>
          <t>PJ, GWh</t>
        </is>
      </c>
      <c r="K1033" s="20" t="inlineStr">
        <is>
          <t>egy.mit.con.res.nga.1</t>
        </is>
      </c>
      <c r="L1033" s="3" t="n">
        <v>78.30445902468013</v>
      </c>
      <c r="M1033" s="3" t="n">
        <v>94.52671104742205</v>
      </c>
      <c r="N1033" s="3" t="n">
        <v>138.7159566013392</v>
      </c>
      <c r="O1033" s="3" t="n">
        <v>139.711234258102</v>
      </c>
      <c r="P1033" s="3" t="n">
        <v>140.6338751215179</v>
      </c>
      <c r="Q1033" s="3" t="n">
        <v>141.7902593065212</v>
      </c>
      <c r="R1033" s="3" t="n">
        <v>143.2240549939596</v>
      </c>
      <c r="S1033" s="3" t="n">
        <v>144.5214821843952</v>
      </c>
      <c r="T1033" s="3" t="n">
        <v>145.6520145680909</v>
      </c>
      <c r="U1033" s="3" t="n">
        <v>146.7573390191727</v>
      </c>
      <c r="V1033" s="3" t="n">
        <v>147.8440621968425</v>
      </c>
      <c r="W1033" s="3" t="n">
        <v>148.9120921442785</v>
      </c>
      <c r="X1033" s="3" t="n">
        <v>149.9613485509172</v>
      </c>
      <c r="Y1033" s="3" t="n">
        <v>150.9917618064842</v>
      </c>
      <c r="Z1033" s="3" t="n">
        <v>152.0032720697845</v>
      </c>
      <c r="AA1033" s="3" t="n">
        <v>152.9958283536471</v>
      </c>
      <c r="AB1033" s="3" t="n">
        <v>153.9693876271484</v>
      </c>
      <c r="AC1033" s="3" t="n">
        <v>154.9239139359792</v>
      </c>
      <c r="AD1033" s="3" t="n">
        <v>155.8593775415963</v>
      </c>
      <c r="AE1033" s="3" t="n">
        <v>156.7757540795886</v>
      </c>
      <c r="AG1033" s="20" t="inlineStr">
        <is>
          <t>egy.mit.con.res.nga.3</t>
        </is>
      </c>
      <c r="AH1033" s="3" t="n">
        <v>78.30445902468013</v>
      </c>
      <c r="AI1033" s="3" t="n">
        <v>94.52671104742205</v>
      </c>
      <c r="AJ1033" s="3" t="n">
        <v>138.7159566013392</v>
      </c>
      <c r="AK1033" s="3" t="n">
        <v>139.711234258102</v>
      </c>
      <c r="AL1033" s="3" t="n">
        <v>140.6338751215179</v>
      </c>
      <c r="AM1033" s="3" t="n">
        <v>101.2329536826509</v>
      </c>
      <c r="AN1033" s="3" t="n">
        <v>102.2566244771905</v>
      </c>
      <c r="AO1033" s="3" t="n">
        <v>103.2009154329949</v>
      </c>
      <c r="AP1033" s="3" t="n">
        <v>103.9675201914139</v>
      </c>
      <c r="AQ1033" s="3" t="n">
        <v>104.7635547732403</v>
      </c>
      <c r="AR1033" s="3" t="n">
        <v>105.5229343411343</v>
      </c>
      <c r="AS1033" s="3" t="n">
        <v>106.306848986792</v>
      </c>
      <c r="AT1033" s="3" t="n">
        <v>107.0949818724709</v>
      </c>
      <c r="AU1033" s="3" t="n">
        <v>107.8607791305102</v>
      </c>
      <c r="AV1033" s="3" t="n">
        <v>108.6202893030495</v>
      </c>
      <c r="AW1033" s="3" t="n">
        <v>109.3833352821687</v>
      </c>
      <c r="AX1033" s="3" t="n">
        <v>110.115976058234</v>
      </c>
      <c r="AY1033" s="3" t="n">
        <v>110.8259289594562</v>
      </c>
      <c r="AZ1033" s="3" t="n">
        <v>111.5019059727359</v>
      </c>
      <c r="BA1033" s="3" t="n">
        <v>112.1584975189948</v>
      </c>
      <c r="BC1033" s="20" t="inlineStr">
        <is>
          <t>egy.mit.con.res.nga.4</t>
        </is>
      </c>
      <c r="BD1033" s="3" t="n">
        <v>78.30445902468013</v>
      </c>
      <c r="BE1033" s="3" t="n">
        <v>94.52671104742205</v>
      </c>
      <c r="BF1033" s="3" t="n">
        <v>138.7159566013392</v>
      </c>
      <c r="BG1033" s="3" t="n">
        <v>139.711234258102</v>
      </c>
      <c r="BH1033" s="3" t="n">
        <v>140.6338751215179</v>
      </c>
      <c r="BI1033" s="3" t="n">
        <v>117.4259912581386</v>
      </c>
      <c r="BJ1033" s="3" t="n">
        <v>97.93229671410268</v>
      </c>
      <c r="BK1033" s="3" t="n">
        <v>85.04068123524054</v>
      </c>
      <c r="BL1033" s="3" t="n">
        <v>75.72912667610431</v>
      </c>
      <c r="BM1033" s="3" t="n">
        <v>68.68794910809143</v>
      </c>
      <c r="BN1033" s="3" t="n">
        <v>63.14604737557841</v>
      </c>
      <c r="BO1033" s="3" t="n">
        <v>58.66500747163904</v>
      </c>
      <c r="BP1033" s="3" t="n">
        <v>54.96363420135479</v>
      </c>
      <c r="BQ1033" s="3" t="n">
        <v>51.8461391892041</v>
      </c>
      <c r="BR1033" s="3" t="n">
        <v>49.18031253220557</v>
      </c>
      <c r="BS1033" s="3" t="n">
        <v>46.87486570999676</v>
      </c>
      <c r="BT1033" s="3" t="n">
        <v>44.85589458996662</v>
      </c>
      <c r="BU1033" s="3" t="n">
        <v>43.06895210352187</v>
      </c>
      <c r="BV1033" s="3" t="n">
        <v>41.46906387129659</v>
      </c>
      <c r="BW1033" s="3" t="n">
        <v>40.02487561305959</v>
      </c>
      <c r="BY1033" s="20" t="inlineStr">
        <is>
          <t>egy.mit.con.res.nga.5</t>
        </is>
      </c>
      <c r="BZ1033" s="3" t="n">
        <v>78.30445902468013</v>
      </c>
      <c r="CA1033" s="3" t="n">
        <v>94.52671104742205</v>
      </c>
      <c r="CB1033" s="3" t="n">
        <v>138.7159566013392</v>
      </c>
      <c r="CC1033" s="3" t="n">
        <v>139.711234258102</v>
      </c>
      <c r="CD1033" s="3" t="n">
        <v>140.6338751215179</v>
      </c>
      <c r="CE1033" s="3" t="n">
        <v>94.97098829203965</v>
      </c>
      <c r="CF1033" s="3" t="n">
        <v>95.93131263164375</v>
      </c>
      <c r="CG1033" s="3" t="n">
        <v>96.81469115415962</v>
      </c>
      <c r="CH1033" s="3" t="n">
        <v>97.53620798750667</v>
      </c>
      <c r="CI1033" s="3" t="n">
        <v>98.29053564949152</v>
      </c>
      <c r="CJ1033" s="3" t="n">
        <v>99.00108182314996</v>
      </c>
      <c r="CK1033" s="3" t="n">
        <v>99.7390494872308</v>
      </c>
      <c r="CL1033" s="3" t="n">
        <v>100.4660932771857</v>
      </c>
      <c r="CM1033" s="3" t="n">
        <v>101.1749821620626</v>
      </c>
      <c r="CN1033" s="3" t="n">
        <v>101.8778047720508</v>
      </c>
      <c r="CO1033" s="3" t="n">
        <v>102.5799432283407</v>
      </c>
      <c r="CP1033" s="3" t="n">
        <v>103.2549161045043</v>
      </c>
      <c r="CQ1033" s="3" t="n">
        <v>103.9138837004281</v>
      </c>
      <c r="CR1033" s="3" t="n">
        <v>104.5450321611012</v>
      </c>
      <c r="CS1033" s="3" t="n">
        <v>105.1651113692607</v>
      </c>
      <c r="CU1033" s="20" t="inlineStr">
        <is>
          <t>egy.mit.con.res.nga.6</t>
        </is>
      </c>
      <c r="CV1033" s="3" t="n">
        <v>78.30445902468013</v>
      </c>
      <c r="CW1033" s="3" t="n">
        <v>94.52671104742205</v>
      </c>
      <c r="CX1033" s="3" t="n">
        <v>138.7159566013392</v>
      </c>
      <c r="CY1033" s="3" t="n">
        <v>139.711234258102</v>
      </c>
      <c r="CZ1033" s="3" t="n">
        <v>140.6338751215179</v>
      </c>
      <c r="DA1033" s="3" t="n">
        <v>73.72285258914025</v>
      </c>
      <c r="DB1033" s="3" t="n">
        <v>74.4683349669089</v>
      </c>
      <c r="DC1033" s="3" t="n">
        <v>75.1709463377438</v>
      </c>
      <c r="DD1033" s="3" t="n">
        <v>75.69451605497333</v>
      </c>
      <c r="DE1033" s="3" t="n">
        <v>76.28286984408211</v>
      </c>
      <c r="DF1033" s="3" t="n">
        <v>76.82004524910506</v>
      </c>
      <c r="DG1033" s="3" t="n">
        <v>77.41072108024203</v>
      </c>
      <c r="DH1033" s="3" t="n">
        <v>78.01459657352154</v>
      </c>
      <c r="DI1033" s="3" t="n">
        <v>78.59645607269194</v>
      </c>
      <c r="DJ1033" s="3" t="n">
        <v>79.17917479403231</v>
      </c>
      <c r="DK1033" s="3" t="n">
        <v>79.7785998379773</v>
      </c>
      <c r="DL1033" s="3" t="n">
        <v>80.34125785877042</v>
      </c>
      <c r="DM1033" s="3" t="n">
        <v>80.88152823870612</v>
      </c>
      <c r="DN1033" s="3" t="n">
        <v>81.38052378769875</v>
      </c>
      <c r="DO1033" s="3" t="n">
        <v>81.86178168937974</v>
      </c>
    </row>
    <row r="1034">
      <c r="A1034" s="19" t="inlineStr">
        <is>
          <t>mit.expsub.con.res.nga</t>
        </is>
      </c>
      <c r="B1034" s="3" t="inlineStr">
        <is>
          <t>mit</t>
        </is>
      </c>
      <c r="C1034" s="19" t="inlineStr">
        <is>
          <t>mit.expsub.con.nga.res</t>
        </is>
      </c>
      <c r="H1034" s="3" t="inlineStr">
        <is>
          <t>Explicit consumer subsidy | Residential | Natural gas</t>
        </is>
      </c>
      <c r="I1034" s="3" t="inlineStr">
        <is>
          <t>USD bn real</t>
        </is>
      </c>
      <c r="K1034" s="20" t="inlineStr">
        <is>
          <t>egy.mit.expsub.con.res.nga.1</t>
        </is>
      </c>
      <c r="L1034" s="3" t="n">
        <v>0.9408340635790542</v>
      </c>
      <c r="M1034" s="3" t="n">
        <v>1.13439172801194</v>
      </c>
      <c r="N1034" s="3" t="n">
        <v>1.719159379327515</v>
      </c>
      <c r="O1034" s="3" t="n">
        <v>1.722584495017484</v>
      </c>
      <c r="P1034" s="3" t="n">
        <v>1.71265740608561</v>
      </c>
      <c r="Q1034" s="3" t="n">
        <v>1.752321107720168</v>
      </c>
      <c r="R1034" s="3" t="n">
        <v>1.800436980341021</v>
      </c>
      <c r="S1034" s="3" t="n">
        <v>1.827672260482242</v>
      </c>
      <c r="T1034" s="3" t="n">
        <v>1.845093138566932</v>
      </c>
      <c r="U1034" s="3" t="n">
        <v>1.860878811653775</v>
      </c>
      <c r="V1034" s="3" t="n">
        <v>1.874658430097216</v>
      </c>
      <c r="W1034" s="3" t="n">
        <v>1.888201018922267</v>
      </c>
      <c r="X1034" s="3" t="n">
        <v>1.901505559793308</v>
      </c>
      <c r="Y1034" s="3" t="n">
        <v>1.914571170054077</v>
      </c>
      <c r="Z1034" s="3" t="n">
        <v>1.927397090919948</v>
      </c>
      <c r="AA1034" s="3" t="n">
        <v>1.939982675875072</v>
      </c>
      <c r="AB1034" s="3" t="n">
        <v>1.952327379288581</v>
      </c>
      <c r="AC1034" s="3" t="n">
        <v>1.964430745260878</v>
      </c>
      <c r="AD1034" s="3" t="n">
        <v>1.976292396708092</v>
      </c>
      <c r="AE1034" s="3" t="n">
        <v>1.987912024690197</v>
      </c>
      <c r="AG1034" s="20" t="inlineStr">
        <is>
          <t>egy.mit.expsub.con.res.nga.3</t>
        </is>
      </c>
      <c r="AH1034" s="3" t="n">
        <v>0.9408340635790542</v>
      </c>
      <c r="AI1034" s="3" t="n">
        <v>1.13439172801194</v>
      </c>
      <c r="AJ1034" s="3" t="n">
        <v>1.719159379327515</v>
      </c>
      <c r="AK1034" s="3" t="n">
        <v>1.722584495017484</v>
      </c>
      <c r="AL1034" s="3" t="n">
        <v>1.71265740608561</v>
      </c>
      <c r="AM1034" s="3" t="n">
        <v>1.138619723774248</v>
      </c>
      <c r="AN1034" s="3" t="n">
        <v>1.171835266125145</v>
      </c>
      <c r="AO1034" s="3" t="n">
        <v>1.190458445948177</v>
      </c>
      <c r="AP1034" s="3" t="n">
        <v>1.201531252368833</v>
      </c>
      <c r="AQ1034" s="3" t="n">
        <v>1.212004110879918</v>
      </c>
      <c r="AR1034" s="3" t="n">
        <v>1.220789333565403</v>
      </c>
      <c r="AS1034" s="3" t="n">
        <v>1.229858401288167</v>
      </c>
      <c r="AT1034" s="3" t="n">
        <v>1.238976269610123</v>
      </c>
      <c r="AU1034" s="3" t="n">
        <v>1.247835738218774</v>
      </c>
      <c r="AV1034" s="3" t="n">
        <v>1.2566224718626</v>
      </c>
      <c r="AW1034" s="3" t="n">
        <v>1.265450111068664</v>
      </c>
      <c r="AX1034" s="3" t="n">
        <v>1.273925994063578</v>
      </c>
      <c r="AY1034" s="3" t="n">
        <v>1.28213940221563</v>
      </c>
      <c r="AZ1034" s="3" t="n">
        <v>1.289959745088957</v>
      </c>
      <c r="BA1034" s="3" t="n">
        <v>1.297555818503584</v>
      </c>
      <c r="BC1034" s="20" t="inlineStr">
        <is>
          <t>egy.mit.expsub.con.res.nga.4</t>
        </is>
      </c>
      <c r="BD1034" s="3" t="n">
        <v>0.9408340635790542</v>
      </c>
      <c r="BE1034" s="3" t="n">
        <v>1.13439172801194</v>
      </c>
      <c r="BF1034" s="3" t="n">
        <v>1.719159379327515</v>
      </c>
      <c r="BG1034" s="3" t="n">
        <v>1.722584495017484</v>
      </c>
      <c r="BH1034" s="3" t="n">
        <v>1.71265740608561</v>
      </c>
      <c r="BI1034" s="3" t="n">
        <v>1.38598274195052</v>
      </c>
      <c r="BJ1034" s="3" t="n">
        <v>1.104145380328975</v>
      </c>
      <c r="BK1034" s="3" t="n">
        <v>0.9022386934987242</v>
      </c>
      <c r="BL1034" s="3" t="n">
        <v>0.7489807288206187</v>
      </c>
      <c r="BM1034" s="3" t="n">
        <v>0.6293005243601034</v>
      </c>
      <c r="BN1034" s="3" t="n">
        <v>0.5317559646665295</v>
      </c>
      <c r="BO1034" s="3" t="n">
        <v>0.4505687877874149</v>
      </c>
      <c r="BP1034" s="3" t="n">
        <v>0.3814303036238087</v>
      </c>
      <c r="BQ1034" s="3" t="n">
        <v>0.3213943641627314</v>
      </c>
      <c r="BR1034" s="3" t="n">
        <v>0.2684419208542841</v>
      </c>
      <c r="BS1034" s="3" t="n">
        <v>0.2211386794708191</v>
      </c>
      <c r="BT1034" s="3" t="n">
        <v>0.1783899458255588</v>
      </c>
      <c r="BU1034" s="3" t="n">
        <v>0.1393829519993894</v>
      </c>
      <c r="BV1034" s="3" t="n">
        <v>0.1034898819172608</v>
      </c>
      <c r="BW1034" s="3" t="n">
        <v>0.07024006842485249</v>
      </c>
      <c r="BY1034" s="20" t="inlineStr">
        <is>
          <t>egy.mit.expsub.con.res.nga.5</t>
        </is>
      </c>
      <c r="BZ1034" s="3" t="n">
        <v>0.9408340635790542</v>
      </c>
      <c r="CA1034" s="3" t="n">
        <v>1.13439172801194</v>
      </c>
      <c r="CB1034" s="3" t="n">
        <v>1.719159379327515</v>
      </c>
      <c r="CC1034" s="3" t="n">
        <v>1.722584495017484</v>
      </c>
      <c r="CD1034" s="3" t="n">
        <v>1.71265740608561</v>
      </c>
      <c r="CE1034" s="3" t="n">
        <v>1.041809398545821</v>
      </c>
      <c r="CF1034" s="3" t="n">
        <v>1.072703302393732</v>
      </c>
      <c r="CG1034" s="3" t="n">
        <v>1.089900288052427</v>
      </c>
      <c r="CH1034" s="3" t="n">
        <v>1.100114654071006</v>
      </c>
      <c r="CI1034" s="3" t="n">
        <v>1.109817325166647</v>
      </c>
      <c r="CJ1034" s="3" t="n">
        <v>1.117840238549367</v>
      </c>
      <c r="CK1034" s="3" t="n">
        <v>1.126172773249658</v>
      </c>
      <c r="CL1034" s="3" t="n">
        <v>1.134381964388104</v>
      </c>
      <c r="CM1034" s="3" t="n">
        <v>1.142386165004732</v>
      </c>
      <c r="CN1034" s="3" t="n">
        <v>1.150321870145919</v>
      </c>
      <c r="CO1034" s="3" t="n">
        <v>1.158249850376235</v>
      </c>
      <c r="CP1034" s="3" t="n">
        <v>1.165871098821307</v>
      </c>
      <c r="CQ1034" s="3" t="n">
        <v>1.173311628571675</v>
      </c>
      <c r="CR1034" s="3" t="n">
        <v>1.180438047120304</v>
      </c>
      <c r="CS1034" s="3" t="n">
        <v>1.187439480611776</v>
      </c>
      <c r="CU1034" s="20" t="inlineStr">
        <is>
          <t>egy.mit.expsub.con.res.nga.6</t>
        </is>
      </c>
      <c r="CV1034" s="3" t="n">
        <v>0.9408340635790542</v>
      </c>
      <c r="CW1034" s="3" t="n">
        <v>1.13439172801194</v>
      </c>
      <c r="CX1034" s="3" t="n">
        <v>1.719159379327515</v>
      </c>
      <c r="CY1034" s="3" t="n">
        <v>1.722584495017484</v>
      </c>
      <c r="CZ1034" s="3" t="n">
        <v>1.71265740608561</v>
      </c>
      <c r="DA1034" s="3" t="n">
        <v>0.7063376063348601</v>
      </c>
      <c r="DB1034" s="3" t="n">
        <v>0.7292843757002548</v>
      </c>
      <c r="DC1034" s="3" t="n">
        <v>0.7418480161104557</v>
      </c>
      <c r="DD1034" s="3" t="n">
        <v>0.748638420789648</v>
      </c>
      <c r="DE1034" s="3" t="n">
        <v>0.755384501269429</v>
      </c>
      <c r="DF1034" s="3" t="n">
        <v>0.7607038341189515</v>
      </c>
      <c r="DG1034" s="3" t="n">
        <v>0.7665529502970303</v>
      </c>
      <c r="DH1034" s="3" t="n">
        <v>0.7725327749844357</v>
      </c>
      <c r="DI1034" s="3" t="n">
        <v>0.7782945882000118</v>
      </c>
      <c r="DJ1034" s="3" t="n">
        <v>0.7840649097885907</v>
      </c>
      <c r="DK1034" s="3" t="n">
        <v>0.7900006642875271</v>
      </c>
      <c r="DL1034" s="3" t="n">
        <v>0.7955723365291559</v>
      </c>
      <c r="DM1034" s="3" t="n">
        <v>0.8009223170992699</v>
      </c>
      <c r="DN1034" s="3" t="n">
        <v>0.8058635772364657</v>
      </c>
      <c r="DO1034" s="3" t="n">
        <v>0.8106291918598578</v>
      </c>
    </row>
    <row r="1035">
      <c r="A1035" s="19" t="inlineStr">
        <is>
          <t>mit.impsub.con.res.nga</t>
        </is>
      </c>
      <c r="B1035" s="3" t="inlineStr">
        <is>
          <t>mit</t>
        </is>
      </c>
      <c r="C1035" s="19" t="inlineStr">
        <is>
          <t>mit.impsub.con.nga.res</t>
        </is>
      </c>
      <c r="H1035" s="3" t="inlineStr">
        <is>
          <t>Implicit consumer subsidy | Residential | Natural gas</t>
        </is>
      </c>
      <c r="I1035" s="3" t="inlineStr">
        <is>
          <t>USD bn real</t>
        </is>
      </c>
      <c r="K1035" s="20" t="inlineStr">
        <is>
          <t>egy.mit.impsub.con.res.nga.1</t>
        </is>
      </c>
      <c r="L1035" s="3" t="n">
        <v>0.4612944017526993</v>
      </c>
      <c r="M1035" s="3" t="n">
        <v>0.5404510919963923</v>
      </c>
      <c r="N1035" s="3" t="n">
        <v>0.8024330825925072</v>
      </c>
      <c r="O1035" s="3" t="n">
        <v>0.8269012653452766</v>
      </c>
      <c r="P1035" s="3" t="n">
        <v>0.851824804269015</v>
      </c>
      <c r="Q1035" s="3" t="n">
        <v>0.8856598220274783</v>
      </c>
      <c r="R1035" s="3" t="n">
        <v>0.9234754151476788</v>
      </c>
      <c r="S1035" s="3" t="n">
        <v>0.9591622635592914</v>
      </c>
      <c r="T1035" s="3" t="n">
        <v>0.9941043519716861</v>
      </c>
      <c r="U1035" s="3" t="n">
        <v>1.029995625217307</v>
      </c>
      <c r="V1035" s="3" t="n">
        <v>1.067151034448209</v>
      </c>
      <c r="W1035" s="3" t="n">
        <v>1.105790080610753</v>
      </c>
      <c r="X1035" s="3" t="n">
        <v>1.145973643681618</v>
      </c>
      <c r="Y1035" s="3" t="n">
        <v>1.187765127064276</v>
      </c>
      <c r="Z1035" s="3" t="n">
        <v>1.231230089167462</v>
      </c>
      <c r="AA1035" s="3" t="n">
        <v>1.276437033066972</v>
      </c>
      <c r="AB1035" s="3" t="n">
        <v>1.323456293091607</v>
      </c>
      <c r="AC1035" s="3" t="n">
        <v>1.372361208966388</v>
      </c>
      <c r="AD1035" s="3" t="n">
        <v>1.423227852922696</v>
      </c>
      <c r="AE1035" s="3" t="n">
        <v>1.475882359388372</v>
      </c>
      <c r="AG1035" s="20" t="inlineStr">
        <is>
          <t>egy.mit.impsub.con.res.nga.3</t>
        </is>
      </c>
      <c r="AH1035" s="3" t="n">
        <v>0.4612944017526993</v>
      </c>
      <c r="AI1035" s="3" t="n">
        <v>0.5404510919963923</v>
      </c>
      <c r="AJ1035" s="3" t="n">
        <v>0.8024330825925072</v>
      </c>
      <c r="AK1035" s="3" t="n">
        <v>0.8269012653452766</v>
      </c>
      <c r="AL1035" s="3" t="n">
        <v>0.851824804269015</v>
      </c>
      <c r="AM1035" s="3" t="n">
        <v>0.6323280610417008</v>
      </c>
      <c r="AN1035" s="3" t="n">
        <v>0.6593269457749702</v>
      </c>
      <c r="AO1035" s="3" t="n">
        <v>0.6849253284145357</v>
      </c>
      <c r="AP1035" s="3" t="n">
        <v>0.7095992773767741</v>
      </c>
      <c r="AQ1035" s="3" t="n">
        <v>0.7352681904688537</v>
      </c>
      <c r="AR1035" s="3" t="n">
        <v>0.7616735286279009</v>
      </c>
      <c r="AS1035" s="3" t="n">
        <v>0.7894124474235753</v>
      </c>
      <c r="AT1035" s="3" t="n">
        <v>0.8183977256962434</v>
      </c>
      <c r="AU1035" s="3" t="n">
        <v>0.8484785560247727</v>
      </c>
      <c r="AV1035" s="3" t="n">
        <v>0.8798269054536598</v>
      </c>
      <c r="AW1035" s="3" t="n">
        <v>0.9125800452010362</v>
      </c>
      <c r="AX1035" s="3" t="n">
        <v>0.9465107560023722</v>
      </c>
      <c r="AY1035" s="3" t="n">
        <v>0.9817283980733493</v>
      </c>
      <c r="AZ1035" s="3" t="n">
        <v>1.018178185602036</v>
      </c>
      <c r="BA1035" s="3" t="n">
        <v>1.055856812270569</v>
      </c>
      <c r="BC1035" s="20" t="inlineStr">
        <is>
          <t>egy.mit.impsub.con.res.nga.4</t>
        </is>
      </c>
      <c r="BD1035" s="3" t="n">
        <v>0.4612944017526993</v>
      </c>
      <c r="BE1035" s="3" t="n">
        <v>0.5404510919963923</v>
      </c>
      <c r="BF1035" s="3" t="n">
        <v>0.8024330825925072</v>
      </c>
      <c r="BG1035" s="3" t="n">
        <v>0.8269012653452766</v>
      </c>
      <c r="BH1035" s="3" t="n">
        <v>0.851824804269015</v>
      </c>
      <c r="BI1035" s="3" t="n">
        <v>0.733474097781695</v>
      </c>
      <c r="BJ1035" s="3" t="n">
        <v>0.6314446855190338</v>
      </c>
      <c r="BK1035" s="3" t="n">
        <v>0.5643992233911975</v>
      </c>
      <c r="BL1035" s="3" t="n">
        <v>0.5168665508882234</v>
      </c>
      <c r="BM1035" s="3" t="n">
        <v>0.4820766549687883</v>
      </c>
      <c r="BN1035" s="3" t="n">
        <v>0.4557935488030932</v>
      </c>
      <c r="BO1035" s="3" t="n">
        <v>0.435634087245524</v>
      </c>
      <c r="BP1035" s="3" t="n">
        <v>0.4200207371056273</v>
      </c>
      <c r="BQ1035" s="3" t="n">
        <v>0.4078436820995658</v>
      </c>
      <c r="BR1035" s="3" t="n">
        <v>0.3983616915595846</v>
      </c>
      <c r="BS1035" s="3" t="n">
        <v>0.39107481005285</v>
      </c>
      <c r="BT1035" s="3" t="n">
        <v>0.3855624607737136</v>
      </c>
      <c r="BU1035" s="3" t="n">
        <v>0.3815173376147067</v>
      </c>
      <c r="BV1035" s="3" t="n">
        <v>0.3786742104786613</v>
      </c>
      <c r="BW1035" s="3" t="n">
        <v>0.3767930073169357</v>
      </c>
      <c r="BY1035" s="20" t="inlineStr">
        <is>
          <t>egy.mit.impsub.con.res.nga.5</t>
        </is>
      </c>
      <c r="BZ1035" s="3" t="n">
        <v>0.4612944017526993</v>
      </c>
      <c r="CA1035" s="3" t="n">
        <v>0.5404510919963923</v>
      </c>
      <c r="CB1035" s="3" t="n">
        <v>0.8024330825925072</v>
      </c>
      <c r="CC1035" s="3" t="n">
        <v>0.8269012653452766</v>
      </c>
      <c r="CD1035" s="3" t="n">
        <v>0.851824804269015</v>
      </c>
      <c r="CE1035" s="3" t="n">
        <v>0.5932141530728769</v>
      </c>
      <c r="CF1035" s="3" t="n">
        <v>0.618542805270422</v>
      </c>
      <c r="CG1035" s="3" t="n">
        <v>0.6425411427398448</v>
      </c>
      <c r="CH1035" s="3" t="n">
        <v>0.6657042755139341</v>
      </c>
      <c r="CI1035" s="3" t="n">
        <v>0.6898382213513423</v>
      </c>
      <c r="CJ1035" s="3" t="n">
        <v>0.7145982416148908</v>
      </c>
      <c r="CK1035" s="3" t="n">
        <v>0.7406413407023127</v>
      </c>
      <c r="CL1035" s="3" t="n">
        <v>0.7677411285763586</v>
      </c>
      <c r="CM1035" s="3" t="n">
        <v>0.7958852463584369</v>
      </c>
      <c r="CN1035" s="3" t="n">
        <v>0.8252126217131061</v>
      </c>
      <c r="CO1035" s="3" t="n">
        <v>0.8558196638139922</v>
      </c>
      <c r="CP1035" s="3" t="n">
        <v>0.8875359616423971</v>
      </c>
      <c r="CQ1035" s="3" t="n">
        <v>0.9204994854599611</v>
      </c>
      <c r="CR1035" s="3" t="n">
        <v>0.9546515840323323</v>
      </c>
      <c r="CS1035" s="3" t="n">
        <v>0.9900212797841886</v>
      </c>
      <c r="CU1035" s="20" t="inlineStr">
        <is>
          <t>egy.mit.impsub.con.res.nga.6</t>
        </is>
      </c>
      <c r="CV1035" s="3" t="n">
        <v>0.4612944017526993</v>
      </c>
      <c r="CW1035" s="3" t="n">
        <v>0.5404510919963923</v>
      </c>
      <c r="CX1035" s="3" t="n">
        <v>0.8024330825925072</v>
      </c>
      <c r="CY1035" s="3" t="n">
        <v>0.8269012653452766</v>
      </c>
      <c r="CZ1035" s="3" t="n">
        <v>0.851824804269015</v>
      </c>
      <c r="DA1035" s="3" t="n">
        <v>0.4604926235610108</v>
      </c>
      <c r="DB1035" s="3" t="n">
        <v>0.4801545142107792</v>
      </c>
      <c r="DC1035" s="3" t="n">
        <v>0.4988956240513115</v>
      </c>
      <c r="DD1035" s="3" t="n">
        <v>0.5166303264240937</v>
      </c>
      <c r="DE1035" s="3" t="n">
        <v>0.5353805318598829</v>
      </c>
      <c r="DF1035" s="3" t="n">
        <v>0.5544936302196075</v>
      </c>
      <c r="DG1035" s="3" t="n">
        <v>0.5748358395268589</v>
      </c>
      <c r="DH1035" s="3" t="n">
        <v>0.5961714292356778</v>
      </c>
      <c r="DI1035" s="3" t="n">
        <v>0.6182730005735563</v>
      </c>
      <c r="DJ1035" s="3" t="n">
        <v>0.6413531834834842</v>
      </c>
      <c r="DK1035" s="3" t="n">
        <v>0.6655891234108766</v>
      </c>
      <c r="DL1035" s="3" t="n">
        <v>0.6905797635928062</v>
      </c>
      <c r="DM1035" s="3" t="n">
        <v>0.7164721640236181</v>
      </c>
      <c r="DN1035" s="3" t="n">
        <v>0.7431251809611493</v>
      </c>
      <c r="DO1035" s="3" t="n">
        <v>0.770644416368893</v>
      </c>
    </row>
    <row r="1036">
      <c r="A1036" s="19" t="inlineStr">
        <is>
          <t>mit.effprice.pow.nga</t>
        </is>
      </c>
      <c r="B1036" s="3" t="inlineStr">
        <is>
          <t>mit</t>
        </is>
      </c>
      <c r="C1036" s="19" t="inlineStr">
        <is>
          <t>mit.effprice.nga.pow</t>
        </is>
      </c>
      <c r="H1036" s="3" t="inlineStr">
        <is>
          <t>Energy subsidies: efficient price | Power | Natural gas</t>
        </is>
      </c>
      <c r="I1036" s="3" t="inlineStr">
        <is>
          <t>USD/GJ, USD/kWh</t>
        </is>
      </c>
      <c r="K1036" s="20" t="inlineStr">
        <is>
          <t>egy.mit.effprice.pow.nga.1</t>
        </is>
      </c>
      <c r="L1036" s="3" t="n">
        <v>15.0445350246563</v>
      </c>
      <c r="M1036" s="3" t="n">
        <v>13.07484630861803</v>
      </c>
      <c r="N1036" s="3" t="n">
        <v>12.56335521643026</v>
      </c>
      <c r="O1036" s="3" t="n">
        <v>12.60243699992209</v>
      </c>
      <c r="P1036" s="3" t="n">
        <v>12.80544235816311</v>
      </c>
      <c r="Q1036" s="3" t="n">
        <v>12.92345276351238</v>
      </c>
      <c r="R1036" s="3" t="n">
        <v>13.05781043513399</v>
      </c>
      <c r="S1036" s="3" t="n">
        <v>13.22345230330444</v>
      </c>
      <c r="T1036" s="3" t="n">
        <v>13.40406202498537</v>
      </c>
      <c r="U1036" s="3" t="n">
        <v>13.57632300155072</v>
      </c>
      <c r="V1036" s="3" t="n">
        <v>13.76592004948052</v>
      </c>
      <c r="W1036" s="3" t="n">
        <v>13.96293564603915</v>
      </c>
      <c r="X1036" s="3" t="n">
        <v>14.16764112058923</v>
      </c>
      <c r="Y1036" s="3" t="n">
        <v>14.38033440759838</v>
      </c>
      <c r="Z1036" s="3" t="n">
        <v>14.60130183492247</v>
      </c>
      <c r="AA1036" s="3" t="n">
        <v>14.83087900995602</v>
      </c>
      <c r="AB1036" s="3" t="n">
        <v>15.06934997537247</v>
      </c>
      <c r="AC1036" s="3" t="n">
        <v>15.31704018491349</v>
      </c>
      <c r="AD1036" s="3" t="n">
        <v>15.57428619260744</v>
      </c>
      <c r="AE1036" s="3" t="n">
        <v>15.82090056775088</v>
      </c>
      <c r="AG1036" s="20" t="inlineStr">
        <is>
          <t>egy.mit.effprice.pow.nga.3</t>
        </is>
      </c>
      <c r="AH1036" s="3" t="n">
        <v>15.0445350246563</v>
      </c>
      <c r="AI1036" s="3" t="n">
        <v>13.07484630861803</v>
      </c>
      <c r="AJ1036" s="3" t="n">
        <v>12.56335521643026</v>
      </c>
      <c r="AK1036" s="3" t="n">
        <v>12.60243699992209</v>
      </c>
      <c r="AL1036" s="3" t="n">
        <v>12.80544235816311</v>
      </c>
      <c r="AM1036" s="3" t="n">
        <v>12.92345276351238</v>
      </c>
      <c r="AN1036" s="3" t="n">
        <v>13.05781043513399</v>
      </c>
      <c r="AO1036" s="3" t="n">
        <v>13.22345230330444</v>
      </c>
      <c r="AP1036" s="3" t="n">
        <v>13.40406202498537</v>
      </c>
      <c r="AQ1036" s="3" t="n">
        <v>13.57632300155072</v>
      </c>
      <c r="AR1036" s="3" t="n">
        <v>13.76592004948052</v>
      </c>
      <c r="AS1036" s="3" t="n">
        <v>13.96293564603915</v>
      </c>
      <c r="AT1036" s="3" t="n">
        <v>14.16764112058923</v>
      </c>
      <c r="AU1036" s="3" t="n">
        <v>14.38033440759838</v>
      </c>
      <c r="AV1036" s="3" t="n">
        <v>14.60130183492247</v>
      </c>
      <c r="AW1036" s="3" t="n">
        <v>14.83087900995602</v>
      </c>
      <c r="AX1036" s="3" t="n">
        <v>15.06934997537247</v>
      </c>
      <c r="AY1036" s="3" t="n">
        <v>15.31704018491349</v>
      </c>
      <c r="AZ1036" s="3" t="n">
        <v>15.57428619260744</v>
      </c>
      <c r="BA1036" s="3" t="n">
        <v>15.82090056775088</v>
      </c>
      <c r="BC1036" s="20" t="inlineStr">
        <is>
          <t>egy.mit.effprice.pow.nga.4</t>
        </is>
      </c>
      <c r="BD1036" s="3" t="n">
        <v>15.0445350246563</v>
      </c>
      <c r="BE1036" s="3" t="n">
        <v>13.07484630861803</v>
      </c>
      <c r="BF1036" s="3" t="n">
        <v>12.56335521643026</v>
      </c>
      <c r="BG1036" s="3" t="n">
        <v>12.60243699992209</v>
      </c>
      <c r="BH1036" s="3" t="n">
        <v>12.80544235816311</v>
      </c>
      <c r="BI1036" s="3" t="n">
        <v>12.92345276351238</v>
      </c>
      <c r="BJ1036" s="3" t="n">
        <v>13.05781043513399</v>
      </c>
      <c r="BK1036" s="3" t="n">
        <v>13.22345230330444</v>
      </c>
      <c r="BL1036" s="3" t="n">
        <v>13.40406202498537</v>
      </c>
      <c r="BM1036" s="3" t="n">
        <v>13.57632300155072</v>
      </c>
      <c r="BN1036" s="3" t="n">
        <v>13.76592004948052</v>
      </c>
      <c r="BO1036" s="3" t="n">
        <v>13.96293564603915</v>
      </c>
      <c r="BP1036" s="3" t="n">
        <v>14.16764112058923</v>
      </c>
      <c r="BQ1036" s="3" t="n">
        <v>14.38033440759838</v>
      </c>
      <c r="BR1036" s="3" t="n">
        <v>14.60130183492247</v>
      </c>
      <c r="BS1036" s="3" t="n">
        <v>14.83087900995602</v>
      </c>
      <c r="BT1036" s="3" t="n">
        <v>15.06934997537247</v>
      </c>
      <c r="BU1036" s="3" t="n">
        <v>15.31704018491349</v>
      </c>
      <c r="BV1036" s="3" t="n">
        <v>15.57428619260744</v>
      </c>
      <c r="BW1036" s="3" t="n">
        <v>15.82090056775088</v>
      </c>
      <c r="BY1036" s="20" t="inlineStr">
        <is>
          <t>egy.mit.effprice.pow.nga.5</t>
        </is>
      </c>
      <c r="BZ1036" s="3" t="n">
        <v>15.0445350246563</v>
      </c>
      <c r="CA1036" s="3" t="n">
        <v>13.07484630861803</v>
      </c>
      <c r="CB1036" s="3" t="n">
        <v>12.56335521643026</v>
      </c>
      <c r="CC1036" s="3" t="n">
        <v>12.60243699992209</v>
      </c>
      <c r="CD1036" s="3" t="n">
        <v>12.80544235816311</v>
      </c>
      <c r="CE1036" s="3" t="n">
        <v>12.92345276351238</v>
      </c>
      <c r="CF1036" s="3" t="n">
        <v>13.05781043513399</v>
      </c>
      <c r="CG1036" s="3" t="n">
        <v>13.22345230330444</v>
      </c>
      <c r="CH1036" s="3" t="n">
        <v>13.40406202498537</v>
      </c>
      <c r="CI1036" s="3" t="n">
        <v>13.57632300155072</v>
      </c>
      <c r="CJ1036" s="3" t="n">
        <v>13.76592004948052</v>
      </c>
      <c r="CK1036" s="3" t="n">
        <v>13.96293564603915</v>
      </c>
      <c r="CL1036" s="3" t="n">
        <v>14.16764112058923</v>
      </c>
      <c r="CM1036" s="3" t="n">
        <v>14.38033440759838</v>
      </c>
      <c r="CN1036" s="3" t="n">
        <v>14.60130183492247</v>
      </c>
      <c r="CO1036" s="3" t="n">
        <v>14.83087900995602</v>
      </c>
      <c r="CP1036" s="3" t="n">
        <v>15.06934997537247</v>
      </c>
      <c r="CQ1036" s="3" t="n">
        <v>15.31704018491349</v>
      </c>
      <c r="CR1036" s="3" t="n">
        <v>15.57428619260744</v>
      </c>
      <c r="CS1036" s="3" t="n">
        <v>15.82090056775088</v>
      </c>
      <c r="CU1036" s="20" t="inlineStr">
        <is>
          <t>egy.mit.effprice.pow.nga.6</t>
        </is>
      </c>
      <c r="CV1036" s="3" t="n">
        <v>15.0445350246563</v>
      </c>
      <c r="CW1036" s="3" t="n">
        <v>13.07484630861803</v>
      </c>
      <c r="CX1036" s="3" t="n">
        <v>12.56335521643026</v>
      </c>
      <c r="CY1036" s="3" t="n">
        <v>12.60243699992209</v>
      </c>
      <c r="CZ1036" s="3" t="n">
        <v>12.80544235816311</v>
      </c>
      <c r="DA1036" s="3" t="n">
        <v>12.92345276351238</v>
      </c>
      <c r="DB1036" s="3" t="n">
        <v>13.05781043513399</v>
      </c>
      <c r="DC1036" s="3" t="n">
        <v>13.22345230330444</v>
      </c>
      <c r="DD1036" s="3" t="n">
        <v>13.40406202498537</v>
      </c>
      <c r="DE1036" s="3" t="n">
        <v>13.57632300155072</v>
      </c>
      <c r="DF1036" s="3" t="n">
        <v>13.76592004948052</v>
      </c>
      <c r="DG1036" s="3" t="n">
        <v>13.96293564603915</v>
      </c>
      <c r="DH1036" s="3" t="n">
        <v>14.16764112058923</v>
      </c>
      <c r="DI1036" s="3" t="n">
        <v>14.38033440759838</v>
      </c>
      <c r="DJ1036" s="3" t="n">
        <v>14.60130183492247</v>
      </c>
      <c r="DK1036" s="3" t="n">
        <v>14.83087900995602</v>
      </c>
      <c r="DL1036" s="3" t="n">
        <v>15.06934997537247</v>
      </c>
      <c r="DM1036" s="3" t="n">
        <v>15.31704018491349</v>
      </c>
      <c r="DN1036" s="3" t="n">
        <v>15.57428619260744</v>
      </c>
      <c r="DO1036" s="3" t="n">
        <v>15.82090056775088</v>
      </c>
    </row>
    <row r="1037">
      <c r="A1037" s="19" t="inlineStr">
        <is>
          <t>mit.con.pow.nga</t>
        </is>
      </c>
      <c r="B1037" s="3" t="inlineStr">
        <is>
          <t>mit</t>
        </is>
      </c>
      <c r="C1037" s="19" t="inlineStr">
        <is>
          <t>mit.con.nga.pow</t>
        </is>
      </c>
      <c r="H1037" s="3" t="inlineStr">
        <is>
          <t>Energy subsidies: consumption of the line | Power | Natural gas</t>
        </is>
      </c>
      <c r="I1037" s="3" t="inlineStr">
        <is>
          <t>PJ, GWh</t>
        </is>
      </c>
      <c r="K1037" s="20" t="inlineStr">
        <is>
          <t>egy.mit.con.pow.nga.1</t>
        </is>
      </c>
      <c r="L1037" s="3" t="n">
        <v>1196.067080967987</v>
      </c>
      <c r="M1037" s="3" t="n">
        <v>1129.225433469851</v>
      </c>
      <c r="N1037" s="3" t="n">
        <v>1332.997172482942</v>
      </c>
      <c r="O1037" s="3" t="n">
        <v>1473.018172747384</v>
      </c>
      <c r="P1037" s="3" t="n">
        <v>1479.823628805782</v>
      </c>
      <c r="Q1037" s="3" t="n">
        <v>1468.390857037176</v>
      </c>
      <c r="R1037" s="3" t="n">
        <v>1455.943898141637</v>
      </c>
      <c r="S1037" s="3" t="n">
        <v>1442.470481637482</v>
      </c>
      <c r="T1037" s="3" t="n">
        <v>1404.056112645111</v>
      </c>
      <c r="U1037" s="3" t="n">
        <v>1396.340707801968</v>
      </c>
      <c r="V1037" s="3" t="n">
        <v>1380.958370174883</v>
      </c>
      <c r="W1037" s="3" t="n">
        <v>1417.2761095178</v>
      </c>
      <c r="X1037" s="3" t="n">
        <v>1441.367649337144</v>
      </c>
      <c r="Y1037" s="3" t="n">
        <v>1473.467189108694</v>
      </c>
      <c r="Z1037" s="3" t="n">
        <v>1505.123959702706</v>
      </c>
      <c r="AA1037" s="3" t="n">
        <v>1537.421688707733</v>
      </c>
      <c r="AB1037" s="3" t="n">
        <v>1570.105399792377</v>
      </c>
      <c r="AC1037" s="3" t="n">
        <v>1603.237313996525</v>
      </c>
      <c r="AD1037" s="3" t="n">
        <v>1637.047244001246</v>
      </c>
      <c r="AE1037" s="3" t="n">
        <v>1671.620197523217</v>
      </c>
      <c r="AG1037" s="20" t="inlineStr">
        <is>
          <t>egy.mit.con.pow.nga.3</t>
        </is>
      </c>
      <c r="AH1037" s="3" t="n">
        <v>1196.067080967987</v>
      </c>
      <c r="AI1037" s="3" t="n">
        <v>1128.340947529065</v>
      </c>
      <c r="AJ1037" s="3" t="n">
        <v>1332.145212553516</v>
      </c>
      <c r="AK1037" s="3" t="n">
        <v>1472.197717538003</v>
      </c>
      <c r="AL1037" s="3" t="n">
        <v>1479.000929341167</v>
      </c>
      <c r="AM1037" s="3" t="n">
        <v>1467.5448229942</v>
      </c>
      <c r="AN1037" s="3" t="n">
        <v>1274.644192550437</v>
      </c>
      <c r="AO1037" s="3" t="n">
        <v>1377.801341742201</v>
      </c>
      <c r="AP1037" s="3" t="n">
        <v>1327.128575555952</v>
      </c>
      <c r="AQ1037" s="3" t="n">
        <v>1342.926158160833</v>
      </c>
      <c r="AR1037" s="3" t="n">
        <v>1327.420005182435</v>
      </c>
      <c r="AS1037" s="3" t="n">
        <v>1373.073137519778</v>
      </c>
      <c r="AT1037" s="3" t="n">
        <v>1392.125485452685</v>
      </c>
      <c r="AU1037" s="3" t="n">
        <v>1425.702603326555</v>
      </c>
      <c r="AV1037" s="3" t="n">
        <v>1458.967960165489</v>
      </c>
      <c r="AW1037" s="3" t="n">
        <v>1493.703133357647</v>
      </c>
      <c r="AX1037" s="3" t="n">
        <v>1527.302136590416</v>
      </c>
      <c r="AY1037" s="3" t="n">
        <v>1560.975646725099</v>
      </c>
      <c r="AZ1037" s="3" t="n">
        <v>1593.448609523146</v>
      </c>
      <c r="BA1037" s="3" t="n">
        <v>1626.366164564732</v>
      </c>
      <c r="BC1037" s="20" t="inlineStr">
        <is>
          <t>egy.mit.con.pow.nga.4</t>
        </is>
      </c>
      <c r="BD1037" s="3" t="n">
        <v>1196.067080967987</v>
      </c>
      <c r="BE1037" s="3" t="n">
        <v>1126.127291201924</v>
      </c>
      <c r="BF1037" s="3" t="n">
        <v>1330.012809498004</v>
      </c>
      <c r="BG1037" s="3" t="n">
        <v>1470.14401267908</v>
      </c>
      <c r="BH1037" s="3" t="n">
        <v>1476.947025159818</v>
      </c>
      <c r="BI1037" s="3" t="n">
        <v>1465.437939552485</v>
      </c>
      <c r="BJ1037" s="3" t="n">
        <v>1356.94246709916</v>
      </c>
      <c r="BK1037" s="3" t="n">
        <v>1268.780120229934</v>
      </c>
      <c r="BL1037" s="3" t="n">
        <v>1238.510050196113</v>
      </c>
      <c r="BM1037" s="3" t="n">
        <v>1234.441374347893</v>
      </c>
      <c r="BN1037" s="3" t="n">
        <v>1167.037394217256</v>
      </c>
      <c r="BO1037" s="3" t="n">
        <v>1156.059749248926</v>
      </c>
      <c r="BP1037" s="3" t="n">
        <v>1104.751206620563</v>
      </c>
      <c r="BQ1037" s="3" t="n">
        <v>1084.488765096922</v>
      </c>
      <c r="BR1037" s="3" t="n">
        <v>1041.103288183608</v>
      </c>
      <c r="BS1037" s="3" t="n">
        <v>1021.92246651933</v>
      </c>
      <c r="BT1037" s="3" t="n">
        <v>979.0776150453673</v>
      </c>
      <c r="BU1037" s="3" t="n">
        <v>964.4344888040036</v>
      </c>
      <c r="BV1037" s="3" t="n">
        <v>917.3970434393279</v>
      </c>
      <c r="BW1037" s="3" t="n">
        <v>912.7345323704789</v>
      </c>
      <c r="BY1037" s="20" t="inlineStr">
        <is>
          <t>egy.mit.con.pow.nga.5</t>
        </is>
      </c>
      <c r="BZ1037" s="3" t="n">
        <v>1196.067080967987</v>
      </c>
      <c r="CA1037" s="3" t="n">
        <v>1123.985602923877</v>
      </c>
      <c r="CB1037" s="3" t="n">
        <v>1327.947108672967</v>
      </c>
      <c r="CC1037" s="3" t="n">
        <v>1468.151863050491</v>
      </c>
      <c r="CD1037" s="3" t="n">
        <v>1474.947734880102</v>
      </c>
      <c r="CE1037" s="3" t="n">
        <v>1463.380227471866</v>
      </c>
      <c r="CF1037" s="3" t="n">
        <v>1450.873417125159</v>
      </c>
      <c r="CG1037" s="3" t="n">
        <v>1438.294700736262</v>
      </c>
      <c r="CH1037" s="3" t="n">
        <v>1397.322929587838</v>
      </c>
      <c r="CI1037" s="3" t="n">
        <v>1370.935369203755</v>
      </c>
      <c r="CJ1037" s="3" t="n">
        <v>1315.335765626025</v>
      </c>
      <c r="CK1037" s="3" t="n">
        <v>1332.55500412981</v>
      </c>
      <c r="CL1037" s="3" t="n">
        <v>1269.871738683719</v>
      </c>
      <c r="CM1037" s="3" t="n">
        <v>1229.279758547488</v>
      </c>
      <c r="CN1037" s="3" t="n">
        <v>1193.470506436441</v>
      </c>
      <c r="CO1037" s="3" t="n">
        <v>1145.750277698937</v>
      </c>
      <c r="CP1037" s="3" t="n">
        <v>1107.037700023779</v>
      </c>
      <c r="CQ1037" s="3" t="n">
        <v>1071.626382536464</v>
      </c>
      <c r="CR1037" s="3" t="n">
        <v>1032.687071705517</v>
      </c>
      <c r="CS1037" s="3" t="n">
        <v>1000.595054553929</v>
      </c>
      <c r="CU1037" s="20" t="inlineStr">
        <is>
          <t>egy.mit.con.pow.nga.6</t>
        </is>
      </c>
      <c r="CV1037" s="3" t="n">
        <v>1196.067080967987</v>
      </c>
      <c r="CW1037" s="3" t="n">
        <v>1127.101231957113</v>
      </c>
      <c r="CX1037" s="3" t="n">
        <v>1330.951026199048</v>
      </c>
      <c r="CY1037" s="3" t="n">
        <v>1471.047629320779</v>
      </c>
      <c r="CZ1037" s="3" t="n">
        <v>1477.849829956217</v>
      </c>
      <c r="DA1037" s="3" t="n">
        <v>1466.363153821912</v>
      </c>
      <c r="DB1037" s="3" t="n">
        <v>1072.14047896028</v>
      </c>
      <c r="DC1037" s="3" t="n">
        <v>1175.086071506319</v>
      </c>
      <c r="DD1037" s="3" t="n">
        <v>1162.804598326604</v>
      </c>
      <c r="DE1037" s="3" t="n">
        <v>1247.537300166682</v>
      </c>
      <c r="DF1037" s="3" t="n">
        <v>1182.102134395224</v>
      </c>
      <c r="DG1037" s="3" t="n">
        <v>1198.057984914126</v>
      </c>
      <c r="DH1037" s="3" t="n">
        <v>1156.714606465882</v>
      </c>
      <c r="DI1037" s="3" t="n">
        <v>1147.72411777548</v>
      </c>
      <c r="DJ1037" s="3" t="n">
        <v>1123.788868246407</v>
      </c>
      <c r="DK1037" s="3" t="n">
        <v>1116.215637921026</v>
      </c>
      <c r="DL1037" s="3" t="n">
        <v>1094.833987223943</v>
      </c>
      <c r="DM1037" s="3" t="n">
        <v>1088.483000156057</v>
      </c>
      <c r="DN1037" s="3" t="n">
        <v>1070.187963389949</v>
      </c>
      <c r="DO1037" s="3" t="n">
        <v>1065.544538275678</v>
      </c>
    </row>
    <row r="1038">
      <c r="A1038" s="19" t="inlineStr">
        <is>
          <t>mit.expsub.con.pow.nga</t>
        </is>
      </c>
      <c r="B1038" s="3" t="inlineStr">
        <is>
          <t>mit</t>
        </is>
      </c>
      <c r="C1038" s="19" t="inlineStr">
        <is>
          <t>mit.expsub.con.nga.pow</t>
        </is>
      </c>
      <c r="H1038" s="3" t="inlineStr">
        <is>
          <t>Explicit consumer subsidy | Power | Natural gas</t>
        </is>
      </c>
      <c r="I1038" s="3" t="inlineStr">
        <is>
          <t>USD bn real</t>
        </is>
      </c>
      <c r="K1038" s="20" t="inlineStr">
        <is>
          <t>egy.mit.expsub.con.pow.nga.1</t>
        </is>
      </c>
      <c r="L1038" s="3" t="n">
        <v>10.10459337071207</v>
      </c>
      <c r="M1038" s="3" t="n">
        <v>7.777521555089407</v>
      </c>
      <c r="N1038" s="3" t="n">
        <v>8.14894800881669</v>
      </c>
      <c r="O1038" s="3" t="n">
        <v>9.023431262067822</v>
      </c>
      <c r="P1038" s="3" t="n">
        <v>9.109264849917286</v>
      </c>
      <c r="Q1038" s="3" t="n">
        <v>8.986717194276061</v>
      </c>
      <c r="R1038" s="3" t="n">
        <v>8.84968933779777</v>
      </c>
      <c r="S1038" s="3" t="n">
        <v>8.746318289654704</v>
      </c>
      <c r="T1038" s="3" t="n">
        <v>8.507465348118011</v>
      </c>
      <c r="U1038" s="3" t="n">
        <v>8.457374057204499</v>
      </c>
      <c r="V1038" s="3" t="n">
        <v>8.364206120139013</v>
      </c>
      <c r="W1038" s="3" t="n">
        <v>8.584175863067015</v>
      </c>
      <c r="X1038" s="3" t="n">
        <v>8.730093806107552</v>
      </c>
      <c r="Y1038" s="3" t="n">
        <v>8.924514704528146</v>
      </c>
      <c r="Z1038" s="3" t="n">
        <v>9.116253832994953</v>
      </c>
      <c r="AA1038" s="3" t="n">
        <v>9.311875126471181</v>
      </c>
      <c r="AB1038" s="3" t="n">
        <v>9.509834241088383</v>
      </c>
      <c r="AC1038" s="3" t="n">
        <v>9.710508038027791</v>
      </c>
      <c r="AD1038" s="3" t="n">
        <v>9.915288449642334</v>
      </c>
      <c r="AE1038" s="3" t="n">
        <v>10.12469035174539</v>
      </c>
      <c r="AG1038" s="20" t="inlineStr">
        <is>
          <t>egy.mit.expsub.con.pow.nga.3</t>
        </is>
      </c>
      <c r="AH1038" s="3" t="n">
        <v>10.10459337071207</v>
      </c>
      <c r="AI1038" s="3" t="n">
        <v>7.771429672755068</v>
      </c>
      <c r="AJ1038" s="3" t="n">
        <v>8.14373976283253</v>
      </c>
      <c r="AK1038" s="3" t="n">
        <v>9.018405308333898</v>
      </c>
      <c r="AL1038" s="3" t="n">
        <v>9.10420060633502</v>
      </c>
      <c r="AM1038" s="3" t="n">
        <v>8.981539370780007</v>
      </c>
      <c r="AN1038" s="3" t="n">
        <v>7.747692156749634</v>
      </c>
      <c r="AO1038" s="3" t="n">
        <v>8.354201509282017</v>
      </c>
      <c r="AP1038" s="3" t="n">
        <v>8.041345546916368</v>
      </c>
      <c r="AQ1038" s="3" t="n">
        <v>8.133852137455191</v>
      </c>
      <c r="AR1038" s="3" t="n">
        <v>8.0399342740041</v>
      </c>
      <c r="AS1038" s="3" t="n">
        <v>8.316446743276554</v>
      </c>
      <c r="AT1038" s="3" t="n">
        <v>8.431843245173461</v>
      </c>
      <c r="AU1038" s="3" t="n">
        <v>8.635213557329713</v>
      </c>
      <c r="AV1038" s="3" t="n">
        <v>8.836695591307018</v>
      </c>
      <c r="AW1038" s="3" t="n">
        <v>9.047080027559897</v>
      </c>
      <c r="AX1038" s="3" t="n">
        <v>9.25058289523469</v>
      </c>
      <c r="AY1038" s="3" t="n">
        <v>9.454537037255209</v>
      </c>
      <c r="AZ1038" s="3" t="n">
        <v>9.651219688985021</v>
      </c>
      <c r="BA1038" s="3" t="n">
        <v>9.85059515263783</v>
      </c>
      <c r="BC1038" s="20" t="inlineStr">
        <is>
          <t>egy.mit.expsub.con.pow.nga.4</t>
        </is>
      </c>
      <c r="BD1038" s="3" t="n">
        <v>10.10459337071207</v>
      </c>
      <c r="BE1038" s="3" t="n">
        <v>7.756183151299216</v>
      </c>
      <c r="BF1038" s="3" t="n">
        <v>8.130703844983701</v>
      </c>
      <c r="BG1038" s="3" t="n">
        <v>9.005824700049548</v>
      </c>
      <c r="BH1038" s="3" t="n">
        <v>9.091557506981784</v>
      </c>
      <c r="BI1038" s="3" t="n">
        <v>8.96864500715655</v>
      </c>
      <c r="BJ1038" s="3" t="n">
        <v>8.2479272027034</v>
      </c>
      <c r="BK1038" s="3" t="n">
        <v>7.693159002130815</v>
      </c>
      <c r="BL1038" s="3" t="n">
        <v>7.504387638389597</v>
      </c>
      <c r="BM1038" s="3" t="n">
        <v>7.476780126953352</v>
      </c>
      <c r="BN1038" s="3" t="n">
        <v>7.068526847704245</v>
      </c>
      <c r="BO1038" s="3" t="n">
        <v>7.002037308836256</v>
      </c>
      <c r="BP1038" s="3" t="n">
        <v>6.691271078994571</v>
      </c>
      <c r="BQ1038" s="3" t="n">
        <v>6.568545266934402</v>
      </c>
      <c r="BR1038" s="3" t="n">
        <v>6.305767561711084</v>
      </c>
      <c r="BS1038" s="3" t="n">
        <v>6.189592918493322</v>
      </c>
      <c r="BT1038" s="3" t="n">
        <v>5.93008968026784</v>
      </c>
      <c r="BU1038" s="3" t="n">
        <v>5.841399008071493</v>
      </c>
      <c r="BV1038" s="3" t="n">
        <v>5.556502014149003</v>
      </c>
      <c r="BW1038" s="3" t="n">
        <v>5.528262058144866</v>
      </c>
      <c r="BY1038" s="20" t="inlineStr">
        <is>
          <t>egy.mit.expsub.con.pow.nga.5</t>
        </is>
      </c>
      <c r="BZ1038" s="3" t="n">
        <v>10.10459337071207</v>
      </c>
      <c r="CA1038" s="3" t="n">
        <v>7.741432308594926</v>
      </c>
      <c r="CB1038" s="3" t="n">
        <v>8.11807569469765</v>
      </c>
      <c r="CC1038" s="3" t="n">
        <v>8.993621167486337</v>
      </c>
      <c r="CD1038" s="3" t="n">
        <v>9.079250591268794</v>
      </c>
      <c r="CE1038" s="3" t="n">
        <v>8.95605157779328</v>
      </c>
      <c r="CF1038" s="3" t="n">
        <v>8.818869344083513</v>
      </c>
      <c r="CG1038" s="3" t="n">
        <v>8.72099873592043</v>
      </c>
      <c r="CH1038" s="3" t="n">
        <v>8.466667604333844</v>
      </c>
      <c r="CI1038" s="3" t="n">
        <v>8.303498681105749</v>
      </c>
      <c r="CJ1038" s="3" t="n">
        <v>7.966742299040977</v>
      </c>
      <c r="CK1038" s="3" t="n">
        <v>8.071036000565998</v>
      </c>
      <c r="CL1038" s="3" t="n">
        <v>7.691375205716623</v>
      </c>
      <c r="CM1038" s="3" t="n">
        <v>7.44551718709943</v>
      </c>
      <c r="CN1038" s="3" t="n">
        <v>7.228627256067772</v>
      </c>
      <c r="CO1038" s="3" t="n">
        <v>6.939594771178227</v>
      </c>
      <c r="CP1038" s="3" t="n">
        <v>6.705119941154267</v>
      </c>
      <c r="CQ1038" s="3" t="n">
        <v>6.490640225583931</v>
      </c>
      <c r="CR1038" s="3" t="n">
        <v>6.254792115314716</v>
      </c>
      <c r="CS1038" s="3" t="n">
        <v>6.060416779993836</v>
      </c>
      <c r="CU1038" s="20" t="inlineStr">
        <is>
          <t>egy.mit.expsub.con.pow.nga.6</t>
        </is>
      </c>
      <c r="CV1038" s="3" t="n">
        <v>10.10459337071207</v>
      </c>
      <c r="CW1038" s="3" t="n">
        <v>7.762891152192877</v>
      </c>
      <c r="CX1038" s="3" t="n">
        <v>8.136439400373941</v>
      </c>
      <c r="CY1038" s="3" t="n">
        <v>9.011360085019323</v>
      </c>
      <c r="CZ1038" s="3" t="n">
        <v>9.097114850328717</v>
      </c>
      <c r="DA1038" s="3" t="n">
        <v>8.974307422543848</v>
      </c>
      <c r="DB1038" s="3" t="n">
        <v>6.516810281898077</v>
      </c>
      <c r="DC1038" s="3" t="n">
        <v>7.125051728938722</v>
      </c>
      <c r="DD1038" s="3" t="n">
        <v>7.045672703393084</v>
      </c>
      <c r="DE1038" s="3" t="n">
        <v>7.556099696064285</v>
      </c>
      <c r="DF1038" s="3" t="n">
        <v>7.159771156523564</v>
      </c>
      <c r="DG1038" s="3" t="n">
        <v>7.256412753724879</v>
      </c>
      <c r="DH1038" s="3" t="n">
        <v>7.006003656309271</v>
      </c>
      <c r="DI1038" s="3" t="n">
        <v>6.951549950715103</v>
      </c>
      <c r="DJ1038" s="3" t="n">
        <v>6.806578628681138</v>
      </c>
      <c r="DK1038" s="3" t="n">
        <v>6.760708991474945</v>
      </c>
      <c r="DL1038" s="3" t="n">
        <v>6.631204339139501</v>
      </c>
      <c r="DM1038" s="3" t="n">
        <v>6.592737600351854</v>
      </c>
      <c r="DN1038" s="3" t="n">
        <v>6.481927990307002</v>
      </c>
      <c r="DO1038" s="3" t="n">
        <v>6.453803634353917</v>
      </c>
    </row>
    <row r="1039">
      <c r="A1039" s="19" t="inlineStr">
        <is>
          <t>mit.impsub.con.pow.nga</t>
        </is>
      </c>
      <c r="B1039" s="3" t="inlineStr">
        <is>
          <t>mit</t>
        </is>
      </c>
      <c r="C1039" s="19" t="inlineStr">
        <is>
          <t>mit.impsub.con.nga.pow</t>
        </is>
      </c>
      <c r="H1039" s="3" t="inlineStr">
        <is>
          <t>Implicit consumer subsidy | Power | Natural gas</t>
        </is>
      </c>
      <c r="I1039" s="3" t="inlineStr">
        <is>
          <t>USD bn real</t>
        </is>
      </c>
      <c r="K1039" s="20" t="inlineStr">
        <is>
          <t>egy.mit.impsub.con.pow.nga.1</t>
        </is>
      </c>
      <c r="L1039" s="3" t="n">
        <v>4.117020470022012</v>
      </c>
      <c r="M1039" s="3" t="n">
        <v>4.024161672169327</v>
      </c>
      <c r="N1039" s="3" t="n">
        <v>4.893599100241139</v>
      </c>
      <c r="O1039" s="3" t="n">
        <v>5.446702303333942</v>
      </c>
      <c r="P1039" s="3" t="n">
        <v>5.728133959668626</v>
      </c>
      <c r="Q1039" s="3" t="n">
        <v>5.90933673737833</v>
      </c>
      <c r="R1039" s="3" t="n">
        <v>6.11571396613744</v>
      </c>
      <c r="S1039" s="3" t="n">
        <v>6.319527529620099</v>
      </c>
      <c r="T1039" s="3" t="n">
        <v>6.410748766651131</v>
      </c>
      <c r="U1039" s="3" t="n">
        <v>6.61939824708144</v>
      </c>
      <c r="V1039" s="3" t="n">
        <v>6.808303408790163</v>
      </c>
      <c r="W1039" s="3" t="n">
        <v>7.266580060098745</v>
      </c>
      <c r="X1039" s="3" t="n">
        <v>7.685156725691192</v>
      </c>
      <c r="Y1039" s="3" t="n">
        <v>8.169703250483149</v>
      </c>
      <c r="Z1039" s="3" t="n">
        <v>8.677808968265429</v>
      </c>
      <c r="AA1039" s="3" t="n">
        <v>9.216978813016617</v>
      </c>
      <c r="AB1039" s="3" t="n">
        <v>9.787345098176289</v>
      </c>
      <c r="AC1039" s="3" t="n">
        <v>10.39098103594395</v>
      </c>
      <c r="AD1039" s="3" t="n">
        <v>11.03123549572813</v>
      </c>
      <c r="AE1039" s="3" t="n">
        <v>11.67645075813153</v>
      </c>
      <c r="AG1039" s="20" t="inlineStr">
        <is>
          <t>egy.mit.impsub.con.pow.nga.3</t>
        </is>
      </c>
      <c r="AH1039" s="3" t="n">
        <v>4.117020470022012</v>
      </c>
      <c r="AI1039" s="3" t="n">
        <v>4.021009675838932</v>
      </c>
      <c r="AJ1039" s="3" t="n">
        <v>4.890471448937639</v>
      </c>
      <c r="AK1039" s="3" t="n">
        <v>5.443668548991059</v>
      </c>
      <c r="AL1039" s="3" t="n">
        <v>5.724949436425361</v>
      </c>
      <c r="AM1039" s="3" t="n">
        <v>5.905931989911213</v>
      </c>
      <c r="AN1039" s="3" t="n">
        <v>5.354161860348234</v>
      </c>
      <c r="AO1039" s="3" t="n">
        <v>6.036209142805592</v>
      </c>
      <c r="AP1039" s="3" t="n">
        <v>6.05950702561646</v>
      </c>
      <c r="AQ1039" s="3" t="n">
        <v>6.366184848454862</v>
      </c>
      <c r="AR1039" s="3" t="n">
        <v>6.544352343536128</v>
      </c>
      <c r="AS1039" s="3" t="n">
        <v>7.039945015056452</v>
      </c>
      <c r="AT1039" s="3" t="n">
        <v>7.422604872846239</v>
      </c>
      <c r="AU1039" s="3" t="n">
        <v>7.904870416330683</v>
      </c>
      <c r="AV1039" s="3" t="n">
        <v>8.411696038402541</v>
      </c>
      <c r="AW1039" s="3" t="n">
        <v>8.954882212352596</v>
      </c>
      <c r="AX1039" s="3" t="n">
        <v>9.520528419282591</v>
      </c>
      <c r="AY1039" s="3" t="n">
        <v>10.11707262617143</v>
      </c>
      <c r="AZ1039" s="3" t="n">
        <v>10.73744629325859</v>
      </c>
      <c r="BA1039" s="3" t="n">
        <v>11.3603463653816</v>
      </c>
      <c r="BC1039" s="20" t="inlineStr">
        <is>
          <t>egy.mit.impsub.con.pow.nga.4</t>
        </is>
      </c>
      <c r="BD1039" s="3" t="n">
        <v>4.117020470022012</v>
      </c>
      <c r="BE1039" s="3" t="n">
        <v>4.013120984455441</v>
      </c>
      <c r="BF1039" s="3" t="n">
        <v>4.882643131001776</v>
      </c>
      <c r="BG1039" s="3" t="n">
        <v>5.436074671880499</v>
      </c>
      <c r="BH1039" s="3" t="n">
        <v>5.716999138793891</v>
      </c>
      <c r="BI1039" s="3" t="n">
        <v>5.89745312771738</v>
      </c>
      <c r="BJ1039" s="3" t="n">
        <v>5.699856984788856</v>
      </c>
      <c r="BK1039" s="3" t="n">
        <v>5.558582307851242</v>
      </c>
      <c r="BL1039" s="3" t="n">
        <v>5.654885659677772</v>
      </c>
      <c r="BM1039" s="3" t="n">
        <v>5.851909225181815</v>
      </c>
      <c r="BN1039" s="3" t="n">
        <v>5.753645324028643</v>
      </c>
      <c r="BO1039" s="3" t="n">
        <v>5.927285915398049</v>
      </c>
      <c r="BP1039" s="3" t="n">
        <v>5.890368199730267</v>
      </c>
      <c r="BQ1039" s="3" t="n">
        <v>6.012995372285282</v>
      </c>
      <c r="BR1039" s="3" t="n">
        <v>6.002492613880684</v>
      </c>
      <c r="BS1039" s="3" t="n">
        <v>6.126515445720973</v>
      </c>
      <c r="BT1039" s="3" t="n">
        <v>6.103138361039684</v>
      </c>
      <c r="BU1039" s="3" t="n">
        <v>6.250740546071415</v>
      </c>
      <c r="BV1039" s="3" t="n">
        <v>6.181875853826158</v>
      </c>
      <c r="BW1039" s="3" t="n">
        <v>6.375551000317516</v>
      </c>
      <c r="BY1039" s="20" t="inlineStr">
        <is>
          <t>egy.mit.impsub.con.pow.nga.5</t>
        </is>
      </c>
      <c r="BZ1039" s="3" t="n">
        <v>4.117020470022012</v>
      </c>
      <c r="CA1039" s="3" t="n">
        <v>4.005488761847976</v>
      </c>
      <c r="CB1039" s="3" t="n">
        <v>4.875059685284527</v>
      </c>
      <c r="CC1039" s="3" t="n">
        <v>5.428708404327682</v>
      </c>
      <c r="CD1039" s="3" t="n">
        <v>5.709260241858098</v>
      </c>
      <c r="CE1039" s="3" t="n">
        <v>5.889172148893061</v>
      </c>
      <c r="CF1039" s="3" t="n">
        <v>6.094415335326806</v>
      </c>
      <c r="CG1039" s="3" t="n">
        <v>6.301233247207498</v>
      </c>
      <c r="CH1039" s="3" t="n">
        <v>6.380005874973724</v>
      </c>
      <c r="CI1039" s="3" t="n">
        <v>6.498963418501358</v>
      </c>
      <c r="CJ1039" s="3" t="n">
        <v>6.484775479279078</v>
      </c>
      <c r="CK1039" s="3" t="n">
        <v>6.832202671707326</v>
      </c>
      <c r="CL1039" s="3" t="n">
        <v>6.770766180161177</v>
      </c>
      <c r="CM1039" s="3" t="n">
        <v>6.815795365781788</v>
      </c>
      <c r="CN1039" s="3" t="n">
        <v>6.880967509254256</v>
      </c>
      <c r="CO1039" s="3" t="n">
        <v>6.868874110547659</v>
      </c>
      <c r="CP1039" s="3" t="n">
        <v>6.900785137263297</v>
      </c>
      <c r="CQ1039" s="3" t="n">
        <v>6.945477953476422</v>
      </c>
      <c r="CR1039" s="3" t="n">
        <v>6.958757191108148</v>
      </c>
      <c r="CS1039" s="3" t="n">
        <v>6.989266401925381</v>
      </c>
      <c r="CU1039" s="20" t="inlineStr">
        <is>
          <t>egy.mit.impsub.con.pow.nga.6</t>
        </is>
      </c>
      <c r="CV1039" s="3" t="n">
        <v>4.117020470022012</v>
      </c>
      <c r="CW1039" s="3" t="n">
        <v>4.016591766233664</v>
      </c>
      <c r="CX1039" s="3" t="n">
        <v>4.886087441686627</v>
      </c>
      <c r="CY1039" s="3" t="n">
        <v>5.439415927904852</v>
      </c>
      <c r="CZ1039" s="3" t="n">
        <v>5.720493735523219</v>
      </c>
      <c r="DA1039" s="3" t="n">
        <v>5.901176525098993</v>
      </c>
      <c r="DB1039" s="3" t="n">
        <v>4.503542004062028</v>
      </c>
      <c r="DC1039" s="3" t="n">
        <v>5.148104500639338</v>
      </c>
      <c r="DD1039" s="3" t="n">
        <v>5.309223810532083</v>
      </c>
      <c r="DE1039" s="3" t="n">
        <v>5.913990884711216</v>
      </c>
      <c r="DF1039" s="3" t="n">
        <v>5.827916441914121</v>
      </c>
      <c r="DG1039" s="3" t="n">
        <v>6.142616957666094</v>
      </c>
      <c r="DH1039" s="3" t="n">
        <v>6.167429275712293</v>
      </c>
      <c r="DI1039" s="3" t="n">
        <v>6.363606549881958</v>
      </c>
      <c r="DJ1039" s="3" t="n">
        <v>6.4792172474829</v>
      </c>
      <c r="DK1039" s="3" t="n">
        <v>6.691811336500352</v>
      </c>
      <c r="DL1039" s="3" t="n">
        <v>6.824712569990538</v>
      </c>
      <c r="DM1039" s="3" t="n">
        <v>7.054729897955387</v>
      </c>
      <c r="DN1039" s="3" t="n">
        <v>7.211456781169853</v>
      </c>
      <c r="DO1039" s="3" t="n">
        <v>7.442945682402329</v>
      </c>
    </row>
    <row r="1040">
      <c r="A1040" s="19" t="inlineStr">
        <is>
          <t>mit.supcost.oth.nga</t>
        </is>
      </c>
      <c r="B1040" s="3" t="inlineStr">
        <is>
          <t>mit</t>
        </is>
      </c>
      <c r="C1040" s="19" t="inlineStr">
        <is>
          <t>mit.supcost.nga.other</t>
        </is>
      </c>
      <c r="H1040" s="3" t="inlineStr">
        <is>
          <t>Energy subsidies: supply cost | Other | Natural gas</t>
        </is>
      </c>
      <c r="I1040" s="3" t="inlineStr">
        <is>
          <t>USD/GJ, USD/kWh</t>
        </is>
      </c>
      <c r="K1040" s="20" t="inlineStr">
        <is>
          <t>egy.mit.supcost.oth.nga.1</t>
        </is>
      </c>
      <c r="L1040" s="3" t="n">
        <v>11.94580978814782</v>
      </c>
      <c r="M1040" s="3" t="n">
        <v>9.992155614921733</v>
      </c>
      <c r="N1040" s="3" t="n">
        <v>9.398081439562409</v>
      </c>
      <c r="O1040" s="3" t="n">
        <v>9.365665227284188</v>
      </c>
      <c r="P1040" s="3" t="n">
        <v>9.365430497145157</v>
      </c>
      <c r="Q1040" s="3" t="n">
        <v>9.372353210772113</v>
      </c>
      <c r="R1040" s="3" t="n">
        <v>9.382701261432183</v>
      </c>
      <c r="S1040" s="3" t="n">
        <v>9.392075505138468</v>
      </c>
      <c r="T1040" s="3" t="n">
        <v>9.406891977974205</v>
      </c>
      <c r="U1040" s="3" t="n">
        <v>9.413298120936359</v>
      </c>
      <c r="V1040" s="3" t="n">
        <v>9.421333041617999</v>
      </c>
      <c r="W1040" s="3" t="n">
        <v>9.41513437744822</v>
      </c>
      <c r="X1040" s="3" t="n">
        <v>9.412420370490979</v>
      </c>
      <c r="Y1040" s="3" t="n">
        <v>9.407787407647648</v>
      </c>
      <c r="Z1040" s="3" t="n">
        <v>9.40347713917931</v>
      </c>
      <c r="AA1040" s="3" t="n">
        <v>9.399210961946395</v>
      </c>
      <c r="AB1040" s="3" t="n">
        <v>9.395049813228415</v>
      </c>
      <c r="AC1040" s="3" t="n">
        <v>9.390976769240492</v>
      </c>
      <c r="AD1040" s="3" t="n">
        <v>9.386940721911593</v>
      </c>
      <c r="AE1040" s="3" t="n">
        <v>9.382926662267721</v>
      </c>
      <c r="AG1040" s="20" t="inlineStr">
        <is>
          <t>egy.mit.supcost.oth.nga.3</t>
        </is>
      </c>
      <c r="AH1040" s="3" t="n">
        <v>11.94580978814782</v>
      </c>
      <c r="AI1040" s="3" t="n">
        <v>9.992424324923112</v>
      </c>
      <c r="AJ1040" s="3" t="n">
        <v>9.398309908336497</v>
      </c>
      <c r="AK1040" s="3" t="n">
        <v>9.365850240995982</v>
      </c>
      <c r="AL1040" s="3" t="n">
        <v>9.365601906158171</v>
      </c>
      <c r="AM1040" s="3" t="n">
        <v>9.272851569781896</v>
      </c>
      <c r="AN1040" s="3" t="n">
        <v>9.318040747805052</v>
      </c>
      <c r="AO1040" s="3" t="n">
        <v>9.297296619592307</v>
      </c>
      <c r="AP1040" s="3" t="n">
        <v>9.313767092631901</v>
      </c>
      <c r="AQ1040" s="3" t="n">
        <v>9.314144557915123</v>
      </c>
      <c r="AR1040" s="3" t="n">
        <v>9.322115312997775</v>
      </c>
      <c r="AS1040" s="3" t="n">
        <v>9.315070016416449</v>
      </c>
      <c r="AT1040" s="3" t="n">
        <v>9.314749297222377</v>
      </c>
      <c r="AU1040" s="3" t="n">
        <v>9.311097930098736</v>
      </c>
      <c r="AV1040" s="3" t="n">
        <v>9.30775261544251</v>
      </c>
      <c r="AW1040" s="3" t="n">
        <v>9.30435515618943</v>
      </c>
      <c r="AX1040" s="3" t="n">
        <v>9.301316683430825</v>
      </c>
      <c r="AY1040" s="3" t="n">
        <v>9.298394524729229</v>
      </c>
      <c r="AZ1040" s="3" t="n">
        <v>9.29577999015005</v>
      </c>
      <c r="BA1040" s="3" t="n">
        <v>9.293194986795278</v>
      </c>
      <c r="BC1040" s="20" t="inlineStr">
        <is>
          <t>egy.mit.supcost.oth.nga.4</t>
        </is>
      </c>
      <c r="BD1040" s="3" t="n">
        <v>11.94580978814782</v>
      </c>
      <c r="BE1040" s="3" t="n">
        <v>9.993098159604898</v>
      </c>
      <c r="BF1040" s="3" t="n">
        <v>9.398882657302208</v>
      </c>
      <c r="BG1040" s="3" t="n">
        <v>9.366314006028178</v>
      </c>
      <c r="BH1040" s="3" t="n">
        <v>9.366030431968481</v>
      </c>
      <c r="BI1040" s="3" t="n">
        <v>9.314289097067078</v>
      </c>
      <c r="BJ1040" s="3" t="n">
        <v>9.284063696893179</v>
      </c>
      <c r="BK1040" s="3" t="n">
        <v>9.264718665222546</v>
      </c>
      <c r="BL1040" s="3" t="n">
        <v>9.2408110040379</v>
      </c>
      <c r="BM1040" s="3" t="n">
        <v>9.217726434012514</v>
      </c>
      <c r="BN1040" s="3" t="n">
        <v>9.21408263619807</v>
      </c>
      <c r="BO1040" s="3" t="n">
        <v>9.200417470324329</v>
      </c>
      <c r="BP1040" s="3" t="n">
        <v>9.198903232848471</v>
      </c>
      <c r="BQ1040" s="3" t="n">
        <v>9.191996551409602</v>
      </c>
      <c r="BR1040" s="3" t="n">
        <v>9.192424596883304</v>
      </c>
      <c r="BS1040" s="3" t="n">
        <v>9.188292098150804</v>
      </c>
      <c r="BT1040" s="3" t="n">
        <v>9.191404592542774</v>
      </c>
      <c r="BU1040" s="3" t="n">
        <v>9.188226614676848</v>
      </c>
      <c r="BV1040" s="3" t="n">
        <v>9.194597734418627</v>
      </c>
      <c r="BW1040" s="3" t="n">
        <v>9.190110229125356</v>
      </c>
      <c r="BY1040" s="20" t="inlineStr">
        <is>
          <t>egy.mit.supcost.oth.nga.5</t>
        </is>
      </c>
      <c r="BZ1040" s="3" t="n">
        <v>11.94580978814782</v>
      </c>
      <c r="CA1040" s="3" t="n">
        <v>9.993751885764857</v>
      </c>
      <c r="CB1040" s="3" t="n">
        <v>9.399438728067782</v>
      </c>
      <c r="CC1040" s="3" t="n">
        <v>9.366764763050242</v>
      </c>
      <c r="CD1040" s="3" t="n">
        <v>9.366448382427624</v>
      </c>
      <c r="CE1040" s="3" t="n">
        <v>9.258010379665306</v>
      </c>
      <c r="CF1040" s="3" t="n">
        <v>9.260117468403186</v>
      </c>
      <c r="CG1040" s="3" t="n">
        <v>9.265856255151947</v>
      </c>
      <c r="CH1040" s="3" t="n">
        <v>9.278448850163795</v>
      </c>
      <c r="CI1040" s="3" t="n">
        <v>9.288479826926769</v>
      </c>
      <c r="CJ1040" s="3" t="n">
        <v>9.305705041889619</v>
      </c>
      <c r="CK1040" s="3" t="n">
        <v>9.305420422245568</v>
      </c>
      <c r="CL1040" s="3" t="n">
        <v>9.325077135923063</v>
      </c>
      <c r="CM1040" s="3" t="n">
        <v>9.339620132876178</v>
      </c>
      <c r="CN1040" s="3" t="n">
        <v>9.353319412968151</v>
      </c>
      <c r="CO1040" s="3" t="n">
        <v>9.370784777597196</v>
      </c>
      <c r="CP1040" s="3" t="n">
        <v>9.385944728839588</v>
      </c>
      <c r="CQ1040" s="3" t="n">
        <v>9.40034127194704</v>
      </c>
      <c r="CR1040" s="3" t="n">
        <v>9.416049114027459</v>
      </c>
      <c r="CS1040" s="3" t="n">
        <v>9.429743095275864</v>
      </c>
      <c r="CU1040" s="20" t="inlineStr">
        <is>
          <t>egy.mit.supcost.oth.nga.6</t>
        </is>
      </c>
      <c r="CV1040" s="3" t="n">
        <v>11.94580978814782</v>
      </c>
      <c r="CW1040" s="3" t="n">
        <v>9.992801460712476</v>
      </c>
      <c r="CX1040" s="3" t="n">
        <v>9.398630499038036</v>
      </c>
      <c r="CY1040" s="3" t="n">
        <v>9.366109837571036</v>
      </c>
      <c r="CZ1040" s="3" t="n">
        <v>9.365841966190553</v>
      </c>
      <c r="DA1040" s="3" t="n">
        <v>9.196530266805926</v>
      </c>
      <c r="DB1040" s="3" t="n">
        <v>9.278661182480276</v>
      </c>
      <c r="DC1040" s="3" t="n">
        <v>9.255206715473726</v>
      </c>
      <c r="DD1040" s="3" t="n">
        <v>9.262127180925924</v>
      </c>
      <c r="DE1040" s="3" t="n">
        <v>9.245262505808759</v>
      </c>
      <c r="DF1040" s="3" t="n">
        <v>9.265589773119469</v>
      </c>
      <c r="DG1040" s="3" t="n">
        <v>9.265981531970258</v>
      </c>
      <c r="DH1040" s="3" t="n">
        <v>9.281203186244273</v>
      </c>
      <c r="DI1040" s="3" t="n">
        <v>9.287987892507939</v>
      </c>
      <c r="DJ1040" s="3" t="n">
        <v>9.298854670186527</v>
      </c>
      <c r="DK1040" s="3" t="n">
        <v>9.305398690474217</v>
      </c>
      <c r="DL1040" s="3" t="n">
        <v>9.315591811848822</v>
      </c>
      <c r="DM1040" s="3" t="n">
        <v>9.321451737097629</v>
      </c>
      <c r="DN1040" s="3" t="n">
        <v>9.330483094500378</v>
      </c>
      <c r="DO1040" s="3" t="n">
        <v>9.335491281989936</v>
      </c>
    </row>
    <row r="1041">
      <c r="A1041" s="19" t="inlineStr">
        <is>
          <t>mit.extcost.oth.nga</t>
        </is>
      </c>
      <c r="B1041" s="3" t="inlineStr">
        <is>
          <t>mit</t>
        </is>
      </c>
      <c r="C1041" s="19" t="inlineStr">
        <is>
          <t>mit.extcost.nga.other</t>
        </is>
      </c>
      <c r="H1041" s="3" t="inlineStr">
        <is>
          <t>Energy subsidies: externalities incl. climate (global SCC) | Other | Natural gas</t>
        </is>
      </c>
      <c r="I1041" s="3" t="inlineStr">
        <is>
          <t>USD/GJ, USD/kWh</t>
        </is>
      </c>
      <c r="K1041" s="20" t="inlineStr">
        <is>
          <t>egy.mit.extcost.oth.nga.1</t>
        </is>
      </c>
      <c r="L1041" s="3" t="n">
        <v>3.377972598932184</v>
      </c>
      <c r="M1041" s="3" t="n">
        <v>3.501040558100672</v>
      </c>
      <c r="N1041" s="3" t="n">
        <v>3.608389126136092</v>
      </c>
      <c r="O1041" s="3" t="n">
        <v>3.655553642226653</v>
      </c>
      <c r="P1041" s="3" t="n">
        <v>3.822342275430719</v>
      </c>
      <c r="Q1041" s="3" t="n">
        <v>3.972969202904657</v>
      </c>
      <c r="R1041" s="3" t="n">
        <v>4.142980858196554</v>
      </c>
      <c r="S1041" s="3" t="n">
        <v>4.317445799765176</v>
      </c>
      <c r="T1041" s="3" t="n">
        <v>4.495606178584052</v>
      </c>
      <c r="U1041" s="3" t="n">
        <v>4.667491185644939</v>
      </c>
      <c r="V1041" s="3" t="n">
        <v>4.85240744382781</v>
      </c>
      <c r="W1041" s="3" t="n">
        <v>5.046486655521273</v>
      </c>
      <c r="X1041" s="3" t="n">
        <v>5.2476961016259</v>
      </c>
      <c r="Y1041" s="3" t="n">
        <v>5.457089113179466</v>
      </c>
      <c r="Z1041" s="3" t="n">
        <v>5.674638599606326</v>
      </c>
      <c r="AA1041" s="3" t="n">
        <v>5.900717985865996</v>
      </c>
      <c r="AB1041" s="3" t="n">
        <v>6.13561025104364</v>
      </c>
      <c r="AC1041" s="3" t="n">
        <v>6.379646691563597</v>
      </c>
      <c r="AD1041" s="3" t="n">
        <v>6.633177226243798</v>
      </c>
      <c r="AE1041" s="3" t="n">
        <v>6.88000152464928</v>
      </c>
      <c r="AG1041" s="20" t="inlineStr">
        <is>
          <t>egy.mit.extcost.oth.nga.3</t>
        </is>
      </c>
      <c r="AH1041" s="3" t="n">
        <v>3.377972598932184</v>
      </c>
      <c r="AI1041" s="3" t="n">
        <v>3.501005579555772</v>
      </c>
      <c r="AJ1041" s="3" t="n">
        <v>3.608360791388979</v>
      </c>
      <c r="AK1041" s="3" t="n">
        <v>3.655536744006274</v>
      </c>
      <c r="AL1041" s="3" t="n">
        <v>3.822322986487894</v>
      </c>
      <c r="AM1041" s="3" t="n">
        <v>3.980805699329521</v>
      </c>
      <c r="AN1041" s="3" t="n">
        <v>4.146694137391116</v>
      </c>
      <c r="AO1041" s="3" t="n">
        <v>4.325001189939095</v>
      </c>
      <c r="AP1041" s="3" t="n">
        <v>4.503361782213722</v>
      </c>
      <c r="AQ1041" s="3" t="n">
        <v>4.676192138878007</v>
      </c>
      <c r="AR1041" s="3" t="n">
        <v>4.861497433814852</v>
      </c>
      <c r="AS1041" s="3" t="n">
        <v>5.05620052435963</v>
      </c>
      <c r="AT1041" s="3" t="n">
        <v>5.257524631267622</v>
      </c>
      <c r="AU1041" s="3" t="n">
        <v>5.46727022680161</v>
      </c>
      <c r="AV1041" s="3" t="n">
        <v>5.685174580619447</v>
      </c>
      <c r="AW1041" s="3" t="n">
        <v>5.911622325078504</v>
      </c>
      <c r="AX1041" s="3" t="n">
        <v>6.146851056766529</v>
      </c>
      <c r="AY1041" s="3" t="n">
        <v>6.391225138924964</v>
      </c>
      <c r="AZ1041" s="3" t="n">
        <v>6.645051685779877</v>
      </c>
      <c r="BA1041" s="3" t="n">
        <v>6.891725959748165</v>
      </c>
      <c r="BC1041" s="20" t="inlineStr">
        <is>
          <t>egy.mit.extcost.oth.nga.4</t>
        </is>
      </c>
      <c r="BD1041" s="3" t="n">
        <v>3.377972598932184</v>
      </c>
      <c r="BE1041" s="3" t="n">
        <v>3.500917865080872</v>
      </c>
      <c r="BF1041" s="3" t="n">
        <v>3.60828975893753</v>
      </c>
      <c r="BG1041" s="3" t="n">
        <v>3.655494386044572</v>
      </c>
      <c r="BH1041" s="3" t="n">
        <v>3.822274763761978</v>
      </c>
      <c r="BI1041" s="3" t="n">
        <v>3.977595338887249</v>
      </c>
      <c r="BJ1041" s="3" t="n">
        <v>4.150742878237931</v>
      </c>
      <c r="BK1041" s="3" t="n">
        <v>4.328094355485622</v>
      </c>
      <c r="BL1041" s="3" t="n">
        <v>4.511282526235734</v>
      </c>
      <c r="BM1041" s="3" t="n">
        <v>4.686865080956063</v>
      </c>
      <c r="BN1041" s="3" t="n">
        <v>4.873798838133212</v>
      </c>
      <c r="BO1041" s="3" t="n">
        <v>5.069756514856312</v>
      </c>
      <c r="BP1041" s="3" t="n">
        <v>5.271567737401459</v>
      </c>
      <c r="BQ1041" s="3" t="n">
        <v>5.482273586400941</v>
      </c>
      <c r="BR1041" s="3" t="n">
        <v>5.699961188527882</v>
      </c>
      <c r="BS1041" s="3" t="n">
        <v>5.927051330925472</v>
      </c>
      <c r="BT1041" s="3" t="n">
        <v>6.16157256273102</v>
      </c>
      <c r="BU1041" s="3" t="n">
        <v>6.406515653220927</v>
      </c>
      <c r="BV1041" s="3" t="n">
        <v>6.658893614378247</v>
      </c>
      <c r="BW1041" s="3" t="n">
        <v>6.905965112884953</v>
      </c>
      <c r="BY1041" s="20" t="inlineStr">
        <is>
          <t>egy.mit.extcost.oth.nga.5</t>
        </is>
      </c>
      <c r="BZ1041" s="3" t="n">
        <v>3.377972598932184</v>
      </c>
      <c r="CA1041" s="3" t="n">
        <v>3.500832768174465</v>
      </c>
      <c r="CB1041" s="3" t="n">
        <v>3.608220794920094</v>
      </c>
      <c r="CC1041" s="3" t="n">
        <v>3.655453216168987</v>
      </c>
      <c r="CD1041" s="3" t="n">
        <v>3.82222773109801</v>
      </c>
      <c r="CE1041" s="3" t="n">
        <v>3.981499590342429</v>
      </c>
      <c r="CF1041" s="3" t="n">
        <v>4.152533736734308</v>
      </c>
      <c r="CG1041" s="3" t="n">
        <v>4.328011544538345</v>
      </c>
      <c r="CH1041" s="3" t="n">
        <v>4.507185406482266</v>
      </c>
      <c r="CI1041" s="3" t="n">
        <v>4.678907329709455</v>
      </c>
      <c r="CJ1041" s="3" t="n">
        <v>4.863136315478108</v>
      </c>
      <c r="CK1041" s="3" t="n">
        <v>5.057041294531323</v>
      </c>
      <c r="CL1041" s="3" t="n">
        <v>5.255412592532758</v>
      </c>
      <c r="CM1041" s="3" t="n">
        <v>5.4622164398463</v>
      </c>
      <c r="CN1041" s="3" t="n">
        <v>5.677039431076945</v>
      </c>
      <c r="CO1041" s="3" t="n">
        <v>5.899456016109738</v>
      </c>
      <c r="CP1041" s="3" t="n">
        <v>6.130809451205453</v>
      </c>
      <c r="CQ1041" s="3" t="n">
        <v>6.371165446015225</v>
      </c>
      <c r="CR1041" s="3" t="n">
        <v>6.620462211479622</v>
      </c>
      <c r="CS1041" s="3" t="n">
        <v>6.863759484992752</v>
      </c>
      <c r="CU1041" s="20" t="inlineStr">
        <is>
          <t>egy.mit.extcost.oth.nga.6</t>
        </is>
      </c>
      <c r="CV1041" s="3" t="n">
        <v>3.377972598932184</v>
      </c>
      <c r="CW1041" s="3" t="n">
        <v>3.500956486998466</v>
      </c>
      <c r="CX1041" s="3" t="n">
        <v>3.608321031660362</v>
      </c>
      <c r="CY1041" s="3" t="n">
        <v>3.655513033762895</v>
      </c>
      <c r="CZ1041" s="3" t="n">
        <v>3.822295972131077</v>
      </c>
      <c r="DA1041" s="3" t="n">
        <v>3.987855837480126</v>
      </c>
      <c r="DB1041" s="3" t="n">
        <v>4.148922230703062</v>
      </c>
      <c r="DC1041" s="3" t="n">
        <v>4.32781347540437</v>
      </c>
      <c r="DD1041" s="3" t="n">
        <v>4.507602886946301</v>
      </c>
      <c r="DE1041" s="3" t="n">
        <v>4.682957631168574</v>
      </c>
      <c r="DF1041" s="3" t="n">
        <v>4.866743814896918</v>
      </c>
      <c r="DG1041" s="3" t="n">
        <v>5.060600450309378</v>
      </c>
      <c r="DH1041" s="3" t="n">
        <v>5.259614231683238</v>
      </c>
      <c r="DI1041" s="3" t="n">
        <v>5.467713761083387</v>
      </c>
      <c r="DJ1041" s="3" t="n">
        <v>5.683134779112083</v>
      </c>
      <c r="DK1041" s="3" t="n">
        <v>5.90765303841924</v>
      </c>
      <c r="DL1041" s="3" t="n">
        <v>6.14015295291172</v>
      </c>
      <c r="DM1041" s="3" t="n">
        <v>6.382476168989996</v>
      </c>
      <c r="DN1041" s="3" t="n">
        <v>6.633497529287771</v>
      </c>
      <c r="DO1041" s="3" t="n">
        <v>6.878550014976919</v>
      </c>
    </row>
    <row r="1042">
      <c r="A1042" s="19" t="inlineStr">
        <is>
          <t>mit.vatext.oth.nga</t>
        </is>
      </c>
      <c r="B1042" s="3" t="inlineStr">
        <is>
          <t>mit</t>
        </is>
      </c>
      <c r="C1042" s="19" t="inlineStr">
        <is>
          <t>mit.vatext.nga.other</t>
        </is>
      </c>
      <c r="H1042" s="3" t="inlineStr">
        <is>
          <t>Energy subsidies: VAT on supply cost and externalities | Other | Natural gas</t>
        </is>
      </c>
      <c r="I1042" s="3" t="inlineStr">
        <is>
          <t>USD/GJ, USD/kWh</t>
        </is>
      </c>
      <c r="K1042" s="20" t="inlineStr">
        <is>
          <t>egy.mit.vatext.oth.nga.1</t>
        </is>
      </c>
      <c r="L1042" s="3" t="n">
        <v>0.1271407611825076</v>
      </c>
      <c r="M1042" s="3" t="n">
        <v>0.1498924280000991</v>
      </c>
      <c r="N1042" s="3" t="n">
        <v>0.1803146045356565</v>
      </c>
      <c r="O1042" s="3" t="n">
        <v>0.1682132392122252</v>
      </c>
      <c r="P1042" s="3" t="n">
        <v>0.1672546602547973</v>
      </c>
      <c r="Q1042" s="3" t="n">
        <v>0.1709935976285817</v>
      </c>
      <c r="R1042" s="3" t="n">
        <v>0.1751967669865956</v>
      </c>
      <c r="S1042" s="3" t="n">
        <v>0.1781449411832765</v>
      </c>
      <c r="T1042" s="3" t="n">
        <v>0.1827052647314385</v>
      </c>
      <c r="U1042" s="3" t="n">
        <v>0.1845145244156108</v>
      </c>
      <c r="V1042" s="3" t="n">
        <v>0.1868837034609431</v>
      </c>
      <c r="W1042" s="3" t="n">
        <v>0.1847451106609338</v>
      </c>
      <c r="X1042" s="3" t="n">
        <v>0.1837573983192551</v>
      </c>
      <c r="Y1042" s="3" t="n">
        <v>0.1821983120081107</v>
      </c>
      <c r="Z1042" s="3" t="n">
        <v>0.1807832736079496</v>
      </c>
      <c r="AA1042" s="3" t="n">
        <v>0.179424265418708</v>
      </c>
      <c r="AB1042" s="3" t="n">
        <v>0.1781414034448044</v>
      </c>
      <c r="AC1042" s="3" t="n">
        <v>0.1769300281242414</v>
      </c>
      <c r="AD1042" s="3" t="n">
        <v>0.1757745749294411</v>
      </c>
      <c r="AE1042" s="3" t="n">
        <v>0.1746591606250935</v>
      </c>
      <c r="AG1042" s="20" t="inlineStr">
        <is>
          <t>egy.mit.vatext.oth.nga.3</t>
        </is>
      </c>
      <c r="AH1042" s="3" t="n">
        <v>0.1271407611825076</v>
      </c>
      <c r="AI1042" s="3" t="n">
        <v>0.1499761726800732</v>
      </c>
      <c r="AJ1042" s="3" t="n">
        <v>0.1803960440253684</v>
      </c>
      <c r="AK1042" s="3" t="n">
        <v>0.1682807666135434</v>
      </c>
      <c r="AL1042" s="3" t="n">
        <v>0.1673212068587254</v>
      </c>
      <c r="AM1042" s="3" t="n">
        <v>0.1287769484171962</v>
      </c>
      <c r="AN1042" s="3" t="n">
        <v>0.145413588921718</v>
      </c>
      <c r="AO1042" s="3" t="n">
        <v>0.1390524230661672</v>
      </c>
      <c r="AP1042" s="3" t="n">
        <v>0.143885215519989</v>
      </c>
      <c r="AQ1042" s="3" t="n">
        <v>0.1436882922605603</v>
      </c>
      <c r="AR1042" s="3" t="n">
        <v>0.1457547392998939</v>
      </c>
      <c r="AS1042" s="3" t="n">
        <v>0.143305068494468</v>
      </c>
      <c r="AT1042" s="3" t="n">
        <v>0.1428800683810481</v>
      </c>
      <c r="AU1042" s="3" t="n">
        <v>0.1415050860187372</v>
      </c>
      <c r="AV1042" s="3" t="n">
        <v>0.1402484172099082</v>
      </c>
      <c r="AW1042" s="3" t="n">
        <v>0.1389920298098181</v>
      </c>
      <c r="AX1042" s="3" t="n">
        <v>0.13789875037347</v>
      </c>
      <c r="AY1042" s="3" t="n">
        <v>0.1368877861549379</v>
      </c>
      <c r="AZ1042" s="3" t="n">
        <v>0.1360298947921865</v>
      </c>
      <c r="BA1042" s="3" t="n">
        <v>0.1352167514244036</v>
      </c>
      <c r="BC1042" s="20" t="inlineStr">
        <is>
          <t>egy.mit.vatext.oth.nga.4</t>
        </is>
      </c>
      <c r="BD1042" s="3" t="n">
        <v>0.1271407611825076</v>
      </c>
      <c r="BE1042" s="3" t="n">
        <v>0.1501861762880218</v>
      </c>
      <c r="BF1042" s="3" t="n">
        <v>0.1806002048945588</v>
      </c>
      <c r="BG1042" s="3" t="n">
        <v>0.1684500343242605</v>
      </c>
      <c r="BH1042" s="3" t="n">
        <v>0.167487574641084</v>
      </c>
      <c r="BI1042" s="3" t="n">
        <v>0.1464702912543869</v>
      </c>
      <c r="BJ1042" s="3" t="n">
        <v>0.134885111204833</v>
      </c>
      <c r="BK1042" s="3" t="n">
        <v>0.1268336308067232</v>
      </c>
      <c r="BL1042" s="3" t="n">
        <v>0.1178508385978302</v>
      </c>
      <c r="BM1042" s="3" t="n">
        <v>0.1092577034250597</v>
      </c>
      <c r="BN1042" s="3" t="n">
        <v>0.1065470598221815</v>
      </c>
      <c r="BO1042" s="3" t="n">
        <v>0.1013058754129894</v>
      </c>
      <c r="BP1042" s="3" t="n">
        <v>0.0996528342117677</v>
      </c>
      <c r="BQ1042" s="3" t="n">
        <v>0.09667361782317267</v>
      </c>
      <c r="BR1042" s="3" t="n">
        <v>0.09580663530520515</v>
      </c>
      <c r="BS1042" s="3" t="n">
        <v>0.09380162161694937</v>
      </c>
      <c r="BT1042" s="3" t="n">
        <v>0.09380110512206291</v>
      </c>
      <c r="BU1042" s="3" t="n">
        <v>0.09221112062006269</v>
      </c>
      <c r="BV1042" s="3" t="n">
        <v>0.09319009869981894</v>
      </c>
      <c r="BW1042" s="3" t="n">
        <v>0.09141282203077028</v>
      </c>
      <c r="BY1042" s="20" t="inlineStr">
        <is>
          <t>egy.mit.vatext.oth.nga.5</t>
        </is>
      </c>
      <c r="BZ1042" s="3" t="n">
        <v>0.1271407611825076</v>
      </c>
      <c r="CA1042" s="3" t="n">
        <v>0.150389912984741</v>
      </c>
      <c r="CB1042" s="3" t="n">
        <v>0.1807984206882622</v>
      </c>
      <c r="CC1042" s="3" t="n">
        <v>0.1686145542943259</v>
      </c>
      <c r="CD1042" s="3" t="n">
        <v>0.1676498367250719</v>
      </c>
      <c r="CE1042" s="3" t="n">
        <v>0.121477627392961</v>
      </c>
      <c r="CF1042" s="3" t="n">
        <v>0.1248702899801727</v>
      </c>
      <c r="CG1042" s="3" t="n">
        <v>0.1273221740095977</v>
      </c>
      <c r="CH1042" s="3" t="n">
        <v>0.1312562026078785</v>
      </c>
      <c r="CI1042" s="3" t="n">
        <v>0.1342239510324522</v>
      </c>
      <c r="CJ1042" s="3" t="n">
        <v>0.1392662602814015</v>
      </c>
      <c r="CK1042" s="3" t="n">
        <v>0.1390919524372231</v>
      </c>
      <c r="CL1042" s="3" t="n">
        <v>0.1448386847994418</v>
      </c>
      <c r="CM1042" s="3" t="n">
        <v>0.1491004471343617</v>
      </c>
      <c r="CN1042" s="3" t="n">
        <v>0.1529936634110881</v>
      </c>
      <c r="CO1042" s="3" t="n">
        <v>0.1580138369340666</v>
      </c>
      <c r="CP1042" s="3" t="n">
        <v>0.1624077240896793</v>
      </c>
      <c r="CQ1042" s="3" t="n">
        <v>0.16662145464553</v>
      </c>
      <c r="CR1042" s="3" t="n">
        <v>0.1712930940726007</v>
      </c>
      <c r="CS1042" s="3" t="n">
        <v>0.1754089829294669</v>
      </c>
      <c r="CU1042" s="20" t="inlineStr">
        <is>
          <t>egy.mit.vatext.oth.nga.6</t>
        </is>
      </c>
      <c r="CV1042" s="3" t="n">
        <v>0.1271407611825076</v>
      </c>
      <c r="CW1042" s="3" t="n">
        <v>0.150093708744324</v>
      </c>
      <c r="CX1042" s="3" t="n">
        <v>0.1805103210999663</v>
      </c>
      <c r="CY1042" s="3" t="n">
        <v>0.1683755157104327</v>
      </c>
      <c r="CZ1042" s="3" t="n">
        <v>0.1674144060412702</v>
      </c>
      <c r="DA1042" s="3" t="n">
        <v>0.0985888160934119</v>
      </c>
      <c r="DB1042" s="3" t="n">
        <v>0.1271935500344717</v>
      </c>
      <c r="DC1042" s="3" t="n">
        <v>0.1203588590767458</v>
      </c>
      <c r="DD1042" s="3" t="n">
        <v>0.1222172562468382</v>
      </c>
      <c r="DE1042" s="3" t="n">
        <v>0.1170436339789729</v>
      </c>
      <c r="DF1042" s="3" t="n">
        <v>0.1224801019164932</v>
      </c>
      <c r="DG1042" s="3" t="n">
        <v>0.1221501170423788</v>
      </c>
      <c r="DH1042" s="3" t="n">
        <v>0.1260064433522008</v>
      </c>
      <c r="DI1042" s="3" t="n">
        <v>0.1275005353241065</v>
      </c>
      <c r="DJ1042" s="3" t="n">
        <v>0.1301417175725572</v>
      </c>
      <c r="DK1042" s="3" t="n">
        <v>0.1315391135369559</v>
      </c>
      <c r="DL1042" s="3" t="n">
        <v>0.1340220425311178</v>
      </c>
      <c r="DM1042" s="3" t="n">
        <v>0.1353391101270657</v>
      </c>
      <c r="DN1042" s="3" t="n">
        <v>0.1376240295785867</v>
      </c>
      <c r="DO1042" s="3" t="n">
        <v>0.1388277265184653</v>
      </c>
    </row>
    <row r="1043">
      <c r="A1043" s="19" t="inlineStr">
        <is>
          <t>mit.effprice.oth.nga</t>
        </is>
      </c>
      <c r="B1043" s="3" t="inlineStr">
        <is>
          <t>mit</t>
        </is>
      </c>
      <c r="C1043" s="19" t="inlineStr">
        <is>
          <t>mit.effprice.nga.other</t>
        </is>
      </c>
      <c r="H1043" s="3" t="inlineStr">
        <is>
          <t>Energy subsidies: efficient price | Other | Natural gas</t>
        </is>
      </c>
      <c r="I1043" s="3" t="inlineStr">
        <is>
          <t>USD/GJ, USD/kWh</t>
        </is>
      </c>
      <c r="K1043" s="20" t="inlineStr">
        <is>
          <t>egy.mit.effprice.oth.nga.1</t>
        </is>
      </c>
      <c r="L1043" s="3" t="n">
        <v>15.45092314826251</v>
      </c>
      <c r="M1043" s="3" t="n">
        <v>13.6430886010225</v>
      </c>
      <c r="N1043" s="3" t="n">
        <v>13.18678517023416</v>
      </c>
      <c r="O1043" s="3" t="n">
        <v>13.18943210872306</v>
      </c>
      <c r="P1043" s="3" t="n">
        <v>13.35502743283067</v>
      </c>
      <c r="Q1043" s="3" t="n">
        <v>13.51631601130535</v>
      </c>
      <c r="R1043" s="3" t="n">
        <v>13.70087888661533</v>
      </c>
      <c r="S1043" s="3" t="n">
        <v>13.88766624608692</v>
      </c>
      <c r="T1043" s="3" t="n">
        <v>14.08520342128969</v>
      </c>
      <c r="U1043" s="3" t="n">
        <v>14.26530383099691</v>
      </c>
      <c r="V1043" s="3" t="n">
        <v>14.46062418890675</v>
      </c>
      <c r="W1043" s="3" t="n">
        <v>14.64636614363043</v>
      </c>
      <c r="X1043" s="3" t="n">
        <v>14.84387387043613</v>
      </c>
      <c r="Y1043" s="3" t="n">
        <v>15.04707483283523</v>
      </c>
      <c r="Z1043" s="3" t="n">
        <v>15.25889901239359</v>
      </c>
      <c r="AA1043" s="3" t="n">
        <v>15.4793532132311</v>
      </c>
      <c r="AB1043" s="3" t="n">
        <v>15.70880146771686</v>
      </c>
      <c r="AC1043" s="3" t="n">
        <v>15.94755348892833</v>
      </c>
      <c r="AD1043" s="3" t="n">
        <v>16.19589252308483</v>
      </c>
      <c r="AE1043" s="3" t="n">
        <v>16.4375873475421</v>
      </c>
      <c r="AG1043" s="20" t="inlineStr">
        <is>
          <t>egy.mit.effprice.oth.nga.3</t>
        </is>
      </c>
      <c r="AH1043" s="3" t="n">
        <v>15.45092314826251</v>
      </c>
      <c r="AI1043" s="3" t="n">
        <v>13.64340607715896</v>
      </c>
      <c r="AJ1043" s="3" t="n">
        <v>13.18706674375084</v>
      </c>
      <c r="AK1043" s="3" t="n">
        <v>13.1896677516158</v>
      </c>
      <c r="AL1043" s="3" t="n">
        <v>13.35524609950479</v>
      </c>
      <c r="AM1043" s="3" t="n">
        <v>13.38243421752861</v>
      </c>
      <c r="AN1043" s="3" t="n">
        <v>13.61014847411789</v>
      </c>
      <c r="AO1043" s="3" t="n">
        <v>13.76135023259757</v>
      </c>
      <c r="AP1043" s="3" t="n">
        <v>13.96101409036561</v>
      </c>
      <c r="AQ1043" s="3" t="n">
        <v>14.13402498905369</v>
      </c>
      <c r="AR1043" s="3" t="n">
        <v>14.32936748611252</v>
      </c>
      <c r="AS1043" s="3" t="n">
        <v>14.51457560927055</v>
      </c>
      <c r="AT1043" s="3" t="n">
        <v>14.71515399687105</v>
      </c>
      <c r="AU1043" s="3" t="n">
        <v>14.91987324291908</v>
      </c>
      <c r="AV1043" s="3" t="n">
        <v>15.13317561327186</v>
      </c>
      <c r="AW1043" s="3" t="n">
        <v>15.35496951107775</v>
      </c>
      <c r="AX1043" s="3" t="n">
        <v>15.58606649057082</v>
      </c>
      <c r="AY1043" s="3" t="n">
        <v>15.82650744980913</v>
      </c>
      <c r="AZ1043" s="3" t="n">
        <v>16.07686157072212</v>
      </c>
      <c r="BA1043" s="3" t="n">
        <v>16.32013769796785</v>
      </c>
      <c r="BC1043" s="20" t="inlineStr">
        <is>
          <t>egy.mit.effprice.oth.nga.4</t>
        </is>
      </c>
      <c r="BD1043" s="3" t="n">
        <v>15.45092314826251</v>
      </c>
      <c r="BE1043" s="3" t="n">
        <v>13.64420220097379</v>
      </c>
      <c r="BF1043" s="3" t="n">
        <v>13.18777262113429</v>
      </c>
      <c r="BG1043" s="3" t="n">
        <v>13.19025842639701</v>
      </c>
      <c r="BH1043" s="3" t="n">
        <v>13.35579277037154</v>
      </c>
      <c r="BI1043" s="3" t="n">
        <v>13.43835472720871</v>
      </c>
      <c r="BJ1043" s="3" t="n">
        <v>13.56969168633594</v>
      </c>
      <c r="BK1043" s="3" t="n">
        <v>13.71964665151489</v>
      </c>
      <c r="BL1043" s="3" t="n">
        <v>13.86994436887146</v>
      </c>
      <c r="BM1043" s="3" t="n">
        <v>14.01384921839364</v>
      </c>
      <c r="BN1043" s="3" t="n">
        <v>14.19442853415346</v>
      </c>
      <c r="BO1043" s="3" t="n">
        <v>14.37147986059363</v>
      </c>
      <c r="BP1043" s="3" t="n">
        <v>14.5701238044617</v>
      </c>
      <c r="BQ1043" s="3" t="n">
        <v>14.77094375563372</v>
      </c>
      <c r="BR1043" s="3" t="n">
        <v>14.98819242071639</v>
      </c>
      <c r="BS1043" s="3" t="n">
        <v>15.20914505069323</v>
      </c>
      <c r="BT1043" s="3" t="n">
        <v>15.44677826039586</v>
      </c>
      <c r="BU1043" s="3" t="n">
        <v>15.68695338851784</v>
      </c>
      <c r="BV1043" s="3" t="n">
        <v>15.94668144749669</v>
      </c>
      <c r="BW1043" s="3" t="n">
        <v>16.18748816404108</v>
      </c>
      <c r="BY1043" s="20" t="inlineStr">
        <is>
          <t>egy.mit.effprice.oth.nga.5</t>
        </is>
      </c>
      <c r="BZ1043" s="3" t="n">
        <v>15.45092314826251</v>
      </c>
      <c r="CA1043" s="3" t="n">
        <v>13.64497456692406</v>
      </c>
      <c r="CB1043" s="3" t="n">
        <v>13.18845794367614</v>
      </c>
      <c r="CC1043" s="3" t="n">
        <v>13.19083253351355</v>
      </c>
      <c r="CD1043" s="3" t="n">
        <v>13.35632595025071</v>
      </c>
      <c r="CE1043" s="3" t="n">
        <v>13.3609875974007</v>
      </c>
      <c r="CF1043" s="3" t="n">
        <v>13.53752149511767</v>
      </c>
      <c r="CG1043" s="3" t="n">
        <v>13.72118997369989</v>
      </c>
      <c r="CH1043" s="3" t="n">
        <v>13.91689045925394</v>
      </c>
      <c r="CI1043" s="3" t="n">
        <v>14.10161110766868</v>
      </c>
      <c r="CJ1043" s="3" t="n">
        <v>14.30810761764913</v>
      </c>
      <c r="CK1043" s="3" t="n">
        <v>14.50155366921411</v>
      </c>
      <c r="CL1043" s="3" t="n">
        <v>14.72532841325526</v>
      </c>
      <c r="CM1043" s="3" t="n">
        <v>14.95093701985684</v>
      </c>
      <c r="CN1043" s="3" t="n">
        <v>15.18335250745618</v>
      </c>
      <c r="CO1043" s="3" t="n">
        <v>15.428254630641</v>
      </c>
      <c r="CP1043" s="3" t="n">
        <v>15.67916190413472</v>
      </c>
      <c r="CQ1043" s="3" t="n">
        <v>15.93812817260779</v>
      </c>
      <c r="CR1043" s="3" t="n">
        <v>16.20780441957968</v>
      </c>
      <c r="CS1043" s="3" t="n">
        <v>16.46891156319808</v>
      </c>
      <c r="CU1043" s="20" t="inlineStr">
        <is>
          <t>egy.mit.effprice.oth.nga.6</t>
        </is>
      </c>
      <c r="CV1043" s="3" t="n">
        <v>15.45092314826251</v>
      </c>
      <c r="CW1043" s="3" t="n">
        <v>13.64385165645527</v>
      </c>
      <c r="CX1043" s="3" t="n">
        <v>13.18746185179836</v>
      </c>
      <c r="CY1043" s="3" t="n">
        <v>13.18999838704436</v>
      </c>
      <c r="CZ1043" s="3" t="n">
        <v>13.3555523443629</v>
      </c>
      <c r="DA1043" s="3" t="n">
        <v>13.28297492037946</v>
      </c>
      <c r="DB1043" s="3" t="n">
        <v>13.55477696321781</v>
      </c>
      <c r="DC1043" s="3" t="n">
        <v>13.70337904995484</v>
      </c>
      <c r="DD1043" s="3" t="n">
        <v>13.89194732411906</v>
      </c>
      <c r="DE1043" s="3" t="n">
        <v>14.04526377095631</v>
      </c>
      <c r="DF1043" s="3" t="n">
        <v>14.25481368993288</v>
      </c>
      <c r="DG1043" s="3" t="n">
        <v>14.44873209932202</v>
      </c>
      <c r="DH1043" s="3" t="n">
        <v>14.66682386127971</v>
      </c>
      <c r="DI1043" s="3" t="n">
        <v>14.88320218891543</v>
      </c>
      <c r="DJ1043" s="3" t="n">
        <v>15.11213116687117</v>
      </c>
      <c r="DK1043" s="3" t="n">
        <v>15.34459084243041</v>
      </c>
      <c r="DL1043" s="3" t="n">
        <v>15.58976680729166</v>
      </c>
      <c r="DM1043" s="3" t="n">
        <v>15.83926701621469</v>
      </c>
      <c r="DN1043" s="3" t="n">
        <v>16.10160465336673</v>
      </c>
      <c r="DO1043" s="3" t="n">
        <v>16.35286902348532</v>
      </c>
    </row>
    <row r="1044">
      <c r="A1044" s="19" t="inlineStr">
        <is>
          <t>mit.rpsub.oth.nga</t>
        </is>
      </c>
      <c r="B1044" s="3" t="inlineStr">
        <is>
          <t>mit</t>
        </is>
      </c>
      <c r="C1044" s="19" t="inlineStr">
        <is>
          <t>mit.rp.nga.other</t>
        </is>
      </c>
      <c r="H1044" s="3" t="inlineStr">
        <is>
          <t>Energy subsidies: retail price of the scenario | Other | Natural gas</t>
        </is>
      </c>
      <c r="I1044" s="3" t="inlineStr">
        <is>
          <t>USD/GJ, USD/kWh</t>
        </is>
      </c>
      <c r="K1044" s="20" t="inlineStr">
        <is>
          <t>egy.mit.rpsub.oth.nga.1</t>
        </is>
      </c>
      <c r="L1044" s="3" t="n">
        <v>3.694983777490401</v>
      </c>
      <c r="M1044" s="3" t="n">
        <v>3.197727203819893</v>
      </c>
      <c r="N1044" s="3" t="n">
        <v>3.170448503946358</v>
      </c>
      <c r="O1044" s="3" t="n">
        <v>3.156738453833982</v>
      </c>
      <c r="P1044" s="3" t="n">
        <v>3.1684399042979</v>
      </c>
      <c r="Q1044" s="3" t="n">
        <v>3.185786339211097</v>
      </c>
      <c r="R1044" s="3" t="n">
        <v>3.206129096708046</v>
      </c>
      <c r="S1044" s="3" t="n">
        <v>3.226045292849401</v>
      </c>
      <c r="T1044" s="3" t="n">
        <v>3.250562160896314</v>
      </c>
      <c r="U1044" s="3" t="n">
        <v>3.268569228651583</v>
      </c>
      <c r="V1044" s="3" t="n">
        <v>3.28858715791429</v>
      </c>
      <c r="W1044" s="3" t="n">
        <v>3.296233999699654</v>
      </c>
      <c r="X1044" s="3" t="n">
        <v>3.30675982197597</v>
      </c>
      <c r="Y1044" s="3" t="n">
        <v>3.315326238723768</v>
      </c>
      <c r="Z1044" s="3" t="n">
        <v>3.323950873343415</v>
      </c>
      <c r="AA1044" s="3" t="n">
        <v>3.332376579088047</v>
      </c>
      <c r="AB1044" s="3" t="n">
        <v>3.340662814292331</v>
      </c>
      <c r="AC1044" s="3" t="n">
        <v>3.348794877579679</v>
      </c>
      <c r="AD1044" s="3" t="n">
        <v>3.356721079921225</v>
      </c>
      <c r="AE1044" s="3" t="n">
        <v>3.364424228697849</v>
      </c>
      <c r="AG1044" s="20" t="inlineStr">
        <is>
          <t>egy.mit.rpsub.oth.nga.3</t>
        </is>
      </c>
      <c r="AH1044" s="3" t="n">
        <v>3.694983777490401</v>
      </c>
      <c r="AI1044" s="3" t="n">
        <v>3.198047903570208</v>
      </c>
      <c r="AJ1044" s="3" t="n">
        <v>3.170625312446166</v>
      </c>
      <c r="AK1044" s="3" t="n">
        <v>3.15689010170132</v>
      </c>
      <c r="AL1044" s="3" t="n">
        <v>3.168594861799877</v>
      </c>
      <c r="AM1044" s="3" t="n">
        <v>3.44030930201409</v>
      </c>
      <c r="AN1044" s="3" t="n">
        <v>3.539269924917214</v>
      </c>
      <c r="AO1044" s="3" t="n">
        <v>3.52322005233814</v>
      </c>
      <c r="AP1044" s="3" t="n">
        <v>3.566211583182862</v>
      </c>
      <c r="AQ1044" s="3" t="n">
        <v>3.583292352623636</v>
      </c>
      <c r="AR1044" s="3" t="n">
        <v>3.613220972663231</v>
      </c>
      <c r="AS1044" s="3" t="n">
        <v>3.617779204562916</v>
      </c>
      <c r="AT1044" s="3" t="n">
        <v>3.633968894629741</v>
      </c>
      <c r="AU1044" s="3" t="n">
        <v>3.643883785711792</v>
      </c>
      <c r="AV1044" s="3" t="n">
        <v>3.654097447376154</v>
      </c>
      <c r="AW1044" s="3" t="n">
        <v>3.664067671067471</v>
      </c>
      <c r="AX1044" s="3" t="n">
        <v>3.674195641831902</v>
      </c>
      <c r="AY1044" s="3" t="n">
        <v>3.684127972852514</v>
      </c>
      <c r="AZ1044" s="3" t="n">
        <v>3.694132712650791</v>
      </c>
      <c r="BA1044" s="3" t="n">
        <v>3.703837280665729</v>
      </c>
      <c r="BC1044" s="20" t="inlineStr">
        <is>
          <t>egy.mit.rpsub.oth.nga.4</t>
        </is>
      </c>
      <c r="BD1044" s="3" t="n">
        <v>3.694983777490401</v>
      </c>
      <c r="BE1044" s="3" t="n">
        <v>3.198852111128888</v>
      </c>
      <c r="BF1044" s="3" t="n">
        <v>3.171068554135533</v>
      </c>
      <c r="BG1044" s="3" t="n">
        <v>3.157270230165295</v>
      </c>
      <c r="BH1044" s="3" t="n">
        <v>3.168982258517997</v>
      </c>
      <c r="BI1044" s="3" t="n">
        <v>3.318267486164682</v>
      </c>
      <c r="BJ1044" s="3" t="n">
        <v>3.530855253412614</v>
      </c>
      <c r="BK1044" s="3" t="n">
        <v>3.742305675553523</v>
      </c>
      <c r="BL1044" s="3" t="n">
        <v>3.923355657183871</v>
      </c>
      <c r="BM1044" s="3" t="n">
        <v>4.091966641942298</v>
      </c>
      <c r="BN1044" s="3" t="n">
        <v>4.316221560342079</v>
      </c>
      <c r="BO1044" s="3" t="n">
        <v>4.494640616762423</v>
      </c>
      <c r="BP1044" s="3" t="n">
        <v>4.726294034499611</v>
      </c>
      <c r="BQ1044" s="3" t="n">
        <v>4.928952201751478</v>
      </c>
      <c r="BR1044" s="3" t="n">
        <v>5.176896482934765</v>
      </c>
      <c r="BS1044" s="3" t="n">
        <v>5.397043673227479</v>
      </c>
      <c r="BT1044" s="3" t="n">
        <v>5.675441253780879</v>
      </c>
      <c r="BU1044" s="3" t="n">
        <v>5.907407143565244</v>
      </c>
      <c r="BV1044" s="3" t="n">
        <v>6.230860269250714</v>
      </c>
      <c r="BW1044" s="3" t="n">
        <v>6.455311492242526</v>
      </c>
      <c r="BY1044" s="20" t="inlineStr">
        <is>
          <t>egy.mit.rpsub.oth.nga.5</t>
        </is>
      </c>
      <c r="BZ1044" s="3" t="n">
        <v>3.694983777490401</v>
      </c>
      <c r="CA1044" s="3" t="n">
        <v>3.199632319588555</v>
      </c>
      <c r="CB1044" s="3" t="n">
        <v>3.171498888820181</v>
      </c>
      <c r="CC1044" s="3" t="n">
        <v>3.157639696516849</v>
      </c>
      <c r="CD1044" s="3" t="n">
        <v>3.169360094887041</v>
      </c>
      <c r="CE1044" s="3" t="n">
        <v>3.423753979092247</v>
      </c>
      <c r="CF1044" s="3" t="n">
        <v>3.44975015049185</v>
      </c>
      <c r="CG1044" s="3" t="n">
        <v>3.475273296666882</v>
      </c>
      <c r="CH1044" s="3" t="n">
        <v>3.5091822487237</v>
      </c>
      <c r="CI1044" s="3" t="n">
        <v>3.539627054667989</v>
      </c>
      <c r="CJ1044" s="3" t="n">
        <v>3.582556042952957</v>
      </c>
      <c r="CK1044" s="3" t="n">
        <v>3.596498842499727</v>
      </c>
      <c r="CL1044" s="3" t="n">
        <v>3.645780440621202</v>
      </c>
      <c r="CM1044" s="3" t="n">
        <v>3.686972017907774</v>
      </c>
      <c r="CN1044" s="3" t="n">
        <v>3.728123252476133</v>
      </c>
      <c r="CO1044" s="3" t="n">
        <v>3.777224491627866</v>
      </c>
      <c r="CP1044" s="3" t="n">
        <v>3.822764619535223</v>
      </c>
      <c r="CQ1044" s="3" t="n">
        <v>3.867621344015945</v>
      </c>
      <c r="CR1044" s="3" t="n">
        <v>3.915600773944505</v>
      </c>
      <c r="CS1044" s="3" t="n">
        <v>3.960417471682692</v>
      </c>
      <c r="CU1044" s="20" t="inlineStr">
        <is>
          <t>egy.mit.rpsub.oth.nga.6</t>
        </is>
      </c>
      <c r="CV1044" s="3" t="n">
        <v>3.694983777490401</v>
      </c>
      <c r="CW1044" s="3" t="n">
        <v>3.198498007224194</v>
      </c>
      <c r="CX1044" s="3" t="n">
        <v>3.170873412700645</v>
      </c>
      <c r="CY1044" s="3" t="n">
        <v>3.157102881968218</v>
      </c>
      <c r="CZ1044" s="3" t="n">
        <v>3.168811881326961</v>
      </c>
      <c r="DA1044" s="3" t="n">
        <v>3.718885713723978</v>
      </c>
      <c r="DB1044" s="3" t="n">
        <v>4.010520984686349</v>
      </c>
      <c r="DC1044" s="3" t="n">
        <v>3.969762130095464</v>
      </c>
      <c r="DD1044" s="3" t="n">
        <v>4.011423039894462</v>
      </c>
      <c r="DE1044" s="3" t="n">
        <v>3.984518832813678</v>
      </c>
      <c r="DF1044" s="3" t="n">
        <v>4.066015669424585</v>
      </c>
      <c r="DG1044" s="3" t="n">
        <v>4.09004783483455</v>
      </c>
      <c r="DH1044" s="3" t="n">
        <v>4.160443279666568</v>
      </c>
      <c r="DI1044" s="3" t="n">
        <v>4.205408801760187</v>
      </c>
      <c r="DJ1044" s="3" t="n">
        <v>4.264232610737567</v>
      </c>
      <c r="DK1044" s="3" t="n">
        <v>4.310511842028117</v>
      </c>
      <c r="DL1044" s="3" t="n">
        <v>4.368742238352867</v>
      </c>
      <c r="DM1044" s="3" t="n">
        <v>4.41292325870688</v>
      </c>
      <c r="DN1044" s="3" t="n">
        <v>4.467541578934825</v>
      </c>
      <c r="DO1044" s="3" t="n">
        <v>4.508676650357869</v>
      </c>
    </row>
    <row r="1045">
      <c r="A1045" s="19" t="inlineStr">
        <is>
          <t>mit.con.oth.nga</t>
        </is>
      </c>
      <c r="B1045" s="3" t="inlineStr">
        <is>
          <t>mit</t>
        </is>
      </c>
      <c r="C1045" s="19" t="inlineStr">
        <is>
          <t>mit.con.nga.other</t>
        </is>
      </c>
      <c r="H1045" s="3" t="inlineStr">
        <is>
          <t>Energy subsidies: consumption of the line | Other | Natural gas</t>
        </is>
      </c>
      <c r="I1045" s="3" t="inlineStr">
        <is>
          <t>PJ, GWh</t>
        </is>
      </c>
      <c r="K1045" s="20" t="inlineStr">
        <is>
          <t>egy.mit.con.oth.nga.1</t>
        </is>
      </c>
      <c r="L1045" s="3" t="n">
        <v>20.21578781275376</v>
      </c>
      <c r="M1045" s="3" t="n">
        <v>24.6141104008687</v>
      </c>
      <c r="N1045" s="3" t="n">
        <v>36.33201480072152</v>
      </c>
      <c r="O1045" s="3" t="n">
        <v>36.95089961950059</v>
      </c>
      <c r="P1045" s="3" t="n">
        <v>37.54482294060803</v>
      </c>
      <c r="Q1045" s="3" t="n">
        <v>38.25059270582474</v>
      </c>
      <c r="R1045" s="3" t="n">
        <v>39.09142215112914</v>
      </c>
      <c r="S1045" s="3" t="n">
        <v>39.88132327210144</v>
      </c>
      <c r="T1045" s="3" t="n">
        <v>40.60414733708652</v>
      </c>
      <c r="U1045" s="3" t="n">
        <v>41.32409041180824</v>
      </c>
      <c r="V1045" s="3" t="n">
        <v>42.04400576583872</v>
      </c>
      <c r="W1045" s="3" t="n">
        <v>42.76366361646897</v>
      </c>
      <c r="X1045" s="3" t="n">
        <v>43.48283766172773</v>
      </c>
      <c r="Y1045" s="3" t="n">
        <v>44.20130489418089</v>
      </c>
      <c r="Z1045" s="3" t="n">
        <v>44.91884539520324</v>
      </c>
      <c r="AA1045" s="3" t="n">
        <v>45.63524211102099</v>
      </c>
      <c r="AB1045" s="3" t="n">
        <v>46.35028061174609</v>
      </c>
      <c r="AC1045" s="3" t="n">
        <v>47.06374883454582</v>
      </c>
      <c r="AD1045" s="3" t="n">
        <v>47.775436812012</v>
      </c>
      <c r="AE1045" s="3" t="n">
        <v>48.48513638671852</v>
      </c>
      <c r="AG1045" s="20" t="inlineStr">
        <is>
          <t>egy.mit.con.oth.nga.3</t>
        </is>
      </c>
      <c r="AH1045" s="3" t="n">
        <v>20.21578781275376</v>
      </c>
      <c r="AI1045" s="3" t="n">
        <v>24.6141104008687</v>
      </c>
      <c r="AJ1045" s="3" t="n">
        <v>36.33201480072152</v>
      </c>
      <c r="AK1045" s="3" t="n">
        <v>36.95089961950059</v>
      </c>
      <c r="AL1045" s="3" t="n">
        <v>37.54482294060803</v>
      </c>
      <c r="AM1045" s="3" t="n">
        <v>27.30949604399269</v>
      </c>
      <c r="AN1045" s="3" t="n">
        <v>27.90981424933918</v>
      </c>
      <c r="AO1045" s="3" t="n">
        <v>28.48204238515044</v>
      </c>
      <c r="AP1045" s="3" t="n">
        <v>28.97935454096431</v>
      </c>
      <c r="AQ1045" s="3" t="n">
        <v>29.49648709298388</v>
      </c>
      <c r="AR1045" s="3" t="n">
        <v>30.00258710449356</v>
      </c>
      <c r="AS1045" s="3" t="n">
        <v>30.52647814316037</v>
      </c>
      <c r="AT1045" s="3" t="n">
        <v>31.05874116797201</v>
      </c>
      <c r="AU1045" s="3" t="n">
        <v>31.58653027879441</v>
      </c>
      <c r="AV1045" s="3" t="n">
        <v>32.11749110131917</v>
      </c>
      <c r="AW1045" s="3" t="n">
        <v>32.65647542872039</v>
      </c>
      <c r="AX1045" s="3" t="n">
        <v>33.18653795042803</v>
      </c>
      <c r="AY1045" s="3" t="n">
        <v>33.71121316073023</v>
      </c>
      <c r="AZ1045" s="3" t="n">
        <v>34.22445859149993</v>
      </c>
      <c r="BA1045" s="3" t="n">
        <v>34.7333836204596</v>
      </c>
      <c r="BC1045" s="20" t="inlineStr">
        <is>
          <t>egy.mit.con.oth.nga.4</t>
        </is>
      </c>
      <c r="BD1045" s="3" t="n">
        <v>20.21578781275376</v>
      </c>
      <c r="BE1045" s="3" t="n">
        <v>24.6141104008687</v>
      </c>
      <c r="BF1045" s="3" t="n">
        <v>36.33201480072152</v>
      </c>
      <c r="BG1045" s="3" t="n">
        <v>36.95089961950059</v>
      </c>
      <c r="BH1045" s="3" t="n">
        <v>37.54482294060803</v>
      </c>
      <c r="BI1045" s="3" t="n">
        <v>30.36294795722219</v>
      </c>
      <c r="BJ1045" s="3" t="n">
        <v>24.92260175454496</v>
      </c>
      <c r="BK1045" s="3" t="n">
        <v>21.55175342615374</v>
      </c>
      <c r="BL1045" s="3" t="n">
        <v>19.19990935631225</v>
      </c>
      <c r="BM1045" s="3" t="n">
        <v>17.78005867242326</v>
      </c>
      <c r="BN1045" s="3" t="n">
        <v>16.64820047745416</v>
      </c>
      <c r="BO1045" s="3" t="n">
        <v>15.72761540095833</v>
      </c>
      <c r="BP1045" s="3" t="n">
        <v>14.9667151855793</v>
      </c>
      <c r="BQ1045" s="3" t="n">
        <v>14.32641433604079</v>
      </c>
      <c r="BR1045" s="3" t="n">
        <v>13.78061216112845</v>
      </c>
      <c r="BS1045" s="3" t="n">
        <v>13.31188914847857</v>
      </c>
      <c r="BT1045" s="3" t="n">
        <v>12.90406883189738</v>
      </c>
      <c r="BU1045" s="3" t="n">
        <v>12.54533488088691</v>
      </c>
      <c r="BV1045" s="3" t="n">
        <v>12.22492223366541</v>
      </c>
      <c r="BW1045" s="3" t="n">
        <v>11.93612803021203</v>
      </c>
      <c r="BY1045" s="20" t="inlineStr">
        <is>
          <t>egy.mit.con.oth.nga.5</t>
        </is>
      </c>
      <c r="BZ1045" s="3" t="n">
        <v>20.21578781275376</v>
      </c>
      <c r="CA1045" s="3" t="n">
        <v>24.6141104008687</v>
      </c>
      <c r="CB1045" s="3" t="n">
        <v>36.33201480072152</v>
      </c>
      <c r="CC1045" s="3" t="n">
        <v>36.95089961950059</v>
      </c>
      <c r="CD1045" s="3" t="n">
        <v>37.54482294060803</v>
      </c>
      <c r="CE1045" s="3" t="n">
        <v>25.62021423441385</v>
      </c>
      <c r="CF1045" s="3" t="n">
        <v>26.1833871006125</v>
      </c>
      <c r="CG1045" s="3" t="n">
        <v>26.71906823185341</v>
      </c>
      <c r="CH1045" s="3" t="n">
        <v>27.18668991504592</v>
      </c>
      <c r="CI1045" s="3" t="n">
        <v>27.67536847726077</v>
      </c>
      <c r="CJ1045" s="3" t="n">
        <v>28.14931491279322</v>
      </c>
      <c r="CK1045" s="3" t="n">
        <v>28.64204291374139</v>
      </c>
      <c r="CL1045" s="3" t="n">
        <v>29.13545650921988</v>
      </c>
      <c r="CM1045" s="3" t="n">
        <v>29.62592260239194</v>
      </c>
      <c r="CN1045" s="3" t="n">
        <v>30.11919132549704</v>
      </c>
      <c r="CO1045" s="3" t="n">
        <v>30.61790379814877</v>
      </c>
      <c r="CP1045" s="3" t="n">
        <v>31.10880156627244</v>
      </c>
      <c r="CQ1045" s="3" t="n">
        <v>31.59720720997855</v>
      </c>
      <c r="CR1045" s="3" t="n">
        <v>32.07690257849944</v>
      </c>
      <c r="CS1045" s="3" t="n">
        <v>32.55619101339093</v>
      </c>
      <c r="CU1045" s="20" t="inlineStr">
        <is>
          <t>egy.mit.con.oth.nga.6</t>
        </is>
      </c>
      <c r="CV1045" s="3" t="n">
        <v>20.21578781275376</v>
      </c>
      <c r="CW1045" s="3" t="n">
        <v>24.6141104008687</v>
      </c>
      <c r="CX1045" s="3" t="n">
        <v>36.33201480072152</v>
      </c>
      <c r="CY1045" s="3" t="n">
        <v>36.95089961950059</v>
      </c>
      <c r="CZ1045" s="3" t="n">
        <v>37.54482294060803</v>
      </c>
      <c r="DA1045" s="3" t="n">
        <v>19.88812840329091</v>
      </c>
      <c r="DB1045" s="3" t="n">
        <v>20.32530740777879</v>
      </c>
      <c r="DC1045" s="3" t="n">
        <v>20.74890106031248</v>
      </c>
      <c r="DD1045" s="3" t="n">
        <v>21.0950124032519</v>
      </c>
      <c r="DE1045" s="3" t="n">
        <v>21.47557577020865</v>
      </c>
      <c r="DF1045" s="3" t="n">
        <v>21.83658541447311</v>
      </c>
      <c r="DG1045" s="3" t="n">
        <v>22.22745157567072</v>
      </c>
      <c r="DH1045" s="3" t="n">
        <v>22.62949955879853</v>
      </c>
      <c r="DI1045" s="3" t="n">
        <v>23.02576838470628</v>
      </c>
      <c r="DJ1045" s="3" t="n">
        <v>23.42725999004718</v>
      </c>
      <c r="DK1045" s="3" t="n">
        <v>23.84192122175468</v>
      </c>
      <c r="DL1045" s="3" t="n">
        <v>24.24314527412566</v>
      </c>
      <c r="DM1045" s="3" t="n">
        <v>24.63773918724704</v>
      </c>
      <c r="DN1045" s="3" t="n">
        <v>25.01574420349238</v>
      </c>
      <c r="DO1045" s="3" t="n">
        <v>25.38878789900522</v>
      </c>
    </row>
    <row r="1046">
      <c r="A1046" s="19" t="inlineStr">
        <is>
          <t>mit.expsub.con.oth.nga</t>
        </is>
      </c>
      <c r="B1046" s="3" t="inlineStr">
        <is>
          <t>mit</t>
        </is>
      </c>
      <c r="C1046" s="19" t="inlineStr">
        <is>
          <t>mit.expsub.con.nga.other</t>
        </is>
      </c>
      <c r="H1046" s="3" t="inlineStr">
        <is>
          <t>Explicit consumer subsidy | Other | Natural gas</t>
        </is>
      </c>
      <c r="I1046" s="3" t="inlineStr">
        <is>
          <t>USD bn real</t>
        </is>
      </c>
      <c r="K1046" s="20" t="inlineStr">
        <is>
          <t>egy.mit.expsub.con.oth.nga.1</t>
        </is>
      </c>
      <c r="L1046" s="3" t="n">
        <v>0.1667969479113999</v>
      </c>
      <c r="M1046" s="3" t="n">
        <v>0.1672388110216596</v>
      </c>
      <c r="N1046" s="3" t="n">
        <v>0.2262624519902632</v>
      </c>
      <c r="O1046" s="3" t="n">
        <v>0.2294254299505882</v>
      </c>
      <c r="P1046" s="3" t="n">
        <v>0.2326649145730638</v>
      </c>
      <c r="Q1046" s="3" t="n">
        <v>0.2366398496514288</v>
      </c>
      <c r="R1046" s="3" t="n">
        <v>0.2414509899381448</v>
      </c>
      <c r="S1046" s="3" t="n">
        <v>0.2459094442018446</v>
      </c>
      <c r="T1046" s="3" t="n">
        <v>0.2499725229483296</v>
      </c>
      <c r="U1046" s="3" t="n">
        <v>0.2539253323008264</v>
      </c>
      <c r="V1046" s="3" t="n">
        <v>0.2578452032948624</v>
      </c>
      <c r="W1046" s="3" t="n">
        <v>0.2616665974567246</v>
      </c>
      <c r="X1046" s="3" t="n">
        <v>0.2654914464486936</v>
      </c>
      <c r="Y1046" s="3" t="n">
        <v>0.2692947336835621</v>
      </c>
      <c r="Z1046" s="3" t="n">
        <v>0.2730853004111599</v>
      </c>
      <c r="AA1046" s="3" t="n">
        <v>0.2768614559092073</v>
      </c>
      <c r="AB1046" s="3" t="n">
        <v>0.2806225363327948</v>
      </c>
      <c r="AC1046" s="3" t="n">
        <v>0.2843677309617655</v>
      </c>
      <c r="AD1046" s="3" t="n">
        <v>0.2880963774684644</v>
      </c>
      <c r="AE1046" s="3" t="n">
        <v>0.2918079113354326</v>
      </c>
      <c r="AG1046" s="20" t="inlineStr">
        <is>
          <t>egy.mit.expsub.con.oth.nga.3</t>
        </is>
      </c>
      <c r="AH1046" s="3" t="n">
        <v>0.1667969479113999</v>
      </c>
      <c r="AI1046" s="3" t="n">
        <v>0.1672375313402396</v>
      </c>
      <c r="AJ1046" s="3" t="n">
        <v>0.226264328912113</v>
      </c>
      <c r="AK1046" s="3" t="n">
        <v>0.2294266628485575</v>
      </c>
      <c r="AL1046" s="3" t="n">
        <v>0.2326655322421328</v>
      </c>
      <c r="AM1046" s="3" t="n">
        <v>0.159283789988025</v>
      </c>
      <c r="AN1046" s="3" t="n">
        <v>0.1612844202563005</v>
      </c>
      <c r="AO1046" s="3" t="n">
        <v>0.1644574935236371</v>
      </c>
      <c r="AP1046" s="3" t="n">
        <v>0.1665604488521965</v>
      </c>
      <c r="AQ1046" s="3" t="n">
        <v>0.1690400081051786</v>
      </c>
      <c r="AR1046" s="3" t="n">
        <v>0.1712815997162375</v>
      </c>
      <c r="AS1046" s="3" t="n">
        <v>0.1739182234432753</v>
      </c>
      <c r="AT1046" s="3" t="n">
        <v>0.1764378881562125</v>
      </c>
      <c r="AU1046" s="3" t="n">
        <v>0.1790076311680902</v>
      </c>
      <c r="AV1046" s="3" t="n">
        <v>0.1815812195502983</v>
      </c>
      <c r="AW1046" s="3" t="n">
        <v>0.1841919096688044</v>
      </c>
      <c r="AX1046" s="3" t="n">
        <v>0.1867446659986747</v>
      </c>
      <c r="AY1046" s="3" t="n">
        <v>0.1892637364714738</v>
      </c>
      <c r="AZ1046" s="3" t="n">
        <v>0.1917133452929617</v>
      </c>
      <c r="BA1046" s="3" t="n">
        <v>0.1941373053989697</v>
      </c>
      <c r="BC1046" s="20" t="inlineStr">
        <is>
          <t>egy.mit.expsub.con.oth.nga.4</t>
        </is>
      </c>
      <c r="BD1046" s="3" t="n">
        <v>0.1667969479113999</v>
      </c>
      <c r="BE1046" s="3" t="n">
        <v>0.1672343223278544</v>
      </c>
      <c r="BF1046" s="3" t="n">
        <v>0.2262690341723939</v>
      </c>
      <c r="BG1046" s="3" t="n">
        <v>0.2294297532949943</v>
      </c>
      <c r="BH1046" s="3" t="n">
        <v>0.2326670764266168</v>
      </c>
      <c r="BI1046" s="3" t="n">
        <v>0.182056892122209</v>
      </c>
      <c r="BJ1046" s="3" t="n">
        <v>0.1433849228477516</v>
      </c>
      <c r="BK1046" s="3" t="n">
        <v>0.1190176830707353</v>
      </c>
      <c r="BL1046" s="3" t="n">
        <v>0.1020946606658353</v>
      </c>
      <c r="BM1046" s="3" t="n">
        <v>0.09113630984375648</v>
      </c>
      <c r="BN1046" s="3" t="n">
        <v>0.08154057310156984</v>
      </c>
      <c r="BO1046" s="3" t="n">
        <v>0.07401064851555345</v>
      </c>
      <c r="BP1046" s="3" t="n">
        <v>0.06694026800808953</v>
      </c>
      <c r="BQ1046" s="3" t="n">
        <v>0.06107413968611983</v>
      </c>
      <c r="BR1046" s="3" t="n">
        <v>0.05533643556043243</v>
      </c>
      <c r="BS1046" s="3" t="n">
        <v>0.05046867876692327</v>
      </c>
      <c r="BT1046" s="3" t="n">
        <v>0.04537023293381123</v>
      </c>
      <c r="BU1046" s="3" t="n">
        <v>0.04115897894882934</v>
      </c>
      <c r="BV1046" s="3" t="n">
        <v>0.03623146003267839</v>
      </c>
      <c r="BW1046" s="3" t="n">
        <v>0.03264290786029561</v>
      </c>
      <c r="BY1046" s="20" t="inlineStr">
        <is>
          <t>egy.mit.expsub.con.oth.nga.5</t>
        </is>
      </c>
      <c r="BZ1046" s="3" t="n">
        <v>0.1667969479113999</v>
      </c>
      <c r="CA1046" s="3" t="n">
        <v>0.1672312090785656</v>
      </c>
      <c r="CB1046" s="3" t="n">
        <v>0.2262736024175471</v>
      </c>
      <c r="CC1046" s="3" t="n">
        <v>0.2294327570584003</v>
      </c>
      <c r="CD1046" s="3" t="n">
        <v>0.232668582503027</v>
      </c>
      <c r="CE1046" s="3" t="n">
        <v>0.149474898881182</v>
      </c>
      <c r="CF1046" s="3" t="n">
        <v>0.1521350966816201</v>
      </c>
      <c r="CG1046" s="3" t="n">
        <v>0.15471898116997</v>
      </c>
      <c r="CH1046" s="3" t="n">
        <v>0.1568472621305827</v>
      </c>
      <c r="CI1046" s="3" t="n">
        <v>0.1591016187937838</v>
      </c>
      <c r="CJ1046" s="3" t="n">
        <v>0.1611027234639053</v>
      </c>
      <c r="CK1046" s="3" t="n">
        <v>0.1635151768782647</v>
      </c>
      <c r="CL1046" s="3" t="n">
        <v>0.1654689018689235</v>
      </c>
      <c r="CM1046" s="3" t="n">
        <v>0.1674649155526106</v>
      </c>
      <c r="CN1046" s="3" t="n">
        <v>0.1694263594013105</v>
      </c>
      <c r="CO1046" s="3" t="n">
        <v>0.1712630907249545</v>
      </c>
      <c r="CP1046" s="3" t="n">
        <v>0.1730638660977833</v>
      </c>
      <c r="CQ1046" s="3" t="n">
        <v>0.1748184979976164</v>
      </c>
      <c r="CR1046" s="3" t="n">
        <v>0.1764373455429099</v>
      </c>
      <c r="CS1046" s="3" t="n">
        <v>0.1780604097161328</v>
      </c>
      <c r="CU1046" s="20" t="inlineStr">
        <is>
          <t>egy.mit.expsub.con.oth.nga.6</t>
        </is>
      </c>
      <c r="CV1046" s="3" t="n">
        <v>0.1667969479113999</v>
      </c>
      <c r="CW1046" s="3" t="n">
        <v>0.167235735301164</v>
      </c>
      <c r="CX1046" s="3" t="n">
        <v>0.2262669626361084</v>
      </c>
      <c r="CY1046" s="3" t="n">
        <v>0.2294283927532607</v>
      </c>
      <c r="CZ1046" s="3" t="n">
        <v>0.2326663972938247</v>
      </c>
      <c r="DA1046" s="3" t="n">
        <v>0.1089400982192809</v>
      </c>
      <c r="DB1046" s="3" t="n">
        <v>0.1070765689874381</v>
      </c>
      <c r="DC1046" s="3" t="n">
        <v>0.1096671667617779</v>
      </c>
      <c r="DD1046" s="3" t="n">
        <v>0.1107636689808648</v>
      </c>
      <c r="DE1046" s="3" t="n">
        <v>0.1129774993570517</v>
      </c>
      <c r="DF1046" s="3" t="n">
        <v>0.1135409440342158</v>
      </c>
      <c r="DG1046" s="3" t="n">
        <v>0.1150478156119663</v>
      </c>
      <c r="DH1046" s="3" t="n">
        <v>0.1158802340466134</v>
      </c>
      <c r="DI1046" s="3" t="n">
        <v>0.1170302889405088</v>
      </c>
      <c r="DJ1046" s="3" t="n">
        <v>0.1179473999383376</v>
      </c>
      <c r="DK1046" s="3" t="n">
        <v>0.1190876987522304</v>
      </c>
      <c r="DL1046" s="3" t="n">
        <v>0.119927192859509</v>
      </c>
      <c r="DM1046" s="3" t="n">
        <v>0.1209350444437658</v>
      </c>
      <c r="DN1046" s="3" t="n">
        <v>0.1216501010299314</v>
      </c>
      <c r="DO1046" s="3" t="n">
        <v>0.1225469729103216</v>
      </c>
    </row>
    <row r="1047">
      <c r="A1047" s="19" t="inlineStr">
        <is>
          <t>mit.impsub.con.oth.nga</t>
        </is>
      </c>
      <c r="B1047" s="3" t="inlineStr">
        <is>
          <t>mit</t>
        </is>
      </c>
      <c r="C1047" s="19" t="inlineStr">
        <is>
          <t>mit.impsub.con.nga.other</t>
        </is>
      </c>
      <c r="H1047" s="3" t="inlineStr">
        <is>
          <t>Implicit consumer subsidy | Other | Natural gas</t>
        </is>
      </c>
      <c r="I1047" s="3" t="inlineStr">
        <is>
          <t>USD bn real</t>
        </is>
      </c>
      <c r="K1047" s="20" t="inlineStr">
        <is>
          <t>egy.mit.impsub.con.oth.nga.1</t>
        </is>
      </c>
      <c r="L1047" s="3" t="n">
        <v>0.07085862794772696</v>
      </c>
      <c r="M1047" s="3" t="n">
        <v>0.08986446758605757</v>
      </c>
      <c r="N1047" s="3" t="n">
        <v>0.1376512400183148</v>
      </c>
      <c r="O1047" s="3" t="n">
        <v>0.1412916262044187</v>
      </c>
      <c r="P1047" s="3" t="n">
        <v>0.1497887105547051</v>
      </c>
      <c r="Q1047" s="3" t="n">
        <v>0.1585090332712858</v>
      </c>
      <c r="R1047" s="3" t="n">
        <v>0.1688037044695948</v>
      </c>
      <c r="S1047" s="3" t="n">
        <v>0.1792901076388313</v>
      </c>
      <c r="T1047" s="3" t="n">
        <v>0.18995884713316</v>
      </c>
      <c r="U1047" s="3" t="n">
        <v>0.200504722641152</v>
      </c>
      <c r="V1047" s="3" t="n">
        <v>0.2118719860523483</v>
      </c>
      <c r="W1047" s="3" t="n">
        <v>0.2237066355488027</v>
      </c>
      <c r="X1047" s="3" t="n">
        <v>0.2361750108053381</v>
      </c>
      <c r="Y1047" s="3" t="n">
        <v>0.2492638628666364</v>
      </c>
      <c r="Z1047" s="3" t="n">
        <v>0.2630187898466035</v>
      </c>
      <c r="AA1047" s="3" t="n">
        <v>0.2774687637068257</v>
      </c>
      <c r="AB1047" s="3" t="n">
        <v>0.2926441608984157</v>
      </c>
      <c r="AC1047" s="3" t="n">
        <v>0.3085770799498187</v>
      </c>
      <c r="AD1047" s="3" t="n">
        <v>0.3253006465329875</v>
      </c>
      <c r="AE1047" s="3" t="n">
        <v>0.3420461854875492</v>
      </c>
      <c r="AG1047" s="20" t="inlineStr">
        <is>
          <t>egy.mit.impsub.con.oth.nga.3</t>
        </is>
      </c>
      <c r="AH1047" s="3" t="n">
        <v>0.07085862794772696</v>
      </c>
      <c r="AI1047" s="3" t="n">
        <v>0.08986566792109013</v>
      </c>
      <c r="AJ1047" s="3" t="n">
        <v>0.1376531694206089</v>
      </c>
      <c r="AK1047" s="3" t="n">
        <v>0.1412934969982015</v>
      </c>
      <c r="AL1047" s="3" t="n">
        <v>0.1497904848352238</v>
      </c>
      <c r="AM1047" s="3" t="n">
        <v>0.1122306310610999</v>
      </c>
      <c r="AN1047" s="3" t="n">
        <v>0.1197919293795448</v>
      </c>
      <c r="AO1047" s="3" t="n">
        <v>0.1271453642151998</v>
      </c>
      <c r="AP1047" s="3" t="n">
        <v>0.1346742183867572</v>
      </c>
      <c r="AQ1047" s="3" t="n">
        <v>0.1421695409268043</v>
      </c>
      <c r="AR1047" s="3" t="n">
        <v>0.1502305194780399</v>
      </c>
      <c r="AS1047" s="3" t="n">
        <v>0.1587225938355007</v>
      </c>
      <c r="AT1047" s="3" t="n">
        <v>0.1677297717686877</v>
      </c>
      <c r="AU1047" s="3" t="n">
        <v>0.1771617512453545</v>
      </c>
      <c r="AV1047" s="3" t="n">
        <v>0.1870979712942043</v>
      </c>
      <c r="AW1047" s="3" t="n">
        <v>0.1975917390090734</v>
      </c>
      <c r="AX1047" s="3" t="n">
        <v>0.2085690879835968</v>
      </c>
      <c r="AY1047" s="3" t="n">
        <v>0.2200706063546867</v>
      </c>
      <c r="AZ1047" s="3" t="n">
        <v>0.2320788457598716</v>
      </c>
      <c r="BA1047" s="3" t="n">
        <v>0.2440694968661493</v>
      </c>
      <c r="BC1047" s="20" t="inlineStr">
        <is>
          <t>egy.mit.impsub.con.oth.nga.4</t>
        </is>
      </c>
      <c r="BD1047" s="3" t="n">
        <v>0.07085862794772696</v>
      </c>
      <c r="BE1047" s="3" t="n">
        <v>0.08986867795931182</v>
      </c>
      <c r="BF1047" s="3" t="n">
        <v>0.1376580062442526</v>
      </c>
      <c r="BG1047" s="3" t="n">
        <v>0.1412981864275981</v>
      </c>
      <c r="BH1047" s="3" t="n">
        <v>0.1497949205704492</v>
      </c>
      <c r="BI1047" s="3" t="n">
        <v>0.1252187901001592</v>
      </c>
      <c r="BJ1047" s="3" t="n">
        <v>0.1068089996490132</v>
      </c>
      <c r="BK1047" s="3" t="n">
        <v>0.09601150949184423</v>
      </c>
      <c r="BL1047" s="3" t="n">
        <v>0.08887894100308513</v>
      </c>
      <c r="BM1047" s="3" t="n">
        <v>0.08527534450644236</v>
      </c>
      <c r="BN1047" s="3" t="n">
        <v>0.08291379695622786</v>
      </c>
      <c r="BO1047" s="3" t="n">
        <v>0.08132848048851585</v>
      </c>
      <c r="BP1047" s="3" t="n">
        <v>0.08038952849425961</v>
      </c>
      <c r="BQ1047" s="3" t="n">
        <v>0.07992630920661105</v>
      </c>
      <c r="BR1047" s="3" t="n">
        <v>0.07986922855619122</v>
      </c>
      <c r="BS1047" s="3" t="n">
        <v>0.08014892708353462</v>
      </c>
      <c r="BT1047" s="3" t="n">
        <v>0.08071977237921457</v>
      </c>
      <c r="BU1047" s="3" t="n">
        <v>0.08152870367722101</v>
      </c>
      <c r="BV1047" s="3" t="n">
        <v>0.08254369830757816</v>
      </c>
      <c r="BW1047" s="3" t="n">
        <v>0.08352159890693474</v>
      </c>
      <c r="BY1047" s="20" t="inlineStr">
        <is>
          <t>egy.mit.impsub.con.oth.nga.5</t>
        </is>
      </c>
      <c r="BZ1047" s="3" t="n">
        <v>0.07085862794772696</v>
      </c>
      <c r="CA1047" s="3" t="n">
        <v>0.08987159817220851</v>
      </c>
      <c r="CB1047" s="3" t="n">
        <v>0.137662702221701</v>
      </c>
      <c r="CC1047" s="3" t="n">
        <v>0.1413027443245573</v>
      </c>
      <c r="CD1047" s="3" t="n">
        <v>0.1497992468386214</v>
      </c>
      <c r="CE1047" s="3" t="n">
        <v>0.1051191553173</v>
      </c>
      <c r="CF1047" s="3" t="n">
        <v>0.1119969254171839</v>
      </c>
      <c r="CG1047" s="3" t="n">
        <v>0.1190423656215596</v>
      </c>
      <c r="CH1047" s="3" t="n">
        <v>0.1261038737153804</v>
      </c>
      <c r="CI1047" s="3" t="n">
        <v>0.1332051817239623</v>
      </c>
      <c r="CJ1047" s="3" t="n">
        <v>0.1408142054256224</v>
      </c>
      <c r="CK1047" s="3" t="n">
        <v>0.1488278714451915</v>
      </c>
      <c r="CL1047" s="3" t="n">
        <v>0.1573387862295714</v>
      </c>
      <c r="CM1047" s="3" t="n">
        <v>0.166240439791184</v>
      </c>
      <c r="CN1047" s="3" t="n">
        <v>0.1755958822068646</v>
      </c>
      <c r="CO1047" s="3" t="n">
        <v>0.1854670292206816</v>
      </c>
      <c r="CP1047" s="3" t="n">
        <v>0.1957744443197138</v>
      </c>
      <c r="CQ1047" s="3" t="n">
        <v>0.2065758073948613</v>
      </c>
      <c r="CR1047" s="3" t="n">
        <v>0.2178584732732053</v>
      </c>
      <c r="CS1047" s="3" t="n">
        <v>0.2291685132171142</v>
      </c>
      <c r="CU1047" s="20" t="inlineStr">
        <is>
          <t>egy.mit.impsub.con.oth.nga.6</t>
        </is>
      </c>
      <c r="CV1047" s="3" t="n">
        <v>0.07085862794772696</v>
      </c>
      <c r="CW1047" s="3" t="n">
        <v>0.08986735259712632</v>
      </c>
      <c r="CX1047" s="3" t="n">
        <v>0.137655876785926</v>
      </c>
      <c r="CY1047" s="3" t="n">
        <v>0.1412961219477466</v>
      </c>
      <c r="CZ1047" s="3" t="n">
        <v>0.1497929697327872</v>
      </c>
      <c r="DA1047" s="3" t="n">
        <v>0.08127173598321219</v>
      </c>
      <c r="DB1047" s="3" t="n">
        <v>0.08691336775474438</v>
      </c>
      <c r="DC1047" s="3" t="n">
        <v>0.09229468766736786</v>
      </c>
      <c r="DD1047" s="3" t="n">
        <v>0.09766611334548475</v>
      </c>
      <c r="DE1047" s="3" t="n">
        <v>0.1030827908667736</v>
      </c>
      <c r="DF1047" s="3" t="n">
        <v>0.1089476142114281</v>
      </c>
      <c r="DG1047" s="3" t="n">
        <v>0.1151993372645912</v>
      </c>
      <c r="DH1047" s="3" t="n">
        <v>0.1218739006895707</v>
      </c>
      <c r="DI1047" s="3" t="n">
        <v>0.1288341084518763</v>
      </c>
      <c r="DJ1047" s="3" t="n">
        <v>0.1361891398818617</v>
      </c>
      <c r="DK1047" s="3" t="n">
        <v>0.1439859435299788</v>
      </c>
      <c r="DL1047" s="3" t="n">
        <v>0.1521057358898074</v>
      </c>
      <c r="DM1047" s="3" t="n">
        <v>0.1605842329175399</v>
      </c>
      <c r="DN1047" s="3" t="n">
        <v>0.1693846448873534</v>
      </c>
      <c r="DO1047" s="3" t="n">
        <v>0.1781627150860266</v>
      </c>
    </row>
    <row r="1048">
      <c r="A1048" s="19" t="inlineStr">
        <is>
          <t>mit.effprice.ind.coa</t>
        </is>
      </c>
      <c r="B1048" s="3" t="inlineStr">
        <is>
          <t>mit</t>
        </is>
      </c>
      <c r="C1048" s="19" t="inlineStr">
        <is>
          <t>mit.effprice.coa.ind</t>
        </is>
      </c>
      <c r="H1048" s="3" t="inlineStr">
        <is>
          <t>Energy subsidies: efficient price | Industry | Coal</t>
        </is>
      </c>
      <c r="I1048" s="3" t="inlineStr">
        <is>
          <t>USD/GJ, USD/kWh</t>
        </is>
      </c>
      <c r="K1048" s="20" t="inlineStr">
        <is>
          <t>egy.mit.effprice.ind.coa.1</t>
        </is>
      </c>
      <c r="L1048" s="3" t="n">
        <v>17.81905019381797</v>
      </c>
      <c r="M1048" s="3" t="n">
        <v>15.68238280001476</v>
      </c>
      <c r="N1048" s="3" t="n">
        <v>14.65767831767196</v>
      </c>
      <c r="O1048" s="3" t="n">
        <v>13.67643938463841</v>
      </c>
      <c r="P1048" s="3" t="n">
        <v>14.4775775701259</v>
      </c>
      <c r="Q1048" s="3" t="n">
        <v>14.85877590492828</v>
      </c>
      <c r="R1048" s="3" t="n">
        <v>15.18236272132892</v>
      </c>
      <c r="S1048" s="3" t="n">
        <v>15.50568837076008</v>
      </c>
      <c r="T1048" s="3" t="n">
        <v>15.82777842202773</v>
      </c>
      <c r="U1048" s="3" t="n">
        <v>16.09272047024839</v>
      </c>
      <c r="V1048" s="3" t="n">
        <v>16.45266671158578</v>
      </c>
      <c r="W1048" s="3" t="n">
        <v>16.82610371591641</v>
      </c>
      <c r="X1048" s="3" t="n">
        <v>17.21346226928667</v>
      </c>
      <c r="Y1048" s="3" t="n">
        <v>17.61525640065154</v>
      </c>
      <c r="Z1048" s="3" t="n">
        <v>18.0319240673643</v>
      </c>
      <c r="AA1048" s="3" t="n">
        <v>18.46407735025606</v>
      </c>
      <c r="AB1048" s="3" t="n">
        <v>18.91208642918384</v>
      </c>
      <c r="AC1048" s="3" t="n">
        <v>19.37646162544554</v>
      </c>
      <c r="AD1048" s="3" t="n">
        <v>19.85772716809379</v>
      </c>
      <c r="AE1048" s="3" t="n">
        <v>20.27319991058218</v>
      </c>
      <c r="AG1048" s="20" t="inlineStr">
        <is>
          <t>egy.mit.effprice.ind.coa.3</t>
        </is>
      </c>
      <c r="AH1048" s="3" t="n">
        <v>17.81905019381797</v>
      </c>
      <c r="AI1048" s="3" t="n">
        <v>15.68238280001476</v>
      </c>
      <c r="AJ1048" s="3" t="n">
        <v>14.65767831767196</v>
      </c>
      <c r="AK1048" s="3" t="n">
        <v>13.67643938463841</v>
      </c>
      <c r="AL1048" s="3" t="n">
        <v>14.4775775701259</v>
      </c>
      <c r="AM1048" s="3" t="n">
        <v>14.85877590492828</v>
      </c>
      <c r="AN1048" s="3" t="n">
        <v>15.18236272132892</v>
      </c>
      <c r="AO1048" s="3" t="n">
        <v>15.50568837076008</v>
      </c>
      <c r="AP1048" s="3" t="n">
        <v>15.82777842202773</v>
      </c>
      <c r="AQ1048" s="3" t="n">
        <v>16.09272047024839</v>
      </c>
      <c r="AR1048" s="3" t="n">
        <v>16.45266671158578</v>
      </c>
      <c r="AS1048" s="3" t="n">
        <v>16.82610371591641</v>
      </c>
      <c r="AT1048" s="3" t="n">
        <v>17.21346226928667</v>
      </c>
      <c r="AU1048" s="3" t="n">
        <v>17.61525640065154</v>
      </c>
      <c r="AV1048" s="3" t="n">
        <v>18.0319240673643</v>
      </c>
      <c r="AW1048" s="3" t="n">
        <v>18.46407735025606</v>
      </c>
      <c r="AX1048" s="3" t="n">
        <v>18.91208642918384</v>
      </c>
      <c r="AY1048" s="3" t="n">
        <v>19.37646162544554</v>
      </c>
      <c r="AZ1048" s="3" t="n">
        <v>19.85772716809379</v>
      </c>
      <c r="BA1048" s="3" t="n">
        <v>20.27319991058218</v>
      </c>
      <c r="BC1048" s="20" t="inlineStr">
        <is>
          <t>egy.mit.effprice.ind.coa.4</t>
        </is>
      </c>
      <c r="BD1048" s="3" t="n">
        <v>17.81905019381797</v>
      </c>
      <c r="BE1048" s="3" t="n">
        <v>15.68238280001476</v>
      </c>
      <c r="BF1048" s="3" t="n">
        <v>14.65767831767196</v>
      </c>
      <c r="BG1048" s="3" t="n">
        <v>13.67643938463841</v>
      </c>
      <c r="BH1048" s="3" t="n">
        <v>14.4775775701259</v>
      </c>
      <c r="BI1048" s="3" t="n">
        <v>14.85877590492828</v>
      </c>
      <c r="BJ1048" s="3" t="n">
        <v>15.18236272132892</v>
      </c>
      <c r="BK1048" s="3" t="n">
        <v>15.50568837076008</v>
      </c>
      <c r="BL1048" s="3" t="n">
        <v>15.82777842202773</v>
      </c>
      <c r="BM1048" s="3" t="n">
        <v>16.09272047024839</v>
      </c>
      <c r="BN1048" s="3" t="n">
        <v>16.45266671158578</v>
      </c>
      <c r="BO1048" s="3" t="n">
        <v>16.82610371591641</v>
      </c>
      <c r="BP1048" s="3" t="n">
        <v>17.21346226928667</v>
      </c>
      <c r="BQ1048" s="3" t="n">
        <v>17.61525640065154</v>
      </c>
      <c r="BR1048" s="3" t="n">
        <v>18.0319240673643</v>
      </c>
      <c r="BS1048" s="3" t="n">
        <v>18.46407735025606</v>
      </c>
      <c r="BT1048" s="3" t="n">
        <v>18.91208642918384</v>
      </c>
      <c r="BU1048" s="3" t="n">
        <v>19.37646162544554</v>
      </c>
      <c r="BV1048" s="3" t="n">
        <v>19.85772716809379</v>
      </c>
      <c r="BW1048" s="3" t="n">
        <v>20.27319991058218</v>
      </c>
      <c r="BY1048" s="20" t="inlineStr">
        <is>
          <t>egy.mit.effprice.ind.coa.5</t>
        </is>
      </c>
      <c r="BZ1048" s="3" t="n">
        <v>17.81905019381797</v>
      </c>
      <c r="CA1048" s="3" t="n">
        <v>15.68238280001476</v>
      </c>
      <c r="CB1048" s="3" t="n">
        <v>14.65767831767196</v>
      </c>
      <c r="CC1048" s="3" t="n">
        <v>13.67643938463841</v>
      </c>
      <c r="CD1048" s="3" t="n">
        <v>14.4775775701259</v>
      </c>
      <c r="CE1048" s="3" t="n">
        <v>14.85877590492828</v>
      </c>
      <c r="CF1048" s="3" t="n">
        <v>15.18236272132892</v>
      </c>
      <c r="CG1048" s="3" t="n">
        <v>15.50568837076008</v>
      </c>
      <c r="CH1048" s="3" t="n">
        <v>15.82777842202773</v>
      </c>
      <c r="CI1048" s="3" t="n">
        <v>16.09272047024839</v>
      </c>
      <c r="CJ1048" s="3" t="n">
        <v>16.45266671158578</v>
      </c>
      <c r="CK1048" s="3" t="n">
        <v>16.82610371591641</v>
      </c>
      <c r="CL1048" s="3" t="n">
        <v>17.21346226928667</v>
      </c>
      <c r="CM1048" s="3" t="n">
        <v>17.61525640065154</v>
      </c>
      <c r="CN1048" s="3" t="n">
        <v>18.0319240673643</v>
      </c>
      <c r="CO1048" s="3" t="n">
        <v>18.46407735025606</v>
      </c>
      <c r="CP1048" s="3" t="n">
        <v>18.91208642918384</v>
      </c>
      <c r="CQ1048" s="3" t="n">
        <v>19.37646162544554</v>
      </c>
      <c r="CR1048" s="3" t="n">
        <v>19.85772716809379</v>
      </c>
      <c r="CS1048" s="3" t="n">
        <v>20.27319991058218</v>
      </c>
      <c r="CU1048" s="20" t="inlineStr">
        <is>
          <t>egy.mit.effprice.ind.coa.6</t>
        </is>
      </c>
      <c r="CV1048" s="3" t="n">
        <v>17.81905019381797</v>
      </c>
      <c r="CW1048" s="3" t="n">
        <v>15.68238280001476</v>
      </c>
      <c r="CX1048" s="3" t="n">
        <v>14.65767831767196</v>
      </c>
      <c r="CY1048" s="3" t="n">
        <v>13.67643938463841</v>
      </c>
      <c r="CZ1048" s="3" t="n">
        <v>14.4775775701259</v>
      </c>
      <c r="DA1048" s="3" t="n">
        <v>14.85877590492828</v>
      </c>
      <c r="DB1048" s="3" t="n">
        <v>15.18236272132892</v>
      </c>
      <c r="DC1048" s="3" t="n">
        <v>15.50568837076008</v>
      </c>
      <c r="DD1048" s="3" t="n">
        <v>15.82777842202773</v>
      </c>
      <c r="DE1048" s="3" t="n">
        <v>16.09272047024839</v>
      </c>
      <c r="DF1048" s="3" t="n">
        <v>16.45266671158578</v>
      </c>
      <c r="DG1048" s="3" t="n">
        <v>16.82610371591641</v>
      </c>
      <c r="DH1048" s="3" t="n">
        <v>17.21346226928667</v>
      </c>
      <c r="DI1048" s="3" t="n">
        <v>17.61525640065154</v>
      </c>
      <c r="DJ1048" s="3" t="n">
        <v>18.0319240673643</v>
      </c>
      <c r="DK1048" s="3" t="n">
        <v>18.46407735025606</v>
      </c>
      <c r="DL1048" s="3" t="n">
        <v>18.91208642918384</v>
      </c>
      <c r="DM1048" s="3" t="n">
        <v>19.37646162544554</v>
      </c>
      <c r="DN1048" s="3" t="n">
        <v>19.85772716809379</v>
      </c>
      <c r="DO1048" s="3" t="n">
        <v>20.27319991058218</v>
      </c>
    </row>
    <row r="1049">
      <c r="A1049" s="19" t="inlineStr">
        <is>
          <t>mit.con.ind.coa</t>
        </is>
      </c>
      <c r="B1049" s="3" t="inlineStr">
        <is>
          <t>mit</t>
        </is>
      </c>
      <c r="C1049" s="19" t="inlineStr">
        <is>
          <t>mit.con.coa.ind</t>
        </is>
      </c>
      <c r="H1049" s="3" t="inlineStr">
        <is>
          <t>Energy subsidies: consumption of the line | Industry | Coal</t>
        </is>
      </c>
      <c r="I1049" s="3" t="inlineStr">
        <is>
          <t>PJ, GWh</t>
        </is>
      </c>
      <c r="K1049" s="20" t="inlineStr">
        <is>
          <t>egy.mit.con.ind.coa.1</t>
        </is>
      </c>
      <c r="L1049" s="3" t="n">
        <v>69.01946693080684</v>
      </c>
      <c r="M1049" s="3" t="n">
        <v>64.10448475299511</v>
      </c>
      <c r="N1049" s="3" t="n">
        <v>76.9520721278577</v>
      </c>
      <c r="O1049" s="3" t="n">
        <v>83.30520841919021</v>
      </c>
      <c r="P1049" s="3" t="n">
        <v>81.90549414947681</v>
      </c>
      <c r="Q1049" s="3" t="n">
        <v>82.946288129753</v>
      </c>
      <c r="R1049" s="3" t="n">
        <v>85.19612806916949</v>
      </c>
      <c r="S1049" s="3" t="n">
        <v>87.37941360435437</v>
      </c>
      <c r="T1049" s="3" t="n">
        <v>89.46222545181234</v>
      </c>
      <c r="U1049" s="3" t="n">
        <v>91.54866394201963</v>
      </c>
      <c r="V1049" s="3" t="n">
        <v>93.28186881513423</v>
      </c>
      <c r="W1049" s="3" t="n">
        <v>95.01944721853492</v>
      </c>
      <c r="X1049" s="3" t="n">
        <v>96.76090388759401</v>
      </c>
      <c r="Y1049" s="3" t="n">
        <v>98.50574792233706</v>
      </c>
      <c r="Z1049" s="3" t="n">
        <v>100.2534923717122</v>
      </c>
      <c r="AA1049" s="3" t="n">
        <v>102.0036537732327</v>
      </c>
      <c r="AB1049" s="3" t="n">
        <v>103.7557516502825</v>
      </c>
      <c r="AC1049" s="3" t="n">
        <v>105.5093079692273</v>
      </c>
      <c r="AD1049" s="3" t="n">
        <v>107.2638465583307</v>
      </c>
      <c r="AE1049" s="3" t="n">
        <v>109.0188924903236</v>
      </c>
      <c r="AG1049" s="20" t="inlineStr">
        <is>
          <t>egy.mit.con.ind.coa.3</t>
        </is>
      </c>
      <c r="AH1049" s="3" t="n">
        <v>69.01946693080684</v>
      </c>
      <c r="AI1049" s="3" t="n">
        <v>64.10448475299511</v>
      </c>
      <c r="AJ1049" s="3" t="n">
        <v>76.9520721278577</v>
      </c>
      <c r="AK1049" s="3" t="n">
        <v>83.30520841919021</v>
      </c>
      <c r="AL1049" s="3" t="n">
        <v>81.90549414947681</v>
      </c>
      <c r="AM1049" s="3" t="n">
        <v>72.15050712861913</v>
      </c>
      <c r="AN1049" s="3" t="n">
        <v>74.05142230311363</v>
      </c>
      <c r="AO1049" s="3" t="n">
        <v>75.90879686637271</v>
      </c>
      <c r="AP1049" s="3" t="n">
        <v>77.59844646005594</v>
      </c>
      <c r="AQ1049" s="3" t="n">
        <v>79.34808607855967</v>
      </c>
      <c r="AR1049" s="3" t="n">
        <v>80.82939130477325</v>
      </c>
      <c r="AS1049" s="3" t="n">
        <v>82.36292263336843</v>
      </c>
      <c r="AT1049" s="3" t="n">
        <v>83.92345211211293</v>
      </c>
      <c r="AU1049" s="3" t="n">
        <v>85.47632783851928</v>
      </c>
      <c r="AV1049" s="3" t="n">
        <v>87.04222621757572</v>
      </c>
      <c r="AW1049" s="3" t="n">
        <v>88.63436372977901</v>
      </c>
      <c r="AX1049" s="3" t="n">
        <v>90.20678688633738</v>
      </c>
      <c r="AY1049" s="3" t="n">
        <v>91.76901925020572</v>
      </c>
      <c r="AZ1049" s="3" t="n">
        <v>93.30453201285096</v>
      </c>
      <c r="BA1049" s="3" t="n">
        <v>94.83260684390403</v>
      </c>
      <c r="BC1049" s="20" t="inlineStr">
        <is>
          <t>egy.mit.con.ind.coa.4</t>
        </is>
      </c>
      <c r="BD1049" s="3" t="n">
        <v>69.01946693080684</v>
      </c>
      <c r="BE1049" s="3" t="n">
        <v>64.10448475299511</v>
      </c>
      <c r="BF1049" s="3" t="n">
        <v>76.9520721278577</v>
      </c>
      <c r="BG1049" s="3" t="n">
        <v>83.30520841919021</v>
      </c>
      <c r="BH1049" s="3" t="n">
        <v>81.90549414947681</v>
      </c>
      <c r="BI1049" s="3" t="n">
        <v>75.79460377354519</v>
      </c>
      <c r="BJ1049" s="3" t="n">
        <v>70.27402564816613</v>
      </c>
      <c r="BK1049" s="3" t="n">
        <v>66.02741321853851</v>
      </c>
      <c r="BL1049" s="3" t="n">
        <v>62.56939870871378</v>
      </c>
      <c r="BM1049" s="3" t="n">
        <v>60.44651465290396</v>
      </c>
      <c r="BN1049" s="3" t="n">
        <v>58.52989219014741</v>
      </c>
      <c r="BO1049" s="3" t="n">
        <v>56.90351218163053</v>
      </c>
      <c r="BP1049" s="3" t="n">
        <v>55.52189746491122</v>
      </c>
      <c r="BQ1049" s="3" t="n">
        <v>54.33519140176899</v>
      </c>
      <c r="BR1049" s="3" t="n">
        <v>53.31049010452699</v>
      </c>
      <c r="BS1049" s="3" t="n">
        <v>52.42808917362157</v>
      </c>
      <c r="BT1049" s="3" t="n">
        <v>51.65961439602984</v>
      </c>
      <c r="BU1049" s="3" t="n">
        <v>50.98417611490688</v>
      </c>
      <c r="BV1049" s="3" t="n">
        <v>50.37811185523784</v>
      </c>
      <c r="BW1049" s="3" t="n">
        <v>49.82923606522753</v>
      </c>
      <c r="BY1049" s="20" t="inlineStr">
        <is>
          <t>egy.mit.con.ind.coa.5</t>
        </is>
      </c>
      <c r="BZ1049" s="3" t="n">
        <v>69.01946693080684</v>
      </c>
      <c r="CA1049" s="3" t="n">
        <v>64.10448475299511</v>
      </c>
      <c r="CB1049" s="3" t="n">
        <v>76.9520721278577</v>
      </c>
      <c r="CC1049" s="3" t="n">
        <v>83.30520841919021</v>
      </c>
      <c r="CD1049" s="3" t="n">
        <v>81.90549414947681</v>
      </c>
      <c r="CE1049" s="3" t="n">
        <v>74.85285112918416</v>
      </c>
      <c r="CF1049" s="3" t="n">
        <v>74.45461984880134</v>
      </c>
      <c r="CG1049" s="3" t="n">
        <v>74.14501408313504</v>
      </c>
      <c r="CH1049" s="3" t="n">
        <v>73.79730541496315</v>
      </c>
      <c r="CI1049" s="3" t="n">
        <v>73.63806748646368</v>
      </c>
      <c r="CJ1049" s="3" t="n">
        <v>73.32202780558212</v>
      </c>
      <c r="CK1049" s="3" t="n">
        <v>73.10624750125956</v>
      </c>
      <c r="CL1049" s="3" t="n">
        <v>72.96674332405262</v>
      </c>
      <c r="CM1049" s="3" t="n">
        <v>72.8703894108244</v>
      </c>
      <c r="CN1049" s="3" t="n">
        <v>73.53182343066904</v>
      </c>
      <c r="CO1049" s="3" t="n">
        <v>74.19471677218915</v>
      </c>
      <c r="CP1049" s="3" t="n">
        <v>74.83448930444</v>
      </c>
      <c r="CQ1049" s="3" t="n">
        <v>75.46387951825362</v>
      </c>
      <c r="CR1049" s="3" t="n">
        <v>76.06443334615763</v>
      </c>
      <c r="CS1049" s="3" t="n">
        <v>76.65577128006373</v>
      </c>
      <c r="CU1049" s="20" t="inlineStr">
        <is>
          <t>egy.mit.con.ind.coa.6</t>
        </is>
      </c>
      <c r="CV1049" s="3" t="n">
        <v>69.01946693080684</v>
      </c>
      <c r="CW1049" s="3" t="n">
        <v>64.10448475299511</v>
      </c>
      <c r="CX1049" s="3" t="n">
        <v>76.9520721278577</v>
      </c>
      <c r="CY1049" s="3" t="n">
        <v>83.30520841919021</v>
      </c>
      <c r="CZ1049" s="3" t="n">
        <v>81.90549414947681</v>
      </c>
      <c r="DA1049" s="3" t="n">
        <v>61.40485081854919</v>
      </c>
      <c r="DB1049" s="3" t="n">
        <v>62.98009289902595</v>
      </c>
      <c r="DC1049" s="3" t="n">
        <v>64.53398062304329</v>
      </c>
      <c r="DD1049" s="3" t="n">
        <v>65.86787187594433</v>
      </c>
      <c r="DE1049" s="3" t="n">
        <v>67.3141633437765</v>
      </c>
      <c r="DF1049" s="3" t="n">
        <v>68.54737185769451</v>
      </c>
      <c r="DG1049" s="3" t="n">
        <v>69.87795650047148</v>
      </c>
      <c r="DH1049" s="3" t="n">
        <v>71.24754704605958</v>
      </c>
      <c r="DI1049" s="3" t="n">
        <v>72.60282881771398</v>
      </c>
      <c r="DJ1049" s="3" t="n">
        <v>73.97847109285337</v>
      </c>
      <c r="DK1049" s="3" t="n">
        <v>75.39968761815496</v>
      </c>
      <c r="DL1049" s="3" t="n">
        <v>76.78240402036549</v>
      </c>
      <c r="DM1049" s="3" t="n">
        <v>78.14803075896289</v>
      </c>
      <c r="DN1049" s="3" t="n">
        <v>79.46484787584876</v>
      </c>
      <c r="DO1049" s="3" t="n">
        <v>80.76962007421896</v>
      </c>
    </row>
    <row r="1050">
      <c r="A1050" s="19" t="inlineStr">
        <is>
          <t>mit.expsub.con.ind.coa</t>
        </is>
      </c>
      <c r="B1050" s="3" t="inlineStr">
        <is>
          <t>mit</t>
        </is>
      </c>
      <c r="C1050" s="19" t="inlineStr">
        <is>
          <t>mit.expsub.con.coa.ind</t>
        </is>
      </c>
      <c r="H1050" s="3" t="inlineStr">
        <is>
          <t>Explicit consumer subsidy | Industry | Coal</t>
        </is>
      </c>
      <c r="I1050" s="3" t="inlineStr">
        <is>
          <t>USD bn real</t>
        </is>
      </c>
      <c r="K1050" s="20" t="inlineStr">
        <is>
          <t>egy.mit.expsub.con.ind.coa.1</t>
        </is>
      </c>
      <c r="L1050" s="3" t="n">
        <v>0</v>
      </c>
      <c r="M1050" s="3" t="n">
        <v>0</v>
      </c>
      <c r="N1050" s="3" t="n">
        <v>0</v>
      </c>
      <c r="O1050" s="3" t="n">
        <v>0</v>
      </c>
      <c r="P1050" s="3" t="n">
        <v>0</v>
      </c>
      <c r="Q1050" s="3" t="n">
        <v>0</v>
      </c>
      <c r="R1050" s="3" t="n">
        <v>0</v>
      </c>
      <c r="S1050" s="3" t="n">
        <v>0</v>
      </c>
      <c r="T1050" s="3" t="n">
        <v>0</v>
      </c>
      <c r="U1050" s="3" t="n">
        <v>0</v>
      </c>
      <c r="V1050" s="3" t="n">
        <v>0</v>
      </c>
      <c r="W1050" s="3" t="n">
        <v>0</v>
      </c>
      <c r="X1050" s="3" t="n">
        <v>0</v>
      </c>
      <c r="Y1050" s="3" t="n">
        <v>0</v>
      </c>
      <c r="Z1050" s="3" t="n">
        <v>0</v>
      </c>
      <c r="AA1050" s="3" t="n">
        <v>0</v>
      </c>
      <c r="AB1050" s="3" t="n">
        <v>0</v>
      </c>
      <c r="AC1050" s="3" t="n">
        <v>0</v>
      </c>
      <c r="AD1050" s="3" t="n">
        <v>0</v>
      </c>
      <c r="AE1050" s="3" t="n">
        <v>0</v>
      </c>
      <c r="AG1050" s="20" t="inlineStr">
        <is>
          <t>egy.mit.expsub.con.ind.coa.3</t>
        </is>
      </c>
      <c r="AH1050" s="3" t="n">
        <v>0</v>
      </c>
      <c r="AI1050" s="3" t="n">
        <v>0</v>
      </c>
      <c r="AJ1050" s="3" t="n">
        <v>0</v>
      </c>
      <c r="AK1050" s="3" t="n">
        <v>0</v>
      </c>
      <c r="AL1050" s="3" t="n">
        <v>0</v>
      </c>
      <c r="AM1050" s="3" t="n">
        <v>0</v>
      </c>
      <c r="AN1050" s="3" t="n">
        <v>0</v>
      </c>
      <c r="AO1050" s="3" t="n">
        <v>0</v>
      </c>
      <c r="AP1050" s="3" t="n">
        <v>0</v>
      </c>
      <c r="AQ1050" s="3" t="n">
        <v>0</v>
      </c>
      <c r="AR1050" s="3" t="n">
        <v>0</v>
      </c>
      <c r="AS1050" s="3" t="n">
        <v>0</v>
      </c>
      <c r="AT1050" s="3" t="n">
        <v>0</v>
      </c>
      <c r="AU1050" s="3" t="n">
        <v>0</v>
      </c>
      <c r="AV1050" s="3" t="n">
        <v>0</v>
      </c>
      <c r="AW1050" s="3" t="n">
        <v>0</v>
      </c>
      <c r="AX1050" s="3" t="n">
        <v>0</v>
      </c>
      <c r="AY1050" s="3" t="n">
        <v>0</v>
      </c>
      <c r="AZ1050" s="3" t="n">
        <v>0</v>
      </c>
      <c r="BA1050" s="3" t="n">
        <v>0</v>
      </c>
      <c r="BC1050" s="20" t="inlineStr">
        <is>
          <t>egy.mit.expsub.con.ind.coa.4</t>
        </is>
      </c>
      <c r="BD1050" s="3" t="n">
        <v>0</v>
      </c>
      <c r="BE1050" s="3" t="n">
        <v>0</v>
      </c>
      <c r="BF1050" s="3" t="n">
        <v>0</v>
      </c>
      <c r="BG1050" s="3" t="n">
        <v>0</v>
      </c>
      <c r="BH1050" s="3" t="n">
        <v>0</v>
      </c>
      <c r="BI1050" s="3" t="n">
        <v>0</v>
      </c>
      <c r="BJ1050" s="3" t="n">
        <v>0</v>
      </c>
      <c r="BK1050" s="3" t="n">
        <v>0</v>
      </c>
      <c r="BL1050" s="3" t="n">
        <v>0</v>
      </c>
      <c r="BM1050" s="3" t="n">
        <v>0</v>
      </c>
      <c r="BN1050" s="3" t="n">
        <v>0</v>
      </c>
      <c r="BO1050" s="3" t="n">
        <v>0</v>
      </c>
      <c r="BP1050" s="3" t="n">
        <v>0</v>
      </c>
      <c r="BQ1050" s="3" t="n">
        <v>0</v>
      </c>
      <c r="BR1050" s="3" t="n">
        <v>0</v>
      </c>
      <c r="BS1050" s="3" t="n">
        <v>0</v>
      </c>
      <c r="BT1050" s="3" t="n">
        <v>0</v>
      </c>
      <c r="BU1050" s="3" t="n">
        <v>0</v>
      </c>
      <c r="BV1050" s="3" t="n">
        <v>0</v>
      </c>
      <c r="BW1050" s="3" t="n">
        <v>0</v>
      </c>
      <c r="BY1050" s="20" t="inlineStr">
        <is>
          <t>egy.mit.expsub.con.ind.coa.5</t>
        </is>
      </c>
      <c r="BZ1050" s="3" t="n">
        <v>0</v>
      </c>
      <c r="CA1050" s="3" t="n">
        <v>0</v>
      </c>
      <c r="CB1050" s="3" t="n">
        <v>0</v>
      </c>
      <c r="CC1050" s="3" t="n">
        <v>0</v>
      </c>
      <c r="CD1050" s="3" t="n">
        <v>0</v>
      </c>
      <c r="CE1050" s="3" t="n">
        <v>0</v>
      </c>
      <c r="CF1050" s="3" t="n">
        <v>0</v>
      </c>
      <c r="CG1050" s="3" t="n">
        <v>0</v>
      </c>
      <c r="CH1050" s="3" t="n">
        <v>0</v>
      </c>
      <c r="CI1050" s="3" t="n">
        <v>0</v>
      </c>
      <c r="CJ1050" s="3" t="n">
        <v>0</v>
      </c>
      <c r="CK1050" s="3" t="n">
        <v>0</v>
      </c>
      <c r="CL1050" s="3" t="n">
        <v>0</v>
      </c>
      <c r="CM1050" s="3" t="n">
        <v>0</v>
      </c>
      <c r="CN1050" s="3" t="n">
        <v>0</v>
      </c>
      <c r="CO1050" s="3" t="n">
        <v>0</v>
      </c>
      <c r="CP1050" s="3" t="n">
        <v>0</v>
      </c>
      <c r="CQ1050" s="3" t="n">
        <v>0</v>
      </c>
      <c r="CR1050" s="3" t="n">
        <v>0</v>
      </c>
      <c r="CS1050" s="3" t="n">
        <v>0</v>
      </c>
      <c r="CU1050" s="20" t="inlineStr">
        <is>
          <t>egy.mit.expsub.con.ind.coa.6</t>
        </is>
      </c>
      <c r="CV1050" s="3" t="n">
        <v>0</v>
      </c>
      <c r="CW1050" s="3" t="n">
        <v>0</v>
      </c>
      <c r="CX1050" s="3" t="n">
        <v>0</v>
      </c>
      <c r="CY1050" s="3" t="n">
        <v>0</v>
      </c>
      <c r="CZ1050" s="3" t="n">
        <v>0</v>
      </c>
      <c r="DA1050" s="3" t="n">
        <v>0</v>
      </c>
      <c r="DB1050" s="3" t="n">
        <v>0</v>
      </c>
      <c r="DC1050" s="3" t="n">
        <v>0</v>
      </c>
      <c r="DD1050" s="3" t="n">
        <v>0</v>
      </c>
      <c r="DE1050" s="3" t="n">
        <v>0</v>
      </c>
      <c r="DF1050" s="3" t="n">
        <v>0</v>
      </c>
      <c r="DG1050" s="3" t="n">
        <v>0</v>
      </c>
      <c r="DH1050" s="3" t="n">
        <v>0</v>
      </c>
      <c r="DI1050" s="3" t="n">
        <v>0</v>
      </c>
      <c r="DJ1050" s="3" t="n">
        <v>0</v>
      </c>
      <c r="DK1050" s="3" t="n">
        <v>0</v>
      </c>
      <c r="DL1050" s="3" t="n">
        <v>0</v>
      </c>
      <c r="DM1050" s="3" t="n">
        <v>0</v>
      </c>
      <c r="DN1050" s="3" t="n">
        <v>0</v>
      </c>
      <c r="DO1050" s="3" t="n">
        <v>0</v>
      </c>
    </row>
    <row r="1051">
      <c r="A1051" s="19" t="inlineStr">
        <is>
          <t>mit.impsub.con.ind.coa</t>
        </is>
      </c>
      <c r="B1051" s="3" t="inlineStr">
        <is>
          <t>mit</t>
        </is>
      </c>
      <c r="C1051" s="19" t="inlineStr">
        <is>
          <t>mit.impsub.con.coa.ind</t>
        </is>
      </c>
      <c r="H1051" s="3" t="inlineStr">
        <is>
          <t>Implicit consumer subsidy | Industry | Coal</t>
        </is>
      </c>
      <c r="I1051" s="3" t="inlineStr">
        <is>
          <t>USD bn real</t>
        </is>
      </c>
      <c r="K1051" s="20" t="inlineStr">
        <is>
          <t>egy.mit.impsub.con.ind.coa.1</t>
        </is>
      </c>
      <c r="L1051" s="3" t="n">
        <v>0.4532993993238623</v>
      </c>
      <c r="M1051" s="3" t="n">
        <v>0.4426431677697333</v>
      </c>
      <c r="N1051" s="3" t="n">
        <v>0.5452939170004187</v>
      </c>
      <c r="O1051" s="3" t="n">
        <v>0.5714935454465684</v>
      </c>
      <c r="P1051" s="3" t="n">
        <v>0.5934212623282239</v>
      </c>
      <c r="Q1051" s="3" t="n">
        <v>0.6247940076383666</v>
      </c>
      <c r="R1051" s="3" t="n">
        <v>0.6731017518783414</v>
      </c>
      <c r="S1051" s="3" t="n">
        <v>0.7227742266156739</v>
      </c>
      <c r="T1051" s="3" t="n">
        <v>0.77338811447755</v>
      </c>
      <c r="U1051" s="3" t="n">
        <v>0.8201938997686657</v>
      </c>
      <c r="V1051" s="3" t="n">
        <v>0.8692983186226113</v>
      </c>
      <c r="W1051" s="3" t="n">
        <v>0.9209746748572246</v>
      </c>
      <c r="X1051" s="3" t="n">
        <v>0.9753348832319765</v>
      </c>
      <c r="Y1051" s="3" t="n">
        <v>1.032501671531019</v>
      </c>
      <c r="Z1051" s="3" t="n">
        <v>1.092593286347398</v>
      </c>
      <c r="AA1051" s="3" t="n">
        <v>1.155748295549487</v>
      </c>
      <c r="AB1051" s="3" t="n">
        <v>1.222083888790159</v>
      </c>
      <c r="AC1051" s="3" t="n">
        <v>1.291734002864693</v>
      </c>
      <c r="AD1051" s="3" t="n">
        <v>1.364836938504142</v>
      </c>
      <c r="AE1051" s="3" t="n">
        <v>1.432462713521867</v>
      </c>
      <c r="AG1051" s="20" t="inlineStr">
        <is>
          <t>egy.mit.impsub.con.ind.coa.3</t>
        </is>
      </c>
      <c r="AH1051" s="3" t="n">
        <v>0.4532993993238623</v>
      </c>
      <c r="AI1051" s="3" t="n">
        <v>0.4426431677697333</v>
      </c>
      <c r="AJ1051" s="3" t="n">
        <v>0.5452939170004187</v>
      </c>
      <c r="AK1051" s="3" t="n">
        <v>0.5714935454465684</v>
      </c>
      <c r="AL1051" s="3" t="n">
        <v>0.5934212623282239</v>
      </c>
      <c r="AM1051" s="3" t="n">
        <v>0.3998171508676234</v>
      </c>
      <c r="AN1051" s="3" t="n">
        <v>0.4376093595465958</v>
      </c>
      <c r="AO1051" s="3" t="n">
        <v>0.4767524447375868</v>
      </c>
      <c r="AP1051" s="3" t="n">
        <v>0.5163226638113639</v>
      </c>
      <c r="AQ1051" s="3" t="n">
        <v>0.5528992114222385</v>
      </c>
      <c r="AR1051" s="3" t="n">
        <v>0.5923152144537096</v>
      </c>
      <c r="AS1051" s="3" t="n">
        <v>0.6343102464609238</v>
      </c>
      <c r="AT1051" s="3" t="n">
        <v>0.6788369834172556</v>
      </c>
      <c r="AU1051" s="3" t="n">
        <v>0.7257417153120861</v>
      </c>
      <c r="AV1051" s="3" t="n">
        <v>0.775304747555007</v>
      </c>
      <c r="AW1051" s="3" t="n">
        <v>0.8277899068601868</v>
      </c>
      <c r="AX1051" s="3" t="n">
        <v>0.8828888220239839</v>
      </c>
      <c r="AY1051" s="3" t="n">
        <v>0.9407942526149913</v>
      </c>
      <c r="AZ1051" s="3" t="n">
        <v>1.00144022204822</v>
      </c>
      <c r="BA1051" s="3" t="n">
        <v>1.057241456343045</v>
      </c>
      <c r="BC1051" s="20" t="inlineStr">
        <is>
          <t>egy.mit.impsub.con.ind.coa.4</t>
        </is>
      </c>
      <c r="BD1051" s="3" t="n">
        <v>0.4532993993238623</v>
      </c>
      <c r="BE1051" s="3" t="n">
        <v>0.4426431677697333</v>
      </c>
      <c r="BF1051" s="3" t="n">
        <v>0.5452939170004187</v>
      </c>
      <c r="BG1051" s="3" t="n">
        <v>0.5714935454465684</v>
      </c>
      <c r="BH1051" s="3" t="n">
        <v>0.5934212623282239</v>
      </c>
      <c r="BI1051" s="3" t="n">
        <v>0.4954672583883684</v>
      </c>
      <c r="BJ1051" s="3" t="n">
        <v>0.3919664962295922</v>
      </c>
      <c r="BK1051" s="3" t="n">
        <v>0.3051365389180379</v>
      </c>
      <c r="BL1051" s="3" t="n">
        <v>0.2294516510057396</v>
      </c>
      <c r="BM1051" s="3" t="n">
        <v>0.1604258648238229</v>
      </c>
      <c r="BN1051" s="3" t="n">
        <v>0.09871490538364</v>
      </c>
      <c r="BO1051" s="3" t="n">
        <v>0.04168877853855377</v>
      </c>
      <c r="BP1051" s="3" t="n">
        <v>-0</v>
      </c>
      <c r="BQ1051" s="3" t="n">
        <v>-0</v>
      </c>
      <c r="BR1051" s="3" t="n">
        <v>-0</v>
      </c>
      <c r="BS1051" s="3" t="n">
        <v>-0</v>
      </c>
      <c r="BT1051" s="3" t="n">
        <v>-0</v>
      </c>
      <c r="BU1051" s="3" t="n">
        <v>-0</v>
      </c>
      <c r="BV1051" s="3" t="n">
        <v>-0</v>
      </c>
      <c r="BW1051" s="3" t="n">
        <v>-0</v>
      </c>
      <c r="BY1051" s="20" t="inlineStr">
        <is>
          <t>egy.mit.impsub.con.ind.coa.5</t>
        </is>
      </c>
      <c r="BZ1051" s="3" t="n">
        <v>0.4532993993238623</v>
      </c>
      <c r="CA1051" s="3" t="n">
        <v>0.4426431677697333</v>
      </c>
      <c r="CB1051" s="3" t="n">
        <v>0.5452939170004187</v>
      </c>
      <c r="CC1051" s="3" t="n">
        <v>0.5714935454465684</v>
      </c>
      <c r="CD1051" s="3" t="n">
        <v>0.5934212623282239</v>
      </c>
      <c r="CE1051" s="3" t="n">
        <v>0.5638300868509313</v>
      </c>
      <c r="CF1051" s="3" t="n">
        <v>0.5882372379056481</v>
      </c>
      <c r="CG1051" s="3" t="n">
        <v>0.6133035574488639</v>
      </c>
      <c r="CH1051" s="3" t="n">
        <v>0.6379671263503766</v>
      </c>
      <c r="CI1051" s="3" t="n">
        <v>0.6597310232883604</v>
      </c>
      <c r="CJ1051" s="3" t="n">
        <v>0.6832915795856332</v>
      </c>
      <c r="CK1051" s="3" t="n">
        <v>0.7085812903926345</v>
      </c>
      <c r="CL1051" s="3" t="n">
        <v>0.7354934402272258</v>
      </c>
      <c r="CM1051" s="3" t="n">
        <v>0.7638011025621723</v>
      </c>
      <c r="CN1051" s="3" t="n">
        <v>0.801372348360209</v>
      </c>
      <c r="CO1051" s="3" t="n">
        <v>0.8406602535911974</v>
      </c>
      <c r="CP1051" s="3" t="n">
        <v>0.8814357011556246</v>
      </c>
      <c r="CQ1051" s="3" t="n">
        <v>0.9238925080452932</v>
      </c>
      <c r="CR1051" s="3" t="n">
        <v>0.9678521856920976</v>
      </c>
      <c r="CS1051" s="3" t="n">
        <v>1.007224817888313</v>
      </c>
      <c r="CU1051" s="20" t="inlineStr">
        <is>
          <t>egy.mit.impsub.con.ind.coa.6</t>
        </is>
      </c>
      <c r="CV1051" s="3" t="n">
        <v>0.4532993993238623</v>
      </c>
      <c r="CW1051" s="3" t="n">
        <v>0.4426431677697333</v>
      </c>
      <c r="CX1051" s="3" t="n">
        <v>0.5452939170004187</v>
      </c>
      <c r="CY1051" s="3" t="n">
        <v>0.5714935454465684</v>
      </c>
      <c r="CZ1051" s="3" t="n">
        <v>0.5934212623282239</v>
      </c>
      <c r="DA1051" s="3" t="n">
        <v>0.1568777885638327</v>
      </c>
      <c r="DB1051" s="3" t="n">
        <v>0.1840852808737739</v>
      </c>
      <c r="DC1051" s="3" t="n">
        <v>0.2125732644833336</v>
      </c>
      <c r="DD1051" s="3" t="n">
        <v>0.2415476616697159</v>
      </c>
      <c r="DE1051" s="3" t="n">
        <v>0.2680046587993676</v>
      </c>
      <c r="DF1051" s="3" t="n">
        <v>0.2975879249255844</v>
      </c>
      <c r="DG1051" s="3" t="n">
        <v>0.3294594692734208</v>
      </c>
      <c r="DH1051" s="3" t="n">
        <v>0.3635151395802936</v>
      </c>
      <c r="DI1051" s="3" t="n">
        <v>0.3996013708801527</v>
      </c>
      <c r="DJ1051" s="3" t="n">
        <v>0.4379972557614709</v>
      </c>
      <c r="DK1051" s="3" t="n">
        <v>0.4789959389982937</v>
      </c>
      <c r="DL1051" s="3" t="n">
        <v>0.5221792152422565</v>
      </c>
      <c r="DM1051" s="3" t="n">
        <v>0.5677565311911705</v>
      </c>
      <c r="DN1051" s="3" t="n">
        <v>0.6155670875112169</v>
      </c>
      <c r="DO1051" s="3" t="n">
        <v>0.6592319601169321</v>
      </c>
    </row>
    <row r="1052">
      <c r="A1052" s="14" t="n"/>
      <c r="B1052" s="3" t="inlineStr">
        <is>
          <t>mit</t>
        </is>
      </c>
      <c r="C1052" s="19" t="inlineStr">
        <is>
          <t>mit.vatrate.res.coa.a</t>
        </is>
      </c>
      <c r="H1052" s="14" t="inlineStr">
        <is>
          <t>Coal, residential - VAT rate</t>
        </is>
      </c>
      <c r="I1052" s="14" t="inlineStr"/>
    </row>
    <row r="1053">
      <c r="A1053" s="19" t="inlineStr">
        <is>
          <t>mit.effprice.res.coa</t>
        </is>
      </c>
      <c r="B1053" s="3" t="inlineStr">
        <is>
          <t>mit</t>
        </is>
      </c>
      <c r="C1053" s="19" t="inlineStr">
        <is>
          <t>mit.effprice.coa.res</t>
        </is>
      </c>
      <c r="H1053" s="3" t="inlineStr">
        <is>
          <t>Energy subsidies: efficient price | Residential | Coal</t>
        </is>
      </c>
      <c r="I1053" s="3" t="inlineStr">
        <is>
          <t>USD/GJ, USD/kWh</t>
        </is>
      </c>
      <c r="K1053" s="20" t="inlineStr">
        <is>
          <t>egy.mit.effprice.res.coa.1</t>
        </is>
      </c>
      <c r="L1053" s="3" t="n">
        <v>29.38316194990936</v>
      </c>
      <c r="M1053" s="3" t="n">
        <v>21.48585068235284</v>
      </c>
      <c r="N1053" s="3" t="n">
        <v>20.9803812113669</v>
      </c>
      <c r="O1053" s="3" t="n">
        <v>20.05041702461497</v>
      </c>
      <c r="P1053" s="3" t="n">
        <v>20.97651908584855</v>
      </c>
      <c r="Q1053" s="3" t="n">
        <v>21.4056651356433</v>
      </c>
      <c r="R1053" s="3" t="n">
        <v>21.62802596146541</v>
      </c>
      <c r="S1053" s="3" t="n">
        <v>21.8570103720394</v>
      </c>
      <c r="T1053" s="3" t="n">
        <v>22.09287841112216</v>
      </c>
      <c r="U1053" s="3" t="n">
        <v>22.34421470041006</v>
      </c>
      <c r="V1053" s="3" t="n">
        <v>22.68638834521006</v>
      </c>
      <c r="W1053" s="3" t="n">
        <v>23.04224893580206</v>
      </c>
      <c r="X1053" s="3" t="n">
        <v>23.41234395001774</v>
      </c>
      <c r="Y1053" s="3" t="n">
        <v>23.79724276480205</v>
      </c>
      <c r="Z1053" s="3" t="n">
        <v>24.19753753217773</v>
      </c>
      <c r="AA1053" s="3" t="n">
        <v>24.61384409024843</v>
      </c>
      <c r="AB1053" s="3" t="n">
        <v>25.04680291064197</v>
      </c>
      <c r="AC1053" s="3" t="n">
        <v>25.49708008385125</v>
      </c>
      <c r="AD1053" s="3" t="n">
        <v>25.9653683439889</v>
      </c>
      <c r="AE1053" s="3" t="n">
        <v>26.45238813453205</v>
      </c>
      <c r="AG1053" s="20" t="inlineStr">
        <is>
          <t>egy.mit.effprice.res.coa.3</t>
        </is>
      </c>
      <c r="AH1053" s="3" t="n">
        <v>29.38316194990936</v>
      </c>
      <c r="AI1053" s="3" t="n">
        <v>21.48585068235284</v>
      </c>
      <c r="AJ1053" s="3" t="n">
        <v>20.9803812113669</v>
      </c>
      <c r="AK1053" s="3" t="n">
        <v>20.05041702461497</v>
      </c>
      <c r="AL1053" s="3" t="n">
        <v>20.97651908584855</v>
      </c>
      <c r="AM1053" s="3" t="n">
        <v>21.4056651356433</v>
      </c>
      <c r="AN1053" s="3" t="n">
        <v>21.62802596146541</v>
      </c>
      <c r="AO1053" s="3" t="n">
        <v>21.8570103720394</v>
      </c>
      <c r="AP1053" s="3" t="n">
        <v>22.09287841112216</v>
      </c>
      <c r="AQ1053" s="3" t="n">
        <v>22.34421470041006</v>
      </c>
      <c r="AR1053" s="3" t="n">
        <v>22.68638834521006</v>
      </c>
      <c r="AS1053" s="3" t="n">
        <v>23.04224893580206</v>
      </c>
      <c r="AT1053" s="3" t="n">
        <v>23.41234395001774</v>
      </c>
      <c r="AU1053" s="3" t="n">
        <v>23.79724276480205</v>
      </c>
      <c r="AV1053" s="3" t="n">
        <v>24.19753753217773</v>
      </c>
      <c r="AW1053" s="3" t="n">
        <v>24.61384409024843</v>
      </c>
      <c r="AX1053" s="3" t="n">
        <v>25.04680291064197</v>
      </c>
      <c r="AY1053" s="3" t="n">
        <v>25.49708008385125</v>
      </c>
      <c r="AZ1053" s="3" t="n">
        <v>25.9653683439889</v>
      </c>
      <c r="BA1053" s="3" t="n">
        <v>26.45238813453205</v>
      </c>
      <c r="BC1053" s="20" t="inlineStr">
        <is>
          <t>egy.mit.effprice.res.coa.4</t>
        </is>
      </c>
      <c r="BD1053" s="3" t="n">
        <v>29.38316194990936</v>
      </c>
      <c r="BE1053" s="3" t="n">
        <v>21.48585068235284</v>
      </c>
      <c r="BF1053" s="3" t="n">
        <v>20.9803812113669</v>
      </c>
      <c r="BG1053" s="3" t="n">
        <v>20.05041702461497</v>
      </c>
      <c r="BH1053" s="3" t="n">
        <v>20.97651908584855</v>
      </c>
      <c r="BI1053" s="3" t="n">
        <v>21.4056651356433</v>
      </c>
      <c r="BJ1053" s="3" t="n">
        <v>21.62802596146541</v>
      </c>
      <c r="BK1053" s="3" t="n">
        <v>21.8570103720394</v>
      </c>
      <c r="BL1053" s="3" t="n">
        <v>22.09287841112216</v>
      </c>
      <c r="BM1053" s="3" t="n">
        <v>22.34421470041006</v>
      </c>
      <c r="BN1053" s="3" t="n">
        <v>22.68638834521006</v>
      </c>
      <c r="BO1053" s="3" t="n">
        <v>23.04224893580206</v>
      </c>
      <c r="BP1053" s="3" t="n">
        <v>23.41234395001774</v>
      </c>
      <c r="BQ1053" s="3" t="n">
        <v>23.79724276480205</v>
      </c>
      <c r="BR1053" s="3" t="n">
        <v>24.19753753217773</v>
      </c>
      <c r="BS1053" s="3" t="n">
        <v>24.61384409024843</v>
      </c>
      <c r="BT1053" s="3" t="n">
        <v>25.04680291064197</v>
      </c>
      <c r="BU1053" s="3" t="n">
        <v>25.49708008385125</v>
      </c>
      <c r="BV1053" s="3" t="n">
        <v>25.9653683439889</v>
      </c>
      <c r="BW1053" s="3" t="n">
        <v>26.45238813453205</v>
      </c>
      <c r="BY1053" s="20" t="inlineStr">
        <is>
          <t>egy.mit.effprice.res.coa.5</t>
        </is>
      </c>
      <c r="BZ1053" s="3" t="n">
        <v>29.38316194990936</v>
      </c>
      <c r="CA1053" s="3" t="n">
        <v>21.48585068235284</v>
      </c>
      <c r="CB1053" s="3" t="n">
        <v>20.9803812113669</v>
      </c>
      <c r="CC1053" s="3" t="n">
        <v>20.05041702461497</v>
      </c>
      <c r="CD1053" s="3" t="n">
        <v>20.97651908584855</v>
      </c>
      <c r="CE1053" s="3" t="n">
        <v>21.4056651356433</v>
      </c>
      <c r="CF1053" s="3" t="n">
        <v>21.62802596146541</v>
      </c>
      <c r="CG1053" s="3" t="n">
        <v>21.8570103720394</v>
      </c>
      <c r="CH1053" s="3" t="n">
        <v>22.09287841112216</v>
      </c>
      <c r="CI1053" s="3" t="n">
        <v>22.34421470041006</v>
      </c>
      <c r="CJ1053" s="3" t="n">
        <v>22.68638834521006</v>
      </c>
      <c r="CK1053" s="3" t="n">
        <v>23.04224893580206</v>
      </c>
      <c r="CL1053" s="3" t="n">
        <v>23.41234395001774</v>
      </c>
      <c r="CM1053" s="3" t="n">
        <v>23.79724276480205</v>
      </c>
      <c r="CN1053" s="3" t="n">
        <v>24.19753753217773</v>
      </c>
      <c r="CO1053" s="3" t="n">
        <v>24.61384409024843</v>
      </c>
      <c r="CP1053" s="3" t="n">
        <v>25.04680291064197</v>
      </c>
      <c r="CQ1053" s="3" t="n">
        <v>25.49708008385125</v>
      </c>
      <c r="CR1053" s="3" t="n">
        <v>25.9653683439889</v>
      </c>
      <c r="CS1053" s="3" t="n">
        <v>26.45238813453205</v>
      </c>
      <c r="CU1053" s="20" t="inlineStr">
        <is>
          <t>egy.mit.effprice.res.coa.6</t>
        </is>
      </c>
      <c r="CV1053" s="3" t="n">
        <v>29.38316194990936</v>
      </c>
      <c r="CW1053" s="3" t="n">
        <v>21.48585068235284</v>
      </c>
      <c r="CX1053" s="3" t="n">
        <v>20.9803812113669</v>
      </c>
      <c r="CY1053" s="3" t="n">
        <v>20.05041702461497</v>
      </c>
      <c r="CZ1053" s="3" t="n">
        <v>20.97651908584855</v>
      </c>
      <c r="DA1053" s="3" t="n">
        <v>21.4056651356433</v>
      </c>
      <c r="DB1053" s="3" t="n">
        <v>21.62802596146541</v>
      </c>
      <c r="DC1053" s="3" t="n">
        <v>21.8570103720394</v>
      </c>
      <c r="DD1053" s="3" t="n">
        <v>22.09287841112216</v>
      </c>
      <c r="DE1053" s="3" t="n">
        <v>22.34421470041006</v>
      </c>
      <c r="DF1053" s="3" t="n">
        <v>22.68638834521006</v>
      </c>
      <c r="DG1053" s="3" t="n">
        <v>23.04224893580206</v>
      </c>
      <c r="DH1053" s="3" t="n">
        <v>23.41234395001774</v>
      </c>
      <c r="DI1053" s="3" t="n">
        <v>23.79724276480205</v>
      </c>
      <c r="DJ1053" s="3" t="n">
        <v>24.19753753217773</v>
      </c>
      <c r="DK1053" s="3" t="n">
        <v>24.61384409024843</v>
      </c>
      <c r="DL1053" s="3" t="n">
        <v>25.04680291064197</v>
      </c>
      <c r="DM1053" s="3" t="n">
        <v>25.49708008385125</v>
      </c>
      <c r="DN1053" s="3" t="n">
        <v>25.9653683439889</v>
      </c>
      <c r="DO1053" s="3" t="n">
        <v>26.45238813453205</v>
      </c>
    </row>
    <row r="1054">
      <c r="A1054" s="19" t="inlineStr">
        <is>
          <t>mit.con.res.coa</t>
        </is>
      </c>
      <c r="B1054" s="3" t="inlineStr">
        <is>
          <t>mit</t>
        </is>
      </c>
      <c r="C1054" s="19" t="inlineStr">
        <is>
          <t>mit.con.coa.res</t>
        </is>
      </c>
      <c r="H1054" s="3" t="inlineStr">
        <is>
          <t>Energy subsidies: consumption of the line | Residential | Coal</t>
        </is>
      </c>
      <c r="I1054" s="3" t="inlineStr">
        <is>
          <t>PJ, GWh</t>
        </is>
      </c>
      <c r="K1054" s="20" t="inlineStr">
        <is>
          <t>egy.mit.con.res.coa.1</t>
        </is>
      </c>
      <c r="L1054" s="3" t="n">
        <v>0.06886812534279078</v>
      </c>
      <c r="M1054" s="3" t="n">
        <v>0.07022730745082585</v>
      </c>
      <c r="N1054" s="3" t="n">
        <v>0.07995344755088719</v>
      </c>
      <c r="O1054" s="3" t="n">
        <v>0.08484274471107553</v>
      </c>
      <c r="P1054" s="3" t="n">
        <v>0.0832572966839298</v>
      </c>
      <c r="Q1054" s="3" t="n">
        <v>0.08363701637013859</v>
      </c>
      <c r="R1054" s="3" t="n">
        <v>0.08493778805846344</v>
      </c>
      <c r="S1054" s="3" t="n">
        <v>0.08618826984280623</v>
      </c>
      <c r="T1054" s="3" t="n">
        <v>0.08737079401310117</v>
      </c>
      <c r="U1054" s="3" t="n">
        <v>0.08854024838263873</v>
      </c>
      <c r="V1054" s="3" t="n">
        <v>0.08941726360663044</v>
      </c>
      <c r="W1054" s="3" t="n">
        <v>0.09028675301521409</v>
      </c>
      <c r="X1054" s="3" t="n">
        <v>0.09114859690315509</v>
      </c>
      <c r="Y1054" s="3" t="n">
        <v>0.09200268122516048</v>
      </c>
      <c r="Z1054" s="3" t="n">
        <v>0.09284889710336795</v>
      </c>
      <c r="AA1054" s="3" t="n">
        <v>0.09368714033683941</v>
      </c>
      <c r="AB1054" s="3" t="n">
        <v>0.09451731091384764</v>
      </c>
      <c r="AC1054" s="3" t="n">
        <v>0.09533931252760616</v>
      </c>
      <c r="AD1054" s="3" t="n">
        <v>0.09615305209596087</v>
      </c>
      <c r="AE1054" s="3" t="n">
        <v>0.09695843928544517</v>
      </c>
      <c r="AG1054" s="20" t="inlineStr">
        <is>
          <t>egy.mit.con.res.coa.3</t>
        </is>
      </c>
      <c r="AH1054" s="3" t="n">
        <v>0.06886812534279078</v>
      </c>
      <c r="AI1054" s="3" t="n">
        <v>0.07022730745082585</v>
      </c>
      <c r="AJ1054" s="3" t="n">
        <v>0.07995344755088719</v>
      </c>
      <c r="AK1054" s="3" t="n">
        <v>0.08484274471107553</v>
      </c>
      <c r="AL1054" s="3" t="n">
        <v>0.0832572966839298</v>
      </c>
      <c r="AM1054" s="3" t="n">
        <v>0.0770532984985471</v>
      </c>
      <c r="AN1054" s="3" t="n">
        <v>0.07822177402042006</v>
      </c>
      <c r="AO1054" s="3" t="n">
        <v>0.07935436584428956</v>
      </c>
      <c r="AP1054" s="3" t="n">
        <v>0.08037567698264739</v>
      </c>
      <c r="AQ1054" s="3" t="n">
        <v>0.08142143372328985</v>
      </c>
      <c r="AR1054" s="3" t="n">
        <v>0.08221517010243921</v>
      </c>
      <c r="AS1054" s="3" t="n">
        <v>0.08303150824807687</v>
      </c>
      <c r="AT1054" s="3" t="n">
        <v>0.08385469507278857</v>
      </c>
      <c r="AU1054" s="3" t="n">
        <v>0.08466392462687752</v>
      </c>
      <c r="AV1054" s="3" t="n">
        <v>0.08547170740271774</v>
      </c>
      <c r="AW1054" s="3" t="n">
        <v>0.08628576762825543</v>
      </c>
      <c r="AX1054" s="3" t="n">
        <v>0.08707929798899676</v>
      </c>
      <c r="AY1054" s="3" t="n">
        <v>0.08785824986339924</v>
      </c>
      <c r="AZ1054" s="3" t="n">
        <v>0.08861353047018461</v>
      </c>
      <c r="BA1054" s="3" t="n">
        <v>0.08935657466448593</v>
      </c>
      <c r="BC1054" s="20" t="inlineStr">
        <is>
          <t>egy.mit.con.res.coa.4</t>
        </is>
      </c>
      <c r="BD1054" s="3" t="n">
        <v>0.06886812534279078</v>
      </c>
      <c r="BE1054" s="3" t="n">
        <v>0.07022730745082585</v>
      </c>
      <c r="BF1054" s="3" t="n">
        <v>0.07995344755088719</v>
      </c>
      <c r="BG1054" s="3" t="n">
        <v>0.08484274471107553</v>
      </c>
      <c r="BH1054" s="3" t="n">
        <v>0.0832572966839298</v>
      </c>
      <c r="BI1054" s="3" t="n">
        <v>0.08016157573993171</v>
      </c>
      <c r="BJ1054" s="3" t="n">
        <v>0.07723779576377869</v>
      </c>
      <c r="BK1054" s="3" t="n">
        <v>0.07465503219873158</v>
      </c>
      <c r="BL1054" s="3" t="n">
        <v>0.07230604677340033</v>
      </c>
      <c r="BM1054" s="3" t="n">
        <v>0.07021025021630685</v>
      </c>
      <c r="BN1054" s="3" t="n">
        <v>0.06818806392129481</v>
      </c>
      <c r="BO1054" s="3" t="n">
        <v>0.06638407551003228</v>
      </c>
      <c r="BP1054" s="3" t="n">
        <v>0.06477200642095286</v>
      </c>
      <c r="BQ1054" s="3" t="n">
        <v>0.06331948861575519</v>
      </c>
      <c r="BR1054" s="3" t="n">
        <v>0.06200426303770133</v>
      </c>
      <c r="BS1054" s="3" t="n">
        <v>0.06081227592810777</v>
      </c>
      <c r="BT1054" s="3" t="n">
        <v>0.05972286811394969</v>
      </c>
      <c r="BU1054" s="3" t="n">
        <v>0.05872035491303935</v>
      </c>
      <c r="BV1054" s="3" t="n">
        <v>0.05778709049957322</v>
      </c>
      <c r="BW1054" s="3" t="n">
        <v>0.05691341293234707</v>
      </c>
      <c r="BY1054" s="20" t="inlineStr">
        <is>
          <t>egy.mit.con.res.coa.5</t>
        </is>
      </c>
      <c r="BZ1054" s="3" t="n">
        <v>0.06886812534279078</v>
      </c>
      <c r="CA1054" s="3" t="n">
        <v>0.07022730745082585</v>
      </c>
      <c r="CB1054" s="3" t="n">
        <v>0.07995344755088719</v>
      </c>
      <c r="CC1054" s="3" t="n">
        <v>0.08484274471107553</v>
      </c>
      <c r="CD1054" s="3" t="n">
        <v>0.0832572966839298</v>
      </c>
      <c r="CE1054" s="3" t="n">
        <v>0.07561776721447536</v>
      </c>
      <c r="CF1054" s="3" t="n">
        <v>0.07675829218248878</v>
      </c>
      <c r="CG1054" s="3" t="n">
        <v>0.07786092054174189</v>
      </c>
      <c r="CH1054" s="3" t="n">
        <v>0.07885751187058895</v>
      </c>
      <c r="CI1054" s="3" t="n">
        <v>0.07988233600700931</v>
      </c>
      <c r="CJ1054" s="3" t="n">
        <v>0.08065950938024717</v>
      </c>
      <c r="CK1054" s="3" t="n">
        <v>0.08146244519549635</v>
      </c>
      <c r="CL1054" s="3" t="n">
        <v>0.08225992560677731</v>
      </c>
      <c r="CM1054" s="3" t="n">
        <v>0.08304596104758072</v>
      </c>
      <c r="CN1054" s="3" t="n">
        <v>0.08383039996505812</v>
      </c>
      <c r="CO1054" s="3" t="n">
        <v>0.08461765688615558</v>
      </c>
      <c r="CP1054" s="3" t="n">
        <v>0.08538584095895421</v>
      </c>
      <c r="CQ1054" s="3" t="n">
        <v>0.08614404872825239</v>
      </c>
      <c r="CR1054" s="3" t="n">
        <v>0.08688237507796495</v>
      </c>
      <c r="CS1054" s="3" t="n">
        <v>0.08761461384025132</v>
      </c>
      <c r="CU1054" s="20" t="inlineStr">
        <is>
          <t>egy.mit.con.res.coa.6</t>
        </is>
      </c>
      <c r="CV1054" s="3" t="n">
        <v>0.06886812534279078</v>
      </c>
      <c r="CW1054" s="3" t="n">
        <v>0.07022730745082585</v>
      </c>
      <c r="CX1054" s="3" t="n">
        <v>0.07995344755088719</v>
      </c>
      <c r="CY1054" s="3" t="n">
        <v>0.08484274471107553</v>
      </c>
      <c r="CZ1054" s="3" t="n">
        <v>0.0832572966839298</v>
      </c>
      <c r="DA1054" s="3" t="n">
        <v>0.0693972092842655</v>
      </c>
      <c r="DB1054" s="3" t="n">
        <v>0.07042033339776563</v>
      </c>
      <c r="DC1054" s="3" t="n">
        <v>0.07142208765074781</v>
      </c>
      <c r="DD1054" s="3" t="n">
        <v>0.07227300060873164</v>
      </c>
      <c r="DE1054" s="3" t="n">
        <v>0.07318721642851438</v>
      </c>
      <c r="DF1054" s="3" t="n">
        <v>0.07388552202031974</v>
      </c>
      <c r="DG1054" s="3" t="n">
        <v>0.07463842756530299</v>
      </c>
      <c r="DH1054" s="3" t="n">
        <v>0.0754073739020981</v>
      </c>
      <c r="DI1054" s="3" t="n">
        <v>0.0761583444411216</v>
      </c>
      <c r="DJ1054" s="3" t="n">
        <v>0.07691341289284809</v>
      </c>
      <c r="DK1054" s="3" t="n">
        <v>0.07768802887720959</v>
      </c>
      <c r="DL1054" s="3" t="n">
        <v>0.07843012381727414</v>
      </c>
      <c r="DM1054" s="3" t="n">
        <v>0.07915351459266422</v>
      </c>
      <c r="DN1054" s="3" t="n">
        <v>0.07983951985938322</v>
      </c>
      <c r="DO1054" s="3" t="n">
        <v>0.0805109978774068</v>
      </c>
    </row>
    <row r="1055">
      <c r="A1055" s="19" t="inlineStr">
        <is>
          <t>mit.expsub.con.res.coa</t>
        </is>
      </c>
      <c r="B1055" s="3" t="inlineStr">
        <is>
          <t>mit</t>
        </is>
      </c>
      <c r="C1055" s="19" t="inlineStr">
        <is>
          <t>mit.expsub.con.coa.res</t>
        </is>
      </c>
      <c r="H1055" s="3" t="inlineStr">
        <is>
          <t>Explicit consumer subsidy | Residential | Coal</t>
        </is>
      </c>
      <c r="I1055" s="3" t="inlineStr">
        <is>
          <t>USD bn real</t>
        </is>
      </c>
      <c r="K1055" s="20" t="inlineStr">
        <is>
          <t>egy.mit.expsub.con.res.coa.1</t>
        </is>
      </c>
      <c r="L1055" s="3" t="n">
        <v>0</v>
      </c>
      <c r="M1055" s="3" t="n">
        <v>0</v>
      </c>
      <c r="N1055" s="3" t="n">
        <v>0</v>
      </c>
      <c r="O1055" s="3" t="n">
        <v>0</v>
      </c>
      <c r="P1055" s="3" t="n">
        <v>0</v>
      </c>
      <c r="Q1055" s="3" t="n">
        <v>0</v>
      </c>
      <c r="R1055" s="3" t="n">
        <v>0</v>
      </c>
      <c r="S1055" s="3" t="n">
        <v>0</v>
      </c>
      <c r="T1055" s="3" t="n">
        <v>0</v>
      </c>
      <c r="U1055" s="3" t="n">
        <v>0</v>
      </c>
      <c r="V1055" s="3" t="n">
        <v>0</v>
      </c>
      <c r="W1055" s="3" t="n">
        <v>0</v>
      </c>
      <c r="X1055" s="3" t="n">
        <v>0</v>
      </c>
      <c r="Y1055" s="3" t="n">
        <v>0</v>
      </c>
      <c r="Z1055" s="3" t="n">
        <v>0</v>
      </c>
      <c r="AA1055" s="3" t="n">
        <v>0</v>
      </c>
      <c r="AB1055" s="3" t="n">
        <v>0</v>
      </c>
      <c r="AC1055" s="3" t="n">
        <v>0</v>
      </c>
      <c r="AD1055" s="3" t="n">
        <v>0</v>
      </c>
      <c r="AE1055" s="3" t="n">
        <v>0</v>
      </c>
      <c r="AG1055" s="20" t="inlineStr">
        <is>
          <t>egy.mit.expsub.con.res.coa.3</t>
        </is>
      </c>
      <c r="AH1055" s="3" t="n">
        <v>0</v>
      </c>
      <c r="AI1055" s="3" t="n">
        <v>0</v>
      </c>
      <c r="AJ1055" s="3" t="n">
        <v>0</v>
      </c>
      <c r="AK1055" s="3" t="n">
        <v>0</v>
      </c>
      <c r="AL1055" s="3" t="n">
        <v>0</v>
      </c>
      <c r="AM1055" s="3" t="n">
        <v>0</v>
      </c>
      <c r="AN1055" s="3" t="n">
        <v>0</v>
      </c>
      <c r="AO1055" s="3" t="n">
        <v>0</v>
      </c>
      <c r="AP1055" s="3" t="n">
        <v>0</v>
      </c>
      <c r="AQ1055" s="3" t="n">
        <v>0</v>
      </c>
      <c r="AR1055" s="3" t="n">
        <v>0</v>
      </c>
      <c r="AS1055" s="3" t="n">
        <v>0</v>
      </c>
      <c r="AT1055" s="3" t="n">
        <v>0</v>
      </c>
      <c r="AU1055" s="3" t="n">
        <v>0</v>
      </c>
      <c r="AV1055" s="3" t="n">
        <v>0</v>
      </c>
      <c r="AW1055" s="3" t="n">
        <v>0</v>
      </c>
      <c r="AX1055" s="3" t="n">
        <v>0</v>
      </c>
      <c r="AY1055" s="3" t="n">
        <v>0</v>
      </c>
      <c r="AZ1055" s="3" t="n">
        <v>0</v>
      </c>
      <c r="BA1055" s="3" t="n">
        <v>0</v>
      </c>
      <c r="BC1055" s="20" t="inlineStr">
        <is>
          <t>egy.mit.expsub.con.res.coa.4</t>
        </is>
      </c>
      <c r="BD1055" s="3" t="n">
        <v>0</v>
      </c>
      <c r="BE1055" s="3" t="n">
        <v>0</v>
      </c>
      <c r="BF1055" s="3" t="n">
        <v>0</v>
      </c>
      <c r="BG1055" s="3" t="n">
        <v>0</v>
      </c>
      <c r="BH1055" s="3" t="n">
        <v>0</v>
      </c>
      <c r="BI1055" s="3" t="n">
        <v>0</v>
      </c>
      <c r="BJ1055" s="3" t="n">
        <v>0</v>
      </c>
      <c r="BK1055" s="3" t="n">
        <v>0</v>
      </c>
      <c r="BL1055" s="3" t="n">
        <v>0</v>
      </c>
      <c r="BM1055" s="3" t="n">
        <v>0</v>
      </c>
      <c r="BN1055" s="3" t="n">
        <v>0</v>
      </c>
      <c r="BO1055" s="3" t="n">
        <v>0</v>
      </c>
      <c r="BP1055" s="3" t="n">
        <v>0</v>
      </c>
      <c r="BQ1055" s="3" t="n">
        <v>0</v>
      </c>
      <c r="BR1055" s="3" t="n">
        <v>0</v>
      </c>
      <c r="BS1055" s="3" t="n">
        <v>0</v>
      </c>
      <c r="BT1055" s="3" t="n">
        <v>0</v>
      </c>
      <c r="BU1055" s="3" t="n">
        <v>0</v>
      </c>
      <c r="BV1055" s="3" t="n">
        <v>0</v>
      </c>
      <c r="BW1055" s="3" t="n">
        <v>0</v>
      </c>
      <c r="BY1055" s="20" t="inlineStr">
        <is>
          <t>egy.mit.expsub.con.res.coa.5</t>
        </is>
      </c>
      <c r="BZ1055" s="3" t="n">
        <v>0</v>
      </c>
      <c r="CA1055" s="3" t="n">
        <v>0</v>
      </c>
      <c r="CB1055" s="3" t="n">
        <v>0</v>
      </c>
      <c r="CC1055" s="3" t="n">
        <v>0</v>
      </c>
      <c r="CD1055" s="3" t="n">
        <v>0</v>
      </c>
      <c r="CE1055" s="3" t="n">
        <v>0</v>
      </c>
      <c r="CF1055" s="3" t="n">
        <v>0</v>
      </c>
      <c r="CG1055" s="3" t="n">
        <v>0</v>
      </c>
      <c r="CH1055" s="3" t="n">
        <v>0</v>
      </c>
      <c r="CI1055" s="3" t="n">
        <v>0</v>
      </c>
      <c r="CJ1055" s="3" t="n">
        <v>0</v>
      </c>
      <c r="CK1055" s="3" t="n">
        <v>0</v>
      </c>
      <c r="CL1055" s="3" t="n">
        <v>0</v>
      </c>
      <c r="CM1055" s="3" t="n">
        <v>0</v>
      </c>
      <c r="CN1055" s="3" t="n">
        <v>0</v>
      </c>
      <c r="CO1055" s="3" t="n">
        <v>0</v>
      </c>
      <c r="CP1055" s="3" t="n">
        <v>0</v>
      </c>
      <c r="CQ1055" s="3" t="n">
        <v>0</v>
      </c>
      <c r="CR1055" s="3" t="n">
        <v>0</v>
      </c>
      <c r="CS1055" s="3" t="n">
        <v>0</v>
      </c>
      <c r="CU1055" s="20" t="inlineStr">
        <is>
          <t>egy.mit.expsub.con.res.coa.6</t>
        </is>
      </c>
      <c r="CV1055" s="3" t="n">
        <v>0</v>
      </c>
      <c r="CW1055" s="3" t="n">
        <v>0</v>
      </c>
      <c r="CX1055" s="3" t="n">
        <v>0</v>
      </c>
      <c r="CY1055" s="3" t="n">
        <v>0</v>
      </c>
      <c r="CZ1055" s="3" t="n">
        <v>0</v>
      </c>
      <c r="DA1055" s="3" t="n">
        <v>0</v>
      </c>
      <c r="DB1055" s="3" t="n">
        <v>0</v>
      </c>
      <c r="DC1055" s="3" t="n">
        <v>0</v>
      </c>
      <c r="DD1055" s="3" t="n">
        <v>0</v>
      </c>
      <c r="DE1055" s="3" t="n">
        <v>0</v>
      </c>
      <c r="DF1055" s="3" t="n">
        <v>0</v>
      </c>
      <c r="DG1055" s="3" t="n">
        <v>0</v>
      </c>
      <c r="DH1055" s="3" t="n">
        <v>0</v>
      </c>
      <c r="DI1055" s="3" t="n">
        <v>0</v>
      </c>
      <c r="DJ1055" s="3" t="n">
        <v>0</v>
      </c>
      <c r="DK1055" s="3" t="n">
        <v>0</v>
      </c>
      <c r="DL1055" s="3" t="n">
        <v>0</v>
      </c>
      <c r="DM1055" s="3" t="n">
        <v>0</v>
      </c>
      <c r="DN1055" s="3" t="n">
        <v>0</v>
      </c>
      <c r="DO1055" s="3" t="n">
        <v>0</v>
      </c>
    </row>
    <row r="1056">
      <c r="A1056" s="19" t="inlineStr">
        <is>
          <t>mit.impsub.con.res.coa</t>
        </is>
      </c>
      <c r="B1056" s="3" t="inlineStr">
        <is>
          <t>mit</t>
        </is>
      </c>
      <c r="C1056" s="19" t="inlineStr">
        <is>
          <t>mit.impsub.con.coa.res</t>
        </is>
      </c>
      <c r="H1056" s="3" t="inlineStr">
        <is>
          <t>Implicit consumer subsidy | Residential | Coal</t>
        </is>
      </c>
      <c r="I1056" s="3" t="inlineStr">
        <is>
          <t>USD bn real</t>
        </is>
      </c>
      <c r="K1056" s="20" t="inlineStr">
        <is>
          <t>egy.mit.impsub.con.res.coa.1</t>
        </is>
      </c>
      <c r="L1056" s="3" t="n">
        <v>0.0003998884410245029</v>
      </c>
      <c r="M1056" s="3" t="n">
        <v>0.000423672754200323</v>
      </c>
      <c r="N1056" s="3" t="n">
        <v>0.0005194699079003033</v>
      </c>
      <c r="O1056" s="3" t="n">
        <v>0.0005732975642805248</v>
      </c>
      <c r="P1056" s="3" t="n">
        <v>0.000585099247028557</v>
      </c>
      <c r="Q1056" s="3" t="n">
        <v>0.0006112899908402292</v>
      </c>
      <c r="R1056" s="3" t="n">
        <v>0.0006456407076375868</v>
      </c>
      <c r="S1056" s="3" t="n">
        <v>0.0006813637471548944</v>
      </c>
      <c r="T1056" s="3" t="n">
        <v>0.0007183527414968451</v>
      </c>
      <c r="U1056" s="3" t="n">
        <v>0.0007570987658182773</v>
      </c>
      <c r="V1056" s="3" t="n">
        <v>0.0007951942658568384</v>
      </c>
      <c r="W1056" s="3" t="n">
        <v>0.0008350561960185278</v>
      </c>
      <c r="X1056" s="3" t="n">
        <v>0.0008767609742968407</v>
      </c>
      <c r="Y1056" s="3" t="n">
        <v>0.0009203881589072066</v>
      </c>
      <c r="Z1056" s="3" t="n">
        <v>0.0009660205689255611</v>
      </c>
      <c r="AA1056" s="3" t="n">
        <v>0.001013744408825645</v>
      </c>
      <c r="AB1056" s="3" t="n">
        <v>0.001063649396979498</v>
      </c>
      <c r="AC1056" s="3" t="n">
        <v>0.001115828898180161</v>
      </c>
      <c r="AD1056" s="3" t="n">
        <v>0.001170380060239256</v>
      </c>
      <c r="AE1056" s="3" t="n">
        <v>0.001227403954704764</v>
      </c>
      <c r="AG1056" s="20" t="inlineStr">
        <is>
          <t>egy.mit.impsub.con.res.coa.3</t>
        </is>
      </c>
      <c r="AH1056" s="3" t="n">
        <v>0.0003998884410245029</v>
      </c>
      <c r="AI1056" s="3" t="n">
        <v>0.000423672754200323</v>
      </c>
      <c r="AJ1056" s="3" t="n">
        <v>0.0005194699079003033</v>
      </c>
      <c r="AK1056" s="3" t="n">
        <v>0.0005732975642805248</v>
      </c>
      <c r="AL1056" s="3" t="n">
        <v>0.000585099247028557</v>
      </c>
      <c r="AM1056" s="3" t="n">
        <v>0.0003982417494329442</v>
      </c>
      <c r="AN1056" s="3" t="n">
        <v>0.0004271600917847841</v>
      </c>
      <c r="AO1056" s="3" t="n">
        <v>0.0004574839389492138</v>
      </c>
      <c r="AP1056" s="3" t="n">
        <v>0.0004887994253852766</v>
      </c>
      <c r="AQ1056" s="3" t="n">
        <v>0.0005219478465862014</v>
      </c>
      <c r="AR1056" s="3" t="n">
        <v>0.0005551679165835528</v>
      </c>
      <c r="AS1056" s="3" t="n">
        <v>0.0005902279805738109</v>
      </c>
      <c r="AT1056" s="3" t="n">
        <v>0.0006271137938526277</v>
      </c>
      <c r="AU1056" s="3" t="n">
        <v>0.0006657527236268441</v>
      </c>
      <c r="AV1056" s="3" t="n">
        <v>0.0007063185811796511</v>
      </c>
      <c r="AW1056" s="3" t="n">
        <v>0.0007489671190547742</v>
      </c>
      <c r="AX1056" s="3" t="n">
        <v>0.0007935567739365626</v>
      </c>
      <c r="AY1056" s="3" t="n">
        <v>0.0008402159547706298</v>
      </c>
      <c r="AZ1056" s="3" t="n">
        <v>0.0008889356157252201</v>
      </c>
      <c r="BA1056" s="3" t="n">
        <v>0.0009399079591767689</v>
      </c>
      <c r="BC1056" s="20" t="inlineStr">
        <is>
          <t>egy.mit.impsub.con.res.coa.4</t>
        </is>
      </c>
      <c r="BD1056" s="3" t="n">
        <v>0.0003998884410245029</v>
      </c>
      <c r="BE1056" s="3" t="n">
        <v>0.000423672754200323</v>
      </c>
      <c r="BF1056" s="3" t="n">
        <v>0.0005194699079003033</v>
      </c>
      <c r="BG1056" s="3" t="n">
        <v>0.0005732975642805248</v>
      </c>
      <c r="BH1056" s="3" t="n">
        <v>0.000585099247028557</v>
      </c>
      <c r="BI1056" s="3" t="n">
        <v>0.0005000975412487532</v>
      </c>
      <c r="BJ1056" s="3" t="n">
        <v>0.0003942327373918632</v>
      </c>
      <c r="BK1056" s="3" t="n">
        <v>0.0002972290119025227</v>
      </c>
      <c r="BL1056" s="3" t="n">
        <v>0.0002075730899817914</v>
      </c>
      <c r="BM1056" s="3" t="n">
        <v>0.0001244688920760283</v>
      </c>
      <c r="BN1056" s="3" t="n">
        <v>4.691394000624785e-05</v>
      </c>
      <c r="BO1056" s="3" t="n">
        <v>-0</v>
      </c>
      <c r="BP1056" s="3" t="n">
        <v>-0</v>
      </c>
      <c r="BQ1056" s="3" t="n">
        <v>-0</v>
      </c>
      <c r="BR1056" s="3" t="n">
        <v>-0</v>
      </c>
      <c r="BS1056" s="3" t="n">
        <v>-0</v>
      </c>
      <c r="BT1056" s="3" t="n">
        <v>-0</v>
      </c>
      <c r="BU1056" s="3" t="n">
        <v>-0</v>
      </c>
      <c r="BV1056" s="3" t="n">
        <v>-0</v>
      </c>
      <c r="BW1056" s="3" t="n">
        <v>-0</v>
      </c>
      <c r="BY1056" s="20" t="inlineStr">
        <is>
          <t>egy.mit.impsub.con.res.coa.5</t>
        </is>
      </c>
      <c r="BZ1056" s="3" t="n">
        <v>0.0003998884410245029</v>
      </c>
      <c r="CA1056" s="3" t="n">
        <v>0.000423672754200323</v>
      </c>
      <c r="CB1056" s="3" t="n">
        <v>0.0005194699079003033</v>
      </c>
      <c r="CC1056" s="3" t="n">
        <v>0.0005732975642805248</v>
      </c>
      <c r="CD1056" s="3" t="n">
        <v>0.000585099247028557</v>
      </c>
      <c r="CE1056" s="3" t="n">
        <v>0.0003503583136158182</v>
      </c>
      <c r="CF1056" s="3" t="n">
        <v>0.0003780938308988328</v>
      </c>
      <c r="CG1056" s="3" t="n">
        <v>0.0004072097275301085</v>
      </c>
      <c r="CH1056" s="3" t="n">
        <v>0.0004373691286286534</v>
      </c>
      <c r="CI1056" s="3" t="n">
        <v>0.0004693354695690489</v>
      </c>
      <c r="CJ1056" s="3" t="n">
        <v>0.0005015011816558538</v>
      </c>
      <c r="CK1056" s="3" t="n">
        <v>0.0005354827157354007</v>
      </c>
      <c r="CL1056" s="3" t="n">
        <v>0.0005711688371232698</v>
      </c>
      <c r="CM1056" s="3" t="n">
        <v>0.0006085909379371133</v>
      </c>
      <c r="CN1056" s="3" t="n">
        <v>0.0006478964614314134</v>
      </c>
      <c r="CO1056" s="3" t="n">
        <v>0.0006892077861421831</v>
      </c>
      <c r="CP1056" s="3" t="n">
        <v>0.0007324331708950953</v>
      </c>
      <c r="CQ1056" s="3" t="n">
        <v>0.0007777257175248038</v>
      </c>
      <c r="CR1056" s="3" t="n">
        <v>0.0008250774718811246</v>
      </c>
      <c r="CS1056" s="3" t="n">
        <v>0.0008747012197145655</v>
      </c>
      <c r="CU1056" s="20" t="inlineStr">
        <is>
          <t>egy.mit.impsub.con.res.coa.6</t>
        </is>
      </c>
      <c r="CV1056" s="3" t="n">
        <v>0.0003998884410245029</v>
      </c>
      <c r="CW1056" s="3" t="n">
        <v>0.000423672754200323</v>
      </c>
      <c r="CX1056" s="3" t="n">
        <v>0.0005194699079003033</v>
      </c>
      <c r="CY1056" s="3" t="n">
        <v>0.0005732975642805248</v>
      </c>
      <c r="CZ1056" s="3" t="n">
        <v>0.000585099247028557</v>
      </c>
      <c r="DA1056" s="3" t="n">
        <v>0.0001358600021109283</v>
      </c>
      <c r="DB1056" s="3" t="n">
        <v>0.0001584603347174131</v>
      </c>
      <c r="DC1056" s="3" t="n">
        <v>0.0001824404543968485</v>
      </c>
      <c r="DD1056" s="3" t="n">
        <v>0.000207478222473216</v>
      </c>
      <c r="DE1056" s="3" t="n">
        <v>0.0002341822683594471</v>
      </c>
      <c r="DF1056" s="3" t="n">
        <v>0.0002616983640950036</v>
      </c>
      <c r="DG1056" s="3" t="n">
        <v>0.0002909259881104612</v>
      </c>
      <c r="DH1056" s="3" t="n">
        <v>0.0003218310836080362</v>
      </c>
      <c r="DI1056" s="3" t="n">
        <v>0.0003543494068101232</v>
      </c>
      <c r="DJ1056" s="3" t="n">
        <v>0.000388650624654096</v>
      </c>
      <c r="DK1056" s="3" t="n">
        <v>0.000424906867130862</v>
      </c>
      <c r="DL1056" s="3" t="n">
        <v>0.000462922694724215</v>
      </c>
      <c r="DM1056" s="3" t="n">
        <v>0.0005028334270943634</v>
      </c>
      <c r="DN1056" s="3" t="n">
        <v>0.00054457927835306</v>
      </c>
      <c r="DO1056" s="3" t="n">
        <v>0.0005883698280461939</v>
      </c>
    </row>
    <row r="1057">
      <c r="A1057" s="19" t="inlineStr">
        <is>
          <t>mit.effprice.pow.coa</t>
        </is>
      </c>
      <c r="B1057" s="3" t="inlineStr">
        <is>
          <t>mit</t>
        </is>
      </c>
      <c r="C1057" s="19" t="inlineStr">
        <is>
          <t>mit.effprice.coa.pow</t>
        </is>
      </c>
      <c r="H1057" s="3" t="inlineStr">
        <is>
          <t>Energy subsidies: efficient price | Power | Coal</t>
        </is>
      </c>
      <c r="I1057" s="3" t="inlineStr">
        <is>
          <t>USD/GJ, USD/kWh</t>
        </is>
      </c>
      <c r="K1057" s="20" t="inlineStr">
        <is>
          <t>egy.mit.effprice.pow.coa.1</t>
        </is>
      </c>
      <c r="L1057" s="3" t="n">
        <v>19.25490285565434</v>
      </c>
      <c r="M1057" s="3" t="n">
        <v>12.58830693540154</v>
      </c>
      <c r="N1057" s="3" t="n">
        <v>11.99848631665396</v>
      </c>
      <c r="O1057" s="3" t="n">
        <v>11.03039076301297</v>
      </c>
      <c r="P1057" s="3" t="n">
        <v>11.89531691499937</v>
      </c>
      <c r="Q1057" s="3" t="n">
        <v>12.28643446885043</v>
      </c>
      <c r="R1057" s="3" t="n">
        <v>12.51700881783614</v>
      </c>
      <c r="S1057" s="3" t="n">
        <v>12.75114659743234</v>
      </c>
      <c r="T1057" s="3" t="n">
        <v>12.98866554465703</v>
      </c>
      <c r="U1057" s="3" t="n">
        <v>13.2175182242039</v>
      </c>
      <c r="V1057" s="3" t="n">
        <v>13.53762946084832</v>
      </c>
      <c r="W1057" s="3" t="n">
        <v>13.87029318752189</v>
      </c>
      <c r="X1057" s="3" t="n">
        <v>14.21597721334953</v>
      </c>
      <c r="Y1057" s="3" t="n">
        <v>14.57518910350032</v>
      </c>
      <c r="Z1057" s="3" t="n">
        <v>14.94842558183822</v>
      </c>
      <c r="AA1057" s="3" t="n">
        <v>15.33625349745728</v>
      </c>
      <c r="AB1057" s="3" t="n">
        <v>15.73917641725666</v>
      </c>
      <c r="AC1057" s="3" t="n">
        <v>16.15775810895105</v>
      </c>
      <c r="AD1057" s="3" t="n">
        <v>16.59258255110796</v>
      </c>
      <c r="AE1057" s="3" t="n">
        <v>17.01723197413396</v>
      </c>
      <c r="AG1057" s="20" t="inlineStr">
        <is>
          <t>egy.mit.effprice.pow.coa.3</t>
        </is>
      </c>
      <c r="AH1057" s="3" t="n">
        <v>19.25490285565434</v>
      </c>
      <c r="AI1057" s="3" t="n">
        <v>12.58830693540154</v>
      </c>
      <c r="AJ1057" s="3" t="n">
        <v>11.99848631665396</v>
      </c>
      <c r="AK1057" s="3" t="n">
        <v>11.03039076301297</v>
      </c>
      <c r="AL1057" s="3" t="n">
        <v>11.89531691499937</v>
      </c>
      <c r="AM1057" s="3" t="n">
        <v>12.28643446885043</v>
      </c>
      <c r="AN1057" s="3" t="n">
        <v>12.51700881783614</v>
      </c>
      <c r="AO1057" s="3" t="n">
        <v>12.75114659743234</v>
      </c>
      <c r="AP1057" s="3" t="n">
        <v>12.98866554465703</v>
      </c>
      <c r="AQ1057" s="3" t="n">
        <v>13.2175182242039</v>
      </c>
      <c r="AR1057" s="3" t="n">
        <v>13.53762946084832</v>
      </c>
      <c r="AS1057" s="3" t="n">
        <v>13.87029318752189</v>
      </c>
      <c r="AT1057" s="3" t="n">
        <v>14.21597721334953</v>
      </c>
      <c r="AU1057" s="3" t="n">
        <v>14.57518910350032</v>
      </c>
      <c r="AV1057" s="3" t="n">
        <v>14.94842558183822</v>
      </c>
      <c r="AW1057" s="3" t="n">
        <v>15.33625349745728</v>
      </c>
      <c r="AX1057" s="3" t="n">
        <v>15.73917641725666</v>
      </c>
      <c r="AY1057" s="3" t="n">
        <v>16.15775810895105</v>
      </c>
      <c r="AZ1057" s="3" t="n">
        <v>16.59258255110796</v>
      </c>
      <c r="BA1057" s="3" t="n">
        <v>17.01723197413396</v>
      </c>
      <c r="BC1057" s="20" t="inlineStr">
        <is>
          <t>egy.mit.effprice.pow.coa.4</t>
        </is>
      </c>
      <c r="BD1057" s="3" t="n">
        <v>19.25490285565434</v>
      </c>
      <c r="BE1057" s="3" t="n">
        <v>12.58830693540154</v>
      </c>
      <c r="BF1057" s="3" t="n">
        <v>11.99848631665396</v>
      </c>
      <c r="BG1057" s="3" t="n">
        <v>11.03039076301297</v>
      </c>
      <c r="BH1057" s="3" t="n">
        <v>11.89531691499937</v>
      </c>
      <c r="BI1057" s="3" t="n">
        <v>12.28643446885043</v>
      </c>
      <c r="BJ1057" s="3" t="n">
        <v>12.51700881783614</v>
      </c>
      <c r="BK1057" s="3" t="n">
        <v>12.75114659743234</v>
      </c>
      <c r="BL1057" s="3" t="n">
        <v>12.98866554465703</v>
      </c>
      <c r="BM1057" s="3" t="n">
        <v>13.2175182242039</v>
      </c>
      <c r="BN1057" s="3" t="n">
        <v>13.53762946084832</v>
      </c>
      <c r="BO1057" s="3" t="n">
        <v>13.87029318752189</v>
      </c>
      <c r="BP1057" s="3" t="n">
        <v>14.21597721334953</v>
      </c>
      <c r="BQ1057" s="3" t="n">
        <v>14.57518910350032</v>
      </c>
      <c r="BR1057" s="3" t="n">
        <v>14.94842558183822</v>
      </c>
      <c r="BS1057" s="3" t="n">
        <v>15.33625349745728</v>
      </c>
      <c r="BT1057" s="3" t="n">
        <v>15.73917641725666</v>
      </c>
      <c r="BU1057" s="3" t="n">
        <v>16.15775810895105</v>
      </c>
      <c r="BV1057" s="3" t="n">
        <v>16.59258255110796</v>
      </c>
      <c r="BW1057" s="3" t="n">
        <v>17.01723197413396</v>
      </c>
      <c r="BY1057" s="20" t="inlineStr">
        <is>
          <t>egy.mit.effprice.pow.coa.5</t>
        </is>
      </c>
      <c r="BZ1057" s="3" t="n">
        <v>19.25490285565434</v>
      </c>
      <c r="CA1057" s="3" t="n">
        <v>12.58830693540154</v>
      </c>
      <c r="CB1057" s="3" t="n">
        <v>11.99848631665396</v>
      </c>
      <c r="CC1057" s="3" t="n">
        <v>11.03039076301297</v>
      </c>
      <c r="CD1057" s="3" t="n">
        <v>11.89531691499937</v>
      </c>
      <c r="CE1057" s="3" t="n">
        <v>12.28643446885043</v>
      </c>
      <c r="CF1057" s="3" t="n">
        <v>12.51700881783614</v>
      </c>
      <c r="CG1057" s="3" t="n">
        <v>12.75114659743234</v>
      </c>
      <c r="CH1057" s="3" t="n">
        <v>12.98866554465703</v>
      </c>
      <c r="CI1057" s="3" t="n">
        <v>13.2175182242039</v>
      </c>
      <c r="CJ1057" s="3" t="n">
        <v>13.53762946084832</v>
      </c>
      <c r="CK1057" s="3" t="n">
        <v>13.87029318752189</v>
      </c>
      <c r="CL1057" s="3" t="n">
        <v>14.21597721334953</v>
      </c>
      <c r="CM1057" s="3" t="n">
        <v>14.57518910350032</v>
      </c>
      <c r="CN1057" s="3" t="n">
        <v>14.94842558183822</v>
      </c>
      <c r="CO1057" s="3" t="n">
        <v>15.33625349745728</v>
      </c>
      <c r="CP1057" s="3" t="n">
        <v>15.73917641725666</v>
      </c>
      <c r="CQ1057" s="3" t="n">
        <v>16.15775810895105</v>
      </c>
      <c r="CR1057" s="3" t="n">
        <v>16.59258255110796</v>
      </c>
      <c r="CS1057" s="3" t="n">
        <v>17.01723197413396</v>
      </c>
      <c r="CU1057" s="20" t="inlineStr">
        <is>
          <t>egy.mit.effprice.pow.coa.6</t>
        </is>
      </c>
      <c r="CV1057" s="3" t="n">
        <v>19.25490285565434</v>
      </c>
      <c r="CW1057" s="3" t="n">
        <v>12.58830693540154</v>
      </c>
      <c r="CX1057" s="3" t="n">
        <v>11.99848631665396</v>
      </c>
      <c r="CY1057" s="3" t="n">
        <v>11.03039076301297</v>
      </c>
      <c r="CZ1057" s="3" t="n">
        <v>11.89531691499937</v>
      </c>
      <c r="DA1057" s="3" t="n">
        <v>12.28643446885043</v>
      </c>
      <c r="DB1057" s="3" t="n">
        <v>12.51700881783614</v>
      </c>
      <c r="DC1057" s="3" t="n">
        <v>12.75114659743234</v>
      </c>
      <c r="DD1057" s="3" t="n">
        <v>12.98866554465703</v>
      </c>
      <c r="DE1057" s="3" t="n">
        <v>13.2175182242039</v>
      </c>
      <c r="DF1057" s="3" t="n">
        <v>13.53762946084832</v>
      </c>
      <c r="DG1057" s="3" t="n">
        <v>13.87029318752189</v>
      </c>
      <c r="DH1057" s="3" t="n">
        <v>14.21597721334953</v>
      </c>
      <c r="DI1057" s="3" t="n">
        <v>14.57518910350032</v>
      </c>
      <c r="DJ1057" s="3" t="n">
        <v>14.94842558183822</v>
      </c>
      <c r="DK1057" s="3" t="n">
        <v>15.33625349745728</v>
      </c>
      <c r="DL1057" s="3" t="n">
        <v>15.73917641725666</v>
      </c>
      <c r="DM1057" s="3" t="n">
        <v>16.15775810895105</v>
      </c>
      <c r="DN1057" s="3" t="n">
        <v>16.59258255110796</v>
      </c>
      <c r="DO1057" s="3" t="n">
        <v>17.01723197413396</v>
      </c>
    </row>
    <row r="1058">
      <c r="A1058" s="19" t="inlineStr">
        <is>
          <t>mit.con.pow.coa</t>
        </is>
      </c>
      <c r="B1058" s="3" t="inlineStr">
        <is>
          <t>mit</t>
        </is>
      </c>
      <c r="C1058" s="19" t="inlineStr">
        <is>
          <t>mit.con.coa.pow</t>
        </is>
      </c>
      <c r="H1058" s="3" t="inlineStr">
        <is>
          <t>Energy subsidies: consumption of the line | Power | Coal</t>
        </is>
      </c>
      <c r="I1058" s="3" t="inlineStr">
        <is>
          <t>PJ, GWh</t>
        </is>
      </c>
      <c r="K1058" s="20" t="inlineStr">
        <is>
          <t>egy.mit.con.pow.coa.1</t>
        </is>
      </c>
      <c r="L1058" s="3" t="n">
        <v>0</v>
      </c>
      <c r="M1058" s="3" t="n">
        <v>0</v>
      </c>
      <c r="N1058" s="3" t="n">
        <v>0</v>
      </c>
      <c r="O1058" s="3" t="n">
        <v>0</v>
      </c>
      <c r="P1058" s="3" t="n">
        <v>0</v>
      </c>
      <c r="Q1058" s="3" t="n">
        <v>0</v>
      </c>
      <c r="R1058" s="3" t="n">
        <v>0</v>
      </c>
      <c r="S1058" s="3" t="n">
        <v>0</v>
      </c>
      <c r="T1058" s="3" t="n">
        <v>0</v>
      </c>
      <c r="U1058" s="3" t="n">
        <v>0</v>
      </c>
      <c r="V1058" s="3" t="n">
        <v>0</v>
      </c>
      <c r="W1058" s="3" t="n">
        <v>0</v>
      </c>
      <c r="X1058" s="3" t="n">
        <v>0</v>
      </c>
      <c r="Y1058" s="3" t="n">
        <v>0</v>
      </c>
      <c r="Z1058" s="3" t="n">
        <v>0</v>
      </c>
      <c r="AA1058" s="3" t="n">
        <v>0</v>
      </c>
      <c r="AB1058" s="3" t="n">
        <v>0</v>
      </c>
      <c r="AC1058" s="3" t="n">
        <v>0</v>
      </c>
      <c r="AD1058" s="3" t="n">
        <v>0</v>
      </c>
      <c r="AE1058" s="3" t="n">
        <v>0</v>
      </c>
      <c r="AG1058" s="20" t="inlineStr">
        <is>
          <t>egy.mit.con.pow.coa.3</t>
        </is>
      </c>
      <c r="AH1058" s="3" t="n">
        <v>0</v>
      </c>
      <c r="AI1058" s="3" t="n">
        <v>0</v>
      </c>
      <c r="AJ1058" s="3" t="n">
        <v>0</v>
      </c>
      <c r="AK1058" s="3" t="n">
        <v>0</v>
      </c>
      <c r="AL1058" s="3" t="n">
        <v>0</v>
      </c>
      <c r="AM1058" s="3" t="n">
        <v>0</v>
      </c>
      <c r="AN1058" s="3" t="n">
        <v>0</v>
      </c>
      <c r="AO1058" s="3" t="n">
        <v>0</v>
      </c>
      <c r="AP1058" s="3" t="n">
        <v>0</v>
      </c>
      <c r="AQ1058" s="3" t="n">
        <v>0</v>
      </c>
      <c r="AR1058" s="3" t="n">
        <v>0</v>
      </c>
      <c r="AS1058" s="3" t="n">
        <v>0</v>
      </c>
      <c r="AT1058" s="3" t="n">
        <v>0</v>
      </c>
      <c r="AU1058" s="3" t="n">
        <v>0</v>
      </c>
      <c r="AV1058" s="3" t="n">
        <v>0</v>
      </c>
      <c r="AW1058" s="3" t="n">
        <v>0</v>
      </c>
      <c r="AX1058" s="3" t="n">
        <v>0</v>
      </c>
      <c r="AY1058" s="3" t="n">
        <v>0</v>
      </c>
      <c r="AZ1058" s="3" t="n">
        <v>0</v>
      </c>
      <c r="BA1058" s="3" t="n">
        <v>0</v>
      </c>
      <c r="BC1058" s="20" t="inlineStr">
        <is>
          <t>egy.mit.con.pow.coa.4</t>
        </is>
      </c>
      <c r="BD1058" s="3" t="n">
        <v>0</v>
      </c>
      <c r="BE1058" s="3" t="n">
        <v>0</v>
      </c>
      <c r="BF1058" s="3" t="n">
        <v>0</v>
      </c>
      <c r="BG1058" s="3" t="n">
        <v>0</v>
      </c>
      <c r="BH1058" s="3" t="n">
        <v>0</v>
      </c>
      <c r="BI1058" s="3" t="n">
        <v>0</v>
      </c>
      <c r="BJ1058" s="3" t="n">
        <v>0</v>
      </c>
      <c r="BK1058" s="3" t="n">
        <v>0</v>
      </c>
      <c r="BL1058" s="3" t="n">
        <v>0</v>
      </c>
      <c r="BM1058" s="3" t="n">
        <v>0</v>
      </c>
      <c r="BN1058" s="3" t="n">
        <v>0</v>
      </c>
      <c r="BO1058" s="3" t="n">
        <v>0</v>
      </c>
      <c r="BP1058" s="3" t="n">
        <v>0</v>
      </c>
      <c r="BQ1058" s="3" t="n">
        <v>0</v>
      </c>
      <c r="BR1058" s="3" t="n">
        <v>0</v>
      </c>
      <c r="BS1058" s="3" t="n">
        <v>0</v>
      </c>
      <c r="BT1058" s="3" t="n">
        <v>0</v>
      </c>
      <c r="BU1058" s="3" t="n">
        <v>0</v>
      </c>
      <c r="BV1058" s="3" t="n">
        <v>0</v>
      </c>
      <c r="BW1058" s="3" t="n">
        <v>0</v>
      </c>
      <c r="BY1058" s="20" t="inlineStr">
        <is>
          <t>egy.mit.con.pow.coa.5</t>
        </is>
      </c>
      <c r="BZ1058" s="3" t="n">
        <v>0</v>
      </c>
      <c r="CA1058" s="3" t="n">
        <v>0</v>
      </c>
      <c r="CB1058" s="3" t="n">
        <v>0</v>
      </c>
      <c r="CC1058" s="3" t="n">
        <v>0</v>
      </c>
      <c r="CD1058" s="3" t="n">
        <v>0</v>
      </c>
      <c r="CE1058" s="3" t="n">
        <v>0</v>
      </c>
      <c r="CF1058" s="3" t="n">
        <v>0</v>
      </c>
      <c r="CG1058" s="3" t="n">
        <v>0</v>
      </c>
      <c r="CH1058" s="3" t="n">
        <v>0</v>
      </c>
      <c r="CI1058" s="3" t="n">
        <v>0</v>
      </c>
      <c r="CJ1058" s="3" t="n">
        <v>0</v>
      </c>
      <c r="CK1058" s="3" t="n">
        <v>0</v>
      </c>
      <c r="CL1058" s="3" t="n">
        <v>0</v>
      </c>
      <c r="CM1058" s="3" t="n">
        <v>0</v>
      </c>
      <c r="CN1058" s="3" t="n">
        <v>0</v>
      </c>
      <c r="CO1058" s="3" t="n">
        <v>0</v>
      </c>
      <c r="CP1058" s="3" t="n">
        <v>0</v>
      </c>
      <c r="CQ1058" s="3" t="n">
        <v>0</v>
      </c>
      <c r="CR1058" s="3" t="n">
        <v>0</v>
      </c>
      <c r="CS1058" s="3" t="n">
        <v>0</v>
      </c>
      <c r="CU1058" s="20" t="inlineStr">
        <is>
          <t>egy.mit.con.pow.coa.6</t>
        </is>
      </c>
      <c r="CV1058" s="3" t="n">
        <v>0</v>
      </c>
      <c r="CW1058" s="3" t="n">
        <v>0</v>
      </c>
      <c r="CX1058" s="3" t="n">
        <v>0</v>
      </c>
      <c r="CY1058" s="3" t="n">
        <v>0</v>
      </c>
      <c r="CZ1058" s="3" t="n">
        <v>0</v>
      </c>
      <c r="DA1058" s="3" t="n">
        <v>0</v>
      </c>
      <c r="DB1058" s="3" t="n">
        <v>0</v>
      </c>
      <c r="DC1058" s="3" t="n">
        <v>0</v>
      </c>
      <c r="DD1058" s="3" t="n">
        <v>0</v>
      </c>
      <c r="DE1058" s="3" t="n">
        <v>0</v>
      </c>
      <c r="DF1058" s="3" t="n">
        <v>0</v>
      </c>
      <c r="DG1058" s="3" t="n">
        <v>0</v>
      </c>
      <c r="DH1058" s="3" t="n">
        <v>0</v>
      </c>
      <c r="DI1058" s="3" t="n">
        <v>0</v>
      </c>
      <c r="DJ1058" s="3" t="n">
        <v>0</v>
      </c>
      <c r="DK1058" s="3" t="n">
        <v>0</v>
      </c>
      <c r="DL1058" s="3" t="n">
        <v>0</v>
      </c>
      <c r="DM1058" s="3" t="n">
        <v>0</v>
      </c>
      <c r="DN1058" s="3" t="n">
        <v>0</v>
      </c>
      <c r="DO1058" s="3" t="n">
        <v>0</v>
      </c>
    </row>
    <row r="1059">
      <c r="A1059" s="19" t="inlineStr">
        <is>
          <t>mit.expsub.con.pow.coa</t>
        </is>
      </c>
      <c r="B1059" s="3" t="inlineStr">
        <is>
          <t>mit</t>
        </is>
      </c>
      <c r="C1059" s="19" t="inlineStr">
        <is>
          <t>mit.expsub.con.coa.pow</t>
        </is>
      </c>
      <c r="H1059" s="3" t="inlineStr">
        <is>
          <t>Explicit consumer subsidy | Power | Coal</t>
        </is>
      </c>
      <c r="I1059" s="3" t="inlineStr">
        <is>
          <t>USD bn real</t>
        </is>
      </c>
      <c r="K1059" s="20" t="inlineStr">
        <is>
          <t>egy.mit.expsub.con.pow.coa.1</t>
        </is>
      </c>
      <c r="L1059" s="3" t="n">
        <v>0</v>
      </c>
      <c r="M1059" s="3" t="n">
        <v>0</v>
      </c>
      <c r="N1059" s="3" t="n">
        <v>0</v>
      </c>
      <c r="O1059" s="3" t="n">
        <v>0</v>
      </c>
      <c r="P1059" s="3" t="n">
        <v>0</v>
      </c>
      <c r="Q1059" s="3" t="n">
        <v>0</v>
      </c>
      <c r="R1059" s="3" t="n">
        <v>0</v>
      </c>
      <c r="S1059" s="3" t="n">
        <v>0</v>
      </c>
      <c r="T1059" s="3" t="n">
        <v>0</v>
      </c>
      <c r="U1059" s="3" t="n">
        <v>0</v>
      </c>
      <c r="V1059" s="3" t="n">
        <v>0</v>
      </c>
      <c r="W1059" s="3" t="n">
        <v>0</v>
      </c>
      <c r="X1059" s="3" t="n">
        <v>0</v>
      </c>
      <c r="Y1059" s="3" t="n">
        <v>0</v>
      </c>
      <c r="Z1059" s="3" t="n">
        <v>0</v>
      </c>
      <c r="AA1059" s="3" t="n">
        <v>0</v>
      </c>
      <c r="AB1059" s="3" t="n">
        <v>0</v>
      </c>
      <c r="AC1059" s="3" t="n">
        <v>0</v>
      </c>
      <c r="AD1059" s="3" t="n">
        <v>0</v>
      </c>
      <c r="AE1059" s="3" t="n">
        <v>0</v>
      </c>
      <c r="AG1059" s="20" t="inlineStr">
        <is>
          <t>egy.mit.expsub.con.pow.coa.3</t>
        </is>
      </c>
      <c r="AH1059" s="3" t="n">
        <v>0</v>
      </c>
      <c r="AI1059" s="3" t="n">
        <v>0</v>
      </c>
      <c r="AJ1059" s="3" t="n">
        <v>0</v>
      </c>
      <c r="AK1059" s="3" t="n">
        <v>0</v>
      </c>
      <c r="AL1059" s="3" t="n">
        <v>0</v>
      </c>
      <c r="AM1059" s="3" t="n">
        <v>0</v>
      </c>
      <c r="AN1059" s="3" t="n">
        <v>0</v>
      </c>
      <c r="AO1059" s="3" t="n">
        <v>0</v>
      </c>
      <c r="AP1059" s="3" t="n">
        <v>0</v>
      </c>
      <c r="AQ1059" s="3" t="n">
        <v>0</v>
      </c>
      <c r="AR1059" s="3" t="n">
        <v>0</v>
      </c>
      <c r="AS1059" s="3" t="n">
        <v>0</v>
      </c>
      <c r="AT1059" s="3" t="n">
        <v>0</v>
      </c>
      <c r="AU1059" s="3" t="n">
        <v>0</v>
      </c>
      <c r="AV1059" s="3" t="n">
        <v>0</v>
      </c>
      <c r="AW1059" s="3" t="n">
        <v>0</v>
      </c>
      <c r="AX1059" s="3" t="n">
        <v>0</v>
      </c>
      <c r="AY1059" s="3" t="n">
        <v>0</v>
      </c>
      <c r="AZ1059" s="3" t="n">
        <v>0</v>
      </c>
      <c r="BA1059" s="3" t="n">
        <v>0</v>
      </c>
      <c r="BC1059" s="20" t="inlineStr">
        <is>
          <t>egy.mit.expsub.con.pow.coa.4</t>
        </is>
      </c>
      <c r="BD1059" s="3" t="n">
        <v>0</v>
      </c>
      <c r="BE1059" s="3" t="n">
        <v>0</v>
      </c>
      <c r="BF1059" s="3" t="n">
        <v>0</v>
      </c>
      <c r="BG1059" s="3" t="n">
        <v>0</v>
      </c>
      <c r="BH1059" s="3" t="n">
        <v>0</v>
      </c>
      <c r="BI1059" s="3" t="n">
        <v>0</v>
      </c>
      <c r="BJ1059" s="3" t="n">
        <v>0</v>
      </c>
      <c r="BK1059" s="3" t="n">
        <v>0</v>
      </c>
      <c r="BL1059" s="3" t="n">
        <v>0</v>
      </c>
      <c r="BM1059" s="3" t="n">
        <v>0</v>
      </c>
      <c r="BN1059" s="3" t="n">
        <v>0</v>
      </c>
      <c r="BO1059" s="3" t="n">
        <v>0</v>
      </c>
      <c r="BP1059" s="3" t="n">
        <v>0</v>
      </c>
      <c r="BQ1059" s="3" t="n">
        <v>0</v>
      </c>
      <c r="BR1059" s="3" t="n">
        <v>0</v>
      </c>
      <c r="BS1059" s="3" t="n">
        <v>0</v>
      </c>
      <c r="BT1059" s="3" t="n">
        <v>0</v>
      </c>
      <c r="BU1059" s="3" t="n">
        <v>0</v>
      </c>
      <c r="BV1059" s="3" t="n">
        <v>0</v>
      </c>
      <c r="BW1059" s="3" t="n">
        <v>0</v>
      </c>
      <c r="BY1059" s="20" t="inlineStr">
        <is>
          <t>egy.mit.expsub.con.pow.coa.5</t>
        </is>
      </c>
      <c r="BZ1059" s="3" t="n">
        <v>0</v>
      </c>
      <c r="CA1059" s="3" t="n">
        <v>0</v>
      </c>
      <c r="CB1059" s="3" t="n">
        <v>0</v>
      </c>
      <c r="CC1059" s="3" t="n">
        <v>0</v>
      </c>
      <c r="CD1059" s="3" t="n">
        <v>0</v>
      </c>
      <c r="CE1059" s="3" t="n">
        <v>0</v>
      </c>
      <c r="CF1059" s="3" t="n">
        <v>0</v>
      </c>
      <c r="CG1059" s="3" t="n">
        <v>0</v>
      </c>
      <c r="CH1059" s="3" t="n">
        <v>0</v>
      </c>
      <c r="CI1059" s="3" t="n">
        <v>0</v>
      </c>
      <c r="CJ1059" s="3" t="n">
        <v>0</v>
      </c>
      <c r="CK1059" s="3" t="n">
        <v>0</v>
      </c>
      <c r="CL1059" s="3" t="n">
        <v>0</v>
      </c>
      <c r="CM1059" s="3" t="n">
        <v>0</v>
      </c>
      <c r="CN1059" s="3" t="n">
        <v>0</v>
      </c>
      <c r="CO1059" s="3" t="n">
        <v>0</v>
      </c>
      <c r="CP1059" s="3" t="n">
        <v>0</v>
      </c>
      <c r="CQ1059" s="3" t="n">
        <v>0</v>
      </c>
      <c r="CR1059" s="3" t="n">
        <v>0</v>
      </c>
      <c r="CS1059" s="3" t="n">
        <v>0</v>
      </c>
      <c r="CU1059" s="20" t="inlineStr">
        <is>
          <t>egy.mit.expsub.con.pow.coa.6</t>
        </is>
      </c>
      <c r="CV1059" s="3" t="n">
        <v>0</v>
      </c>
      <c r="CW1059" s="3" t="n">
        <v>0</v>
      </c>
      <c r="CX1059" s="3" t="n">
        <v>0</v>
      </c>
      <c r="CY1059" s="3" t="n">
        <v>0</v>
      </c>
      <c r="CZ1059" s="3" t="n">
        <v>0</v>
      </c>
      <c r="DA1059" s="3" t="n">
        <v>0</v>
      </c>
      <c r="DB1059" s="3" t="n">
        <v>0</v>
      </c>
      <c r="DC1059" s="3" t="n">
        <v>0</v>
      </c>
      <c r="DD1059" s="3" t="n">
        <v>0</v>
      </c>
      <c r="DE1059" s="3" t="n">
        <v>0</v>
      </c>
      <c r="DF1059" s="3" t="n">
        <v>0</v>
      </c>
      <c r="DG1059" s="3" t="n">
        <v>0</v>
      </c>
      <c r="DH1059" s="3" t="n">
        <v>0</v>
      </c>
      <c r="DI1059" s="3" t="n">
        <v>0</v>
      </c>
      <c r="DJ1059" s="3" t="n">
        <v>0</v>
      </c>
      <c r="DK1059" s="3" t="n">
        <v>0</v>
      </c>
      <c r="DL1059" s="3" t="n">
        <v>0</v>
      </c>
      <c r="DM1059" s="3" t="n">
        <v>0</v>
      </c>
      <c r="DN1059" s="3" t="n">
        <v>0</v>
      </c>
      <c r="DO1059" s="3" t="n">
        <v>0</v>
      </c>
    </row>
    <row r="1060">
      <c r="A1060" s="19" t="inlineStr">
        <is>
          <t>mit.impsub.con.pow.coa</t>
        </is>
      </c>
      <c r="B1060" s="3" t="inlineStr">
        <is>
          <t>mit</t>
        </is>
      </c>
      <c r="C1060" s="19" t="inlineStr">
        <is>
          <t>mit.impsub.con.coa.pow</t>
        </is>
      </c>
      <c r="H1060" s="3" t="inlineStr">
        <is>
          <t>Implicit consumer subsidy | Power | Coal</t>
        </is>
      </c>
      <c r="I1060" s="3" t="inlineStr">
        <is>
          <t>USD bn real</t>
        </is>
      </c>
      <c r="K1060" s="20" t="inlineStr">
        <is>
          <t>egy.mit.impsub.con.pow.coa.1</t>
        </is>
      </c>
      <c r="L1060" s="3" t="n">
        <v>0</v>
      </c>
      <c r="M1060" s="3" t="n">
        <v>0</v>
      </c>
      <c r="N1060" s="3" t="n">
        <v>0</v>
      </c>
      <c r="O1060" s="3" t="n">
        <v>0</v>
      </c>
      <c r="P1060" s="3" t="n">
        <v>0</v>
      </c>
      <c r="Q1060" s="3" t="n">
        <v>0</v>
      </c>
      <c r="R1060" s="3" t="n">
        <v>0</v>
      </c>
      <c r="S1060" s="3" t="n">
        <v>0</v>
      </c>
      <c r="T1060" s="3" t="n">
        <v>0</v>
      </c>
      <c r="U1060" s="3" t="n">
        <v>0</v>
      </c>
      <c r="V1060" s="3" t="n">
        <v>0</v>
      </c>
      <c r="W1060" s="3" t="n">
        <v>0</v>
      </c>
      <c r="X1060" s="3" t="n">
        <v>0</v>
      </c>
      <c r="Y1060" s="3" t="n">
        <v>0</v>
      </c>
      <c r="Z1060" s="3" t="n">
        <v>0</v>
      </c>
      <c r="AA1060" s="3" t="n">
        <v>0</v>
      </c>
      <c r="AB1060" s="3" t="n">
        <v>0</v>
      </c>
      <c r="AC1060" s="3" t="n">
        <v>0</v>
      </c>
      <c r="AD1060" s="3" t="n">
        <v>0</v>
      </c>
      <c r="AE1060" s="3" t="n">
        <v>0</v>
      </c>
      <c r="AG1060" s="20" t="inlineStr">
        <is>
          <t>egy.mit.impsub.con.pow.coa.3</t>
        </is>
      </c>
      <c r="AH1060" s="3" t="n">
        <v>0</v>
      </c>
      <c r="AI1060" s="3" t="n">
        <v>0</v>
      </c>
      <c r="AJ1060" s="3" t="n">
        <v>0</v>
      </c>
      <c r="AK1060" s="3" t="n">
        <v>0</v>
      </c>
      <c r="AL1060" s="3" t="n">
        <v>0</v>
      </c>
      <c r="AM1060" s="3" t="n">
        <v>0</v>
      </c>
      <c r="AN1060" s="3" t="n">
        <v>0</v>
      </c>
      <c r="AO1060" s="3" t="n">
        <v>0</v>
      </c>
      <c r="AP1060" s="3" t="n">
        <v>0</v>
      </c>
      <c r="AQ1060" s="3" t="n">
        <v>0</v>
      </c>
      <c r="AR1060" s="3" t="n">
        <v>0</v>
      </c>
      <c r="AS1060" s="3" t="n">
        <v>0</v>
      </c>
      <c r="AT1060" s="3" t="n">
        <v>0</v>
      </c>
      <c r="AU1060" s="3" t="n">
        <v>0</v>
      </c>
      <c r="AV1060" s="3" t="n">
        <v>0</v>
      </c>
      <c r="AW1060" s="3" t="n">
        <v>0</v>
      </c>
      <c r="AX1060" s="3" t="n">
        <v>0</v>
      </c>
      <c r="AY1060" s="3" t="n">
        <v>0</v>
      </c>
      <c r="AZ1060" s="3" t="n">
        <v>0</v>
      </c>
      <c r="BA1060" s="3" t="n">
        <v>0</v>
      </c>
      <c r="BC1060" s="20" t="inlineStr">
        <is>
          <t>egy.mit.impsub.con.pow.coa.4</t>
        </is>
      </c>
      <c r="BD1060" s="3" t="n">
        <v>0</v>
      </c>
      <c r="BE1060" s="3" t="n">
        <v>0</v>
      </c>
      <c r="BF1060" s="3" t="n">
        <v>0</v>
      </c>
      <c r="BG1060" s="3" t="n">
        <v>0</v>
      </c>
      <c r="BH1060" s="3" t="n">
        <v>0</v>
      </c>
      <c r="BI1060" s="3" t="n">
        <v>0</v>
      </c>
      <c r="BJ1060" s="3" t="n">
        <v>0</v>
      </c>
      <c r="BK1060" s="3" t="n">
        <v>0</v>
      </c>
      <c r="BL1060" s="3" t="n">
        <v>0</v>
      </c>
      <c r="BM1060" s="3" t="n">
        <v>0</v>
      </c>
      <c r="BN1060" s="3" t="n">
        <v>0</v>
      </c>
      <c r="BO1060" s="3" t="n">
        <v>0</v>
      </c>
      <c r="BP1060" s="3" t="n">
        <v>0</v>
      </c>
      <c r="BQ1060" s="3" t="n">
        <v>0</v>
      </c>
      <c r="BR1060" s="3" t="n">
        <v>0</v>
      </c>
      <c r="BS1060" s="3" t="n">
        <v>0</v>
      </c>
      <c r="BT1060" s="3" t="n">
        <v>0</v>
      </c>
      <c r="BU1060" s="3" t="n">
        <v>0</v>
      </c>
      <c r="BV1060" s="3" t="n">
        <v>0</v>
      </c>
      <c r="BW1060" s="3" t="n">
        <v>0</v>
      </c>
      <c r="BY1060" s="20" t="inlineStr">
        <is>
          <t>egy.mit.impsub.con.pow.coa.5</t>
        </is>
      </c>
      <c r="BZ1060" s="3" t="n">
        <v>0</v>
      </c>
      <c r="CA1060" s="3" t="n">
        <v>0</v>
      </c>
      <c r="CB1060" s="3" t="n">
        <v>0</v>
      </c>
      <c r="CC1060" s="3" t="n">
        <v>0</v>
      </c>
      <c r="CD1060" s="3" t="n">
        <v>0</v>
      </c>
      <c r="CE1060" s="3" t="n">
        <v>0</v>
      </c>
      <c r="CF1060" s="3" t="n">
        <v>0</v>
      </c>
      <c r="CG1060" s="3" t="n">
        <v>0</v>
      </c>
      <c r="CH1060" s="3" t="n">
        <v>0</v>
      </c>
      <c r="CI1060" s="3" t="n">
        <v>0</v>
      </c>
      <c r="CJ1060" s="3" t="n">
        <v>0</v>
      </c>
      <c r="CK1060" s="3" t="n">
        <v>0</v>
      </c>
      <c r="CL1060" s="3" t="n">
        <v>0</v>
      </c>
      <c r="CM1060" s="3" t="n">
        <v>0</v>
      </c>
      <c r="CN1060" s="3" t="n">
        <v>0</v>
      </c>
      <c r="CO1060" s="3" t="n">
        <v>0</v>
      </c>
      <c r="CP1060" s="3" t="n">
        <v>0</v>
      </c>
      <c r="CQ1060" s="3" t="n">
        <v>0</v>
      </c>
      <c r="CR1060" s="3" t="n">
        <v>0</v>
      </c>
      <c r="CS1060" s="3" t="n">
        <v>0</v>
      </c>
      <c r="CU1060" s="20" t="inlineStr">
        <is>
          <t>egy.mit.impsub.con.pow.coa.6</t>
        </is>
      </c>
      <c r="CV1060" s="3" t="n">
        <v>0</v>
      </c>
      <c r="CW1060" s="3" t="n">
        <v>0</v>
      </c>
      <c r="CX1060" s="3" t="n">
        <v>0</v>
      </c>
      <c r="CY1060" s="3" t="n">
        <v>0</v>
      </c>
      <c r="CZ1060" s="3" t="n">
        <v>0</v>
      </c>
      <c r="DA1060" s="3" t="n">
        <v>0</v>
      </c>
      <c r="DB1060" s="3" t="n">
        <v>0</v>
      </c>
      <c r="DC1060" s="3" t="n">
        <v>0</v>
      </c>
      <c r="DD1060" s="3" t="n">
        <v>0</v>
      </c>
      <c r="DE1060" s="3" t="n">
        <v>0</v>
      </c>
      <c r="DF1060" s="3" t="n">
        <v>0</v>
      </c>
      <c r="DG1060" s="3" t="n">
        <v>0</v>
      </c>
      <c r="DH1060" s="3" t="n">
        <v>0</v>
      </c>
      <c r="DI1060" s="3" t="n">
        <v>0</v>
      </c>
      <c r="DJ1060" s="3" t="n">
        <v>0</v>
      </c>
      <c r="DK1060" s="3" t="n">
        <v>0</v>
      </c>
      <c r="DL1060" s="3" t="n">
        <v>0</v>
      </c>
      <c r="DM1060" s="3" t="n">
        <v>0</v>
      </c>
      <c r="DN1060" s="3" t="n">
        <v>0</v>
      </c>
      <c r="DO1060" s="3" t="n">
        <v>0</v>
      </c>
    </row>
    <row r="1061">
      <c r="A1061" s="19" t="inlineStr">
        <is>
          <t>mit.supcost.oth.coa</t>
        </is>
      </c>
      <c r="B1061" s="3" t="inlineStr">
        <is>
          <t>mit</t>
        </is>
      </c>
      <c r="C1061" s="19" t="inlineStr">
        <is>
          <t>mit.supcost.coa.other</t>
        </is>
      </c>
      <c r="H1061" s="3" t="inlineStr">
        <is>
          <t>Energy subsidies: supply cost | Other | Coal</t>
        </is>
      </c>
      <c r="I1061" s="3" t="inlineStr">
        <is>
          <t>USD/GJ, USD/kWh</t>
        </is>
      </c>
      <c r="K1061" s="20" t="inlineStr">
        <is>
          <t>egy.mit.supcost.oth.coa.1</t>
        </is>
      </c>
      <c r="L1061" s="3" t="n">
        <v>10.90961056403382</v>
      </c>
      <c r="M1061" s="3" t="n">
        <v>8.565728055997416</v>
      </c>
      <c r="N1061" s="3" t="n">
        <v>7.410633291740282</v>
      </c>
      <c r="O1061" s="3" t="n">
        <v>6.65490422632653</v>
      </c>
      <c r="P1061" s="3" t="n">
        <v>7.071237132798245</v>
      </c>
      <c r="Q1061" s="3" t="n">
        <v>7.165111082150058</v>
      </c>
      <c r="R1061" s="3" t="n">
        <v>7.120520799987415</v>
      </c>
      <c r="S1061" s="3" t="n">
        <v>7.07271164940525</v>
      </c>
      <c r="T1061" s="3" t="n">
        <v>7.021552070761583</v>
      </c>
      <c r="U1061" s="3" t="n">
        <v>6.972180953199694</v>
      </c>
      <c r="V1061" s="3" t="n">
        <v>6.972137091373736</v>
      </c>
      <c r="W1061" s="3" t="n">
        <v>6.972094199635964</v>
      </c>
      <c r="X1061" s="3" t="n">
        <v>6.972052249899766</v>
      </c>
      <c r="Y1061" s="3" t="n">
        <v>6.972011215069192</v>
      </c>
      <c r="Z1061" s="3" t="n">
        <v>6.971971069011845</v>
      </c>
      <c r="AA1061" s="3" t="n">
        <v>6.971931786532136</v>
      </c>
      <c r="AB1061" s="3" t="n">
        <v>6.971893343344949</v>
      </c>
      <c r="AC1061" s="3" t="n">
        <v>6.971855716049782</v>
      </c>
      <c r="AD1061" s="3" t="n">
        <v>6.971818882105412</v>
      </c>
      <c r="AE1061" s="3" t="n">
        <v>6.971782819805116</v>
      </c>
      <c r="AG1061" s="20" t="inlineStr">
        <is>
          <t>egy.mit.supcost.oth.coa.3</t>
        </is>
      </c>
      <c r="AH1061" s="3" t="n">
        <v>10.90961056403382</v>
      </c>
      <c r="AI1061" s="3" t="n">
        <v>8.565728055997416</v>
      </c>
      <c r="AJ1061" s="3" t="n">
        <v>7.410633291740282</v>
      </c>
      <c r="AK1061" s="3" t="n">
        <v>6.65490422632653</v>
      </c>
      <c r="AL1061" s="3" t="n">
        <v>7.071237132798245</v>
      </c>
      <c r="AM1061" s="3" t="n">
        <v>7.165420651866094</v>
      </c>
      <c r="AN1061" s="3" t="n">
        <v>7.120827938811801</v>
      </c>
      <c r="AO1061" s="3" t="n">
        <v>7.073016031036369</v>
      </c>
      <c r="AP1061" s="3" t="n">
        <v>7.021856052771104</v>
      </c>
      <c r="AQ1061" s="3" t="n">
        <v>6.972482925784111</v>
      </c>
      <c r="AR1061" s="3" t="n">
        <v>6.972436932893203</v>
      </c>
      <c r="AS1061" s="3" t="n">
        <v>6.972390725968173</v>
      </c>
      <c r="AT1061" s="3" t="n">
        <v>6.972344979409585</v>
      </c>
      <c r="AU1061" s="3" t="n">
        <v>6.972300520478304</v>
      </c>
      <c r="AV1061" s="3" t="n">
        <v>6.972256810114459</v>
      </c>
      <c r="AW1061" s="3" t="n">
        <v>6.972213530874706</v>
      </c>
      <c r="AX1061" s="3" t="n">
        <v>6.972171693302917</v>
      </c>
      <c r="AY1061" s="3" t="n">
        <v>6.972131019696627</v>
      </c>
      <c r="AZ1061" s="3" t="n">
        <v>6.972091800634826</v>
      </c>
      <c r="BA1061" s="3" t="n">
        <v>6.972053568749814</v>
      </c>
      <c r="BC1061" s="20" t="inlineStr">
        <is>
          <t>egy.mit.supcost.oth.coa.4</t>
        </is>
      </c>
      <c r="BD1061" s="3" t="n">
        <v>10.90961056403382</v>
      </c>
      <c r="BE1061" s="3" t="n">
        <v>8.565728055997416</v>
      </c>
      <c r="BF1061" s="3" t="n">
        <v>7.410633291740282</v>
      </c>
      <c r="BG1061" s="3" t="n">
        <v>6.65490422632653</v>
      </c>
      <c r="BH1061" s="3" t="n">
        <v>7.071237132798245</v>
      </c>
      <c r="BI1061" s="3" t="n">
        <v>7.165366988315284</v>
      </c>
      <c r="BJ1061" s="3" t="n">
        <v>7.121049294584775</v>
      </c>
      <c r="BK1061" s="3" t="n">
        <v>7.073455739437258</v>
      </c>
      <c r="BL1061" s="3" t="n">
        <v>7.022471554821592</v>
      </c>
      <c r="BM1061" s="3" t="n">
        <v>6.973175881657142</v>
      </c>
      <c r="BN1061" s="3" t="n">
        <v>6.973193719226083</v>
      </c>
      <c r="BO1061" s="3" t="n">
        <v>6.973201881523788</v>
      </c>
      <c r="BP1061" s="3" t="n">
        <v>6.973201856941279</v>
      </c>
      <c r="BQ1061" s="3" t="n">
        <v>6.97319544308549</v>
      </c>
      <c r="BR1061" s="3" t="n">
        <v>6.973183819708302</v>
      </c>
      <c r="BS1061" s="3" t="n">
        <v>6.973167647879531</v>
      </c>
      <c r="BT1061" s="3" t="n">
        <v>6.973148030417829</v>
      </c>
      <c r="BU1061" s="3" t="n">
        <v>6.973125783198687</v>
      </c>
      <c r="BV1061" s="3" t="n">
        <v>6.973101887848496</v>
      </c>
      <c r="BW1061" s="3" t="n">
        <v>6.973076820971406</v>
      </c>
      <c r="BY1061" s="20" t="inlineStr">
        <is>
          <t>egy.mit.supcost.oth.coa.5</t>
        </is>
      </c>
      <c r="BZ1061" s="3" t="n">
        <v>10.90961056403382</v>
      </c>
      <c r="CA1061" s="3" t="n">
        <v>8.565728055997416</v>
      </c>
      <c r="CB1061" s="3" t="n">
        <v>7.410633291740282</v>
      </c>
      <c r="CC1061" s="3" t="n">
        <v>6.65490422632653</v>
      </c>
      <c r="CD1061" s="3" t="n">
        <v>7.071237132798245</v>
      </c>
      <c r="CE1061" s="3" t="n">
        <v>7.165120903378707</v>
      </c>
      <c r="CF1061" s="3" t="n">
        <v>7.120696617952706</v>
      </c>
      <c r="CG1061" s="3" t="n">
        <v>7.073040400720157</v>
      </c>
      <c r="CH1061" s="3" t="n">
        <v>7.022024445261404</v>
      </c>
      <c r="CI1061" s="3" t="n">
        <v>6.972783203584908</v>
      </c>
      <c r="CJ1061" s="3" t="n">
        <v>6.9728613818023</v>
      </c>
      <c r="CK1061" s="3" t="n">
        <v>6.972934208871094</v>
      </c>
      <c r="CL1061" s="3" t="n">
        <v>6.973001044643928</v>
      </c>
      <c r="CM1061" s="3" t="n">
        <v>6.973063874975194</v>
      </c>
      <c r="CN1061" s="3" t="n">
        <v>6.973066007568535</v>
      </c>
      <c r="CO1061" s="3" t="n">
        <v>6.973068181710623</v>
      </c>
      <c r="CP1061" s="3" t="n">
        <v>6.973070816933121</v>
      </c>
      <c r="CQ1061" s="3" t="n">
        <v>6.973073534636312</v>
      </c>
      <c r="CR1061" s="3" t="n">
        <v>6.973077085433482</v>
      </c>
      <c r="CS1061" s="3" t="n">
        <v>6.97308087735821</v>
      </c>
      <c r="CU1061" s="20" t="inlineStr">
        <is>
          <t>egy.mit.supcost.oth.coa.6</t>
        </is>
      </c>
      <c r="CV1061" s="3" t="n">
        <v>10.90961056403382</v>
      </c>
      <c r="CW1061" s="3" t="n">
        <v>8.565728055997416</v>
      </c>
      <c r="CX1061" s="3" t="n">
        <v>7.410633291740282</v>
      </c>
      <c r="CY1061" s="3" t="n">
        <v>6.65490422632653</v>
      </c>
      <c r="CZ1061" s="3" t="n">
        <v>7.071237132798245</v>
      </c>
      <c r="DA1061" s="3" t="n">
        <v>7.165743584173868</v>
      </c>
      <c r="DB1061" s="3" t="n">
        <v>7.121147822194183</v>
      </c>
      <c r="DC1061" s="3" t="n">
        <v>7.073332351591281</v>
      </c>
      <c r="DD1061" s="3" t="n">
        <v>7.022171734833261</v>
      </c>
      <c r="DE1061" s="3" t="n">
        <v>6.972795751231502</v>
      </c>
      <c r="DF1061" s="3" t="n">
        <v>6.972747779291265</v>
      </c>
      <c r="DG1061" s="3" t="n">
        <v>6.972697877998946</v>
      </c>
      <c r="DH1061" s="3" t="n">
        <v>6.97264802629925</v>
      </c>
      <c r="DI1061" s="3" t="n">
        <v>6.972599845053973</v>
      </c>
      <c r="DJ1061" s="3" t="n">
        <v>6.972552247385854</v>
      </c>
      <c r="DK1061" s="3" t="n">
        <v>6.9725045248609</v>
      </c>
      <c r="DL1061" s="3" t="n">
        <v>6.972459020712011</v>
      </c>
      <c r="DM1061" s="3" t="n">
        <v>6.972415034376389</v>
      </c>
      <c r="DN1061" s="3" t="n">
        <v>6.972373308499712</v>
      </c>
      <c r="DO1061" s="3" t="n">
        <v>6.972332782575016</v>
      </c>
    </row>
    <row r="1062">
      <c r="A1062" s="19" t="inlineStr">
        <is>
          <t>mit.extcost.oth.coa</t>
        </is>
      </c>
      <c r="B1062" s="3" t="inlineStr">
        <is>
          <t>mit</t>
        </is>
      </c>
      <c r="C1062" s="19" t="inlineStr">
        <is>
          <t>mit.extcost.coa.other</t>
        </is>
      </c>
      <c r="H1062" s="3" t="inlineStr">
        <is>
          <t>Energy subsidies: externalities incl. climate (global SCC) | Other | Coal</t>
        </is>
      </c>
      <c r="I1062" s="3" t="inlineStr">
        <is>
          <t>USD/GJ, USD/kWh</t>
        </is>
      </c>
      <c r="K1062" s="20" t="inlineStr">
        <is>
          <t>egy.mit.extcost.oth.coa.1</t>
        </is>
      </c>
      <c r="L1062" s="3" t="n">
        <v>6.91736992548756</v>
      </c>
      <c r="M1062" s="3" t="n">
        <v>7.120118089823654</v>
      </c>
      <c r="N1062" s="3" t="n">
        <v>7.250933263228169</v>
      </c>
      <c r="O1062" s="3" t="n">
        <v>7.025514946727719</v>
      </c>
      <c r="P1062" s="3" t="n">
        <v>7.410324010591699</v>
      </c>
      <c r="Q1062" s="3" t="n">
        <v>7.697611594319791</v>
      </c>
      <c r="R1062" s="3" t="n">
        <v>8.06561625716293</v>
      </c>
      <c r="S1062" s="3" t="n">
        <v>8.436590295021123</v>
      </c>
      <c r="T1062" s="3" t="n">
        <v>8.809691869659083</v>
      </c>
      <c r="U1062" s="3" t="n">
        <v>9.123928447107911</v>
      </c>
      <c r="V1062" s="3" t="n">
        <v>9.483831294448937</v>
      </c>
      <c r="W1062" s="3" t="n">
        <v>9.857224188721023</v>
      </c>
      <c r="X1062" s="3" t="n">
        <v>10.24453797487929</v>
      </c>
      <c r="Y1062" s="3" t="n">
        <v>10.64628667881595</v>
      </c>
      <c r="Z1062" s="3" t="n">
        <v>11.06290834359199</v>
      </c>
      <c r="AA1062" s="3" t="n">
        <v>11.49501499198524</v>
      </c>
      <c r="AB1062" s="3" t="n">
        <v>11.94297698733338</v>
      </c>
      <c r="AC1062" s="3" t="n">
        <v>12.40730472205976</v>
      </c>
      <c r="AD1062" s="3" t="n">
        <v>12.88852250238807</v>
      </c>
      <c r="AE1062" s="3" t="n">
        <v>13.3040212145843</v>
      </c>
      <c r="AG1062" s="20" t="inlineStr">
        <is>
          <t>egy.mit.extcost.oth.coa.3</t>
        </is>
      </c>
      <c r="AH1062" s="3" t="n">
        <v>6.91736992548756</v>
      </c>
      <c r="AI1062" s="3" t="n">
        <v>7.120118089823654</v>
      </c>
      <c r="AJ1062" s="3" t="n">
        <v>7.250933263228169</v>
      </c>
      <c r="AK1062" s="3" t="n">
        <v>7.025514946727719</v>
      </c>
      <c r="AL1062" s="3" t="n">
        <v>7.410324010591699</v>
      </c>
      <c r="AM1062" s="3" t="n">
        <v>7.697535157869215</v>
      </c>
      <c r="AN1062" s="3" t="n">
        <v>8.065533566628874</v>
      </c>
      <c r="AO1062" s="3" t="n">
        <v>8.436501918308796</v>
      </c>
      <c r="AP1062" s="3" t="n">
        <v>8.809597625042578</v>
      </c>
      <c r="AQ1062" s="3" t="n">
        <v>9.123832972298649</v>
      </c>
      <c r="AR1062" s="3" t="n">
        <v>9.483732997970476</v>
      </c>
      <c r="AS1062" s="3" t="n">
        <v>9.857123436420833</v>
      </c>
      <c r="AT1062" s="3" t="n">
        <v>10.24443493346304</v>
      </c>
      <c r="AU1062" s="3" t="n">
        <v>10.64618122360051</v>
      </c>
      <c r="AV1062" s="3" t="n">
        <v>11.06280053687841</v>
      </c>
      <c r="AW1062" s="3" t="n">
        <v>11.4949050144266</v>
      </c>
      <c r="AX1062" s="3" t="n">
        <v>11.94286463254604</v>
      </c>
      <c r="AY1062" s="3" t="n">
        <v>12.40718987216549</v>
      </c>
      <c r="AZ1062" s="3" t="n">
        <v>12.88840489697887</v>
      </c>
      <c r="BA1062" s="3" t="n">
        <v>13.3039051636715</v>
      </c>
      <c r="BC1062" s="20" t="inlineStr">
        <is>
          <t>egy.mit.extcost.oth.coa.4</t>
        </is>
      </c>
      <c r="BD1062" s="3" t="n">
        <v>6.91736992548756</v>
      </c>
      <c r="BE1062" s="3" t="n">
        <v>7.120118089823654</v>
      </c>
      <c r="BF1062" s="3" t="n">
        <v>7.250933263228169</v>
      </c>
      <c r="BG1062" s="3" t="n">
        <v>7.025514946727719</v>
      </c>
      <c r="BH1062" s="3" t="n">
        <v>7.410324010591699</v>
      </c>
      <c r="BI1062" s="3" t="n">
        <v>7.697548408039165</v>
      </c>
      <c r="BJ1062" s="3" t="n">
        <v>8.065473971339607</v>
      </c>
      <c r="BK1062" s="3" t="n">
        <v>8.436374249688617</v>
      </c>
      <c r="BL1062" s="3" t="n">
        <v>8.809406798767039</v>
      </c>
      <c r="BM1062" s="3" t="n">
        <v>9.123613880125319</v>
      </c>
      <c r="BN1062" s="3" t="n">
        <v>9.483484902137716</v>
      </c>
      <c r="BO1062" s="3" t="n">
        <v>9.856847825862307</v>
      </c>
      <c r="BP1062" s="3" t="n">
        <v>10.24413331073127</v>
      </c>
      <c r="BQ1062" s="3" t="n">
        <v>10.6458550138119</v>
      </c>
      <c r="BR1062" s="3" t="n">
        <v>11.06245078720341</v>
      </c>
      <c r="BS1062" s="3" t="n">
        <v>11.49453257941018</v>
      </c>
      <c r="BT1062" s="3" t="n">
        <v>11.94247053818469</v>
      </c>
      <c r="BU1062" s="3" t="n">
        <v>12.40677488135682</v>
      </c>
      <c r="BV1062" s="3" t="n">
        <v>12.88796963257837</v>
      </c>
      <c r="BW1062" s="3" t="n">
        <v>13.30346656785547</v>
      </c>
      <c r="BY1062" s="20" t="inlineStr">
        <is>
          <t>egy.mit.extcost.oth.coa.5</t>
        </is>
      </c>
      <c r="BZ1062" s="3" t="n">
        <v>6.91736992548756</v>
      </c>
      <c r="CA1062" s="3" t="n">
        <v>7.120118089823654</v>
      </c>
      <c r="CB1062" s="3" t="n">
        <v>7.250933263228169</v>
      </c>
      <c r="CC1062" s="3" t="n">
        <v>7.025514946727719</v>
      </c>
      <c r="CD1062" s="3" t="n">
        <v>7.410324010591699</v>
      </c>
      <c r="CE1062" s="3" t="n">
        <v>7.697609169341442</v>
      </c>
      <c r="CF1062" s="3" t="n">
        <v>8.065568921950666</v>
      </c>
      <c r="CG1062" s="3" t="n">
        <v>8.436494842610681</v>
      </c>
      <c r="CH1062" s="3" t="n">
        <v>8.809545417723806</v>
      </c>
      <c r="CI1062" s="3" t="n">
        <v>9.123738033329891</v>
      </c>
      <c r="CJ1062" s="3" t="n">
        <v>9.483593851687052</v>
      </c>
      <c r="CK1062" s="3" t="n">
        <v>9.856938774397145</v>
      </c>
      <c r="CL1062" s="3" t="n">
        <v>10.2442039970913</v>
      </c>
      <c r="CM1062" s="3" t="n">
        <v>10.64590297193152</v>
      </c>
      <c r="CN1062" s="3" t="n">
        <v>11.06249523632008</v>
      </c>
      <c r="CO1062" s="3" t="n">
        <v>11.49457140555421</v>
      </c>
      <c r="CP1062" s="3" t="n">
        <v>11.94250170508236</v>
      </c>
      <c r="CQ1062" s="3" t="n">
        <v>12.40679667816894</v>
      </c>
      <c r="CR1062" s="3" t="n">
        <v>12.88798032037657</v>
      </c>
      <c r="CS1062" s="3" t="n">
        <v>13.3034648291695</v>
      </c>
      <c r="CU1062" s="20" t="inlineStr">
        <is>
          <t>egy.mit.extcost.oth.coa.6</t>
        </is>
      </c>
      <c r="CV1062" s="3" t="n">
        <v>6.91736992548756</v>
      </c>
      <c r="CW1062" s="3" t="n">
        <v>7.120118089823654</v>
      </c>
      <c r="CX1062" s="3" t="n">
        <v>7.250933263228169</v>
      </c>
      <c r="CY1062" s="3" t="n">
        <v>7.025514946727719</v>
      </c>
      <c r="CZ1062" s="3" t="n">
        <v>7.410324010591699</v>
      </c>
      <c r="DA1062" s="3" t="n">
        <v>7.69745542203556</v>
      </c>
      <c r="DB1062" s="3" t="n">
        <v>8.065447444896208</v>
      </c>
      <c r="DC1062" s="3" t="n">
        <v>8.436410075149334</v>
      </c>
      <c r="DD1062" s="3" t="n">
        <v>8.809499753017411</v>
      </c>
      <c r="DE1062" s="3" t="n">
        <v>9.123734066134766</v>
      </c>
      <c r="DF1062" s="3" t="n">
        <v>9.483631093783474</v>
      </c>
      <c r="DG1062" s="3" t="n">
        <v>9.857019073771564</v>
      </c>
      <c r="DH1062" s="3" t="n">
        <v>10.24432826030692</v>
      </c>
      <c r="DI1062" s="3" t="n">
        <v>10.64607211628132</v>
      </c>
      <c r="DJ1062" s="3" t="n">
        <v>11.06268907191587</v>
      </c>
      <c r="DK1062" s="3" t="n">
        <v>11.49479142631374</v>
      </c>
      <c r="DL1062" s="3" t="n">
        <v>11.94274865404839</v>
      </c>
      <c r="DM1062" s="3" t="n">
        <v>12.40707138824305</v>
      </c>
      <c r="DN1062" s="3" t="n">
        <v>12.88828359027348</v>
      </c>
      <c r="DO1062" s="3" t="n">
        <v>13.30378548446345</v>
      </c>
    </row>
    <row r="1063">
      <c r="A1063" s="19" t="inlineStr">
        <is>
          <t>mit.vatext.oth.coa</t>
        </is>
      </c>
      <c r="B1063" s="3" t="inlineStr">
        <is>
          <t>mit</t>
        </is>
      </c>
      <c r="C1063" s="19" t="inlineStr">
        <is>
          <t>mit.vatext.coa.other</t>
        </is>
      </c>
      <c r="H1063" s="3" t="inlineStr">
        <is>
          <t>Energy subsidies: VAT on supply cost and externalities | Other | Coal</t>
        </is>
      </c>
      <c r="I1063" s="3" t="inlineStr">
        <is>
          <t>USD/GJ, USD/kWh</t>
        </is>
      </c>
      <c r="K1063" s="20" t="inlineStr">
        <is>
          <t>egy.mit.vatext.oth.coa.1</t>
        </is>
      </c>
      <c r="L1063" s="3" t="n">
        <v>0.00359695701224445</v>
      </c>
      <c r="M1063" s="3" t="n">
        <v>0.0028874722989582</v>
      </c>
      <c r="N1063" s="3" t="n">
        <v>0.002674252660307847</v>
      </c>
      <c r="O1063" s="3" t="n">
        <v>0.002505226884600735</v>
      </c>
      <c r="P1063" s="3" t="n">
        <v>0.002615921085633079</v>
      </c>
      <c r="Q1063" s="3" t="n">
        <v>0.002647986683239088</v>
      </c>
      <c r="R1063" s="3" t="n">
        <v>0.002645381998513134</v>
      </c>
      <c r="S1063" s="3" t="n">
        <v>0.00264499476260334</v>
      </c>
      <c r="T1063" s="3" t="n">
        <v>0.002647147476784045</v>
      </c>
      <c r="U1063" s="3" t="n">
        <v>0.002651289705137921</v>
      </c>
      <c r="V1063" s="3" t="n">
        <v>0.002668066075934054</v>
      </c>
      <c r="W1063" s="3" t="n">
        <v>0.002686254254707114</v>
      </c>
      <c r="X1063" s="3" t="n">
        <v>0.002705884401274823</v>
      </c>
      <c r="Y1063" s="3" t="n">
        <v>0.00272698847431586</v>
      </c>
      <c r="Z1063" s="3" t="n">
        <v>0.002749600281490779</v>
      </c>
      <c r="AA1063" s="3" t="n">
        <v>0.002773755532237068</v>
      </c>
      <c r="AB1063" s="3" t="n">
        <v>0.00279949189338601</v>
      </c>
      <c r="AC1063" s="3" t="n">
        <v>0.002826849047754133</v>
      </c>
      <c r="AD1063" s="3" t="n">
        <v>0.002855868755867969</v>
      </c>
      <c r="AE1063" s="3" t="n">
        <v>0.002886594920987339</v>
      </c>
      <c r="AG1063" s="20" t="inlineStr">
        <is>
          <t>egy.mit.vatext.oth.coa.3</t>
        </is>
      </c>
      <c r="AH1063" s="3" t="n">
        <v>0.00359695701224445</v>
      </c>
      <c r="AI1063" s="3" t="n">
        <v>0.0028874722989582</v>
      </c>
      <c r="AJ1063" s="3" t="n">
        <v>0.002674252660307847</v>
      </c>
      <c r="AK1063" s="3" t="n">
        <v>0.002505226884600735</v>
      </c>
      <c r="AL1063" s="3" t="n">
        <v>0.002615921085633079</v>
      </c>
      <c r="AM1063" s="3" t="n">
        <v>0.002804401559513935</v>
      </c>
      <c r="AN1063" s="3" t="n">
        <v>0.002802694833121471</v>
      </c>
      <c r="AO1063" s="3" t="n">
        <v>0.002803101925113652</v>
      </c>
      <c r="AP1063" s="3" t="n">
        <v>0.002807356065443105</v>
      </c>
      <c r="AQ1063" s="3" t="n">
        <v>0.00281284081886143</v>
      </c>
      <c r="AR1063" s="3" t="n">
        <v>0.002830933593472842</v>
      </c>
      <c r="AS1063" s="3" t="n">
        <v>0.002849847540243652</v>
      </c>
      <c r="AT1063" s="3" t="n">
        <v>0.002869976906663843</v>
      </c>
      <c r="AU1063" s="3" t="n">
        <v>0.002891827689997714</v>
      </c>
      <c r="AV1063" s="3" t="n">
        <v>0.002915147250290082</v>
      </c>
      <c r="AW1063" s="3" t="n">
        <v>0.00293979525296804</v>
      </c>
      <c r="AX1063" s="3" t="n">
        <v>0.002966416669797921</v>
      </c>
      <c r="AY1063" s="3" t="n">
        <v>0.002994915006437534</v>
      </c>
      <c r="AZ1063" s="3" t="n">
        <v>0.003025538675869318</v>
      </c>
      <c r="BA1063" s="3" t="n">
        <v>0.003058073155594872</v>
      </c>
      <c r="BC1063" s="20" t="inlineStr">
        <is>
          <t>egy.mit.vatext.oth.coa.4</t>
        </is>
      </c>
      <c r="BD1063" s="3" t="n">
        <v>0.00359695701224445</v>
      </c>
      <c r="BE1063" s="3" t="n">
        <v>0.0028874722989582</v>
      </c>
      <c r="BF1063" s="3" t="n">
        <v>0.002674252660307847</v>
      </c>
      <c r="BG1063" s="3" t="n">
        <v>0.002505226884600735</v>
      </c>
      <c r="BH1063" s="3" t="n">
        <v>0.002615921085633079</v>
      </c>
      <c r="BI1063" s="3" t="n">
        <v>0.002777287222338225</v>
      </c>
      <c r="BJ1063" s="3" t="n">
        <v>0.002916070614164699</v>
      </c>
      <c r="BK1063" s="3" t="n">
        <v>0.003031502855028647</v>
      </c>
      <c r="BL1063" s="3" t="n">
        <v>0.003131746035038698</v>
      </c>
      <c r="BM1063" s="3" t="n">
        <v>0.0031835625294622</v>
      </c>
      <c r="BN1063" s="3" t="n">
        <v>0.003242003786698251</v>
      </c>
      <c r="BO1063" s="3" t="n">
        <v>0.003297361261653505</v>
      </c>
      <c r="BP1063" s="3" t="n">
        <v>0.003350308326185939</v>
      </c>
      <c r="BQ1063" s="3" t="n">
        <v>0.003401732918233344</v>
      </c>
      <c r="BR1063" s="3" t="n">
        <v>0.003452219540222377</v>
      </c>
      <c r="BS1063" s="3" t="n">
        <v>0.003502082749430779</v>
      </c>
      <c r="BT1063" s="3" t="n">
        <v>0.003551920097926944</v>
      </c>
      <c r="BU1063" s="3" t="n">
        <v>0.003602193128437157</v>
      </c>
      <c r="BV1063" s="3" t="n">
        <v>0.003653496832853758</v>
      </c>
      <c r="BW1063" s="3" t="n">
        <v>0.003706147646566787</v>
      </c>
      <c r="BY1063" s="20" t="inlineStr">
        <is>
          <t>egy.mit.vatext.oth.coa.5</t>
        </is>
      </c>
      <c r="BZ1063" s="3" t="n">
        <v>0.00359695701224445</v>
      </c>
      <c r="CA1063" s="3" t="n">
        <v>0.0028874722989582</v>
      </c>
      <c r="CB1063" s="3" t="n">
        <v>0.002674252660307847</v>
      </c>
      <c r="CC1063" s="3" t="n">
        <v>0.002505226884600735</v>
      </c>
      <c r="CD1063" s="3" t="n">
        <v>0.002615921085633079</v>
      </c>
      <c r="CE1063" s="3" t="n">
        <v>0.00265294901057462</v>
      </c>
      <c r="CF1063" s="3" t="n">
        <v>0.00273543385877682</v>
      </c>
      <c r="CG1063" s="3" t="n">
        <v>0.002815760447051284</v>
      </c>
      <c r="CH1063" s="3" t="n">
        <v>0.002896104485965379</v>
      </c>
      <c r="CI1063" s="3" t="n">
        <v>0.002973485247026852</v>
      </c>
      <c r="CJ1063" s="3" t="n">
        <v>0.003061485187095138</v>
      </c>
      <c r="CK1063" s="3" t="n">
        <v>0.003149686522698951</v>
      </c>
      <c r="CL1063" s="3" t="n">
        <v>0.003237740949545894</v>
      </c>
      <c r="CM1063" s="3" t="n">
        <v>0.00332676859531892</v>
      </c>
      <c r="CN1063" s="3" t="n">
        <v>0.003383963897447933</v>
      </c>
      <c r="CO1063" s="3" t="n">
        <v>0.003443464589587696</v>
      </c>
      <c r="CP1063" s="3" t="n">
        <v>0.003505615640886241</v>
      </c>
      <c r="CQ1063" s="3" t="n">
        <v>0.003570296693988262</v>
      </c>
      <c r="CR1063" s="3" t="n">
        <v>0.003638077492216049</v>
      </c>
      <c r="CS1063" s="3" t="n">
        <v>0.00370871675001817</v>
      </c>
      <c r="CU1063" s="20" t="inlineStr">
        <is>
          <t>egy.mit.vatext.oth.coa.6</t>
        </is>
      </c>
      <c r="CV1063" s="3" t="n">
        <v>0.00359695701224445</v>
      </c>
      <c r="CW1063" s="3" t="n">
        <v>0.0028874722989582</v>
      </c>
      <c r="CX1063" s="3" t="n">
        <v>0.002674252660307847</v>
      </c>
      <c r="CY1063" s="3" t="n">
        <v>0.002505226884600735</v>
      </c>
      <c r="CZ1063" s="3" t="n">
        <v>0.002615921085633079</v>
      </c>
      <c r="DA1063" s="3" t="n">
        <v>0.002967568091476526</v>
      </c>
      <c r="DB1063" s="3" t="n">
        <v>0.002966535277998331</v>
      </c>
      <c r="DC1063" s="3" t="n">
        <v>0.002967410609566776</v>
      </c>
      <c r="DD1063" s="3" t="n">
        <v>0.002973730969416052</v>
      </c>
      <c r="DE1063" s="3" t="n">
        <v>0.00298019806264747</v>
      </c>
      <c r="DF1063" s="3" t="n">
        <v>0.00299977872632356</v>
      </c>
      <c r="DG1063" s="3" t="n">
        <v>0.00301930301321382</v>
      </c>
      <c r="DH1063" s="3" t="n">
        <v>0.003039852924309871</v>
      </c>
      <c r="DI1063" s="3" t="n">
        <v>0.003062375584136912</v>
      </c>
      <c r="DJ1063" s="3" t="n">
        <v>0.003086311791557192</v>
      </c>
      <c r="DK1063" s="3" t="n">
        <v>0.003111286044093012</v>
      </c>
      <c r="DL1063" s="3" t="n">
        <v>0.003138725169035327</v>
      </c>
      <c r="DM1063" s="3" t="n">
        <v>0.003168298831827877</v>
      </c>
      <c r="DN1063" s="3" t="n">
        <v>0.003200548474644389</v>
      </c>
      <c r="DO1063" s="3" t="n">
        <v>0.003234912603212641</v>
      </c>
    </row>
    <row r="1064">
      <c r="A1064" s="19" t="inlineStr">
        <is>
          <t>mit.effprice.oth.coa</t>
        </is>
      </c>
      <c r="B1064" s="3" t="inlineStr">
        <is>
          <t>mit</t>
        </is>
      </c>
      <c r="C1064" s="19" t="inlineStr">
        <is>
          <t>mit.effprice.coa.other</t>
        </is>
      </c>
      <c r="H1064" s="3" t="inlineStr">
        <is>
          <t>Energy subsidies: efficient price | Other | Coal</t>
        </is>
      </c>
      <c r="I1064" s="3" t="inlineStr">
        <is>
          <t>USD/GJ, USD/kWh</t>
        </is>
      </c>
      <c r="K1064" s="20" t="inlineStr">
        <is>
          <t>egy.mit.effprice.oth.coa.1</t>
        </is>
      </c>
      <c r="L1064" s="3" t="n">
        <v>17.83057744653363</v>
      </c>
      <c r="M1064" s="3" t="n">
        <v>15.68873361812003</v>
      </c>
      <c r="N1064" s="3" t="n">
        <v>14.66424080762876</v>
      </c>
      <c r="O1064" s="3" t="n">
        <v>13.68292439993885</v>
      </c>
      <c r="P1064" s="3" t="n">
        <v>14.48417706447558</v>
      </c>
      <c r="Q1064" s="3" t="n">
        <v>14.86537066315309</v>
      </c>
      <c r="R1064" s="3" t="n">
        <v>15.18878243914886</v>
      </c>
      <c r="S1064" s="3" t="n">
        <v>15.51194693918898</v>
      </c>
      <c r="T1064" s="3" t="n">
        <v>15.83389108789745</v>
      </c>
      <c r="U1064" s="3" t="n">
        <v>16.09876069001274</v>
      </c>
      <c r="V1064" s="3" t="n">
        <v>16.45863645189861</v>
      </c>
      <c r="W1064" s="3" t="n">
        <v>16.8320046426117</v>
      </c>
      <c r="X1064" s="3" t="n">
        <v>17.21929610918033</v>
      </c>
      <c r="Y1064" s="3" t="n">
        <v>17.62102488235946</v>
      </c>
      <c r="Z1064" s="3" t="n">
        <v>18.03762901288533</v>
      </c>
      <c r="AA1064" s="3" t="n">
        <v>18.46972053404961</v>
      </c>
      <c r="AB1064" s="3" t="n">
        <v>18.91766982257171</v>
      </c>
      <c r="AC1064" s="3" t="n">
        <v>19.3819872871573</v>
      </c>
      <c r="AD1064" s="3" t="n">
        <v>19.86319725324935</v>
      </c>
      <c r="AE1064" s="3" t="n">
        <v>20.2786906293104</v>
      </c>
      <c r="AG1064" s="20" t="inlineStr">
        <is>
          <t>egy.mit.effprice.oth.coa.3</t>
        </is>
      </c>
      <c r="AH1064" s="3" t="n">
        <v>17.83057744653363</v>
      </c>
      <c r="AI1064" s="3" t="n">
        <v>15.68873361812003</v>
      </c>
      <c r="AJ1064" s="3" t="n">
        <v>14.66424080762876</v>
      </c>
      <c r="AK1064" s="3" t="n">
        <v>13.68292439993885</v>
      </c>
      <c r="AL1064" s="3" t="n">
        <v>14.48417706447558</v>
      </c>
      <c r="AM1064" s="3" t="n">
        <v>14.86576021129482</v>
      </c>
      <c r="AN1064" s="3" t="n">
        <v>15.1891642002738</v>
      </c>
      <c r="AO1064" s="3" t="n">
        <v>15.51232105127028</v>
      </c>
      <c r="AP1064" s="3" t="n">
        <v>15.83426103387912</v>
      </c>
      <c r="AQ1064" s="3" t="n">
        <v>16.09912873890162</v>
      </c>
      <c r="AR1064" s="3" t="n">
        <v>16.45900086445715</v>
      </c>
      <c r="AS1064" s="3" t="n">
        <v>16.83236400992925</v>
      </c>
      <c r="AT1064" s="3" t="n">
        <v>17.21964988977929</v>
      </c>
      <c r="AU1064" s="3" t="n">
        <v>17.62137357176881</v>
      </c>
      <c r="AV1064" s="3" t="n">
        <v>18.03797249424316</v>
      </c>
      <c r="AW1064" s="3" t="n">
        <v>18.47005834055427</v>
      </c>
      <c r="AX1064" s="3" t="n">
        <v>18.91800274251875</v>
      </c>
      <c r="AY1064" s="3" t="n">
        <v>19.38231580686855</v>
      </c>
      <c r="AZ1064" s="3" t="n">
        <v>19.86352223628956</v>
      </c>
      <c r="BA1064" s="3" t="n">
        <v>20.27901680557691</v>
      </c>
      <c r="BC1064" s="20" t="inlineStr">
        <is>
          <t>egy.mit.effprice.oth.coa.4</t>
        </is>
      </c>
      <c r="BD1064" s="3" t="n">
        <v>17.83057744653363</v>
      </c>
      <c r="BE1064" s="3" t="n">
        <v>15.68873361812003</v>
      </c>
      <c r="BF1064" s="3" t="n">
        <v>14.66424080762876</v>
      </c>
      <c r="BG1064" s="3" t="n">
        <v>13.68292439993885</v>
      </c>
      <c r="BH1064" s="3" t="n">
        <v>14.48417706447558</v>
      </c>
      <c r="BI1064" s="3" t="n">
        <v>14.86569268357679</v>
      </c>
      <c r="BJ1064" s="3" t="n">
        <v>15.18943933653855</v>
      </c>
      <c r="BK1064" s="3" t="n">
        <v>15.5128614919809</v>
      </c>
      <c r="BL1064" s="3" t="n">
        <v>15.83501009962367</v>
      </c>
      <c r="BM1064" s="3" t="n">
        <v>16.09997332431192</v>
      </c>
      <c r="BN1064" s="3" t="n">
        <v>16.4599206251505</v>
      </c>
      <c r="BO1064" s="3" t="n">
        <v>16.83334706864775</v>
      </c>
      <c r="BP1064" s="3" t="n">
        <v>17.22068547599874</v>
      </c>
      <c r="BQ1064" s="3" t="n">
        <v>17.62245218981563</v>
      </c>
      <c r="BR1064" s="3" t="n">
        <v>18.03908682645193</v>
      </c>
      <c r="BS1064" s="3" t="n">
        <v>18.47120231003914</v>
      </c>
      <c r="BT1064" s="3" t="n">
        <v>18.91917048870045</v>
      </c>
      <c r="BU1064" s="3" t="n">
        <v>19.38350285768395</v>
      </c>
      <c r="BV1064" s="3" t="n">
        <v>19.86472501725972</v>
      </c>
      <c r="BW1064" s="3" t="n">
        <v>20.28024953647344</v>
      </c>
      <c r="BY1064" s="20" t="inlineStr">
        <is>
          <t>egy.mit.effprice.oth.coa.5</t>
        </is>
      </c>
      <c r="BZ1064" s="3" t="n">
        <v>17.83057744653363</v>
      </c>
      <c r="CA1064" s="3" t="n">
        <v>15.68873361812003</v>
      </c>
      <c r="CB1064" s="3" t="n">
        <v>14.66424080762876</v>
      </c>
      <c r="CC1064" s="3" t="n">
        <v>13.68292439993885</v>
      </c>
      <c r="CD1064" s="3" t="n">
        <v>14.48417706447558</v>
      </c>
      <c r="CE1064" s="3" t="n">
        <v>14.86538302173072</v>
      </c>
      <c r="CF1064" s="3" t="n">
        <v>15.18900097376215</v>
      </c>
      <c r="CG1064" s="3" t="n">
        <v>15.51235100377789</v>
      </c>
      <c r="CH1064" s="3" t="n">
        <v>15.83446596747117</v>
      </c>
      <c r="CI1064" s="3" t="n">
        <v>16.09949472216183</v>
      </c>
      <c r="CJ1064" s="3" t="n">
        <v>16.45951671867645</v>
      </c>
      <c r="CK1064" s="3" t="n">
        <v>16.83302266979094</v>
      </c>
      <c r="CL1064" s="3" t="n">
        <v>17.22044278268477</v>
      </c>
      <c r="CM1064" s="3" t="n">
        <v>17.62229361550203</v>
      </c>
      <c r="CN1064" s="3" t="n">
        <v>18.03894520778607</v>
      </c>
      <c r="CO1064" s="3" t="n">
        <v>18.47108305185442</v>
      </c>
      <c r="CP1064" s="3" t="n">
        <v>18.91907813765636</v>
      </c>
      <c r="CQ1064" s="3" t="n">
        <v>19.38344050949923</v>
      </c>
      <c r="CR1064" s="3" t="n">
        <v>19.86469548330227</v>
      </c>
      <c r="CS1064" s="3" t="n">
        <v>20.28025442327773</v>
      </c>
      <c r="CU1064" s="20" t="inlineStr">
        <is>
          <t>egy.mit.effprice.oth.coa.6</t>
        </is>
      </c>
      <c r="CV1064" s="3" t="n">
        <v>17.83057744653363</v>
      </c>
      <c r="CW1064" s="3" t="n">
        <v>15.68873361812003</v>
      </c>
      <c r="CX1064" s="3" t="n">
        <v>14.66424080762876</v>
      </c>
      <c r="CY1064" s="3" t="n">
        <v>13.68292439993885</v>
      </c>
      <c r="CZ1064" s="3" t="n">
        <v>14.48417706447558</v>
      </c>
      <c r="DA1064" s="3" t="n">
        <v>14.8661665743009</v>
      </c>
      <c r="DB1064" s="3" t="n">
        <v>15.18956180236839</v>
      </c>
      <c r="DC1064" s="3" t="n">
        <v>15.51270983735018</v>
      </c>
      <c r="DD1064" s="3" t="n">
        <v>15.83464521882009</v>
      </c>
      <c r="DE1064" s="3" t="n">
        <v>16.09951001542892</v>
      </c>
      <c r="DF1064" s="3" t="n">
        <v>16.45937865180106</v>
      </c>
      <c r="DG1064" s="3" t="n">
        <v>16.83273625478373</v>
      </c>
      <c r="DH1064" s="3" t="n">
        <v>17.22001613953048</v>
      </c>
      <c r="DI1064" s="3" t="n">
        <v>17.62173433691942</v>
      </c>
      <c r="DJ1064" s="3" t="n">
        <v>18.03832763109328</v>
      </c>
      <c r="DK1064" s="3" t="n">
        <v>18.47040723721873</v>
      </c>
      <c r="DL1064" s="3" t="n">
        <v>18.91834639992944</v>
      </c>
      <c r="DM1064" s="3" t="n">
        <v>19.38265472145126</v>
      </c>
      <c r="DN1064" s="3" t="n">
        <v>19.86385744724784</v>
      </c>
      <c r="DO1064" s="3" t="n">
        <v>20.27935317964168</v>
      </c>
    </row>
    <row r="1065">
      <c r="A1065" s="19" t="inlineStr">
        <is>
          <t>mit.rpsub.oth.coa</t>
        </is>
      </c>
      <c r="B1065" s="3" t="inlineStr">
        <is>
          <t>mit</t>
        </is>
      </c>
      <c r="C1065" s="19" t="inlineStr">
        <is>
          <t>mit.rp.coa.other</t>
        </is>
      </c>
      <c r="H1065" s="3" t="inlineStr">
        <is>
          <t>Energy subsidies: retail price of the scenario | Other | Coal</t>
        </is>
      </c>
      <c r="I1065" s="3" t="inlineStr">
        <is>
          <t>USD/GJ, USD/kWh</t>
        </is>
      </c>
      <c r="K1065" s="20" t="inlineStr">
        <is>
          <t>egy.mit.rpsub.oth.coa.1</t>
        </is>
      </c>
      <c r="L1065" s="3" t="n">
        <v>11.26363257232071</v>
      </c>
      <c r="M1065" s="3" t="n">
        <v>8.78466149534041</v>
      </c>
      <c r="N1065" s="3" t="n">
        <v>7.578702256211484</v>
      </c>
      <c r="O1065" s="3" t="n">
        <v>6.822791386152058</v>
      </c>
      <c r="P1065" s="3" t="n">
        <v>7.239203197965162</v>
      </c>
      <c r="Q1065" s="3" t="n">
        <v>7.333082797921784</v>
      </c>
      <c r="R1065" s="3" t="n">
        <v>7.28846616362384</v>
      </c>
      <c r="S1065" s="3" t="n">
        <v>7.240631417878285</v>
      </c>
      <c r="T1065" s="3" t="n">
        <v>7.189447118613407</v>
      </c>
      <c r="U1065" s="3" t="n">
        <v>7.140052207061588</v>
      </c>
      <c r="V1065" s="3" t="n">
        <v>7.139995256845233</v>
      </c>
      <c r="W1065" s="3" t="n">
        <v>7.139939566191851</v>
      </c>
      <c r="X1065" s="3" t="n">
        <v>7.13988509863378</v>
      </c>
      <c r="Y1065" s="3" t="n">
        <v>7.139831818989615</v>
      </c>
      <c r="Z1065" s="3" t="n">
        <v>7.13977969332905</v>
      </c>
      <c r="AA1065" s="3" t="n">
        <v>7.139728688938111</v>
      </c>
      <c r="AB1065" s="3" t="n">
        <v>7.139678774284996</v>
      </c>
      <c r="AC1065" s="3" t="n">
        <v>7.139629918986478</v>
      </c>
      <c r="AD1065" s="3" t="n">
        <v>7.139582093775027</v>
      </c>
      <c r="AE1065" s="3" t="n">
        <v>7.13953527046662</v>
      </c>
      <c r="AG1065" s="20" t="inlineStr">
        <is>
          <t>egy.mit.rpsub.oth.coa.3</t>
        </is>
      </c>
      <c r="AH1065" s="3" t="n">
        <v>11.26363257232071</v>
      </c>
      <c r="AI1065" s="3" t="n">
        <v>8.78466149534041</v>
      </c>
      <c r="AJ1065" s="3" t="n">
        <v>7.578702256211484</v>
      </c>
      <c r="AK1065" s="3" t="n">
        <v>6.822791386152058</v>
      </c>
      <c r="AL1065" s="3" t="n">
        <v>7.239203197965162</v>
      </c>
      <c r="AM1065" s="3" t="n">
        <v>9.324725871350587</v>
      </c>
      <c r="AN1065" s="3" t="n">
        <v>9.28010413271714</v>
      </c>
      <c r="AO1065" s="3" t="n">
        <v>9.232263951075804</v>
      </c>
      <c r="AP1065" s="3" t="n">
        <v>9.181077463136942</v>
      </c>
      <c r="AQ1065" s="3" t="n">
        <v>9.131678271161483</v>
      </c>
      <c r="AR1065" s="3" t="n">
        <v>9.131617214567704</v>
      </c>
      <c r="AS1065" s="3" t="n">
        <v>9.131555873838836</v>
      </c>
      <c r="AT1065" s="3" t="n">
        <v>9.131495144256736</v>
      </c>
      <c r="AU1065" s="3" t="n">
        <v>9.131436124028756</v>
      </c>
      <c r="AV1065" s="3" t="n">
        <v>9.131378097540823</v>
      </c>
      <c r="AW1065" s="3" t="n">
        <v>9.131320643379789</v>
      </c>
      <c r="AX1065" s="3" t="n">
        <v>9.131265103065301</v>
      </c>
      <c r="AY1065" s="3" t="n">
        <v>9.131211107941105</v>
      </c>
      <c r="AZ1065" s="3" t="n">
        <v>9.131159043757332</v>
      </c>
      <c r="BA1065" s="3" t="n">
        <v>9.131108290072875</v>
      </c>
      <c r="BC1065" s="20" t="inlineStr">
        <is>
          <t>egy.mit.rpsub.oth.coa.4</t>
        </is>
      </c>
      <c r="BD1065" s="3" t="n">
        <v>11.26363257232071</v>
      </c>
      <c r="BE1065" s="3" t="n">
        <v>8.78466149534041</v>
      </c>
      <c r="BF1065" s="3" t="n">
        <v>7.578702256211484</v>
      </c>
      <c r="BG1065" s="3" t="n">
        <v>6.822791386152058</v>
      </c>
      <c r="BH1065" s="3" t="n">
        <v>7.239203197965162</v>
      </c>
      <c r="BI1065" s="3" t="n">
        <v>8.329035157896678</v>
      </c>
      <c r="BJ1065" s="3" t="n">
        <v>9.612272562843058</v>
      </c>
      <c r="BK1065" s="3" t="n">
        <v>10.89222289454135</v>
      </c>
      <c r="BL1065" s="3" t="n">
        <v>12.16877488153433</v>
      </c>
      <c r="BM1065" s="3" t="n">
        <v>13.44698220536225</v>
      </c>
      <c r="BN1065" s="3" t="n">
        <v>14.7745101322566</v>
      </c>
      <c r="BO1065" s="3" t="n">
        <v>16.10202492146174</v>
      </c>
      <c r="BP1065" s="3" t="n">
        <v>17.42952816592845</v>
      </c>
      <c r="BQ1065" s="3" t="n">
        <v>18.75702202820866</v>
      </c>
      <c r="BR1065" s="3" t="n">
        <v>20.08450789127511</v>
      </c>
      <c r="BS1065" s="3" t="n">
        <v>21.41198644800858</v>
      </c>
      <c r="BT1065" s="3" t="n">
        <v>22.73945911696691</v>
      </c>
      <c r="BU1065" s="3" t="n">
        <v>24.06692695875518</v>
      </c>
      <c r="BV1065" s="3" t="n">
        <v>25.3943913567965</v>
      </c>
      <c r="BW1065" s="3" t="n">
        <v>26.72185297040348</v>
      </c>
      <c r="BY1065" s="20" t="inlineStr">
        <is>
          <t>egy.mit.rpsub.oth.coa.5</t>
        </is>
      </c>
      <c r="BZ1065" s="3" t="n">
        <v>11.26363257232071</v>
      </c>
      <c r="CA1065" s="3" t="n">
        <v>8.78466149534041</v>
      </c>
      <c r="CB1065" s="3" t="n">
        <v>7.578702256211484</v>
      </c>
      <c r="CC1065" s="3" t="n">
        <v>6.822791386152058</v>
      </c>
      <c r="CD1065" s="3" t="n">
        <v>7.239203197965162</v>
      </c>
      <c r="CE1065" s="3" t="n">
        <v>7.335795757047355</v>
      </c>
      <c r="CF1065" s="3" t="n">
        <v>7.291450352557749</v>
      </c>
      <c r="CG1065" s="3" t="n">
        <v>7.24386548437444</v>
      </c>
      <c r="CH1065" s="3" t="n">
        <v>7.192916783179149</v>
      </c>
      <c r="CI1065" s="3" t="n">
        <v>7.143733467978286</v>
      </c>
      <c r="CJ1065" s="3" t="n">
        <v>7.143875755380201</v>
      </c>
      <c r="CK1065" s="3" t="n">
        <v>7.144008303483159</v>
      </c>
      <c r="CL1065" s="3" t="n">
        <v>7.144129947194011</v>
      </c>
      <c r="CM1065" s="3" t="n">
        <v>7.144244300845139</v>
      </c>
      <c r="CN1065" s="3" t="n">
        <v>7.14424818224812</v>
      </c>
      <c r="CO1065" s="3" t="n">
        <v>7.144252139271435</v>
      </c>
      <c r="CP1065" s="3" t="n">
        <v>7.144256935479063</v>
      </c>
      <c r="CQ1065" s="3" t="n">
        <v>7.14426188180477</v>
      </c>
      <c r="CR1065" s="3" t="n">
        <v>7.144268344393976</v>
      </c>
      <c r="CS1065" s="3" t="n">
        <v>7.144275245844737</v>
      </c>
      <c r="CU1065" s="20" t="inlineStr">
        <is>
          <t>egy.mit.rpsub.oth.coa.6</t>
        </is>
      </c>
      <c r="CV1065" s="3" t="n">
        <v>11.26363257232071</v>
      </c>
      <c r="CW1065" s="3" t="n">
        <v>8.78466149534041</v>
      </c>
      <c r="CX1065" s="3" t="n">
        <v>7.578702256211484</v>
      </c>
      <c r="CY1065" s="3" t="n">
        <v>6.822791386152058</v>
      </c>
      <c r="CZ1065" s="3" t="n">
        <v>7.239203197965162</v>
      </c>
      <c r="DA1065" s="3" t="n">
        <v>12.31202962097285</v>
      </c>
      <c r="DB1065" s="3" t="n">
        <v>12.26740095445726</v>
      </c>
      <c r="DC1065" s="3" t="n">
        <v>12.21955328989454</v>
      </c>
      <c r="DD1065" s="3" t="n">
        <v>12.16836361836591</v>
      </c>
      <c r="DE1065" s="3" t="n">
        <v>12.11895819319816</v>
      </c>
      <c r="DF1065" s="3" t="n">
        <v>12.11889241381897</v>
      </c>
      <c r="DG1065" s="3" t="n">
        <v>12.11882398890196</v>
      </c>
      <c r="DH1065" s="3" t="n">
        <v>12.11875563198662</v>
      </c>
      <c r="DI1065" s="3" t="n">
        <v>12.11868956560724</v>
      </c>
      <c r="DJ1065" s="3" t="n">
        <v>12.11862429943197</v>
      </c>
      <c r="DK1065" s="3" t="n">
        <v>12.11855886205234</v>
      </c>
      <c r="DL1065" s="3" t="n">
        <v>12.11849646652175</v>
      </c>
      <c r="DM1065" s="3" t="n">
        <v>12.11843615222477</v>
      </c>
      <c r="DN1065" s="3" t="n">
        <v>12.1183789374811</v>
      </c>
      <c r="DO1065" s="3" t="n">
        <v>12.11832336811796</v>
      </c>
    </row>
    <row r="1066">
      <c r="A1066" s="19" t="inlineStr">
        <is>
          <t>mit.con.oth.coa</t>
        </is>
      </c>
      <c r="B1066" s="3" t="inlineStr">
        <is>
          <t>mit</t>
        </is>
      </c>
      <c r="C1066" s="19" t="inlineStr">
        <is>
          <t>mit.con.coa.other</t>
        </is>
      </c>
      <c r="H1066" s="3" t="inlineStr">
        <is>
          <t>Energy subsidies: consumption of the line | Other | Coal</t>
        </is>
      </c>
      <c r="I1066" s="3" t="inlineStr">
        <is>
          <t>PJ, GWh</t>
        </is>
      </c>
      <c r="K1066" s="20" t="inlineStr">
        <is>
          <t>egy.mit.con.oth.coa.1</t>
        </is>
      </c>
      <c r="L1066" s="3" t="n">
        <v>0</v>
      </c>
      <c r="M1066" s="3" t="n">
        <v>0</v>
      </c>
      <c r="N1066" s="3" t="n">
        <v>0</v>
      </c>
      <c r="O1066" s="3" t="n">
        <v>0</v>
      </c>
      <c r="P1066" s="3" t="n">
        <v>0</v>
      </c>
      <c r="Q1066" s="3" t="n">
        <v>0</v>
      </c>
      <c r="R1066" s="3" t="n">
        <v>0</v>
      </c>
      <c r="S1066" s="3" t="n">
        <v>0</v>
      </c>
      <c r="T1066" s="3" t="n">
        <v>0</v>
      </c>
      <c r="U1066" s="3" t="n">
        <v>0</v>
      </c>
      <c r="V1066" s="3" t="n">
        <v>0</v>
      </c>
      <c r="W1066" s="3" t="n">
        <v>0</v>
      </c>
      <c r="X1066" s="3" t="n">
        <v>0</v>
      </c>
      <c r="Y1066" s="3" t="n">
        <v>0</v>
      </c>
      <c r="Z1066" s="3" t="n">
        <v>0</v>
      </c>
      <c r="AA1066" s="3" t="n">
        <v>0</v>
      </c>
      <c r="AB1066" s="3" t="n">
        <v>0</v>
      </c>
      <c r="AC1066" s="3" t="n">
        <v>0</v>
      </c>
      <c r="AD1066" s="3" t="n">
        <v>0</v>
      </c>
      <c r="AE1066" s="3" t="n">
        <v>0</v>
      </c>
      <c r="AG1066" s="20" t="inlineStr">
        <is>
          <t>egy.mit.con.oth.coa.3</t>
        </is>
      </c>
      <c r="AH1066" s="3" t="n">
        <v>0</v>
      </c>
      <c r="AI1066" s="3" t="n">
        <v>0</v>
      </c>
      <c r="AJ1066" s="3" t="n">
        <v>0</v>
      </c>
      <c r="AK1066" s="3" t="n">
        <v>0</v>
      </c>
      <c r="AL1066" s="3" t="n">
        <v>0</v>
      </c>
      <c r="AM1066" s="3" t="n">
        <v>0</v>
      </c>
      <c r="AN1066" s="3" t="n">
        <v>0</v>
      </c>
      <c r="AO1066" s="3" t="n">
        <v>0</v>
      </c>
      <c r="AP1066" s="3" t="n">
        <v>0</v>
      </c>
      <c r="AQ1066" s="3" t="n">
        <v>0</v>
      </c>
      <c r="AR1066" s="3" t="n">
        <v>0</v>
      </c>
      <c r="AS1066" s="3" t="n">
        <v>0</v>
      </c>
      <c r="AT1066" s="3" t="n">
        <v>0</v>
      </c>
      <c r="AU1066" s="3" t="n">
        <v>0</v>
      </c>
      <c r="AV1066" s="3" t="n">
        <v>0</v>
      </c>
      <c r="AW1066" s="3" t="n">
        <v>0</v>
      </c>
      <c r="AX1066" s="3" t="n">
        <v>0</v>
      </c>
      <c r="AY1066" s="3" t="n">
        <v>0</v>
      </c>
      <c r="AZ1066" s="3" t="n">
        <v>0</v>
      </c>
      <c r="BA1066" s="3" t="n">
        <v>0</v>
      </c>
      <c r="BC1066" s="20" t="inlineStr">
        <is>
          <t>egy.mit.con.oth.coa.4</t>
        </is>
      </c>
      <c r="BD1066" s="3" t="n">
        <v>0</v>
      </c>
      <c r="BE1066" s="3" t="n">
        <v>0</v>
      </c>
      <c r="BF1066" s="3" t="n">
        <v>0</v>
      </c>
      <c r="BG1066" s="3" t="n">
        <v>0</v>
      </c>
      <c r="BH1066" s="3" t="n">
        <v>0</v>
      </c>
      <c r="BI1066" s="3" t="n">
        <v>0</v>
      </c>
      <c r="BJ1066" s="3" t="n">
        <v>0</v>
      </c>
      <c r="BK1066" s="3" t="n">
        <v>0</v>
      </c>
      <c r="BL1066" s="3" t="n">
        <v>0</v>
      </c>
      <c r="BM1066" s="3" t="n">
        <v>0</v>
      </c>
      <c r="BN1066" s="3" t="n">
        <v>0</v>
      </c>
      <c r="BO1066" s="3" t="n">
        <v>0</v>
      </c>
      <c r="BP1066" s="3" t="n">
        <v>0</v>
      </c>
      <c r="BQ1066" s="3" t="n">
        <v>0</v>
      </c>
      <c r="BR1066" s="3" t="n">
        <v>0</v>
      </c>
      <c r="BS1066" s="3" t="n">
        <v>0</v>
      </c>
      <c r="BT1066" s="3" t="n">
        <v>0</v>
      </c>
      <c r="BU1066" s="3" t="n">
        <v>0</v>
      </c>
      <c r="BV1066" s="3" t="n">
        <v>0</v>
      </c>
      <c r="BW1066" s="3" t="n">
        <v>0</v>
      </c>
      <c r="BY1066" s="20" t="inlineStr">
        <is>
          <t>egy.mit.con.oth.coa.5</t>
        </is>
      </c>
      <c r="BZ1066" s="3" t="n">
        <v>0</v>
      </c>
      <c r="CA1066" s="3" t="n">
        <v>0</v>
      </c>
      <c r="CB1066" s="3" t="n">
        <v>0</v>
      </c>
      <c r="CC1066" s="3" t="n">
        <v>0</v>
      </c>
      <c r="CD1066" s="3" t="n">
        <v>0</v>
      </c>
      <c r="CE1066" s="3" t="n">
        <v>0</v>
      </c>
      <c r="CF1066" s="3" t="n">
        <v>0</v>
      </c>
      <c r="CG1066" s="3" t="n">
        <v>0</v>
      </c>
      <c r="CH1066" s="3" t="n">
        <v>0</v>
      </c>
      <c r="CI1066" s="3" t="n">
        <v>0</v>
      </c>
      <c r="CJ1066" s="3" t="n">
        <v>0</v>
      </c>
      <c r="CK1066" s="3" t="n">
        <v>0</v>
      </c>
      <c r="CL1066" s="3" t="n">
        <v>0</v>
      </c>
      <c r="CM1066" s="3" t="n">
        <v>0</v>
      </c>
      <c r="CN1066" s="3" t="n">
        <v>0</v>
      </c>
      <c r="CO1066" s="3" t="n">
        <v>0</v>
      </c>
      <c r="CP1066" s="3" t="n">
        <v>0</v>
      </c>
      <c r="CQ1066" s="3" t="n">
        <v>0</v>
      </c>
      <c r="CR1066" s="3" t="n">
        <v>0</v>
      </c>
      <c r="CS1066" s="3" t="n">
        <v>0</v>
      </c>
      <c r="CU1066" s="20" t="inlineStr">
        <is>
          <t>egy.mit.con.oth.coa.6</t>
        </is>
      </c>
      <c r="CV1066" s="3" t="n">
        <v>0</v>
      </c>
      <c r="CW1066" s="3" t="n">
        <v>0</v>
      </c>
      <c r="CX1066" s="3" t="n">
        <v>0</v>
      </c>
      <c r="CY1066" s="3" t="n">
        <v>0</v>
      </c>
      <c r="CZ1066" s="3" t="n">
        <v>0</v>
      </c>
      <c r="DA1066" s="3" t="n">
        <v>0</v>
      </c>
      <c r="DB1066" s="3" t="n">
        <v>0</v>
      </c>
      <c r="DC1066" s="3" t="n">
        <v>0</v>
      </c>
      <c r="DD1066" s="3" t="n">
        <v>0</v>
      </c>
      <c r="DE1066" s="3" t="n">
        <v>0</v>
      </c>
      <c r="DF1066" s="3" t="n">
        <v>0</v>
      </c>
      <c r="DG1066" s="3" t="n">
        <v>0</v>
      </c>
      <c r="DH1066" s="3" t="n">
        <v>0</v>
      </c>
      <c r="DI1066" s="3" t="n">
        <v>0</v>
      </c>
      <c r="DJ1066" s="3" t="n">
        <v>0</v>
      </c>
      <c r="DK1066" s="3" t="n">
        <v>0</v>
      </c>
      <c r="DL1066" s="3" t="n">
        <v>0</v>
      </c>
      <c r="DM1066" s="3" t="n">
        <v>0</v>
      </c>
      <c r="DN1066" s="3" t="n">
        <v>0</v>
      </c>
      <c r="DO1066" s="3" t="n">
        <v>0</v>
      </c>
    </row>
    <row r="1067">
      <c r="A1067" s="19" t="inlineStr">
        <is>
          <t>mit.expsub.con.oth.coa</t>
        </is>
      </c>
      <c r="B1067" s="3" t="inlineStr">
        <is>
          <t>mit</t>
        </is>
      </c>
      <c r="C1067" s="19" t="inlineStr">
        <is>
          <t>mit.expsub.con.coa.other</t>
        </is>
      </c>
      <c r="H1067" s="3" t="inlineStr">
        <is>
          <t>Explicit consumer subsidy | Other | Coal</t>
        </is>
      </c>
      <c r="I1067" s="3" t="inlineStr">
        <is>
          <t>USD bn real</t>
        </is>
      </c>
      <c r="K1067" s="20" t="inlineStr">
        <is>
          <t>egy.mit.expsub.con.oth.coa.1</t>
        </is>
      </c>
      <c r="L1067" s="3" t="n">
        <v>0</v>
      </c>
      <c r="M1067" s="3" t="n">
        <v>0</v>
      </c>
      <c r="N1067" s="3" t="n">
        <v>0</v>
      </c>
      <c r="O1067" s="3" t="n">
        <v>0</v>
      </c>
      <c r="P1067" s="3" t="n">
        <v>0</v>
      </c>
      <c r="Q1067" s="3" t="n">
        <v>0</v>
      </c>
      <c r="R1067" s="3" t="n">
        <v>0</v>
      </c>
      <c r="S1067" s="3" t="n">
        <v>0</v>
      </c>
      <c r="T1067" s="3" t="n">
        <v>0</v>
      </c>
      <c r="U1067" s="3" t="n">
        <v>0</v>
      </c>
      <c r="V1067" s="3" t="n">
        <v>0</v>
      </c>
      <c r="W1067" s="3" t="n">
        <v>0</v>
      </c>
      <c r="X1067" s="3" t="n">
        <v>0</v>
      </c>
      <c r="Y1067" s="3" t="n">
        <v>0</v>
      </c>
      <c r="Z1067" s="3" t="n">
        <v>0</v>
      </c>
      <c r="AA1067" s="3" t="n">
        <v>0</v>
      </c>
      <c r="AB1067" s="3" t="n">
        <v>0</v>
      </c>
      <c r="AC1067" s="3" t="n">
        <v>0</v>
      </c>
      <c r="AD1067" s="3" t="n">
        <v>0</v>
      </c>
      <c r="AE1067" s="3" t="n">
        <v>0</v>
      </c>
      <c r="AG1067" s="20" t="inlineStr">
        <is>
          <t>egy.mit.expsub.con.oth.coa.3</t>
        </is>
      </c>
      <c r="AH1067" s="3" t="n">
        <v>0</v>
      </c>
      <c r="AI1067" s="3" t="n">
        <v>0</v>
      </c>
      <c r="AJ1067" s="3" t="n">
        <v>0</v>
      </c>
      <c r="AK1067" s="3" t="n">
        <v>0</v>
      </c>
      <c r="AL1067" s="3" t="n">
        <v>0</v>
      </c>
      <c r="AM1067" s="3" t="n">
        <v>0</v>
      </c>
      <c r="AN1067" s="3" t="n">
        <v>0</v>
      </c>
      <c r="AO1067" s="3" t="n">
        <v>0</v>
      </c>
      <c r="AP1067" s="3" t="n">
        <v>0</v>
      </c>
      <c r="AQ1067" s="3" t="n">
        <v>0</v>
      </c>
      <c r="AR1067" s="3" t="n">
        <v>0</v>
      </c>
      <c r="AS1067" s="3" t="n">
        <v>0</v>
      </c>
      <c r="AT1067" s="3" t="n">
        <v>0</v>
      </c>
      <c r="AU1067" s="3" t="n">
        <v>0</v>
      </c>
      <c r="AV1067" s="3" t="n">
        <v>0</v>
      </c>
      <c r="AW1067" s="3" t="n">
        <v>0</v>
      </c>
      <c r="AX1067" s="3" t="n">
        <v>0</v>
      </c>
      <c r="AY1067" s="3" t="n">
        <v>0</v>
      </c>
      <c r="AZ1067" s="3" t="n">
        <v>0</v>
      </c>
      <c r="BA1067" s="3" t="n">
        <v>0</v>
      </c>
      <c r="BC1067" s="20" t="inlineStr">
        <is>
          <t>egy.mit.expsub.con.oth.coa.4</t>
        </is>
      </c>
      <c r="BD1067" s="3" t="n">
        <v>0</v>
      </c>
      <c r="BE1067" s="3" t="n">
        <v>0</v>
      </c>
      <c r="BF1067" s="3" t="n">
        <v>0</v>
      </c>
      <c r="BG1067" s="3" t="n">
        <v>0</v>
      </c>
      <c r="BH1067" s="3" t="n">
        <v>0</v>
      </c>
      <c r="BI1067" s="3" t="n">
        <v>0</v>
      </c>
      <c r="BJ1067" s="3" t="n">
        <v>0</v>
      </c>
      <c r="BK1067" s="3" t="n">
        <v>0</v>
      </c>
      <c r="BL1067" s="3" t="n">
        <v>0</v>
      </c>
      <c r="BM1067" s="3" t="n">
        <v>0</v>
      </c>
      <c r="BN1067" s="3" t="n">
        <v>0</v>
      </c>
      <c r="BO1067" s="3" t="n">
        <v>0</v>
      </c>
      <c r="BP1067" s="3" t="n">
        <v>0</v>
      </c>
      <c r="BQ1067" s="3" t="n">
        <v>0</v>
      </c>
      <c r="BR1067" s="3" t="n">
        <v>0</v>
      </c>
      <c r="BS1067" s="3" t="n">
        <v>0</v>
      </c>
      <c r="BT1067" s="3" t="n">
        <v>0</v>
      </c>
      <c r="BU1067" s="3" t="n">
        <v>0</v>
      </c>
      <c r="BV1067" s="3" t="n">
        <v>0</v>
      </c>
      <c r="BW1067" s="3" t="n">
        <v>0</v>
      </c>
      <c r="BY1067" s="20" t="inlineStr">
        <is>
          <t>egy.mit.expsub.con.oth.coa.5</t>
        </is>
      </c>
      <c r="BZ1067" s="3" t="n">
        <v>0</v>
      </c>
      <c r="CA1067" s="3" t="n">
        <v>0</v>
      </c>
      <c r="CB1067" s="3" t="n">
        <v>0</v>
      </c>
      <c r="CC1067" s="3" t="n">
        <v>0</v>
      </c>
      <c r="CD1067" s="3" t="n">
        <v>0</v>
      </c>
      <c r="CE1067" s="3" t="n">
        <v>0</v>
      </c>
      <c r="CF1067" s="3" t="n">
        <v>0</v>
      </c>
      <c r="CG1067" s="3" t="n">
        <v>0</v>
      </c>
      <c r="CH1067" s="3" t="n">
        <v>0</v>
      </c>
      <c r="CI1067" s="3" t="n">
        <v>0</v>
      </c>
      <c r="CJ1067" s="3" t="n">
        <v>0</v>
      </c>
      <c r="CK1067" s="3" t="n">
        <v>0</v>
      </c>
      <c r="CL1067" s="3" t="n">
        <v>0</v>
      </c>
      <c r="CM1067" s="3" t="n">
        <v>0</v>
      </c>
      <c r="CN1067" s="3" t="n">
        <v>0</v>
      </c>
      <c r="CO1067" s="3" t="n">
        <v>0</v>
      </c>
      <c r="CP1067" s="3" t="n">
        <v>0</v>
      </c>
      <c r="CQ1067" s="3" t="n">
        <v>0</v>
      </c>
      <c r="CR1067" s="3" t="n">
        <v>0</v>
      </c>
      <c r="CS1067" s="3" t="n">
        <v>0</v>
      </c>
      <c r="CU1067" s="20" t="inlineStr">
        <is>
          <t>egy.mit.expsub.con.oth.coa.6</t>
        </is>
      </c>
      <c r="CV1067" s="3" t="n">
        <v>0</v>
      </c>
      <c r="CW1067" s="3" t="n">
        <v>0</v>
      </c>
      <c r="CX1067" s="3" t="n">
        <v>0</v>
      </c>
      <c r="CY1067" s="3" t="n">
        <v>0</v>
      </c>
      <c r="CZ1067" s="3" t="n">
        <v>0</v>
      </c>
      <c r="DA1067" s="3" t="n">
        <v>0</v>
      </c>
      <c r="DB1067" s="3" t="n">
        <v>0</v>
      </c>
      <c r="DC1067" s="3" t="n">
        <v>0</v>
      </c>
      <c r="DD1067" s="3" t="n">
        <v>0</v>
      </c>
      <c r="DE1067" s="3" t="n">
        <v>0</v>
      </c>
      <c r="DF1067" s="3" t="n">
        <v>0</v>
      </c>
      <c r="DG1067" s="3" t="n">
        <v>0</v>
      </c>
      <c r="DH1067" s="3" t="n">
        <v>0</v>
      </c>
      <c r="DI1067" s="3" t="n">
        <v>0</v>
      </c>
      <c r="DJ1067" s="3" t="n">
        <v>0</v>
      </c>
      <c r="DK1067" s="3" t="n">
        <v>0</v>
      </c>
      <c r="DL1067" s="3" t="n">
        <v>0</v>
      </c>
      <c r="DM1067" s="3" t="n">
        <v>0</v>
      </c>
      <c r="DN1067" s="3" t="n">
        <v>0</v>
      </c>
      <c r="DO1067" s="3" t="n">
        <v>0</v>
      </c>
    </row>
    <row r="1068">
      <c r="A1068" s="19" t="inlineStr">
        <is>
          <t>mit.impsub.con.oth.coa</t>
        </is>
      </c>
      <c r="B1068" s="3" t="inlineStr">
        <is>
          <t>mit</t>
        </is>
      </c>
      <c r="C1068" s="19" t="inlineStr">
        <is>
          <t>mit.impsub.con.coa.other</t>
        </is>
      </c>
      <c r="H1068" s="3" t="inlineStr">
        <is>
          <t>Implicit consumer subsidy | Other | Coal</t>
        </is>
      </c>
      <c r="I1068" s="3" t="inlineStr">
        <is>
          <t>USD bn real</t>
        </is>
      </c>
      <c r="K1068" s="20" t="inlineStr">
        <is>
          <t>egy.mit.impsub.con.oth.coa.1</t>
        </is>
      </c>
      <c r="L1068" s="3" t="n">
        <v>0</v>
      </c>
      <c r="M1068" s="3" t="n">
        <v>0</v>
      </c>
      <c r="N1068" s="3" t="n">
        <v>0</v>
      </c>
      <c r="O1068" s="3" t="n">
        <v>0</v>
      </c>
      <c r="P1068" s="3" t="n">
        <v>0</v>
      </c>
      <c r="Q1068" s="3" t="n">
        <v>0</v>
      </c>
      <c r="R1068" s="3" t="n">
        <v>0</v>
      </c>
      <c r="S1068" s="3" t="n">
        <v>0</v>
      </c>
      <c r="T1068" s="3" t="n">
        <v>0</v>
      </c>
      <c r="U1068" s="3" t="n">
        <v>0</v>
      </c>
      <c r="V1068" s="3" t="n">
        <v>0</v>
      </c>
      <c r="W1068" s="3" t="n">
        <v>0</v>
      </c>
      <c r="X1068" s="3" t="n">
        <v>0</v>
      </c>
      <c r="Y1068" s="3" t="n">
        <v>0</v>
      </c>
      <c r="Z1068" s="3" t="n">
        <v>0</v>
      </c>
      <c r="AA1068" s="3" t="n">
        <v>0</v>
      </c>
      <c r="AB1068" s="3" t="n">
        <v>0</v>
      </c>
      <c r="AC1068" s="3" t="n">
        <v>0</v>
      </c>
      <c r="AD1068" s="3" t="n">
        <v>0</v>
      </c>
      <c r="AE1068" s="3" t="n">
        <v>0</v>
      </c>
      <c r="AG1068" s="20" t="inlineStr">
        <is>
          <t>egy.mit.impsub.con.oth.coa.3</t>
        </is>
      </c>
      <c r="AH1068" s="3" t="n">
        <v>0</v>
      </c>
      <c r="AI1068" s="3" t="n">
        <v>0</v>
      </c>
      <c r="AJ1068" s="3" t="n">
        <v>0</v>
      </c>
      <c r="AK1068" s="3" t="n">
        <v>0</v>
      </c>
      <c r="AL1068" s="3" t="n">
        <v>0</v>
      </c>
      <c r="AM1068" s="3" t="n">
        <v>0</v>
      </c>
      <c r="AN1068" s="3" t="n">
        <v>0</v>
      </c>
      <c r="AO1068" s="3" t="n">
        <v>0</v>
      </c>
      <c r="AP1068" s="3" t="n">
        <v>0</v>
      </c>
      <c r="AQ1068" s="3" t="n">
        <v>0</v>
      </c>
      <c r="AR1068" s="3" t="n">
        <v>0</v>
      </c>
      <c r="AS1068" s="3" t="n">
        <v>0</v>
      </c>
      <c r="AT1068" s="3" t="n">
        <v>0</v>
      </c>
      <c r="AU1068" s="3" t="n">
        <v>0</v>
      </c>
      <c r="AV1068" s="3" t="n">
        <v>0</v>
      </c>
      <c r="AW1068" s="3" t="n">
        <v>0</v>
      </c>
      <c r="AX1068" s="3" t="n">
        <v>0</v>
      </c>
      <c r="AY1068" s="3" t="n">
        <v>0</v>
      </c>
      <c r="AZ1068" s="3" t="n">
        <v>0</v>
      </c>
      <c r="BA1068" s="3" t="n">
        <v>0</v>
      </c>
      <c r="BC1068" s="20" t="inlineStr">
        <is>
          <t>egy.mit.impsub.con.oth.coa.4</t>
        </is>
      </c>
      <c r="BD1068" s="3" t="n">
        <v>0</v>
      </c>
      <c r="BE1068" s="3" t="n">
        <v>0</v>
      </c>
      <c r="BF1068" s="3" t="n">
        <v>0</v>
      </c>
      <c r="BG1068" s="3" t="n">
        <v>0</v>
      </c>
      <c r="BH1068" s="3" t="n">
        <v>0</v>
      </c>
      <c r="BI1068" s="3" t="n">
        <v>0</v>
      </c>
      <c r="BJ1068" s="3" t="n">
        <v>0</v>
      </c>
      <c r="BK1068" s="3" t="n">
        <v>0</v>
      </c>
      <c r="BL1068" s="3" t="n">
        <v>0</v>
      </c>
      <c r="BM1068" s="3" t="n">
        <v>0</v>
      </c>
      <c r="BN1068" s="3" t="n">
        <v>0</v>
      </c>
      <c r="BO1068" s="3" t="n">
        <v>0</v>
      </c>
      <c r="BP1068" s="3" t="n">
        <v>-0</v>
      </c>
      <c r="BQ1068" s="3" t="n">
        <v>-0</v>
      </c>
      <c r="BR1068" s="3" t="n">
        <v>-0</v>
      </c>
      <c r="BS1068" s="3" t="n">
        <v>-0</v>
      </c>
      <c r="BT1068" s="3" t="n">
        <v>-0</v>
      </c>
      <c r="BU1068" s="3" t="n">
        <v>-0</v>
      </c>
      <c r="BV1068" s="3" t="n">
        <v>-0</v>
      </c>
      <c r="BW1068" s="3" t="n">
        <v>-0</v>
      </c>
      <c r="BY1068" s="20" t="inlineStr">
        <is>
          <t>egy.mit.impsub.con.oth.coa.5</t>
        </is>
      </c>
      <c r="BZ1068" s="3" t="n">
        <v>0</v>
      </c>
      <c r="CA1068" s="3" t="n">
        <v>0</v>
      </c>
      <c r="CB1068" s="3" t="n">
        <v>0</v>
      </c>
      <c r="CC1068" s="3" t="n">
        <v>0</v>
      </c>
      <c r="CD1068" s="3" t="n">
        <v>0</v>
      </c>
      <c r="CE1068" s="3" t="n">
        <v>0</v>
      </c>
      <c r="CF1068" s="3" t="n">
        <v>0</v>
      </c>
      <c r="CG1068" s="3" t="n">
        <v>0</v>
      </c>
      <c r="CH1068" s="3" t="n">
        <v>0</v>
      </c>
      <c r="CI1068" s="3" t="n">
        <v>0</v>
      </c>
      <c r="CJ1068" s="3" t="n">
        <v>0</v>
      </c>
      <c r="CK1068" s="3" t="n">
        <v>0</v>
      </c>
      <c r="CL1068" s="3" t="n">
        <v>0</v>
      </c>
      <c r="CM1068" s="3" t="n">
        <v>0</v>
      </c>
      <c r="CN1068" s="3" t="n">
        <v>0</v>
      </c>
      <c r="CO1068" s="3" t="n">
        <v>0</v>
      </c>
      <c r="CP1068" s="3" t="n">
        <v>0</v>
      </c>
      <c r="CQ1068" s="3" t="n">
        <v>0</v>
      </c>
      <c r="CR1068" s="3" t="n">
        <v>0</v>
      </c>
      <c r="CS1068" s="3" t="n">
        <v>0</v>
      </c>
      <c r="CU1068" s="20" t="inlineStr">
        <is>
          <t>egy.mit.impsub.con.oth.coa.6</t>
        </is>
      </c>
      <c r="CV1068" s="3" t="n">
        <v>0</v>
      </c>
      <c r="CW1068" s="3" t="n">
        <v>0</v>
      </c>
      <c r="CX1068" s="3" t="n">
        <v>0</v>
      </c>
      <c r="CY1068" s="3" t="n">
        <v>0</v>
      </c>
      <c r="CZ1068" s="3" t="n">
        <v>0</v>
      </c>
      <c r="DA1068" s="3" t="n">
        <v>0</v>
      </c>
      <c r="DB1068" s="3" t="n">
        <v>0</v>
      </c>
      <c r="DC1068" s="3" t="n">
        <v>0</v>
      </c>
      <c r="DD1068" s="3" t="n">
        <v>0</v>
      </c>
      <c r="DE1068" s="3" t="n">
        <v>0</v>
      </c>
      <c r="DF1068" s="3" t="n">
        <v>0</v>
      </c>
      <c r="DG1068" s="3" t="n">
        <v>0</v>
      </c>
      <c r="DH1068" s="3" t="n">
        <v>0</v>
      </c>
      <c r="DI1068" s="3" t="n">
        <v>0</v>
      </c>
      <c r="DJ1068" s="3" t="n">
        <v>0</v>
      </c>
      <c r="DK1068" s="3" t="n">
        <v>0</v>
      </c>
      <c r="DL1068" s="3" t="n">
        <v>0</v>
      </c>
      <c r="DM1068" s="3" t="n">
        <v>0</v>
      </c>
      <c r="DN1068" s="3" t="n">
        <v>0</v>
      </c>
      <c r="DO1068" s="3" t="n">
        <v>0</v>
      </c>
    </row>
    <row r="1069">
      <c r="A1069" s="19" t="inlineStr">
        <is>
          <t>mit.effprice.ind.ecy</t>
        </is>
      </c>
      <c r="B1069" s="3" t="inlineStr">
        <is>
          <t>mit</t>
        </is>
      </c>
      <c r="C1069" s="19" t="inlineStr">
        <is>
          <t>mit.effprice.ecy.ind</t>
        </is>
      </c>
      <c r="H1069" s="3" t="inlineStr">
        <is>
          <t>Energy subsidies: efficient price | Industry | Electricity</t>
        </is>
      </c>
      <c r="I1069" s="3" t="inlineStr">
        <is>
          <t>USD/GJ, USD/kWh</t>
        </is>
      </c>
      <c r="K1069" s="20" t="inlineStr">
        <is>
          <t>egy.mit.effprice.ind.ecy.1</t>
        </is>
      </c>
      <c r="L1069" s="3" t="n">
        <v>0.06232214664946173</v>
      </c>
      <c r="M1069" s="3" t="n">
        <v>0.0635111409345652</v>
      </c>
      <c r="N1069" s="3" t="n">
        <v>0.1071059769947588</v>
      </c>
      <c r="O1069" s="3" t="n">
        <v>0.1057245920293683</v>
      </c>
      <c r="P1069" s="3" t="n">
        <v>0.1057335921471882</v>
      </c>
      <c r="Q1069" s="3" t="n">
        <v>0.1062653317564135</v>
      </c>
      <c r="R1069" s="3" t="n">
        <v>0.1064352876620497</v>
      </c>
      <c r="S1069" s="3" t="n">
        <v>0.1072316373022316</v>
      </c>
      <c r="T1069" s="3" t="n">
        <v>0.1079037344568096</v>
      </c>
      <c r="U1069" s="3" t="n">
        <v>0.1086590218636384</v>
      </c>
      <c r="V1069" s="3" t="n">
        <v>0.1074167971917689</v>
      </c>
      <c r="W1069" s="3" t="n">
        <v>0.1062540049701071</v>
      </c>
      <c r="X1069" s="3" t="n">
        <v>0.1050394592858352</v>
      </c>
      <c r="Y1069" s="3" t="n">
        <v>0.1039071524520008</v>
      </c>
      <c r="Z1069" s="3" t="n">
        <v>0.1028482615038122</v>
      </c>
      <c r="AA1069" s="3" t="n">
        <v>0.1018583249236122</v>
      </c>
      <c r="AB1069" s="3" t="n">
        <v>0.1009300932863205</v>
      </c>
      <c r="AC1069" s="3" t="n">
        <v>0.1000540346692088</v>
      </c>
      <c r="AD1069" s="3" t="n">
        <v>0.09922414955184913</v>
      </c>
      <c r="AE1069" s="3" t="n">
        <v>0.09843367123480826</v>
      </c>
      <c r="AG1069" s="20" t="inlineStr">
        <is>
          <t>egy.mit.effprice.ind.ecy.3</t>
        </is>
      </c>
      <c r="AH1069" s="3" t="n">
        <v>0.06232214664946173</v>
      </c>
      <c r="AI1069" s="3" t="n">
        <v>0.0635111409345652</v>
      </c>
      <c r="AJ1069" s="3" t="n">
        <v>0.1071059769947588</v>
      </c>
      <c r="AK1069" s="3" t="n">
        <v>0.1057263087280535</v>
      </c>
      <c r="AL1069" s="3" t="n">
        <v>0.1057378478893307</v>
      </c>
      <c r="AM1069" s="3" t="n">
        <v>0.1154748123235128</v>
      </c>
      <c r="AN1069" s="3" t="n">
        <v>0.1154475311290161</v>
      </c>
      <c r="AO1069" s="3" t="n">
        <v>0.1171113992618763</v>
      </c>
      <c r="AP1069" s="3" t="n">
        <v>0.1163734478971474</v>
      </c>
      <c r="AQ1069" s="3" t="n">
        <v>0.1167721402649954</v>
      </c>
      <c r="AR1069" s="3" t="n">
        <v>0.114970545081309</v>
      </c>
      <c r="AS1069" s="3" t="n">
        <v>0.1134690482794855</v>
      </c>
      <c r="AT1069" s="3" t="n">
        <v>0.1118982726168716</v>
      </c>
      <c r="AU1069" s="3" t="n">
        <v>0.1104430082304643</v>
      </c>
      <c r="AV1069" s="3" t="n">
        <v>0.1091075760539964</v>
      </c>
      <c r="AW1069" s="3" t="n">
        <v>0.1078673611404348</v>
      </c>
      <c r="AX1069" s="3" t="n">
        <v>0.106708926713475</v>
      </c>
      <c r="AY1069" s="3" t="n">
        <v>0.1056236332071837</v>
      </c>
      <c r="AZ1069" s="3" t="n">
        <v>0.1046011586723589</v>
      </c>
      <c r="BA1069" s="3" t="n">
        <v>0.1036346870790035</v>
      </c>
      <c r="BC1069" s="20" t="inlineStr">
        <is>
          <t>egy.mit.effprice.ind.ecy.4</t>
        </is>
      </c>
      <c r="BD1069" s="3" t="n">
        <v>0.06232214664946173</v>
      </c>
      <c r="BE1069" s="3" t="n">
        <v>0.0635111409345652</v>
      </c>
      <c r="BF1069" s="3" t="n">
        <v>0.1071059769947588</v>
      </c>
      <c r="BG1069" s="3" t="n">
        <v>0.1057303130708351</v>
      </c>
      <c r="BH1069" s="3" t="n">
        <v>0.1057479438733684</v>
      </c>
      <c r="BI1069" s="3" t="n">
        <v>0.1108822418436002</v>
      </c>
      <c r="BJ1069" s="3" t="n">
        <v>0.1170042707988711</v>
      </c>
      <c r="BK1069" s="3" t="n">
        <v>0.1235372106609775</v>
      </c>
      <c r="BL1069" s="3" t="n">
        <v>0.1283609351126942</v>
      </c>
      <c r="BM1069" s="3" t="n">
        <v>0.1335161879280996</v>
      </c>
      <c r="BN1069" s="3" t="n">
        <v>0.1371850314107071</v>
      </c>
      <c r="BO1069" s="3" t="n">
        <v>0.1407073208333744</v>
      </c>
      <c r="BP1069" s="3" t="n">
        <v>0.1430809911640934</v>
      </c>
      <c r="BQ1069" s="3" t="n">
        <v>0.1452522811738615</v>
      </c>
      <c r="BR1069" s="3" t="n">
        <v>0.1463850035864481</v>
      </c>
      <c r="BS1069" s="3" t="n">
        <v>0.1475224835835827</v>
      </c>
      <c r="BT1069" s="3" t="n">
        <v>0.1475789191259758</v>
      </c>
      <c r="BU1069" s="3" t="n">
        <v>0.1479578726711246</v>
      </c>
      <c r="BV1069" s="3" t="n">
        <v>0.1470345752457504</v>
      </c>
      <c r="BW1069" s="3" t="n">
        <v>0.1470716154245049</v>
      </c>
      <c r="BY1069" s="20" t="inlineStr">
        <is>
          <t>egy.mit.effprice.ind.ecy.5</t>
        </is>
      </c>
      <c r="BZ1069" s="3" t="n">
        <v>0.06232214664946173</v>
      </c>
      <c r="CA1069" s="3" t="n">
        <v>0.0635111409345652</v>
      </c>
      <c r="CB1069" s="3" t="n">
        <v>0.1071059769947588</v>
      </c>
      <c r="CC1069" s="3" t="n">
        <v>0.1057344177836843</v>
      </c>
      <c r="CD1069" s="3" t="n">
        <v>0.1057581617403629</v>
      </c>
      <c r="CE1069" s="3" t="n">
        <v>0.1062998129138444</v>
      </c>
      <c r="CF1069" s="3" t="n">
        <v>0.1064797990528231</v>
      </c>
      <c r="CG1069" s="3" t="n">
        <v>0.1072830924790853</v>
      </c>
      <c r="CH1069" s="3" t="n">
        <v>0.107957701520472</v>
      </c>
      <c r="CI1069" s="3" t="n">
        <v>0.1087295061499339</v>
      </c>
      <c r="CJ1069" s="3" t="n">
        <v>0.1074011209223091</v>
      </c>
      <c r="CK1069" s="3" t="n">
        <v>0.1061127873781498</v>
      </c>
      <c r="CL1069" s="3" t="n">
        <v>0.1048172939692066</v>
      </c>
      <c r="CM1069" s="3" t="n">
        <v>0.1034002384300666</v>
      </c>
      <c r="CN1069" s="3" t="n">
        <v>0.102134944366998</v>
      </c>
      <c r="CO1069" s="3" t="n">
        <v>0.1009473196589332</v>
      </c>
      <c r="CP1069" s="3" t="n">
        <v>0.09981512126659811</v>
      </c>
      <c r="CQ1069" s="3" t="n">
        <v>0.09877890455591937</v>
      </c>
      <c r="CR1069" s="3" t="n">
        <v>0.0978117431517784</v>
      </c>
      <c r="CS1069" s="3" t="n">
        <v>0.09689537185860292</v>
      </c>
      <c r="CU1069" s="20" t="inlineStr">
        <is>
          <t>egy.mit.effprice.ind.ecy.6</t>
        </is>
      </c>
      <c r="CV1069" s="3" t="n">
        <v>0.06232214664946173</v>
      </c>
      <c r="CW1069" s="3" t="n">
        <v>0.0635111409345652</v>
      </c>
      <c r="CX1069" s="3" t="n">
        <v>0.1071059769947588</v>
      </c>
      <c r="CY1069" s="3" t="n">
        <v>0.1057285997770066</v>
      </c>
      <c r="CZ1069" s="3" t="n">
        <v>0.105743594069076</v>
      </c>
      <c r="DA1069" s="3" t="n">
        <v>0.1292740560263842</v>
      </c>
      <c r="DB1069" s="3" t="n">
        <v>0.1286574525081844</v>
      </c>
      <c r="DC1069" s="3" t="n">
        <v>0.1315525240768253</v>
      </c>
      <c r="DD1069" s="3" t="n">
        <v>0.1301526067976094</v>
      </c>
      <c r="DE1069" s="3" t="n">
        <v>0.1291089943453914</v>
      </c>
      <c r="DF1069" s="3" t="n">
        <v>0.1264087868969088</v>
      </c>
      <c r="DG1069" s="3" t="n">
        <v>0.1237822414056497</v>
      </c>
      <c r="DH1069" s="3" t="n">
        <v>0.1208042344308701</v>
      </c>
      <c r="DI1069" s="3" t="n">
        <v>0.1181617131459303</v>
      </c>
      <c r="DJ1069" s="3" t="n">
        <v>0.1156650401261403</v>
      </c>
      <c r="DK1069" s="3" t="n">
        <v>0.1134707654007936</v>
      </c>
      <c r="DL1069" s="3" t="n">
        <v>0.1113937393993209</v>
      </c>
      <c r="DM1069" s="3" t="n">
        <v>0.1095815806551092</v>
      </c>
      <c r="DN1069" s="3" t="n">
        <v>0.1078716638852568</v>
      </c>
      <c r="DO1069" s="3" t="n">
        <v>0.1063674776784728</v>
      </c>
    </row>
    <row r="1070">
      <c r="A1070" s="19" t="inlineStr">
        <is>
          <t>mit.con.ind.ecy</t>
        </is>
      </c>
      <c r="B1070" s="3" t="inlineStr">
        <is>
          <t>mit</t>
        </is>
      </c>
      <c r="C1070" s="19" t="inlineStr">
        <is>
          <t>mit.con.ecy.ind</t>
        </is>
      </c>
      <c r="H1070" s="3" t="inlineStr">
        <is>
          <t>Energy subsidies: consumption of the line | Industry | Electricity</t>
        </is>
      </c>
      <c r="I1070" s="3" t="inlineStr">
        <is>
          <t>PJ, GWh</t>
        </is>
      </c>
      <c r="K1070" s="20" t="inlineStr">
        <is>
          <t>egy.mit.con.ind.ecy.1</t>
        </is>
      </c>
      <c r="L1070" s="3" t="n">
        <v>41936.66858872973</v>
      </c>
      <c r="M1070" s="3" t="n">
        <v>39241.39933297453</v>
      </c>
      <c r="N1070" s="3" t="n">
        <v>43191.47115875965</v>
      </c>
      <c r="O1070" s="3" t="n">
        <v>48209.41833178174</v>
      </c>
      <c r="P1070" s="3" t="n">
        <v>50255.70925725855</v>
      </c>
      <c r="Q1070" s="3" t="n">
        <v>52003.67249255857</v>
      </c>
      <c r="R1070" s="3" t="n">
        <v>53843.28684166345</v>
      </c>
      <c r="S1070" s="3" t="n">
        <v>55763.94052500848</v>
      </c>
      <c r="T1070" s="3" t="n">
        <v>57266.08407212608</v>
      </c>
      <c r="U1070" s="3" t="n">
        <v>58837.63263870695</v>
      </c>
      <c r="V1070" s="3" t="n">
        <v>60386.56345885288</v>
      </c>
      <c r="W1070" s="3" t="n">
        <v>62959.92935972304</v>
      </c>
      <c r="X1070" s="3" t="n">
        <v>65583.76366992186</v>
      </c>
      <c r="Y1070" s="3" t="n">
        <v>68330.60118191842</v>
      </c>
      <c r="Z1070" s="3" t="n">
        <v>71126.16166946338</v>
      </c>
      <c r="AA1070" s="3" t="n">
        <v>73970.71345593629</v>
      </c>
      <c r="AB1070" s="3" t="n">
        <v>76862.23220548147</v>
      </c>
      <c r="AC1070" s="3" t="n">
        <v>79800.94652472758</v>
      </c>
      <c r="AD1070" s="3" t="n">
        <v>82789.58771257296</v>
      </c>
      <c r="AE1070" s="3" t="n">
        <v>85829.1273868368</v>
      </c>
      <c r="AG1070" s="20" t="inlineStr">
        <is>
          <t>egy.mit.con.ind.ecy.3</t>
        </is>
      </c>
      <c r="AH1070" s="3" t="n">
        <v>41936.66858872973</v>
      </c>
      <c r="AI1070" s="3" t="n">
        <v>39241.39933297453</v>
      </c>
      <c r="AJ1070" s="3" t="n">
        <v>43191.47115875965</v>
      </c>
      <c r="AK1070" s="3" t="n">
        <v>48209.41833178174</v>
      </c>
      <c r="AL1070" s="3" t="n">
        <v>50254.97593833304</v>
      </c>
      <c r="AM1070" s="3" t="n">
        <v>52001.7942038432</v>
      </c>
      <c r="AN1070" s="3" t="n">
        <v>50134.93048303474</v>
      </c>
      <c r="AO1070" s="3" t="n">
        <v>52031.78562719647</v>
      </c>
      <c r="AP1070" s="3" t="n">
        <v>53105.00692603033</v>
      </c>
      <c r="AQ1070" s="3" t="n">
        <v>55158.56977745308</v>
      </c>
      <c r="AR1070" s="3" t="n">
        <v>56775.17926905312</v>
      </c>
      <c r="AS1070" s="3" t="n">
        <v>59386.70495514975</v>
      </c>
      <c r="AT1070" s="3" t="n">
        <v>62001.64232082776</v>
      </c>
      <c r="AU1070" s="3" t="n">
        <v>64738.80655261002</v>
      </c>
      <c r="AV1070" s="3" t="n">
        <v>67538.2941984489</v>
      </c>
      <c r="AW1070" s="3" t="n">
        <v>70408.89190355991</v>
      </c>
      <c r="AX1070" s="3" t="n">
        <v>73299.85247988121</v>
      </c>
      <c r="AY1070" s="3" t="n">
        <v>76224.58020905088</v>
      </c>
      <c r="AZ1070" s="3" t="n">
        <v>79160.41837493751</v>
      </c>
      <c r="BA1070" s="3" t="n">
        <v>82134.48876460684</v>
      </c>
      <c r="BC1070" s="20" t="inlineStr">
        <is>
          <t>egy.mit.con.ind.ecy.4</t>
        </is>
      </c>
      <c r="BD1070" s="3" t="n">
        <v>41936.66858872973</v>
      </c>
      <c r="BE1070" s="3" t="n">
        <v>39241.39933297453</v>
      </c>
      <c r="BF1070" s="3" t="n">
        <v>43191.47115875965</v>
      </c>
      <c r="BG1070" s="3" t="n">
        <v>48209.41833178174</v>
      </c>
      <c r="BH1070" s="3" t="n">
        <v>50253.26554691545</v>
      </c>
      <c r="BI1070" s="3" t="n">
        <v>51997.33871054912</v>
      </c>
      <c r="BJ1070" s="3" t="n">
        <v>51876.11274180059</v>
      </c>
      <c r="BK1070" s="3" t="n">
        <v>51452.16112906959</v>
      </c>
      <c r="BL1070" s="3" t="n">
        <v>50914.93156646954</v>
      </c>
      <c r="BM1070" s="3" t="n">
        <v>51058.49514898581</v>
      </c>
      <c r="BN1070" s="3" t="n">
        <v>51167.7502847956</v>
      </c>
      <c r="BO1070" s="3" t="n">
        <v>51769.39477544</v>
      </c>
      <c r="BP1070" s="3" t="n">
        <v>52472.04838057905</v>
      </c>
      <c r="BQ1070" s="3" t="n">
        <v>53521.89626422703</v>
      </c>
      <c r="BR1070" s="3" t="n">
        <v>54659.77839089678</v>
      </c>
      <c r="BS1070" s="3" t="n">
        <v>56116.63945746926</v>
      </c>
      <c r="BT1070" s="3" t="n">
        <v>57605.88196843854</v>
      </c>
      <c r="BU1070" s="3" t="n">
        <v>59419.32382393605</v>
      </c>
      <c r="BV1070" s="3" t="n">
        <v>61156.80725690615</v>
      </c>
      <c r="BW1070" s="3" t="n">
        <v>63285.61603029919</v>
      </c>
      <c r="BY1070" s="20" t="inlineStr">
        <is>
          <t>egy.mit.con.ind.ecy.5</t>
        </is>
      </c>
      <c r="BZ1070" s="3" t="n">
        <v>41936.66858872973</v>
      </c>
      <c r="CA1070" s="3" t="n">
        <v>39241.39933297453</v>
      </c>
      <c r="CB1070" s="3" t="n">
        <v>43191.47115875965</v>
      </c>
      <c r="CC1070" s="3" t="n">
        <v>48209.41833178174</v>
      </c>
      <c r="CD1070" s="3" t="n">
        <v>50251.51248173653</v>
      </c>
      <c r="CE1070" s="3" t="n">
        <v>51992.83047988297</v>
      </c>
      <c r="CF1070" s="3" t="n">
        <v>53827.64383059883</v>
      </c>
      <c r="CG1070" s="3" t="n">
        <v>55765.16616322981</v>
      </c>
      <c r="CH1070" s="3" t="n">
        <v>57208.33004274373</v>
      </c>
      <c r="CI1070" s="3" t="n">
        <v>58799.96323309926</v>
      </c>
      <c r="CJ1070" s="3" t="n">
        <v>60312.1753584687</v>
      </c>
      <c r="CK1070" s="3" t="n">
        <v>62964.47471738704</v>
      </c>
      <c r="CL1070" s="3" t="n">
        <v>65700.42126642648</v>
      </c>
      <c r="CM1070" s="3" t="n">
        <v>68535.53791498834</v>
      </c>
      <c r="CN1070" s="3" t="n">
        <v>71569.99607814153</v>
      </c>
      <c r="CO1070" s="3" t="n">
        <v>74651.31094679603</v>
      </c>
      <c r="CP1070" s="3" t="n">
        <v>77767.95979341344</v>
      </c>
      <c r="CQ1070" s="3" t="n">
        <v>80951.91359917214</v>
      </c>
      <c r="CR1070" s="3" t="n">
        <v>84140.61671926672</v>
      </c>
      <c r="CS1070" s="3" t="n">
        <v>87381.83814960658</v>
      </c>
      <c r="CU1070" s="20" t="inlineStr">
        <is>
          <t>egy.mit.con.ind.ecy.6</t>
        </is>
      </c>
      <c r="CV1070" s="3" t="n">
        <v>41936.66858872973</v>
      </c>
      <c r="CW1070" s="3" t="n">
        <v>39241.39933297453</v>
      </c>
      <c r="CX1070" s="3" t="n">
        <v>43191.47115875965</v>
      </c>
      <c r="CY1070" s="3" t="n">
        <v>48209.41833178174</v>
      </c>
      <c r="CZ1070" s="3" t="n">
        <v>50253.9973298433</v>
      </c>
      <c r="DA1070" s="3" t="n">
        <v>51999.25826495293</v>
      </c>
      <c r="DB1070" s="3" t="n">
        <v>45863.34300978277</v>
      </c>
      <c r="DC1070" s="3" t="n">
        <v>47787.05256627347</v>
      </c>
      <c r="DD1070" s="3" t="n">
        <v>48470.81850172919</v>
      </c>
      <c r="DE1070" s="3" t="n">
        <v>50503.83774563947</v>
      </c>
      <c r="DF1070" s="3" t="n">
        <v>52418.49685742876</v>
      </c>
      <c r="DG1070" s="3" t="n">
        <v>55048.54920151666</v>
      </c>
      <c r="DH1070" s="3" t="n">
        <v>57836.1864136867</v>
      </c>
      <c r="DI1070" s="3" t="n">
        <v>60888.09391740703</v>
      </c>
      <c r="DJ1070" s="3" t="n">
        <v>64001.87573877774</v>
      </c>
      <c r="DK1070" s="3" t="n">
        <v>67282.89140775567</v>
      </c>
      <c r="DL1070" s="3" t="n">
        <v>70527.89878424098</v>
      </c>
      <c r="DM1070" s="3" t="n">
        <v>73843.01033534267</v>
      </c>
      <c r="DN1070" s="3" t="n">
        <v>77082.69228648199</v>
      </c>
      <c r="DO1070" s="3" t="n">
        <v>80380.38933466145</v>
      </c>
    </row>
    <row r="1071">
      <c r="A1071" s="19" t="inlineStr">
        <is>
          <t>mit.expsub.con.ind.ecy</t>
        </is>
      </c>
      <c r="B1071" s="3" t="inlineStr">
        <is>
          <t>mit</t>
        </is>
      </c>
      <c r="C1071" s="19" t="inlineStr">
        <is>
          <t>mit.expsub.con.ecy.ind</t>
        </is>
      </c>
      <c r="H1071" s="3" t="inlineStr">
        <is>
          <t>Explicit consumer subsidy | Industry | Electricity</t>
        </is>
      </c>
      <c r="I1071" s="3" t="inlineStr">
        <is>
          <t>USD bn real</t>
        </is>
      </c>
      <c r="K1071" s="20" t="inlineStr">
        <is>
          <t>egy.mit.expsub.con.ind.ecy.1</t>
        </is>
      </c>
      <c r="L1071" s="3" t="n">
        <v>0</v>
      </c>
      <c r="M1071" s="3" t="n">
        <v>0</v>
      </c>
      <c r="N1071" s="3" t="n">
        <v>2.33063186815561</v>
      </c>
      <c r="O1071" s="3" t="n">
        <v>2.601402631003191</v>
      </c>
      <c r="P1071" s="3" t="n">
        <v>2.711821440885907</v>
      </c>
      <c r="Q1071" s="3" t="n">
        <v>2.80614234988158</v>
      </c>
      <c r="R1071" s="3" t="n">
        <v>2.905408795596769</v>
      </c>
      <c r="S1071" s="3" t="n">
        <v>3.009048161471588</v>
      </c>
      <c r="T1071" s="3" t="n">
        <v>3.090104525784535</v>
      </c>
      <c r="U1071" s="3" t="n">
        <v>3.174906017221689</v>
      </c>
      <c r="V1071" s="3" t="n">
        <v>3.258487044543756</v>
      </c>
      <c r="W1071" s="3" t="n">
        <v>3.397347065193379</v>
      </c>
      <c r="X1071" s="3" t="n">
        <v>3.538930384678648</v>
      </c>
      <c r="Y1071" s="3" t="n">
        <v>3.687151014130537</v>
      </c>
      <c r="Z1071" s="3" t="n">
        <v>3.838000757999646</v>
      </c>
      <c r="AA1071" s="3" t="n">
        <v>3.99149409514031</v>
      </c>
      <c r="AB1071" s="3" t="n">
        <v>4.14752179144842</v>
      </c>
      <c r="AC1071" s="3" t="n">
        <v>4.306096182643964</v>
      </c>
      <c r="AD1071" s="3" t="n">
        <v>4.467364650885575</v>
      </c>
      <c r="AE1071" s="3" t="n">
        <v>4.631379625122586</v>
      </c>
      <c r="AG1071" s="20" t="inlineStr">
        <is>
          <t>egy.mit.expsub.con.ind.ecy.3</t>
        </is>
      </c>
      <c r="AH1071" s="3" t="n">
        <v>0</v>
      </c>
      <c r="AI1071" s="3" t="n">
        <v>0</v>
      </c>
      <c r="AJ1071" s="3" t="n">
        <v>2.33063186815561</v>
      </c>
      <c r="AK1071" s="3" t="n">
        <v>2.601402631003191</v>
      </c>
      <c r="AL1071" s="3" t="n">
        <v>2.711781870655686</v>
      </c>
      <c r="AM1071" s="3" t="n">
        <v>2.806040996549077</v>
      </c>
      <c r="AN1071" s="3" t="n">
        <v>2.705304162065556</v>
      </c>
      <c r="AO1071" s="3" t="n">
        <v>2.807659347699506</v>
      </c>
      <c r="AP1071" s="3" t="n">
        <v>2.865570868042296</v>
      </c>
      <c r="AQ1071" s="3" t="n">
        <v>2.976382074430567</v>
      </c>
      <c r="AR1071" s="3" t="n">
        <v>3.063615074335498</v>
      </c>
      <c r="AS1071" s="3" t="n">
        <v>3.20453421474059</v>
      </c>
      <c r="AT1071" s="3" t="n">
        <v>3.345637450962355</v>
      </c>
      <c r="AU1071" s="3" t="n">
        <v>3.493336105715718</v>
      </c>
      <c r="AV1071" s="3" t="n">
        <v>3.644397760872531</v>
      </c>
      <c r="AW1071" s="3" t="n">
        <v>3.799296547894496</v>
      </c>
      <c r="AX1071" s="3" t="n">
        <v>3.955294124915892</v>
      </c>
      <c r="AY1071" s="3" t="n">
        <v>4.113113793207018</v>
      </c>
      <c r="AZ1071" s="3" t="n">
        <v>4.271532985829847</v>
      </c>
      <c r="BA1071" s="3" t="n">
        <v>4.432015207026323</v>
      </c>
      <c r="BC1071" s="20" t="inlineStr">
        <is>
          <t>egy.mit.expsub.con.ind.ecy.4</t>
        </is>
      </c>
      <c r="BD1071" s="3" t="n">
        <v>0</v>
      </c>
      <c r="BE1071" s="3" t="n">
        <v>0</v>
      </c>
      <c r="BF1071" s="3" t="n">
        <v>2.33063186815561</v>
      </c>
      <c r="BG1071" s="3" t="n">
        <v>2.601402631003191</v>
      </c>
      <c r="BH1071" s="3" t="n">
        <v>2.711689577139446</v>
      </c>
      <c r="BI1071" s="3" t="n">
        <v>2.805800576059084</v>
      </c>
      <c r="BJ1071" s="3" t="n">
        <v>2.79925916641423</v>
      </c>
      <c r="BK1071" s="3" t="n">
        <v>2.776382540249889</v>
      </c>
      <c r="BL1071" s="3" t="n">
        <v>2.747393383235332</v>
      </c>
      <c r="BM1071" s="3" t="n">
        <v>2.755140140906288</v>
      </c>
      <c r="BN1071" s="3" t="n">
        <v>2.761035598839221</v>
      </c>
      <c r="BO1071" s="3" t="n">
        <v>2.793500615324582</v>
      </c>
      <c r="BP1071" s="3" t="n">
        <v>2.831416130598235</v>
      </c>
      <c r="BQ1071" s="3" t="n">
        <v>2.888066410588744</v>
      </c>
      <c r="BR1071" s="3" t="n">
        <v>2.949467059269434</v>
      </c>
      <c r="BS1071" s="3" t="n">
        <v>3.0280799598754</v>
      </c>
      <c r="BT1071" s="3" t="n">
        <v>3.108440178278684</v>
      </c>
      <c r="BU1071" s="3" t="n">
        <v>3.206294344068372</v>
      </c>
      <c r="BV1071" s="3" t="n">
        <v>3.300049758057118</v>
      </c>
      <c r="BW1071" s="3" t="n">
        <v>3.414921269384947</v>
      </c>
      <c r="BY1071" s="20" t="inlineStr">
        <is>
          <t>egy.mit.expsub.con.ind.ecy.5</t>
        </is>
      </c>
      <c r="BZ1071" s="3" t="n">
        <v>0</v>
      </c>
      <c r="CA1071" s="3" t="n">
        <v>0</v>
      </c>
      <c r="CB1071" s="3" t="n">
        <v>2.33063186815561</v>
      </c>
      <c r="CC1071" s="3" t="n">
        <v>2.601402631003191</v>
      </c>
      <c r="CD1071" s="3" t="n">
        <v>2.7115949809272</v>
      </c>
      <c r="CE1071" s="3" t="n">
        <v>2.80555730983597</v>
      </c>
      <c r="CF1071" s="3" t="n">
        <v>2.904564691445579</v>
      </c>
      <c r="CG1071" s="3" t="n">
        <v>3.009114297479945</v>
      </c>
      <c r="CH1071" s="3" t="n">
        <v>3.086988091502913</v>
      </c>
      <c r="CI1071" s="3" t="n">
        <v>3.172873358578481</v>
      </c>
      <c r="CJ1071" s="3" t="n">
        <v>3.254473028055879</v>
      </c>
      <c r="CK1071" s="3" t="n">
        <v>3.397592334806561</v>
      </c>
      <c r="CL1071" s="3" t="n">
        <v>3.545225282832886</v>
      </c>
      <c r="CM1071" s="3" t="n">
        <v>3.698209495544444</v>
      </c>
      <c r="CN1071" s="3" t="n">
        <v>3.861950269078977</v>
      </c>
      <c r="CO1071" s="3" t="n">
        <v>4.028219452231157</v>
      </c>
      <c r="CP1071" s="3" t="n">
        <v>4.196395273264837</v>
      </c>
      <c r="CQ1071" s="3" t="n">
        <v>4.368202901191204</v>
      </c>
      <c r="CR1071" s="3" t="n">
        <v>4.540266804327609</v>
      </c>
      <c r="CS1071" s="3" t="n">
        <v>4.715164619906345</v>
      </c>
      <c r="CU1071" s="20" t="inlineStr">
        <is>
          <t>egy.mit.expsub.con.ind.ecy.6</t>
        </is>
      </c>
      <c r="CV1071" s="3" t="n">
        <v>0</v>
      </c>
      <c r="CW1071" s="3" t="n">
        <v>0</v>
      </c>
      <c r="CX1071" s="3" t="n">
        <v>2.33063186815561</v>
      </c>
      <c r="CY1071" s="3" t="n">
        <v>2.601402631003191</v>
      </c>
      <c r="CZ1071" s="3" t="n">
        <v>2.711729064486518</v>
      </c>
      <c r="DA1071" s="3" t="n">
        <v>2.805904156107323</v>
      </c>
      <c r="DB1071" s="3" t="n">
        <v>2.474807315681654</v>
      </c>
      <c r="DC1071" s="3" t="n">
        <v>2.578611577892424</v>
      </c>
      <c r="DD1071" s="3" t="n">
        <v>2.615507905727024</v>
      </c>
      <c r="DE1071" s="3" t="n">
        <v>2.725210569500958</v>
      </c>
      <c r="DF1071" s="3" t="n">
        <v>2.828526465507097</v>
      </c>
      <c r="DG1071" s="3" t="n">
        <v>2.970445312992464</v>
      </c>
      <c r="DH1071" s="3" t="n">
        <v>3.120867513237948</v>
      </c>
      <c r="DI1071" s="3" t="n">
        <v>3.285549861303586</v>
      </c>
      <c r="DJ1071" s="3" t="n">
        <v>3.453570976321763</v>
      </c>
      <c r="DK1071" s="3" t="n">
        <v>3.630616107522091</v>
      </c>
      <c r="DL1071" s="3" t="n">
        <v>3.805718214515335</v>
      </c>
      <c r="DM1071" s="3" t="n">
        <v>3.984603175369958</v>
      </c>
      <c r="DN1071" s="3" t="n">
        <v>4.159417919935161</v>
      </c>
      <c r="DO1071" s="3" t="n">
        <v>4.337363186114199</v>
      </c>
    </row>
    <row r="1072">
      <c r="A1072" s="19" t="inlineStr">
        <is>
          <t>mit.impsub.con.ind.ecy</t>
        </is>
      </c>
      <c r="B1072" s="3" t="inlineStr">
        <is>
          <t>mit</t>
        </is>
      </c>
      <c r="C1072" s="19" t="inlineStr">
        <is>
          <t>mit.impsub.con.ecy.ind</t>
        </is>
      </c>
      <c r="H1072" s="3" t="inlineStr">
        <is>
          <t>Implicit consumer subsidy | Industry | Electricity</t>
        </is>
      </c>
      <c r="I1072" s="3" t="inlineStr">
        <is>
          <t>USD bn real</t>
        </is>
      </c>
      <c r="K1072" s="20" t="inlineStr">
        <is>
          <t>egy.mit.impsub.con.ind.ecy.1</t>
        </is>
      </c>
      <c r="L1072" s="3" t="n">
        <v>-0</v>
      </c>
      <c r="M1072" s="3" t="n">
        <v>-0</v>
      </c>
      <c r="N1072" s="3" t="n">
        <v>0</v>
      </c>
      <c r="O1072" s="3" t="n">
        <v>0</v>
      </c>
      <c r="P1072" s="3" t="n">
        <v>0</v>
      </c>
      <c r="Q1072" s="3" t="n">
        <v>0</v>
      </c>
      <c r="R1072" s="3" t="n">
        <v>0</v>
      </c>
      <c r="S1072" s="3" t="n">
        <v>0</v>
      </c>
      <c r="T1072" s="3" t="n">
        <v>0</v>
      </c>
      <c r="U1072" s="3" t="n">
        <v>0</v>
      </c>
      <c r="V1072" s="3" t="n">
        <v>0</v>
      </c>
      <c r="W1072" s="3" t="n">
        <v>0</v>
      </c>
      <c r="X1072" s="3" t="n">
        <v>0</v>
      </c>
      <c r="Y1072" s="3" t="n">
        <v>0</v>
      </c>
      <c r="Z1072" s="3" t="n">
        <v>0</v>
      </c>
      <c r="AA1072" s="3" t="n">
        <v>0</v>
      </c>
      <c r="AB1072" s="3" t="n">
        <v>0</v>
      </c>
      <c r="AC1072" s="3" t="n">
        <v>0</v>
      </c>
      <c r="AD1072" s="3" t="n">
        <v>0</v>
      </c>
      <c r="AE1072" s="3" t="n">
        <v>0</v>
      </c>
      <c r="AG1072" s="20" t="inlineStr">
        <is>
          <t>egy.mit.impsub.con.ind.ecy.3</t>
        </is>
      </c>
      <c r="AH1072" s="3" t="n">
        <v>-0</v>
      </c>
      <c r="AI1072" s="3" t="n">
        <v>-0</v>
      </c>
      <c r="AJ1072" s="3" t="n">
        <v>0</v>
      </c>
      <c r="AK1072" s="3" t="n">
        <v>0</v>
      </c>
      <c r="AL1072" s="3" t="n">
        <v>0</v>
      </c>
      <c r="AM1072" s="3" t="n">
        <v>0</v>
      </c>
      <c r="AN1072" s="3" t="n">
        <v>0</v>
      </c>
      <c r="AO1072" s="3" t="n">
        <v>0</v>
      </c>
      <c r="AP1072" s="3" t="n">
        <v>0</v>
      </c>
      <c r="AQ1072" s="3" t="n">
        <v>0</v>
      </c>
      <c r="AR1072" s="3" t="n">
        <v>0</v>
      </c>
      <c r="AS1072" s="3" t="n">
        <v>0</v>
      </c>
      <c r="AT1072" s="3" t="n">
        <v>0</v>
      </c>
      <c r="AU1072" s="3" t="n">
        <v>0</v>
      </c>
      <c r="AV1072" s="3" t="n">
        <v>0</v>
      </c>
      <c r="AW1072" s="3" t="n">
        <v>0</v>
      </c>
      <c r="AX1072" s="3" t="n">
        <v>0</v>
      </c>
      <c r="AY1072" s="3" t="n">
        <v>0</v>
      </c>
      <c r="AZ1072" s="3" t="n">
        <v>0</v>
      </c>
      <c r="BA1072" s="3" t="n">
        <v>0</v>
      </c>
      <c r="BC1072" s="20" t="inlineStr">
        <is>
          <t>egy.mit.impsub.con.ind.ecy.4</t>
        </is>
      </c>
      <c r="BD1072" s="3" t="n">
        <v>-0</v>
      </c>
      <c r="BE1072" s="3" t="n">
        <v>-0</v>
      </c>
      <c r="BF1072" s="3" t="n">
        <v>0</v>
      </c>
      <c r="BG1072" s="3" t="n">
        <v>0</v>
      </c>
      <c r="BH1072" s="3" t="n">
        <v>0</v>
      </c>
      <c r="BI1072" s="3" t="n">
        <v>0</v>
      </c>
      <c r="BJ1072" s="3" t="n">
        <v>0</v>
      </c>
      <c r="BK1072" s="3" t="n">
        <v>0</v>
      </c>
      <c r="BL1072" s="3" t="n">
        <v>0</v>
      </c>
      <c r="BM1072" s="3" t="n">
        <v>0</v>
      </c>
      <c r="BN1072" s="3" t="n">
        <v>0</v>
      </c>
      <c r="BO1072" s="3" t="n">
        <v>0</v>
      </c>
      <c r="BP1072" s="3" t="n">
        <v>0</v>
      </c>
      <c r="BQ1072" s="3" t="n">
        <v>0</v>
      </c>
      <c r="BR1072" s="3" t="n">
        <v>0</v>
      </c>
      <c r="BS1072" s="3" t="n">
        <v>0</v>
      </c>
      <c r="BT1072" s="3" t="n">
        <v>0</v>
      </c>
      <c r="BU1072" s="3" t="n">
        <v>0</v>
      </c>
      <c r="BV1072" s="3" t="n">
        <v>0</v>
      </c>
      <c r="BW1072" s="3" t="n">
        <v>0</v>
      </c>
      <c r="BY1072" s="20" t="inlineStr">
        <is>
          <t>egy.mit.impsub.con.ind.ecy.5</t>
        </is>
      </c>
      <c r="BZ1072" s="3" t="n">
        <v>-0</v>
      </c>
      <c r="CA1072" s="3" t="n">
        <v>-0</v>
      </c>
      <c r="CB1072" s="3" t="n">
        <v>0</v>
      </c>
      <c r="CC1072" s="3" t="n">
        <v>0</v>
      </c>
      <c r="CD1072" s="3" t="n">
        <v>0</v>
      </c>
      <c r="CE1072" s="3" t="n">
        <v>0</v>
      </c>
      <c r="CF1072" s="3" t="n">
        <v>0</v>
      </c>
      <c r="CG1072" s="3" t="n">
        <v>0</v>
      </c>
      <c r="CH1072" s="3" t="n">
        <v>0</v>
      </c>
      <c r="CI1072" s="3" t="n">
        <v>0</v>
      </c>
      <c r="CJ1072" s="3" t="n">
        <v>0</v>
      </c>
      <c r="CK1072" s="3" t="n">
        <v>0</v>
      </c>
      <c r="CL1072" s="3" t="n">
        <v>0</v>
      </c>
      <c r="CM1072" s="3" t="n">
        <v>0</v>
      </c>
      <c r="CN1072" s="3" t="n">
        <v>0</v>
      </c>
      <c r="CO1072" s="3" t="n">
        <v>0</v>
      </c>
      <c r="CP1072" s="3" t="n">
        <v>0</v>
      </c>
      <c r="CQ1072" s="3" t="n">
        <v>0</v>
      </c>
      <c r="CR1072" s="3" t="n">
        <v>0</v>
      </c>
      <c r="CS1072" s="3" t="n">
        <v>0</v>
      </c>
      <c r="CU1072" s="20" t="inlineStr">
        <is>
          <t>egy.mit.impsub.con.ind.ecy.6</t>
        </is>
      </c>
      <c r="CV1072" s="3" t="n">
        <v>-0</v>
      </c>
      <c r="CW1072" s="3" t="n">
        <v>-0</v>
      </c>
      <c r="CX1072" s="3" t="n">
        <v>0</v>
      </c>
      <c r="CY1072" s="3" t="n">
        <v>0</v>
      </c>
      <c r="CZ1072" s="3" t="n">
        <v>0</v>
      </c>
      <c r="DA1072" s="3" t="n">
        <v>0</v>
      </c>
      <c r="DB1072" s="3" t="n">
        <v>0</v>
      </c>
      <c r="DC1072" s="3" t="n">
        <v>0</v>
      </c>
      <c r="DD1072" s="3" t="n">
        <v>0</v>
      </c>
      <c r="DE1072" s="3" t="n">
        <v>0</v>
      </c>
      <c r="DF1072" s="3" t="n">
        <v>0</v>
      </c>
      <c r="DG1072" s="3" t="n">
        <v>0</v>
      </c>
      <c r="DH1072" s="3" t="n">
        <v>0</v>
      </c>
      <c r="DI1072" s="3" t="n">
        <v>0</v>
      </c>
      <c r="DJ1072" s="3" t="n">
        <v>0</v>
      </c>
      <c r="DK1072" s="3" t="n">
        <v>0</v>
      </c>
      <c r="DL1072" s="3" t="n">
        <v>0</v>
      </c>
      <c r="DM1072" s="3" t="n">
        <v>0</v>
      </c>
      <c r="DN1072" s="3" t="n">
        <v>0</v>
      </c>
      <c r="DO1072" s="3" t="n">
        <v>0</v>
      </c>
    </row>
    <row r="1073">
      <c r="A1073" s="14" t="n"/>
      <c r="B1073" s="3" t="inlineStr">
        <is>
          <t>mit</t>
        </is>
      </c>
      <c r="C1073" s="19" t="inlineStr">
        <is>
          <t>mit.vatrate.res.ecy.t</t>
        </is>
      </c>
      <c r="H1073" s="14" t="inlineStr">
        <is>
          <t>Electricity, residential - VAT rate</t>
        </is>
      </c>
      <c r="I1073" s="14" t="inlineStr"/>
    </row>
    <row r="1074">
      <c r="A1074" s="19" t="inlineStr">
        <is>
          <t>mit.effprice.res.ecy</t>
        </is>
      </c>
      <c r="B1074" s="3" t="inlineStr">
        <is>
          <t>mit</t>
        </is>
      </c>
      <c r="C1074" s="19" t="inlineStr">
        <is>
          <t>mit.effprice.ecy.res</t>
        </is>
      </c>
      <c r="H1074" s="3" t="inlineStr">
        <is>
          <t>Energy subsidies: efficient price | Residential | Electricity</t>
        </is>
      </c>
      <c r="I1074" s="3" t="inlineStr">
        <is>
          <t>USD/GJ, USD/kWh</t>
        </is>
      </c>
      <c r="K1074" s="20" t="inlineStr">
        <is>
          <t>egy.mit.effprice.res.ecy.1</t>
        </is>
      </c>
      <c r="L1074" s="3" t="n">
        <v>0.06731949472293275</v>
      </c>
      <c r="M1074" s="3" t="n">
        <v>0.05925952518166943</v>
      </c>
      <c r="N1074" s="3" t="n">
        <v>0.1148473000844791</v>
      </c>
      <c r="O1074" s="3" t="n">
        <v>0.1135310714557884</v>
      </c>
      <c r="P1074" s="3" t="n">
        <v>0.1135396470614544</v>
      </c>
      <c r="Q1074" s="3" t="n">
        <v>0.1140463058960345</v>
      </c>
      <c r="R1074" s="3" t="n">
        <v>0.1142082454235507</v>
      </c>
      <c r="S1074" s="3" t="n">
        <v>0.1149905528349981</v>
      </c>
      <c r="T1074" s="3" t="n">
        <v>0.1157567435912171</v>
      </c>
      <c r="U1074" s="3" t="n">
        <v>0.1166177712350018</v>
      </c>
      <c r="V1074" s="3" t="n">
        <v>0.1152016351090706</v>
      </c>
      <c r="W1074" s="3" t="n">
        <v>0.1140355133647842</v>
      </c>
      <c r="X1074" s="3" t="n">
        <v>0.1128782546421664</v>
      </c>
      <c r="Y1074" s="3" t="n">
        <v>0.1117993557772626</v>
      </c>
      <c r="Z1074" s="3" t="n">
        <v>0.1107904099615876</v>
      </c>
      <c r="AA1074" s="3" t="n">
        <v>0.1098471661156702</v>
      </c>
      <c r="AB1074" s="3" t="n">
        <v>0.10896271675096</v>
      </c>
      <c r="AC1074" s="3" t="n">
        <v>0.1081279795407374</v>
      </c>
      <c r="AD1074" s="3" t="n">
        <v>0.1073372379463519</v>
      </c>
      <c r="AE1074" s="3" t="n">
        <v>0.1065840444359865</v>
      </c>
      <c r="AG1074" s="20" t="inlineStr">
        <is>
          <t>egy.mit.effprice.res.ecy.3</t>
        </is>
      </c>
      <c r="AH1074" s="3" t="n">
        <v>0.06731949472293275</v>
      </c>
      <c r="AI1074" s="3" t="n">
        <v>0.05925952518166943</v>
      </c>
      <c r="AJ1074" s="3" t="n">
        <v>0.1148473000844791</v>
      </c>
      <c r="AK1074" s="3" t="n">
        <v>0.1135325928327753</v>
      </c>
      <c r="AL1074" s="3" t="n">
        <v>0.1135435886782085</v>
      </c>
      <c r="AM1074" s="3" t="n">
        <v>0.1245439295634403</v>
      </c>
      <c r="AN1074" s="3" t="n">
        <v>0.1244807114765747</v>
      </c>
      <c r="AO1074" s="3" t="n">
        <v>0.1262534814689931</v>
      </c>
      <c r="AP1074" s="3" t="n">
        <v>0.1254122169132021</v>
      </c>
      <c r="AQ1074" s="3" t="n">
        <v>0.1258667262125488</v>
      </c>
      <c r="AR1074" s="3" t="n">
        <v>0.1238684286667827</v>
      </c>
      <c r="AS1074" s="3" t="n">
        <v>0.1223849452942207</v>
      </c>
      <c r="AT1074" s="3" t="n">
        <v>0.120821359489682</v>
      </c>
      <c r="AU1074" s="3" t="n">
        <v>0.1193809846277446</v>
      </c>
      <c r="AV1074" s="3" t="n">
        <v>0.1180579787294859</v>
      </c>
      <c r="AW1074" s="3" t="n">
        <v>0.1168295552032795</v>
      </c>
      <c r="AX1074" s="3" t="n">
        <v>0.1156818960914077</v>
      </c>
      <c r="AY1074" s="3" t="n">
        <v>0.1146069507044</v>
      </c>
      <c r="AZ1074" s="3" t="n">
        <v>0.1135942353900485</v>
      </c>
      <c r="BA1074" s="3" t="n">
        <v>0.1126374919689632</v>
      </c>
      <c r="BC1074" s="20" t="inlineStr">
        <is>
          <t>egy.mit.effprice.res.ecy.4</t>
        </is>
      </c>
      <c r="BD1074" s="3" t="n">
        <v>0.06731949472293275</v>
      </c>
      <c r="BE1074" s="3" t="n">
        <v>0.05925952518166943</v>
      </c>
      <c r="BF1074" s="3" t="n">
        <v>0.1148473000844791</v>
      </c>
      <c r="BG1074" s="3" t="n">
        <v>0.1135361438228543</v>
      </c>
      <c r="BH1074" s="3" t="n">
        <v>0.1135529478814161</v>
      </c>
      <c r="BI1074" s="3" t="n">
        <v>0.1193055834755816</v>
      </c>
      <c r="BJ1074" s="3" t="n">
        <v>0.1262518339991376</v>
      </c>
      <c r="BK1074" s="3" t="n">
        <v>0.1335789064639684</v>
      </c>
      <c r="BL1074" s="3" t="n">
        <v>0.1391104665801778</v>
      </c>
      <c r="BM1074" s="3" t="n">
        <v>0.1450384643916725</v>
      </c>
      <c r="BN1074" s="3" t="n">
        <v>0.1493035281414335</v>
      </c>
      <c r="BO1074" s="3" t="n">
        <v>0.1534922965698904</v>
      </c>
      <c r="BP1074" s="3" t="n">
        <v>0.1563328226518078</v>
      </c>
      <c r="BQ1074" s="3" t="n">
        <v>0.1589926496670296</v>
      </c>
      <c r="BR1074" s="3" t="n">
        <v>0.1604546050391042</v>
      </c>
      <c r="BS1074" s="3" t="n">
        <v>0.1619335385441804</v>
      </c>
      <c r="BT1074" s="3" t="n">
        <v>0.1621681110400204</v>
      </c>
      <c r="BU1074" s="3" t="n">
        <v>0.1627777383690009</v>
      </c>
      <c r="BV1074" s="3" t="n">
        <v>0.1618875150676534</v>
      </c>
      <c r="BW1074" s="3" t="n">
        <v>0.1621014243909625</v>
      </c>
      <c r="BY1074" s="20" t="inlineStr">
        <is>
          <t>egy.mit.effprice.res.ecy.5</t>
        </is>
      </c>
      <c r="BZ1074" s="3" t="n">
        <v>0.06731949472293275</v>
      </c>
      <c r="CA1074" s="3" t="n">
        <v>0.05925952518166943</v>
      </c>
      <c r="CB1074" s="3" t="n">
        <v>0.1148473000844791</v>
      </c>
      <c r="CC1074" s="3" t="n">
        <v>0.113539782579467</v>
      </c>
      <c r="CD1074" s="3" t="n">
        <v>0.1135624178683738</v>
      </c>
      <c r="CE1074" s="3" t="n">
        <v>0.1140787779243007</v>
      </c>
      <c r="CF1074" s="3" t="n">
        <v>0.1142503600371792</v>
      </c>
      <c r="CG1074" s="3" t="n">
        <v>0.1150492117366113</v>
      </c>
      <c r="CH1074" s="3" t="n">
        <v>0.1158182660437922</v>
      </c>
      <c r="CI1074" s="3" t="n">
        <v>0.1166981233213787</v>
      </c>
      <c r="CJ1074" s="3" t="n">
        <v>0.1151837641618865</v>
      </c>
      <c r="CK1074" s="3" t="n">
        <v>0.1139004851026488</v>
      </c>
      <c r="CL1074" s="3" t="n">
        <v>0.1126654816874525</v>
      </c>
      <c r="CM1074" s="3" t="n">
        <v>0.1113145921975642</v>
      </c>
      <c r="CN1074" s="3" t="n">
        <v>0.1101083780413747</v>
      </c>
      <c r="CO1074" s="3" t="n">
        <v>0.1089762066537733</v>
      </c>
      <c r="CP1074" s="3" t="n">
        <v>0.1078968735814774</v>
      </c>
      <c r="CQ1074" s="3" t="n">
        <v>0.1069090405537388</v>
      </c>
      <c r="CR1074" s="3" t="n">
        <v>0.1059870384586956</v>
      </c>
      <c r="CS1074" s="3" t="n">
        <v>0.105113454950785</v>
      </c>
      <c r="CU1074" s="20" t="inlineStr">
        <is>
          <t>egy.mit.effprice.res.ecy.6</t>
        </is>
      </c>
      <c r="CV1074" s="3" t="n">
        <v>0.06731949472293275</v>
      </c>
      <c r="CW1074" s="3" t="n">
        <v>0.05925952518166943</v>
      </c>
      <c r="CX1074" s="3" t="n">
        <v>0.1148473000844791</v>
      </c>
      <c r="CY1074" s="3" t="n">
        <v>0.1135346241054552</v>
      </c>
      <c r="CZ1074" s="3" t="n">
        <v>0.1135489140521513</v>
      </c>
      <c r="DA1074" s="3" t="n">
        <v>0.140273465947851</v>
      </c>
      <c r="DB1074" s="3" t="n">
        <v>0.139537999207286</v>
      </c>
      <c r="DC1074" s="3" t="n">
        <v>0.1427163637580349</v>
      </c>
      <c r="DD1074" s="3" t="n">
        <v>0.1411204580597288</v>
      </c>
      <c r="DE1074" s="3" t="n">
        <v>0.1399307398642003</v>
      </c>
      <c r="DF1074" s="3" t="n">
        <v>0.1369446840883486</v>
      </c>
      <c r="DG1074" s="3" t="n">
        <v>0.1342461997531159</v>
      </c>
      <c r="DH1074" s="3" t="n">
        <v>0.1311062849345805</v>
      </c>
      <c r="DI1074" s="3" t="n">
        <v>0.1283635282601373</v>
      </c>
      <c r="DJ1074" s="3" t="n">
        <v>0.125753446874617</v>
      </c>
      <c r="DK1074" s="3" t="n">
        <v>0.1234759108587905</v>
      </c>
      <c r="DL1074" s="3" t="n">
        <v>0.1213082610926577</v>
      </c>
      <c r="DM1074" s="3" t="n">
        <v>0.1194319918554181</v>
      </c>
      <c r="DN1074" s="3" t="n">
        <v>0.1176523171923489</v>
      </c>
      <c r="DO1074" s="3" t="n">
        <v>0.1160995571930474</v>
      </c>
    </row>
    <row r="1075">
      <c r="A1075" s="19" t="inlineStr">
        <is>
          <t>mit.con.res.ecy</t>
        </is>
      </c>
      <c r="B1075" s="3" t="inlineStr">
        <is>
          <t>mit</t>
        </is>
      </c>
      <c r="C1075" s="19" t="inlineStr">
        <is>
          <t>mit.con.ecy.res</t>
        </is>
      </c>
      <c r="H1075" s="3" t="inlineStr">
        <is>
          <t>Energy subsidies: consumption of the line | Residential | Electricity</t>
        </is>
      </c>
      <c r="I1075" s="3" t="inlineStr">
        <is>
          <t>PJ, GWh</t>
        </is>
      </c>
      <c r="K1075" s="20" t="inlineStr">
        <is>
          <t>egy.mit.con.res.ecy.1</t>
        </is>
      </c>
      <c r="L1075" s="3" t="n">
        <v>124941.3568569676</v>
      </c>
      <c r="M1075" s="3" t="n">
        <v>123388.901681331</v>
      </c>
      <c r="N1075" s="3" t="n">
        <v>141126.707390693</v>
      </c>
      <c r="O1075" s="3" t="n">
        <v>160495.259142234</v>
      </c>
      <c r="P1075" s="3" t="n">
        <v>168563.3871384785</v>
      </c>
      <c r="Q1075" s="3" t="n">
        <v>175419.0945137933</v>
      </c>
      <c r="R1075" s="3" t="n">
        <v>182623.4332071774</v>
      </c>
      <c r="S1075" s="3" t="n">
        <v>190238.6697096059</v>
      </c>
      <c r="T1075" s="3" t="n">
        <v>196171.9865238891</v>
      </c>
      <c r="U1075" s="3" t="n">
        <v>202338.1288347337</v>
      </c>
      <c r="V1075" s="3" t="n">
        <v>208424.845360151</v>
      </c>
      <c r="W1075" s="3" t="n">
        <v>219237.7452810933</v>
      </c>
      <c r="X1075" s="3" t="n">
        <v>230218.3261650251</v>
      </c>
      <c r="Y1075" s="3" t="n">
        <v>241779.0363315784</v>
      </c>
      <c r="Z1075" s="3" t="n">
        <v>253661.6943048369</v>
      </c>
      <c r="AA1075" s="3" t="n">
        <v>265871.5565646056</v>
      </c>
      <c r="AB1075" s="3" t="n">
        <v>278403.6734603764</v>
      </c>
      <c r="AC1075" s="3" t="n">
        <v>291263.0023826435</v>
      </c>
      <c r="AD1075" s="3" t="n">
        <v>304466.0457833221</v>
      </c>
      <c r="AE1075" s="3" t="n">
        <v>318021.6962405398</v>
      </c>
      <c r="AG1075" s="20" t="inlineStr">
        <is>
          <t>egy.mit.con.res.ecy.3</t>
        </is>
      </c>
      <c r="AH1075" s="3" t="n">
        <v>124941.3568569676</v>
      </c>
      <c r="AI1075" s="3" t="n">
        <v>123388.901681331</v>
      </c>
      <c r="AJ1075" s="3" t="n">
        <v>141126.707390693</v>
      </c>
      <c r="AK1075" s="3" t="n">
        <v>160495.259142234</v>
      </c>
      <c r="AL1075" s="3" t="n">
        <v>168560.4943960584</v>
      </c>
      <c r="AM1075" s="3" t="n">
        <v>175411.4904838034</v>
      </c>
      <c r="AN1075" s="3" t="n">
        <v>166356.0828731787</v>
      </c>
      <c r="AO1075" s="3" t="n">
        <v>173730.7171304108</v>
      </c>
      <c r="AP1075" s="3" t="n">
        <v>177734.1266309389</v>
      </c>
      <c r="AQ1075" s="3" t="n">
        <v>185925.2585880356</v>
      </c>
      <c r="AR1075" s="3" t="n">
        <v>192257.4974434154</v>
      </c>
      <c r="AS1075" s="3" t="n">
        <v>202977.6347260414</v>
      </c>
      <c r="AT1075" s="3" t="n">
        <v>213654.4930794555</v>
      </c>
      <c r="AU1075" s="3" t="n">
        <v>224970.1040498725</v>
      </c>
      <c r="AV1075" s="3" t="n">
        <v>236654.0907358938</v>
      </c>
      <c r="AW1075" s="3" t="n">
        <v>248753.363608604</v>
      </c>
      <c r="AX1075" s="3" t="n">
        <v>261066.1243438272</v>
      </c>
      <c r="AY1075" s="3" t="n">
        <v>273649.940268795</v>
      </c>
      <c r="AZ1075" s="3" t="n">
        <v>286411.6690282538</v>
      </c>
      <c r="BA1075" s="3" t="n">
        <v>299466.9334484254</v>
      </c>
      <c r="BC1075" s="20" t="inlineStr">
        <is>
          <t>egy.mit.con.res.ecy.4</t>
        </is>
      </c>
      <c r="BD1075" s="3" t="n">
        <v>124941.3568569676</v>
      </c>
      <c r="BE1075" s="3" t="n">
        <v>123388.901681331</v>
      </c>
      <c r="BF1075" s="3" t="n">
        <v>141126.707390693</v>
      </c>
      <c r="BG1075" s="3" t="n">
        <v>160495.259142234</v>
      </c>
      <c r="BH1075" s="3" t="n">
        <v>168553.7456431775</v>
      </c>
      <c r="BI1075" s="3" t="n">
        <v>175393.4464976952</v>
      </c>
      <c r="BJ1075" s="3" t="n">
        <v>173921.8198438352</v>
      </c>
      <c r="BK1075" s="3" t="n">
        <v>171229.2691357495</v>
      </c>
      <c r="BL1075" s="3" t="n">
        <v>168289.8035828219</v>
      </c>
      <c r="BM1075" s="3" t="n">
        <v>168230.4226628091</v>
      </c>
      <c r="BN1075" s="3" t="n">
        <v>168058.8998763454</v>
      </c>
      <c r="BO1075" s="3" t="n">
        <v>169959.0726089259</v>
      </c>
      <c r="BP1075" s="3" t="n">
        <v>172243.212012808</v>
      </c>
      <c r="BQ1075" s="3" t="n">
        <v>176002.0052724014</v>
      </c>
      <c r="BR1075" s="3" t="n">
        <v>180113.3032058784</v>
      </c>
      <c r="BS1075" s="3" t="n">
        <v>185572.44706802</v>
      </c>
      <c r="BT1075" s="3" t="n">
        <v>191177.9025911623</v>
      </c>
      <c r="BU1075" s="3" t="n">
        <v>198181.5615016253</v>
      </c>
      <c r="BV1075" s="3" t="n">
        <v>204898.6147652016</v>
      </c>
      <c r="BW1075" s="3" t="n">
        <v>213340.2686472129</v>
      </c>
      <c r="BY1075" s="20" t="inlineStr">
        <is>
          <t>egy.mit.con.res.ecy.5</t>
        </is>
      </c>
      <c r="BZ1075" s="3" t="n">
        <v>124941.3568569676</v>
      </c>
      <c r="CA1075" s="3" t="n">
        <v>123388.901681331</v>
      </c>
      <c r="CB1075" s="3" t="n">
        <v>141126.707390693</v>
      </c>
      <c r="CC1075" s="3" t="n">
        <v>160495.259142234</v>
      </c>
      <c r="CD1075" s="3" t="n">
        <v>168546.8295228997</v>
      </c>
      <c r="CE1075" s="3" t="n">
        <v>175375.1911306206</v>
      </c>
      <c r="CF1075" s="3" t="n">
        <v>182559.2087522253</v>
      </c>
      <c r="CG1075" s="3" t="n">
        <v>190238.4038500507</v>
      </c>
      <c r="CH1075" s="3" t="n">
        <v>195930.8962179747</v>
      </c>
      <c r="CI1075" s="3" t="n">
        <v>202174.1989136365</v>
      </c>
      <c r="CJ1075" s="3" t="n">
        <v>208109.9879770105</v>
      </c>
      <c r="CK1075" s="3" t="n">
        <v>219260.8913605082</v>
      </c>
      <c r="CL1075" s="3" t="n">
        <v>230711.6591711805</v>
      </c>
      <c r="CM1075" s="3" t="n">
        <v>242653.1733307694</v>
      </c>
      <c r="CN1075" s="3" t="n">
        <v>255584.1975772777</v>
      </c>
      <c r="CO1075" s="3" t="n">
        <v>268846.4154454119</v>
      </c>
      <c r="CP1075" s="3" t="n">
        <v>282406.3665812026</v>
      </c>
      <c r="CQ1075" s="3" t="n">
        <v>296405.9824007785</v>
      </c>
      <c r="CR1075" s="3" t="n">
        <v>310572.3620097856</v>
      </c>
      <c r="CS1075" s="3" t="n">
        <v>325115.2004286335</v>
      </c>
      <c r="CU1075" s="20" t="inlineStr">
        <is>
          <t>egy.mit.con.res.ecy.6</t>
        </is>
      </c>
      <c r="CV1075" s="3" t="n">
        <v>124941.3568569676</v>
      </c>
      <c r="CW1075" s="3" t="n">
        <v>123388.901681331</v>
      </c>
      <c r="CX1075" s="3" t="n">
        <v>141126.707390693</v>
      </c>
      <c r="CY1075" s="3" t="n">
        <v>160495.259142234</v>
      </c>
      <c r="CZ1075" s="3" t="n">
        <v>168556.6333681398</v>
      </c>
      <c r="DA1075" s="3" t="n">
        <v>175401.2214853404</v>
      </c>
      <c r="DB1075" s="3" t="n">
        <v>148340.1861226092</v>
      </c>
      <c r="DC1075" s="3" t="n">
        <v>155660.6008172607</v>
      </c>
      <c r="DD1075" s="3" t="n">
        <v>158015.6653763525</v>
      </c>
      <c r="DE1075" s="3" t="n">
        <v>165915.907460159</v>
      </c>
      <c r="DF1075" s="3" t="n">
        <v>173409.249263886</v>
      </c>
      <c r="DG1075" s="3" t="n">
        <v>183921.1693400825</v>
      </c>
      <c r="DH1075" s="3" t="n">
        <v>195074.5817802696</v>
      </c>
      <c r="DI1075" s="3" t="n">
        <v>207525.9466297733</v>
      </c>
      <c r="DJ1075" s="3" t="n">
        <v>220349.7108414707</v>
      </c>
      <c r="DK1075" s="3" t="n">
        <v>234042.213011176</v>
      </c>
      <c r="DL1075" s="3" t="n">
        <v>247740.8699793484</v>
      </c>
      <c r="DM1075" s="3" t="n">
        <v>261926.1011390391</v>
      </c>
      <c r="DN1075" s="3" t="n">
        <v>275939.4506056564</v>
      </c>
      <c r="DO1075" s="3" t="n">
        <v>290382.6206681448</v>
      </c>
    </row>
    <row r="1076">
      <c r="A1076" s="19" t="inlineStr">
        <is>
          <t>mit.expsub.con.res.ecy</t>
        </is>
      </c>
      <c r="B1076" s="3" t="inlineStr">
        <is>
          <t>mit</t>
        </is>
      </c>
      <c r="C1076" s="19" t="inlineStr">
        <is>
          <t>mit.expsub.con.ecy.res</t>
        </is>
      </c>
      <c r="H1076" s="3" t="inlineStr">
        <is>
          <t>Explicit consumer subsidy | Residential | Electricity</t>
        </is>
      </c>
      <c r="I1076" s="3" t="inlineStr">
        <is>
          <t>USD bn real</t>
        </is>
      </c>
      <c r="K1076" s="20" t="inlineStr">
        <is>
          <t>egy.mit.expsub.con.res.ecy.1</t>
        </is>
      </c>
      <c r="L1076" s="3" t="n">
        <v>0</v>
      </c>
      <c r="M1076" s="3" t="n">
        <v>0</v>
      </c>
      <c r="N1076" s="3" t="n">
        <v>7.848787399132023</v>
      </c>
      <c r="O1076" s="3" t="n">
        <v>8.925972913749627</v>
      </c>
      <c r="P1076" s="3" t="n">
        <v>9.374683313944821</v>
      </c>
      <c r="Q1076" s="3" t="n">
        <v>9.755964721655577</v>
      </c>
      <c r="R1076" s="3" t="n">
        <v>10.15663532328148</v>
      </c>
      <c r="S1076" s="3" t="n">
        <v>10.5801580809988</v>
      </c>
      <c r="T1076" s="3" t="n">
        <v>10.91014057055042</v>
      </c>
      <c r="U1076" s="3" t="n">
        <v>11.25307169227376</v>
      </c>
      <c r="V1076" s="3" t="n">
        <v>11.59158553455118</v>
      </c>
      <c r="W1076" s="3" t="n">
        <v>12.19294692260241</v>
      </c>
      <c r="X1076" s="3" t="n">
        <v>12.80363391778868</v>
      </c>
      <c r="Y1076" s="3" t="n">
        <v>13.44658490812862</v>
      </c>
      <c r="Z1076" s="3" t="n">
        <v>14.10744108406501</v>
      </c>
      <c r="AA1076" s="3" t="n">
        <v>14.7864947856745</v>
      </c>
      <c r="AB1076" s="3" t="n">
        <v>15.48347073724738</v>
      </c>
      <c r="AC1076" s="3" t="n">
        <v>16.19864464495409</v>
      </c>
      <c r="AD1076" s="3" t="n">
        <v>16.93293429564762</v>
      </c>
      <c r="AE1076" s="3" t="n">
        <v>17.68683425167157</v>
      </c>
      <c r="AG1076" s="20" t="inlineStr">
        <is>
          <t>egy.mit.expsub.con.res.ecy.3</t>
        </is>
      </c>
      <c r="AH1076" s="3" t="n">
        <v>0</v>
      </c>
      <c r="AI1076" s="3" t="n">
        <v>0</v>
      </c>
      <c r="AJ1076" s="3" t="n">
        <v>7.848787399132023</v>
      </c>
      <c r="AK1076" s="3" t="n">
        <v>8.925972913749627</v>
      </c>
      <c r="AL1076" s="3" t="n">
        <v>9.374522433551057</v>
      </c>
      <c r="AM1076" s="3" t="n">
        <v>9.755541822150084</v>
      </c>
      <c r="AN1076" s="3" t="n">
        <v>9.251923687337971</v>
      </c>
      <c r="AO1076" s="3" t="n">
        <v>9.662065307599338</v>
      </c>
      <c r="AP1076" s="3" t="n">
        <v>9.884715652259633</v>
      </c>
      <c r="AQ1076" s="3" t="n">
        <v>10.34026694002197</v>
      </c>
      <c r="AR1076" s="3" t="n">
        <v>10.69243555116096</v>
      </c>
      <c r="AS1076" s="3" t="n">
        <v>11.28863792827664</v>
      </c>
      <c r="AT1076" s="3" t="n">
        <v>11.88243333990346</v>
      </c>
      <c r="AU1076" s="3" t="n">
        <v>12.51175309404622</v>
      </c>
      <c r="AV1076" s="3" t="n">
        <v>13.1615601303501</v>
      </c>
      <c r="AW1076" s="3" t="n">
        <v>13.83446338316311</v>
      </c>
      <c r="AX1076" s="3" t="n">
        <v>14.51923980212689</v>
      </c>
      <c r="AY1076" s="3" t="n">
        <v>15.21909100457475</v>
      </c>
      <c r="AZ1076" s="3" t="n">
        <v>15.92883686154489</v>
      </c>
      <c r="BA1076" s="3" t="n">
        <v>16.65490775746474</v>
      </c>
      <c r="BC1076" s="20" t="inlineStr">
        <is>
          <t>egy.mit.expsub.con.res.ecy.4</t>
        </is>
      </c>
      <c r="BD1076" s="3" t="n">
        <v>0</v>
      </c>
      <c r="BE1076" s="3" t="n">
        <v>0</v>
      </c>
      <c r="BF1076" s="3" t="n">
        <v>7.848787399132023</v>
      </c>
      <c r="BG1076" s="3" t="n">
        <v>8.925972913749627</v>
      </c>
      <c r="BH1076" s="3" t="n">
        <v>9.374147100436927</v>
      </c>
      <c r="BI1076" s="3" t="n">
        <v>9.754538302593689</v>
      </c>
      <c r="BJ1076" s="3" t="n">
        <v>9.672693519628075</v>
      </c>
      <c r="BK1076" s="3" t="n">
        <v>9.52294682419471</v>
      </c>
      <c r="BL1076" s="3" t="n">
        <v>9.359467914932479</v>
      </c>
      <c r="BM1076" s="3" t="n">
        <v>9.356165434308059</v>
      </c>
      <c r="BN1076" s="3" t="n">
        <v>9.346626163464501</v>
      </c>
      <c r="BO1076" s="3" t="n">
        <v>9.452304614236859</v>
      </c>
      <c r="BP1076" s="3" t="n">
        <v>9.579337440996008</v>
      </c>
      <c r="BQ1076" s="3" t="n">
        <v>9.788383409100156</v>
      </c>
      <c r="BR1076" s="3" t="n">
        <v>10.0170339885048</v>
      </c>
      <c r="BS1076" s="3" t="n">
        <v>10.32064526341825</v>
      </c>
      <c r="BT1076" s="3" t="n">
        <v>10.6323936878652</v>
      </c>
      <c r="BU1076" s="3" t="n">
        <v>11.02190344700726</v>
      </c>
      <c r="BV1076" s="3" t="n">
        <v>11.39547358117404</v>
      </c>
      <c r="BW1076" s="3" t="n">
        <v>11.86495769117697</v>
      </c>
      <c r="BY1076" s="20" t="inlineStr">
        <is>
          <t>egy.mit.expsub.con.res.ecy.5</t>
        </is>
      </c>
      <c r="BZ1076" s="3" t="n">
        <v>0</v>
      </c>
      <c r="CA1076" s="3" t="n">
        <v>0</v>
      </c>
      <c r="CB1076" s="3" t="n">
        <v>7.848787399132023</v>
      </c>
      <c r="CC1076" s="3" t="n">
        <v>8.925972913749627</v>
      </c>
      <c r="CD1076" s="3" t="n">
        <v>9.373762459154701</v>
      </c>
      <c r="CE1076" s="3" t="n">
        <v>9.753523027046555</v>
      </c>
      <c r="CF1076" s="3" t="n">
        <v>10.15306346858393</v>
      </c>
      <c r="CG1076" s="3" t="n">
        <v>10.58014329517147</v>
      </c>
      <c r="CH1076" s="3" t="n">
        <v>10.89673228950922</v>
      </c>
      <c r="CI1076" s="3" t="n">
        <v>11.24395470001314</v>
      </c>
      <c r="CJ1076" s="3" t="n">
        <v>11.57407468414583</v>
      </c>
      <c r="CK1076" s="3" t="n">
        <v>12.19423419600239</v>
      </c>
      <c r="CL1076" s="3" t="n">
        <v>12.83107072230201</v>
      </c>
      <c r="CM1076" s="3" t="n">
        <v>13.495200195704</v>
      </c>
      <c r="CN1076" s="3" t="n">
        <v>14.21436145185727</v>
      </c>
      <c r="CO1076" s="3" t="n">
        <v>14.95194210127884</v>
      </c>
      <c r="CP1076" s="3" t="n">
        <v>15.70608124032077</v>
      </c>
      <c r="CQ1076" s="3" t="n">
        <v>16.48467241040445</v>
      </c>
      <c r="CR1076" s="3" t="n">
        <v>17.27253817884955</v>
      </c>
      <c r="CS1076" s="3" t="n">
        <v>18.08134077220612</v>
      </c>
      <c r="CU1076" s="20" t="inlineStr">
        <is>
          <t>egy.mit.expsub.con.res.ecy.6</t>
        </is>
      </c>
      <c r="CV1076" s="3" t="n">
        <v>0</v>
      </c>
      <c r="CW1076" s="3" t="n">
        <v>0</v>
      </c>
      <c r="CX1076" s="3" t="n">
        <v>7.848787399132023</v>
      </c>
      <c r="CY1076" s="3" t="n">
        <v>8.925972913749627</v>
      </c>
      <c r="CZ1076" s="3" t="n">
        <v>9.37430770178387</v>
      </c>
      <c r="DA1076" s="3" t="n">
        <v>9.754970709940153</v>
      </c>
      <c r="DB1076" s="3" t="n">
        <v>8.249966325656773</v>
      </c>
      <c r="DC1076" s="3" t="n">
        <v>8.657092515122386</v>
      </c>
      <c r="DD1076" s="3" t="n">
        <v>8.788069857237867</v>
      </c>
      <c r="DE1076" s="3" t="n">
        <v>9.22744325199732</v>
      </c>
      <c r="DF1076" s="3" t="n">
        <v>9.644186813962973</v>
      </c>
      <c r="DG1076" s="3" t="n">
        <v>10.22880915342085</v>
      </c>
      <c r="DH1076" s="3" t="n">
        <v>10.84910820691975</v>
      </c>
      <c r="DI1076" s="3" t="n">
        <v>11.54159311880982</v>
      </c>
      <c r="DJ1076" s="3" t="n">
        <v>12.25478908869503</v>
      </c>
      <c r="DK1076" s="3" t="n">
        <v>13.01630007750208</v>
      </c>
      <c r="DL1076" s="3" t="n">
        <v>13.77815336654094</v>
      </c>
      <c r="DM1076" s="3" t="n">
        <v>14.5670675673926</v>
      </c>
      <c r="DN1076" s="3" t="n">
        <v>15.34642253674458</v>
      </c>
      <c r="DO1076" s="3" t="n">
        <v>16.14968205640554</v>
      </c>
    </row>
    <row r="1077">
      <c r="A1077" s="19" t="inlineStr">
        <is>
          <t>mit.impsub.con.res.ecy</t>
        </is>
      </c>
      <c r="B1077" s="3" t="inlineStr">
        <is>
          <t>mit</t>
        </is>
      </c>
      <c r="C1077" s="19" t="inlineStr">
        <is>
          <t>mit.impsub.con.ecy.res</t>
        </is>
      </c>
      <c r="H1077" s="3" t="inlineStr">
        <is>
          <t>Implicit consumer subsidy | Residential | Electricity</t>
        </is>
      </c>
      <c r="I1077" s="3" t="inlineStr">
        <is>
          <t>USD bn real</t>
        </is>
      </c>
      <c r="K1077" s="20" t="inlineStr">
        <is>
          <t>egy.mit.impsub.con.res.ecy.1</t>
        </is>
      </c>
      <c r="L1077" s="3" t="n">
        <v>0.7726298723073141</v>
      </c>
      <c r="M1077" s="3" t="n">
        <v>0.7453903738482233</v>
      </c>
      <c r="N1077" s="3" t="n">
        <v>1.990458757814627</v>
      </c>
      <c r="O1077" s="3" t="n">
        <v>2.23769107259554</v>
      </c>
      <c r="P1077" s="3" t="n">
        <v>2.350357761093037</v>
      </c>
      <c r="Q1077" s="3" t="n">
        <v>2.456864877025933</v>
      </c>
      <c r="R1077" s="3" t="n">
        <v>2.561398476468722</v>
      </c>
      <c r="S1077" s="3" t="n">
        <v>2.686483308833602</v>
      </c>
      <c r="T1077" s="3" t="n">
        <v>2.788730042224188</v>
      </c>
      <c r="U1077" s="3" t="n">
        <v>2.897781602525809</v>
      </c>
      <c r="V1077" s="3" t="n">
        <v>2.948704927717756</v>
      </c>
      <c r="W1077" s="3" t="n">
        <v>3.070284593411772</v>
      </c>
      <c r="X1077" s="3" t="n">
        <v>3.191342103667424</v>
      </c>
      <c r="Y1077" s="3" t="n">
        <v>3.319564623091665</v>
      </c>
      <c r="Z1077" s="3" t="n">
        <v>3.451280381141869</v>
      </c>
      <c r="AA1077" s="3" t="n">
        <v>3.586608057468218</v>
      </c>
      <c r="AB1077" s="3" t="n">
        <v>3.725427092909271</v>
      </c>
      <c r="AC1077" s="3" t="n">
        <v>3.867644907688239</v>
      </c>
      <c r="AD1077" s="3" t="n">
        <v>4.013400189821145</v>
      </c>
      <c r="AE1077" s="3" t="n">
        <v>4.162671407473095</v>
      </c>
      <c r="AG1077" s="20" t="inlineStr">
        <is>
          <t>egy.mit.impsub.con.res.ecy.3</t>
        </is>
      </c>
      <c r="AH1077" s="3" t="n">
        <v>0.7726298723073141</v>
      </c>
      <c r="AI1077" s="3" t="n">
        <v>0.7453903738482233</v>
      </c>
      <c r="AJ1077" s="3" t="n">
        <v>1.990458757814627</v>
      </c>
      <c r="AK1077" s="3" t="n">
        <v>2.237721058850916</v>
      </c>
      <c r="AL1077" s="3" t="n">
        <v>2.350399019328257</v>
      </c>
      <c r="AM1077" s="3" t="n">
        <v>2.68289568786018</v>
      </c>
      <c r="AN1077" s="3" t="n">
        <v>2.543102892659037</v>
      </c>
      <c r="AO1077" s="3" t="n">
        <v>2.69366237071464</v>
      </c>
      <c r="AP1077" s="3" t="n">
        <v>2.737372208656577</v>
      </c>
      <c r="AQ1077" s="3" t="n">
        <v>2.873905707559357</v>
      </c>
      <c r="AR1077" s="3" t="n">
        <v>2.924604188667842</v>
      </c>
      <c r="AS1077" s="3" t="n">
        <v>3.050699071110145</v>
      </c>
      <c r="AT1077" s="3" t="n">
        <v>3.170143582536329</v>
      </c>
      <c r="AU1077" s="3" t="n">
        <v>3.298246802332622</v>
      </c>
      <c r="AV1077" s="3" t="n">
        <v>3.431093425831716</v>
      </c>
      <c r="AW1077" s="3" t="n">
        <v>3.568986206666492</v>
      </c>
      <c r="AX1077" s="3" t="n">
        <v>3.708848594479019</v>
      </c>
      <c r="AY1077" s="3" t="n">
        <v>3.851496429869027</v>
      </c>
      <c r="AZ1077" s="3" t="n">
        <v>3.995491260532719</v>
      </c>
      <c r="BA1077" s="3" t="n">
        <v>4.142428599629287</v>
      </c>
      <c r="BC1077" s="20" t="inlineStr">
        <is>
          <t>egy.mit.impsub.con.res.ecy.4</t>
        </is>
      </c>
      <c r="BD1077" s="3" t="n">
        <v>0.7726298723073141</v>
      </c>
      <c r="BE1077" s="3" t="n">
        <v>0.7453903738482233</v>
      </c>
      <c r="BF1077" s="3" t="n">
        <v>1.990458757814627</v>
      </c>
      <c r="BG1077" s="3" t="n">
        <v>2.23779104866689</v>
      </c>
      <c r="BH1077" s="3" t="n">
        <v>2.350498646660708</v>
      </c>
      <c r="BI1077" s="3" t="n">
        <v>2.569788110621142</v>
      </c>
      <c r="BJ1077" s="3" t="n">
        <v>2.696590194636189</v>
      </c>
      <c r="BK1077" s="3" t="n">
        <v>2.808918064569222</v>
      </c>
      <c r="BL1077" s="3" t="n">
        <v>2.875019503151752</v>
      </c>
      <c r="BM1077" s="3" t="n">
        <v>2.996476757347911</v>
      </c>
      <c r="BN1077" s="3" t="n">
        <v>3.081447487890246</v>
      </c>
      <c r="BO1077" s="3" t="n">
        <v>3.20371681830578</v>
      </c>
      <c r="BP1077" s="3" t="n">
        <v>3.306857414316357</v>
      </c>
      <c r="BQ1077" s="3" t="n">
        <v>3.43651186236469</v>
      </c>
      <c r="BR1077" s="3" t="n">
        <v>3.549123903461643</v>
      </c>
      <c r="BS1077" s="3" t="n">
        <v>3.690400369652446</v>
      </c>
      <c r="BT1077" s="3" t="n">
        <v>3.80738097106338</v>
      </c>
      <c r="BU1077" s="3" t="n">
        <v>3.961698676731605</v>
      </c>
      <c r="BV1077" s="3" t="n">
        <v>4.073573563087725</v>
      </c>
      <c r="BW1077" s="3" t="n">
        <v>4.247005789362224</v>
      </c>
      <c r="BY1077" s="20" t="inlineStr">
        <is>
          <t>egy.mit.impsub.con.res.ecy.5</t>
        </is>
      </c>
      <c r="BZ1077" s="3" t="n">
        <v>0.7726298723073141</v>
      </c>
      <c r="CA1077" s="3" t="n">
        <v>0.7453903738482233</v>
      </c>
      <c r="CB1077" s="3" t="n">
        <v>1.990458757814627</v>
      </c>
      <c r="CC1077" s="3" t="n">
        <v>2.237862768356338</v>
      </c>
      <c r="CD1077" s="3" t="n">
        <v>2.350598217415501</v>
      </c>
      <c r="CE1077" s="3" t="n">
        <v>2.456949339946544</v>
      </c>
      <c r="CF1077" s="3" t="n">
        <v>2.561441882391405</v>
      </c>
      <c r="CG1077" s="3" t="n">
        <v>2.687849979558882</v>
      </c>
      <c r="CH1077" s="3" t="n">
        <v>2.786783099133407</v>
      </c>
      <c r="CI1077" s="3" t="n">
        <v>2.897428897904764</v>
      </c>
      <c r="CJ1077" s="3" t="n">
        <v>2.943793726739283</v>
      </c>
      <c r="CK1077" s="3" t="n">
        <v>3.066972863684343</v>
      </c>
      <c r="CL1077" s="3" t="n">
        <v>3.192152306667141</v>
      </c>
      <c r="CM1077" s="3" t="n">
        <v>3.317120583216075</v>
      </c>
      <c r="CN1077" s="3" t="n">
        <v>3.456030353292669</v>
      </c>
      <c r="CO1077" s="3" t="n">
        <v>3.597983117437506</v>
      </c>
      <c r="CP1077" s="3" t="n">
        <v>3.742023653251134</v>
      </c>
      <c r="CQ1077" s="3" t="n">
        <v>3.89156762017525</v>
      </c>
      <c r="CR1077" s="3" t="n">
        <v>4.042394984838133</v>
      </c>
      <c r="CS1077" s="3" t="n">
        <v>4.19680480383323</v>
      </c>
      <c r="CU1077" s="20" t="inlineStr">
        <is>
          <t>egy.mit.impsub.con.res.ecy.6</t>
        </is>
      </c>
      <c r="CV1077" s="3" t="n">
        <v>0.7726298723073141</v>
      </c>
      <c r="CW1077" s="3" t="n">
        <v>0.7453903738482233</v>
      </c>
      <c r="CX1077" s="3" t="n">
        <v>1.990458757814627</v>
      </c>
      <c r="CY1077" s="3" t="n">
        <v>2.237761095121899</v>
      </c>
      <c r="CZ1077" s="3" t="n">
        <v>2.350455416257407</v>
      </c>
      <c r="DA1077" s="3" t="n">
        <v>3.021560717274517</v>
      </c>
      <c r="DB1077" s="3" t="n">
        <v>2.541993849387669</v>
      </c>
      <c r="DC1077" s="3" t="n">
        <v>2.728196570231807</v>
      </c>
      <c r="DD1077" s="3" t="n">
        <v>2.738503535959049</v>
      </c>
      <c r="DE1077" s="3" t="n">
        <v>2.851178066718976</v>
      </c>
      <c r="DF1077" s="3" t="n">
        <v>2.916356561562875</v>
      </c>
      <c r="DG1077" s="3" t="n">
        <v>3.032193443269956</v>
      </c>
      <c r="DH1077" s="3" t="n">
        <v>3.140851331871</v>
      </c>
      <c r="DI1077" s="3" t="n">
        <v>3.271427000078218</v>
      </c>
      <c r="DJ1077" s="3" t="n">
        <v>3.402949992859312</v>
      </c>
      <c r="DK1077" s="3" t="n">
        <v>3.548947859942706</v>
      </c>
      <c r="DL1077" s="3" t="n">
        <v>3.690721034586642</v>
      </c>
      <c r="DM1077" s="3" t="n">
        <v>3.841692839398492</v>
      </c>
      <c r="DN1077" s="3" t="n">
        <v>3.986919480346915</v>
      </c>
      <c r="DO1077" s="3" t="n">
        <v>4.140229047945576</v>
      </c>
    </row>
    <row r="1078">
      <c r="A1078" s="19" t="inlineStr">
        <is>
          <t>mit.supcost.oth.ecy</t>
        </is>
      </c>
      <c r="B1078" s="3" t="inlineStr">
        <is>
          <t>mit</t>
        </is>
      </c>
      <c r="C1078" s="19" t="inlineStr">
        <is>
          <t>mit.supcost.ecy.other</t>
        </is>
      </c>
      <c r="H1078" s="3" t="inlineStr">
        <is>
          <t>Energy subsidies: supply cost | Other | Electricity</t>
        </is>
      </c>
      <c r="I1078" s="3" t="inlineStr">
        <is>
          <t>USD/GJ, USD/kWh</t>
        </is>
      </c>
      <c r="K1078" s="20" t="inlineStr">
        <is>
          <t>egy.mit.supcost.oth.ecy.1</t>
        </is>
      </c>
      <c r="L1078" s="3" t="n">
        <v>0.05987393319967845</v>
      </c>
      <c r="M1078" s="3" t="n">
        <v>0.05476392016392635</v>
      </c>
      <c r="N1078" s="3" t="n">
        <v>0.1022342311562227</v>
      </c>
      <c r="O1078" s="3" t="n">
        <v>0.1010060196141126</v>
      </c>
      <c r="P1078" s="3" t="n">
        <v>0.1010057474499211</v>
      </c>
      <c r="Q1078" s="3" t="n">
        <v>0.1014639943468309</v>
      </c>
      <c r="R1078" s="3" t="n">
        <v>0.1016063872415035</v>
      </c>
      <c r="S1078" s="3" t="n">
        <v>0.1023112117086312</v>
      </c>
      <c r="T1078" s="3" t="n">
        <v>0.1029787062745723</v>
      </c>
      <c r="U1078" s="3" t="n">
        <v>0.103729685620503</v>
      </c>
      <c r="V1078" s="3" t="n">
        <v>0.1024834080380993</v>
      </c>
      <c r="W1078" s="3" t="n">
        <v>0.101419506458334</v>
      </c>
      <c r="X1078" s="3" t="n">
        <v>0.1003515013395055</v>
      </c>
      <c r="Y1078" s="3" t="n">
        <v>0.09935587400772621</v>
      </c>
      <c r="Z1078" s="3" t="n">
        <v>0.09842487706841724</v>
      </c>
      <c r="AA1078" s="3" t="n">
        <v>0.0975545565474773</v>
      </c>
      <c r="AB1078" s="3" t="n">
        <v>0.09673854214369497</v>
      </c>
      <c r="AC1078" s="3" t="n">
        <v>0.09596847613462504</v>
      </c>
      <c r="AD1078" s="3" t="n">
        <v>0.09523908099823002</v>
      </c>
      <c r="AE1078" s="3" t="n">
        <v>0.09454442350978645</v>
      </c>
      <c r="AG1078" s="20" t="inlineStr">
        <is>
          <t>egy.mit.supcost.oth.ecy.3</t>
        </is>
      </c>
      <c r="AH1078" s="3" t="n">
        <v>0.05987393319967845</v>
      </c>
      <c r="AI1078" s="3" t="n">
        <v>0.05476392016392635</v>
      </c>
      <c r="AJ1078" s="3" t="n">
        <v>0.1022342311562227</v>
      </c>
      <c r="AK1078" s="3" t="n">
        <v>0.1010074424312102</v>
      </c>
      <c r="AL1078" s="3" t="n">
        <v>0.1010093911159299</v>
      </c>
      <c r="AM1078" s="3" t="n">
        <v>0.11067268162595</v>
      </c>
      <c r="AN1078" s="3" t="n">
        <v>0.1106418887237104</v>
      </c>
      <c r="AO1078" s="3" t="n">
        <v>0.1122150951400448</v>
      </c>
      <c r="AP1078" s="3" t="n">
        <v>0.1114744757239989</v>
      </c>
      <c r="AQ1078" s="3" t="n">
        <v>0.1118651646643096</v>
      </c>
      <c r="AR1078" s="3" t="n">
        <v>0.1100960066311465</v>
      </c>
      <c r="AS1078" s="3" t="n">
        <v>0.1087390938005111</v>
      </c>
      <c r="AT1078" s="3" t="n">
        <v>0.1073139887293134</v>
      </c>
      <c r="AU1078" s="3" t="n">
        <v>0.1059989981392188</v>
      </c>
      <c r="AV1078" s="3" t="n">
        <v>0.1047914127179976</v>
      </c>
      <c r="AW1078" s="3" t="n">
        <v>0.1036700907392994</v>
      </c>
      <c r="AX1078" s="3" t="n">
        <v>0.1026226549339553</v>
      </c>
      <c r="AY1078" s="3" t="n">
        <v>0.1016415995013929</v>
      </c>
      <c r="AZ1078" s="3" t="n">
        <v>0.1007174673374834</v>
      </c>
      <c r="BA1078" s="3" t="n">
        <v>0.09984438090453884</v>
      </c>
      <c r="BC1078" s="20" t="inlineStr">
        <is>
          <t>egy.mit.supcost.oth.ecy.4</t>
        </is>
      </c>
      <c r="BD1078" s="3" t="n">
        <v>0.05987393319967845</v>
      </c>
      <c r="BE1078" s="3" t="n">
        <v>0.05476392016392635</v>
      </c>
      <c r="BF1078" s="3" t="n">
        <v>0.1022342311562227</v>
      </c>
      <c r="BG1078" s="3" t="n">
        <v>0.1010107627894391</v>
      </c>
      <c r="BH1078" s="3" t="n">
        <v>0.10101804065539</v>
      </c>
      <c r="BI1078" s="3" t="n">
        <v>0.1060782248744869</v>
      </c>
      <c r="BJ1078" s="3" t="n">
        <v>0.1121847529172703</v>
      </c>
      <c r="BK1078" s="3" t="n">
        <v>0.1186446346161591</v>
      </c>
      <c r="BL1078" s="3" t="n">
        <v>0.1234979791954528</v>
      </c>
      <c r="BM1078" s="3" t="n">
        <v>0.1286911410064335</v>
      </c>
      <c r="BN1078" s="3" t="n">
        <v>0.1324190676996287</v>
      </c>
      <c r="BO1078" s="3" t="n">
        <v>0.1360584175555962</v>
      </c>
      <c r="BP1078" s="3" t="n">
        <v>0.1385226919545658</v>
      </c>
      <c r="BQ1078" s="3" t="n">
        <v>0.140816231387461</v>
      </c>
      <c r="BR1078" s="3" t="n">
        <v>0.1420616735686703</v>
      </c>
      <c r="BS1078" s="3" t="n">
        <v>0.1433182985689008</v>
      </c>
      <c r="BT1078" s="3" t="n">
        <v>0.1434860082385604</v>
      </c>
      <c r="BU1078" s="3" t="n">
        <v>0.1439801124620046</v>
      </c>
      <c r="BV1078" s="3" t="n">
        <v>0.1431623490736287</v>
      </c>
      <c r="BW1078" s="3" t="n">
        <v>0.1433100646645139</v>
      </c>
      <c r="BY1078" s="20" t="inlineStr">
        <is>
          <t>egy.mit.supcost.oth.ecy.5</t>
        </is>
      </c>
      <c r="BZ1078" s="3" t="n">
        <v>0.05987393319967845</v>
      </c>
      <c r="CA1078" s="3" t="n">
        <v>0.05476392016392635</v>
      </c>
      <c r="CB1078" s="3" t="n">
        <v>0.1022342311562227</v>
      </c>
      <c r="CC1078" s="3" t="n">
        <v>0.1010141655369172</v>
      </c>
      <c r="CD1078" s="3" t="n">
        <v>0.1010267932081796</v>
      </c>
      <c r="CE1078" s="3" t="n">
        <v>0.1014938958077385</v>
      </c>
      <c r="CF1078" s="3" t="n">
        <v>0.1016451206219403</v>
      </c>
      <c r="CG1078" s="3" t="n">
        <v>0.1023626929587343</v>
      </c>
      <c r="CH1078" s="3" t="n">
        <v>0.1030329189582622</v>
      </c>
      <c r="CI1078" s="3" t="n">
        <v>0.1038003587805664</v>
      </c>
      <c r="CJ1078" s="3" t="n">
        <v>0.1024680411822933</v>
      </c>
      <c r="CK1078" s="3" t="n">
        <v>0.1012959442365972</v>
      </c>
      <c r="CL1078" s="3" t="n">
        <v>0.1001566070813301</v>
      </c>
      <c r="CM1078" s="3" t="n">
        <v>0.09891203729616542</v>
      </c>
      <c r="CN1078" s="3" t="n">
        <v>0.09780014831915901</v>
      </c>
      <c r="CO1078" s="3" t="n">
        <v>0.09675676607368214</v>
      </c>
      <c r="CP1078" s="3" t="n">
        <v>0.09576240223720613</v>
      </c>
      <c r="CQ1078" s="3" t="n">
        <v>0.09485226968648537</v>
      </c>
      <c r="CR1078" s="3" t="n">
        <v>0.0940029648945189</v>
      </c>
      <c r="CS1078" s="3" t="n">
        <v>0.09319842150609742</v>
      </c>
      <c r="CU1078" s="20" t="inlineStr">
        <is>
          <t>egy.mit.supcost.oth.ecy.6</t>
        </is>
      </c>
      <c r="CV1078" s="3" t="n">
        <v>0.05987393319967845</v>
      </c>
      <c r="CW1078" s="3" t="n">
        <v>0.05476392016392635</v>
      </c>
      <c r="CX1078" s="3" t="n">
        <v>0.1022342311562227</v>
      </c>
      <c r="CY1078" s="3" t="n">
        <v>0.1010093418783446</v>
      </c>
      <c r="CZ1078" s="3" t="n">
        <v>0.1010143130727725</v>
      </c>
      <c r="DA1078" s="3" t="n">
        <v>0.124470852521138</v>
      </c>
      <c r="DB1078" s="3" t="n">
        <v>0.123879107175981</v>
      </c>
      <c r="DC1078" s="3" t="n">
        <v>0.1266843107474731</v>
      </c>
      <c r="DD1078" s="3" t="n">
        <v>0.1252834686238003</v>
      </c>
      <c r="DE1078" s="3" t="n">
        <v>0.1242310737210093</v>
      </c>
      <c r="DF1078" s="3" t="n">
        <v>0.1215850459794016</v>
      </c>
      <c r="DG1078" s="3" t="n">
        <v>0.1191471353560719</v>
      </c>
      <c r="DH1078" s="3" t="n">
        <v>0.1163315773492508</v>
      </c>
      <c r="DI1078" s="3" t="n">
        <v>0.1138613208907137</v>
      </c>
      <c r="DJ1078" s="3" t="n">
        <v>0.1115153446833532</v>
      </c>
      <c r="DK1078" s="3" t="n">
        <v>0.1094640581674797</v>
      </c>
      <c r="DL1078" s="3" t="n">
        <v>0.1075149774031438</v>
      </c>
      <c r="DM1078" s="3" t="n">
        <v>0.1058241979895464</v>
      </c>
      <c r="DN1078" s="3" t="n">
        <v>0.1042230219908103</v>
      </c>
      <c r="DO1078" s="3" t="n">
        <v>0.1028228891987787</v>
      </c>
    </row>
    <row r="1079">
      <c r="A1079" s="19" t="inlineStr">
        <is>
          <t>mit.extcost.oth.ecy</t>
        </is>
      </c>
      <c r="B1079" s="3" t="inlineStr">
        <is>
          <t>mit</t>
        </is>
      </c>
      <c r="C1079" s="19" t="inlineStr">
        <is>
          <t>mit.extcost.ecy.other</t>
        </is>
      </c>
      <c r="H1079" s="3" t="inlineStr">
        <is>
          <t>Energy subsidies: externalities incl. climate (global SCC) | Other | Electricity</t>
        </is>
      </c>
      <c r="I1079" s="3" t="inlineStr">
        <is>
          <t>USD/GJ, USD/kWh</t>
        </is>
      </c>
      <c r="K1079" s="20" t="inlineStr">
        <is>
          <t>egy.mit.extcost.oth.ecy.1</t>
        </is>
      </c>
      <c r="L1079" s="3" t="n">
        <v>0</v>
      </c>
      <c r="M1079" s="3" t="n">
        <v>0</v>
      </c>
      <c r="N1079" s="3" t="n">
        <v>0</v>
      </c>
      <c r="O1079" s="3" t="n">
        <v>0</v>
      </c>
      <c r="P1079" s="3" t="n">
        <v>0</v>
      </c>
      <c r="Q1079" s="3" t="n">
        <v>0</v>
      </c>
      <c r="R1079" s="3" t="n">
        <v>0</v>
      </c>
      <c r="S1079" s="3" t="n">
        <v>0</v>
      </c>
      <c r="T1079" s="3" t="n">
        <v>0</v>
      </c>
      <c r="U1079" s="3" t="n">
        <v>0</v>
      </c>
      <c r="V1079" s="3" t="n">
        <v>0</v>
      </c>
      <c r="W1079" s="3" t="n">
        <v>0</v>
      </c>
      <c r="X1079" s="3" t="n">
        <v>0</v>
      </c>
      <c r="Y1079" s="3" t="n">
        <v>0</v>
      </c>
      <c r="Z1079" s="3" t="n">
        <v>0</v>
      </c>
      <c r="AA1079" s="3" t="n">
        <v>0</v>
      </c>
      <c r="AB1079" s="3" t="n">
        <v>0</v>
      </c>
      <c r="AC1079" s="3" t="n">
        <v>0</v>
      </c>
      <c r="AD1079" s="3" t="n">
        <v>0</v>
      </c>
      <c r="AE1079" s="3" t="n">
        <v>0</v>
      </c>
      <c r="AG1079" s="20" t="inlineStr">
        <is>
          <t>egy.mit.extcost.oth.ecy.3</t>
        </is>
      </c>
      <c r="AH1079" s="3" t="n">
        <v>0</v>
      </c>
      <c r="AI1079" s="3" t="n">
        <v>0</v>
      </c>
      <c r="AJ1079" s="3" t="n">
        <v>0</v>
      </c>
      <c r="AK1079" s="3" t="n">
        <v>0</v>
      </c>
      <c r="AL1079" s="3" t="n">
        <v>0</v>
      </c>
      <c r="AM1079" s="3" t="n">
        <v>0</v>
      </c>
      <c r="AN1079" s="3" t="n">
        <v>0</v>
      </c>
      <c r="AO1079" s="3" t="n">
        <v>0</v>
      </c>
      <c r="AP1079" s="3" t="n">
        <v>0</v>
      </c>
      <c r="AQ1079" s="3" t="n">
        <v>0</v>
      </c>
      <c r="AR1079" s="3" t="n">
        <v>0</v>
      </c>
      <c r="AS1079" s="3" t="n">
        <v>0</v>
      </c>
      <c r="AT1079" s="3" t="n">
        <v>0</v>
      </c>
      <c r="AU1079" s="3" t="n">
        <v>0</v>
      </c>
      <c r="AV1079" s="3" t="n">
        <v>0</v>
      </c>
      <c r="AW1079" s="3" t="n">
        <v>0</v>
      </c>
      <c r="AX1079" s="3" t="n">
        <v>0</v>
      </c>
      <c r="AY1079" s="3" t="n">
        <v>0</v>
      </c>
      <c r="AZ1079" s="3" t="n">
        <v>0</v>
      </c>
      <c r="BA1079" s="3" t="n">
        <v>0</v>
      </c>
      <c r="BC1079" s="20" t="inlineStr">
        <is>
          <t>egy.mit.extcost.oth.ecy.4</t>
        </is>
      </c>
      <c r="BD1079" s="3" t="n">
        <v>0</v>
      </c>
      <c r="BE1079" s="3" t="n">
        <v>0</v>
      </c>
      <c r="BF1079" s="3" t="n">
        <v>0</v>
      </c>
      <c r="BG1079" s="3" t="n">
        <v>0</v>
      </c>
      <c r="BH1079" s="3" t="n">
        <v>0</v>
      </c>
      <c r="BI1079" s="3" t="n">
        <v>0</v>
      </c>
      <c r="BJ1079" s="3" t="n">
        <v>0</v>
      </c>
      <c r="BK1079" s="3" t="n">
        <v>0</v>
      </c>
      <c r="BL1079" s="3" t="n">
        <v>0</v>
      </c>
      <c r="BM1079" s="3" t="n">
        <v>0</v>
      </c>
      <c r="BN1079" s="3" t="n">
        <v>0</v>
      </c>
      <c r="BO1079" s="3" t="n">
        <v>0</v>
      </c>
      <c r="BP1079" s="3" t="n">
        <v>0</v>
      </c>
      <c r="BQ1079" s="3" t="n">
        <v>0</v>
      </c>
      <c r="BR1079" s="3" t="n">
        <v>0</v>
      </c>
      <c r="BS1079" s="3" t="n">
        <v>0</v>
      </c>
      <c r="BT1079" s="3" t="n">
        <v>0</v>
      </c>
      <c r="BU1079" s="3" t="n">
        <v>0</v>
      </c>
      <c r="BV1079" s="3" t="n">
        <v>0</v>
      </c>
      <c r="BW1079" s="3" t="n">
        <v>0</v>
      </c>
      <c r="BY1079" s="20" t="inlineStr">
        <is>
          <t>egy.mit.extcost.oth.ecy.5</t>
        </is>
      </c>
      <c r="BZ1079" s="3" t="n">
        <v>0</v>
      </c>
      <c r="CA1079" s="3" t="n">
        <v>0</v>
      </c>
      <c r="CB1079" s="3" t="n">
        <v>0</v>
      </c>
      <c r="CC1079" s="3" t="n">
        <v>0</v>
      </c>
      <c r="CD1079" s="3" t="n">
        <v>0</v>
      </c>
      <c r="CE1079" s="3" t="n">
        <v>0</v>
      </c>
      <c r="CF1079" s="3" t="n">
        <v>0</v>
      </c>
      <c r="CG1079" s="3" t="n">
        <v>0</v>
      </c>
      <c r="CH1079" s="3" t="n">
        <v>0</v>
      </c>
      <c r="CI1079" s="3" t="n">
        <v>0</v>
      </c>
      <c r="CJ1079" s="3" t="n">
        <v>0</v>
      </c>
      <c r="CK1079" s="3" t="n">
        <v>0</v>
      </c>
      <c r="CL1079" s="3" t="n">
        <v>0</v>
      </c>
      <c r="CM1079" s="3" t="n">
        <v>0</v>
      </c>
      <c r="CN1079" s="3" t="n">
        <v>0</v>
      </c>
      <c r="CO1079" s="3" t="n">
        <v>0</v>
      </c>
      <c r="CP1079" s="3" t="n">
        <v>0</v>
      </c>
      <c r="CQ1079" s="3" t="n">
        <v>0</v>
      </c>
      <c r="CR1079" s="3" t="n">
        <v>0</v>
      </c>
      <c r="CS1079" s="3" t="n">
        <v>0</v>
      </c>
      <c r="CU1079" s="20" t="inlineStr">
        <is>
          <t>egy.mit.extcost.oth.ecy.6</t>
        </is>
      </c>
      <c r="CV1079" s="3" t="n">
        <v>0</v>
      </c>
      <c r="CW1079" s="3" t="n">
        <v>0</v>
      </c>
      <c r="CX1079" s="3" t="n">
        <v>0</v>
      </c>
      <c r="CY1079" s="3" t="n">
        <v>0</v>
      </c>
      <c r="CZ1079" s="3" t="n">
        <v>0</v>
      </c>
      <c r="DA1079" s="3" t="n">
        <v>0</v>
      </c>
      <c r="DB1079" s="3" t="n">
        <v>0</v>
      </c>
      <c r="DC1079" s="3" t="n">
        <v>0</v>
      </c>
      <c r="DD1079" s="3" t="n">
        <v>0</v>
      </c>
      <c r="DE1079" s="3" t="n">
        <v>0</v>
      </c>
      <c r="DF1079" s="3" t="n">
        <v>0</v>
      </c>
      <c r="DG1079" s="3" t="n">
        <v>0</v>
      </c>
      <c r="DH1079" s="3" t="n">
        <v>0</v>
      </c>
      <c r="DI1079" s="3" t="n">
        <v>0</v>
      </c>
      <c r="DJ1079" s="3" t="n">
        <v>0</v>
      </c>
      <c r="DK1079" s="3" t="n">
        <v>0</v>
      </c>
      <c r="DL1079" s="3" t="n">
        <v>0</v>
      </c>
      <c r="DM1079" s="3" t="n">
        <v>0</v>
      </c>
      <c r="DN1079" s="3" t="n">
        <v>0</v>
      </c>
      <c r="DO1079" s="3" t="n">
        <v>0</v>
      </c>
    </row>
    <row r="1080">
      <c r="A1080" s="19" t="inlineStr">
        <is>
          <t>mit.vatext.oth.ecy</t>
        </is>
      </c>
      <c r="B1080" s="3" t="inlineStr">
        <is>
          <t>mit</t>
        </is>
      </c>
      <c r="C1080" s="19" t="inlineStr">
        <is>
          <t>mit.vatext.ecy.other</t>
        </is>
      </c>
      <c r="H1080" s="3" t="inlineStr">
        <is>
          <t>Energy subsidies: VAT on supply cost and externalities | Other | Electricity</t>
        </is>
      </c>
      <c r="I1080" s="3" t="inlineStr">
        <is>
          <t>USD/GJ, USD/kWh</t>
        </is>
      </c>
      <c r="K1080" s="20" t="inlineStr">
        <is>
          <t>egy.mit.vatext.oth.ecy.1</t>
        </is>
      </c>
      <c r="L1080" s="3" t="n">
        <v>0.006189721340462356</v>
      </c>
      <c r="M1080" s="3" t="n">
        <v>0.005521486114495612</v>
      </c>
      <c r="N1080" s="3" t="n">
        <v>0.01079903660875526</v>
      </c>
      <c r="O1080" s="3" t="n">
        <v>0.01072180604516704</v>
      </c>
      <c r="P1080" s="3" t="n">
        <v>0.01074109983912184</v>
      </c>
      <c r="Q1080" s="3" t="n">
        <v>0.01080307354169741</v>
      </c>
      <c r="R1080" s="3" t="n">
        <v>0.0108319617912393</v>
      </c>
      <c r="S1080" s="3" t="n">
        <v>0.01092054798228151</v>
      </c>
      <c r="T1080" s="3" t="n">
        <v>0.01100359561476252</v>
      </c>
      <c r="U1080" s="3" t="n">
        <v>0.01109513986358374</v>
      </c>
      <c r="V1080" s="3" t="n">
        <v>0.01096941882293091</v>
      </c>
      <c r="W1080" s="3" t="n">
        <v>0.01087990748796799</v>
      </c>
      <c r="X1080" s="3" t="n">
        <v>0.01078877470219411</v>
      </c>
      <c r="Y1080" s="3" t="n">
        <v>0.01070448712819249</v>
      </c>
      <c r="Z1080" s="3" t="n">
        <v>0.0106262605502558</v>
      </c>
      <c r="AA1080" s="3" t="n">
        <v>0.01055374323285747</v>
      </c>
      <c r="AB1080" s="3" t="n">
        <v>0.0104863062666452</v>
      </c>
      <c r="AC1080" s="3" t="n">
        <v>0.01042312226525063</v>
      </c>
      <c r="AD1080" s="3" t="n">
        <v>0.01036369736855922</v>
      </c>
      <c r="AE1080" s="3" t="n">
        <v>0.0103074481069126</v>
      </c>
      <c r="AG1080" s="20" t="inlineStr">
        <is>
          <t>egy.mit.vatext.oth.ecy.3</t>
        </is>
      </c>
      <c r="AH1080" s="3" t="n">
        <v>0.006189721340462356</v>
      </c>
      <c r="AI1080" s="3" t="n">
        <v>0.005521486114495612</v>
      </c>
      <c r="AJ1080" s="3" t="n">
        <v>0.01079903660875526</v>
      </c>
      <c r="AK1080" s="3" t="n">
        <v>0.01072194972309385</v>
      </c>
      <c r="AL1080" s="3" t="n">
        <v>0.01074146638597538</v>
      </c>
      <c r="AM1080" s="3" t="n">
        <v>0.01179744486583161</v>
      </c>
      <c r="AN1080" s="3" t="n">
        <v>0.01174692128432429</v>
      </c>
      <c r="AO1080" s="3" t="n">
        <v>0.0119313984289354</v>
      </c>
      <c r="AP1080" s="3" t="n">
        <v>0.01185835419877373</v>
      </c>
      <c r="AQ1080" s="3" t="n">
        <v>0.0119207734796813</v>
      </c>
      <c r="AR1080" s="3" t="n">
        <v>0.01174385718081716</v>
      </c>
      <c r="AS1080" s="3" t="n">
        <v>0.01162771996688713</v>
      </c>
      <c r="AT1080" s="3" t="n">
        <v>0.01150035560765926</v>
      </c>
      <c r="AU1080" s="3" t="n">
        <v>0.01138469229501276</v>
      </c>
      <c r="AV1080" s="3" t="n">
        <v>0.01127935344789216</v>
      </c>
      <c r="AW1080" s="3" t="n">
        <v>0.01118235676376987</v>
      </c>
      <c r="AX1080" s="3" t="n">
        <v>0.01109218297181737</v>
      </c>
      <c r="AY1080" s="3" t="n">
        <v>0.01100822210376678</v>
      </c>
      <c r="AZ1080" s="3" t="n">
        <v>0.01092942103133293</v>
      </c>
      <c r="BA1080" s="3" t="n">
        <v>0.01085538040085381</v>
      </c>
      <c r="BC1080" s="20" t="inlineStr">
        <is>
          <t>egy.mit.vatext.oth.ecy.4</t>
        </is>
      </c>
      <c r="BD1080" s="3" t="n">
        <v>0.006189721340462356</v>
      </c>
      <c r="BE1080" s="3" t="n">
        <v>0.005521486114495612</v>
      </c>
      <c r="BF1080" s="3" t="n">
        <v>0.01079903660875526</v>
      </c>
      <c r="BG1080" s="3" t="n">
        <v>0.01072228507645929</v>
      </c>
      <c r="BH1080" s="3" t="n">
        <v>0.01074233697483609</v>
      </c>
      <c r="BI1080" s="3" t="n">
        <v>0.01130119722427509</v>
      </c>
      <c r="BJ1080" s="3" t="n">
        <v>0.01194249284640143</v>
      </c>
      <c r="BK1080" s="3" t="n">
        <v>0.0126140651298529</v>
      </c>
      <c r="BL1080" s="3" t="n">
        <v>0.01311568156223309</v>
      </c>
      <c r="BM1080" s="3" t="n">
        <v>0.01366451523063123</v>
      </c>
      <c r="BN1080" s="3" t="n">
        <v>0.01405598947767186</v>
      </c>
      <c r="BO1080" s="3" t="n">
        <v>0.01444882948995513</v>
      </c>
      <c r="BP1080" s="3" t="n">
        <v>0.01471576700455218</v>
      </c>
      <c r="BQ1080" s="3" t="n">
        <v>0.01497234858486525</v>
      </c>
      <c r="BR1080" s="3" t="n">
        <v>0.01511725228174707</v>
      </c>
      <c r="BS1080" s="3" t="n">
        <v>0.01526920566710508</v>
      </c>
      <c r="BT1080" s="3" t="n">
        <v>0.01530397560999901</v>
      </c>
      <c r="BU1080" s="3" t="n">
        <v>0.01537921219379633</v>
      </c>
      <c r="BV1080" s="3" t="n">
        <v>0.01531099622825666</v>
      </c>
      <c r="BW1080" s="3" t="n">
        <v>0.01535288642389103</v>
      </c>
      <c r="BY1080" s="20" t="inlineStr">
        <is>
          <t>egy.mit.vatext.oth.ecy.5</t>
        </is>
      </c>
      <c r="BZ1080" s="3" t="n">
        <v>0.006189721340462356</v>
      </c>
      <c r="CA1080" s="3" t="n">
        <v>0.005521486114495612</v>
      </c>
      <c r="CB1080" s="3" t="n">
        <v>0.01079903660875526</v>
      </c>
      <c r="CC1080" s="3" t="n">
        <v>0.01072262871844335</v>
      </c>
      <c r="CD1080" s="3" t="n">
        <v>0.01074321768565182</v>
      </c>
      <c r="CE1080" s="3" t="n">
        <v>0.01080604617370274</v>
      </c>
      <c r="CF1080" s="3" t="n">
        <v>0.01083580518292124</v>
      </c>
      <c r="CG1080" s="3" t="n">
        <v>0.01092606086738407</v>
      </c>
      <c r="CH1080" s="3" t="n">
        <v>0.0110088947505243</v>
      </c>
      <c r="CI1080" s="3" t="n">
        <v>0.01110235923001316</v>
      </c>
      <c r="CJ1080" s="3" t="n">
        <v>0.01096702928759304</v>
      </c>
      <c r="CK1080" s="3" t="n">
        <v>0.01086710562663544</v>
      </c>
      <c r="CL1080" s="3" t="n">
        <v>0.01076930569750874</v>
      </c>
      <c r="CM1080" s="3" t="n">
        <v>0.01065951451110454</v>
      </c>
      <c r="CN1080" s="3" t="n">
        <v>0.01056391885024341</v>
      </c>
      <c r="CO1080" s="3" t="n">
        <v>0.0104745471104787</v>
      </c>
      <c r="CP1080" s="3" t="n">
        <v>0.01038947914727012</v>
      </c>
      <c r="CQ1080" s="3" t="n">
        <v>0.01031267044210931</v>
      </c>
      <c r="CR1080" s="3" t="n">
        <v>0.0102413530911863</v>
      </c>
      <c r="CS1080" s="3" t="n">
        <v>0.01017414529398422</v>
      </c>
      <c r="CU1080" s="20" t="inlineStr">
        <is>
          <t>egy.mit.vatext.oth.ecy.6</t>
        </is>
      </c>
      <c r="CV1080" s="3" t="n">
        <v>0.006189721340462356</v>
      </c>
      <c r="CW1080" s="3" t="n">
        <v>0.005521486114495612</v>
      </c>
      <c r="CX1080" s="3" t="n">
        <v>0.01079903660875526</v>
      </c>
      <c r="CY1080" s="3" t="n">
        <v>0.01072214155526296</v>
      </c>
      <c r="CZ1080" s="3" t="n">
        <v>0.01074196170798329</v>
      </c>
      <c r="DA1080" s="3" t="n">
        <v>0.01328739816464974</v>
      </c>
      <c r="DB1080" s="3" t="n">
        <v>0.0130893288126332</v>
      </c>
      <c r="DC1080" s="3" t="n">
        <v>0.01340982078121434</v>
      </c>
      <c r="DD1080" s="3" t="n">
        <v>0.01326238640189145</v>
      </c>
      <c r="DE1080" s="3" t="n">
        <v>0.01317429730825959</v>
      </c>
      <c r="DF1080" s="3" t="n">
        <v>0.01291407549184062</v>
      </c>
      <c r="DG1080" s="3" t="n">
        <v>0.01268860950992049</v>
      </c>
      <c r="DH1080" s="3" t="n">
        <v>0.01241881219332779</v>
      </c>
      <c r="DI1080" s="3" t="n">
        <v>0.01218798760828306</v>
      </c>
      <c r="DJ1080" s="3" t="n">
        <v>0.01196740286834638</v>
      </c>
      <c r="DK1080" s="3" t="n">
        <v>0.01177780346840471</v>
      </c>
      <c r="DL1080" s="3" t="n">
        <v>0.0115962400235636</v>
      </c>
      <c r="DM1080" s="3" t="n">
        <v>0.01144147185704305</v>
      </c>
      <c r="DN1080" s="3" t="n">
        <v>0.0112936810356541</v>
      </c>
      <c r="DO1080" s="3" t="n">
        <v>0.01116678022414976</v>
      </c>
    </row>
    <row r="1081">
      <c r="A1081" s="19" t="inlineStr">
        <is>
          <t>mit.effprice.oth.ecy</t>
        </is>
      </c>
      <c r="B1081" s="3" t="inlineStr">
        <is>
          <t>mit</t>
        </is>
      </c>
      <c r="C1081" s="19" t="inlineStr">
        <is>
          <t>mit.effprice.ecy.other</t>
        </is>
      </c>
      <c r="H1081" s="3" t="inlineStr">
        <is>
          <t>Energy subsidies: efficient price | Other | Electricity</t>
        </is>
      </c>
      <c r="I1081" s="3" t="inlineStr">
        <is>
          <t>USD/GJ, USD/kWh</t>
        </is>
      </c>
      <c r="K1081" s="20" t="inlineStr">
        <is>
          <t>egy.mit.effprice.oth.ecy.1</t>
        </is>
      </c>
      <c r="L1081" s="3" t="n">
        <v>0.06606365454014081</v>
      </c>
      <c r="M1081" s="3" t="n">
        <v>0.06028540627842196</v>
      </c>
      <c r="N1081" s="3" t="n">
        <v>0.1130332677649779</v>
      </c>
      <c r="O1081" s="3" t="n">
        <v>0.1117278256592797</v>
      </c>
      <c r="P1081" s="3" t="n">
        <v>0.111746847289043</v>
      </c>
      <c r="Q1081" s="3" t="n">
        <v>0.1122670678885283</v>
      </c>
      <c r="R1081" s="3" t="n">
        <v>0.1124383490327428</v>
      </c>
      <c r="S1081" s="3" t="n">
        <v>0.1132317596909127</v>
      </c>
      <c r="T1081" s="3" t="n">
        <v>0.1139823018893348</v>
      </c>
      <c r="U1081" s="3" t="n">
        <v>0.1148248254840867</v>
      </c>
      <c r="V1081" s="3" t="n">
        <v>0.1134528268610302</v>
      </c>
      <c r="W1081" s="3" t="n">
        <v>0.112299413946302</v>
      </c>
      <c r="X1081" s="3" t="n">
        <v>0.1111402760416996</v>
      </c>
      <c r="Y1081" s="3" t="n">
        <v>0.1100603611359187</v>
      </c>
      <c r="Z1081" s="3" t="n">
        <v>0.109051137618673</v>
      </c>
      <c r="AA1081" s="3" t="n">
        <v>0.1081082997803348</v>
      </c>
      <c r="AB1081" s="3" t="n">
        <v>0.1072248484103402</v>
      </c>
      <c r="AC1081" s="3" t="n">
        <v>0.1063915983998757</v>
      </c>
      <c r="AD1081" s="3" t="n">
        <v>0.1056027783667892</v>
      </c>
      <c r="AE1081" s="3" t="n">
        <v>0.1048518716166991</v>
      </c>
      <c r="AG1081" s="20" t="inlineStr">
        <is>
          <t>egy.mit.effprice.oth.ecy.3</t>
        </is>
      </c>
      <c r="AH1081" s="3" t="n">
        <v>0.06606365454014081</v>
      </c>
      <c r="AI1081" s="3" t="n">
        <v>0.06028540627842196</v>
      </c>
      <c r="AJ1081" s="3" t="n">
        <v>0.1130332677649779</v>
      </c>
      <c r="AK1081" s="3" t="n">
        <v>0.111729392154304</v>
      </c>
      <c r="AL1081" s="3" t="n">
        <v>0.1117508575019053</v>
      </c>
      <c r="AM1081" s="3" t="n">
        <v>0.1224701264917816</v>
      </c>
      <c r="AN1081" s="3" t="n">
        <v>0.1223888100080347</v>
      </c>
      <c r="AO1081" s="3" t="n">
        <v>0.1241464935689802</v>
      </c>
      <c r="AP1081" s="3" t="n">
        <v>0.1233328299227726</v>
      </c>
      <c r="AQ1081" s="3" t="n">
        <v>0.1237859381439909</v>
      </c>
      <c r="AR1081" s="3" t="n">
        <v>0.1218398638119636</v>
      </c>
      <c r="AS1081" s="3" t="n">
        <v>0.1203668137673982</v>
      </c>
      <c r="AT1081" s="3" t="n">
        <v>0.1188143443369727</v>
      </c>
      <c r="AU1081" s="3" t="n">
        <v>0.1173836904342316</v>
      </c>
      <c r="AV1081" s="3" t="n">
        <v>0.1160707661658898</v>
      </c>
      <c r="AW1081" s="3" t="n">
        <v>0.1148524475030693</v>
      </c>
      <c r="AX1081" s="3" t="n">
        <v>0.1137148379057726</v>
      </c>
      <c r="AY1081" s="3" t="n">
        <v>0.1126498216051597</v>
      </c>
      <c r="AZ1081" s="3" t="n">
        <v>0.1116468883688164</v>
      </c>
      <c r="BA1081" s="3" t="n">
        <v>0.1106997613053926</v>
      </c>
      <c r="BC1081" s="20" t="inlineStr">
        <is>
          <t>egy.mit.effprice.oth.ecy.4</t>
        </is>
      </c>
      <c r="BD1081" s="3" t="n">
        <v>0.06606365454014081</v>
      </c>
      <c r="BE1081" s="3" t="n">
        <v>0.06028540627842196</v>
      </c>
      <c r="BF1081" s="3" t="n">
        <v>0.1130332677649779</v>
      </c>
      <c r="BG1081" s="3" t="n">
        <v>0.1117330478658984</v>
      </c>
      <c r="BH1081" s="3" t="n">
        <v>0.1117603776302261</v>
      </c>
      <c r="BI1081" s="3" t="n">
        <v>0.117379422098762</v>
      </c>
      <c r="BJ1081" s="3" t="n">
        <v>0.1241272457636718</v>
      </c>
      <c r="BK1081" s="3" t="n">
        <v>0.131258699746012</v>
      </c>
      <c r="BL1081" s="3" t="n">
        <v>0.1366136607576859</v>
      </c>
      <c r="BM1081" s="3" t="n">
        <v>0.1423556562370647</v>
      </c>
      <c r="BN1081" s="3" t="n">
        <v>0.1464750571773006</v>
      </c>
      <c r="BO1081" s="3" t="n">
        <v>0.1505072470455514</v>
      </c>
      <c r="BP1081" s="3" t="n">
        <v>0.153238458959118</v>
      </c>
      <c r="BQ1081" s="3" t="n">
        <v>0.1557885799723263</v>
      </c>
      <c r="BR1081" s="3" t="n">
        <v>0.1571789258504174</v>
      </c>
      <c r="BS1081" s="3" t="n">
        <v>0.1585875042360059</v>
      </c>
      <c r="BT1081" s="3" t="n">
        <v>0.1587899838485594</v>
      </c>
      <c r="BU1081" s="3" t="n">
        <v>0.1593593246558009</v>
      </c>
      <c r="BV1081" s="3" t="n">
        <v>0.1584733453018854</v>
      </c>
      <c r="BW1081" s="3" t="n">
        <v>0.1586629510884049</v>
      </c>
      <c r="BY1081" s="20" t="inlineStr">
        <is>
          <t>egy.mit.effprice.oth.ecy.5</t>
        </is>
      </c>
      <c r="BZ1081" s="3" t="n">
        <v>0.06606365454014081</v>
      </c>
      <c r="CA1081" s="3" t="n">
        <v>0.06028540627842196</v>
      </c>
      <c r="CB1081" s="3" t="n">
        <v>0.1130332677649779</v>
      </c>
      <c r="CC1081" s="3" t="n">
        <v>0.1117367942553606</v>
      </c>
      <c r="CD1081" s="3" t="n">
        <v>0.1117700108938314</v>
      </c>
      <c r="CE1081" s="3" t="n">
        <v>0.1122999419814413</v>
      </c>
      <c r="CF1081" s="3" t="n">
        <v>0.1124809258048616</v>
      </c>
      <c r="CG1081" s="3" t="n">
        <v>0.1132887538261183</v>
      </c>
      <c r="CH1081" s="3" t="n">
        <v>0.1140418137087865</v>
      </c>
      <c r="CI1081" s="3" t="n">
        <v>0.1149027180105796</v>
      </c>
      <c r="CJ1081" s="3" t="n">
        <v>0.1134350704698863</v>
      </c>
      <c r="CK1081" s="3" t="n">
        <v>0.1121630498632326</v>
      </c>
      <c r="CL1081" s="3" t="n">
        <v>0.1109259127788388</v>
      </c>
      <c r="CM1081" s="3" t="n">
        <v>0.10957155180727</v>
      </c>
      <c r="CN1081" s="3" t="n">
        <v>0.1083640671694024</v>
      </c>
      <c r="CO1081" s="3" t="n">
        <v>0.1072313131841608</v>
      </c>
      <c r="CP1081" s="3" t="n">
        <v>0.1061518813844762</v>
      </c>
      <c r="CQ1081" s="3" t="n">
        <v>0.1051649401285947</v>
      </c>
      <c r="CR1081" s="3" t="n">
        <v>0.1042443179857052</v>
      </c>
      <c r="CS1081" s="3" t="n">
        <v>0.1033725668000816</v>
      </c>
      <c r="CU1081" s="20" t="inlineStr">
        <is>
          <t>egy.mit.effprice.oth.ecy.6</t>
        </is>
      </c>
      <c r="CV1081" s="3" t="n">
        <v>0.06606365454014081</v>
      </c>
      <c r="CW1081" s="3" t="n">
        <v>0.06028540627842196</v>
      </c>
      <c r="CX1081" s="3" t="n">
        <v>0.1130332677649779</v>
      </c>
      <c r="CY1081" s="3" t="n">
        <v>0.1117314834336076</v>
      </c>
      <c r="CZ1081" s="3" t="n">
        <v>0.1117562747807558</v>
      </c>
      <c r="DA1081" s="3" t="n">
        <v>0.1377582506857878</v>
      </c>
      <c r="DB1081" s="3" t="n">
        <v>0.1369684359886142</v>
      </c>
      <c r="DC1081" s="3" t="n">
        <v>0.1400941315286874</v>
      </c>
      <c r="DD1081" s="3" t="n">
        <v>0.1385458550256917</v>
      </c>
      <c r="DE1081" s="3" t="n">
        <v>0.1374053710292689</v>
      </c>
      <c r="DF1081" s="3" t="n">
        <v>0.1344991214712422</v>
      </c>
      <c r="DG1081" s="3" t="n">
        <v>0.1318357448659924</v>
      </c>
      <c r="DH1081" s="3" t="n">
        <v>0.1287503895425786</v>
      </c>
      <c r="DI1081" s="3" t="n">
        <v>0.1260493084989968</v>
      </c>
      <c r="DJ1081" s="3" t="n">
        <v>0.1234827475516996</v>
      </c>
      <c r="DK1081" s="3" t="n">
        <v>0.1212418616358844</v>
      </c>
      <c r="DL1081" s="3" t="n">
        <v>0.1191112174267075</v>
      </c>
      <c r="DM1081" s="3" t="n">
        <v>0.1172656698465895</v>
      </c>
      <c r="DN1081" s="3" t="n">
        <v>0.1155167030264644</v>
      </c>
      <c r="DO1081" s="3" t="n">
        <v>0.1139896694229285</v>
      </c>
    </row>
    <row r="1082">
      <c r="A1082" s="19" t="inlineStr">
        <is>
          <t>mit.rpsub.oth.ecy</t>
        </is>
      </c>
      <c r="B1082" s="3" t="inlineStr">
        <is>
          <t>mit</t>
        </is>
      </c>
      <c r="C1082" s="19" t="inlineStr">
        <is>
          <t>mit.rp.ecy.other</t>
        </is>
      </c>
      <c r="H1082" s="3" t="inlineStr">
        <is>
          <t>Energy subsidies: retail price of the scenario | Other | Electricity</t>
        </is>
      </c>
      <c r="I1082" s="3" t="inlineStr">
        <is>
          <t>USD/GJ, USD/kWh</t>
        </is>
      </c>
      <c r="K1082" s="20" t="inlineStr">
        <is>
          <t>egy.mit.rpsub.oth.ecy.1</t>
        </is>
      </c>
      <c r="L1082" s="3" t="n">
        <v>0.06143480753299656</v>
      </c>
      <c r="M1082" s="3" t="n">
        <v>0.05570266717196286</v>
      </c>
      <c r="N1082" s="3" t="n">
        <v>0.04700680135305493</v>
      </c>
      <c r="O1082" s="3" t="n">
        <v>0.04577306707912213</v>
      </c>
      <c r="P1082" s="3" t="n">
        <v>0.04577060136846517</v>
      </c>
      <c r="Q1082" s="3" t="n">
        <v>0.04622718918041459</v>
      </c>
      <c r="R1082" s="3" t="n">
        <v>0.04636798364635761</v>
      </c>
      <c r="S1082" s="3" t="n">
        <v>0.04707112206279258</v>
      </c>
      <c r="T1082" s="3" t="n">
        <v>0.04773741966198755</v>
      </c>
      <c r="U1082" s="3" t="n">
        <v>0.04848727863717863</v>
      </c>
      <c r="V1082" s="3" t="n">
        <v>0.04723994703941164</v>
      </c>
      <c r="W1082" s="3" t="n">
        <v>0.04617350201255232</v>
      </c>
      <c r="X1082" s="3" t="n">
        <v>0.04510319558349737</v>
      </c>
      <c r="Y1082" s="3" t="n">
        <v>0.04410529856724689</v>
      </c>
      <c r="Z1082" s="3" t="n">
        <v>0.04317206662009607</v>
      </c>
      <c r="AA1082" s="3" t="n">
        <v>0.04229954403923407</v>
      </c>
      <c r="AB1082" s="3" t="n">
        <v>0.04148136092923994</v>
      </c>
      <c r="AC1082" s="3" t="n">
        <v>0.04070915792821888</v>
      </c>
      <c r="AD1082" s="3" t="n">
        <v>0.03997765393170798</v>
      </c>
      <c r="AE1082" s="3" t="n">
        <v>0.03928091388924737</v>
      </c>
      <c r="AG1082" s="20" t="inlineStr">
        <is>
          <t>egy.mit.rpsub.oth.ecy.3</t>
        </is>
      </c>
      <c r="AH1082" s="3" t="n">
        <v>0.06143480753299656</v>
      </c>
      <c r="AI1082" s="3" t="n">
        <v>0.05570266717196286</v>
      </c>
      <c r="AJ1082" s="3" t="n">
        <v>0.04700680135305493</v>
      </c>
      <c r="AK1082" s="3" t="n">
        <v>0.04577448989621967</v>
      </c>
      <c r="AL1082" s="3" t="n">
        <v>0.04577424578668704</v>
      </c>
      <c r="AM1082" s="3" t="n">
        <v>0.05543587856955611</v>
      </c>
      <c r="AN1082" s="3" t="n">
        <v>0.0554099062777271</v>
      </c>
      <c r="AO1082" s="3" t="n">
        <v>0.05698127861610627</v>
      </c>
      <c r="AP1082" s="3" t="n">
        <v>0.05623996533646417</v>
      </c>
      <c r="AQ1082" s="3" t="n">
        <v>0.0566285728749002</v>
      </c>
      <c r="AR1082" s="3" t="n">
        <v>0.05485807236849103</v>
      </c>
      <c r="AS1082" s="3" t="n">
        <v>0.05349846102004848</v>
      </c>
      <c r="AT1082" s="3" t="n">
        <v>0.052070992709098</v>
      </c>
      <c r="AU1082" s="3" t="n">
        <v>0.05075358243392503</v>
      </c>
      <c r="AV1082" s="3" t="n">
        <v>0.04954361979625815</v>
      </c>
      <c r="AW1082" s="3" t="n">
        <v>0.04841994876132501</v>
      </c>
      <c r="AX1082" s="3" t="n">
        <v>0.04737022135042915</v>
      </c>
      <c r="AY1082" s="3" t="n">
        <v>0.04638691913376129</v>
      </c>
      <c r="AZ1082" s="3" t="n">
        <v>0.04546059586552217</v>
      </c>
      <c r="BA1082" s="3" t="n">
        <v>0.04458535476621615</v>
      </c>
      <c r="BC1082" s="20" t="inlineStr">
        <is>
          <t>egy.mit.rpsub.oth.ecy.4</t>
        </is>
      </c>
      <c r="BD1082" s="3" t="n">
        <v>0.06143480753299656</v>
      </c>
      <c r="BE1082" s="3" t="n">
        <v>0.05570266717196286</v>
      </c>
      <c r="BF1082" s="3" t="n">
        <v>0.04700680135305493</v>
      </c>
      <c r="BG1082" s="3" t="n">
        <v>0.04577781025444859</v>
      </c>
      <c r="BH1082" s="3" t="n">
        <v>0.0457828970837036</v>
      </c>
      <c r="BI1082" s="3" t="n">
        <v>0.05084142683471576</v>
      </c>
      <c r="BJ1082" s="3" t="n">
        <v>0.05694973573520556</v>
      </c>
      <c r="BK1082" s="3" t="n">
        <v>0.06341178763014012</v>
      </c>
      <c r="BL1082" s="3" t="n">
        <v>0.06826714081998468</v>
      </c>
      <c r="BM1082" s="3" t="n">
        <v>0.07346123839179747</v>
      </c>
      <c r="BN1082" s="3" t="n">
        <v>0.07719009917137692</v>
      </c>
      <c r="BO1082" s="3" t="n">
        <v>0.08082958124955097</v>
      </c>
      <c r="BP1082" s="3" t="n">
        <v>0.0832938946318208</v>
      </c>
      <c r="BQ1082" s="3" t="n">
        <v>0.08558690784066715</v>
      </c>
      <c r="BR1082" s="3" t="n">
        <v>0.08683174277939734</v>
      </c>
      <c r="BS1082" s="3" t="n">
        <v>0.08808731807576278</v>
      </c>
      <c r="BT1082" s="3" t="n">
        <v>0.08825397657513014</v>
      </c>
      <c r="BU1082" s="3" t="n">
        <v>0.08874661521259204</v>
      </c>
      <c r="BV1082" s="3" t="n">
        <v>0.087927529096872</v>
      </c>
      <c r="BW1082" s="3" t="n">
        <v>0.08807344435193881</v>
      </c>
      <c r="BY1082" s="20" t="inlineStr">
        <is>
          <t>egy.mit.rpsub.oth.ecy.5</t>
        </is>
      </c>
      <c r="BZ1082" s="3" t="n">
        <v>0.06143480753299656</v>
      </c>
      <c r="CA1082" s="3" t="n">
        <v>0.05570266717196286</v>
      </c>
      <c r="CB1082" s="3" t="n">
        <v>0.04700680135305493</v>
      </c>
      <c r="CC1082" s="3" t="n">
        <v>0.0457812130019267</v>
      </c>
      <c r="CD1082" s="3" t="n">
        <v>0.04579165143628348</v>
      </c>
      <c r="CE1082" s="3" t="n">
        <v>0.04625710284132459</v>
      </c>
      <c r="CF1082" s="3" t="n">
        <v>0.04640673482612102</v>
      </c>
      <c r="CG1082" s="3" t="n">
        <v>0.04712261009360431</v>
      </c>
      <c r="CH1082" s="3" t="n">
        <v>0.04779169622255813</v>
      </c>
      <c r="CI1082" s="3" t="n">
        <v>0.04855800091647417</v>
      </c>
      <c r="CJ1082" s="3" t="n">
        <v>0.04722466065089987</v>
      </c>
      <c r="CK1082" s="3" t="n">
        <v>0.04604993021776675</v>
      </c>
      <c r="CL1082" s="3" t="n">
        <v>0.0449081975665836</v>
      </c>
      <c r="CM1082" s="3" t="n">
        <v>0.04366128728528169</v>
      </c>
      <c r="CN1082" s="3" t="n">
        <v>0.04254696168272107</v>
      </c>
      <c r="CO1082" s="3" t="n">
        <v>0.04150119931095394</v>
      </c>
      <c r="CP1082" s="3" t="n">
        <v>0.04050450333609147</v>
      </c>
      <c r="CQ1082" s="3" t="n">
        <v>0.03959206304276806</v>
      </c>
      <c r="CR1082" s="3" t="n">
        <v>0.03874051810745648</v>
      </c>
      <c r="CS1082" s="3" t="n">
        <v>0.03793376925383996</v>
      </c>
      <c r="CU1082" s="20" t="inlineStr">
        <is>
          <t>egy.mit.rpsub.oth.ecy.6</t>
        </is>
      </c>
      <c r="CV1082" s="3" t="n">
        <v>0.06143480753299656</v>
      </c>
      <c r="CW1082" s="3" t="n">
        <v>0.05570266717196286</v>
      </c>
      <c r="CX1082" s="3" t="n">
        <v>0.04700680135305493</v>
      </c>
      <c r="CY1082" s="3" t="n">
        <v>0.04577638934335408</v>
      </c>
      <c r="CZ1082" s="3" t="n">
        <v>0.04577916874858132</v>
      </c>
      <c r="DA1082" s="3" t="n">
        <v>0.06923405231807567</v>
      </c>
      <c r="DB1082" s="3" t="n">
        <v>0.06865470580051906</v>
      </c>
      <c r="DC1082" s="3" t="n">
        <v>0.07145779962210976</v>
      </c>
      <c r="DD1082" s="3" t="n">
        <v>0.07005671697986196</v>
      </c>
      <c r="DE1082" s="3" t="n">
        <v>0.06900203807949591</v>
      </c>
      <c r="DF1082" s="3" t="n">
        <v>0.06635395284007704</v>
      </c>
      <c r="DG1082" s="3" t="n">
        <v>0.06391313103549677</v>
      </c>
      <c r="DH1082" s="3" t="n">
        <v>0.06109480028389401</v>
      </c>
      <c r="DI1082" s="3" t="n">
        <v>0.05862150202770917</v>
      </c>
      <c r="DJ1082" s="3" t="n">
        <v>0.0562726071486933</v>
      </c>
      <c r="DK1082" s="3" t="n">
        <v>0.05421835861939293</v>
      </c>
      <c r="DL1082" s="3" t="n">
        <v>0.05226647894265682</v>
      </c>
      <c r="DM1082" s="3" t="n">
        <v>0.05057292528819193</v>
      </c>
      <c r="DN1082" s="3" t="n">
        <v>0.04896914953715087</v>
      </c>
      <c r="DO1082" s="3" t="n">
        <v>0.04756644589186772</v>
      </c>
    </row>
    <row r="1083">
      <c r="A1083" s="19" t="inlineStr">
        <is>
          <t>mit.con.oth.ecy</t>
        </is>
      </c>
      <c r="B1083" s="3" t="inlineStr">
        <is>
          <t>mit</t>
        </is>
      </c>
      <c r="C1083" s="19" t="inlineStr">
        <is>
          <t>mit.con.ecy.other</t>
        </is>
      </c>
      <c r="H1083" s="3" t="inlineStr">
        <is>
          <t>Energy subsidies: consumption of the line | Other | Electricity</t>
        </is>
      </c>
      <c r="I1083" s="3" t="inlineStr">
        <is>
          <t>PJ, GWh</t>
        </is>
      </c>
      <c r="K1083" s="20" t="inlineStr">
        <is>
          <t>egy.mit.con.oth.ecy.1</t>
        </is>
      </c>
      <c r="L1083" s="3" t="n">
        <v>503.5004876155559</v>
      </c>
      <c r="M1083" s="3" t="n">
        <v>471.4074278206103</v>
      </c>
      <c r="N1083" s="3" t="n">
        <v>536.6373436317031</v>
      </c>
      <c r="O1083" s="3" t="n">
        <v>596.9337118273006</v>
      </c>
      <c r="P1083" s="3" t="n">
        <v>628.5824842185726</v>
      </c>
      <c r="Q1083" s="3" t="n">
        <v>659.8957096890061</v>
      </c>
      <c r="R1083" s="3" t="n">
        <v>695.4756973998926</v>
      </c>
      <c r="S1083" s="3" t="n">
        <v>731.7427582560022</v>
      </c>
      <c r="T1083" s="3" t="n">
        <v>762.8487527715824</v>
      </c>
      <c r="U1083" s="3" t="n">
        <v>795.0003689311123</v>
      </c>
      <c r="V1083" s="3" t="n">
        <v>827.466933943224</v>
      </c>
      <c r="W1083" s="3" t="n">
        <v>873.0685924151876</v>
      </c>
      <c r="X1083" s="3" t="n">
        <v>919.7170703193143</v>
      </c>
      <c r="Y1083" s="3" t="n">
        <v>968.5252411550036</v>
      </c>
      <c r="Z1083" s="3" t="n">
        <v>1018.83099789427</v>
      </c>
      <c r="AA1083" s="3" t="n">
        <v>1070.649334924081</v>
      </c>
      <c r="AB1083" s="3" t="n">
        <v>1123.967354332234</v>
      </c>
      <c r="AC1083" s="3" t="n">
        <v>1178.797378920111</v>
      </c>
      <c r="AD1083" s="3" t="n">
        <v>1235.181300267197</v>
      </c>
      <c r="AE1083" s="3" t="n">
        <v>1293.139930105734</v>
      </c>
      <c r="AG1083" s="20" t="inlineStr">
        <is>
          <t>egy.mit.con.oth.ecy.3</t>
        </is>
      </c>
      <c r="AH1083" s="3" t="n">
        <v>503.5004876155559</v>
      </c>
      <c r="AI1083" s="3" t="n">
        <v>471.4074278206103</v>
      </c>
      <c r="AJ1083" s="3" t="n">
        <v>536.6373436317031</v>
      </c>
      <c r="AK1083" s="3" t="n">
        <v>596.9337118273006</v>
      </c>
      <c r="AL1083" s="3" t="n">
        <v>628.5752723274773</v>
      </c>
      <c r="AM1083" s="3" t="n">
        <v>659.8766212397322</v>
      </c>
      <c r="AN1083" s="3" t="n">
        <v>653.1783762541287</v>
      </c>
      <c r="AO1083" s="3" t="n">
        <v>688.6947352986216</v>
      </c>
      <c r="AP1083" s="3" t="n">
        <v>713.6476195155718</v>
      </c>
      <c r="AQ1083" s="3" t="n">
        <v>750.9504378027273</v>
      </c>
      <c r="AR1083" s="3" t="n">
        <v>783.4447009710685</v>
      </c>
      <c r="AS1083" s="3" t="n">
        <v>829.0454291410673</v>
      </c>
      <c r="AT1083" s="3" t="n">
        <v>875.4154605183635</v>
      </c>
      <c r="AU1083" s="3" t="n">
        <v>924.0530328553546</v>
      </c>
      <c r="AV1083" s="3" t="n">
        <v>974.485694812727</v>
      </c>
      <c r="AW1083" s="3" t="n">
        <v>1027.047924912954</v>
      </c>
      <c r="AX1083" s="3" t="n">
        <v>1080.579672188339</v>
      </c>
      <c r="AY1083" s="3" t="n">
        <v>1135.353050529932</v>
      </c>
      <c r="AZ1083" s="3" t="n">
        <v>1190.852855846758</v>
      </c>
      <c r="BA1083" s="3" t="n">
        <v>1247.65969982311</v>
      </c>
      <c r="BC1083" s="20" t="inlineStr">
        <is>
          <t>egy.mit.con.oth.ecy.4</t>
        </is>
      </c>
      <c r="BD1083" s="3" t="n">
        <v>503.5004876155559</v>
      </c>
      <c r="BE1083" s="3" t="n">
        <v>471.4074278206103</v>
      </c>
      <c r="BF1083" s="3" t="n">
        <v>536.6373436317031</v>
      </c>
      <c r="BG1083" s="3" t="n">
        <v>596.9337118273006</v>
      </c>
      <c r="BH1083" s="3" t="n">
        <v>628.5584465378147</v>
      </c>
      <c r="BI1083" s="3" t="n">
        <v>659.8313182252363</v>
      </c>
      <c r="BJ1083" s="3" t="n">
        <v>673.026633379073</v>
      </c>
      <c r="BK1083" s="3" t="n">
        <v>681.9078703388523</v>
      </c>
      <c r="BL1083" s="3" t="n">
        <v>688.1735740860602</v>
      </c>
      <c r="BM1083" s="3" t="n">
        <v>702.1547113211386</v>
      </c>
      <c r="BN1083" s="3" t="n">
        <v>715.7333346137756</v>
      </c>
      <c r="BO1083" s="3" t="n">
        <v>735.5707781923012</v>
      </c>
      <c r="BP1083" s="3" t="n">
        <v>757.123092497392</v>
      </c>
      <c r="BQ1083" s="3" t="n">
        <v>783.6176378626249</v>
      </c>
      <c r="BR1083" s="3" t="n">
        <v>811.8057310130039</v>
      </c>
      <c r="BS1083" s="3" t="n">
        <v>844.8866681992271</v>
      </c>
      <c r="BT1083" s="3" t="n">
        <v>879.1343690413522</v>
      </c>
      <c r="BU1083" s="3" t="n">
        <v>918.3518237542099</v>
      </c>
      <c r="BV1083" s="3" t="n">
        <v>957.12664280955</v>
      </c>
      <c r="BW1083" s="3" t="n">
        <v>1001.671280448341</v>
      </c>
      <c r="BY1083" s="20" t="inlineStr">
        <is>
          <t>egy.mit.con.oth.ecy.5</t>
        </is>
      </c>
      <c r="BZ1083" s="3" t="n">
        <v>503.5004876155559</v>
      </c>
      <c r="CA1083" s="3" t="n">
        <v>471.4074278206103</v>
      </c>
      <c r="CB1083" s="3" t="n">
        <v>536.6373436317031</v>
      </c>
      <c r="CC1083" s="3" t="n">
        <v>596.9337118273006</v>
      </c>
      <c r="CD1083" s="3" t="n">
        <v>628.5412033410649</v>
      </c>
      <c r="CE1083" s="3" t="n">
        <v>659.7854808494368</v>
      </c>
      <c r="CF1083" s="3" t="n">
        <v>695.3121642597222</v>
      </c>
      <c r="CG1083" s="3" t="n">
        <v>731.9553794937224</v>
      </c>
      <c r="CH1083" s="3" t="n">
        <v>761.8941274081509</v>
      </c>
      <c r="CI1083" s="3" t="n">
        <v>794.4523668281993</v>
      </c>
      <c r="CJ1083" s="3" t="n">
        <v>826.2272883395242</v>
      </c>
      <c r="CK1083" s="3" t="n">
        <v>873.0937895736677</v>
      </c>
      <c r="CL1083" s="3" t="n">
        <v>921.4191384859313</v>
      </c>
      <c r="CM1083" s="3" t="n">
        <v>971.6064005010261</v>
      </c>
      <c r="CN1083" s="3" t="n">
        <v>1025.217166714548</v>
      </c>
      <c r="CO1083" s="3" t="n">
        <v>1080.647812744727</v>
      </c>
      <c r="CP1083" s="3" t="n">
        <v>1137.270419768851</v>
      </c>
      <c r="CQ1083" s="3" t="n">
        <v>1195.67267442108</v>
      </c>
      <c r="CR1083" s="3" t="n">
        <v>1254.845351706164</v>
      </c>
      <c r="CS1083" s="3" t="n">
        <v>1315.709031871963</v>
      </c>
      <c r="CU1083" s="20" t="inlineStr">
        <is>
          <t>egy.mit.con.oth.ecy.6</t>
        </is>
      </c>
      <c r="CV1083" s="3" t="n">
        <v>503.5004876155559</v>
      </c>
      <c r="CW1083" s="3" t="n">
        <v>471.4074278206103</v>
      </c>
      <c r="CX1083" s="3" t="n">
        <v>536.6373436317031</v>
      </c>
      <c r="CY1083" s="3" t="n">
        <v>596.9337118273006</v>
      </c>
      <c r="CZ1083" s="3" t="n">
        <v>628.5656462119762</v>
      </c>
      <c r="DA1083" s="3" t="n">
        <v>659.8508400793501</v>
      </c>
      <c r="DB1083" s="3" t="n">
        <v>604.5636883989827</v>
      </c>
      <c r="DC1083" s="3" t="n">
        <v>639.8200801248585</v>
      </c>
      <c r="DD1083" s="3" t="n">
        <v>658.9802596447427</v>
      </c>
      <c r="DE1083" s="3" t="n">
        <v>695.4087629831971</v>
      </c>
      <c r="DF1083" s="3" t="n">
        <v>730.5020099582759</v>
      </c>
      <c r="DG1083" s="3" t="n">
        <v>775.8886124914881</v>
      </c>
      <c r="DH1083" s="3" t="n">
        <v>824.1752524401229</v>
      </c>
      <c r="DI1083" s="3" t="n">
        <v>876.5675369694302</v>
      </c>
      <c r="DJ1083" s="3" t="n">
        <v>930.9209070612757</v>
      </c>
      <c r="DK1083" s="3" t="n">
        <v>989.074163892481</v>
      </c>
      <c r="DL1083" s="3" t="n">
        <v>1047.337387803122</v>
      </c>
      <c r="DM1083" s="3" t="n">
        <v>1107.357441995103</v>
      </c>
      <c r="DN1083" s="3" t="n">
        <v>1166.711548062628</v>
      </c>
      <c r="DO1083" s="3" t="n">
        <v>1227.664281813651</v>
      </c>
    </row>
    <row r="1084">
      <c r="A1084" s="19" t="inlineStr">
        <is>
          <t>mit.expsub.con.oth.ecy</t>
        </is>
      </c>
      <c r="B1084" s="3" t="inlineStr">
        <is>
          <t>mit</t>
        </is>
      </c>
      <c r="C1084" s="19" t="inlineStr">
        <is>
          <t>mit.expsub.con.ecy.other</t>
        </is>
      </c>
      <c r="H1084" s="3" t="inlineStr">
        <is>
          <t>Explicit consumer subsidy | Other | Electricity</t>
        </is>
      </c>
      <c r="I1084" s="3" t="inlineStr">
        <is>
          <t>USD bn real</t>
        </is>
      </c>
      <c r="K1084" s="20" t="inlineStr">
        <is>
          <t>egy.mit.expsub.con.oth.ecy.1</t>
        </is>
      </c>
      <c r="L1084" s="3" t="n">
        <v>0</v>
      </c>
      <c r="M1084" s="3" t="n">
        <v>0</v>
      </c>
      <c r="N1084" s="3" t="n">
        <v>0.02963710122517828</v>
      </c>
      <c r="O1084" s="3" t="n">
        <v>0.032970411371893</v>
      </c>
      <c r="P1084" s="3" t="n">
        <v>0.03471984534005734</v>
      </c>
      <c r="Q1084" s="3" t="n">
        <v>0.03645053074624569</v>
      </c>
      <c r="R1084" s="3" t="n">
        <v>0.03841696726359083</v>
      </c>
      <c r="S1084" s="3" t="n">
        <v>0.04042153556375475</v>
      </c>
      <c r="T1084" s="3" t="n">
        <v>0.04214074659390778</v>
      </c>
      <c r="U1084" s="3" t="n">
        <v>0.04391773393238552</v>
      </c>
      <c r="V1084" s="3" t="n">
        <v>0.04571213729299618</v>
      </c>
      <c r="W1084" s="3" t="n">
        <v>0.0482335513380418</v>
      </c>
      <c r="X1084" s="3" t="n">
        <v>0.05081280991002148</v>
      </c>
      <c r="Y1084" s="3" t="n">
        <v>0.05351157690244295</v>
      </c>
      <c r="Z1084" s="3" t="n">
        <v>0.05629327600552603</v>
      </c>
      <c r="AA1084" s="3" t="n">
        <v>0.05915874239317239</v>
      </c>
      <c r="AB1084" s="3" t="n">
        <v>0.06210726777746782</v>
      </c>
      <c r="AC1084" s="3" t="n">
        <v>0.06513953946262398</v>
      </c>
      <c r="AD1084" s="3" t="n">
        <v>0.06825788133864753</v>
      </c>
      <c r="AE1084" s="3" t="n">
        <v>0.07146345096810147</v>
      </c>
      <c r="AG1084" s="20" t="inlineStr">
        <is>
          <t>egy.mit.expsub.con.oth.ecy.3</t>
        </is>
      </c>
      <c r="AH1084" s="3" t="n">
        <v>0</v>
      </c>
      <c r="AI1084" s="3" t="n">
        <v>0</v>
      </c>
      <c r="AJ1084" s="3" t="n">
        <v>0.02963710122517828</v>
      </c>
      <c r="AK1084" s="3" t="n">
        <v>0.032970411371893</v>
      </c>
      <c r="AL1084" s="3" t="n">
        <v>0.03471944651737661</v>
      </c>
      <c r="AM1084" s="3" t="n">
        <v>0.03644947496893768</v>
      </c>
      <c r="AN1084" s="3" t="n">
        <v>0.03607633661136394</v>
      </c>
      <c r="AO1084" s="3" t="n">
        <v>0.03803923865048647</v>
      </c>
      <c r="AP1084" s="3" t="n">
        <v>0.03941797685317227</v>
      </c>
      <c r="AQ1084" s="3" t="n">
        <v>0.04147994278698749</v>
      </c>
      <c r="AR1084" s="3" t="n">
        <v>0.04327586689066562</v>
      </c>
      <c r="AS1084" s="3" t="n">
        <v>0.04579699410950272</v>
      </c>
      <c r="AT1084" s="3" t="n">
        <v>0.04836057280145101</v>
      </c>
      <c r="AU1084" s="3" t="n">
        <v>0.05104969393383156</v>
      </c>
      <c r="AV1084" s="3" t="n">
        <v>0.05383818387221097</v>
      </c>
      <c r="AW1084" s="3" t="n">
        <v>0.05674454366962475</v>
      </c>
      <c r="AX1084" s="3" t="n">
        <v>0.05970465656929463</v>
      </c>
      <c r="AY1084" s="3" t="n">
        <v>0.06273356991144689</v>
      </c>
      <c r="AZ1084" s="3" t="n">
        <v>0.06580280319754232</v>
      </c>
      <c r="BA1084" s="3" t="n">
        <v>0.0689444599642571</v>
      </c>
      <c r="BC1084" s="20" t="inlineStr">
        <is>
          <t>egy.mit.expsub.con.oth.ecy.4</t>
        </is>
      </c>
      <c r="BD1084" s="3" t="n">
        <v>0</v>
      </c>
      <c r="BE1084" s="3" t="n">
        <v>0</v>
      </c>
      <c r="BF1084" s="3" t="n">
        <v>0.02963710122517828</v>
      </c>
      <c r="BG1084" s="3" t="n">
        <v>0.032970411371893</v>
      </c>
      <c r="BH1084" s="3" t="n">
        <v>0.03471851603771235</v>
      </c>
      <c r="BI1084" s="3" t="n">
        <v>0.03644696926512335</v>
      </c>
      <c r="BJ1084" s="3" t="n">
        <v>0.03717463765868031</v>
      </c>
      <c r="BK1084" s="3" t="n">
        <v>0.03766371306098788</v>
      </c>
      <c r="BL1084" s="3" t="n">
        <v>0.03800840344461542</v>
      </c>
      <c r="BM1084" s="3" t="n">
        <v>0.03877993632667435</v>
      </c>
      <c r="BN1084" s="3" t="n">
        <v>0.03952921381200492</v>
      </c>
      <c r="BO1084" s="3" t="n">
        <v>0.04062471810029292</v>
      </c>
      <c r="BP1084" s="3" t="n">
        <v>0.04181499782390839</v>
      </c>
      <c r="BQ1084" s="3" t="n">
        <v>0.04327867205848924</v>
      </c>
      <c r="BR1084" s="3" t="n">
        <v>0.04483597433818337</v>
      </c>
      <c r="BS1084" s="3" t="n">
        <v>0.04666391909022391</v>
      </c>
      <c r="BT1084" s="3" t="n">
        <v>0.04855637730730174</v>
      </c>
      <c r="BU1084" s="3" t="n">
        <v>0.05072378293132115</v>
      </c>
      <c r="BV1084" s="3" t="n">
        <v>0.05286671781054304</v>
      </c>
      <c r="BW1084" s="3" t="n">
        <v>0.05532893619613592</v>
      </c>
      <c r="BY1084" s="20" t="inlineStr">
        <is>
          <t>egy.mit.expsub.con.oth.ecy.5</t>
        </is>
      </c>
      <c r="BZ1084" s="3" t="n">
        <v>0</v>
      </c>
      <c r="CA1084" s="3" t="n">
        <v>0</v>
      </c>
      <c r="CB1084" s="3" t="n">
        <v>0.02963710122517828</v>
      </c>
      <c r="CC1084" s="3" t="n">
        <v>0.03297041137189301</v>
      </c>
      <c r="CD1084" s="3" t="n">
        <v>0.03471756247602192</v>
      </c>
      <c r="CE1084" s="3" t="n">
        <v>0.03644443400792621</v>
      </c>
      <c r="CF1084" s="3" t="n">
        <v>0.03840792157790462</v>
      </c>
      <c r="CG1084" s="3" t="n">
        <v>0.04043327581681087</v>
      </c>
      <c r="CH1084" s="3" t="n">
        <v>0.04208796319317854</v>
      </c>
      <c r="CI1084" s="3" t="n">
        <v>0.04388742195429849</v>
      </c>
      <c r="CJ1084" s="3" t="n">
        <v>0.04564358849516165</v>
      </c>
      <c r="CK1084" s="3" t="n">
        <v>0.04823495173854064</v>
      </c>
      <c r="CL1084" s="3" t="n">
        <v>0.05090694189779565</v>
      </c>
      <c r="CM1084" s="3" t="n">
        <v>0.05368198234305677</v>
      </c>
      <c r="CN1084" s="3" t="n">
        <v>0.05664651545535904</v>
      </c>
      <c r="CO1084" s="3" t="n">
        <v>0.05971180736411245</v>
      </c>
      <c r="CP1084" s="3" t="n">
        <v>0.06284317387881537</v>
      </c>
      <c r="CQ1084" s="3" t="n">
        <v>0.06607311906675499</v>
      </c>
      <c r="CR1084" s="3" t="n">
        <v>0.06934582447465451</v>
      </c>
      <c r="CS1084" s="3" t="n">
        <v>0.07271220211155836</v>
      </c>
      <c r="CU1084" s="20" t="inlineStr">
        <is>
          <t>egy.mit.expsub.con.oth.ecy.6</t>
        </is>
      </c>
      <c r="CV1084" s="3" t="n">
        <v>0</v>
      </c>
      <c r="CW1084" s="3" t="n">
        <v>0</v>
      </c>
      <c r="CX1084" s="3" t="n">
        <v>0.02963710122517828</v>
      </c>
      <c r="CY1084" s="3" t="n">
        <v>0.032970411371893</v>
      </c>
      <c r="CZ1084" s="3" t="n">
        <v>0.03471891418574698</v>
      </c>
      <c r="DA1084" s="3" t="n">
        <v>0.03644804901728591</v>
      </c>
      <c r="DB1084" s="3" t="n">
        <v>0.03338666778517511</v>
      </c>
      <c r="DC1084" s="3" t="n">
        <v>0.03533503077324635</v>
      </c>
      <c r="DD1084" s="3" t="n">
        <v>0.03639333913765819</v>
      </c>
      <c r="DE1084" s="3" t="n">
        <v>0.03840675535621971</v>
      </c>
      <c r="DF1084" s="3" t="n">
        <v>0.04034642455046931</v>
      </c>
      <c r="DG1084" s="3" t="n">
        <v>0.04285543497463992</v>
      </c>
      <c r="DH1084" s="3" t="n">
        <v>0.04552478468181925</v>
      </c>
      <c r="DI1084" s="3" t="n">
        <v>0.04842143196338139</v>
      </c>
      <c r="DJ1084" s="3" t="n">
        <v>0.05142661933431357</v>
      </c>
      <c r="DK1084" s="3" t="n">
        <v>0.05464209408917913</v>
      </c>
      <c r="DL1084" s="3" t="n">
        <v>0.05786381805765128</v>
      </c>
      <c r="DM1084" s="3" t="n">
        <v>0.06118290800554577</v>
      </c>
      <c r="DN1084" s="3" t="n">
        <v>0.06446533106686396</v>
      </c>
      <c r="DO1084" s="3" t="n">
        <v>0.0678363617879556</v>
      </c>
    </row>
    <row r="1085">
      <c r="A1085" s="19" t="inlineStr">
        <is>
          <t>mit.impsub.con.oth.ecy</t>
        </is>
      </c>
      <c r="B1085" s="3" t="inlineStr">
        <is>
          <t>mit</t>
        </is>
      </c>
      <c r="C1085" s="19" t="inlineStr">
        <is>
          <t>mit.impsub.con.ecy.other</t>
        </is>
      </c>
      <c r="H1085" s="3" t="inlineStr">
        <is>
          <t>Implicit consumer subsidy | Other | Electricity</t>
        </is>
      </c>
      <c r="I1085" s="3" t="inlineStr">
        <is>
          <t>USD bn real</t>
        </is>
      </c>
      <c r="K1085" s="20" t="inlineStr">
        <is>
          <t>egy.mit.impsub.con.oth.ecy.1</t>
        </is>
      </c>
      <c r="L1085" s="3" t="n">
        <v>0.002330626725194932</v>
      </c>
      <c r="M1085" s="3" t="n">
        <v>0.002160337254548807</v>
      </c>
      <c r="N1085" s="3" t="n">
        <v>0.005795166319503934</v>
      </c>
      <c r="O1085" s="3" t="n">
        <v>0.006400207480033959</v>
      </c>
      <c r="P1085" s="3" t="n">
        <v>0.006751667220114912</v>
      </c>
      <c r="Q1085" s="3" t="n">
        <v>0.007128901881620934</v>
      </c>
      <c r="R1085" s="3" t="n">
        <v>0.007533366180971141</v>
      </c>
      <c r="S1085" s="3" t="n">
        <v>0.007991031902221691</v>
      </c>
      <c r="T1085" s="3" t="n">
        <v>0.008394079190724445</v>
      </c>
      <c r="U1085" s="3" t="n">
        <v>0.008820640284891362</v>
      </c>
      <c r="V1085" s="3" t="n">
        <v>0.009076831360549721</v>
      </c>
      <c r="W1085" s="3" t="n">
        <v>0.009498905516127663</v>
      </c>
      <c r="X1085" s="3" t="n">
        <v>0.009922620261437099</v>
      </c>
      <c r="Y1085" s="3" t="n">
        <v>0.01036756597727326</v>
      </c>
      <c r="Z1085" s="3" t="n">
        <v>0.01082636364030163</v>
      </c>
      <c r="AA1085" s="3" t="n">
        <v>0.01129935817321837</v>
      </c>
      <c r="AB1085" s="3" t="n">
        <v>0.01178626591123873</v>
      </c>
      <c r="AC1085" s="3" t="n">
        <v>0.01228674920644128</v>
      </c>
      <c r="AD1085" s="3" t="n">
        <v>0.01280104519127271</v>
      </c>
      <c r="AE1085" s="3" t="n">
        <v>0.01332897272454144</v>
      </c>
      <c r="AG1085" s="20" t="inlineStr">
        <is>
          <t>egy.mit.impsub.con.oth.ecy.3</t>
        </is>
      </c>
      <c r="AH1085" s="3" t="n">
        <v>0.002330626725194932</v>
      </c>
      <c r="AI1085" s="3" t="n">
        <v>0.002160337254548807</v>
      </c>
      <c r="AJ1085" s="3" t="n">
        <v>0.005795166319503934</v>
      </c>
      <c r="AK1085" s="3" t="n">
        <v>0.006400293246232105</v>
      </c>
      <c r="AL1085" s="3" t="n">
        <v>0.006751820158760919</v>
      </c>
      <c r="AM1085" s="3" t="n">
        <v>0.007784858057326994</v>
      </c>
      <c r="AN1085" s="3" t="n">
        <v>0.007672834970479997</v>
      </c>
      <c r="AO1085" s="3" t="n">
        <v>0.008217091282758054</v>
      </c>
      <c r="AP1085" s="3" t="n">
        <v>0.008462686245327361</v>
      </c>
      <c r="AQ1085" s="3" t="n">
        <v>0.008951910063513816</v>
      </c>
      <c r="AR1085" s="3" t="n">
        <v>0.009200662677272238</v>
      </c>
      <c r="AS1085" s="3" t="n">
        <v>0.009639908089880102</v>
      </c>
      <c r="AT1085" s="3" t="n">
        <v>0.01006758910040398</v>
      </c>
      <c r="AU1085" s="3" t="n">
        <v>0.01052005944333153</v>
      </c>
      <c r="AV1085" s="3" t="n">
        <v>0.01099156858170752</v>
      </c>
      <c r="AW1085" s="3" t="n">
        <v>0.01148481630986619</v>
      </c>
      <c r="AX1085" s="3" t="n">
        <v>0.01198598743953949</v>
      </c>
      <c r="AY1085" s="3" t="n">
        <v>0.01249821854642264</v>
      </c>
      <c r="AZ1085" s="3" t="n">
        <v>0.01301533224791444</v>
      </c>
      <c r="BA1085" s="3" t="n">
        <v>0.01354382065239494</v>
      </c>
      <c r="BC1085" s="20" t="inlineStr">
        <is>
          <t>egy.mit.impsub.con.oth.ecy.4</t>
        </is>
      </c>
      <c r="BD1085" s="3" t="n">
        <v>0.002330626725194932</v>
      </c>
      <c r="BE1085" s="3" t="n">
        <v>0.002160337254548807</v>
      </c>
      <c r="BF1085" s="3" t="n">
        <v>0.005795166319503934</v>
      </c>
      <c r="BG1085" s="3" t="n">
        <v>0.006400493429961319</v>
      </c>
      <c r="BH1085" s="3" t="n">
        <v>0.006752186641088702</v>
      </c>
      <c r="BI1085" s="3" t="n">
        <v>0.00745688386201681</v>
      </c>
      <c r="BJ1085" s="3" t="n">
        <v>0.00803761575456721</v>
      </c>
      <c r="BK1085" s="3" t="n">
        <v>0.00860163028901356</v>
      </c>
      <c r="BL1085" s="3" t="n">
        <v>0.009025865457256583</v>
      </c>
      <c r="BM1085" s="3" t="n">
        <v>0.00959460374710717</v>
      </c>
      <c r="BN1085" s="3" t="n">
        <v>0.01006034022015023</v>
      </c>
      <c r="BO1085" s="3" t="n">
        <v>0.01062813675189416</v>
      </c>
      <c r="BP1085" s="3" t="n">
        <v>0.01114164702295763</v>
      </c>
      <c r="BQ1085" s="3" t="n">
        <v>0.01173259643132793</v>
      </c>
      <c r="BR1085" s="3" t="n">
        <v>0.01227227203949168</v>
      </c>
      <c r="BS1085" s="3" t="n">
        <v>0.01290074830212916</v>
      </c>
      <c r="BT1085" s="3" t="n">
        <v>0.01345425094172073</v>
      </c>
      <c r="BU1085" s="3" t="n">
        <v>0.01412352756607585</v>
      </c>
      <c r="BV1085" s="3" t="n">
        <v>0.01465456241802098</v>
      </c>
      <c r="BW1085" s="3" t="n">
        <v>0.01537854540279689</v>
      </c>
      <c r="BY1085" s="20" t="inlineStr">
        <is>
          <t>egy.mit.impsub.con.oth.ecy.5</t>
        </is>
      </c>
      <c r="BZ1085" s="3" t="n">
        <v>0.002330626725194932</v>
      </c>
      <c r="CA1085" s="3" t="n">
        <v>0.002160337254548807</v>
      </c>
      <c r="CB1085" s="3" t="n">
        <v>0.005795166319503934</v>
      </c>
      <c r="CC1085" s="3" t="n">
        <v>0.006400698561446397</v>
      </c>
      <c r="CD1085" s="3" t="n">
        <v>0.006752554971894601</v>
      </c>
      <c r="CE1085" s="3" t="n">
        <v>0.007129672370797674</v>
      </c>
      <c r="CF1085" s="3" t="n">
        <v>0.007534267153233681</v>
      </c>
      <c r="CG1085" s="3" t="n">
        <v>0.007997389028557615</v>
      </c>
      <c r="CH1085" s="3" t="n">
        <v>0.008387612259678885</v>
      </c>
      <c r="CI1085" s="3" t="n">
        <v>0.008820295567660865</v>
      </c>
      <c r="CJ1085" s="3" t="n">
        <v>0.009061258869428136</v>
      </c>
      <c r="CK1085" s="3" t="n">
        <v>0.009488002433256464</v>
      </c>
      <c r="CL1085" s="3" t="n">
        <v>0.009923044377890133</v>
      </c>
      <c r="CM1085" s="3" t="n">
        <v>0.01035685252522274</v>
      </c>
      <c r="CN1085" s="3" t="n">
        <v>0.01083031095304896</v>
      </c>
      <c r="CO1085" s="3" t="n">
        <v>0.01131929642443042</v>
      </c>
      <c r="CP1085" s="3" t="n">
        <v>0.01181564731099561</v>
      </c>
      <c r="CQ1085" s="3" t="n">
        <v>0.01233057824794005</v>
      </c>
      <c r="CR1085" s="3" t="n">
        <v>0.01285131432165668</v>
      </c>
      <c r="CS1085" s="3" t="n">
        <v>0.01338621485487267</v>
      </c>
      <c r="CU1085" s="20" t="inlineStr">
        <is>
          <t>egy.mit.impsub.con.oth.ecy.6</t>
        </is>
      </c>
      <c r="CV1085" s="3" t="n">
        <v>0.002330626725194932</v>
      </c>
      <c r="CW1085" s="3" t="n">
        <v>0.002160337254548807</v>
      </c>
      <c r="CX1085" s="3" t="n">
        <v>0.005795166319503934</v>
      </c>
      <c r="CY1085" s="3" t="n">
        <v>0.006400407757320868</v>
      </c>
      <c r="CZ1085" s="3" t="n">
        <v>0.00675202810256282</v>
      </c>
      <c r="DA1085" s="3" t="n">
        <v>0.008767700841412948</v>
      </c>
      <c r="DB1085" s="3" t="n">
        <v>0.007913332905632601</v>
      </c>
      <c r="DC1085" s="3" t="n">
        <v>0.008579872606696546</v>
      </c>
      <c r="DD1085" s="3" t="n">
        <v>0.008739650834627334</v>
      </c>
      <c r="DE1085" s="3" t="n">
        <v>0.009161521794309671</v>
      </c>
      <c r="DF1085" s="3" t="n">
        <v>0.009433758103542484</v>
      </c>
      <c r="DG1085" s="3" t="n">
        <v>0.009844947627098515</v>
      </c>
      <c r="DH1085" s="3" t="n">
        <v>0.0102352776744424</v>
      </c>
      <c r="DI1085" s="3" t="n">
        <v>0.01068359427840663</v>
      </c>
      <c r="DJ1085" s="3" t="n">
        <v>0.01114070553336873</v>
      </c>
      <c r="DK1085" s="3" t="n">
        <v>0.01164912111800235</v>
      </c>
      <c r="DL1085" s="3" t="n">
        <v>0.01214517573461711</v>
      </c>
      <c r="DM1085" s="3" t="n">
        <v>0.01266979900827416</v>
      </c>
      <c r="DN1085" s="3" t="n">
        <v>0.01317646808443354</v>
      </c>
      <c r="DO1085" s="3" t="n">
        <v>0.01370905722405169</v>
      </c>
    </row>
    <row r="1086">
      <c r="A1086" s="19" t="inlineStr">
        <is>
          <t>mit.expsub.con.tot</t>
        </is>
      </c>
      <c r="B1086" s="3" t="inlineStr">
        <is>
          <t>mit</t>
        </is>
      </c>
      <c r="C1086" s="19" t="inlineStr">
        <is>
          <t>mit.expsub.con.all.all</t>
        </is>
      </c>
      <c r="H1086" s="3" t="inlineStr">
        <is>
          <t xml:space="preserve">Explicit consumer subsidy |  | </t>
        </is>
      </c>
      <c r="I1086" s="3" t="inlineStr">
        <is>
          <t>USD bn real</t>
        </is>
      </c>
      <c r="K1086" s="20" t="inlineStr">
        <is>
          <t>egy.mit.expsub.con.tot.1</t>
        </is>
      </c>
      <c r="L1086" s="3" t="n">
        <v>37.7462275527842</v>
      </c>
      <c r="M1086" s="3" t="n">
        <v>33.42590292092196</v>
      </c>
      <c r="N1086" s="3" t="n">
        <v>46.97424668257761</v>
      </c>
      <c r="O1086" s="3" t="n">
        <v>44.97277557687896</v>
      </c>
      <c r="P1086" s="3" t="n">
        <v>50.19251051873444</v>
      </c>
      <c r="Q1086" s="3" t="n">
        <v>47.63610103071167</v>
      </c>
      <c r="R1086" s="3" t="n">
        <v>47.98428525880058</v>
      </c>
      <c r="S1086" s="3" t="n">
        <v>48.85135640004981</v>
      </c>
      <c r="T1086" s="3" t="n">
        <v>49.4621471663915</v>
      </c>
      <c r="U1086" s="3" t="n">
        <v>49.70010875485946</v>
      </c>
      <c r="V1086" s="3" t="n">
        <v>50.50249649500661</v>
      </c>
      <c r="W1086" s="3" t="n">
        <v>51.94504515832993</v>
      </c>
      <c r="X1086" s="3" t="n">
        <v>53.33703490783999</v>
      </c>
      <c r="Y1086" s="3" t="n">
        <v>54.82261137599925</v>
      </c>
      <c r="Z1086" s="3" t="n">
        <v>56.33385638965196</v>
      </c>
      <c r="AA1086" s="3" t="n">
        <v>57.877088686645</v>
      </c>
      <c r="AB1086" s="3" t="n">
        <v>59.45019981331519</v>
      </c>
      <c r="AC1086" s="3" t="n">
        <v>61.0536347701929</v>
      </c>
      <c r="AD1086" s="3" t="n">
        <v>62.68959490632483</v>
      </c>
      <c r="AE1086" s="3" t="n">
        <v>64.35891873444073</v>
      </c>
      <c r="AG1086" s="20" t="inlineStr">
        <is>
          <t>egy.mit.expsub.con.tot.3</t>
        </is>
      </c>
      <c r="AH1086" s="3" t="n">
        <v>37.7462275527842</v>
      </c>
      <c r="AI1086" s="3" t="n">
        <v>33.41917321973546</v>
      </c>
      <c r="AJ1086" s="3" t="n">
        <v>46.96844266902481</v>
      </c>
      <c r="AK1086" s="3" t="n">
        <v>44.96729167686878</v>
      </c>
      <c r="AL1086" s="3" t="n">
        <v>50.1867154569099</v>
      </c>
      <c r="AM1086" s="3" t="n">
        <v>41.1568688510993</v>
      </c>
      <c r="AN1086" s="3" t="n">
        <v>39.16418972995534</v>
      </c>
      <c r="AO1086" s="3" t="n">
        <v>40.17060140953972</v>
      </c>
      <c r="AP1086" s="3" t="n">
        <v>40.36859031752991</v>
      </c>
      <c r="AQ1086" s="3" t="n">
        <v>40.84083010455237</v>
      </c>
      <c r="AR1086" s="3" t="n">
        <v>41.52619664751984</v>
      </c>
      <c r="AS1086" s="3" t="n">
        <v>42.89863419639064</v>
      </c>
      <c r="AT1086" s="3" t="n">
        <v>44.12175404652238</v>
      </c>
      <c r="AU1086" s="3" t="n">
        <v>45.47701246697198</v>
      </c>
      <c r="AV1086" s="3" t="n">
        <v>46.86289692931906</v>
      </c>
      <c r="AW1086" s="3" t="n">
        <v>48.29689725669463</v>
      </c>
      <c r="AX1086" s="3" t="n">
        <v>49.73610511522502</v>
      </c>
      <c r="AY1086" s="3" t="n">
        <v>51.19432956092688</v>
      </c>
      <c r="AZ1086" s="3" t="n">
        <v>52.65251287102544</v>
      </c>
      <c r="BA1086" s="3" t="n">
        <v>54.13397835265211</v>
      </c>
      <c r="BC1086" s="20" t="inlineStr">
        <is>
          <t>egy.mit.expsub.con.tot.4</t>
        </is>
      </c>
      <c r="BD1086" s="3" t="n">
        <v>37.7462275527842</v>
      </c>
      <c r="BE1086" s="3" t="n">
        <v>33.40265646418782</v>
      </c>
      <c r="BF1086" s="3" t="n">
        <v>46.95422185084275</v>
      </c>
      <c r="BG1086" s="3" t="n">
        <v>44.95379980365419</v>
      </c>
      <c r="BH1086" s="3" t="n">
        <v>50.17254792083087</v>
      </c>
      <c r="BI1086" s="3" t="n">
        <v>43.82721965181057</v>
      </c>
      <c r="BJ1086" s="3" t="n">
        <v>38.84058227239305</v>
      </c>
      <c r="BK1086" s="3" t="n">
        <v>34.6169311582597</v>
      </c>
      <c r="BL1086" s="3" t="n">
        <v>31.20165676365819</v>
      </c>
      <c r="BM1086" s="3" t="n">
        <v>28.50759047725009</v>
      </c>
      <c r="BN1086" s="3" t="n">
        <v>26.02653462729627</v>
      </c>
      <c r="BO1086" s="3" t="n">
        <v>24.28717736482573</v>
      </c>
      <c r="BP1086" s="3" t="n">
        <v>22.56323151980092</v>
      </c>
      <c r="BQ1086" s="3" t="n">
        <v>21.52599107876513</v>
      </c>
      <c r="BR1086" s="3" t="n">
        <v>20.69091461251613</v>
      </c>
      <c r="BS1086" s="3" t="n">
        <v>20.41178300288212</v>
      </c>
      <c r="BT1086" s="3" t="n">
        <v>20.34559424284281</v>
      </c>
      <c r="BU1086" s="3" t="n">
        <v>20.55482154578183</v>
      </c>
      <c r="BV1086" s="3" t="n">
        <v>20.55361135046619</v>
      </c>
      <c r="BW1086" s="3" t="n">
        <v>20.96635293118807</v>
      </c>
      <c r="BY1086" s="20" t="inlineStr">
        <is>
          <t>egy.mit.expsub.con.tot.5</t>
        </is>
      </c>
      <c r="BZ1086" s="3" t="n">
        <v>37.7462275527842</v>
      </c>
      <c r="CA1086" s="3" t="n">
        <v>33.38643984737177</v>
      </c>
      <c r="CB1086" s="3" t="n">
        <v>46.94022498142838</v>
      </c>
      <c r="CC1086" s="3" t="n">
        <v>44.94054477649318</v>
      </c>
      <c r="CD1086" s="3" t="n">
        <v>50.15854532716436</v>
      </c>
      <c r="CE1086" s="3" t="n">
        <v>40.02542151813002</v>
      </c>
      <c r="CF1086" s="3" t="n">
        <v>40.20190755666694</v>
      </c>
      <c r="CG1086" s="3" t="n">
        <v>40.85946335819067</v>
      </c>
      <c r="CH1086" s="3" t="n">
        <v>41.20633798715772</v>
      </c>
      <c r="CI1086" s="3" t="n">
        <v>41.24663086597968</v>
      </c>
      <c r="CJ1086" s="3" t="n">
        <v>41.616337042186</v>
      </c>
      <c r="CK1086" s="3" t="n">
        <v>42.79950216267225</v>
      </c>
      <c r="CL1086" s="3" t="n">
        <v>43.52602986839225</v>
      </c>
      <c r="CM1086" s="3" t="n">
        <v>44.42273965580333</v>
      </c>
      <c r="CN1086" s="3" t="n">
        <v>45.42797038911899</v>
      </c>
      <c r="CO1086" s="3" t="n">
        <v>46.39176484558551</v>
      </c>
      <c r="CP1086" s="3" t="n">
        <v>47.42824067276275</v>
      </c>
      <c r="CQ1086" s="3" t="n">
        <v>48.5164609352222</v>
      </c>
      <c r="CR1086" s="3" t="n">
        <v>49.59135747415088</v>
      </c>
      <c r="CS1086" s="3" t="n">
        <v>50.73660377876811</v>
      </c>
      <c r="CU1086" s="20" t="inlineStr">
        <is>
          <t>egy.mit.expsub.con.tot.6</t>
        </is>
      </c>
      <c r="CV1086" s="3" t="n">
        <v>37.7462275527842</v>
      </c>
      <c r="CW1086" s="3" t="n">
        <v>33.40986977582613</v>
      </c>
      <c r="CX1086" s="3" t="n">
        <v>46.96042844262259</v>
      </c>
      <c r="CY1086" s="3" t="n">
        <v>44.95969754368208</v>
      </c>
      <c r="CZ1086" s="3" t="n">
        <v>50.17872587866146</v>
      </c>
      <c r="DA1086" s="3" t="n">
        <v>34.32610836956904</v>
      </c>
      <c r="DB1086" s="3" t="n">
        <v>29.70119506694714</v>
      </c>
      <c r="DC1086" s="3" t="n">
        <v>30.61755501842014</v>
      </c>
      <c r="DD1086" s="3" t="n">
        <v>30.48979307608622</v>
      </c>
      <c r="DE1086" s="3" t="n">
        <v>31.30874288005358</v>
      </c>
      <c r="DF1086" s="3" t="n">
        <v>31.63450639898337</v>
      </c>
      <c r="DG1086" s="3" t="n">
        <v>32.6824628348313</v>
      </c>
      <c r="DH1086" s="3" t="n">
        <v>33.43772168045179</v>
      </c>
      <c r="DI1086" s="3" t="n">
        <v>34.47566390611545</v>
      </c>
      <c r="DJ1086" s="3" t="n">
        <v>35.45377880332198</v>
      </c>
      <c r="DK1086" s="3" t="n">
        <v>36.60053248764463</v>
      </c>
      <c r="DL1086" s="3" t="n">
        <v>37.65670775622615</v>
      </c>
      <c r="DM1086" s="3" t="n">
        <v>38.83407881265692</v>
      </c>
      <c r="DN1086" s="3" t="n">
        <v>39.91767018860067</v>
      </c>
      <c r="DO1086" s="3" t="n">
        <v>41.11109266102545</v>
      </c>
    </row>
    <row r="1087">
      <c r="A1087" s="19" t="inlineStr">
        <is>
          <t>mit.impsub.con.tot</t>
        </is>
      </c>
      <c r="B1087" s="3" t="inlineStr">
        <is>
          <t>mit</t>
        </is>
      </c>
      <c r="C1087" s="19" t="inlineStr">
        <is>
          <t>mit.impsub.con.all.all</t>
        </is>
      </c>
      <c r="H1087" s="3" t="inlineStr">
        <is>
          <t xml:space="preserve">Implicit consumer subsidy |  | </t>
        </is>
      </c>
      <c r="I1087" s="3" t="inlineStr">
        <is>
          <t>USD bn real</t>
        </is>
      </c>
      <c r="K1087" s="20" t="inlineStr">
        <is>
          <t>egy.mit.impsub.con.tot.1</t>
        </is>
      </c>
      <c r="L1087" s="3" t="n">
        <v>25.39775548294629</v>
      </c>
      <c r="M1087" s="3" t="n">
        <v>25.31629799881521</v>
      </c>
      <c r="N1087" s="3" t="n">
        <v>30.87093995485332</v>
      </c>
      <c r="O1087" s="3" t="n">
        <v>30.60108646308548</v>
      </c>
      <c r="P1087" s="3" t="n">
        <v>33.25163283536059</v>
      </c>
      <c r="Q1087" s="3" t="n">
        <v>35.0796599218601</v>
      </c>
      <c r="R1087" s="3" t="n">
        <v>37.74140101842218</v>
      </c>
      <c r="S1087" s="3" t="n">
        <v>40.53157229332343</v>
      </c>
      <c r="T1087" s="3" t="n">
        <v>43.24646669561213</v>
      </c>
      <c r="U1087" s="3" t="n">
        <v>45.14439099818975</v>
      </c>
      <c r="V1087" s="3" t="n">
        <v>47.30076477936691</v>
      </c>
      <c r="W1087" s="3" t="n">
        <v>49.90346857609885</v>
      </c>
      <c r="X1087" s="3" t="n">
        <v>52.58286677565891</v>
      </c>
      <c r="Y1087" s="3" t="n">
        <v>55.45093566633782</v>
      </c>
      <c r="Z1087" s="3" t="n">
        <v>58.46955091853724</v>
      </c>
      <c r="AA1087" s="3" t="n">
        <v>61.65275475592298</v>
      </c>
      <c r="AB1087" s="3" t="n">
        <v>65.00730608704616</v>
      </c>
      <c r="AC1087" s="3" t="n">
        <v>68.54173094418979</v>
      </c>
      <c r="AD1087" s="3" t="n">
        <v>72.26608540906408</v>
      </c>
      <c r="AE1087" s="3" t="n">
        <v>75.58086391504359</v>
      </c>
      <c r="AG1087" s="20" t="inlineStr">
        <is>
          <t>egy.mit.impsub.con.tot.3</t>
        </is>
      </c>
      <c r="AH1087" s="3" t="n">
        <v>25.39775548294629</v>
      </c>
      <c r="AI1087" s="3" t="n">
        <v>25.31269605021329</v>
      </c>
      <c r="AJ1087" s="3" t="n">
        <v>30.86738073649357</v>
      </c>
      <c r="AK1087" s="3" t="n">
        <v>30.59770821512145</v>
      </c>
      <c r="AL1087" s="3" t="n">
        <v>33.24809620785695</v>
      </c>
      <c r="AM1087" s="3" t="n">
        <v>32.03019512082794</v>
      </c>
      <c r="AN1087" s="3" t="n">
        <v>33.4726828556125</v>
      </c>
      <c r="AO1087" s="3" t="n">
        <v>36.02911204101177</v>
      </c>
      <c r="AP1087" s="3" t="n">
        <v>38.30545678386552</v>
      </c>
      <c r="AQ1087" s="3" t="n">
        <v>40.14925603911542</v>
      </c>
      <c r="AR1087" s="3" t="n">
        <v>42.05968962693322</v>
      </c>
      <c r="AS1087" s="3" t="n">
        <v>44.4766455187475</v>
      </c>
      <c r="AT1087" s="3" t="n">
        <v>46.88858865679177</v>
      </c>
      <c r="AU1087" s="3" t="n">
        <v>49.50733576459658</v>
      </c>
      <c r="AV1087" s="3" t="n">
        <v>52.27145623318245</v>
      </c>
      <c r="AW1087" s="3" t="n">
        <v>55.20760387416986</v>
      </c>
      <c r="AX1087" s="3" t="n">
        <v>58.27949657561962</v>
      </c>
      <c r="AY1087" s="3" t="n">
        <v>61.50694353676474</v>
      </c>
      <c r="AZ1087" s="3" t="n">
        <v>64.87610902674992</v>
      </c>
      <c r="BA1087" s="3" t="n">
        <v>67.89110267485091</v>
      </c>
      <c r="BC1087" s="20" t="inlineStr">
        <is>
          <t>egy.mit.impsub.con.tot.4</t>
        </is>
      </c>
      <c r="BD1087" s="3" t="n">
        <v>25.39775548294629</v>
      </c>
      <c r="BE1087" s="3" t="n">
        <v>25.30391236613334</v>
      </c>
      <c r="BF1087" s="3" t="n">
        <v>30.85869439789186</v>
      </c>
      <c r="BG1087" s="3" t="n">
        <v>30.58943963240592</v>
      </c>
      <c r="BH1087" s="3" t="n">
        <v>33.23946255860539</v>
      </c>
      <c r="BI1087" s="3" t="n">
        <v>33.05622589072057</v>
      </c>
      <c r="BJ1087" s="3" t="n">
        <v>32.85323181766957</v>
      </c>
      <c r="BK1087" s="3" t="n">
        <v>32.51682077076156</v>
      </c>
      <c r="BL1087" s="3" t="n">
        <v>32.49622570236116</v>
      </c>
      <c r="BM1087" s="3" t="n">
        <v>32.713266974877</v>
      </c>
      <c r="BN1087" s="3" t="n">
        <v>32.87393321429477</v>
      </c>
      <c r="BO1087" s="3" t="n">
        <v>33.32224568557925</v>
      </c>
      <c r="BP1087" s="3" t="n">
        <v>33.52135877712907</v>
      </c>
      <c r="BQ1087" s="3" t="n">
        <v>33.71589466688998</v>
      </c>
      <c r="BR1087" s="3" t="n">
        <v>33.58456577917864</v>
      </c>
      <c r="BS1087" s="3" t="n">
        <v>33.42951245361372</v>
      </c>
      <c r="BT1087" s="3" t="n">
        <v>32.86843454774872</v>
      </c>
      <c r="BU1087" s="3" t="n">
        <v>32.60769413935454</v>
      </c>
      <c r="BV1087" s="3" t="n">
        <v>32.16867395231834</v>
      </c>
      <c r="BW1087" s="3" t="n">
        <v>31.83497128563658</v>
      </c>
      <c r="BY1087" s="20" t="inlineStr">
        <is>
          <t>egy.mit.impsub.con.tot.5</t>
        </is>
      </c>
      <c r="BZ1087" s="3" t="n">
        <v>25.39775548294629</v>
      </c>
      <c r="CA1087" s="3" t="n">
        <v>25.29524642452094</v>
      </c>
      <c r="CB1087" s="3" t="n">
        <v>30.85011958221462</v>
      </c>
      <c r="CC1087" s="3" t="n">
        <v>30.58128538409814</v>
      </c>
      <c r="CD1087" s="3" t="n">
        <v>33.2309212745521</v>
      </c>
      <c r="CE1087" s="3" t="n">
        <v>31.40013819678227</v>
      </c>
      <c r="CF1087" s="3" t="n">
        <v>33.78199105545306</v>
      </c>
      <c r="CG1087" s="3" t="n">
        <v>36.29869855375163</v>
      </c>
      <c r="CH1087" s="3" t="n">
        <v>38.69311215699292</v>
      </c>
      <c r="CI1087" s="3" t="n">
        <v>40.26536348594291</v>
      </c>
      <c r="CJ1087" s="3" t="n">
        <v>41.90962978142365</v>
      </c>
      <c r="CK1087" s="3" t="n">
        <v>44.10524588523041</v>
      </c>
      <c r="CL1087" s="3" t="n">
        <v>45.99035496931643</v>
      </c>
      <c r="CM1087" s="3" t="n">
        <v>48.0774102968278</v>
      </c>
      <c r="CN1087" s="3" t="n">
        <v>50.32203967478849</v>
      </c>
      <c r="CO1087" s="3" t="n">
        <v>52.61295171535962</v>
      </c>
      <c r="CP1087" s="3" t="n">
        <v>55.05565777002766</v>
      </c>
      <c r="CQ1087" s="3" t="n">
        <v>57.63621911365163</v>
      </c>
      <c r="CR1087" s="3" t="n">
        <v>60.30033523646247</v>
      </c>
      <c r="CS1087" s="3" t="n">
        <v>62.6342064935093</v>
      </c>
      <c r="CU1087" s="20" t="inlineStr">
        <is>
          <t>egy.mit.impsub.con.tot.6</t>
        </is>
      </c>
      <c r="CV1087" s="3" t="n">
        <v>25.39775548294629</v>
      </c>
      <c r="CW1087" s="3" t="n">
        <v>25.30773895763936</v>
      </c>
      <c r="CX1087" s="3" t="n">
        <v>30.86247973675574</v>
      </c>
      <c r="CY1087" s="3" t="n">
        <v>30.59304695640022</v>
      </c>
      <c r="CZ1087" s="3" t="n">
        <v>33.24322531594448</v>
      </c>
      <c r="DA1087" s="3" t="n">
        <v>29.11979490080841</v>
      </c>
      <c r="DB1087" s="3" t="n">
        <v>29.16432150136099</v>
      </c>
      <c r="DC1087" s="3" t="n">
        <v>31.5093585989306</v>
      </c>
      <c r="DD1087" s="3" t="n">
        <v>33.12361741210356</v>
      </c>
      <c r="DE1087" s="3" t="n">
        <v>35.06664644192</v>
      </c>
      <c r="DF1087" s="3" t="n">
        <v>36.49555864881874</v>
      </c>
      <c r="DG1087" s="3" t="n">
        <v>38.49943494561868</v>
      </c>
      <c r="DH1087" s="3" t="n">
        <v>40.31261705871135</v>
      </c>
      <c r="DI1087" s="3" t="n">
        <v>42.40277875647715</v>
      </c>
      <c r="DJ1087" s="3" t="n">
        <v>44.52032097605051</v>
      </c>
      <c r="DK1087" s="3" t="n">
        <v>46.87794478071621</v>
      </c>
      <c r="DL1087" s="3" t="n">
        <v>49.23857788855975</v>
      </c>
      <c r="DM1087" s="3" t="n">
        <v>51.80843514731841</v>
      </c>
      <c r="DN1087" s="3" t="n">
        <v>54.38554363822314</v>
      </c>
      <c r="DO1087" s="3" t="n">
        <v>56.74337131830836</v>
      </c>
    </row>
    <row r="1088">
      <c r="A1088" s="19" t="inlineStr">
        <is>
          <t>mit.expsubgdp.con.tot</t>
        </is>
      </c>
      <c r="B1088" s="3" t="inlineStr">
        <is>
          <t>mit</t>
        </is>
      </c>
      <c r="C1088" s="19" t="inlineStr">
        <is>
          <t>mit.expsubgdp.con.all.all</t>
        </is>
      </c>
      <c r="H1088" s="3" t="inlineStr">
        <is>
          <t xml:space="preserve">Explicit consumer subsidy, share of baseline GDP |  | </t>
        </is>
      </c>
      <c r="I1088" s="3" t="inlineStr">
        <is>
          <t>share</t>
        </is>
      </c>
      <c r="K1088" s="20" t="inlineStr">
        <is>
          <t>egy.mit.expsubgdp.con.tot.1</t>
        </is>
      </c>
      <c r="L1088" s="3" t="n">
        <v>0.06900956867786856</v>
      </c>
      <c r="M1088" s="3" t="n">
        <v>0.05889626681637877</v>
      </c>
      <c r="N1088" s="3" t="n">
        <v>0.08082944051767935</v>
      </c>
      <c r="O1088" s="3" t="n">
        <v>0.07412942170612172</v>
      </c>
      <c r="P1088" s="3" t="n">
        <v>0.07936822381848237</v>
      </c>
      <c r="Q1088" s="3" t="n">
        <v>0.07185576282783673</v>
      </c>
      <c r="R1088" s="3" t="n">
        <v>0.06858460029409379</v>
      </c>
      <c r="S1088" s="3" t="n">
        <v>0.06635576274999923</v>
      </c>
      <c r="T1088" s="3" t="n">
        <v>0.06408261072792454</v>
      </c>
      <c r="U1088" s="3" t="n">
        <v>0.06144831361422076</v>
      </c>
      <c r="V1088" s="3" t="n">
        <v>0.05961714474652354</v>
      </c>
      <c r="W1088" s="3" t="n">
        <v>0.05857719325522873</v>
      </c>
      <c r="X1088" s="3" t="n">
        <v>0.05748571341882556</v>
      </c>
      <c r="Y1088" s="3" t="n">
        <v>0.05650124722161105</v>
      </c>
      <c r="Z1088" s="3" t="n">
        <v>0.05554638542894732</v>
      </c>
      <c r="AA1088" s="3" t="n">
        <v>0.05462630948499651</v>
      </c>
      <c r="AB1088" s="3" t="n">
        <v>0.05373760848179751</v>
      </c>
      <c r="AC1088" s="3" t="n">
        <v>0.05287951408334362</v>
      </c>
      <c r="AD1088" s="3" t="n">
        <v>0.05205272919343849</v>
      </c>
      <c r="AE1088" s="3" t="n">
        <v>0.05125664768097685</v>
      </c>
      <c r="AG1088" s="20" t="inlineStr">
        <is>
          <t>egy.mit.expsubgdp.con.tot.3</t>
        </is>
      </c>
      <c r="AH1088" s="3" t="n">
        <v>0.06900956867786856</v>
      </c>
      <c r="AI1088" s="3" t="n">
        <v>0.05888440911794614</v>
      </c>
      <c r="AJ1088" s="3" t="n">
        <v>0.08081945344601005</v>
      </c>
      <c r="AK1088" s="3" t="n">
        <v>0.07412038249670591</v>
      </c>
      <c r="AL1088" s="3" t="n">
        <v>0.07935906022496655</v>
      </c>
      <c r="AM1088" s="3" t="n">
        <v>0.06208228933334241</v>
      </c>
      <c r="AN1088" s="3" t="n">
        <v>0.0559779161861831</v>
      </c>
      <c r="AO1088" s="3" t="n">
        <v>0.05456452170596197</v>
      </c>
      <c r="AP1088" s="3" t="n">
        <v>0.05230109906573353</v>
      </c>
      <c r="AQ1088" s="3" t="n">
        <v>0.05049486207179103</v>
      </c>
      <c r="AR1088" s="3" t="n">
        <v>0.04902080982377912</v>
      </c>
      <c r="AS1088" s="3" t="n">
        <v>0.0483757705484326</v>
      </c>
      <c r="AT1088" s="3" t="n">
        <v>0.04755364659915642</v>
      </c>
      <c r="AU1088" s="3" t="n">
        <v>0.046869491616767</v>
      </c>
      <c r="AV1088" s="3" t="n">
        <v>0.04620781714548391</v>
      </c>
      <c r="AW1088" s="3" t="n">
        <v>0.04558420813101571</v>
      </c>
      <c r="AX1088" s="3" t="n">
        <v>0.04495694467780204</v>
      </c>
      <c r="AY1088" s="3" t="n">
        <v>0.04434021465215075</v>
      </c>
      <c r="AZ1088" s="3" t="n">
        <v>0.04371869044495945</v>
      </c>
      <c r="BA1088" s="3" t="n">
        <v>0.04311331374973307</v>
      </c>
      <c r="BC1088" s="20" t="inlineStr">
        <is>
          <t>egy.mit.expsubgdp.con.tot.4</t>
        </is>
      </c>
      <c r="BD1088" s="3" t="n">
        <v>0.06900956867786856</v>
      </c>
      <c r="BE1088" s="3" t="n">
        <v>0.05885530668071428</v>
      </c>
      <c r="BF1088" s="3" t="n">
        <v>0.08079498342555125</v>
      </c>
      <c r="BG1088" s="3" t="n">
        <v>0.07409814360336878</v>
      </c>
      <c r="BH1088" s="3" t="n">
        <v>0.07933665743692395</v>
      </c>
      <c r="BI1088" s="3" t="n">
        <v>0.06611032877509532</v>
      </c>
      <c r="BJ1088" s="3" t="n">
        <v>0.05551537958676533</v>
      </c>
      <c r="BK1088" s="3" t="n">
        <v>0.04702086165755256</v>
      </c>
      <c r="BL1088" s="3" t="n">
        <v>0.04042452135621053</v>
      </c>
      <c r="BM1088" s="3" t="n">
        <v>0.03524626814545067</v>
      </c>
      <c r="BN1088" s="3" t="n">
        <v>0.03072378178926946</v>
      </c>
      <c r="BO1088" s="3" t="n">
        <v>0.02738807287176404</v>
      </c>
      <c r="BP1088" s="3" t="n">
        <v>0.02431825209614778</v>
      </c>
      <c r="BQ1088" s="3" t="n">
        <v>0.02218510415875523</v>
      </c>
      <c r="BR1088" s="3" t="n">
        <v>0.02040168366949181</v>
      </c>
      <c r="BS1088" s="3" t="n">
        <v>0.01926531552913647</v>
      </c>
      <c r="BT1088" s="3" t="n">
        <v>0.01839057868913211</v>
      </c>
      <c r="BU1088" s="3" t="n">
        <v>0.01780285448199779</v>
      </c>
      <c r="BV1088" s="3" t="n">
        <v>0.01706617449309853</v>
      </c>
      <c r="BW1088" s="3" t="n">
        <v>0.01669799596514712</v>
      </c>
      <c r="BY1088" s="20" t="inlineStr">
        <is>
          <t>egy.mit.expsubgdp.con.tot.5</t>
        </is>
      </c>
      <c r="BZ1088" s="3" t="n">
        <v>0.06900956867786856</v>
      </c>
      <c r="CA1088" s="3" t="n">
        <v>0.05882673308636392</v>
      </c>
      <c r="CB1088" s="3" t="n">
        <v>0.08077089875780963</v>
      </c>
      <c r="CC1088" s="3" t="n">
        <v>0.07407629510757235</v>
      </c>
      <c r="CD1088" s="3" t="n">
        <v>0.07931451546839763</v>
      </c>
      <c r="CE1088" s="3" t="n">
        <v>0.06037557930773362</v>
      </c>
      <c r="CF1088" s="3" t="n">
        <v>0.05746114057890275</v>
      </c>
      <c r="CG1088" s="3" t="n">
        <v>0.05550021650341776</v>
      </c>
      <c r="CH1088" s="3" t="n">
        <v>0.05338647567949815</v>
      </c>
      <c r="CI1088" s="3" t="n">
        <v>0.05099658677778852</v>
      </c>
      <c r="CJ1088" s="3" t="n">
        <v>0.04912721868134624</v>
      </c>
      <c r="CK1088" s="3" t="n">
        <v>0.04826398170930066</v>
      </c>
      <c r="CL1088" s="3" t="n">
        <v>0.04691158561020519</v>
      </c>
      <c r="CM1088" s="3" t="n">
        <v>0.04578293759739861</v>
      </c>
      <c r="CN1088" s="3" t="n">
        <v>0.04479294893350011</v>
      </c>
      <c r="CO1088" s="3" t="n">
        <v>0.04378608118543632</v>
      </c>
      <c r="CP1088" s="3" t="n">
        <v>0.04287084376935191</v>
      </c>
      <c r="CQ1088" s="3" t="n">
        <v>0.04202087048469378</v>
      </c>
      <c r="CR1088" s="3" t="n">
        <v>0.04117693701473481</v>
      </c>
      <c r="CS1088" s="3" t="n">
        <v>0.04040758104013903</v>
      </c>
      <c r="CU1088" s="20" t="inlineStr">
        <is>
          <t>egy.mit.expsubgdp.con.tot.6</t>
        </is>
      </c>
      <c r="CV1088" s="3" t="n">
        <v>0.06900956867786856</v>
      </c>
      <c r="CW1088" s="3" t="n">
        <v>0.05886801649824366</v>
      </c>
      <c r="CX1088" s="3" t="n">
        <v>0.08080566322089688</v>
      </c>
      <c r="CY1088" s="3" t="n">
        <v>0.07410786495260799</v>
      </c>
      <c r="CZ1088" s="3" t="n">
        <v>0.07934642649479279</v>
      </c>
      <c r="DA1088" s="3" t="n">
        <v>0.05177855971495586</v>
      </c>
      <c r="DB1088" s="3" t="n">
        <v>0.0424523274846503</v>
      </c>
      <c r="DC1088" s="3" t="n">
        <v>0.04158843001512367</v>
      </c>
      <c r="DD1088" s="3" t="n">
        <v>0.03950223863709283</v>
      </c>
      <c r="DE1088" s="3" t="n">
        <v>0.03870956220337095</v>
      </c>
      <c r="DF1088" s="3" t="n">
        <v>0.03734387560740664</v>
      </c>
      <c r="DG1088" s="3" t="n">
        <v>0.03685523683149098</v>
      </c>
      <c r="DH1088" s="3" t="n">
        <v>0.03603858536985076</v>
      </c>
      <c r="DI1088" s="3" t="n">
        <v>0.03553128828776259</v>
      </c>
      <c r="DJ1088" s="3" t="n">
        <v>0.03495818302763512</v>
      </c>
      <c r="DK1088" s="3" t="n">
        <v>0.03454479242745827</v>
      </c>
      <c r="DL1088" s="3" t="n">
        <v>0.03403826100621991</v>
      </c>
      <c r="DM1088" s="3" t="n">
        <v>0.03363480692373329</v>
      </c>
      <c r="DN1088" s="3" t="n">
        <v>0.03314463396142618</v>
      </c>
      <c r="DO1088" s="3" t="n">
        <v>0.03274164379611506</v>
      </c>
    </row>
    <row r="1089">
      <c r="A1089" s="19" t="inlineStr">
        <is>
          <t>mit.impsubgdp.con.tot</t>
        </is>
      </c>
      <c r="B1089" s="3" t="inlineStr">
        <is>
          <t>mit</t>
        </is>
      </c>
      <c r="C1089" s="19" t="inlineStr">
        <is>
          <t>mit.impsubgdp.con.all.all</t>
        </is>
      </c>
      <c r="H1089" s="3" t="inlineStr">
        <is>
          <t xml:space="preserve">Implicit consumer subsidy, share of baseline GDP |  | </t>
        </is>
      </c>
      <c r="I1089" s="3" t="inlineStr">
        <is>
          <t>share</t>
        </is>
      </c>
      <c r="K1089" s="20" t="inlineStr">
        <is>
          <t>egy.mit.impsubgdp.con.tot.1</t>
        </is>
      </c>
      <c r="L1089" s="3" t="n">
        <v>0.04643346540559957</v>
      </c>
      <c r="M1089" s="3" t="n">
        <v>0.04460718519013908</v>
      </c>
      <c r="N1089" s="3" t="n">
        <v>0.0531201877843237</v>
      </c>
      <c r="O1089" s="3" t="n">
        <v>0.05044031225535006</v>
      </c>
      <c r="P1089" s="3" t="n">
        <v>0.05258001661865148</v>
      </c>
      <c r="Q1089" s="3" t="n">
        <v>0.05291524009912636</v>
      </c>
      <c r="R1089" s="3" t="n">
        <v>0.05394430467030555</v>
      </c>
      <c r="S1089" s="3" t="n">
        <v>0.05505483559055219</v>
      </c>
      <c r="T1089" s="3" t="n">
        <v>0.05602964386665643</v>
      </c>
      <c r="U1089" s="3" t="n">
        <v>0.05581570675554174</v>
      </c>
      <c r="V1089" s="3" t="n">
        <v>0.05583756717356732</v>
      </c>
      <c r="W1089" s="3" t="n">
        <v>0.05627495584955921</v>
      </c>
      <c r="X1089" s="3" t="n">
        <v>0.05667288433691122</v>
      </c>
      <c r="Y1089" s="3" t="n">
        <v>0.05714881042906718</v>
      </c>
      <c r="Z1089" s="3" t="n">
        <v>0.05765222584291455</v>
      </c>
      <c r="AA1089" s="3" t="n">
        <v>0.0581899079294354</v>
      </c>
      <c r="AB1089" s="3" t="n">
        <v>0.05876073039168572</v>
      </c>
      <c r="AC1089" s="3" t="n">
        <v>0.05936507204530161</v>
      </c>
      <c r="AD1089" s="3" t="n">
        <v>0.06000432734154408</v>
      </c>
      <c r="AE1089" s="3" t="n">
        <v>0.0601940148979557</v>
      </c>
      <c r="AG1089" s="20" t="inlineStr">
        <is>
          <t>egy.mit.impsubgdp.con.tot.3</t>
        </is>
      </c>
      <c r="AH1089" s="3" t="n">
        <v>0.04643346540559957</v>
      </c>
      <c r="AI1089" s="3" t="n">
        <v>0.04460083857546664</v>
      </c>
      <c r="AJ1089" s="3" t="n">
        <v>0.05311406337256585</v>
      </c>
      <c r="AK1089" s="3" t="n">
        <v>0.05043474382945817</v>
      </c>
      <c r="AL1089" s="3" t="n">
        <v>0.05257442423364483</v>
      </c>
      <c r="AM1089" s="3" t="n">
        <v>0.0483153334158835</v>
      </c>
      <c r="AN1089" s="3" t="n">
        <v>0.0478429669639</v>
      </c>
      <c r="AO1089" s="3" t="n">
        <v>0.04893905485670567</v>
      </c>
      <c r="AP1089" s="3" t="n">
        <v>0.04962812608150818</v>
      </c>
      <c r="AQ1089" s="3" t="n">
        <v>0.04963981243256311</v>
      </c>
      <c r="AR1089" s="3" t="n">
        <v>0.04965058716910474</v>
      </c>
      <c r="AS1089" s="3" t="n">
        <v>0.05015525642445583</v>
      </c>
      <c r="AT1089" s="3" t="n">
        <v>0.05053569203452903</v>
      </c>
      <c r="AU1089" s="3" t="n">
        <v>0.05102322102342197</v>
      </c>
      <c r="AV1089" s="3" t="n">
        <v>0.05154077212072506</v>
      </c>
      <c r="AW1089" s="3" t="n">
        <v>0.05210676147660795</v>
      </c>
      <c r="AX1089" s="3" t="n">
        <v>0.05267939854418235</v>
      </c>
      <c r="AY1089" s="3" t="n">
        <v>0.05327213194133463</v>
      </c>
      <c r="AZ1089" s="3" t="n">
        <v>0.05386824622713739</v>
      </c>
      <c r="BA1089" s="3" t="n">
        <v>0.05406974509370768</v>
      </c>
      <c r="BC1089" s="20" t="inlineStr">
        <is>
          <t>egy.mit.impsubgdp.con.tot.4</t>
        </is>
      </c>
      <c r="BD1089" s="3" t="n">
        <v>0.04643346540559957</v>
      </c>
      <c r="BE1089" s="3" t="n">
        <v>0.04458536176987586</v>
      </c>
      <c r="BF1089" s="3" t="n">
        <v>0.05309911663176832</v>
      </c>
      <c r="BG1089" s="3" t="n">
        <v>0.05042111457826853</v>
      </c>
      <c r="BH1089" s="3" t="n">
        <v>0.05256077204930325</v>
      </c>
      <c r="BI1089" s="3" t="n">
        <v>0.04986302984905579</v>
      </c>
      <c r="BJ1089" s="3" t="n">
        <v>0.04695757705739335</v>
      </c>
      <c r="BK1089" s="3" t="n">
        <v>0.04416824021792568</v>
      </c>
      <c r="BL1089" s="3" t="n">
        <v>0.04210175055291904</v>
      </c>
      <c r="BM1089" s="3" t="n">
        <v>0.04044609033619925</v>
      </c>
      <c r="BN1089" s="3" t="n">
        <v>0.03880699313583314</v>
      </c>
      <c r="BO1089" s="3" t="n">
        <v>0.03757670475158642</v>
      </c>
      <c r="BP1089" s="3" t="n">
        <v>0.03612872795424977</v>
      </c>
      <c r="BQ1089" s="3" t="n">
        <v>0.03474825536504327</v>
      </c>
      <c r="BR1089" s="3" t="n">
        <v>0.03311509906814701</v>
      </c>
      <c r="BS1089" s="3" t="n">
        <v>0.03155187889823877</v>
      </c>
      <c r="BT1089" s="3" t="n">
        <v>0.02971009471259864</v>
      </c>
      <c r="BU1089" s="3" t="n">
        <v>0.02824203715237562</v>
      </c>
      <c r="BV1089" s="3" t="n">
        <v>0.0267104497365815</v>
      </c>
      <c r="BW1089" s="3" t="n">
        <v>0.02535396708348799</v>
      </c>
      <c r="BY1089" s="20" t="inlineStr">
        <is>
          <t>egy.mit.impsubgdp.con.tot.5</t>
        </is>
      </c>
      <c r="BZ1089" s="3" t="n">
        <v>0.04643346540559957</v>
      </c>
      <c r="CA1089" s="3" t="n">
        <v>0.04457009242589952</v>
      </c>
      <c r="CB1089" s="3" t="n">
        <v>0.05308436179049505</v>
      </c>
      <c r="CC1089" s="3" t="n">
        <v>0.05040767378650619</v>
      </c>
      <c r="CD1089" s="3" t="n">
        <v>0.0525472659198542</v>
      </c>
      <c r="CE1089" s="3" t="n">
        <v>0.04736493613477365</v>
      </c>
      <c r="CF1089" s="3" t="n">
        <v>0.04828506543716755</v>
      </c>
      <c r="CG1089" s="3" t="n">
        <v>0.04930523954426017</v>
      </c>
      <c r="CH1089" s="3" t="n">
        <v>0.05013036809476213</v>
      </c>
      <c r="CI1089" s="3" t="n">
        <v>0.04978336557528947</v>
      </c>
      <c r="CJ1089" s="3" t="n">
        <v>0.04947344464841234</v>
      </c>
      <c r="CK1089" s="3" t="n">
        <v>0.04973643788187606</v>
      </c>
      <c r="CL1089" s="3" t="n">
        <v>0.04956759164367374</v>
      </c>
      <c r="CM1089" s="3" t="n">
        <v>0.04954951208590406</v>
      </c>
      <c r="CN1089" s="3" t="n">
        <v>0.04961860576369197</v>
      </c>
      <c r="CO1089" s="3" t="n">
        <v>0.04965784300041328</v>
      </c>
      <c r="CP1089" s="3" t="n">
        <v>0.04976533958244064</v>
      </c>
      <c r="CQ1089" s="3" t="n">
        <v>0.04991963659171</v>
      </c>
      <c r="CR1089" s="3" t="n">
        <v>0.05006886748953072</v>
      </c>
      <c r="CS1089" s="3" t="n">
        <v>0.04988305456563473</v>
      </c>
      <c r="CU1089" s="20" t="inlineStr">
        <is>
          <t>egy.mit.impsubgdp.con.tot.6</t>
        </is>
      </c>
      <c r="CV1089" s="3" t="n">
        <v>0.04643346540559957</v>
      </c>
      <c r="CW1089" s="3" t="n">
        <v>0.04459210420417506</v>
      </c>
      <c r="CX1089" s="3" t="n">
        <v>0.05310563013318974</v>
      </c>
      <c r="CY1089" s="3" t="n">
        <v>0.05042706059423428</v>
      </c>
      <c r="CZ1089" s="3" t="n">
        <v>0.05256672200804366</v>
      </c>
      <c r="DA1089" s="3" t="n">
        <v>0.0439251960322849</v>
      </c>
      <c r="DB1089" s="3" t="n">
        <v>0.04168496669755933</v>
      </c>
      <c r="DC1089" s="3" t="n">
        <v>0.04279978444146446</v>
      </c>
      <c r="DD1089" s="3" t="n">
        <v>0.04291459231197368</v>
      </c>
      <c r="DE1089" s="3" t="n">
        <v>0.04335576605255241</v>
      </c>
      <c r="DF1089" s="3" t="n">
        <v>0.04308224649423009</v>
      </c>
      <c r="DG1089" s="3" t="n">
        <v>0.04341489807454656</v>
      </c>
      <c r="DH1089" s="3" t="n">
        <v>0.04344822608538567</v>
      </c>
      <c r="DI1089" s="3" t="n">
        <v>0.0437011266933529</v>
      </c>
      <c r="DJ1089" s="3" t="n">
        <v>0.04389798722905126</v>
      </c>
      <c r="DK1089" s="3" t="n">
        <v>0.04424495387935558</v>
      </c>
      <c r="DL1089" s="3" t="n">
        <v>0.04450722502337651</v>
      </c>
      <c r="DM1089" s="3" t="n">
        <v>0.04487210116679451</v>
      </c>
      <c r="DN1089" s="3" t="n">
        <v>0.04515766897630322</v>
      </c>
      <c r="DO1089" s="3" t="n">
        <v>0.04519148315549543</v>
      </c>
    </row>
    <row r="1090">
      <c r="A1090" s="5" t="n"/>
      <c r="B1090" s="18" t="inlineStr">
        <is>
          <t>Not in legacy MTOutputs: prices</t>
        </is>
      </c>
      <c r="C1090" s="5" t="n"/>
      <c r="D1090" s="5" t="n"/>
      <c r="E1090" s="5" t="n"/>
      <c r="F1090" s="5" t="n"/>
      <c r="G1090" s="5" t="n"/>
      <c r="H1090" s="5" t="n"/>
      <c r="I1090" s="5" t="n"/>
      <c r="J1090" s="5" t="n"/>
      <c r="K1090" s="5" t="n"/>
      <c r="L1090" s="5" t="n"/>
      <c r="M1090" s="5" t="n"/>
      <c r="N1090" s="5" t="n"/>
      <c r="O1090" s="5" t="n"/>
      <c r="P1090" s="5" t="n"/>
      <c r="Q1090" s="5" t="n"/>
      <c r="R1090" s="5" t="n"/>
      <c r="S1090" s="5" t="n"/>
      <c r="T1090" s="5" t="n"/>
      <c r="U1090" s="5" t="n"/>
      <c r="V1090" s="5" t="n"/>
      <c r="W1090" s="5" t="n"/>
      <c r="X1090" s="5" t="n"/>
      <c r="Y1090" s="5" t="n"/>
      <c r="Z1090" s="5" t="n"/>
      <c r="AA1090" s="5" t="n"/>
      <c r="AB1090" s="5" t="n"/>
      <c r="AC1090" s="5" t="n"/>
      <c r="AD1090" s="5" t="n"/>
      <c r="AE1090" s="5" t="n"/>
      <c r="AF1090" s="5" t="n"/>
      <c r="AG1090" s="5" t="n"/>
      <c r="AH1090" s="5" t="n"/>
      <c r="AI1090" s="5" t="n"/>
      <c r="AJ1090" s="5" t="n"/>
      <c r="AK1090" s="5" t="n"/>
      <c r="AL1090" s="5" t="n"/>
      <c r="AM1090" s="5" t="n"/>
      <c r="AN1090" s="5" t="n"/>
      <c r="AO1090" s="5" t="n"/>
      <c r="AP1090" s="5" t="n"/>
      <c r="AQ1090" s="5" t="n"/>
      <c r="AR1090" s="5" t="n"/>
      <c r="AS1090" s="5" t="n"/>
      <c r="AT1090" s="5" t="n"/>
      <c r="AU1090" s="5" t="n"/>
      <c r="AV1090" s="5" t="n"/>
      <c r="AW1090" s="5" t="n"/>
      <c r="AX1090" s="5" t="n"/>
      <c r="AY1090" s="5" t="n"/>
      <c r="AZ1090" s="5" t="n"/>
      <c r="BA1090" s="5" t="n"/>
      <c r="BB1090" s="5" t="n"/>
      <c r="BC1090" s="5" t="n"/>
      <c r="BD1090" s="5" t="n"/>
      <c r="BE1090" s="5" t="n"/>
      <c r="BF1090" s="5" t="n"/>
      <c r="BG1090" s="5" t="n"/>
      <c r="BH1090" s="5" t="n"/>
      <c r="BI1090" s="5" t="n"/>
      <c r="BJ1090" s="5" t="n"/>
      <c r="BK1090" s="5" t="n"/>
      <c r="BL1090" s="5" t="n"/>
      <c r="BM1090" s="5" t="n"/>
      <c r="BN1090" s="5" t="n"/>
      <c r="BO1090" s="5" t="n"/>
      <c r="BP1090" s="5" t="n"/>
      <c r="BQ1090" s="5" t="n"/>
      <c r="BR1090" s="5" t="n"/>
      <c r="BS1090" s="5" t="n"/>
      <c r="BT1090" s="5" t="n"/>
      <c r="BU1090" s="5" t="n"/>
      <c r="BV1090" s="5" t="n"/>
      <c r="BW1090" s="5" t="n"/>
      <c r="BX1090" s="5" t="n"/>
      <c r="BY1090" s="5" t="n"/>
      <c r="BZ1090" s="5" t="n"/>
      <c r="CA1090" s="5" t="n"/>
      <c r="CB1090" s="5" t="n"/>
      <c r="CC1090" s="5" t="n"/>
      <c r="CD1090" s="5" t="n"/>
      <c r="CE1090" s="5" t="n"/>
      <c r="CF1090" s="5" t="n"/>
      <c r="CG1090" s="5" t="n"/>
      <c r="CH1090" s="5" t="n"/>
      <c r="CI1090" s="5" t="n"/>
      <c r="CJ1090" s="5" t="n"/>
      <c r="CK1090" s="5" t="n"/>
      <c r="CL1090" s="5" t="n"/>
      <c r="CM1090" s="5" t="n"/>
      <c r="CN1090" s="5" t="n"/>
      <c r="CO1090" s="5" t="n"/>
      <c r="CP1090" s="5" t="n"/>
      <c r="CQ1090" s="5" t="n"/>
      <c r="CR1090" s="5" t="n"/>
      <c r="CS1090" s="5" t="n"/>
      <c r="CT1090" s="5" t="n"/>
      <c r="CU1090" s="5" t="n"/>
      <c r="CV1090" s="5" t="n"/>
      <c r="CW1090" s="5" t="n"/>
      <c r="CX1090" s="5" t="n"/>
      <c r="CY1090" s="5" t="n"/>
      <c r="CZ1090" s="5" t="n"/>
      <c r="DA1090" s="5" t="n"/>
      <c r="DB1090" s="5" t="n"/>
      <c r="DC1090" s="5" t="n"/>
      <c r="DD1090" s="5" t="n"/>
      <c r="DE1090" s="5" t="n"/>
      <c r="DF1090" s="5" t="n"/>
      <c r="DG1090" s="5" t="n"/>
      <c r="DH1090" s="5" t="n"/>
      <c r="DI1090" s="5" t="n"/>
      <c r="DJ1090" s="5" t="n"/>
      <c r="DK1090" s="5" t="n"/>
      <c r="DL1090" s="5" t="n"/>
      <c r="DM1090" s="5" t="n"/>
      <c r="DN1090" s="5" t="n"/>
      <c r="DO1090" s="5" t="n"/>
      <c r="DP1090" s="5" t="n"/>
      <c r="DQ1090" s="5" t="n"/>
      <c r="DR1090" s="5" t="n"/>
      <c r="DS1090" s="5" t="n"/>
      <c r="DT1090" s="5" t="n"/>
      <c r="DU1090" s="5" t="n"/>
      <c r="DV1090" s="5" t="n"/>
      <c r="DW1090" s="5" t="n"/>
      <c r="DX1090" s="5" t="n"/>
      <c r="DY1090" s="5" t="n"/>
      <c r="DZ1090" s="5" t="n"/>
      <c r="EA1090" s="5" t="n"/>
      <c r="EB1090" s="5" t="n"/>
      <c r="EC1090" s="5" t="n"/>
      <c r="ED1090" s="5" t="n"/>
      <c r="EE1090" s="5" t="n"/>
      <c r="EF1090" s="5" t="n"/>
      <c r="EG1090" s="5" t="n"/>
      <c r="EH1090" s="5" t="n"/>
      <c r="EI1090" s="5" t="n"/>
      <c r="EJ1090" s="5" t="n"/>
      <c r="EK1090" s="5" t="n"/>
      <c r="EL1090" s="5" t="n"/>
      <c r="EM1090" s="5" t="n"/>
      <c r="EN1090" s="5" t="n"/>
      <c r="EO1090" s="5" t="n"/>
      <c r="EP1090" s="5" t="n"/>
      <c r="EQ1090" s="5" t="n"/>
      <c r="ER1090" s="5" t="n"/>
      <c r="ES1090" s="5" t="n"/>
      <c r="ET1090" s="5" t="n"/>
      <c r="EU1090" s="5" t="n"/>
      <c r="EV1090" s="5" t="n"/>
      <c r="EW1090" s="5" t="n"/>
      <c r="EX1090" s="5" t="n"/>
      <c r="EY1090" s="5" t="n"/>
      <c r="EZ1090" s="5" t="n"/>
      <c r="FA1090" s="5" t="n"/>
      <c r="FB1090" s="5" t="n"/>
      <c r="FC1090" s="5" t="n"/>
      <c r="FD1090" s="5" t="n"/>
      <c r="FE1090" s="5" t="n"/>
      <c r="FF1090" s="5" t="n"/>
      <c r="FG1090" s="5" t="n"/>
      <c r="FH1090" s="5" t="n"/>
      <c r="FI1090" s="5" t="n"/>
      <c r="FJ1090" s="5" t="n"/>
      <c r="FK1090" s="5" t="n"/>
      <c r="FL1090" s="5" t="n"/>
      <c r="FM1090" s="5" t="n"/>
      <c r="FN1090" s="5" t="n"/>
      <c r="FO1090" s="5" t="n"/>
      <c r="FP1090" s="5" t="n"/>
      <c r="FQ1090" s="5" t="n"/>
      <c r="FR1090" s="5" t="n"/>
      <c r="FS1090" s="5" t="n"/>
      <c r="FT1090" s="5" t="n"/>
      <c r="FU1090" s="5" t="n"/>
      <c r="FV1090" s="5" t="n"/>
      <c r="FW1090" s="5" t="n"/>
      <c r="FX1090" s="5" t="n"/>
      <c r="FY1090" s="5" t="n"/>
      <c r="FZ1090" s="5" t="n"/>
      <c r="GA1090" s="5" t="n"/>
      <c r="GB1090" s="5" t="n"/>
      <c r="GC1090" s="5" t="n"/>
      <c r="GD1090" s="5" t="n"/>
      <c r="GE1090" s="5" t="n"/>
      <c r="GF1090" s="5" t="n"/>
      <c r="GG1090" s="5" t="n"/>
      <c r="GH1090" s="5" t="n"/>
      <c r="GI1090" s="5" t="n"/>
      <c r="GJ1090" s="5" t="n"/>
      <c r="GK1090" s="5" t="n"/>
      <c r="GL1090" s="5" t="n"/>
      <c r="GM1090" s="5" t="n"/>
      <c r="GN1090" s="5" t="n"/>
      <c r="GO1090" s="5" t="n"/>
      <c r="GP1090" s="5" t="n"/>
      <c r="GQ1090" s="5" t="n"/>
      <c r="GR1090" s="5" t="n"/>
      <c r="GS1090" s="5" t="n"/>
      <c r="GT1090" s="5" t="n"/>
      <c r="GU1090" s="5" t="n"/>
      <c r="GV1090" s="5" t="n"/>
      <c r="GW1090" s="5" t="n"/>
      <c r="GX1090" s="5" t="n"/>
      <c r="GY1090" s="5" t="n"/>
      <c r="GZ1090" s="5" t="n"/>
      <c r="HA1090" s="5" t="n"/>
      <c r="HB1090" s="5" t="n"/>
      <c r="HC1090" s="5" t="n"/>
      <c r="HD1090" s="5" t="n"/>
      <c r="HE1090" s="5" t="n"/>
      <c r="HF1090" s="5" t="n"/>
      <c r="HG1090" s="5" t="n"/>
      <c r="HH1090" s="5" t="n"/>
      <c r="HI1090" s="5" t="n"/>
      <c r="HJ1090" s="5" t="n"/>
      <c r="HK1090" s="5" t="n"/>
      <c r="HL1090" s="5" t="n"/>
      <c r="HM1090" s="5" t="n"/>
      <c r="HN1090" s="5" t="n"/>
      <c r="HO1090" s="5" t="n"/>
      <c r="HP1090" s="5" t="n"/>
      <c r="HQ1090" s="5" t="n"/>
      <c r="HR1090" s="5" t="n"/>
      <c r="HS1090" s="5" t="n"/>
      <c r="HT1090" s="5" t="n"/>
      <c r="HU1090" s="5" t="n"/>
      <c r="HV1090" s="5" t="n"/>
    </row>
    <row r="1091">
      <c r="A1091" s="19" t="inlineStr">
        <is>
          <t>mit.pav.las.all.coa</t>
        </is>
      </c>
      <c r="B1091" s="3" t="inlineStr">
        <is>
          <t>mit</t>
        </is>
      </c>
      <c r="C1091" s="19" t="n"/>
      <c r="H1091" s="3" t="inlineStr">
        <is>
          <t>Price index against scenario 1 (Laspeyres: scenario 1 quantities; scenario 1 = 1) | All sectors | Coal</t>
        </is>
      </c>
      <c r="I1091" s="3" t="inlineStr">
        <is>
          <t>index</t>
        </is>
      </c>
      <c r="K1091" s="20" t="inlineStr">
        <is>
          <t>egy.mit.pav.las.all.coa.1</t>
        </is>
      </c>
      <c r="L1091" s="28" t="n">
        <v>1</v>
      </c>
      <c r="M1091" s="28" t="n">
        <v>1</v>
      </c>
      <c r="N1091" s="28" t="n">
        <v>1</v>
      </c>
      <c r="O1091" s="28" t="n">
        <v>1</v>
      </c>
      <c r="P1091" s="28" t="n">
        <v>1</v>
      </c>
      <c r="Q1091" s="28" t="n">
        <v>1</v>
      </c>
      <c r="R1091" s="28" t="n">
        <v>1</v>
      </c>
      <c r="S1091" s="28" t="n">
        <v>1</v>
      </c>
      <c r="T1091" s="28" t="n">
        <v>1</v>
      </c>
      <c r="U1091" s="28" t="n">
        <v>1</v>
      </c>
      <c r="V1091" s="28" t="n">
        <v>1</v>
      </c>
      <c r="W1091" s="28" t="n">
        <v>1</v>
      </c>
      <c r="X1091" s="28" t="n">
        <v>1</v>
      </c>
      <c r="Y1091" s="28" t="n">
        <v>1</v>
      </c>
      <c r="Z1091" s="28" t="n">
        <v>1</v>
      </c>
      <c r="AA1091" s="28" t="n">
        <v>1</v>
      </c>
      <c r="AB1091" s="28" t="n">
        <v>1</v>
      </c>
      <c r="AC1091" s="28" t="n">
        <v>1</v>
      </c>
      <c r="AD1091" s="28" t="n">
        <v>1</v>
      </c>
      <c r="AE1091" s="28" t="n">
        <v>1</v>
      </c>
      <c r="AG1091" s="20" t="inlineStr">
        <is>
          <t>egy.mit.pav.las.all.coa.3</t>
        </is>
      </c>
      <c r="AH1091" s="28" t="n">
        <v>1</v>
      </c>
      <c r="AI1091" s="28" t="n">
        <v>1</v>
      </c>
      <c r="AJ1091" s="28" t="n">
        <v>1</v>
      </c>
      <c r="AK1091" s="28" t="n">
        <v>1</v>
      </c>
      <c r="AL1091" s="28" t="n">
        <v>1</v>
      </c>
      <c r="AM1091" s="28" t="n">
        <v>1.271540821761877</v>
      </c>
      <c r="AN1091" s="28" t="n">
        <v>1.273202837315848</v>
      </c>
      <c r="AO1091" s="28" t="n">
        <v>1.275007515302555</v>
      </c>
      <c r="AP1091" s="28" t="n">
        <v>1.276965192133917</v>
      </c>
      <c r="AQ1091" s="28" t="n">
        <v>1.278881040499247</v>
      </c>
      <c r="AR1091" s="28" t="n">
        <v>1.278883086018067</v>
      </c>
      <c r="AS1091" s="28" t="n">
        <v>1.278885086327882</v>
      </c>
      <c r="AT1091" s="28" t="n">
        <v>1.278887042736459</v>
      </c>
      <c r="AU1091" s="28" t="n">
        <v>1.278888956505492</v>
      </c>
      <c r="AV1091" s="28" t="n">
        <v>1.278890828851849</v>
      </c>
      <c r="AW1091" s="28" t="n">
        <v>1.278892660948824</v>
      </c>
      <c r="AX1091" s="28" t="n">
        <v>1.278894453927348</v>
      </c>
      <c r="AY1091" s="28" t="n">
        <v>1.278896208877195</v>
      </c>
      <c r="AZ1091" s="28" t="n">
        <v>1.278897926848154</v>
      </c>
      <c r="BA1091" s="28" t="n">
        <v>1.278899608851181</v>
      </c>
      <c r="BC1091" s="20" t="inlineStr">
        <is>
          <t>egy.mit.pav.las.all.coa.4</t>
        </is>
      </c>
      <c r="BD1091" s="28" t="n">
        <v>1</v>
      </c>
      <c r="BE1091" s="28" t="n">
        <v>1</v>
      </c>
      <c r="BF1091" s="28" t="n">
        <v>1</v>
      </c>
      <c r="BG1091" s="28" t="n">
        <v>1</v>
      </c>
      <c r="BH1091" s="28" t="n">
        <v>1</v>
      </c>
      <c r="BI1091" s="28" t="n">
        <v>1.135770410880938</v>
      </c>
      <c r="BJ1091" s="28" t="n">
        <v>1.318736643535156</v>
      </c>
      <c r="BK1091" s="28" t="n">
        <v>1.50418044472135</v>
      </c>
      <c r="BL1091" s="28" t="n">
        <v>1.692412980334792</v>
      </c>
      <c r="BM1091" s="28" t="n">
        <v>1.883123294914282</v>
      </c>
      <c r="BN1091" s="28" t="n">
        <v>2.069051829735923</v>
      </c>
      <c r="BO1091" s="28" t="n">
        <v>2.254982888475467</v>
      </c>
      <c r="BP1091" s="28" t="n">
        <v>2.440916387471706</v>
      </c>
      <c r="BQ1091" s="28" t="n">
        <v>2.626852246282035</v>
      </c>
      <c r="BR1091" s="28" t="n">
        <v>2.81279038753702</v>
      </c>
      <c r="BS1091" s="28" t="n">
        <v>2.998730736799905</v>
      </c>
      <c r="BT1091" s="28" t="n">
        <v>3.184673222430892</v>
      </c>
      <c r="BU1091" s="28" t="n">
        <v>3.370617775456155</v>
      </c>
      <c r="BV1091" s="28" t="n">
        <v>3.556564329441411</v>
      </c>
      <c r="BW1091" s="28" t="n">
        <v>3.742512820369954</v>
      </c>
      <c r="BY1091" s="20" t="inlineStr">
        <is>
          <t>egy.mit.pav.las.all.coa.5</t>
        </is>
      </c>
      <c r="BZ1091" s="28" t="n">
        <v>1</v>
      </c>
      <c r="CA1091" s="28" t="n">
        <v>1</v>
      </c>
      <c r="CB1091" s="28" t="n">
        <v>1</v>
      </c>
      <c r="CC1091" s="28" t="n">
        <v>1</v>
      </c>
      <c r="CD1091" s="28" t="n">
        <v>1</v>
      </c>
      <c r="CE1091" s="28" t="n">
        <v>1.000367529964383</v>
      </c>
      <c r="CF1091" s="28" t="n">
        <v>1.000365618061213</v>
      </c>
      <c r="CG1091" s="28" t="n">
        <v>1.000364124489911</v>
      </c>
      <c r="CH1091" s="28" t="n">
        <v>1.000363096959941</v>
      </c>
      <c r="CI1091" s="28" t="n">
        <v>1.0003620620233</v>
      </c>
      <c r="CJ1091" s="28" t="n">
        <v>1.000358860425027</v>
      </c>
      <c r="CK1091" s="28" t="n">
        <v>1.000355729586833</v>
      </c>
      <c r="CL1091" s="28" t="n">
        <v>1.000352667461829</v>
      </c>
      <c r="CM1091" s="28" t="n">
        <v>1.000349672075247</v>
      </c>
      <c r="CN1091" s="28" t="n">
        <v>1.000346741522466</v>
      </c>
      <c r="CO1091" s="28" t="n">
        <v>1.00034387396708</v>
      </c>
      <c r="CP1091" s="28" t="n">
        <v>1.000341067638979</v>
      </c>
      <c r="CQ1091" s="28" t="n">
        <v>1.000338320832475</v>
      </c>
      <c r="CR1091" s="28" t="n">
        <v>1.000335631904463</v>
      </c>
      <c r="CS1091" s="28" t="n">
        <v>1.000332999272616</v>
      </c>
      <c r="CU1091" s="20" t="inlineStr">
        <is>
          <t>egy.mit.pav.las.all.coa.6</t>
        </is>
      </c>
      <c r="CV1091" s="28" t="n">
        <v>1</v>
      </c>
      <c r="CW1091" s="28" t="n">
        <v>1</v>
      </c>
      <c r="CX1091" s="28" t="n">
        <v>1</v>
      </c>
      <c r="CY1091" s="28" t="n">
        <v>1</v>
      </c>
      <c r="CZ1091" s="28" t="n">
        <v>1</v>
      </c>
      <c r="DA1091" s="28" t="n">
        <v>1.678852054404692</v>
      </c>
      <c r="DB1091" s="28" t="n">
        <v>1.68300709328962</v>
      </c>
      <c r="DC1091" s="28" t="n">
        <v>1.687518788256387</v>
      </c>
      <c r="DD1091" s="28" t="n">
        <v>1.692412980334792</v>
      </c>
      <c r="DE1091" s="28" t="n">
        <v>1.697202601248118</v>
      </c>
      <c r="DF1091" s="28" t="n">
        <v>1.697207715045167</v>
      </c>
      <c r="DG1091" s="28" t="n">
        <v>1.697212715819704</v>
      </c>
      <c r="DH1091" s="28" t="n">
        <v>1.697217606841148</v>
      </c>
      <c r="DI1091" s="28" t="n">
        <v>1.697222391263729</v>
      </c>
      <c r="DJ1091" s="28" t="n">
        <v>1.697227072129623</v>
      </c>
      <c r="DK1091" s="28" t="n">
        <v>1.69723165237206</v>
      </c>
      <c r="DL1091" s="28" t="n">
        <v>1.69723613481837</v>
      </c>
      <c r="DM1091" s="28" t="n">
        <v>1.697240522192987</v>
      </c>
      <c r="DN1091" s="28" t="n">
        <v>1.697244817120385</v>
      </c>
      <c r="DO1091" s="28" t="n">
        <v>1.697249022127954</v>
      </c>
    </row>
    <row r="1092">
      <c r="A1092" s="19" t="inlineStr">
        <is>
          <t>mit.pav.las.all.nga</t>
        </is>
      </c>
      <c r="B1092" s="3" t="inlineStr">
        <is>
          <t>mit</t>
        </is>
      </c>
      <c r="C1092" s="19" t="n"/>
      <c r="H1092" s="3" t="inlineStr">
        <is>
          <t>Price index against scenario 1 (Laspeyres: scenario 1 quantities; scenario 1 = 1) | All sectors | Natural gas</t>
        </is>
      </c>
      <c r="I1092" s="3" t="inlineStr">
        <is>
          <t>index</t>
        </is>
      </c>
      <c r="K1092" s="20" t="inlineStr">
        <is>
          <t>egy.mit.pav.las.all.nga.1</t>
        </is>
      </c>
      <c r="L1092" s="28" t="n">
        <v>1</v>
      </c>
      <c r="M1092" s="28" t="n">
        <v>1</v>
      </c>
      <c r="N1092" s="28" t="n">
        <v>1</v>
      </c>
      <c r="O1092" s="28" t="n">
        <v>1</v>
      </c>
      <c r="P1092" s="28" t="n">
        <v>1</v>
      </c>
      <c r="Q1092" s="28" t="n">
        <v>1</v>
      </c>
      <c r="R1092" s="28" t="n">
        <v>1</v>
      </c>
      <c r="S1092" s="28" t="n">
        <v>1</v>
      </c>
      <c r="T1092" s="28" t="n">
        <v>1</v>
      </c>
      <c r="U1092" s="28" t="n">
        <v>1</v>
      </c>
      <c r="V1092" s="28" t="n">
        <v>1</v>
      </c>
      <c r="W1092" s="28" t="n">
        <v>1</v>
      </c>
      <c r="X1092" s="28" t="n">
        <v>1</v>
      </c>
      <c r="Y1092" s="28" t="n">
        <v>1</v>
      </c>
      <c r="Z1092" s="28" t="n">
        <v>1</v>
      </c>
      <c r="AA1092" s="28" t="n">
        <v>1</v>
      </c>
      <c r="AB1092" s="28" t="n">
        <v>1</v>
      </c>
      <c r="AC1092" s="28" t="n">
        <v>1</v>
      </c>
      <c r="AD1092" s="28" t="n">
        <v>1</v>
      </c>
      <c r="AE1092" s="28" t="n">
        <v>1</v>
      </c>
      <c r="AG1092" s="20" t="inlineStr">
        <is>
          <t>egy.mit.pav.las.all.nga.3</t>
        </is>
      </c>
      <c r="AH1092" s="28" t="n">
        <v>1</v>
      </c>
      <c r="AI1092" s="28" t="n">
        <v>1</v>
      </c>
      <c r="AJ1092" s="28" t="n">
        <v>1</v>
      </c>
      <c r="AK1092" s="28" t="n">
        <v>1</v>
      </c>
      <c r="AL1092" s="28" t="n">
        <v>1</v>
      </c>
      <c r="AM1092" s="28" t="n">
        <v>1.275937295874666</v>
      </c>
      <c r="AN1092" s="28" t="n">
        <v>1.27443230942603</v>
      </c>
      <c r="AO1092" s="28" t="n">
        <v>1.273060696769178</v>
      </c>
      <c r="AP1092" s="28" t="n">
        <v>1.271830190630786</v>
      </c>
      <c r="AQ1092" s="28" t="n">
        <v>1.270648891286723</v>
      </c>
      <c r="AR1092" s="28" t="n">
        <v>1.269510830782115</v>
      </c>
      <c r="AS1092" s="28" t="n">
        <v>1.268414214484889</v>
      </c>
      <c r="AT1092" s="28" t="n">
        <v>1.267357322645137</v>
      </c>
      <c r="AU1092" s="28" t="n">
        <v>1.266338508253662</v>
      </c>
      <c r="AV1092" s="28" t="n">
        <v>1.265356194808981</v>
      </c>
      <c r="AW1092" s="28" t="n">
        <v>1.264408874020965</v>
      </c>
      <c r="AX1092" s="28" t="n">
        <v>1.263495103475439</v>
      </c>
      <c r="AY1092" s="28" t="n">
        <v>1.262613504280575</v>
      </c>
      <c r="AZ1092" s="28" t="n">
        <v>1.261762758712816</v>
      </c>
      <c r="BA1092" s="28" t="n">
        <v>1.260941607877318</v>
      </c>
      <c r="BC1092" s="20" t="inlineStr">
        <is>
          <t>egy.mit.pav.las.all.nga.4</t>
        </is>
      </c>
      <c r="BD1092" s="28" t="n">
        <v>1</v>
      </c>
      <c r="BE1092" s="28" t="n">
        <v>1</v>
      </c>
      <c r="BF1092" s="28" t="n">
        <v>1</v>
      </c>
      <c r="BG1092" s="28" t="n">
        <v>1</v>
      </c>
      <c r="BH1092" s="28" t="n">
        <v>1</v>
      </c>
      <c r="BI1092" s="28" t="n">
        <v>1.137968647937333</v>
      </c>
      <c r="BJ1092" s="28" t="n">
        <v>1.320171027663702</v>
      </c>
      <c r="BK1092" s="28" t="n">
        <v>1.50061127741016</v>
      </c>
      <c r="BL1092" s="28" t="n">
        <v>1.679575476576965</v>
      </c>
      <c r="BM1092" s="28" t="n">
        <v>1.857054822407957</v>
      </c>
      <c r="BN1092" s="28" t="n">
        <v>2.033124851331439</v>
      </c>
      <c r="BO1092" s="28" t="n">
        <v>2.207863965181999</v>
      </c>
      <c r="BP1092" s="28" t="n">
        <v>2.381346166999873</v>
      </c>
      <c r="BQ1092" s="28" t="n">
        <v>2.55364129814636</v>
      </c>
      <c r="BR1092" s="28" t="n">
        <v>2.724815266258374</v>
      </c>
      <c r="BS1092" s="28" t="n">
        <v>2.894930263816915</v>
      </c>
      <c r="BT1092" s="28" t="n">
        <v>3.064044977224271</v>
      </c>
      <c r="BU1092" s="28" t="n">
        <v>3.232214786384885</v>
      </c>
      <c r="BV1092" s="28" t="n">
        <v>3.399491954867482</v>
      </c>
      <c r="BW1092" s="28" t="n">
        <v>3.565925810793628</v>
      </c>
      <c r="BY1092" s="20" t="inlineStr">
        <is>
          <t>egy.mit.pav.las.all.nga.5</t>
        </is>
      </c>
      <c r="BZ1092" s="28" t="n">
        <v>1</v>
      </c>
      <c r="CA1092" s="28" t="n">
        <v>1</v>
      </c>
      <c r="CB1092" s="28" t="n">
        <v>1</v>
      </c>
      <c r="CC1092" s="28" t="n">
        <v>1</v>
      </c>
      <c r="CD1092" s="28" t="n">
        <v>1</v>
      </c>
      <c r="CE1092" s="28" t="n">
        <v>1.272223403746898</v>
      </c>
      <c r="CF1092" s="28" t="n">
        <v>1.270022514185877</v>
      </c>
      <c r="CG1092" s="28" t="n">
        <v>1.268016670225644</v>
      </c>
      <c r="CH1092" s="28" t="n">
        <v>1.266217180192219</v>
      </c>
      <c r="CI1092" s="28" t="n">
        <v>1.264489650089111</v>
      </c>
      <c r="CJ1092" s="28" t="n">
        <v>1.262825352389505</v>
      </c>
      <c r="CK1092" s="28" t="n">
        <v>1.261221662626586</v>
      </c>
      <c r="CL1092" s="28" t="n">
        <v>1.259676065841082</v>
      </c>
      <c r="CM1092" s="28" t="n">
        <v>1.258186153449614</v>
      </c>
      <c r="CN1092" s="28" t="n">
        <v>1.256749619979158</v>
      </c>
      <c r="CO1092" s="28" t="n">
        <v>1.255364259708857</v>
      </c>
      <c r="CP1092" s="28" t="n">
        <v>1.254027963254733</v>
      </c>
      <c r="CQ1092" s="28" t="n">
        <v>1.25273871412778</v>
      </c>
      <c r="CR1092" s="28" t="n">
        <v>1.251494585291363</v>
      </c>
      <c r="CS1092" s="28" t="n">
        <v>1.250293735739854</v>
      </c>
      <c r="CU1092" s="20" t="inlineStr">
        <is>
          <t>egy.mit.pav.las.all.nga.6</t>
        </is>
      </c>
      <c r="CV1092" s="28" t="n">
        <v>1</v>
      </c>
      <c r="CW1092" s="28" t="n">
        <v>1</v>
      </c>
      <c r="CX1092" s="28" t="n">
        <v>1</v>
      </c>
      <c r="CY1092" s="28" t="n">
        <v>1</v>
      </c>
      <c r="CZ1092" s="28" t="n">
        <v>1</v>
      </c>
      <c r="DA1092" s="28" t="n">
        <v>1.689843239686666</v>
      </c>
      <c r="DB1092" s="28" t="n">
        <v>1.686080773565076</v>
      </c>
      <c r="DC1092" s="28" t="n">
        <v>1.682651741922946</v>
      </c>
      <c r="DD1092" s="28" t="n">
        <v>1.679575476576965</v>
      </c>
      <c r="DE1092" s="28" t="n">
        <v>1.676622228216808</v>
      </c>
      <c r="DF1092" s="28" t="n">
        <v>1.673777076955286</v>
      </c>
      <c r="DG1092" s="28" t="n">
        <v>1.671035536212222</v>
      </c>
      <c r="DH1092" s="28" t="n">
        <v>1.668393306612842</v>
      </c>
      <c r="DI1092" s="28" t="n">
        <v>1.665846270634154</v>
      </c>
      <c r="DJ1092" s="28" t="n">
        <v>1.663390487022452</v>
      </c>
      <c r="DK1092" s="28" t="n">
        <v>1.661022185052412</v>
      </c>
      <c r="DL1092" s="28" t="n">
        <v>1.658737758688597</v>
      </c>
      <c r="DM1092" s="28" t="n">
        <v>1.656533760701437</v>
      </c>
      <c r="DN1092" s="28" t="n">
        <v>1.65440689678204</v>
      </c>
      <c r="DO1092" s="28" t="n">
        <v>1.652354019693295</v>
      </c>
    </row>
    <row r="1093">
      <c r="A1093" s="19" t="inlineStr">
        <is>
          <t>mit.pav.las.all.gso</t>
        </is>
      </c>
      <c r="B1093" s="3" t="inlineStr">
        <is>
          <t>mit</t>
        </is>
      </c>
      <c r="C1093" s="19" t="n"/>
      <c r="H1093" s="3" t="inlineStr">
        <is>
          <t>Price index against scenario 1 (Laspeyres: scenario 1 quantities; scenario 1 = 1) | All sectors | Gasoline</t>
        </is>
      </c>
      <c r="I1093" s="3" t="inlineStr">
        <is>
          <t>index</t>
        </is>
      </c>
      <c r="K1093" s="20" t="inlineStr">
        <is>
          <t>egy.mit.pav.las.all.gso.1</t>
        </is>
      </c>
      <c r="L1093" s="28" t="n">
        <v>1</v>
      </c>
      <c r="M1093" s="28" t="n">
        <v>1</v>
      </c>
      <c r="N1093" s="28" t="n">
        <v>1</v>
      </c>
      <c r="O1093" s="28" t="n">
        <v>1</v>
      </c>
      <c r="P1093" s="28" t="n">
        <v>1</v>
      </c>
      <c r="Q1093" s="28" t="n">
        <v>1</v>
      </c>
      <c r="R1093" s="28" t="n">
        <v>1</v>
      </c>
      <c r="S1093" s="28" t="n">
        <v>1</v>
      </c>
      <c r="T1093" s="28" t="n">
        <v>1</v>
      </c>
      <c r="U1093" s="28" t="n">
        <v>1</v>
      </c>
      <c r="V1093" s="28" t="n">
        <v>1</v>
      </c>
      <c r="W1093" s="28" t="n">
        <v>1</v>
      </c>
      <c r="X1093" s="28" t="n">
        <v>1</v>
      </c>
      <c r="Y1093" s="28" t="n">
        <v>1</v>
      </c>
      <c r="Z1093" s="28" t="n">
        <v>1</v>
      </c>
      <c r="AA1093" s="28" t="n">
        <v>1</v>
      </c>
      <c r="AB1093" s="28" t="n">
        <v>1</v>
      </c>
      <c r="AC1093" s="28" t="n">
        <v>1</v>
      </c>
      <c r="AD1093" s="28" t="n">
        <v>1</v>
      </c>
      <c r="AE1093" s="28" t="n">
        <v>1</v>
      </c>
      <c r="AG1093" s="20" t="inlineStr">
        <is>
          <t>egy.mit.pav.las.all.gso.3</t>
        </is>
      </c>
      <c r="AH1093" s="28" t="n">
        <v>1</v>
      </c>
      <c r="AI1093" s="28" t="n">
        <v>1</v>
      </c>
      <c r="AJ1093" s="28" t="n">
        <v>1</v>
      </c>
      <c r="AK1093" s="28" t="n">
        <v>1</v>
      </c>
      <c r="AL1093" s="28" t="n">
        <v>1</v>
      </c>
      <c r="AM1093" s="28" t="n">
        <v>1.144084376462231</v>
      </c>
      <c r="AN1093" s="28" t="n">
        <v>1.144084376462231</v>
      </c>
      <c r="AO1093" s="28" t="n">
        <v>1.144084376462231</v>
      </c>
      <c r="AP1093" s="28" t="n">
        <v>1.144084376462231</v>
      </c>
      <c r="AQ1093" s="28" t="n">
        <v>1.144084376462231</v>
      </c>
      <c r="AR1093" s="28" t="n">
        <v>1.144084376462231</v>
      </c>
      <c r="AS1093" s="28" t="n">
        <v>1.144084376462231</v>
      </c>
      <c r="AT1093" s="28" t="n">
        <v>1.144084376462231</v>
      </c>
      <c r="AU1093" s="28" t="n">
        <v>1.144084376462231</v>
      </c>
      <c r="AV1093" s="28" t="n">
        <v>1.144084376462231</v>
      </c>
      <c r="AW1093" s="28" t="n">
        <v>1.144084376462231</v>
      </c>
      <c r="AX1093" s="28" t="n">
        <v>1.144084376462231</v>
      </c>
      <c r="AY1093" s="28" t="n">
        <v>1.144084376462231</v>
      </c>
      <c r="AZ1093" s="28" t="n">
        <v>1.144084376462231</v>
      </c>
      <c r="BA1093" s="28" t="n">
        <v>1.144084376462231</v>
      </c>
      <c r="BC1093" s="20" t="inlineStr">
        <is>
          <t>egy.mit.pav.las.all.gso.4</t>
        </is>
      </c>
      <c r="BD1093" s="28" t="n">
        <v>1</v>
      </c>
      <c r="BE1093" s="28" t="n">
        <v>1</v>
      </c>
      <c r="BF1093" s="28" t="n">
        <v>1</v>
      </c>
      <c r="BG1093" s="28" t="n">
        <v>1</v>
      </c>
      <c r="BH1093" s="28" t="n">
        <v>1</v>
      </c>
      <c r="BI1093" s="28" t="n">
        <v>1.072042188231116</v>
      </c>
      <c r="BJ1093" s="28" t="n">
        <v>1.168098439205936</v>
      </c>
      <c r="BK1093" s="28" t="n">
        <v>1.264154690180757</v>
      </c>
      <c r="BL1093" s="28" t="n">
        <v>1.360210941155578</v>
      </c>
      <c r="BM1093" s="28" t="n">
        <v>1.456267192130398</v>
      </c>
      <c r="BN1093" s="28" t="n">
        <v>1.552323443105219</v>
      </c>
      <c r="BO1093" s="28" t="n">
        <v>1.64837969408004</v>
      </c>
      <c r="BP1093" s="28" t="n">
        <v>1.74443594505486</v>
      </c>
      <c r="BQ1093" s="28" t="n">
        <v>1.840492196029681</v>
      </c>
      <c r="BR1093" s="28" t="n">
        <v>1.936548447004502</v>
      </c>
      <c r="BS1093" s="28" t="n">
        <v>2.032604697979322</v>
      </c>
      <c r="BT1093" s="28" t="n">
        <v>2.128660948954143</v>
      </c>
      <c r="BU1093" s="28" t="n">
        <v>2.224717199928964</v>
      </c>
      <c r="BV1093" s="28" t="n">
        <v>2.320773450903785</v>
      </c>
      <c r="BW1093" s="28" t="n">
        <v>2.416829701878605</v>
      </c>
      <c r="BY1093" s="20" t="inlineStr">
        <is>
          <t>egy.mit.pav.las.all.gso.5</t>
        </is>
      </c>
      <c r="BZ1093" s="28" t="n">
        <v>1</v>
      </c>
      <c r="CA1093" s="28" t="n">
        <v>1</v>
      </c>
      <c r="CB1093" s="28" t="n">
        <v>1</v>
      </c>
      <c r="CC1093" s="28" t="n">
        <v>1</v>
      </c>
      <c r="CD1093" s="28" t="n">
        <v>1</v>
      </c>
      <c r="CE1093" s="28" t="n">
        <v>1.180105470577789</v>
      </c>
      <c r="CF1093" s="28" t="n">
        <v>1.180105470577789</v>
      </c>
      <c r="CG1093" s="28" t="n">
        <v>1.180105470577789</v>
      </c>
      <c r="CH1093" s="28" t="n">
        <v>1.180105470577789</v>
      </c>
      <c r="CI1093" s="28" t="n">
        <v>1.180105470577789</v>
      </c>
      <c r="CJ1093" s="28" t="n">
        <v>1.180105470577789</v>
      </c>
      <c r="CK1093" s="28" t="n">
        <v>1.180105470577789</v>
      </c>
      <c r="CL1093" s="28" t="n">
        <v>1.180105470577789</v>
      </c>
      <c r="CM1093" s="28" t="n">
        <v>1.180105470577789</v>
      </c>
      <c r="CN1093" s="28" t="n">
        <v>1.180105470577789</v>
      </c>
      <c r="CO1093" s="28" t="n">
        <v>1.180105470577789</v>
      </c>
      <c r="CP1093" s="28" t="n">
        <v>1.180105470577789</v>
      </c>
      <c r="CQ1093" s="28" t="n">
        <v>1.180105470577789</v>
      </c>
      <c r="CR1093" s="28" t="n">
        <v>1.180105470577789</v>
      </c>
      <c r="CS1093" s="28" t="n">
        <v>1.180105470577789</v>
      </c>
      <c r="CU1093" s="20" t="inlineStr">
        <is>
          <t>egy.mit.pav.las.all.gso.6</t>
        </is>
      </c>
      <c r="CV1093" s="28" t="n">
        <v>1</v>
      </c>
      <c r="CW1093" s="28" t="n">
        <v>1</v>
      </c>
      <c r="CX1093" s="28" t="n">
        <v>1</v>
      </c>
      <c r="CY1093" s="28" t="n">
        <v>1</v>
      </c>
      <c r="CZ1093" s="28" t="n">
        <v>1</v>
      </c>
      <c r="DA1093" s="28" t="n">
        <v>1.360210941155577</v>
      </c>
      <c r="DB1093" s="28" t="n">
        <v>1.360210941155578</v>
      </c>
      <c r="DC1093" s="28" t="n">
        <v>1.360210941155578</v>
      </c>
      <c r="DD1093" s="28" t="n">
        <v>1.360210941155578</v>
      </c>
      <c r="DE1093" s="28" t="n">
        <v>1.360210941155577</v>
      </c>
      <c r="DF1093" s="28" t="n">
        <v>1.360210941155578</v>
      </c>
      <c r="DG1093" s="28" t="n">
        <v>1.360210941155578</v>
      </c>
      <c r="DH1093" s="28" t="n">
        <v>1.360210941155577</v>
      </c>
      <c r="DI1093" s="28" t="n">
        <v>1.360210941155577</v>
      </c>
      <c r="DJ1093" s="28" t="n">
        <v>1.360210941155577</v>
      </c>
      <c r="DK1093" s="28" t="n">
        <v>1.360210941155577</v>
      </c>
      <c r="DL1093" s="28" t="n">
        <v>1.360210941155577</v>
      </c>
      <c r="DM1093" s="28" t="n">
        <v>1.360210941155577</v>
      </c>
      <c r="DN1093" s="28" t="n">
        <v>1.360210941155578</v>
      </c>
      <c r="DO1093" s="28" t="n">
        <v>1.360210941155577</v>
      </c>
    </row>
    <row r="1094">
      <c r="A1094" s="19" t="inlineStr">
        <is>
          <t>mit.pav.las.all.die</t>
        </is>
      </c>
      <c r="B1094" s="3" t="inlineStr">
        <is>
          <t>mit</t>
        </is>
      </c>
      <c r="C1094" s="19" t="n"/>
      <c r="H1094" s="3" t="inlineStr">
        <is>
          <t>Price index against scenario 1 (Laspeyres: scenario 1 quantities; scenario 1 = 1) | All sectors | Diesel</t>
        </is>
      </c>
      <c r="I1094" s="3" t="inlineStr">
        <is>
          <t>index</t>
        </is>
      </c>
      <c r="K1094" s="20" t="inlineStr">
        <is>
          <t>egy.mit.pav.las.all.die.1</t>
        </is>
      </c>
      <c r="L1094" s="28" t="n">
        <v>1</v>
      </c>
      <c r="M1094" s="28" t="n">
        <v>1</v>
      </c>
      <c r="N1094" s="28" t="n">
        <v>1</v>
      </c>
      <c r="O1094" s="28" t="n">
        <v>1</v>
      </c>
      <c r="P1094" s="28" t="n">
        <v>1</v>
      </c>
      <c r="Q1094" s="28" t="n">
        <v>1</v>
      </c>
      <c r="R1094" s="28" t="n">
        <v>1</v>
      </c>
      <c r="S1094" s="28" t="n">
        <v>1</v>
      </c>
      <c r="T1094" s="28" t="n">
        <v>1</v>
      </c>
      <c r="U1094" s="28" t="n">
        <v>1</v>
      </c>
      <c r="V1094" s="28" t="n">
        <v>1</v>
      </c>
      <c r="W1094" s="28" t="n">
        <v>1</v>
      </c>
      <c r="X1094" s="28" t="n">
        <v>1</v>
      </c>
      <c r="Y1094" s="28" t="n">
        <v>1</v>
      </c>
      <c r="Z1094" s="28" t="n">
        <v>1</v>
      </c>
      <c r="AA1094" s="28" t="n">
        <v>1</v>
      </c>
      <c r="AB1094" s="28" t="n">
        <v>1</v>
      </c>
      <c r="AC1094" s="28" t="n">
        <v>1</v>
      </c>
      <c r="AD1094" s="28" t="n">
        <v>1</v>
      </c>
      <c r="AE1094" s="28" t="n">
        <v>1</v>
      </c>
      <c r="AG1094" s="20" t="inlineStr">
        <is>
          <t>egy.mit.pav.las.all.die.3</t>
        </is>
      </c>
      <c r="AH1094" s="28" t="n">
        <v>1</v>
      </c>
      <c r="AI1094" s="28" t="n">
        <v>1</v>
      </c>
      <c r="AJ1094" s="28" t="n">
        <v>1</v>
      </c>
      <c r="AK1094" s="28" t="n">
        <v>1</v>
      </c>
      <c r="AL1094" s="28" t="n">
        <v>1</v>
      </c>
      <c r="AM1094" s="28" t="n">
        <v>1.208067094396328</v>
      </c>
      <c r="AN1094" s="28" t="n">
        <v>1.208067208549397</v>
      </c>
      <c r="AO1094" s="28" t="n">
        <v>1.208067639991423</v>
      </c>
      <c r="AP1094" s="28" t="n">
        <v>1.208068444288932</v>
      </c>
      <c r="AQ1094" s="28" t="n">
        <v>1.208069319290547</v>
      </c>
      <c r="AR1094" s="28" t="n">
        <v>1.208070249982386</v>
      </c>
      <c r="AS1094" s="28" t="n">
        <v>1.208071235487261</v>
      </c>
      <c r="AT1094" s="28" t="n">
        <v>1.208072274944032</v>
      </c>
      <c r="AU1094" s="28" t="n">
        <v>1.208073367508604</v>
      </c>
      <c r="AV1094" s="28" t="n">
        <v>1.208074512354844</v>
      </c>
      <c r="AW1094" s="28" t="n">
        <v>1.208075708675429</v>
      </c>
      <c r="AX1094" s="28" t="n">
        <v>1.208076955682619</v>
      </c>
      <c r="AY1094" s="28" t="n">
        <v>1.208078252608976</v>
      </c>
      <c r="AZ1094" s="28" t="n">
        <v>1.208079598708015</v>
      </c>
      <c r="BA1094" s="28" t="n">
        <v>1.208080993254822</v>
      </c>
      <c r="BC1094" s="20" t="inlineStr">
        <is>
          <t>egy.mit.pav.las.all.die.4</t>
        </is>
      </c>
      <c r="BD1094" s="28" t="n">
        <v>1</v>
      </c>
      <c r="BE1094" s="28" t="n">
        <v>1</v>
      </c>
      <c r="BF1094" s="28" t="n">
        <v>1</v>
      </c>
      <c r="BG1094" s="28" t="n">
        <v>1</v>
      </c>
      <c r="BH1094" s="28" t="n">
        <v>1</v>
      </c>
      <c r="BI1094" s="28" t="n">
        <v>1.104033547198164</v>
      </c>
      <c r="BJ1094" s="28" t="n">
        <v>1.242745076640963</v>
      </c>
      <c r="BK1094" s="28" t="n">
        <v>1.381457339984276</v>
      </c>
      <c r="BL1094" s="28" t="n">
        <v>1.520171110722331</v>
      </c>
      <c r="BM1094" s="28" t="n">
        <v>1.658886177753399</v>
      </c>
      <c r="BN1094" s="28" t="n">
        <v>1.797602624932481</v>
      </c>
      <c r="BO1094" s="28" t="n">
        <v>1.936320559692676</v>
      </c>
      <c r="BP1094" s="28" t="n">
        <v>2.075040087210833</v>
      </c>
      <c r="BQ1094" s="28" t="n">
        <v>2.213761310466856</v>
      </c>
      <c r="BR1094" s="28" t="n">
        <v>2.352484330306487</v>
      </c>
      <c r="BS1094" s="28" t="n">
        <v>2.491209245507242</v>
      </c>
      <c r="BT1094" s="28" t="n">
        <v>2.629936152847185</v>
      </c>
      <c r="BU1094" s="28" t="n">
        <v>2.768665147176289</v>
      </c>
      <c r="BV1094" s="28" t="n">
        <v>2.907396321490138</v>
      </c>
      <c r="BW1094" s="28" t="n">
        <v>3.04612976700575</v>
      </c>
      <c r="BY1094" s="20" t="inlineStr">
        <is>
          <t>egy.mit.pav.las.all.die.5</t>
        </is>
      </c>
      <c r="BZ1094" s="28" t="n">
        <v>1</v>
      </c>
      <c r="CA1094" s="28" t="n">
        <v>1</v>
      </c>
      <c r="CB1094" s="28" t="n">
        <v>1</v>
      </c>
      <c r="CC1094" s="28" t="n">
        <v>1</v>
      </c>
      <c r="CD1094" s="28" t="n">
        <v>1</v>
      </c>
      <c r="CE1094" s="28" t="n">
        <v>1.260083867995409</v>
      </c>
      <c r="CF1094" s="28" t="n">
        <v>1.260084010686746</v>
      </c>
      <c r="CG1094" s="28" t="n">
        <v>1.260084549989279</v>
      </c>
      <c r="CH1094" s="28" t="n">
        <v>1.260085555361165</v>
      </c>
      <c r="CI1094" s="28" t="n">
        <v>1.260086649113184</v>
      </c>
      <c r="CJ1094" s="28" t="n">
        <v>1.260087812477983</v>
      </c>
      <c r="CK1094" s="28" t="n">
        <v>1.260089044359077</v>
      </c>
      <c r="CL1094" s="28" t="n">
        <v>1.26009034368004</v>
      </c>
      <c r="CM1094" s="28" t="n">
        <v>1.260091709385755</v>
      </c>
      <c r="CN1094" s="28" t="n">
        <v>1.260093140443555</v>
      </c>
      <c r="CO1094" s="28" t="n">
        <v>1.260094635844287</v>
      </c>
      <c r="CP1094" s="28" t="n">
        <v>1.260096194603274</v>
      </c>
      <c r="CQ1094" s="28" t="n">
        <v>1.260097815761219</v>
      </c>
      <c r="CR1094" s="28" t="n">
        <v>1.260099498385019</v>
      </c>
      <c r="CS1094" s="28" t="n">
        <v>1.260101241568527</v>
      </c>
      <c r="CU1094" s="20" t="inlineStr">
        <is>
          <t>egy.mit.pav.las.all.die.6</t>
        </is>
      </c>
      <c r="CV1094" s="28" t="n">
        <v>1</v>
      </c>
      <c r="CW1094" s="28" t="n">
        <v>1</v>
      </c>
      <c r="CX1094" s="28" t="n">
        <v>1</v>
      </c>
      <c r="CY1094" s="28" t="n">
        <v>1</v>
      </c>
      <c r="CZ1094" s="28" t="n">
        <v>1</v>
      </c>
      <c r="DA1094" s="28" t="n">
        <v>1.520167735990819</v>
      </c>
      <c r="DB1094" s="28" t="n">
        <v>1.520168021373492</v>
      </c>
      <c r="DC1094" s="28" t="n">
        <v>1.520169099978558</v>
      </c>
      <c r="DD1094" s="28" t="n">
        <v>1.520171110722331</v>
      </c>
      <c r="DE1094" s="28" t="n">
        <v>1.520173298226367</v>
      </c>
      <c r="DF1094" s="28" t="n">
        <v>1.520175624955965</v>
      </c>
      <c r="DG1094" s="28" t="n">
        <v>1.520178088718154</v>
      </c>
      <c r="DH1094" s="28" t="n">
        <v>1.520180687360081</v>
      </c>
      <c r="DI1094" s="28" t="n">
        <v>1.52018341877151</v>
      </c>
      <c r="DJ1094" s="28" t="n">
        <v>1.52018628088711</v>
      </c>
      <c r="DK1094" s="28" t="n">
        <v>1.520189271688573</v>
      </c>
      <c r="DL1094" s="28" t="n">
        <v>1.520192389206548</v>
      </c>
      <c r="DM1094" s="28" t="n">
        <v>1.520195631522438</v>
      </c>
      <c r="DN1094" s="28" t="n">
        <v>1.520198996770037</v>
      </c>
      <c r="DO1094" s="28" t="n">
        <v>1.520202483137055</v>
      </c>
    </row>
    <row r="1095">
      <c r="A1095" s="19" t="inlineStr">
        <is>
          <t>mit.pav.las.all.lpg</t>
        </is>
      </c>
      <c r="B1095" s="3" t="inlineStr">
        <is>
          <t>mit</t>
        </is>
      </c>
      <c r="C1095" s="19" t="n"/>
      <c r="H1095" s="3" t="inlineStr">
        <is>
          <t>Price index against scenario 1 (Laspeyres: scenario 1 quantities; scenario 1 = 1) | All sectors | LPG</t>
        </is>
      </c>
      <c r="I1095" s="3" t="inlineStr">
        <is>
          <t>index</t>
        </is>
      </c>
      <c r="K1095" s="20" t="inlineStr">
        <is>
          <t>egy.mit.pav.las.all.lpg.1</t>
        </is>
      </c>
      <c r="L1095" s="28" t="n">
        <v>1</v>
      </c>
      <c r="M1095" s="28" t="n">
        <v>1</v>
      </c>
      <c r="N1095" s="28" t="n">
        <v>1</v>
      </c>
      <c r="O1095" s="28" t="n">
        <v>1</v>
      </c>
      <c r="P1095" s="28" t="n">
        <v>1</v>
      </c>
      <c r="Q1095" s="28" t="n">
        <v>1</v>
      </c>
      <c r="R1095" s="28" t="n">
        <v>1</v>
      </c>
      <c r="S1095" s="28" t="n">
        <v>1</v>
      </c>
      <c r="T1095" s="28" t="n">
        <v>1</v>
      </c>
      <c r="U1095" s="28" t="n">
        <v>1</v>
      </c>
      <c r="V1095" s="28" t="n">
        <v>1</v>
      </c>
      <c r="W1095" s="28" t="n">
        <v>1</v>
      </c>
      <c r="X1095" s="28" t="n">
        <v>1</v>
      </c>
      <c r="Y1095" s="28" t="n">
        <v>1</v>
      </c>
      <c r="Z1095" s="28" t="n">
        <v>1</v>
      </c>
      <c r="AA1095" s="28" t="n">
        <v>1</v>
      </c>
      <c r="AB1095" s="28" t="n">
        <v>1</v>
      </c>
      <c r="AC1095" s="28" t="n">
        <v>1</v>
      </c>
      <c r="AD1095" s="28" t="n">
        <v>1</v>
      </c>
      <c r="AE1095" s="28" t="n">
        <v>1</v>
      </c>
      <c r="AG1095" s="20" t="inlineStr">
        <is>
          <t>egy.mit.pav.las.all.lpg.3</t>
        </is>
      </c>
      <c r="AH1095" s="28" t="n">
        <v>1</v>
      </c>
      <c r="AI1095" s="28" t="n">
        <v>1</v>
      </c>
      <c r="AJ1095" s="28" t="n">
        <v>1</v>
      </c>
      <c r="AK1095" s="28" t="n">
        <v>1</v>
      </c>
      <c r="AL1095" s="28" t="n">
        <v>1</v>
      </c>
      <c r="AM1095" s="28" t="n">
        <v>1.335740253699061</v>
      </c>
      <c r="AN1095" s="28" t="n">
        <v>1.335740253699061</v>
      </c>
      <c r="AO1095" s="28" t="n">
        <v>1.335740253699061</v>
      </c>
      <c r="AP1095" s="28" t="n">
        <v>1.335740253699061</v>
      </c>
      <c r="AQ1095" s="28" t="n">
        <v>1.335740253699061</v>
      </c>
      <c r="AR1095" s="28" t="n">
        <v>1.335740253699061</v>
      </c>
      <c r="AS1095" s="28" t="n">
        <v>1.335740253699061</v>
      </c>
      <c r="AT1095" s="28" t="n">
        <v>1.335740253699061</v>
      </c>
      <c r="AU1095" s="28" t="n">
        <v>1.33574025369906</v>
      </c>
      <c r="AV1095" s="28" t="n">
        <v>1.335740253699061</v>
      </c>
      <c r="AW1095" s="28" t="n">
        <v>1.335740253699061</v>
      </c>
      <c r="AX1095" s="28" t="n">
        <v>1.335740253699061</v>
      </c>
      <c r="AY1095" s="28" t="n">
        <v>1.335740253699061</v>
      </c>
      <c r="AZ1095" s="28" t="n">
        <v>1.335740253699061</v>
      </c>
      <c r="BA1095" s="28" t="n">
        <v>1.335740253699061</v>
      </c>
      <c r="BC1095" s="20" t="inlineStr">
        <is>
          <t>egy.mit.pav.las.all.lpg.4</t>
        </is>
      </c>
      <c r="BD1095" s="28" t="n">
        <v>1</v>
      </c>
      <c r="BE1095" s="28" t="n">
        <v>1</v>
      </c>
      <c r="BF1095" s="28" t="n">
        <v>1</v>
      </c>
      <c r="BG1095" s="28" t="n">
        <v>1</v>
      </c>
      <c r="BH1095" s="28" t="n">
        <v>1</v>
      </c>
      <c r="BI1095" s="28" t="n">
        <v>1.16787012684953</v>
      </c>
      <c r="BJ1095" s="28" t="n">
        <v>1.391696962648905</v>
      </c>
      <c r="BK1095" s="28" t="n">
        <v>1.615523798448279</v>
      </c>
      <c r="BL1095" s="28" t="n">
        <v>1.839350634247652</v>
      </c>
      <c r="BM1095" s="28" t="n">
        <v>2.063177470047027</v>
      </c>
      <c r="BN1095" s="28" t="n">
        <v>2.287004305846401</v>
      </c>
      <c r="BO1095" s="28" t="n">
        <v>2.510831141645775</v>
      </c>
      <c r="BP1095" s="28" t="n">
        <v>2.734657977445147</v>
      </c>
      <c r="BQ1095" s="28" t="n">
        <v>2.958484813244521</v>
      </c>
      <c r="BR1095" s="28" t="n">
        <v>3.182311649043894</v>
      </c>
      <c r="BS1095" s="28" t="n">
        <v>3.406138484843271</v>
      </c>
      <c r="BT1095" s="28" t="n">
        <v>3.629965320642645</v>
      </c>
      <c r="BU1095" s="28" t="n">
        <v>3.853792156442018</v>
      </c>
      <c r="BV1095" s="28" t="n">
        <v>4.077618992241392</v>
      </c>
      <c r="BW1095" s="28" t="n">
        <v>4.301445828040768</v>
      </c>
      <c r="BY1095" s="20" t="inlineStr">
        <is>
          <t>egy.mit.pav.las.all.lpg.5</t>
        </is>
      </c>
      <c r="BZ1095" s="28" t="n">
        <v>1</v>
      </c>
      <c r="CA1095" s="28" t="n">
        <v>1</v>
      </c>
      <c r="CB1095" s="28" t="n">
        <v>1</v>
      </c>
      <c r="CC1095" s="28" t="n">
        <v>1</v>
      </c>
      <c r="CD1095" s="28" t="n">
        <v>1</v>
      </c>
      <c r="CE1095" s="28" t="n">
        <v>1.419675317123826</v>
      </c>
      <c r="CF1095" s="28" t="n">
        <v>1.419675317123826</v>
      </c>
      <c r="CG1095" s="28" t="n">
        <v>1.419675317123826</v>
      </c>
      <c r="CH1095" s="28" t="n">
        <v>1.419675317123826</v>
      </c>
      <c r="CI1095" s="28" t="n">
        <v>1.419675317123826</v>
      </c>
      <c r="CJ1095" s="28" t="n">
        <v>1.419675317123826</v>
      </c>
      <c r="CK1095" s="28" t="n">
        <v>1.419675317123826</v>
      </c>
      <c r="CL1095" s="28" t="n">
        <v>1.419675317123826</v>
      </c>
      <c r="CM1095" s="28" t="n">
        <v>1.419675317123826</v>
      </c>
      <c r="CN1095" s="28" t="n">
        <v>1.419675317123826</v>
      </c>
      <c r="CO1095" s="28" t="n">
        <v>1.419675317123826</v>
      </c>
      <c r="CP1095" s="28" t="n">
        <v>1.419675317123826</v>
      </c>
      <c r="CQ1095" s="28" t="n">
        <v>1.419675317123826</v>
      </c>
      <c r="CR1095" s="28" t="n">
        <v>1.419675317123826</v>
      </c>
      <c r="CS1095" s="28" t="n">
        <v>1.419675317123826</v>
      </c>
      <c r="CU1095" s="20" t="inlineStr">
        <is>
          <t>egy.mit.pav.las.all.lpg.6</t>
        </is>
      </c>
      <c r="CV1095" s="28" t="n">
        <v>1</v>
      </c>
      <c r="CW1095" s="28" t="n">
        <v>1</v>
      </c>
      <c r="CX1095" s="28" t="n">
        <v>1</v>
      </c>
      <c r="CY1095" s="28" t="n">
        <v>1</v>
      </c>
      <c r="CZ1095" s="28" t="n">
        <v>1</v>
      </c>
      <c r="DA1095" s="28" t="n">
        <v>1.839350634247653</v>
      </c>
      <c r="DB1095" s="28" t="n">
        <v>1.839350634247653</v>
      </c>
      <c r="DC1095" s="28" t="n">
        <v>1.839350634247653</v>
      </c>
      <c r="DD1095" s="28" t="n">
        <v>1.839350634247652</v>
      </c>
      <c r="DE1095" s="28" t="n">
        <v>1.839350634247652</v>
      </c>
      <c r="DF1095" s="28" t="n">
        <v>1.839350634247653</v>
      </c>
      <c r="DG1095" s="28" t="n">
        <v>1.839350634247652</v>
      </c>
      <c r="DH1095" s="28" t="n">
        <v>1.839350634247652</v>
      </c>
      <c r="DI1095" s="28" t="n">
        <v>1.839350634247652</v>
      </c>
      <c r="DJ1095" s="28" t="n">
        <v>1.839350634247652</v>
      </c>
      <c r="DK1095" s="28" t="n">
        <v>1.839350634247652</v>
      </c>
      <c r="DL1095" s="28" t="n">
        <v>1.839350634247653</v>
      </c>
      <c r="DM1095" s="28" t="n">
        <v>1.839350634247653</v>
      </c>
      <c r="DN1095" s="28" t="n">
        <v>1.839350634247652</v>
      </c>
      <c r="DO1095" s="28" t="n">
        <v>1.839350634247653</v>
      </c>
    </row>
    <row r="1096">
      <c r="A1096" s="19" t="inlineStr">
        <is>
          <t>mit.pav.las.all.ker</t>
        </is>
      </c>
      <c r="B1096" s="3" t="inlineStr">
        <is>
          <t>mit</t>
        </is>
      </c>
      <c r="C1096" s="19" t="n"/>
      <c r="H1096" s="3" t="inlineStr">
        <is>
          <t>Price index against scenario 1 (Laspeyres: scenario 1 quantities; scenario 1 = 1) | All sectors | Kerosene</t>
        </is>
      </c>
      <c r="I1096" s="3" t="inlineStr">
        <is>
          <t>index</t>
        </is>
      </c>
      <c r="K1096" s="20" t="inlineStr">
        <is>
          <t>egy.mit.pav.las.all.ker.1</t>
        </is>
      </c>
      <c r="L1096" s="28" t="n">
        <v>1</v>
      </c>
      <c r="M1096" s="28" t="n">
        <v>1</v>
      </c>
      <c r="N1096" s="28" t="n">
        <v>1</v>
      </c>
      <c r="O1096" s="28" t="n">
        <v>1</v>
      </c>
      <c r="P1096" s="28" t="n">
        <v>1</v>
      </c>
      <c r="Q1096" s="28" t="n">
        <v>1</v>
      </c>
      <c r="R1096" s="28" t="n">
        <v>1</v>
      </c>
      <c r="S1096" s="28" t="n">
        <v>1</v>
      </c>
      <c r="T1096" s="28" t="n">
        <v>1</v>
      </c>
      <c r="U1096" s="28" t="n">
        <v>1</v>
      </c>
      <c r="V1096" s="28" t="n">
        <v>1</v>
      </c>
      <c r="W1096" s="28" t="n">
        <v>1</v>
      </c>
      <c r="X1096" s="28" t="n">
        <v>1</v>
      </c>
      <c r="Y1096" s="28" t="n">
        <v>1</v>
      </c>
      <c r="Z1096" s="28" t="n">
        <v>1</v>
      </c>
      <c r="AA1096" s="28" t="n">
        <v>1</v>
      </c>
      <c r="AB1096" s="28" t="n">
        <v>1</v>
      </c>
      <c r="AC1096" s="28" t="n">
        <v>1</v>
      </c>
      <c r="AD1096" s="28" t="n">
        <v>1</v>
      </c>
      <c r="AE1096" s="28" t="n">
        <v>1</v>
      </c>
      <c r="AG1096" s="20" t="inlineStr">
        <is>
          <t>egy.mit.pav.las.all.ker.3</t>
        </is>
      </c>
      <c r="AH1096" s="28" t="n">
        <v>1</v>
      </c>
      <c r="AI1096" s="28" t="n">
        <v>1</v>
      </c>
      <c r="AJ1096" s="28" t="n">
        <v>1</v>
      </c>
      <c r="AK1096" s="28" t="n">
        <v>1</v>
      </c>
      <c r="AL1096" s="28" t="n">
        <v>1</v>
      </c>
      <c r="AM1096" s="28" t="n">
        <v>1.191636944463368</v>
      </c>
      <c r="AN1096" s="28" t="n">
        <v>1.191629371550587</v>
      </c>
      <c r="AO1096" s="28" t="n">
        <v>1.191622308285759</v>
      </c>
      <c r="AP1096" s="28" t="n">
        <v>1.191615831731227</v>
      </c>
      <c r="AQ1096" s="28" t="n">
        <v>1.19160948689945</v>
      </c>
      <c r="AR1096" s="28" t="n">
        <v>1.19160325071123</v>
      </c>
      <c r="AS1096" s="28" t="n">
        <v>1.19159712123229</v>
      </c>
      <c r="AT1096" s="28" t="n">
        <v>1.19159109654491</v>
      </c>
      <c r="AU1096" s="28" t="n">
        <v>1.191585174751254</v>
      </c>
      <c r="AV1096" s="28" t="n">
        <v>1.191579353976382</v>
      </c>
      <c r="AW1096" s="28" t="n">
        <v>1.191573632370977</v>
      </c>
      <c r="AX1096" s="28" t="n">
        <v>1.191568008113785</v>
      </c>
      <c r="AY1096" s="28" t="n">
        <v>1.19156247941382</v>
      </c>
      <c r="AZ1096" s="28" t="n">
        <v>1.191557044512321</v>
      </c>
      <c r="BA1096" s="28" t="n">
        <v>1.191551701684497</v>
      </c>
      <c r="BC1096" s="20" t="inlineStr">
        <is>
          <t>egy.mit.pav.las.all.ker.4</t>
        </is>
      </c>
      <c r="BD1096" s="28" t="n">
        <v>1</v>
      </c>
      <c r="BE1096" s="28" t="n">
        <v>1</v>
      </c>
      <c r="BF1096" s="28" t="n">
        <v>1</v>
      </c>
      <c r="BG1096" s="28" t="n">
        <v>1</v>
      </c>
      <c r="BH1096" s="28" t="n">
        <v>1</v>
      </c>
      <c r="BI1096" s="28" t="n">
        <v>1.095818472231684</v>
      </c>
      <c r="BJ1096" s="28" t="n">
        <v>1.223567600142351</v>
      </c>
      <c r="BK1096" s="28" t="n">
        <v>1.351307565190559</v>
      </c>
      <c r="BL1096" s="28" t="n">
        <v>1.479039579328068</v>
      </c>
      <c r="BM1096" s="28" t="n">
        <v>1.606763375181593</v>
      </c>
      <c r="BN1096" s="28" t="n">
        <v>1.734479127726384</v>
      </c>
      <c r="BO1096" s="28" t="n">
        <v>1.862187045545307</v>
      </c>
      <c r="BP1096" s="28" t="n">
        <v>1.989887332148702</v>
      </c>
      <c r="BQ1096" s="28" t="n">
        <v>2.11758018604898</v>
      </c>
      <c r="BR1096" s="28" t="n">
        <v>2.245265800846485</v>
      </c>
      <c r="BS1096" s="28" t="n">
        <v>2.372944365325334</v>
      </c>
      <c r="BT1096" s="28" t="n">
        <v>2.500616063557984</v>
      </c>
      <c r="BU1096" s="28" t="n">
        <v>2.628281075017474</v>
      </c>
      <c r="BV1096" s="28" t="n">
        <v>2.755939574696277</v>
      </c>
      <c r="BW1096" s="28" t="n">
        <v>2.883591733230882</v>
      </c>
      <c r="BY1096" s="20" t="inlineStr">
        <is>
          <t>egy.mit.pav.las.all.ker.5</t>
        </is>
      </c>
      <c r="BZ1096" s="28" t="n">
        <v>1</v>
      </c>
      <c r="CA1096" s="28" t="n">
        <v>1</v>
      </c>
      <c r="CB1096" s="28" t="n">
        <v>1</v>
      </c>
      <c r="CC1096" s="28" t="n">
        <v>1</v>
      </c>
      <c r="CD1096" s="28" t="n">
        <v>1</v>
      </c>
      <c r="CE1096" s="28" t="n">
        <v>1.23954618057921</v>
      </c>
      <c r="CF1096" s="28" t="n">
        <v>1.239536714438233</v>
      </c>
      <c r="CG1096" s="28" t="n">
        <v>1.239527885357199</v>
      </c>
      <c r="CH1096" s="28" t="n">
        <v>1.239519789664034</v>
      </c>
      <c r="CI1096" s="28" t="n">
        <v>1.239511858624313</v>
      </c>
      <c r="CJ1096" s="28" t="n">
        <v>1.239504063389038</v>
      </c>
      <c r="CK1096" s="28" t="n">
        <v>1.239496401540363</v>
      </c>
      <c r="CL1096" s="28" t="n">
        <v>1.239488870681138</v>
      </c>
      <c r="CM1096" s="28" t="n">
        <v>1.239481468439067</v>
      </c>
      <c r="CN1096" s="28" t="n">
        <v>1.239474192470478</v>
      </c>
      <c r="CO1096" s="28" t="n">
        <v>1.239467040463721</v>
      </c>
      <c r="CP1096" s="28" t="n">
        <v>1.239460010142232</v>
      </c>
      <c r="CQ1096" s="28" t="n">
        <v>1.239453099267276</v>
      </c>
      <c r="CR1096" s="28" t="n">
        <v>1.239446305640401</v>
      </c>
      <c r="CS1096" s="28" t="n">
        <v>1.239439627105621</v>
      </c>
      <c r="CU1096" s="20" t="inlineStr">
        <is>
          <t>egy.mit.pav.las.all.ker.6</t>
        </is>
      </c>
      <c r="CV1096" s="28" t="n">
        <v>1</v>
      </c>
      <c r="CW1096" s="28" t="n">
        <v>1</v>
      </c>
      <c r="CX1096" s="28" t="n">
        <v>1</v>
      </c>
      <c r="CY1096" s="28" t="n">
        <v>1</v>
      </c>
      <c r="CZ1096" s="28" t="n">
        <v>1</v>
      </c>
      <c r="DA1096" s="28" t="n">
        <v>1.47909236115842</v>
      </c>
      <c r="DB1096" s="28" t="n">
        <v>1.479073428876467</v>
      </c>
      <c r="DC1096" s="28" t="n">
        <v>1.479055770714398</v>
      </c>
      <c r="DD1096" s="28" t="n">
        <v>1.479039579328068</v>
      </c>
      <c r="DE1096" s="28" t="n">
        <v>1.479023717248626</v>
      </c>
      <c r="DF1096" s="28" t="n">
        <v>1.479008126778077</v>
      </c>
      <c r="DG1096" s="28" t="n">
        <v>1.478992803080726</v>
      </c>
      <c r="DH1096" s="28" t="n">
        <v>1.478977741362275</v>
      </c>
      <c r="DI1096" s="28" t="n">
        <v>1.478962936878134</v>
      </c>
      <c r="DJ1096" s="28" t="n">
        <v>1.478948384940956</v>
      </c>
      <c r="DK1096" s="28" t="n">
        <v>1.478934080927442</v>
      </c>
      <c r="DL1096" s="28" t="n">
        <v>1.478920020284463</v>
      </c>
      <c r="DM1096" s="28" t="n">
        <v>1.478906198534551</v>
      </c>
      <c r="DN1096" s="28" t="n">
        <v>1.478892611280803</v>
      </c>
      <c r="DO1096" s="28" t="n">
        <v>1.478879254211241</v>
      </c>
    </row>
    <row r="1097">
      <c r="A1097" s="19" t="inlineStr">
        <is>
          <t>mit.pav.las.all.jfu</t>
        </is>
      </c>
      <c r="B1097" s="3" t="inlineStr">
        <is>
          <t>mit</t>
        </is>
      </c>
      <c r="C1097" s="19" t="n"/>
      <c r="H1097" s="3" t="inlineStr">
        <is>
          <t>Price index against scenario 1 (Laspeyres: scenario 1 quantities; scenario 1 = 1) | All sectors | Jet fuel</t>
        </is>
      </c>
      <c r="I1097" s="3" t="inlineStr">
        <is>
          <t>index</t>
        </is>
      </c>
      <c r="K1097" s="20" t="inlineStr">
        <is>
          <t>egy.mit.pav.las.all.jfu.1</t>
        </is>
      </c>
      <c r="L1097" s="28" t="n">
        <v>1</v>
      </c>
      <c r="M1097" s="28" t="n">
        <v>1</v>
      </c>
      <c r="N1097" s="28" t="n">
        <v>1</v>
      </c>
      <c r="O1097" s="28" t="n">
        <v>1</v>
      </c>
      <c r="P1097" s="28" t="n">
        <v>1</v>
      </c>
      <c r="Q1097" s="28" t="n">
        <v>1</v>
      </c>
      <c r="R1097" s="28" t="n">
        <v>1</v>
      </c>
      <c r="S1097" s="28" t="n">
        <v>1</v>
      </c>
      <c r="T1097" s="28" t="n">
        <v>1</v>
      </c>
      <c r="U1097" s="28" t="n">
        <v>1</v>
      </c>
      <c r="V1097" s="28" t="n">
        <v>1</v>
      </c>
      <c r="W1097" s="28" t="n">
        <v>1</v>
      </c>
      <c r="X1097" s="28" t="n">
        <v>1</v>
      </c>
      <c r="Y1097" s="28" t="n">
        <v>1</v>
      </c>
      <c r="Z1097" s="28" t="n">
        <v>1</v>
      </c>
      <c r="AA1097" s="28" t="n">
        <v>1</v>
      </c>
      <c r="AB1097" s="28" t="n">
        <v>1</v>
      </c>
      <c r="AC1097" s="28" t="n">
        <v>1</v>
      </c>
      <c r="AD1097" s="28" t="n">
        <v>1</v>
      </c>
      <c r="AE1097" s="28" t="n">
        <v>1</v>
      </c>
      <c r="AG1097" s="20" t="inlineStr">
        <is>
          <t>egy.mit.pav.las.all.jfu.3</t>
        </is>
      </c>
      <c r="AH1097" s="28" t="n">
        <v>1</v>
      </c>
      <c r="AI1097" s="28" t="n">
        <v>1</v>
      </c>
      <c r="AJ1097" s="28" t="n">
        <v>1</v>
      </c>
      <c r="AK1097" s="28" t="n">
        <v>1</v>
      </c>
      <c r="AL1097" s="28" t="n">
        <v>1</v>
      </c>
      <c r="AM1097" s="28" t="n">
        <v>1.201184722718287</v>
      </c>
      <c r="AN1097" s="28" t="n">
        <v>1.201184722718287</v>
      </c>
      <c r="AO1097" s="28" t="n">
        <v>1.201184722718287</v>
      </c>
      <c r="AP1097" s="28" t="n">
        <v>1.201184722718287</v>
      </c>
      <c r="AQ1097" s="28" t="n">
        <v>1.201184722718287</v>
      </c>
      <c r="AR1097" s="28" t="n">
        <v>1.201184722718287</v>
      </c>
      <c r="AS1097" s="28" t="n">
        <v>1.201184722718287</v>
      </c>
      <c r="AT1097" s="28" t="n">
        <v>1.201184722718287</v>
      </c>
      <c r="AU1097" s="28" t="n">
        <v>1.201184722718287</v>
      </c>
      <c r="AV1097" s="28" t="n">
        <v>1.201184722718287</v>
      </c>
      <c r="AW1097" s="28" t="n">
        <v>1.201184722718287</v>
      </c>
      <c r="AX1097" s="28" t="n">
        <v>1.201184722718287</v>
      </c>
      <c r="AY1097" s="28" t="n">
        <v>1.201184722718287</v>
      </c>
      <c r="AZ1097" s="28" t="n">
        <v>1.201184722718287</v>
      </c>
      <c r="BA1097" s="28" t="n">
        <v>1.201184722718287</v>
      </c>
      <c r="BC1097" s="20" t="inlineStr">
        <is>
          <t>egy.mit.pav.las.all.jfu.4</t>
        </is>
      </c>
      <c r="BD1097" s="28" t="n">
        <v>1</v>
      </c>
      <c r="BE1097" s="28" t="n">
        <v>1</v>
      </c>
      <c r="BF1097" s="28" t="n">
        <v>1</v>
      </c>
      <c r="BG1097" s="28" t="n">
        <v>1</v>
      </c>
      <c r="BH1097" s="28" t="n">
        <v>1</v>
      </c>
      <c r="BI1097" s="28" t="n">
        <v>1.100592361359144</v>
      </c>
      <c r="BJ1097" s="28" t="n">
        <v>1.234715509838002</v>
      </c>
      <c r="BK1097" s="28" t="n">
        <v>1.36883865831686</v>
      </c>
      <c r="BL1097" s="28" t="n">
        <v>1.502961806795718</v>
      </c>
      <c r="BM1097" s="28" t="n">
        <v>1.637084955274576</v>
      </c>
      <c r="BN1097" s="28" t="n">
        <v>1.771208103753434</v>
      </c>
      <c r="BO1097" s="28" t="n">
        <v>1.905331252232292</v>
      </c>
      <c r="BP1097" s="28" t="n">
        <v>2.039454400711149</v>
      </c>
      <c r="BQ1097" s="28" t="n">
        <v>2.173577549190008</v>
      </c>
      <c r="BR1097" s="28" t="n">
        <v>2.307700697668865</v>
      </c>
      <c r="BS1097" s="28" t="n">
        <v>2.441823846147724</v>
      </c>
      <c r="BT1097" s="28" t="n">
        <v>2.575946994626581</v>
      </c>
      <c r="BU1097" s="28" t="n">
        <v>2.710070143105439</v>
      </c>
      <c r="BV1097" s="28" t="n">
        <v>2.844193291584297</v>
      </c>
      <c r="BW1097" s="28" t="n">
        <v>2.978316440063155</v>
      </c>
      <c r="BY1097" s="20" t="inlineStr">
        <is>
          <t>egy.mit.pav.las.all.jfu.5</t>
        </is>
      </c>
      <c r="BZ1097" s="28" t="n">
        <v>1</v>
      </c>
      <c r="CA1097" s="28" t="n">
        <v>1</v>
      </c>
      <c r="CB1097" s="28" t="n">
        <v>1</v>
      </c>
      <c r="CC1097" s="28" t="n">
        <v>1</v>
      </c>
      <c r="CD1097" s="28" t="n">
        <v>1</v>
      </c>
      <c r="CE1097" s="28" t="n">
        <v>1.251480903397859</v>
      </c>
      <c r="CF1097" s="28" t="n">
        <v>1.251480903397859</v>
      </c>
      <c r="CG1097" s="28" t="n">
        <v>1.251480903397859</v>
      </c>
      <c r="CH1097" s="28" t="n">
        <v>1.251480903397859</v>
      </c>
      <c r="CI1097" s="28" t="n">
        <v>1.251480903397859</v>
      </c>
      <c r="CJ1097" s="28" t="n">
        <v>1.251480903397859</v>
      </c>
      <c r="CK1097" s="28" t="n">
        <v>1.251480903397859</v>
      </c>
      <c r="CL1097" s="28" t="n">
        <v>1.251480903397859</v>
      </c>
      <c r="CM1097" s="28" t="n">
        <v>1.251480903397859</v>
      </c>
      <c r="CN1097" s="28" t="n">
        <v>1.251480903397859</v>
      </c>
      <c r="CO1097" s="28" t="n">
        <v>1.251480903397859</v>
      </c>
      <c r="CP1097" s="28" t="n">
        <v>1.251480903397859</v>
      </c>
      <c r="CQ1097" s="28" t="n">
        <v>1.251480903397859</v>
      </c>
      <c r="CR1097" s="28" t="n">
        <v>1.251480903397859</v>
      </c>
      <c r="CS1097" s="28" t="n">
        <v>1.251480903397859</v>
      </c>
      <c r="CU1097" s="20" t="inlineStr">
        <is>
          <t>egy.mit.pav.las.all.jfu.6</t>
        </is>
      </c>
      <c r="CV1097" s="28" t="n">
        <v>1</v>
      </c>
      <c r="CW1097" s="28" t="n">
        <v>1</v>
      </c>
      <c r="CX1097" s="28" t="n">
        <v>1</v>
      </c>
      <c r="CY1097" s="28" t="n">
        <v>1</v>
      </c>
      <c r="CZ1097" s="28" t="n">
        <v>1</v>
      </c>
      <c r="DA1097" s="28" t="n">
        <v>1.502961806795718</v>
      </c>
      <c r="DB1097" s="28" t="n">
        <v>1.502961806795718</v>
      </c>
      <c r="DC1097" s="28" t="n">
        <v>1.502961806795718</v>
      </c>
      <c r="DD1097" s="28" t="n">
        <v>1.502961806795718</v>
      </c>
      <c r="DE1097" s="28" t="n">
        <v>1.502961806795718</v>
      </c>
      <c r="DF1097" s="28" t="n">
        <v>1.502961806795718</v>
      </c>
      <c r="DG1097" s="28" t="n">
        <v>1.502961806795718</v>
      </c>
      <c r="DH1097" s="28" t="n">
        <v>1.502961806795717</v>
      </c>
      <c r="DI1097" s="28" t="n">
        <v>1.502961806795717</v>
      </c>
      <c r="DJ1097" s="28" t="n">
        <v>1.502961806795717</v>
      </c>
      <c r="DK1097" s="28" t="n">
        <v>1.502961806795718</v>
      </c>
      <c r="DL1097" s="28" t="n">
        <v>1.502961806795717</v>
      </c>
      <c r="DM1097" s="28" t="n">
        <v>1.502961806795718</v>
      </c>
      <c r="DN1097" s="28" t="n">
        <v>1.502961806795717</v>
      </c>
      <c r="DO1097" s="28" t="n">
        <v>1.502961806795717</v>
      </c>
    </row>
    <row r="1098">
      <c r="A1098" s="19" t="inlineStr">
        <is>
          <t>mit.pav.las.all.oop</t>
        </is>
      </c>
      <c r="B1098" s="3" t="inlineStr">
        <is>
          <t>mit</t>
        </is>
      </c>
      <c r="C1098" s="19" t="n"/>
      <c r="H1098" s="3" t="inlineStr">
        <is>
          <t>Price index against scenario 1 (Laspeyres: scenario 1 quantities; scenario 1 = 1) | All sectors | Other oil products</t>
        </is>
      </c>
      <c r="I1098" s="3" t="inlineStr">
        <is>
          <t>index</t>
        </is>
      </c>
      <c r="K1098" s="20" t="inlineStr">
        <is>
          <t>egy.mit.pav.las.all.oop.1</t>
        </is>
      </c>
      <c r="L1098" s="28" t="n">
        <v>1</v>
      </c>
      <c r="M1098" s="28" t="n">
        <v>1</v>
      </c>
      <c r="N1098" s="28" t="n">
        <v>1</v>
      </c>
      <c r="O1098" s="28" t="n">
        <v>1</v>
      </c>
      <c r="P1098" s="28" t="n">
        <v>1</v>
      </c>
      <c r="Q1098" s="28" t="n">
        <v>1</v>
      </c>
      <c r="R1098" s="28" t="n">
        <v>1</v>
      </c>
      <c r="S1098" s="28" t="n">
        <v>1</v>
      </c>
      <c r="T1098" s="28" t="n">
        <v>1</v>
      </c>
      <c r="U1098" s="28" t="n">
        <v>1</v>
      </c>
      <c r="V1098" s="28" t="n">
        <v>1</v>
      </c>
      <c r="W1098" s="28" t="n">
        <v>1</v>
      </c>
      <c r="X1098" s="28" t="n">
        <v>1</v>
      </c>
      <c r="Y1098" s="28" t="n">
        <v>1</v>
      </c>
      <c r="Z1098" s="28" t="n">
        <v>1</v>
      </c>
      <c r="AA1098" s="28" t="n">
        <v>1</v>
      </c>
      <c r="AB1098" s="28" t="n">
        <v>1</v>
      </c>
      <c r="AC1098" s="28" t="n">
        <v>1</v>
      </c>
      <c r="AD1098" s="28" t="n">
        <v>1</v>
      </c>
      <c r="AE1098" s="28" t="n">
        <v>1</v>
      </c>
      <c r="AG1098" s="20" t="inlineStr">
        <is>
          <t>egy.mit.pav.las.all.oop.3</t>
        </is>
      </c>
      <c r="AH1098" s="28" t="n">
        <v>1</v>
      </c>
      <c r="AI1098" s="28" t="n">
        <v>1</v>
      </c>
      <c r="AJ1098" s="28" t="n">
        <v>1</v>
      </c>
      <c r="AK1098" s="28" t="n">
        <v>1</v>
      </c>
      <c r="AL1098" s="28" t="n">
        <v>1</v>
      </c>
      <c r="AM1098" s="28" t="n">
        <v>1.350404742090869</v>
      </c>
      <c r="AN1098" s="28" t="n">
        <v>1.350409473742593</v>
      </c>
      <c r="AO1098" s="28" t="n">
        <v>1.350414189915557</v>
      </c>
      <c r="AP1098" s="28" t="n">
        <v>1.35041889064856</v>
      </c>
      <c r="AQ1098" s="28" t="n">
        <v>1.350423575980385</v>
      </c>
      <c r="AR1098" s="28" t="n">
        <v>1.350428245949807</v>
      </c>
      <c r="AS1098" s="28" t="n">
        <v>1.350432900595588</v>
      </c>
      <c r="AT1098" s="28" t="n">
        <v>1.350437539956475</v>
      </c>
      <c r="AU1098" s="28" t="n">
        <v>1.350442164071206</v>
      </c>
      <c r="AV1098" s="28" t="n">
        <v>1.350446772978499</v>
      </c>
      <c r="AW1098" s="28" t="n">
        <v>1.350451366717063</v>
      </c>
      <c r="AX1098" s="28" t="n">
        <v>1.350455945325585</v>
      </c>
      <c r="AY1098" s="28" t="n">
        <v>1.350460508842739</v>
      </c>
      <c r="AZ1098" s="28" t="n">
        <v>1.350465057307184</v>
      </c>
      <c r="BA1098" s="28" t="n">
        <v>1.350469590757556</v>
      </c>
      <c r="BC1098" s="20" t="inlineStr">
        <is>
          <t>egy.mit.pav.las.all.oop.4</t>
        </is>
      </c>
      <c r="BD1098" s="28" t="n">
        <v>1</v>
      </c>
      <c r="BE1098" s="28" t="n">
        <v>1</v>
      </c>
      <c r="BF1098" s="28" t="n">
        <v>1</v>
      </c>
      <c r="BG1098" s="28" t="n">
        <v>1</v>
      </c>
      <c r="BH1098" s="28" t="n">
        <v>1</v>
      </c>
      <c r="BI1098" s="28" t="n">
        <v>1.175202371045435</v>
      </c>
      <c r="BJ1098" s="28" t="n">
        <v>1.408811052699692</v>
      </c>
      <c r="BK1098" s="28" t="n">
        <v>1.642426014845189</v>
      </c>
      <c r="BL1098" s="28" t="n">
        <v>1.876047226621399</v>
      </c>
      <c r="BM1098" s="28" t="n">
        <v>2.109674657271219</v>
      </c>
      <c r="BN1098" s="28" t="n">
        <v>2.343308276140927</v>
      </c>
      <c r="BO1098" s="28" t="n">
        <v>2.576948052680144</v>
      </c>
      <c r="BP1098" s="28" t="n">
        <v>2.810593956441789</v>
      </c>
      <c r="BQ1098" s="28" t="n">
        <v>3.044245957082034</v>
      </c>
      <c r="BR1098" s="28" t="n">
        <v>3.277904024360248</v>
      </c>
      <c r="BS1098" s="28" t="n">
        <v>3.51156812813895</v>
      </c>
      <c r="BT1098" s="28" t="n">
        <v>3.745238238383747</v>
      </c>
      <c r="BU1098" s="28" t="n">
        <v>3.978914325163288</v>
      </c>
      <c r="BV1098" s="28" t="n">
        <v>4.212596358649187</v>
      </c>
      <c r="BW1098" s="28" t="n">
        <v>4.446284309115971</v>
      </c>
      <c r="BY1098" s="20" t="inlineStr">
        <is>
          <t>egy.mit.pav.las.all.oop.5</t>
        </is>
      </c>
      <c r="BZ1098" s="28" t="n">
        <v>1</v>
      </c>
      <c r="CA1098" s="28" t="n">
        <v>1</v>
      </c>
      <c r="CB1098" s="28" t="n">
        <v>1</v>
      </c>
      <c r="CC1098" s="28" t="n">
        <v>1</v>
      </c>
      <c r="CD1098" s="28" t="n">
        <v>1</v>
      </c>
      <c r="CE1098" s="28" t="n">
        <v>1.438005927613587</v>
      </c>
      <c r="CF1098" s="28" t="n">
        <v>1.438011842178241</v>
      </c>
      <c r="CG1098" s="28" t="n">
        <v>1.438017737394447</v>
      </c>
      <c r="CH1098" s="28" t="n">
        <v>1.4380236133107</v>
      </c>
      <c r="CI1098" s="28" t="n">
        <v>1.438029469975481</v>
      </c>
      <c r="CJ1098" s="28" t="n">
        <v>1.438035307437259</v>
      </c>
      <c r="CK1098" s="28" t="n">
        <v>1.438041125744485</v>
      </c>
      <c r="CL1098" s="28" t="n">
        <v>1.438046924945594</v>
      </c>
      <c r="CM1098" s="28" t="n">
        <v>1.438052705089007</v>
      </c>
      <c r="CN1098" s="28" t="n">
        <v>1.438058466223124</v>
      </c>
      <c r="CO1098" s="28" t="n">
        <v>1.438064208396328</v>
      </c>
      <c r="CP1098" s="28" t="n">
        <v>1.438069931656981</v>
      </c>
      <c r="CQ1098" s="28" t="n">
        <v>1.438075636053425</v>
      </c>
      <c r="CR1098" s="28" t="n">
        <v>1.43808132163398</v>
      </c>
      <c r="CS1098" s="28" t="n">
        <v>1.438086988446945</v>
      </c>
      <c r="CU1098" s="20" t="inlineStr">
        <is>
          <t>egy.mit.pav.las.all.oop.6</t>
        </is>
      </c>
      <c r="CV1098" s="28" t="n">
        <v>1</v>
      </c>
      <c r="CW1098" s="28" t="n">
        <v>1</v>
      </c>
      <c r="CX1098" s="28" t="n">
        <v>1</v>
      </c>
      <c r="CY1098" s="28" t="n">
        <v>1</v>
      </c>
      <c r="CZ1098" s="28" t="n">
        <v>1</v>
      </c>
      <c r="DA1098" s="28" t="n">
        <v>1.876011855227174</v>
      </c>
      <c r="DB1098" s="28" t="n">
        <v>1.876023684356482</v>
      </c>
      <c r="DC1098" s="28" t="n">
        <v>1.876035474788894</v>
      </c>
      <c r="DD1098" s="28" t="n">
        <v>1.876047226621399</v>
      </c>
      <c r="DE1098" s="28" t="n">
        <v>1.876058939950962</v>
      </c>
      <c r="DF1098" s="28" t="n">
        <v>1.876070614874517</v>
      </c>
      <c r="DG1098" s="28" t="n">
        <v>1.876082251488969</v>
      </c>
      <c r="DH1098" s="28" t="n">
        <v>1.876093849891188</v>
      </c>
      <c r="DI1098" s="28" t="n">
        <v>1.876105410178014</v>
      </c>
      <c r="DJ1098" s="28" t="n">
        <v>1.876116932446249</v>
      </c>
      <c r="DK1098" s="28" t="n">
        <v>1.876128416792657</v>
      </c>
      <c r="DL1098" s="28" t="n">
        <v>1.876139863313962</v>
      </c>
      <c r="DM1098" s="28" t="n">
        <v>1.876151272106849</v>
      </c>
      <c r="DN1098" s="28" t="n">
        <v>1.87616264326796</v>
      </c>
      <c r="DO1098" s="28" t="n">
        <v>1.87617397689389</v>
      </c>
    </row>
    <row r="1099">
      <c r="A1099" s="19" t="inlineStr">
        <is>
          <t>mit.pav.las.all.bio</t>
        </is>
      </c>
      <c r="B1099" s="3" t="inlineStr">
        <is>
          <t>mit</t>
        </is>
      </c>
      <c r="C1099" s="19" t="n"/>
      <c r="H1099" s="3" t="inlineStr">
        <is>
          <t>Price index against scenario 1 (Laspeyres: scenario 1 quantities; scenario 1 = 1) | All sectors | Biomass</t>
        </is>
      </c>
      <c r="I1099" s="3" t="inlineStr">
        <is>
          <t>index</t>
        </is>
      </c>
      <c r="K1099" s="20" t="inlineStr">
        <is>
          <t>egy.mit.pav.las.all.bio.1</t>
        </is>
      </c>
      <c r="L1099" s="28" t="n">
        <v>1</v>
      </c>
      <c r="M1099" s="28" t="n">
        <v>1</v>
      </c>
      <c r="N1099" s="28" t="n">
        <v>1</v>
      </c>
      <c r="O1099" s="28" t="n">
        <v>1</v>
      </c>
      <c r="P1099" s="28" t="n">
        <v>1</v>
      </c>
      <c r="Q1099" s="28" t="n">
        <v>1</v>
      </c>
      <c r="R1099" s="28" t="n">
        <v>1</v>
      </c>
      <c r="S1099" s="28" t="n">
        <v>1</v>
      </c>
      <c r="T1099" s="28" t="n">
        <v>1</v>
      </c>
      <c r="U1099" s="28" t="n">
        <v>1</v>
      </c>
      <c r="V1099" s="28" t="n">
        <v>1</v>
      </c>
      <c r="W1099" s="28" t="n">
        <v>1</v>
      </c>
      <c r="X1099" s="28" t="n">
        <v>1</v>
      </c>
      <c r="Y1099" s="28" t="n">
        <v>1</v>
      </c>
      <c r="Z1099" s="28" t="n">
        <v>1</v>
      </c>
      <c r="AA1099" s="28" t="n">
        <v>1</v>
      </c>
      <c r="AB1099" s="28" t="n">
        <v>1</v>
      </c>
      <c r="AC1099" s="28" t="n">
        <v>1</v>
      </c>
      <c r="AD1099" s="28" t="n">
        <v>1</v>
      </c>
      <c r="AE1099" s="28" t="n">
        <v>1</v>
      </c>
      <c r="AG1099" s="20" t="inlineStr">
        <is>
          <t>egy.mit.pav.las.all.bio.3</t>
        </is>
      </c>
      <c r="AH1099" s="28" t="n">
        <v>1</v>
      </c>
      <c r="AI1099" s="28" t="n">
        <v>1</v>
      </c>
      <c r="AJ1099" s="28" t="n">
        <v>1</v>
      </c>
      <c r="AK1099" s="28" t="n">
        <v>1</v>
      </c>
      <c r="AL1099" s="28" t="n">
        <v>1</v>
      </c>
      <c r="AM1099" s="28" t="n">
        <v>1</v>
      </c>
      <c r="AN1099" s="28" t="n">
        <v>1</v>
      </c>
      <c r="AO1099" s="28" t="n">
        <v>1</v>
      </c>
      <c r="AP1099" s="28" t="n">
        <v>1</v>
      </c>
      <c r="AQ1099" s="28" t="n">
        <v>1</v>
      </c>
      <c r="AR1099" s="28" t="n">
        <v>1</v>
      </c>
      <c r="AS1099" s="28" t="n">
        <v>1</v>
      </c>
      <c r="AT1099" s="28" t="n">
        <v>1</v>
      </c>
      <c r="AU1099" s="28" t="n">
        <v>1</v>
      </c>
      <c r="AV1099" s="28" t="n">
        <v>1</v>
      </c>
      <c r="AW1099" s="28" t="n">
        <v>1</v>
      </c>
      <c r="AX1099" s="28" t="n">
        <v>1</v>
      </c>
      <c r="AY1099" s="28" t="n">
        <v>1</v>
      </c>
      <c r="AZ1099" s="28" t="n">
        <v>1</v>
      </c>
      <c r="BA1099" s="28" t="n">
        <v>1</v>
      </c>
      <c r="BC1099" s="20" t="inlineStr">
        <is>
          <t>egy.mit.pav.las.all.bio.4</t>
        </is>
      </c>
      <c r="BD1099" s="28" t="n">
        <v>1</v>
      </c>
      <c r="BE1099" s="28" t="n">
        <v>1</v>
      </c>
      <c r="BF1099" s="28" t="n">
        <v>1</v>
      </c>
      <c r="BG1099" s="28" t="n">
        <v>1</v>
      </c>
      <c r="BH1099" s="28" t="n">
        <v>1</v>
      </c>
      <c r="BI1099" s="28" t="n">
        <v>1</v>
      </c>
      <c r="BJ1099" s="28" t="n">
        <v>1</v>
      </c>
      <c r="BK1099" s="28" t="n">
        <v>1</v>
      </c>
      <c r="BL1099" s="28" t="n">
        <v>1</v>
      </c>
      <c r="BM1099" s="28" t="n">
        <v>1</v>
      </c>
      <c r="BN1099" s="28" t="n">
        <v>1</v>
      </c>
      <c r="BO1099" s="28" t="n">
        <v>1</v>
      </c>
      <c r="BP1099" s="28" t="n">
        <v>1</v>
      </c>
      <c r="BQ1099" s="28" t="n">
        <v>1</v>
      </c>
      <c r="BR1099" s="28" t="n">
        <v>1</v>
      </c>
      <c r="BS1099" s="28" t="n">
        <v>1</v>
      </c>
      <c r="BT1099" s="28" t="n">
        <v>1</v>
      </c>
      <c r="BU1099" s="28" t="n">
        <v>1</v>
      </c>
      <c r="BV1099" s="28" t="n">
        <v>1</v>
      </c>
      <c r="BW1099" s="28" t="n">
        <v>1</v>
      </c>
      <c r="BY1099" s="20" t="inlineStr">
        <is>
          <t>egy.mit.pav.las.all.bio.5</t>
        </is>
      </c>
      <c r="BZ1099" s="28" t="n">
        <v>1</v>
      </c>
      <c r="CA1099" s="28" t="n">
        <v>1</v>
      </c>
      <c r="CB1099" s="28" t="n">
        <v>1</v>
      </c>
      <c r="CC1099" s="28" t="n">
        <v>1</v>
      </c>
      <c r="CD1099" s="28" t="n">
        <v>1</v>
      </c>
      <c r="CE1099" s="28" t="n">
        <v>1</v>
      </c>
      <c r="CF1099" s="28" t="n">
        <v>1</v>
      </c>
      <c r="CG1099" s="28" t="n">
        <v>1</v>
      </c>
      <c r="CH1099" s="28" t="n">
        <v>1</v>
      </c>
      <c r="CI1099" s="28" t="n">
        <v>1</v>
      </c>
      <c r="CJ1099" s="28" t="n">
        <v>1</v>
      </c>
      <c r="CK1099" s="28" t="n">
        <v>1</v>
      </c>
      <c r="CL1099" s="28" t="n">
        <v>1</v>
      </c>
      <c r="CM1099" s="28" t="n">
        <v>1</v>
      </c>
      <c r="CN1099" s="28" t="n">
        <v>1</v>
      </c>
      <c r="CO1099" s="28" t="n">
        <v>1</v>
      </c>
      <c r="CP1099" s="28" t="n">
        <v>1</v>
      </c>
      <c r="CQ1099" s="28" t="n">
        <v>1</v>
      </c>
      <c r="CR1099" s="28" t="n">
        <v>1</v>
      </c>
      <c r="CS1099" s="28" t="n">
        <v>1</v>
      </c>
      <c r="CU1099" s="20" t="inlineStr">
        <is>
          <t>egy.mit.pav.las.all.bio.6</t>
        </is>
      </c>
      <c r="CV1099" s="28" t="n">
        <v>1</v>
      </c>
      <c r="CW1099" s="28" t="n">
        <v>1</v>
      </c>
      <c r="CX1099" s="28" t="n">
        <v>1</v>
      </c>
      <c r="CY1099" s="28" t="n">
        <v>1</v>
      </c>
      <c r="CZ1099" s="28" t="n">
        <v>1</v>
      </c>
      <c r="DA1099" s="28" t="n">
        <v>1</v>
      </c>
      <c r="DB1099" s="28" t="n">
        <v>1</v>
      </c>
      <c r="DC1099" s="28" t="n">
        <v>1</v>
      </c>
      <c r="DD1099" s="28" t="n">
        <v>1</v>
      </c>
      <c r="DE1099" s="28" t="n">
        <v>1</v>
      </c>
      <c r="DF1099" s="28" t="n">
        <v>1</v>
      </c>
      <c r="DG1099" s="28" t="n">
        <v>1</v>
      </c>
      <c r="DH1099" s="28" t="n">
        <v>1</v>
      </c>
      <c r="DI1099" s="28" t="n">
        <v>1</v>
      </c>
      <c r="DJ1099" s="28" t="n">
        <v>1</v>
      </c>
      <c r="DK1099" s="28" t="n">
        <v>1</v>
      </c>
      <c r="DL1099" s="28" t="n">
        <v>1</v>
      </c>
      <c r="DM1099" s="28" t="n">
        <v>1</v>
      </c>
      <c r="DN1099" s="28" t="n">
        <v>1</v>
      </c>
      <c r="DO1099" s="28" t="n">
        <v>1</v>
      </c>
    </row>
    <row r="1100">
      <c r="A1100" s="19" t="inlineStr">
        <is>
          <t>mit.pav.las.all.ecy</t>
        </is>
      </c>
      <c r="B1100" s="3" t="inlineStr">
        <is>
          <t>mit</t>
        </is>
      </c>
      <c r="C1100" s="19" t="n"/>
      <c r="H1100" s="3" t="inlineStr">
        <is>
          <t>Price index against scenario 1 (Laspeyres: scenario 1 quantities; scenario 1 = 1) | All sectors | Electricity</t>
        </is>
      </c>
      <c r="I1100" s="3" t="inlineStr">
        <is>
          <t>index</t>
        </is>
      </c>
      <c r="K1100" s="20" t="inlineStr">
        <is>
          <t>egy.mit.pav.las.all.ecy.1</t>
        </is>
      </c>
      <c r="L1100" s="28" t="n">
        <v>1</v>
      </c>
      <c r="M1100" s="28" t="n">
        <v>1</v>
      </c>
      <c r="N1100" s="28" t="n">
        <v>1</v>
      </c>
      <c r="O1100" s="28" t="n">
        <v>1</v>
      </c>
      <c r="P1100" s="28" t="n">
        <v>1</v>
      </c>
      <c r="Q1100" s="28" t="n">
        <v>1</v>
      </c>
      <c r="R1100" s="28" t="n">
        <v>1</v>
      </c>
      <c r="S1100" s="28" t="n">
        <v>1</v>
      </c>
      <c r="T1100" s="28" t="n">
        <v>1</v>
      </c>
      <c r="U1100" s="28" t="n">
        <v>1</v>
      </c>
      <c r="V1100" s="28" t="n">
        <v>1</v>
      </c>
      <c r="W1100" s="28" t="n">
        <v>1</v>
      </c>
      <c r="X1100" s="28" t="n">
        <v>1</v>
      </c>
      <c r="Y1100" s="28" t="n">
        <v>1</v>
      </c>
      <c r="Z1100" s="28" t="n">
        <v>1</v>
      </c>
      <c r="AA1100" s="28" t="n">
        <v>1</v>
      </c>
      <c r="AB1100" s="28" t="n">
        <v>1</v>
      </c>
      <c r="AC1100" s="28" t="n">
        <v>1</v>
      </c>
      <c r="AD1100" s="28" t="n">
        <v>1</v>
      </c>
      <c r="AE1100" s="28" t="n">
        <v>1</v>
      </c>
      <c r="AG1100" s="20" t="inlineStr">
        <is>
          <t>egy.mit.pav.las.all.ecy.3</t>
        </is>
      </c>
      <c r="AH1100" s="28" t="n">
        <v>1</v>
      </c>
      <c r="AI1100" s="28" t="n">
        <v>1</v>
      </c>
      <c r="AJ1100" s="28" t="n">
        <v>1</v>
      </c>
      <c r="AK1100" s="28" t="n">
        <v>1.000032125172222</v>
      </c>
      <c r="AL1100" s="28" t="n">
        <v>1.000080885416174</v>
      </c>
      <c r="AM1100" s="28" t="n">
        <v>1.18745963512723</v>
      </c>
      <c r="AN1100" s="28" t="n">
        <v>1.182802208849235</v>
      </c>
      <c r="AO1100" s="28" t="n">
        <v>1.197341866269237</v>
      </c>
      <c r="AP1100" s="28" t="n">
        <v>1.16690094300014</v>
      </c>
      <c r="AQ1100" s="28" t="n">
        <v>1.157490375548141</v>
      </c>
      <c r="AR1100" s="28" t="n">
        <v>1.150601015753832</v>
      </c>
      <c r="AS1100" s="28" t="n">
        <v>1.147538030573299</v>
      </c>
      <c r="AT1100" s="28" t="n">
        <v>1.143553049378152</v>
      </c>
      <c r="AU1100" s="28" t="n">
        <v>1.139906426640105</v>
      </c>
      <c r="AV1100" s="28" t="n">
        <v>1.136861901372441</v>
      </c>
      <c r="AW1100" s="28" t="n">
        <v>1.134071689434101</v>
      </c>
      <c r="AX1100" s="28" t="n">
        <v>1.131444908176416</v>
      </c>
      <c r="AY1100" s="28" t="n">
        <v>1.129048420189378</v>
      </c>
      <c r="AZ1100" s="28" t="n">
        <v>1.126819917528636</v>
      </c>
      <c r="BA1100" s="28" t="n">
        <v>1.124794774181928</v>
      </c>
      <c r="BC1100" s="20" t="inlineStr">
        <is>
          <t>egy.mit.pav.las.all.ecy.4</t>
        </is>
      </c>
      <c r="BD1100" s="28" t="n">
        <v>1</v>
      </c>
      <c r="BE1100" s="28" t="n">
        <v>1</v>
      </c>
      <c r="BF1100" s="28" t="n">
        <v>1</v>
      </c>
      <c r="BG1100" s="28" t="n">
        <v>1.000107076385728</v>
      </c>
      <c r="BH1100" s="28" t="n">
        <v>1.00027283315205</v>
      </c>
      <c r="BI1100" s="28" t="n">
        <v>1.093952993215007</v>
      </c>
      <c r="BJ1100" s="28" t="n">
        <v>1.214355131512086</v>
      </c>
      <c r="BK1100" s="28" t="n">
        <v>1.325693300137019</v>
      </c>
      <c r="BL1100" s="28" t="n">
        <v>1.403345859033386</v>
      </c>
      <c r="BM1100" s="28" t="n">
        <v>1.4830875144478</v>
      </c>
      <c r="BN1100" s="28" t="n">
        <v>1.593133377892894</v>
      </c>
      <c r="BO1100" s="28" t="n">
        <v>1.701623245281743</v>
      </c>
      <c r="BP1100" s="28" t="n">
        <v>1.791910119256976</v>
      </c>
      <c r="BQ1100" s="28" t="n">
        <v>1.879471155795464</v>
      </c>
      <c r="BR1100" s="28" t="n">
        <v>1.945431616623929</v>
      </c>
      <c r="BS1100" s="28" t="n">
        <v>2.011577109476931</v>
      </c>
      <c r="BT1100" s="28" t="n">
        <v>2.053258611829383</v>
      </c>
      <c r="BU1100" s="28" t="n">
        <v>2.10171529930263</v>
      </c>
      <c r="BV1100" s="28" t="n">
        <v>2.119246721901107</v>
      </c>
      <c r="BW1100" s="28" t="n">
        <v>2.158491370071844</v>
      </c>
      <c r="BY1100" s="20" t="inlineStr">
        <is>
          <t>egy.mit.pav.las.all.ecy.5</t>
        </is>
      </c>
      <c r="BZ1100" s="28" t="n">
        <v>1</v>
      </c>
      <c r="CA1100" s="28" t="n">
        <v>1</v>
      </c>
      <c r="CB1100" s="28" t="n">
        <v>1</v>
      </c>
      <c r="CC1100" s="28" t="n">
        <v>1.000183897146473</v>
      </c>
      <c r="CD1100" s="28" t="n">
        <v>1.000467082041089</v>
      </c>
      <c r="CE1100" s="28" t="n">
        <v>1.000652642595332</v>
      </c>
      <c r="CF1100" s="28" t="n">
        <v>1.000841221862322</v>
      </c>
      <c r="CG1100" s="28" t="n">
        <v>1.001027783935585</v>
      </c>
      <c r="CH1100" s="28" t="n">
        <v>1.001063454375363</v>
      </c>
      <c r="CI1100" s="28" t="n">
        <v>1.001368228117695</v>
      </c>
      <c r="CJ1100" s="28" t="n">
        <v>0.9996882531719877</v>
      </c>
      <c r="CK1100" s="28" t="n">
        <v>0.9973115081232645</v>
      </c>
      <c r="CL1100" s="28" t="n">
        <v>0.9956678578991226</v>
      </c>
      <c r="CM1100" s="28" t="n">
        <v>0.9898975318536263</v>
      </c>
      <c r="CN1100" s="28" t="n">
        <v>0.9854783696762549</v>
      </c>
      <c r="CO1100" s="28" t="n">
        <v>0.98107293308531</v>
      </c>
      <c r="CP1100" s="28" t="n">
        <v>0.9763804424984935</v>
      </c>
      <c r="CQ1100" s="28" t="n">
        <v>0.9724765664217971</v>
      </c>
      <c r="CR1100" s="28" t="n">
        <v>0.9689567396224978</v>
      </c>
      <c r="CS1100" s="28" t="n">
        <v>0.9655911149419041</v>
      </c>
      <c r="CU1100" s="20" t="inlineStr">
        <is>
          <t>egy.mit.pav.las.all.ecy.6</t>
        </is>
      </c>
      <c r="CV1100" s="28" t="n">
        <v>1</v>
      </c>
      <c r="CW1100" s="28" t="n">
        <v>1</v>
      </c>
      <c r="CX1100" s="28" t="n">
        <v>1</v>
      </c>
      <c r="CY1100" s="28" t="n">
        <v>1.000075004935302</v>
      </c>
      <c r="CZ1100" s="28" t="n">
        <v>1.000190122728225</v>
      </c>
      <c r="DA1100" s="28" t="n">
        <v>1.468345472663168</v>
      </c>
      <c r="DB1100" s="28" t="n">
        <v>1.450750290205699</v>
      </c>
      <c r="DC1100" s="28" t="n">
        <v>1.485794010526314</v>
      </c>
      <c r="DD1100" s="28" t="n">
        <v>1.43842779339901</v>
      </c>
      <c r="DE1100" s="28" t="n">
        <v>1.396971138195364</v>
      </c>
      <c r="DF1100" s="28" t="n">
        <v>1.378321057187836</v>
      </c>
      <c r="DG1100" s="28" t="n">
        <v>1.357913828066453</v>
      </c>
      <c r="DH1100" s="28" t="n">
        <v>1.329745672156612</v>
      </c>
      <c r="DI1100" s="28" t="n">
        <v>1.30534169740148</v>
      </c>
      <c r="DJ1100" s="28" t="n">
        <v>1.280844055054783</v>
      </c>
      <c r="DK1100" s="28" t="n">
        <v>1.260101983915611</v>
      </c>
      <c r="DL1100" s="28" t="n">
        <v>1.239359085987679</v>
      </c>
      <c r="DM1100" s="28" t="n">
        <v>1.22244337299026</v>
      </c>
      <c r="DN1100" s="28" t="n">
        <v>1.205908547192123</v>
      </c>
      <c r="DO1100" s="28" t="n">
        <v>1.192566965535364</v>
      </c>
    </row>
    <row r="1101">
      <c r="A1101" s="19" t="inlineStr">
        <is>
          <t>mit.pav.las.all.all</t>
        </is>
      </c>
      <c r="B1101" s="3" t="inlineStr">
        <is>
          <t>mit</t>
        </is>
      </c>
      <c r="C1101" s="19" t="n"/>
      <c r="H1101" s="3" t="inlineStr">
        <is>
          <t>Price index against scenario 1 (Laspeyres: scenario 1 quantities; scenario 1 = 1) | All sectors | All fuels</t>
        </is>
      </c>
      <c r="I1101" s="3" t="inlineStr">
        <is>
          <t>index</t>
        </is>
      </c>
      <c r="K1101" s="20" t="inlineStr">
        <is>
          <t>egy.mit.pav.las.all.all.1</t>
        </is>
      </c>
      <c r="L1101" s="28" t="n">
        <v>1</v>
      </c>
      <c r="M1101" s="28" t="n">
        <v>1</v>
      </c>
      <c r="N1101" s="28" t="n">
        <v>1</v>
      </c>
      <c r="O1101" s="28" t="n">
        <v>1</v>
      </c>
      <c r="P1101" s="28" t="n">
        <v>1</v>
      </c>
      <c r="Q1101" s="28" t="n">
        <v>1</v>
      </c>
      <c r="R1101" s="28" t="n">
        <v>1</v>
      </c>
      <c r="S1101" s="28" t="n">
        <v>1</v>
      </c>
      <c r="T1101" s="28" t="n">
        <v>1</v>
      </c>
      <c r="U1101" s="28" t="n">
        <v>1</v>
      </c>
      <c r="V1101" s="28" t="n">
        <v>1</v>
      </c>
      <c r="W1101" s="28" t="n">
        <v>1</v>
      </c>
      <c r="X1101" s="28" t="n">
        <v>1</v>
      </c>
      <c r="Y1101" s="28" t="n">
        <v>1</v>
      </c>
      <c r="Z1101" s="28" t="n">
        <v>1</v>
      </c>
      <c r="AA1101" s="28" t="n">
        <v>1</v>
      </c>
      <c r="AB1101" s="28" t="n">
        <v>1</v>
      </c>
      <c r="AC1101" s="28" t="n">
        <v>1</v>
      </c>
      <c r="AD1101" s="28" t="n">
        <v>1</v>
      </c>
      <c r="AE1101" s="28" t="n">
        <v>1</v>
      </c>
      <c r="AG1101" s="20" t="inlineStr">
        <is>
          <t>egy.mit.pav.las.all.all.3</t>
        </is>
      </c>
      <c r="AH1101" s="28" t="n">
        <v>1</v>
      </c>
      <c r="AI1101" s="28" t="n">
        <v>1</v>
      </c>
      <c r="AJ1101" s="28" t="n">
        <v>1</v>
      </c>
      <c r="AK1101" s="28" t="n">
        <v>1.000012868247356</v>
      </c>
      <c r="AL1101" s="28" t="n">
        <v>1.000032888931455</v>
      </c>
      <c r="AM1101" s="28" t="n">
        <v>1.199606678569068</v>
      </c>
      <c r="AN1101" s="28" t="n">
        <v>1.197789127910597</v>
      </c>
      <c r="AO1101" s="28" t="n">
        <v>1.203926732376032</v>
      </c>
      <c r="AP1101" s="28" t="n">
        <v>1.191043208410299</v>
      </c>
      <c r="AQ1101" s="28" t="n">
        <v>1.186917344188013</v>
      </c>
      <c r="AR1101" s="28" t="n">
        <v>1.184335752537008</v>
      </c>
      <c r="AS1101" s="28" t="n">
        <v>1.183095163749585</v>
      </c>
      <c r="AT1101" s="28" t="n">
        <v>1.181488413782334</v>
      </c>
      <c r="AU1101" s="28" t="n">
        <v>1.179995594739913</v>
      </c>
      <c r="AV1101" s="28" t="n">
        <v>1.178749076106744</v>
      </c>
      <c r="AW1101" s="28" t="n">
        <v>1.177599339769482</v>
      </c>
      <c r="AX1101" s="28" t="n">
        <v>1.176508655841175</v>
      </c>
      <c r="AY1101" s="28" t="n">
        <v>1.175507855101517</v>
      </c>
      <c r="AZ1101" s="28" t="n">
        <v>1.174570494312886</v>
      </c>
      <c r="BA1101" s="28" t="n">
        <v>1.17371351630934</v>
      </c>
      <c r="BC1101" s="20" t="inlineStr">
        <is>
          <t>egy.mit.pav.las.all.all.4</t>
        </is>
      </c>
      <c r="BD1101" s="28" t="n">
        <v>1</v>
      </c>
      <c r="BE1101" s="28" t="n">
        <v>1</v>
      </c>
      <c r="BF1101" s="28" t="n">
        <v>1</v>
      </c>
      <c r="BG1101" s="28" t="n">
        <v>1.000042891144928</v>
      </c>
      <c r="BH1101" s="28" t="n">
        <v>1.000110937067038</v>
      </c>
      <c r="BI1101" s="28" t="n">
        <v>1.099895351871024</v>
      </c>
      <c r="BJ1101" s="28" t="n">
        <v>1.231205145748927</v>
      </c>
      <c r="BK1101" s="28" t="n">
        <v>1.358623044915157</v>
      </c>
      <c r="BL1101" s="28" t="n">
        <v>1.471672886103193</v>
      </c>
      <c r="BM1101" s="28" t="n">
        <v>1.585153590731548</v>
      </c>
      <c r="BN1101" s="28" t="n">
        <v>1.713381711787687</v>
      </c>
      <c r="BO1101" s="28" t="n">
        <v>1.840058614407191</v>
      </c>
      <c r="BP1101" s="28" t="n">
        <v>1.95918337495004</v>
      </c>
      <c r="BQ1101" s="28" t="n">
        <v>2.077121007954243</v>
      </c>
      <c r="BR1101" s="28" t="n">
        <v>2.185826301699114</v>
      </c>
      <c r="BS1101" s="28" t="n">
        <v>2.294598808803042</v>
      </c>
      <c r="BT1101" s="28" t="n">
        <v>2.39281468516824</v>
      </c>
      <c r="BU1101" s="28" t="n">
        <v>2.493888655804221</v>
      </c>
      <c r="BV1101" s="28" t="n">
        <v>2.581532180661938</v>
      </c>
      <c r="BW1101" s="28" t="n">
        <v>2.678458119342468</v>
      </c>
      <c r="BY1101" s="20" t="inlineStr">
        <is>
          <t>egy.mit.pav.las.all.all.5</t>
        </is>
      </c>
      <c r="BZ1101" s="28" t="n">
        <v>1</v>
      </c>
      <c r="CA1101" s="28" t="n">
        <v>1</v>
      </c>
      <c r="CB1101" s="28" t="n">
        <v>1</v>
      </c>
      <c r="CC1101" s="28" t="n">
        <v>1.000073662919303</v>
      </c>
      <c r="CD1101" s="28" t="n">
        <v>1.000189920877705</v>
      </c>
      <c r="CE1101" s="28" t="n">
        <v>1.138598607032035</v>
      </c>
      <c r="CF1101" s="28" t="n">
        <v>1.138043440045324</v>
      </c>
      <c r="CG1101" s="28" t="n">
        <v>1.136641042029019</v>
      </c>
      <c r="CH1101" s="28" t="n">
        <v>1.135680368207324</v>
      </c>
      <c r="CI1101" s="28" t="n">
        <v>1.134701065988593</v>
      </c>
      <c r="CJ1101" s="28" t="n">
        <v>1.135169309362051</v>
      </c>
      <c r="CK1101" s="28" t="n">
        <v>1.134051723213534</v>
      </c>
      <c r="CL1101" s="28" t="n">
        <v>1.133374199555735</v>
      </c>
      <c r="CM1101" s="28" t="n">
        <v>1.13083197608045</v>
      </c>
      <c r="CN1101" s="28" t="n">
        <v>1.128842308157353</v>
      </c>
      <c r="CO1101" s="28" t="n">
        <v>1.126830028889049</v>
      </c>
      <c r="CP1101" s="28" t="n">
        <v>1.124669500964505</v>
      </c>
      <c r="CQ1101" s="28" t="n">
        <v>1.122829825370612</v>
      </c>
      <c r="CR1101" s="28" t="n">
        <v>1.121138038069771</v>
      </c>
      <c r="CS1101" s="28" t="n">
        <v>1.119499569499246</v>
      </c>
      <c r="CU1101" s="20" t="inlineStr">
        <is>
          <t>egy.mit.pav.las.all.all.6</t>
        </is>
      </c>
      <c r="CV1101" s="28" t="n">
        <v>1</v>
      </c>
      <c r="CW1101" s="28" t="n">
        <v>1</v>
      </c>
      <c r="CX1101" s="28" t="n">
        <v>1</v>
      </c>
      <c r="CY1101" s="28" t="n">
        <v>1.000030044416689</v>
      </c>
      <c r="CZ1101" s="28" t="n">
        <v>1.000077306066686</v>
      </c>
      <c r="DA1101" s="28" t="n">
        <v>1.498891519614508</v>
      </c>
      <c r="DB1101" s="28" t="n">
        <v>1.491873904656043</v>
      </c>
      <c r="DC1101" s="28" t="n">
        <v>1.506624479418722</v>
      </c>
      <c r="DD1101" s="28" t="n">
        <v>1.48664545553171</v>
      </c>
      <c r="DE1101" s="28" t="n">
        <v>1.468694934701626</v>
      </c>
      <c r="DF1101" s="28" t="n">
        <v>1.461616133983657</v>
      </c>
      <c r="DG1101" s="28" t="n">
        <v>1.453061110812219</v>
      </c>
      <c r="DH1101" s="28" t="n">
        <v>1.441250796880154</v>
      </c>
      <c r="DI1101" s="28" t="n">
        <v>1.430952382178314</v>
      </c>
      <c r="DJ1101" s="28" t="n">
        <v>1.420563201584025</v>
      </c>
      <c r="DK1101" s="28" t="n">
        <v>1.41173046903369</v>
      </c>
      <c r="DL1101" s="28" t="n">
        <v>1.402845092758831</v>
      </c>
      <c r="DM1101" s="28" t="n">
        <v>1.395562177808792</v>
      </c>
      <c r="DN1101" s="28" t="n">
        <v>1.388400217585077</v>
      </c>
      <c r="DO1101" s="28" t="n">
        <v>1.382581544797438</v>
      </c>
    </row>
    <row r="1102">
      <c r="A1102" s="19" t="inlineStr">
        <is>
          <t>mit.pav.time.all.all</t>
        </is>
      </c>
      <c r="B1102" s="3" t="inlineStr">
        <is>
          <t>mit</t>
        </is>
      </c>
      <c r="C1102" s="19" t="n"/>
      <c r="H1102" s="3" t="inlineStr">
        <is>
          <t>Price index over time (base-year quantities; base year = 1) | All sectors | All fuels</t>
        </is>
      </c>
      <c r="I1102" s="3" t="inlineStr">
        <is>
          <t>index</t>
        </is>
      </c>
      <c r="K1102" s="20" t="inlineStr">
        <is>
          <t>egy.mit.pav.time.all.all.1</t>
        </is>
      </c>
      <c r="L1102" s="28" t="n">
        <v>1</v>
      </c>
      <c r="M1102" s="28" t="n">
        <v>0.8078315757270792</v>
      </c>
      <c r="N1102" s="28" t="n">
        <v>0.7062268131187995</v>
      </c>
      <c r="O1102" s="28" t="n">
        <v>0.6972085001716966</v>
      </c>
      <c r="P1102" s="28" t="n">
        <v>0.6982231821583187</v>
      </c>
      <c r="Q1102" s="28" t="n">
        <v>0.7012370213763445</v>
      </c>
      <c r="R1102" s="28" t="n">
        <v>0.7020270979149981</v>
      </c>
      <c r="S1102" s="28" t="n">
        <v>0.7061495240069831</v>
      </c>
      <c r="T1102" s="28" t="n">
        <v>0.7098133943895641</v>
      </c>
      <c r="U1102" s="28" t="n">
        <v>0.713949618576218</v>
      </c>
      <c r="V1102" s="28" t="n">
        <v>0.7069582656297112</v>
      </c>
      <c r="W1102" s="28" t="n">
        <v>0.7007296899254777</v>
      </c>
      <c r="X1102" s="28" t="n">
        <v>0.6943442037752262</v>
      </c>
      <c r="Y1102" s="28" t="n">
        <v>0.6883910892082595</v>
      </c>
      <c r="Z1102" s="28" t="n">
        <v>0.6828239593984503</v>
      </c>
      <c r="AA1102" s="28" t="n">
        <v>0.6776193578718435</v>
      </c>
      <c r="AB1102" s="28" t="n">
        <v>0.6727391707031692</v>
      </c>
      <c r="AC1102" s="28" t="n">
        <v>0.668133283712818</v>
      </c>
      <c r="AD1102" s="28" t="n">
        <v>0.6637701543617984</v>
      </c>
      <c r="AE1102" s="28" t="n">
        <v>0.659614206659786</v>
      </c>
      <c r="AG1102" s="20" t="inlineStr">
        <is>
          <t>egy.mit.pav.time.all.all.3</t>
        </is>
      </c>
      <c r="AH1102" s="28" t="n">
        <v>1</v>
      </c>
      <c r="AI1102" s="28" t="n">
        <v>0.8078315757270792</v>
      </c>
      <c r="AJ1102" s="28" t="n">
        <v>0.7062268131187995</v>
      </c>
      <c r="AK1102" s="28" t="n">
        <v>0.6972172993270086</v>
      </c>
      <c r="AL1102" s="28" t="n">
        <v>0.6982453322537351</v>
      </c>
      <c r="AM1102" s="28" t="n">
        <v>0.840105153924799</v>
      </c>
      <c r="AN1102" s="28" t="n">
        <v>0.839784553726457</v>
      </c>
      <c r="AO1102" s="28" t="n">
        <v>0.8487924055372502</v>
      </c>
      <c r="AP1102" s="28" t="n">
        <v>0.8445203951621756</v>
      </c>
      <c r="AQ1102" s="28" t="n">
        <v>0.8466496701769572</v>
      </c>
      <c r="AR1102" s="28" t="n">
        <v>0.8366200575941165</v>
      </c>
      <c r="AS1102" s="28" t="n">
        <v>0.8286213657716137</v>
      </c>
      <c r="AT1102" s="28" t="n">
        <v>0.8202305397418928</v>
      </c>
      <c r="AU1102" s="28" t="n">
        <v>0.8124730477444904</v>
      </c>
      <c r="AV1102" s="28" t="n">
        <v>0.8053518886858664</v>
      </c>
      <c r="AW1102" s="28" t="n">
        <v>0.7987389705134664</v>
      </c>
      <c r="AX1102" s="28" t="n">
        <v>0.7925616396808767</v>
      </c>
      <c r="AY1102" s="28" t="n">
        <v>0.7867748326864943</v>
      </c>
      <c r="AZ1102" s="28" t="n">
        <v>0.7813229976627566</v>
      </c>
      <c r="BA1102" s="28" t="n">
        <v>0.7761707672348425</v>
      </c>
      <c r="BC1102" s="20" t="inlineStr">
        <is>
          <t>egy.mit.pav.time.all.all.4</t>
        </is>
      </c>
      <c r="BD1102" s="28" t="n">
        <v>1</v>
      </c>
      <c r="BE1102" s="28" t="n">
        <v>0.8078315757270792</v>
      </c>
      <c r="BF1102" s="28" t="n">
        <v>0.7062268131187995</v>
      </c>
      <c r="BG1102" s="28" t="n">
        <v>0.697237828547963</v>
      </c>
      <c r="BH1102" s="28" t="n">
        <v>0.6982978960591563</v>
      </c>
      <c r="BI1102" s="28" t="n">
        <v>0.7707328331029004</v>
      </c>
      <c r="BJ1102" s="28" t="n">
        <v>0.8630454233388346</v>
      </c>
      <c r="BK1102" s="28" t="n">
        <v>0.9574896927751675</v>
      </c>
      <c r="BL1102" s="28" t="n">
        <v>1.042609464864686</v>
      </c>
      <c r="BM1102" s="28" t="n">
        <v>1.129635879870442</v>
      </c>
      <c r="BN1102" s="28" t="n">
        <v>1.20847376213785</v>
      </c>
      <c r="BO1102" s="28" t="n">
        <v>1.286666556661058</v>
      </c>
      <c r="BP1102" s="28" t="n">
        <v>1.35831796435756</v>
      </c>
      <c r="BQ1102" s="28" t="n">
        <v>1.42892938306276</v>
      </c>
      <c r="BR1102" s="28" t="n">
        <v>1.493668119021005</v>
      </c>
      <c r="BS1102" s="28" t="n">
        <v>1.558456508303395</v>
      </c>
      <c r="BT1102" s="28" t="n">
        <v>1.617136980942727</v>
      </c>
      <c r="BU1102" s="28" t="n">
        <v>1.67764723460987</v>
      </c>
      <c r="BV1102" s="28" t="n">
        <v>1.730798039422712</v>
      </c>
      <c r="BW1102" s="28" t="n">
        <v>1.789372219247585</v>
      </c>
      <c r="BY1102" s="20" t="inlineStr">
        <is>
          <t>egy.mit.pav.time.all.all.5</t>
        </is>
      </c>
      <c r="BZ1102" s="28" t="n">
        <v>1</v>
      </c>
      <c r="CA1102" s="28" t="n">
        <v>0.8078315757270792</v>
      </c>
      <c r="CB1102" s="28" t="n">
        <v>0.7062268131187995</v>
      </c>
      <c r="CC1102" s="28" t="n">
        <v>0.6972588698847267</v>
      </c>
      <c r="CD1102" s="28" t="n">
        <v>0.6983510900721587</v>
      </c>
      <c r="CE1102" s="28" t="n">
        <v>0.798238911010413</v>
      </c>
      <c r="CF1102" s="28" t="n">
        <v>0.7990818907917907</v>
      </c>
      <c r="CG1102" s="28" t="n">
        <v>0.8032604808120903</v>
      </c>
      <c r="CH1102" s="28" t="n">
        <v>0.8069384883211016</v>
      </c>
      <c r="CI1102" s="28" t="n">
        <v>0.8111676729324995</v>
      </c>
      <c r="CJ1102" s="28" t="n">
        <v>0.8036914005756851</v>
      </c>
      <c r="CK1102" s="28" t="n">
        <v>0.796807665810361</v>
      </c>
      <c r="CL1102" s="28" t="n">
        <v>0.7899953783975715</v>
      </c>
      <c r="CM1102" s="28" t="n">
        <v>0.78254386259219</v>
      </c>
      <c r="CN1102" s="28" t="n">
        <v>0.7758903769319645</v>
      </c>
      <c r="CO1102" s="28" t="n">
        <v>0.7696453116973465</v>
      </c>
      <c r="CP1102" s="28" t="n">
        <v>0.7636917029768072</v>
      </c>
      <c r="CQ1102" s="28" t="n">
        <v>0.7582428091373258</v>
      </c>
      <c r="CR1102" s="28" t="n">
        <v>0.7531570391796536</v>
      </c>
      <c r="CS1102" s="28" t="n">
        <v>0.7483383464847723</v>
      </c>
      <c r="CU1102" s="20" t="inlineStr">
        <is>
          <t>egy.mit.pav.time.all.all.6</t>
        </is>
      </c>
      <c r="CV1102" s="28" t="n">
        <v>1</v>
      </c>
      <c r="CW1102" s="28" t="n">
        <v>0.8078315757270792</v>
      </c>
      <c r="CX1102" s="28" t="n">
        <v>0.7062268131187995</v>
      </c>
      <c r="CY1102" s="28" t="n">
        <v>0.6972290441561638</v>
      </c>
      <c r="CZ1102" s="28" t="n">
        <v>0.6982752463088774</v>
      </c>
      <c r="DA1102" s="28" t="n">
        <v>1.048323406160163</v>
      </c>
      <c r="DB1102" s="28" t="n">
        <v>1.044685212595625</v>
      </c>
      <c r="DC1102" s="28" t="n">
        <v>1.060626393550066</v>
      </c>
      <c r="DD1102" s="28" t="n">
        <v>1.052628779062033</v>
      </c>
      <c r="DE1102" s="28" t="n">
        <v>1.046640631937426</v>
      </c>
      <c r="DF1102" s="28" t="n">
        <v>1.031626132315533</v>
      </c>
      <c r="DG1102" s="28" t="n">
        <v>1.017429318630089</v>
      </c>
      <c r="DH1102" s="28" t="n">
        <v>1.001173736776497</v>
      </c>
      <c r="DI1102" s="28" t="n">
        <v>0.9868354127320607</v>
      </c>
      <c r="DJ1102" s="28" t="n">
        <v>0.9732514262649544</v>
      </c>
      <c r="DK1102" s="28" t="n">
        <v>0.9613452318984345</v>
      </c>
      <c r="DL1102" s="28" t="n">
        <v>0.9500518463137011</v>
      </c>
      <c r="DM1102" s="28" t="n">
        <v>0.9402282333310894</v>
      </c>
      <c r="DN1102" s="28" t="n">
        <v>0.9309405252792167</v>
      </c>
      <c r="DO1102" s="28" t="n">
        <v>0.9227956039198422</v>
      </c>
    </row>
    <row r="1103">
      <c r="A1103" s="19" t="inlineStr">
        <is>
          <t>mit.pav.idx.all.coa</t>
        </is>
      </c>
      <c r="B1103" s="3" t="inlineStr">
        <is>
          <t>mit</t>
        </is>
      </c>
      <c r="C1103" s="19" t="n"/>
      <c r="H1103" s="3" t="inlineStr">
        <is>
          <t>Price index reported (Settings C54: Legacy* = pav.lidx, Laspeyres = pav.las) | All sectors | Coal</t>
        </is>
      </c>
      <c r="I1103" s="3" t="inlineStr">
        <is>
          <t>index</t>
        </is>
      </c>
      <c r="K1103" s="20" t="inlineStr">
        <is>
          <t>egy.mit.pav.idx.all.coa.1</t>
        </is>
      </c>
      <c r="L1103" s="28" t="n">
        <v>1</v>
      </c>
      <c r="M1103" s="28" t="n">
        <v>1</v>
      </c>
      <c r="N1103" s="28" t="n">
        <v>1</v>
      </c>
      <c r="O1103" s="28" t="n">
        <v>1</v>
      </c>
      <c r="P1103" s="28" t="n">
        <v>1</v>
      </c>
      <c r="Q1103" s="28" t="n">
        <v>1</v>
      </c>
      <c r="R1103" s="28" t="n">
        <v>1</v>
      </c>
      <c r="S1103" s="28" t="n">
        <v>1</v>
      </c>
      <c r="T1103" s="28" t="n">
        <v>1</v>
      </c>
      <c r="U1103" s="28" t="n">
        <v>1</v>
      </c>
      <c r="V1103" s="28" t="n">
        <v>1</v>
      </c>
      <c r="W1103" s="28" t="n">
        <v>1</v>
      </c>
      <c r="X1103" s="28" t="n">
        <v>1</v>
      </c>
      <c r="Y1103" s="28" t="n">
        <v>1</v>
      </c>
      <c r="Z1103" s="28" t="n">
        <v>1</v>
      </c>
      <c r="AA1103" s="28" t="n">
        <v>1</v>
      </c>
      <c r="AB1103" s="28" t="n">
        <v>1</v>
      </c>
      <c r="AC1103" s="28" t="n">
        <v>1</v>
      </c>
      <c r="AD1103" s="28" t="n">
        <v>1</v>
      </c>
      <c r="AE1103" s="28" t="n">
        <v>1</v>
      </c>
      <c r="AG1103" s="20" t="inlineStr">
        <is>
          <t>egy.mit.pav.idx.all.coa.3</t>
        </is>
      </c>
      <c r="AH1103" s="28" t="n">
        <v>1</v>
      </c>
      <c r="AI1103" s="28" t="n">
        <v>1</v>
      </c>
      <c r="AJ1103" s="28" t="n">
        <v>1</v>
      </c>
      <c r="AK1103" s="28" t="n">
        <v>1</v>
      </c>
      <c r="AL1103" s="28" t="n">
        <v>1</v>
      </c>
      <c r="AM1103" s="28" t="n">
        <v>1.271540821761877</v>
      </c>
      <c r="AN1103" s="28" t="n">
        <v>1.273202837315848</v>
      </c>
      <c r="AO1103" s="28" t="n">
        <v>1.275007515302555</v>
      </c>
      <c r="AP1103" s="28" t="n">
        <v>1.276965192133917</v>
      </c>
      <c r="AQ1103" s="28" t="n">
        <v>1.278881040499247</v>
      </c>
      <c r="AR1103" s="28" t="n">
        <v>1.278883086018066</v>
      </c>
      <c r="AS1103" s="28" t="n">
        <v>1.278885086327882</v>
      </c>
      <c r="AT1103" s="28" t="n">
        <v>1.278887042736459</v>
      </c>
      <c r="AU1103" s="28" t="n">
        <v>1.278888956505492</v>
      </c>
      <c r="AV1103" s="28" t="n">
        <v>1.278890828851849</v>
      </c>
      <c r="AW1103" s="28" t="n">
        <v>1.278892660948823</v>
      </c>
      <c r="AX1103" s="28" t="n">
        <v>1.278894453927348</v>
      </c>
      <c r="AY1103" s="28" t="n">
        <v>1.278896208877194</v>
      </c>
      <c r="AZ1103" s="28" t="n">
        <v>1.278897926848154</v>
      </c>
      <c r="BA1103" s="28" t="n">
        <v>1.278899608851182</v>
      </c>
      <c r="BC1103" s="20" t="inlineStr">
        <is>
          <t>egy.mit.pav.idx.all.coa.4</t>
        </is>
      </c>
      <c r="BD1103" s="28" t="n">
        <v>1</v>
      </c>
      <c r="BE1103" s="28" t="n">
        <v>1</v>
      </c>
      <c r="BF1103" s="28" t="n">
        <v>1</v>
      </c>
      <c r="BG1103" s="28" t="n">
        <v>1</v>
      </c>
      <c r="BH1103" s="28" t="n">
        <v>1</v>
      </c>
      <c r="BI1103" s="28" t="n">
        <v>1.135770410880938</v>
      </c>
      <c r="BJ1103" s="28" t="n">
        <v>1.318736643535156</v>
      </c>
      <c r="BK1103" s="28" t="n">
        <v>1.50418044472135</v>
      </c>
      <c r="BL1103" s="28" t="n">
        <v>1.692412980334793</v>
      </c>
      <c r="BM1103" s="28" t="n">
        <v>1.883123294914282</v>
      </c>
      <c r="BN1103" s="28" t="n">
        <v>2.069051829735922</v>
      </c>
      <c r="BO1103" s="28" t="n">
        <v>2.254982888475467</v>
      </c>
      <c r="BP1103" s="28" t="n">
        <v>2.440916387471707</v>
      </c>
      <c r="BQ1103" s="28" t="n">
        <v>2.626852246282035</v>
      </c>
      <c r="BR1103" s="28" t="n">
        <v>2.81279038753702</v>
      </c>
      <c r="BS1103" s="28" t="n">
        <v>2.998730736799905</v>
      </c>
      <c r="BT1103" s="28" t="n">
        <v>3.184673222430892</v>
      </c>
      <c r="BU1103" s="28" t="n">
        <v>3.370617775456155</v>
      </c>
      <c r="BV1103" s="28" t="n">
        <v>3.556564329441411</v>
      </c>
      <c r="BW1103" s="28" t="n">
        <v>3.742512820369954</v>
      </c>
      <c r="BY1103" s="20" t="inlineStr">
        <is>
          <t>egy.mit.pav.idx.all.coa.5</t>
        </is>
      </c>
      <c r="BZ1103" s="28" t="n">
        <v>1</v>
      </c>
      <c r="CA1103" s="28" t="n">
        <v>1</v>
      </c>
      <c r="CB1103" s="28" t="n">
        <v>1</v>
      </c>
      <c r="CC1103" s="28" t="n">
        <v>1</v>
      </c>
      <c r="CD1103" s="28" t="n">
        <v>1</v>
      </c>
      <c r="CE1103" s="28" t="n">
        <v>1.000367529964383</v>
      </c>
      <c r="CF1103" s="28" t="n">
        <v>1.000365618061213</v>
      </c>
      <c r="CG1103" s="28" t="n">
        <v>1.000364124489911</v>
      </c>
      <c r="CH1103" s="28" t="n">
        <v>1.000363096959941</v>
      </c>
      <c r="CI1103" s="28" t="n">
        <v>1.0003620620233</v>
      </c>
      <c r="CJ1103" s="28" t="n">
        <v>1.000358860425027</v>
      </c>
      <c r="CK1103" s="28" t="n">
        <v>1.000355729586833</v>
      </c>
      <c r="CL1103" s="28" t="n">
        <v>1.00035266746183</v>
      </c>
      <c r="CM1103" s="28" t="n">
        <v>1.000349672075247</v>
      </c>
      <c r="CN1103" s="28" t="n">
        <v>1.000346741522467</v>
      </c>
      <c r="CO1103" s="28" t="n">
        <v>1.00034387396708</v>
      </c>
      <c r="CP1103" s="28" t="n">
        <v>1.000341067638979</v>
      </c>
      <c r="CQ1103" s="28" t="n">
        <v>1.000338320832475</v>
      </c>
      <c r="CR1103" s="28" t="n">
        <v>1.000335631904463</v>
      </c>
      <c r="CS1103" s="28" t="n">
        <v>1.000332999272616</v>
      </c>
      <c r="CU1103" s="20" t="inlineStr">
        <is>
          <t>egy.mit.pav.idx.all.coa.6</t>
        </is>
      </c>
      <c r="CV1103" s="28" t="n">
        <v>1</v>
      </c>
      <c r="CW1103" s="28" t="n">
        <v>1</v>
      </c>
      <c r="CX1103" s="28" t="n">
        <v>1</v>
      </c>
      <c r="CY1103" s="28" t="n">
        <v>1</v>
      </c>
      <c r="CZ1103" s="28" t="n">
        <v>1</v>
      </c>
      <c r="DA1103" s="28" t="n">
        <v>1.678852054404692</v>
      </c>
      <c r="DB1103" s="28" t="n">
        <v>1.68300709328962</v>
      </c>
      <c r="DC1103" s="28" t="n">
        <v>1.687518788256387</v>
      </c>
      <c r="DD1103" s="28" t="n">
        <v>1.692412980334792</v>
      </c>
      <c r="DE1103" s="28" t="n">
        <v>1.697202601248117</v>
      </c>
      <c r="DF1103" s="28" t="n">
        <v>1.697207715045167</v>
      </c>
      <c r="DG1103" s="28" t="n">
        <v>1.697212715819704</v>
      </c>
      <c r="DH1103" s="28" t="n">
        <v>1.697217606841148</v>
      </c>
      <c r="DI1103" s="28" t="n">
        <v>1.697222391263729</v>
      </c>
      <c r="DJ1103" s="28" t="n">
        <v>1.697227072129623</v>
      </c>
      <c r="DK1103" s="28" t="n">
        <v>1.69723165237206</v>
      </c>
      <c r="DL1103" s="28" t="n">
        <v>1.69723613481837</v>
      </c>
      <c r="DM1103" s="28" t="n">
        <v>1.697240522192987</v>
      </c>
      <c r="DN1103" s="28" t="n">
        <v>1.697244817120385</v>
      </c>
      <c r="DO1103" s="28" t="n">
        <v>1.697249022127954</v>
      </c>
    </row>
    <row r="1104">
      <c r="A1104" s="19" t="inlineStr">
        <is>
          <t>mit.pav.idx.all.nga</t>
        </is>
      </c>
      <c r="B1104" s="3" t="inlineStr">
        <is>
          <t>mit</t>
        </is>
      </c>
      <c r="C1104" s="19" t="n"/>
      <c r="H1104" s="3" t="inlineStr">
        <is>
          <t>Price index reported (Settings C54: Legacy* = pav.lidx, Laspeyres = pav.las) | All sectors | Natural gas</t>
        </is>
      </c>
      <c r="I1104" s="3" t="inlineStr">
        <is>
          <t>index</t>
        </is>
      </c>
      <c r="K1104" s="20" t="inlineStr">
        <is>
          <t>egy.mit.pav.idx.all.nga.1</t>
        </is>
      </c>
      <c r="L1104" s="28" t="n">
        <v>1</v>
      </c>
      <c r="M1104" s="28" t="n">
        <v>1</v>
      </c>
      <c r="N1104" s="28" t="n">
        <v>1</v>
      </c>
      <c r="O1104" s="28" t="n">
        <v>1</v>
      </c>
      <c r="P1104" s="28" t="n">
        <v>1</v>
      </c>
      <c r="Q1104" s="28" t="n">
        <v>1</v>
      </c>
      <c r="R1104" s="28" t="n">
        <v>1</v>
      </c>
      <c r="S1104" s="28" t="n">
        <v>1</v>
      </c>
      <c r="T1104" s="28" t="n">
        <v>1</v>
      </c>
      <c r="U1104" s="28" t="n">
        <v>1</v>
      </c>
      <c r="V1104" s="28" t="n">
        <v>1</v>
      </c>
      <c r="W1104" s="28" t="n">
        <v>1</v>
      </c>
      <c r="X1104" s="28" t="n">
        <v>1</v>
      </c>
      <c r="Y1104" s="28" t="n">
        <v>1</v>
      </c>
      <c r="Z1104" s="28" t="n">
        <v>1</v>
      </c>
      <c r="AA1104" s="28" t="n">
        <v>1</v>
      </c>
      <c r="AB1104" s="28" t="n">
        <v>1</v>
      </c>
      <c r="AC1104" s="28" t="n">
        <v>1</v>
      </c>
      <c r="AD1104" s="28" t="n">
        <v>1</v>
      </c>
      <c r="AE1104" s="28" t="n">
        <v>1</v>
      </c>
      <c r="AG1104" s="20" t="inlineStr">
        <is>
          <t>egy.mit.pav.idx.all.nga.3</t>
        </is>
      </c>
      <c r="AH1104" s="28" t="n">
        <v>1</v>
      </c>
      <c r="AI1104" s="28" t="n">
        <v>1</v>
      </c>
      <c r="AJ1104" s="28" t="n">
        <v>1</v>
      </c>
      <c r="AK1104" s="28" t="n">
        <v>1</v>
      </c>
      <c r="AL1104" s="28" t="n">
        <v>1</v>
      </c>
      <c r="AM1104" s="28" t="n">
        <v>1.348743765244492</v>
      </c>
      <c r="AN1104" s="28" t="n">
        <v>1.346531000371042</v>
      </c>
      <c r="AO1104" s="28" t="n">
        <v>1.344391669163341</v>
      </c>
      <c r="AP1104" s="28" t="n">
        <v>1.341794147660474</v>
      </c>
      <c r="AQ1104" s="28" t="n">
        <v>1.339911149337744</v>
      </c>
      <c r="AR1104" s="28" t="n">
        <v>1.337842079242803</v>
      </c>
      <c r="AS1104" s="28" t="n">
        <v>1.33705832877829</v>
      </c>
      <c r="AT1104" s="28" t="n">
        <v>1.335985430758332</v>
      </c>
      <c r="AU1104" s="28" t="n">
        <v>1.335117283549335</v>
      </c>
      <c r="AV1104" s="28" t="n">
        <v>1.334247756821813</v>
      </c>
      <c r="AW1104" s="28" t="n">
        <v>1.333402632275429</v>
      </c>
      <c r="AX1104" s="28" t="n">
        <v>1.332575654881319</v>
      </c>
      <c r="AY1104" s="28" t="n">
        <v>1.331768043077016</v>
      </c>
      <c r="AZ1104" s="28" t="n">
        <v>1.330984641484427</v>
      </c>
      <c r="BA1104" s="28" t="n">
        <v>1.330226822683104</v>
      </c>
      <c r="BC1104" s="20" t="inlineStr">
        <is>
          <t>egy.mit.pav.idx.all.nga.4</t>
        </is>
      </c>
      <c r="BD1104" s="28" t="n">
        <v>1</v>
      </c>
      <c r="BE1104" s="28" t="n">
        <v>1</v>
      </c>
      <c r="BF1104" s="28" t="n">
        <v>1</v>
      </c>
      <c r="BG1104" s="28" t="n">
        <v>1</v>
      </c>
      <c r="BH1104" s="28" t="n">
        <v>1</v>
      </c>
      <c r="BI1104" s="28" t="n">
        <v>1.174371882622246</v>
      </c>
      <c r="BJ1104" s="28" t="n">
        <v>1.404286167099549</v>
      </c>
      <c r="BK1104" s="28" t="n">
        <v>1.631384726799458</v>
      </c>
      <c r="BL1104" s="28" t="n">
        <v>1.854485369151185</v>
      </c>
      <c r="BM1104" s="28" t="n">
        <v>2.07638530623619</v>
      </c>
      <c r="BN1104" s="28" t="n">
        <v>2.295061303764078</v>
      </c>
      <c r="BO1104" s="28" t="n">
        <v>2.516762479502305</v>
      </c>
      <c r="BP1104" s="28" t="n">
        <v>2.735924725584718</v>
      </c>
      <c r="BQ1104" s="28" t="n">
        <v>2.954850820704455</v>
      </c>
      <c r="BR1104" s="28" t="n">
        <v>3.172610419341786</v>
      </c>
      <c r="BS1104" s="28" t="n">
        <v>3.389385531307241</v>
      </c>
      <c r="BT1104" s="28" t="n">
        <v>3.605175963237003</v>
      </c>
      <c r="BU1104" s="28" t="n">
        <v>3.820028366154632</v>
      </c>
      <c r="BV1104" s="28" t="n">
        <v>4.034025880273911</v>
      </c>
      <c r="BW1104" s="28" t="n">
        <v>4.247230423050524</v>
      </c>
      <c r="BY1104" s="20" t="inlineStr">
        <is>
          <t>egy.mit.pav.idx.all.nga.5</t>
        </is>
      </c>
      <c r="BZ1104" s="28" t="n">
        <v>1</v>
      </c>
      <c r="CA1104" s="28" t="n">
        <v>1</v>
      </c>
      <c r="CB1104" s="28" t="n">
        <v>1</v>
      </c>
      <c r="CC1104" s="28" t="n">
        <v>1</v>
      </c>
      <c r="CD1104" s="28" t="n">
        <v>1</v>
      </c>
      <c r="CE1104" s="28" t="n">
        <v>1.096937943055342</v>
      </c>
      <c r="CF1104" s="28" t="n">
        <v>1.099897343854537</v>
      </c>
      <c r="CG1104" s="28" t="n">
        <v>1.102766043208883</v>
      </c>
      <c r="CH1104" s="28" t="n">
        <v>1.106547402513845</v>
      </c>
      <c r="CI1104" s="28" t="n">
        <v>1.108977572971881</v>
      </c>
      <c r="CJ1104" s="28" t="n">
        <v>1.111722603028276</v>
      </c>
      <c r="CK1104" s="28" t="n">
        <v>1.11215699519036</v>
      </c>
      <c r="CL1104" s="28" t="n">
        <v>1.113122916634601</v>
      </c>
      <c r="CM1104" s="28" t="n">
        <v>1.11374330678656</v>
      </c>
      <c r="CN1104" s="28" t="n">
        <v>1.114190735883343</v>
      </c>
      <c r="CO1104" s="28" t="n">
        <v>1.114628158978701</v>
      </c>
      <c r="CP1104" s="28" t="n">
        <v>1.115063792557094</v>
      </c>
      <c r="CQ1104" s="28" t="n">
        <v>1.115495003902018</v>
      </c>
      <c r="CR1104" s="28" t="n">
        <v>1.115914081665482</v>
      </c>
      <c r="CS1104" s="28" t="n">
        <v>1.116318420554287</v>
      </c>
      <c r="CU1104" s="20" t="inlineStr">
        <is>
          <t>egy.mit.pav.idx.all.nga.6</t>
        </is>
      </c>
      <c r="CV1104" s="28" t="n">
        <v>1</v>
      </c>
      <c r="CW1104" s="28" t="n">
        <v>1</v>
      </c>
      <c r="CX1104" s="28" t="n">
        <v>1</v>
      </c>
      <c r="CY1104" s="28" t="n">
        <v>1</v>
      </c>
      <c r="CZ1104" s="28" t="n">
        <v>1</v>
      </c>
      <c r="DA1104" s="28" t="n">
        <v>1.87185941311123</v>
      </c>
      <c r="DB1104" s="28" t="n">
        <v>1.866327500927604</v>
      </c>
      <c r="DC1104" s="28" t="n">
        <v>1.860979172908352</v>
      </c>
      <c r="DD1104" s="28" t="n">
        <v>1.854485369151185</v>
      </c>
      <c r="DE1104" s="28" t="n">
        <v>1.849777873344361</v>
      </c>
      <c r="DF1104" s="28" t="n">
        <v>1.844605198107007</v>
      </c>
      <c r="DG1104" s="28" t="n">
        <v>1.842645821945725</v>
      </c>
      <c r="DH1104" s="28" t="n">
        <v>1.839963576895832</v>
      </c>
      <c r="DI1104" s="28" t="n">
        <v>1.837793208873338</v>
      </c>
      <c r="DJ1104" s="28" t="n">
        <v>1.835619392054533</v>
      </c>
      <c r="DK1104" s="28" t="n">
        <v>1.833506580688572</v>
      </c>
      <c r="DL1104" s="28" t="n">
        <v>1.831439137203299</v>
      </c>
      <c r="DM1104" s="28" t="n">
        <v>1.829420107692539</v>
      </c>
      <c r="DN1104" s="28" t="n">
        <v>1.827461603711066</v>
      </c>
      <c r="DO1104" s="28" t="n">
        <v>1.82556705670776</v>
      </c>
    </row>
    <row r="1105">
      <c r="A1105" s="19" t="inlineStr">
        <is>
          <t>mit.pav.idx.all.gso</t>
        </is>
      </c>
      <c r="B1105" s="3" t="inlineStr">
        <is>
          <t>mit</t>
        </is>
      </c>
      <c r="C1105" s="19" t="n"/>
      <c r="H1105" s="3" t="inlineStr">
        <is>
          <t>Price index reported (Settings C54: Legacy* = pav.lidx, Laspeyres = pav.las) | All sectors | Gasoline</t>
        </is>
      </c>
      <c r="I1105" s="3" t="inlineStr">
        <is>
          <t>index</t>
        </is>
      </c>
      <c r="K1105" s="20" t="inlineStr">
        <is>
          <t>egy.mit.pav.idx.all.gso.1</t>
        </is>
      </c>
      <c r="L1105" s="28" t="n">
        <v>1</v>
      </c>
      <c r="M1105" s="28" t="n">
        <v>1</v>
      </c>
      <c r="N1105" s="28" t="n">
        <v>1</v>
      </c>
      <c r="O1105" s="28" t="n">
        <v>1</v>
      </c>
      <c r="P1105" s="28" t="n">
        <v>1</v>
      </c>
      <c r="Q1105" s="28" t="n">
        <v>1</v>
      </c>
      <c r="R1105" s="28" t="n">
        <v>1</v>
      </c>
      <c r="S1105" s="28" t="n">
        <v>1</v>
      </c>
      <c r="T1105" s="28" t="n">
        <v>1</v>
      </c>
      <c r="U1105" s="28" t="n">
        <v>1</v>
      </c>
      <c r="V1105" s="28" t="n">
        <v>1</v>
      </c>
      <c r="W1105" s="28" t="n">
        <v>1</v>
      </c>
      <c r="X1105" s="28" t="n">
        <v>1</v>
      </c>
      <c r="Y1105" s="28" t="n">
        <v>1</v>
      </c>
      <c r="Z1105" s="28" t="n">
        <v>1</v>
      </c>
      <c r="AA1105" s="28" t="n">
        <v>1</v>
      </c>
      <c r="AB1105" s="28" t="n">
        <v>1</v>
      </c>
      <c r="AC1105" s="28" t="n">
        <v>1</v>
      </c>
      <c r="AD1105" s="28" t="n">
        <v>1</v>
      </c>
      <c r="AE1105" s="28" t="n">
        <v>1</v>
      </c>
      <c r="AG1105" s="20" t="inlineStr">
        <is>
          <t>egy.mit.pav.idx.all.gso.3</t>
        </is>
      </c>
      <c r="AH1105" s="28" t="n">
        <v>1</v>
      </c>
      <c r="AI1105" s="28" t="n">
        <v>1</v>
      </c>
      <c r="AJ1105" s="28" t="n">
        <v>1</v>
      </c>
      <c r="AK1105" s="28" t="n">
        <v>1</v>
      </c>
      <c r="AL1105" s="28" t="n">
        <v>1</v>
      </c>
      <c r="AM1105" s="28" t="n">
        <v>1.144084376462231</v>
      </c>
      <c r="AN1105" s="28" t="n">
        <v>1.144084376462231</v>
      </c>
      <c r="AO1105" s="28" t="n">
        <v>1.144084376462231</v>
      </c>
      <c r="AP1105" s="28" t="n">
        <v>1.144084376462231</v>
      </c>
      <c r="AQ1105" s="28" t="n">
        <v>1.144084376462231</v>
      </c>
      <c r="AR1105" s="28" t="n">
        <v>1.144084376462231</v>
      </c>
      <c r="AS1105" s="28" t="n">
        <v>1.144084376462231</v>
      </c>
      <c r="AT1105" s="28" t="n">
        <v>1.144084376462231</v>
      </c>
      <c r="AU1105" s="28" t="n">
        <v>1.144084376462231</v>
      </c>
      <c r="AV1105" s="28" t="n">
        <v>1.144084376462231</v>
      </c>
      <c r="AW1105" s="28" t="n">
        <v>1.144084376462231</v>
      </c>
      <c r="AX1105" s="28" t="n">
        <v>1.144084376462231</v>
      </c>
      <c r="AY1105" s="28" t="n">
        <v>1.144084376462231</v>
      </c>
      <c r="AZ1105" s="28" t="n">
        <v>1.144084376462231</v>
      </c>
      <c r="BA1105" s="28" t="n">
        <v>1.144084376462231</v>
      </c>
      <c r="BC1105" s="20" t="inlineStr">
        <is>
          <t>egy.mit.pav.idx.all.gso.4</t>
        </is>
      </c>
      <c r="BD1105" s="28" t="n">
        <v>1</v>
      </c>
      <c r="BE1105" s="28" t="n">
        <v>1</v>
      </c>
      <c r="BF1105" s="28" t="n">
        <v>1</v>
      </c>
      <c r="BG1105" s="28" t="n">
        <v>1</v>
      </c>
      <c r="BH1105" s="28" t="n">
        <v>1</v>
      </c>
      <c r="BI1105" s="28" t="n">
        <v>1.072042188231116</v>
      </c>
      <c r="BJ1105" s="28" t="n">
        <v>1.168098439205936</v>
      </c>
      <c r="BK1105" s="28" t="n">
        <v>1.264154690180757</v>
      </c>
      <c r="BL1105" s="28" t="n">
        <v>1.360210941155578</v>
      </c>
      <c r="BM1105" s="28" t="n">
        <v>1.456267192130398</v>
      </c>
      <c r="BN1105" s="28" t="n">
        <v>1.552323443105219</v>
      </c>
      <c r="BO1105" s="28" t="n">
        <v>1.64837969408004</v>
      </c>
      <c r="BP1105" s="28" t="n">
        <v>1.74443594505486</v>
      </c>
      <c r="BQ1105" s="28" t="n">
        <v>1.840492196029681</v>
      </c>
      <c r="BR1105" s="28" t="n">
        <v>1.936548447004501</v>
      </c>
      <c r="BS1105" s="28" t="n">
        <v>2.032604697979322</v>
      </c>
      <c r="BT1105" s="28" t="n">
        <v>2.128660948954143</v>
      </c>
      <c r="BU1105" s="28" t="n">
        <v>2.224717199928964</v>
      </c>
      <c r="BV1105" s="28" t="n">
        <v>2.320773450903784</v>
      </c>
      <c r="BW1105" s="28" t="n">
        <v>2.416829701878604</v>
      </c>
      <c r="BY1105" s="20" t="inlineStr">
        <is>
          <t>egy.mit.pav.idx.all.gso.5</t>
        </is>
      </c>
      <c r="BZ1105" s="28" t="n">
        <v>1</v>
      </c>
      <c r="CA1105" s="28" t="n">
        <v>1</v>
      </c>
      <c r="CB1105" s="28" t="n">
        <v>1</v>
      </c>
      <c r="CC1105" s="28" t="n">
        <v>1</v>
      </c>
      <c r="CD1105" s="28" t="n">
        <v>1</v>
      </c>
      <c r="CE1105" s="28" t="n">
        <v>1.180105470577789</v>
      </c>
      <c r="CF1105" s="28" t="n">
        <v>1.180105470577789</v>
      </c>
      <c r="CG1105" s="28" t="n">
        <v>1.180105470577789</v>
      </c>
      <c r="CH1105" s="28" t="n">
        <v>1.180105470577789</v>
      </c>
      <c r="CI1105" s="28" t="n">
        <v>1.180105470577789</v>
      </c>
      <c r="CJ1105" s="28" t="n">
        <v>1.180105470577789</v>
      </c>
      <c r="CK1105" s="28" t="n">
        <v>1.180105470577789</v>
      </c>
      <c r="CL1105" s="28" t="n">
        <v>1.180105470577789</v>
      </c>
      <c r="CM1105" s="28" t="n">
        <v>1.180105470577789</v>
      </c>
      <c r="CN1105" s="28" t="n">
        <v>1.180105470577789</v>
      </c>
      <c r="CO1105" s="28" t="n">
        <v>1.180105470577789</v>
      </c>
      <c r="CP1105" s="28" t="n">
        <v>1.180105470577788</v>
      </c>
      <c r="CQ1105" s="28" t="n">
        <v>1.180105470577789</v>
      </c>
      <c r="CR1105" s="28" t="n">
        <v>1.180105470577789</v>
      </c>
      <c r="CS1105" s="28" t="n">
        <v>1.180105470577789</v>
      </c>
      <c r="CU1105" s="20" t="inlineStr">
        <is>
          <t>egy.mit.pav.idx.all.gso.6</t>
        </is>
      </c>
      <c r="CV1105" s="28" t="n">
        <v>1</v>
      </c>
      <c r="CW1105" s="28" t="n">
        <v>1</v>
      </c>
      <c r="CX1105" s="28" t="n">
        <v>1</v>
      </c>
      <c r="CY1105" s="28" t="n">
        <v>1</v>
      </c>
      <c r="CZ1105" s="28" t="n">
        <v>1</v>
      </c>
      <c r="DA1105" s="28" t="n">
        <v>1.360210941155578</v>
      </c>
      <c r="DB1105" s="28" t="n">
        <v>1.360210941155578</v>
      </c>
      <c r="DC1105" s="28" t="n">
        <v>1.360210941155578</v>
      </c>
      <c r="DD1105" s="28" t="n">
        <v>1.360210941155578</v>
      </c>
      <c r="DE1105" s="28" t="n">
        <v>1.360210941155578</v>
      </c>
      <c r="DF1105" s="28" t="n">
        <v>1.360210941155578</v>
      </c>
      <c r="DG1105" s="28" t="n">
        <v>1.360210941155578</v>
      </c>
      <c r="DH1105" s="28" t="n">
        <v>1.360210941155578</v>
      </c>
      <c r="DI1105" s="28" t="n">
        <v>1.360210941155577</v>
      </c>
      <c r="DJ1105" s="28" t="n">
        <v>1.360210941155577</v>
      </c>
      <c r="DK1105" s="28" t="n">
        <v>1.360210941155577</v>
      </c>
      <c r="DL1105" s="28" t="n">
        <v>1.360210941155577</v>
      </c>
      <c r="DM1105" s="28" t="n">
        <v>1.360210941155577</v>
      </c>
      <c r="DN1105" s="28" t="n">
        <v>1.360210941155577</v>
      </c>
      <c r="DO1105" s="28" t="n">
        <v>1.360210941155577</v>
      </c>
    </row>
    <row r="1106">
      <c r="A1106" s="19" t="inlineStr">
        <is>
          <t>mit.pav.idx.all.die</t>
        </is>
      </c>
      <c r="B1106" s="3" t="inlineStr">
        <is>
          <t>mit</t>
        </is>
      </c>
      <c r="C1106" s="19" t="n"/>
      <c r="H1106" s="3" t="inlineStr">
        <is>
          <t>Price index reported (Settings C54: Legacy* = pav.lidx, Laspeyres = pav.las) | All sectors | Diesel</t>
        </is>
      </c>
      <c r="I1106" s="3" t="inlineStr">
        <is>
          <t>index</t>
        </is>
      </c>
      <c r="K1106" s="20" t="inlineStr">
        <is>
          <t>egy.mit.pav.idx.all.die.1</t>
        </is>
      </c>
      <c r="L1106" s="28" t="n">
        <v>1</v>
      </c>
      <c r="M1106" s="28" t="n">
        <v>1</v>
      </c>
      <c r="N1106" s="28" t="n">
        <v>1</v>
      </c>
      <c r="O1106" s="28" t="n">
        <v>1</v>
      </c>
      <c r="P1106" s="28" t="n">
        <v>1</v>
      </c>
      <c r="Q1106" s="28" t="n">
        <v>1</v>
      </c>
      <c r="R1106" s="28" t="n">
        <v>1</v>
      </c>
      <c r="S1106" s="28" t="n">
        <v>1</v>
      </c>
      <c r="T1106" s="28" t="n">
        <v>1</v>
      </c>
      <c r="U1106" s="28" t="n">
        <v>1</v>
      </c>
      <c r="V1106" s="28" t="n">
        <v>1</v>
      </c>
      <c r="W1106" s="28" t="n">
        <v>1</v>
      </c>
      <c r="X1106" s="28" t="n">
        <v>1</v>
      </c>
      <c r="Y1106" s="28" t="n">
        <v>1</v>
      </c>
      <c r="Z1106" s="28" t="n">
        <v>1</v>
      </c>
      <c r="AA1106" s="28" t="n">
        <v>1</v>
      </c>
      <c r="AB1106" s="28" t="n">
        <v>1</v>
      </c>
      <c r="AC1106" s="28" t="n">
        <v>1</v>
      </c>
      <c r="AD1106" s="28" t="n">
        <v>1</v>
      </c>
      <c r="AE1106" s="28" t="n">
        <v>1</v>
      </c>
      <c r="AG1106" s="20" t="inlineStr">
        <is>
          <t>egy.mit.pav.idx.all.die.3</t>
        </is>
      </c>
      <c r="AH1106" s="28" t="n">
        <v>1</v>
      </c>
      <c r="AI1106" s="28" t="n">
        <v>1</v>
      </c>
      <c r="AJ1106" s="28" t="n">
        <v>1</v>
      </c>
      <c r="AK1106" s="28" t="n">
        <v>1</v>
      </c>
      <c r="AL1106" s="28" t="n">
        <v>1</v>
      </c>
      <c r="AM1106" s="28" t="n">
        <v>1.207969948482218</v>
      </c>
      <c r="AN1106" s="28" t="n">
        <v>1.207970060091787</v>
      </c>
      <c r="AO1106" s="28" t="n">
        <v>1.207970430073423</v>
      </c>
      <c r="AP1106" s="28" t="n">
        <v>1.207971332724727</v>
      </c>
      <c r="AQ1106" s="28" t="n">
        <v>1.207972168194209</v>
      </c>
      <c r="AR1106" s="28" t="n">
        <v>1.207973124342485</v>
      </c>
      <c r="AS1106" s="28" t="n">
        <v>1.207974027451898</v>
      </c>
      <c r="AT1106" s="28" t="n">
        <v>1.207974935233016</v>
      </c>
      <c r="AU1106" s="28" t="n">
        <v>1.207975920992842</v>
      </c>
      <c r="AV1106" s="28" t="n">
        <v>1.207976939249253</v>
      </c>
      <c r="AW1106" s="28" t="n">
        <v>1.207977962706113</v>
      </c>
      <c r="AX1106" s="28" t="n">
        <v>1.207979083188402</v>
      </c>
      <c r="AY1106" s="28" t="n">
        <v>1.207980278191561</v>
      </c>
      <c r="AZ1106" s="28" t="n">
        <v>1.207981576624213</v>
      </c>
      <c r="BA1106" s="28" t="n">
        <v>1.20798293798839</v>
      </c>
      <c r="BC1106" s="20" t="inlineStr">
        <is>
          <t>egy.mit.pav.idx.all.die.4</t>
        </is>
      </c>
      <c r="BD1106" s="28" t="n">
        <v>1</v>
      </c>
      <c r="BE1106" s="28" t="n">
        <v>1</v>
      </c>
      <c r="BF1106" s="28" t="n">
        <v>1</v>
      </c>
      <c r="BG1106" s="28" t="n">
        <v>1</v>
      </c>
      <c r="BH1106" s="28" t="n">
        <v>1</v>
      </c>
      <c r="BI1106" s="28" t="n">
        <v>1.104012223954691</v>
      </c>
      <c r="BJ1106" s="28" t="n">
        <v>1.242634093780079</v>
      </c>
      <c r="BK1106" s="28" t="n">
        <v>1.381195520985649</v>
      </c>
      <c r="BL1106" s="28" t="n">
        <v>1.519705848346854</v>
      </c>
      <c r="BM1106" s="28" t="n">
        <v>1.658156326067924</v>
      </c>
      <c r="BN1106" s="28" t="n">
        <v>1.796565726064707</v>
      </c>
      <c r="BO1106" s="28" t="n">
        <v>1.934939438714918</v>
      </c>
      <c r="BP1106" s="28" t="n">
        <v>2.073281787249689</v>
      </c>
      <c r="BQ1106" s="28" t="n">
        <v>2.211596513436695</v>
      </c>
      <c r="BR1106" s="28" t="n">
        <v>2.349886662127336</v>
      </c>
      <c r="BS1106" s="28" t="n">
        <v>2.48815466429503</v>
      </c>
      <c r="BT1106" s="28" t="n">
        <v>2.626402848603686</v>
      </c>
      <c r="BU1106" s="28" t="n">
        <v>2.764633210753587</v>
      </c>
      <c r="BV1106" s="28" t="n">
        <v>2.902847692393536</v>
      </c>
      <c r="BW1106" s="28" t="n">
        <v>3.041047837954693</v>
      </c>
      <c r="BY1106" s="20" t="inlineStr">
        <is>
          <t>egy.mit.pav.idx.all.die.5</t>
        </is>
      </c>
      <c r="BZ1106" s="28" t="n">
        <v>1</v>
      </c>
      <c r="CA1106" s="28" t="n">
        <v>1</v>
      </c>
      <c r="CB1106" s="28" t="n">
        <v>1</v>
      </c>
      <c r="CC1106" s="28" t="n">
        <v>1</v>
      </c>
      <c r="CD1106" s="28" t="n">
        <v>1</v>
      </c>
      <c r="CE1106" s="28" t="n">
        <v>1.259935856937314</v>
      </c>
      <c r="CF1106" s="28" t="n">
        <v>1.259935995744765</v>
      </c>
      <c r="CG1106" s="28" t="n">
        <v>1.259936465110677</v>
      </c>
      <c r="CH1106" s="28" t="n">
        <v>1.259937578047705</v>
      </c>
      <c r="CI1106" s="28" t="n">
        <v>1.259938588066873</v>
      </c>
      <c r="CJ1106" s="28" t="n">
        <v>1.259939783562477</v>
      </c>
      <c r="CK1106" s="28" t="n">
        <v>1.259940896725388</v>
      </c>
      <c r="CL1106" s="28" t="n">
        <v>1.259942070631357</v>
      </c>
      <c r="CM1106" s="28" t="n">
        <v>1.25994333060804</v>
      </c>
      <c r="CN1106" s="28" t="n">
        <v>1.259944631138469</v>
      </c>
      <c r="CO1106" s="28" t="n">
        <v>1.259945952124242</v>
      </c>
      <c r="CP1106" s="28" t="n">
        <v>1.25994738826209</v>
      </c>
      <c r="CQ1106" s="28" t="n">
        <v>1.259948897731977</v>
      </c>
      <c r="CR1106" s="28" t="n">
        <v>1.259950521196441</v>
      </c>
      <c r="CS1106" s="28" t="n">
        <v>1.259952197755694</v>
      </c>
      <c r="CU1106" s="20" t="inlineStr">
        <is>
          <t>egy.mit.pav.idx.all.die.6</t>
        </is>
      </c>
      <c r="CV1106" s="28" t="n">
        <v>1</v>
      </c>
      <c r="CW1106" s="28" t="n">
        <v>1</v>
      </c>
      <c r="CX1106" s="28" t="n">
        <v>1</v>
      </c>
      <c r="CY1106" s="28" t="n">
        <v>1</v>
      </c>
      <c r="CZ1106" s="28" t="n">
        <v>1</v>
      </c>
      <c r="DA1106" s="28" t="n">
        <v>1.519639861318197</v>
      </c>
      <c r="DB1106" s="28" t="n">
        <v>1.519640130941375</v>
      </c>
      <c r="DC1106" s="28" t="n">
        <v>1.519640881923298</v>
      </c>
      <c r="DD1106" s="28" t="n">
        <v>1.519643392533908</v>
      </c>
      <c r="DE1106" s="28" t="n">
        <v>1.519645327906184</v>
      </c>
      <c r="DF1106" s="28" t="n">
        <v>1.519647785187167</v>
      </c>
      <c r="DG1106" s="28" t="n">
        <v>1.5196497813863</v>
      </c>
      <c r="DH1106" s="28" t="n">
        <v>1.519651698311668</v>
      </c>
      <c r="DI1106" s="28" t="n">
        <v>1.51965386028829</v>
      </c>
      <c r="DJ1106" s="28" t="n">
        <v>1.519656054518936</v>
      </c>
      <c r="DK1106" s="28" t="n">
        <v>1.519658137643302</v>
      </c>
      <c r="DL1106" s="28" t="n">
        <v>1.519660591388814</v>
      </c>
      <c r="DM1106" s="28" t="n">
        <v>1.519663280584291</v>
      </c>
      <c r="DN1106" s="28" t="n">
        <v>1.519666368220613</v>
      </c>
      <c r="DO1106" s="28" t="n">
        <v>1.519669640390661</v>
      </c>
    </row>
    <row r="1107">
      <c r="A1107" s="19" t="inlineStr">
        <is>
          <t>mit.pav.idx.all.lpg</t>
        </is>
      </c>
      <c r="B1107" s="3" t="inlineStr">
        <is>
          <t>mit</t>
        </is>
      </c>
      <c r="C1107" s="19" t="n"/>
      <c r="H1107" s="3" t="inlineStr">
        <is>
          <t>Price index reported (Settings C54: Legacy* = pav.lidx, Laspeyres = pav.las) | All sectors | LPG</t>
        </is>
      </c>
      <c r="I1107" s="3" t="inlineStr">
        <is>
          <t>index</t>
        </is>
      </c>
      <c r="K1107" s="20" t="inlineStr">
        <is>
          <t>egy.mit.pav.idx.all.lpg.1</t>
        </is>
      </c>
      <c r="L1107" s="28" t="n">
        <v>1</v>
      </c>
      <c r="M1107" s="28" t="n">
        <v>1</v>
      </c>
      <c r="N1107" s="28" t="n">
        <v>1</v>
      </c>
      <c r="O1107" s="28" t="n">
        <v>1</v>
      </c>
      <c r="P1107" s="28" t="n">
        <v>1</v>
      </c>
      <c r="Q1107" s="28" t="n">
        <v>1</v>
      </c>
      <c r="R1107" s="28" t="n">
        <v>1</v>
      </c>
      <c r="S1107" s="28" t="n">
        <v>1</v>
      </c>
      <c r="T1107" s="28" t="n">
        <v>1</v>
      </c>
      <c r="U1107" s="28" t="n">
        <v>1</v>
      </c>
      <c r="V1107" s="28" t="n">
        <v>1</v>
      </c>
      <c r="W1107" s="28" t="n">
        <v>1</v>
      </c>
      <c r="X1107" s="28" t="n">
        <v>1</v>
      </c>
      <c r="Y1107" s="28" t="n">
        <v>1</v>
      </c>
      <c r="Z1107" s="28" t="n">
        <v>1</v>
      </c>
      <c r="AA1107" s="28" t="n">
        <v>1</v>
      </c>
      <c r="AB1107" s="28" t="n">
        <v>1</v>
      </c>
      <c r="AC1107" s="28" t="n">
        <v>1</v>
      </c>
      <c r="AD1107" s="28" t="n">
        <v>1</v>
      </c>
      <c r="AE1107" s="28" t="n">
        <v>1</v>
      </c>
      <c r="AG1107" s="20" t="inlineStr">
        <is>
          <t>egy.mit.pav.idx.all.lpg.3</t>
        </is>
      </c>
      <c r="AH1107" s="28" t="n">
        <v>1</v>
      </c>
      <c r="AI1107" s="28" t="n">
        <v>1</v>
      </c>
      <c r="AJ1107" s="28" t="n">
        <v>1</v>
      </c>
      <c r="AK1107" s="28" t="n">
        <v>1</v>
      </c>
      <c r="AL1107" s="28" t="n">
        <v>1</v>
      </c>
      <c r="AM1107" s="28" t="n">
        <v>1.335740253699061</v>
      </c>
      <c r="AN1107" s="28" t="n">
        <v>1.335740253699061</v>
      </c>
      <c r="AO1107" s="28" t="n">
        <v>1.335740253699061</v>
      </c>
      <c r="AP1107" s="28" t="n">
        <v>1.335740253699061</v>
      </c>
      <c r="AQ1107" s="28" t="n">
        <v>1.335740253699061</v>
      </c>
      <c r="AR1107" s="28" t="n">
        <v>1.335740253699061</v>
      </c>
      <c r="AS1107" s="28" t="n">
        <v>1.335740253699061</v>
      </c>
      <c r="AT1107" s="28" t="n">
        <v>1.33574025369906</v>
      </c>
      <c r="AU1107" s="28" t="n">
        <v>1.335740253699061</v>
      </c>
      <c r="AV1107" s="28" t="n">
        <v>1.335740253699061</v>
      </c>
      <c r="AW1107" s="28" t="n">
        <v>1.335740253699061</v>
      </c>
      <c r="AX1107" s="28" t="n">
        <v>1.335740253699061</v>
      </c>
      <c r="AY1107" s="28" t="n">
        <v>1.335740253699061</v>
      </c>
      <c r="AZ1107" s="28" t="n">
        <v>1.335740253699061</v>
      </c>
      <c r="BA1107" s="28" t="n">
        <v>1.335740253699061</v>
      </c>
      <c r="BC1107" s="20" t="inlineStr">
        <is>
          <t>egy.mit.pav.idx.all.lpg.4</t>
        </is>
      </c>
      <c r="BD1107" s="28" t="n">
        <v>1</v>
      </c>
      <c r="BE1107" s="28" t="n">
        <v>1</v>
      </c>
      <c r="BF1107" s="28" t="n">
        <v>1</v>
      </c>
      <c r="BG1107" s="28" t="n">
        <v>1</v>
      </c>
      <c r="BH1107" s="28" t="n">
        <v>1</v>
      </c>
      <c r="BI1107" s="28" t="n">
        <v>1.167870126849531</v>
      </c>
      <c r="BJ1107" s="28" t="n">
        <v>1.391696962648905</v>
      </c>
      <c r="BK1107" s="28" t="n">
        <v>1.615523798448279</v>
      </c>
      <c r="BL1107" s="28" t="n">
        <v>1.839350634247652</v>
      </c>
      <c r="BM1107" s="28" t="n">
        <v>2.063177470047027</v>
      </c>
      <c r="BN1107" s="28" t="n">
        <v>2.287004305846401</v>
      </c>
      <c r="BO1107" s="28" t="n">
        <v>2.510831141645774</v>
      </c>
      <c r="BP1107" s="28" t="n">
        <v>2.734657977445147</v>
      </c>
      <c r="BQ1107" s="28" t="n">
        <v>2.958484813244521</v>
      </c>
      <c r="BR1107" s="28" t="n">
        <v>3.182311649043895</v>
      </c>
      <c r="BS1107" s="28" t="n">
        <v>3.406138484843271</v>
      </c>
      <c r="BT1107" s="28" t="n">
        <v>3.629965320642645</v>
      </c>
      <c r="BU1107" s="28" t="n">
        <v>3.853792156442018</v>
      </c>
      <c r="BV1107" s="28" t="n">
        <v>4.077618992241392</v>
      </c>
      <c r="BW1107" s="28" t="n">
        <v>4.301445828040767</v>
      </c>
      <c r="BY1107" s="20" t="inlineStr">
        <is>
          <t>egy.mit.pav.idx.all.lpg.5</t>
        </is>
      </c>
      <c r="BZ1107" s="28" t="n">
        <v>1</v>
      </c>
      <c r="CA1107" s="28" t="n">
        <v>1</v>
      </c>
      <c r="CB1107" s="28" t="n">
        <v>1</v>
      </c>
      <c r="CC1107" s="28" t="n">
        <v>1</v>
      </c>
      <c r="CD1107" s="28" t="n">
        <v>1</v>
      </c>
      <c r="CE1107" s="28" t="n">
        <v>1.419675317123826</v>
      </c>
      <c r="CF1107" s="28" t="n">
        <v>1.419675317123826</v>
      </c>
      <c r="CG1107" s="28" t="n">
        <v>1.419675317123826</v>
      </c>
      <c r="CH1107" s="28" t="n">
        <v>1.419675317123826</v>
      </c>
      <c r="CI1107" s="28" t="n">
        <v>1.419675317123826</v>
      </c>
      <c r="CJ1107" s="28" t="n">
        <v>1.419675317123826</v>
      </c>
      <c r="CK1107" s="28" t="n">
        <v>1.419675317123826</v>
      </c>
      <c r="CL1107" s="28" t="n">
        <v>1.419675317123826</v>
      </c>
      <c r="CM1107" s="28" t="n">
        <v>1.419675317123826</v>
      </c>
      <c r="CN1107" s="28" t="n">
        <v>1.419675317123826</v>
      </c>
      <c r="CO1107" s="28" t="n">
        <v>1.419675317123826</v>
      </c>
      <c r="CP1107" s="28" t="n">
        <v>1.419675317123826</v>
      </c>
      <c r="CQ1107" s="28" t="n">
        <v>1.419675317123826</v>
      </c>
      <c r="CR1107" s="28" t="n">
        <v>1.419675317123826</v>
      </c>
      <c r="CS1107" s="28" t="n">
        <v>1.419675317123826</v>
      </c>
      <c r="CU1107" s="20" t="inlineStr">
        <is>
          <t>egy.mit.pav.idx.all.lpg.6</t>
        </is>
      </c>
      <c r="CV1107" s="28" t="n">
        <v>1</v>
      </c>
      <c r="CW1107" s="28" t="n">
        <v>1</v>
      </c>
      <c r="CX1107" s="28" t="n">
        <v>1</v>
      </c>
      <c r="CY1107" s="28" t="n">
        <v>1</v>
      </c>
      <c r="CZ1107" s="28" t="n">
        <v>1</v>
      </c>
      <c r="DA1107" s="28" t="n">
        <v>1.839350634247653</v>
      </c>
      <c r="DB1107" s="28" t="n">
        <v>1.839350634247653</v>
      </c>
      <c r="DC1107" s="28" t="n">
        <v>1.839350634247653</v>
      </c>
      <c r="DD1107" s="28" t="n">
        <v>1.839350634247653</v>
      </c>
      <c r="DE1107" s="28" t="n">
        <v>1.839350634247653</v>
      </c>
      <c r="DF1107" s="28" t="n">
        <v>1.839350634247652</v>
      </c>
      <c r="DG1107" s="28" t="n">
        <v>1.839350634247653</v>
      </c>
      <c r="DH1107" s="28" t="n">
        <v>1.839350634247652</v>
      </c>
      <c r="DI1107" s="28" t="n">
        <v>1.839350634247652</v>
      </c>
      <c r="DJ1107" s="28" t="n">
        <v>1.839350634247652</v>
      </c>
      <c r="DK1107" s="28" t="n">
        <v>1.839350634247653</v>
      </c>
      <c r="DL1107" s="28" t="n">
        <v>1.839350634247653</v>
      </c>
      <c r="DM1107" s="28" t="n">
        <v>1.839350634247653</v>
      </c>
      <c r="DN1107" s="28" t="n">
        <v>1.839350634247652</v>
      </c>
      <c r="DO1107" s="28" t="n">
        <v>1.839350634247653</v>
      </c>
    </row>
    <row r="1108">
      <c r="A1108" s="19" t="inlineStr">
        <is>
          <t>mit.pav.idx.all.ker</t>
        </is>
      </c>
      <c r="B1108" s="3" t="inlineStr">
        <is>
          <t>mit</t>
        </is>
      </c>
      <c r="C1108" s="19" t="n"/>
      <c r="H1108" s="3" t="inlineStr">
        <is>
          <t>Price index reported (Settings C54: Legacy* = pav.lidx, Laspeyres = pav.las) | All sectors | Kerosene</t>
        </is>
      </c>
      <c r="I1108" s="3" t="inlineStr">
        <is>
          <t>index</t>
        </is>
      </c>
      <c r="K1108" s="20" t="inlineStr">
        <is>
          <t>egy.mit.pav.idx.all.ker.1</t>
        </is>
      </c>
      <c r="L1108" s="28" t="n">
        <v>1</v>
      </c>
      <c r="M1108" s="28" t="n">
        <v>1</v>
      </c>
      <c r="N1108" s="28" t="n">
        <v>1</v>
      </c>
      <c r="O1108" s="28" t="n">
        <v>1</v>
      </c>
      <c r="P1108" s="28" t="n">
        <v>1</v>
      </c>
      <c r="Q1108" s="28" t="n">
        <v>1</v>
      </c>
      <c r="R1108" s="28" t="n">
        <v>1</v>
      </c>
      <c r="S1108" s="28" t="n">
        <v>1</v>
      </c>
      <c r="T1108" s="28" t="n">
        <v>1</v>
      </c>
      <c r="U1108" s="28" t="n">
        <v>1</v>
      </c>
      <c r="V1108" s="28" t="n">
        <v>1</v>
      </c>
      <c r="W1108" s="28" t="n">
        <v>1</v>
      </c>
      <c r="X1108" s="28" t="n">
        <v>1</v>
      </c>
      <c r="Y1108" s="28" t="n">
        <v>1</v>
      </c>
      <c r="Z1108" s="28" t="n">
        <v>1</v>
      </c>
      <c r="AA1108" s="28" t="n">
        <v>1</v>
      </c>
      <c r="AB1108" s="28" t="n">
        <v>1</v>
      </c>
      <c r="AC1108" s="28" t="n">
        <v>1</v>
      </c>
      <c r="AD1108" s="28" t="n">
        <v>1</v>
      </c>
      <c r="AE1108" s="28" t="n">
        <v>1</v>
      </c>
      <c r="AG1108" s="20" t="inlineStr">
        <is>
          <t>egy.mit.pav.idx.all.ker.3</t>
        </is>
      </c>
      <c r="AH1108" s="28" t="n">
        <v>1</v>
      </c>
      <c r="AI1108" s="28" t="n">
        <v>1</v>
      </c>
      <c r="AJ1108" s="28" t="n">
        <v>1</v>
      </c>
      <c r="AK1108" s="28" t="n">
        <v>1</v>
      </c>
      <c r="AL1108" s="28" t="n">
        <v>1</v>
      </c>
      <c r="AM1108" s="28" t="n">
        <v>1.201081066807086</v>
      </c>
      <c r="AN1108" s="28" t="n">
        <v>1.201081194491864</v>
      </c>
      <c r="AO1108" s="28" t="n">
        <v>1.201081288399285</v>
      </c>
      <c r="AP1108" s="28" t="n">
        <v>1.201081320544836</v>
      </c>
      <c r="AQ1108" s="28" t="n">
        <v>1.201081355549589</v>
      </c>
      <c r="AR1108" s="28" t="n">
        <v>1.201081373749286</v>
      </c>
      <c r="AS1108" s="28" t="n">
        <v>1.201081393377716</v>
      </c>
      <c r="AT1108" s="28" t="n">
        <v>1.201081408429904</v>
      </c>
      <c r="AU1108" s="28" t="n">
        <v>1.201081411569728</v>
      </c>
      <c r="AV1108" s="28" t="n">
        <v>1.201081407583801</v>
      </c>
      <c r="AW1108" s="28" t="n">
        <v>1.201081399280988</v>
      </c>
      <c r="AX1108" s="28" t="n">
        <v>1.201081377722827</v>
      </c>
      <c r="AY1108" s="28" t="n">
        <v>1.201081345376046</v>
      </c>
      <c r="AZ1108" s="28" t="n">
        <v>1.201081299681786</v>
      </c>
      <c r="BA1108" s="28" t="n">
        <v>1.201081244772476</v>
      </c>
      <c r="BC1108" s="20" t="inlineStr">
        <is>
          <t>egy.mit.pav.idx.all.ker.4</t>
        </is>
      </c>
      <c r="BD1108" s="28" t="n">
        <v>1</v>
      </c>
      <c r="BE1108" s="28" t="n">
        <v>1</v>
      </c>
      <c r="BF1108" s="28" t="n">
        <v>1</v>
      </c>
      <c r="BG1108" s="28" t="n">
        <v>1</v>
      </c>
      <c r="BH1108" s="28" t="n">
        <v>1</v>
      </c>
      <c r="BI1108" s="28" t="n">
        <v>1.100540802683463</v>
      </c>
      <c r="BJ1108" s="28" t="n">
        <v>1.234596372948152</v>
      </c>
      <c r="BK1108" s="28" t="n">
        <v>1.368652943304403</v>
      </c>
      <c r="BL1108" s="28" t="n">
        <v>1.502710217933603</v>
      </c>
      <c r="BM1108" s="28" t="n">
        <v>1.63676645526822</v>
      </c>
      <c r="BN1108" s="28" t="n">
        <v>1.770822804474528</v>
      </c>
      <c r="BO1108" s="28" t="n">
        <v>1.904879291401381</v>
      </c>
      <c r="BP1108" s="28" t="n">
        <v>2.038935933850601</v>
      </c>
      <c r="BQ1108" s="28" t="n">
        <v>2.172992719666593</v>
      </c>
      <c r="BR1108" s="28" t="n">
        <v>2.30704964186023</v>
      </c>
      <c r="BS1108" s="28" t="n">
        <v>2.441106705866075</v>
      </c>
      <c r="BT1108" s="28" t="n">
        <v>2.575163884053458</v>
      </c>
      <c r="BU1108" s="28" t="n">
        <v>2.709221150366628</v>
      </c>
      <c r="BV1108" s="28" t="n">
        <v>2.843278455604985</v>
      </c>
      <c r="BW1108" s="28" t="n">
        <v>2.977335771580596</v>
      </c>
      <c r="BY1108" s="20" t="inlineStr">
        <is>
          <t>egy.mit.pav.idx.all.ker.5</t>
        </is>
      </c>
      <c r="BZ1108" s="28" t="n">
        <v>1</v>
      </c>
      <c r="CA1108" s="28" t="n">
        <v>1</v>
      </c>
      <c r="CB1108" s="28" t="n">
        <v>1</v>
      </c>
      <c r="CC1108" s="28" t="n">
        <v>1</v>
      </c>
      <c r="CD1108" s="28" t="n">
        <v>1</v>
      </c>
      <c r="CE1108" s="28" t="n">
        <v>1.251351419104141</v>
      </c>
      <c r="CF1108" s="28" t="n">
        <v>1.25135157958277</v>
      </c>
      <c r="CG1108" s="28" t="n">
        <v>1.251351696791831</v>
      </c>
      <c r="CH1108" s="28" t="n">
        <v>1.25135173872399</v>
      </c>
      <c r="CI1108" s="28" t="n">
        <v>1.251351786265114</v>
      </c>
      <c r="CJ1108" s="28" t="n">
        <v>1.251351809023914</v>
      </c>
      <c r="CK1108" s="28" t="n">
        <v>1.25135183528491</v>
      </c>
      <c r="CL1108" s="28" t="n">
        <v>1.251351850187833</v>
      </c>
      <c r="CM1108" s="28" t="n">
        <v>1.25135185138359</v>
      </c>
      <c r="CN1108" s="28" t="n">
        <v>1.25135184372105</v>
      </c>
      <c r="CO1108" s="28" t="n">
        <v>1.251351829340005</v>
      </c>
      <c r="CP1108" s="28" t="n">
        <v>1.251351799004548</v>
      </c>
      <c r="CQ1108" s="28" t="n">
        <v>1.251351757132934</v>
      </c>
      <c r="CR1108" s="28" t="n">
        <v>1.251351700011299</v>
      </c>
      <c r="CS1108" s="28" t="n">
        <v>1.251351633785471</v>
      </c>
      <c r="CU1108" s="20" t="inlineStr">
        <is>
          <t>egy.mit.pav.idx.all.ker.6</t>
        </is>
      </c>
      <c r="CV1108" s="28" t="n">
        <v>1</v>
      </c>
      <c r="CW1108" s="28" t="n">
        <v>1</v>
      </c>
      <c r="CX1108" s="28" t="n">
        <v>1</v>
      </c>
      <c r="CY1108" s="28" t="n">
        <v>1</v>
      </c>
      <c r="CZ1108" s="28" t="n">
        <v>1</v>
      </c>
      <c r="DA1108" s="28" t="n">
        <v>1.50270371432078</v>
      </c>
      <c r="DB1108" s="28" t="n">
        <v>1.50270404314826</v>
      </c>
      <c r="DC1108" s="28" t="n">
        <v>1.502704303067882</v>
      </c>
      <c r="DD1108" s="28" t="n">
        <v>1.502704355650713</v>
      </c>
      <c r="DE1108" s="28" t="n">
        <v>1.502704461149902</v>
      </c>
      <c r="DF1108" s="28" t="n">
        <v>1.502704499493701</v>
      </c>
      <c r="DG1108" s="28" t="n">
        <v>1.502704577311926</v>
      </c>
      <c r="DH1108" s="28" t="n">
        <v>1.502704652840597</v>
      </c>
      <c r="DI1108" s="28" t="n">
        <v>1.50270469200779</v>
      </c>
      <c r="DJ1108" s="28" t="n">
        <v>1.502704717671101</v>
      </c>
      <c r="DK1108" s="28" t="n">
        <v>1.50270474466618</v>
      </c>
      <c r="DL1108" s="28" t="n">
        <v>1.502704723891782</v>
      </c>
      <c r="DM1108" s="28" t="n">
        <v>1.502704670083288</v>
      </c>
      <c r="DN1108" s="28" t="n">
        <v>1.502704567750644</v>
      </c>
      <c r="DO1108" s="28" t="n">
        <v>1.50270443910356</v>
      </c>
    </row>
    <row r="1109">
      <c r="A1109" s="19" t="inlineStr">
        <is>
          <t>mit.pav.idx.all.jfu</t>
        </is>
      </c>
      <c r="B1109" s="3" t="inlineStr">
        <is>
          <t>mit</t>
        </is>
      </c>
      <c r="C1109" s="19" t="n"/>
      <c r="H1109" s="3" t="inlineStr">
        <is>
          <t>Price index reported (Settings C54: Legacy* = pav.lidx, Laspeyres = pav.las) | All sectors | Jet fuel</t>
        </is>
      </c>
      <c r="I1109" s="3" t="inlineStr">
        <is>
          <t>index</t>
        </is>
      </c>
      <c r="K1109" s="20" t="inlineStr">
        <is>
          <t>egy.mit.pav.idx.all.jfu.1</t>
        </is>
      </c>
      <c r="L1109" s="28" t="n">
        <v>1</v>
      </c>
      <c r="M1109" s="28" t="n">
        <v>1</v>
      </c>
      <c r="N1109" s="28" t="n">
        <v>1</v>
      </c>
      <c r="O1109" s="28" t="n">
        <v>1</v>
      </c>
      <c r="P1109" s="28" t="n">
        <v>1</v>
      </c>
      <c r="Q1109" s="28" t="n">
        <v>1</v>
      </c>
      <c r="R1109" s="28" t="n">
        <v>1</v>
      </c>
      <c r="S1109" s="28" t="n">
        <v>1</v>
      </c>
      <c r="T1109" s="28" t="n">
        <v>1</v>
      </c>
      <c r="U1109" s="28" t="n">
        <v>1</v>
      </c>
      <c r="V1109" s="28" t="n">
        <v>1</v>
      </c>
      <c r="W1109" s="28" t="n">
        <v>1</v>
      </c>
      <c r="X1109" s="28" t="n">
        <v>1</v>
      </c>
      <c r="Y1109" s="28" t="n">
        <v>1</v>
      </c>
      <c r="Z1109" s="28" t="n">
        <v>1</v>
      </c>
      <c r="AA1109" s="28" t="n">
        <v>1</v>
      </c>
      <c r="AB1109" s="28" t="n">
        <v>1</v>
      </c>
      <c r="AC1109" s="28" t="n">
        <v>1</v>
      </c>
      <c r="AD1109" s="28" t="n">
        <v>1</v>
      </c>
      <c r="AE1109" s="28" t="n">
        <v>1</v>
      </c>
      <c r="AG1109" s="20" t="inlineStr">
        <is>
          <t>egy.mit.pav.idx.all.jfu.3</t>
        </is>
      </c>
      <c r="AH1109" s="28" t="n">
        <v>1</v>
      </c>
      <c r="AI1109" s="28" t="n">
        <v>1</v>
      </c>
      <c r="AJ1109" s="28" t="n">
        <v>1</v>
      </c>
      <c r="AK1109" s="28" t="n">
        <v>1</v>
      </c>
      <c r="AL1109" s="28" t="n">
        <v>1</v>
      </c>
      <c r="AM1109" s="28" t="n">
        <v>1.201184722718287</v>
      </c>
      <c r="AN1109" s="28" t="n">
        <v>1.201184722718287</v>
      </c>
      <c r="AO1109" s="28" t="n">
        <v>1.201184722718287</v>
      </c>
      <c r="AP1109" s="28" t="n">
        <v>1.201184722718287</v>
      </c>
      <c r="AQ1109" s="28" t="n">
        <v>1.201184722718287</v>
      </c>
      <c r="AR1109" s="28" t="n">
        <v>1.201184722718287</v>
      </c>
      <c r="AS1109" s="28" t="n">
        <v>1.201184722718287</v>
      </c>
      <c r="AT1109" s="28" t="n">
        <v>1.201184722718287</v>
      </c>
      <c r="AU1109" s="28" t="n">
        <v>1.201184722718287</v>
      </c>
      <c r="AV1109" s="28" t="n">
        <v>1.201184722718287</v>
      </c>
      <c r="AW1109" s="28" t="n">
        <v>1.201184722718287</v>
      </c>
      <c r="AX1109" s="28" t="n">
        <v>1.201184722718287</v>
      </c>
      <c r="AY1109" s="28" t="n">
        <v>1.201184722718287</v>
      </c>
      <c r="AZ1109" s="28" t="n">
        <v>1.201184722718287</v>
      </c>
      <c r="BA1109" s="28" t="n">
        <v>1.201184722718287</v>
      </c>
      <c r="BC1109" s="20" t="inlineStr">
        <is>
          <t>egy.mit.pav.idx.all.jfu.4</t>
        </is>
      </c>
      <c r="BD1109" s="28" t="n">
        <v>1</v>
      </c>
      <c r="BE1109" s="28" t="n">
        <v>1</v>
      </c>
      <c r="BF1109" s="28" t="n">
        <v>1</v>
      </c>
      <c r="BG1109" s="28" t="n">
        <v>1</v>
      </c>
      <c r="BH1109" s="28" t="n">
        <v>1</v>
      </c>
      <c r="BI1109" s="28" t="n">
        <v>1.100592361359144</v>
      </c>
      <c r="BJ1109" s="28" t="n">
        <v>1.234715509838002</v>
      </c>
      <c r="BK1109" s="28" t="n">
        <v>1.36883865831686</v>
      </c>
      <c r="BL1109" s="28" t="n">
        <v>1.502961806795718</v>
      </c>
      <c r="BM1109" s="28" t="n">
        <v>1.637084955274576</v>
      </c>
      <c r="BN1109" s="28" t="n">
        <v>1.771208103753434</v>
      </c>
      <c r="BO1109" s="28" t="n">
        <v>1.905331252232292</v>
      </c>
      <c r="BP1109" s="28" t="n">
        <v>2.039454400711149</v>
      </c>
      <c r="BQ1109" s="28" t="n">
        <v>2.173577549190008</v>
      </c>
      <c r="BR1109" s="28" t="n">
        <v>2.307700697668865</v>
      </c>
      <c r="BS1109" s="28" t="n">
        <v>2.441823846147724</v>
      </c>
      <c r="BT1109" s="28" t="n">
        <v>2.575946994626581</v>
      </c>
      <c r="BU1109" s="28" t="n">
        <v>2.710070143105439</v>
      </c>
      <c r="BV1109" s="28" t="n">
        <v>2.844193291584297</v>
      </c>
      <c r="BW1109" s="28" t="n">
        <v>2.978316440063155</v>
      </c>
      <c r="BY1109" s="20" t="inlineStr">
        <is>
          <t>egy.mit.pav.idx.all.jfu.5</t>
        </is>
      </c>
      <c r="BZ1109" s="28" t="n">
        <v>1</v>
      </c>
      <c r="CA1109" s="28" t="n">
        <v>1</v>
      </c>
      <c r="CB1109" s="28" t="n">
        <v>1</v>
      </c>
      <c r="CC1109" s="28" t="n">
        <v>1</v>
      </c>
      <c r="CD1109" s="28" t="n">
        <v>1</v>
      </c>
      <c r="CE1109" s="28" t="n">
        <v>1.251480903397859</v>
      </c>
      <c r="CF1109" s="28" t="n">
        <v>1.251480903397859</v>
      </c>
      <c r="CG1109" s="28" t="n">
        <v>1.251480903397859</v>
      </c>
      <c r="CH1109" s="28" t="n">
        <v>1.251480903397859</v>
      </c>
      <c r="CI1109" s="28" t="n">
        <v>1.251480903397859</v>
      </c>
      <c r="CJ1109" s="28" t="n">
        <v>1.251480903397859</v>
      </c>
      <c r="CK1109" s="28" t="n">
        <v>1.251480903397859</v>
      </c>
      <c r="CL1109" s="28" t="n">
        <v>1.251480903397859</v>
      </c>
      <c r="CM1109" s="28" t="n">
        <v>1.251480903397859</v>
      </c>
      <c r="CN1109" s="28" t="n">
        <v>1.251480903397859</v>
      </c>
      <c r="CO1109" s="28" t="n">
        <v>1.251480903397859</v>
      </c>
      <c r="CP1109" s="28" t="n">
        <v>1.251480903397859</v>
      </c>
      <c r="CQ1109" s="28" t="n">
        <v>1.251480903397859</v>
      </c>
      <c r="CR1109" s="28" t="n">
        <v>1.251480903397859</v>
      </c>
      <c r="CS1109" s="28" t="n">
        <v>1.251480903397859</v>
      </c>
      <c r="CU1109" s="20" t="inlineStr">
        <is>
          <t>egy.mit.pav.idx.all.jfu.6</t>
        </is>
      </c>
      <c r="CV1109" s="28" t="n">
        <v>1</v>
      </c>
      <c r="CW1109" s="28" t="n">
        <v>1</v>
      </c>
      <c r="CX1109" s="28" t="n">
        <v>1</v>
      </c>
      <c r="CY1109" s="28" t="n">
        <v>1</v>
      </c>
      <c r="CZ1109" s="28" t="n">
        <v>1</v>
      </c>
      <c r="DA1109" s="28" t="n">
        <v>1.502961806795718</v>
      </c>
      <c r="DB1109" s="28" t="n">
        <v>1.502961806795718</v>
      </c>
      <c r="DC1109" s="28" t="n">
        <v>1.502961806795718</v>
      </c>
      <c r="DD1109" s="28" t="n">
        <v>1.502961806795718</v>
      </c>
      <c r="DE1109" s="28" t="n">
        <v>1.502961806795718</v>
      </c>
      <c r="DF1109" s="28" t="n">
        <v>1.502961806795718</v>
      </c>
      <c r="DG1109" s="28" t="n">
        <v>1.502961806795718</v>
      </c>
      <c r="DH1109" s="28" t="n">
        <v>1.502961806795717</v>
      </c>
      <c r="DI1109" s="28" t="n">
        <v>1.502961806795717</v>
      </c>
      <c r="DJ1109" s="28" t="n">
        <v>1.502961806795717</v>
      </c>
      <c r="DK1109" s="28" t="n">
        <v>1.502961806795718</v>
      </c>
      <c r="DL1109" s="28" t="n">
        <v>1.502961806795717</v>
      </c>
      <c r="DM1109" s="28" t="n">
        <v>1.502961806795718</v>
      </c>
      <c r="DN1109" s="28" t="n">
        <v>1.502961806795717</v>
      </c>
      <c r="DO1109" s="28" t="n">
        <v>1.502961806795717</v>
      </c>
    </row>
    <row r="1110">
      <c r="A1110" s="19" t="inlineStr">
        <is>
          <t>mit.pav.idx.all.oop</t>
        </is>
      </c>
      <c r="B1110" s="3" t="inlineStr">
        <is>
          <t>mit</t>
        </is>
      </c>
      <c r="C1110" s="19" t="n"/>
      <c r="H1110" s="3" t="inlineStr">
        <is>
          <t>Price index reported (Settings C54: Legacy* = pav.lidx, Laspeyres = pav.las) | All sectors | Other oil products</t>
        </is>
      </c>
      <c r="I1110" s="3" t="inlineStr">
        <is>
          <t>index</t>
        </is>
      </c>
      <c r="K1110" s="20" t="inlineStr">
        <is>
          <t>egy.mit.pav.idx.all.oop.1</t>
        </is>
      </c>
      <c r="L1110" s="28" t="n">
        <v>1</v>
      </c>
      <c r="M1110" s="28" t="n">
        <v>1</v>
      </c>
      <c r="N1110" s="28" t="n">
        <v>1</v>
      </c>
      <c r="O1110" s="28" t="n">
        <v>1</v>
      </c>
      <c r="P1110" s="28" t="n">
        <v>1</v>
      </c>
      <c r="Q1110" s="28" t="n">
        <v>1</v>
      </c>
      <c r="R1110" s="28" t="n">
        <v>1</v>
      </c>
      <c r="S1110" s="28" t="n">
        <v>1</v>
      </c>
      <c r="T1110" s="28" t="n">
        <v>1</v>
      </c>
      <c r="U1110" s="28" t="n">
        <v>1</v>
      </c>
      <c r="V1110" s="28" t="n">
        <v>1</v>
      </c>
      <c r="W1110" s="28" t="n">
        <v>1</v>
      </c>
      <c r="X1110" s="28" t="n">
        <v>1</v>
      </c>
      <c r="Y1110" s="28" t="n">
        <v>1</v>
      </c>
      <c r="Z1110" s="28" t="n">
        <v>1</v>
      </c>
      <c r="AA1110" s="28" t="n">
        <v>1</v>
      </c>
      <c r="AB1110" s="28" t="n">
        <v>1</v>
      </c>
      <c r="AC1110" s="28" t="n">
        <v>1</v>
      </c>
      <c r="AD1110" s="28" t="n">
        <v>1</v>
      </c>
      <c r="AE1110" s="28" t="n">
        <v>1</v>
      </c>
      <c r="AG1110" s="20" t="inlineStr">
        <is>
          <t>egy.mit.pav.idx.all.oop.3</t>
        </is>
      </c>
      <c r="AH1110" s="28" t="n">
        <v>1</v>
      </c>
      <c r="AI1110" s="28" t="n">
        <v>1</v>
      </c>
      <c r="AJ1110" s="28" t="n">
        <v>1</v>
      </c>
      <c r="AK1110" s="28" t="n">
        <v>1</v>
      </c>
      <c r="AL1110" s="28" t="n">
        <v>1</v>
      </c>
      <c r="AM1110" s="28" t="n">
        <v>1.347856529774556</v>
      </c>
      <c r="AN1110" s="28" t="n">
        <v>1.347860453526465</v>
      </c>
      <c r="AO1110" s="28" t="n">
        <v>1.347864364499654</v>
      </c>
      <c r="AP1110" s="28" t="n">
        <v>1.347868262725736</v>
      </c>
      <c r="AQ1110" s="28" t="n">
        <v>1.347872148236319</v>
      </c>
      <c r="AR1110" s="28" t="n">
        <v>1.347876021063004</v>
      </c>
      <c r="AS1110" s="28" t="n">
        <v>1.347879881237386</v>
      </c>
      <c r="AT1110" s="28" t="n">
        <v>1.347883728791052</v>
      </c>
      <c r="AU1110" s="28" t="n">
        <v>1.347887563755584</v>
      </c>
      <c r="AV1110" s="28" t="n">
        <v>1.347891386162555</v>
      </c>
      <c r="AW1110" s="28" t="n">
        <v>1.347895196043526</v>
      </c>
      <c r="AX1110" s="28" t="n">
        <v>1.347898993430051</v>
      </c>
      <c r="AY1110" s="28" t="n">
        <v>1.347902778353675</v>
      </c>
      <c r="AZ1110" s="28" t="n">
        <v>1.34790655084593</v>
      </c>
      <c r="BA1110" s="28" t="n">
        <v>1.347910310938339</v>
      </c>
      <c r="BC1110" s="20" t="inlineStr">
        <is>
          <t>egy.mit.pav.idx.all.oop.4</t>
        </is>
      </c>
      <c r="BD1110" s="28" t="n">
        <v>1</v>
      </c>
      <c r="BE1110" s="28" t="n">
        <v>1</v>
      </c>
      <c r="BF1110" s="28" t="n">
        <v>1</v>
      </c>
      <c r="BG1110" s="28" t="n">
        <v>1</v>
      </c>
      <c r="BH1110" s="28" t="n">
        <v>1</v>
      </c>
      <c r="BI1110" s="28" t="n">
        <v>1.174553738627305</v>
      </c>
      <c r="BJ1110" s="28" t="n">
        <v>1.405551156441793</v>
      </c>
      <c r="BK1110" s="28" t="n">
        <v>1.634906767198493</v>
      </c>
      <c r="BL1110" s="28" t="n">
        <v>1.862875540549069</v>
      </c>
      <c r="BM1110" s="28" t="n">
        <v>2.089209191626324</v>
      </c>
      <c r="BN1110" s="28" t="n">
        <v>2.314161754844009</v>
      </c>
      <c r="BO1110" s="28" t="n">
        <v>2.537808467624062</v>
      </c>
      <c r="BP1110" s="28" t="n">
        <v>2.760213470194007</v>
      </c>
      <c r="BQ1110" s="28" t="n">
        <v>2.981432337182225</v>
      </c>
      <c r="BR1110" s="28" t="n">
        <v>3.20151386248692</v>
      </c>
      <c r="BS1110" s="28" t="n">
        <v>3.420501359852924</v>
      </c>
      <c r="BT1110" s="28" t="n">
        <v>3.638433636658112</v>
      </c>
      <c r="BU1110" s="28" t="n">
        <v>3.855345739834107</v>
      </c>
      <c r="BV1110" s="28" t="n">
        <v>4.071269538447881</v>
      </c>
      <c r="BW1110" s="28" t="n">
        <v>4.286234186400069</v>
      </c>
      <c r="BY1110" s="20" t="inlineStr">
        <is>
          <t>egy.mit.pav.idx.all.oop.5</t>
        </is>
      </c>
      <c r="BZ1110" s="28" t="n">
        <v>1</v>
      </c>
      <c r="CA1110" s="28" t="n">
        <v>1</v>
      </c>
      <c r="CB1110" s="28" t="n">
        <v>1</v>
      </c>
      <c r="CC1110" s="28" t="n">
        <v>1</v>
      </c>
      <c r="CD1110" s="28" t="n">
        <v>1</v>
      </c>
      <c r="CE1110" s="28" t="n">
        <v>1.434085074636628</v>
      </c>
      <c r="CF1110" s="28" t="n">
        <v>1.434089734933171</v>
      </c>
      <c r="CG1110" s="28" t="n">
        <v>1.434094380064681</v>
      </c>
      <c r="CH1110" s="28" t="n">
        <v>1.434099010068585</v>
      </c>
      <c r="CI1110" s="28" t="n">
        <v>1.4341036249823</v>
      </c>
      <c r="CJ1110" s="28" t="n">
        <v>1.434108224843243</v>
      </c>
      <c r="CK1110" s="28" t="n">
        <v>1.43411280968882</v>
      </c>
      <c r="CL1110" s="28" t="n">
        <v>1.434117379556429</v>
      </c>
      <c r="CM1110" s="28" t="n">
        <v>1.434121934483461</v>
      </c>
      <c r="CN1110" s="28" t="n">
        <v>1.434126474507301</v>
      </c>
      <c r="CO1110" s="28" t="n">
        <v>1.434130999665318</v>
      </c>
      <c r="CP1110" s="28" t="n">
        <v>1.434135509994874</v>
      </c>
      <c r="CQ1110" s="28" t="n">
        <v>1.434140005533322</v>
      </c>
      <c r="CR1110" s="28" t="n">
        <v>1.434144486317998</v>
      </c>
      <c r="CS1110" s="28" t="n">
        <v>1.434148952386229</v>
      </c>
      <c r="CU1110" s="20" t="inlineStr">
        <is>
          <t>egy.mit.pav.idx.all.oop.6</t>
        </is>
      </c>
      <c r="CV1110" s="28" t="n">
        <v>1</v>
      </c>
      <c r="CW1110" s="28" t="n">
        <v>1</v>
      </c>
      <c r="CX1110" s="28" t="n">
        <v>1</v>
      </c>
      <c r="CY1110" s="28" t="n">
        <v>1</v>
      </c>
      <c r="CZ1110" s="28" t="n">
        <v>1</v>
      </c>
      <c r="DA1110" s="28" t="n">
        <v>1.861352064806344</v>
      </c>
      <c r="DB1110" s="28" t="n">
        <v>1.861359045125193</v>
      </c>
      <c r="DC1110" s="28" t="n">
        <v>1.86136600279884</v>
      </c>
      <c r="DD1110" s="28" t="n">
        <v>1.861372937882664</v>
      </c>
      <c r="DE1110" s="28" t="n">
        <v>1.861379850432043</v>
      </c>
      <c r="DF1110" s="28" t="n">
        <v>1.861386740502349</v>
      </c>
      <c r="DG1110" s="28" t="n">
        <v>1.861393608148948</v>
      </c>
      <c r="DH1110" s="28" t="n">
        <v>1.861400453427198</v>
      </c>
      <c r="DI1110" s="28" t="n">
        <v>1.861407276392453</v>
      </c>
      <c r="DJ1110" s="28" t="n">
        <v>1.861414077100053</v>
      </c>
      <c r="DK1110" s="28" t="n">
        <v>1.861420855605329</v>
      </c>
      <c r="DL1110" s="28" t="n">
        <v>1.861427611963601</v>
      </c>
      <c r="DM1110" s="28" t="n">
        <v>1.861434346230179</v>
      </c>
      <c r="DN1110" s="28" t="n">
        <v>1.861441058460353</v>
      </c>
      <c r="DO1110" s="28" t="n">
        <v>1.861447748709405</v>
      </c>
    </row>
    <row r="1111">
      <c r="A1111" s="19" t="inlineStr">
        <is>
          <t>mit.pav.idx.all.bio</t>
        </is>
      </c>
      <c r="B1111" s="3" t="inlineStr">
        <is>
          <t>mit</t>
        </is>
      </c>
      <c r="C1111" s="19" t="n"/>
      <c r="H1111" s="3" t="inlineStr">
        <is>
          <t>Price index reported (Settings C54: Legacy* = pav.lidx, Laspeyres = pav.las) | All sectors | Biomass</t>
        </is>
      </c>
      <c r="I1111" s="3" t="inlineStr">
        <is>
          <t>index</t>
        </is>
      </c>
      <c r="K1111" s="20" t="inlineStr">
        <is>
          <t>egy.mit.pav.idx.all.bio.1</t>
        </is>
      </c>
      <c r="L1111" s="28" t="n">
        <v>1</v>
      </c>
      <c r="M1111" s="28" t="n">
        <v>1</v>
      </c>
      <c r="N1111" s="28" t="n">
        <v>1</v>
      </c>
      <c r="O1111" s="28" t="n">
        <v>1</v>
      </c>
      <c r="P1111" s="28" t="n">
        <v>1</v>
      </c>
      <c r="Q1111" s="28" t="n">
        <v>1</v>
      </c>
      <c r="R1111" s="28" t="n">
        <v>1</v>
      </c>
      <c r="S1111" s="28" t="n">
        <v>1</v>
      </c>
      <c r="T1111" s="28" t="n">
        <v>1</v>
      </c>
      <c r="U1111" s="28" t="n">
        <v>1</v>
      </c>
      <c r="V1111" s="28" t="n">
        <v>1</v>
      </c>
      <c r="W1111" s="28" t="n">
        <v>1</v>
      </c>
      <c r="X1111" s="28" t="n">
        <v>1</v>
      </c>
      <c r="Y1111" s="28" t="n">
        <v>1</v>
      </c>
      <c r="Z1111" s="28" t="n">
        <v>1</v>
      </c>
      <c r="AA1111" s="28" t="n">
        <v>1</v>
      </c>
      <c r="AB1111" s="28" t="n">
        <v>1</v>
      </c>
      <c r="AC1111" s="28" t="n">
        <v>1</v>
      </c>
      <c r="AD1111" s="28" t="n">
        <v>1</v>
      </c>
      <c r="AE1111" s="28" t="n">
        <v>1</v>
      </c>
      <c r="AG1111" s="20" t="inlineStr">
        <is>
          <t>egy.mit.pav.idx.all.bio.3</t>
        </is>
      </c>
      <c r="AH1111" s="28" t="n">
        <v>1</v>
      </c>
      <c r="AI1111" s="28" t="n">
        <v>1</v>
      </c>
      <c r="AJ1111" s="28" t="n">
        <v>1</v>
      </c>
      <c r="AK1111" s="28" t="n">
        <v>1</v>
      </c>
      <c r="AL1111" s="28" t="n">
        <v>1</v>
      </c>
      <c r="AM1111" s="28" t="n">
        <v>1</v>
      </c>
      <c r="AN1111" s="28" t="n">
        <v>1</v>
      </c>
      <c r="AO1111" s="28" t="n">
        <v>1</v>
      </c>
      <c r="AP1111" s="28" t="n">
        <v>1</v>
      </c>
      <c r="AQ1111" s="28" t="n">
        <v>1</v>
      </c>
      <c r="AR1111" s="28" t="n">
        <v>1</v>
      </c>
      <c r="AS1111" s="28" t="n">
        <v>1</v>
      </c>
      <c r="AT1111" s="28" t="n">
        <v>1</v>
      </c>
      <c r="AU1111" s="28" t="n">
        <v>1</v>
      </c>
      <c r="AV1111" s="28" t="n">
        <v>1</v>
      </c>
      <c r="AW1111" s="28" t="n">
        <v>1</v>
      </c>
      <c r="AX1111" s="28" t="n">
        <v>1</v>
      </c>
      <c r="AY1111" s="28" t="n">
        <v>1</v>
      </c>
      <c r="AZ1111" s="28" t="n">
        <v>1</v>
      </c>
      <c r="BA1111" s="28" t="n">
        <v>1</v>
      </c>
      <c r="BC1111" s="20" t="inlineStr">
        <is>
          <t>egy.mit.pav.idx.all.bio.4</t>
        </is>
      </c>
      <c r="BD1111" s="28" t="n">
        <v>1</v>
      </c>
      <c r="BE1111" s="28" t="n">
        <v>1</v>
      </c>
      <c r="BF1111" s="28" t="n">
        <v>1</v>
      </c>
      <c r="BG1111" s="28" t="n">
        <v>1</v>
      </c>
      <c r="BH1111" s="28" t="n">
        <v>1</v>
      </c>
      <c r="BI1111" s="28" t="n">
        <v>1</v>
      </c>
      <c r="BJ1111" s="28" t="n">
        <v>1</v>
      </c>
      <c r="BK1111" s="28" t="n">
        <v>1</v>
      </c>
      <c r="BL1111" s="28" t="n">
        <v>1</v>
      </c>
      <c r="BM1111" s="28" t="n">
        <v>1</v>
      </c>
      <c r="BN1111" s="28" t="n">
        <v>1</v>
      </c>
      <c r="BO1111" s="28" t="n">
        <v>1</v>
      </c>
      <c r="BP1111" s="28" t="n">
        <v>1</v>
      </c>
      <c r="BQ1111" s="28" t="n">
        <v>1</v>
      </c>
      <c r="BR1111" s="28" t="n">
        <v>1</v>
      </c>
      <c r="BS1111" s="28" t="n">
        <v>1</v>
      </c>
      <c r="BT1111" s="28" t="n">
        <v>1</v>
      </c>
      <c r="BU1111" s="28" t="n">
        <v>1</v>
      </c>
      <c r="BV1111" s="28" t="n">
        <v>1</v>
      </c>
      <c r="BW1111" s="28" t="n">
        <v>1</v>
      </c>
      <c r="BY1111" s="20" t="inlineStr">
        <is>
          <t>egy.mit.pav.idx.all.bio.5</t>
        </is>
      </c>
      <c r="BZ1111" s="28" t="n">
        <v>1</v>
      </c>
      <c r="CA1111" s="28" t="n">
        <v>1</v>
      </c>
      <c r="CB1111" s="28" t="n">
        <v>1</v>
      </c>
      <c r="CC1111" s="28" t="n">
        <v>1</v>
      </c>
      <c r="CD1111" s="28" t="n">
        <v>1</v>
      </c>
      <c r="CE1111" s="28" t="n">
        <v>1</v>
      </c>
      <c r="CF1111" s="28" t="n">
        <v>1</v>
      </c>
      <c r="CG1111" s="28" t="n">
        <v>1</v>
      </c>
      <c r="CH1111" s="28" t="n">
        <v>1</v>
      </c>
      <c r="CI1111" s="28" t="n">
        <v>1</v>
      </c>
      <c r="CJ1111" s="28" t="n">
        <v>1</v>
      </c>
      <c r="CK1111" s="28" t="n">
        <v>1</v>
      </c>
      <c r="CL1111" s="28" t="n">
        <v>1</v>
      </c>
      <c r="CM1111" s="28" t="n">
        <v>1</v>
      </c>
      <c r="CN1111" s="28" t="n">
        <v>1</v>
      </c>
      <c r="CO1111" s="28" t="n">
        <v>1</v>
      </c>
      <c r="CP1111" s="28" t="n">
        <v>1</v>
      </c>
      <c r="CQ1111" s="28" t="n">
        <v>1</v>
      </c>
      <c r="CR1111" s="28" t="n">
        <v>1</v>
      </c>
      <c r="CS1111" s="28" t="n">
        <v>1</v>
      </c>
      <c r="CU1111" s="20" t="inlineStr">
        <is>
          <t>egy.mit.pav.idx.all.bio.6</t>
        </is>
      </c>
      <c r="CV1111" s="28" t="n">
        <v>1</v>
      </c>
      <c r="CW1111" s="28" t="n">
        <v>1</v>
      </c>
      <c r="CX1111" s="28" t="n">
        <v>1</v>
      </c>
      <c r="CY1111" s="28" t="n">
        <v>1</v>
      </c>
      <c r="CZ1111" s="28" t="n">
        <v>1</v>
      </c>
      <c r="DA1111" s="28" t="n">
        <v>1</v>
      </c>
      <c r="DB1111" s="28" t="n">
        <v>1</v>
      </c>
      <c r="DC1111" s="28" t="n">
        <v>1</v>
      </c>
      <c r="DD1111" s="28" t="n">
        <v>1</v>
      </c>
      <c r="DE1111" s="28" t="n">
        <v>1</v>
      </c>
      <c r="DF1111" s="28" t="n">
        <v>1</v>
      </c>
      <c r="DG1111" s="28" t="n">
        <v>1</v>
      </c>
      <c r="DH1111" s="28" t="n">
        <v>1</v>
      </c>
      <c r="DI1111" s="28" t="n">
        <v>1</v>
      </c>
      <c r="DJ1111" s="28" t="n">
        <v>1</v>
      </c>
      <c r="DK1111" s="28" t="n">
        <v>1</v>
      </c>
      <c r="DL1111" s="28" t="n">
        <v>1</v>
      </c>
      <c r="DM1111" s="28" t="n">
        <v>1</v>
      </c>
      <c r="DN1111" s="28" t="n">
        <v>1</v>
      </c>
      <c r="DO1111" s="28" t="n">
        <v>1</v>
      </c>
    </row>
    <row r="1112">
      <c r="A1112" s="19" t="inlineStr">
        <is>
          <t>mit.pav.idx.all.ecy</t>
        </is>
      </c>
      <c r="B1112" s="3" t="inlineStr">
        <is>
          <t>mit</t>
        </is>
      </c>
      <c r="C1112" s="19" t="n"/>
      <c r="H1112" s="3" t="inlineStr">
        <is>
          <t>Price index reported (Settings C54: Legacy* = pav.lidx, Laspeyres = pav.las) | All sectors | Electricity</t>
        </is>
      </c>
      <c r="I1112" s="3" t="inlineStr">
        <is>
          <t>index</t>
        </is>
      </c>
      <c r="K1112" s="20" t="inlineStr">
        <is>
          <t>egy.mit.pav.idx.all.ecy.1</t>
        </is>
      </c>
      <c r="L1112" s="28" t="n">
        <v>1</v>
      </c>
      <c r="M1112" s="28" t="n">
        <v>1</v>
      </c>
      <c r="N1112" s="28" t="n">
        <v>1</v>
      </c>
      <c r="O1112" s="28" t="n">
        <v>1</v>
      </c>
      <c r="P1112" s="28" t="n">
        <v>1</v>
      </c>
      <c r="Q1112" s="28" t="n">
        <v>1</v>
      </c>
      <c r="R1112" s="28" t="n">
        <v>1</v>
      </c>
      <c r="S1112" s="28" t="n">
        <v>1</v>
      </c>
      <c r="T1112" s="28" t="n">
        <v>1</v>
      </c>
      <c r="U1112" s="28" t="n">
        <v>1</v>
      </c>
      <c r="V1112" s="28" t="n">
        <v>1</v>
      </c>
      <c r="W1112" s="28" t="n">
        <v>1</v>
      </c>
      <c r="X1112" s="28" t="n">
        <v>1</v>
      </c>
      <c r="Y1112" s="28" t="n">
        <v>1</v>
      </c>
      <c r="Z1112" s="28" t="n">
        <v>1</v>
      </c>
      <c r="AA1112" s="28" t="n">
        <v>1</v>
      </c>
      <c r="AB1112" s="28" t="n">
        <v>1</v>
      </c>
      <c r="AC1112" s="28" t="n">
        <v>1</v>
      </c>
      <c r="AD1112" s="28" t="n">
        <v>1</v>
      </c>
      <c r="AE1112" s="28" t="n">
        <v>1</v>
      </c>
      <c r="AG1112" s="20" t="inlineStr">
        <is>
          <t>egy.mit.pav.idx.all.ecy.3</t>
        </is>
      </c>
      <c r="AH1112" s="28" t="n">
        <v>1</v>
      </c>
      <c r="AI1112" s="28" t="n">
        <v>1</v>
      </c>
      <c r="AJ1112" s="28" t="n">
        <v>1</v>
      </c>
      <c r="AK1112" s="28" t="n">
        <v>1.000032125172222</v>
      </c>
      <c r="AL1112" s="28" t="n">
        <v>1.000080677313145</v>
      </c>
      <c r="AM1112" s="28" t="n">
        <v>1.187459174478947</v>
      </c>
      <c r="AN1112" s="28" t="n">
        <v>1.182459644932265</v>
      </c>
      <c r="AO1112" s="28" t="n">
        <v>1.19700630059997</v>
      </c>
      <c r="AP1112" s="28" t="n">
        <v>1.16653138470105</v>
      </c>
      <c r="AQ1112" s="28" t="n">
        <v>1.157174002905456</v>
      </c>
      <c r="AR1112" s="28" t="n">
        <v>1.150284523573037</v>
      </c>
      <c r="AS1112" s="28" t="n">
        <v>1.147259840453483</v>
      </c>
      <c r="AT1112" s="28" t="n">
        <v>1.143305368938589</v>
      </c>
      <c r="AU1112" s="28" t="n">
        <v>1.139667299432741</v>
      </c>
      <c r="AV1112" s="28" t="n">
        <v>1.136634302845493</v>
      </c>
      <c r="AW1112" s="28" t="n">
        <v>1.133856101478331</v>
      </c>
      <c r="AX1112" s="28" t="n">
        <v>1.13123776968222</v>
      </c>
      <c r="AY1112" s="28" t="n">
        <v>1.128847745562876</v>
      </c>
      <c r="AZ1112" s="28" t="n">
        <v>1.126621559736989</v>
      </c>
      <c r="BA1112" s="28" t="n">
        <v>1.124597330518071</v>
      </c>
      <c r="BC1112" s="20" t="inlineStr">
        <is>
          <t>egy.mit.pav.idx.all.ecy.4</t>
        </is>
      </c>
      <c r="BD1112" s="28" t="n">
        <v>1</v>
      </c>
      <c r="BE1112" s="28" t="n">
        <v>1</v>
      </c>
      <c r="BF1112" s="28" t="n">
        <v>1</v>
      </c>
      <c r="BG1112" s="28" t="n">
        <v>1.000107076385728</v>
      </c>
      <c r="BH1112" s="28" t="n">
        <v>1.000272140260188</v>
      </c>
      <c r="BI1112" s="28" t="n">
        <v>1.093951442242437</v>
      </c>
      <c r="BJ1112" s="28" t="n">
        <v>1.214183692903896</v>
      </c>
      <c r="BK1112" s="28" t="n">
        <v>1.325296438582912</v>
      </c>
      <c r="BL1112" s="28" t="n">
        <v>1.402744729274605</v>
      </c>
      <c r="BM1112" s="28" t="n">
        <v>1.482347165895875</v>
      </c>
      <c r="BN1112" s="28" t="n">
        <v>1.592222124650197</v>
      </c>
      <c r="BO1112" s="28" t="n">
        <v>1.70053610983823</v>
      </c>
      <c r="BP1112" s="28" t="n">
        <v>1.79061527250848</v>
      </c>
      <c r="BQ1112" s="28" t="n">
        <v>1.877983025492091</v>
      </c>
      <c r="BR1112" s="28" t="n">
        <v>1.943771332997817</v>
      </c>
      <c r="BS1112" s="28" t="n">
        <v>2.00979067642827</v>
      </c>
      <c r="BT1112" s="28" t="n">
        <v>2.051353259394408</v>
      </c>
      <c r="BU1112" s="28" t="n">
        <v>2.099737075309647</v>
      </c>
      <c r="BV1112" s="28" t="n">
        <v>2.117185389497348</v>
      </c>
      <c r="BW1112" s="28" t="n">
        <v>2.156399119743038</v>
      </c>
      <c r="BY1112" s="20" t="inlineStr">
        <is>
          <t>egy.mit.pav.idx.all.ecy.5</t>
        </is>
      </c>
      <c r="BZ1112" s="28" t="n">
        <v>1</v>
      </c>
      <c r="CA1112" s="28" t="n">
        <v>1</v>
      </c>
      <c r="CB1112" s="28" t="n">
        <v>1</v>
      </c>
      <c r="CC1112" s="28" t="n">
        <v>1.000183897146473</v>
      </c>
      <c r="CD1112" s="28" t="n">
        <v>1.000465891599012</v>
      </c>
      <c r="CE1112" s="28" t="n">
        <v>1.000649986930432</v>
      </c>
      <c r="CF1112" s="28" t="n">
        <v>1.000837681284885</v>
      </c>
      <c r="CG1112" s="28" t="n">
        <v>1.001026136077572</v>
      </c>
      <c r="CH1112" s="28" t="n">
        <v>1.001057418337455</v>
      </c>
      <c r="CI1112" s="28" t="n">
        <v>1.001364844910104</v>
      </c>
      <c r="CJ1112" s="28" t="n">
        <v>0.9996807256349381</v>
      </c>
      <c r="CK1112" s="28" t="n">
        <v>0.9973116930530549</v>
      </c>
      <c r="CL1112" s="28" t="n">
        <v>0.995686329843485</v>
      </c>
      <c r="CM1112" s="28" t="n">
        <v>0.9899281217131857</v>
      </c>
      <c r="CN1112" s="28" t="n">
        <v>0.9855444491202566</v>
      </c>
      <c r="CO1112" s="28" t="n">
        <v>0.9811696369535037</v>
      </c>
      <c r="CP1112" s="28" t="n">
        <v>0.9765049069934658</v>
      </c>
      <c r="CQ1112" s="28" t="n">
        <v>0.9726298675851375</v>
      </c>
      <c r="CR1112" s="28" t="n">
        <v>0.969131865257013</v>
      </c>
      <c r="CS1112" s="28" t="n">
        <v>0.9657863526314233</v>
      </c>
      <c r="CU1112" s="20" t="inlineStr">
        <is>
          <t>egy.mit.pav.idx.all.ecy.6</t>
        </is>
      </c>
      <c r="CV1112" s="28" t="n">
        <v>1</v>
      </c>
      <c r="CW1112" s="28" t="n">
        <v>1</v>
      </c>
      <c r="CX1112" s="28" t="n">
        <v>1</v>
      </c>
      <c r="CY1112" s="28" t="n">
        <v>1.000075004935302</v>
      </c>
      <c r="CZ1112" s="28" t="n">
        <v>1.000189637147116</v>
      </c>
      <c r="DA1112" s="28" t="n">
        <v>1.46834439101982</v>
      </c>
      <c r="DB1112" s="28" t="n">
        <v>1.44989910030213</v>
      </c>
      <c r="DC1112" s="28" t="n">
        <v>1.484970183544793</v>
      </c>
      <c r="DD1112" s="28" t="n">
        <v>1.437528469068038</v>
      </c>
      <c r="DE1112" s="28" t="n">
        <v>1.396150262808269</v>
      </c>
      <c r="DF1112" s="28" t="n">
        <v>1.37753736106643</v>
      </c>
      <c r="DG1112" s="28" t="n">
        <v>1.35721047125012</v>
      </c>
      <c r="DH1112" s="28" t="n">
        <v>1.329123750878302</v>
      </c>
      <c r="DI1112" s="28" t="n">
        <v>1.30478572957589</v>
      </c>
      <c r="DJ1112" s="28" t="n">
        <v>1.280357823150385</v>
      </c>
      <c r="DK1112" s="28" t="n">
        <v>1.259689077324898</v>
      </c>
      <c r="DL1112" s="28" t="n">
        <v>1.239007059604192</v>
      </c>
      <c r="DM1112" s="28" t="n">
        <v>1.222147687589947</v>
      </c>
      <c r="DN1112" s="28" t="n">
        <v>1.205654732380314</v>
      </c>
      <c r="DO1112" s="28" t="n">
        <v>1.192350471929999</v>
      </c>
    </row>
    <row r="1113">
      <c r="A1113" s="19" t="inlineStr">
        <is>
          <t>mit.pav.idx.all.all</t>
        </is>
      </c>
      <c r="B1113" s="3" t="inlineStr">
        <is>
          <t>mit</t>
        </is>
      </c>
      <c r="C1113" s="19" t="n"/>
      <c r="H1113" s="3" t="inlineStr">
        <is>
          <t>Price index reported (Settings C54: Legacy* = pav.lidx, Laspeyres = pav.las) | All sectors | All fuels</t>
        </is>
      </c>
      <c r="I1113" s="3" t="inlineStr">
        <is>
          <t>index</t>
        </is>
      </c>
      <c r="K1113" s="20" t="inlineStr">
        <is>
          <t>egy.mit.pav.idx.all.all.1</t>
        </is>
      </c>
      <c r="L1113" s="28" t="n">
        <v>1</v>
      </c>
      <c r="M1113" s="28" t="n">
        <v>1</v>
      </c>
      <c r="N1113" s="28" t="n">
        <v>1</v>
      </c>
      <c r="O1113" s="28" t="n">
        <v>1</v>
      </c>
      <c r="P1113" s="28" t="n">
        <v>1</v>
      </c>
      <c r="Q1113" s="28" t="n">
        <v>1</v>
      </c>
      <c r="R1113" s="28" t="n">
        <v>1</v>
      </c>
      <c r="S1113" s="28" t="n">
        <v>1</v>
      </c>
      <c r="T1113" s="28" t="n">
        <v>1</v>
      </c>
      <c r="U1113" s="28" t="n">
        <v>1</v>
      </c>
      <c r="V1113" s="28" t="n">
        <v>1</v>
      </c>
      <c r="W1113" s="28" t="n">
        <v>1</v>
      </c>
      <c r="X1113" s="28" t="n">
        <v>1</v>
      </c>
      <c r="Y1113" s="28" t="n">
        <v>1</v>
      </c>
      <c r="Z1113" s="28" t="n">
        <v>1</v>
      </c>
      <c r="AA1113" s="28" t="n">
        <v>1</v>
      </c>
      <c r="AB1113" s="28" t="n">
        <v>1</v>
      </c>
      <c r="AC1113" s="28" t="n">
        <v>1</v>
      </c>
      <c r="AD1113" s="28" t="n">
        <v>1</v>
      </c>
      <c r="AE1113" s="28" t="n">
        <v>1</v>
      </c>
      <c r="AG1113" s="20" t="inlineStr">
        <is>
          <t>egy.mit.pav.idx.all.all.3</t>
        </is>
      </c>
      <c r="AH1113" s="28" t="n">
        <v>1</v>
      </c>
      <c r="AI1113" s="28" t="n">
        <v>1</v>
      </c>
      <c r="AJ1113" s="28" t="n">
        <v>1</v>
      </c>
      <c r="AK1113" s="28" t="n">
        <v>1.000012868247356</v>
      </c>
      <c r="AL1113" s="28" t="n">
        <v>1.000032888931455</v>
      </c>
      <c r="AM1113" s="28" t="n">
        <v>1.199606678569068</v>
      </c>
      <c r="AN1113" s="28" t="n">
        <v>1.197789127910597</v>
      </c>
      <c r="AO1113" s="28" t="n">
        <v>1.203926732376032</v>
      </c>
      <c r="AP1113" s="28" t="n">
        <v>1.191043208410299</v>
      </c>
      <c r="AQ1113" s="28" t="n">
        <v>1.186917344188013</v>
      </c>
      <c r="AR1113" s="28" t="n">
        <v>1.184335752537008</v>
      </c>
      <c r="AS1113" s="28" t="n">
        <v>1.183095163749585</v>
      </c>
      <c r="AT1113" s="28" t="n">
        <v>1.181488413782334</v>
      </c>
      <c r="AU1113" s="28" t="n">
        <v>1.179995594739913</v>
      </c>
      <c r="AV1113" s="28" t="n">
        <v>1.178749076106744</v>
      </c>
      <c r="AW1113" s="28" t="n">
        <v>1.177599339769482</v>
      </c>
      <c r="AX1113" s="28" t="n">
        <v>1.176508655841175</v>
      </c>
      <c r="AY1113" s="28" t="n">
        <v>1.175507855101517</v>
      </c>
      <c r="AZ1113" s="28" t="n">
        <v>1.174570494312886</v>
      </c>
      <c r="BA1113" s="28" t="n">
        <v>1.17371351630934</v>
      </c>
      <c r="BC1113" s="20" t="inlineStr">
        <is>
          <t>egy.mit.pav.idx.all.all.4</t>
        </is>
      </c>
      <c r="BD1113" s="28" t="n">
        <v>1</v>
      </c>
      <c r="BE1113" s="28" t="n">
        <v>1</v>
      </c>
      <c r="BF1113" s="28" t="n">
        <v>1</v>
      </c>
      <c r="BG1113" s="28" t="n">
        <v>1.000042891144928</v>
      </c>
      <c r="BH1113" s="28" t="n">
        <v>1.000110937067038</v>
      </c>
      <c r="BI1113" s="28" t="n">
        <v>1.099895351871024</v>
      </c>
      <c r="BJ1113" s="28" t="n">
        <v>1.231205145748927</v>
      </c>
      <c r="BK1113" s="28" t="n">
        <v>1.358623044915157</v>
      </c>
      <c r="BL1113" s="28" t="n">
        <v>1.471672886103193</v>
      </c>
      <c r="BM1113" s="28" t="n">
        <v>1.585153590731548</v>
      </c>
      <c r="BN1113" s="28" t="n">
        <v>1.713381711787687</v>
      </c>
      <c r="BO1113" s="28" t="n">
        <v>1.840058614407191</v>
      </c>
      <c r="BP1113" s="28" t="n">
        <v>1.95918337495004</v>
      </c>
      <c r="BQ1113" s="28" t="n">
        <v>2.077121007954243</v>
      </c>
      <c r="BR1113" s="28" t="n">
        <v>2.185826301699114</v>
      </c>
      <c r="BS1113" s="28" t="n">
        <v>2.294598808803042</v>
      </c>
      <c r="BT1113" s="28" t="n">
        <v>2.39281468516824</v>
      </c>
      <c r="BU1113" s="28" t="n">
        <v>2.493888655804221</v>
      </c>
      <c r="BV1113" s="28" t="n">
        <v>2.581532180661938</v>
      </c>
      <c r="BW1113" s="28" t="n">
        <v>2.678458119342468</v>
      </c>
      <c r="BY1113" s="20" t="inlineStr">
        <is>
          <t>egy.mit.pav.idx.all.all.5</t>
        </is>
      </c>
      <c r="BZ1113" s="28" t="n">
        <v>1</v>
      </c>
      <c r="CA1113" s="28" t="n">
        <v>1</v>
      </c>
      <c r="CB1113" s="28" t="n">
        <v>1</v>
      </c>
      <c r="CC1113" s="28" t="n">
        <v>1.000073662919303</v>
      </c>
      <c r="CD1113" s="28" t="n">
        <v>1.000189920877705</v>
      </c>
      <c r="CE1113" s="28" t="n">
        <v>1.138598607032035</v>
      </c>
      <c r="CF1113" s="28" t="n">
        <v>1.138043440045324</v>
      </c>
      <c r="CG1113" s="28" t="n">
        <v>1.136641042029019</v>
      </c>
      <c r="CH1113" s="28" t="n">
        <v>1.135680368207324</v>
      </c>
      <c r="CI1113" s="28" t="n">
        <v>1.134701065988593</v>
      </c>
      <c r="CJ1113" s="28" t="n">
        <v>1.135169309362051</v>
      </c>
      <c r="CK1113" s="28" t="n">
        <v>1.134051723213534</v>
      </c>
      <c r="CL1113" s="28" t="n">
        <v>1.133374199555735</v>
      </c>
      <c r="CM1113" s="28" t="n">
        <v>1.13083197608045</v>
      </c>
      <c r="CN1113" s="28" t="n">
        <v>1.128842308157353</v>
      </c>
      <c r="CO1113" s="28" t="n">
        <v>1.126830028889049</v>
      </c>
      <c r="CP1113" s="28" t="n">
        <v>1.124669500964505</v>
      </c>
      <c r="CQ1113" s="28" t="n">
        <v>1.122829825370612</v>
      </c>
      <c r="CR1113" s="28" t="n">
        <v>1.121138038069771</v>
      </c>
      <c r="CS1113" s="28" t="n">
        <v>1.119499569499246</v>
      </c>
      <c r="CU1113" s="20" t="inlineStr">
        <is>
          <t>egy.mit.pav.idx.all.all.6</t>
        </is>
      </c>
      <c r="CV1113" s="28" t="n">
        <v>1</v>
      </c>
      <c r="CW1113" s="28" t="n">
        <v>1</v>
      </c>
      <c r="CX1113" s="28" t="n">
        <v>1</v>
      </c>
      <c r="CY1113" s="28" t="n">
        <v>1.000030044416689</v>
      </c>
      <c r="CZ1113" s="28" t="n">
        <v>1.000077306066686</v>
      </c>
      <c r="DA1113" s="28" t="n">
        <v>1.498891519614508</v>
      </c>
      <c r="DB1113" s="28" t="n">
        <v>1.491873904656043</v>
      </c>
      <c r="DC1113" s="28" t="n">
        <v>1.506624479418722</v>
      </c>
      <c r="DD1113" s="28" t="n">
        <v>1.48664545553171</v>
      </c>
      <c r="DE1113" s="28" t="n">
        <v>1.468694934701626</v>
      </c>
      <c r="DF1113" s="28" t="n">
        <v>1.461616133983657</v>
      </c>
      <c r="DG1113" s="28" t="n">
        <v>1.453061110812219</v>
      </c>
      <c r="DH1113" s="28" t="n">
        <v>1.441250796880154</v>
      </c>
      <c r="DI1113" s="28" t="n">
        <v>1.430952382178314</v>
      </c>
      <c r="DJ1113" s="28" t="n">
        <v>1.420563201584025</v>
      </c>
      <c r="DK1113" s="28" t="n">
        <v>1.41173046903369</v>
      </c>
      <c r="DL1113" s="28" t="n">
        <v>1.402845092758831</v>
      </c>
      <c r="DM1113" s="28" t="n">
        <v>1.395562177808792</v>
      </c>
      <c r="DN1113" s="28" t="n">
        <v>1.388400217585077</v>
      </c>
      <c r="DO1113" s="28" t="n">
        <v>1.382581544797438</v>
      </c>
    </row>
    <row r="1114">
      <c r="A1114" s="19" t="inlineStr">
        <is>
          <t>mit.xct.p</t>
        </is>
      </c>
      <c r="B1114" s="3" t="inlineStr">
        <is>
          <t>mit</t>
        </is>
      </c>
      <c r="C1114" s="19" t="n"/>
      <c r="H1114" s="3" t="inlineStr">
        <is>
          <t>Existing carbon tax: factor on the data rates</t>
        </is>
      </c>
      <c r="I1114" s="3" t="inlineStr">
        <is>
          <t>factor</t>
        </is>
      </c>
      <c r="K1114" s="20" t="inlineStr">
        <is>
          <t>egy.mit.xct.p.1</t>
        </is>
      </c>
      <c r="L1114" s="21" t="n">
        <v>1</v>
      </c>
      <c r="M1114" s="21" t="n">
        <v>1</v>
      </c>
      <c r="N1114" s="21" t="n">
        <v>1</v>
      </c>
      <c r="O1114" s="21" t="n">
        <v>1</v>
      </c>
      <c r="P1114" s="21" t="n">
        <v>1</v>
      </c>
      <c r="Q1114" s="21" t="n">
        <v>1</v>
      </c>
      <c r="R1114" s="21" t="n">
        <v>1</v>
      </c>
      <c r="S1114" s="21" t="n">
        <v>1</v>
      </c>
      <c r="T1114" s="21" t="n">
        <v>1</v>
      </c>
      <c r="U1114" s="21" t="n">
        <v>1</v>
      </c>
      <c r="V1114" s="21" t="n">
        <v>1</v>
      </c>
      <c r="W1114" s="21" t="n">
        <v>1</v>
      </c>
      <c r="X1114" s="21" t="n">
        <v>1</v>
      </c>
      <c r="Y1114" s="21" t="n">
        <v>1</v>
      </c>
      <c r="Z1114" s="21" t="n">
        <v>1</v>
      </c>
      <c r="AA1114" s="21" t="n">
        <v>1</v>
      </c>
      <c r="AB1114" s="21" t="n">
        <v>1</v>
      </c>
      <c r="AC1114" s="21" t="n">
        <v>1</v>
      </c>
      <c r="AD1114" s="21" t="n">
        <v>1</v>
      </c>
      <c r="AE1114" s="21" t="n">
        <v>1</v>
      </c>
      <c r="AG1114" s="20" t="inlineStr">
        <is>
          <t>egy.mit.xct.p.3</t>
        </is>
      </c>
      <c r="AH1114" s="21" t="n">
        <v>1</v>
      </c>
      <c r="AI1114" s="21" t="n">
        <v>1</v>
      </c>
      <c r="AJ1114" s="21" t="n">
        <v>1</v>
      </c>
      <c r="AK1114" s="21" t="n">
        <v>1</v>
      </c>
      <c r="AL1114" s="21" t="n">
        <v>1</v>
      </c>
      <c r="AM1114" s="21" t="n">
        <v>1</v>
      </c>
      <c r="AN1114" s="21" t="n">
        <v>1</v>
      </c>
      <c r="AO1114" s="21" t="n">
        <v>1</v>
      </c>
      <c r="AP1114" s="21" t="n">
        <v>1</v>
      </c>
      <c r="AQ1114" s="21" t="n">
        <v>1</v>
      </c>
      <c r="AR1114" s="21" t="n">
        <v>1</v>
      </c>
      <c r="AS1114" s="21" t="n">
        <v>1</v>
      </c>
      <c r="AT1114" s="21" t="n">
        <v>1</v>
      </c>
      <c r="AU1114" s="21" t="n">
        <v>1</v>
      </c>
      <c r="AV1114" s="21" t="n">
        <v>1</v>
      </c>
      <c r="AW1114" s="21" t="n">
        <v>1</v>
      </c>
      <c r="AX1114" s="21" t="n">
        <v>1</v>
      </c>
      <c r="AY1114" s="21" t="n">
        <v>1</v>
      </c>
      <c r="AZ1114" s="21" t="n">
        <v>1</v>
      </c>
      <c r="BA1114" s="21" t="n">
        <v>1</v>
      </c>
      <c r="BC1114" s="20" t="inlineStr">
        <is>
          <t>egy.mit.xct.p.4</t>
        </is>
      </c>
      <c r="BD1114" s="21" t="n">
        <v>1</v>
      </c>
      <c r="BE1114" s="21" t="n">
        <v>1</v>
      </c>
      <c r="BF1114" s="21" t="n">
        <v>1</v>
      </c>
      <c r="BG1114" s="21" t="n">
        <v>1</v>
      </c>
      <c r="BH1114" s="21" t="n">
        <v>1</v>
      </c>
      <c r="BI1114" s="21" t="n">
        <v>1</v>
      </c>
      <c r="BJ1114" s="21" t="n">
        <v>1</v>
      </c>
      <c r="BK1114" s="21" t="n">
        <v>1</v>
      </c>
      <c r="BL1114" s="21" t="n">
        <v>1</v>
      </c>
      <c r="BM1114" s="21" t="n">
        <v>1</v>
      </c>
      <c r="BN1114" s="21" t="n">
        <v>1</v>
      </c>
      <c r="BO1114" s="21" t="n">
        <v>1</v>
      </c>
      <c r="BP1114" s="21" t="n">
        <v>1</v>
      </c>
      <c r="BQ1114" s="21" t="n">
        <v>1</v>
      </c>
      <c r="BR1114" s="21" t="n">
        <v>1</v>
      </c>
      <c r="BS1114" s="21" t="n">
        <v>1</v>
      </c>
      <c r="BT1114" s="21" t="n">
        <v>1</v>
      </c>
      <c r="BU1114" s="21" t="n">
        <v>1</v>
      </c>
      <c r="BV1114" s="21" t="n">
        <v>1</v>
      </c>
      <c r="BW1114" s="21" t="n">
        <v>1</v>
      </c>
      <c r="BY1114" s="20" t="inlineStr">
        <is>
          <t>egy.mit.xct.p.5</t>
        </is>
      </c>
      <c r="BZ1114" s="21" t="n">
        <v>1</v>
      </c>
      <c r="CA1114" s="21" t="n">
        <v>1</v>
      </c>
      <c r="CB1114" s="21" t="n">
        <v>1</v>
      </c>
      <c r="CC1114" s="21" t="n">
        <v>1</v>
      </c>
      <c r="CD1114" s="21" t="n">
        <v>1</v>
      </c>
      <c r="CE1114" s="21" t="n">
        <v>1</v>
      </c>
      <c r="CF1114" s="21" t="n">
        <v>1</v>
      </c>
      <c r="CG1114" s="21" t="n">
        <v>1</v>
      </c>
      <c r="CH1114" s="21" t="n">
        <v>1</v>
      </c>
      <c r="CI1114" s="21" t="n">
        <v>1</v>
      </c>
      <c r="CJ1114" s="21" t="n">
        <v>1</v>
      </c>
      <c r="CK1114" s="21" t="n">
        <v>1</v>
      </c>
      <c r="CL1114" s="21" t="n">
        <v>1</v>
      </c>
      <c r="CM1114" s="21" t="n">
        <v>1</v>
      </c>
      <c r="CN1114" s="21" t="n">
        <v>1</v>
      </c>
      <c r="CO1114" s="21" t="n">
        <v>1</v>
      </c>
      <c r="CP1114" s="21" t="n">
        <v>1</v>
      </c>
      <c r="CQ1114" s="21" t="n">
        <v>1</v>
      </c>
      <c r="CR1114" s="21" t="n">
        <v>1</v>
      </c>
      <c r="CS1114" s="21" t="n">
        <v>1</v>
      </c>
      <c r="CU1114" s="20" t="inlineStr">
        <is>
          <t>egy.mit.xct.p.6</t>
        </is>
      </c>
      <c r="CV1114" s="21" t="n">
        <v>1</v>
      </c>
      <c r="CW1114" s="21" t="n">
        <v>1</v>
      </c>
      <c r="CX1114" s="21" t="n">
        <v>1</v>
      </c>
      <c r="CY1114" s="21" t="n">
        <v>1</v>
      </c>
      <c r="CZ1114" s="21" t="n">
        <v>1</v>
      </c>
      <c r="DA1114" s="21" t="n">
        <v>1</v>
      </c>
      <c r="DB1114" s="21" t="n">
        <v>1</v>
      </c>
      <c r="DC1114" s="21" t="n">
        <v>1</v>
      </c>
      <c r="DD1114" s="21" t="n">
        <v>1</v>
      </c>
      <c r="DE1114" s="21" t="n">
        <v>1</v>
      </c>
      <c r="DF1114" s="21" t="n">
        <v>1</v>
      </c>
      <c r="DG1114" s="21" t="n">
        <v>1</v>
      </c>
      <c r="DH1114" s="21" t="n">
        <v>1</v>
      </c>
      <c r="DI1114" s="21" t="n">
        <v>1</v>
      </c>
      <c r="DJ1114" s="21" t="n">
        <v>1</v>
      </c>
      <c r="DK1114" s="21" t="n">
        <v>1</v>
      </c>
      <c r="DL1114" s="21" t="n">
        <v>1</v>
      </c>
      <c r="DM1114" s="21" t="n">
        <v>1</v>
      </c>
      <c r="DN1114" s="21" t="n">
        <v>1</v>
      </c>
      <c r="DO1114" s="21" t="n">
        <v>1</v>
      </c>
    </row>
    <row r="1115">
      <c r="A1115" s="19" t="inlineStr">
        <is>
          <t>mit.xets.p</t>
        </is>
      </c>
      <c r="B1115" s="3" t="inlineStr">
        <is>
          <t>mit</t>
        </is>
      </c>
      <c r="C1115" s="19" t="n"/>
      <c r="H1115" s="3" t="inlineStr">
        <is>
          <t>Existing ETS: factor on the data prices (national and EU ETS)</t>
        </is>
      </c>
      <c r="I1115" s="3" t="inlineStr">
        <is>
          <t>factor</t>
        </is>
      </c>
      <c r="K1115" s="20" t="inlineStr">
        <is>
          <t>egy.mit.xets.p.1</t>
        </is>
      </c>
      <c r="L1115" s="21" t="n">
        <v>1</v>
      </c>
      <c r="M1115" s="21" t="n">
        <v>1</v>
      </c>
      <c r="N1115" s="21" t="n">
        <v>1</v>
      </c>
      <c r="O1115" s="21" t="n">
        <v>1</v>
      </c>
      <c r="P1115" s="21" t="n">
        <v>1</v>
      </c>
      <c r="Q1115" s="21" t="n">
        <v>1</v>
      </c>
      <c r="R1115" s="21" t="n">
        <v>1</v>
      </c>
      <c r="S1115" s="21" t="n">
        <v>1</v>
      </c>
      <c r="T1115" s="21" t="n">
        <v>1</v>
      </c>
      <c r="U1115" s="21" t="n">
        <v>1</v>
      </c>
      <c r="V1115" s="21" t="n">
        <v>1</v>
      </c>
      <c r="W1115" s="21" t="n">
        <v>1</v>
      </c>
      <c r="X1115" s="21" t="n">
        <v>1</v>
      </c>
      <c r="Y1115" s="21" t="n">
        <v>1</v>
      </c>
      <c r="Z1115" s="21" t="n">
        <v>1</v>
      </c>
      <c r="AA1115" s="21" t="n">
        <v>1</v>
      </c>
      <c r="AB1115" s="21" t="n">
        <v>1</v>
      </c>
      <c r="AC1115" s="21" t="n">
        <v>1</v>
      </c>
      <c r="AD1115" s="21" t="n">
        <v>1</v>
      </c>
      <c r="AE1115" s="21" t="n">
        <v>1</v>
      </c>
      <c r="AG1115" s="20" t="inlineStr">
        <is>
          <t>egy.mit.xets.p.3</t>
        </is>
      </c>
      <c r="AH1115" s="21" t="n">
        <v>1</v>
      </c>
      <c r="AI1115" s="21" t="n">
        <v>1</v>
      </c>
      <c r="AJ1115" s="21" t="n">
        <v>1</v>
      </c>
      <c r="AK1115" s="21" t="n">
        <v>1</v>
      </c>
      <c r="AL1115" s="21" t="n">
        <v>1</v>
      </c>
      <c r="AM1115" s="21" t="n">
        <v>1</v>
      </c>
      <c r="AN1115" s="21" t="n">
        <v>1</v>
      </c>
      <c r="AO1115" s="21" t="n">
        <v>1</v>
      </c>
      <c r="AP1115" s="21" t="n">
        <v>1</v>
      </c>
      <c r="AQ1115" s="21" t="n">
        <v>1</v>
      </c>
      <c r="AR1115" s="21" t="n">
        <v>1</v>
      </c>
      <c r="AS1115" s="21" t="n">
        <v>1</v>
      </c>
      <c r="AT1115" s="21" t="n">
        <v>1</v>
      </c>
      <c r="AU1115" s="21" t="n">
        <v>1</v>
      </c>
      <c r="AV1115" s="21" t="n">
        <v>1</v>
      </c>
      <c r="AW1115" s="21" t="n">
        <v>1</v>
      </c>
      <c r="AX1115" s="21" t="n">
        <v>1</v>
      </c>
      <c r="AY1115" s="21" t="n">
        <v>1</v>
      </c>
      <c r="AZ1115" s="21" t="n">
        <v>1</v>
      </c>
      <c r="BA1115" s="21" t="n">
        <v>1</v>
      </c>
      <c r="BC1115" s="20" t="inlineStr">
        <is>
          <t>egy.mit.xets.p.4</t>
        </is>
      </c>
      <c r="BD1115" s="21" t="n">
        <v>1</v>
      </c>
      <c r="BE1115" s="21" t="n">
        <v>1</v>
      </c>
      <c r="BF1115" s="21" t="n">
        <v>1</v>
      </c>
      <c r="BG1115" s="21" t="n">
        <v>1</v>
      </c>
      <c r="BH1115" s="21" t="n">
        <v>1</v>
      </c>
      <c r="BI1115" s="21" t="n">
        <v>1</v>
      </c>
      <c r="BJ1115" s="21" t="n">
        <v>1</v>
      </c>
      <c r="BK1115" s="21" t="n">
        <v>1</v>
      </c>
      <c r="BL1115" s="21" t="n">
        <v>1</v>
      </c>
      <c r="BM1115" s="21" t="n">
        <v>1</v>
      </c>
      <c r="BN1115" s="21" t="n">
        <v>1</v>
      </c>
      <c r="BO1115" s="21" t="n">
        <v>1</v>
      </c>
      <c r="BP1115" s="21" t="n">
        <v>1</v>
      </c>
      <c r="BQ1115" s="21" t="n">
        <v>1</v>
      </c>
      <c r="BR1115" s="21" t="n">
        <v>1</v>
      </c>
      <c r="BS1115" s="21" t="n">
        <v>1</v>
      </c>
      <c r="BT1115" s="21" t="n">
        <v>1</v>
      </c>
      <c r="BU1115" s="21" t="n">
        <v>1</v>
      </c>
      <c r="BV1115" s="21" t="n">
        <v>1</v>
      </c>
      <c r="BW1115" s="21" t="n">
        <v>1</v>
      </c>
      <c r="BY1115" s="20" t="inlineStr">
        <is>
          <t>egy.mit.xets.p.5</t>
        </is>
      </c>
      <c r="BZ1115" s="21" t="n">
        <v>1</v>
      </c>
      <c r="CA1115" s="21" t="n">
        <v>1</v>
      </c>
      <c r="CB1115" s="21" t="n">
        <v>1</v>
      </c>
      <c r="CC1115" s="21" t="n">
        <v>1</v>
      </c>
      <c r="CD1115" s="21" t="n">
        <v>1</v>
      </c>
      <c r="CE1115" s="21" t="n">
        <v>1</v>
      </c>
      <c r="CF1115" s="21" t="n">
        <v>1</v>
      </c>
      <c r="CG1115" s="21" t="n">
        <v>1</v>
      </c>
      <c r="CH1115" s="21" t="n">
        <v>1</v>
      </c>
      <c r="CI1115" s="21" t="n">
        <v>1</v>
      </c>
      <c r="CJ1115" s="21" t="n">
        <v>1</v>
      </c>
      <c r="CK1115" s="21" t="n">
        <v>1</v>
      </c>
      <c r="CL1115" s="21" t="n">
        <v>1</v>
      </c>
      <c r="CM1115" s="21" t="n">
        <v>1</v>
      </c>
      <c r="CN1115" s="21" t="n">
        <v>1</v>
      </c>
      <c r="CO1115" s="21" t="n">
        <v>1</v>
      </c>
      <c r="CP1115" s="21" t="n">
        <v>1</v>
      </c>
      <c r="CQ1115" s="21" t="n">
        <v>1</v>
      </c>
      <c r="CR1115" s="21" t="n">
        <v>1</v>
      </c>
      <c r="CS1115" s="21" t="n">
        <v>1</v>
      </c>
      <c r="CU1115" s="20" t="inlineStr">
        <is>
          <t>egy.mit.xets.p.6</t>
        </is>
      </c>
      <c r="CV1115" s="21" t="n">
        <v>1</v>
      </c>
      <c r="CW1115" s="21" t="n">
        <v>1</v>
      </c>
      <c r="CX1115" s="21" t="n">
        <v>1</v>
      </c>
      <c r="CY1115" s="21" t="n">
        <v>1</v>
      </c>
      <c r="CZ1115" s="21" t="n">
        <v>1</v>
      </c>
      <c r="DA1115" s="21" t="n">
        <v>1</v>
      </c>
      <c r="DB1115" s="21" t="n">
        <v>1</v>
      </c>
      <c r="DC1115" s="21" t="n">
        <v>1</v>
      </c>
      <c r="DD1115" s="21" t="n">
        <v>1</v>
      </c>
      <c r="DE1115" s="21" t="n">
        <v>1</v>
      </c>
      <c r="DF1115" s="21" t="n">
        <v>1</v>
      </c>
      <c r="DG1115" s="21" t="n">
        <v>1</v>
      </c>
      <c r="DH1115" s="21" t="n">
        <v>1</v>
      </c>
      <c r="DI1115" s="21" t="n">
        <v>1</v>
      </c>
      <c r="DJ1115" s="21" t="n">
        <v>1</v>
      </c>
      <c r="DK1115" s="21" t="n">
        <v>1</v>
      </c>
      <c r="DL1115" s="21" t="n">
        <v>1</v>
      </c>
      <c r="DM1115" s="21" t="n">
        <v>1</v>
      </c>
      <c r="DN1115" s="21" t="n">
        <v>1</v>
      </c>
      <c r="DO1115" s="21" t="n">
        <v>1</v>
      </c>
    </row>
    <row r="1116">
      <c r="A1116" s="19" t="inlineStr">
        <is>
          <t>mit.pbc.all.gso</t>
        </is>
      </c>
      <c r="B1116" s="3" t="inlineStr">
        <is>
          <t>mit</t>
        </is>
      </c>
      <c r="C1116" s="19" t="n"/>
      <c r="H1116" s="3" t="inlineStr">
        <is>
          <t>Retail price before new taxes and subsidies | All sectors | Gasoline</t>
        </is>
      </c>
      <c r="I1116" s="3" t="inlineStr">
        <is>
          <t>USD/GJ real</t>
        </is>
      </c>
      <c r="K1116" s="20" t="inlineStr">
        <is>
          <t>egy.mit.pbc.all.gso.1</t>
        </is>
      </c>
      <c r="L1116" s="21" t="n">
        <v>18.10713099918123</v>
      </c>
      <c r="M1116" s="21" t="n">
        <v>11.32867536386198</v>
      </c>
      <c r="N1116" s="21" t="n">
        <v>9.145040758911087</v>
      </c>
      <c r="O1116" s="21" t="n">
        <v>9.145040758911087</v>
      </c>
      <c r="P1116" s="21" t="n">
        <v>9.145040758911087</v>
      </c>
      <c r="Q1116" s="21" t="n">
        <v>9.145040758911087</v>
      </c>
      <c r="R1116" s="21" t="n">
        <v>9.145040758911087</v>
      </c>
      <c r="S1116" s="21" t="n">
        <v>9.145040758911087</v>
      </c>
      <c r="T1116" s="21" t="n">
        <v>9.145040758911087</v>
      </c>
      <c r="U1116" s="21" t="n">
        <v>9.145040758911087</v>
      </c>
      <c r="V1116" s="21" t="n">
        <v>9.145040758911087</v>
      </c>
      <c r="W1116" s="21" t="n">
        <v>9.145040758911087</v>
      </c>
      <c r="X1116" s="21" t="n">
        <v>9.14504075891109</v>
      </c>
      <c r="Y1116" s="21" t="n">
        <v>9.14504075891109</v>
      </c>
      <c r="Z1116" s="21" t="n">
        <v>9.14504075891109</v>
      </c>
      <c r="AA1116" s="21" t="n">
        <v>9.14504075891109</v>
      </c>
      <c r="AB1116" s="21" t="n">
        <v>9.14504075891109</v>
      </c>
      <c r="AC1116" s="21" t="n">
        <v>9.14504075891109</v>
      </c>
      <c r="AD1116" s="21" t="n">
        <v>9.14504075891109</v>
      </c>
      <c r="AE1116" s="21" t="n">
        <v>9.145040758911094</v>
      </c>
      <c r="AG1116" s="20" t="inlineStr">
        <is>
          <t>egy.mit.pbc.all.gso.3</t>
        </is>
      </c>
      <c r="AH1116" s="21" t="n">
        <v>18.10713099918123</v>
      </c>
      <c r="AI1116" s="21" t="n">
        <v>11.32867536386198</v>
      </c>
      <c r="AJ1116" s="21" t="n">
        <v>9.145040758911087</v>
      </c>
      <c r="AK1116" s="21" t="n">
        <v>9.145040758911087</v>
      </c>
      <c r="AL1116" s="21" t="n">
        <v>9.145040758911087</v>
      </c>
      <c r="AM1116" s="21" t="n">
        <v>9.145040758911087</v>
      </c>
      <c r="AN1116" s="21" t="n">
        <v>9.145040758911087</v>
      </c>
      <c r="AO1116" s="21" t="n">
        <v>9.145040758911087</v>
      </c>
      <c r="AP1116" s="21" t="n">
        <v>9.145040758911087</v>
      </c>
      <c r="AQ1116" s="21" t="n">
        <v>9.145040758911087</v>
      </c>
      <c r="AR1116" s="21" t="n">
        <v>9.145040758911087</v>
      </c>
      <c r="AS1116" s="21" t="n">
        <v>9.145040758911087</v>
      </c>
      <c r="AT1116" s="21" t="n">
        <v>9.14504075891109</v>
      </c>
      <c r="AU1116" s="21" t="n">
        <v>9.14504075891109</v>
      </c>
      <c r="AV1116" s="21" t="n">
        <v>9.14504075891109</v>
      </c>
      <c r="AW1116" s="21" t="n">
        <v>9.14504075891109</v>
      </c>
      <c r="AX1116" s="21" t="n">
        <v>9.14504075891109</v>
      </c>
      <c r="AY1116" s="21" t="n">
        <v>9.14504075891109</v>
      </c>
      <c r="AZ1116" s="21" t="n">
        <v>9.14504075891109</v>
      </c>
      <c r="BA1116" s="21" t="n">
        <v>9.145040758911094</v>
      </c>
      <c r="BC1116" s="20" t="inlineStr">
        <is>
          <t>egy.mit.pbc.all.gso.4</t>
        </is>
      </c>
      <c r="BD1116" s="21" t="n">
        <v>18.10713099918123</v>
      </c>
      <c r="BE1116" s="21" t="n">
        <v>11.32867536386198</v>
      </c>
      <c r="BF1116" s="21" t="n">
        <v>9.145040758911087</v>
      </c>
      <c r="BG1116" s="21" t="n">
        <v>9.145040758911087</v>
      </c>
      <c r="BH1116" s="21" t="n">
        <v>9.145040758911087</v>
      </c>
      <c r="BI1116" s="21" t="n">
        <v>9.145040758911087</v>
      </c>
      <c r="BJ1116" s="21" t="n">
        <v>9.145040758911087</v>
      </c>
      <c r="BK1116" s="21" t="n">
        <v>9.145040758911087</v>
      </c>
      <c r="BL1116" s="21" t="n">
        <v>9.145040758911087</v>
      </c>
      <c r="BM1116" s="21" t="n">
        <v>9.145040758911087</v>
      </c>
      <c r="BN1116" s="21" t="n">
        <v>9.145040758911087</v>
      </c>
      <c r="BO1116" s="21" t="n">
        <v>9.145040758911087</v>
      </c>
      <c r="BP1116" s="21" t="n">
        <v>9.14504075891109</v>
      </c>
      <c r="BQ1116" s="21" t="n">
        <v>9.14504075891109</v>
      </c>
      <c r="BR1116" s="21" t="n">
        <v>9.14504075891109</v>
      </c>
      <c r="BS1116" s="21" t="n">
        <v>9.14504075891109</v>
      </c>
      <c r="BT1116" s="21" t="n">
        <v>9.14504075891109</v>
      </c>
      <c r="BU1116" s="21" t="n">
        <v>9.14504075891109</v>
      </c>
      <c r="BV1116" s="21" t="n">
        <v>9.14504075891109</v>
      </c>
      <c r="BW1116" s="21" t="n">
        <v>9.145040758911094</v>
      </c>
      <c r="BY1116" s="20" t="inlineStr">
        <is>
          <t>egy.mit.pbc.all.gso.5</t>
        </is>
      </c>
      <c r="BZ1116" s="21" t="n">
        <v>18.10713099918123</v>
      </c>
      <c r="CA1116" s="21" t="n">
        <v>11.32867536386198</v>
      </c>
      <c r="CB1116" s="21" t="n">
        <v>9.145040758911087</v>
      </c>
      <c r="CC1116" s="21" t="n">
        <v>9.145040758911087</v>
      </c>
      <c r="CD1116" s="21" t="n">
        <v>9.145040758911087</v>
      </c>
      <c r="CE1116" s="21" t="n">
        <v>9.145040758911087</v>
      </c>
      <c r="CF1116" s="21" t="n">
        <v>9.145040758911087</v>
      </c>
      <c r="CG1116" s="21" t="n">
        <v>9.145040758911087</v>
      </c>
      <c r="CH1116" s="21" t="n">
        <v>9.145040758911087</v>
      </c>
      <c r="CI1116" s="21" t="n">
        <v>9.145040758911087</v>
      </c>
      <c r="CJ1116" s="21" t="n">
        <v>9.145040758911087</v>
      </c>
      <c r="CK1116" s="21" t="n">
        <v>9.145040758911087</v>
      </c>
      <c r="CL1116" s="21" t="n">
        <v>9.14504075891109</v>
      </c>
      <c r="CM1116" s="21" t="n">
        <v>9.14504075891109</v>
      </c>
      <c r="CN1116" s="21" t="n">
        <v>9.14504075891109</v>
      </c>
      <c r="CO1116" s="21" t="n">
        <v>9.14504075891109</v>
      </c>
      <c r="CP1116" s="21" t="n">
        <v>9.14504075891109</v>
      </c>
      <c r="CQ1116" s="21" t="n">
        <v>9.14504075891109</v>
      </c>
      <c r="CR1116" s="21" t="n">
        <v>9.14504075891109</v>
      </c>
      <c r="CS1116" s="21" t="n">
        <v>9.145040758911094</v>
      </c>
      <c r="CU1116" s="20" t="inlineStr">
        <is>
          <t>egy.mit.pbc.all.gso.6</t>
        </is>
      </c>
      <c r="CV1116" s="21" t="n">
        <v>18.10713099918123</v>
      </c>
      <c r="CW1116" s="21" t="n">
        <v>11.32867536386198</v>
      </c>
      <c r="CX1116" s="21" t="n">
        <v>9.145040758911087</v>
      </c>
      <c r="CY1116" s="21" t="n">
        <v>9.145040758911087</v>
      </c>
      <c r="CZ1116" s="21" t="n">
        <v>9.145040758911087</v>
      </c>
      <c r="DA1116" s="21" t="n">
        <v>9.145040758911087</v>
      </c>
      <c r="DB1116" s="21" t="n">
        <v>9.145040758911087</v>
      </c>
      <c r="DC1116" s="21" t="n">
        <v>9.145040758911087</v>
      </c>
      <c r="DD1116" s="21" t="n">
        <v>9.145040758911087</v>
      </c>
      <c r="DE1116" s="21" t="n">
        <v>9.145040758911087</v>
      </c>
      <c r="DF1116" s="21" t="n">
        <v>9.145040758911087</v>
      </c>
      <c r="DG1116" s="21" t="n">
        <v>9.145040758911087</v>
      </c>
      <c r="DH1116" s="21" t="n">
        <v>9.14504075891109</v>
      </c>
      <c r="DI1116" s="21" t="n">
        <v>9.14504075891109</v>
      </c>
      <c r="DJ1116" s="21" t="n">
        <v>9.14504075891109</v>
      </c>
      <c r="DK1116" s="21" t="n">
        <v>9.14504075891109</v>
      </c>
      <c r="DL1116" s="21" t="n">
        <v>9.14504075891109</v>
      </c>
      <c r="DM1116" s="21" t="n">
        <v>9.14504075891109</v>
      </c>
      <c r="DN1116" s="21" t="n">
        <v>9.14504075891109</v>
      </c>
      <c r="DO1116" s="21" t="n">
        <v>9.145040758911094</v>
      </c>
    </row>
    <row r="1117">
      <c r="A1117" s="19" t="inlineStr">
        <is>
          <t>mit.pbc.all.die</t>
        </is>
      </c>
      <c r="B1117" s="3" t="inlineStr">
        <is>
          <t>mit</t>
        </is>
      </c>
      <c r="C1117" s="19" t="n"/>
      <c r="H1117" s="3" t="inlineStr">
        <is>
          <t>Retail price before new taxes and subsidies | All sectors | Diesel</t>
        </is>
      </c>
      <c r="I1117" s="3" t="inlineStr">
        <is>
          <t>USD/GJ real</t>
        </is>
      </c>
      <c r="K1117" s="20" t="inlineStr">
        <is>
          <t>egy.mit.pbc.all.die.1</t>
        </is>
      </c>
      <c r="L1117" s="21" t="n">
        <v>11.22829503955268</v>
      </c>
      <c r="M1117" s="21" t="n">
        <v>7.749170417978281</v>
      </c>
      <c r="N1117" s="21" t="n">
        <v>6.826689201296462</v>
      </c>
      <c r="O1117" s="21" t="n">
        <v>6.826689201296462</v>
      </c>
      <c r="P1117" s="21" t="n">
        <v>6.826689201296462</v>
      </c>
      <c r="Q1117" s="21" t="n">
        <v>6.826689201296462</v>
      </c>
      <c r="R1117" s="21" t="n">
        <v>6.826689201296462</v>
      </c>
      <c r="S1117" s="21" t="n">
        <v>6.826689201296462</v>
      </c>
      <c r="T1117" s="21" t="n">
        <v>6.826689201296462</v>
      </c>
      <c r="U1117" s="21" t="n">
        <v>6.826689201296462</v>
      </c>
      <c r="V1117" s="21" t="n">
        <v>6.826689201296462</v>
      </c>
      <c r="W1117" s="21" t="n">
        <v>6.826689201296462</v>
      </c>
      <c r="X1117" s="21" t="n">
        <v>6.826689201296466</v>
      </c>
      <c r="Y1117" s="21" t="n">
        <v>6.826689201296466</v>
      </c>
      <c r="Z1117" s="21" t="n">
        <v>6.826689201296466</v>
      </c>
      <c r="AA1117" s="21" t="n">
        <v>6.826689201296462</v>
      </c>
      <c r="AB1117" s="21" t="n">
        <v>6.826689201296462</v>
      </c>
      <c r="AC1117" s="21" t="n">
        <v>6.826689201296462</v>
      </c>
      <c r="AD1117" s="21" t="n">
        <v>6.826689201296462</v>
      </c>
      <c r="AE1117" s="21" t="n">
        <v>6.826689201296462</v>
      </c>
      <c r="AG1117" s="20" t="inlineStr">
        <is>
          <t>egy.mit.pbc.all.die.3</t>
        </is>
      </c>
      <c r="AH1117" s="21" t="n">
        <v>11.22829503955268</v>
      </c>
      <c r="AI1117" s="21" t="n">
        <v>7.749170417978281</v>
      </c>
      <c r="AJ1117" s="21" t="n">
        <v>6.826689201296462</v>
      </c>
      <c r="AK1117" s="21" t="n">
        <v>6.826689201296462</v>
      </c>
      <c r="AL1117" s="21" t="n">
        <v>6.826689201296462</v>
      </c>
      <c r="AM1117" s="21" t="n">
        <v>6.826689201296462</v>
      </c>
      <c r="AN1117" s="21" t="n">
        <v>6.826689201296462</v>
      </c>
      <c r="AO1117" s="21" t="n">
        <v>6.826689201296462</v>
      </c>
      <c r="AP1117" s="21" t="n">
        <v>6.826689201296462</v>
      </c>
      <c r="AQ1117" s="21" t="n">
        <v>6.826689201296462</v>
      </c>
      <c r="AR1117" s="21" t="n">
        <v>6.826689201296462</v>
      </c>
      <c r="AS1117" s="21" t="n">
        <v>6.826689201296462</v>
      </c>
      <c r="AT1117" s="21" t="n">
        <v>6.826689201296466</v>
      </c>
      <c r="AU1117" s="21" t="n">
        <v>6.826689201296466</v>
      </c>
      <c r="AV1117" s="21" t="n">
        <v>6.826689201296466</v>
      </c>
      <c r="AW1117" s="21" t="n">
        <v>6.826689201296462</v>
      </c>
      <c r="AX1117" s="21" t="n">
        <v>6.826689201296462</v>
      </c>
      <c r="AY1117" s="21" t="n">
        <v>6.826689201296462</v>
      </c>
      <c r="AZ1117" s="21" t="n">
        <v>6.826689201296462</v>
      </c>
      <c r="BA1117" s="21" t="n">
        <v>6.826689201296462</v>
      </c>
      <c r="BC1117" s="20" t="inlineStr">
        <is>
          <t>egy.mit.pbc.all.die.4</t>
        </is>
      </c>
      <c r="BD1117" s="21" t="n">
        <v>11.22829503955268</v>
      </c>
      <c r="BE1117" s="21" t="n">
        <v>7.749170417978281</v>
      </c>
      <c r="BF1117" s="21" t="n">
        <v>6.826689201296462</v>
      </c>
      <c r="BG1117" s="21" t="n">
        <v>6.826689201296462</v>
      </c>
      <c r="BH1117" s="21" t="n">
        <v>6.826689201296462</v>
      </c>
      <c r="BI1117" s="21" t="n">
        <v>6.826689201296462</v>
      </c>
      <c r="BJ1117" s="21" t="n">
        <v>6.826689201296462</v>
      </c>
      <c r="BK1117" s="21" t="n">
        <v>6.826689201296462</v>
      </c>
      <c r="BL1117" s="21" t="n">
        <v>6.826689201296462</v>
      </c>
      <c r="BM1117" s="21" t="n">
        <v>6.826689201296462</v>
      </c>
      <c r="BN1117" s="21" t="n">
        <v>6.826689201296462</v>
      </c>
      <c r="BO1117" s="21" t="n">
        <v>6.826689201296462</v>
      </c>
      <c r="BP1117" s="21" t="n">
        <v>6.826689201296466</v>
      </c>
      <c r="BQ1117" s="21" t="n">
        <v>6.826689201296466</v>
      </c>
      <c r="BR1117" s="21" t="n">
        <v>6.826689201296466</v>
      </c>
      <c r="BS1117" s="21" t="n">
        <v>6.826689201296462</v>
      </c>
      <c r="BT1117" s="21" t="n">
        <v>6.826689201296462</v>
      </c>
      <c r="BU1117" s="21" t="n">
        <v>6.826689201296462</v>
      </c>
      <c r="BV1117" s="21" t="n">
        <v>6.826689201296462</v>
      </c>
      <c r="BW1117" s="21" t="n">
        <v>6.826689201296462</v>
      </c>
      <c r="BY1117" s="20" t="inlineStr">
        <is>
          <t>egy.mit.pbc.all.die.5</t>
        </is>
      </c>
      <c r="BZ1117" s="21" t="n">
        <v>11.22829503955268</v>
      </c>
      <c r="CA1117" s="21" t="n">
        <v>7.749170417978281</v>
      </c>
      <c r="CB1117" s="21" t="n">
        <v>6.826689201296462</v>
      </c>
      <c r="CC1117" s="21" t="n">
        <v>6.826689201296462</v>
      </c>
      <c r="CD1117" s="21" t="n">
        <v>6.826689201296462</v>
      </c>
      <c r="CE1117" s="21" t="n">
        <v>6.826689201296462</v>
      </c>
      <c r="CF1117" s="21" t="n">
        <v>6.826689201296462</v>
      </c>
      <c r="CG1117" s="21" t="n">
        <v>6.826689201296462</v>
      </c>
      <c r="CH1117" s="21" t="n">
        <v>6.826689201296462</v>
      </c>
      <c r="CI1117" s="21" t="n">
        <v>6.826689201296462</v>
      </c>
      <c r="CJ1117" s="21" t="n">
        <v>6.826689201296462</v>
      </c>
      <c r="CK1117" s="21" t="n">
        <v>6.826689201296462</v>
      </c>
      <c r="CL1117" s="21" t="n">
        <v>6.826689201296466</v>
      </c>
      <c r="CM1117" s="21" t="n">
        <v>6.826689201296466</v>
      </c>
      <c r="CN1117" s="21" t="n">
        <v>6.826689201296466</v>
      </c>
      <c r="CO1117" s="21" t="n">
        <v>6.826689201296462</v>
      </c>
      <c r="CP1117" s="21" t="n">
        <v>6.826689201296462</v>
      </c>
      <c r="CQ1117" s="21" t="n">
        <v>6.826689201296462</v>
      </c>
      <c r="CR1117" s="21" t="n">
        <v>6.826689201296462</v>
      </c>
      <c r="CS1117" s="21" t="n">
        <v>6.826689201296462</v>
      </c>
      <c r="CU1117" s="20" t="inlineStr">
        <is>
          <t>egy.mit.pbc.all.die.6</t>
        </is>
      </c>
      <c r="CV1117" s="21" t="n">
        <v>11.22829503955268</v>
      </c>
      <c r="CW1117" s="21" t="n">
        <v>7.749170417978281</v>
      </c>
      <c r="CX1117" s="21" t="n">
        <v>6.826689201296462</v>
      </c>
      <c r="CY1117" s="21" t="n">
        <v>6.826689201296462</v>
      </c>
      <c r="CZ1117" s="21" t="n">
        <v>6.826689201296462</v>
      </c>
      <c r="DA1117" s="21" t="n">
        <v>6.826689201296462</v>
      </c>
      <c r="DB1117" s="21" t="n">
        <v>6.826689201296462</v>
      </c>
      <c r="DC1117" s="21" t="n">
        <v>6.826689201296462</v>
      </c>
      <c r="DD1117" s="21" t="n">
        <v>6.826689201296462</v>
      </c>
      <c r="DE1117" s="21" t="n">
        <v>6.826689201296462</v>
      </c>
      <c r="DF1117" s="21" t="n">
        <v>6.826689201296462</v>
      </c>
      <c r="DG1117" s="21" t="n">
        <v>6.826689201296462</v>
      </c>
      <c r="DH1117" s="21" t="n">
        <v>6.826689201296466</v>
      </c>
      <c r="DI1117" s="21" t="n">
        <v>6.826689201296466</v>
      </c>
      <c r="DJ1117" s="21" t="n">
        <v>6.826689201296466</v>
      </c>
      <c r="DK1117" s="21" t="n">
        <v>6.826689201296462</v>
      </c>
      <c r="DL1117" s="21" t="n">
        <v>6.826689201296462</v>
      </c>
      <c r="DM1117" s="21" t="n">
        <v>6.826689201296462</v>
      </c>
      <c r="DN1117" s="21" t="n">
        <v>6.826689201296462</v>
      </c>
      <c r="DO1117" s="21" t="n">
        <v>6.826689201296462</v>
      </c>
    </row>
    <row r="1118">
      <c r="A1118" s="19" t="inlineStr">
        <is>
          <t>mit.pbc.res.nga</t>
        </is>
      </c>
      <c r="B1118" s="3" t="inlineStr">
        <is>
          <t>mit</t>
        </is>
      </c>
      <c r="C1118" s="19" t="n"/>
      <c r="H1118" s="3" t="inlineStr">
        <is>
          <t>Retail price before new taxes and subsidies | Residential | Natural gas</t>
        </is>
      </c>
      <c r="I1118" s="3" t="inlineStr">
        <is>
          <t>USD/GJ real</t>
        </is>
      </c>
      <c r="K1118" s="20" t="inlineStr">
        <is>
          <t>egy.mit.pbc.res.nga.1</t>
        </is>
      </c>
      <c r="L1118" s="21" t="n">
        <v>4.956488507231395</v>
      </c>
      <c r="M1118" s="21" t="n">
        <v>2.734846935064834</v>
      </c>
      <c r="N1118" s="21" t="n">
        <v>1.797160127284108</v>
      </c>
      <c r="O1118" s="21" t="n">
        <v>1.797160127284108</v>
      </c>
      <c r="P1118" s="21" t="n">
        <v>1.797160127284108</v>
      </c>
      <c r="Q1118" s="21" t="n">
        <v>1.797160127284108</v>
      </c>
      <c r="R1118" s="21" t="n">
        <v>1.797160127284108</v>
      </c>
      <c r="S1118" s="21" t="n">
        <v>1.797160127284108</v>
      </c>
      <c r="T1118" s="21" t="n">
        <v>1.797160127284108</v>
      </c>
      <c r="U1118" s="21" t="n">
        <v>1.797160127284108</v>
      </c>
      <c r="V1118" s="21" t="n">
        <v>1.797160127284108</v>
      </c>
      <c r="W1118" s="21" t="n">
        <v>1.797160127284108</v>
      </c>
      <c r="X1118" s="21" t="n">
        <v>1.797160127284108</v>
      </c>
      <c r="Y1118" s="21" t="n">
        <v>1.797160127284108</v>
      </c>
      <c r="Z1118" s="21" t="n">
        <v>1.797160127284108</v>
      </c>
      <c r="AA1118" s="21" t="n">
        <v>1.797160127284108</v>
      </c>
      <c r="AB1118" s="21" t="n">
        <v>1.797160127284108</v>
      </c>
      <c r="AC1118" s="21" t="n">
        <v>1.797160127284108</v>
      </c>
      <c r="AD1118" s="21" t="n">
        <v>1.797160127284108</v>
      </c>
      <c r="AE1118" s="21" t="n">
        <v>1.797160127284108</v>
      </c>
      <c r="AG1118" s="20" t="inlineStr">
        <is>
          <t>egy.mit.pbc.res.nga.3</t>
        </is>
      </c>
      <c r="AH1118" s="21" t="n">
        <v>4.956488507231395</v>
      </c>
      <c r="AI1118" s="21" t="n">
        <v>2.734846935064834</v>
      </c>
      <c r="AJ1118" s="21" t="n">
        <v>1.797160127284108</v>
      </c>
      <c r="AK1118" s="21" t="n">
        <v>1.797160127284108</v>
      </c>
      <c r="AL1118" s="21" t="n">
        <v>1.797160127284108</v>
      </c>
      <c r="AM1118" s="21" t="n">
        <v>1.797160127284108</v>
      </c>
      <c r="AN1118" s="21" t="n">
        <v>1.797160127284108</v>
      </c>
      <c r="AO1118" s="21" t="n">
        <v>1.797160127284108</v>
      </c>
      <c r="AP1118" s="21" t="n">
        <v>1.797160127284108</v>
      </c>
      <c r="AQ1118" s="21" t="n">
        <v>1.797160127284108</v>
      </c>
      <c r="AR1118" s="21" t="n">
        <v>1.797160127284108</v>
      </c>
      <c r="AS1118" s="21" t="n">
        <v>1.797160127284108</v>
      </c>
      <c r="AT1118" s="21" t="n">
        <v>1.797160127284108</v>
      </c>
      <c r="AU1118" s="21" t="n">
        <v>1.797160127284108</v>
      </c>
      <c r="AV1118" s="21" t="n">
        <v>1.797160127284108</v>
      </c>
      <c r="AW1118" s="21" t="n">
        <v>1.797160127284108</v>
      </c>
      <c r="AX1118" s="21" t="n">
        <v>1.797160127284108</v>
      </c>
      <c r="AY1118" s="21" t="n">
        <v>1.797160127284108</v>
      </c>
      <c r="AZ1118" s="21" t="n">
        <v>1.797160127284108</v>
      </c>
      <c r="BA1118" s="21" t="n">
        <v>1.797160127284108</v>
      </c>
      <c r="BC1118" s="20" t="inlineStr">
        <is>
          <t>egy.mit.pbc.res.nga.4</t>
        </is>
      </c>
      <c r="BD1118" s="21" t="n">
        <v>4.956488507231395</v>
      </c>
      <c r="BE1118" s="21" t="n">
        <v>2.734846935064834</v>
      </c>
      <c r="BF1118" s="21" t="n">
        <v>1.797160127284108</v>
      </c>
      <c r="BG1118" s="21" t="n">
        <v>1.797160127284108</v>
      </c>
      <c r="BH1118" s="21" t="n">
        <v>1.797160127284108</v>
      </c>
      <c r="BI1118" s="21" t="n">
        <v>1.797160127284108</v>
      </c>
      <c r="BJ1118" s="21" t="n">
        <v>1.797160127284108</v>
      </c>
      <c r="BK1118" s="21" t="n">
        <v>1.797160127284108</v>
      </c>
      <c r="BL1118" s="21" t="n">
        <v>1.797160127284108</v>
      </c>
      <c r="BM1118" s="21" t="n">
        <v>1.797160127284108</v>
      </c>
      <c r="BN1118" s="21" t="n">
        <v>1.797160127284108</v>
      </c>
      <c r="BO1118" s="21" t="n">
        <v>1.797160127284108</v>
      </c>
      <c r="BP1118" s="21" t="n">
        <v>1.797160127284108</v>
      </c>
      <c r="BQ1118" s="21" t="n">
        <v>1.797160127284108</v>
      </c>
      <c r="BR1118" s="21" t="n">
        <v>1.797160127284108</v>
      </c>
      <c r="BS1118" s="21" t="n">
        <v>1.797160127284108</v>
      </c>
      <c r="BT1118" s="21" t="n">
        <v>1.797160127284108</v>
      </c>
      <c r="BU1118" s="21" t="n">
        <v>1.797160127284108</v>
      </c>
      <c r="BV1118" s="21" t="n">
        <v>1.797160127284108</v>
      </c>
      <c r="BW1118" s="21" t="n">
        <v>1.797160127284108</v>
      </c>
      <c r="BY1118" s="20" t="inlineStr">
        <is>
          <t>egy.mit.pbc.res.nga.5</t>
        </is>
      </c>
      <c r="BZ1118" s="21" t="n">
        <v>4.956488507231395</v>
      </c>
      <c r="CA1118" s="21" t="n">
        <v>2.734846935064834</v>
      </c>
      <c r="CB1118" s="21" t="n">
        <v>1.797160127284108</v>
      </c>
      <c r="CC1118" s="21" t="n">
        <v>1.797160127284108</v>
      </c>
      <c r="CD1118" s="21" t="n">
        <v>1.797160127284108</v>
      </c>
      <c r="CE1118" s="21" t="n">
        <v>1.797160127284108</v>
      </c>
      <c r="CF1118" s="21" t="n">
        <v>1.797160127284108</v>
      </c>
      <c r="CG1118" s="21" t="n">
        <v>1.797160127284108</v>
      </c>
      <c r="CH1118" s="21" t="n">
        <v>1.797160127284108</v>
      </c>
      <c r="CI1118" s="21" t="n">
        <v>1.797160127284108</v>
      </c>
      <c r="CJ1118" s="21" t="n">
        <v>1.797160127284108</v>
      </c>
      <c r="CK1118" s="21" t="n">
        <v>1.797160127284108</v>
      </c>
      <c r="CL1118" s="21" t="n">
        <v>1.797160127284108</v>
      </c>
      <c r="CM1118" s="21" t="n">
        <v>1.797160127284108</v>
      </c>
      <c r="CN1118" s="21" t="n">
        <v>1.797160127284108</v>
      </c>
      <c r="CO1118" s="21" t="n">
        <v>1.797160127284108</v>
      </c>
      <c r="CP1118" s="21" t="n">
        <v>1.797160127284108</v>
      </c>
      <c r="CQ1118" s="21" t="n">
        <v>1.797160127284108</v>
      </c>
      <c r="CR1118" s="21" t="n">
        <v>1.797160127284108</v>
      </c>
      <c r="CS1118" s="21" t="n">
        <v>1.797160127284108</v>
      </c>
      <c r="CU1118" s="20" t="inlineStr">
        <is>
          <t>egy.mit.pbc.res.nga.6</t>
        </is>
      </c>
      <c r="CV1118" s="21" t="n">
        <v>4.956488507231395</v>
      </c>
      <c r="CW1118" s="21" t="n">
        <v>2.734846935064834</v>
      </c>
      <c r="CX1118" s="21" t="n">
        <v>1.797160127284108</v>
      </c>
      <c r="CY1118" s="21" t="n">
        <v>1.797160127284108</v>
      </c>
      <c r="CZ1118" s="21" t="n">
        <v>1.797160127284108</v>
      </c>
      <c r="DA1118" s="21" t="n">
        <v>1.797160127284108</v>
      </c>
      <c r="DB1118" s="21" t="n">
        <v>1.797160127284108</v>
      </c>
      <c r="DC1118" s="21" t="n">
        <v>1.797160127284108</v>
      </c>
      <c r="DD1118" s="21" t="n">
        <v>1.797160127284108</v>
      </c>
      <c r="DE1118" s="21" t="n">
        <v>1.797160127284108</v>
      </c>
      <c r="DF1118" s="21" t="n">
        <v>1.797160127284108</v>
      </c>
      <c r="DG1118" s="21" t="n">
        <v>1.797160127284108</v>
      </c>
      <c r="DH1118" s="21" t="n">
        <v>1.797160127284108</v>
      </c>
      <c r="DI1118" s="21" t="n">
        <v>1.797160127284108</v>
      </c>
      <c r="DJ1118" s="21" t="n">
        <v>1.797160127284108</v>
      </c>
      <c r="DK1118" s="21" t="n">
        <v>1.797160127284108</v>
      </c>
      <c r="DL1118" s="21" t="n">
        <v>1.797160127284108</v>
      </c>
      <c r="DM1118" s="21" t="n">
        <v>1.797160127284108</v>
      </c>
      <c r="DN1118" s="21" t="n">
        <v>1.797160127284108</v>
      </c>
      <c r="DO1118" s="21" t="n">
        <v>1.797160127284108</v>
      </c>
    </row>
    <row r="1119">
      <c r="A1119" s="19" t="inlineStr">
        <is>
          <t>mit.atp.rod.gso</t>
        </is>
      </c>
      <c r="B1119" s="3" t="inlineStr">
        <is>
          <t>mit</t>
        </is>
      </c>
      <c r="C1119" s="19" t="n"/>
      <c r="H1119" s="3" t="inlineStr">
        <is>
          <t>After-tax price | Road | Gasoline</t>
        </is>
      </c>
      <c r="I1119" s="3" t="inlineStr">
        <is>
          <t>USD/GJ real</t>
        </is>
      </c>
      <c r="K1119" s="20" t="inlineStr">
        <is>
          <t>egy.mit.atp.rod.gso.1</t>
        </is>
      </c>
      <c r="L1119" s="21" t="n">
        <v>18.10713099918123</v>
      </c>
      <c r="M1119" s="21" t="n">
        <v>11.32867536386198</v>
      </c>
      <c r="N1119" s="21" t="n">
        <v>9.145040758911087</v>
      </c>
      <c r="O1119" s="21" t="n">
        <v>9.145040758911087</v>
      </c>
      <c r="P1119" s="21" t="n">
        <v>9.145040758911087</v>
      </c>
      <c r="Q1119" s="21" t="n">
        <v>9.145040758911087</v>
      </c>
      <c r="R1119" s="21" t="n">
        <v>9.145040758911087</v>
      </c>
      <c r="S1119" s="21" t="n">
        <v>9.145040758911087</v>
      </c>
      <c r="T1119" s="21" t="n">
        <v>9.145040758911087</v>
      </c>
      <c r="U1119" s="21" t="n">
        <v>9.145040758911087</v>
      </c>
      <c r="V1119" s="21" t="n">
        <v>9.145040758911087</v>
      </c>
      <c r="W1119" s="21" t="n">
        <v>9.145040758911087</v>
      </c>
      <c r="X1119" s="21" t="n">
        <v>9.14504075891109</v>
      </c>
      <c r="Y1119" s="21" t="n">
        <v>9.14504075891109</v>
      </c>
      <c r="Z1119" s="21" t="n">
        <v>9.14504075891109</v>
      </c>
      <c r="AA1119" s="21" t="n">
        <v>9.14504075891109</v>
      </c>
      <c r="AB1119" s="21" t="n">
        <v>9.14504075891109</v>
      </c>
      <c r="AC1119" s="21" t="n">
        <v>9.14504075891109</v>
      </c>
      <c r="AD1119" s="21" t="n">
        <v>9.14504075891109</v>
      </c>
      <c r="AE1119" s="21" t="n">
        <v>9.145040758911094</v>
      </c>
      <c r="AG1119" s="20" t="inlineStr">
        <is>
          <t>egy.mit.atp.rod.gso.3</t>
        </is>
      </c>
      <c r="AH1119" s="21" t="n">
        <v>18.10713099918123</v>
      </c>
      <c r="AI1119" s="21" t="n">
        <v>11.32867536386198</v>
      </c>
      <c r="AJ1119" s="21" t="n">
        <v>9.145040758911087</v>
      </c>
      <c r="AK1119" s="21" t="n">
        <v>9.145040758911087</v>
      </c>
      <c r="AL1119" s="21" t="n">
        <v>9.145040758911087</v>
      </c>
      <c r="AM1119" s="21" t="n">
        <v>10.46269825438048</v>
      </c>
      <c r="AN1119" s="21" t="n">
        <v>10.46269825438048</v>
      </c>
      <c r="AO1119" s="21" t="n">
        <v>10.46269825438048</v>
      </c>
      <c r="AP1119" s="21" t="n">
        <v>10.46269825438048</v>
      </c>
      <c r="AQ1119" s="21" t="n">
        <v>10.46269825438048</v>
      </c>
      <c r="AR1119" s="21" t="n">
        <v>10.46269825438048</v>
      </c>
      <c r="AS1119" s="21" t="n">
        <v>10.46269825438048</v>
      </c>
      <c r="AT1119" s="21" t="n">
        <v>10.46269825438048</v>
      </c>
      <c r="AU1119" s="21" t="n">
        <v>10.46269825438048</v>
      </c>
      <c r="AV1119" s="21" t="n">
        <v>10.46269825438048</v>
      </c>
      <c r="AW1119" s="21" t="n">
        <v>10.46269825438048</v>
      </c>
      <c r="AX1119" s="21" t="n">
        <v>10.46269825438048</v>
      </c>
      <c r="AY1119" s="21" t="n">
        <v>10.46269825438048</v>
      </c>
      <c r="AZ1119" s="21" t="n">
        <v>10.46269825438048</v>
      </c>
      <c r="BA1119" s="21" t="n">
        <v>10.46269825438049</v>
      </c>
      <c r="BC1119" s="20" t="inlineStr">
        <is>
          <t>egy.mit.atp.rod.gso.4</t>
        </is>
      </c>
      <c r="BD1119" s="21" t="n">
        <v>18.10713099918123</v>
      </c>
      <c r="BE1119" s="21" t="n">
        <v>11.32867536386198</v>
      </c>
      <c r="BF1119" s="21" t="n">
        <v>9.145040758911087</v>
      </c>
      <c r="BG1119" s="21" t="n">
        <v>9.145040758911087</v>
      </c>
      <c r="BH1119" s="21" t="n">
        <v>9.145040758911087</v>
      </c>
      <c r="BI1119" s="21" t="n">
        <v>9.803869506645782</v>
      </c>
      <c r="BJ1119" s="21" t="n">
        <v>10.68230783695871</v>
      </c>
      <c r="BK1119" s="21" t="n">
        <v>11.56074616727164</v>
      </c>
      <c r="BL1119" s="21" t="n">
        <v>12.43918449758457</v>
      </c>
      <c r="BM1119" s="21" t="n">
        <v>13.31762282789749</v>
      </c>
      <c r="BN1119" s="21" t="n">
        <v>14.19606115821042</v>
      </c>
      <c r="BO1119" s="21" t="n">
        <v>15.07449948852335</v>
      </c>
      <c r="BP1119" s="21" t="n">
        <v>15.95293781883628</v>
      </c>
      <c r="BQ1119" s="21" t="n">
        <v>16.83137614914921</v>
      </c>
      <c r="BR1119" s="21" t="n">
        <v>17.70981447946214</v>
      </c>
      <c r="BS1119" s="21" t="n">
        <v>18.58825280977507</v>
      </c>
      <c r="BT1119" s="21" t="n">
        <v>19.466691140088</v>
      </c>
      <c r="BU1119" s="21" t="n">
        <v>20.34512947040093</v>
      </c>
      <c r="BV1119" s="21" t="n">
        <v>21.22356780071385</v>
      </c>
      <c r="BW1119" s="21" t="n">
        <v>22.10200613102679</v>
      </c>
      <c r="BY1119" s="20" t="inlineStr">
        <is>
          <t>egy.mit.atp.rod.gso.5</t>
        </is>
      </c>
      <c r="BZ1119" s="21" t="n">
        <v>18.10713099918123</v>
      </c>
      <c r="CA1119" s="21" t="n">
        <v>11.32867536386198</v>
      </c>
      <c r="CB1119" s="21" t="n">
        <v>9.145040758911087</v>
      </c>
      <c r="CC1119" s="21" t="n">
        <v>9.145040758911087</v>
      </c>
      <c r="CD1119" s="21" t="n">
        <v>9.145040758911087</v>
      </c>
      <c r="CE1119" s="21" t="n">
        <v>10.79211262824783</v>
      </c>
      <c r="CF1119" s="21" t="n">
        <v>10.79211262824783</v>
      </c>
      <c r="CG1119" s="21" t="n">
        <v>10.79211262824783</v>
      </c>
      <c r="CH1119" s="21" t="n">
        <v>10.79211262824783</v>
      </c>
      <c r="CI1119" s="21" t="n">
        <v>10.79211262824783</v>
      </c>
      <c r="CJ1119" s="21" t="n">
        <v>10.79211262824783</v>
      </c>
      <c r="CK1119" s="21" t="n">
        <v>10.79211262824783</v>
      </c>
      <c r="CL1119" s="21" t="n">
        <v>10.79211262824783</v>
      </c>
      <c r="CM1119" s="21" t="n">
        <v>10.79211262824783</v>
      </c>
      <c r="CN1119" s="21" t="n">
        <v>10.79211262824783</v>
      </c>
      <c r="CO1119" s="21" t="n">
        <v>10.79211262824783</v>
      </c>
      <c r="CP1119" s="21" t="n">
        <v>10.79211262824783</v>
      </c>
      <c r="CQ1119" s="21" t="n">
        <v>10.79211262824783</v>
      </c>
      <c r="CR1119" s="21" t="n">
        <v>10.79211262824783</v>
      </c>
      <c r="CS1119" s="21" t="n">
        <v>10.79211262824783</v>
      </c>
      <c r="CU1119" s="20" t="inlineStr">
        <is>
          <t>egy.mit.atp.rod.gso.6</t>
        </is>
      </c>
      <c r="CV1119" s="21" t="n">
        <v>18.10713099918123</v>
      </c>
      <c r="CW1119" s="21" t="n">
        <v>11.32867536386198</v>
      </c>
      <c r="CX1119" s="21" t="n">
        <v>9.145040758911087</v>
      </c>
      <c r="CY1119" s="21" t="n">
        <v>9.145040758911087</v>
      </c>
      <c r="CZ1119" s="21" t="n">
        <v>9.145040758911087</v>
      </c>
      <c r="DA1119" s="21" t="n">
        <v>12.43918449758457</v>
      </c>
      <c r="DB1119" s="21" t="n">
        <v>12.43918449758457</v>
      </c>
      <c r="DC1119" s="21" t="n">
        <v>12.43918449758457</v>
      </c>
      <c r="DD1119" s="21" t="n">
        <v>12.43918449758457</v>
      </c>
      <c r="DE1119" s="21" t="n">
        <v>12.43918449758457</v>
      </c>
      <c r="DF1119" s="21" t="n">
        <v>12.43918449758457</v>
      </c>
      <c r="DG1119" s="21" t="n">
        <v>12.43918449758457</v>
      </c>
      <c r="DH1119" s="21" t="n">
        <v>12.43918449758457</v>
      </c>
      <c r="DI1119" s="21" t="n">
        <v>12.43918449758457</v>
      </c>
      <c r="DJ1119" s="21" t="n">
        <v>12.43918449758457</v>
      </c>
      <c r="DK1119" s="21" t="n">
        <v>12.43918449758457</v>
      </c>
      <c r="DL1119" s="21" t="n">
        <v>12.43918449758457</v>
      </c>
      <c r="DM1119" s="21" t="n">
        <v>12.43918449758457</v>
      </c>
      <c r="DN1119" s="21" t="n">
        <v>12.43918449758457</v>
      </c>
      <c r="DO1119" s="21" t="n">
        <v>12.43918449758457</v>
      </c>
    </row>
    <row r="1120">
      <c r="A1120" s="19" t="inlineStr">
        <is>
          <t>mit.rcarb.res.ecy</t>
        </is>
      </c>
      <c r="B1120" s="3" t="inlineStr">
        <is>
          <t>mit</t>
        </is>
      </c>
      <c r="C1120" s="19" t="n"/>
      <c r="H1120" s="3" t="inlineStr">
        <is>
          <t>New-policy cost per user group (carbon tax, ETS at the tax-equivalent price, fuel price reform; memo, revenue: prnew in M) | Residential | Electricity</t>
        </is>
      </c>
      <c r="I1120" s="3" t="inlineStr">
        <is>
          <t>USD m real</t>
        </is>
      </c>
      <c r="K1120" s="20" t="inlineStr">
        <is>
          <t>egy.mit.rcarb.res.ecy.1</t>
        </is>
      </c>
      <c r="L1120" s="23" t="n">
        <v>0</v>
      </c>
      <c r="M1120" s="23" t="n">
        <v>0</v>
      </c>
      <c r="N1120" s="23" t="n">
        <v>0</v>
      </c>
      <c r="O1120" s="23" t="n">
        <v>0</v>
      </c>
      <c r="P1120" s="23" t="n">
        <v>0</v>
      </c>
      <c r="Q1120" s="23" t="n">
        <v>0</v>
      </c>
      <c r="R1120" s="23" t="n">
        <v>0</v>
      </c>
      <c r="S1120" s="23" t="n">
        <v>0</v>
      </c>
      <c r="T1120" s="23" t="n">
        <v>0</v>
      </c>
      <c r="U1120" s="23" t="n">
        <v>0</v>
      </c>
      <c r="V1120" s="23" t="n">
        <v>0</v>
      </c>
      <c r="W1120" s="23" t="n">
        <v>0</v>
      </c>
      <c r="X1120" s="23" t="n">
        <v>0</v>
      </c>
      <c r="Y1120" s="23" t="n">
        <v>0</v>
      </c>
      <c r="Z1120" s="23" t="n">
        <v>0</v>
      </c>
      <c r="AA1120" s="23" t="n">
        <v>0</v>
      </c>
      <c r="AB1120" s="23" t="n">
        <v>0</v>
      </c>
      <c r="AC1120" s="23" t="n">
        <v>0</v>
      </c>
      <c r="AD1120" s="23" t="n">
        <v>0</v>
      </c>
      <c r="AE1120" s="23" t="n">
        <v>0</v>
      </c>
      <c r="AG1120" s="20" t="inlineStr">
        <is>
          <t>egy.mit.rcarb.res.ecy.3</t>
        </is>
      </c>
      <c r="AH1120" s="23" t="n">
        <v>0</v>
      </c>
      <c r="AI1120" s="23" t="n">
        <v>0</v>
      </c>
      <c r="AJ1120" s="23" t="n">
        <v>0</v>
      </c>
      <c r="AK1120" s="23" t="n">
        <v>0</v>
      </c>
      <c r="AL1120" s="23" t="n">
        <v>0</v>
      </c>
      <c r="AM1120" s="23" t="n">
        <v>846.9693991765865</v>
      </c>
      <c r="AN1120" s="23" t="n">
        <v>789.8142803816319</v>
      </c>
      <c r="AO1120" s="23" t="n">
        <v>826.1025824348128</v>
      </c>
      <c r="AP1120" s="23" t="n">
        <v>830.4513523016942</v>
      </c>
      <c r="AQ1120" s="23" t="n">
        <v>826.9018728308845</v>
      </c>
      <c r="AR1120" s="23" t="n">
        <v>810.4749580827279</v>
      </c>
      <c r="AS1120" s="23" t="n">
        <v>819.7329286370584</v>
      </c>
      <c r="AT1120" s="23" t="n">
        <v>817.0366499756138</v>
      </c>
      <c r="AU1120" s="23" t="n">
        <v>820.6393755247129</v>
      </c>
      <c r="AV1120" s="23" t="n">
        <v>824.2081953799772</v>
      </c>
      <c r="AW1120" s="23" t="n">
        <v>828.5119320676296</v>
      </c>
      <c r="AX1120" s="23" t="n">
        <v>832.4848999652673</v>
      </c>
      <c r="AY1120" s="23" t="n">
        <v>836.6127171861734</v>
      </c>
      <c r="AZ1120" s="23" t="n">
        <v>840.3802764763458</v>
      </c>
      <c r="BA1120" s="23" t="n">
        <v>844.433700405697</v>
      </c>
      <c r="BC1120" s="20" t="inlineStr">
        <is>
          <t>egy.mit.rcarb.res.ecy.4</t>
        </is>
      </c>
      <c r="BD1120" s="23" t="n">
        <v>0</v>
      </c>
      <c r="BE1120" s="23" t="n">
        <v>0</v>
      </c>
      <c r="BF1120" s="23" t="n">
        <v>0</v>
      </c>
      <c r="BG1120" s="23" t="n">
        <v>0</v>
      </c>
      <c r="BH1120" s="23" t="n">
        <v>0</v>
      </c>
      <c r="BI1120" s="23" t="n">
        <v>422.9884714590224</v>
      </c>
      <c r="BJ1120" s="23" t="n">
        <v>961.9206334661804</v>
      </c>
      <c r="BK1120" s="23" t="n">
        <v>1426.606022654238</v>
      </c>
      <c r="BL1120" s="23" t="n">
        <v>1896.55734796339</v>
      </c>
      <c r="BM1120" s="23" t="n">
        <v>2374.427338759697</v>
      </c>
      <c r="BN1120" s="23" t="n">
        <v>2733.60250967779</v>
      </c>
      <c r="BO1120" s="23" t="n">
        <v>3155.04642597779</v>
      </c>
      <c r="BP1120" s="23" t="n">
        <v>3467.77704770738</v>
      </c>
      <c r="BQ1120" s="23" t="n">
        <v>3820.476936734186</v>
      </c>
      <c r="BR1120" s="23" t="n">
        <v>4085.79416544941</v>
      </c>
      <c r="BS1120" s="23" t="n">
        <v>4391.882470675163</v>
      </c>
      <c r="BT1120" s="23" t="n">
        <v>4597.743821802904</v>
      </c>
      <c r="BU1120" s="23" t="n">
        <v>4873.395985338094</v>
      </c>
      <c r="BV1120" s="23" t="n">
        <v>5005.541486190393</v>
      </c>
      <c r="BW1120" s="23" t="n">
        <v>5280.728374831287</v>
      </c>
      <c r="BY1120" s="20" t="inlineStr">
        <is>
          <t>egy.mit.rcarb.res.ecy.5</t>
        </is>
      </c>
      <c r="BZ1120" s="23" t="n">
        <v>0</v>
      </c>
      <c r="CA1120" s="23" t="n">
        <v>0</v>
      </c>
      <c r="CB1120" s="23" t="n">
        <v>0</v>
      </c>
      <c r="CC1120" s="23" t="n">
        <v>0</v>
      </c>
      <c r="CD1120" s="23" t="n">
        <v>0</v>
      </c>
      <c r="CE1120" s="23" t="n">
        <v>0</v>
      </c>
      <c r="CF1120" s="23" t="n">
        <v>0</v>
      </c>
      <c r="CG1120" s="23" t="n">
        <v>0</v>
      </c>
      <c r="CH1120" s="23" t="n">
        <v>0</v>
      </c>
      <c r="CI1120" s="23" t="n">
        <v>0</v>
      </c>
      <c r="CJ1120" s="23" t="n">
        <v>0</v>
      </c>
      <c r="CK1120" s="23" t="n">
        <v>0</v>
      </c>
      <c r="CL1120" s="23" t="n">
        <v>0</v>
      </c>
      <c r="CM1120" s="23" t="n">
        <v>0</v>
      </c>
      <c r="CN1120" s="23" t="n">
        <v>0</v>
      </c>
      <c r="CO1120" s="23" t="n">
        <v>0</v>
      </c>
      <c r="CP1120" s="23" t="n">
        <v>0</v>
      </c>
      <c r="CQ1120" s="23" t="n">
        <v>0</v>
      </c>
      <c r="CR1120" s="23" t="n">
        <v>0</v>
      </c>
      <c r="CS1120" s="23" t="n">
        <v>0</v>
      </c>
      <c r="CU1120" s="20" t="inlineStr">
        <is>
          <t>egy.mit.rcarb.res.ecy.6</t>
        </is>
      </c>
      <c r="CV1120" s="23" t="n">
        <v>0</v>
      </c>
      <c r="CW1120" s="23" t="n">
        <v>0</v>
      </c>
      <c r="CX1120" s="23" t="n">
        <v>0</v>
      </c>
      <c r="CY1120" s="23" t="n">
        <v>0</v>
      </c>
      <c r="CZ1120" s="23" t="n">
        <v>0</v>
      </c>
      <c r="DA1120" s="23" t="n">
        <v>2116.025882638212</v>
      </c>
      <c r="DB1120" s="23" t="n">
        <v>1760.951814779271</v>
      </c>
      <c r="DC1120" s="23" t="n">
        <v>1852.70922937027</v>
      </c>
      <c r="DD1120" s="23" t="n">
        <v>1820.404553277456</v>
      </c>
      <c r="DE1120" s="23" t="n">
        <v>1891.475484005902</v>
      </c>
      <c r="DF1120" s="23" t="n">
        <v>1796.147632734457</v>
      </c>
      <c r="DG1120" s="23" t="n">
        <v>1789.252022012196</v>
      </c>
      <c r="DH1120" s="23" t="n">
        <v>1718.383761355738</v>
      </c>
      <c r="DI1120" s="23" t="n">
        <v>1683.677124561467</v>
      </c>
      <c r="DJ1120" s="23" t="n">
        <v>1633.501105163338</v>
      </c>
      <c r="DK1120" s="23" t="n">
        <v>1601.793972421749</v>
      </c>
      <c r="DL1120" s="23" t="n">
        <v>1556.438587337535</v>
      </c>
      <c r="DM1120" s="23" t="n">
        <v>1528.006675581619</v>
      </c>
      <c r="DN1120" s="23" t="n">
        <v>1488.04828164663</v>
      </c>
      <c r="DO1120" s="23" t="n">
        <v>1463.236710470366</v>
      </c>
    </row>
    <row r="1121">
      <c r="A1121" s="19" t="inlineStr">
        <is>
          <t>mit.rcarb.ind.ecy</t>
        </is>
      </c>
      <c r="B1121" s="3" t="inlineStr">
        <is>
          <t>mit</t>
        </is>
      </c>
      <c r="C1121" s="19" t="n"/>
      <c r="H1121" s="3" t="inlineStr">
        <is>
          <t>New-policy cost per user group (carbon tax, ETS at the tax-equivalent price, fuel price reform; memo, revenue: prnew in M) | Industry | Electricity</t>
        </is>
      </c>
      <c r="I1121" s="3" t="inlineStr">
        <is>
          <t>USD m real</t>
        </is>
      </c>
      <c r="K1121" s="20" t="inlineStr">
        <is>
          <t>egy.mit.rcarb.ind.ecy.1</t>
        </is>
      </c>
      <c r="L1121" s="23" t="n">
        <v>0</v>
      </c>
      <c r="M1121" s="23" t="n">
        <v>0</v>
      </c>
      <c r="N1121" s="23" t="n">
        <v>0</v>
      </c>
      <c r="O1121" s="23" t="n">
        <v>0</v>
      </c>
      <c r="P1121" s="23" t="n">
        <v>0</v>
      </c>
      <c r="Q1121" s="23" t="n">
        <v>0</v>
      </c>
      <c r="R1121" s="23" t="n">
        <v>0</v>
      </c>
      <c r="S1121" s="23" t="n">
        <v>0</v>
      </c>
      <c r="T1121" s="23" t="n">
        <v>0</v>
      </c>
      <c r="U1121" s="23" t="n">
        <v>0</v>
      </c>
      <c r="V1121" s="23" t="n">
        <v>0</v>
      </c>
      <c r="W1121" s="23" t="n">
        <v>0</v>
      </c>
      <c r="X1121" s="23" t="n">
        <v>0</v>
      </c>
      <c r="Y1121" s="23" t="n">
        <v>0</v>
      </c>
      <c r="Z1121" s="23" t="n">
        <v>0</v>
      </c>
      <c r="AA1121" s="23" t="n">
        <v>0</v>
      </c>
      <c r="AB1121" s="23" t="n">
        <v>0</v>
      </c>
      <c r="AC1121" s="23" t="n">
        <v>0</v>
      </c>
      <c r="AD1121" s="23" t="n">
        <v>0</v>
      </c>
      <c r="AE1121" s="23" t="n">
        <v>0</v>
      </c>
      <c r="AG1121" s="20" t="inlineStr">
        <is>
          <t>egy.mit.rcarb.ind.ecy.3</t>
        </is>
      </c>
      <c r="AH1121" s="23" t="n">
        <v>0</v>
      </c>
      <c r="AI1121" s="23" t="n">
        <v>0</v>
      </c>
      <c r="AJ1121" s="23" t="n">
        <v>0</v>
      </c>
      <c r="AK1121" s="23" t="n">
        <v>0</v>
      </c>
      <c r="AL1121" s="23" t="n">
        <v>0</v>
      </c>
      <c r="AM1121" s="23" t="n">
        <v>1252.107264304494</v>
      </c>
      <c r="AN1121" s="23" t="n">
        <v>1165.475417568601</v>
      </c>
      <c r="AO1121" s="23" t="n">
        <v>1228.393364271735</v>
      </c>
      <c r="AP1121" s="23" t="n">
        <v>1240.448647488323</v>
      </c>
      <c r="AQ1121" s="23" t="n">
        <v>1244.96237722315</v>
      </c>
      <c r="AR1121" s="23" t="n">
        <v>1228.358723097139</v>
      </c>
      <c r="AS1121" s="23" t="n">
        <v>1254.160700904385</v>
      </c>
      <c r="AT1121" s="23" t="n">
        <v>1263.265692857121</v>
      </c>
      <c r="AU1121" s="23" t="n">
        <v>1282.430839201136</v>
      </c>
      <c r="AV1121" s="23" t="n">
        <v>1301.736187814932</v>
      </c>
      <c r="AW1121" s="23" t="n">
        <v>1322.325707610867</v>
      </c>
      <c r="AX1121" s="23" t="n">
        <v>1342.362939939484</v>
      </c>
      <c r="AY1121" s="23" t="n">
        <v>1362.678894046606</v>
      </c>
      <c r="AZ1121" s="23" t="n">
        <v>1382.366419573694</v>
      </c>
      <c r="BA1121" s="23" t="n">
        <v>1402.586867083679</v>
      </c>
      <c r="BC1121" s="20" t="inlineStr">
        <is>
          <t>egy.mit.rcarb.ind.ecy.4</t>
        </is>
      </c>
      <c r="BD1121" s="23" t="n">
        <v>0</v>
      </c>
      <c r="BE1121" s="23" t="n">
        <v>0</v>
      </c>
      <c r="BF1121" s="23" t="n">
        <v>0</v>
      </c>
      <c r="BG1121" s="23" t="n">
        <v>0</v>
      </c>
      <c r="BH1121" s="23" t="n">
        <v>0</v>
      </c>
      <c r="BI1121" s="23" t="n">
        <v>625.3023885005266</v>
      </c>
      <c r="BJ1121" s="23" t="n">
        <v>1425.748795068311</v>
      </c>
      <c r="BK1121" s="23" t="n">
        <v>2117.952502816539</v>
      </c>
      <c r="BL1121" s="23" t="n">
        <v>2815.512735336468</v>
      </c>
      <c r="BM1121" s="23" t="n">
        <v>3533.899417682137</v>
      </c>
      <c r="BN1121" s="23" t="n">
        <v>4077.536958697481</v>
      </c>
      <c r="BO1121" s="23" t="n">
        <v>4724.120560333857</v>
      </c>
      <c r="BP1121" s="23" t="n">
        <v>5215.451315119464</v>
      </c>
      <c r="BQ1121" s="23" t="n">
        <v>5776.452400718735</v>
      </c>
      <c r="BR1121" s="23" t="n">
        <v>6213.009193210841</v>
      </c>
      <c r="BS1121" s="23" t="n">
        <v>6723.037132424316</v>
      </c>
      <c r="BT1121" s="23" t="n">
        <v>7085.385761305257</v>
      </c>
      <c r="BU1121" s="23" t="n">
        <v>7567.831297068394</v>
      </c>
      <c r="BV1121" s="23" t="n">
        <v>7829.823086417056</v>
      </c>
      <c r="BW1121" s="23" t="n">
        <v>8330.221179863436</v>
      </c>
      <c r="BY1121" s="20" t="inlineStr">
        <is>
          <t>egy.mit.rcarb.ind.ecy.5</t>
        </is>
      </c>
      <c r="BZ1121" s="23" t="n">
        <v>0</v>
      </c>
      <c r="CA1121" s="23" t="n">
        <v>0</v>
      </c>
      <c r="CB1121" s="23" t="n">
        <v>0</v>
      </c>
      <c r="CC1121" s="23" t="n">
        <v>0</v>
      </c>
      <c r="CD1121" s="23" t="n">
        <v>0</v>
      </c>
      <c r="CE1121" s="23" t="n">
        <v>0</v>
      </c>
      <c r="CF1121" s="23" t="n">
        <v>0</v>
      </c>
      <c r="CG1121" s="23" t="n">
        <v>0</v>
      </c>
      <c r="CH1121" s="23" t="n">
        <v>0</v>
      </c>
      <c r="CI1121" s="23" t="n">
        <v>0</v>
      </c>
      <c r="CJ1121" s="23" t="n">
        <v>0</v>
      </c>
      <c r="CK1121" s="23" t="n">
        <v>0</v>
      </c>
      <c r="CL1121" s="23" t="n">
        <v>0</v>
      </c>
      <c r="CM1121" s="23" t="n">
        <v>0</v>
      </c>
      <c r="CN1121" s="23" t="n">
        <v>0</v>
      </c>
      <c r="CO1121" s="23" t="n">
        <v>0</v>
      </c>
      <c r="CP1121" s="23" t="n">
        <v>0</v>
      </c>
      <c r="CQ1121" s="23" t="n">
        <v>0</v>
      </c>
      <c r="CR1121" s="23" t="n">
        <v>0</v>
      </c>
      <c r="CS1121" s="23" t="n">
        <v>0</v>
      </c>
      <c r="CU1121" s="20" t="inlineStr">
        <is>
          <t>egy.mit.rcarb.ind.ecy.6</t>
        </is>
      </c>
      <c r="CV1121" s="23" t="n">
        <v>0</v>
      </c>
      <c r="CW1121" s="23" t="n">
        <v>0</v>
      </c>
      <c r="CX1121" s="23" t="n">
        <v>0</v>
      </c>
      <c r="CY1121" s="23" t="n">
        <v>0</v>
      </c>
      <c r="CZ1121" s="23" t="n">
        <v>0</v>
      </c>
      <c r="DA1121" s="23" t="n">
        <v>3128.151715033224</v>
      </c>
      <c r="DB1121" s="23" t="n">
        <v>2564.579343369014</v>
      </c>
      <c r="DC1121" s="23" t="n">
        <v>2720.2564345955</v>
      </c>
      <c r="DD1121" s="23" t="n">
        <v>2681.501566897562</v>
      </c>
      <c r="DE1121" s="23" t="n">
        <v>2809.5748460791</v>
      </c>
      <c r="DF1121" s="23" t="n">
        <v>2688.759309451412</v>
      </c>
      <c r="DG1121" s="23" t="n">
        <v>2706.264203238522</v>
      </c>
      <c r="DH1121" s="23" t="n">
        <v>2629.892481356711</v>
      </c>
      <c r="DI1121" s="23" t="n">
        <v>2608.033793997071</v>
      </c>
      <c r="DJ1121" s="23" t="n">
        <v>2561.094473136692</v>
      </c>
      <c r="DK1121" s="23" t="n">
        <v>2541.941762262901</v>
      </c>
      <c r="DL1121" s="23" t="n">
        <v>2498.944601827894</v>
      </c>
      <c r="DM1121" s="23" t="n">
        <v>2481.515741418285</v>
      </c>
      <c r="DN1121" s="23" t="n">
        <v>2443.227849943925</v>
      </c>
      <c r="DO1121" s="23" t="n">
        <v>2428.413450291954</v>
      </c>
    </row>
    <row r="1122">
      <c r="A1122" s="5" t="n"/>
      <c r="B1122" s="18" t="inlineStr">
        <is>
          <t>Not in legacy MTOutputs: energy use</t>
        </is>
      </c>
      <c r="C1122" s="5" t="n"/>
      <c r="D1122" s="5" t="n"/>
      <c r="E1122" s="5" t="n"/>
      <c r="F1122" s="5" t="n"/>
      <c r="G1122" s="5" t="n"/>
      <c r="H1122" s="5" t="n"/>
      <c r="I1122" s="5" t="n"/>
      <c r="J1122" s="5" t="n"/>
      <c r="K1122" s="5" t="n"/>
      <c r="L1122" s="5" t="n"/>
      <c r="M1122" s="5" t="n"/>
      <c r="N1122" s="5" t="n"/>
      <c r="O1122" s="5" t="n"/>
      <c r="P1122" s="5" t="n"/>
      <c r="Q1122" s="5" t="n"/>
      <c r="R1122" s="5" t="n"/>
      <c r="S1122" s="5" t="n"/>
      <c r="T1122" s="5" t="n"/>
      <c r="U1122" s="5" t="n"/>
      <c r="V1122" s="5" t="n"/>
      <c r="W1122" s="5" t="n"/>
      <c r="X1122" s="5" t="n"/>
      <c r="Y1122" s="5" t="n"/>
      <c r="Z1122" s="5" t="n"/>
      <c r="AA1122" s="5" t="n"/>
      <c r="AB1122" s="5" t="n"/>
      <c r="AC1122" s="5" t="n"/>
      <c r="AD1122" s="5" t="n"/>
      <c r="AE1122" s="5" t="n"/>
      <c r="AF1122" s="5" t="n"/>
      <c r="AG1122" s="5" t="n"/>
      <c r="AH1122" s="5" t="n"/>
      <c r="AI1122" s="5" t="n"/>
      <c r="AJ1122" s="5" t="n"/>
      <c r="AK1122" s="5" t="n"/>
      <c r="AL1122" s="5" t="n"/>
      <c r="AM1122" s="5" t="n"/>
      <c r="AN1122" s="5" t="n"/>
      <c r="AO1122" s="5" t="n"/>
      <c r="AP1122" s="5" t="n"/>
      <c r="AQ1122" s="5" t="n"/>
      <c r="AR1122" s="5" t="n"/>
      <c r="AS1122" s="5" t="n"/>
      <c r="AT1122" s="5" t="n"/>
      <c r="AU1122" s="5" t="n"/>
      <c r="AV1122" s="5" t="n"/>
      <c r="AW1122" s="5" t="n"/>
      <c r="AX1122" s="5" t="n"/>
      <c r="AY1122" s="5" t="n"/>
      <c r="AZ1122" s="5" t="n"/>
      <c r="BA1122" s="5" t="n"/>
      <c r="BB1122" s="5" t="n"/>
      <c r="BC1122" s="5" t="n"/>
      <c r="BD1122" s="5" t="n"/>
      <c r="BE1122" s="5" t="n"/>
      <c r="BF1122" s="5" t="n"/>
      <c r="BG1122" s="5" t="n"/>
      <c r="BH1122" s="5" t="n"/>
      <c r="BI1122" s="5" t="n"/>
      <c r="BJ1122" s="5" t="n"/>
      <c r="BK1122" s="5" t="n"/>
      <c r="BL1122" s="5" t="n"/>
      <c r="BM1122" s="5" t="n"/>
      <c r="BN1122" s="5" t="n"/>
      <c r="BO1122" s="5" t="n"/>
      <c r="BP1122" s="5" t="n"/>
      <c r="BQ1122" s="5" t="n"/>
      <c r="BR1122" s="5" t="n"/>
      <c r="BS1122" s="5" t="n"/>
      <c r="BT1122" s="5" t="n"/>
      <c r="BU1122" s="5" t="n"/>
      <c r="BV1122" s="5" t="n"/>
      <c r="BW1122" s="5" t="n"/>
      <c r="BX1122" s="5" t="n"/>
      <c r="BY1122" s="5" t="n"/>
      <c r="BZ1122" s="5" t="n"/>
      <c r="CA1122" s="5" t="n"/>
      <c r="CB1122" s="5" t="n"/>
      <c r="CC1122" s="5" t="n"/>
      <c r="CD1122" s="5" t="n"/>
      <c r="CE1122" s="5" t="n"/>
      <c r="CF1122" s="5" t="n"/>
      <c r="CG1122" s="5" t="n"/>
      <c r="CH1122" s="5" t="n"/>
      <c r="CI1122" s="5" t="n"/>
      <c r="CJ1122" s="5" t="n"/>
      <c r="CK1122" s="5" t="n"/>
      <c r="CL1122" s="5" t="n"/>
      <c r="CM1122" s="5" t="n"/>
      <c r="CN1122" s="5" t="n"/>
      <c r="CO1122" s="5" t="n"/>
      <c r="CP1122" s="5" t="n"/>
      <c r="CQ1122" s="5" t="n"/>
      <c r="CR1122" s="5" t="n"/>
      <c r="CS1122" s="5" t="n"/>
      <c r="CT1122" s="5" t="n"/>
      <c r="CU1122" s="5" t="n"/>
      <c r="CV1122" s="5" t="n"/>
      <c r="CW1122" s="5" t="n"/>
      <c r="CX1122" s="5" t="n"/>
      <c r="CY1122" s="5" t="n"/>
      <c r="CZ1122" s="5" t="n"/>
      <c r="DA1122" s="5" t="n"/>
      <c r="DB1122" s="5" t="n"/>
      <c r="DC1122" s="5" t="n"/>
      <c r="DD1122" s="5" t="n"/>
      <c r="DE1122" s="5" t="n"/>
      <c r="DF1122" s="5" t="n"/>
      <c r="DG1122" s="5" t="n"/>
      <c r="DH1122" s="5" t="n"/>
      <c r="DI1122" s="5" t="n"/>
      <c r="DJ1122" s="5" t="n"/>
      <c r="DK1122" s="5" t="n"/>
      <c r="DL1122" s="5" t="n"/>
      <c r="DM1122" s="5" t="n"/>
      <c r="DN1122" s="5" t="n"/>
      <c r="DO1122" s="5" t="n"/>
      <c r="DP1122" s="5" t="n"/>
      <c r="DQ1122" s="5" t="n"/>
      <c r="DR1122" s="5" t="n"/>
      <c r="DS1122" s="5" t="n"/>
      <c r="DT1122" s="5" t="n"/>
      <c r="DU1122" s="5" t="n"/>
      <c r="DV1122" s="5" t="n"/>
      <c r="DW1122" s="5" t="n"/>
      <c r="DX1122" s="5" t="n"/>
      <c r="DY1122" s="5" t="n"/>
      <c r="DZ1122" s="5" t="n"/>
      <c r="EA1122" s="5" t="n"/>
      <c r="EB1122" s="5" t="n"/>
      <c r="EC1122" s="5" t="n"/>
      <c r="ED1122" s="5" t="n"/>
      <c r="EE1122" s="5" t="n"/>
      <c r="EF1122" s="5" t="n"/>
      <c r="EG1122" s="5" t="n"/>
      <c r="EH1122" s="5" t="n"/>
      <c r="EI1122" s="5" t="n"/>
      <c r="EJ1122" s="5" t="n"/>
      <c r="EK1122" s="5" t="n"/>
      <c r="EL1122" s="5" t="n"/>
      <c r="EM1122" s="5" t="n"/>
      <c r="EN1122" s="5" t="n"/>
      <c r="EO1122" s="5" t="n"/>
      <c r="EP1122" s="5" t="n"/>
      <c r="EQ1122" s="5" t="n"/>
      <c r="ER1122" s="5" t="n"/>
      <c r="ES1122" s="5" t="n"/>
      <c r="ET1122" s="5" t="n"/>
      <c r="EU1122" s="5" t="n"/>
      <c r="EV1122" s="5" t="n"/>
      <c r="EW1122" s="5" t="n"/>
      <c r="EX1122" s="5" t="n"/>
      <c r="EY1122" s="5" t="n"/>
      <c r="EZ1122" s="5" t="n"/>
      <c r="FA1122" s="5" t="n"/>
      <c r="FB1122" s="5" t="n"/>
      <c r="FC1122" s="5" t="n"/>
      <c r="FD1122" s="5" t="n"/>
      <c r="FE1122" s="5" t="n"/>
      <c r="FF1122" s="5" t="n"/>
      <c r="FG1122" s="5" t="n"/>
      <c r="FH1122" s="5" t="n"/>
      <c r="FI1122" s="5" t="n"/>
      <c r="FJ1122" s="5" t="n"/>
      <c r="FK1122" s="5" t="n"/>
      <c r="FL1122" s="5" t="n"/>
      <c r="FM1122" s="5" t="n"/>
      <c r="FN1122" s="5" t="n"/>
      <c r="FO1122" s="5" t="n"/>
      <c r="FP1122" s="5" t="n"/>
      <c r="FQ1122" s="5" t="n"/>
      <c r="FR1122" s="5" t="n"/>
      <c r="FS1122" s="5" t="n"/>
      <c r="FT1122" s="5" t="n"/>
      <c r="FU1122" s="5" t="n"/>
      <c r="FV1122" s="5" t="n"/>
      <c r="FW1122" s="5" t="n"/>
      <c r="FX1122" s="5" t="n"/>
      <c r="FY1122" s="5" t="n"/>
      <c r="FZ1122" s="5" t="n"/>
      <c r="GA1122" s="5" t="n"/>
      <c r="GB1122" s="5" t="n"/>
      <c r="GC1122" s="5" t="n"/>
      <c r="GD1122" s="5" t="n"/>
      <c r="GE1122" s="5" t="n"/>
      <c r="GF1122" s="5" t="n"/>
      <c r="GG1122" s="5" t="n"/>
      <c r="GH1122" s="5" t="n"/>
      <c r="GI1122" s="5" t="n"/>
      <c r="GJ1122" s="5" t="n"/>
      <c r="GK1122" s="5" t="n"/>
      <c r="GL1122" s="5" t="n"/>
      <c r="GM1122" s="5" t="n"/>
      <c r="GN1122" s="5" t="n"/>
      <c r="GO1122" s="5" t="n"/>
      <c r="GP1122" s="5" t="n"/>
      <c r="GQ1122" s="5" t="n"/>
      <c r="GR1122" s="5" t="n"/>
      <c r="GS1122" s="5" t="n"/>
      <c r="GT1122" s="5" t="n"/>
      <c r="GU1122" s="5" t="n"/>
      <c r="GV1122" s="5" t="n"/>
      <c r="GW1122" s="5" t="n"/>
      <c r="GX1122" s="5" t="n"/>
      <c r="GY1122" s="5" t="n"/>
      <c r="GZ1122" s="5" t="n"/>
      <c r="HA1122" s="5" t="n"/>
      <c r="HB1122" s="5" t="n"/>
      <c r="HC1122" s="5" t="n"/>
      <c r="HD1122" s="5" t="n"/>
      <c r="HE1122" s="5" t="n"/>
      <c r="HF1122" s="5" t="n"/>
      <c r="HG1122" s="5" t="n"/>
      <c r="HH1122" s="5" t="n"/>
      <c r="HI1122" s="5" t="n"/>
      <c r="HJ1122" s="5" t="n"/>
      <c r="HK1122" s="5" t="n"/>
      <c r="HL1122" s="5" t="n"/>
      <c r="HM1122" s="5" t="n"/>
      <c r="HN1122" s="5" t="n"/>
      <c r="HO1122" s="5" t="n"/>
      <c r="HP1122" s="5" t="n"/>
      <c r="HQ1122" s="5" t="n"/>
      <c r="HR1122" s="5" t="n"/>
      <c r="HS1122" s="5" t="n"/>
      <c r="HT1122" s="5" t="n"/>
      <c r="HU1122" s="5" t="n"/>
      <c r="HV1122" s="5" t="n"/>
    </row>
    <row r="1123">
      <c r="A1123" s="19" t="inlineStr">
        <is>
          <t>mit.ener.tot.tot</t>
        </is>
      </c>
      <c r="B1123" s="3" t="inlineStr">
        <is>
          <t>mit</t>
        </is>
      </c>
      <c r="C1123" s="19" t="n"/>
      <c r="H1123" s="3" t="inlineStr">
        <is>
          <t>Fuel use | All sectors | All fuels</t>
        </is>
      </c>
      <c r="I1123" s="3" t="inlineStr">
        <is>
          <t>ktoe</t>
        </is>
      </c>
      <c r="K1123" s="20" t="inlineStr">
        <is>
          <t>egy.mit.ener.tot.tot.1</t>
        </is>
      </c>
      <c r="L1123" s="23" t="n">
        <v>81113.70807986028</v>
      </c>
      <c r="M1123" s="23" t="n">
        <v>78855.8123208741</v>
      </c>
      <c r="N1123" s="23" t="n">
        <v>92610.0177103843</v>
      </c>
      <c r="O1123" s="23" t="n">
        <v>98351.3258751902</v>
      </c>
      <c r="P1123" s="23" t="n">
        <v>100747.7846068245</v>
      </c>
      <c r="Q1123" s="23" t="n">
        <v>103071.7444299289</v>
      </c>
      <c r="R1123" s="23" t="n">
        <v>105765.9991156515</v>
      </c>
      <c r="S1123" s="23" t="n">
        <v>108426.1821833525</v>
      </c>
      <c r="T1123" s="23" t="n">
        <v>110448.2753537552</v>
      </c>
      <c r="U1123" s="23" t="n">
        <v>111668.5185031631</v>
      </c>
      <c r="V1123" s="23" t="n">
        <v>112729.3492864417</v>
      </c>
      <c r="W1123" s="23" t="n">
        <v>115054.5081334649</v>
      </c>
      <c r="X1123" s="23" t="n">
        <v>117127.1524537572</v>
      </c>
      <c r="Y1123" s="23" t="n">
        <v>119413.7093001336</v>
      </c>
      <c r="Z1123" s="23" t="n">
        <v>121717.6985175705</v>
      </c>
      <c r="AA1123" s="23" t="n">
        <v>124063.2988462041</v>
      </c>
      <c r="AB1123" s="23" t="n">
        <v>126443.902295104</v>
      </c>
      <c r="AC1123" s="23" t="n">
        <v>128860.3410138458</v>
      </c>
      <c r="AD1123" s="23" t="n">
        <v>131317.3265125011</v>
      </c>
      <c r="AE1123" s="23" t="n">
        <v>133816.2152374016</v>
      </c>
      <c r="AG1123" s="20" t="inlineStr">
        <is>
          <t>egy.mit.ener.tot.tot.3</t>
        </is>
      </c>
      <c r="AH1123" s="23" t="n">
        <v>81113.70807986028</v>
      </c>
      <c r="AI1123" s="23" t="n">
        <v>78833.34480551704</v>
      </c>
      <c r="AJ1123" s="23" t="n">
        <v>92588.36540636478</v>
      </c>
      <c r="AK1123" s="23" t="n">
        <v>98330.46112161448</v>
      </c>
      <c r="AL1123" s="23" t="n">
        <v>100726.8980677494</v>
      </c>
      <c r="AM1123" s="23" t="n">
        <v>94748.89827997366</v>
      </c>
      <c r="AN1123" s="23" t="n">
        <v>92876.2058623723</v>
      </c>
      <c r="AO1123" s="23" t="n">
        <v>96681.65097540815</v>
      </c>
      <c r="AP1123" s="23" t="n">
        <v>98016.17863538981</v>
      </c>
      <c r="AQ1123" s="23" t="n">
        <v>99612.14420493902</v>
      </c>
      <c r="AR1123" s="23" t="n">
        <v>100456.0353775007</v>
      </c>
      <c r="AS1123" s="23" t="n">
        <v>102829.5458492359</v>
      </c>
      <c r="AT1123" s="23" t="n">
        <v>104624.3119440785</v>
      </c>
      <c r="AU1123" s="23" t="n">
        <v>106777.1786873984</v>
      </c>
      <c r="AV1123" s="23" t="n">
        <v>108958.6080123376</v>
      </c>
      <c r="AW1123" s="23" t="n">
        <v>111224.3215362924</v>
      </c>
      <c r="AX1123" s="23" t="n">
        <v>113464.2718127722</v>
      </c>
      <c r="AY1123" s="23" t="n">
        <v>115716.5267136219</v>
      </c>
      <c r="AZ1123" s="23" t="n">
        <v>117932.5310166955</v>
      </c>
      <c r="BA1123" s="23" t="n">
        <v>120171.4231916385</v>
      </c>
      <c r="BC1123" s="20" t="inlineStr">
        <is>
          <t>egy.mit.ener.tot.tot.4</t>
        </is>
      </c>
      <c r="BD1123" s="23" t="n">
        <v>81113.70807986028</v>
      </c>
      <c r="BE1123" s="23" t="n">
        <v>78777.80143058542</v>
      </c>
      <c r="BF1123" s="23" t="n">
        <v>92534.83904968201</v>
      </c>
      <c r="BG1123" s="23" t="n">
        <v>98278.88324716021</v>
      </c>
      <c r="BH1123" s="23" t="n">
        <v>100675.3767478112</v>
      </c>
      <c r="BI1123" s="23" t="n">
        <v>97641.88643243875</v>
      </c>
      <c r="BJ1123" s="23" t="n">
        <v>92296.989108198</v>
      </c>
      <c r="BK1123" s="23" t="n">
        <v>87028.69925156771</v>
      </c>
      <c r="BL1123" s="23" t="n">
        <v>83688.36372526521</v>
      </c>
      <c r="BM1123" s="23" t="n">
        <v>81893.33967745719</v>
      </c>
      <c r="BN1123" s="23" t="n">
        <v>78838.32749785919</v>
      </c>
      <c r="BO1123" s="23" t="n">
        <v>77350.89463492743</v>
      </c>
      <c r="BP1123" s="23" t="n">
        <v>75088.34806650161</v>
      </c>
      <c r="BQ1123" s="23" t="n">
        <v>73716.03340594152</v>
      </c>
      <c r="BR1123" s="23" t="n">
        <v>71915.89344357629</v>
      </c>
      <c r="BS1123" s="23" t="n">
        <v>70805.51397913083</v>
      </c>
      <c r="BT1123" s="23" t="n">
        <v>69218.63571628054</v>
      </c>
      <c r="BU1123" s="23" t="n">
        <v>68377.34577491376</v>
      </c>
      <c r="BV1123" s="23" t="n">
        <v>66813.75115148751</v>
      </c>
      <c r="BW1123" s="23" t="n">
        <v>66304.0700609101</v>
      </c>
      <c r="BY1123" s="20" t="inlineStr">
        <is>
          <t>egy.mit.ener.tot.tot.5</t>
        </is>
      </c>
      <c r="BZ1123" s="23" t="n">
        <v>81113.70807986028</v>
      </c>
      <c r="CA1123" s="23" t="n">
        <v>78723.5645498505</v>
      </c>
      <c r="CB1123" s="23" t="n">
        <v>92482.50519908257</v>
      </c>
      <c r="CC1123" s="23" t="n">
        <v>98228.38843841843</v>
      </c>
      <c r="CD1123" s="23" t="n">
        <v>100624.7879319625</v>
      </c>
      <c r="CE1123" s="23" t="n">
        <v>93461.42738835973</v>
      </c>
      <c r="CF1123" s="23" t="n">
        <v>95731.12218844271</v>
      </c>
      <c r="CG1123" s="23" t="n">
        <v>98023.60611989626</v>
      </c>
      <c r="CH1123" s="23" t="n">
        <v>99554.8926115433</v>
      </c>
      <c r="CI1123" s="23" t="n">
        <v>99951.71372234827</v>
      </c>
      <c r="CJ1123" s="23" t="n">
        <v>99634.58327605209</v>
      </c>
      <c r="CK1123" s="23" t="n">
        <v>101135.343001382</v>
      </c>
      <c r="CL1123" s="23" t="n">
        <v>100758.1876194801</v>
      </c>
      <c r="CM1123" s="23" t="n">
        <v>100927.4833112144</v>
      </c>
      <c r="CN1123" s="23" t="n">
        <v>101292.157087723</v>
      </c>
      <c r="CO1123" s="23" t="n">
        <v>101412.8265464853</v>
      </c>
      <c r="CP1123" s="23" t="n">
        <v>101751.0853355972</v>
      </c>
      <c r="CQ1123" s="23" t="n">
        <v>102185.6194797627</v>
      </c>
      <c r="CR1123" s="23" t="n">
        <v>102534.1606618919</v>
      </c>
      <c r="CS1123" s="23" t="n">
        <v>103068.7218189951</v>
      </c>
      <c r="CU1123" s="20" t="inlineStr">
        <is>
          <t>egy.mit.ener.tot.tot.6</t>
        </is>
      </c>
      <c r="CV1123" s="23" t="n">
        <v>81113.70807986028</v>
      </c>
      <c r="CW1123" s="23" t="n">
        <v>78802.12590710573</v>
      </c>
      <c r="CX1123" s="23" t="n">
        <v>92558.27992036435</v>
      </c>
      <c r="CY1123" s="23" t="n">
        <v>98301.47055200228</v>
      </c>
      <c r="CZ1123" s="23" t="n">
        <v>100697.9206934984</v>
      </c>
      <c r="DA1123" s="23" t="n">
        <v>86727.35377875165</v>
      </c>
      <c r="DB1123" s="23" t="n">
        <v>79792.66993806307</v>
      </c>
      <c r="DC1123" s="23" t="n">
        <v>83367.59442000366</v>
      </c>
      <c r="DD1123" s="23" t="n">
        <v>83982.13654418611</v>
      </c>
      <c r="DE1123" s="23" t="n">
        <v>87038.66632203947</v>
      </c>
      <c r="DF1123" s="23" t="n">
        <v>86471.04025133127</v>
      </c>
      <c r="DG1123" s="23" t="n">
        <v>87960.82697145251</v>
      </c>
      <c r="DH1123" s="23" t="n">
        <v>88142.88316032069</v>
      </c>
      <c r="DI1123" s="23" t="n">
        <v>89101.98041169066</v>
      </c>
      <c r="DJ1123" s="23" t="n">
        <v>89744.79817908941</v>
      </c>
      <c r="DK1123" s="23" t="n">
        <v>90845.07682639157</v>
      </c>
      <c r="DL1123" s="23" t="n">
        <v>91595.29105311015</v>
      </c>
      <c r="DM1123" s="23" t="n">
        <v>92705.16845979294</v>
      </c>
      <c r="DN1123" s="23" t="n">
        <v>93496.20423882481</v>
      </c>
      <c r="DO1123" s="23" t="n">
        <v>94617.62804937735</v>
      </c>
    </row>
    <row r="1124">
      <c r="A1124" s="19" t="inlineStr">
        <is>
          <t>mit.ener.oen.tot</t>
        </is>
      </c>
      <c r="B1124" s="3" t="inlineStr">
        <is>
          <t>mit</t>
        </is>
      </c>
      <c r="C1124" s="19" t="n"/>
      <c r="H1124" s="3" t="inlineStr">
        <is>
          <t>Fuel use | Other energy use | All fuels</t>
        </is>
      </c>
      <c r="I1124" s="3" t="inlineStr">
        <is>
          <t>ktoe</t>
        </is>
      </c>
      <c r="K1124" s="20" t="inlineStr">
        <is>
          <t>egy.mit.ener.oen.tot.1</t>
        </is>
      </c>
      <c r="L1124" s="23" t="n">
        <v>95.81710642853916</v>
      </c>
      <c r="M1124" s="23" t="n">
        <v>83.15747499592833</v>
      </c>
      <c r="N1124" s="23" t="n">
        <v>95.31529078908513</v>
      </c>
      <c r="O1124" s="23" t="n">
        <v>98.4140021492867</v>
      </c>
      <c r="P1124" s="23" t="n">
        <v>101.4598991041145</v>
      </c>
      <c r="Q1124" s="23" t="n">
        <v>105.0492271672851</v>
      </c>
      <c r="R1124" s="23" t="n">
        <v>109.3099273873053</v>
      </c>
      <c r="S1124" s="23" t="n">
        <v>113.4274087998178</v>
      </c>
      <c r="T1124" s="23" t="n">
        <v>117.3158817399094</v>
      </c>
      <c r="U1124" s="23" t="n">
        <v>121.2626134632608</v>
      </c>
      <c r="V1124" s="23" t="n">
        <v>125.281123727076</v>
      </c>
      <c r="W1124" s="23" t="n">
        <v>129.3708437196158</v>
      </c>
      <c r="X1124" s="23" t="n">
        <v>133.5311625167001</v>
      </c>
      <c r="Y1124" s="23" t="n">
        <v>137.7614267382743</v>
      </c>
      <c r="Z1124" s="23" t="n">
        <v>142.0609400479722</v>
      </c>
      <c r="AA1124" s="23" t="n">
        <v>146.4289624908942</v>
      </c>
      <c r="AB1124" s="23" t="n">
        <v>150.8647096651671</v>
      </c>
      <c r="AC1124" s="23" t="n">
        <v>155.3673517231688</v>
      </c>
      <c r="AD1124" s="23" t="n">
        <v>159.9360121985721</v>
      </c>
      <c r="AE1124" s="23" t="n">
        <v>164.5697666556125</v>
      </c>
      <c r="AG1124" s="20" t="inlineStr">
        <is>
          <t>egy.mit.ener.oen.tot.3</t>
        </is>
      </c>
      <c r="AH1124" s="23" t="n">
        <v>95.81710642853916</v>
      </c>
      <c r="AI1124" s="23" t="n">
        <v>83.15747499592833</v>
      </c>
      <c r="AJ1124" s="23" t="n">
        <v>95.31529078908513</v>
      </c>
      <c r="AK1124" s="23" t="n">
        <v>98.4140021492867</v>
      </c>
      <c r="AL1124" s="23" t="n">
        <v>101.4598991041145</v>
      </c>
      <c r="AM1124" s="23" t="n">
        <v>105.0492321465779</v>
      </c>
      <c r="AN1124" s="23" t="n">
        <v>109.309915982156</v>
      </c>
      <c r="AO1124" s="23" t="n">
        <v>113.4801011248915</v>
      </c>
      <c r="AP1124" s="23" t="n">
        <v>117.2479623231268</v>
      </c>
      <c r="AQ1124" s="23" t="n">
        <v>121.2141462405404</v>
      </c>
      <c r="AR1124" s="23" t="n">
        <v>125.1792148007132</v>
      </c>
      <c r="AS1124" s="23" t="n">
        <v>129.3357186069914</v>
      </c>
      <c r="AT1124" s="23" t="n">
        <v>133.6248952483844</v>
      </c>
      <c r="AU1124" s="23" t="n">
        <v>137.9601811289681</v>
      </c>
      <c r="AV1124" s="23" t="n">
        <v>142.3949942716818</v>
      </c>
      <c r="AW1124" s="23" t="n">
        <v>146.965873626596</v>
      </c>
      <c r="AX1124" s="23" t="n">
        <v>151.5521788323716</v>
      </c>
      <c r="AY1124" s="23" t="n">
        <v>156.1778856966214</v>
      </c>
      <c r="AZ1124" s="23" t="n">
        <v>160.7964768927583</v>
      </c>
      <c r="BA1124" s="23" t="n">
        <v>165.4591546751653</v>
      </c>
      <c r="BC1124" s="20" t="inlineStr">
        <is>
          <t>egy.mit.ener.oen.tot.4</t>
        </is>
      </c>
      <c r="BD1124" s="23" t="n">
        <v>95.81710642853916</v>
      </c>
      <c r="BE1124" s="23" t="n">
        <v>83.15747499592833</v>
      </c>
      <c r="BF1124" s="23" t="n">
        <v>95.31529078908513</v>
      </c>
      <c r="BG1124" s="23" t="n">
        <v>98.4140021492867</v>
      </c>
      <c r="BH1124" s="23" t="n">
        <v>101.4598991041145</v>
      </c>
      <c r="BI1124" s="23" t="n">
        <v>102.8713597574591</v>
      </c>
      <c r="BJ1124" s="23" t="n">
        <v>104.3631345752855</v>
      </c>
      <c r="BK1124" s="23" t="n">
        <v>105.8667456212162</v>
      </c>
      <c r="BL1124" s="23" t="n">
        <v>107.1934193146778</v>
      </c>
      <c r="BM1124" s="23" t="n">
        <v>110.7686000721306</v>
      </c>
      <c r="BN1124" s="23" t="n">
        <v>114.3835875420671</v>
      </c>
      <c r="BO1124" s="23" t="n">
        <v>118.1061018160607</v>
      </c>
      <c r="BP1124" s="23" t="n">
        <v>121.9733188187141</v>
      </c>
      <c r="BQ1124" s="23" t="n">
        <v>125.9631406351829</v>
      </c>
      <c r="BR1124" s="23" t="n">
        <v>130.0757286698019</v>
      </c>
      <c r="BS1124" s="23" t="n">
        <v>134.3361995946427</v>
      </c>
      <c r="BT1124" s="23" t="n">
        <v>138.7146234422214</v>
      </c>
      <c r="BU1124" s="23" t="n">
        <v>143.1907477028222</v>
      </c>
      <c r="BV1124" s="23" t="n">
        <v>147.7136409650938</v>
      </c>
      <c r="BW1124" s="23" t="n">
        <v>152.2688767171506</v>
      </c>
      <c r="BY1124" s="20" t="inlineStr">
        <is>
          <t>egy.mit.ener.oen.tot.5</t>
        </is>
      </c>
      <c r="BZ1124" s="23" t="n">
        <v>95.81710642853916</v>
      </c>
      <c r="CA1124" s="23" t="n">
        <v>83.15747499592833</v>
      </c>
      <c r="CB1124" s="23" t="n">
        <v>95.31529078908513</v>
      </c>
      <c r="CC1124" s="23" t="n">
        <v>98.4140021492867</v>
      </c>
      <c r="CD1124" s="23" t="n">
        <v>101.4598991041145</v>
      </c>
      <c r="CE1124" s="23" t="n">
        <v>105.049253512203</v>
      </c>
      <c r="CF1124" s="23" t="n">
        <v>109.3098614451025</v>
      </c>
      <c r="CG1124" s="23" t="n">
        <v>113.4722268587567</v>
      </c>
      <c r="CH1124" s="23" t="n">
        <v>117.2473618148708</v>
      </c>
      <c r="CI1124" s="23" t="n">
        <v>121.2383079118417</v>
      </c>
      <c r="CJ1124" s="23" t="n">
        <v>125.1977133166663</v>
      </c>
      <c r="CK1124" s="23" t="n">
        <v>129.3634880678129</v>
      </c>
      <c r="CL1124" s="23" t="n">
        <v>133.6096163189146</v>
      </c>
      <c r="CM1124" s="23" t="n">
        <v>137.9098447324999</v>
      </c>
      <c r="CN1124" s="23" t="n">
        <v>142.3072442895285</v>
      </c>
      <c r="CO1124" s="23" t="n">
        <v>146.8236126546772</v>
      </c>
      <c r="CP1124" s="23" t="n">
        <v>151.3581776840198</v>
      </c>
      <c r="CQ1124" s="23" t="n">
        <v>155.9509484310125</v>
      </c>
      <c r="CR1124" s="23" t="n">
        <v>160.5518984791881</v>
      </c>
      <c r="CS1124" s="23" t="n">
        <v>165.2261440768596</v>
      </c>
      <c r="CU1124" s="20" t="inlineStr">
        <is>
          <t>egy.mit.ener.oen.tot.6</t>
        </is>
      </c>
      <c r="CV1124" s="23" t="n">
        <v>95.81710642853916</v>
      </c>
      <c r="CW1124" s="23" t="n">
        <v>83.15747499592833</v>
      </c>
      <c r="CX1124" s="23" t="n">
        <v>95.31529078908513</v>
      </c>
      <c r="CY1124" s="23" t="n">
        <v>98.4140021492867</v>
      </c>
      <c r="CZ1124" s="23" t="n">
        <v>101.4598991041145</v>
      </c>
      <c r="DA1124" s="23" t="n">
        <v>105.049238480832</v>
      </c>
      <c r="DB1124" s="23" t="n">
        <v>109.3099013815432</v>
      </c>
      <c r="DC1124" s="23" t="n">
        <v>113.5402190387632</v>
      </c>
      <c r="DD1124" s="23" t="n">
        <v>117.1662920697405</v>
      </c>
      <c r="DE1124" s="23" t="n">
        <v>121.166956153287</v>
      </c>
      <c r="DF1124" s="23" t="n">
        <v>125.0620432776584</v>
      </c>
      <c r="DG1124" s="23" t="n">
        <v>129.3036821564997</v>
      </c>
      <c r="DH1124" s="23" t="n">
        <v>133.7287538475816</v>
      </c>
      <c r="DI1124" s="23" t="n">
        <v>138.179924407059</v>
      </c>
      <c r="DJ1124" s="23" t="n">
        <v>142.7625174055902</v>
      </c>
      <c r="DK1124" s="23" t="n">
        <v>147.5581703932734</v>
      </c>
      <c r="DL1124" s="23" t="n">
        <v>152.3060195306582</v>
      </c>
      <c r="DM1124" s="23" t="n">
        <v>157.0701119921176</v>
      </c>
      <c r="DN1124" s="23" t="n">
        <v>161.7451003125686</v>
      </c>
      <c r="DO1124" s="23" t="n">
        <v>166.446343752795</v>
      </c>
    </row>
    <row r="1125">
      <c r="A1125" s="19" t="inlineStr">
        <is>
          <t>mit.ener.pct.all.all</t>
        </is>
      </c>
      <c r="B1125" s="3" t="inlineStr">
        <is>
          <t>mit</t>
        </is>
      </c>
      <c r="C1125" s="19" t="n"/>
      <c r="H1125" s="3" t="inlineStr">
        <is>
          <t>Change in fuel use vs scenario 1 | All sectors | All fuels</t>
        </is>
      </c>
      <c r="I1125" s="3" t="inlineStr">
        <is>
          <t>%</t>
        </is>
      </c>
      <c r="K1125" s="20" t="inlineStr">
        <is>
          <t>egy.mit.ener.pct.all.all.1</t>
        </is>
      </c>
      <c r="L1125" s="25" t="n">
        <v>0</v>
      </c>
      <c r="M1125" s="25" t="n">
        <v>0</v>
      </c>
      <c r="N1125" s="25" t="n">
        <v>0</v>
      </c>
      <c r="O1125" s="25" t="n">
        <v>0</v>
      </c>
      <c r="P1125" s="25" t="n">
        <v>0</v>
      </c>
      <c r="Q1125" s="25" t="n">
        <v>0</v>
      </c>
      <c r="R1125" s="25" t="n">
        <v>0</v>
      </c>
      <c r="S1125" s="25" t="n">
        <v>0</v>
      </c>
      <c r="T1125" s="25" t="n">
        <v>0</v>
      </c>
      <c r="U1125" s="25" t="n">
        <v>0</v>
      </c>
      <c r="V1125" s="25" t="n">
        <v>0</v>
      </c>
      <c r="W1125" s="25" t="n">
        <v>0</v>
      </c>
      <c r="X1125" s="25" t="n">
        <v>0</v>
      </c>
      <c r="Y1125" s="25" t="n">
        <v>0</v>
      </c>
      <c r="Z1125" s="25" t="n">
        <v>0</v>
      </c>
      <c r="AA1125" s="25" t="n">
        <v>0</v>
      </c>
      <c r="AB1125" s="25" t="n">
        <v>0</v>
      </c>
      <c r="AC1125" s="25" t="n">
        <v>0</v>
      </c>
      <c r="AD1125" s="25" t="n">
        <v>0</v>
      </c>
      <c r="AE1125" s="25" t="n">
        <v>0</v>
      </c>
      <c r="AG1125" s="20" t="inlineStr">
        <is>
          <t>egy.mit.ener.pct.all.all.3</t>
        </is>
      </c>
      <c r="AH1125" s="25" t="n">
        <v>0</v>
      </c>
      <c r="AI1125" s="25" t="n">
        <v>-0.0002849189513847161</v>
      </c>
      <c r="AJ1125" s="25" t="n">
        <v>-0.0002338008841249462</v>
      </c>
      <c r="AK1125" s="25" t="n">
        <v>-0.0002121451174150746</v>
      </c>
      <c r="AL1125" s="25" t="n">
        <v>-0.0002073151201944512</v>
      </c>
      <c r="AM1125" s="25" t="n">
        <v>-0.08074808664573774</v>
      </c>
      <c r="AN1125" s="25" t="n">
        <v>-0.121870859832607</v>
      </c>
      <c r="AO1125" s="25" t="n">
        <v>-0.1083182214060066</v>
      </c>
      <c r="AP1125" s="25" t="n">
        <v>-0.1125603516989884</v>
      </c>
      <c r="AQ1125" s="25" t="n">
        <v>-0.1079657405670927</v>
      </c>
      <c r="AR1125" s="25" t="n">
        <v>-0.1088741661921142</v>
      </c>
      <c r="AS1125" s="25" t="n">
        <v>-0.1062536573538504</v>
      </c>
      <c r="AT1125" s="25" t="n">
        <v>-0.1067458761504085</v>
      </c>
      <c r="AU1125" s="25" t="n">
        <v>-0.1058214394879452</v>
      </c>
      <c r="AV1125" s="25" t="n">
        <v>-0.1048252691320077</v>
      </c>
      <c r="AW1125" s="25" t="n">
        <v>-0.103487311955389</v>
      </c>
      <c r="AX1125" s="25" t="n">
        <v>-0.1026512963198415</v>
      </c>
      <c r="AY1125" s="25" t="n">
        <v>-0.1020004618706669</v>
      </c>
      <c r="AZ1125" s="25" t="n">
        <v>-0.1019271093257557</v>
      </c>
      <c r="BA1125" s="25" t="n">
        <v>-0.1019666564441088</v>
      </c>
      <c r="BC1125" s="20" t="inlineStr">
        <is>
          <t>egy.mit.ener.pct.all.all.4</t>
        </is>
      </c>
      <c r="BD1125" s="25" t="n">
        <v>0</v>
      </c>
      <c r="BE1125" s="25" t="n">
        <v>-0.0009892852282245013</v>
      </c>
      <c r="BF1125" s="25" t="n">
        <v>-0.0008117767662824127</v>
      </c>
      <c r="BG1125" s="25" t="n">
        <v>-0.0007365699179483487</v>
      </c>
      <c r="BH1125" s="25" t="n">
        <v>-0.0007187042305285551</v>
      </c>
      <c r="BI1125" s="25" t="n">
        <v>-0.05268037353516908</v>
      </c>
      <c r="BJ1125" s="25" t="n">
        <v>-0.1273472582878511</v>
      </c>
      <c r="BK1125" s="25" t="n">
        <v>-0.1973460883792894</v>
      </c>
      <c r="BL1125" s="25" t="n">
        <v>-0.2422845584757261</v>
      </c>
      <c r="BM1125" s="25" t="n">
        <v>-0.2666389706321977</v>
      </c>
      <c r="BN1125" s="25" t="n">
        <v>-0.3006406228999554</v>
      </c>
      <c r="BO1125" s="25" t="n">
        <v>-0.3277021831669623</v>
      </c>
      <c r="BP1125" s="25" t="n">
        <v>-0.3589159601899559</v>
      </c>
      <c r="BQ1125" s="25" t="n">
        <v>-0.3826836647317925</v>
      </c>
      <c r="BR1125" s="25" t="n">
        <v>-0.4091582874186952</v>
      </c>
      <c r="BS1125" s="25" t="n">
        <v>-0.4292791289799142</v>
      </c>
      <c r="BT1125" s="25" t="n">
        <v>-0.4525743475178974</v>
      </c>
      <c r="BU1125" s="25" t="n">
        <v>-0.4693685796814183</v>
      </c>
      <c r="BV1125" s="25" t="n">
        <v>-0.4912038424333367</v>
      </c>
      <c r="BW1125" s="25" t="n">
        <v>-0.5045139339557547</v>
      </c>
      <c r="BY1125" s="20" t="inlineStr">
        <is>
          <t>egy.mit.ener.pct.all.all.5</t>
        </is>
      </c>
      <c r="BZ1125" s="25" t="n">
        <v>0</v>
      </c>
      <c r="CA1125" s="25" t="n">
        <v>-0.001677083364324039</v>
      </c>
      <c r="CB1125" s="25" t="n">
        <v>-0.00137687600601144</v>
      </c>
      <c r="CC1125" s="25" t="n">
        <v>-0.001249982505856395</v>
      </c>
      <c r="CD1125" s="25" t="n">
        <v>-0.001220837513618789</v>
      </c>
      <c r="CE1125" s="25" t="n">
        <v>-0.09323910344898179</v>
      </c>
      <c r="CF1125" s="25" t="n">
        <v>-0.0948780989270096</v>
      </c>
      <c r="CG1125" s="25" t="n">
        <v>-0.09594155077659328</v>
      </c>
      <c r="CH1125" s="25" t="n">
        <v>-0.09862881703966353</v>
      </c>
      <c r="CI1125" s="25" t="n">
        <v>-0.1049248699442803</v>
      </c>
      <c r="CJ1125" s="25" t="n">
        <v>-0.1161611070522212</v>
      </c>
      <c r="CK1125" s="25" t="n">
        <v>-0.1209788765159597</v>
      </c>
      <c r="CL1125" s="25" t="n">
        <v>-0.1397538016707075</v>
      </c>
      <c r="CM1125" s="25" t="n">
        <v>-0.1548082384950964</v>
      </c>
      <c r="CN1125" s="25" t="n">
        <v>-0.1678107759069973</v>
      </c>
      <c r="CO1125" s="25" t="n">
        <v>-0.1825719008793862</v>
      </c>
      <c r="CP1125" s="25" t="n">
        <v>-0.1952867359461659</v>
      </c>
      <c r="CQ1125" s="25" t="n">
        <v>-0.2070048963413569</v>
      </c>
      <c r="CR1125" s="25" t="n">
        <v>-0.2191878757741014</v>
      </c>
      <c r="CS1125" s="25" t="n">
        <v>-0.2297740476657314</v>
      </c>
      <c r="CU1125" s="20" t="inlineStr">
        <is>
          <t>egy.mit.ener.pct.all.all.6</t>
        </is>
      </c>
      <c r="CV1125" s="25" t="n">
        <v>0</v>
      </c>
      <c r="CW1125" s="25" t="n">
        <v>-0.000680817458958094</v>
      </c>
      <c r="CX1125" s="25" t="n">
        <v>-0.0005586629967153645</v>
      </c>
      <c r="CY1125" s="25" t="n">
        <v>-0.0005069105347007552</v>
      </c>
      <c r="CZ1125" s="25" t="n">
        <v>-0.0004949380626153577</v>
      </c>
      <c r="DA1125" s="25" t="n">
        <v>-0.1585729507303393</v>
      </c>
      <c r="DB1125" s="25" t="n">
        <v>-0.2455735245235804</v>
      </c>
      <c r="DC1125" s="25" t="n">
        <v>-0.2311119626159474</v>
      </c>
      <c r="DD1125" s="25" t="n">
        <v>-0.2396247358756902</v>
      </c>
      <c r="DE1125" s="25" t="n">
        <v>-0.2205621827106624</v>
      </c>
      <c r="DF1125" s="25" t="n">
        <v>-0.2329323215411176</v>
      </c>
      <c r="DG1125" s="25" t="n">
        <v>-0.2354856111381861</v>
      </c>
      <c r="DH1125" s="25" t="n">
        <v>-0.2474598646533286</v>
      </c>
      <c r="DI1125" s="25" t="n">
        <v>-0.2538379308883004</v>
      </c>
      <c r="DJ1125" s="25" t="n">
        <v>-0.2626807828926017</v>
      </c>
      <c r="DK1125" s="25" t="n">
        <v>-0.2677522065650676</v>
      </c>
      <c r="DL1125" s="25" t="n">
        <v>-0.275605312786548</v>
      </c>
      <c r="DM1125" s="25" t="n">
        <v>-0.2805764152848861</v>
      </c>
      <c r="DN1125" s="25" t="n">
        <v>-0.2880131912377598</v>
      </c>
      <c r="DO1125" s="25" t="n">
        <v>-0.2929285297636206</v>
      </c>
    </row>
    <row r="1126">
      <c r="A1126" s="19" t="inlineStr">
        <is>
          <t>mit.eldem.tra.ecy</t>
        </is>
      </c>
      <c r="B1126" s="3" t="inlineStr">
        <is>
          <t>mit</t>
        </is>
      </c>
      <c r="C1126" s="19" t="n"/>
      <c r="H1126" s="3" t="inlineStr">
        <is>
          <t>Electricity demand (memo: power model H; not in the fuel totals; sector policies do not act on it) | Transport | Electricity</t>
        </is>
      </c>
      <c r="I1126" s="3" t="inlineStr">
        <is>
          <t>ktoe</t>
        </is>
      </c>
      <c r="K1126" s="20" t="inlineStr">
        <is>
          <t>egy.mit.eldem.tra.ecy.1</t>
        </is>
      </c>
      <c r="L1126" s="23" t="n">
        <v>43.29324915009079</v>
      </c>
      <c r="M1126" s="23" t="n">
        <v>40.53374271888308</v>
      </c>
      <c r="N1126" s="23" t="n">
        <v>46.14250590126423</v>
      </c>
      <c r="O1126" s="23" t="n">
        <v>51.32706034628551</v>
      </c>
      <c r="P1126" s="23" t="n">
        <v>54.04836493710857</v>
      </c>
      <c r="Q1126" s="23" t="n">
        <v>56.74081768607103</v>
      </c>
      <c r="R1126" s="23" t="n">
        <v>59.80014595011974</v>
      </c>
      <c r="S1126" s="23" t="n">
        <v>62.91855187067946</v>
      </c>
      <c r="T1126" s="23" t="n">
        <v>65.59318596488241</v>
      </c>
      <c r="U1126" s="23" t="n">
        <v>68.35772733715497</v>
      </c>
      <c r="V1126" s="23" t="n">
        <v>71.14934943621874</v>
      </c>
      <c r="W1126" s="23" t="n">
        <v>75.07038627817606</v>
      </c>
      <c r="X1126" s="23" t="n">
        <v>79.08143338945092</v>
      </c>
      <c r="Y1126" s="23" t="n">
        <v>83.27818066681029</v>
      </c>
      <c r="Z1126" s="23" t="n">
        <v>87.60369715341963</v>
      </c>
      <c r="AA1126" s="23" t="n">
        <v>92.05927213448675</v>
      </c>
      <c r="AB1126" s="23" t="n">
        <v>96.64379658918602</v>
      </c>
      <c r="AC1126" s="23" t="n">
        <v>101.3583300877138</v>
      </c>
      <c r="AD1126" s="23" t="n">
        <v>106.2064746575405</v>
      </c>
      <c r="AE1126" s="23" t="n">
        <v>111.1900197855317</v>
      </c>
      <c r="AG1126" s="20" t="inlineStr">
        <is>
          <t>egy.mit.eldem.tra.ecy.3</t>
        </is>
      </c>
      <c r="AH1126" s="23" t="n">
        <v>43.29324915009079</v>
      </c>
      <c r="AI1126" s="23" t="n">
        <v>40.53374271888308</v>
      </c>
      <c r="AJ1126" s="23" t="n">
        <v>46.14250590126423</v>
      </c>
      <c r="AK1126" s="23" t="n">
        <v>51.32706034628551</v>
      </c>
      <c r="AL1126" s="23" t="n">
        <v>54.04774482609434</v>
      </c>
      <c r="AM1126" s="23" t="n">
        <v>56.73917637486949</v>
      </c>
      <c r="AN1126" s="23" t="n">
        <v>56.16323097627933</v>
      </c>
      <c r="AO1126" s="23" t="n">
        <v>59.21708815981269</v>
      </c>
      <c r="AP1126" s="23" t="n">
        <v>61.36265000133893</v>
      </c>
      <c r="AQ1126" s="23" t="n">
        <v>64.57011503032908</v>
      </c>
      <c r="AR1126" s="23" t="n">
        <v>67.3641187421383</v>
      </c>
      <c r="AS1126" s="23" t="n">
        <v>71.28507559252513</v>
      </c>
      <c r="AT1126" s="23" t="n">
        <v>75.27218061206908</v>
      </c>
      <c r="AU1126" s="23" t="n">
        <v>79.45425905892988</v>
      </c>
      <c r="AV1126" s="23" t="n">
        <v>83.79068743015709</v>
      </c>
      <c r="AW1126" s="23" t="n">
        <v>88.31022570188773</v>
      </c>
      <c r="AX1126" s="23" t="n">
        <v>92.91312744525703</v>
      </c>
      <c r="AY1126" s="23" t="n">
        <v>97.6227902433303</v>
      </c>
      <c r="AZ1126" s="23" t="n">
        <v>102.3949145182079</v>
      </c>
      <c r="BA1126" s="23" t="n">
        <v>107.2794238884876</v>
      </c>
      <c r="BC1126" s="20" t="inlineStr">
        <is>
          <t>egy.mit.eldem.tra.ecy.4</t>
        </is>
      </c>
      <c r="BD1126" s="23" t="n">
        <v>43.29324915009079</v>
      </c>
      <c r="BE1126" s="23" t="n">
        <v>40.53374271888308</v>
      </c>
      <c r="BF1126" s="23" t="n">
        <v>46.14250590126423</v>
      </c>
      <c r="BG1126" s="23" t="n">
        <v>51.32706034628551</v>
      </c>
      <c r="BH1126" s="23" t="n">
        <v>54.04629806859971</v>
      </c>
      <c r="BI1126" s="23" t="n">
        <v>56.7352810167873</v>
      </c>
      <c r="BJ1126" s="23" t="n">
        <v>57.86987389329948</v>
      </c>
      <c r="BK1126" s="23" t="n">
        <v>58.63352281503458</v>
      </c>
      <c r="BL1126" s="23" t="n">
        <v>59.17227636165607</v>
      </c>
      <c r="BM1126" s="23" t="n">
        <v>60.37443777481845</v>
      </c>
      <c r="BN1126" s="23" t="n">
        <v>61.54198921872533</v>
      </c>
      <c r="BO1126" s="23" t="n">
        <v>63.24770233811704</v>
      </c>
      <c r="BP1126" s="23" t="n">
        <v>65.10086779857197</v>
      </c>
      <c r="BQ1126" s="23" t="n">
        <v>67.37898863823085</v>
      </c>
      <c r="BR1126" s="23" t="n">
        <v>69.80272837601065</v>
      </c>
      <c r="BS1126" s="23" t="n">
        <v>72.64717697327833</v>
      </c>
      <c r="BT1126" s="23" t="n">
        <v>75.59194918670268</v>
      </c>
      <c r="BU1126" s="23" t="n">
        <v>78.96404331506534</v>
      </c>
      <c r="BV1126" s="23" t="n">
        <v>82.29807762764833</v>
      </c>
      <c r="BW1126" s="23" t="n">
        <v>86.12822703769051</v>
      </c>
      <c r="BY1126" s="20" t="inlineStr">
        <is>
          <t>egy.mit.eldem.tra.ecy.5</t>
        </is>
      </c>
      <c r="BZ1126" s="23" t="n">
        <v>43.29324915009079</v>
      </c>
      <c r="CA1126" s="23" t="n">
        <v>40.53374271888308</v>
      </c>
      <c r="CB1126" s="23" t="n">
        <v>46.14250590126423</v>
      </c>
      <c r="CC1126" s="23" t="n">
        <v>51.32706034628551</v>
      </c>
      <c r="CD1126" s="23" t="n">
        <v>54.04481542055588</v>
      </c>
      <c r="CE1126" s="23" t="n">
        <v>56.73133971190342</v>
      </c>
      <c r="CF1126" s="23" t="n">
        <v>59.7860846311025</v>
      </c>
      <c r="CG1126" s="23" t="n">
        <v>62.93683400633898</v>
      </c>
      <c r="CH1126" s="23" t="n">
        <v>65.51110295856843</v>
      </c>
      <c r="CI1126" s="23" t="n">
        <v>68.31060763785032</v>
      </c>
      <c r="CJ1126" s="23" t="n">
        <v>71.04275910056097</v>
      </c>
      <c r="CK1126" s="23" t="n">
        <v>75.07255284382353</v>
      </c>
      <c r="CL1126" s="23" t="n">
        <v>79.22778490850655</v>
      </c>
      <c r="CM1126" s="23" t="n">
        <v>83.54311268280533</v>
      </c>
      <c r="CN1126" s="23" t="n">
        <v>88.15280883186141</v>
      </c>
      <c r="CO1126" s="23" t="n">
        <v>92.91898647848036</v>
      </c>
      <c r="CP1126" s="23" t="n">
        <v>97.78765432234312</v>
      </c>
      <c r="CQ1126" s="23" t="n">
        <v>102.8093443182356</v>
      </c>
      <c r="CR1126" s="23" t="n">
        <v>107.8972787365575</v>
      </c>
      <c r="CS1126" s="23" t="n">
        <v>113.1306132306073</v>
      </c>
      <c r="CU1126" s="20" t="inlineStr">
        <is>
          <t>egy.mit.eldem.tra.ecy.6</t>
        </is>
      </c>
      <c r="CV1126" s="23" t="n">
        <v>43.29324915009079</v>
      </c>
      <c r="CW1126" s="23" t="n">
        <v>40.53374271888308</v>
      </c>
      <c r="CX1126" s="23" t="n">
        <v>46.14250590126423</v>
      </c>
      <c r="CY1126" s="23" t="n">
        <v>51.32706034628551</v>
      </c>
      <c r="CZ1126" s="23" t="n">
        <v>54.0469171291467</v>
      </c>
      <c r="DA1126" s="23" t="n">
        <v>56.73695959409716</v>
      </c>
      <c r="DB1126" s="23" t="n">
        <v>51.98312024066919</v>
      </c>
      <c r="DC1126" s="23" t="n">
        <v>55.01462425837132</v>
      </c>
      <c r="DD1126" s="23" t="n">
        <v>56.6621031508807</v>
      </c>
      <c r="DE1126" s="23" t="n">
        <v>59.79439062624223</v>
      </c>
      <c r="DF1126" s="23" t="n">
        <v>62.81186672040206</v>
      </c>
      <c r="DG1126" s="23" t="n">
        <v>66.71441208009355</v>
      </c>
      <c r="DH1126" s="23" t="n">
        <v>70.86631577301142</v>
      </c>
      <c r="DI1126" s="23" t="n">
        <v>75.37124135592693</v>
      </c>
      <c r="DJ1126" s="23" t="n">
        <v>80.04478994507959</v>
      </c>
      <c r="DK1126" s="23" t="n">
        <v>85.04506998215658</v>
      </c>
      <c r="DL1126" s="23" t="n">
        <v>90.05480548608098</v>
      </c>
      <c r="DM1126" s="23" t="n">
        <v>95.21560120336225</v>
      </c>
      <c r="DN1126" s="23" t="n">
        <v>100.319135688962</v>
      </c>
      <c r="DO1126" s="23" t="n">
        <v>105.5601274130396</v>
      </c>
    </row>
    <row r="1127">
      <c r="A1127" s="19" t="inlineStr">
        <is>
          <t>mit.eldem.bld.ecy</t>
        </is>
      </c>
      <c r="B1127" s="3" t="inlineStr">
        <is>
          <t>mit</t>
        </is>
      </c>
      <c r="C1127" s="19" t="n"/>
      <c r="H1127" s="3" t="inlineStr">
        <is>
          <t>Electricity demand (memo: power model H; not in the fuel totals; sector policies do not act on it) | Buildings | Electricity</t>
        </is>
      </c>
      <c r="I1127" s="3" t="inlineStr">
        <is>
          <t>ktoe</t>
        </is>
      </c>
      <c r="K1127" s="20" t="inlineStr">
        <is>
          <t>egy.mit.eldem.bld.ecy.1</t>
        </is>
      </c>
      <c r="L1127" s="23" t="n">
        <v>10743.02294556901</v>
      </c>
      <c r="M1127" s="23" t="n">
        <v>10609.5358281454</v>
      </c>
      <c r="N1127" s="23" t="n">
        <v>12134.71258733388</v>
      </c>
      <c r="O1127" s="23" t="n">
        <v>13800.10826674411</v>
      </c>
      <c r="P1127" s="23" t="n">
        <v>14493.84240227674</v>
      </c>
      <c r="Q1127" s="23" t="n">
        <v>15083.32712930295</v>
      </c>
      <c r="R1127" s="23" t="n">
        <v>15702.78875384156</v>
      </c>
      <c r="S1127" s="23" t="n">
        <v>16357.58123040463</v>
      </c>
      <c r="T1127" s="23" t="n">
        <v>16867.75464521832</v>
      </c>
      <c r="U1127" s="23" t="n">
        <v>17397.94744924623</v>
      </c>
      <c r="V1127" s="23" t="n">
        <v>17921.31086501728</v>
      </c>
      <c r="W1127" s="23" t="n">
        <v>18851.05290465119</v>
      </c>
      <c r="X1127" s="23" t="n">
        <v>19795.21291186802</v>
      </c>
      <c r="Y1127" s="23" t="n">
        <v>20789.25505860519</v>
      </c>
      <c r="Z1127" s="23" t="n">
        <v>21810.97973386388</v>
      </c>
      <c r="AA1127" s="23" t="n">
        <v>22860.83891355164</v>
      </c>
      <c r="AB1127" s="23" t="n">
        <v>23938.4070043316</v>
      </c>
      <c r="AC1127" s="23" t="n">
        <v>25044.11026505963</v>
      </c>
      <c r="AD1127" s="23" t="n">
        <v>26179.36765118849</v>
      </c>
      <c r="AE1127" s="23" t="n">
        <v>27344.94378680479</v>
      </c>
      <c r="AG1127" s="20" t="inlineStr">
        <is>
          <t>egy.mit.eldem.bld.ecy.3</t>
        </is>
      </c>
      <c r="AH1127" s="23" t="n">
        <v>10743.02294556901</v>
      </c>
      <c r="AI1127" s="23" t="n">
        <v>10609.5358281454</v>
      </c>
      <c r="AJ1127" s="23" t="n">
        <v>12134.71258733388</v>
      </c>
      <c r="AK1127" s="23" t="n">
        <v>13800.10826674411</v>
      </c>
      <c r="AL1127" s="23" t="n">
        <v>14493.59367120021</v>
      </c>
      <c r="AM1127" s="23" t="n">
        <v>15082.67330041302</v>
      </c>
      <c r="AN1127" s="23" t="n">
        <v>14304.04839838166</v>
      </c>
      <c r="AO1127" s="23" t="n">
        <v>14938.1528057103</v>
      </c>
      <c r="AP1127" s="23" t="n">
        <v>15282.38406112974</v>
      </c>
      <c r="AQ1127" s="23" t="n">
        <v>15986.69463353702</v>
      </c>
      <c r="AR1127" s="23" t="n">
        <v>16531.16916968318</v>
      </c>
      <c r="AS1127" s="23" t="n">
        <v>17452.93505812909</v>
      </c>
      <c r="AT1127" s="23" t="n">
        <v>18370.97962850004</v>
      </c>
      <c r="AU1127" s="23" t="n">
        <v>19343.94703782222</v>
      </c>
      <c r="AV1127" s="23" t="n">
        <v>20348.58905725656</v>
      </c>
      <c r="AW1127" s="23" t="n">
        <v>21388.93926127291</v>
      </c>
      <c r="AX1127" s="23" t="n">
        <v>22447.64611726803</v>
      </c>
      <c r="AY1127" s="23" t="n">
        <v>23529.65952440198</v>
      </c>
      <c r="AZ1127" s="23" t="n">
        <v>24626.97068170712</v>
      </c>
      <c r="BA1127" s="23" t="n">
        <v>25749.52136271929</v>
      </c>
      <c r="BC1127" s="20" t="inlineStr">
        <is>
          <t>egy.mit.eldem.bld.ecy.4</t>
        </is>
      </c>
      <c r="BD1127" s="23" t="n">
        <v>10743.02294556901</v>
      </c>
      <c r="BE1127" s="23" t="n">
        <v>10609.5358281454</v>
      </c>
      <c r="BF1127" s="23" t="n">
        <v>12134.71258733388</v>
      </c>
      <c r="BG1127" s="23" t="n">
        <v>13800.10826674411</v>
      </c>
      <c r="BH1127" s="23" t="n">
        <v>14493.01338290434</v>
      </c>
      <c r="BI1127" s="23" t="n">
        <v>15081.12179687835</v>
      </c>
      <c r="BJ1127" s="23" t="n">
        <v>14954.58468132719</v>
      </c>
      <c r="BK1127" s="23" t="n">
        <v>14723.0669936156</v>
      </c>
      <c r="BL1127" s="23" t="n">
        <v>14470.31845080154</v>
      </c>
      <c r="BM1127" s="23" t="n">
        <v>14465.21261073165</v>
      </c>
      <c r="BN1127" s="23" t="n">
        <v>14450.46430579066</v>
      </c>
      <c r="BO1127" s="23" t="n">
        <v>14613.84975141237</v>
      </c>
      <c r="BP1127" s="23" t="n">
        <v>14810.25038803165</v>
      </c>
      <c r="BQ1127" s="23" t="n">
        <v>15133.44843270863</v>
      </c>
      <c r="BR1127" s="23" t="n">
        <v>15486.95642354931</v>
      </c>
      <c r="BS1127" s="23" t="n">
        <v>15956.35830335511</v>
      </c>
      <c r="BT1127" s="23" t="n">
        <v>16438.34072151008</v>
      </c>
      <c r="BU1127" s="23" t="n">
        <v>17040.54699068145</v>
      </c>
      <c r="BV1127" s="23" t="n">
        <v>17618.10961007752</v>
      </c>
      <c r="BW1127" s="23" t="n">
        <v>18343.96119064599</v>
      </c>
      <c r="BY1127" s="20" t="inlineStr">
        <is>
          <t>egy.mit.eldem.bld.ecy.5</t>
        </is>
      </c>
      <c r="BZ1127" s="23" t="n">
        <v>10743.02294556901</v>
      </c>
      <c r="CA1127" s="23" t="n">
        <v>10609.5358281454</v>
      </c>
      <c r="CB1127" s="23" t="n">
        <v>12134.71258733388</v>
      </c>
      <c r="CC1127" s="23" t="n">
        <v>13800.10826674411</v>
      </c>
      <c r="CD1127" s="23" t="n">
        <v>14492.41870360273</v>
      </c>
      <c r="CE1127" s="23" t="n">
        <v>15079.55211785216</v>
      </c>
      <c r="CF1127" s="23" t="n">
        <v>15697.26644473133</v>
      </c>
      <c r="CG1127" s="23" t="n">
        <v>16357.55837059765</v>
      </c>
      <c r="CH1127" s="23" t="n">
        <v>16847.02461031596</v>
      </c>
      <c r="CI1127" s="23" t="n">
        <v>17383.85201321036</v>
      </c>
      <c r="CJ1127" s="23" t="n">
        <v>17894.23800318233</v>
      </c>
      <c r="CK1127" s="23" t="n">
        <v>18853.04310924404</v>
      </c>
      <c r="CL1127" s="23" t="n">
        <v>19837.63191497682</v>
      </c>
      <c r="CM1127" s="23" t="n">
        <v>20864.41731133013</v>
      </c>
      <c r="CN1127" s="23" t="n">
        <v>21976.28526029903</v>
      </c>
      <c r="CO1127" s="23" t="n">
        <v>23116.63073477316</v>
      </c>
      <c r="CP1127" s="23" t="n">
        <v>24282.57666218423</v>
      </c>
      <c r="CQ1127" s="23" t="n">
        <v>25486.32694761638</v>
      </c>
      <c r="CR1127" s="23" t="n">
        <v>26704.41633790074</v>
      </c>
      <c r="CS1127" s="23" t="n">
        <v>27954.87535929781</v>
      </c>
      <c r="CU1127" s="20" t="inlineStr">
        <is>
          <t>egy.mit.eldem.bld.ecy.6</t>
        </is>
      </c>
      <c r="CV1127" s="23" t="n">
        <v>10743.02294556901</v>
      </c>
      <c r="CW1127" s="23" t="n">
        <v>10609.5358281454</v>
      </c>
      <c r="CX1127" s="23" t="n">
        <v>12134.71258733388</v>
      </c>
      <c r="CY1127" s="23" t="n">
        <v>13800.10826674411</v>
      </c>
      <c r="CZ1127" s="23" t="n">
        <v>14493.26168255716</v>
      </c>
      <c r="DA1127" s="23" t="n">
        <v>15081.79032548068</v>
      </c>
      <c r="DB1127" s="23" t="n">
        <v>12754.96011372392</v>
      </c>
      <c r="DC1127" s="23" t="n">
        <v>13384.4024778384</v>
      </c>
      <c r="DD1127" s="23" t="n">
        <v>13586.9015800819</v>
      </c>
      <c r="DE1127" s="23" t="n">
        <v>14266.20012555107</v>
      </c>
      <c r="DF1127" s="23" t="n">
        <v>14910.51154461616</v>
      </c>
      <c r="DG1127" s="23" t="n">
        <v>15814.37397593143</v>
      </c>
      <c r="DH1127" s="23" t="n">
        <v>16773.39482203522</v>
      </c>
      <c r="DI1127" s="23" t="n">
        <v>17844.01948665291</v>
      </c>
      <c r="DJ1127" s="23" t="n">
        <v>18946.66473271459</v>
      </c>
      <c r="DK1127" s="23" t="n">
        <v>20124.00799752158</v>
      </c>
      <c r="DL1127" s="23" t="n">
        <v>21301.88047973761</v>
      </c>
      <c r="DM1127" s="23" t="n">
        <v>22521.59081161127</v>
      </c>
      <c r="DN1127" s="23" t="n">
        <v>23726.52197813039</v>
      </c>
      <c r="DO1127" s="23" t="n">
        <v>24968.41106346903</v>
      </c>
    </row>
    <row r="1128">
      <c r="A1128" s="19" t="inlineStr">
        <is>
          <t>mit.eldem.ind.ecy</t>
        </is>
      </c>
      <c r="B1128" s="3" t="inlineStr">
        <is>
          <t>mit</t>
        </is>
      </c>
      <c r="C1128" s="19" t="n"/>
      <c r="H1128" s="3" t="inlineStr">
        <is>
          <t>Electricity demand (memo: power model H; not in the fuel totals; sector policies do not act on it) | Industry | Electricity</t>
        </is>
      </c>
      <c r="I1128" s="3" t="inlineStr">
        <is>
          <t>ktoe</t>
        </is>
      </c>
      <c r="K1128" s="20" t="inlineStr">
        <is>
          <t>egy.mit.eldem.ind.ecy.1</t>
        </is>
      </c>
      <c r="L1128" s="23" t="n">
        <v>3605.904435832307</v>
      </c>
      <c r="M1128" s="23" t="n">
        <v>3374.152995096691</v>
      </c>
      <c r="N1128" s="23" t="n">
        <v>3713.798036006849</v>
      </c>
      <c r="O1128" s="23" t="n">
        <v>4145.263829044002</v>
      </c>
      <c r="P1128" s="23" t="n">
        <v>4321.21317775224</v>
      </c>
      <c r="Q1128" s="23" t="n">
        <v>4471.510962386807</v>
      </c>
      <c r="R1128" s="23" t="n">
        <v>4629.689324304682</v>
      </c>
      <c r="S1128" s="23" t="n">
        <v>4794.835814704083</v>
      </c>
      <c r="T1128" s="23" t="n">
        <v>4923.996910758906</v>
      </c>
      <c r="U1128" s="23" t="n">
        <v>5059.125764291225</v>
      </c>
      <c r="V1128" s="23" t="n">
        <v>5192.309841689844</v>
      </c>
      <c r="W1128" s="23" t="n">
        <v>5413.579480629668</v>
      </c>
      <c r="X1128" s="23" t="n">
        <v>5639.18862166138</v>
      </c>
      <c r="Y1128" s="23" t="n">
        <v>5875.37413430081</v>
      </c>
      <c r="Z1128" s="23" t="n">
        <v>6115.749068741477</v>
      </c>
      <c r="AA1128" s="23" t="n">
        <v>6360.336496641125</v>
      </c>
      <c r="AB1128" s="23" t="n">
        <v>6608.962356447246</v>
      </c>
      <c r="AC1128" s="23" t="n">
        <v>6861.64630479171</v>
      </c>
      <c r="AD1128" s="23" t="n">
        <v>7118.623191106874</v>
      </c>
      <c r="AE1128" s="23" t="n">
        <v>7379.976559487256</v>
      </c>
      <c r="AG1128" s="20" t="inlineStr">
        <is>
          <t>egy.mit.eldem.ind.ecy.3</t>
        </is>
      </c>
      <c r="AH1128" s="23" t="n">
        <v>3605.904435832307</v>
      </c>
      <c r="AI1128" s="23" t="n">
        <v>3374.152995096691</v>
      </c>
      <c r="AJ1128" s="23" t="n">
        <v>3713.798036006849</v>
      </c>
      <c r="AK1128" s="23" t="n">
        <v>4145.263829044002</v>
      </c>
      <c r="AL1128" s="23" t="n">
        <v>4321.15012367438</v>
      </c>
      <c r="AM1128" s="23" t="n">
        <v>4471.349458627962</v>
      </c>
      <c r="AN1128" s="23" t="n">
        <v>4310.82807248794</v>
      </c>
      <c r="AO1128" s="23" t="n">
        <v>4473.928256852662</v>
      </c>
      <c r="AP1128" s="23" t="n">
        <v>4566.208678076554</v>
      </c>
      <c r="AQ1128" s="23" t="n">
        <v>4742.783299866988</v>
      </c>
      <c r="AR1128" s="23" t="n">
        <v>4881.786695533372</v>
      </c>
      <c r="AS1128" s="23" t="n">
        <v>5106.337485395507</v>
      </c>
      <c r="AT1128" s="23" t="n">
        <v>5331.181626898345</v>
      </c>
      <c r="AU1128" s="23" t="n">
        <v>5566.535387154773</v>
      </c>
      <c r="AV1128" s="23" t="n">
        <v>5807.247996427248</v>
      </c>
      <c r="AW1128" s="23" t="n">
        <v>6054.074970211514</v>
      </c>
      <c r="AX1128" s="23" t="n">
        <v>6302.652835759347</v>
      </c>
      <c r="AY1128" s="23" t="n">
        <v>6554.134153830685</v>
      </c>
      <c r="AZ1128" s="23" t="n">
        <v>6806.570797501076</v>
      </c>
      <c r="BA1128" s="23" t="n">
        <v>7062.294820688464</v>
      </c>
      <c r="BC1128" s="20" t="inlineStr">
        <is>
          <t>egy.mit.eldem.ind.ecy.4</t>
        </is>
      </c>
      <c r="BD1128" s="23" t="n">
        <v>3605.904435832307</v>
      </c>
      <c r="BE1128" s="23" t="n">
        <v>3374.152995096691</v>
      </c>
      <c r="BF1128" s="23" t="n">
        <v>3713.798036006849</v>
      </c>
      <c r="BG1128" s="23" t="n">
        <v>4145.263829044002</v>
      </c>
      <c r="BH1128" s="23" t="n">
        <v>4321.003056484561</v>
      </c>
      <c r="BI1128" s="23" t="n">
        <v>4470.966355163295</v>
      </c>
      <c r="BJ1128" s="23" t="n">
        <v>4460.542798091195</v>
      </c>
      <c r="BK1128" s="23" t="n">
        <v>4424.089520986207</v>
      </c>
      <c r="BL1128" s="23" t="n">
        <v>4377.896093419565</v>
      </c>
      <c r="BM1128" s="23" t="n">
        <v>4390.24033955166</v>
      </c>
      <c r="BN1128" s="23" t="n">
        <v>4399.634590266173</v>
      </c>
      <c r="BO1128" s="23" t="n">
        <v>4451.366704680997</v>
      </c>
      <c r="BP1128" s="23" t="n">
        <v>4511.78403960267</v>
      </c>
      <c r="BQ1128" s="23" t="n">
        <v>4602.054708875927</v>
      </c>
      <c r="BR1128" s="23" t="n">
        <v>4699.894960524228</v>
      </c>
      <c r="BS1128" s="23" t="n">
        <v>4825.162464098818</v>
      </c>
      <c r="BT1128" s="23" t="n">
        <v>4953.214270716985</v>
      </c>
      <c r="BU1128" s="23" t="n">
        <v>5109.142203261913</v>
      </c>
      <c r="BV1128" s="23" t="n">
        <v>5258.538887094252</v>
      </c>
      <c r="BW1128" s="23" t="n">
        <v>5441.583493576886</v>
      </c>
      <c r="BY1128" s="20" t="inlineStr">
        <is>
          <t>egy.mit.eldem.ind.ecy.5</t>
        </is>
      </c>
      <c r="BZ1128" s="23" t="n">
        <v>3605.904435832307</v>
      </c>
      <c r="CA1128" s="23" t="n">
        <v>3374.152995096691</v>
      </c>
      <c r="CB1128" s="23" t="n">
        <v>3713.798036006849</v>
      </c>
      <c r="CC1128" s="23" t="n">
        <v>4145.263829044002</v>
      </c>
      <c r="CD1128" s="23" t="n">
        <v>4320.852320011739</v>
      </c>
      <c r="CE1128" s="23" t="n">
        <v>4470.578717100857</v>
      </c>
      <c r="CF1128" s="23" t="n">
        <v>4628.344267463355</v>
      </c>
      <c r="CG1128" s="23" t="n">
        <v>4794.941200621652</v>
      </c>
      <c r="CH1128" s="23" t="n">
        <v>4919.030958103502</v>
      </c>
      <c r="CI1128" s="23" t="n">
        <v>5055.886778426419</v>
      </c>
      <c r="CJ1128" s="23" t="n">
        <v>5185.91361637736</v>
      </c>
      <c r="CK1128" s="23" t="n">
        <v>5413.970311039298</v>
      </c>
      <c r="CL1128" s="23" t="n">
        <v>5649.21936942618</v>
      </c>
      <c r="CM1128" s="23" t="n">
        <v>5892.995521495128</v>
      </c>
      <c r="CN1128" s="23" t="n">
        <v>6153.911958567629</v>
      </c>
      <c r="CO1128" s="23" t="n">
        <v>6418.85734710198</v>
      </c>
      <c r="CP1128" s="23" t="n">
        <v>6686.840910869599</v>
      </c>
      <c r="CQ1128" s="23" t="n">
        <v>6960.611659430107</v>
      </c>
      <c r="CR1128" s="23" t="n">
        <v>7234.790775517345</v>
      </c>
      <c r="CS1128" s="23" t="n">
        <v>7513.485653448545</v>
      </c>
      <c r="CU1128" s="20" t="inlineStr">
        <is>
          <t>egy.mit.eldem.ind.ecy.6</t>
        </is>
      </c>
      <c r="CV1128" s="23" t="n">
        <v>3605.904435832307</v>
      </c>
      <c r="CW1128" s="23" t="n">
        <v>3374.152995096691</v>
      </c>
      <c r="CX1128" s="23" t="n">
        <v>3713.798036006849</v>
      </c>
      <c r="CY1128" s="23" t="n">
        <v>4145.263829044002</v>
      </c>
      <c r="CZ1128" s="23" t="n">
        <v>4321.065978490395</v>
      </c>
      <c r="DA1128" s="23" t="n">
        <v>4471.131407132668</v>
      </c>
      <c r="DB1128" s="23" t="n">
        <v>3943.537662062146</v>
      </c>
      <c r="DC1128" s="23" t="n">
        <v>4108.946910255672</v>
      </c>
      <c r="DD1128" s="23" t="n">
        <v>4167.740197913085</v>
      </c>
      <c r="DE1128" s="23" t="n">
        <v>4342.54838741526</v>
      </c>
      <c r="DF1128" s="23" t="n">
        <v>4507.179437440134</v>
      </c>
      <c r="DG1128" s="23" t="n">
        <v>4733.323233148466</v>
      </c>
      <c r="DH1128" s="23" t="n">
        <v>4973.016888537119</v>
      </c>
      <c r="DI1128" s="23" t="n">
        <v>5235.433698831214</v>
      </c>
      <c r="DJ1128" s="23" t="n">
        <v>5503.170742801181</v>
      </c>
      <c r="DK1128" s="23" t="n">
        <v>5785.287309351304</v>
      </c>
      <c r="DL1128" s="23" t="n">
        <v>6064.307720055114</v>
      </c>
      <c r="DM1128" s="23" t="n">
        <v>6349.356004758612</v>
      </c>
      <c r="DN1128" s="23" t="n">
        <v>6627.918511305415</v>
      </c>
      <c r="DO1128" s="23" t="n">
        <v>6911.469418285593</v>
      </c>
    </row>
    <row r="1129">
      <c r="A1129" s="19" t="inlineStr">
        <is>
          <t>mit.eldem.oen.ecy</t>
        </is>
      </c>
      <c r="B1129" s="3" t="inlineStr">
        <is>
          <t>mit</t>
        </is>
      </c>
      <c r="C1129" s="19" t="n"/>
      <c r="H1129" s="3" t="inlineStr">
        <is>
          <t>Electricity demand (memo: power model H; not in the fuel totals; sector policies do not act on it) | Other energy use | Electricity</t>
        </is>
      </c>
      <c r="I1129" s="3" t="inlineStr">
        <is>
          <t>ktoe</t>
        </is>
      </c>
      <c r="K1129" s="20" t="inlineStr">
        <is>
          <t>egy.mit.eldem.oen.ecy.1</t>
        </is>
      </c>
      <c r="L1129" s="23" t="n">
        <v>0</v>
      </c>
      <c r="M1129" s="23" t="n">
        <v>0</v>
      </c>
      <c r="N1129" s="23" t="n">
        <v>0</v>
      </c>
      <c r="O1129" s="23" t="n">
        <v>0</v>
      </c>
      <c r="P1129" s="23" t="n">
        <v>0</v>
      </c>
      <c r="Q1129" s="23" t="n">
        <v>0</v>
      </c>
      <c r="R1129" s="23" t="n">
        <v>0</v>
      </c>
      <c r="S1129" s="23" t="n">
        <v>0</v>
      </c>
      <c r="T1129" s="23" t="n">
        <v>0</v>
      </c>
      <c r="U1129" s="23" t="n">
        <v>0</v>
      </c>
      <c r="V1129" s="23" t="n">
        <v>0</v>
      </c>
      <c r="W1129" s="23" t="n">
        <v>0</v>
      </c>
      <c r="X1129" s="23" t="n">
        <v>0</v>
      </c>
      <c r="Y1129" s="23" t="n">
        <v>0</v>
      </c>
      <c r="Z1129" s="23" t="n">
        <v>0</v>
      </c>
      <c r="AA1129" s="23" t="n">
        <v>0</v>
      </c>
      <c r="AB1129" s="23" t="n">
        <v>0</v>
      </c>
      <c r="AC1129" s="23" t="n">
        <v>0</v>
      </c>
      <c r="AD1129" s="23" t="n">
        <v>0</v>
      </c>
      <c r="AE1129" s="23" t="n">
        <v>0</v>
      </c>
      <c r="AG1129" s="20" t="inlineStr">
        <is>
          <t>egy.mit.eldem.oen.ecy.3</t>
        </is>
      </c>
      <c r="AH1129" s="23" t="n">
        <v>0</v>
      </c>
      <c r="AI1129" s="23" t="n">
        <v>0</v>
      </c>
      <c r="AJ1129" s="23" t="n">
        <v>0</v>
      </c>
      <c r="AK1129" s="23" t="n">
        <v>0</v>
      </c>
      <c r="AL1129" s="23" t="n">
        <v>0</v>
      </c>
      <c r="AM1129" s="23" t="n">
        <v>0</v>
      </c>
      <c r="AN1129" s="23" t="n">
        <v>0</v>
      </c>
      <c r="AO1129" s="23" t="n">
        <v>0</v>
      </c>
      <c r="AP1129" s="23" t="n">
        <v>0</v>
      </c>
      <c r="AQ1129" s="23" t="n">
        <v>0</v>
      </c>
      <c r="AR1129" s="23" t="n">
        <v>0</v>
      </c>
      <c r="AS1129" s="23" t="n">
        <v>0</v>
      </c>
      <c r="AT1129" s="23" t="n">
        <v>0</v>
      </c>
      <c r="AU1129" s="23" t="n">
        <v>0</v>
      </c>
      <c r="AV1129" s="23" t="n">
        <v>0</v>
      </c>
      <c r="AW1129" s="23" t="n">
        <v>0</v>
      </c>
      <c r="AX1129" s="23" t="n">
        <v>0</v>
      </c>
      <c r="AY1129" s="23" t="n">
        <v>0</v>
      </c>
      <c r="AZ1129" s="23" t="n">
        <v>0</v>
      </c>
      <c r="BA1129" s="23" t="n">
        <v>0</v>
      </c>
      <c r="BC1129" s="20" t="inlineStr">
        <is>
          <t>egy.mit.eldem.oen.ecy.4</t>
        </is>
      </c>
      <c r="BD1129" s="23" t="n">
        <v>0</v>
      </c>
      <c r="BE1129" s="23" t="n">
        <v>0</v>
      </c>
      <c r="BF1129" s="23" t="n">
        <v>0</v>
      </c>
      <c r="BG1129" s="23" t="n">
        <v>0</v>
      </c>
      <c r="BH1129" s="23" t="n">
        <v>0</v>
      </c>
      <c r="BI1129" s="23" t="n">
        <v>0</v>
      </c>
      <c r="BJ1129" s="23" t="n">
        <v>0</v>
      </c>
      <c r="BK1129" s="23" t="n">
        <v>0</v>
      </c>
      <c r="BL1129" s="23" t="n">
        <v>0</v>
      </c>
      <c r="BM1129" s="23" t="n">
        <v>0</v>
      </c>
      <c r="BN1129" s="23" t="n">
        <v>0</v>
      </c>
      <c r="BO1129" s="23" t="n">
        <v>0</v>
      </c>
      <c r="BP1129" s="23" t="n">
        <v>0</v>
      </c>
      <c r="BQ1129" s="23" t="n">
        <v>0</v>
      </c>
      <c r="BR1129" s="23" t="n">
        <v>0</v>
      </c>
      <c r="BS1129" s="23" t="n">
        <v>0</v>
      </c>
      <c r="BT1129" s="23" t="n">
        <v>0</v>
      </c>
      <c r="BU1129" s="23" t="n">
        <v>0</v>
      </c>
      <c r="BV1129" s="23" t="n">
        <v>0</v>
      </c>
      <c r="BW1129" s="23" t="n">
        <v>0</v>
      </c>
      <c r="BY1129" s="20" t="inlineStr">
        <is>
          <t>egy.mit.eldem.oen.ecy.5</t>
        </is>
      </c>
      <c r="BZ1129" s="23" t="n">
        <v>0</v>
      </c>
      <c r="CA1129" s="23" t="n">
        <v>0</v>
      </c>
      <c r="CB1129" s="23" t="n">
        <v>0</v>
      </c>
      <c r="CC1129" s="23" t="n">
        <v>0</v>
      </c>
      <c r="CD1129" s="23" t="n">
        <v>0</v>
      </c>
      <c r="CE1129" s="23" t="n">
        <v>0</v>
      </c>
      <c r="CF1129" s="23" t="n">
        <v>0</v>
      </c>
      <c r="CG1129" s="23" t="n">
        <v>0</v>
      </c>
      <c r="CH1129" s="23" t="n">
        <v>0</v>
      </c>
      <c r="CI1129" s="23" t="n">
        <v>0</v>
      </c>
      <c r="CJ1129" s="23" t="n">
        <v>0</v>
      </c>
      <c r="CK1129" s="23" t="n">
        <v>0</v>
      </c>
      <c r="CL1129" s="23" t="n">
        <v>0</v>
      </c>
      <c r="CM1129" s="23" t="n">
        <v>0</v>
      </c>
      <c r="CN1129" s="23" t="n">
        <v>0</v>
      </c>
      <c r="CO1129" s="23" t="n">
        <v>0</v>
      </c>
      <c r="CP1129" s="23" t="n">
        <v>0</v>
      </c>
      <c r="CQ1129" s="23" t="n">
        <v>0</v>
      </c>
      <c r="CR1129" s="23" t="n">
        <v>0</v>
      </c>
      <c r="CS1129" s="23" t="n">
        <v>0</v>
      </c>
      <c r="CU1129" s="20" t="inlineStr">
        <is>
          <t>egy.mit.eldem.oen.ecy.6</t>
        </is>
      </c>
      <c r="CV1129" s="23" t="n">
        <v>0</v>
      </c>
      <c r="CW1129" s="23" t="n">
        <v>0</v>
      </c>
      <c r="CX1129" s="23" t="n">
        <v>0</v>
      </c>
      <c r="CY1129" s="23" t="n">
        <v>0</v>
      </c>
      <c r="CZ1129" s="23" t="n">
        <v>0</v>
      </c>
      <c r="DA1129" s="23" t="n">
        <v>0</v>
      </c>
      <c r="DB1129" s="23" t="n">
        <v>0</v>
      </c>
      <c r="DC1129" s="23" t="n">
        <v>0</v>
      </c>
      <c r="DD1129" s="23" t="n">
        <v>0</v>
      </c>
      <c r="DE1129" s="23" t="n">
        <v>0</v>
      </c>
      <c r="DF1129" s="23" t="n">
        <v>0</v>
      </c>
      <c r="DG1129" s="23" t="n">
        <v>0</v>
      </c>
      <c r="DH1129" s="23" t="n">
        <v>0</v>
      </c>
      <c r="DI1129" s="23" t="n">
        <v>0</v>
      </c>
      <c r="DJ1129" s="23" t="n">
        <v>0</v>
      </c>
      <c r="DK1129" s="23" t="n">
        <v>0</v>
      </c>
      <c r="DL1129" s="23" t="n">
        <v>0</v>
      </c>
      <c r="DM1129" s="23" t="n">
        <v>0</v>
      </c>
      <c r="DN1129" s="23" t="n">
        <v>0</v>
      </c>
      <c r="DO1129" s="23" t="n">
        <v>0</v>
      </c>
    </row>
    <row r="1130">
      <c r="A1130" s="5" t="n"/>
      <c r="B1130" s="18" t="inlineStr">
        <is>
          <t>Not in legacy MTOutputs: power</t>
        </is>
      </c>
      <c r="C1130" s="5" t="n"/>
      <c r="D1130" s="5" t="n"/>
      <c r="E1130" s="5" t="n"/>
      <c r="F1130" s="5" t="n"/>
      <c r="G1130" s="5" t="n"/>
      <c r="H1130" s="5" t="n"/>
      <c r="I1130" s="5" t="n"/>
      <c r="J1130" s="5" t="n"/>
      <c r="K1130" s="5" t="n"/>
      <c r="L1130" s="5" t="n"/>
      <c r="M1130" s="5" t="n"/>
      <c r="N1130" s="5" t="n"/>
      <c r="O1130" s="5" t="n"/>
      <c r="P1130" s="5" t="n"/>
      <c r="Q1130" s="5" t="n"/>
      <c r="R1130" s="5" t="n"/>
      <c r="S1130" s="5" t="n"/>
      <c r="T1130" s="5" t="n"/>
      <c r="U1130" s="5" t="n"/>
      <c r="V1130" s="5" t="n"/>
      <c r="W1130" s="5" t="n"/>
      <c r="X1130" s="5" t="n"/>
      <c r="Y1130" s="5" t="n"/>
      <c r="Z1130" s="5" t="n"/>
      <c r="AA1130" s="5" t="n"/>
      <c r="AB1130" s="5" t="n"/>
      <c r="AC1130" s="5" t="n"/>
      <c r="AD1130" s="5" t="n"/>
      <c r="AE1130" s="5" t="n"/>
      <c r="AF1130" s="5" t="n"/>
      <c r="AG1130" s="5" t="n"/>
      <c r="AH1130" s="5" t="n"/>
      <c r="AI1130" s="5" t="n"/>
      <c r="AJ1130" s="5" t="n"/>
      <c r="AK1130" s="5" t="n"/>
      <c r="AL1130" s="5" t="n"/>
      <c r="AM1130" s="5" t="n"/>
      <c r="AN1130" s="5" t="n"/>
      <c r="AO1130" s="5" t="n"/>
      <c r="AP1130" s="5" t="n"/>
      <c r="AQ1130" s="5" t="n"/>
      <c r="AR1130" s="5" t="n"/>
      <c r="AS1130" s="5" t="n"/>
      <c r="AT1130" s="5" t="n"/>
      <c r="AU1130" s="5" t="n"/>
      <c r="AV1130" s="5" t="n"/>
      <c r="AW1130" s="5" t="n"/>
      <c r="AX1130" s="5" t="n"/>
      <c r="AY1130" s="5" t="n"/>
      <c r="AZ1130" s="5" t="n"/>
      <c r="BA1130" s="5" t="n"/>
      <c r="BB1130" s="5" t="n"/>
      <c r="BC1130" s="5" t="n"/>
      <c r="BD1130" s="5" t="n"/>
      <c r="BE1130" s="5" t="n"/>
      <c r="BF1130" s="5" t="n"/>
      <c r="BG1130" s="5" t="n"/>
      <c r="BH1130" s="5" t="n"/>
      <c r="BI1130" s="5" t="n"/>
      <c r="BJ1130" s="5" t="n"/>
      <c r="BK1130" s="5" t="n"/>
      <c r="BL1130" s="5" t="n"/>
      <c r="BM1130" s="5" t="n"/>
      <c r="BN1130" s="5" t="n"/>
      <c r="BO1130" s="5" t="n"/>
      <c r="BP1130" s="5" t="n"/>
      <c r="BQ1130" s="5" t="n"/>
      <c r="BR1130" s="5" t="n"/>
      <c r="BS1130" s="5" t="n"/>
      <c r="BT1130" s="5" t="n"/>
      <c r="BU1130" s="5" t="n"/>
      <c r="BV1130" s="5" t="n"/>
      <c r="BW1130" s="5" t="n"/>
      <c r="BX1130" s="5" t="n"/>
      <c r="BY1130" s="5" t="n"/>
      <c r="BZ1130" s="5" t="n"/>
      <c r="CA1130" s="5" t="n"/>
      <c r="CB1130" s="5" t="n"/>
      <c r="CC1130" s="5" t="n"/>
      <c r="CD1130" s="5" t="n"/>
      <c r="CE1130" s="5" t="n"/>
      <c r="CF1130" s="5" t="n"/>
      <c r="CG1130" s="5" t="n"/>
      <c r="CH1130" s="5" t="n"/>
      <c r="CI1130" s="5" t="n"/>
      <c r="CJ1130" s="5" t="n"/>
      <c r="CK1130" s="5" t="n"/>
      <c r="CL1130" s="5" t="n"/>
      <c r="CM1130" s="5" t="n"/>
      <c r="CN1130" s="5" t="n"/>
      <c r="CO1130" s="5" t="n"/>
      <c r="CP1130" s="5" t="n"/>
      <c r="CQ1130" s="5" t="n"/>
      <c r="CR1130" s="5" t="n"/>
      <c r="CS1130" s="5" t="n"/>
      <c r="CT1130" s="5" t="n"/>
      <c r="CU1130" s="5" t="n"/>
      <c r="CV1130" s="5" t="n"/>
      <c r="CW1130" s="5" t="n"/>
      <c r="CX1130" s="5" t="n"/>
      <c r="CY1130" s="5" t="n"/>
      <c r="CZ1130" s="5" t="n"/>
      <c r="DA1130" s="5" t="n"/>
      <c r="DB1130" s="5" t="n"/>
      <c r="DC1130" s="5" t="n"/>
      <c r="DD1130" s="5" t="n"/>
      <c r="DE1130" s="5" t="n"/>
      <c r="DF1130" s="5" t="n"/>
      <c r="DG1130" s="5" t="n"/>
      <c r="DH1130" s="5" t="n"/>
      <c r="DI1130" s="5" t="n"/>
      <c r="DJ1130" s="5" t="n"/>
      <c r="DK1130" s="5" t="n"/>
      <c r="DL1130" s="5" t="n"/>
      <c r="DM1130" s="5" t="n"/>
      <c r="DN1130" s="5" t="n"/>
      <c r="DO1130" s="5" t="n"/>
      <c r="DP1130" s="5" t="n"/>
      <c r="DQ1130" s="5" t="n"/>
      <c r="DR1130" s="5" t="n"/>
      <c r="DS1130" s="5" t="n"/>
      <c r="DT1130" s="5" t="n"/>
      <c r="DU1130" s="5" t="n"/>
      <c r="DV1130" s="5" t="n"/>
      <c r="DW1130" s="5" t="n"/>
      <c r="DX1130" s="5" t="n"/>
      <c r="DY1130" s="5" t="n"/>
      <c r="DZ1130" s="5" t="n"/>
      <c r="EA1130" s="5" t="n"/>
      <c r="EB1130" s="5" t="n"/>
      <c r="EC1130" s="5" t="n"/>
      <c r="ED1130" s="5" t="n"/>
      <c r="EE1130" s="5" t="n"/>
      <c r="EF1130" s="5" t="n"/>
      <c r="EG1130" s="5" t="n"/>
      <c r="EH1130" s="5" t="n"/>
      <c r="EI1130" s="5" t="n"/>
      <c r="EJ1130" s="5" t="n"/>
      <c r="EK1130" s="5" t="n"/>
      <c r="EL1130" s="5" t="n"/>
      <c r="EM1130" s="5" t="n"/>
      <c r="EN1130" s="5" t="n"/>
      <c r="EO1130" s="5" t="n"/>
      <c r="EP1130" s="5" t="n"/>
      <c r="EQ1130" s="5" t="n"/>
      <c r="ER1130" s="5" t="n"/>
      <c r="ES1130" s="5" t="n"/>
      <c r="ET1130" s="5" t="n"/>
      <c r="EU1130" s="5" t="n"/>
      <c r="EV1130" s="5" t="n"/>
      <c r="EW1130" s="5" t="n"/>
      <c r="EX1130" s="5" t="n"/>
      <c r="EY1130" s="5" t="n"/>
      <c r="EZ1130" s="5" t="n"/>
      <c r="FA1130" s="5" t="n"/>
      <c r="FB1130" s="5" t="n"/>
      <c r="FC1130" s="5" t="n"/>
      <c r="FD1130" s="5" t="n"/>
      <c r="FE1130" s="5" t="n"/>
      <c r="FF1130" s="5" t="n"/>
      <c r="FG1130" s="5" t="n"/>
      <c r="FH1130" s="5" t="n"/>
      <c r="FI1130" s="5" t="n"/>
      <c r="FJ1130" s="5" t="n"/>
      <c r="FK1130" s="5" t="n"/>
      <c r="FL1130" s="5" t="n"/>
      <c r="FM1130" s="5" t="n"/>
      <c r="FN1130" s="5" t="n"/>
      <c r="FO1130" s="5" t="n"/>
      <c r="FP1130" s="5" t="n"/>
      <c r="FQ1130" s="5" t="n"/>
      <c r="FR1130" s="5" t="n"/>
      <c r="FS1130" s="5" t="n"/>
      <c r="FT1130" s="5" t="n"/>
      <c r="FU1130" s="5" t="n"/>
      <c r="FV1130" s="5" t="n"/>
      <c r="FW1130" s="5" t="n"/>
      <c r="FX1130" s="5" t="n"/>
      <c r="FY1130" s="5" t="n"/>
      <c r="FZ1130" s="5" t="n"/>
      <c r="GA1130" s="5" t="n"/>
      <c r="GB1130" s="5" t="n"/>
      <c r="GC1130" s="5" t="n"/>
      <c r="GD1130" s="5" t="n"/>
      <c r="GE1130" s="5" t="n"/>
      <c r="GF1130" s="5" t="n"/>
      <c r="GG1130" s="5" t="n"/>
      <c r="GH1130" s="5" t="n"/>
      <c r="GI1130" s="5" t="n"/>
      <c r="GJ1130" s="5" t="n"/>
      <c r="GK1130" s="5" t="n"/>
      <c r="GL1130" s="5" t="n"/>
      <c r="GM1130" s="5" t="n"/>
      <c r="GN1130" s="5" t="n"/>
      <c r="GO1130" s="5" t="n"/>
      <c r="GP1130" s="5" t="n"/>
      <c r="GQ1130" s="5" t="n"/>
      <c r="GR1130" s="5" t="n"/>
      <c r="GS1130" s="5" t="n"/>
      <c r="GT1130" s="5" t="n"/>
      <c r="GU1130" s="5" t="n"/>
      <c r="GV1130" s="5" t="n"/>
      <c r="GW1130" s="5" t="n"/>
      <c r="GX1130" s="5" t="n"/>
      <c r="GY1130" s="5" t="n"/>
      <c r="GZ1130" s="5" t="n"/>
      <c r="HA1130" s="5" t="n"/>
      <c r="HB1130" s="5" t="n"/>
      <c r="HC1130" s="5" t="n"/>
      <c r="HD1130" s="5" t="n"/>
      <c r="HE1130" s="5" t="n"/>
      <c r="HF1130" s="5" t="n"/>
      <c r="HG1130" s="5" t="n"/>
      <c r="HH1130" s="5" t="n"/>
      <c r="HI1130" s="5" t="n"/>
      <c r="HJ1130" s="5" t="n"/>
      <c r="HK1130" s="5" t="n"/>
      <c r="HL1130" s="5" t="n"/>
      <c r="HM1130" s="5" t="n"/>
      <c r="HN1130" s="5" t="n"/>
      <c r="HO1130" s="5" t="n"/>
      <c r="HP1130" s="5" t="n"/>
      <c r="HQ1130" s="5" t="n"/>
      <c r="HR1130" s="5" t="n"/>
      <c r="HS1130" s="5" t="n"/>
      <c r="HT1130" s="5" t="n"/>
      <c r="HU1130" s="5" t="n"/>
      <c r="HV1130" s="5" t="n"/>
    </row>
    <row r="1131">
      <c r="A1131" s="19" t="inlineStr">
        <is>
          <t>mit.ghg.enrp.enr.all</t>
        </is>
      </c>
      <c r="B1131" s="3" t="inlineStr">
        <is>
          <t>mit</t>
        </is>
      </c>
      <c r="C1131" s="19" t="n"/>
      <c r="H1131" s="3" t="inlineStr">
        <is>
          <t>Energy-related GHGs including the forcing of the local pollutants | Energy | All fuels</t>
        </is>
      </c>
      <c r="I1131" s="3" t="inlineStr">
        <is>
          <t>Mt CO2e</t>
        </is>
      </c>
      <c r="K1131" s="20" t="inlineStr">
        <is>
          <t>egy.mit.ghg.enrp.enr.all.1</t>
        </is>
      </c>
      <c r="L1131" s="22" t="n">
        <v>195.8945249819315</v>
      </c>
      <c r="M1131" s="22" t="n">
        <v>193.1167612766455</v>
      </c>
      <c r="N1131" s="22" t="n">
        <v>229.1108354961698</v>
      </c>
      <c r="O1131" s="22" t="n">
        <v>241.5152600258371</v>
      </c>
      <c r="P1131" s="22" t="n">
        <v>245.7312274926589</v>
      </c>
      <c r="Q1131" s="22" t="n">
        <v>249.8831778278465</v>
      </c>
      <c r="R1131" s="22" t="n">
        <v>254.9618516071401</v>
      </c>
      <c r="S1131" s="22" t="n">
        <v>259.8511915693092</v>
      </c>
      <c r="T1131" s="22" t="n">
        <v>263.1265571289293</v>
      </c>
      <c r="U1131" s="22" t="n">
        <v>267.3014513894926</v>
      </c>
      <c r="V1131" s="22" t="n">
        <v>271.059382999631</v>
      </c>
      <c r="W1131" s="22" t="n">
        <v>277.7405028228178</v>
      </c>
      <c r="X1131" s="22" t="n">
        <v>283.7944657588278</v>
      </c>
      <c r="Y1131" s="22" t="n">
        <v>290.3363406193982</v>
      </c>
      <c r="Z1131" s="22" t="n">
        <v>296.8990645222916</v>
      </c>
      <c r="AA1131" s="22" t="n">
        <v>303.5411190544322</v>
      </c>
      <c r="AB1131" s="22" t="n">
        <v>310.2480376524408</v>
      </c>
      <c r="AC1131" s="22" t="n">
        <v>317.0224673604278</v>
      </c>
      <c r="AD1131" s="22" t="n">
        <v>323.8762434044227</v>
      </c>
      <c r="AE1131" s="22" t="n">
        <v>330.813173411287</v>
      </c>
      <c r="AG1131" s="20" t="inlineStr">
        <is>
          <t>egy.mit.ghg.enrp.enr.all.3</t>
        </is>
      </c>
      <c r="AH1131" s="22" t="n">
        <v>195.8945249819315</v>
      </c>
      <c r="AI1131" s="22" t="n">
        <v>193.0672815372737</v>
      </c>
      <c r="AJ1131" s="22" t="n">
        <v>229.0631410997947</v>
      </c>
      <c r="AK1131" s="22" t="n">
        <v>241.4693197306534</v>
      </c>
      <c r="AL1131" s="22" t="n">
        <v>245.6851555215739</v>
      </c>
      <c r="AM1131" s="22" t="n">
        <v>228.2023997113774</v>
      </c>
      <c r="AN1131" s="22" t="n">
        <v>222.5792020755107</v>
      </c>
      <c r="AO1131" s="22" t="n">
        <v>232.6167801426576</v>
      </c>
      <c r="AP1131" s="22" t="n">
        <v>234.3859757670255</v>
      </c>
      <c r="AQ1131" s="22" t="n">
        <v>239.2770132115294</v>
      </c>
      <c r="AR1131" s="22" t="n">
        <v>242.3633547040757</v>
      </c>
      <c r="AS1131" s="22" t="n">
        <v>249.0192239432376</v>
      </c>
      <c r="AT1131" s="22" t="n">
        <v>254.3047661017622</v>
      </c>
      <c r="AU1131" s="22" t="n">
        <v>260.4089117382258</v>
      </c>
      <c r="AV1131" s="22" t="n">
        <v>266.5656407383065</v>
      </c>
      <c r="AW1131" s="22" t="n">
        <v>272.9113004347886</v>
      </c>
      <c r="AX1131" s="22" t="n">
        <v>279.1742628038768</v>
      </c>
      <c r="AY1131" s="22" t="n">
        <v>285.4476860345013</v>
      </c>
      <c r="AZ1131" s="22" t="n">
        <v>291.6130291013662</v>
      </c>
      <c r="BA1131" s="22" t="n">
        <v>297.8158047450409</v>
      </c>
      <c r="BC1131" s="20" t="inlineStr">
        <is>
          <t>egy.mit.ghg.enrp.enr.all.4</t>
        </is>
      </c>
      <c r="BD1131" s="22" t="n">
        <v>195.8945249819315</v>
      </c>
      <c r="BE1131" s="22" t="n">
        <v>192.9437142301554</v>
      </c>
      <c r="BF1131" s="22" t="n">
        <v>228.9440406286807</v>
      </c>
      <c r="BG1131" s="22" t="n">
        <v>241.3546064451365</v>
      </c>
      <c r="BH1131" s="22" t="n">
        <v>245.5704193131646</v>
      </c>
      <c r="BI1131" s="22" t="n">
        <v>235.6609657870308</v>
      </c>
      <c r="BJ1131" s="22" t="n">
        <v>220.1957457960466</v>
      </c>
      <c r="BK1131" s="22" t="n">
        <v>207.5772602822627</v>
      </c>
      <c r="BL1131" s="22" t="n">
        <v>199.5644362804811</v>
      </c>
      <c r="BM1131" s="22" t="n">
        <v>195.4923427209644</v>
      </c>
      <c r="BN1131" s="22" t="n">
        <v>188.5144364082003</v>
      </c>
      <c r="BO1131" s="22" t="n">
        <v>185.2259251942807</v>
      </c>
      <c r="BP1131" s="22" t="n">
        <v>180.1643678587119</v>
      </c>
      <c r="BQ1131" s="22" t="n">
        <v>177.2002429952011</v>
      </c>
      <c r="BR1131" s="22" t="n">
        <v>173.2573541494608</v>
      </c>
      <c r="BS1131" s="22" t="n">
        <v>170.9372761361351</v>
      </c>
      <c r="BT1131" s="22" t="n">
        <v>167.5166518725538</v>
      </c>
      <c r="BU1131" s="22" t="n">
        <v>165.8383210809794</v>
      </c>
      <c r="BV1131" s="22" t="n">
        <v>162.4756986015085</v>
      </c>
      <c r="BW1131" s="22" t="n">
        <v>161.5650219769289</v>
      </c>
      <c r="BY1131" s="20" t="inlineStr">
        <is>
          <t>egy.mit.ghg.enrp.enr.all.5</t>
        </is>
      </c>
      <c r="BZ1131" s="22" t="n">
        <v>195.8945249819315</v>
      </c>
      <c r="CA1131" s="22" t="n">
        <v>192.823969115557</v>
      </c>
      <c r="CB1131" s="22" t="n">
        <v>228.8284668390382</v>
      </c>
      <c r="CC1131" s="22" t="n">
        <v>241.2431302684946</v>
      </c>
      <c r="CD1131" s="22" t="n">
        <v>245.4585325746924</v>
      </c>
      <c r="CE1131" s="22" t="n">
        <v>224.9239362813818</v>
      </c>
      <c r="CF1131" s="22" t="n">
        <v>228.842822491691</v>
      </c>
      <c r="CG1131" s="22" t="n">
        <v>232.7190891960996</v>
      </c>
      <c r="CH1131" s="22" t="n">
        <v>234.6805564302028</v>
      </c>
      <c r="CI1131" s="22" t="n">
        <v>236.814597068735</v>
      </c>
      <c r="CJ1131" s="22" t="n">
        <v>237.2371586553015</v>
      </c>
      <c r="CK1131" s="22" t="n">
        <v>241.8908040742735</v>
      </c>
      <c r="CL1131" s="22" t="n">
        <v>242.1505907985039</v>
      </c>
      <c r="CM1131" s="22" t="n">
        <v>243.6605336444212</v>
      </c>
      <c r="CN1131" s="22" t="n">
        <v>245.6383349907438</v>
      </c>
      <c r="CO1131" s="22" t="n">
        <v>247.0320753367756</v>
      </c>
      <c r="CP1131" s="22" t="n">
        <v>248.9056722303871</v>
      </c>
      <c r="CQ1131" s="22" t="n">
        <v>250.982603782323</v>
      </c>
      <c r="CR1131" s="22" t="n">
        <v>252.8326491842993</v>
      </c>
      <c r="CS1131" s="22" t="n">
        <v>255.0986586737937</v>
      </c>
      <c r="CU1131" s="20" t="inlineStr">
        <is>
          <t>egy.mit.ghg.enrp.enr.all.6</t>
        </is>
      </c>
      <c r="CV1131" s="22" t="n">
        <v>195.8945249819315</v>
      </c>
      <c r="CW1131" s="22" t="n">
        <v>192.9980359302958</v>
      </c>
      <c r="CX1131" s="22" t="n">
        <v>228.9963972963336</v>
      </c>
      <c r="CY1131" s="22" t="n">
        <v>241.4050333633954</v>
      </c>
      <c r="CZ1131" s="22" t="n">
        <v>245.6208054121918</v>
      </c>
      <c r="DA1131" s="22" t="n">
        <v>206.9529265600051</v>
      </c>
      <c r="DB1131" s="22" t="n">
        <v>189.4680619829367</v>
      </c>
      <c r="DC1131" s="22" t="n">
        <v>198.906515454942</v>
      </c>
      <c r="DD1131" s="22" t="n">
        <v>201.3378632403956</v>
      </c>
      <c r="DE1131" s="22" t="n">
        <v>209.4819590150317</v>
      </c>
      <c r="DF1131" s="22" t="n">
        <v>209.1250766555543</v>
      </c>
      <c r="DG1131" s="22" t="n">
        <v>213.5819670374445</v>
      </c>
      <c r="DH1131" s="22" t="n">
        <v>214.9861953312949</v>
      </c>
      <c r="DI1131" s="22" t="n">
        <v>218.1803059072153</v>
      </c>
      <c r="DJ1131" s="22" t="n">
        <v>220.6290234930845</v>
      </c>
      <c r="DK1131" s="22" t="n">
        <v>224.1459649654314</v>
      </c>
      <c r="DL1131" s="22" t="n">
        <v>226.8187381524668</v>
      </c>
      <c r="DM1131" s="22" t="n">
        <v>230.3103334051699</v>
      </c>
      <c r="DN1131" s="22" t="n">
        <v>233.0277935025245</v>
      </c>
      <c r="DO1131" s="22" t="n">
        <v>236.4987165137906</v>
      </c>
    </row>
    <row r="1132">
      <c r="A1132" s="19" t="inlineStr">
        <is>
          <t>mit.gncav</t>
        </is>
      </c>
      <c r="B1132" s="3" t="inlineStr">
        <is>
          <t>mit</t>
        </is>
      </c>
      <c r="C1132" s="19" t="n"/>
      <c r="H1132" s="3" t="inlineStr">
        <is>
          <t>Average generation cost (weighted by generation shares)</t>
        </is>
      </c>
      <c r="I1132" s="3" t="inlineStr">
        <is>
          <t>USD/kWh</t>
        </is>
      </c>
      <c r="K1132" s="20" t="inlineStr">
        <is>
          <t>egy.mit.gncav.1</t>
        </is>
      </c>
      <c r="L1132" s="26" t="n">
        <v>0.08261130357899109</v>
      </c>
      <c r="M1132" s="26" t="n">
        <v>0.08053250491155819</v>
      </c>
      <c r="N1132" s="26" t="n">
        <v>0.07915111994616772</v>
      </c>
      <c r="O1132" s="26" t="n">
        <v>0.07916012006398757</v>
      </c>
      <c r="P1132" s="26" t="n">
        <v>0.07969185967321292</v>
      </c>
      <c r="Q1132" s="26" t="n">
        <v>0.07986181557884911</v>
      </c>
      <c r="R1132" s="26" t="n">
        <v>0.08065816521903099</v>
      </c>
      <c r="S1132" s="26" t="n">
        <v>0.08133026237360905</v>
      </c>
      <c r="T1132" s="26" t="n">
        <v>0.08208554978043778</v>
      </c>
      <c r="U1132" s="26" t="n">
        <v>0.0808433251085683</v>
      </c>
      <c r="V1132" s="26" t="n">
        <v>0.07968053288690648</v>
      </c>
      <c r="W1132" s="26" t="n">
        <v>0.07846598720263465</v>
      </c>
      <c r="X1132" s="26" t="n">
        <v>0.07733368036880021</v>
      </c>
      <c r="Y1132" s="26" t="n">
        <v>0.07627478942061164</v>
      </c>
      <c r="Z1132" s="26" t="n">
        <v>0.07528485284041164</v>
      </c>
      <c r="AA1132" s="26" t="n">
        <v>0.07435662120311988</v>
      </c>
      <c r="AB1132" s="26" t="n">
        <v>0.07348056258600826</v>
      </c>
      <c r="AC1132" s="26" t="n">
        <v>0.07265067746864855</v>
      </c>
      <c r="AD1132" s="26" t="n">
        <v>0.07186019915160766</v>
      </c>
      <c r="AE1132" s="26" t="n">
        <v>0.07110418635594595</v>
      </c>
      <c r="AG1132" s="20" t="inlineStr">
        <is>
          <t>egy.mit.gncav.3</t>
        </is>
      </c>
      <c r="AH1132" s="26" t="n">
        <v>0.08261130357899109</v>
      </c>
      <c r="AI1132" s="26" t="n">
        <v>0.0805220213382041</v>
      </c>
      <c r="AJ1132" s="26" t="n">
        <v>0.07914235307149882</v>
      </c>
      <c r="AK1132" s="26" t="n">
        <v>0.07915389223277607</v>
      </c>
      <c r="AL1132" s="26" t="n">
        <v>0.07968733332631285</v>
      </c>
      <c r="AM1132" s="26" t="n">
        <v>0.07985900720678454</v>
      </c>
      <c r="AN1132" s="26" t="n">
        <v>0.08145486651386727</v>
      </c>
      <c r="AO1132" s="26" t="n">
        <v>0.08084595898105643</v>
      </c>
      <c r="AP1132" s="26" t="n">
        <v>0.08162091293516621</v>
      </c>
      <c r="AQ1132" s="26" t="n">
        <v>0.08022525191921498</v>
      </c>
      <c r="AR1132" s="26" t="n">
        <v>0.07900535951842265</v>
      </c>
      <c r="AS1132" s="26" t="n">
        <v>0.07779147793396686</v>
      </c>
      <c r="AT1132" s="26" t="n">
        <v>0.07662288022642394</v>
      </c>
      <c r="AU1132" s="26" t="n">
        <v>0.07555712243253521</v>
      </c>
      <c r="AV1132" s="26" t="n">
        <v>0.07456601169030144</v>
      </c>
      <c r="AW1132" s="26" t="n">
        <v>0.07364153040806291</v>
      </c>
      <c r="AX1132" s="26" t="n">
        <v>0.0727740657342851</v>
      </c>
      <c r="AY1132" s="26" t="n">
        <v>0.07195675782883919</v>
      </c>
      <c r="AZ1132" s="26" t="n">
        <v>0.07118152427622183</v>
      </c>
      <c r="BA1132" s="26" t="n">
        <v>0.07044309181190443</v>
      </c>
      <c r="BC1132" s="20" t="inlineStr">
        <is>
          <t>egy.mit.gncav.4</t>
        </is>
      </c>
      <c r="BD1132" s="26" t="n">
        <v>0.08261130357899109</v>
      </c>
      <c r="BE1132" s="26" t="n">
        <v>0.08049767988024849</v>
      </c>
      <c r="BF1132" s="26" t="n">
        <v>0.07912201595632483</v>
      </c>
      <c r="BG1132" s="26" t="n">
        <v>0.0791396467588581</v>
      </c>
      <c r="BH1132" s="26" t="n">
        <v>0.07967719828776701</v>
      </c>
      <c r="BI1132" s="26" t="n">
        <v>0.07985303503664909</v>
      </c>
      <c r="BJ1132" s="26" t="n">
        <v>0.08105988797107957</v>
      </c>
      <c r="BK1132" s="26" t="n">
        <v>0.08032370647576005</v>
      </c>
      <c r="BL1132" s="26" t="n">
        <v>0.08005077025556757</v>
      </c>
      <c r="BM1132" s="26" t="n">
        <v>0.07960889917447397</v>
      </c>
      <c r="BN1132" s="26" t="n">
        <v>0.07868131283224332</v>
      </c>
      <c r="BO1132" s="26" t="n">
        <v>0.07796142172176626</v>
      </c>
      <c r="BP1132" s="26" t="n">
        <v>0.07697391887063333</v>
      </c>
      <c r="BQ1132" s="26" t="n">
        <v>0.07606081503476465</v>
      </c>
      <c r="BR1132" s="26" t="n">
        <v>0.07508588680144992</v>
      </c>
      <c r="BS1132" s="26" t="n">
        <v>0.07417500801623141</v>
      </c>
      <c r="BT1132" s="26" t="n">
        <v>0.07322461812754423</v>
      </c>
      <c r="BU1132" s="26" t="n">
        <v>0.07235601088430647</v>
      </c>
      <c r="BV1132" s="26" t="n">
        <v>0.07143738676033327</v>
      </c>
      <c r="BW1132" s="26" t="n">
        <v>0.07063704077691689</v>
      </c>
      <c r="BY1132" s="20" t="inlineStr">
        <is>
          <t>egy.mit.gncav.5</t>
        </is>
      </c>
      <c r="BZ1132" s="26" t="n">
        <v>0.08261130357899109</v>
      </c>
      <c r="CA1132" s="26" t="n">
        <v>0.08047247680744397</v>
      </c>
      <c r="CB1132" s="26" t="n">
        <v>0.07910091759636953</v>
      </c>
      <c r="CC1132" s="26" t="n">
        <v>0.07912466155304805</v>
      </c>
      <c r="CD1132" s="26" t="n">
        <v>0.0796663127265296</v>
      </c>
      <c r="CE1132" s="26" t="n">
        <v>0.07984629886550827</v>
      </c>
      <c r="CF1132" s="26" t="n">
        <v>0.0806495922917705</v>
      </c>
      <c r="CG1132" s="26" t="n">
        <v>0.08132420133315718</v>
      </c>
      <c r="CH1132" s="26" t="n">
        <v>0.08209600596261908</v>
      </c>
      <c r="CI1132" s="26" t="n">
        <v>0.0807676207349943</v>
      </c>
      <c r="CJ1132" s="26" t="n">
        <v>0.07947928719083495</v>
      </c>
      <c r="CK1132" s="26" t="n">
        <v>0.07818379378189182</v>
      </c>
      <c r="CL1132" s="26" t="n">
        <v>0.07676673824275178</v>
      </c>
      <c r="CM1132" s="26" t="n">
        <v>0.07550144417968316</v>
      </c>
      <c r="CN1132" s="26" t="n">
        <v>0.0743138194716184</v>
      </c>
      <c r="CO1132" s="26" t="n">
        <v>0.07318162107928329</v>
      </c>
      <c r="CP1132" s="26" t="n">
        <v>0.07214540436860455</v>
      </c>
      <c r="CQ1132" s="26" t="n">
        <v>0.07117824296446359</v>
      </c>
      <c r="CR1132" s="26" t="n">
        <v>0.0702618716712881</v>
      </c>
      <c r="CS1132" s="26" t="n">
        <v>0.06940679174775666</v>
      </c>
      <c r="CU1132" s="20" t="inlineStr">
        <is>
          <t>egy.mit.gncav.6</t>
        </is>
      </c>
      <c r="CV1132" s="26" t="n">
        <v>0.08261130357899109</v>
      </c>
      <c r="CW1132" s="26" t="n">
        <v>0.08050807448639806</v>
      </c>
      <c r="CX1132" s="26" t="n">
        <v>0.07913069726864584</v>
      </c>
      <c r="CY1132" s="26" t="n">
        <v>0.07914569156071533</v>
      </c>
      <c r="CZ1132" s="26" t="n">
        <v>0.07968145915756195</v>
      </c>
      <c r="DA1132" s="26" t="n">
        <v>0.07985548703962904</v>
      </c>
      <c r="DB1132" s="26" t="n">
        <v>0.08254773109960849</v>
      </c>
      <c r="DC1132" s="26" t="n">
        <v>0.08182163792009177</v>
      </c>
      <c r="DD1132" s="26" t="n">
        <v>0.08085875553460493</v>
      </c>
      <c r="DE1132" s="26" t="n">
        <v>0.08001506155190954</v>
      </c>
      <c r="DF1132" s="26" t="n">
        <v>0.07843314558611665</v>
      </c>
      <c r="DG1132" s="26" t="n">
        <v>0.0770692510630453</v>
      </c>
      <c r="DH1132" s="26" t="n">
        <v>0.07562671224007393</v>
      </c>
      <c r="DI1132" s="26" t="n">
        <v>0.07436383311010097</v>
      </c>
      <c r="DJ1132" s="26" t="n">
        <v>0.07316614310142117</v>
      </c>
      <c r="DK1132" s="26" t="n">
        <v>0.07209562192829017</v>
      </c>
      <c r="DL1132" s="26" t="n">
        <v>0.07108162268440865</v>
      </c>
      <c r="DM1132" s="26" t="n">
        <v>0.07017438294556744</v>
      </c>
      <c r="DN1132" s="26" t="n">
        <v>0.06930788774139784</v>
      </c>
      <c r="DO1132" s="26" t="n">
        <v>0.0685218686371438</v>
      </c>
    </row>
    <row r="1133">
      <c r="A1133" s="19" t="inlineStr">
        <is>
          <t>mit.shr.pow.nga</t>
        </is>
      </c>
      <c r="B1133" s="3" t="inlineStr">
        <is>
          <t>mit</t>
        </is>
      </c>
      <c r="C1133" s="19" t="n"/>
      <c r="H1133" s="3" t="inlineStr">
        <is>
          <t>Generation share | Power | Natural gas</t>
        </is>
      </c>
      <c r="I1133" s="3" t="inlineStr">
        <is>
          <t>share</t>
        </is>
      </c>
      <c r="K1133" s="20" t="inlineStr">
        <is>
          <t>egy.mit.shr.pow.nga.1</t>
        </is>
      </c>
      <c r="L1133" s="25" t="n">
        <v>0.7921871427589889</v>
      </c>
      <c r="M1133" s="25" t="n">
        <v>0.7675415869050052</v>
      </c>
      <c r="N1133" s="25" t="n">
        <v>0.7994259348866086</v>
      </c>
      <c r="O1133" s="25" t="n">
        <v>0.7802168188420646</v>
      </c>
      <c r="P1133" s="25" t="n">
        <v>0.7475818357568134</v>
      </c>
      <c r="Q1133" s="25" t="n">
        <v>0.7137221449074889</v>
      </c>
      <c r="R1133" s="25" t="n">
        <v>0.6805796400590942</v>
      </c>
      <c r="S1133" s="25" t="n">
        <v>0.6481224850493827</v>
      </c>
      <c r="T1133" s="25" t="n">
        <v>0.6123322347054135</v>
      </c>
      <c r="U1133" s="25" t="n">
        <v>0.5909059335022107</v>
      </c>
      <c r="V1133" s="25" t="n">
        <v>0.5677770757567544</v>
      </c>
      <c r="W1133" s="25" t="n">
        <v>0.5550591368250802</v>
      </c>
      <c r="X1133" s="25" t="n">
        <v>0.5385240212271873</v>
      </c>
      <c r="Y1133" s="25" t="n">
        <v>0.5251105198993677</v>
      </c>
      <c r="Z1133" s="25" t="n">
        <v>0.5121439541718174</v>
      </c>
      <c r="AA1133" s="25" t="n">
        <v>0.4999531608340116</v>
      </c>
      <c r="AB1133" s="25" t="n">
        <v>0.4884085151504571</v>
      </c>
      <c r="AC1133" s="25" t="n">
        <v>0.4774757760189728</v>
      </c>
      <c r="AD1133" s="25" t="n">
        <v>0.4671541729487952</v>
      </c>
      <c r="AE1133" s="25" t="n">
        <v>0.4574124825469336</v>
      </c>
      <c r="AG1133" s="20" t="inlineStr">
        <is>
          <t>egy.mit.shr.pow.nga.3</t>
        </is>
      </c>
      <c r="AH1133" s="25" t="n">
        <v>0.7921871427589889</v>
      </c>
      <c r="AI1133" s="25" t="n">
        <v>0.7669403962813576</v>
      </c>
      <c r="AJ1133" s="25" t="n">
        <v>0.7989149969213027</v>
      </c>
      <c r="AK1133" s="25" t="n">
        <v>0.7797822465025588</v>
      </c>
      <c r="AL1133" s="25" t="n">
        <v>0.7471785925407245</v>
      </c>
      <c r="AM1133" s="25" t="n">
        <v>0.7133406400117287</v>
      </c>
      <c r="AN1133" s="25" t="n">
        <v>0.6507595185300741</v>
      </c>
      <c r="AO1133" s="25" t="n">
        <v>0.6745152242743018</v>
      </c>
      <c r="AP1133" s="25" t="n">
        <v>0.6353935084243929</v>
      </c>
      <c r="AQ1133" s="25" t="n">
        <v>0.6156206089254498</v>
      </c>
      <c r="AR1133" s="25" t="n">
        <v>0.589071039280744</v>
      </c>
      <c r="AS1133" s="25" t="n">
        <v>0.5783603017439026</v>
      </c>
      <c r="AT1133" s="25" t="n">
        <v>0.5581018595302836</v>
      </c>
      <c r="AU1133" s="25" t="n">
        <v>0.5438308582308301</v>
      </c>
      <c r="AV1133" s="25" t="n">
        <v>0.5300149809249002</v>
      </c>
      <c r="AW1133" s="25" t="n">
        <v>0.5171746716359431</v>
      </c>
      <c r="AX1133" s="25" t="n">
        <v>0.5047558906645565</v>
      </c>
      <c r="AY1133" s="25" t="n">
        <v>0.4930109546814123</v>
      </c>
      <c r="AZ1133" s="25" t="n">
        <v>0.4816509159919878</v>
      </c>
      <c r="BA1133" s="25" t="n">
        <v>0.4709453306142253</v>
      </c>
      <c r="BC1133" s="20" t="inlineStr">
        <is>
          <t>egy.mit.shr.pow.nga.4</t>
        </is>
      </c>
      <c r="BD1133" s="25" t="n">
        <v>0.7921871427589889</v>
      </c>
      <c r="BE1133" s="25" t="n">
        <v>0.7654357602362991</v>
      </c>
      <c r="BF1133" s="25" t="n">
        <v>0.7976361507681391</v>
      </c>
      <c r="BG1133" s="25" t="n">
        <v>0.7786944560723288</v>
      </c>
      <c r="BH1133" s="25" t="n">
        <v>0.746169798370396</v>
      </c>
      <c r="BI1133" s="25" t="n">
        <v>0.7123869498718611</v>
      </c>
      <c r="BJ1133" s="25" t="n">
        <v>0.6642456050311123</v>
      </c>
      <c r="BK1133" s="25" t="n">
        <v>0.6297298045634342</v>
      </c>
      <c r="BL1133" s="25" t="n">
        <v>0.6244074637888574</v>
      </c>
      <c r="BM1133" s="25" t="n">
        <v>0.6220784933562213</v>
      </c>
      <c r="BN1133" s="25" t="n">
        <v>0.5882414445838752</v>
      </c>
      <c r="BO1133" s="25" t="n">
        <v>0.5761031355808345</v>
      </c>
      <c r="BP1133" s="25" t="n">
        <v>0.5431889210877775</v>
      </c>
      <c r="BQ1133" s="25" t="n">
        <v>0.5220315061259602</v>
      </c>
      <c r="BR1133" s="25" t="n">
        <v>0.4899211242860982</v>
      </c>
      <c r="BS1133" s="25" t="n">
        <v>0.4671164269865109</v>
      </c>
      <c r="BT1133" s="25" t="n">
        <v>0.4347532649902133</v>
      </c>
      <c r="BU1133" s="25" t="n">
        <v>0.4135801073750283</v>
      </c>
      <c r="BV1133" s="25" t="n">
        <v>0.3808951464418622</v>
      </c>
      <c r="BW1133" s="25" t="n">
        <v>0.364469916060285</v>
      </c>
      <c r="BY1133" s="20" t="inlineStr">
        <is>
          <t>egy.mit.shr.pow.nga.5</t>
        </is>
      </c>
      <c r="BZ1133" s="25" t="n">
        <v>0.7921871427589889</v>
      </c>
      <c r="CA1133" s="25" t="n">
        <v>0.7639800413241443</v>
      </c>
      <c r="CB1133" s="25" t="n">
        <v>0.7963973073202004</v>
      </c>
      <c r="CC1133" s="25" t="n">
        <v>0.7776392697381532</v>
      </c>
      <c r="CD1133" s="25" t="n">
        <v>0.745189233603226</v>
      </c>
      <c r="CE1133" s="25" t="n">
        <v>0.7114578027030083</v>
      </c>
      <c r="CF1133" s="25" t="n">
        <v>0.6784383891548256</v>
      </c>
      <c r="CG1133" s="25" t="n">
        <v>0.6462431766187224</v>
      </c>
      <c r="CH1133" s="25" t="n">
        <v>0.6101153381119859</v>
      </c>
      <c r="CI1133" s="25" t="n">
        <v>0.5806028741915705</v>
      </c>
      <c r="CJ1133" s="25" t="n">
        <v>0.5415808355200062</v>
      </c>
      <c r="CK1133" s="25" t="n">
        <v>0.5218280408379268</v>
      </c>
      <c r="CL1133" s="25" t="n">
        <v>0.4734736235860122</v>
      </c>
      <c r="CM1133" s="25" t="n">
        <v>0.4365689168635231</v>
      </c>
      <c r="CN1133" s="25" t="n">
        <v>0.4031625047641607</v>
      </c>
      <c r="CO1133" s="25" t="n">
        <v>0.3686224050483309</v>
      </c>
      <c r="CP1133" s="25" t="n">
        <v>0.3396724193979541</v>
      </c>
      <c r="CQ1133" s="25" t="n">
        <v>0.3138309901617323</v>
      </c>
      <c r="CR1133" s="25" t="n">
        <v>0.2891269785454178</v>
      </c>
      <c r="CS1133" s="25" t="n">
        <v>0.2680613877952157</v>
      </c>
      <c r="CU1133" s="20" t="inlineStr">
        <is>
          <t>egy.mit.shr.pow.nga.6</t>
        </is>
      </c>
      <c r="CV1133" s="25" t="n">
        <v>0.7921871427589889</v>
      </c>
      <c r="CW1133" s="25" t="n">
        <v>0.7660977538565562</v>
      </c>
      <c r="CX1133" s="25" t="n">
        <v>0.798198818700856</v>
      </c>
      <c r="CY1133" s="25" t="n">
        <v>0.7791730767130531</v>
      </c>
      <c r="CZ1133" s="25" t="n">
        <v>0.7466135656236271</v>
      </c>
      <c r="DA1133" s="25" t="n">
        <v>0.712806357485079</v>
      </c>
      <c r="DB1133" s="25" t="n">
        <v>0.610132941285526</v>
      </c>
      <c r="DC1133" s="25" t="n">
        <v>0.6383121394683405</v>
      </c>
      <c r="DD1133" s="25" t="n">
        <v>0.6223161722707551</v>
      </c>
      <c r="DE1133" s="25" t="n">
        <v>0.6370054928782428</v>
      </c>
      <c r="DF1133" s="25" t="n">
        <v>0.5784354461362945</v>
      </c>
      <c r="DG1133" s="25" t="n">
        <v>0.5539964150263437</v>
      </c>
      <c r="DH1133" s="25" t="n">
        <v>0.505388916827533</v>
      </c>
      <c r="DI1133" s="25" t="n">
        <v>0.4724937579973593</v>
      </c>
      <c r="DJ1133" s="25" t="n">
        <v>0.4367061997614852</v>
      </c>
      <c r="DK1133" s="25" t="n">
        <v>0.4093260279617851</v>
      </c>
      <c r="DL1133" s="25" t="n">
        <v>0.3801081844436908</v>
      </c>
      <c r="DM1133" s="25" t="n">
        <v>0.3582042622035125</v>
      </c>
      <c r="DN1133" s="25" t="n">
        <v>0.3349692539815279</v>
      </c>
      <c r="DO1133" s="25" t="n">
        <v>0.3175552738005052</v>
      </c>
    </row>
    <row r="1134">
      <c r="A1134" s="19" t="inlineStr">
        <is>
          <t>mit.nid.pow.tot</t>
        </is>
      </c>
      <c r="B1134" s="3" t="inlineStr">
        <is>
          <t>mit</t>
        </is>
      </c>
      <c r="C1134" s="19" t="n"/>
      <c r="H1134" s="3" t="inlineStr">
        <is>
          <t>New investment, total</t>
        </is>
      </c>
      <c r="I1134" s="3" t="inlineStr">
        <is>
          <t>USD m real</t>
        </is>
      </c>
      <c r="K1134" s="20" t="inlineStr">
        <is>
          <t>egy.mit.nid.pow.tot.1</t>
        </is>
      </c>
      <c r="L1134" s="23" t="n">
        <v>2716.342790617249</v>
      </c>
      <c r="M1134" s="23" t="n">
        <v>0</v>
      </c>
      <c r="N1134" s="23" t="n">
        <v>12052.01158915625</v>
      </c>
      <c r="O1134" s="23" t="n">
        <v>12906.24632436827</v>
      </c>
      <c r="P1134" s="23" t="n">
        <v>13821.04354549964</v>
      </c>
      <c r="Q1134" s="23" t="n">
        <v>14794.68555801062</v>
      </c>
      <c r="R1134" s="23" t="n">
        <v>15833.48446123334</v>
      </c>
      <c r="S1134" s="23" t="n">
        <v>16940.98458118687</v>
      </c>
      <c r="T1134" s="23" t="n">
        <v>6813.345246934779</v>
      </c>
      <c r="U1134" s="23" t="n">
        <v>7853.401784492697</v>
      </c>
      <c r="V1134" s="23" t="n">
        <v>7622.018990418073</v>
      </c>
      <c r="W1134" s="23" t="n">
        <v>14293.34398235236</v>
      </c>
      <c r="X1134" s="23" t="n">
        <v>11291.12604655309</v>
      </c>
      <c r="Y1134" s="23" t="n">
        <v>12063.08443874014</v>
      </c>
      <c r="Z1134" s="23" t="n">
        <v>12174.21024936524</v>
      </c>
      <c r="AA1134" s="23" t="n">
        <v>12477.12171314696</v>
      </c>
      <c r="AB1134" s="23" t="n">
        <v>12771.04318873013</v>
      </c>
      <c r="AC1134" s="23" t="n">
        <v>13066.89639902194</v>
      </c>
      <c r="AD1134" s="23" t="n">
        <v>13378.7417646118</v>
      </c>
      <c r="AE1134" s="23" t="n">
        <v>13697.97863704612</v>
      </c>
      <c r="AG1134" s="20" t="inlineStr">
        <is>
          <t>egy.mit.nid.pow.tot.3</t>
        </is>
      </c>
      <c r="AH1134" s="23" t="n">
        <v>2714.129825490328</v>
      </c>
      <c r="AI1134" s="23" t="n">
        <v>0</v>
      </c>
      <c r="AJ1134" s="23" t="n">
        <v>12051.98652606773</v>
      </c>
      <c r="AK1134" s="23" t="n">
        <v>12906.19566043253</v>
      </c>
      <c r="AL1134" s="23" t="n">
        <v>13820.96663553501</v>
      </c>
      <c r="AM1134" s="23" t="n">
        <v>14794.58168900296</v>
      </c>
      <c r="AN1134" s="23" t="n">
        <v>0</v>
      </c>
      <c r="AO1134" s="23" t="n">
        <v>15212.93837185777</v>
      </c>
      <c r="AP1134" s="23" t="n">
        <v>6892.045397653435</v>
      </c>
      <c r="AQ1134" s="23" t="n">
        <v>11705.45276964094</v>
      </c>
      <c r="AR1134" s="23" t="n">
        <v>6254.916466854813</v>
      </c>
      <c r="AS1134" s="23" t="n">
        <v>13935.20464449313</v>
      </c>
      <c r="AT1134" s="23" t="n">
        <v>10648.77393105791</v>
      </c>
      <c r="AU1134" s="23" t="n">
        <v>11644.36857794724</v>
      </c>
      <c r="AV1134" s="23" t="n">
        <v>11792.29487294573</v>
      </c>
      <c r="AW1134" s="23" t="n">
        <v>12189.95129923894</v>
      </c>
      <c r="AX1134" s="23" t="n">
        <v>12267.73633151117</v>
      </c>
      <c r="AY1134" s="23" t="n">
        <v>12567.35264819148</v>
      </c>
      <c r="AZ1134" s="23" t="n">
        <v>12689.64207651134</v>
      </c>
      <c r="BA1134" s="23" t="n">
        <v>13047.54685864679</v>
      </c>
      <c r="BC1134" s="20" t="inlineStr">
        <is>
          <t>egy.mit.nid.pow.tot.4</t>
        </is>
      </c>
      <c r="BD1134" s="23" t="n">
        <v>2710.561746049477</v>
      </c>
      <c r="BE1134" s="23" t="n">
        <v>0</v>
      </c>
      <c r="BF1134" s="23" t="n">
        <v>12051.92504722897</v>
      </c>
      <c r="BG1134" s="23" t="n">
        <v>12906.07139138529</v>
      </c>
      <c r="BH1134" s="23" t="n">
        <v>13820.77800129122</v>
      </c>
      <c r="BI1134" s="23" t="n">
        <v>14794.32694809291</v>
      </c>
      <c r="BJ1134" s="23" t="n">
        <v>5461.450255835591</v>
      </c>
      <c r="BK1134" s="23" t="n">
        <v>1080.966329852938</v>
      </c>
      <c r="BL1134" s="23" t="n">
        <v>1466.600022619912</v>
      </c>
      <c r="BM1134" s="23" t="n">
        <v>4832.473533428359</v>
      </c>
      <c r="BN1134" s="23" t="n">
        <v>3083.342680473863</v>
      </c>
      <c r="BO1134" s="23" t="n">
        <v>5869.990989273702</v>
      </c>
      <c r="BP1134" s="23" t="n">
        <v>4774.316589548339</v>
      </c>
      <c r="BQ1134" s="23" t="n">
        <v>7091.826690675047</v>
      </c>
      <c r="BR1134" s="23" t="n">
        <v>6288.817459292095</v>
      </c>
      <c r="BS1134" s="23" t="n">
        <v>8570.146971620859</v>
      </c>
      <c r="BT1134" s="23" t="n">
        <v>7420.50940190363</v>
      </c>
      <c r="BU1134" s="23" t="n">
        <v>10003.48701500414</v>
      </c>
      <c r="BV1134" s="23" t="n">
        <v>7882.568582983722</v>
      </c>
      <c r="BW1134" s="23" t="n">
        <v>11568.7570693206</v>
      </c>
      <c r="BY1134" s="20" t="inlineStr">
        <is>
          <t>egy.mit.nid.pow.tot.5</t>
        </is>
      </c>
      <c r="BZ1134" s="23" t="n">
        <v>2701.584123936234</v>
      </c>
      <c r="CA1134" s="23" t="n">
        <v>0</v>
      </c>
      <c r="CB1134" s="23" t="n">
        <v>12051.88717979198</v>
      </c>
      <c r="CC1134" s="23" t="n">
        <v>12905.99483086185</v>
      </c>
      <c r="CD1134" s="23" t="n">
        <v>13820.66175992174</v>
      </c>
      <c r="CE1134" s="23" t="n">
        <v>14794.16993578579</v>
      </c>
      <c r="CF1134" s="23" t="n">
        <v>15832.83094034092</v>
      </c>
      <c r="CG1134" s="23" t="n">
        <v>16940.18864293686</v>
      </c>
      <c r="CH1134" s="23" t="n">
        <v>6914.233433561791</v>
      </c>
      <c r="CI1134" s="23" t="n">
        <v>9242.490178332562</v>
      </c>
      <c r="CJ1134" s="23" t="n">
        <v>7941.773101881114</v>
      </c>
      <c r="CK1134" s="23" t="n">
        <v>17457.31762251235</v>
      </c>
      <c r="CL1134" s="23" t="n">
        <v>13668.61217536138</v>
      </c>
      <c r="CM1134" s="23" t="n">
        <v>14144.899020063</v>
      </c>
      <c r="CN1134" s="23" t="n">
        <v>15435.21658914368</v>
      </c>
      <c r="CO1134" s="23" t="n">
        <v>14833.26744552969</v>
      </c>
      <c r="CP1134" s="23" t="n">
        <v>14884.12256510414</v>
      </c>
      <c r="CQ1134" s="23" t="n">
        <v>15262.02607538402</v>
      </c>
      <c r="CR1134" s="23" t="n">
        <v>14931.26199539828</v>
      </c>
      <c r="CS1134" s="23" t="n">
        <v>15336.24016130274</v>
      </c>
      <c r="CU1134" s="20" t="inlineStr">
        <is>
          <t>egy.mit.nid.pow.tot.6</t>
        </is>
      </c>
      <c r="CV1134" s="23" t="n">
        <v>2711.807972245713</v>
      </c>
      <c r="CW1134" s="23" t="n">
        <v>0</v>
      </c>
      <c r="CX1134" s="23" t="n">
        <v>12051.95189105047</v>
      </c>
      <c r="CY1134" s="23" t="n">
        <v>12906.12565032262</v>
      </c>
      <c r="CZ1134" s="23" t="n">
        <v>13820.8603617628</v>
      </c>
      <c r="DA1134" s="23" t="n">
        <v>14794.43816922417</v>
      </c>
      <c r="DB1134" s="23" t="n">
        <v>0</v>
      </c>
      <c r="DC1134" s="23" t="n">
        <v>3282.391799278095</v>
      </c>
      <c r="DD1134" s="23" t="n">
        <v>1489.001950674184</v>
      </c>
      <c r="DE1134" s="23" t="n">
        <v>14244.89508617463</v>
      </c>
      <c r="DF1134" s="23" t="n">
        <v>8350.250574222368</v>
      </c>
      <c r="DG1134" s="23" t="n">
        <v>14622.8467061445</v>
      </c>
      <c r="DH1134" s="23" t="n">
        <v>12681.70309645691</v>
      </c>
      <c r="DI1134" s="23" t="n">
        <v>14403.55877851345</v>
      </c>
      <c r="DJ1134" s="23" t="n">
        <v>13647.48502099982</v>
      </c>
      <c r="DK1134" s="23" t="n">
        <v>14836.14472574685</v>
      </c>
      <c r="DL1134" s="23" t="n">
        <v>13785.72943698246</v>
      </c>
      <c r="DM1134" s="23" t="n">
        <v>14608.4933185422</v>
      </c>
      <c r="DN1134" s="23" t="n">
        <v>13634.25992902699</v>
      </c>
      <c r="DO1134" s="23" t="n">
        <v>14545.94134813266</v>
      </c>
    </row>
    <row r="1135">
      <c r="A1135" s="19" t="inlineStr">
        <is>
          <t>mit.req</t>
        </is>
      </c>
      <c r="B1135" s="3" t="inlineStr">
        <is>
          <t>mit</t>
        </is>
      </c>
      <c r="C1135" s="19" t="n"/>
      <c r="H1135" s="3" t="inlineStr">
        <is>
          <t>Required generation (incl. net exports, transmission and statistical differences, own use)</t>
        </is>
      </c>
      <c r="I1135" s="3" t="inlineStr">
        <is>
          <t>MWy</t>
        </is>
      </c>
      <c r="K1135" s="20" t="inlineStr">
        <is>
          <t>egy.mit.req.1</t>
        </is>
      </c>
      <c r="L1135" s="23" t="n">
        <v>24192.48488439988</v>
      </c>
      <c r="M1135" s="23" t="n">
        <v>23573.90156472828</v>
      </c>
      <c r="N1135" s="23" t="n">
        <v>26717.98643467805</v>
      </c>
      <c r="O1135" s="23" t="n">
        <v>30251.40341301123</v>
      </c>
      <c r="P1135" s="23" t="n">
        <v>31717.86506675257</v>
      </c>
      <c r="Q1135" s="23" t="n">
        <v>32965.92225088148</v>
      </c>
      <c r="R1135" s="23" t="n">
        <v>34278.23234224743</v>
      </c>
      <c r="S1135" s="23" t="n">
        <v>35661.74386306156</v>
      </c>
      <c r="T1135" s="23" t="n">
        <v>36740.92385438177</v>
      </c>
      <c r="U1135" s="23" t="n">
        <v>37863.93785507329</v>
      </c>
      <c r="V1135" s="23" t="n">
        <v>38972.24851743015</v>
      </c>
      <c r="W1135" s="23" t="n">
        <v>40913.62316540359</v>
      </c>
      <c r="X1135" s="23" t="n">
        <v>42886.67932975746</v>
      </c>
      <c r="Y1135" s="23" t="n">
        <v>44961.6748822517</v>
      </c>
      <c r="Z1135" s="23" t="n">
        <v>47090.46178101845</v>
      </c>
      <c r="AA1135" s="23" t="n">
        <v>49273.84072056838</v>
      </c>
      <c r="AB1135" s="23" t="n">
        <v>51510.80185174825</v>
      </c>
      <c r="AC1135" s="23" t="n">
        <v>53802.09651360512</v>
      </c>
      <c r="AD1135" s="23" t="n">
        <v>56150.5107106555</v>
      </c>
      <c r="AE1135" s="23" t="n">
        <v>58557.47317225004</v>
      </c>
      <c r="AG1135" s="20" t="inlineStr">
        <is>
          <t>egy.mit.req.3</t>
        </is>
      </c>
      <c r="AH1135" s="23" t="n">
        <v>24192.48488439988</v>
      </c>
      <c r="AI1135" s="23" t="n">
        <v>23573.90156472828</v>
      </c>
      <c r="AJ1135" s="23" t="n">
        <v>26717.98643467805</v>
      </c>
      <c r="AK1135" s="23" t="n">
        <v>30251.40341301123</v>
      </c>
      <c r="AL1135" s="23" t="n">
        <v>31717.3399316914</v>
      </c>
      <c r="AM1135" s="23" t="n">
        <v>32964.54896522355</v>
      </c>
      <c r="AN1135" s="23" t="n">
        <v>31384.93060647518</v>
      </c>
      <c r="AO1135" s="23" t="n">
        <v>32730.11846351582</v>
      </c>
      <c r="AP1135" s="23" t="n">
        <v>33467.47574033176</v>
      </c>
      <c r="AQ1135" s="23" t="n">
        <v>34953.58402367397</v>
      </c>
      <c r="AR1135" s="23" t="n">
        <v>36107.16718870113</v>
      </c>
      <c r="AS1135" s="23" t="n">
        <v>38040.64968013595</v>
      </c>
      <c r="AT1135" s="23" t="n">
        <v>39968.48115081099</v>
      </c>
      <c r="AU1135" s="23" t="n">
        <v>42006.62851202318</v>
      </c>
      <c r="AV1135" s="23" t="n">
        <v>44107.28641497057</v>
      </c>
      <c r="AW1135" s="23" t="n">
        <v>46278.55338488305</v>
      </c>
      <c r="AX1135" s="23" t="n">
        <v>48483.7600941947</v>
      </c>
      <c r="AY1135" s="23" t="n">
        <v>50733.20375268651</v>
      </c>
      <c r="AZ1135" s="23" t="n">
        <v>53010.07287930881</v>
      </c>
      <c r="BA1135" s="23" t="n">
        <v>55335.08298205656</v>
      </c>
      <c r="BC1135" s="20" t="inlineStr">
        <is>
          <t>egy.mit.req.4</t>
        </is>
      </c>
      <c r="BD1135" s="23" t="n">
        <v>24192.48488439988</v>
      </c>
      <c r="BE1135" s="23" t="n">
        <v>23573.90156472828</v>
      </c>
      <c r="BF1135" s="23" t="n">
        <v>26717.98643467805</v>
      </c>
      <c r="BG1135" s="23" t="n">
        <v>30251.40341301123</v>
      </c>
      <c r="BH1135" s="23" t="n">
        <v>31716.11485755555</v>
      </c>
      <c r="BI1135" s="23" t="n">
        <v>32961.29045563116</v>
      </c>
      <c r="BJ1135" s="23" t="n">
        <v>32732.9747241307</v>
      </c>
      <c r="BK1135" s="23" t="n">
        <v>32283.81478441546</v>
      </c>
      <c r="BL1135" s="23" t="n">
        <v>31782.21635162112</v>
      </c>
      <c r="BM1135" s="23" t="n">
        <v>31796.40445409017</v>
      </c>
      <c r="BN1135" s="23" t="n">
        <v>31789.36718667428</v>
      </c>
      <c r="BO1135" s="23" t="n">
        <v>32153.8344841861</v>
      </c>
      <c r="BP1135" s="23" t="n">
        <v>32588.64560420554</v>
      </c>
      <c r="BQ1135" s="23" t="n">
        <v>33287.49182638205</v>
      </c>
      <c r="BR1135" s="23" t="n">
        <v>34050.25610736323</v>
      </c>
      <c r="BS1135" s="23" t="n">
        <v>35054.64206832148</v>
      </c>
      <c r="BT1135" s="23" t="n">
        <v>36085.0240711913</v>
      </c>
      <c r="BU1135" s="23" t="n">
        <v>37365.07181535178</v>
      </c>
      <c r="BV1135" s="23" t="n">
        <v>38592.65239399676</v>
      </c>
      <c r="BW1135" s="23" t="n">
        <v>40126.89222155725</v>
      </c>
      <c r="BY1135" s="20" t="inlineStr">
        <is>
          <t>egy.mit.req.5</t>
        </is>
      </c>
      <c r="BZ1135" s="23" t="n">
        <v>24192.48488439988</v>
      </c>
      <c r="CA1135" s="23" t="n">
        <v>23573.90156472828</v>
      </c>
      <c r="CB1135" s="23" t="n">
        <v>26717.98643467805</v>
      </c>
      <c r="CC1135" s="23" t="n">
        <v>30251.40341301123</v>
      </c>
      <c r="CD1135" s="23" t="n">
        <v>31714.85936479596</v>
      </c>
      <c r="CE1135" s="23" t="n">
        <v>32957.99369446711</v>
      </c>
      <c r="CF1135" s="23" t="n">
        <v>34266.66506368075</v>
      </c>
      <c r="CG1135" s="23" t="n">
        <v>35661.91331585388</v>
      </c>
      <c r="CH1135" s="23" t="n">
        <v>36697.59241870695</v>
      </c>
      <c r="CI1135" s="23" t="n">
        <v>37834.72049569427</v>
      </c>
      <c r="CJ1135" s="23" t="n">
        <v>38915.80975854474</v>
      </c>
      <c r="CK1135" s="23" t="n">
        <v>40917.6291884763</v>
      </c>
      <c r="CL1135" s="23" t="n">
        <v>42975.09031544036</v>
      </c>
      <c r="CM1135" s="23" t="n">
        <v>45118.08411386675</v>
      </c>
      <c r="CN1135" s="23" t="n">
        <v>47433.40336644395</v>
      </c>
      <c r="CO1135" s="23" t="n">
        <v>49803.62715038015</v>
      </c>
      <c r="CP1135" s="23" t="n">
        <v>52222.16308082342</v>
      </c>
      <c r="CQ1135" s="23" t="n">
        <v>54714.23107792136</v>
      </c>
      <c r="CR1135" s="23" t="n">
        <v>57231.20007042499</v>
      </c>
      <c r="CS1135" s="23" t="n">
        <v>59810.41566987626</v>
      </c>
      <c r="CU1135" s="20" t="inlineStr">
        <is>
          <t>egy.mit.req.6</t>
        </is>
      </c>
      <c r="CV1135" s="23" t="n">
        <v>24192.48488439988</v>
      </c>
      <c r="CW1135" s="23" t="n">
        <v>23573.90156472828</v>
      </c>
      <c r="CX1135" s="23" t="n">
        <v>26717.98643467805</v>
      </c>
      <c r="CY1135" s="23" t="n">
        <v>30251.40341301123</v>
      </c>
      <c r="CZ1135" s="23" t="n">
        <v>31716.63904364742</v>
      </c>
      <c r="DA1135" s="23" t="n">
        <v>32962.69447762721</v>
      </c>
      <c r="DB1135" s="23" t="n">
        <v>28156.58307956539</v>
      </c>
      <c r="DC1135" s="23" t="n">
        <v>29497.77814089263</v>
      </c>
      <c r="DD1135" s="23" t="n">
        <v>29939.76475050501</v>
      </c>
      <c r="DE1135" s="23" t="n">
        <v>31380.73363398892</v>
      </c>
      <c r="DF1135" s="23" t="n">
        <v>32745.59102499548</v>
      </c>
      <c r="DG1135" s="23" t="n">
        <v>34651.62564886298</v>
      </c>
      <c r="DH1135" s="23" t="n">
        <v>36673.57403837181</v>
      </c>
      <c r="DI1135" s="23" t="n">
        <v>38921.91165817327</v>
      </c>
      <c r="DJ1135" s="23" t="n">
        <v>41233.30045945552</v>
      </c>
      <c r="DK1135" s="23" t="n">
        <v>43694.97263765315</v>
      </c>
      <c r="DL1135" s="23" t="n">
        <v>46152.34583588846</v>
      </c>
      <c r="DM1135" s="23" t="n">
        <v>48690.43245200474</v>
      </c>
      <c r="DN1135" s="23" t="n">
        <v>51192.67768344616</v>
      </c>
      <c r="DO1135" s="23" t="n">
        <v>53765.66329281681</v>
      </c>
    </row>
    <row r="1136">
      <c r="A1136" s="19" t="inlineStr">
        <is>
          <t>mit.cap.pow.tot</t>
        </is>
      </c>
      <c r="B1136" s="3" t="inlineStr">
        <is>
          <t>mit</t>
        </is>
      </c>
      <c r="C1136" s="19" t="n"/>
      <c r="H1136" s="3" t="inlineStr">
        <is>
          <t>Nameplate capacity, total</t>
        </is>
      </c>
      <c r="I1136" s="3" t="inlineStr">
        <is>
          <t>MW</t>
        </is>
      </c>
      <c r="K1136" s="20" t="inlineStr">
        <is>
          <t>egy.mit.cap.pow.tot.1</t>
        </is>
      </c>
      <c r="L1136" s="23" t="n">
        <v>73809.13531891746</v>
      </c>
      <c r="M1136" s="23" t="n">
        <v>73566.48940964769</v>
      </c>
      <c r="N1136" s="23" t="n">
        <v>71264.54568976884</v>
      </c>
      <c r="O1136" s="23" t="n">
        <v>78332.65599607982</v>
      </c>
      <c r="P1136" s="23" t="n">
        <v>85907.74710715837</v>
      </c>
      <c r="Q1136" s="23" t="n">
        <v>94029.53902512105</v>
      </c>
      <c r="R1136" s="23" t="n">
        <v>102740.7590629748</v>
      </c>
      <c r="S1136" s="23" t="n">
        <v>112087.3725197645</v>
      </c>
      <c r="T1136" s="23" t="n">
        <v>122118.8309615987</v>
      </c>
      <c r="U1136" s="23" t="n">
        <v>123745.3929138904</v>
      </c>
      <c r="V1136" s="23" t="n">
        <v>126071.8945746984</v>
      </c>
      <c r="W1136" s="23" t="n">
        <v>128209.1545631865</v>
      </c>
      <c r="X1136" s="23" t="n">
        <v>134893.5589025961</v>
      </c>
      <c r="Y1136" s="23" t="n">
        <v>139422.2301138909</v>
      </c>
      <c r="Z1136" s="23" t="n">
        <v>144430.0564900858</v>
      </c>
      <c r="AA1136" s="23" t="n">
        <v>149454.2840924728</v>
      </c>
      <c r="AB1136" s="23" t="n">
        <v>154638.0504510028</v>
      </c>
      <c r="AC1136" s="23" t="n">
        <v>159973.8202452397</v>
      </c>
      <c r="AD1136" s="23" t="n">
        <v>165469.6797552859</v>
      </c>
      <c r="AE1136" s="23" t="n">
        <v>171139.3763244813</v>
      </c>
      <c r="AG1136" s="20" t="inlineStr">
        <is>
          <t>egy.mit.cap.pow.tot.3</t>
        </is>
      </c>
      <c r="AH1136" s="23" t="n">
        <v>73809.13531891746</v>
      </c>
      <c r="AI1136" s="23" t="n">
        <v>73564.36175724449</v>
      </c>
      <c r="AJ1136" s="23" t="n">
        <v>71262.32499028687</v>
      </c>
      <c r="AK1136" s="23" t="n">
        <v>78330.33233605883</v>
      </c>
      <c r="AL1136" s="23" t="n">
        <v>85905.30992182351</v>
      </c>
      <c r="AM1136" s="23" t="n">
        <v>94026.97704472727</v>
      </c>
      <c r="AN1136" s="23" t="n">
        <v>102738.0602551874</v>
      </c>
      <c r="AO1136" s="23" t="n">
        <v>99487.6016463311</v>
      </c>
      <c r="AP1136" s="23" t="n">
        <v>108543.7089045977</v>
      </c>
      <c r="AQ1136" s="23" t="n">
        <v>110585.5837136906</v>
      </c>
      <c r="AR1136" s="23" t="n">
        <v>115890.3220765134</v>
      </c>
      <c r="AS1136" s="23" t="n">
        <v>117358.7459862264</v>
      </c>
      <c r="AT1136" s="23" t="n">
        <v>123860.3396773311</v>
      </c>
      <c r="AU1136" s="23" t="n">
        <v>128238.1851689911</v>
      </c>
      <c r="AV1136" s="23" t="n">
        <v>133245.3759524401</v>
      </c>
      <c r="AW1136" s="23" t="n">
        <v>138289.5270565647</v>
      </c>
      <c r="AX1136" s="23" t="n">
        <v>143553.2521958974</v>
      </c>
      <c r="AY1136" s="23" t="n">
        <v>148814.1659849067</v>
      </c>
      <c r="AZ1136" s="23" t="n">
        <v>154234.4488173723</v>
      </c>
      <c r="BA1136" s="23" t="n">
        <v>159694.0172461573</v>
      </c>
      <c r="BC1136" s="20" t="inlineStr">
        <is>
          <t>egy.mit.cap.pow.tot.4</t>
        </is>
      </c>
      <c r="BD1136" s="23" t="n">
        <v>73809.13531891746</v>
      </c>
      <c r="BE1136" s="23" t="n">
        <v>73560.48683887902</v>
      </c>
      <c r="BF1136" s="23" t="n">
        <v>71258.18280594001</v>
      </c>
      <c r="BG1136" s="23" t="n">
        <v>78325.89975117487</v>
      </c>
      <c r="BH1136" s="23" t="n">
        <v>85900.56217226804</v>
      </c>
      <c r="BI1136" s="23" t="n">
        <v>94021.88760632199</v>
      </c>
      <c r="BJ1136" s="23" t="n">
        <v>102732.6007035046</v>
      </c>
      <c r="BK1136" s="23" t="n">
        <v>104275.6792696511</v>
      </c>
      <c r="BL1136" s="23" t="n">
        <v>101983.8083929772</v>
      </c>
      <c r="BM1136" s="23" t="n">
        <v>99950.68294865721</v>
      </c>
      <c r="BN1136" s="23" t="n">
        <v>100752.1707600055</v>
      </c>
      <c r="BO1136" s="23" t="n">
        <v>100135.9890338143</v>
      </c>
      <c r="BP1136" s="23" t="n">
        <v>101357.106008656</v>
      </c>
      <c r="BQ1136" s="23" t="n">
        <v>102144.3695941491</v>
      </c>
      <c r="BR1136" s="23" t="n">
        <v>103787.7891515063</v>
      </c>
      <c r="BS1136" s="23" t="n">
        <v>105217.7328736751</v>
      </c>
      <c r="BT1136" s="23" t="n">
        <v>107392.1514868716</v>
      </c>
      <c r="BU1136" s="23" t="n">
        <v>109266.6738058631</v>
      </c>
      <c r="BV1136" s="23" t="n">
        <v>111988.9152934835</v>
      </c>
      <c r="BW1136" s="23" t="n">
        <v>114132.416189797</v>
      </c>
      <c r="BY1136" s="20" t="inlineStr">
        <is>
          <t>egy.mit.cap.pow.tot.5</t>
        </is>
      </c>
      <c r="BZ1136" s="23" t="n">
        <v>73809.13531891746</v>
      </c>
      <c r="CA1136" s="23" t="n">
        <v>73551.47098444997</v>
      </c>
      <c r="CB1136" s="23" t="n">
        <v>71249.20990737875</v>
      </c>
      <c r="CC1136" s="23" t="n">
        <v>78316.94891325229</v>
      </c>
      <c r="CD1136" s="23" t="n">
        <v>85891.61170017159</v>
      </c>
      <c r="CE1136" s="23" t="n">
        <v>94012.91491829271</v>
      </c>
      <c r="CF1136" s="23" t="n">
        <v>102723.5822376593</v>
      </c>
      <c r="CG1136" s="23" t="n">
        <v>112069.5750022981</v>
      </c>
      <c r="CH1136" s="23" t="n">
        <v>122100.3404885435</v>
      </c>
      <c r="CI1136" s="23" t="n">
        <v>123177.9638562426</v>
      </c>
      <c r="CJ1136" s="23" t="n">
        <v>125006.6726769167</v>
      </c>
      <c r="CK1136" s="23" t="n">
        <v>126520.8008442811</v>
      </c>
      <c r="CL1136" s="23" t="n">
        <v>131987.6522173033</v>
      </c>
      <c r="CM1136" s="23" t="n">
        <v>135455.9448404667</v>
      </c>
      <c r="CN1136" s="23" t="n">
        <v>139206.6689183581</v>
      </c>
      <c r="CO1136" s="23" t="n">
        <v>143488.4862558261</v>
      </c>
      <c r="CP1136" s="23" t="n">
        <v>147745.5989205042</v>
      </c>
      <c r="CQ1136" s="23" t="n">
        <v>152162.4051261389</v>
      </c>
      <c r="CR1136" s="23" t="n">
        <v>156836.7359386048</v>
      </c>
      <c r="CS1136" s="23" t="n">
        <v>161556.3738216172</v>
      </c>
      <c r="CU1136" s="20" t="inlineStr">
        <is>
          <t>egy.mit.cap.pow.tot.6</t>
        </is>
      </c>
      <c r="CV1136" s="23" t="n">
        <v>73809.13531891746</v>
      </c>
      <c r="CW1136" s="23" t="n">
        <v>73561.95352642283</v>
      </c>
      <c r="CX1136" s="23" t="n">
        <v>71259.77273064341</v>
      </c>
      <c r="CY1136" s="23" t="n">
        <v>78327.62281619507</v>
      </c>
      <c r="CZ1136" s="23" t="n">
        <v>85902.42899764376</v>
      </c>
      <c r="DA1136" s="23" t="n">
        <v>94023.90958574643</v>
      </c>
      <c r="DB1136" s="23" t="n">
        <v>102734.7900653542</v>
      </c>
      <c r="DC1136" s="23" t="n">
        <v>99484.25609132031</v>
      </c>
      <c r="DD1136" s="23" t="n">
        <v>99416.85018713493</v>
      </c>
      <c r="DE1136" s="23" t="n">
        <v>97492.0902873567</v>
      </c>
      <c r="DF1136" s="23" t="n">
        <v>102273.214730323</v>
      </c>
      <c r="DG1136" s="23" t="n">
        <v>104627.7191124597</v>
      </c>
      <c r="DH1136" s="23" t="n">
        <v>109227.1510821939</v>
      </c>
      <c r="DI1136" s="23" t="n">
        <v>113258.635862832</v>
      </c>
      <c r="DJ1136" s="23" t="n">
        <v>117982.4627698638</v>
      </c>
      <c r="DK1136" s="23" t="n">
        <v>122574.7491114588</v>
      </c>
      <c r="DL1136" s="23" t="n">
        <v>127678.484831794</v>
      </c>
      <c r="DM1136" s="23" t="n">
        <v>132548.5722772014</v>
      </c>
      <c r="DN1136" s="23" t="n">
        <v>137797.8029894664</v>
      </c>
      <c r="DO1136" s="23" t="n">
        <v>142829.4232358584</v>
      </c>
    </row>
    <row r="1137">
      <c r="A1137" s="19" t="inlineStr">
        <is>
          <t>mit.cap.pow.wnd</t>
        </is>
      </c>
      <c r="B1137" s="3" t="inlineStr">
        <is>
          <t>mit</t>
        </is>
      </c>
      <c r="C1137" s="19" t="n"/>
      <c r="H1137" s="3" t="inlineStr">
        <is>
          <t>Nameplate capacity | Power | Wind</t>
        </is>
      </c>
      <c r="I1137" s="3" t="inlineStr">
        <is>
          <t>MW</t>
        </is>
      </c>
      <c r="K1137" s="20" t="inlineStr">
        <is>
          <t>egy.mit.cap.pow.wnd.1</t>
        </is>
      </c>
      <c r="L1137" s="23" t="n">
        <v>1642.5</v>
      </c>
      <c r="M1137" s="23" t="n">
        <v>2315.921558046976</v>
      </c>
      <c r="N1137" s="23" t="n">
        <v>2238.724172778744</v>
      </c>
      <c r="O1137" s="23" t="n">
        <v>3320.167987770978</v>
      </c>
      <c r="P1137" s="23" t="n">
        <v>4457.231828346674</v>
      </c>
      <c r="Q1137" s="23" t="n">
        <v>5655.042274654724</v>
      </c>
      <c r="R1137" s="23" t="n">
        <v>6919.08970593289</v>
      </c>
      <c r="S1137" s="23" t="n">
        <v>8255.256988328691</v>
      </c>
      <c r="T1137" s="23" t="n">
        <v>9669.850327972483</v>
      </c>
      <c r="U1137" s="23" t="n">
        <v>10999.78287932691</v>
      </c>
      <c r="V1137" s="23" t="n">
        <v>12499.41875804124</v>
      </c>
      <c r="W1137" s="23" t="n">
        <v>14006.67937738389</v>
      </c>
      <c r="X1137" s="23" t="n">
        <v>15517.52435548661</v>
      </c>
      <c r="Y1137" s="23" t="n">
        <v>17117.96758159329</v>
      </c>
      <c r="Z1137" s="23" t="n">
        <v>18763.8276310041</v>
      </c>
      <c r="AA1137" s="23" t="n">
        <v>20462.41601211141</v>
      </c>
      <c r="AB1137" s="23" t="n">
        <v>22212.01430503462</v>
      </c>
      <c r="AC1137" s="23" t="n">
        <v>24013.65556620032</v>
      </c>
      <c r="AD1137" s="23" t="n">
        <v>25868.19106291213</v>
      </c>
      <c r="AE1137" s="23" t="n">
        <v>27776.57578674467</v>
      </c>
      <c r="AG1137" s="20" t="inlineStr">
        <is>
          <t>egy.mit.cap.pow.wnd.3</t>
        </is>
      </c>
      <c r="AH1137" s="23" t="n">
        <v>1642.5</v>
      </c>
      <c r="AI1137" s="23" t="n">
        <v>2335.374382651808</v>
      </c>
      <c r="AJ1137" s="23" t="n">
        <v>2257.528569896748</v>
      </c>
      <c r="AK1137" s="23" t="n">
        <v>3338.343167519155</v>
      </c>
      <c r="AL1137" s="23" t="n">
        <v>4474.796270736794</v>
      </c>
      <c r="AM1137" s="23" t="n">
        <v>5672.013743403766</v>
      </c>
      <c r="AN1137" s="23" t="n">
        <v>6935.485261151369</v>
      </c>
      <c r="AO1137" s="23" t="n">
        <v>6704.30241911299</v>
      </c>
      <c r="AP1137" s="23" t="n">
        <v>7998.231288601513</v>
      </c>
      <c r="AQ1137" s="23" t="n">
        <v>9368.214400397719</v>
      </c>
      <c r="AR1137" s="23" t="n">
        <v>10743.19717665018</v>
      </c>
      <c r="AS1137" s="23" t="n">
        <v>11988.60361629883</v>
      </c>
      <c r="AT1137" s="23" t="n">
        <v>13427.96734883336</v>
      </c>
      <c r="AU1137" s="23" t="n">
        <v>14956.36065421089</v>
      </c>
      <c r="AV1137" s="23" t="n">
        <v>16528.29110461936</v>
      </c>
      <c r="AW1137" s="23" t="n">
        <v>18154.05922309688</v>
      </c>
      <c r="AX1137" s="23" t="n">
        <v>19832.34311898686</v>
      </c>
      <c r="AY1137" s="23" t="n">
        <v>21565.3083410635</v>
      </c>
      <c r="AZ1137" s="23" t="n">
        <v>23350.81809454626</v>
      </c>
      <c r="BA1137" s="23" t="n">
        <v>25189.86340303452</v>
      </c>
      <c r="BC1137" s="20" t="inlineStr">
        <is>
          <t>egy.mit.cap.pow.wnd.4</t>
        </is>
      </c>
      <c r="BD1137" s="23" t="n">
        <v>1642.5</v>
      </c>
      <c r="BE1137" s="23" t="n">
        <v>2383.653817171009</v>
      </c>
      <c r="BF1137" s="23" t="n">
        <v>2304.198689931975</v>
      </c>
      <c r="BG1137" s="23" t="n">
        <v>3383.451719637371</v>
      </c>
      <c r="BH1137" s="23" t="n">
        <v>4518.389190502683</v>
      </c>
      <c r="BI1137" s="23" t="n">
        <v>5714.135189931669</v>
      </c>
      <c r="BJ1137" s="23" t="n">
        <v>6976.177648885272</v>
      </c>
      <c r="BK1137" s="23" t="n">
        <v>8310.397025744551</v>
      </c>
      <c r="BL1137" s="23" t="n">
        <v>8396.234443296609</v>
      </c>
      <c r="BM1137" s="23" t="n">
        <v>8500.012544226329</v>
      </c>
      <c r="BN1137" s="23" t="n">
        <v>9657.635998107429</v>
      </c>
      <c r="BO1137" s="23" t="n">
        <v>10154.13516801522</v>
      </c>
      <c r="BP1137" s="23" t="n">
        <v>11382.66237944542</v>
      </c>
      <c r="BQ1137" s="23" t="n">
        <v>12434.49983157511</v>
      </c>
      <c r="BR1137" s="23" t="n">
        <v>13648.49731912638</v>
      </c>
      <c r="BS1137" s="23" t="n">
        <v>14869.95118246733</v>
      </c>
      <c r="BT1137" s="23" t="n">
        <v>16091.57158560055</v>
      </c>
      <c r="BU1137" s="23" t="n">
        <v>17334.50351670276</v>
      </c>
      <c r="BV1137" s="23" t="n">
        <v>18588.1206688505</v>
      </c>
      <c r="BW1137" s="23" t="n">
        <v>19876.11719630511</v>
      </c>
      <c r="BY1137" s="20" t="inlineStr">
        <is>
          <t>egy.mit.cap.pow.wnd.5</t>
        </is>
      </c>
      <c r="BZ1137" s="23" t="n">
        <v>1642.5</v>
      </c>
      <c r="CA1137" s="23" t="n">
        <v>2446.85955231748</v>
      </c>
      <c r="CB1137" s="23" t="n">
        <v>2365.297567240231</v>
      </c>
      <c r="CC1137" s="23" t="n">
        <v>3442.510335334917</v>
      </c>
      <c r="CD1137" s="23" t="n">
        <v>4575.471784041595</v>
      </c>
      <c r="CE1137" s="23" t="n">
        <v>5769.303706633305</v>
      </c>
      <c r="CF1137" s="23" t="n">
        <v>7029.4917994917</v>
      </c>
      <c r="CG1137" s="23" t="n">
        <v>8361.914342894788</v>
      </c>
      <c r="CH1137" s="23" t="n">
        <v>9772.873046992379</v>
      </c>
      <c r="CI1137" s="23" t="n">
        <v>11269.12622925998</v>
      </c>
      <c r="CJ1137" s="23" t="n">
        <v>12755.37561003946</v>
      </c>
      <c r="CK1137" s="23" t="n">
        <v>14253.40453743405</v>
      </c>
      <c r="CL1137" s="23" t="n">
        <v>15751.82412673779</v>
      </c>
      <c r="CM1137" s="23" t="n">
        <v>17347.94393265945</v>
      </c>
      <c r="CN1137" s="23" t="n">
        <v>18995.06809637406</v>
      </c>
      <c r="CO1137" s="23" t="n">
        <v>20697.33153689781</v>
      </c>
      <c r="CP1137" s="23" t="n">
        <v>22466.09318682968</v>
      </c>
      <c r="CQ1137" s="23" t="n">
        <v>24295.44627754681</v>
      </c>
      <c r="CR1137" s="23" t="n">
        <v>26185.39771273653</v>
      </c>
      <c r="CS1137" s="23" t="n">
        <v>28138.91802998502</v>
      </c>
      <c r="CU1137" s="20" t="inlineStr">
        <is>
          <t>egy.mit.cap.pow.wnd.6</t>
        </is>
      </c>
      <c r="CV1137" s="23" t="n">
        <v>1642.5</v>
      </c>
      <c r="CW1137" s="23" t="n">
        <v>2362.479082915155</v>
      </c>
      <c r="CX1137" s="23" t="n">
        <v>2283.729780151317</v>
      </c>
      <c r="CY1137" s="23" t="n">
        <v>3363.667681795632</v>
      </c>
      <c r="CZ1137" s="23" t="n">
        <v>4499.269866175791</v>
      </c>
      <c r="DA1137" s="23" t="n">
        <v>5695.661199607992</v>
      </c>
      <c r="DB1137" s="23" t="n">
        <v>6958.330377979428</v>
      </c>
      <c r="DC1137" s="23" t="n">
        <v>6726.38603204678</v>
      </c>
      <c r="DD1137" s="23" t="n">
        <v>7533.616614028144</v>
      </c>
      <c r="DE1137" s="23" t="n">
        <v>7649.569452598297</v>
      </c>
      <c r="DF1137" s="23" t="n">
        <v>8892.854405343631</v>
      </c>
      <c r="DG1137" s="23" t="n">
        <v>10218.08888475832</v>
      </c>
      <c r="DH1137" s="23" t="n">
        <v>11562.19676074726</v>
      </c>
      <c r="DI1137" s="23" t="n">
        <v>12984.70179716183</v>
      </c>
      <c r="DJ1137" s="23" t="n">
        <v>14465.54226064298</v>
      </c>
      <c r="DK1137" s="23" t="n">
        <v>16020.01447284366</v>
      </c>
      <c r="DL1137" s="23" t="n">
        <v>17639.71211754466</v>
      </c>
      <c r="DM1137" s="23" t="n">
        <v>19334.67823474823</v>
      </c>
      <c r="DN1137" s="23" t="n">
        <v>21093.65995001465</v>
      </c>
      <c r="DO1137" s="23" t="n">
        <v>22923.19438090469</v>
      </c>
    </row>
    <row r="1138">
      <c r="A1138" s="19" t="inlineStr">
        <is>
          <t>mit.cap.pow.sol</t>
        </is>
      </c>
      <c r="B1138" s="3" t="inlineStr">
        <is>
          <t>mit</t>
        </is>
      </c>
      <c r="C1138" s="19" t="n"/>
      <c r="H1138" s="3" t="inlineStr">
        <is>
          <t>Nameplate capacity | Power | Solar</t>
        </is>
      </c>
      <c r="I1138" s="3" t="inlineStr">
        <is>
          <t>MW</t>
        </is>
      </c>
      <c r="K1138" s="20" t="inlineStr">
        <is>
          <t>egy.mit.cap.pow.sol.1</t>
        </is>
      </c>
      <c r="L1138" s="23" t="n">
        <v>1724</v>
      </c>
      <c r="M1138" s="23" t="n">
        <v>2455.501706635204</v>
      </c>
      <c r="N1138" s="23" t="n">
        <v>2357.281638369795</v>
      </c>
      <c r="O1138" s="23" t="n">
        <v>3719.744789757792</v>
      </c>
      <c r="P1138" s="23" t="n">
        <v>5143.219914224583</v>
      </c>
      <c r="Q1138" s="23" t="n">
        <v>6634.06272183482</v>
      </c>
      <c r="R1138" s="23" t="n">
        <v>8199.048447786729</v>
      </c>
      <c r="S1138" s="23" t="n">
        <v>9845.406501463765</v>
      </c>
      <c r="T1138" s="23" t="n">
        <v>11580.85766292421</v>
      </c>
      <c r="U1138" s="23" t="n">
        <v>13413.65402544532</v>
      </c>
      <c r="V1138" s="23" t="n">
        <v>15228.81558510398</v>
      </c>
      <c r="W1138" s="23" t="n">
        <v>17043.96798425758</v>
      </c>
      <c r="X1138" s="23" t="n">
        <v>18854.34059096627</v>
      </c>
      <c r="Y1138" s="23" t="n">
        <v>20768.66074624726</v>
      </c>
      <c r="Z1138" s="23" t="n">
        <v>22730.86120270689</v>
      </c>
      <c r="AA1138" s="23" t="n">
        <v>24750.14758598859</v>
      </c>
      <c r="AB1138" s="23" t="n">
        <v>26824.28584358938</v>
      </c>
      <c r="AC1138" s="23" t="n">
        <v>28954.52622516269</v>
      </c>
      <c r="AD1138" s="23" t="n">
        <v>31141.88329058376</v>
      </c>
      <c r="AE1138" s="23" t="n">
        <v>33387.49747557252</v>
      </c>
      <c r="AG1138" s="20" t="inlineStr">
        <is>
          <t>egy.mit.cap.pow.sol.3</t>
        </is>
      </c>
      <c r="AH1138" s="23" t="n">
        <v>1724</v>
      </c>
      <c r="AI1138" s="23" t="n">
        <v>2476.885734904342</v>
      </c>
      <c r="AJ1138" s="23" t="n">
        <v>2377.810305508169</v>
      </c>
      <c r="AK1138" s="23" t="n">
        <v>3739.449280777359</v>
      </c>
      <c r="AL1138" s="23" t="n">
        <v>5162.130053620695</v>
      </c>
      <c r="AM1138" s="23" t="n">
        <v>6652.207014742638</v>
      </c>
      <c r="AN1138" s="23" t="n">
        <v>8216.454118657482</v>
      </c>
      <c r="AO1138" s="23" t="n">
        <v>7887.795953911183</v>
      </c>
      <c r="AP1138" s="23" t="n">
        <v>9484.357992307638</v>
      </c>
      <c r="AQ1138" s="23" t="n">
        <v>11167.2421232275</v>
      </c>
      <c r="AR1138" s="23" t="n">
        <v>12846.65452485454</v>
      </c>
      <c r="AS1138" s="23" t="n">
        <v>14600.80503353028</v>
      </c>
      <c r="AT1138" s="23" t="n">
        <v>16334.06554941645</v>
      </c>
      <c r="AU1138" s="23" t="n">
        <v>18170.63907674355</v>
      </c>
      <c r="AV1138" s="23" t="n">
        <v>20052.80787616579</v>
      </c>
      <c r="AW1138" s="23" t="n">
        <v>21993.55646184866</v>
      </c>
      <c r="AX1138" s="23" t="n">
        <v>23991.13728665785</v>
      </c>
      <c r="AY1138" s="23" t="n">
        <v>26048.21168366746</v>
      </c>
      <c r="AZ1138" s="23" t="n">
        <v>28162.00413470818</v>
      </c>
      <c r="BA1138" s="23" t="n">
        <v>30333.70173576387</v>
      </c>
      <c r="BC1138" s="20" t="inlineStr">
        <is>
          <t>egy.mit.cap.pow.sol.4</t>
        </is>
      </c>
      <c r="BD1138" s="23" t="n">
        <v>1724</v>
      </c>
      <c r="BE1138" s="23" t="n">
        <v>2529.958171095442</v>
      </c>
      <c r="BF1138" s="23" t="n">
        <v>2428.759844251624</v>
      </c>
      <c r="BG1138" s="23" t="n">
        <v>3788.353406882145</v>
      </c>
      <c r="BH1138" s="23" t="n">
        <v>5209.062875975719</v>
      </c>
      <c r="BI1138" s="23" t="n">
        <v>6697.239368824452</v>
      </c>
      <c r="BJ1138" s="23" t="n">
        <v>8259.653662896073</v>
      </c>
      <c r="BK1138" s="23" t="n">
        <v>9903.530836364314</v>
      </c>
      <c r="BL1138" s="23" t="n">
        <v>10069.67455293528</v>
      </c>
      <c r="BM1138" s="23" t="n">
        <v>10302.41879526776</v>
      </c>
      <c r="BN1138" s="23" t="n">
        <v>11834.201315209</v>
      </c>
      <c r="BO1138" s="23" t="n">
        <v>12752.61699253875</v>
      </c>
      <c r="BP1138" s="23" t="n">
        <v>14217.07774274658</v>
      </c>
      <c r="BQ1138" s="23" t="n">
        <v>15668.94386769888</v>
      </c>
      <c r="BR1138" s="23" t="n">
        <v>17094.22519264619</v>
      </c>
      <c r="BS1138" s="23" t="n">
        <v>18522.88270248219</v>
      </c>
      <c r="BT1138" s="23" t="n">
        <v>19945.90866159888</v>
      </c>
      <c r="BU1138" s="23" t="n">
        <v>21390.18000222539</v>
      </c>
      <c r="BV1138" s="23" t="n">
        <v>22842.35191338883</v>
      </c>
      <c r="BW1138" s="23" t="n">
        <v>24332.41404923949</v>
      </c>
      <c r="BY1138" s="20" t="inlineStr">
        <is>
          <t>egy.mit.cap.pow.sol.5</t>
        </is>
      </c>
      <c r="BZ1138" s="23" t="n">
        <v>1724</v>
      </c>
      <c r="CA1138" s="23" t="n">
        <v>2561.215041394269</v>
      </c>
      <c r="CB1138" s="23" t="n">
        <v>2458.766439738498</v>
      </c>
      <c r="CC1138" s="23" t="n">
        <v>3817.155161425163</v>
      </c>
      <c r="CD1138" s="23" t="n">
        <v>5236.703233579885</v>
      </c>
      <c r="CE1138" s="23" t="n">
        <v>6723.759843172471</v>
      </c>
      <c r="CF1138" s="23" t="n">
        <v>8285.093893240955</v>
      </c>
      <c r="CG1138" s="23" t="n">
        <v>9927.928639812611</v>
      </c>
      <c r="CH1138" s="23" t="n">
        <v>11659.97887637142</v>
      </c>
      <c r="CI1138" s="23" t="n">
        <v>13489.49086445686</v>
      </c>
      <c r="CJ1138" s="23" t="n">
        <v>15296.06396899171</v>
      </c>
      <c r="CK1138" s="23" t="n">
        <v>17107.64462286296</v>
      </c>
      <c r="CL1138" s="23" t="n">
        <v>18910.17623549643</v>
      </c>
      <c r="CM1138" s="23" t="n">
        <v>20826.65637406856</v>
      </c>
      <c r="CN1138" s="23" t="n">
        <v>22797.78963656304</v>
      </c>
      <c r="CO1138" s="23" t="n">
        <v>24828.74262813457</v>
      </c>
      <c r="CP1138" s="23" t="n">
        <v>26933.75190625009</v>
      </c>
      <c r="CQ1138" s="23" t="n">
        <v>29105.20526850591</v>
      </c>
      <c r="CR1138" s="23" t="n">
        <v>31342.99868141567</v>
      </c>
      <c r="CS1138" s="23" t="n">
        <v>33650.76702042191</v>
      </c>
      <c r="CU1138" s="20" t="inlineStr">
        <is>
          <t>egy.mit.cap.pow.sol.6</t>
        </is>
      </c>
      <c r="CV1138" s="23" t="n">
        <v>1724</v>
      </c>
      <c r="CW1138" s="23" t="n">
        <v>2506.681288425858</v>
      </c>
      <c r="CX1138" s="23" t="n">
        <v>2406.414036888824</v>
      </c>
      <c r="CY1138" s="23" t="n">
        <v>3766.904676488428</v>
      </c>
      <c r="CZ1138" s="23" t="n">
        <v>5188.478704730756</v>
      </c>
      <c r="DA1138" s="23" t="n">
        <v>6677.488674406652</v>
      </c>
      <c r="DB1138" s="23" t="n">
        <v>8240.70675615549</v>
      </c>
      <c r="DC1138" s="23" t="n">
        <v>7911.078485909271</v>
      </c>
      <c r="DD1138" s="23" t="n">
        <v>9200.518733138006</v>
      </c>
      <c r="DE1138" s="23" t="n">
        <v>9441.77925156639</v>
      </c>
      <c r="DF1138" s="23" t="n">
        <v>10952.07003761628</v>
      </c>
      <c r="DG1138" s="23" t="n">
        <v>12557.43517600108</v>
      </c>
      <c r="DH1138" s="23" t="n">
        <v>14178.03196995379</v>
      </c>
      <c r="DI1138" s="23" t="n">
        <v>15889.04943920322</v>
      </c>
      <c r="DJ1138" s="23" t="n">
        <v>17664.88401140707</v>
      </c>
      <c r="DK1138" s="23" t="n">
        <v>19524.6680781603</v>
      </c>
      <c r="DL1138" s="23" t="n">
        <v>21457.54367456964</v>
      </c>
      <c r="DM1138" s="23" t="n">
        <v>23475.98198775</v>
      </c>
      <c r="DN1138" s="23" t="n">
        <v>25565.54234021179</v>
      </c>
      <c r="DO1138" s="23" t="n">
        <v>27734.30608963321</v>
      </c>
    </row>
    <row r="1139">
      <c r="A1139" s="19" t="inlineStr">
        <is>
          <t>mit.nim.pow.tot</t>
        </is>
      </c>
      <c r="B1139" s="3" t="inlineStr">
        <is>
          <t>mit</t>
        </is>
      </c>
      <c r="C1139" s="19" t="n"/>
      <c r="H1139" s="3" t="inlineStr">
        <is>
          <t>New nameplate investment, total</t>
        </is>
      </c>
      <c r="I1139" s="3" t="inlineStr">
        <is>
          <t>MW</t>
        </is>
      </c>
      <c r="K1139" s="20" t="inlineStr">
        <is>
          <t>egy.mit.nim.pow.tot.1</t>
        </is>
      </c>
      <c r="L1139" s="23" t="n">
        <v>2060.511766508835</v>
      </c>
      <c r="M1139" s="23" t="n">
        <v>0</v>
      </c>
      <c r="N1139" s="23" t="n">
        <v>9294.731842838399</v>
      </c>
      <c r="O1139" s="23" t="n">
        <v>10031.73946884155</v>
      </c>
      <c r="P1139" s="23" t="n">
        <v>10824.87063696737</v>
      </c>
      <c r="Q1139" s="23" t="n">
        <v>11678.42419016019</v>
      </c>
      <c r="R1139" s="23" t="n">
        <v>12597.02711767564</v>
      </c>
      <c r="S1139" s="23" t="n">
        <v>13585.65965189722</v>
      </c>
      <c r="T1139" s="23" t="n">
        <v>5506.735741600909</v>
      </c>
      <c r="U1139" s="23" t="n">
        <v>6264.070728422188</v>
      </c>
      <c r="V1139" s="23" t="n">
        <v>6153.058670483329</v>
      </c>
      <c r="W1139" s="23" t="n">
        <v>10772.11075468009</v>
      </c>
      <c r="X1139" s="23" t="n">
        <v>8827.471521884807</v>
      </c>
      <c r="Y1139" s="23" t="n">
        <v>9451.86241806874</v>
      </c>
      <c r="Z1139" s="23" t="n">
        <v>9628.372407178895</v>
      </c>
      <c r="AA1139" s="23" t="n">
        <v>9948.754330641779</v>
      </c>
      <c r="AB1139" s="23" t="n">
        <v>10266.84376642612</v>
      </c>
      <c r="AC1139" s="23" t="n">
        <v>10598.07609146109</v>
      </c>
      <c r="AD1139" s="23" t="n">
        <v>10948.47188742515</v>
      </c>
      <c r="AE1139" s="23" t="n">
        <v>11304.68754696612</v>
      </c>
      <c r="AG1139" s="20" t="inlineStr">
        <is>
          <t>egy.mit.nim.pow.tot.3</t>
        </is>
      </c>
      <c r="AH1139" s="23" t="n">
        <v>2058.384114105639</v>
      </c>
      <c r="AI1139" s="23" t="n">
        <v>0</v>
      </c>
      <c r="AJ1139" s="23" t="n">
        <v>9294.712513725979</v>
      </c>
      <c r="AK1139" s="23" t="n">
        <v>10031.70008888621</v>
      </c>
      <c r="AL1139" s="23" t="n">
        <v>10824.81039980691</v>
      </c>
      <c r="AM1139" s="23" t="n">
        <v>11678.34219948002</v>
      </c>
      <c r="AN1139" s="23" t="n">
        <v>0</v>
      </c>
      <c r="AO1139" s="23" t="n">
        <v>12199.86961412294</v>
      </c>
      <c r="AP1139" s="23" t="n">
        <v>5480.010935420917</v>
      </c>
      <c r="AQ1139" s="23" t="n">
        <v>8812.44308878528</v>
      </c>
      <c r="AR1139" s="23" t="n">
        <v>5145.298907666464</v>
      </c>
      <c r="AS1139" s="23" t="n">
        <v>10229.71163975393</v>
      </c>
      <c r="AT1139" s="23" t="n">
        <v>8305.796667602828</v>
      </c>
      <c r="AU1139" s="23" t="n">
        <v>9075.446444537516</v>
      </c>
      <c r="AV1139" s="23" t="n">
        <v>9272.121835695481</v>
      </c>
      <c r="AW1139" s="23" t="n">
        <v>9652.736489651434</v>
      </c>
      <c r="AX1139" s="23" t="n">
        <v>9818.025767749454</v>
      </c>
      <c r="AY1139" s="23" t="n">
        <v>10145.75223092858</v>
      </c>
      <c r="AZ1139" s="23" t="n">
        <v>10358.74304315165</v>
      </c>
      <c r="BA1139" s="23" t="n">
        <v>10733.86188033787</v>
      </c>
      <c r="BC1139" s="20" t="inlineStr">
        <is>
          <t>egy.mit.nim.pow.tot.4</t>
        </is>
      </c>
      <c r="BD1139" s="23" t="n">
        <v>2054.509195740162</v>
      </c>
      <c r="BE1139" s="23" t="n">
        <v>0</v>
      </c>
      <c r="BF1139" s="23" t="n">
        <v>9294.665100120697</v>
      </c>
      <c r="BG1139" s="23" t="n">
        <v>10031.60349730764</v>
      </c>
      <c r="BH1139" s="23" t="n">
        <v>10824.66265833717</v>
      </c>
      <c r="BI1139" s="23" t="n">
        <v>11678.14111562498</v>
      </c>
      <c r="BJ1139" s="23" t="n">
        <v>4793.680910213103</v>
      </c>
      <c r="BK1139" s="23" t="n">
        <v>1024.926133559406</v>
      </c>
      <c r="BL1139" s="23" t="n">
        <v>1212.110406445834</v>
      </c>
      <c r="BM1139" s="23" t="n">
        <v>3980.591903408566</v>
      </c>
      <c r="BN1139" s="23" t="n">
        <v>2591.864527266931</v>
      </c>
      <c r="BO1139" s="23" t="n">
        <v>4410.496302415931</v>
      </c>
      <c r="BP1139" s="23" t="n">
        <v>4009.508288853279</v>
      </c>
      <c r="BQ1139" s="23" t="n">
        <v>4892.704118277076</v>
      </c>
      <c r="BR1139" s="23" t="n">
        <v>4713.943054288055</v>
      </c>
      <c r="BS1139" s="23" t="n">
        <v>5494.351852148381</v>
      </c>
      <c r="BT1139" s="23" t="n">
        <v>5232.844766010482</v>
      </c>
      <c r="BU1139" s="23" t="n">
        <v>6121.112089481399</v>
      </c>
      <c r="BV1139" s="23" t="n">
        <v>5586.001144043638</v>
      </c>
      <c r="BW1139" s="23" t="n">
        <v>6820.8182479111</v>
      </c>
      <c r="BY1139" s="20" t="inlineStr">
        <is>
          <t>egy.mit.nim.pow.tot.5</t>
        </is>
      </c>
      <c r="BZ1139" s="23" t="n">
        <v>2045.493341311106</v>
      </c>
      <c r="CA1139" s="23" t="n">
        <v>0</v>
      </c>
      <c r="CB1139" s="23" t="n">
        <v>9294.635896060465</v>
      </c>
      <c r="CC1139" s="23" t="n">
        <v>10031.54398850815</v>
      </c>
      <c r="CD1139" s="23" t="n">
        <v>10824.57161616781</v>
      </c>
      <c r="CE1139" s="23" t="n">
        <v>11678.01717542237</v>
      </c>
      <c r="CF1139" s="23" t="n">
        <v>12596.50718029711</v>
      </c>
      <c r="CG1139" s="23" t="n">
        <v>13585.0213568727</v>
      </c>
      <c r="CH1139" s="23" t="n">
        <v>4957.804397410756</v>
      </c>
      <c r="CI1139" s="23" t="n">
        <v>5734.287579731693</v>
      </c>
      <c r="CJ1139" s="23" t="n">
        <v>5446.784383318648</v>
      </c>
      <c r="CK1139" s="23" t="n">
        <v>9430.086628606068</v>
      </c>
      <c r="CL1139" s="23" t="n">
        <v>7520.281438228711</v>
      </c>
      <c r="CM1139" s="23" t="n">
        <v>7844.631512547196</v>
      </c>
      <c r="CN1139" s="23" t="n">
        <v>8424.3350287785</v>
      </c>
      <c r="CO1139" s="23" t="n">
        <v>8455.187066284747</v>
      </c>
      <c r="CP1139" s="23" t="n">
        <v>8678.244834304165</v>
      </c>
      <c r="CQ1139" s="23" t="n">
        <v>9006.355576822585</v>
      </c>
      <c r="CR1139" s="23" t="n">
        <v>9129.385243120167</v>
      </c>
      <c r="CS1139" s="23" t="n">
        <v>9472.140089969263</v>
      </c>
      <c r="CU1139" s="20" t="inlineStr">
        <is>
          <t>egy.mit.nim.pow.tot.6</t>
        </is>
      </c>
      <c r="CV1139" s="23" t="n">
        <v>2055.975883283979</v>
      </c>
      <c r="CW1139" s="23" t="n">
        <v>0</v>
      </c>
      <c r="CX1139" s="23" t="n">
        <v>9294.685802566979</v>
      </c>
      <c r="CY1139" s="23" t="n">
        <v>10031.6456715781</v>
      </c>
      <c r="CZ1139" s="23" t="n">
        <v>10824.72716442512</v>
      </c>
      <c r="DA1139" s="23" t="n">
        <v>11678.22890982275</v>
      </c>
      <c r="DB1139" s="23" t="n">
        <v>0</v>
      </c>
      <c r="DC1139" s="23" t="n">
        <v>3076.422189098637</v>
      </c>
      <c r="DD1139" s="23" t="n">
        <v>1229.105096648518</v>
      </c>
      <c r="DE1139" s="23" t="n">
        <v>7872.740340876394</v>
      </c>
      <c r="DF1139" s="23" t="n">
        <v>5535.461711612303</v>
      </c>
      <c r="DG1139" s="23" t="n">
        <v>7834.969682042281</v>
      </c>
      <c r="DH1139" s="23" t="n">
        <v>7340.450265506553</v>
      </c>
      <c r="DI1139" s="23" t="n">
        <v>8107.337739602071</v>
      </c>
      <c r="DJ1139" s="23" t="n">
        <v>8059.722194424199</v>
      </c>
      <c r="DK1139" s="23" t="n">
        <v>8660.594696290749</v>
      </c>
      <c r="DL1139" s="23" t="n">
        <v>8524.772898214655</v>
      </c>
      <c r="DM1139" s="23" t="n">
        <v>9006.561225679288</v>
      </c>
      <c r="DN1139" s="23" t="n">
        <v>8898.886476463556</v>
      </c>
      <c r="DO1139" s="23" t="n">
        <v>9409.80873736887</v>
      </c>
    </row>
    <row r="1140">
      <c r="A1140" s="19" t="inlineStr">
        <is>
          <t>mit.shr.pow.coa</t>
        </is>
      </c>
      <c r="B1140" s="3" t="inlineStr">
        <is>
          <t>mit</t>
        </is>
      </c>
      <c r="C1140" s="19" t="n"/>
      <c r="H1140" s="3" t="inlineStr">
        <is>
          <t>Generation share | Power | Coal</t>
        </is>
      </c>
      <c r="I1140" s="3" t="inlineStr">
        <is>
          <t>share</t>
        </is>
      </c>
      <c r="K1140" s="20" t="inlineStr">
        <is>
          <t>egy.mit.shr.pow.coa.1</t>
        </is>
      </c>
      <c r="L1140" s="25" t="n">
        <v>0</v>
      </c>
      <c r="M1140" s="25" t="n">
        <v>0</v>
      </c>
      <c r="N1140" s="25" t="n">
        <v>0</v>
      </c>
      <c r="O1140" s="25" t="n">
        <v>0</v>
      </c>
      <c r="P1140" s="25" t="n">
        <v>0</v>
      </c>
      <c r="Q1140" s="25" t="n">
        <v>0</v>
      </c>
      <c r="R1140" s="25" t="n">
        <v>0</v>
      </c>
      <c r="S1140" s="25" t="n">
        <v>0</v>
      </c>
      <c r="T1140" s="25" t="n">
        <v>0</v>
      </c>
      <c r="U1140" s="25" t="n">
        <v>0</v>
      </c>
      <c r="V1140" s="25" t="n">
        <v>0</v>
      </c>
      <c r="W1140" s="25" t="n">
        <v>0</v>
      </c>
      <c r="X1140" s="25" t="n">
        <v>0</v>
      </c>
      <c r="Y1140" s="25" t="n">
        <v>0</v>
      </c>
      <c r="Z1140" s="25" t="n">
        <v>0</v>
      </c>
      <c r="AA1140" s="25" t="n">
        <v>0</v>
      </c>
      <c r="AB1140" s="25" t="n">
        <v>0</v>
      </c>
      <c r="AC1140" s="25" t="n">
        <v>0</v>
      </c>
      <c r="AD1140" s="25" t="n">
        <v>0</v>
      </c>
      <c r="AE1140" s="25" t="n">
        <v>0</v>
      </c>
      <c r="AG1140" s="20" t="inlineStr">
        <is>
          <t>egy.mit.shr.pow.coa.3</t>
        </is>
      </c>
      <c r="AH1140" s="25" t="n">
        <v>0</v>
      </c>
      <c r="AI1140" s="25" t="n">
        <v>0</v>
      </c>
      <c r="AJ1140" s="25" t="n">
        <v>0</v>
      </c>
      <c r="AK1140" s="25" t="n">
        <v>0</v>
      </c>
      <c r="AL1140" s="25" t="n">
        <v>0</v>
      </c>
      <c r="AM1140" s="25" t="n">
        <v>0</v>
      </c>
      <c r="AN1140" s="25" t="n">
        <v>0</v>
      </c>
      <c r="AO1140" s="25" t="n">
        <v>0</v>
      </c>
      <c r="AP1140" s="25" t="n">
        <v>0</v>
      </c>
      <c r="AQ1140" s="25" t="n">
        <v>0</v>
      </c>
      <c r="AR1140" s="25" t="n">
        <v>0</v>
      </c>
      <c r="AS1140" s="25" t="n">
        <v>0</v>
      </c>
      <c r="AT1140" s="25" t="n">
        <v>0</v>
      </c>
      <c r="AU1140" s="25" t="n">
        <v>0</v>
      </c>
      <c r="AV1140" s="25" t="n">
        <v>0</v>
      </c>
      <c r="AW1140" s="25" t="n">
        <v>0</v>
      </c>
      <c r="AX1140" s="25" t="n">
        <v>0</v>
      </c>
      <c r="AY1140" s="25" t="n">
        <v>0</v>
      </c>
      <c r="AZ1140" s="25" t="n">
        <v>0</v>
      </c>
      <c r="BA1140" s="25" t="n">
        <v>0</v>
      </c>
      <c r="BC1140" s="20" t="inlineStr">
        <is>
          <t>egy.mit.shr.pow.coa.4</t>
        </is>
      </c>
      <c r="BD1140" s="25" t="n">
        <v>0</v>
      </c>
      <c r="BE1140" s="25" t="n">
        <v>0</v>
      </c>
      <c r="BF1140" s="25" t="n">
        <v>0</v>
      </c>
      <c r="BG1140" s="25" t="n">
        <v>0</v>
      </c>
      <c r="BH1140" s="25" t="n">
        <v>0</v>
      </c>
      <c r="BI1140" s="25" t="n">
        <v>0</v>
      </c>
      <c r="BJ1140" s="25" t="n">
        <v>0</v>
      </c>
      <c r="BK1140" s="25" t="n">
        <v>0</v>
      </c>
      <c r="BL1140" s="25" t="n">
        <v>0</v>
      </c>
      <c r="BM1140" s="25" t="n">
        <v>0</v>
      </c>
      <c r="BN1140" s="25" t="n">
        <v>0</v>
      </c>
      <c r="BO1140" s="25" t="n">
        <v>0</v>
      </c>
      <c r="BP1140" s="25" t="n">
        <v>0</v>
      </c>
      <c r="BQ1140" s="25" t="n">
        <v>0</v>
      </c>
      <c r="BR1140" s="25" t="n">
        <v>0</v>
      </c>
      <c r="BS1140" s="25" t="n">
        <v>0</v>
      </c>
      <c r="BT1140" s="25" t="n">
        <v>0</v>
      </c>
      <c r="BU1140" s="25" t="n">
        <v>0</v>
      </c>
      <c r="BV1140" s="25" t="n">
        <v>0</v>
      </c>
      <c r="BW1140" s="25" t="n">
        <v>0</v>
      </c>
      <c r="BY1140" s="20" t="inlineStr">
        <is>
          <t>egy.mit.shr.pow.coa.5</t>
        </is>
      </c>
      <c r="BZ1140" s="25" t="n">
        <v>0</v>
      </c>
      <c r="CA1140" s="25" t="n">
        <v>0</v>
      </c>
      <c r="CB1140" s="25" t="n">
        <v>0</v>
      </c>
      <c r="CC1140" s="25" t="n">
        <v>0</v>
      </c>
      <c r="CD1140" s="25" t="n">
        <v>0</v>
      </c>
      <c r="CE1140" s="25" t="n">
        <v>0</v>
      </c>
      <c r="CF1140" s="25" t="n">
        <v>0</v>
      </c>
      <c r="CG1140" s="25" t="n">
        <v>0</v>
      </c>
      <c r="CH1140" s="25" t="n">
        <v>0</v>
      </c>
      <c r="CI1140" s="25" t="n">
        <v>0</v>
      </c>
      <c r="CJ1140" s="25" t="n">
        <v>0</v>
      </c>
      <c r="CK1140" s="25" t="n">
        <v>0</v>
      </c>
      <c r="CL1140" s="25" t="n">
        <v>0</v>
      </c>
      <c r="CM1140" s="25" t="n">
        <v>0</v>
      </c>
      <c r="CN1140" s="25" t="n">
        <v>0</v>
      </c>
      <c r="CO1140" s="25" t="n">
        <v>0</v>
      </c>
      <c r="CP1140" s="25" t="n">
        <v>0</v>
      </c>
      <c r="CQ1140" s="25" t="n">
        <v>0</v>
      </c>
      <c r="CR1140" s="25" t="n">
        <v>0</v>
      </c>
      <c r="CS1140" s="25" t="n">
        <v>0</v>
      </c>
      <c r="CU1140" s="20" t="inlineStr">
        <is>
          <t>egy.mit.shr.pow.coa.6</t>
        </is>
      </c>
      <c r="CV1140" s="25" t="n">
        <v>0</v>
      </c>
      <c r="CW1140" s="25" t="n">
        <v>0</v>
      </c>
      <c r="CX1140" s="25" t="n">
        <v>0</v>
      </c>
      <c r="CY1140" s="25" t="n">
        <v>0</v>
      </c>
      <c r="CZ1140" s="25" t="n">
        <v>0</v>
      </c>
      <c r="DA1140" s="25" t="n">
        <v>0</v>
      </c>
      <c r="DB1140" s="25" t="n">
        <v>0</v>
      </c>
      <c r="DC1140" s="25" t="n">
        <v>0</v>
      </c>
      <c r="DD1140" s="25" t="n">
        <v>0</v>
      </c>
      <c r="DE1140" s="25" t="n">
        <v>0</v>
      </c>
      <c r="DF1140" s="25" t="n">
        <v>0</v>
      </c>
      <c r="DG1140" s="25" t="n">
        <v>0</v>
      </c>
      <c r="DH1140" s="25" t="n">
        <v>0</v>
      </c>
      <c r="DI1140" s="25" t="n">
        <v>0</v>
      </c>
      <c r="DJ1140" s="25" t="n">
        <v>0</v>
      </c>
      <c r="DK1140" s="25" t="n">
        <v>0</v>
      </c>
      <c r="DL1140" s="25" t="n">
        <v>0</v>
      </c>
      <c r="DM1140" s="25" t="n">
        <v>0</v>
      </c>
      <c r="DN1140" s="25" t="n">
        <v>0</v>
      </c>
      <c r="DO1140" s="25" t="n">
        <v>0</v>
      </c>
    </row>
    <row r="1141">
      <c r="A1141" s="19" t="inlineStr">
        <is>
          <t>mit.shr.pow.oop</t>
        </is>
      </c>
      <c r="B1141" s="3" t="inlineStr">
        <is>
          <t>mit</t>
        </is>
      </c>
      <c r="C1141" s="19" t="n"/>
      <c r="H1141" s="3" t="inlineStr">
        <is>
          <t>Generation share | Power | Other oil products</t>
        </is>
      </c>
      <c r="I1141" s="3" t="inlineStr">
        <is>
          <t>share</t>
        </is>
      </c>
      <c r="K1141" s="20" t="inlineStr">
        <is>
          <t>egy.mit.shr.pow.oop.1</t>
        </is>
      </c>
      <c r="L1141" s="25" t="n">
        <v>0.08635402037936468</v>
      </c>
      <c r="M1141" s="25" t="n">
        <v>0.08623548814952979</v>
      </c>
      <c r="N1141" s="25" t="n">
        <v>0.07391364836972159</v>
      </c>
      <c r="O1141" s="25" t="n">
        <v>0.07891715391966961</v>
      </c>
      <c r="P1141" s="25" t="n">
        <v>0.08907546846815832</v>
      </c>
      <c r="Q1141" s="25" t="n">
        <v>0.0998217765980747</v>
      </c>
      <c r="R1141" s="25" t="n">
        <v>0.1104466833279208</v>
      </c>
      <c r="S1141" s="25" t="n">
        <v>0.1209507770737114</v>
      </c>
      <c r="T1141" s="25" t="n">
        <v>0.1327001446045561</v>
      </c>
      <c r="U1141" s="25" t="n">
        <v>0.1252295378037437</v>
      </c>
      <c r="V1141" s="25" t="n">
        <v>0.1183574343036434</v>
      </c>
      <c r="W1141" s="25" t="n">
        <v>0.1096786254399181</v>
      </c>
      <c r="X1141" s="25" t="n">
        <v>0.1019062598456656</v>
      </c>
      <c r="Y1141" s="25" t="n">
        <v>0.09462426770607887</v>
      </c>
      <c r="Z1141" s="25" t="n">
        <v>0.08795967284249669</v>
      </c>
      <c r="AA1141" s="25" t="n">
        <v>0.08184098691174731</v>
      </c>
      <c r="AB1141" s="25" t="n">
        <v>0.07621876127842098</v>
      </c>
      <c r="AC1141" s="25" t="n">
        <v>0.07104491592887953</v>
      </c>
      <c r="AD1141" s="25" t="n">
        <v>0.0662735366370141</v>
      </c>
      <c r="AE1141" s="25" t="n">
        <v>0.06186692103178741</v>
      </c>
      <c r="AG1141" s="20" t="inlineStr">
        <is>
          <t>egy.mit.shr.pow.oop.3</t>
        </is>
      </c>
      <c r="AH1141" s="25" t="n">
        <v>0.08635402037936468</v>
      </c>
      <c r="AI1141" s="25" t="n">
        <v>0.08620993281045823</v>
      </c>
      <c r="AJ1141" s="25" t="n">
        <v>0.0738917445295899</v>
      </c>
      <c r="AK1141" s="25" t="n">
        <v>0.07889832897574059</v>
      </c>
      <c r="AL1141" s="25" t="n">
        <v>0.08905943874103915</v>
      </c>
      <c r="AM1141" s="25" t="n">
        <v>0.09980948188826042</v>
      </c>
      <c r="AN1141" s="25" t="n">
        <v>0.1206115796868726</v>
      </c>
      <c r="AO1141" s="25" t="n">
        <v>0.1123501027200461</v>
      </c>
      <c r="AP1141" s="25" t="n">
        <v>0.1251273908283782</v>
      </c>
      <c r="AQ1141" s="25" t="n">
        <v>0.1164754476337764</v>
      </c>
      <c r="AR1141" s="25" t="n">
        <v>0.1096812144966731</v>
      </c>
      <c r="AS1141" s="25" t="n">
        <v>0.1012157402165348</v>
      </c>
      <c r="AT1141" s="25" t="n">
        <v>0.09374102159614937</v>
      </c>
      <c r="AU1141" s="25" t="n">
        <v>0.08676291018978476</v>
      </c>
      <c r="AV1141" s="25" t="n">
        <v>0.0803886847733605</v>
      </c>
      <c r="AW1141" s="25" t="n">
        <v>0.07453878158480284</v>
      </c>
      <c r="AX1141" s="25" t="n">
        <v>0.06921967416478948</v>
      </c>
      <c r="AY1141" s="25" t="n">
        <v>0.06435580522832143</v>
      </c>
      <c r="AZ1141" s="25" t="n">
        <v>0.05991966243506239</v>
      </c>
      <c r="BA1141" s="25" t="n">
        <v>0.05584153401654345</v>
      </c>
      <c r="BC1141" s="20" t="inlineStr">
        <is>
          <t>egy.mit.shr.pow.oop.4</t>
        </is>
      </c>
      <c r="BD1141" s="25" t="n">
        <v>0.08635402037936468</v>
      </c>
      <c r="BE1141" s="25" t="n">
        <v>0.08615906515453965</v>
      </c>
      <c r="BF1141" s="25" t="n">
        <v>0.07384814514708929</v>
      </c>
      <c r="BG1141" s="25" t="n">
        <v>0.07886084319750172</v>
      </c>
      <c r="BH1141" s="25" t="n">
        <v>0.08902799206247518</v>
      </c>
      <c r="BI1141" s="25" t="n">
        <v>0.09978651308512322</v>
      </c>
      <c r="BJ1141" s="25" t="n">
        <v>0.1156119954542652</v>
      </c>
      <c r="BK1141" s="25" t="n">
        <v>0.1139086473028842</v>
      </c>
      <c r="BL1141" s="25" t="n">
        <v>0.1124065841937983</v>
      </c>
      <c r="BM1141" s="25" t="n">
        <v>0.1091500674514604</v>
      </c>
      <c r="BN1141" s="25" t="n">
        <v>0.1060641711986947</v>
      </c>
      <c r="BO1141" s="25" t="n">
        <v>0.1018710657496604</v>
      </c>
      <c r="BP1141" s="25" t="n">
        <v>0.09764717638120608</v>
      </c>
      <c r="BQ1141" s="25" t="n">
        <v>0.09287091344771133</v>
      </c>
      <c r="BR1141" s="25" t="n">
        <v>0.08820175352741157</v>
      </c>
      <c r="BS1141" s="25" t="n">
        <v>0.08323060594806277</v>
      </c>
      <c r="BT1141" s="25" t="n">
        <v>0.07854750351632597</v>
      </c>
      <c r="BU1141" s="25" t="n">
        <v>0.07369177573912095</v>
      </c>
      <c r="BV1141" s="25" t="n">
        <v>0.06931144986168823</v>
      </c>
      <c r="BW1141" s="25" t="n">
        <v>0.06475811097149232</v>
      </c>
      <c r="BY1141" s="20" t="inlineStr">
        <is>
          <t>egy.mit.shr.pow.oop.5</t>
        </is>
      </c>
      <c r="BZ1141" s="25" t="n">
        <v>0.08635402037936468</v>
      </c>
      <c r="CA1141" s="25" t="n">
        <v>0.08610034324706693</v>
      </c>
      <c r="CB1141" s="25" t="n">
        <v>0.0737978137752414</v>
      </c>
      <c r="CC1141" s="25" t="n">
        <v>0.07881761198485727</v>
      </c>
      <c r="CD1141" s="25" t="n">
        <v>0.08899136357133854</v>
      </c>
      <c r="CE1141" s="25" t="n">
        <v>0.09975882091028404</v>
      </c>
      <c r="CF1141" s="25" t="n">
        <v>0.1104021091530737</v>
      </c>
      <c r="CG1141" s="25" t="n">
        <v>0.1208730593715566</v>
      </c>
      <c r="CH1141" s="25" t="n">
        <v>0.1327831314866151</v>
      </c>
      <c r="CI1141" s="25" t="n">
        <v>0.1251125345602232</v>
      </c>
      <c r="CJ1141" s="25" t="n">
        <v>0.1181615429153383</v>
      </c>
      <c r="CK1141" s="25" t="n">
        <v>0.1091698303196299</v>
      </c>
      <c r="CL1141" s="25" t="n">
        <v>0.100973444646446</v>
      </c>
      <c r="CM1141" s="25" t="n">
        <v>0.09342953629634537</v>
      </c>
      <c r="CN1141" s="25" t="n">
        <v>0.08632993801090322</v>
      </c>
      <c r="CO1141" s="25" t="n">
        <v>0.07987219418309867</v>
      </c>
      <c r="CP1141" s="25" t="n">
        <v>0.07399674298062851</v>
      </c>
      <c r="CQ1141" s="25" t="n">
        <v>0.06860851723094488</v>
      </c>
      <c r="CR1141" s="25" t="n">
        <v>0.06371715172159795</v>
      </c>
      <c r="CS1141" s="25" t="n">
        <v>0.05922748050134726</v>
      </c>
      <c r="CU1141" s="20" t="inlineStr">
        <is>
          <t>egy.mit.shr.pow.oop.6</t>
        </is>
      </c>
      <c r="CV1141" s="25" t="n">
        <v>0.08635402037936468</v>
      </c>
      <c r="CW1141" s="25" t="n">
        <v>0.08617929529746858</v>
      </c>
      <c r="CX1141" s="25" t="n">
        <v>0.07386548468679624</v>
      </c>
      <c r="CY1141" s="25" t="n">
        <v>0.07887575442640185</v>
      </c>
      <c r="CZ1141" s="25" t="n">
        <v>0.0890404037829087</v>
      </c>
      <c r="DA1141" s="25" t="n">
        <v>0.09979533811264943</v>
      </c>
      <c r="DB1141" s="25" t="n">
        <v>0.1344178598926184</v>
      </c>
      <c r="DC1141" s="25" t="n">
        <v>0.1246403025692896</v>
      </c>
      <c r="DD1141" s="25" t="n">
        <v>0.1193344643885465</v>
      </c>
      <c r="DE1141" s="25" t="n">
        <v>0.1106144141357703</v>
      </c>
      <c r="DF1141" s="25" t="n">
        <v>0.1030540906835333</v>
      </c>
      <c r="DG1141" s="25" t="n">
        <v>0.09465342196584631</v>
      </c>
      <c r="DH1141" s="25" t="n">
        <v>0.08695310963818732</v>
      </c>
      <c r="DI1141" s="25" t="n">
        <v>0.07965050615527729</v>
      </c>
      <c r="DJ1141" s="25" t="n">
        <v>0.07309903742857299</v>
      </c>
      <c r="DK1141" s="25" t="n">
        <v>0.06706381103859317</v>
      </c>
      <c r="DL1141" s="25" t="n">
        <v>0.06173047620615043</v>
      </c>
      <c r="DM1141" s="25" t="n">
        <v>0.05688486285429347</v>
      </c>
      <c r="DN1141" s="25" t="n">
        <v>0.05259949416904088</v>
      </c>
      <c r="DO1141" s="25" t="n">
        <v>0.04868611738456891</v>
      </c>
    </row>
    <row r="1142">
      <c r="A1142" s="19" t="inlineStr">
        <is>
          <t>mit.shr.pow.wnd</t>
        </is>
      </c>
      <c r="B1142" s="3" t="inlineStr">
        <is>
          <t>mit</t>
        </is>
      </c>
      <c r="C1142" s="19" t="n"/>
      <c r="H1142" s="3" t="inlineStr">
        <is>
          <t>Generation share | Power | Wind</t>
        </is>
      </c>
      <c r="I1142" s="3" t="inlineStr">
        <is>
          <t>share</t>
        </is>
      </c>
      <c r="K1142" s="20" t="inlineStr">
        <is>
          <t>egy.mit.shr.pow.wnd.1</t>
        </is>
      </c>
      <c r="L1142" s="25" t="n">
        <v>0.02754051770700744</v>
      </c>
      <c r="M1142" s="25" t="n">
        <v>0.03985103265400664</v>
      </c>
      <c r="N1142" s="25" t="n">
        <v>0.03398944424787789</v>
      </c>
      <c r="O1142" s="25" t="n">
        <v>0.04452067403028781</v>
      </c>
      <c r="P1142" s="25" t="n">
        <v>0.05700441273356052</v>
      </c>
      <c r="Q1142" s="25" t="n">
        <v>0.06958535158125607</v>
      </c>
      <c r="R1142" s="25" t="n">
        <v>0.08187998286725562</v>
      </c>
      <c r="S1142" s="25" t="n">
        <v>0.09390208190350512</v>
      </c>
      <c r="T1142" s="25" t="n">
        <v>0.1067620439084004</v>
      </c>
      <c r="U1142" s="25" t="n">
        <v>0.1178434732616217</v>
      </c>
      <c r="V1142" s="25" t="n">
        <v>0.1301012756458873</v>
      </c>
      <c r="W1142" s="25" t="n">
        <v>0.1388719221514765</v>
      </c>
      <c r="X1142" s="25" t="n">
        <v>0.1467733528123407</v>
      </c>
      <c r="Y1142" s="25" t="n">
        <v>0.1544389778750087</v>
      </c>
      <c r="Z1142" s="25" t="n">
        <v>0.1616351034462978</v>
      </c>
      <c r="AA1142" s="25" t="n">
        <v>0.1684564695143776</v>
      </c>
      <c r="AB1142" s="25" t="n">
        <v>0.1749189388628952</v>
      </c>
      <c r="AC1142" s="25" t="n">
        <v>0.1810532303719189</v>
      </c>
      <c r="AD1142" s="25" t="n">
        <v>0.1868785902679908</v>
      </c>
      <c r="AE1142" s="25" t="n">
        <v>0.1924170615226204</v>
      </c>
      <c r="AG1142" s="20" t="inlineStr">
        <is>
          <t>egy.mit.shr.pow.wnd.3</t>
        </is>
      </c>
      <c r="AH1142" s="25" t="n">
        <v>0.02754051770700744</v>
      </c>
      <c r="AI1142" s="25" t="n">
        <v>0.04018576555799737</v>
      </c>
      <c r="AJ1142" s="25" t="n">
        <v>0.03427494212887143</v>
      </c>
      <c r="AK1142" s="25" t="n">
        <v>0.04476438797969968</v>
      </c>
      <c r="AL1142" s="25" t="n">
        <v>0.0572299953601183</v>
      </c>
      <c r="AM1142" s="25" t="n">
        <v>0.06979709326227616</v>
      </c>
      <c r="AN1142" s="25" t="n">
        <v>0.0896402131202431</v>
      </c>
      <c r="AO1142" s="25" t="n">
        <v>0.08309085332975583</v>
      </c>
      <c r="AP1142" s="25" t="n">
        <v>0.09694338977671009</v>
      </c>
      <c r="AQ1142" s="25" t="n">
        <v>0.108720717026138</v>
      </c>
      <c r="AR1142" s="25" t="n">
        <v>0.1206944582763809</v>
      </c>
      <c r="AS1142" s="25" t="n">
        <v>0.1278403278538408</v>
      </c>
      <c r="AT1142" s="25" t="n">
        <v>0.136282418386111</v>
      </c>
      <c r="AU1142" s="25" t="n">
        <v>0.144429298880116</v>
      </c>
      <c r="AV1142" s="25" t="n">
        <v>0.1520074289746327</v>
      </c>
      <c r="AW1142" s="25" t="n">
        <v>0.1591260099085595</v>
      </c>
      <c r="AX1142" s="25" t="n">
        <v>0.1659300079343506</v>
      </c>
      <c r="AY1142" s="25" t="n">
        <v>0.1724291088288934</v>
      </c>
      <c r="AZ1142" s="25" t="n">
        <v>0.1786861532102256</v>
      </c>
      <c r="BA1142" s="25" t="n">
        <v>0.1846598365896062</v>
      </c>
      <c r="BC1142" s="20" t="inlineStr">
        <is>
          <t>egy.mit.shr.pow.wnd.4</t>
        </is>
      </c>
      <c r="BD1142" s="25" t="n">
        <v>0.02754051770700744</v>
      </c>
      <c r="BE1142" s="25" t="n">
        <v>0.04101653001755192</v>
      </c>
      <c r="BF1142" s="25" t="n">
        <v>0.03498351152847289</v>
      </c>
      <c r="BG1142" s="25" t="n">
        <v>0.0453692559117532</v>
      </c>
      <c r="BH1142" s="25" t="n">
        <v>0.05778975511274628</v>
      </c>
      <c r="BI1142" s="25" t="n">
        <v>0.07032237096355466</v>
      </c>
      <c r="BJ1142" s="25" t="n">
        <v>0.08645283835567949</v>
      </c>
      <c r="BK1142" s="25" t="n">
        <v>0.1044201049749527</v>
      </c>
      <c r="BL1142" s="25" t="n">
        <v>0.1071636696558292</v>
      </c>
      <c r="BM1142" s="25" t="n">
        <v>0.1084398115124666</v>
      </c>
      <c r="BN1142" s="25" t="n">
        <v>0.1232355903373145</v>
      </c>
      <c r="BO1142" s="25" t="n">
        <v>0.1281024301163796</v>
      </c>
      <c r="BP1142" s="25" t="n">
        <v>0.1416852833580397</v>
      </c>
      <c r="BQ1142" s="25" t="n">
        <v>0.1515285432208943</v>
      </c>
      <c r="BR1142" s="25" t="n">
        <v>0.1625966733927817</v>
      </c>
      <c r="BS1142" s="25" t="n">
        <v>0.1720723958841857</v>
      </c>
      <c r="BT1142" s="25" t="n">
        <v>0.1808917091813706</v>
      </c>
      <c r="BU1142" s="25" t="n">
        <v>0.1881883723784923</v>
      </c>
      <c r="BV1142" s="25" t="n">
        <v>0.1953790777996695</v>
      </c>
      <c r="BW1142" s="25" t="n">
        <v>0.2009292778532727</v>
      </c>
      <c r="BY1142" s="20" t="inlineStr">
        <is>
          <t>egy.mit.shr.pow.wnd.5</t>
        </is>
      </c>
      <c r="BZ1142" s="25" t="n">
        <v>0.02754051770700744</v>
      </c>
      <c r="CA1142" s="25" t="n">
        <v>0.04210413758633618</v>
      </c>
      <c r="CB1142" s="25" t="n">
        <v>0.0359111456287914</v>
      </c>
      <c r="CC1142" s="25" t="n">
        <v>0.04616118252144131</v>
      </c>
      <c r="CD1142" s="25" t="n">
        <v>0.05852215251065199</v>
      </c>
      <c r="CE1142" s="25" t="n">
        <v>0.07100841770866743</v>
      </c>
      <c r="CF1142" s="25" t="n">
        <v>0.08321455383743372</v>
      </c>
      <c r="CG1142" s="25" t="n">
        <v>0.09511483841249738</v>
      </c>
      <c r="CH1142" s="25" t="n">
        <v>0.1080268927354644</v>
      </c>
      <c r="CI1142" s="25" t="n">
        <v>0.1208222484899327</v>
      </c>
      <c r="CJ1142" s="25" t="n">
        <v>0.13295797139299</v>
      </c>
      <c r="CK1142" s="25" t="n">
        <v>0.1413042906103622</v>
      </c>
      <c r="CL1142" s="25" t="n">
        <v>0.1486829797168624</v>
      </c>
      <c r="CM1142" s="25" t="n">
        <v>0.1559712527237427</v>
      </c>
      <c r="CN1142" s="25" t="n">
        <v>0.1624440348938752</v>
      </c>
      <c r="CO1142" s="25" t="n">
        <v>0.168577878179324</v>
      </c>
      <c r="CP1142" s="25" t="n">
        <v>0.1745098315514193</v>
      </c>
      <c r="CQ1142" s="25" t="n">
        <v>0.1801240820875564</v>
      </c>
      <c r="CR1142" s="25" t="n">
        <v>0.185598098252056</v>
      </c>
      <c r="CS1142" s="25" t="n">
        <v>0.1908436761806391</v>
      </c>
      <c r="CU1142" s="20" t="inlineStr">
        <is>
          <t>egy.mit.shr.pow.wnd.6</t>
        </is>
      </c>
      <c r="CV1142" s="25" t="n">
        <v>0.02754051770700744</v>
      </c>
      <c r="CW1142" s="25" t="n">
        <v>0.04065216749269097</v>
      </c>
      <c r="CX1142" s="25" t="n">
        <v>0.03467274217320169</v>
      </c>
      <c r="CY1142" s="25" t="n">
        <v>0.045103968521778</v>
      </c>
      <c r="CZ1142" s="25" t="n">
        <v>0.05754426976829036</v>
      </c>
      <c r="DA1142" s="25" t="n">
        <v>0.070092030738269</v>
      </c>
      <c r="DB1142" s="25" t="n">
        <v>0.100247210063078</v>
      </c>
      <c r="DC1142" s="25" t="n">
        <v>0.092499563491935</v>
      </c>
      <c r="DD1142" s="25" t="n">
        <v>0.1020709910641689</v>
      </c>
      <c r="DE1142" s="25" t="n">
        <v>0.09888287832574065</v>
      </c>
      <c r="DF1142" s="25" t="n">
        <v>0.1101629478427989</v>
      </c>
      <c r="DG1142" s="25" t="n">
        <v>0.1196170980980204</v>
      </c>
      <c r="DH1142" s="25" t="n">
        <v>0.127889332132761</v>
      </c>
      <c r="DI1142" s="25" t="n">
        <v>0.1353271755466997</v>
      </c>
      <c r="DJ1142" s="25" t="n">
        <v>0.1423094760751675</v>
      </c>
      <c r="DK1142" s="25" t="n">
        <v>0.148723169534202</v>
      </c>
      <c r="DL1142" s="25" t="n">
        <v>0.1550404116596225</v>
      </c>
      <c r="DM1142" s="25" t="n">
        <v>0.1610795906198922</v>
      </c>
      <c r="DN1142" s="25" t="n">
        <v>0.1671441935471199</v>
      </c>
      <c r="DO1142" s="25" t="n">
        <v>0.1729487108480911</v>
      </c>
    </row>
    <row r="1143">
      <c r="A1143" s="19" t="inlineStr">
        <is>
          <t>mit.shr.pow.sol</t>
        </is>
      </c>
      <c r="B1143" s="3" t="inlineStr">
        <is>
          <t>mit</t>
        </is>
      </c>
      <c r="C1143" s="19" t="n"/>
      <c r="H1143" s="3" t="inlineStr">
        <is>
          <t>Generation share | Power | Solar</t>
        </is>
      </c>
      <c r="I1143" s="3" t="inlineStr">
        <is>
          <t>share</t>
        </is>
      </c>
      <c r="K1143" s="20" t="inlineStr">
        <is>
          <t>egy.mit.shr.pow.sol.1</t>
        </is>
      </c>
      <c r="L1143" s="25" t="n">
        <v>0.02294040085502601</v>
      </c>
      <c r="M1143" s="25" t="n">
        <v>0.03353150094280016</v>
      </c>
      <c r="N1143" s="25" t="n">
        <v>0.02840219910646054</v>
      </c>
      <c r="O1143" s="25" t="n">
        <v>0.0395832852752549</v>
      </c>
      <c r="P1143" s="25" t="n">
        <v>0.05220058455590694</v>
      </c>
      <c r="Q1143" s="25" t="n">
        <v>0.06478262810248685</v>
      </c>
      <c r="R1143" s="25" t="n">
        <v>0.07699973912038498</v>
      </c>
      <c r="S1143" s="25" t="n">
        <v>0.08887411621900132</v>
      </c>
      <c r="T1143" s="25" t="n">
        <v>0.1014693481991588</v>
      </c>
      <c r="U1143" s="25" t="n">
        <v>0.1140421880213369</v>
      </c>
      <c r="V1143" s="25" t="n">
        <v>0.1257925391553688</v>
      </c>
      <c r="W1143" s="25" t="n">
        <v>0.1341056230586266</v>
      </c>
      <c r="X1143" s="25" t="n">
        <v>0.1415249945224303</v>
      </c>
      <c r="Y1143" s="25" t="n">
        <v>0.1486997473397108</v>
      </c>
      <c r="Z1143" s="25" t="n">
        <v>0.1553914646356205</v>
      </c>
      <c r="AA1143" s="25" t="n">
        <v>0.1616983532211036</v>
      </c>
      <c r="AB1143" s="25" t="n">
        <v>0.1676386200402991</v>
      </c>
      <c r="AC1143" s="25" t="n">
        <v>0.1732453086780786</v>
      </c>
      <c r="AD1143" s="25" t="n">
        <v>0.1785399387131099</v>
      </c>
      <c r="AE1143" s="25" t="n">
        <v>0.1835463528758312</v>
      </c>
      <c r="AG1143" s="20" t="inlineStr">
        <is>
          <t>egy.mit.shr.pow.sol.3</t>
        </is>
      </c>
      <c r="AH1143" s="25" t="n">
        <v>0.02294040085502601</v>
      </c>
      <c r="AI1143" s="25" t="n">
        <v>0.03382351400152861</v>
      </c>
      <c r="AJ1143" s="25" t="n">
        <v>0.02864954303090461</v>
      </c>
      <c r="AK1143" s="25" t="n">
        <v>0.03979296860927794</v>
      </c>
      <c r="AL1143" s="25" t="n">
        <v>0.05239337852993615</v>
      </c>
      <c r="AM1143" s="25" t="n">
        <v>0.06496251606442115</v>
      </c>
      <c r="AN1143" s="25" t="n">
        <v>0.08427669209604755</v>
      </c>
      <c r="AO1143" s="25" t="n">
        <v>0.07758045271608403</v>
      </c>
      <c r="AP1143" s="25" t="n">
        <v>0.09122821981365711</v>
      </c>
      <c r="AQ1143" s="25" t="n">
        <v>0.1028486127586242</v>
      </c>
      <c r="AR1143" s="25" t="n">
        <v>0.1145356929006226</v>
      </c>
      <c r="AS1143" s="25" t="n">
        <v>0.1235586332320535</v>
      </c>
      <c r="AT1143" s="25" t="n">
        <v>0.1315590923364547</v>
      </c>
      <c r="AU1143" s="25" t="n">
        <v>0.1392504461379071</v>
      </c>
      <c r="AV1143" s="25" t="n">
        <v>0.1463555083097935</v>
      </c>
      <c r="AW1143" s="25" t="n">
        <v>0.1529888946469627</v>
      </c>
      <c r="AX1143" s="25" t="n">
        <v>0.1592937592890885</v>
      </c>
      <c r="AY1143" s="25" t="n">
        <v>0.1652836303864009</v>
      </c>
      <c r="AZ1143" s="25" t="n">
        <v>0.1710209741504537</v>
      </c>
      <c r="BA1143" s="25" t="n">
        <v>0.1764692605300007</v>
      </c>
      <c r="BC1143" s="20" t="inlineStr">
        <is>
          <t>egy.mit.shr.pow.sol.4</t>
        </is>
      </c>
      <c r="BD1143" s="25" t="n">
        <v>0.02294040085502601</v>
      </c>
      <c r="BE1143" s="25" t="n">
        <v>0.03454825324295115</v>
      </c>
      <c r="BF1143" s="25" t="n">
        <v>0.02926341916696728</v>
      </c>
      <c r="BG1143" s="25" t="n">
        <v>0.04031337688569328</v>
      </c>
      <c r="BH1143" s="25" t="n">
        <v>0.05287176845606289</v>
      </c>
      <c r="BI1143" s="25" t="n">
        <v>0.06540874773105119</v>
      </c>
      <c r="BJ1143" s="25" t="n">
        <v>0.08123077212246452</v>
      </c>
      <c r="BK1143" s="25" t="n">
        <v>0.09875280275002249</v>
      </c>
      <c r="BL1143" s="25" t="n">
        <v>0.1019941995937138</v>
      </c>
      <c r="BM1143" s="25" t="n">
        <v>0.1043050670773659</v>
      </c>
      <c r="BN1143" s="25" t="n">
        <v>0.1198398590202088</v>
      </c>
      <c r="BO1143" s="25" t="n">
        <v>0.1276764397394782</v>
      </c>
      <c r="BP1143" s="25" t="n">
        <v>0.1404391674203699</v>
      </c>
      <c r="BQ1143" s="25" t="n">
        <v>0.1515314821726607</v>
      </c>
      <c r="BR1143" s="25" t="n">
        <v>0.1616118707018943</v>
      </c>
      <c r="BS1143" s="25" t="n">
        <v>0.170101153535554</v>
      </c>
      <c r="BT1143" s="25" t="n">
        <v>0.1779389591632578</v>
      </c>
      <c r="BU1143" s="25" t="n">
        <v>0.1842862094570594</v>
      </c>
      <c r="BV1143" s="25" t="n">
        <v>0.1905374767188878</v>
      </c>
      <c r="BW1143" s="25" t="n">
        <v>0.1952063278658024</v>
      </c>
      <c r="BY1143" s="20" t="inlineStr">
        <is>
          <t>egy.mit.shr.pow.sol.5</t>
        </is>
      </c>
      <c r="BZ1143" s="25" t="n">
        <v>0.02294040085502601</v>
      </c>
      <c r="CA1143" s="25" t="n">
        <v>0.03497508649379434</v>
      </c>
      <c r="CB1143" s="25" t="n">
        <v>0.02962495988643541</v>
      </c>
      <c r="CC1143" s="25" t="n">
        <v>0.04061986782282512</v>
      </c>
      <c r="CD1143" s="25" t="n">
        <v>0.05315442105489407</v>
      </c>
      <c r="CE1143" s="25" t="n">
        <v>0.06567432926752416</v>
      </c>
      <c r="CF1143" s="25" t="n">
        <v>0.07783408318784128</v>
      </c>
      <c r="CG1143" s="25" t="n">
        <v>0.08961861463714998</v>
      </c>
      <c r="CH1143" s="25" t="n">
        <v>0.1022832243220381</v>
      </c>
      <c r="CI1143" s="25" t="n">
        <v>0.1147755143474415</v>
      </c>
      <c r="CJ1143" s="25" t="n">
        <v>0.1265312617539301</v>
      </c>
      <c r="CK1143" s="25" t="n">
        <v>0.1345934660045305</v>
      </c>
      <c r="CL1143" s="25" t="n">
        <v>0.1416520935372658</v>
      </c>
      <c r="CM1143" s="25" t="n">
        <v>0.148598053715671</v>
      </c>
      <c r="CN1143" s="25" t="n">
        <v>0.1547222151807005</v>
      </c>
      <c r="CO1143" s="25" t="n">
        <v>0.1604863030428785</v>
      </c>
      <c r="CP1143" s="25" t="n">
        <v>0.1660298662393566</v>
      </c>
      <c r="CQ1143" s="25" t="n">
        <v>0.1712436931558418</v>
      </c>
      <c r="CR1143" s="25" t="n">
        <v>0.1762998371112645</v>
      </c>
      <c r="CS1143" s="25" t="n">
        <v>0.1811183138444467</v>
      </c>
      <c r="CU1143" s="20" t="inlineStr">
        <is>
          <t>egy.mit.shr.pow.sol.6</t>
        </is>
      </c>
      <c r="CV1143" s="25" t="n">
        <v>0.02294040085502601</v>
      </c>
      <c r="CW1143" s="25" t="n">
        <v>0.034230392004626</v>
      </c>
      <c r="CX1143" s="25" t="n">
        <v>0.02899418104981477</v>
      </c>
      <c r="CY1143" s="25" t="n">
        <v>0.04008513240604396</v>
      </c>
      <c r="CZ1143" s="25" t="n">
        <v>0.05266196961884536</v>
      </c>
      <c r="DA1143" s="25" t="n">
        <v>0.06521307428204595</v>
      </c>
      <c r="DB1143" s="25" t="n">
        <v>0.09421688233669322</v>
      </c>
      <c r="DC1143" s="25" t="n">
        <v>0.0863357383680303</v>
      </c>
      <c r="DD1143" s="25" t="n">
        <v>0.09892547622344385</v>
      </c>
      <c r="DE1143" s="25" t="n">
        <v>0.09685788225064147</v>
      </c>
      <c r="DF1143" s="25" t="n">
        <v>0.10766823612256</v>
      </c>
      <c r="DG1143" s="25" t="n">
        <v>0.1166598866834566</v>
      </c>
      <c r="DH1143" s="25" t="n">
        <v>0.1244534482594286</v>
      </c>
      <c r="DI1143" s="25" t="n">
        <v>0.1314159179695754</v>
      </c>
      <c r="DJ1143" s="25" t="n">
        <v>0.1379135414591069</v>
      </c>
      <c r="DK1143" s="25" t="n">
        <v>0.1438455420449526</v>
      </c>
      <c r="DL1143" s="25" t="n">
        <v>0.1496685131058694</v>
      </c>
      <c r="DM1143" s="25" t="n">
        <v>0.1552116640482359</v>
      </c>
      <c r="DN1143" s="25" t="n">
        <v>0.1607649549262193</v>
      </c>
      <c r="DO1143" s="25" t="n">
        <v>0.1660567430541325</v>
      </c>
    </row>
    <row r="1144">
      <c r="A1144" s="19" t="inlineStr">
        <is>
          <t>mit.shr.pow.hyd</t>
        </is>
      </c>
      <c r="B1144" s="3" t="inlineStr">
        <is>
          <t>mit</t>
        </is>
      </c>
      <c r="C1144" s="19" t="n"/>
      <c r="H1144" s="3" t="inlineStr">
        <is>
          <t>Generation share | Power | Hydro</t>
        </is>
      </c>
      <c r="I1144" s="3" t="inlineStr">
        <is>
          <t>share</t>
        </is>
      </c>
      <c r="K1144" s="20" t="inlineStr">
        <is>
          <t>egy.mit.shr.pow.hyd.1</t>
        </is>
      </c>
      <c r="L1144" s="25" t="n">
        <v>0.07097791829961285</v>
      </c>
      <c r="M1144" s="25" t="n">
        <v>0.07284039134865822</v>
      </c>
      <c r="N1144" s="25" t="n">
        <v>0.0642687733893314</v>
      </c>
      <c r="O1144" s="25" t="n">
        <v>0.05676206793272307</v>
      </c>
      <c r="P1144" s="25" t="n">
        <v>0.05413769848556085</v>
      </c>
      <c r="Q1144" s="25" t="n">
        <v>0.0520880988106935</v>
      </c>
      <c r="R1144" s="25" t="n">
        <v>0.05009395462534435</v>
      </c>
      <c r="S1144" s="25" t="n">
        <v>0.04815053975439939</v>
      </c>
      <c r="T1144" s="25" t="n">
        <v>0.04673622858247117</v>
      </c>
      <c r="U1144" s="25" t="n">
        <v>0.05197886741108704</v>
      </c>
      <c r="V1144" s="25" t="n">
        <v>0.05797167513834609</v>
      </c>
      <c r="W1144" s="25" t="n">
        <v>0.06228469252489847</v>
      </c>
      <c r="X1144" s="25" t="n">
        <v>0.07127137159237616</v>
      </c>
      <c r="Y1144" s="25" t="n">
        <v>0.07712648717983377</v>
      </c>
      <c r="Z1144" s="25" t="n">
        <v>0.08286980490376757</v>
      </c>
      <c r="AA1144" s="25" t="n">
        <v>0.08805102951875989</v>
      </c>
      <c r="AB1144" s="25" t="n">
        <v>0.09281516466792769</v>
      </c>
      <c r="AC1144" s="25" t="n">
        <v>0.09718076900215021</v>
      </c>
      <c r="AD1144" s="25" t="n">
        <v>0.10115376143309</v>
      </c>
      <c r="AE1144" s="25" t="n">
        <v>0.1047571820228274</v>
      </c>
      <c r="AG1144" s="20" t="inlineStr">
        <is>
          <t>egy.mit.shr.pow.hyd.3</t>
        </is>
      </c>
      <c r="AH1144" s="25" t="n">
        <v>0.07097791829961285</v>
      </c>
      <c r="AI1144" s="25" t="n">
        <v>0.07284039134865822</v>
      </c>
      <c r="AJ1144" s="25" t="n">
        <v>0.0642687733893314</v>
      </c>
      <c r="AK1144" s="25" t="n">
        <v>0.05676206793272307</v>
      </c>
      <c r="AL1144" s="25" t="n">
        <v>0.05413859482818185</v>
      </c>
      <c r="AM1144" s="25" t="n">
        <v>0.05209026877331368</v>
      </c>
      <c r="AN1144" s="25" t="n">
        <v>0.05471199656676264</v>
      </c>
      <c r="AO1144" s="25" t="n">
        <v>0.05246336695981216</v>
      </c>
      <c r="AP1144" s="25" t="n">
        <v>0.05130749115686167</v>
      </c>
      <c r="AQ1144" s="25" t="n">
        <v>0.05633461365601143</v>
      </c>
      <c r="AR1144" s="25" t="n">
        <v>0.06601759504557941</v>
      </c>
      <c r="AS1144" s="25" t="n">
        <v>0.06902499695366821</v>
      </c>
      <c r="AT1144" s="25" t="n">
        <v>0.08031560815100151</v>
      </c>
      <c r="AU1144" s="25" t="n">
        <v>0.08572648656136198</v>
      </c>
      <c r="AV1144" s="25" t="n">
        <v>0.09123339701731321</v>
      </c>
      <c r="AW1144" s="25" t="n">
        <v>0.09617164222373169</v>
      </c>
      <c r="AX1144" s="25" t="n">
        <v>0.100800667947215</v>
      </c>
      <c r="AY1144" s="25" t="n">
        <v>0.104920500874972</v>
      </c>
      <c r="AZ1144" s="25" t="n">
        <v>0.1087222942122706</v>
      </c>
      <c r="BA1144" s="25" t="n">
        <v>0.1120840382496244</v>
      </c>
      <c r="BC1144" s="20" t="inlineStr">
        <is>
          <t>egy.mit.shr.pow.hyd.4</t>
        </is>
      </c>
      <c r="BD1144" s="25" t="n">
        <v>0.07097791829961285</v>
      </c>
      <c r="BE1144" s="25" t="n">
        <v>0.07284039134865822</v>
      </c>
      <c r="BF1144" s="25" t="n">
        <v>0.0642687733893314</v>
      </c>
      <c r="BG1144" s="25" t="n">
        <v>0.05676206793272307</v>
      </c>
      <c r="BH1144" s="25" t="n">
        <v>0.05414068599831959</v>
      </c>
      <c r="BI1144" s="25" t="n">
        <v>0.05209541834840984</v>
      </c>
      <c r="BJ1144" s="25" t="n">
        <v>0.05245878903647845</v>
      </c>
      <c r="BK1144" s="25" t="n">
        <v>0.05318864040870642</v>
      </c>
      <c r="BL1144" s="25" t="n">
        <v>0.05402808276780131</v>
      </c>
      <c r="BM1144" s="25" t="n">
        <v>0.0560265606024857</v>
      </c>
      <c r="BN1144" s="25" t="n">
        <v>0.06261893485990686</v>
      </c>
      <c r="BO1144" s="25" t="n">
        <v>0.06624692881364733</v>
      </c>
      <c r="BP1144" s="25" t="n">
        <v>0.0770394517526069</v>
      </c>
      <c r="BQ1144" s="25" t="n">
        <v>0.08203755503277349</v>
      </c>
      <c r="BR1144" s="25" t="n">
        <v>0.0976685780918142</v>
      </c>
      <c r="BS1144" s="25" t="n">
        <v>0.1074794176456867</v>
      </c>
      <c r="BT1144" s="25" t="n">
        <v>0.1278685631488323</v>
      </c>
      <c r="BU1144" s="25" t="n">
        <v>0.1402535350502991</v>
      </c>
      <c r="BV1144" s="25" t="n">
        <v>0.1638768491778922</v>
      </c>
      <c r="BW1144" s="25" t="n">
        <v>0.1746363672491476</v>
      </c>
      <c r="BY1144" s="20" t="inlineStr">
        <is>
          <t>egy.mit.shr.pow.hyd.5</t>
        </is>
      </c>
      <c r="BZ1144" s="25" t="n">
        <v>0.07097791829961285</v>
      </c>
      <c r="CA1144" s="25" t="n">
        <v>0.07284039134865822</v>
      </c>
      <c r="CB1144" s="25" t="n">
        <v>0.0642687733893314</v>
      </c>
      <c r="CC1144" s="25" t="n">
        <v>0.05676206793272307</v>
      </c>
      <c r="CD1144" s="25" t="n">
        <v>0.05414282925988945</v>
      </c>
      <c r="CE1144" s="25" t="n">
        <v>0.05210062941051601</v>
      </c>
      <c r="CF1144" s="25" t="n">
        <v>0.0501108646668258</v>
      </c>
      <c r="CG1144" s="25" t="n">
        <v>0.04815031096007361</v>
      </c>
      <c r="CH1144" s="25" t="n">
        <v>0.04679141334389635</v>
      </c>
      <c r="CI1144" s="25" t="n">
        <v>0.05868682841083229</v>
      </c>
      <c r="CJ1144" s="25" t="n">
        <v>0.0807683884177355</v>
      </c>
      <c r="CK1144" s="25" t="n">
        <v>0.09310437222755058</v>
      </c>
      <c r="CL1144" s="25" t="n">
        <v>0.1352178585134136</v>
      </c>
      <c r="CM1144" s="25" t="n">
        <v>0.1654322404007178</v>
      </c>
      <c r="CN1144" s="25" t="n">
        <v>0.1933413071503604</v>
      </c>
      <c r="CO1144" s="25" t="n">
        <v>0.2224412195463679</v>
      </c>
      <c r="CP1144" s="25" t="n">
        <v>0.2457911398306415</v>
      </c>
      <c r="CQ1144" s="25" t="n">
        <v>0.2661927173639246</v>
      </c>
      <c r="CR1144" s="25" t="n">
        <v>0.2852579343696637</v>
      </c>
      <c r="CS1144" s="25" t="n">
        <v>0.3007491416783512</v>
      </c>
      <c r="CU1144" s="20" t="inlineStr">
        <is>
          <t>egy.mit.shr.pow.hyd.6</t>
        </is>
      </c>
      <c r="CV1144" s="25" t="n">
        <v>0.07097791829961285</v>
      </c>
      <c r="CW1144" s="25" t="n">
        <v>0.07284039134865822</v>
      </c>
      <c r="CX1144" s="25" t="n">
        <v>0.0642687733893314</v>
      </c>
      <c r="CY1144" s="25" t="n">
        <v>0.05676206793272307</v>
      </c>
      <c r="CZ1144" s="25" t="n">
        <v>0.05413979120632837</v>
      </c>
      <c r="DA1144" s="25" t="n">
        <v>0.0520931993819566</v>
      </c>
      <c r="DB1144" s="25" t="n">
        <v>0.06098510642208432</v>
      </c>
      <c r="DC1144" s="25" t="n">
        <v>0.05821225610240459</v>
      </c>
      <c r="DD1144" s="25" t="n">
        <v>0.05735289605308572</v>
      </c>
      <c r="DE1144" s="25" t="n">
        <v>0.05663933240960477</v>
      </c>
      <c r="DF1144" s="25" t="n">
        <v>0.1006792792148133</v>
      </c>
      <c r="DG1144" s="25" t="n">
        <v>0.1150731782263329</v>
      </c>
      <c r="DH1144" s="25" t="n">
        <v>0.1553151931420902</v>
      </c>
      <c r="DI1144" s="25" t="n">
        <v>0.1811126423310883</v>
      </c>
      <c r="DJ1144" s="25" t="n">
        <v>0.2099717452756674</v>
      </c>
      <c r="DK1144" s="25" t="n">
        <v>0.2310414494204671</v>
      </c>
      <c r="DL1144" s="25" t="n">
        <v>0.2534524145846669</v>
      </c>
      <c r="DM1144" s="25" t="n">
        <v>0.2686196202740659</v>
      </c>
      <c r="DN1144" s="25" t="n">
        <v>0.284522103376092</v>
      </c>
      <c r="DO1144" s="25" t="n">
        <v>0.2947531549127023</v>
      </c>
    </row>
    <row r="1145">
      <c r="A1145" s="19" t="inlineStr">
        <is>
          <t>mit.ccpav</t>
        </is>
      </c>
      <c r="B1145" s="3" t="inlineStr">
        <is>
          <t>mit</t>
        </is>
      </c>
      <c r="C1145" s="19" t="n"/>
      <c r="H1145" s="3" t="inlineStr">
        <is>
          <t>Average new policy cost per kWh consumed</t>
        </is>
      </c>
      <c r="I1145" s="3" t="inlineStr">
        <is>
          <t>USD/kWh</t>
        </is>
      </c>
      <c r="K1145" s="20" t="inlineStr">
        <is>
          <t>egy.mit.ccpav.1</t>
        </is>
      </c>
      <c r="L1145" s="26" t="n">
        <v>0</v>
      </c>
      <c r="M1145" s="26" t="n">
        <v>0</v>
      </c>
      <c r="N1145" s="26" t="n">
        <v>0</v>
      </c>
      <c r="O1145" s="26" t="n">
        <v>0</v>
      </c>
      <c r="P1145" s="26" t="n">
        <v>0</v>
      </c>
      <c r="Q1145" s="26" t="n">
        <v>0</v>
      </c>
      <c r="R1145" s="26" t="n">
        <v>0</v>
      </c>
      <c r="S1145" s="26" t="n">
        <v>0</v>
      </c>
      <c r="T1145" s="26" t="n">
        <v>0</v>
      </c>
      <c r="U1145" s="26" t="n">
        <v>0</v>
      </c>
      <c r="V1145" s="26" t="n">
        <v>0</v>
      </c>
      <c r="W1145" s="26" t="n">
        <v>0</v>
      </c>
      <c r="X1145" s="26" t="n">
        <v>0</v>
      </c>
      <c r="Y1145" s="26" t="n">
        <v>0</v>
      </c>
      <c r="Z1145" s="26" t="n">
        <v>0</v>
      </c>
      <c r="AA1145" s="26" t="n">
        <v>0</v>
      </c>
      <c r="AB1145" s="26" t="n">
        <v>0</v>
      </c>
      <c r="AC1145" s="26" t="n">
        <v>0</v>
      </c>
      <c r="AD1145" s="26" t="n">
        <v>0</v>
      </c>
      <c r="AE1145" s="26" t="n">
        <v>0</v>
      </c>
      <c r="AG1145" s="20" t="inlineStr">
        <is>
          <t>egy.mit.ccpav.3</t>
        </is>
      </c>
      <c r="AH1145" s="26" t="n">
        <v>0</v>
      </c>
      <c r="AI1145" s="26" t="n">
        <v>0</v>
      </c>
      <c r="AJ1145" s="26" t="n">
        <v>0</v>
      </c>
      <c r="AK1145" s="26" t="n">
        <v>0</v>
      </c>
      <c r="AL1145" s="26" t="n">
        <v>0</v>
      </c>
      <c r="AM1145" s="26" t="n">
        <v>0.009203523340645231</v>
      </c>
      <c r="AN1145" s="26" t="n">
        <v>0.009004568265676879</v>
      </c>
      <c r="AO1145" s="26" t="n">
        <v>0.009072577091454372</v>
      </c>
      <c r="AP1145" s="26" t="n">
        <v>0.008943533259536276</v>
      </c>
      <c r="AQ1145" s="26" t="n">
        <v>0.008567271673274465</v>
      </c>
      <c r="AR1145" s="26" t="n">
        <v>0.008161337505539309</v>
      </c>
      <c r="AS1145" s="26" t="n">
        <v>0.007879733104508136</v>
      </c>
      <c r="AT1145" s="26" t="n">
        <v>0.007522839026350025</v>
      </c>
      <c r="AU1145" s="26" t="n">
        <v>0.007236172347485702</v>
      </c>
      <c r="AV1145" s="26" t="n">
        <v>0.006966497964906542</v>
      </c>
      <c r="AW1145" s="26" t="n">
        <v>0.006717393793578668</v>
      </c>
      <c r="AX1145" s="26" t="n">
        <v>0.006483440648857441</v>
      </c>
      <c r="AY1145" s="26" t="n">
        <v>0.006265611816343929</v>
      </c>
      <c r="AZ1145" s="26" t="n">
        <v>0.006060445186965055</v>
      </c>
      <c r="BA1145" s="26" t="n">
        <v>0.005869207146227001</v>
      </c>
      <c r="BC1145" s="20" t="inlineStr">
        <is>
          <t>egy.mit.ccpav.4</t>
        </is>
      </c>
      <c r="BD1145" s="26" t="n">
        <v>0</v>
      </c>
      <c r="BE1145" s="26" t="n">
        <v>0</v>
      </c>
      <c r="BF1145" s="26" t="n">
        <v>0</v>
      </c>
      <c r="BG1145" s="26" t="n">
        <v>0</v>
      </c>
      <c r="BH1145" s="26" t="n">
        <v>0</v>
      </c>
      <c r="BI1145" s="26" t="n">
        <v>0.00459674644132293</v>
      </c>
      <c r="BJ1145" s="26" t="n">
        <v>0.0105429386477117</v>
      </c>
      <c r="BK1145" s="26" t="n">
        <v>0.01586902557538764</v>
      </c>
      <c r="BL1145" s="26" t="n">
        <v>0.02142893152242387</v>
      </c>
      <c r="BM1145" s="26" t="n">
        <v>0.02685712055802176</v>
      </c>
      <c r="BN1145" s="26" t="n">
        <v>0.03096783512172285</v>
      </c>
      <c r="BO1145" s="26" t="n">
        <v>0.03541771088662073</v>
      </c>
      <c r="BP1145" s="26" t="n">
        <v>0.03851127232781681</v>
      </c>
      <c r="BQ1145" s="26" t="n">
        <v>0.04167006518871783</v>
      </c>
      <c r="BR1145" s="26" t="n">
        <v>0.04371589143717312</v>
      </c>
      <c r="BS1145" s="26" t="n">
        <v>0.0458282996676225</v>
      </c>
      <c r="BT1145" s="26" t="n">
        <v>0.0467956139952341</v>
      </c>
      <c r="BU1145" s="26" t="n">
        <v>0.04812495742907009</v>
      </c>
      <c r="BV1145" s="26" t="n">
        <v>0.04807026724693363</v>
      </c>
      <c r="BW1145" s="26" t="n">
        <v>0.04902593154966128</v>
      </c>
      <c r="BY1145" s="20" t="inlineStr">
        <is>
          <t>egy.mit.ccpav.5</t>
        </is>
      </c>
      <c r="BZ1145" s="26" t="n">
        <v>0</v>
      </c>
      <c r="CA1145" s="26" t="n">
        <v>0</v>
      </c>
      <c r="CB1145" s="26" t="n">
        <v>0</v>
      </c>
      <c r="CC1145" s="26" t="n">
        <v>0</v>
      </c>
      <c r="CD1145" s="26" t="n">
        <v>0</v>
      </c>
      <c r="CE1145" s="26" t="n">
        <v>0</v>
      </c>
      <c r="CF1145" s="26" t="n">
        <v>0</v>
      </c>
      <c r="CG1145" s="26" t="n">
        <v>0</v>
      </c>
      <c r="CH1145" s="26" t="n">
        <v>0</v>
      </c>
      <c r="CI1145" s="26" t="n">
        <v>0</v>
      </c>
      <c r="CJ1145" s="26" t="n">
        <v>0</v>
      </c>
      <c r="CK1145" s="26" t="n">
        <v>0</v>
      </c>
      <c r="CL1145" s="26" t="n">
        <v>0</v>
      </c>
      <c r="CM1145" s="26" t="n">
        <v>0</v>
      </c>
      <c r="CN1145" s="26" t="n">
        <v>0</v>
      </c>
      <c r="CO1145" s="26" t="n">
        <v>0</v>
      </c>
      <c r="CP1145" s="26" t="n">
        <v>0</v>
      </c>
      <c r="CQ1145" s="26" t="n">
        <v>0</v>
      </c>
      <c r="CR1145" s="26" t="n">
        <v>0</v>
      </c>
      <c r="CS1145" s="26" t="n">
        <v>0</v>
      </c>
      <c r="CU1145" s="20" t="inlineStr">
        <is>
          <t>egy.mit.ccpav.6</t>
        </is>
      </c>
      <c r="CV1145" s="26" t="n">
        <v>0</v>
      </c>
      <c r="CW1145" s="26" t="n">
        <v>0</v>
      </c>
      <c r="CX1145" s="26" t="n">
        <v>0</v>
      </c>
      <c r="CY1145" s="26" t="n">
        <v>0</v>
      </c>
      <c r="CZ1145" s="26" t="n">
        <v>0</v>
      </c>
      <c r="DA1145" s="26" t="n">
        <v>0.02299469436046154</v>
      </c>
      <c r="DB1145" s="26" t="n">
        <v>0.02220406296019464</v>
      </c>
      <c r="DC1145" s="26" t="n">
        <v>0.02240689046885604</v>
      </c>
      <c r="DD1145" s="26" t="n">
        <v>0.0217330663691569</v>
      </c>
      <c r="DE1145" s="26" t="n">
        <v>0.02165233630242573</v>
      </c>
      <c r="DF1145" s="26" t="n">
        <v>0.01979582283663851</v>
      </c>
      <c r="DG1145" s="26" t="n">
        <v>0.01875119331117227</v>
      </c>
      <c r="DH1145" s="26" t="n">
        <v>0.01713708085946411</v>
      </c>
      <c r="DI1145" s="26" t="n">
        <v>0.01593709839749568</v>
      </c>
      <c r="DJ1145" s="26" t="n">
        <v>0.01470330450767865</v>
      </c>
      <c r="DK1145" s="26" t="n">
        <v>0.01370671979101173</v>
      </c>
      <c r="DL1145" s="26" t="n">
        <v>0.01270021496266997</v>
      </c>
      <c r="DM1145" s="26" t="n">
        <v>0.01190205546233979</v>
      </c>
      <c r="DN1145" s="26" t="n">
        <v>0.01109937843132861</v>
      </c>
      <c r="DO1145" s="26" t="n">
        <v>0.01046168742871418</v>
      </c>
    </row>
    <row r="1146">
      <c r="A1146" s="19" t="inlineStr">
        <is>
          <t>mit.ghg.chg.all.all</t>
        </is>
      </c>
      <c r="B1146" s="3" t="inlineStr">
        <is>
          <t>mit</t>
        </is>
      </c>
      <c r="C1146" s="19" t="n"/>
      <c r="H1146" s="3" t="inlineStr">
        <is>
          <t>Change in GHG emissions vs scenario 1 | All sectors | All fuels</t>
        </is>
      </c>
      <c r="I1146" s="3" t="inlineStr">
        <is>
          <t>Mt CO2e</t>
        </is>
      </c>
      <c r="K1146" s="20" t="inlineStr">
        <is>
          <t>egy.mit.ghg.chg.all.all.1</t>
        </is>
      </c>
      <c r="L1146" s="22" t="n">
        <v>0</v>
      </c>
      <c r="M1146" s="22" t="n">
        <v>0</v>
      </c>
      <c r="N1146" s="22" t="n">
        <v>0</v>
      </c>
      <c r="O1146" s="22" t="n">
        <v>0</v>
      </c>
      <c r="P1146" s="22" t="n">
        <v>0</v>
      </c>
      <c r="Q1146" s="22" t="n">
        <v>0</v>
      </c>
      <c r="R1146" s="22" t="n">
        <v>0</v>
      </c>
      <c r="S1146" s="22" t="n">
        <v>0</v>
      </c>
      <c r="T1146" s="22" t="n">
        <v>0</v>
      </c>
      <c r="U1146" s="22" t="n">
        <v>0</v>
      </c>
      <c r="V1146" s="22" t="n">
        <v>0</v>
      </c>
      <c r="W1146" s="22" t="n">
        <v>0</v>
      </c>
      <c r="X1146" s="22" t="n">
        <v>0</v>
      </c>
      <c r="Y1146" s="22" t="n">
        <v>0</v>
      </c>
      <c r="Z1146" s="22" t="n">
        <v>0</v>
      </c>
      <c r="AA1146" s="22" t="n">
        <v>0</v>
      </c>
      <c r="AB1146" s="22" t="n">
        <v>0</v>
      </c>
      <c r="AC1146" s="22" t="n">
        <v>0</v>
      </c>
      <c r="AD1146" s="22" t="n">
        <v>0</v>
      </c>
      <c r="AE1146" s="22" t="n">
        <v>0</v>
      </c>
      <c r="AG1146" s="20" t="inlineStr">
        <is>
          <t>egy.mit.ghg.chg.all.all.3</t>
        </is>
      </c>
      <c r="AH1146" s="22" t="n">
        <v>0</v>
      </c>
      <c r="AI1146" s="22" t="n">
        <v>-0.05377331033571409</v>
      </c>
      <c r="AJ1146" s="22" t="n">
        <v>-0.05183105606926119</v>
      </c>
      <c r="AK1146" s="22" t="n">
        <v>-0.04993146293594464</v>
      </c>
      <c r="AL1146" s="22" t="n">
        <v>-0.0499481323248574</v>
      </c>
      <c r="AM1146" s="22" t="n">
        <v>-33.35901165893415</v>
      </c>
      <c r="AN1146" s="22" t="n">
        <v>-44.59698022751127</v>
      </c>
      <c r="AO1146" s="22" t="n">
        <v>-43.55277828170063</v>
      </c>
      <c r="AP1146" s="22" t="n">
        <v>-45.8039372565043</v>
      </c>
      <c r="AQ1146" s="22" t="n">
        <v>-45.32394516487159</v>
      </c>
      <c r="AR1146" s="22" t="n">
        <v>-46.28190400692614</v>
      </c>
      <c r="AS1146" s="22" t="n">
        <v>-46.54107311789301</v>
      </c>
      <c r="AT1146" s="22" t="n">
        <v>-47.53474553171156</v>
      </c>
      <c r="AU1146" s="22" t="n">
        <v>-48.21209368704751</v>
      </c>
      <c r="AV1146" s="22" t="n">
        <v>-48.84951131263699</v>
      </c>
      <c r="AW1146" s="22" t="n">
        <v>-49.34628565146738</v>
      </c>
      <c r="AX1146" s="22" t="n">
        <v>-50.0306277539986</v>
      </c>
      <c r="AY1146" s="22" t="n">
        <v>-50.79719146895559</v>
      </c>
      <c r="AZ1146" s="22" t="n">
        <v>-51.80280389046129</v>
      </c>
      <c r="BA1146" s="22" t="n">
        <v>-52.87459357859393</v>
      </c>
      <c r="BC1146" s="20" t="inlineStr">
        <is>
          <t>egy.mit.ghg.chg.all.all.4</t>
        </is>
      </c>
      <c r="BD1146" s="22" t="n">
        <v>0</v>
      </c>
      <c r="BE1146" s="22" t="n">
        <v>-0.1861566156656522</v>
      </c>
      <c r="BF1146" s="22" t="n">
        <v>-0.179424653714193</v>
      </c>
      <c r="BG1146" s="22" t="n">
        <v>-0.1728408727710757</v>
      </c>
      <c r="BH1146" s="22" t="n">
        <v>-0.1726538473661776</v>
      </c>
      <c r="BI1146" s="22" t="n">
        <v>-21.6097681656463</v>
      </c>
      <c r="BJ1146" s="22" t="n">
        <v>-50.15653006930398</v>
      </c>
      <c r="BK1146" s="22" t="n">
        <v>-78.01755146576625</v>
      </c>
      <c r="BL1146" s="22" t="n">
        <v>-98.80961557914992</v>
      </c>
      <c r="BM1146" s="22" t="n">
        <v>-111.280930626598</v>
      </c>
      <c r="BN1146" s="22" t="n">
        <v>-125.9420136003725</v>
      </c>
      <c r="BO1146" s="22" t="n">
        <v>-139.5694457217049</v>
      </c>
      <c r="BP1146" s="22" t="n">
        <v>-154.1670574657185</v>
      </c>
      <c r="BQ1146" s="22" t="n">
        <v>-166.9652551291686</v>
      </c>
      <c r="BR1146" s="22" t="n">
        <v>-180.6496733673022</v>
      </c>
      <c r="BS1146" s="22" t="n">
        <v>-192.6660485390652</v>
      </c>
      <c r="BT1146" s="22" t="n">
        <v>-205.7833488371441</v>
      </c>
      <c r="BU1146" s="22" t="n">
        <v>-217.1553047596327</v>
      </c>
      <c r="BV1146" s="22" t="n">
        <v>-230.2838078791068</v>
      </c>
      <c r="BW1146" s="22" t="n">
        <v>-241.0072144211485</v>
      </c>
      <c r="BY1146" s="20" t="inlineStr">
        <is>
          <t>egy.mit.ghg.chg.all.all.5</t>
        </is>
      </c>
      <c r="BZ1146" s="22" t="n">
        <v>0</v>
      </c>
      <c r="CA1146" s="22" t="n">
        <v>-0.3158326889948171</v>
      </c>
      <c r="CB1146" s="22" t="n">
        <v>-0.3045679265663921</v>
      </c>
      <c r="CC1146" s="22" t="n">
        <v>-0.2935466297217317</v>
      </c>
      <c r="CD1146" s="22" t="n">
        <v>-0.2934975225280141</v>
      </c>
      <c r="CE1146" s="22" t="n">
        <v>-37.83975868641306</v>
      </c>
      <c r="CF1146" s="22" t="n">
        <v>-39.83853458417531</v>
      </c>
      <c r="CG1146" s="22" t="n">
        <v>-41.63410629288649</v>
      </c>
      <c r="CH1146" s="22" t="n">
        <v>-43.78393481647555</v>
      </c>
      <c r="CI1146" s="22" t="n">
        <v>-46.60332080849042</v>
      </c>
      <c r="CJ1146" s="22" t="n">
        <v>-50.77830139728445</v>
      </c>
      <c r="CK1146" s="22" t="n">
        <v>-53.56120173697849</v>
      </c>
      <c r="CL1146" s="22" t="n">
        <v>-60.17206453392475</v>
      </c>
      <c r="CM1146" s="22" t="n">
        <v>-66.01039958139086</v>
      </c>
      <c r="CN1146" s="22" t="n">
        <v>-71.26515296682055</v>
      </c>
      <c r="CO1146" s="22" t="n">
        <v>-77.17146104808251</v>
      </c>
      <c r="CP1146" s="22" t="n">
        <v>-82.69320082808076</v>
      </c>
      <c r="CQ1146" s="22" t="n">
        <v>-88.09013596251145</v>
      </c>
      <c r="CR1146" s="22" t="n">
        <v>-93.83563763275959</v>
      </c>
      <c r="CS1146" s="22" t="n">
        <v>-99.2484047421259</v>
      </c>
      <c r="CU1146" s="20" t="inlineStr">
        <is>
          <t>egy.mit.ghg.chg.all.all.6</t>
        </is>
      </c>
      <c r="CV1146" s="22" t="n">
        <v>0</v>
      </c>
      <c r="CW1146" s="22" t="n">
        <v>-0.1282730883101522</v>
      </c>
      <c r="CX1146" s="22" t="n">
        <v>-0.1236367422264379</v>
      </c>
      <c r="CY1146" s="22" t="n">
        <v>-0.1191023574294832</v>
      </c>
      <c r="CZ1146" s="22" t="n">
        <v>-0.1190458079213954</v>
      </c>
      <c r="DA1146" s="22" t="n">
        <v>-65.65356021446752</v>
      </c>
      <c r="DB1146" s="22" t="n">
        <v>-89.27929382327977</v>
      </c>
      <c r="DC1146" s="22" t="n">
        <v>-89.20328788434546</v>
      </c>
      <c r="DD1146" s="22" t="n">
        <v>-94.83046405066926</v>
      </c>
      <c r="DE1146" s="22" t="n">
        <v>-91.30164876164173</v>
      </c>
      <c r="DF1146" s="22" t="n">
        <v>-96.02260156621924</v>
      </c>
      <c r="DG1146" s="22" t="n">
        <v>-98.72624993442446</v>
      </c>
      <c r="DH1146" s="22" t="n">
        <v>-103.8684653663109</v>
      </c>
      <c r="DI1146" s="22" t="n">
        <v>-107.7232664511105</v>
      </c>
      <c r="DJ1146" s="22" t="n">
        <v>-112.3417514266442</v>
      </c>
      <c r="DK1146" s="22" t="n">
        <v>-115.9103528759852</v>
      </c>
      <c r="DL1146" s="22" t="n">
        <v>-120.4691971019294</v>
      </c>
      <c r="DM1146" s="22" t="n">
        <v>-124.3107457301047</v>
      </c>
      <c r="DN1146" s="22" t="n">
        <v>-129.1037837139583</v>
      </c>
      <c r="DO1146" s="22" t="n">
        <v>-133.254080253447</v>
      </c>
    </row>
    <row r="1147">
      <c r="A1147" s="5" t="n"/>
      <c r="B1147" s="18" t="inlineStr">
        <is>
          <t>Not in legacy MTOutputs: emissions</t>
        </is>
      </c>
      <c r="C1147" s="5" t="n"/>
      <c r="D1147" s="5" t="n"/>
      <c r="E1147" s="5" t="n"/>
      <c r="F1147" s="5" t="n"/>
      <c r="G1147" s="5" t="n"/>
      <c r="H1147" s="5" t="n"/>
      <c r="I1147" s="5" t="n"/>
      <c r="J1147" s="5" t="n"/>
      <c r="K1147" s="5" t="n"/>
      <c r="L1147" s="5" t="n"/>
      <c r="M1147" s="5" t="n"/>
      <c r="N1147" s="5" t="n"/>
      <c r="O1147" s="5" t="n"/>
      <c r="P1147" s="5" t="n"/>
      <c r="Q1147" s="5" t="n"/>
      <c r="R1147" s="5" t="n"/>
      <c r="S1147" s="5" t="n"/>
      <c r="T1147" s="5" t="n"/>
      <c r="U1147" s="5" t="n"/>
      <c r="V1147" s="5" t="n"/>
      <c r="W1147" s="5" t="n"/>
      <c r="X1147" s="5" t="n"/>
      <c r="Y1147" s="5" t="n"/>
      <c r="Z1147" s="5" t="n"/>
      <c r="AA1147" s="5" t="n"/>
      <c r="AB1147" s="5" t="n"/>
      <c r="AC1147" s="5" t="n"/>
      <c r="AD1147" s="5" t="n"/>
      <c r="AE1147" s="5" t="n"/>
      <c r="AF1147" s="5" t="n"/>
      <c r="AG1147" s="5" t="n"/>
      <c r="AH1147" s="5" t="n"/>
      <c r="AI1147" s="5" t="n"/>
      <c r="AJ1147" s="5" t="n"/>
      <c r="AK1147" s="5" t="n"/>
      <c r="AL1147" s="5" t="n"/>
      <c r="AM1147" s="5" t="n"/>
      <c r="AN1147" s="5" t="n"/>
      <c r="AO1147" s="5" t="n"/>
      <c r="AP1147" s="5" t="n"/>
      <c r="AQ1147" s="5" t="n"/>
      <c r="AR1147" s="5" t="n"/>
      <c r="AS1147" s="5" t="n"/>
      <c r="AT1147" s="5" t="n"/>
      <c r="AU1147" s="5" t="n"/>
      <c r="AV1147" s="5" t="n"/>
      <c r="AW1147" s="5" t="n"/>
      <c r="AX1147" s="5" t="n"/>
      <c r="AY1147" s="5" t="n"/>
      <c r="AZ1147" s="5" t="n"/>
      <c r="BA1147" s="5" t="n"/>
      <c r="BB1147" s="5" t="n"/>
      <c r="BC1147" s="5" t="n"/>
      <c r="BD1147" s="5" t="n"/>
      <c r="BE1147" s="5" t="n"/>
      <c r="BF1147" s="5" t="n"/>
      <c r="BG1147" s="5" t="n"/>
      <c r="BH1147" s="5" t="n"/>
      <c r="BI1147" s="5" t="n"/>
      <c r="BJ1147" s="5" t="n"/>
      <c r="BK1147" s="5" t="n"/>
      <c r="BL1147" s="5" t="n"/>
      <c r="BM1147" s="5" t="n"/>
      <c r="BN1147" s="5" t="n"/>
      <c r="BO1147" s="5" t="n"/>
      <c r="BP1147" s="5" t="n"/>
      <c r="BQ1147" s="5" t="n"/>
      <c r="BR1147" s="5" t="n"/>
      <c r="BS1147" s="5" t="n"/>
      <c r="BT1147" s="5" t="n"/>
      <c r="BU1147" s="5" t="n"/>
      <c r="BV1147" s="5" t="n"/>
      <c r="BW1147" s="5" t="n"/>
      <c r="BX1147" s="5" t="n"/>
      <c r="BY1147" s="5" t="n"/>
      <c r="BZ1147" s="5" t="n"/>
      <c r="CA1147" s="5" t="n"/>
      <c r="CB1147" s="5" t="n"/>
      <c r="CC1147" s="5" t="n"/>
      <c r="CD1147" s="5" t="n"/>
      <c r="CE1147" s="5" t="n"/>
      <c r="CF1147" s="5" t="n"/>
      <c r="CG1147" s="5" t="n"/>
      <c r="CH1147" s="5" t="n"/>
      <c r="CI1147" s="5" t="n"/>
      <c r="CJ1147" s="5" t="n"/>
      <c r="CK1147" s="5" t="n"/>
      <c r="CL1147" s="5" t="n"/>
      <c r="CM1147" s="5" t="n"/>
      <c r="CN1147" s="5" t="n"/>
      <c r="CO1147" s="5" t="n"/>
      <c r="CP1147" s="5" t="n"/>
      <c r="CQ1147" s="5" t="n"/>
      <c r="CR1147" s="5" t="n"/>
      <c r="CS1147" s="5" t="n"/>
      <c r="CT1147" s="5" t="n"/>
      <c r="CU1147" s="5" t="n"/>
      <c r="CV1147" s="5" t="n"/>
      <c r="CW1147" s="5" t="n"/>
      <c r="CX1147" s="5" t="n"/>
      <c r="CY1147" s="5" t="n"/>
      <c r="CZ1147" s="5" t="n"/>
      <c r="DA1147" s="5" t="n"/>
      <c r="DB1147" s="5" t="n"/>
      <c r="DC1147" s="5" t="n"/>
      <c r="DD1147" s="5" t="n"/>
      <c r="DE1147" s="5" t="n"/>
      <c r="DF1147" s="5" t="n"/>
      <c r="DG1147" s="5" t="n"/>
      <c r="DH1147" s="5" t="n"/>
      <c r="DI1147" s="5" t="n"/>
      <c r="DJ1147" s="5" t="n"/>
      <c r="DK1147" s="5" t="n"/>
      <c r="DL1147" s="5" t="n"/>
      <c r="DM1147" s="5" t="n"/>
      <c r="DN1147" s="5" t="n"/>
      <c r="DO1147" s="5" t="n"/>
      <c r="DP1147" s="5" t="n"/>
      <c r="DQ1147" s="5" t="n"/>
      <c r="DR1147" s="5" t="n"/>
      <c r="DS1147" s="5" t="n"/>
      <c r="DT1147" s="5" t="n"/>
      <c r="DU1147" s="5" t="n"/>
      <c r="DV1147" s="5" t="n"/>
      <c r="DW1147" s="5" t="n"/>
      <c r="DX1147" s="5" t="n"/>
      <c r="DY1147" s="5" t="n"/>
      <c r="DZ1147" s="5" t="n"/>
      <c r="EA1147" s="5" t="n"/>
      <c r="EB1147" s="5" t="n"/>
      <c r="EC1147" s="5" t="n"/>
      <c r="ED1147" s="5" t="n"/>
      <c r="EE1147" s="5" t="n"/>
      <c r="EF1147" s="5" t="n"/>
      <c r="EG1147" s="5" t="n"/>
      <c r="EH1147" s="5" t="n"/>
      <c r="EI1147" s="5" t="n"/>
      <c r="EJ1147" s="5" t="n"/>
      <c r="EK1147" s="5" t="n"/>
      <c r="EL1147" s="5" t="n"/>
      <c r="EM1147" s="5" t="n"/>
      <c r="EN1147" s="5" t="n"/>
      <c r="EO1147" s="5" t="n"/>
      <c r="EP1147" s="5" t="n"/>
      <c r="EQ1147" s="5" t="n"/>
      <c r="ER1147" s="5" t="n"/>
      <c r="ES1147" s="5" t="n"/>
      <c r="ET1147" s="5" t="n"/>
      <c r="EU1147" s="5" t="n"/>
      <c r="EV1147" s="5" t="n"/>
      <c r="EW1147" s="5" t="n"/>
      <c r="EX1147" s="5" t="n"/>
      <c r="EY1147" s="5" t="n"/>
      <c r="EZ1147" s="5" t="n"/>
      <c r="FA1147" s="5" t="n"/>
      <c r="FB1147" s="5" t="n"/>
      <c r="FC1147" s="5" t="n"/>
      <c r="FD1147" s="5" t="n"/>
      <c r="FE1147" s="5" t="n"/>
      <c r="FF1147" s="5" t="n"/>
      <c r="FG1147" s="5" t="n"/>
      <c r="FH1147" s="5" t="n"/>
      <c r="FI1147" s="5" t="n"/>
      <c r="FJ1147" s="5" t="n"/>
      <c r="FK1147" s="5" t="n"/>
      <c r="FL1147" s="5" t="n"/>
      <c r="FM1147" s="5" t="n"/>
      <c r="FN1147" s="5" t="n"/>
      <c r="FO1147" s="5" t="n"/>
      <c r="FP1147" s="5" t="n"/>
      <c r="FQ1147" s="5" t="n"/>
      <c r="FR1147" s="5" t="n"/>
      <c r="FS1147" s="5" t="n"/>
      <c r="FT1147" s="5" t="n"/>
      <c r="FU1147" s="5" t="n"/>
      <c r="FV1147" s="5" t="n"/>
      <c r="FW1147" s="5" t="n"/>
      <c r="FX1147" s="5" t="n"/>
      <c r="FY1147" s="5" t="n"/>
      <c r="FZ1147" s="5" t="n"/>
      <c r="GA1147" s="5" t="n"/>
      <c r="GB1147" s="5" t="n"/>
      <c r="GC1147" s="5" t="n"/>
      <c r="GD1147" s="5" t="n"/>
      <c r="GE1147" s="5" t="n"/>
      <c r="GF1147" s="5" t="n"/>
      <c r="GG1147" s="5" t="n"/>
      <c r="GH1147" s="5" t="n"/>
      <c r="GI1147" s="5" t="n"/>
      <c r="GJ1147" s="5" t="n"/>
      <c r="GK1147" s="5" t="n"/>
      <c r="GL1147" s="5" t="n"/>
      <c r="GM1147" s="5" t="n"/>
      <c r="GN1147" s="5" t="n"/>
      <c r="GO1147" s="5" t="n"/>
      <c r="GP1147" s="5" t="n"/>
      <c r="GQ1147" s="5" t="n"/>
      <c r="GR1147" s="5" t="n"/>
      <c r="GS1147" s="5" t="n"/>
      <c r="GT1147" s="5" t="n"/>
      <c r="GU1147" s="5" t="n"/>
      <c r="GV1147" s="5" t="n"/>
      <c r="GW1147" s="5" t="n"/>
      <c r="GX1147" s="5" t="n"/>
      <c r="GY1147" s="5" t="n"/>
      <c r="GZ1147" s="5" t="n"/>
      <c r="HA1147" s="5" t="n"/>
      <c r="HB1147" s="5" t="n"/>
      <c r="HC1147" s="5" t="n"/>
      <c r="HD1147" s="5" t="n"/>
      <c r="HE1147" s="5" t="n"/>
      <c r="HF1147" s="5" t="n"/>
      <c r="HG1147" s="5" t="n"/>
      <c r="HH1147" s="5" t="n"/>
      <c r="HI1147" s="5" t="n"/>
      <c r="HJ1147" s="5" t="n"/>
      <c r="HK1147" s="5" t="n"/>
      <c r="HL1147" s="5" t="n"/>
      <c r="HM1147" s="5" t="n"/>
      <c r="HN1147" s="5" t="n"/>
      <c r="HO1147" s="5" t="n"/>
      <c r="HP1147" s="5" t="n"/>
      <c r="HQ1147" s="5" t="n"/>
      <c r="HR1147" s="5" t="n"/>
      <c r="HS1147" s="5" t="n"/>
      <c r="HT1147" s="5" t="n"/>
      <c r="HU1147" s="5" t="n"/>
      <c r="HV1147" s="5" t="n"/>
    </row>
    <row r="1148">
      <c r="A1148" s="19" t="inlineStr">
        <is>
          <t>mit.kidx.all.gpc</t>
        </is>
      </c>
      <c r="B1148" s="3" t="inlineStr">
        <is>
          <t>mit</t>
        </is>
      </c>
      <c r="C1148" s="19" t="n"/>
      <c r="H1148" s="3" t="inlineStr">
        <is>
          <t xml:space="preserve">Kaya identity against the base year (base year = 1); chk = product of the four factors = CO2 index | All sectors | </t>
        </is>
      </c>
      <c r="I1148" s="3" t="inlineStr">
        <is>
          <t>index</t>
        </is>
      </c>
      <c r="K1148" s="20" t="inlineStr">
        <is>
          <t>egy.mit.kidx.all.gpc.1</t>
        </is>
      </c>
      <c r="L1148" s="28" t="n">
        <v>1</v>
      </c>
      <c r="M1148" s="28" t="n">
        <v>1.021605672840576</v>
      </c>
      <c r="N1148" s="28" t="n">
        <v>1.018777240072545</v>
      </c>
      <c r="O1148" s="28" t="n">
        <v>1.047103556542448</v>
      </c>
      <c r="P1148" s="28" t="n">
        <v>1.075728081117868</v>
      </c>
      <c r="Q1148" s="28" t="n">
        <v>1.111514335019495</v>
      </c>
      <c r="R1148" s="28" t="n">
        <v>1.156329852526826</v>
      </c>
      <c r="S1148" s="28" t="n">
        <v>1.199640993989102</v>
      </c>
      <c r="T1148" s="28" t="n">
        <v>1.240253284009781</v>
      </c>
      <c r="U1148" s="28" t="n">
        <v>1.281771703609225</v>
      </c>
      <c r="V1148" s="28" t="n">
        <v>1.324158422065607</v>
      </c>
      <c r="W1148" s="28" t="n">
        <v>1.367427724870671</v>
      </c>
      <c r="X1148" s="28" t="n">
        <v>1.411528852377991</v>
      </c>
      <c r="Y1148" s="28" t="n">
        <v>1.456498161662595</v>
      </c>
      <c r="Z1148" s="28" t="n">
        <v>1.502329342728615</v>
      </c>
      <c r="AA1148" s="28" t="n">
        <v>1.548979374207137</v>
      </c>
      <c r="AB1148" s="28" t="n">
        <v>1.596518843811799</v>
      </c>
      <c r="AC1148" s="28" t="n">
        <v>1.644950458974468</v>
      </c>
      <c r="AD1148" s="28" t="n">
        <v>1.694345639915486</v>
      </c>
      <c r="AE1148" s="28" t="n">
        <v>1.744792927507324</v>
      </c>
      <c r="AG1148" s="20" t="inlineStr">
        <is>
          <t>egy.mit.kidx.all.gpc.3</t>
        </is>
      </c>
      <c r="AH1148" s="28" t="n">
        <v>1</v>
      </c>
      <c r="AI1148" s="28" t="n">
        <v>1.021605672840576</v>
      </c>
      <c r="AJ1148" s="28" t="n">
        <v>1.018777240072545</v>
      </c>
      <c r="AK1148" s="28" t="n">
        <v>1.047103556542448</v>
      </c>
      <c r="AL1148" s="28" t="n">
        <v>1.075728081117868</v>
      </c>
      <c r="AM1148" s="28" t="n">
        <v>1.111514335019495</v>
      </c>
      <c r="AN1148" s="28" t="n">
        <v>1.156329852526826</v>
      </c>
      <c r="AO1148" s="28" t="n">
        <v>1.199640993989102</v>
      </c>
      <c r="AP1148" s="28" t="n">
        <v>1.240253284009781</v>
      </c>
      <c r="AQ1148" s="28" t="n">
        <v>1.281771703609225</v>
      </c>
      <c r="AR1148" s="28" t="n">
        <v>1.324158422065607</v>
      </c>
      <c r="AS1148" s="28" t="n">
        <v>1.367427724870671</v>
      </c>
      <c r="AT1148" s="28" t="n">
        <v>1.411528852377991</v>
      </c>
      <c r="AU1148" s="28" t="n">
        <v>1.456498161662595</v>
      </c>
      <c r="AV1148" s="28" t="n">
        <v>1.502329342728615</v>
      </c>
      <c r="AW1148" s="28" t="n">
        <v>1.548979374207137</v>
      </c>
      <c r="AX1148" s="28" t="n">
        <v>1.596518843811799</v>
      </c>
      <c r="AY1148" s="28" t="n">
        <v>1.644950458974468</v>
      </c>
      <c r="AZ1148" s="28" t="n">
        <v>1.694345639915486</v>
      </c>
      <c r="BA1148" s="28" t="n">
        <v>1.744792927507324</v>
      </c>
      <c r="BC1148" s="20" t="inlineStr">
        <is>
          <t>egy.mit.kidx.all.gpc.4</t>
        </is>
      </c>
      <c r="BD1148" s="28" t="n">
        <v>1</v>
      </c>
      <c r="BE1148" s="28" t="n">
        <v>1.021605672840576</v>
      </c>
      <c r="BF1148" s="28" t="n">
        <v>1.018777240072545</v>
      </c>
      <c r="BG1148" s="28" t="n">
        <v>1.047103556542448</v>
      </c>
      <c r="BH1148" s="28" t="n">
        <v>1.075728081117868</v>
      </c>
      <c r="BI1148" s="28" t="n">
        <v>1.111514335019495</v>
      </c>
      <c r="BJ1148" s="28" t="n">
        <v>1.156329852526826</v>
      </c>
      <c r="BK1148" s="28" t="n">
        <v>1.199640993989102</v>
      </c>
      <c r="BL1148" s="28" t="n">
        <v>1.240253284009781</v>
      </c>
      <c r="BM1148" s="28" t="n">
        <v>1.281771703609225</v>
      </c>
      <c r="BN1148" s="28" t="n">
        <v>1.324158422065607</v>
      </c>
      <c r="BO1148" s="28" t="n">
        <v>1.367427724870671</v>
      </c>
      <c r="BP1148" s="28" t="n">
        <v>1.411528852377991</v>
      </c>
      <c r="BQ1148" s="28" t="n">
        <v>1.456498161662595</v>
      </c>
      <c r="BR1148" s="28" t="n">
        <v>1.502329342728615</v>
      </c>
      <c r="BS1148" s="28" t="n">
        <v>1.548979374207137</v>
      </c>
      <c r="BT1148" s="28" t="n">
        <v>1.596518843811799</v>
      </c>
      <c r="BU1148" s="28" t="n">
        <v>1.644950458974468</v>
      </c>
      <c r="BV1148" s="28" t="n">
        <v>1.694345639915486</v>
      </c>
      <c r="BW1148" s="28" t="n">
        <v>1.744792927507324</v>
      </c>
      <c r="BY1148" s="20" t="inlineStr">
        <is>
          <t>egy.mit.kidx.all.gpc.5</t>
        </is>
      </c>
      <c r="BZ1148" s="28" t="n">
        <v>1</v>
      </c>
      <c r="CA1148" s="28" t="n">
        <v>1.021605672840576</v>
      </c>
      <c r="CB1148" s="28" t="n">
        <v>1.018777240072545</v>
      </c>
      <c r="CC1148" s="28" t="n">
        <v>1.047103556542448</v>
      </c>
      <c r="CD1148" s="28" t="n">
        <v>1.075728081117868</v>
      </c>
      <c r="CE1148" s="28" t="n">
        <v>1.111514335019495</v>
      </c>
      <c r="CF1148" s="28" t="n">
        <v>1.156329852526826</v>
      </c>
      <c r="CG1148" s="28" t="n">
        <v>1.199640993989102</v>
      </c>
      <c r="CH1148" s="28" t="n">
        <v>1.240253284009781</v>
      </c>
      <c r="CI1148" s="28" t="n">
        <v>1.281771703609225</v>
      </c>
      <c r="CJ1148" s="28" t="n">
        <v>1.324158422065607</v>
      </c>
      <c r="CK1148" s="28" t="n">
        <v>1.367427724870671</v>
      </c>
      <c r="CL1148" s="28" t="n">
        <v>1.411528852377991</v>
      </c>
      <c r="CM1148" s="28" t="n">
        <v>1.456498161662595</v>
      </c>
      <c r="CN1148" s="28" t="n">
        <v>1.502329342728615</v>
      </c>
      <c r="CO1148" s="28" t="n">
        <v>1.548979374207137</v>
      </c>
      <c r="CP1148" s="28" t="n">
        <v>1.596518843811799</v>
      </c>
      <c r="CQ1148" s="28" t="n">
        <v>1.644950458974468</v>
      </c>
      <c r="CR1148" s="28" t="n">
        <v>1.694345639915486</v>
      </c>
      <c r="CS1148" s="28" t="n">
        <v>1.744792927507324</v>
      </c>
      <c r="CU1148" s="20" t="inlineStr">
        <is>
          <t>egy.mit.kidx.all.gpc.6</t>
        </is>
      </c>
      <c r="CV1148" s="28" t="n">
        <v>1</v>
      </c>
      <c r="CW1148" s="28" t="n">
        <v>1.021605672840576</v>
      </c>
      <c r="CX1148" s="28" t="n">
        <v>1.018777240072545</v>
      </c>
      <c r="CY1148" s="28" t="n">
        <v>1.047103556542448</v>
      </c>
      <c r="CZ1148" s="28" t="n">
        <v>1.075728081117868</v>
      </c>
      <c r="DA1148" s="28" t="n">
        <v>1.111514335019495</v>
      </c>
      <c r="DB1148" s="28" t="n">
        <v>1.156329852526826</v>
      </c>
      <c r="DC1148" s="28" t="n">
        <v>1.199640993989102</v>
      </c>
      <c r="DD1148" s="28" t="n">
        <v>1.240253284009781</v>
      </c>
      <c r="DE1148" s="28" t="n">
        <v>1.281771703609225</v>
      </c>
      <c r="DF1148" s="28" t="n">
        <v>1.324158422065607</v>
      </c>
      <c r="DG1148" s="28" t="n">
        <v>1.367427724870671</v>
      </c>
      <c r="DH1148" s="28" t="n">
        <v>1.411528852377991</v>
      </c>
      <c r="DI1148" s="28" t="n">
        <v>1.456498161662595</v>
      </c>
      <c r="DJ1148" s="28" t="n">
        <v>1.502329342728615</v>
      </c>
      <c r="DK1148" s="28" t="n">
        <v>1.548979374207137</v>
      </c>
      <c r="DL1148" s="28" t="n">
        <v>1.596518843811799</v>
      </c>
      <c r="DM1148" s="28" t="n">
        <v>1.644950458974468</v>
      </c>
      <c r="DN1148" s="28" t="n">
        <v>1.694345639915486</v>
      </c>
      <c r="DO1148" s="28" t="n">
        <v>1.744792927507324</v>
      </c>
    </row>
    <row r="1149">
      <c r="A1149" s="19" t="inlineStr">
        <is>
          <t>mit.kidx.all.ei</t>
        </is>
      </c>
      <c r="B1149" s="3" t="inlineStr">
        <is>
          <t>mit</t>
        </is>
      </c>
      <c r="C1149" s="19" t="n"/>
      <c r="H1149" s="3" t="inlineStr">
        <is>
          <t xml:space="preserve">Kaya identity against the base year (base year = 1); chk = product of the four factors = CO2 index | All sectors | </t>
        </is>
      </c>
      <c r="I1149" s="3" t="inlineStr">
        <is>
          <t>index</t>
        </is>
      </c>
      <c r="K1149" s="20" t="inlineStr">
        <is>
          <t>egy.mit.kidx.all.ei.1</t>
        </is>
      </c>
      <c r="L1149" s="28" t="n">
        <v>1</v>
      </c>
      <c r="M1149" s="28" t="n">
        <v>0.9420763804914818</v>
      </c>
      <c r="N1149" s="28" t="n">
        <v>1.074826330161591</v>
      </c>
      <c r="O1149" s="28" t="n">
        <v>1.098871703313011</v>
      </c>
      <c r="P1149" s="28" t="n">
        <v>1.086241077109856</v>
      </c>
      <c r="Q1149" s="28" t="n">
        <v>1.066414683611858</v>
      </c>
      <c r="R1149" s="28" t="n">
        <v>1.042943368371301</v>
      </c>
      <c r="S1149" s="28" t="n">
        <v>1.02205860758682</v>
      </c>
      <c r="T1149" s="28" t="n">
        <v>0.9993084841217594</v>
      </c>
      <c r="U1149" s="28" t="n">
        <v>0.9719832917290483</v>
      </c>
      <c r="V1149" s="28" t="n">
        <v>0.9449159738156985</v>
      </c>
      <c r="W1149" s="28" t="n">
        <v>0.9281394778241823</v>
      </c>
      <c r="X1149" s="28" t="n">
        <v>0.9108175866017097</v>
      </c>
      <c r="Y1149" s="28" t="n">
        <v>0.894973249231784</v>
      </c>
      <c r="Z1149" s="28" t="n">
        <v>0.8796106105670418</v>
      </c>
      <c r="AA1149" s="28" t="n">
        <v>0.8647919111927764</v>
      </c>
      <c r="AB1149" s="28" t="n">
        <v>0.8504699146938705</v>
      </c>
      <c r="AC1149" s="28" t="n">
        <v>0.8366314545148924</v>
      </c>
      <c r="AD1149" s="28" t="n">
        <v>0.8232824203921557</v>
      </c>
      <c r="AE1149" s="28" t="n">
        <v>0.8104120772927568</v>
      </c>
      <c r="AG1149" s="20" t="inlineStr">
        <is>
          <t>egy.mit.kidx.all.ei.3</t>
        </is>
      </c>
      <c r="AH1149" s="28" t="n">
        <v>1</v>
      </c>
      <c r="AI1149" s="28" t="n">
        <v>0.9419452366143624</v>
      </c>
      <c r="AJ1149" s="28" t="n">
        <v>1.074702885881264</v>
      </c>
      <c r="AK1149" s="28" t="n">
        <v>1.098757731788786</v>
      </c>
      <c r="AL1149" s="28" t="n">
        <v>1.086127578806466</v>
      </c>
      <c r="AM1149" s="28" t="n">
        <v>0.9841003556634663</v>
      </c>
      <c r="AN1149" s="28" t="n">
        <v>0.9220949262225195</v>
      </c>
      <c r="AO1149" s="28" t="n">
        <v>0.9088842862478962</v>
      </c>
      <c r="AP1149" s="28" t="n">
        <v>0.8849135436818298</v>
      </c>
      <c r="AQ1149" s="28" t="n">
        <v>0.8656756144470872</v>
      </c>
      <c r="AR1149" s="28" t="n">
        <v>0.8419042817540558</v>
      </c>
      <c r="AS1149" s="28" t="n">
        <v>0.8291298720629535</v>
      </c>
      <c r="AT1149" s="28" t="n">
        <v>0.8143411309164467</v>
      </c>
      <c r="AU1149" s="28" t="n">
        <v>0.8014349242119034</v>
      </c>
      <c r="AV1149" s="28" t="n">
        <v>0.7889980485923018</v>
      </c>
      <c r="AW1149" s="28" t="n">
        <v>0.7772607307713337</v>
      </c>
      <c r="AX1149" s="28" t="n">
        <v>0.7655410646339222</v>
      </c>
      <c r="AY1149" s="28" t="n">
        <v>0.7540495378551015</v>
      </c>
      <c r="AZ1149" s="28" t="n">
        <v>0.742542784389249</v>
      </c>
      <c r="BA1149" s="28" t="n">
        <v>0.7313440243719087</v>
      </c>
      <c r="BC1149" s="20" t="inlineStr">
        <is>
          <t>egy.mit.kidx.all.ei.4</t>
        </is>
      </c>
      <c r="BD1149" s="28" t="n">
        <v>1</v>
      </c>
      <c r="BE1149" s="28" t="n">
        <v>0.9416222771924723</v>
      </c>
      <c r="BF1149" s="28" t="n">
        <v>1.074398906378164</v>
      </c>
      <c r="BG1149" s="28" t="n">
        <v>1.098477096019705</v>
      </c>
      <c r="BH1149" s="28" t="n">
        <v>1.085849176059418</v>
      </c>
      <c r="BI1149" s="28" t="n">
        <v>1.012981027272446</v>
      </c>
      <c r="BJ1149" s="28" t="n">
        <v>0.9168755089752072</v>
      </c>
      <c r="BK1149" s="28" t="n">
        <v>0.8315498825774729</v>
      </c>
      <c r="BL1149" s="28" t="n">
        <v>0.7653046581375837</v>
      </c>
      <c r="BM1149" s="28" t="n">
        <v>0.7168714686320373</v>
      </c>
      <c r="BN1149" s="28" t="n">
        <v>0.6676252145366807</v>
      </c>
      <c r="BO1149" s="28" t="n">
        <v>0.6303009769593839</v>
      </c>
      <c r="BP1149" s="28" t="n">
        <v>0.593602037600892</v>
      </c>
      <c r="BQ1149" s="28" t="n">
        <v>0.5640205093198817</v>
      </c>
      <c r="BR1149" s="28" t="n">
        <v>0.5354998544021999</v>
      </c>
      <c r="BS1149" s="28" t="n">
        <v>0.5122295003852192</v>
      </c>
      <c r="BT1149" s="28" t="n">
        <v>0.4891921054795343</v>
      </c>
      <c r="BU1149" s="28" t="n">
        <v>0.4707879450178954</v>
      </c>
      <c r="BV1149" s="28" t="n">
        <v>0.4512676610531844</v>
      </c>
      <c r="BW1149" s="28" t="n">
        <v>0.4368120348521174</v>
      </c>
      <c r="BY1149" s="20" t="inlineStr">
        <is>
          <t>egy.mit.kidx.all.ei.5</t>
        </is>
      </c>
      <c r="BZ1149" s="28" t="n">
        <v>1</v>
      </c>
      <c r="CA1149" s="28" t="n">
        <v>0.9413059955569419</v>
      </c>
      <c r="CB1149" s="28" t="n">
        <v>1.074100833564264</v>
      </c>
      <c r="CC1149" s="28" t="n">
        <v>1.098201557044974</v>
      </c>
      <c r="CD1149" s="28" t="n">
        <v>1.085574678315868</v>
      </c>
      <c r="CE1149" s="28" t="n">
        <v>0.9718185006328972</v>
      </c>
      <c r="CF1149" s="28" t="n">
        <v>0.9493060544974177</v>
      </c>
      <c r="CG1149" s="28" t="n">
        <v>0.929775955157178</v>
      </c>
      <c r="CH1149" s="28" t="n">
        <v>0.9070971954595505</v>
      </c>
      <c r="CI1149" s="28" t="n">
        <v>0.8792513634311472</v>
      </c>
      <c r="CJ1149" s="28" t="n">
        <v>0.8493379004060065</v>
      </c>
      <c r="CK1149" s="28" t="n">
        <v>0.8328113477934497</v>
      </c>
      <c r="CL1149" s="28" t="n">
        <v>0.8102917263077511</v>
      </c>
      <c r="CM1149" s="28" t="n">
        <v>0.7908453757866438</v>
      </c>
      <c r="CN1149" s="28" t="n">
        <v>0.7736554035590407</v>
      </c>
      <c r="CO1149" s="28" t="n">
        <v>0.7564761201810033</v>
      </c>
      <c r="CP1149" s="28" t="n">
        <v>0.740573855308049</v>
      </c>
      <c r="CQ1149" s="28" t="n">
        <v>0.7256541984017557</v>
      </c>
      <c r="CR1149" s="28" t="n">
        <v>0.7109022124447175</v>
      </c>
      <c r="CS1149" s="28" t="n">
        <v>0.6972585986141073</v>
      </c>
      <c r="CU1149" s="20" t="inlineStr">
        <is>
          <t>egy.mit.kidx.all.ei.6</t>
        </is>
      </c>
      <c r="CV1149" s="28" t="n">
        <v>1</v>
      </c>
      <c r="CW1149" s="28" t="n">
        <v>0.9417635051543705</v>
      </c>
      <c r="CX1149" s="28" t="n">
        <v>1.074531831441397</v>
      </c>
      <c r="CY1149" s="28" t="n">
        <v>1.098599810389516</v>
      </c>
      <c r="CZ1149" s="28" t="n">
        <v>1.085970733312779</v>
      </c>
      <c r="DA1149" s="28" t="n">
        <v>0.9048067200105889</v>
      </c>
      <c r="DB1149" s="28" t="n">
        <v>0.7994628106257732</v>
      </c>
      <c r="DC1149" s="28" t="n">
        <v>0.7902837644907711</v>
      </c>
      <c r="DD1149" s="28" t="n">
        <v>0.7637692413151387</v>
      </c>
      <c r="DE1149" s="28" t="n">
        <v>0.7548025853951803</v>
      </c>
      <c r="DF1149" s="28" t="n">
        <v>0.7309254881747654</v>
      </c>
      <c r="DG1149" s="28" t="n">
        <v>0.7189884492199783</v>
      </c>
      <c r="DH1149" s="28" t="n">
        <v>0.7032546974181426</v>
      </c>
      <c r="DI1149" s="28" t="n">
        <v>0.6916122505346811</v>
      </c>
      <c r="DJ1149" s="28" t="n">
        <v>0.6794022179990009</v>
      </c>
      <c r="DK1149" s="28" t="n">
        <v>0.669594526845772</v>
      </c>
      <c r="DL1149" s="28" t="n">
        <v>0.6585996677792622</v>
      </c>
      <c r="DM1149" s="28" t="n">
        <v>0.6490166607820165</v>
      </c>
      <c r="DN1149" s="28" t="n">
        <v>0.6383008690747592</v>
      </c>
      <c r="DO1149" s="28" t="n">
        <v>0.6288188431592729</v>
      </c>
    </row>
    <row r="1150">
      <c r="A1150" s="19" t="inlineStr">
        <is>
          <t>mit.kidx.all.ci</t>
        </is>
      </c>
      <c r="B1150" s="3" t="inlineStr">
        <is>
          <t>mit</t>
        </is>
      </c>
      <c r="C1150" s="19" t="n"/>
      <c r="H1150" s="3" t="inlineStr">
        <is>
          <t xml:space="preserve">Kaya identity against the base year (base year = 1); chk = product of the four factors = CO2 index | All sectors | </t>
        </is>
      </c>
      <c r="I1150" s="3" t="inlineStr">
        <is>
          <t>index</t>
        </is>
      </c>
      <c r="K1150" s="20" t="inlineStr">
        <is>
          <t>egy.mit.kidx.all.ci.1</t>
        </is>
      </c>
      <c r="L1150" s="28" t="n">
        <v>1</v>
      </c>
      <c r="M1150" s="28" t="n">
        <v>1.049009118911887</v>
      </c>
      <c r="N1150" s="28" t="n">
        <v>1.021639067520913</v>
      </c>
      <c r="O1150" s="28" t="n">
        <v>1.004524134444365</v>
      </c>
      <c r="P1150" s="28" t="n">
        <v>0.9983254521349038</v>
      </c>
      <c r="Q1150" s="28" t="n">
        <v>0.9940076222217185</v>
      </c>
      <c r="R1150" s="28" t="n">
        <v>0.9898034233818268</v>
      </c>
      <c r="S1150" s="28" t="n">
        <v>0.9855222234745312</v>
      </c>
      <c r="T1150" s="28" t="n">
        <v>0.9828347286086809</v>
      </c>
      <c r="U1150" s="28" t="n">
        <v>0.9781125928302589</v>
      </c>
      <c r="V1150" s="28" t="n">
        <v>0.9734199058865031</v>
      </c>
      <c r="W1150" s="28" t="n">
        <v>0.9655681871276902</v>
      </c>
      <c r="X1150" s="28" t="n">
        <v>0.9576743223013426</v>
      </c>
      <c r="Y1150" s="28" t="n">
        <v>0.9498946603937111</v>
      </c>
      <c r="Z1150" s="28" t="n">
        <v>0.9422715685275735</v>
      </c>
      <c r="AA1150" s="28" t="n">
        <v>0.9348307349546958</v>
      </c>
      <c r="AB1150" s="28" t="n">
        <v>0.927557797140201</v>
      </c>
      <c r="AC1150" s="28" t="n">
        <v>0.9204461743388443</v>
      </c>
      <c r="AD1150" s="28" t="n">
        <v>0.9134782433087425</v>
      </c>
      <c r="AE1150" s="28" t="n">
        <v>0.9066394056882887</v>
      </c>
      <c r="AG1150" s="20" t="inlineStr">
        <is>
          <t>egy.mit.kidx.all.ci.3</t>
        </is>
      </c>
      <c r="AH1150" s="28" t="n">
        <v>1</v>
      </c>
      <c r="AI1150" s="28" t="n">
        <v>1.048977566241774</v>
      </c>
      <c r="AJ1150" s="28" t="n">
        <v>1.021609889910551</v>
      </c>
      <c r="AK1150" s="28" t="n">
        <v>1.004496007560772</v>
      </c>
      <c r="AL1150" s="28" t="n">
        <v>0.9983012979181665</v>
      </c>
      <c r="AM1150" s="28" t="n">
        <v>0.9935546515990709</v>
      </c>
      <c r="AN1150" s="28" t="n">
        <v>1.0046287566977</v>
      </c>
      <c r="AO1150" s="28" t="n">
        <v>1.000313608565653</v>
      </c>
      <c r="AP1150" s="28" t="n">
        <v>0.9986201414171832</v>
      </c>
      <c r="AQ1150" s="28" t="n">
        <v>0.9910798995095904</v>
      </c>
      <c r="AR1150" s="28" t="n">
        <v>0.9851903140973541</v>
      </c>
      <c r="AS1150" s="28" t="n">
        <v>0.9763024305179009</v>
      </c>
      <c r="AT1150" s="28" t="n">
        <v>0.9672018405383128</v>
      </c>
      <c r="AU1150" s="28" t="n">
        <v>0.9583933826078769</v>
      </c>
      <c r="AV1150" s="28" t="n">
        <v>0.9497397949998188</v>
      </c>
      <c r="AW1150" s="28" t="n">
        <v>0.9412618041934376</v>
      </c>
      <c r="AX1150" s="28" t="n">
        <v>0.9330551276639295</v>
      </c>
      <c r="AY1150" s="28" t="n">
        <v>0.9250854923700403</v>
      </c>
      <c r="AZ1150" s="28" t="n">
        <v>0.9173681950725655</v>
      </c>
      <c r="BA1150" s="28" t="n">
        <v>0.909833226572183</v>
      </c>
      <c r="BC1150" s="20" t="inlineStr">
        <is>
          <t>egy.mit.kidx.all.ci.4</t>
        </is>
      </c>
      <c r="BD1150" s="28" t="n">
        <v>1</v>
      </c>
      <c r="BE1150" s="28" t="n">
        <v>1.048900005609566</v>
      </c>
      <c r="BF1150" s="28" t="n">
        <v>1.021538161163213</v>
      </c>
      <c r="BG1150" s="28" t="n">
        <v>1.004426860721383</v>
      </c>
      <c r="BH1150" s="28" t="n">
        <v>0.9982415757243375</v>
      </c>
      <c r="BI1150" s="28" t="n">
        <v>0.9937603875845369</v>
      </c>
      <c r="BJ1150" s="28" t="n">
        <v>0.9969426641263078</v>
      </c>
      <c r="BK1150" s="28" t="n">
        <v>0.9999252708393919</v>
      </c>
      <c r="BL1150" s="28" t="n">
        <v>1.005734226748978</v>
      </c>
      <c r="BM1150" s="28" t="n">
        <v>1.00832376209775</v>
      </c>
      <c r="BN1150" s="28" t="n">
        <v>1.008914989173807</v>
      </c>
      <c r="BO1150" s="28" t="n">
        <v>1.008305864391481</v>
      </c>
      <c r="BP1150" s="28" t="n">
        <v>1.005577894032543</v>
      </c>
      <c r="BQ1150" s="28" t="n">
        <v>1.001605102480826</v>
      </c>
      <c r="BR1150" s="28" t="n">
        <v>0.9961379221355056</v>
      </c>
      <c r="BS1150" s="28" t="n">
        <v>0.9894380398517529</v>
      </c>
      <c r="BT1150" s="28" t="n">
        <v>0.981557793455108</v>
      </c>
      <c r="BU1150" s="28" t="n">
        <v>0.9726735178654212</v>
      </c>
      <c r="BV1150" s="28" t="n">
        <v>0.9629314249433408</v>
      </c>
      <c r="BW1150" s="28" t="n">
        <v>0.9524837878904175</v>
      </c>
      <c r="BY1150" s="20" t="inlineStr">
        <is>
          <t>egy.mit.kidx.all.ci.5</t>
        </is>
      </c>
      <c r="BZ1150" s="28" t="n">
        <v>1</v>
      </c>
      <c r="CA1150" s="28" t="n">
        <v>1.048823864548848</v>
      </c>
      <c r="CB1150" s="28" t="n">
        <v>1.021467677346936</v>
      </c>
      <c r="CC1150" s="28" t="n">
        <v>1.004358836898908</v>
      </c>
      <c r="CD1150" s="28" t="n">
        <v>0.9981830079590936</v>
      </c>
      <c r="CE1150" s="28" t="n">
        <v>0.9944650801044843</v>
      </c>
      <c r="CF1150" s="28" t="n">
        <v>0.9891971409513228</v>
      </c>
      <c r="CG1150" s="28" t="n">
        <v>0.983820463261602</v>
      </c>
      <c r="CH1150" s="28" t="n">
        <v>0.9805093790894428</v>
      </c>
      <c r="CI1150" s="28" t="n">
        <v>0.97402510117793</v>
      </c>
      <c r="CJ1150" s="28" t="n">
        <v>0.9671698327897557</v>
      </c>
      <c r="CK1150" s="28" t="n">
        <v>0.9570067241032593</v>
      </c>
      <c r="CL1150" s="28" t="n">
        <v>0.9443927158338361</v>
      </c>
      <c r="CM1150" s="28" t="n">
        <v>0.9325178303177736</v>
      </c>
      <c r="CN1150" s="28" t="n">
        <v>0.9205053810512623</v>
      </c>
      <c r="CO1150" s="28" t="n">
        <v>0.9083431354826774</v>
      </c>
      <c r="CP1150" s="28" t="n">
        <v>0.8967675184496914</v>
      </c>
      <c r="CQ1150" s="28" t="n">
        <v>0.885453313760031</v>
      </c>
      <c r="CR1150" s="28" t="n">
        <v>0.8743839150637116</v>
      </c>
      <c r="CS1150" s="28" t="n">
        <v>0.8637429223198891</v>
      </c>
      <c r="CU1150" s="20" t="inlineStr">
        <is>
          <t>egy.mit.kidx.all.ci.6</t>
        </is>
      </c>
      <c r="CV1150" s="28" t="n">
        <v>1</v>
      </c>
      <c r="CW1150" s="28" t="n">
        <v>1.048933898930656</v>
      </c>
      <c r="CX1150" s="28" t="n">
        <v>1.021569507011549</v>
      </c>
      <c r="CY1150" s="28" t="n">
        <v>1.004457078432357</v>
      </c>
      <c r="CZ1150" s="28" t="n">
        <v>0.998267732755604</v>
      </c>
      <c r="DA1150" s="28" t="n">
        <v>0.9925248054306727</v>
      </c>
      <c r="DB1150" s="28" t="n">
        <v>1.025615581324694</v>
      </c>
      <c r="DC1150" s="28" t="n">
        <v>1.01974993069307</v>
      </c>
      <c r="DD1150" s="28" t="n">
        <v>1.018178402769549</v>
      </c>
      <c r="DE1150" s="28" t="n">
        <v>1.011568516112141</v>
      </c>
      <c r="DF1150" s="28" t="n">
        <v>1.001009940471689</v>
      </c>
      <c r="DG1150" s="28" t="n">
        <v>0.9894046907087898</v>
      </c>
      <c r="DH1150" s="28" t="n">
        <v>0.9756394810285121</v>
      </c>
      <c r="DI1150" s="28" t="n">
        <v>0.9620817004749281</v>
      </c>
      <c r="DJ1150" s="28" t="n">
        <v>0.9483289582970863</v>
      </c>
      <c r="DK1150" s="28" t="n">
        <v>0.9349672105712248</v>
      </c>
      <c r="DL1150" s="28" t="n">
        <v>0.9218782459563147</v>
      </c>
      <c r="DM1150" s="28" t="n">
        <v>0.9095626738714322</v>
      </c>
      <c r="DN1150" s="28" t="n">
        <v>0.8976496413493477</v>
      </c>
      <c r="DO1150" s="28" t="n">
        <v>0.8864485235864628</v>
      </c>
    </row>
    <row r="1151">
      <c r="A1151" s="19" t="inlineStr">
        <is>
          <t>mit.kidx.all.co2</t>
        </is>
      </c>
      <c r="B1151" s="3" t="inlineStr">
        <is>
          <t>mit</t>
        </is>
      </c>
      <c r="C1151" s="19" t="n"/>
      <c r="H1151" s="3" t="inlineStr">
        <is>
          <t>Kaya identity against the base year (base year = 1); chk = product of the four factors = CO2 index | All sectors | CO2</t>
        </is>
      </c>
      <c r="I1151" s="3" t="inlineStr">
        <is>
          <t>index</t>
        </is>
      </c>
      <c r="K1151" s="20" t="inlineStr">
        <is>
          <t>egy.mit.kidx.all.co2.1</t>
        </is>
      </c>
      <c r="L1151" s="28" t="n">
        <v>1</v>
      </c>
      <c r="M1151" s="28" t="n">
        <v>1.025407567260985</v>
      </c>
      <c r="N1151" s="28" t="n">
        <v>1.166706989260604</v>
      </c>
      <c r="O1151" s="28" t="n">
        <v>1.224340467995173</v>
      </c>
      <c r="P1151" s="28" t="n">
        <v>1.253794562694174</v>
      </c>
      <c r="Q1151" s="28" t="n">
        <v>1.284772386145521</v>
      </c>
      <c r="R1151" s="28" t="n">
        <v>1.320437519517266</v>
      </c>
      <c r="S1151" s="28" t="n">
        <v>1.355738603965003</v>
      </c>
      <c r="T1151" s="28" t="n">
        <v>1.385953298732205</v>
      </c>
      <c r="U1151" s="28" t="n">
        <v>1.40582343779083</v>
      </c>
      <c r="V1151" s="28" t="n">
        <v>1.424527533831578</v>
      </c>
      <c r="W1151" s="28" t="n">
        <v>1.452939473823565</v>
      </c>
      <c r="X1151" s="28" t="n">
        <v>1.479632811278212</v>
      </c>
      <c r="Y1151" s="28" t="n">
        <v>1.508075012084781</v>
      </c>
      <c r="Z1151" s="28" t="n">
        <v>1.536795163167057</v>
      </c>
      <c r="AA1151" s="28" t="n">
        <v>1.565976270985578</v>
      </c>
      <c r="AB1151" s="28" t="n">
        <v>1.595550956474808</v>
      </c>
      <c r="AC1151" s="28" t="n">
        <v>1.625520359953195</v>
      </c>
      <c r="AD1151" s="28" t="n">
        <v>1.655902522463014</v>
      </c>
      <c r="AE1151" s="28" t="n">
        <v>1.686688155652691</v>
      </c>
      <c r="AG1151" s="20" t="inlineStr">
        <is>
          <t>egy.mit.kidx.all.co2.3</t>
        </is>
      </c>
      <c r="AH1151" s="28" t="n">
        <v>1</v>
      </c>
      <c r="AI1151" s="28" t="n">
        <v>1.025233984601003</v>
      </c>
      <c r="AJ1151" s="28" t="n">
        <v>1.166539675579551</v>
      </c>
      <c r="AK1151" s="28" t="n">
        <v>1.224179205013651</v>
      </c>
      <c r="AL1151" s="28" t="n">
        <v>1.253633225140203</v>
      </c>
      <c r="AM1151" s="28" t="n">
        <v>1.18506320088986</v>
      </c>
      <c r="AN1151" s="28" t="n">
        <v>1.184921051389105</v>
      </c>
      <c r="AO1151" s="28" t="n">
        <v>1.223710009539408</v>
      </c>
      <c r="AP1151" s="28" t="n">
        <v>1.247009296654731</v>
      </c>
      <c r="AQ1151" s="28" t="n">
        <v>1.268665067302376</v>
      </c>
      <c r="AR1151" s="28" t="n">
        <v>1.284577425478494</v>
      </c>
      <c r="AS1151" s="28" t="n">
        <v>1.312375945826672</v>
      </c>
      <c r="AT1151" s="28" t="n">
        <v>1.336066847518619</v>
      </c>
      <c r="AU1151" s="28" t="n">
        <v>1.362540792729832</v>
      </c>
      <c r="AV1151" s="28" t="n">
        <v>1.389408665176902</v>
      </c>
      <c r="AW1151" s="28" t="n">
        <v>1.417156254664195</v>
      </c>
      <c r="AX1151" s="28" t="n">
        <v>1.444729493350904</v>
      </c>
      <c r="AY1151" s="28" t="n">
        <v>1.47245345782542</v>
      </c>
      <c r="AZ1151" s="28" t="n">
        <v>1.499867446102849</v>
      </c>
      <c r="BA1151" s="28" t="n">
        <v>1.5274880094867</v>
      </c>
      <c r="BC1151" s="20" t="inlineStr">
        <is>
          <t>egy.mit.kidx.all.co2.4</t>
        </is>
      </c>
      <c r="BD1151" s="28" t="n">
        <v>1</v>
      </c>
      <c r="BE1151" s="28" t="n">
        <v>1.024806689380047</v>
      </c>
      <c r="BF1151" s="28" t="n">
        <v>1.166127838742148</v>
      </c>
      <c r="BG1151" s="28" t="n">
        <v>1.22378228738698</v>
      </c>
      <c r="BH1151" s="28" t="n">
        <v>1.253236908438901</v>
      </c>
      <c r="BI1151" s="28" t="n">
        <v>1.220094179347279</v>
      </c>
      <c r="BJ1151" s="28" t="n">
        <v>1.169199798541145</v>
      </c>
      <c r="BK1151" s="28" t="n">
        <v>1.119153329970319</v>
      </c>
      <c r="BL1151" s="28" t="n">
        <v>1.086140767199059</v>
      </c>
      <c r="BM1151" s="28" t="n">
        <v>1.068868866845673</v>
      </c>
      <c r="BN1151" s="28" t="n">
        <v>1.043193179179767</v>
      </c>
      <c r="BO1151" s="28" t="n">
        <v>1.030366196701395</v>
      </c>
      <c r="BP1151" s="28" t="n">
        <v>1.012548426855397</v>
      </c>
      <c r="BQ1151" s="28" t="n">
        <v>1.002141086158786</v>
      </c>
      <c r="BR1151" s="28" t="n">
        <v>0.9890728233740419</v>
      </c>
      <c r="BS1151" s="28" t="n">
        <v>0.9817338500359826</v>
      </c>
      <c r="BT1151" s="28" t="n">
        <v>0.9711941517492857</v>
      </c>
      <c r="BU1151" s="28" t="n">
        <v>0.9666121584922001</v>
      </c>
      <c r="BV1151" s="28" t="n">
        <v>0.9567914586978009</v>
      </c>
      <c r="BW1151" s="28" t="n">
        <v>0.9550948147929634</v>
      </c>
      <c r="BY1151" s="20" t="inlineStr">
        <is>
          <t>egy.mit.kidx.all.co2.5</t>
        </is>
      </c>
      <c r="BZ1151" s="28" t="n">
        <v>1</v>
      </c>
      <c r="CA1151" s="28" t="n">
        <v>1.024388099813974</v>
      </c>
      <c r="CB1151" s="28" t="n">
        <v>1.165723879518154</v>
      </c>
      <c r="CC1151" s="28" t="n">
        <v>1.223392458538532</v>
      </c>
      <c r="CD1151" s="28" t="n">
        <v>1.252846585844504</v>
      </c>
      <c r="CE1151" s="28" t="n">
        <v>1.171345633734672</v>
      </c>
      <c r="CF1151" s="28" t="n">
        <v>1.201150097181132</v>
      </c>
      <c r="CG1151" s="28" t="n">
        <v>1.231198003767943</v>
      </c>
      <c r="CH1151" s="28" t="n">
        <v>1.255087789522574</v>
      </c>
      <c r="CI1151" s="28" t="n">
        <v>1.266386666243157</v>
      </c>
      <c r="CJ1151" s="28" t="n">
        <v>1.272215493081731</v>
      </c>
      <c r="CK1151" s="28" t="n">
        <v>1.292150060824312</v>
      </c>
      <c r="CL1151" s="28" t="n">
        <v>1.298071861690037</v>
      </c>
      <c r="CM1151" s="28" t="n">
        <v>1.308236215116326</v>
      </c>
      <c r="CN1151" s="28" t="n">
        <v>1.320454171973279</v>
      </c>
      <c r="CO1151" s="28" t="n">
        <v>1.331023542968061</v>
      </c>
      <c r="CP1151" s="28" t="n">
        <v>1.343256616448716</v>
      </c>
      <c r="CQ1151" s="28" t="n">
        <v>1.35629827009241</v>
      </c>
      <c r="CR1151" s="28" t="n">
        <v>1.36867313679001</v>
      </c>
      <c r="CS1151" s="28" t="n">
        <v>1.382524002560632</v>
      </c>
      <c r="CU1151" s="20" t="inlineStr">
        <is>
          <t>egy.mit.kidx.all.co2.6</t>
        </is>
      </c>
      <c r="CV1151" s="28" t="n">
        <v>1</v>
      </c>
      <c r="CW1151" s="28" t="n">
        <v>1.024993513400604</v>
      </c>
      <c r="CX1151" s="28" t="n">
        <v>1.166307899548181</v>
      </c>
      <c r="CY1151" s="28" t="n">
        <v>1.22395582102725</v>
      </c>
      <c r="CZ1151" s="28" t="n">
        <v>1.253410046577376</v>
      </c>
      <c r="DA1151" s="28" t="n">
        <v>1.088447659182032</v>
      </c>
      <c r="DB1151" s="28" t="n">
        <v>1.04879607582677</v>
      </c>
      <c r="DC1151" s="28" t="n">
        <v>1.084702109528399</v>
      </c>
      <c r="DD1151" s="28" t="n">
        <v>1.097373764421947</v>
      </c>
      <c r="DE1151" s="28" t="n">
        <v>1.129046458330091</v>
      </c>
      <c r="DF1151" s="28" t="n">
        <v>1.133153985736596</v>
      </c>
      <c r="DG1151" s="28" t="n">
        <v>1.153313052949798</v>
      </c>
      <c r="DH1151" s="28" t="n">
        <v>1.163875994998773</v>
      </c>
      <c r="DI1151" s="28" t="n">
        <v>1.180353452358238</v>
      </c>
      <c r="DJ1151" s="28" t="n">
        <v>1.194635485848104</v>
      </c>
      <c r="DK1151" s="28" t="n">
        <v>1.21268736085067</v>
      </c>
      <c r="DL1151" s="28" t="n">
        <v>1.228021066683654</v>
      </c>
      <c r="DM1151" s="28" t="n">
        <v>1.24608682233125</v>
      </c>
      <c r="DN1151" s="28" t="n">
        <v>1.26159516271871</v>
      </c>
      <c r="DO1151" s="28" t="n">
        <v>1.279597455743709</v>
      </c>
    </row>
    <row r="1152">
      <c r="A1152" s="19" t="inlineStr">
        <is>
          <t>mit.cov.all.all.all</t>
        </is>
      </c>
      <c r="B1152" s="3" t="inlineStr">
        <is>
          <t>mit</t>
        </is>
      </c>
      <c r="C1152" s="19" t="n"/>
      <c r="H1152" s="3" t="inlineStr">
        <is>
          <t>Share of energy CO2 covered by the carbon tax or the ETS | All sectors | All fuels</t>
        </is>
      </c>
      <c r="I1152" s="3" t="inlineStr">
        <is>
          <t>%</t>
        </is>
      </c>
      <c r="K1152" s="20" t="inlineStr">
        <is>
          <t>egy.mit.cov.all.all.all.1</t>
        </is>
      </c>
      <c r="L1152" s="25" t="n">
        <v>0</v>
      </c>
      <c r="M1152" s="25" t="n">
        <v>0</v>
      </c>
      <c r="N1152" s="25" t="n">
        <v>0</v>
      </c>
      <c r="O1152" s="25" t="n">
        <v>0</v>
      </c>
      <c r="P1152" s="25" t="n">
        <v>0</v>
      </c>
      <c r="Q1152" s="25" t="n">
        <v>0</v>
      </c>
      <c r="R1152" s="25" t="n">
        <v>0</v>
      </c>
      <c r="S1152" s="25" t="n">
        <v>0</v>
      </c>
      <c r="T1152" s="25" t="n">
        <v>0</v>
      </c>
      <c r="U1152" s="25" t="n">
        <v>0</v>
      </c>
      <c r="V1152" s="25" t="n">
        <v>0</v>
      </c>
      <c r="W1152" s="25" t="n">
        <v>0</v>
      </c>
      <c r="X1152" s="25" t="n">
        <v>0</v>
      </c>
      <c r="Y1152" s="25" t="n">
        <v>0</v>
      </c>
      <c r="Z1152" s="25" t="n">
        <v>0</v>
      </c>
      <c r="AA1152" s="25" t="n">
        <v>0</v>
      </c>
      <c r="AB1152" s="25" t="n">
        <v>0</v>
      </c>
      <c r="AC1152" s="25" t="n">
        <v>0</v>
      </c>
      <c r="AD1152" s="25" t="n">
        <v>0</v>
      </c>
      <c r="AE1152" s="25" t="n">
        <v>0</v>
      </c>
      <c r="AG1152" s="20" t="inlineStr">
        <is>
          <t>egy.mit.cov.all.all.all.3</t>
        </is>
      </c>
      <c r="AH1152" s="25" t="n">
        <v>0</v>
      </c>
      <c r="AI1152" s="25" t="n">
        <v>0</v>
      </c>
      <c r="AJ1152" s="25" t="n">
        <v>0</v>
      </c>
      <c r="AK1152" s="25" t="n">
        <v>0</v>
      </c>
      <c r="AL1152" s="25" t="n">
        <v>0</v>
      </c>
      <c r="AM1152" s="25" t="n">
        <v>0.9986485894168365</v>
      </c>
      <c r="AN1152" s="25" t="n">
        <v>0.9985785049031624</v>
      </c>
      <c r="AO1152" s="25" t="n">
        <v>0.9985782954440895</v>
      </c>
      <c r="AP1152" s="25" t="n">
        <v>0.9985577500443255</v>
      </c>
      <c r="AQ1152" s="25" t="n">
        <v>0.9985323169801408</v>
      </c>
      <c r="AR1152" s="25" t="n">
        <v>0.9984978396738806</v>
      </c>
      <c r="AS1152" s="25" t="n">
        <v>0.9984819411674822</v>
      </c>
      <c r="AT1152" s="25" t="n">
        <v>0.998457891584001</v>
      </c>
      <c r="AU1152" s="25" t="n">
        <v>0.9984387442306398</v>
      </c>
      <c r="AV1152" s="25" t="n">
        <v>0.9984196669828516</v>
      </c>
      <c r="AW1152" s="25" t="n">
        <v>0.9984010062249621</v>
      </c>
      <c r="AX1152" s="25" t="n">
        <v>0.9983825756726381</v>
      </c>
      <c r="AY1152" s="25" t="n">
        <v>0.9983645943528041</v>
      </c>
      <c r="AZ1152" s="25" t="n">
        <v>0.9983468812734856</v>
      </c>
      <c r="BA1152" s="25" t="n">
        <v>0.9983296585978623</v>
      </c>
      <c r="BC1152" s="20" t="inlineStr">
        <is>
          <t>egy.mit.cov.all.all.all.4</t>
        </is>
      </c>
      <c r="BD1152" s="25" t="n">
        <v>0</v>
      </c>
      <c r="BE1152" s="25" t="n">
        <v>0</v>
      </c>
      <c r="BF1152" s="25" t="n">
        <v>0</v>
      </c>
      <c r="BG1152" s="25" t="n">
        <v>0</v>
      </c>
      <c r="BH1152" s="25" t="n">
        <v>0</v>
      </c>
      <c r="BI1152" s="25" t="n">
        <v>0.9987178941747679</v>
      </c>
      <c r="BJ1152" s="25" t="n">
        <v>0.9986283540210013</v>
      </c>
      <c r="BK1152" s="25" t="n">
        <v>0.9985245933136466</v>
      </c>
      <c r="BL1152" s="25" t="n">
        <v>0.9984443095603515</v>
      </c>
      <c r="BM1152" s="25" t="n">
        <v>0.9983545648689101</v>
      </c>
      <c r="BN1152" s="25" t="n">
        <v>0.9982362321080646</v>
      </c>
      <c r="BO1152" s="25" t="n">
        <v>0.9981417424737666</v>
      </c>
      <c r="BP1152" s="25" t="n">
        <v>0.9980239836582137</v>
      </c>
      <c r="BQ1152" s="25" t="n">
        <v>0.9979202385923528</v>
      </c>
      <c r="BR1152" s="25" t="n">
        <v>0.9977995382471755</v>
      </c>
      <c r="BS1152" s="25" t="n">
        <v>0.9976909576435773</v>
      </c>
      <c r="BT1152" s="25" t="n">
        <v>0.9975625885565632</v>
      </c>
      <c r="BU1152" s="25" t="n">
        <v>0.9974519654088819</v>
      </c>
      <c r="BV1152" s="25" t="n">
        <v>0.9973126020746835</v>
      </c>
      <c r="BW1152" s="25" t="n">
        <v>0.9972064711000378</v>
      </c>
      <c r="BY1152" s="20" t="inlineStr">
        <is>
          <t>egy.mit.cov.all.all.all.5</t>
        </is>
      </c>
      <c r="BZ1152" s="25" t="n">
        <v>0</v>
      </c>
      <c r="CA1152" s="25" t="n">
        <v>0</v>
      </c>
      <c r="CB1152" s="25" t="n">
        <v>0</v>
      </c>
      <c r="CC1152" s="25" t="n">
        <v>0</v>
      </c>
      <c r="CD1152" s="25" t="n">
        <v>0</v>
      </c>
      <c r="CE1152" s="25" t="n">
        <v>0.9986291723306898</v>
      </c>
      <c r="CF1152" s="25" t="n">
        <v>0.9986123421476834</v>
      </c>
      <c r="CG1152" s="25" t="n">
        <v>0.9985981393723138</v>
      </c>
      <c r="CH1152" s="25" t="n">
        <v>0.9985798743470093</v>
      </c>
      <c r="CI1152" s="25" t="n">
        <v>0.9985382099865328</v>
      </c>
      <c r="CJ1152" s="25" t="n">
        <v>0.9984878154272303</v>
      </c>
      <c r="CK1152" s="25" t="n">
        <v>0.9984596076069759</v>
      </c>
      <c r="CL1152" s="25" t="n">
        <v>0.9984057637505632</v>
      </c>
      <c r="CM1152" s="25" t="n">
        <v>0.9983589148411736</v>
      </c>
      <c r="CN1152" s="25" t="n">
        <v>0.99831430905879</v>
      </c>
      <c r="CO1152" s="25" t="n">
        <v>0.9982651850710749</v>
      </c>
      <c r="CP1152" s="25" t="n">
        <v>0.9982194252850195</v>
      </c>
      <c r="CQ1152" s="25" t="n">
        <v>0.9981749307617277</v>
      </c>
      <c r="CR1152" s="25" t="n">
        <v>0.998129436552206</v>
      </c>
      <c r="CS1152" s="25" t="n">
        <v>0.9980865646880082</v>
      </c>
      <c r="CU1152" s="20" t="inlineStr">
        <is>
          <t>egy.mit.cov.all.all.all.6</t>
        </is>
      </c>
      <c r="CV1152" s="25" t="n">
        <v>0</v>
      </c>
      <c r="CW1152" s="25" t="n">
        <v>0</v>
      </c>
      <c r="CX1152" s="25" t="n">
        <v>0</v>
      </c>
      <c r="CY1152" s="25" t="n">
        <v>0</v>
      </c>
      <c r="CZ1152" s="25" t="n">
        <v>0</v>
      </c>
      <c r="DA1152" s="25" t="n">
        <v>0.998515064762775</v>
      </c>
      <c r="DB1152" s="25" t="n">
        <v>0.9983485791176666</v>
      </c>
      <c r="DC1152" s="25" t="n">
        <v>0.9983524694348118</v>
      </c>
      <c r="DD1152" s="25" t="n">
        <v>0.9983131344550937</v>
      </c>
      <c r="DE1152" s="25" t="n">
        <v>0.998312294245451</v>
      </c>
      <c r="DF1152" s="25" t="n">
        <v>0.9982505675045868</v>
      </c>
      <c r="DG1152" s="25" t="n">
        <v>0.9982212178154009</v>
      </c>
      <c r="DH1152" s="25" t="n">
        <v>0.9981669495165111</v>
      </c>
      <c r="DI1152" s="25" t="n">
        <v>0.9981271812456534</v>
      </c>
      <c r="DJ1152" s="25" t="n">
        <v>0.9980807497696328</v>
      </c>
      <c r="DK1152" s="25" t="n">
        <v>0.9980411385557828</v>
      </c>
      <c r="DL1152" s="25" t="n">
        <v>0.9979963680127404</v>
      </c>
      <c r="DM1152" s="25" t="n">
        <v>0.9979591429105009</v>
      </c>
      <c r="DN1152" s="25" t="n">
        <v>0.9979176447430764</v>
      </c>
      <c r="DO1152" s="25" t="n">
        <v>0.9978830637691866</v>
      </c>
    </row>
    <row r="1153">
      <c r="A1153" s="19" t="inlineStr">
        <is>
          <t>mit.co2.chg.all.all</t>
        </is>
      </c>
      <c r="B1153" s="3" t="inlineStr">
        <is>
          <t>mit</t>
        </is>
      </c>
      <c r="C1153" s="19" t="n"/>
      <c r="H1153" s="3" t="inlineStr">
        <is>
          <t>Change in CO2 emissions vs scenario 1 | All sectors | All fuels</t>
        </is>
      </c>
      <c r="I1153" s="3" t="inlineStr">
        <is>
          <t>MtCO2</t>
        </is>
      </c>
      <c r="K1153" s="20" t="inlineStr">
        <is>
          <t>egy.mit.co2.chg.all.all.1</t>
        </is>
      </c>
      <c r="L1153" s="22" t="n">
        <v>0</v>
      </c>
      <c r="M1153" s="22" t="n">
        <v>0</v>
      </c>
      <c r="N1153" s="22" t="n">
        <v>0</v>
      </c>
      <c r="O1153" s="22" t="n">
        <v>0</v>
      </c>
      <c r="P1153" s="22" t="n">
        <v>0</v>
      </c>
      <c r="Q1153" s="22" t="n">
        <v>0</v>
      </c>
      <c r="R1153" s="22" t="n">
        <v>0</v>
      </c>
      <c r="S1153" s="22" t="n">
        <v>0</v>
      </c>
      <c r="T1153" s="22" t="n">
        <v>0</v>
      </c>
      <c r="U1153" s="22" t="n">
        <v>0</v>
      </c>
      <c r="V1153" s="22" t="n">
        <v>0</v>
      </c>
      <c r="W1153" s="22" t="n">
        <v>0</v>
      </c>
      <c r="X1153" s="22" t="n">
        <v>0</v>
      </c>
      <c r="Y1153" s="22" t="n">
        <v>0</v>
      </c>
      <c r="Z1153" s="22" t="n">
        <v>0</v>
      </c>
      <c r="AA1153" s="22" t="n">
        <v>0</v>
      </c>
      <c r="AB1153" s="22" t="n">
        <v>0</v>
      </c>
      <c r="AC1153" s="22" t="n">
        <v>0</v>
      </c>
      <c r="AD1153" s="22" t="n">
        <v>0</v>
      </c>
      <c r="AE1153" s="22" t="n">
        <v>0</v>
      </c>
      <c r="AG1153" s="20" t="inlineStr">
        <is>
          <t>egy.mit.co2.chg.all.all.3</t>
        </is>
      </c>
      <c r="AH1153" s="22" t="n">
        <v>0</v>
      </c>
      <c r="AI1153" s="22" t="n">
        <v>-0.05342431115184354</v>
      </c>
      <c r="AJ1153" s="22" t="n">
        <v>-0.05149487948591513</v>
      </c>
      <c r="AK1153" s="22" t="n">
        <v>-0.04963262864521312</v>
      </c>
      <c r="AL1153" s="22" t="n">
        <v>-0.04965558014112048</v>
      </c>
      <c r="AM1153" s="22" t="n">
        <v>-23.04335638823898</v>
      </c>
      <c r="AN1153" s="22" t="n">
        <v>-33.7756921194339</v>
      </c>
      <c r="AO1153" s="22" t="n">
        <v>-32.44205870947238</v>
      </c>
      <c r="AP1153" s="22" t="n">
        <v>-34.2623677996275</v>
      </c>
      <c r="AQ1153" s="22" t="n">
        <v>-33.45150662534382</v>
      </c>
      <c r="AR1153" s="22" t="n">
        <v>-34.02604094988163</v>
      </c>
      <c r="AS1153" s="22" t="n">
        <v>-33.96906444193615</v>
      </c>
      <c r="AT1153" s="22" t="n">
        <v>-34.6653174349816</v>
      </c>
      <c r="AU1153" s="22" t="n">
        <v>-35.03019244360451</v>
      </c>
      <c r="AV1153" s="22" t="n">
        <v>-35.36591865910248</v>
      </c>
      <c r="AW1153" s="22" t="n">
        <v>-35.59287555622768</v>
      </c>
      <c r="AX1153" s="22" t="n">
        <v>-35.97137522045136</v>
      </c>
      <c r="AY1153" s="22" t="n">
        <v>-36.41073797240944</v>
      </c>
      <c r="AZ1153" s="22" t="n">
        <v>-37.04177983324604</v>
      </c>
      <c r="BA1153" s="22" t="n">
        <v>-37.72160027501639</v>
      </c>
      <c r="BC1153" s="20" t="inlineStr">
        <is>
          <t>egy.mit.co2.chg.all.all.4</t>
        </is>
      </c>
      <c r="BD1153" s="22" t="n">
        <v>0</v>
      </c>
      <c r="BE1153" s="22" t="n">
        <v>-0.1849348712534322</v>
      </c>
      <c r="BF1153" s="22" t="n">
        <v>-0.1782477437842545</v>
      </c>
      <c r="BG1153" s="22" t="n">
        <v>-0.1717937407699992</v>
      </c>
      <c r="BH1153" s="22" t="n">
        <v>-0.1716317427790841</v>
      </c>
      <c r="BI1153" s="22" t="n">
        <v>-15.04066765550965</v>
      </c>
      <c r="BJ1153" s="22" t="n">
        <v>-36.37095486994798</v>
      </c>
      <c r="BK1153" s="22" t="n">
        <v>-58.22699600734455</v>
      </c>
      <c r="BL1153" s="22" t="n">
        <v>-73.87613507570268</v>
      </c>
      <c r="BM1153" s="22" t="n">
        <v>-82.26916280642399</v>
      </c>
      <c r="BN1153" s="22" t="n">
        <v>-93.10881913766167</v>
      </c>
      <c r="BO1153" s="22" t="n">
        <v>-103.153235709281</v>
      </c>
      <c r="BP1153" s="22" t="n">
        <v>-114.3459006408877</v>
      </c>
      <c r="BQ1153" s="22" t="n">
        <v>-123.901479105555</v>
      </c>
      <c r="BR1153" s="22" t="n">
        <v>-134.4443358530953</v>
      </c>
      <c r="BS1153" s="22" t="n">
        <v>-143.4362461465901</v>
      </c>
      <c r="BT1153" s="22" t="n">
        <v>-153.5843711293751</v>
      </c>
      <c r="BU1153" s="22" t="n">
        <v>-162.055538480247</v>
      </c>
      <c r="BV1153" s="22" t="n">
        <v>-172.2833742985375</v>
      </c>
      <c r="BW1153" s="22" t="n">
        <v>-180.1439270666656</v>
      </c>
      <c r="BY1153" s="20" t="inlineStr">
        <is>
          <t>egy.mit.co2.chg.all.all.5</t>
        </is>
      </c>
      <c r="BZ1153" s="22" t="n">
        <v>0</v>
      </c>
      <c r="CA1153" s="22" t="n">
        <v>-0.3137660530383073</v>
      </c>
      <c r="CB1153" s="22" t="n">
        <v>-0.3025760797920327</v>
      </c>
      <c r="CC1153" s="22" t="n">
        <v>-0.2917731079353416</v>
      </c>
      <c r="CD1153" s="22" t="n">
        <v>-0.2917630723422349</v>
      </c>
      <c r="CE1153" s="22" t="n">
        <v>-26.56331127326322</v>
      </c>
      <c r="CF1153" s="22" t="n">
        <v>-27.78117552731857</v>
      </c>
      <c r="CG1153" s="22" t="n">
        <v>-28.84783381705802</v>
      </c>
      <c r="CH1153" s="22" t="n">
        <v>-30.21475419931318</v>
      </c>
      <c r="CI1153" s="22" t="n">
        <v>-32.33425350649077</v>
      </c>
      <c r="CJ1153" s="22" t="n">
        <v>-35.75296789787967</v>
      </c>
      <c r="CK1153" s="22" t="n">
        <v>-37.86048424568469</v>
      </c>
      <c r="CL1153" s="22" t="n">
        <v>-43.75382376834119</v>
      </c>
      <c r="CM1153" s="22" t="n">
        <v>-48.87018588509488</v>
      </c>
      <c r="CN1153" s="22" t="n">
        <v>-53.53645637175163</v>
      </c>
      <c r="CO1153" s="22" t="n">
        <v>-58.85994381478741</v>
      </c>
      <c r="CP1153" s="22" t="n">
        <v>-63.76718498290177</v>
      </c>
      <c r="CQ1153" s="22" t="n">
        <v>-68.53571047277427</v>
      </c>
      <c r="CR1153" s="22" t="n">
        <v>-73.60787853983561</v>
      </c>
      <c r="CS1153" s="22" t="n">
        <v>-78.34390491583218</v>
      </c>
      <c r="CU1153" s="20" t="inlineStr">
        <is>
          <t>egy.mit.co2.chg.all.all.6</t>
        </is>
      </c>
      <c r="CV1153" s="22" t="n">
        <v>0</v>
      </c>
      <c r="CW1153" s="22" t="n">
        <v>-0.1274352073701834</v>
      </c>
      <c r="CX1153" s="22" t="n">
        <v>-0.1228296246657976</v>
      </c>
      <c r="CY1153" s="22" t="n">
        <v>-0.1183845166340234</v>
      </c>
      <c r="CZ1153" s="22" t="n">
        <v>-0.1183442439983082</v>
      </c>
      <c r="DA1153" s="22" t="n">
        <v>-45.38914739454901</v>
      </c>
      <c r="DB1153" s="22" t="n">
        <v>-68.00364635298024</v>
      </c>
      <c r="DC1153" s="22" t="n">
        <v>-67.30278644675292</v>
      </c>
      <c r="DD1153" s="22" t="n">
        <v>-72.10530791391685</v>
      </c>
      <c r="DE1153" s="22" t="n">
        <v>-67.96228242944758</v>
      </c>
      <c r="DF1153" s="22" t="n">
        <v>-71.89584066185239</v>
      </c>
      <c r="DG1153" s="22" t="n">
        <v>-73.94967494183842</v>
      </c>
      <c r="DH1153" s="22" t="n">
        <v>-78.45262060543092</v>
      </c>
      <c r="DI1153" s="22" t="n">
        <v>-81.65166808071405</v>
      </c>
      <c r="DJ1153" s="22" t="n">
        <v>-85.62171858615636</v>
      </c>
      <c r="DK1153" s="22" t="n">
        <v>-88.60776575201368</v>
      </c>
      <c r="DL1153" s="22" t="n">
        <v>-92.50867436728129</v>
      </c>
      <c r="DM1153" s="22" t="n">
        <v>-95.66671452257521</v>
      </c>
      <c r="DN1153" s="22" t="n">
        <v>-99.68433280661819</v>
      </c>
      <c r="DO1153" s="22" t="n">
        <v>-103.0386873046199</v>
      </c>
    </row>
    <row r="1154">
      <c r="A1154" s="19" t="inlineStr">
        <is>
          <t>mit.co2.ets.all.all</t>
        </is>
      </c>
      <c r="B1154" s="3" t="inlineStr">
        <is>
          <t>mit</t>
        </is>
      </c>
      <c r="C1154" s="19" t="n"/>
      <c r="H1154" s="3" t="inlineStr">
        <is>
          <t>CO2 emissions covered by the new ETS | All sectors | All fuels</t>
        </is>
      </c>
      <c r="I1154" s="3" t="inlineStr">
        <is>
          <t>MtCO2</t>
        </is>
      </c>
      <c r="K1154" s="20" t="inlineStr">
        <is>
          <t>egy.mit.co2.ets.all.all.1</t>
        </is>
      </c>
      <c r="L1154" s="22" t="n">
        <v>0</v>
      </c>
      <c r="M1154" s="22" t="n">
        <v>0</v>
      </c>
      <c r="N1154" s="22" t="n">
        <v>0</v>
      </c>
      <c r="O1154" s="22" t="n">
        <v>0</v>
      </c>
      <c r="P1154" s="22" t="n">
        <v>0</v>
      </c>
      <c r="Q1154" s="22" t="n">
        <v>0</v>
      </c>
      <c r="R1154" s="22" t="n">
        <v>0</v>
      </c>
      <c r="S1154" s="22" t="n">
        <v>0</v>
      </c>
      <c r="T1154" s="22" t="n">
        <v>0</v>
      </c>
      <c r="U1154" s="22" t="n">
        <v>0</v>
      </c>
      <c r="V1154" s="22" t="n">
        <v>0</v>
      </c>
      <c r="W1154" s="22" t="n">
        <v>0</v>
      </c>
      <c r="X1154" s="22" t="n">
        <v>0</v>
      </c>
      <c r="Y1154" s="22" t="n">
        <v>0</v>
      </c>
      <c r="Z1154" s="22" t="n">
        <v>0</v>
      </c>
      <c r="AA1154" s="22" t="n">
        <v>0</v>
      </c>
      <c r="AB1154" s="22" t="n">
        <v>0</v>
      </c>
      <c r="AC1154" s="22" t="n">
        <v>0</v>
      </c>
      <c r="AD1154" s="22" t="n">
        <v>0</v>
      </c>
      <c r="AE1154" s="22" t="n">
        <v>0</v>
      </c>
      <c r="AG1154" s="20" t="inlineStr">
        <is>
          <t>egy.mit.co2.ets.all.all.3</t>
        </is>
      </c>
      <c r="AH1154" s="22" t="n">
        <v>0</v>
      </c>
      <c r="AI1154" s="22" t="n">
        <v>0</v>
      </c>
      <c r="AJ1154" s="22" t="n">
        <v>0</v>
      </c>
      <c r="AK1154" s="22" t="n">
        <v>0</v>
      </c>
      <c r="AL1154" s="22" t="n">
        <v>0</v>
      </c>
      <c r="AM1154" s="22" t="n">
        <v>0</v>
      </c>
      <c r="AN1154" s="22" t="n">
        <v>0</v>
      </c>
      <c r="AO1154" s="22" t="n">
        <v>0</v>
      </c>
      <c r="AP1154" s="22" t="n">
        <v>0</v>
      </c>
      <c r="AQ1154" s="22" t="n">
        <v>0</v>
      </c>
      <c r="AR1154" s="22" t="n">
        <v>0</v>
      </c>
      <c r="AS1154" s="22" t="n">
        <v>0</v>
      </c>
      <c r="AT1154" s="22" t="n">
        <v>0</v>
      </c>
      <c r="AU1154" s="22" t="n">
        <v>0</v>
      </c>
      <c r="AV1154" s="22" t="n">
        <v>0</v>
      </c>
      <c r="AW1154" s="22" t="n">
        <v>0</v>
      </c>
      <c r="AX1154" s="22" t="n">
        <v>0</v>
      </c>
      <c r="AY1154" s="22" t="n">
        <v>0</v>
      </c>
      <c r="AZ1154" s="22" t="n">
        <v>0</v>
      </c>
      <c r="BA1154" s="22" t="n">
        <v>0</v>
      </c>
      <c r="BC1154" s="20" t="inlineStr">
        <is>
          <t>egy.mit.co2.ets.all.all.4</t>
        </is>
      </c>
      <c r="BD1154" s="22" t="n">
        <v>0</v>
      </c>
      <c r="BE1154" s="22" t="n">
        <v>0</v>
      </c>
      <c r="BF1154" s="22" t="n">
        <v>0</v>
      </c>
      <c r="BG1154" s="22" t="n">
        <v>0</v>
      </c>
      <c r="BH1154" s="22" t="n">
        <v>0</v>
      </c>
      <c r="BI1154" s="22" t="n">
        <v>0</v>
      </c>
      <c r="BJ1154" s="22" t="n">
        <v>0</v>
      </c>
      <c r="BK1154" s="22" t="n">
        <v>0</v>
      </c>
      <c r="BL1154" s="22" t="n">
        <v>0</v>
      </c>
      <c r="BM1154" s="22" t="n">
        <v>0</v>
      </c>
      <c r="BN1154" s="22" t="n">
        <v>0</v>
      </c>
      <c r="BO1154" s="22" t="n">
        <v>0</v>
      </c>
      <c r="BP1154" s="22" t="n">
        <v>0</v>
      </c>
      <c r="BQ1154" s="22" t="n">
        <v>0</v>
      </c>
      <c r="BR1154" s="22" t="n">
        <v>0</v>
      </c>
      <c r="BS1154" s="22" t="n">
        <v>0</v>
      </c>
      <c r="BT1154" s="22" t="n">
        <v>0</v>
      </c>
      <c r="BU1154" s="22" t="n">
        <v>0</v>
      </c>
      <c r="BV1154" s="22" t="n">
        <v>0</v>
      </c>
      <c r="BW1154" s="22" t="n">
        <v>0</v>
      </c>
      <c r="BY1154" s="20" t="inlineStr">
        <is>
          <t>egy.mit.co2.ets.all.all.5</t>
        </is>
      </c>
      <c r="BZ1154" s="22" t="n">
        <v>0</v>
      </c>
      <c r="CA1154" s="22" t="n">
        <v>0</v>
      </c>
      <c r="CB1154" s="22" t="n">
        <v>0</v>
      </c>
      <c r="CC1154" s="22" t="n">
        <v>0</v>
      </c>
      <c r="CD1154" s="22" t="n">
        <v>0</v>
      </c>
      <c r="CE1154" s="22" t="n">
        <v>119.1639326983334</v>
      </c>
      <c r="CF1154" s="22" t="n">
        <v>122.123450575575</v>
      </c>
      <c r="CG1154" s="22" t="n">
        <v>125.3125596250608</v>
      </c>
      <c r="CH1154" s="22" t="n">
        <v>127.1410166200236</v>
      </c>
      <c r="CI1154" s="22" t="n">
        <v>124.825555893243</v>
      </c>
      <c r="CJ1154" s="22" t="n">
        <v>120.9000689693811</v>
      </c>
      <c r="CK1154" s="22" t="n">
        <v>121.0717817403302</v>
      </c>
      <c r="CL1154" s="22" t="n">
        <v>116.8463824024391</v>
      </c>
      <c r="CM1154" s="22" t="n">
        <v>113.8820005192784</v>
      </c>
      <c r="CN1154" s="22" t="n">
        <v>111.3591961285252</v>
      </c>
      <c r="CO1154" s="22" t="n">
        <v>108.2058576139667</v>
      </c>
      <c r="CP1154" s="22" t="n">
        <v>105.5739889220645</v>
      </c>
      <c r="CQ1154" s="22" t="n">
        <v>103.150127058061</v>
      </c>
      <c r="CR1154" s="22" t="n">
        <v>100.5482067639069</v>
      </c>
      <c r="CS1154" s="22" t="n">
        <v>98.35069532556979</v>
      </c>
      <c r="CU1154" s="20" t="inlineStr">
        <is>
          <t>egy.mit.co2.ets.all.all.6</t>
        </is>
      </c>
      <c r="CV1154" s="22" t="n">
        <v>0</v>
      </c>
      <c r="CW1154" s="22" t="n">
        <v>0</v>
      </c>
      <c r="CX1154" s="22" t="n">
        <v>0</v>
      </c>
      <c r="CY1154" s="22" t="n">
        <v>0</v>
      </c>
      <c r="CZ1154" s="22" t="n">
        <v>0</v>
      </c>
      <c r="DA1154" s="22" t="n">
        <v>0</v>
      </c>
      <c r="DB1154" s="22" t="n">
        <v>0</v>
      </c>
      <c r="DC1154" s="22" t="n">
        <v>0</v>
      </c>
      <c r="DD1154" s="22" t="n">
        <v>0</v>
      </c>
      <c r="DE1154" s="22" t="n">
        <v>0</v>
      </c>
      <c r="DF1154" s="22" t="n">
        <v>0</v>
      </c>
      <c r="DG1154" s="22" t="n">
        <v>0</v>
      </c>
      <c r="DH1154" s="22" t="n">
        <v>0</v>
      </c>
      <c r="DI1154" s="22" t="n">
        <v>0</v>
      </c>
      <c r="DJ1154" s="22" t="n">
        <v>0</v>
      </c>
      <c r="DK1154" s="22" t="n">
        <v>0</v>
      </c>
      <c r="DL1154" s="22" t="n">
        <v>0</v>
      </c>
      <c r="DM1154" s="22" t="n">
        <v>0</v>
      </c>
      <c r="DN1154" s="22" t="n">
        <v>0</v>
      </c>
      <c r="DO1154" s="22" t="n">
        <v>0</v>
      </c>
    </row>
    <row r="1155">
      <c r="A1155" s="19" t="inlineStr">
        <is>
          <t>mit.co2.cap.all.all</t>
        </is>
      </c>
      <c r="B1155" s="3" t="inlineStr">
        <is>
          <t>mit</t>
        </is>
      </c>
      <c r="C1155" s="19" t="n"/>
      <c r="H1155" s="3" t="inlineStr">
        <is>
          <t>ETS cap | All sectors | All fuels</t>
        </is>
      </c>
      <c r="I1155" s="3" t="inlineStr">
        <is>
          <t>MtCO2</t>
        </is>
      </c>
      <c r="K1155" s="20" t="inlineStr">
        <is>
          <t>egy.mit.co2.cap.all.all.1</t>
        </is>
      </c>
      <c r="L1155" s="22" t="n">
        <v>0</v>
      </c>
      <c r="M1155" s="22" t="n">
        <v>0</v>
      </c>
      <c r="N1155" s="22" t="n">
        <v>0</v>
      </c>
      <c r="O1155" s="22" t="n">
        <v>0</v>
      </c>
      <c r="P1155" s="22" t="n">
        <v>0</v>
      </c>
      <c r="Q1155" s="22" t="n">
        <v>0</v>
      </c>
      <c r="R1155" s="22" t="n">
        <v>0</v>
      </c>
      <c r="S1155" s="22" t="n">
        <v>0</v>
      </c>
      <c r="T1155" s="22" t="n">
        <v>0</v>
      </c>
      <c r="U1155" s="22" t="n">
        <v>0</v>
      </c>
      <c r="V1155" s="22" t="n">
        <v>0</v>
      </c>
      <c r="W1155" s="22" t="n">
        <v>0</v>
      </c>
      <c r="X1155" s="22" t="n">
        <v>0</v>
      </c>
      <c r="Y1155" s="22" t="n">
        <v>0</v>
      </c>
      <c r="Z1155" s="22" t="n">
        <v>0</v>
      </c>
      <c r="AA1155" s="22" t="n">
        <v>0</v>
      </c>
      <c r="AB1155" s="22" t="n">
        <v>0</v>
      </c>
      <c r="AC1155" s="22" t="n">
        <v>0</v>
      </c>
      <c r="AD1155" s="22" t="n">
        <v>0</v>
      </c>
      <c r="AE1155" s="22" t="n">
        <v>0</v>
      </c>
      <c r="AG1155" s="20" t="inlineStr">
        <is>
          <t>egy.mit.co2.cap.all.all.3</t>
        </is>
      </c>
      <c r="AH1155" s="22" t="n">
        <v>0</v>
      </c>
      <c r="AI1155" s="22" t="n">
        <v>0</v>
      </c>
      <c r="AJ1155" s="22" t="n">
        <v>0</v>
      </c>
      <c r="AK1155" s="22" t="n">
        <v>0</v>
      </c>
      <c r="AL1155" s="22" t="n">
        <v>0</v>
      </c>
      <c r="AM1155" s="22" t="n">
        <v>0</v>
      </c>
      <c r="AN1155" s="22" t="n">
        <v>0</v>
      </c>
      <c r="AO1155" s="22" t="n">
        <v>0</v>
      </c>
      <c r="AP1155" s="22" t="n">
        <v>0</v>
      </c>
      <c r="AQ1155" s="22" t="n">
        <v>0</v>
      </c>
      <c r="AR1155" s="22" t="n">
        <v>0</v>
      </c>
      <c r="AS1155" s="22" t="n">
        <v>0</v>
      </c>
      <c r="AT1155" s="22" t="n">
        <v>0</v>
      </c>
      <c r="AU1155" s="22" t="n">
        <v>0</v>
      </c>
      <c r="AV1155" s="22" t="n">
        <v>0</v>
      </c>
      <c r="AW1155" s="22" t="n">
        <v>0</v>
      </c>
      <c r="AX1155" s="22" t="n">
        <v>0</v>
      </c>
      <c r="AY1155" s="22" t="n">
        <v>0</v>
      </c>
      <c r="AZ1155" s="22" t="n">
        <v>0</v>
      </c>
      <c r="BA1155" s="22" t="n">
        <v>0</v>
      </c>
      <c r="BC1155" s="20" t="inlineStr">
        <is>
          <t>egy.mit.co2.cap.all.all.4</t>
        </is>
      </c>
      <c r="BD1155" s="22" t="n">
        <v>0</v>
      </c>
      <c r="BE1155" s="22" t="n">
        <v>0</v>
      </c>
      <c r="BF1155" s="22" t="n">
        <v>0</v>
      </c>
      <c r="BG1155" s="22" t="n">
        <v>0</v>
      </c>
      <c r="BH1155" s="22" t="n">
        <v>0</v>
      </c>
      <c r="BI1155" s="22" t="n">
        <v>0</v>
      </c>
      <c r="BJ1155" s="22" t="n">
        <v>0</v>
      </c>
      <c r="BK1155" s="22" t="n">
        <v>0</v>
      </c>
      <c r="BL1155" s="22" t="n">
        <v>0</v>
      </c>
      <c r="BM1155" s="22" t="n">
        <v>0</v>
      </c>
      <c r="BN1155" s="22" t="n">
        <v>0</v>
      </c>
      <c r="BO1155" s="22" t="n">
        <v>0</v>
      </c>
      <c r="BP1155" s="22" t="n">
        <v>0</v>
      </c>
      <c r="BQ1155" s="22" t="n">
        <v>0</v>
      </c>
      <c r="BR1155" s="22" t="n">
        <v>0</v>
      </c>
      <c r="BS1155" s="22" t="n">
        <v>0</v>
      </c>
      <c r="BT1155" s="22" t="n">
        <v>0</v>
      </c>
      <c r="BU1155" s="22" t="n">
        <v>0</v>
      </c>
      <c r="BV1155" s="22" t="n">
        <v>0</v>
      </c>
      <c r="BW1155" s="22" t="n">
        <v>0</v>
      </c>
      <c r="BY1155" s="20" t="inlineStr">
        <is>
          <t>egy.mit.co2.cap.all.all.5</t>
        </is>
      </c>
      <c r="BZ1155" s="22" t="n">
        <v>0</v>
      </c>
      <c r="CA1155" s="22" t="n">
        <v>0</v>
      </c>
      <c r="CB1155" s="22" t="n">
        <v>0</v>
      </c>
      <c r="CC1155" s="22" t="n">
        <v>0</v>
      </c>
      <c r="CD1155" s="22" t="n">
        <v>0</v>
      </c>
      <c r="CE1155" s="22" t="n">
        <v>114.8008742585159</v>
      </c>
      <c r="CF1155" s="22" t="n">
        <v>115.7342781321086</v>
      </c>
      <c r="CG1155" s="22" t="n">
        <v>116.680602212416</v>
      </c>
      <c r="CH1155" s="22" t="n">
        <v>116.4499342106982</v>
      </c>
      <c r="CI1155" s="22" t="n">
        <v>113.2902946150927</v>
      </c>
      <c r="CJ1155" s="22" t="n">
        <v>109.8034817495719</v>
      </c>
      <c r="CK1155" s="22" t="n">
        <v>108.7983087746231</v>
      </c>
      <c r="CL1155" s="22" t="n">
        <v>107.2307756103833</v>
      </c>
      <c r="CM1155" s="22" t="n">
        <v>105.9922150310465</v>
      </c>
      <c r="CN1155" s="22" t="n">
        <v>105.9922150310465</v>
      </c>
      <c r="CO1155" s="22" t="n">
        <v>105.9922150310465</v>
      </c>
      <c r="CP1155" s="22" t="n">
        <v>105.9922150310465</v>
      </c>
      <c r="CQ1155" s="22" t="n">
        <v>105.9922150310465</v>
      </c>
      <c r="CR1155" s="22" t="n">
        <v>105.9922150310465</v>
      </c>
      <c r="CS1155" s="22" t="n">
        <v>105.9922150310465</v>
      </c>
      <c r="CU1155" s="20" t="inlineStr">
        <is>
          <t>egy.mit.co2.cap.all.all.6</t>
        </is>
      </c>
      <c r="CV1155" s="22" t="n">
        <v>0</v>
      </c>
      <c r="CW1155" s="22" t="n">
        <v>0</v>
      </c>
      <c r="CX1155" s="22" t="n">
        <v>0</v>
      </c>
      <c r="CY1155" s="22" t="n">
        <v>0</v>
      </c>
      <c r="CZ1155" s="22" t="n">
        <v>0</v>
      </c>
      <c r="DA1155" s="22" t="n">
        <v>0</v>
      </c>
      <c r="DB1155" s="22" t="n">
        <v>0</v>
      </c>
      <c r="DC1155" s="22" t="n">
        <v>0</v>
      </c>
      <c r="DD1155" s="22" t="n">
        <v>0</v>
      </c>
      <c r="DE1155" s="22" t="n">
        <v>0</v>
      </c>
      <c r="DF1155" s="22" t="n">
        <v>0</v>
      </c>
      <c r="DG1155" s="22" t="n">
        <v>0</v>
      </c>
      <c r="DH1155" s="22" t="n">
        <v>0</v>
      </c>
      <c r="DI1155" s="22" t="n">
        <v>0</v>
      </c>
      <c r="DJ1155" s="22" t="n">
        <v>0</v>
      </c>
      <c r="DK1155" s="22" t="n">
        <v>0</v>
      </c>
      <c r="DL1155" s="22" t="n">
        <v>0</v>
      </c>
      <c r="DM1155" s="22" t="n">
        <v>0</v>
      </c>
      <c r="DN1155" s="22" t="n">
        <v>0</v>
      </c>
      <c r="DO1155" s="22" t="n">
        <v>0</v>
      </c>
    </row>
    <row r="1156">
      <c r="A1156" s="19" t="inlineStr">
        <is>
          <t>mit.ch4.rev.all.all</t>
        </is>
      </c>
      <c r="B1156" s="3" t="inlineStr">
        <is>
          <t>mit</t>
        </is>
      </c>
      <c r="C1156" s="19" t="n"/>
      <c r="H1156" s="3" t="inlineStr">
        <is>
          <t>Revenue from the methane fee | All sectors | All fuels</t>
        </is>
      </c>
      <c r="I1156" s="3" t="inlineStr">
        <is>
          <t>USD m real</t>
        </is>
      </c>
      <c r="K1156" s="20" t="inlineStr">
        <is>
          <t>egy.mit.ch4.rev.all.all.1</t>
        </is>
      </c>
      <c r="L1156" s="23" t="n">
        <v>0</v>
      </c>
      <c r="M1156" s="23" t="n">
        <v>0</v>
      </c>
      <c r="N1156" s="23" t="n">
        <v>0</v>
      </c>
      <c r="O1156" s="23" t="n">
        <v>0</v>
      </c>
      <c r="P1156" s="23" t="n">
        <v>0</v>
      </c>
      <c r="Q1156" s="23" t="n">
        <v>0</v>
      </c>
      <c r="R1156" s="23" t="n">
        <v>0</v>
      </c>
      <c r="S1156" s="23" t="n">
        <v>0</v>
      </c>
      <c r="T1156" s="23" t="n">
        <v>0</v>
      </c>
      <c r="U1156" s="23" t="n">
        <v>0</v>
      </c>
      <c r="V1156" s="23" t="n">
        <v>0</v>
      </c>
      <c r="W1156" s="23" t="n">
        <v>0</v>
      </c>
      <c r="X1156" s="23" t="n">
        <v>0</v>
      </c>
      <c r="Y1156" s="23" t="n">
        <v>0</v>
      </c>
      <c r="Z1156" s="23" t="n">
        <v>0</v>
      </c>
      <c r="AA1156" s="23" t="n">
        <v>0</v>
      </c>
      <c r="AB1156" s="23" t="n">
        <v>0</v>
      </c>
      <c r="AC1156" s="23" t="n">
        <v>0</v>
      </c>
      <c r="AD1156" s="23" t="n">
        <v>0</v>
      </c>
      <c r="AE1156" s="23" t="n">
        <v>0</v>
      </c>
      <c r="AG1156" s="20" t="inlineStr">
        <is>
          <t>egy.mit.ch4.rev.all.all.3</t>
        </is>
      </c>
      <c r="AH1156" s="23" t="n">
        <v>0</v>
      </c>
      <c r="AI1156" s="23" t="n">
        <v>0</v>
      </c>
      <c r="AJ1156" s="23" t="n">
        <v>0</v>
      </c>
      <c r="AK1156" s="23" t="n">
        <v>0</v>
      </c>
      <c r="AL1156" s="23" t="n">
        <v>0</v>
      </c>
      <c r="AM1156" s="23" t="n">
        <v>0</v>
      </c>
      <c r="AN1156" s="23" t="n">
        <v>0</v>
      </c>
      <c r="AO1156" s="23" t="n">
        <v>0</v>
      </c>
      <c r="AP1156" s="23" t="n">
        <v>0</v>
      </c>
      <c r="AQ1156" s="23" t="n">
        <v>0</v>
      </c>
      <c r="AR1156" s="23" t="n">
        <v>0</v>
      </c>
      <c r="AS1156" s="23" t="n">
        <v>0</v>
      </c>
      <c r="AT1156" s="23" t="n">
        <v>0</v>
      </c>
      <c r="AU1156" s="23" t="n">
        <v>0</v>
      </c>
      <c r="AV1156" s="23" t="n">
        <v>0</v>
      </c>
      <c r="AW1156" s="23" t="n">
        <v>0</v>
      </c>
      <c r="AX1156" s="23" t="n">
        <v>0</v>
      </c>
      <c r="AY1156" s="23" t="n">
        <v>0</v>
      </c>
      <c r="AZ1156" s="23" t="n">
        <v>0</v>
      </c>
      <c r="BA1156" s="23" t="n">
        <v>0</v>
      </c>
      <c r="BC1156" s="20" t="inlineStr">
        <is>
          <t>egy.mit.ch4.rev.all.all.4</t>
        </is>
      </c>
      <c r="BD1156" s="23" t="n">
        <v>0</v>
      </c>
      <c r="BE1156" s="23" t="n">
        <v>0</v>
      </c>
      <c r="BF1156" s="23" t="n">
        <v>0</v>
      </c>
      <c r="BG1156" s="23" t="n">
        <v>0</v>
      </c>
      <c r="BH1156" s="23" t="n">
        <v>0</v>
      </c>
      <c r="BI1156" s="23" t="n">
        <v>0</v>
      </c>
      <c r="BJ1156" s="23" t="n">
        <v>0</v>
      </c>
      <c r="BK1156" s="23" t="n">
        <v>0</v>
      </c>
      <c r="BL1156" s="23" t="n">
        <v>0</v>
      </c>
      <c r="BM1156" s="23" t="n">
        <v>0</v>
      </c>
      <c r="BN1156" s="23" t="n">
        <v>0</v>
      </c>
      <c r="BO1156" s="23" t="n">
        <v>0</v>
      </c>
      <c r="BP1156" s="23" t="n">
        <v>0</v>
      </c>
      <c r="BQ1156" s="23" t="n">
        <v>0</v>
      </c>
      <c r="BR1156" s="23" t="n">
        <v>0</v>
      </c>
      <c r="BS1156" s="23" t="n">
        <v>0</v>
      </c>
      <c r="BT1156" s="23" t="n">
        <v>0</v>
      </c>
      <c r="BU1156" s="23" t="n">
        <v>0</v>
      </c>
      <c r="BV1156" s="23" t="n">
        <v>0</v>
      </c>
      <c r="BW1156" s="23" t="n">
        <v>0</v>
      </c>
      <c r="BY1156" s="20" t="inlineStr">
        <is>
          <t>egy.mit.ch4.rev.all.all.5</t>
        </is>
      </c>
      <c r="BZ1156" s="23" t="n">
        <v>0</v>
      </c>
      <c r="CA1156" s="23" t="n">
        <v>0</v>
      </c>
      <c r="CB1156" s="23" t="n">
        <v>0</v>
      </c>
      <c r="CC1156" s="23" t="n">
        <v>0</v>
      </c>
      <c r="CD1156" s="23" t="n">
        <v>0</v>
      </c>
      <c r="CE1156" s="23" t="n">
        <v>0</v>
      </c>
      <c r="CF1156" s="23" t="n">
        <v>0</v>
      </c>
      <c r="CG1156" s="23" t="n">
        <v>0</v>
      </c>
      <c r="CH1156" s="23" t="n">
        <v>0</v>
      </c>
      <c r="CI1156" s="23" t="n">
        <v>0</v>
      </c>
      <c r="CJ1156" s="23" t="n">
        <v>0</v>
      </c>
      <c r="CK1156" s="23" t="n">
        <v>0</v>
      </c>
      <c r="CL1156" s="23" t="n">
        <v>0</v>
      </c>
      <c r="CM1156" s="23" t="n">
        <v>0</v>
      </c>
      <c r="CN1156" s="23" t="n">
        <v>0</v>
      </c>
      <c r="CO1156" s="23" t="n">
        <v>0</v>
      </c>
      <c r="CP1156" s="23" t="n">
        <v>0</v>
      </c>
      <c r="CQ1156" s="23" t="n">
        <v>0</v>
      </c>
      <c r="CR1156" s="23" t="n">
        <v>0</v>
      </c>
      <c r="CS1156" s="23" t="n">
        <v>0</v>
      </c>
      <c r="CU1156" s="20" t="inlineStr">
        <is>
          <t>egy.mit.ch4.rev.all.all.6</t>
        </is>
      </c>
      <c r="CV1156" s="23" t="n">
        <v>0</v>
      </c>
      <c r="CW1156" s="23" t="n">
        <v>0</v>
      </c>
      <c r="CX1156" s="23" t="n">
        <v>0</v>
      </c>
      <c r="CY1156" s="23" t="n">
        <v>0</v>
      </c>
      <c r="CZ1156" s="23" t="n">
        <v>0</v>
      </c>
      <c r="DA1156" s="23" t="n">
        <v>0</v>
      </c>
      <c r="DB1156" s="23" t="n">
        <v>0</v>
      </c>
      <c r="DC1156" s="23" t="n">
        <v>0</v>
      </c>
      <c r="DD1156" s="23" t="n">
        <v>0</v>
      </c>
      <c r="DE1156" s="23" t="n">
        <v>0</v>
      </c>
      <c r="DF1156" s="23" t="n">
        <v>0</v>
      </c>
      <c r="DG1156" s="23" t="n">
        <v>0</v>
      </c>
      <c r="DH1156" s="23" t="n">
        <v>0</v>
      </c>
      <c r="DI1156" s="23" t="n">
        <v>0</v>
      </c>
      <c r="DJ1156" s="23" t="n">
        <v>0</v>
      </c>
      <c r="DK1156" s="23" t="n">
        <v>0</v>
      </c>
      <c r="DL1156" s="23" t="n">
        <v>0</v>
      </c>
      <c r="DM1156" s="23" t="n">
        <v>0</v>
      </c>
      <c r="DN1156" s="23" t="n">
        <v>0</v>
      </c>
      <c r="DO1156" s="23" t="n">
        <v>0</v>
      </c>
    </row>
    <row r="1157">
      <c r="A1157" s="19" t="inlineStr">
        <is>
          <t>mit.em.tot.pm2</t>
        </is>
      </c>
      <c r="B1157" s="3" t="inlineStr">
        <is>
          <t>mit</t>
        </is>
      </c>
      <c r="C1157" s="19" t="n"/>
      <c r="H1157" s="3" t="inlineStr">
        <is>
          <t>Local air pollutant emissions | All sectors | PM2.5</t>
        </is>
      </c>
      <c r="I1157" s="3" t="inlineStr">
        <is>
          <t>kt</t>
        </is>
      </c>
      <c r="K1157" s="20" t="inlineStr">
        <is>
          <t>egy.mit.em.tot.pm2.1</t>
        </is>
      </c>
      <c r="L1157" s="22" t="n">
        <v>88.12844193447842</v>
      </c>
      <c r="M1157" s="22" t="n">
        <v>80.7309584942399</v>
      </c>
      <c r="N1157" s="22" t="n">
        <v>93.14647488171545</v>
      </c>
      <c r="O1157" s="22" t="n">
        <v>94.39012360238868</v>
      </c>
      <c r="P1157" s="22" t="n">
        <v>95.55659756780756</v>
      </c>
      <c r="Q1157" s="22" t="n">
        <v>97.0013227603297</v>
      </c>
      <c r="R1157" s="22" t="n">
        <v>98.77871223496086</v>
      </c>
      <c r="S1157" s="22" t="n">
        <v>100.4595031461113</v>
      </c>
      <c r="T1157" s="22" t="n">
        <v>102.004314723454</v>
      </c>
      <c r="U1157" s="22" t="n">
        <v>103.122877400401</v>
      </c>
      <c r="V1157" s="22" t="n">
        <v>104.2422986606847</v>
      </c>
      <c r="W1157" s="22" t="n">
        <v>105.3681027856658</v>
      </c>
      <c r="X1157" s="22" t="n">
        <v>106.496001134449</v>
      </c>
      <c r="Y1157" s="22" t="n">
        <v>107.6228092854657</v>
      </c>
      <c r="Z1157" s="22" t="n">
        <v>108.7485425281157</v>
      </c>
      <c r="AA1157" s="22" t="n">
        <v>109.8722543788458</v>
      </c>
      <c r="AB1157" s="22" t="n">
        <v>110.9931994782345</v>
      </c>
      <c r="AC1157" s="22" t="n">
        <v>112.1106382423398</v>
      </c>
      <c r="AD1157" s="22" t="n">
        <v>113.2238251116045</v>
      </c>
      <c r="AE1157" s="22" t="n">
        <v>114.3320389701071</v>
      </c>
      <c r="AG1157" s="20" t="inlineStr">
        <is>
          <t>egy.mit.em.tot.pm2.3</t>
        </is>
      </c>
      <c r="AH1157" s="22" t="n">
        <v>88.12844193447842</v>
      </c>
      <c r="AI1157" s="22" t="n">
        <v>80.7305042878567</v>
      </c>
      <c r="AJ1157" s="22" t="n">
        <v>93.14603437815595</v>
      </c>
      <c r="AK1157" s="22" t="n">
        <v>94.38969580885819</v>
      </c>
      <c r="AL1157" s="22" t="n">
        <v>95.55617822208259</v>
      </c>
      <c r="AM1157" s="22" t="n">
        <v>90.48364392402729</v>
      </c>
      <c r="AN1157" s="22" t="n">
        <v>92.07750541034021</v>
      </c>
      <c r="AO1157" s="22" t="n">
        <v>93.25370051091036</v>
      </c>
      <c r="AP1157" s="22" t="n">
        <v>94.57034635757964</v>
      </c>
      <c r="AQ1157" s="22" t="n">
        <v>95.57128075751116</v>
      </c>
      <c r="AR1157" s="22" t="n">
        <v>96.53896397575012</v>
      </c>
      <c r="AS1157" s="22" t="n">
        <v>97.56555975717816</v>
      </c>
      <c r="AT1157" s="22" t="n">
        <v>98.61769088596951</v>
      </c>
      <c r="AU1157" s="22" t="n">
        <v>99.65835565038469</v>
      </c>
      <c r="AV1157" s="22" t="n">
        <v>100.7095503422058</v>
      </c>
      <c r="AW1157" s="22" t="n">
        <v>101.7854802327964</v>
      </c>
      <c r="AX1157" s="22" t="n">
        <v>102.8352452683467</v>
      </c>
      <c r="AY1157" s="22" t="n">
        <v>103.8691226483782</v>
      </c>
      <c r="AZ1157" s="22" t="n">
        <v>104.8686832417348</v>
      </c>
      <c r="BA1157" s="22" t="n">
        <v>105.8550110776767</v>
      </c>
      <c r="BC1157" s="20" t="inlineStr">
        <is>
          <t>egy.mit.em.tot.pm2.4</t>
        </is>
      </c>
      <c r="BD1157" s="22" t="n">
        <v>88.12844193447842</v>
      </c>
      <c r="BE1157" s="22" t="n">
        <v>80.72955488487281</v>
      </c>
      <c r="BF1157" s="22" t="n">
        <v>93.14511390156639</v>
      </c>
      <c r="BG1157" s="22" t="n">
        <v>94.38880195646968</v>
      </c>
      <c r="BH1157" s="22" t="n">
        <v>95.55530106188817</v>
      </c>
      <c r="BI1157" s="22" t="n">
        <v>92.33079062743255</v>
      </c>
      <c r="BJ1157" s="22" t="n">
        <v>88.892627077085</v>
      </c>
      <c r="BK1157" s="22" t="n">
        <v>85.79361390538173</v>
      </c>
      <c r="BL1157" s="22" t="n">
        <v>83.10964943730636</v>
      </c>
      <c r="BM1157" s="22" t="n">
        <v>81.53782022156116</v>
      </c>
      <c r="BN1157" s="22" t="n">
        <v>80.12271884019081</v>
      </c>
      <c r="BO1157" s="22" t="n">
        <v>78.87116814012163</v>
      </c>
      <c r="BP1157" s="22" t="n">
        <v>77.76034558032751</v>
      </c>
      <c r="BQ1157" s="22" t="n">
        <v>76.76805953920064</v>
      </c>
      <c r="BR1157" s="22" t="n">
        <v>75.8721816677338</v>
      </c>
      <c r="BS1157" s="22" t="n">
        <v>75.07125174893604</v>
      </c>
      <c r="BT1157" s="22" t="n">
        <v>74.33977768087456</v>
      </c>
      <c r="BU1157" s="22" t="n">
        <v>73.66819546861126</v>
      </c>
      <c r="BV1157" s="22" t="n">
        <v>73.02987352901023</v>
      </c>
      <c r="BW1157" s="22" t="n">
        <v>72.42407926629703</v>
      </c>
      <c r="BY1157" s="20" t="inlineStr">
        <is>
          <t>egy.mit.em.tot.pm2.5</t>
        </is>
      </c>
      <c r="BZ1157" s="22" t="n">
        <v>88.12844193447842</v>
      </c>
      <c r="CA1157" s="22" t="n">
        <v>80.72850026564092</v>
      </c>
      <c r="CB1157" s="22" t="n">
        <v>93.14409089394847</v>
      </c>
      <c r="CC1157" s="22" t="n">
        <v>94.3878087361818</v>
      </c>
      <c r="CD1157" s="22" t="n">
        <v>95.55432799053304</v>
      </c>
      <c r="CE1157" s="22" t="n">
        <v>89.12585743293259</v>
      </c>
      <c r="CF1157" s="22" t="n">
        <v>90.69732083668362</v>
      </c>
      <c r="CG1157" s="22" t="n">
        <v>92.20604063672187</v>
      </c>
      <c r="CH1157" s="22" t="n">
        <v>93.52522989935588</v>
      </c>
      <c r="CI1157" s="22" t="n">
        <v>94.48498303160436</v>
      </c>
      <c r="CJ1157" s="22" t="n">
        <v>95.39838297462622</v>
      </c>
      <c r="CK1157" s="22" t="n">
        <v>96.37910368202131</v>
      </c>
      <c r="CL1157" s="22" t="n">
        <v>97.35601786657917</v>
      </c>
      <c r="CM1157" s="22" t="n">
        <v>98.32778107545091</v>
      </c>
      <c r="CN1157" s="22" t="n">
        <v>99.31193911414252</v>
      </c>
      <c r="CO1157" s="22" t="n">
        <v>100.3129209961165</v>
      </c>
      <c r="CP1157" s="22" t="n">
        <v>101.2914631742898</v>
      </c>
      <c r="CQ1157" s="22" t="n">
        <v>102.2632457137999</v>
      </c>
      <c r="CR1157" s="22" t="n">
        <v>103.2079686685537</v>
      </c>
      <c r="CS1157" s="22" t="n">
        <v>104.15226792716</v>
      </c>
      <c r="CU1157" s="20" t="inlineStr">
        <is>
          <t>egy.mit.em.tot.pm2.6</t>
        </is>
      </c>
      <c r="CV1157" s="22" t="n">
        <v>88.12844193447842</v>
      </c>
      <c r="CW1157" s="22" t="n">
        <v>80.72994182049307</v>
      </c>
      <c r="CX1157" s="22" t="n">
        <v>93.14548899216567</v>
      </c>
      <c r="CY1157" s="22" t="n">
        <v>94.3891661849635</v>
      </c>
      <c r="CZ1157" s="22" t="n">
        <v>95.55565867630963</v>
      </c>
      <c r="DA1157" s="22" t="n">
        <v>83.35853267928981</v>
      </c>
      <c r="DB1157" s="22" t="n">
        <v>84.75265821881274</v>
      </c>
      <c r="DC1157" s="22" t="n">
        <v>85.78298894883103</v>
      </c>
      <c r="DD1157" s="22" t="n">
        <v>86.52714496139609</v>
      </c>
      <c r="DE1157" s="22" t="n">
        <v>87.40589963306385</v>
      </c>
      <c r="DF1157" s="22" t="n">
        <v>88.20180994584828</v>
      </c>
      <c r="DG1157" s="22" t="n">
        <v>89.11434288567099</v>
      </c>
      <c r="DH1157" s="22" t="n">
        <v>90.06355333843339</v>
      </c>
      <c r="DI1157" s="22" t="n">
        <v>90.99618561845477</v>
      </c>
      <c r="DJ1157" s="22" t="n">
        <v>91.94738301482607</v>
      </c>
      <c r="DK1157" s="22" t="n">
        <v>92.94879733627339</v>
      </c>
      <c r="DL1157" s="22" t="n">
        <v>93.90075643882174</v>
      </c>
      <c r="DM1157" s="22" t="n">
        <v>94.8303613877336</v>
      </c>
      <c r="DN1157" s="22" t="n">
        <v>95.69844123654262</v>
      </c>
      <c r="DO1157" s="22" t="n">
        <v>96.54950654240457</v>
      </c>
    </row>
    <row r="1158">
      <c r="A1158" s="19" t="inlineStr">
        <is>
          <t>mit.em.tot.nox</t>
        </is>
      </c>
      <c r="B1158" s="3" t="inlineStr">
        <is>
          <t>mit</t>
        </is>
      </c>
      <c r="C1158" s="19" t="n"/>
      <c r="H1158" s="3" t="inlineStr">
        <is>
          <t>Local air pollutant emissions | All sectors | NOx</t>
        </is>
      </c>
      <c r="I1158" s="3" t="inlineStr">
        <is>
          <t>kt</t>
        </is>
      </c>
      <c r="K1158" s="20" t="inlineStr">
        <is>
          <t>egy.mit.em.tot.nox.1</t>
        </is>
      </c>
      <c r="L1158" s="22" t="n">
        <v>813.5090947145023</v>
      </c>
      <c r="M1158" s="22" t="n">
        <v>801.9484237348228</v>
      </c>
      <c r="N1158" s="22" t="n">
        <v>951.5214081384149</v>
      </c>
      <c r="O1158" s="22" t="n">
        <v>980.3457610456954</v>
      </c>
      <c r="P1158" s="22" t="n">
        <v>997.9523893355769</v>
      </c>
      <c r="Q1158" s="22" t="n">
        <v>1017.651261459722</v>
      </c>
      <c r="R1158" s="22" t="n">
        <v>1041.45406474595</v>
      </c>
      <c r="S1158" s="22" t="n">
        <v>1063.918275569128</v>
      </c>
      <c r="T1158" s="22" t="n">
        <v>1082.750682427296</v>
      </c>
      <c r="U1158" s="22" t="n">
        <v>1096.823508370127</v>
      </c>
      <c r="V1158" s="22" t="n">
        <v>1110.247054910106</v>
      </c>
      <c r="W1158" s="22" t="n">
        <v>1127.528806772387</v>
      </c>
      <c r="X1158" s="22" t="n">
        <v>1143.824409003178</v>
      </c>
      <c r="Y1158" s="22" t="n">
        <v>1160.587436772304</v>
      </c>
      <c r="Z1158" s="22" t="n">
        <v>1177.191799448616</v>
      </c>
      <c r="AA1158" s="22" t="n">
        <v>1193.703732864094</v>
      </c>
      <c r="AB1158" s="22" t="n">
        <v>1210.093782747158</v>
      </c>
      <c r="AC1158" s="22" t="n">
        <v>1226.355990217274</v>
      </c>
      <c r="AD1158" s="22" t="n">
        <v>1242.496448798246</v>
      </c>
      <c r="AE1158" s="22" t="n">
        <v>1258.510963857098</v>
      </c>
      <c r="AG1158" s="20" t="inlineStr">
        <is>
          <t>egy.mit.em.tot.nox.3</t>
        </is>
      </c>
      <c r="AH1158" s="22" t="n">
        <v>813.5090947145023</v>
      </c>
      <c r="AI1158" s="22" t="n">
        <v>801.8730525574126</v>
      </c>
      <c r="AJ1158" s="22" t="n">
        <v>951.4489669068239</v>
      </c>
      <c r="AK1158" s="22" t="n">
        <v>980.2761397300945</v>
      </c>
      <c r="AL1158" s="22" t="n">
        <v>997.8829365687973</v>
      </c>
      <c r="AM1158" s="22" t="n">
        <v>924.5387265710372</v>
      </c>
      <c r="AN1158" s="22" t="n">
        <v>932.1704527481144</v>
      </c>
      <c r="AO1158" s="22" t="n">
        <v>955.5416529475739</v>
      </c>
      <c r="AP1158" s="22" t="n">
        <v>970.3854219287161</v>
      </c>
      <c r="AQ1158" s="22" t="n">
        <v>984.7176350980261</v>
      </c>
      <c r="AR1158" s="22" t="n">
        <v>996.1986829497766</v>
      </c>
      <c r="AS1158" s="22" t="n">
        <v>1012.896752776053</v>
      </c>
      <c r="AT1158" s="22" t="n">
        <v>1027.823028928632</v>
      </c>
      <c r="AU1158" s="22" t="n">
        <v>1043.579968315207</v>
      </c>
      <c r="AV1158" s="22" t="n">
        <v>1059.334063613438</v>
      </c>
      <c r="AW1158" s="22" t="n">
        <v>1075.38983335021</v>
      </c>
      <c r="AX1158" s="22" t="n">
        <v>1090.924746782224</v>
      </c>
      <c r="AY1158" s="22" t="n">
        <v>1106.15493145659</v>
      </c>
      <c r="AZ1158" s="22" t="n">
        <v>1120.760546115447</v>
      </c>
      <c r="BA1158" s="22" t="n">
        <v>1135.121752196538</v>
      </c>
      <c r="BC1158" s="20" t="inlineStr">
        <is>
          <t>egy.mit.em.tot.nox.4</t>
        </is>
      </c>
      <c r="BD1158" s="22" t="n">
        <v>813.5090947145023</v>
      </c>
      <c r="BE1158" s="22" t="n">
        <v>801.6875080725904</v>
      </c>
      <c r="BF1158" s="22" t="n">
        <v>951.2706528705613</v>
      </c>
      <c r="BG1158" s="22" t="n">
        <v>980.1047840547867</v>
      </c>
      <c r="BH1158" s="22" t="n">
        <v>997.7123391669543</v>
      </c>
      <c r="BI1158" s="22" t="n">
        <v>953.1413103655989</v>
      </c>
      <c r="BJ1158" s="22" t="n">
        <v>899.4965446255818</v>
      </c>
      <c r="BK1158" s="22" t="n">
        <v>851.8928078369071</v>
      </c>
      <c r="BL1158" s="22" t="n">
        <v>814.8711163091135</v>
      </c>
      <c r="BM1158" s="22" t="n">
        <v>793.5754485978714</v>
      </c>
      <c r="BN1158" s="22" t="n">
        <v>770.0006978022558</v>
      </c>
      <c r="BO1158" s="22" t="n">
        <v>753.0812689743254</v>
      </c>
      <c r="BP1158" s="22" t="n">
        <v>735.179077796947</v>
      </c>
      <c r="BQ1158" s="22" t="n">
        <v>721.2815788660353</v>
      </c>
      <c r="BR1158" s="22" t="n">
        <v>707.0297466441506</v>
      </c>
      <c r="BS1158" s="22" t="n">
        <v>695.872836041399</v>
      </c>
      <c r="BT1158" s="22" t="n">
        <v>683.931251382864</v>
      </c>
      <c r="BU1158" s="22" t="n">
        <v>674.8883894328675</v>
      </c>
      <c r="BV1158" s="22" t="n">
        <v>663.9573002605468</v>
      </c>
      <c r="BW1158" s="22" t="n">
        <v>656.5898320696225</v>
      </c>
      <c r="BY1158" s="20" t="inlineStr">
        <is>
          <t>egy.mit.em.tot.nox.5</t>
        </is>
      </c>
      <c r="BZ1158" s="22" t="n">
        <v>813.5090947145023</v>
      </c>
      <c r="CA1158" s="22" t="n">
        <v>801.5057504878148</v>
      </c>
      <c r="CB1158" s="22" t="n">
        <v>951.0957514220188</v>
      </c>
      <c r="CC1158" s="22" t="n">
        <v>979.936486019605</v>
      </c>
      <c r="CD1158" s="22" t="n">
        <v>997.5443152292139</v>
      </c>
      <c r="CE1158" s="22" t="n">
        <v>906.6857752287256</v>
      </c>
      <c r="CF1158" s="22" t="n">
        <v>927.4609170466663</v>
      </c>
      <c r="CG1158" s="22" t="n">
        <v>947.4238259486774</v>
      </c>
      <c r="CH1158" s="22" t="n">
        <v>962.8685855243768</v>
      </c>
      <c r="CI1158" s="22" t="n">
        <v>973.1747132316832</v>
      </c>
      <c r="CJ1158" s="22" t="n">
        <v>980.6432812075515</v>
      </c>
      <c r="CK1158" s="22" t="n">
        <v>994.3237818519513</v>
      </c>
      <c r="CL1158" s="22" t="n">
        <v>1001.902529439242</v>
      </c>
      <c r="CM1158" s="22" t="n">
        <v>1010.993533072305</v>
      </c>
      <c r="CN1158" s="22" t="n">
        <v>1020.637195171082</v>
      </c>
      <c r="CO1158" s="22" t="n">
        <v>1029.524097333522</v>
      </c>
      <c r="CP1158" s="22" t="n">
        <v>1038.719599469736</v>
      </c>
      <c r="CQ1158" s="22" t="n">
        <v>1047.990775202966</v>
      </c>
      <c r="CR1158" s="22" t="n">
        <v>1056.58642878017</v>
      </c>
      <c r="CS1158" s="22" t="n">
        <v>1065.59046314912</v>
      </c>
      <c r="CU1158" s="20" t="inlineStr">
        <is>
          <t>egy.mit.em.tot.nox.6</t>
        </is>
      </c>
      <c r="CV1158" s="22" t="n">
        <v>813.5090947145023</v>
      </c>
      <c r="CW1158" s="22" t="n">
        <v>801.7686342044027</v>
      </c>
      <c r="CX1158" s="22" t="n">
        <v>951.3486146620761</v>
      </c>
      <c r="CY1158" s="22" t="n">
        <v>980.179700675737</v>
      </c>
      <c r="CZ1158" s="22" t="n">
        <v>997.7868661555133</v>
      </c>
      <c r="DA1158" s="22" t="n">
        <v>827.47388159439</v>
      </c>
      <c r="DB1158" s="22" t="n">
        <v>817.2378124119866</v>
      </c>
      <c r="DC1158" s="22" t="n">
        <v>838.751124193439</v>
      </c>
      <c r="DD1158" s="22" t="n">
        <v>847.918596660225</v>
      </c>
      <c r="DE1158" s="22" t="n">
        <v>865.9622660601758</v>
      </c>
      <c r="DF1158" s="22" t="n">
        <v>871.6078360799676</v>
      </c>
      <c r="DG1158" s="22" t="n">
        <v>884.711958077103</v>
      </c>
      <c r="DH1158" s="22" t="n">
        <v>893.899355055225</v>
      </c>
      <c r="DI1158" s="22" t="n">
        <v>905.2175239579879</v>
      </c>
      <c r="DJ1158" s="22" t="n">
        <v>915.568703254895</v>
      </c>
      <c r="DK1158" s="22" t="n">
        <v>927.6567342019517</v>
      </c>
      <c r="DL1158" s="22" t="n">
        <v>938.0369411861552</v>
      </c>
      <c r="DM1158" s="22" t="n">
        <v>949.1642235798882</v>
      </c>
      <c r="DN1158" s="22" t="n">
        <v>958.582453427516</v>
      </c>
      <c r="DO1158" s="22" t="n">
        <v>968.70539674718</v>
      </c>
    </row>
    <row r="1159">
      <c r="A1159" s="19" t="inlineStr">
        <is>
          <t>mit.em.tot.so2</t>
        </is>
      </c>
      <c r="B1159" s="3" t="inlineStr">
        <is>
          <t>mit</t>
        </is>
      </c>
      <c r="C1159" s="19" t="n"/>
      <c r="H1159" s="3" t="inlineStr">
        <is>
          <t>Local air pollutant emissions | All sectors | SO2</t>
        </is>
      </c>
      <c r="I1159" s="3" t="inlineStr">
        <is>
          <t>kt</t>
        </is>
      </c>
      <c r="K1159" s="20" t="inlineStr">
        <is>
          <t>egy.mit.em.tot.so2.1</t>
        </is>
      </c>
      <c r="L1159" s="22" t="n">
        <v>302.609451079119</v>
      </c>
      <c r="M1159" s="22" t="n">
        <v>285.4855286132042</v>
      </c>
      <c r="N1159" s="22" t="n">
        <v>302.9065335341202</v>
      </c>
      <c r="O1159" s="22" t="n">
        <v>334.8575261817851</v>
      </c>
      <c r="P1159" s="22" t="n">
        <v>367.5859581942649</v>
      </c>
      <c r="Q1159" s="22" t="n">
        <v>402.5161293928525</v>
      </c>
      <c r="R1159" s="22" t="n">
        <v>439.8821150183779</v>
      </c>
      <c r="S1159" s="22" t="n">
        <v>478.5939879500288</v>
      </c>
      <c r="T1159" s="22" t="n">
        <v>518.6464061661502</v>
      </c>
      <c r="U1159" s="22" t="n">
        <v>510.5322553955784</v>
      </c>
      <c r="V1159" s="22" t="n">
        <v>502.8673666776124</v>
      </c>
      <c r="W1159" s="22" t="n">
        <v>495.6298825663965</v>
      </c>
      <c r="X1159" s="22" t="n">
        <v>489.066998706077</v>
      </c>
      <c r="Y1159" s="22" t="n">
        <v>482.6898020542488</v>
      </c>
      <c r="Z1159" s="22" t="n">
        <v>476.6553419309248</v>
      </c>
      <c r="AA1159" s="22" t="n">
        <v>470.9173156854386</v>
      </c>
      <c r="AB1159" s="22" t="n">
        <v>465.4643007721892</v>
      </c>
      <c r="AC1159" s="22" t="n">
        <v>460.2817572994912</v>
      </c>
      <c r="AD1159" s="22" t="n">
        <v>455.3524317937151</v>
      </c>
      <c r="AE1159" s="22" t="n">
        <v>450.662631985397</v>
      </c>
      <c r="AG1159" s="20" t="inlineStr">
        <is>
          <t>egy.mit.em.tot.so2.3</t>
        </is>
      </c>
      <c r="AH1159" s="22" t="n">
        <v>302.609451079119</v>
      </c>
      <c r="AI1159" s="22" t="n">
        <v>285.4409043025472</v>
      </c>
      <c r="AJ1159" s="22" t="n">
        <v>302.8635249672454</v>
      </c>
      <c r="AK1159" s="22" t="n">
        <v>334.8160076255297</v>
      </c>
      <c r="AL1159" s="22" t="n">
        <v>367.5457795519247</v>
      </c>
      <c r="AM1159" s="22" t="n">
        <v>375.0492540071047</v>
      </c>
      <c r="AN1159" s="22" t="n">
        <v>411.4851742399967</v>
      </c>
      <c r="AO1159" s="22" t="n">
        <v>405.5083780169291</v>
      </c>
      <c r="AP1159" s="22" t="n">
        <v>441.551569362292</v>
      </c>
      <c r="AQ1159" s="22" t="n">
        <v>434.4035595036665</v>
      </c>
      <c r="AR1159" s="22" t="n">
        <v>427.6339003698324</v>
      </c>
      <c r="AS1159" s="22" t="n">
        <v>421.2324916007882</v>
      </c>
      <c r="AT1159" s="22" t="n">
        <v>415.4089569313932</v>
      </c>
      <c r="AU1159" s="22" t="n">
        <v>409.7724890626351</v>
      </c>
      <c r="AV1159" s="22" t="n">
        <v>404.4710535934232</v>
      </c>
      <c r="AW1159" s="22" t="n">
        <v>399.5065697088374</v>
      </c>
      <c r="AX1159" s="22" t="n">
        <v>394.7379395373278</v>
      </c>
      <c r="AY1159" s="22" t="n">
        <v>390.1743527225497</v>
      </c>
      <c r="AZ1159" s="22" t="n">
        <v>385.7597918227476</v>
      </c>
      <c r="BA1159" s="22" t="n">
        <v>381.5358679894225</v>
      </c>
      <c r="BC1159" s="20" t="inlineStr">
        <is>
          <t>egy.mit.em.tot.so2.4</t>
        </is>
      </c>
      <c r="BD1159" s="22" t="n">
        <v>302.609451079119</v>
      </c>
      <c r="BE1159" s="22" t="n">
        <v>285.3517024780663</v>
      </c>
      <c r="BF1159" s="22" t="n">
        <v>302.7775530234273</v>
      </c>
      <c r="BG1159" s="22" t="n">
        <v>334.7329825162766</v>
      </c>
      <c r="BH1159" s="22" t="n">
        <v>367.4653609183536</v>
      </c>
      <c r="BI1159" s="22" t="n">
        <v>384.7322854115924</v>
      </c>
      <c r="BJ1159" s="22" t="n">
        <v>403.6686452993929</v>
      </c>
      <c r="BK1159" s="22" t="n">
        <v>383.7044183899801</v>
      </c>
      <c r="BL1159" s="22" t="n">
        <v>366.0745197148009</v>
      </c>
      <c r="BM1159" s="22" t="n">
        <v>351.6214181715665</v>
      </c>
      <c r="BN1159" s="22" t="n">
        <v>338.3121056967966</v>
      </c>
      <c r="BO1159" s="22" t="n">
        <v>326.0702282598805</v>
      </c>
      <c r="BP1159" s="22" t="n">
        <v>314.6912848636518</v>
      </c>
      <c r="BQ1159" s="22" t="n">
        <v>304.0827246575821</v>
      </c>
      <c r="BR1159" s="22" t="n">
        <v>294.1082888309685</v>
      </c>
      <c r="BS1159" s="22" t="n">
        <v>284.7441060813246</v>
      </c>
      <c r="BT1159" s="22" t="n">
        <v>275.8715872255148</v>
      </c>
      <c r="BU1159" s="22" t="n">
        <v>267.47083878862</v>
      </c>
      <c r="BV1159" s="22" t="n">
        <v>259.425837748155</v>
      </c>
      <c r="BW1159" s="22" t="n">
        <v>251.7598995254739</v>
      </c>
      <c r="BY1159" s="20" t="inlineStr">
        <is>
          <t>egy.mit.em.tot.so2.5</t>
        </is>
      </c>
      <c r="BZ1159" s="22" t="n">
        <v>302.609451079119</v>
      </c>
      <c r="CA1159" s="22" t="n">
        <v>285.2490721849813</v>
      </c>
      <c r="CB1159" s="22" t="n">
        <v>302.6786364801501</v>
      </c>
      <c r="CC1159" s="22" t="n">
        <v>334.6375457649442</v>
      </c>
      <c r="CD1159" s="22" t="n">
        <v>367.3731105989303</v>
      </c>
      <c r="CE1159" s="22" t="n">
        <v>369.877117198537</v>
      </c>
      <c r="CF1159" s="22" t="n">
        <v>406.2387402045075</v>
      </c>
      <c r="CG1159" s="22" t="n">
        <v>444.0632152654221</v>
      </c>
      <c r="CH1159" s="22" t="n">
        <v>483.1339619917538</v>
      </c>
      <c r="CI1159" s="22" t="n">
        <v>473.8393868581785</v>
      </c>
      <c r="CJ1159" s="22" t="n">
        <v>464.8212602448387</v>
      </c>
      <c r="CK1159" s="22" t="n">
        <v>456.4147208133199</v>
      </c>
      <c r="CL1159" s="22" t="n">
        <v>448.3384908412978</v>
      </c>
      <c r="CM1159" s="22" t="n">
        <v>440.6336023912835</v>
      </c>
      <c r="CN1159" s="22" t="n">
        <v>433.342585234109</v>
      </c>
      <c r="CO1159" s="22" t="n">
        <v>426.4300543063606</v>
      </c>
      <c r="CP1159" s="22" t="n">
        <v>419.7961398178066</v>
      </c>
      <c r="CQ1159" s="22" t="n">
        <v>413.464663968912</v>
      </c>
      <c r="CR1159" s="22" t="n">
        <v>407.3678677929161</v>
      </c>
      <c r="CS1159" s="22" t="n">
        <v>401.5675946028196</v>
      </c>
      <c r="CU1159" s="20" t="inlineStr">
        <is>
          <t>egy.mit.em.tot.so2.6</t>
        </is>
      </c>
      <c r="CV1159" s="22" t="n">
        <v>302.609451079119</v>
      </c>
      <c r="CW1159" s="22" t="n">
        <v>285.3872561460484</v>
      </c>
      <c r="CX1159" s="22" t="n">
        <v>302.8118193218918</v>
      </c>
      <c r="CY1159" s="22" t="n">
        <v>334.766080781361</v>
      </c>
      <c r="CZ1159" s="22" t="n">
        <v>367.4974350922531</v>
      </c>
      <c r="DA1159" s="22" t="n">
        <v>349.7590292827509</v>
      </c>
      <c r="DB1159" s="22" t="n">
        <v>385.3190666525338</v>
      </c>
      <c r="DC1159" s="22" t="n">
        <v>378.7283629128274</v>
      </c>
      <c r="DD1159" s="22" t="n">
        <v>371.8079209159628</v>
      </c>
      <c r="DE1159" s="22" t="n">
        <v>365.5120815428961</v>
      </c>
      <c r="DF1159" s="22" t="n">
        <v>359.3714651870911</v>
      </c>
      <c r="DG1159" s="22" t="n">
        <v>353.782714942569</v>
      </c>
      <c r="DH1159" s="22" t="n">
        <v>348.5840452288186</v>
      </c>
      <c r="DI1159" s="22" t="n">
        <v>343.6071287857794</v>
      </c>
      <c r="DJ1159" s="22" t="n">
        <v>338.9290165582634</v>
      </c>
      <c r="DK1159" s="22" t="n">
        <v>334.6117512895861</v>
      </c>
      <c r="DL1159" s="22" t="n">
        <v>330.4047107146509</v>
      </c>
      <c r="DM1159" s="22" t="n">
        <v>326.3638514706387</v>
      </c>
      <c r="DN1159" s="22" t="n">
        <v>322.3831208782426</v>
      </c>
      <c r="DO1159" s="22" t="n">
        <v>318.5642825330945</v>
      </c>
    </row>
    <row r="1160">
      <c r="A1160" s="19" t="inlineStr">
        <is>
          <t>mit.em.tot.bc</t>
        </is>
      </c>
      <c r="B1160" s="3" t="inlineStr">
        <is>
          <t>mit</t>
        </is>
      </c>
      <c r="C1160" s="19" t="n"/>
      <c r="H1160" s="3" t="inlineStr">
        <is>
          <t>Local air pollutant emissions | All sectors | Black carbon</t>
        </is>
      </c>
      <c r="I1160" s="3" t="inlineStr">
        <is>
          <t>kt</t>
        </is>
      </c>
      <c r="K1160" s="20" t="inlineStr">
        <is>
          <t>egy.mit.em.tot.bc.1</t>
        </is>
      </c>
      <c r="L1160" s="22" t="n">
        <v>30.29395380080388</v>
      </c>
      <c r="M1160" s="22" t="n">
        <v>28.6508312068153</v>
      </c>
      <c r="N1160" s="22" t="n">
        <v>33.3977166349301</v>
      </c>
      <c r="O1160" s="22" t="n">
        <v>33.92434464093392</v>
      </c>
      <c r="P1160" s="22" t="n">
        <v>34.42710750541934</v>
      </c>
      <c r="Q1160" s="22" t="n">
        <v>35.04514488110867</v>
      </c>
      <c r="R1160" s="22" t="n">
        <v>35.80286355271767</v>
      </c>
      <c r="S1160" s="22" t="n">
        <v>36.51419913110884</v>
      </c>
      <c r="T1160" s="22" t="n">
        <v>37.16218898097946</v>
      </c>
      <c r="U1160" s="22" t="n">
        <v>37.76846530447959</v>
      </c>
      <c r="V1160" s="22" t="n">
        <v>38.37693198141135</v>
      </c>
      <c r="W1160" s="22" t="n">
        <v>38.98769911947436</v>
      </c>
      <c r="X1160" s="22" t="n">
        <v>39.60033503236649</v>
      </c>
      <c r="Y1160" s="22" t="n">
        <v>40.21426196765298</v>
      </c>
      <c r="Z1160" s="22" t="n">
        <v>40.82930137849471</v>
      </c>
      <c r="AA1160" s="22" t="n">
        <v>41.44515337667959</v>
      </c>
      <c r="AB1160" s="22" t="n">
        <v>42.06154262895078</v>
      </c>
      <c r="AC1160" s="22" t="n">
        <v>42.67819420396778</v>
      </c>
      <c r="AD1160" s="22" t="n">
        <v>43.29483272404527</v>
      </c>
      <c r="AE1160" s="22" t="n">
        <v>43.91118609465583</v>
      </c>
      <c r="AG1160" s="20" t="inlineStr">
        <is>
          <t>egy.mit.em.tot.bc.3</t>
        </is>
      </c>
      <c r="AH1160" s="22" t="n">
        <v>30.29395380080388</v>
      </c>
      <c r="AI1160" s="22" t="n">
        <v>28.65078970505565</v>
      </c>
      <c r="AJ1160" s="22" t="n">
        <v>33.3976763675434</v>
      </c>
      <c r="AK1160" s="22" t="n">
        <v>33.92430551444627</v>
      </c>
      <c r="AL1160" s="22" t="n">
        <v>34.42706920740621</v>
      </c>
      <c r="AM1160" s="22" t="n">
        <v>32.16560021623285</v>
      </c>
      <c r="AN1160" s="22" t="n">
        <v>32.84701359291977</v>
      </c>
      <c r="AO1160" s="22" t="n">
        <v>33.46160589616367</v>
      </c>
      <c r="AP1160" s="22" t="n">
        <v>34.01786690271646</v>
      </c>
      <c r="AQ1160" s="22" t="n">
        <v>34.56490971062858</v>
      </c>
      <c r="AR1160" s="22" t="n">
        <v>35.09967347186631</v>
      </c>
      <c r="AS1160" s="22" t="n">
        <v>35.65977088064604</v>
      </c>
      <c r="AT1160" s="22" t="n">
        <v>36.23284113295952</v>
      </c>
      <c r="AU1160" s="22" t="n">
        <v>36.80217118839769</v>
      </c>
      <c r="AV1160" s="22" t="n">
        <v>37.37766908387081</v>
      </c>
      <c r="AW1160" s="22" t="n">
        <v>37.9656806028375</v>
      </c>
      <c r="AX1160" s="22" t="n">
        <v>38.54393635679984</v>
      </c>
      <c r="AY1160" s="22" t="n">
        <v>39.11696082740536</v>
      </c>
      <c r="AZ1160" s="22" t="n">
        <v>39.67665823652177</v>
      </c>
      <c r="BA1160" s="22" t="n">
        <v>40.23230951408944</v>
      </c>
      <c r="BC1160" s="20" t="inlineStr">
        <is>
          <t>egy.mit.em.tot.bc.4</t>
        </is>
      </c>
      <c r="BD1160" s="22" t="n">
        <v>30.29395380080388</v>
      </c>
      <c r="BE1160" s="22" t="n">
        <v>28.6507040604629</v>
      </c>
      <c r="BF1160" s="22" t="n">
        <v>33.39759329057887</v>
      </c>
      <c r="BG1160" s="22" t="n">
        <v>33.92422478891854</v>
      </c>
      <c r="BH1160" s="22" t="n">
        <v>34.42699010606043</v>
      </c>
      <c r="BI1160" s="22" t="n">
        <v>32.96892344456636</v>
      </c>
      <c r="BJ1160" s="22" t="n">
        <v>31.41375500696766</v>
      </c>
      <c r="BK1160" s="22" t="n">
        <v>30.13877896325025</v>
      </c>
      <c r="BL1160" s="22" t="n">
        <v>29.04763314815971</v>
      </c>
      <c r="BM1160" s="22" t="n">
        <v>28.45254316312369</v>
      </c>
      <c r="BN1160" s="22" t="n">
        <v>27.92800874812531</v>
      </c>
      <c r="BO1160" s="22" t="n">
        <v>27.472517472902</v>
      </c>
      <c r="BP1160" s="22" t="n">
        <v>27.07969620436268</v>
      </c>
      <c r="BQ1160" s="22" t="n">
        <v>26.73725778888389</v>
      </c>
      <c r="BR1160" s="22" t="n">
        <v>26.43755623998041</v>
      </c>
      <c r="BS1160" s="22" t="n">
        <v>26.17828792631159</v>
      </c>
      <c r="BT1160" s="22" t="n">
        <v>25.95007087641228</v>
      </c>
      <c r="BU1160" s="22" t="n">
        <v>25.74680394005546</v>
      </c>
      <c r="BV1160" s="22" t="n">
        <v>25.55899676941006</v>
      </c>
      <c r="BW1160" s="22" t="n">
        <v>25.38353163742622</v>
      </c>
      <c r="BY1160" s="20" t="inlineStr">
        <is>
          <t>egy.mit.em.tot.bc.5</t>
        </is>
      </c>
      <c r="BZ1160" s="22" t="n">
        <v>30.29395380080388</v>
      </c>
      <c r="CA1160" s="22" t="n">
        <v>28.65060796411674</v>
      </c>
      <c r="CB1160" s="22" t="n">
        <v>33.39750003897821</v>
      </c>
      <c r="CC1160" s="22" t="n">
        <v>33.92413421199655</v>
      </c>
      <c r="CD1160" s="22" t="n">
        <v>34.4269015105511</v>
      </c>
      <c r="CE1160" s="22" t="n">
        <v>31.56075268882436</v>
      </c>
      <c r="CF1160" s="22" t="n">
        <v>32.22753989549954</v>
      </c>
      <c r="CG1160" s="22" t="n">
        <v>32.86225305426505</v>
      </c>
      <c r="CH1160" s="22" t="n">
        <v>33.40999136292439</v>
      </c>
      <c r="CI1160" s="22" t="n">
        <v>33.94650931517359</v>
      </c>
      <c r="CJ1160" s="22" t="n">
        <v>34.46506803232333</v>
      </c>
      <c r="CK1160" s="22" t="n">
        <v>35.0115085538672</v>
      </c>
      <c r="CL1160" s="22" t="n">
        <v>35.56043184837971</v>
      </c>
      <c r="CM1160" s="22" t="n">
        <v>36.1075372192879</v>
      </c>
      <c r="CN1160" s="22" t="n">
        <v>36.66049740792177</v>
      </c>
      <c r="CO1160" s="22" t="n">
        <v>37.22277944701637</v>
      </c>
      <c r="CP1160" s="22" t="n">
        <v>37.77634693661363</v>
      </c>
      <c r="CQ1160" s="22" t="n">
        <v>38.3283559697749</v>
      </c>
      <c r="CR1160" s="22" t="n">
        <v>38.87011644824852</v>
      </c>
      <c r="CS1160" s="22" t="n">
        <v>39.4130504300285</v>
      </c>
      <c r="CU1160" s="20" t="inlineStr">
        <is>
          <t>egy.mit.em.tot.bc.6</t>
        </is>
      </c>
      <c r="CV1160" s="22" t="n">
        <v>30.29395380080388</v>
      </c>
      <c r="CW1160" s="22" t="n">
        <v>28.65073874834002</v>
      </c>
      <c r="CX1160" s="22" t="n">
        <v>33.39762693446271</v>
      </c>
      <c r="CY1160" s="22" t="n">
        <v>33.92425748101126</v>
      </c>
      <c r="CZ1160" s="22" t="n">
        <v>34.42702215728758</v>
      </c>
      <c r="DA1160" s="22" t="n">
        <v>29.02013260504228</v>
      </c>
      <c r="DB1160" s="22" t="n">
        <v>29.61828586774758</v>
      </c>
      <c r="DC1160" s="22" t="n">
        <v>30.16545206662747</v>
      </c>
      <c r="DD1160" s="22" t="n">
        <v>30.59287088325097</v>
      </c>
      <c r="DE1160" s="22" t="n">
        <v>31.07676715986865</v>
      </c>
      <c r="DF1160" s="22" t="n">
        <v>31.53086323889858</v>
      </c>
      <c r="DG1160" s="22" t="n">
        <v>32.03443895330494</v>
      </c>
      <c r="DH1160" s="22" t="n">
        <v>32.55741322188254</v>
      </c>
      <c r="DI1160" s="22" t="n">
        <v>33.07341818639462</v>
      </c>
      <c r="DJ1160" s="22" t="n">
        <v>33.59960982148455</v>
      </c>
      <c r="DK1160" s="22" t="n">
        <v>34.14893885018921</v>
      </c>
      <c r="DL1160" s="22" t="n">
        <v>34.678607501452</v>
      </c>
      <c r="DM1160" s="22" t="n">
        <v>35.1995326070069</v>
      </c>
      <c r="DN1160" s="22" t="n">
        <v>35.69533157723862</v>
      </c>
      <c r="DO1160" s="22" t="n">
        <v>36.18475307220241</v>
      </c>
    </row>
    <row r="1161">
      <c r="A1161" s="19" t="inlineStr">
        <is>
          <t>mit.apf.tot.tot</t>
        </is>
      </c>
      <c r="B1161" s="3" t="inlineStr">
        <is>
          <t>mit</t>
        </is>
      </c>
      <c r="C1161" s="19" t="n"/>
      <c r="H1161" s="3" t="inlineStr">
        <is>
          <t>Forcing of local air pollutants (memo, not in the GHG totals) | All sectors | All fuels</t>
        </is>
      </c>
      <c r="I1161" s="3" t="inlineStr">
        <is>
          <t>Mt CO2e</t>
        </is>
      </c>
      <c r="K1161" s="20" t="inlineStr">
        <is>
          <t>egy.mit.apf.tot.tot.1</t>
        </is>
      </c>
      <c r="L1161" s="27" t="n">
        <v>-18.03992350954926</v>
      </c>
      <c r="M1161" s="27" t="n">
        <v>-16.76080343583636</v>
      </c>
      <c r="N1161" s="27" t="n">
        <v>-16.77776973902608</v>
      </c>
      <c r="O1161" s="27" t="n">
        <v>-19.48858127897065</v>
      </c>
      <c r="P1161" s="27" t="n">
        <v>-22.20682442683721</v>
      </c>
      <c r="Q1161" s="27" t="n">
        <v>-25.07216319927591</v>
      </c>
      <c r="R1161" s="27" t="n">
        <v>-28.10700251217109</v>
      </c>
      <c r="S1161" s="27" t="n">
        <v>-31.27452201307733</v>
      </c>
      <c r="T1161" s="27" t="n">
        <v>-34.56695739624476</v>
      </c>
      <c r="U1161" s="27" t="n">
        <v>-33.74189040234148</v>
      </c>
      <c r="V1161" s="27" t="n">
        <v>-32.95335217476773</v>
      </c>
      <c r="W1161" s="27" t="n">
        <v>-32.22970558360245</v>
      </c>
      <c r="X1161" s="27" t="n">
        <v>-31.55973180563613</v>
      </c>
      <c r="Y1161" s="27" t="n">
        <v>-30.91182036779191</v>
      </c>
      <c r="Z1161" s="27" t="n">
        <v>-30.29529608105111</v>
      </c>
      <c r="AA1161" s="27" t="n">
        <v>-29.70684442029705</v>
      </c>
      <c r="AB1161" s="27" t="n">
        <v>-29.14546907706948</v>
      </c>
      <c r="AC1161" s="27" t="n">
        <v>-28.61006281196254</v>
      </c>
      <c r="AD1161" s="27" t="n">
        <v>-28.09936528986286</v>
      </c>
      <c r="AE1161" s="27" t="n">
        <v>-27.61234649586338</v>
      </c>
      <c r="AG1161" s="20" t="inlineStr">
        <is>
          <t>egy.mit.apf.tot.tot.3</t>
        </is>
      </c>
      <c r="AH1161" s="27" t="n">
        <v>-18.03992350954926</v>
      </c>
      <c r="AI1161" s="27" t="n">
        <v>-16.75650986487237</v>
      </c>
      <c r="AJ1161" s="27" t="n">
        <v>-16.77363307933186</v>
      </c>
      <c r="AK1161" s="27" t="n">
        <v>-19.48459011121835</v>
      </c>
      <c r="AL1161" s="27" t="n">
        <v>-22.20294826559737</v>
      </c>
      <c r="AM1161" s="27" t="n">
        <v>-23.44749413605748</v>
      </c>
      <c r="AN1161" s="27" t="n">
        <v>-26.32529758789227</v>
      </c>
      <c r="AO1161" s="27" t="n">
        <v>-25.7269648401828</v>
      </c>
      <c r="AP1161" s="27" t="n">
        <v>-28.68862073679748</v>
      </c>
      <c r="AQ1161" s="27" t="n">
        <v>-27.96950898523745</v>
      </c>
      <c r="AR1161" s="27" t="n">
        <v>-27.27282139660545</v>
      </c>
      <c r="AS1161" s="27" t="n">
        <v>-26.63357531104216</v>
      </c>
      <c r="AT1161" s="27" t="n">
        <v>-26.02884344953386</v>
      </c>
      <c r="AU1161" s="27" t="n">
        <v>-25.45095166206976</v>
      </c>
      <c r="AV1161" s="27" t="n">
        <v>-24.90218537823569</v>
      </c>
      <c r="AW1161" s="27" t="n">
        <v>-24.38180744095848</v>
      </c>
      <c r="AX1161" s="27" t="n">
        <v>-23.88295050952055</v>
      </c>
      <c r="AY1161" s="27" t="n">
        <v>-23.40568598041563</v>
      </c>
      <c r="AZ1161" s="27" t="n">
        <v>-22.94689419737466</v>
      </c>
      <c r="BA1161" s="27" t="n">
        <v>-22.50828131657038</v>
      </c>
      <c r="BC1161" s="20" t="inlineStr">
        <is>
          <t>egy.mit.apf.tot.tot.4</t>
        </is>
      </c>
      <c r="BD1161" s="27" t="n">
        <v>-18.03992350954926</v>
      </c>
      <c r="BE1161" s="27" t="n">
        <v>-16.74769386666074</v>
      </c>
      <c r="BF1161" s="27" t="n">
        <v>-16.76513995280094</v>
      </c>
      <c r="BG1161" s="27" t="n">
        <v>-19.47639398690011</v>
      </c>
      <c r="BH1161" s="27" t="n">
        <v>-22.1949787589654</v>
      </c>
      <c r="BI1161" s="27" t="n">
        <v>-24.08350873523552</v>
      </c>
      <c r="BJ1161" s="27" t="n">
        <v>-26.09946921044071</v>
      </c>
      <c r="BK1161" s="27" t="n">
        <v>-24.71354914273531</v>
      </c>
      <c r="BL1161" s="27" t="n">
        <v>-23.51627268999216</v>
      </c>
      <c r="BM1161" s="27" t="n">
        <v>-22.46517810222704</v>
      </c>
      <c r="BN1161" s="27" t="n">
        <v>-21.46360342601604</v>
      </c>
      <c r="BO1161" s="27" t="n">
        <v>-20.5654408861148</v>
      </c>
      <c r="BP1161" s="27" t="n">
        <v>-19.70481009331454</v>
      </c>
      <c r="BQ1161" s="27" t="n">
        <v>-18.91322478984932</v>
      </c>
      <c r="BR1161" s="27" t="n">
        <v>-18.15341088225212</v>
      </c>
      <c r="BS1161" s="27" t="n">
        <v>-17.44763798271483</v>
      </c>
      <c r="BT1161" s="27" t="n">
        <v>-16.76423301366201</v>
      </c>
      <c r="BU1161" s="27" t="n">
        <v>-16.12917924353543</v>
      </c>
      <c r="BV1161" s="27" t="n">
        <v>-15.50490076913921</v>
      </c>
      <c r="BW1161" s="27" t="n">
        <v>-14.93146620338625</v>
      </c>
      <c r="BY1161" s="20" t="inlineStr">
        <is>
          <t>egy.mit.apf.tot.tot.5</t>
        </is>
      </c>
      <c r="BZ1161" s="27" t="n">
        <v>-18.03992350954926</v>
      </c>
      <c r="CA1161" s="27" t="n">
        <v>-16.73776290793</v>
      </c>
      <c r="CB1161" s="27" t="n">
        <v>-16.7555704695913</v>
      </c>
      <c r="CC1161" s="27" t="n">
        <v>-19.46716440659131</v>
      </c>
      <c r="CD1161" s="27" t="n">
        <v>-22.1860218222758</v>
      </c>
      <c r="CE1161" s="27" t="n">
        <v>-23.16837490607684</v>
      </c>
      <c r="CF1161" s="27" t="n">
        <v>-26.13476353145056</v>
      </c>
      <c r="CG1161" s="27" t="n">
        <v>-29.23991486422629</v>
      </c>
      <c r="CH1161" s="27" t="n">
        <v>-32.46732831591407</v>
      </c>
      <c r="CI1161" s="27" t="n">
        <v>-31.54229683987054</v>
      </c>
      <c r="CJ1161" s="27" t="n">
        <v>-30.63378467177217</v>
      </c>
      <c r="CK1161" s="27" t="n">
        <v>-29.80884099306344</v>
      </c>
      <c r="CL1161" s="27" t="n">
        <v>-28.97317534110522</v>
      </c>
      <c r="CM1161" s="27" t="n">
        <v>-28.18361469281129</v>
      </c>
      <c r="CN1161" s="27" t="n">
        <v>-27.43345969639066</v>
      </c>
      <c r="CO1161" s="27" t="n">
        <v>-26.7095513431809</v>
      </c>
      <c r="CP1161" s="27" t="n">
        <v>-26.01919447968285</v>
      </c>
      <c r="CQ1161" s="27" t="n">
        <v>-25.35945134635678</v>
      </c>
      <c r="CR1161" s="27" t="n">
        <v>-24.72360673883555</v>
      </c>
      <c r="CS1161" s="27" t="n">
        <v>-24.11883972165479</v>
      </c>
      <c r="CU1161" s="20" t="inlineStr">
        <is>
          <t>egy.mit.apf.tot.tot.6</t>
        </is>
      </c>
      <c r="CV1161" s="27" t="n">
        <v>-18.03992350954926</v>
      </c>
      <c r="CW1161" s="27" t="n">
        <v>-16.75125569387584</v>
      </c>
      <c r="CX1161" s="27" t="n">
        <v>-16.7685711966359</v>
      </c>
      <c r="CY1161" s="27" t="n">
        <v>-19.47970558398286</v>
      </c>
      <c r="CZ1161" s="27" t="n">
        <v>-22.19820069938297</v>
      </c>
      <c r="DA1161" s="27" t="n">
        <v>-22.12118041697288</v>
      </c>
      <c r="DB1161" s="27" t="n">
        <v>-24.83827021521185</v>
      </c>
      <c r="DC1161" s="27" t="n">
        <v>-24.20108026044938</v>
      </c>
      <c r="DD1161" s="27" t="n">
        <v>-23.51488334477686</v>
      </c>
      <c r="DE1161" s="27" t="n">
        <v>-22.9166321317728</v>
      </c>
      <c r="DF1161" s="27" t="n">
        <v>-22.26580478303798</v>
      </c>
      <c r="DG1161" s="27" t="n">
        <v>-21.6910005382655</v>
      </c>
      <c r="DH1161" s="27" t="n">
        <v>-21.11685435268016</v>
      </c>
      <c r="DI1161" s="27" t="n">
        <v>-20.58254310833069</v>
      </c>
      <c r="DJ1161" s="27" t="n">
        <v>-20.06557040959632</v>
      </c>
      <c r="DK1161" s="27" t="n">
        <v>-19.58332012608896</v>
      </c>
      <c r="DL1161" s="27" t="n">
        <v>-19.11180499385678</v>
      </c>
      <c r="DM1161" s="27" t="n">
        <v>-18.66703461177838</v>
      </c>
      <c r="DN1161" s="27" t="n">
        <v>-18.23114595412816</v>
      </c>
      <c r="DO1161" s="27" t="n">
        <v>-17.82011233296602</v>
      </c>
    </row>
    <row r="1162">
      <c r="A1162" s="19" t="inlineStr">
        <is>
          <t>mit.ndc.lvl.all.sel</t>
        </is>
      </c>
      <c r="B1162" s="3" t="inlineStr">
        <is>
          <t>mit</t>
        </is>
      </c>
      <c r="C1162" s="19" t="n"/>
      <c r="H1162" s="3" t="inlineStr">
        <is>
          <t xml:space="preserve">NDC target, GHGs incl. LULUCF | All sectors | </t>
        </is>
      </c>
      <c r="I1162" s="3" t="inlineStr">
        <is>
          <t>Mt CO2e</t>
        </is>
      </c>
      <c r="K1162" s="20" t="inlineStr">
        <is>
          <t>egy.mit.ndc.lvl.all.sel.1</t>
        </is>
      </c>
      <c r="L1162" s="22" t="n">
        <v>390.750784800761</v>
      </c>
      <c r="M1162" s="22" t="n">
        <v>390.750784800761</v>
      </c>
      <c r="N1162" s="22" t="n">
        <v>390.750784800761</v>
      </c>
      <c r="O1162" s="22" t="n">
        <v>390.750784800761</v>
      </c>
      <c r="P1162" s="22" t="n">
        <v>390.750784800761</v>
      </c>
      <c r="Q1162" s="22" t="n">
        <v>390.750784800761</v>
      </c>
      <c r="R1162" s="22" t="n">
        <v>390.750784800761</v>
      </c>
      <c r="S1162" s="22" t="n">
        <v>390.750784800761</v>
      </c>
      <c r="T1162" s="22" t="n">
        <v>390.750784800761</v>
      </c>
      <c r="U1162" s="22" t="n">
        <v>390.750784800761</v>
      </c>
      <c r="V1162" s="22" t="n">
        <v>390.750784800761</v>
      </c>
      <c r="W1162" s="22" t="n">
        <v>390.750784800761</v>
      </c>
      <c r="X1162" s="22" t="n">
        <v>390.750784800761</v>
      </c>
      <c r="Y1162" s="22" t="n">
        <v>390.750784800761</v>
      </c>
      <c r="Z1162" s="22" t="n">
        <v>390.750784800761</v>
      </c>
      <c r="AA1162" s="22" t="n">
        <v>390.750784800761</v>
      </c>
      <c r="AB1162" s="22" t="n">
        <v>390.750784800761</v>
      </c>
      <c r="AC1162" s="22" t="n">
        <v>390.750784800761</v>
      </c>
      <c r="AD1162" s="22" t="n">
        <v>390.750784800761</v>
      </c>
      <c r="AE1162" s="22" t="n">
        <v>390.750784800761</v>
      </c>
      <c r="AG1162" s="20" t="inlineStr">
        <is>
          <t>egy.mit.ndc.lvl.all.sel.3</t>
        </is>
      </c>
      <c r="AH1162" s="22" t="n">
        <v>390.750784800761</v>
      </c>
      <c r="AI1162" s="22" t="n">
        <v>390.750784800761</v>
      </c>
      <c r="AJ1162" s="22" t="n">
        <v>390.750784800761</v>
      </c>
      <c r="AK1162" s="22" t="n">
        <v>390.750784800761</v>
      </c>
      <c r="AL1162" s="22" t="n">
        <v>390.750784800761</v>
      </c>
      <c r="AM1162" s="22" t="n">
        <v>390.750784800761</v>
      </c>
      <c r="AN1162" s="22" t="n">
        <v>390.750784800761</v>
      </c>
      <c r="AO1162" s="22" t="n">
        <v>390.750784800761</v>
      </c>
      <c r="AP1162" s="22" t="n">
        <v>390.750784800761</v>
      </c>
      <c r="AQ1162" s="22" t="n">
        <v>390.750784800761</v>
      </c>
      <c r="AR1162" s="22" t="n">
        <v>390.750784800761</v>
      </c>
      <c r="AS1162" s="22" t="n">
        <v>390.750784800761</v>
      </c>
      <c r="AT1162" s="22" t="n">
        <v>390.750784800761</v>
      </c>
      <c r="AU1162" s="22" t="n">
        <v>390.750784800761</v>
      </c>
      <c r="AV1162" s="22" t="n">
        <v>390.750784800761</v>
      </c>
      <c r="AW1162" s="22" t="n">
        <v>390.750784800761</v>
      </c>
      <c r="AX1162" s="22" t="n">
        <v>390.750784800761</v>
      </c>
      <c r="AY1162" s="22" t="n">
        <v>390.750784800761</v>
      </c>
      <c r="AZ1162" s="22" t="n">
        <v>390.750784800761</v>
      </c>
      <c r="BA1162" s="22" t="n">
        <v>390.750784800761</v>
      </c>
      <c r="BC1162" s="20" t="inlineStr">
        <is>
          <t>egy.mit.ndc.lvl.all.sel.4</t>
        </is>
      </c>
      <c r="BD1162" s="22" t="n">
        <v>390.750784800761</v>
      </c>
      <c r="BE1162" s="22" t="n">
        <v>390.750784800761</v>
      </c>
      <c r="BF1162" s="22" t="n">
        <v>390.750784800761</v>
      </c>
      <c r="BG1162" s="22" t="n">
        <v>390.750784800761</v>
      </c>
      <c r="BH1162" s="22" t="n">
        <v>390.750784800761</v>
      </c>
      <c r="BI1162" s="22" t="n">
        <v>390.750784800761</v>
      </c>
      <c r="BJ1162" s="22" t="n">
        <v>390.750784800761</v>
      </c>
      <c r="BK1162" s="22" t="n">
        <v>390.750784800761</v>
      </c>
      <c r="BL1162" s="22" t="n">
        <v>390.750784800761</v>
      </c>
      <c r="BM1162" s="22" t="n">
        <v>390.750784800761</v>
      </c>
      <c r="BN1162" s="22" t="n">
        <v>390.750784800761</v>
      </c>
      <c r="BO1162" s="22" t="n">
        <v>390.750784800761</v>
      </c>
      <c r="BP1162" s="22" t="n">
        <v>390.750784800761</v>
      </c>
      <c r="BQ1162" s="22" t="n">
        <v>390.750784800761</v>
      </c>
      <c r="BR1162" s="22" t="n">
        <v>390.750784800761</v>
      </c>
      <c r="BS1162" s="22" t="n">
        <v>390.750784800761</v>
      </c>
      <c r="BT1162" s="22" t="n">
        <v>390.750784800761</v>
      </c>
      <c r="BU1162" s="22" t="n">
        <v>390.750784800761</v>
      </c>
      <c r="BV1162" s="22" t="n">
        <v>390.750784800761</v>
      </c>
      <c r="BW1162" s="22" t="n">
        <v>390.750784800761</v>
      </c>
      <c r="BY1162" s="20" t="inlineStr">
        <is>
          <t>egy.mit.ndc.lvl.all.sel.5</t>
        </is>
      </c>
      <c r="BZ1162" s="22" t="n">
        <v>390.750784800761</v>
      </c>
      <c r="CA1162" s="22" t="n">
        <v>390.750784800761</v>
      </c>
      <c r="CB1162" s="22" t="n">
        <v>390.750784800761</v>
      </c>
      <c r="CC1162" s="22" t="n">
        <v>390.750784800761</v>
      </c>
      <c r="CD1162" s="22" t="n">
        <v>390.750784800761</v>
      </c>
      <c r="CE1162" s="22" t="n">
        <v>390.750784800761</v>
      </c>
      <c r="CF1162" s="22" t="n">
        <v>390.750784800761</v>
      </c>
      <c r="CG1162" s="22" t="n">
        <v>390.750784800761</v>
      </c>
      <c r="CH1162" s="22" t="n">
        <v>390.750784800761</v>
      </c>
      <c r="CI1162" s="22" t="n">
        <v>390.750784800761</v>
      </c>
      <c r="CJ1162" s="22" t="n">
        <v>390.750784800761</v>
      </c>
      <c r="CK1162" s="22" t="n">
        <v>390.750784800761</v>
      </c>
      <c r="CL1162" s="22" t="n">
        <v>390.750784800761</v>
      </c>
      <c r="CM1162" s="22" t="n">
        <v>390.750784800761</v>
      </c>
      <c r="CN1162" s="22" t="n">
        <v>390.750784800761</v>
      </c>
      <c r="CO1162" s="22" t="n">
        <v>390.750784800761</v>
      </c>
      <c r="CP1162" s="22" t="n">
        <v>390.750784800761</v>
      </c>
      <c r="CQ1162" s="22" t="n">
        <v>390.750784800761</v>
      </c>
      <c r="CR1162" s="22" t="n">
        <v>390.750784800761</v>
      </c>
      <c r="CS1162" s="22" t="n">
        <v>390.750784800761</v>
      </c>
      <c r="CU1162" s="20" t="inlineStr">
        <is>
          <t>egy.mit.ndc.lvl.all.sel.6</t>
        </is>
      </c>
      <c r="CV1162" s="22" t="n">
        <v>390.750784800761</v>
      </c>
      <c r="CW1162" s="22" t="n">
        <v>390.750784800761</v>
      </c>
      <c r="CX1162" s="22" t="n">
        <v>390.750784800761</v>
      </c>
      <c r="CY1162" s="22" t="n">
        <v>390.750784800761</v>
      </c>
      <c r="CZ1162" s="22" t="n">
        <v>390.750784800761</v>
      </c>
      <c r="DA1162" s="22" t="n">
        <v>390.750784800761</v>
      </c>
      <c r="DB1162" s="22" t="n">
        <v>390.750784800761</v>
      </c>
      <c r="DC1162" s="22" t="n">
        <v>390.750784800761</v>
      </c>
      <c r="DD1162" s="22" t="n">
        <v>390.750784800761</v>
      </c>
      <c r="DE1162" s="22" t="n">
        <v>390.750784800761</v>
      </c>
      <c r="DF1162" s="22" t="n">
        <v>390.750784800761</v>
      </c>
      <c r="DG1162" s="22" t="n">
        <v>390.750784800761</v>
      </c>
      <c r="DH1162" s="22" t="n">
        <v>390.750784800761</v>
      </c>
      <c r="DI1162" s="22" t="n">
        <v>390.750784800761</v>
      </c>
      <c r="DJ1162" s="22" t="n">
        <v>390.750784800761</v>
      </c>
      <c r="DK1162" s="22" t="n">
        <v>390.750784800761</v>
      </c>
      <c r="DL1162" s="22" t="n">
        <v>390.750784800761</v>
      </c>
      <c r="DM1162" s="22" t="n">
        <v>390.750784800761</v>
      </c>
      <c r="DN1162" s="22" t="n">
        <v>390.750784800761</v>
      </c>
      <c r="DO1162" s="22" t="n">
        <v>390.750784800761</v>
      </c>
    </row>
    <row r="1163">
      <c r="A1163" s="19" t="inlineStr">
        <is>
          <t>mit.ndc.gap.all.all</t>
        </is>
      </c>
      <c r="B1163" s="3" t="inlineStr">
        <is>
          <t>mit</t>
        </is>
      </c>
      <c r="C1163" s="19" t="n"/>
      <c r="H1163" s="3" t="inlineStr">
        <is>
          <t>Share of the NDC reduction achieved | All sectors | All fuels</t>
        </is>
      </c>
      <c r="I1163" s="3" t="inlineStr">
        <is>
          <t>share</t>
        </is>
      </c>
      <c r="K1163" s="20" t="inlineStr">
        <is>
          <t>egy.mit.ndc.gap.all.all.1</t>
        </is>
      </c>
      <c r="L1163" s="29" t="n">
        <v>0</v>
      </c>
      <c r="M1163" s="29" t="n">
        <v>0</v>
      </c>
      <c r="N1163" s="29" t="n">
        <v>0</v>
      </c>
      <c r="O1163" s="29" t="n">
        <v>0</v>
      </c>
      <c r="P1163" s="29" t="n">
        <v>0</v>
      </c>
      <c r="Q1163" s="29" t="n">
        <v>0</v>
      </c>
      <c r="R1163" s="29" t="n">
        <v>0</v>
      </c>
      <c r="S1163" s="29" t="n">
        <v>0</v>
      </c>
      <c r="T1163" s="29" t="n">
        <v>0</v>
      </c>
      <c r="U1163" s="29" t="n">
        <v>0</v>
      </c>
      <c r="V1163" s="29" t="n">
        <v>0</v>
      </c>
      <c r="W1163" s="29" t="n">
        <v>0</v>
      </c>
      <c r="X1163" s="29" t="n">
        <v>0</v>
      </c>
      <c r="Y1163" s="29" t="n">
        <v>0</v>
      </c>
      <c r="Z1163" s="29" t="n">
        <v>0</v>
      </c>
      <c r="AA1163" s="29" t="n">
        <v>0</v>
      </c>
      <c r="AB1163" s="29" t="n">
        <v>0</v>
      </c>
      <c r="AC1163" s="29" t="n">
        <v>0</v>
      </c>
      <c r="AD1163" s="29" t="n">
        <v>0</v>
      </c>
      <c r="AE1163" s="29" t="n">
        <v>0</v>
      </c>
      <c r="AG1163" s="20" t="inlineStr">
        <is>
          <t>egy.mit.ndc.gap.all.all.3</t>
        </is>
      </c>
      <c r="AH1163" s="29" t="n">
        <v>0</v>
      </c>
      <c r="AI1163" s="29" t="n">
        <v>0.0004835758441288527</v>
      </c>
      <c r="AJ1163" s="29" t="n">
        <v>0.0004213576893475202</v>
      </c>
      <c r="AK1163" s="29" t="n">
        <v>0.0003873986577858419</v>
      </c>
      <c r="AL1163" s="29" t="n">
        <v>0.0003791868052615287</v>
      </c>
      <c r="AM1163" s="29" t="n">
        <v>0.2476019400992147</v>
      </c>
      <c r="AN1163" s="29" t="n">
        <v>0.3227739211231157</v>
      </c>
      <c r="AO1163" s="29" t="n">
        <v>0.3076475161869255</v>
      </c>
      <c r="AP1163" s="29" t="n">
        <v>0.3169290494650377</v>
      </c>
      <c r="AQ1163" s="29" t="n">
        <v>0.3091200029706518</v>
      </c>
      <c r="AR1163" s="29" t="n">
        <v>0.3114054831084162</v>
      </c>
      <c r="AS1163" s="29" t="n">
        <v>0.3073200561096994</v>
      </c>
      <c r="AT1163" s="29" t="n">
        <v>0.3084282392310235</v>
      </c>
      <c r="AU1163" s="29" t="n">
        <v>0.3071883591399867</v>
      </c>
      <c r="AV1163" s="29" t="n">
        <v>0.3056934585069677</v>
      </c>
      <c r="AW1163" s="29" t="n">
        <v>0.3033093338298187</v>
      </c>
      <c r="AX1163" s="29" t="n">
        <v>0.3020784530843995</v>
      </c>
      <c r="AY1163" s="29" t="n">
        <v>0.3013168926850695</v>
      </c>
      <c r="AZ1163" s="29" t="n">
        <v>0.3019142692088563</v>
      </c>
      <c r="BA1163" s="29" t="n">
        <v>0.3028139657847222</v>
      </c>
      <c r="BC1163" s="20" t="inlineStr">
        <is>
          <t>egy.mit.ndc.gap.all.all.4</t>
        </is>
      </c>
      <c r="BD1163" s="29" t="n">
        <v>0</v>
      </c>
      <c r="BE1163" s="29" t="n">
        <v>0.0016740803569401</v>
      </c>
      <c r="BF1163" s="29" t="n">
        <v>0.001458622749264362</v>
      </c>
      <c r="BG1163" s="29" t="n">
        <v>0.001341004612822029</v>
      </c>
      <c r="BH1163" s="29" t="n">
        <v>0.00131072089689161</v>
      </c>
      <c r="BI1163" s="29" t="n">
        <v>0.1603950553935334</v>
      </c>
      <c r="BJ1163" s="29" t="n">
        <v>0.3630115715864501</v>
      </c>
      <c r="BK1163" s="29" t="n">
        <v>0.5510993069646118</v>
      </c>
      <c r="BL1163" s="29" t="n">
        <v>0.6836887704246178</v>
      </c>
      <c r="BM1163" s="29" t="n">
        <v>0.7589622103887813</v>
      </c>
      <c r="BN1163" s="29" t="n">
        <v>0.8473945579896964</v>
      </c>
      <c r="BO1163" s="29" t="n">
        <v>0.9216050902338074</v>
      </c>
      <c r="BP1163" s="29" t="n">
        <v>1.000309848084875</v>
      </c>
      <c r="BQ1163" s="29" t="n">
        <v>1.063836453348174</v>
      </c>
      <c r="BR1163" s="29" t="n">
        <v>1.130480570754836</v>
      </c>
      <c r="BS1163" s="29" t="n">
        <v>1.184231195165338</v>
      </c>
      <c r="BT1163" s="29" t="n">
        <v>1.24249321821239</v>
      </c>
      <c r="BU1163" s="29" t="n">
        <v>1.288113767081798</v>
      </c>
      <c r="BV1163" s="29" t="n">
        <v>1.342127497837145</v>
      </c>
      <c r="BW1163" s="29" t="n">
        <v>1.38025364248176</v>
      </c>
      <c r="BY1163" s="20" t="inlineStr">
        <is>
          <t>egy.mit.ndc.gap.all.all.5</t>
        </is>
      </c>
      <c r="BZ1163" s="29" t="n">
        <v>0</v>
      </c>
      <c r="CA1163" s="29" t="n">
        <v>0.002840239111756571</v>
      </c>
      <c r="CB1163" s="29" t="n">
        <v>0.002475968029976479</v>
      </c>
      <c r="CC1163" s="29" t="n">
        <v>0.002277513288518185</v>
      </c>
      <c r="CD1163" s="29" t="n">
        <v>0.002228119105550529</v>
      </c>
      <c r="CE1163" s="29" t="n">
        <v>0.2808595698048131</v>
      </c>
      <c r="CF1163" s="29" t="n">
        <v>0.2883343211565852</v>
      </c>
      <c r="CG1163" s="29" t="n">
        <v>0.2940944273823907</v>
      </c>
      <c r="CH1163" s="29" t="n">
        <v>0.3029521406755111</v>
      </c>
      <c r="CI1163" s="29" t="n">
        <v>0.3178456468067614</v>
      </c>
      <c r="CJ1163" s="29" t="n">
        <v>0.3416592687215235</v>
      </c>
      <c r="CK1163" s="29" t="n">
        <v>0.3536753757571363</v>
      </c>
      <c r="CL1163" s="29" t="n">
        <v>0.3904252291139949</v>
      </c>
      <c r="CM1163" s="29" t="n">
        <v>0.4205921125352419</v>
      </c>
      <c r="CN1163" s="29" t="n">
        <v>0.4459674313224866</v>
      </c>
      <c r="CO1163" s="29" t="n">
        <v>0.4743381215455609</v>
      </c>
      <c r="CP1163" s="29" t="n">
        <v>0.4992908405940947</v>
      </c>
      <c r="CQ1163" s="29" t="n">
        <v>0.5225297949917341</v>
      </c>
      <c r="CR1163" s="29" t="n">
        <v>0.5468877325935294</v>
      </c>
      <c r="CS1163" s="29" t="n">
        <v>0.5683978070317981</v>
      </c>
      <c r="CU1163" s="20" t="inlineStr">
        <is>
          <t>egy.mit.ndc.gap.all.all.6</t>
        </is>
      </c>
      <c r="CV1163" s="29" t="n">
        <v>0</v>
      </c>
      <c r="CW1163" s="29" t="n">
        <v>0.001153541907153135</v>
      </c>
      <c r="CX1163" s="29" t="n">
        <v>0.001005098023729065</v>
      </c>
      <c r="CY1163" s="29" t="n">
        <v>0.0009240685270228287</v>
      </c>
      <c r="CZ1163" s="29" t="n">
        <v>0.0009037494994187418</v>
      </c>
      <c r="DA1163" s="29" t="n">
        <v>0.487303072696674</v>
      </c>
      <c r="DB1163" s="29" t="n">
        <v>0.6461654487687927</v>
      </c>
      <c r="DC1163" s="29" t="n">
        <v>0.6301129580258445</v>
      </c>
      <c r="DD1163" s="29" t="n">
        <v>0.656156012606519</v>
      </c>
      <c r="DE1163" s="29" t="n">
        <v>0.6226987927409841</v>
      </c>
      <c r="DF1163" s="29" t="n">
        <v>0.6460832861496062</v>
      </c>
      <c r="DG1163" s="29" t="n">
        <v>0.651909262867489</v>
      </c>
      <c r="DH1163" s="29" t="n">
        <v>0.6739484460516967</v>
      </c>
      <c r="DI1163" s="29" t="n">
        <v>0.6863699734161598</v>
      </c>
      <c r="DJ1163" s="29" t="n">
        <v>0.7030190805502879</v>
      </c>
      <c r="DK1163" s="29" t="n">
        <v>0.7124485956877453</v>
      </c>
      <c r="DL1163" s="29" t="n">
        <v>0.7273774153665689</v>
      </c>
      <c r="DM1163" s="29" t="n">
        <v>0.7373818620198813</v>
      </c>
      <c r="DN1163" s="29" t="n">
        <v>0.7524356132250829</v>
      </c>
      <c r="DO1163" s="29" t="n">
        <v>0.7631490621022566</v>
      </c>
    </row>
    <row r="1164">
      <c r="A1164" s="5" t="n"/>
      <c r="B1164" s="18" t="inlineStr">
        <is>
          <t>Not in legacy MTOutputs: revenue and fiscal</t>
        </is>
      </c>
      <c r="C1164" s="5" t="n"/>
      <c r="D1164" s="5" t="n"/>
      <c r="E1164" s="5" t="n"/>
      <c r="F1164" s="5" t="n"/>
      <c r="G1164" s="5" t="n"/>
      <c r="H1164" s="5" t="n"/>
      <c r="I1164" s="5" t="n"/>
      <c r="J1164" s="5" t="n"/>
      <c r="K1164" s="5" t="n"/>
      <c r="L1164" s="5" t="n"/>
      <c r="M1164" s="5" t="n"/>
      <c r="N1164" s="5" t="n"/>
      <c r="O1164" s="5" t="n"/>
      <c r="P1164" s="5" t="n"/>
      <c r="Q1164" s="5" t="n"/>
      <c r="R1164" s="5" t="n"/>
      <c r="S1164" s="5" t="n"/>
      <c r="T1164" s="5" t="n"/>
      <c r="U1164" s="5" t="n"/>
      <c r="V1164" s="5" t="n"/>
      <c r="W1164" s="5" t="n"/>
      <c r="X1164" s="5" t="n"/>
      <c r="Y1164" s="5" t="n"/>
      <c r="Z1164" s="5" t="n"/>
      <c r="AA1164" s="5" t="n"/>
      <c r="AB1164" s="5" t="n"/>
      <c r="AC1164" s="5" t="n"/>
      <c r="AD1164" s="5" t="n"/>
      <c r="AE1164" s="5" t="n"/>
      <c r="AF1164" s="5" t="n"/>
      <c r="AG1164" s="5" t="n"/>
      <c r="AH1164" s="5" t="n"/>
      <c r="AI1164" s="5" t="n"/>
      <c r="AJ1164" s="5" t="n"/>
      <c r="AK1164" s="5" t="n"/>
      <c r="AL1164" s="5" t="n"/>
      <c r="AM1164" s="5" t="n"/>
      <c r="AN1164" s="5" t="n"/>
      <c r="AO1164" s="5" t="n"/>
      <c r="AP1164" s="5" t="n"/>
      <c r="AQ1164" s="5" t="n"/>
      <c r="AR1164" s="5" t="n"/>
      <c r="AS1164" s="5" t="n"/>
      <c r="AT1164" s="5" t="n"/>
      <c r="AU1164" s="5" t="n"/>
      <c r="AV1164" s="5" t="n"/>
      <c r="AW1164" s="5" t="n"/>
      <c r="AX1164" s="5" t="n"/>
      <c r="AY1164" s="5" t="n"/>
      <c r="AZ1164" s="5" t="n"/>
      <c r="BA1164" s="5" t="n"/>
      <c r="BB1164" s="5" t="n"/>
      <c r="BC1164" s="5" t="n"/>
      <c r="BD1164" s="5" t="n"/>
      <c r="BE1164" s="5" t="n"/>
      <c r="BF1164" s="5" t="n"/>
      <c r="BG1164" s="5" t="n"/>
      <c r="BH1164" s="5" t="n"/>
      <c r="BI1164" s="5" t="n"/>
      <c r="BJ1164" s="5" t="n"/>
      <c r="BK1164" s="5" t="n"/>
      <c r="BL1164" s="5" t="n"/>
      <c r="BM1164" s="5" t="n"/>
      <c r="BN1164" s="5" t="n"/>
      <c r="BO1164" s="5" t="n"/>
      <c r="BP1164" s="5" t="n"/>
      <c r="BQ1164" s="5" t="n"/>
      <c r="BR1164" s="5" t="n"/>
      <c r="BS1164" s="5" t="n"/>
      <c r="BT1164" s="5" t="n"/>
      <c r="BU1164" s="5" t="n"/>
      <c r="BV1164" s="5" t="n"/>
      <c r="BW1164" s="5" t="n"/>
      <c r="BX1164" s="5" t="n"/>
      <c r="BY1164" s="5" t="n"/>
      <c r="BZ1164" s="5" t="n"/>
      <c r="CA1164" s="5" t="n"/>
      <c r="CB1164" s="5" t="n"/>
      <c r="CC1164" s="5" t="n"/>
      <c r="CD1164" s="5" t="n"/>
      <c r="CE1164" s="5" t="n"/>
      <c r="CF1164" s="5" t="n"/>
      <c r="CG1164" s="5" t="n"/>
      <c r="CH1164" s="5" t="n"/>
      <c r="CI1164" s="5" t="n"/>
      <c r="CJ1164" s="5" t="n"/>
      <c r="CK1164" s="5" t="n"/>
      <c r="CL1164" s="5" t="n"/>
      <c r="CM1164" s="5" t="n"/>
      <c r="CN1164" s="5" t="n"/>
      <c r="CO1164" s="5" t="n"/>
      <c r="CP1164" s="5" t="n"/>
      <c r="CQ1164" s="5" t="n"/>
      <c r="CR1164" s="5" t="n"/>
      <c r="CS1164" s="5" t="n"/>
      <c r="CT1164" s="5" t="n"/>
      <c r="CU1164" s="5" t="n"/>
      <c r="CV1164" s="5" t="n"/>
      <c r="CW1164" s="5" t="n"/>
      <c r="CX1164" s="5" t="n"/>
      <c r="CY1164" s="5" t="n"/>
      <c r="CZ1164" s="5" t="n"/>
      <c r="DA1164" s="5" t="n"/>
      <c r="DB1164" s="5" t="n"/>
      <c r="DC1164" s="5" t="n"/>
      <c r="DD1164" s="5" t="n"/>
      <c r="DE1164" s="5" t="n"/>
      <c r="DF1164" s="5" t="n"/>
      <c r="DG1164" s="5" t="n"/>
      <c r="DH1164" s="5" t="n"/>
      <c r="DI1164" s="5" t="n"/>
      <c r="DJ1164" s="5" t="n"/>
      <c r="DK1164" s="5" t="n"/>
      <c r="DL1164" s="5" t="n"/>
      <c r="DM1164" s="5" t="n"/>
      <c r="DN1164" s="5" t="n"/>
      <c r="DO1164" s="5" t="n"/>
      <c r="DP1164" s="5" t="n"/>
      <c r="DQ1164" s="5" t="n"/>
      <c r="DR1164" s="5" t="n"/>
      <c r="DS1164" s="5" t="n"/>
      <c r="DT1164" s="5" t="n"/>
      <c r="DU1164" s="5" t="n"/>
      <c r="DV1164" s="5" t="n"/>
      <c r="DW1164" s="5" t="n"/>
      <c r="DX1164" s="5" t="n"/>
      <c r="DY1164" s="5" t="n"/>
      <c r="DZ1164" s="5" t="n"/>
      <c r="EA1164" s="5" t="n"/>
      <c r="EB1164" s="5" t="n"/>
      <c r="EC1164" s="5" t="n"/>
      <c r="ED1164" s="5" t="n"/>
      <c r="EE1164" s="5" t="n"/>
      <c r="EF1164" s="5" t="n"/>
      <c r="EG1164" s="5" t="n"/>
      <c r="EH1164" s="5" t="n"/>
      <c r="EI1164" s="5" t="n"/>
      <c r="EJ1164" s="5" t="n"/>
      <c r="EK1164" s="5" t="n"/>
      <c r="EL1164" s="5" t="n"/>
      <c r="EM1164" s="5" t="n"/>
      <c r="EN1164" s="5" t="n"/>
      <c r="EO1164" s="5" t="n"/>
      <c r="EP1164" s="5" t="n"/>
      <c r="EQ1164" s="5" t="n"/>
      <c r="ER1164" s="5" t="n"/>
      <c r="ES1164" s="5" t="n"/>
      <c r="ET1164" s="5" t="n"/>
      <c r="EU1164" s="5" t="n"/>
      <c r="EV1164" s="5" t="n"/>
      <c r="EW1164" s="5" t="n"/>
      <c r="EX1164" s="5" t="n"/>
      <c r="EY1164" s="5" t="n"/>
      <c r="EZ1164" s="5" t="n"/>
      <c r="FA1164" s="5" t="n"/>
      <c r="FB1164" s="5" t="n"/>
      <c r="FC1164" s="5" t="n"/>
      <c r="FD1164" s="5" t="n"/>
      <c r="FE1164" s="5" t="n"/>
      <c r="FF1164" s="5" t="n"/>
      <c r="FG1164" s="5" t="n"/>
      <c r="FH1164" s="5" t="n"/>
      <c r="FI1164" s="5" t="n"/>
      <c r="FJ1164" s="5" t="n"/>
      <c r="FK1164" s="5" t="n"/>
      <c r="FL1164" s="5" t="n"/>
      <c r="FM1164" s="5" t="n"/>
      <c r="FN1164" s="5" t="n"/>
      <c r="FO1164" s="5" t="n"/>
      <c r="FP1164" s="5" t="n"/>
      <c r="FQ1164" s="5" t="n"/>
      <c r="FR1164" s="5" t="n"/>
      <c r="FS1164" s="5" t="n"/>
      <c r="FT1164" s="5" t="n"/>
      <c r="FU1164" s="5" t="n"/>
      <c r="FV1164" s="5" t="n"/>
      <c r="FW1164" s="5" t="n"/>
      <c r="FX1164" s="5" t="n"/>
      <c r="FY1164" s="5" t="n"/>
      <c r="FZ1164" s="5" t="n"/>
      <c r="GA1164" s="5" t="n"/>
      <c r="GB1164" s="5" t="n"/>
      <c r="GC1164" s="5" t="n"/>
      <c r="GD1164" s="5" t="n"/>
      <c r="GE1164" s="5" t="n"/>
      <c r="GF1164" s="5" t="n"/>
      <c r="GG1164" s="5" t="n"/>
      <c r="GH1164" s="5" t="n"/>
      <c r="GI1164" s="5" t="n"/>
      <c r="GJ1164" s="5" t="n"/>
      <c r="GK1164" s="5" t="n"/>
      <c r="GL1164" s="5" t="n"/>
      <c r="GM1164" s="5" t="n"/>
      <c r="GN1164" s="5" t="n"/>
      <c r="GO1164" s="5" t="n"/>
      <c r="GP1164" s="5" t="n"/>
      <c r="GQ1164" s="5" t="n"/>
      <c r="GR1164" s="5" t="n"/>
      <c r="GS1164" s="5" t="n"/>
      <c r="GT1164" s="5" t="n"/>
      <c r="GU1164" s="5" t="n"/>
      <c r="GV1164" s="5" t="n"/>
      <c r="GW1164" s="5" t="n"/>
      <c r="GX1164" s="5" t="n"/>
      <c r="GY1164" s="5" t="n"/>
      <c r="GZ1164" s="5" t="n"/>
      <c r="HA1164" s="5" t="n"/>
      <c r="HB1164" s="5" t="n"/>
      <c r="HC1164" s="5" t="n"/>
      <c r="HD1164" s="5" t="n"/>
      <c r="HE1164" s="5" t="n"/>
      <c r="HF1164" s="5" t="n"/>
      <c r="HG1164" s="5" t="n"/>
      <c r="HH1164" s="5" t="n"/>
      <c r="HI1164" s="5" t="n"/>
      <c r="HJ1164" s="5" t="n"/>
      <c r="HK1164" s="5" t="n"/>
      <c r="HL1164" s="5" t="n"/>
      <c r="HM1164" s="5" t="n"/>
      <c r="HN1164" s="5" t="n"/>
      <c r="HO1164" s="5" t="n"/>
      <c r="HP1164" s="5" t="n"/>
      <c r="HQ1164" s="5" t="n"/>
      <c r="HR1164" s="5" t="n"/>
      <c r="HS1164" s="5" t="n"/>
      <c r="HT1164" s="5" t="n"/>
      <c r="HU1164" s="5" t="n"/>
      <c r="HV1164" s="5" t="n"/>
    </row>
    <row r="1165">
      <c r="A1165" s="19" t="inlineStr">
        <is>
          <t>mit.rpct.all.chg</t>
        </is>
      </c>
      <c r="B1165" s="3" t="inlineStr">
        <is>
          <t>mit</t>
        </is>
      </c>
      <c r="C1165" s="19" t="n"/>
      <c r="H1165" s="3" t="inlineStr">
        <is>
          <t xml:space="preserve">Revenue as a share of baseline real GDP | All sectors | </t>
        </is>
      </c>
      <c r="I1165" s="3" t="inlineStr">
        <is>
          <t>% of GDP</t>
        </is>
      </c>
      <c r="K1165" s="20" t="inlineStr">
        <is>
          <t>egy.mit.rpct.all.chg.1</t>
        </is>
      </c>
      <c r="L1165" s="24" t="n">
        <v>0</v>
      </c>
      <c r="M1165" s="24" t="n">
        <v>0</v>
      </c>
      <c r="N1165" s="24" t="n">
        <v>0</v>
      </c>
      <c r="O1165" s="24" t="n">
        <v>0</v>
      </c>
      <c r="P1165" s="24" t="n">
        <v>0</v>
      </c>
      <c r="Q1165" s="24" t="n">
        <v>0</v>
      </c>
      <c r="R1165" s="24" t="n">
        <v>0</v>
      </c>
      <c r="S1165" s="24" t="n">
        <v>0</v>
      </c>
      <c r="T1165" s="24" t="n">
        <v>0</v>
      </c>
      <c r="U1165" s="24" t="n">
        <v>0</v>
      </c>
      <c r="V1165" s="24" t="n">
        <v>0</v>
      </c>
      <c r="W1165" s="24" t="n">
        <v>0</v>
      </c>
      <c r="X1165" s="24" t="n">
        <v>0</v>
      </c>
      <c r="Y1165" s="24" t="n">
        <v>0</v>
      </c>
      <c r="Z1165" s="24" t="n">
        <v>0</v>
      </c>
      <c r="AA1165" s="24" t="n">
        <v>0</v>
      </c>
      <c r="AB1165" s="24" t="n">
        <v>0</v>
      </c>
      <c r="AC1165" s="24" t="n">
        <v>0</v>
      </c>
      <c r="AD1165" s="24" t="n">
        <v>0</v>
      </c>
      <c r="AE1165" s="24" t="n">
        <v>0</v>
      </c>
      <c r="AG1165" s="20" t="inlineStr">
        <is>
          <t>egy.mit.rpct.all.chg.3</t>
        </is>
      </c>
      <c r="AH1165" s="24" t="n">
        <v>0</v>
      </c>
      <c r="AI1165" s="24" t="n">
        <v>1.185544364064951e-05</v>
      </c>
      <c r="AJ1165" s="24" t="n">
        <v>1.332494824089065e-05</v>
      </c>
      <c r="AK1165" s="24" t="n">
        <v>1.26042764380686e-05</v>
      </c>
      <c r="AL1165" s="24" t="n">
        <v>1.267764193102298e-05</v>
      </c>
      <c r="AM1165" s="24" t="n">
        <v>0.01261657316771903</v>
      </c>
      <c r="AN1165" s="24" t="n">
        <v>0.01499557580039999</v>
      </c>
      <c r="AO1165" s="24" t="n">
        <v>0.01422449300553398</v>
      </c>
      <c r="AP1165" s="24" t="n">
        <v>0.01403706654161389</v>
      </c>
      <c r="AQ1165" s="24" t="n">
        <v>0.01313323113545417</v>
      </c>
      <c r="AR1165" s="24" t="n">
        <v>0.01266589327218142</v>
      </c>
      <c r="AS1165" s="24" t="n">
        <v>0.01224637408519854</v>
      </c>
      <c r="AT1165" s="24" t="n">
        <v>0.01191204063300773</v>
      </c>
      <c r="AU1165" s="24" t="n">
        <v>0.01156566469158836</v>
      </c>
      <c r="AV1165" s="24" t="n">
        <v>0.01122710199356438</v>
      </c>
      <c r="AW1165" s="24" t="n">
        <v>0.01088818502207175</v>
      </c>
      <c r="AX1165" s="24" t="n">
        <v>0.01058401763665168</v>
      </c>
      <c r="AY1165" s="24" t="n">
        <v>0.01030103400553361</v>
      </c>
      <c r="AZ1165" s="24" t="n">
        <v>0.01005380320491533</v>
      </c>
      <c r="BA1165" s="24" t="n">
        <v>0.009822614245120206</v>
      </c>
      <c r="BC1165" s="20" t="inlineStr">
        <is>
          <t>egy.mit.rpct.all.chg.4</t>
        </is>
      </c>
      <c r="BD1165" s="24" t="n">
        <v>0</v>
      </c>
      <c r="BE1165" s="24" t="n">
        <v>4.095222660938068e-05</v>
      </c>
      <c r="BF1165" s="24" t="n">
        <v>4.554567015364838e-05</v>
      </c>
      <c r="BG1165" s="24" t="n">
        <v>4.312085678666583e-05</v>
      </c>
      <c r="BH1165" s="24" t="n">
        <v>4.323460052905092e-05</v>
      </c>
      <c r="BI1165" s="24" t="n">
        <v>0.007202348535135943</v>
      </c>
      <c r="BJ1165" s="24" t="n">
        <v>0.01602016297974855</v>
      </c>
      <c r="BK1165" s="24" t="n">
        <v>0.02343140399058617</v>
      </c>
      <c r="BL1165" s="24" t="n">
        <v>0.02881898262590095</v>
      </c>
      <c r="BM1165" s="24" t="n">
        <v>0.03237731712671122</v>
      </c>
      <c r="BN1165" s="24" t="n">
        <v>0.03565125956714034</v>
      </c>
      <c r="BO1165" s="24" t="n">
        <v>0.03879587446090815</v>
      </c>
      <c r="BP1165" s="24" t="n">
        <v>0.04138755120602138</v>
      </c>
      <c r="BQ1165" s="24" t="n">
        <v>0.0435362030494235</v>
      </c>
      <c r="BR1165" s="24" t="n">
        <v>0.04531532758786438</v>
      </c>
      <c r="BS1165" s="24" t="n">
        <v>0.04675773677717818</v>
      </c>
      <c r="BT1165" s="24" t="n">
        <v>0.04791172573267878</v>
      </c>
      <c r="BU1165" s="24" t="n">
        <v>0.04885074737518771</v>
      </c>
      <c r="BV1165" s="24" t="n">
        <v>0.04953838930479414</v>
      </c>
      <c r="BW1165" s="24" t="n">
        <v>0.05013400809489376</v>
      </c>
      <c r="BY1165" s="20" t="inlineStr">
        <is>
          <t>egy.mit.rpct.all.chg.5</t>
        </is>
      </c>
      <c r="BZ1165" s="24" t="n">
        <v>0</v>
      </c>
      <c r="CA1165" s="24" t="n">
        <v>6.952033543072592e-05</v>
      </c>
      <c r="CB1165" s="24" t="n">
        <v>7.765486865817061e-05</v>
      </c>
      <c r="CC1165" s="24" t="n">
        <v>7.354086128576366e-05</v>
      </c>
      <c r="CD1165" s="24" t="n">
        <v>7.382475527386976e-05</v>
      </c>
      <c r="CE1165" s="24" t="n">
        <v>0.01081536756756178</v>
      </c>
      <c r="CF1165" s="24" t="n">
        <v>0.01038026654915266</v>
      </c>
      <c r="CG1165" s="24" t="n">
        <v>0.0100333013444593</v>
      </c>
      <c r="CH1165" s="24" t="n">
        <v>0.00979113588834166</v>
      </c>
      <c r="CI1165" s="24" t="n">
        <v>0.009620051688248228</v>
      </c>
      <c r="CJ1165" s="24" t="n">
        <v>0.009724971280980018</v>
      </c>
      <c r="CK1165" s="24" t="n">
        <v>0.009613853019330747</v>
      </c>
      <c r="CL1165" s="24" t="n">
        <v>0.009934413874108785</v>
      </c>
      <c r="CM1165" s="24" t="n">
        <v>0.0101377115321905</v>
      </c>
      <c r="CN1165" s="24" t="n">
        <v>0.01022831507842647</v>
      </c>
      <c r="CO1165" s="24" t="n">
        <v>0.0103663524700469</v>
      </c>
      <c r="CP1165" s="24" t="n">
        <v>0.01044079956441418</v>
      </c>
      <c r="CQ1165" s="24" t="n">
        <v>0.01047679747614452</v>
      </c>
      <c r="CR1165" s="24" t="n">
        <v>0.01053405353995164</v>
      </c>
      <c r="CS1165" s="24" t="n">
        <v>0.01054447460957498</v>
      </c>
      <c r="CU1165" s="20" t="inlineStr">
        <is>
          <t>egy.mit.rpct.all.chg.6</t>
        </is>
      </c>
      <c r="CV1165" s="24" t="n">
        <v>0</v>
      </c>
      <c r="CW1165" s="24" t="n">
        <v>2.824489873161118e-05</v>
      </c>
      <c r="CX1165" s="24" t="n">
        <v>3.155596231897843e-05</v>
      </c>
      <c r="CY1165" s="24" t="n">
        <v>2.986464927496437e-05</v>
      </c>
      <c r="CZ1165" s="24" t="n">
        <v>2.998433398481247e-05</v>
      </c>
      <c r="DA1165" s="24" t="n">
        <v>0.02701648040895259</v>
      </c>
      <c r="DB1165" s="24" t="n">
        <v>0.03114142944554647</v>
      </c>
      <c r="DC1165" s="24" t="n">
        <v>0.02992965639002676</v>
      </c>
      <c r="DD1165" s="24" t="n">
        <v>0.02946350596343382</v>
      </c>
      <c r="DE1165" s="24" t="n">
        <v>0.0276987575807245</v>
      </c>
      <c r="DF1165" s="24" t="n">
        <v>0.0268085734813168</v>
      </c>
      <c r="DG1165" s="24" t="n">
        <v>0.02612234043695971</v>
      </c>
      <c r="DH1165" s="24" t="n">
        <v>0.02553583529583019</v>
      </c>
      <c r="DI1165" s="24" t="n">
        <v>0.02486386332266264</v>
      </c>
      <c r="DJ1165" s="24" t="n">
        <v>0.02425736435993194</v>
      </c>
      <c r="DK1165" s="24" t="n">
        <v>0.0235851684221193</v>
      </c>
      <c r="DL1165" s="24" t="n">
        <v>0.02301101637649234</v>
      </c>
      <c r="DM1165" s="24" t="n">
        <v>0.02241322468334983</v>
      </c>
      <c r="DN1165" s="24" t="n">
        <v>0.02191188167623193</v>
      </c>
      <c r="DO1165" s="24" t="n">
        <v>0.02139455424035121</v>
      </c>
    </row>
    <row r="1166">
      <c r="A1166" s="19" t="inlineStr">
        <is>
          <t>mit.rpct.all.sub</t>
        </is>
      </c>
      <c r="B1166" s="3" t="inlineStr">
        <is>
          <t>mit</t>
        </is>
      </c>
      <c r="C1166" s="19" t="n"/>
      <c r="H1166" s="3" t="inlineStr">
        <is>
          <t xml:space="preserve">Revenue as a share of baseline real GDP | All sectors | </t>
        </is>
      </c>
      <c r="I1166" s="3" t="inlineStr">
        <is>
          <t>% of GDP</t>
        </is>
      </c>
      <c r="K1166" s="20" t="inlineStr">
        <is>
          <t>egy.mit.rpct.all.sub.1</t>
        </is>
      </c>
      <c r="L1166" s="24" t="n">
        <v>-0.08316074203283647</v>
      </c>
      <c r="M1166" s="24" t="n">
        <v>-0.07297511913518717</v>
      </c>
      <c r="N1166" s="24" t="n">
        <v>-0.08149946225131781</v>
      </c>
      <c r="O1166" s="24" t="n">
        <v>-0.07468249440003823</v>
      </c>
      <c r="P1166" s="24" t="n">
        <v>-0.07987656695750944</v>
      </c>
      <c r="Q1166" s="24" t="n">
        <v>-0.07235528044014695</v>
      </c>
      <c r="R1166" s="24" t="n">
        <v>-0.06906756865013521</v>
      </c>
      <c r="S1166" s="24" t="n">
        <v>-0.06682541034312239</v>
      </c>
      <c r="T1166" s="24" t="n">
        <v>-0.06452685484143922</v>
      </c>
      <c r="U1166" s="24" t="n">
        <v>-0.06186482850524409</v>
      </c>
      <c r="V1166" s="24" t="n">
        <v>-0.060006601426082</v>
      </c>
      <c r="W1166" s="24" t="n">
        <v>-0.05891860164723924</v>
      </c>
      <c r="X1166" s="24" t="n">
        <v>-0.05776874513931726</v>
      </c>
      <c r="Y1166" s="24" t="n">
        <v>-0.05672621946761135</v>
      </c>
      <c r="Z1166" s="24" t="n">
        <v>-0.05571558255351401</v>
      </c>
      <c r="AA1166" s="24" t="n">
        <v>-0.05474193531597685</v>
      </c>
      <c r="AB1166" s="24" t="n">
        <v>-0.05380175146252055</v>
      </c>
      <c r="AC1166" s="24" t="n">
        <v>-0.05289406447609189</v>
      </c>
      <c r="AD1166" s="24" t="n">
        <v>-0.05201940924437348</v>
      </c>
      <c r="AE1166" s="24" t="n">
        <v>-0.05117701649560023</v>
      </c>
      <c r="AG1166" s="20" t="inlineStr">
        <is>
          <t>egy.mit.rpct.all.sub.3</t>
        </is>
      </c>
      <c r="AH1166" s="24" t="n">
        <v>-0.08316074203283647</v>
      </c>
      <c r="AI1166" s="24" t="n">
        <v>-0.07296326369154653</v>
      </c>
      <c r="AJ1166" s="24" t="n">
        <v>-0.08148613730307692</v>
      </c>
      <c r="AK1166" s="24" t="n">
        <v>-0.07466989012360016</v>
      </c>
      <c r="AL1166" s="24" t="n">
        <v>-0.07986388931557843</v>
      </c>
      <c r="AM1166" s="24" t="n">
        <v>-0.0672230506266832</v>
      </c>
      <c r="AN1166" s="24" t="n">
        <v>-0.06108698518221457</v>
      </c>
      <c r="AO1166" s="24" t="n">
        <v>-0.05952080556173538</v>
      </c>
      <c r="AP1166" s="24" t="n">
        <v>-0.05721192332347688</v>
      </c>
      <c r="AQ1166" s="24" t="n">
        <v>-0.05524841850658329</v>
      </c>
      <c r="AR1166" s="24" t="n">
        <v>-0.05361868144055019</v>
      </c>
      <c r="AS1166" s="24" t="n">
        <v>-0.05280354184941068</v>
      </c>
      <c r="AT1166" s="24" t="n">
        <v>-0.05181651962934455</v>
      </c>
      <c r="AU1166" s="24" t="n">
        <v>-0.05097220856844533</v>
      </c>
      <c r="AV1166" s="24" t="n">
        <v>-0.05015800696522654</v>
      </c>
      <c r="AW1166" s="24" t="n">
        <v>-0.04938944918393405</v>
      </c>
      <c r="AX1166" s="24" t="n">
        <v>-0.04862233592810883</v>
      </c>
      <c r="AY1166" s="24" t="n">
        <v>-0.04787095843754714</v>
      </c>
      <c r="AZ1166" s="24" t="n">
        <v>-0.04711915857307802</v>
      </c>
      <c r="BA1166" s="24" t="n">
        <v>-0.04638831906998769</v>
      </c>
      <c r="BC1166" s="20" t="inlineStr">
        <is>
          <t>egy.mit.rpct.all.sub.4</t>
        </is>
      </c>
      <c r="BD1166" s="24" t="n">
        <v>-0.08316074203283647</v>
      </c>
      <c r="BE1166" s="24" t="n">
        <v>-0.07293416690857779</v>
      </c>
      <c r="BF1166" s="24" t="n">
        <v>-0.08145391658116416</v>
      </c>
      <c r="BG1166" s="24" t="n">
        <v>-0.07463937354325156</v>
      </c>
      <c r="BH1166" s="24" t="n">
        <v>-0.0798333323569804</v>
      </c>
      <c r="BI1166" s="24" t="n">
        <v>-0.06901548357929373</v>
      </c>
      <c r="BJ1166" s="24" t="n">
        <v>-0.0611450803952192</v>
      </c>
      <c r="BK1166" s="24" t="n">
        <v>-0.05479738638161867</v>
      </c>
      <c r="BL1166" s="24" t="n">
        <v>-0.04994972900993967</v>
      </c>
      <c r="BM1166" s="24" t="n">
        <v>-0.04630564675822717</v>
      </c>
      <c r="BN1166" s="24" t="n">
        <v>-0.04307938338528314</v>
      </c>
      <c r="BO1166" s="24" t="n">
        <v>-0.04069925321545112</v>
      </c>
      <c r="BP1166" s="24" t="n">
        <v>-0.03830811896329191</v>
      </c>
      <c r="BQ1166" s="24" t="n">
        <v>-0.03641560353086688</v>
      </c>
      <c r="BR1166" s="24" t="n">
        <v>-0.03456345462451</v>
      </c>
      <c r="BS1166" s="24" t="n">
        <v>-0.03308007152631671</v>
      </c>
      <c r="BT1166" s="24" t="n">
        <v>-0.03158452845476582</v>
      </c>
      <c r="BU1166" s="24" t="n">
        <v>-0.03042087531967273</v>
      </c>
      <c r="BV1166" s="24" t="n">
        <v>-0.02915076903629199</v>
      </c>
      <c r="BW1166" s="24" t="n">
        <v>-0.02825294903968552</v>
      </c>
      <c r="BY1166" s="20" t="inlineStr">
        <is>
          <t>egy.mit.rpct.all.sub.5</t>
        </is>
      </c>
      <c r="BZ1166" s="24" t="n">
        <v>-0.08316074203283647</v>
      </c>
      <c r="CA1166" s="24" t="n">
        <v>-0.07290559879975646</v>
      </c>
      <c r="CB1166" s="24" t="n">
        <v>-0.08142180738265964</v>
      </c>
      <c r="CC1166" s="24" t="n">
        <v>-0.07460895353875246</v>
      </c>
      <c r="CD1166" s="24" t="n">
        <v>-0.07980274220223559</v>
      </c>
      <c r="CE1166" s="24" t="n">
        <v>-0.06627019365777458</v>
      </c>
      <c r="CF1166" s="24" t="n">
        <v>-0.06330718373725547</v>
      </c>
      <c r="CG1166" s="24" t="n">
        <v>-0.06130890897541012</v>
      </c>
      <c r="CH1166" s="24" t="n">
        <v>-0.0591512463270609</v>
      </c>
      <c r="CI1166" s="24" t="n">
        <v>-0.05656648594724126</v>
      </c>
      <c r="CJ1166" s="24" t="n">
        <v>-0.05450926643065662</v>
      </c>
      <c r="CK1166" s="24" t="n">
        <v>-0.05344479485176173</v>
      </c>
      <c r="CL1166" s="24" t="n">
        <v>-0.05188945204451333</v>
      </c>
      <c r="CM1166" s="24" t="n">
        <v>-0.05056065684861072</v>
      </c>
      <c r="CN1166" s="24" t="n">
        <v>-0.0493795303889587</v>
      </c>
      <c r="CO1166" s="24" t="n">
        <v>-0.04819126183140381</v>
      </c>
      <c r="CP1166" s="24" t="n">
        <v>-0.04710105954085966</v>
      </c>
      <c r="CQ1166" s="24" t="n">
        <v>-0.04608374031307366</v>
      </c>
      <c r="CR1166" s="24" t="n">
        <v>-0.04507917719570969</v>
      </c>
      <c r="CS1166" s="24" t="n">
        <v>-0.0441559962576671</v>
      </c>
      <c r="CU1166" s="20" t="inlineStr">
        <is>
          <t>egy.mit.rpct.all.sub.6</t>
        </is>
      </c>
      <c r="CV1166" s="24" t="n">
        <v>-0.08316074203283647</v>
      </c>
      <c r="CW1166" s="24" t="n">
        <v>-0.07294687423645557</v>
      </c>
      <c r="CX1166" s="24" t="n">
        <v>-0.08146790628899883</v>
      </c>
      <c r="CY1166" s="24" t="n">
        <v>-0.07465262975076327</v>
      </c>
      <c r="CZ1166" s="24" t="n">
        <v>-0.07984658262352463</v>
      </c>
      <c r="DA1166" s="24" t="n">
        <v>-0.06236567004749986</v>
      </c>
      <c r="DB1166" s="24" t="n">
        <v>-0.05301883668564993</v>
      </c>
      <c r="DC1166" s="24" t="n">
        <v>-0.05182917692987971</v>
      </c>
      <c r="DD1166" s="24" t="n">
        <v>-0.04941856449603452</v>
      </c>
      <c r="DE1166" s="24" t="n">
        <v>-0.04832599591115665</v>
      </c>
      <c r="DF1166" s="24" t="n">
        <v>-0.04665901274986646</v>
      </c>
      <c r="DG1166" s="24" t="n">
        <v>-0.04587151162592068</v>
      </c>
      <c r="DH1166" s="24" t="n">
        <v>-0.04477394933990778</v>
      </c>
      <c r="DI1166" s="24" t="n">
        <v>-0.04399014709091056</v>
      </c>
      <c r="DJ1166" s="24" t="n">
        <v>-0.04315541829709843</v>
      </c>
      <c r="DK1166" s="24" t="n">
        <v>-0.04249513408839598</v>
      </c>
      <c r="DL1166" s="24" t="n">
        <v>-0.04174793729976326</v>
      </c>
      <c r="DM1166" s="24" t="n">
        <v>-0.04111041551352529</v>
      </c>
      <c r="DN1166" s="24" t="n">
        <v>-0.04039157916093432</v>
      </c>
      <c r="DO1166" s="24" t="n">
        <v>-0.0397670962220658</v>
      </c>
    </row>
    <row r="1167">
      <c r="A1167" s="19" t="inlineStr">
        <is>
          <t>mit.rbe.all.all</t>
        </is>
      </c>
      <c r="B1167" s="3" t="inlineStr">
        <is>
          <t>mit</t>
        </is>
      </c>
      <c r="C1167" s="19" t="n"/>
      <c r="H1167" s="3" t="inlineStr">
        <is>
          <t>Base erosion: change in existing taxes net of subsidies against scenario 1 | All sectors | All fuels</t>
        </is>
      </c>
      <c r="I1167" s="3" t="inlineStr">
        <is>
          <t>USD m real</t>
        </is>
      </c>
      <c r="K1167" s="20" t="inlineStr">
        <is>
          <t>egy.mit.rbe.all.all.1</t>
        </is>
      </c>
      <c r="L1167" s="23" t="n">
        <v>0</v>
      </c>
      <c r="M1167" s="23" t="n">
        <v>0</v>
      </c>
      <c r="N1167" s="23" t="n">
        <v>0</v>
      </c>
      <c r="O1167" s="23" t="n">
        <v>0</v>
      </c>
      <c r="P1167" s="23" t="n">
        <v>0</v>
      </c>
      <c r="Q1167" s="23" t="n">
        <v>0</v>
      </c>
      <c r="R1167" s="23" t="n">
        <v>0</v>
      </c>
      <c r="S1167" s="23" t="n">
        <v>0</v>
      </c>
      <c r="T1167" s="23" t="n">
        <v>0</v>
      </c>
      <c r="U1167" s="23" t="n">
        <v>0</v>
      </c>
      <c r="V1167" s="23" t="n">
        <v>0</v>
      </c>
      <c r="W1167" s="23" t="n">
        <v>0</v>
      </c>
      <c r="X1167" s="23" t="n">
        <v>0</v>
      </c>
      <c r="Y1167" s="23" t="n">
        <v>0</v>
      </c>
      <c r="Z1167" s="23" t="n">
        <v>0</v>
      </c>
      <c r="AA1167" s="23" t="n">
        <v>0</v>
      </c>
      <c r="AB1167" s="23" t="n">
        <v>0</v>
      </c>
      <c r="AC1167" s="23" t="n">
        <v>0</v>
      </c>
      <c r="AD1167" s="23" t="n">
        <v>0</v>
      </c>
      <c r="AE1167" s="23" t="n">
        <v>0</v>
      </c>
      <c r="AG1167" s="20" t="inlineStr">
        <is>
          <t>egy.mit.rbe.all.all.3</t>
        </is>
      </c>
      <c r="AH1167" s="23" t="n">
        <v>0</v>
      </c>
      <c r="AI1167" s="23" t="n">
        <v>6.7284215050895</v>
      </c>
      <c r="AJ1167" s="23" t="n">
        <v>7.743829496917897</v>
      </c>
      <c r="AK1167" s="23" t="n">
        <v>7.646751890300948</v>
      </c>
      <c r="AL1167" s="23" t="n">
        <v>8.017348069057334</v>
      </c>
      <c r="AM1167" s="23" t="n">
        <v>3400.555651476272</v>
      </c>
      <c r="AN1167" s="23" t="n">
        <v>5581.640984369238</v>
      </c>
      <c r="AO1167" s="23" t="n">
        <v>5375.756531838408</v>
      </c>
      <c r="AP1167" s="23" t="n">
        <v>5644.042094354656</v>
      </c>
      <c r="AQ1167" s="23" t="n">
        <v>5349.386982801137</v>
      </c>
      <c r="AR1167" s="23" t="n">
        <v>5409.209931658668</v>
      </c>
      <c r="AS1167" s="23" t="n">
        <v>5420.590470055839</v>
      </c>
      <c r="AT1167" s="23" t="n">
        <v>5520.511737181674</v>
      </c>
      <c r="AU1167" s="23" t="n">
        <v>5580.880435731866</v>
      </c>
      <c r="AV1167" s="23" t="n">
        <v>5634.15354892717</v>
      </c>
      <c r="AW1167" s="23" t="n">
        <v>5668.772291258385</v>
      </c>
      <c r="AX1167" s="23" t="n">
        <v>5727.747668139877</v>
      </c>
      <c r="AY1167" s="23" t="n">
        <v>5797.279307916135</v>
      </c>
      <c r="AZ1167" s="23" t="n">
        <v>5899.271069389608</v>
      </c>
      <c r="BA1167" s="23" t="n">
        <v>6010.415240864539</v>
      </c>
      <c r="BC1167" s="20" t="inlineStr">
        <is>
          <t>egy.mit.rbe.all.all.4</t>
        </is>
      </c>
      <c r="BD1167" s="23" t="n">
        <v>0</v>
      </c>
      <c r="BE1167" s="23" t="n">
        <v>23.24196804032545</v>
      </c>
      <c r="BF1167" s="23" t="n">
        <v>26.46898866821721</v>
      </c>
      <c r="BG1167" s="23" t="n">
        <v>26.16052533955371</v>
      </c>
      <c r="BH1167" s="23" t="n">
        <v>27.34158631029277</v>
      </c>
      <c r="BI1167" s="23" t="n">
        <v>2212.890852146673</v>
      </c>
      <c r="BJ1167" s="23" t="n">
        <v>5540.365228456743</v>
      </c>
      <c r="BK1167" s="23" t="n">
        <v>8851.502837984699</v>
      </c>
      <c r="BL1167" s="23" t="n">
        <v>11246.85048016565</v>
      </c>
      <c r="BM1167" s="23" t="n">
        <v>12579.24039175378</v>
      </c>
      <c r="BN1167" s="23" t="n">
        <v>14333.45879962436</v>
      </c>
      <c r="BO1167" s="23" t="n">
        <v>16150.15913251224</v>
      </c>
      <c r="BP1167" s="23" t="n">
        <v>18049.26831555361</v>
      </c>
      <c r="BQ1167" s="23" t="n">
        <v>19699.7950439983</v>
      </c>
      <c r="BR1167" s="23" t="n">
        <v>21444.13448132641</v>
      </c>
      <c r="BS1167" s="23" t="n">
        <v>22942.64364008884</v>
      </c>
      <c r="BT1167" s="23" t="n">
        <v>24570.30359690707</v>
      </c>
      <c r="BU1167" s="23" t="n">
        <v>25937.96232151696</v>
      </c>
      <c r="BV1167" s="23" t="n">
        <v>27532.26826768762</v>
      </c>
      <c r="BW1167" s="23" t="n">
        <v>28774.02183290314</v>
      </c>
      <c r="BY1167" s="20" t="inlineStr">
        <is>
          <t>egy.mit.rbe.all.all.5</t>
        </is>
      </c>
      <c r="BZ1167" s="23" t="n">
        <v>0</v>
      </c>
      <c r="CA1167" s="23" t="n">
        <v>39.45547160709248</v>
      </c>
      <c r="CB1167" s="23" t="n">
        <v>45.12933571096801</v>
      </c>
      <c r="CC1167" s="23" t="n">
        <v>44.61570823318471</v>
      </c>
      <c r="CD1167" s="23" t="n">
        <v>46.68681781390478</v>
      </c>
      <c r="CE1167" s="23" t="n">
        <v>4032.690362471963</v>
      </c>
      <c r="CF1167" s="23" t="n">
        <v>4028.373745548517</v>
      </c>
      <c r="CG1167" s="23" t="n">
        <v>4059.052183842832</v>
      </c>
      <c r="CH1167" s="23" t="n">
        <v>4146.541044109945</v>
      </c>
      <c r="CI1167" s="23" t="n">
        <v>4282.366033630497</v>
      </c>
      <c r="CJ1167" s="23" t="n">
        <v>4653.531430558862</v>
      </c>
      <c r="CK1167" s="23" t="n">
        <v>4850.397648314618</v>
      </c>
      <c r="CL1167" s="23" t="n">
        <v>5451.016951707788</v>
      </c>
      <c r="CM1167" s="23" t="n">
        <v>5978.104793638646</v>
      </c>
      <c r="CN1167" s="23" t="n">
        <v>6421.415631386684</v>
      </c>
      <c r="CO1167" s="23" t="n">
        <v>6935.857582077522</v>
      </c>
      <c r="CP1167" s="23" t="n">
        <v>7408.183054715788</v>
      </c>
      <c r="CQ1167" s="23" t="n">
        <v>7858.049831744633</v>
      </c>
      <c r="CR1167" s="23" t="n">
        <v>8353.2467902352</v>
      </c>
      <c r="CS1167" s="23" t="n">
        <v>8810.339003565459</v>
      </c>
      <c r="CU1167" s="20" t="inlineStr">
        <is>
          <t>egy.mit.rbe.all.all.6</t>
        </is>
      </c>
      <c r="CV1167" s="23" t="n">
        <v>0</v>
      </c>
      <c r="CW1167" s="23" t="n">
        <v>16.03006937532336</v>
      </c>
      <c r="CX1167" s="23" t="n">
        <v>18.33883234603854</v>
      </c>
      <c r="CY1167" s="23" t="n">
        <v>18.11826045061753</v>
      </c>
      <c r="CZ1167" s="23" t="n">
        <v>18.96211010557454</v>
      </c>
      <c r="DA1167" s="23" t="n">
        <v>6618.909073030612</v>
      </c>
      <c r="DB1167" s="23" t="n">
        <v>11224.55598949159</v>
      </c>
      <c r="DC1167" s="23" t="n">
        <v>11036.45550001332</v>
      </c>
      <c r="DD1167" s="23" t="n">
        <v>11657.37846283125</v>
      </c>
      <c r="DE1167" s="23" t="n">
        <v>10946.3063405182</v>
      </c>
      <c r="DF1167" s="23" t="n">
        <v>11302.78243967257</v>
      </c>
      <c r="DG1167" s="23" t="n">
        <v>11565.6800555361</v>
      </c>
      <c r="DH1167" s="23" t="n">
        <v>12052.70423492532</v>
      </c>
      <c r="DI1167" s="23" t="n">
        <v>12353.35038352013</v>
      </c>
      <c r="DJ1167" s="23" t="n">
        <v>12733.82840465871</v>
      </c>
      <c r="DK1167" s="23" t="n">
        <v>12971.14723958424</v>
      </c>
      <c r="DL1167" s="23" t="n">
        <v>13330.68275100857</v>
      </c>
      <c r="DM1167" s="23" t="n">
        <v>13600.58644664956</v>
      </c>
      <c r="DN1167" s="23" t="n">
        <v>13999.29947461045</v>
      </c>
      <c r="DO1167" s="23" t="n">
        <v>14321.8061302265</v>
      </c>
    </row>
    <row r="1168">
      <c r="A1168" s="19" t="inlineStr">
        <is>
          <t>mit.xnim.tot.tot</t>
        </is>
      </c>
      <c r="B1168" s="3" t="inlineStr">
        <is>
          <t>mit</t>
        </is>
      </c>
      <c r="C1168" s="19" t="n"/>
      <c r="H1168" s="3" t="inlineStr">
        <is>
          <t>Change in net energy imports against scenario 1 (positive = more imports) | All sectors | All fuels</t>
        </is>
      </c>
      <c r="I1168" s="3" t="inlineStr">
        <is>
          <t>USD bn real</t>
        </is>
      </c>
      <c r="K1168" s="20" t="inlineStr">
        <is>
          <t>egy.mit.xnim.tot.tot.1</t>
        </is>
      </c>
      <c r="L1168" s="27" t="n">
        <v>0</v>
      </c>
      <c r="M1168" s="27" t="n">
        <v>0</v>
      </c>
      <c r="N1168" s="27" t="n">
        <v>0</v>
      </c>
      <c r="O1168" s="27" t="n">
        <v>0</v>
      </c>
      <c r="P1168" s="27" t="n">
        <v>0</v>
      </c>
      <c r="Q1168" s="27" t="n">
        <v>0</v>
      </c>
      <c r="R1168" s="27" t="n">
        <v>0</v>
      </c>
      <c r="S1168" s="27" t="n">
        <v>0</v>
      </c>
      <c r="T1168" s="27" t="n">
        <v>0</v>
      </c>
      <c r="U1168" s="27" t="n">
        <v>0</v>
      </c>
      <c r="V1168" s="27" t="n">
        <v>0</v>
      </c>
      <c r="W1168" s="27" t="n">
        <v>0</v>
      </c>
      <c r="X1168" s="27" t="n">
        <v>0</v>
      </c>
      <c r="Y1168" s="27" t="n">
        <v>0</v>
      </c>
      <c r="Z1168" s="27" t="n">
        <v>0</v>
      </c>
      <c r="AA1168" s="27" t="n">
        <v>0</v>
      </c>
      <c r="AB1168" s="27" t="n">
        <v>0</v>
      </c>
      <c r="AC1168" s="27" t="n">
        <v>0</v>
      </c>
      <c r="AD1168" s="27" t="n">
        <v>0</v>
      </c>
      <c r="AE1168" s="27" t="n">
        <v>0</v>
      </c>
      <c r="AG1168" s="20" t="inlineStr">
        <is>
          <t>egy.mit.xnim.tot.tot.3</t>
        </is>
      </c>
      <c r="AH1168" s="27" t="n">
        <v>0</v>
      </c>
      <c r="AI1168" s="27" t="n">
        <v>-0.002146668592930941</v>
      </c>
      <c r="AJ1168" s="27" t="n">
        <v>-0.001919852768757175</v>
      </c>
      <c r="AK1168" s="27" t="n">
        <v>-0.00179267910836215</v>
      </c>
      <c r="AL1168" s="27" t="n">
        <v>-0.001818166166592091</v>
      </c>
      <c r="AM1168" s="27" t="n">
        <v>-2.066972185681339</v>
      </c>
      <c r="AN1168" s="27" t="n">
        <v>-2.400952778091049</v>
      </c>
      <c r="AO1168" s="27" t="n">
        <v>-2.540908190448756</v>
      </c>
      <c r="AP1168" s="27" t="n">
        <v>-2.622020982838705</v>
      </c>
      <c r="AQ1168" s="27" t="n">
        <v>-2.584291395111022</v>
      </c>
      <c r="AR1168" s="27" t="n">
        <v>-2.631907846496714</v>
      </c>
      <c r="AS1168" s="27" t="n">
        <v>-2.652585954661446</v>
      </c>
      <c r="AT1168" s="27" t="n">
        <v>-2.695273892728883</v>
      </c>
      <c r="AU1168" s="27" t="n">
        <v>-2.728636034143451</v>
      </c>
      <c r="AV1168" s="27" t="n">
        <v>-2.759723500256193</v>
      </c>
      <c r="AW1168" s="27" t="n">
        <v>-2.783801185562772</v>
      </c>
      <c r="AX1168" s="27" t="n">
        <v>-2.816263899811891</v>
      </c>
      <c r="AY1168" s="27" t="n">
        <v>-2.85267945528875</v>
      </c>
      <c r="AZ1168" s="27" t="n">
        <v>-2.899795787977872</v>
      </c>
      <c r="BA1168" s="27" t="n">
        <v>-2.949949705389605</v>
      </c>
      <c r="BC1168" s="20" t="inlineStr">
        <is>
          <t>egy.mit.xnim.tot.tot.4</t>
        </is>
      </c>
      <c r="BD1168" s="27" t="n">
        <v>0</v>
      </c>
      <c r="BE1168" s="27" t="n">
        <v>-0.007311043024674264</v>
      </c>
      <c r="BF1168" s="27" t="n">
        <v>-0.006530401284266407</v>
      </c>
      <c r="BG1168" s="27" t="n">
        <v>-0.00611953720161172</v>
      </c>
      <c r="BH1168" s="27" t="n">
        <v>-0.006184179393488693</v>
      </c>
      <c r="BI1168" s="27" t="n">
        <v>-1.353698591269335</v>
      </c>
      <c r="BJ1168" s="27" t="n">
        <v>-2.927178230079932</v>
      </c>
      <c r="BK1168" s="27" t="n">
        <v>-4.530714367883774</v>
      </c>
      <c r="BL1168" s="27" t="n">
        <v>-5.804930413390157</v>
      </c>
      <c r="BM1168" s="27" t="n">
        <v>-6.462888799916453</v>
      </c>
      <c r="BN1168" s="27" t="n">
        <v>-7.247866827565539</v>
      </c>
      <c r="BO1168" s="27" t="n">
        <v>-7.977953242984511</v>
      </c>
      <c r="BP1168" s="27" t="n">
        <v>-8.722402934636895</v>
      </c>
      <c r="BQ1168" s="27" t="n">
        <v>-9.39309812095328</v>
      </c>
      <c r="BR1168" s="27" t="n">
        <v>-10.08044161681636</v>
      </c>
      <c r="BS1168" s="27" t="n">
        <v>-10.70249118465734</v>
      </c>
      <c r="BT1168" s="27" t="n">
        <v>-11.35161481016379</v>
      </c>
      <c r="BU1168" s="27" t="n">
        <v>-11.93695934300012</v>
      </c>
      <c r="BV1168" s="27" t="n">
        <v>-12.57444664343575</v>
      </c>
      <c r="BW1168" s="27" t="n">
        <v>-13.12970597168203</v>
      </c>
      <c r="BY1168" s="20" t="inlineStr">
        <is>
          <t>egy.mit.xnim.tot.tot.5</t>
        </is>
      </c>
      <c r="BZ1168" s="27" t="n">
        <v>0</v>
      </c>
      <c r="CA1168" s="27" t="n">
        <v>-0.01245874836338981</v>
      </c>
      <c r="CB1168" s="27" t="n">
        <v>-0.01113717647877145</v>
      </c>
      <c r="CC1168" s="27" t="n">
        <v>-0.01043108845707784</v>
      </c>
      <c r="CD1168" s="27" t="n">
        <v>-0.01055569539907711</v>
      </c>
      <c r="CE1168" s="27" t="n">
        <v>-2.428587269304797</v>
      </c>
      <c r="CF1168" s="27" t="n">
        <v>-2.455868862132945</v>
      </c>
      <c r="CG1168" s="27" t="n">
        <v>-2.50260324441513</v>
      </c>
      <c r="CH1168" s="27" t="n">
        <v>-2.567611423914712</v>
      </c>
      <c r="CI1168" s="27" t="n">
        <v>-2.644311870870339</v>
      </c>
      <c r="CJ1168" s="27" t="n">
        <v>-2.804787079374103</v>
      </c>
      <c r="CK1168" s="27" t="n">
        <v>-2.914418134157336</v>
      </c>
      <c r="CL1168" s="27" t="n">
        <v>-3.149385947773644</v>
      </c>
      <c r="CM1168" s="27" t="n">
        <v>-3.359146652363938</v>
      </c>
      <c r="CN1168" s="27" t="n">
        <v>-3.550116908303481</v>
      </c>
      <c r="CO1168" s="27" t="n">
        <v>-3.760203045622702</v>
      </c>
      <c r="CP1168" s="27" t="n">
        <v>-3.959582297774308</v>
      </c>
      <c r="CQ1168" s="27" t="n">
        <v>-4.15509159489782</v>
      </c>
      <c r="CR1168" s="27" t="n">
        <v>-4.363892968795817</v>
      </c>
      <c r="CS1168" s="27" t="n">
        <v>-4.561331547372832</v>
      </c>
      <c r="CU1168" s="20" t="inlineStr">
        <is>
          <t>egy.mit.xnim.tot.tot.6</t>
        </is>
      </c>
      <c r="CV1168" s="27" t="n">
        <v>0</v>
      </c>
      <c r="CW1168" s="27" t="n">
        <v>-0.00507307479524266</v>
      </c>
      <c r="CX1168" s="27" t="n">
        <v>-0.004533826444717635</v>
      </c>
      <c r="CY1168" s="27" t="n">
        <v>-0.004242095694684577</v>
      </c>
      <c r="CZ1168" s="27" t="n">
        <v>-0.004293573993124714</v>
      </c>
      <c r="DA1168" s="27" t="n">
        <v>-4.136566098729341</v>
      </c>
      <c r="DB1168" s="27" t="n">
        <v>-4.84147984066608</v>
      </c>
      <c r="DC1168" s="27" t="n">
        <v>-5.005721648051973</v>
      </c>
      <c r="DD1168" s="27" t="n">
        <v>-5.365793708484779</v>
      </c>
      <c r="DE1168" s="27" t="n">
        <v>-5.208226140031935</v>
      </c>
      <c r="DF1168" s="27" t="n">
        <v>-5.396479104146814</v>
      </c>
      <c r="DG1168" s="27" t="n">
        <v>-5.509793435786923</v>
      </c>
      <c r="DH1168" s="27" t="n">
        <v>-5.699886500231186</v>
      </c>
      <c r="DI1168" s="27" t="n">
        <v>-5.84958695387237</v>
      </c>
      <c r="DJ1168" s="27" t="n">
        <v>-6.022436400692463</v>
      </c>
      <c r="DK1168" s="27" t="n">
        <v>-6.156685201552517</v>
      </c>
      <c r="DL1168" s="27" t="n">
        <v>-6.327496686727574</v>
      </c>
      <c r="DM1168" s="27" t="n">
        <v>-6.477102211882938</v>
      </c>
      <c r="DN1168" s="27" t="n">
        <v>-6.66302936264232</v>
      </c>
      <c r="DO1168" s="27" t="n">
        <v>-6.829521587889925</v>
      </c>
    </row>
    <row r="1169">
      <c r="A1169" s="19" t="inlineStr">
        <is>
          <t>mit.xtbp.all.all</t>
        </is>
      </c>
      <c r="B1169" s="3" t="inlineStr">
        <is>
          <t>mit</t>
        </is>
      </c>
      <c r="C1169" s="19" t="n"/>
      <c r="H1169" s="3" t="inlineStr">
        <is>
          <t>Energy trade balance of the scenario: baseline - change in net imports | All sectors | All fuels</t>
        </is>
      </c>
      <c r="I1169" s="3" t="inlineStr">
        <is>
          <t>USD bn real</t>
        </is>
      </c>
      <c r="K1169" s="20" t="inlineStr">
        <is>
          <t>egy.mit.xtbp.all.all.1</t>
        </is>
      </c>
      <c r="L1169" s="27" t="n">
        <v>-6.06806180741714</v>
      </c>
      <c r="M1169" s="27" t="n">
        <v>-5.805430547087393</v>
      </c>
      <c r="N1169" s="27" t="n">
        <v>-5.492185743083825</v>
      </c>
      <c r="O1169" s="27" t="n">
        <v>-4.302901933054953</v>
      </c>
      <c r="P1169" s="27" t="n">
        <v>-4.8968816140731</v>
      </c>
      <c r="Q1169" s="27" t="n">
        <v>-4.383902316966475</v>
      </c>
      <c r="R1169" s="27" t="n">
        <v>-4.412324550218712</v>
      </c>
      <c r="S1169" s="27" t="n">
        <v>-4.388221715539932</v>
      </c>
      <c r="T1169" s="27" t="n">
        <v>-4.31636027123751</v>
      </c>
      <c r="U1169" s="27" t="n">
        <v>-4.226868549517498</v>
      </c>
      <c r="V1169" s="27" t="n">
        <v>-4.226868549517498</v>
      </c>
      <c r="W1169" s="27" t="n">
        <v>-4.226868549517498</v>
      </c>
      <c r="X1169" s="27" t="n">
        <v>-4.226868549517499</v>
      </c>
      <c r="Y1169" s="27" t="n">
        <v>-4.226868549517499</v>
      </c>
      <c r="Z1169" s="27" t="n">
        <v>-4.226868549517499</v>
      </c>
      <c r="AA1169" s="27" t="n">
        <v>-4.226868549517499</v>
      </c>
      <c r="AB1169" s="27" t="n">
        <v>-4.226868549517499</v>
      </c>
      <c r="AC1169" s="27" t="n">
        <v>-4.226868549517499</v>
      </c>
      <c r="AD1169" s="27" t="n">
        <v>-4.226868549517499</v>
      </c>
      <c r="AE1169" s="27" t="n">
        <v>-4.2268685495175</v>
      </c>
      <c r="AG1169" s="20" t="inlineStr">
        <is>
          <t>egy.mit.xtbp.all.all.3</t>
        </is>
      </c>
      <c r="AH1169" s="27" t="n">
        <v>-6.06806180741714</v>
      </c>
      <c r="AI1169" s="27" t="n">
        <v>-5.803283878494462</v>
      </c>
      <c r="AJ1169" s="27" t="n">
        <v>-5.490265890315068</v>
      </c>
      <c r="AK1169" s="27" t="n">
        <v>-4.30110925394659</v>
      </c>
      <c r="AL1169" s="27" t="n">
        <v>-4.895063447906508</v>
      </c>
      <c r="AM1169" s="27" t="n">
        <v>-2.316930131285136</v>
      </c>
      <c r="AN1169" s="27" t="n">
        <v>-2.011371772127663</v>
      </c>
      <c r="AO1169" s="27" t="n">
        <v>-1.847313525091176</v>
      </c>
      <c r="AP1169" s="27" t="n">
        <v>-1.694339288398806</v>
      </c>
      <c r="AQ1169" s="27" t="n">
        <v>-1.642577154406475</v>
      </c>
      <c r="AR1169" s="27" t="n">
        <v>-1.594960703020784</v>
      </c>
      <c r="AS1169" s="27" t="n">
        <v>-1.574282594856052</v>
      </c>
      <c r="AT1169" s="27" t="n">
        <v>-1.531594656788616</v>
      </c>
      <c r="AU1169" s="27" t="n">
        <v>-1.498232515374048</v>
      </c>
      <c r="AV1169" s="27" t="n">
        <v>-1.467145049261306</v>
      </c>
      <c r="AW1169" s="27" t="n">
        <v>-1.443067363954727</v>
      </c>
      <c r="AX1169" s="27" t="n">
        <v>-1.410604649705608</v>
      </c>
      <c r="AY1169" s="27" t="n">
        <v>-1.374189094228749</v>
      </c>
      <c r="AZ1169" s="27" t="n">
        <v>-1.327072761539627</v>
      </c>
      <c r="BA1169" s="27" t="n">
        <v>-1.276918844127895</v>
      </c>
      <c r="BC1169" s="20" t="inlineStr">
        <is>
          <t>egy.mit.xtbp.all.all.4</t>
        </is>
      </c>
      <c r="BD1169" s="27" t="n">
        <v>-6.06806180741714</v>
      </c>
      <c r="BE1169" s="27" t="n">
        <v>-5.798119504062718</v>
      </c>
      <c r="BF1169" s="27" t="n">
        <v>-5.485655341799559</v>
      </c>
      <c r="BG1169" s="27" t="n">
        <v>-4.296782395853341</v>
      </c>
      <c r="BH1169" s="27" t="n">
        <v>-4.890697434679611</v>
      </c>
      <c r="BI1169" s="27" t="n">
        <v>-3.03020372569714</v>
      </c>
      <c r="BJ1169" s="27" t="n">
        <v>-1.48514632013878</v>
      </c>
      <c r="BK1169" s="27" t="n">
        <v>0.1424926523438419</v>
      </c>
      <c r="BL1169" s="27" t="n">
        <v>1.488570142152647</v>
      </c>
      <c r="BM1169" s="27" t="n">
        <v>2.236020250398956</v>
      </c>
      <c r="BN1169" s="27" t="n">
        <v>3.020998278048041</v>
      </c>
      <c r="BO1169" s="27" t="n">
        <v>3.751084693467013</v>
      </c>
      <c r="BP1169" s="27" t="n">
        <v>4.495534385119396</v>
      </c>
      <c r="BQ1169" s="27" t="n">
        <v>5.166229571435781</v>
      </c>
      <c r="BR1169" s="27" t="n">
        <v>5.853573067298862</v>
      </c>
      <c r="BS1169" s="27" t="n">
        <v>6.475622635139843</v>
      </c>
      <c r="BT1169" s="27" t="n">
        <v>7.124746260646288</v>
      </c>
      <c r="BU1169" s="27" t="n">
        <v>7.71009079348262</v>
      </c>
      <c r="BV1169" s="27" t="n">
        <v>8.347578093918255</v>
      </c>
      <c r="BW1169" s="27" t="n">
        <v>8.902837422164527</v>
      </c>
      <c r="BY1169" s="20" t="inlineStr">
        <is>
          <t>egy.mit.xtbp.all.all.5</t>
        </is>
      </c>
      <c r="BZ1169" s="27" t="n">
        <v>-6.06806180741714</v>
      </c>
      <c r="CA1169" s="27" t="n">
        <v>-5.792971798724003</v>
      </c>
      <c r="CB1169" s="27" t="n">
        <v>-5.481048566605053</v>
      </c>
      <c r="CC1169" s="27" t="n">
        <v>-4.292470844597875</v>
      </c>
      <c r="CD1169" s="27" t="n">
        <v>-4.886325918674022</v>
      </c>
      <c r="CE1169" s="27" t="n">
        <v>-1.955315047661678</v>
      </c>
      <c r="CF1169" s="27" t="n">
        <v>-1.956455688085768</v>
      </c>
      <c r="CG1169" s="27" t="n">
        <v>-1.885618471124802</v>
      </c>
      <c r="CH1169" s="27" t="n">
        <v>-1.748748847322799</v>
      </c>
      <c r="CI1169" s="27" t="n">
        <v>-1.582556678647159</v>
      </c>
      <c r="CJ1169" s="27" t="n">
        <v>-1.422081470143395</v>
      </c>
      <c r="CK1169" s="27" t="n">
        <v>-1.312450415360162</v>
      </c>
      <c r="CL1169" s="27" t="n">
        <v>-1.077482601743855</v>
      </c>
      <c r="CM1169" s="27" t="n">
        <v>-0.8677218971535612</v>
      </c>
      <c r="CN1169" s="27" t="n">
        <v>-0.6767516412140173</v>
      </c>
      <c r="CO1169" s="27" t="n">
        <v>-0.4666655038947969</v>
      </c>
      <c r="CP1169" s="27" t="n">
        <v>-0.2672862517431907</v>
      </c>
      <c r="CQ1169" s="27" t="n">
        <v>-0.07177695461967915</v>
      </c>
      <c r="CR1169" s="27" t="n">
        <v>0.1370244192783181</v>
      </c>
      <c r="CS1169" s="27" t="n">
        <v>0.334462997855332</v>
      </c>
      <c r="CU1169" s="20" t="inlineStr">
        <is>
          <t>egy.mit.xtbp.all.all.6</t>
        </is>
      </c>
      <c r="CV1169" s="27" t="n">
        <v>-6.06806180741714</v>
      </c>
      <c r="CW1169" s="27" t="n">
        <v>-5.80035747229215</v>
      </c>
      <c r="CX1169" s="27" t="n">
        <v>-5.487651916639107</v>
      </c>
      <c r="CY1169" s="27" t="n">
        <v>-4.298659837360268</v>
      </c>
      <c r="CZ1169" s="27" t="n">
        <v>-4.892588040079975</v>
      </c>
      <c r="DA1169" s="27" t="n">
        <v>-0.2473362182371339</v>
      </c>
      <c r="DB1169" s="27" t="n">
        <v>0.4291552904473681</v>
      </c>
      <c r="DC1169" s="27" t="n">
        <v>0.6174999325120414</v>
      </c>
      <c r="DD1169" s="27" t="n">
        <v>1.049433437247269</v>
      </c>
      <c r="DE1169" s="27" t="n">
        <v>0.9813575905144374</v>
      </c>
      <c r="DF1169" s="27" t="n">
        <v>1.169610554629316</v>
      </c>
      <c r="DG1169" s="27" t="n">
        <v>1.282924886269425</v>
      </c>
      <c r="DH1169" s="27" t="n">
        <v>1.473017950713688</v>
      </c>
      <c r="DI1169" s="27" t="n">
        <v>1.622718404354871</v>
      </c>
      <c r="DJ1169" s="27" t="n">
        <v>1.795567851174964</v>
      </c>
      <c r="DK1169" s="27" t="n">
        <v>1.929816652035019</v>
      </c>
      <c r="DL1169" s="27" t="n">
        <v>2.100628137210076</v>
      </c>
      <c r="DM1169" s="27" t="n">
        <v>2.25023366236544</v>
      </c>
      <c r="DN1169" s="27" t="n">
        <v>2.436160813124822</v>
      </c>
      <c r="DO1169" s="27" t="n">
        <v>2.602653038372425</v>
      </c>
    </row>
    <row r="1170">
      <c r="A1170" s="19" t="inlineStr">
        <is>
          <t>mit.xtb.pct.all.all</t>
        </is>
      </c>
      <c r="B1170" s="3" t="inlineStr">
        <is>
          <t>mit</t>
        </is>
      </c>
      <c r="C1170" s="19" t="n"/>
      <c r="H1170" s="3" t="inlineStr">
        <is>
          <t>Energy trade balance of the scenario, % of baseline real GDP | All sectors | All fuels</t>
        </is>
      </c>
      <c r="I1170" s="3" t="inlineStr">
        <is>
          <t>%</t>
        </is>
      </c>
      <c r="K1170" s="20" t="inlineStr">
        <is>
          <t>egy.mit.xtb.pct.all.all.1</t>
        </is>
      </c>
      <c r="L1170" s="24" t="n">
        <v>-0.01109393852551012</v>
      </c>
      <c r="M1170" s="24" t="n">
        <v>-0.01022913838091719</v>
      </c>
      <c r="N1170" s="24" t="n">
        <v>-0.009450503886362288</v>
      </c>
      <c r="O1170" s="24" t="n">
        <v>-0.00709254938935777</v>
      </c>
      <c r="P1170" s="24" t="n">
        <v>-0.007743322498548825</v>
      </c>
      <c r="Q1170" s="24" t="n">
        <v>-0.006612813356518335</v>
      </c>
      <c r="R1170" s="24" t="n">
        <v>-0.006306596295274938</v>
      </c>
      <c r="S1170" s="24" t="n">
        <v>-0.005960608271881381</v>
      </c>
      <c r="T1170" s="24" t="n">
        <v>-0.005592228620660013</v>
      </c>
      <c r="U1170" s="24" t="n">
        <v>-0.005226023659584889</v>
      </c>
      <c r="V1170" s="24" t="n">
        <v>-0.004989730243652971</v>
      </c>
      <c r="W1170" s="24" t="n">
        <v>-0.004766539236511375</v>
      </c>
      <c r="X1170" s="24" t="n">
        <v>-0.004555644207002846</v>
      </c>
      <c r="Y1170" s="24" t="n">
        <v>-0.004356292757591898</v>
      </c>
      <c r="Z1170" s="24" t="n">
        <v>-0.0041677826560463</v>
      </c>
      <c r="AA1170" s="24" t="n">
        <v>-0.003989458260218614</v>
      </c>
      <c r="AB1170" s="24" t="n">
        <v>-0.003820707212612618</v>
      </c>
      <c r="AC1170" s="24" t="n">
        <v>-0.00366095738335591</v>
      </c>
      <c r="AD1170" s="24" t="n">
        <v>-0.003509674041969259</v>
      </c>
      <c r="AE1170" s="24" t="n">
        <v>-0.003366357239940395</v>
      </c>
      <c r="AG1170" s="20" t="inlineStr">
        <is>
          <t>egy.mit.xtb.pct.all.all.3</t>
        </is>
      </c>
      <c r="AH1170" s="24" t="n">
        <v>-0.01109393852551012</v>
      </c>
      <c r="AI1170" s="24" t="n">
        <v>-0.01022535596203939</v>
      </c>
      <c r="AJ1170" s="24" t="n">
        <v>-0.009447200360789573</v>
      </c>
      <c r="AK1170" s="24" t="n">
        <v>-0.007089594484664809</v>
      </c>
      <c r="AL1170" s="24" t="n">
        <v>-0.007740447475606998</v>
      </c>
      <c r="AM1170" s="24" t="n">
        <v>-0.003494928812392901</v>
      </c>
      <c r="AN1170" s="24" t="n">
        <v>-0.002874881396902713</v>
      </c>
      <c r="AO1170" s="24" t="n">
        <v>-0.002509242465899879</v>
      </c>
      <c r="AP1170" s="24" t="n">
        <v>-0.002195167239590957</v>
      </c>
      <c r="AQ1170" s="24" t="n">
        <v>-0.002030852620813522</v>
      </c>
      <c r="AR1170" s="24" t="n">
        <v>-0.001882817874288822</v>
      </c>
      <c r="AS1170" s="24" t="n">
        <v>-0.001775281078611941</v>
      </c>
      <c r="AT1170" s="24" t="n">
        <v>-0.001650725648062097</v>
      </c>
      <c r="AU1170" s="24" t="n">
        <v>-0.001544107506408661</v>
      </c>
      <c r="AV1170" s="24" t="n">
        <v>-0.001446636349955446</v>
      </c>
      <c r="AW1170" s="24" t="n">
        <v>-0.001362014680072855</v>
      </c>
      <c r="AX1170" s="24" t="n">
        <v>-0.001275059135655007</v>
      </c>
      <c r="AY1170" s="24" t="n">
        <v>-0.001190206804803094</v>
      </c>
      <c r="AZ1170" s="24" t="n">
        <v>-0.001101901506615757</v>
      </c>
      <c r="BA1170" s="24" t="n">
        <v>-0.001016962071422104</v>
      </c>
      <c r="BC1170" s="20" t="inlineStr">
        <is>
          <t>egy.mit.xtb.pct.all.all.4</t>
        </is>
      </c>
      <c r="BD1170" s="24" t="n">
        <v>-0.01109393852551012</v>
      </c>
      <c r="BE1170" s="24" t="n">
        <v>-0.01021625636119417</v>
      </c>
      <c r="BF1170" s="24" t="n">
        <v>-0.009439266906113727</v>
      </c>
      <c r="BG1170" s="24" t="n">
        <v>-0.007082462447912737</v>
      </c>
      <c r="BH1170" s="24" t="n">
        <v>-0.007733543602670467</v>
      </c>
      <c r="BI1170" s="24" t="n">
        <v>-0.004570852683626278</v>
      </c>
      <c r="BJ1170" s="24" t="n">
        <v>-0.002122740105340657</v>
      </c>
      <c r="BK1170" s="24" t="n">
        <v>0.0001935505854764036</v>
      </c>
      <c r="BL1170" s="24" t="n">
        <v>0.001928575009893543</v>
      </c>
      <c r="BM1170" s="24" t="n">
        <v>0.002764574908114846</v>
      </c>
      <c r="BN1170" s="24" t="n">
        <v>0.003566225515984066</v>
      </c>
      <c r="BO1170" s="24" t="n">
        <v>0.004230009086260501</v>
      </c>
      <c r="BP1170" s="24" t="n">
        <v>0.004845207495579463</v>
      </c>
      <c r="BQ1170" s="24" t="n">
        <v>0.005324416456876054</v>
      </c>
      <c r="BR1170" s="24" t="n">
        <v>0.005771748049409488</v>
      </c>
      <c r="BS1170" s="24" t="n">
        <v>0.006111906700946799</v>
      </c>
      <c r="BT1170" s="24" t="n">
        <v>0.006440126800061815</v>
      </c>
      <c r="BU1170" s="24" t="n">
        <v>0.006677830996179591</v>
      </c>
      <c r="BV1170" s="24" t="n">
        <v>0.006931201622742784</v>
      </c>
      <c r="BW1170" s="24" t="n">
        <v>0.007090386384392521</v>
      </c>
      <c r="BY1170" s="20" t="inlineStr">
        <is>
          <t>egy.mit.xtb.pct.all.all.5</t>
        </is>
      </c>
      <c r="BZ1170" s="24" t="n">
        <v>-0.01109393852551012</v>
      </c>
      <c r="CA1170" s="24" t="n">
        <v>-0.01020718613120402</v>
      </c>
      <c r="CB1170" s="24" t="n">
        <v>-0.009431339944259952</v>
      </c>
      <c r="CC1170" s="24" t="n">
        <v>-0.007075355641692213</v>
      </c>
      <c r="CD1170" s="24" t="n">
        <v>-0.007726631028320792</v>
      </c>
      <c r="CE1170" s="24" t="n">
        <v>-0.002949457476124988</v>
      </c>
      <c r="CF1170" s="24" t="n">
        <v>-0.002796389081066051</v>
      </c>
      <c r="CG1170" s="24" t="n">
        <v>-0.002561272831041516</v>
      </c>
      <c r="CH1170" s="24" t="n">
        <v>-0.002265659662264704</v>
      </c>
      <c r="CI1170" s="24" t="n">
        <v>-0.00195664439249908</v>
      </c>
      <c r="CJ1170" s="24" t="n">
        <v>-0.001678737542316752</v>
      </c>
      <c r="CK1170" s="24" t="n">
        <v>-0.001480019150702942</v>
      </c>
      <c r="CL1170" s="24" t="n">
        <v>-0.001161291702184841</v>
      </c>
      <c r="CM1170" s="24" t="n">
        <v>-0.0008942910270075601</v>
      </c>
      <c r="CN1170" s="24" t="n">
        <v>-0.0006672915704995412</v>
      </c>
      <c r="CO1170" s="24" t="n">
        <v>-0.000440454328650627</v>
      </c>
      <c r="CP1170" s="24" t="n">
        <v>-0.0002416026185588322</v>
      </c>
      <c r="CQ1170" s="24" t="n">
        <v>-6.216715019437076e-05</v>
      </c>
      <c r="CR1170" s="24" t="n">
        <v>0.0001137747819273731</v>
      </c>
      <c r="CS1170" s="24" t="n">
        <v>0.0002663725926492298</v>
      </c>
      <c r="CU1170" s="20" t="inlineStr">
        <is>
          <t>egy.mit.xtb.pct.all.all.6</t>
        </is>
      </c>
      <c r="CV1170" s="24" t="n">
        <v>-0.01109393852551012</v>
      </c>
      <c r="CW1170" s="24" t="n">
        <v>-0.01022019964955586</v>
      </c>
      <c r="CX1170" s="24" t="n">
        <v>-0.009442702448748884</v>
      </c>
      <c r="CY1170" s="24" t="n">
        <v>-0.007085557067966989</v>
      </c>
      <c r="CZ1170" s="24" t="n">
        <v>-0.007736533172050794</v>
      </c>
      <c r="DA1170" s="24" t="n">
        <v>-0.0003730895739120915</v>
      </c>
      <c r="DB1170" s="24" t="n">
        <v>0.0006133975717400149</v>
      </c>
      <c r="DC1170" s="24" t="n">
        <v>0.0008387623607492662</v>
      </c>
      <c r="DD1170" s="24" t="n">
        <v>0.001359634352664735</v>
      </c>
      <c r="DE1170" s="24" t="n">
        <v>0.001213332737098509</v>
      </c>
      <c r="DF1170" s="24" t="n">
        <v>0.001380700887515373</v>
      </c>
      <c r="DG1170" s="24" t="n">
        <v>0.001446723913048622</v>
      </c>
      <c r="DH1170" s="24" t="n">
        <v>0.001587592709677719</v>
      </c>
      <c r="DI1170" s="24" t="n">
        <v>0.001672405079478789</v>
      </c>
      <c r="DJ1170" s="24" t="n">
        <v>0.001770468246223459</v>
      </c>
      <c r="DK1170" s="24" t="n">
        <v>0.001821424748126453</v>
      </c>
      <c r="DL1170" s="24" t="n">
        <v>0.001898778015174309</v>
      </c>
      <c r="DM1170" s="24" t="n">
        <v>0.001948962794561743</v>
      </c>
      <c r="DN1170" s="24" t="n">
        <v>0.002022804889180411</v>
      </c>
      <c r="DO1170" s="24" t="n">
        <v>0.002072801601501899</v>
      </c>
    </row>
    <row r="1171">
      <c r="A1171" s="19" t="inlineStr">
        <is>
          <t>mit.rtx.tot.tot</t>
        </is>
      </c>
      <c r="B1171" s="3" t="inlineStr">
        <is>
          <t>mit</t>
        </is>
      </c>
      <c r="C1171" s="19" t="n"/>
      <c r="H1171" s="3" t="inlineStr">
        <is>
          <t>Revenue from existing taxes (excise and other taxes + VAT; incl. the change in existing carbon pricing) | All sectors | All fuels</t>
        </is>
      </c>
      <c r="I1171" s="3" t="inlineStr">
        <is>
          <t>USD m real</t>
        </is>
      </c>
      <c r="K1171" s="20" t="inlineStr">
        <is>
          <t>egy.mit.rtx.tot.tot.1</t>
        </is>
      </c>
      <c r="L1171" s="23" t="n">
        <v>24.45879112577497</v>
      </c>
      <c r="M1171" s="23" t="n">
        <v>14.04999043023967</v>
      </c>
      <c r="N1171" s="23" t="n">
        <v>12.94669276957797</v>
      </c>
      <c r="O1171" s="23" t="n">
        <v>14.00011884761281</v>
      </c>
      <c r="P1171" s="23" t="n">
        <v>13.77132796835999</v>
      </c>
      <c r="Q1171" s="23" t="n">
        <v>13.94667898719225</v>
      </c>
      <c r="R1171" s="23" t="n">
        <v>14.32255961669405</v>
      </c>
      <c r="S1171" s="23" t="n">
        <v>14.68720361606978</v>
      </c>
      <c r="T1171" s="23" t="n">
        <v>15.03493374680431</v>
      </c>
      <c r="U1171" s="23" t="n">
        <v>15.38325236784121</v>
      </c>
      <c r="V1171" s="23" t="n">
        <v>15.67313278889164</v>
      </c>
      <c r="W1171" s="23" t="n">
        <v>15.96372816148784</v>
      </c>
      <c r="X1171" s="23" t="n">
        <v>16.25495587420927</v>
      </c>
      <c r="Y1171" s="23" t="n">
        <v>16.54673405148523</v>
      </c>
      <c r="Z1171" s="23" t="n">
        <v>16.83898148358465</v>
      </c>
      <c r="AA1171" s="23" t="n">
        <v>17.13161754918381</v>
      </c>
      <c r="AB1171" s="23" t="n">
        <v>17.42456213089402</v>
      </c>
      <c r="AC1171" s="23" t="n">
        <v>17.71773552410741</v>
      </c>
      <c r="AD1171" s="23" t="n">
        <v>18.01105833949375</v>
      </c>
      <c r="AE1171" s="23" t="n">
        <v>18.30445139945717</v>
      </c>
      <c r="AG1171" s="20" t="inlineStr">
        <is>
          <t>egy.mit.rtx.tot.tot.3</t>
        </is>
      </c>
      <c r="AH1171" s="23" t="n">
        <v>24.45879112577497</v>
      </c>
      <c r="AI1171" s="23" t="n">
        <v>14.04999043023967</v>
      </c>
      <c r="AJ1171" s="23" t="n">
        <v>12.94669276957797</v>
      </c>
      <c r="AK1171" s="23" t="n">
        <v>14.00011884761281</v>
      </c>
      <c r="AL1171" s="23" t="n">
        <v>13.77132796835999</v>
      </c>
      <c r="AM1171" s="23" t="n">
        <v>12.13892514060692</v>
      </c>
      <c r="AN1171" s="23" t="n">
        <v>12.4565757409198</v>
      </c>
      <c r="AO1171" s="23" t="n">
        <v>12.76685030633062</v>
      </c>
      <c r="AP1171" s="23" t="n">
        <v>13.04895365745626</v>
      </c>
      <c r="AQ1171" s="23" t="n">
        <v>13.3410883147393</v>
      </c>
      <c r="AR1171" s="23" t="n">
        <v>13.58891322078798</v>
      </c>
      <c r="AS1171" s="23" t="n">
        <v>13.84546650903306</v>
      </c>
      <c r="AT1171" s="23" t="n">
        <v>14.1065237070489</v>
      </c>
      <c r="AU1171" s="23" t="n">
        <v>14.36628369397885</v>
      </c>
      <c r="AV1171" s="23" t="n">
        <v>14.62820809673614</v>
      </c>
      <c r="AW1171" s="23" t="n">
        <v>14.89450914523608</v>
      </c>
      <c r="AX1171" s="23" t="n">
        <v>15.15749503620527</v>
      </c>
      <c r="AY1171" s="23" t="n">
        <v>15.41876051759806</v>
      </c>
      <c r="AZ1171" s="23" t="n">
        <v>15.67553989081784</v>
      </c>
      <c r="BA1171" s="23" t="n">
        <v>15.93106088407588</v>
      </c>
      <c r="BC1171" s="20" t="inlineStr">
        <is>
          <t>egy.mit.rtx.tot.tot.4</t>
        </is>
      </c>
      <c r="BD1171" s="23" t="n">
        <v>24.45879112577497</v>
      </c>
      <c r="BE1171" s="23" t="n">
        <v>14.04999043023967</v>
      </c>
      <c r="BF1171" s="23" t="n">
        <v>12.94669276957797</v>
      </c>
      <c r="BG1171" s="23" t="n">
        <v>14.00011884761281</v>
      </c>
      <c r="BH1171" s="23" t="n">
        <v>13.77132796835999</v>
      </c>
      <c r="BI1171" s="23" t="n">
        <v>12.7506656608409</v>
      </c>
      <c r="BJ1171" s="23" t="n">
        <v>11.82634755667528</v>
      </c>
      <c r="BK1171" s="23" t="n">
        <v>11.11459705297949</v>
      </c>
      <c r="BL1171" s="23" t="n">
        <v>10.53446315525873</v>
      </c>
      <c r="BM1171" s="23" t="n">
        <v>10.1769851264883</v>
      </c>
      <c r="BN1171" s="23" t="n">
        <v>9.854642124920199</v>
      </c>
      <c r="BO1171" s="23" t="n">
        <v>9.580963540344458</v>
      </c>
      <c r="BP1171" s="23" t="n">
        <v>9.348337723849278</v>
      </c>
      <c r="BQ1171" s="23" t="n">
        <v>9.148413981428206</v>
      </c>
      <c r="BR1171" s="23" t="n">
        <v>8.975679582841531</v>
      </c>
      <c r="BS1171" s="23" t="n">
        <v>8.826832016705394</v>
      </c>
      <c r="BT1171" s="23" t="n">
        <v>8.69711497128481</v>
      </c>
      <c r="BU1171" s="23" t="n">
        <v>8.583025949776996</v>
      </c>
      <c r="BV1171" s="23" t="n">
        <v>8.480597751472436</v>
      </c>
      <c r="BW1171" s="23" t="n">
        <v>8.38778639702206</v>
      </c>
      <c r="BY1171" s="20" t="inlineStr">
        <is>
          <t>egy.mit.rtx.tot.tot.5</t>
        </is>
      </c>
      <c r="BZ1171" s="23" t="n">
        <v>24.45879112577497</v>
      </c>
      <c r="CA1171" s="23" t="n">
        <v>14.04999043023967</v>
      </c>
      <c r="CB1171" s="23" t="n">
        <v>12.94669276957797</v>
      </c>
      <c r="CC1171" s="23" t="n">
        <v>14.00011884761281</v>
      </c>
      <c r="CD1171" s="23" t="n">
        <v>13.77132796835999</v>
      </c>
      <c r="CE1171" s="23" t="n">
        <v>12.58608523656436</v>
      </c>
      <c r="CF1171" s="23" t="n">
        <v>12.52113938655606</v>
      </c>
      <c r="CG1171" s="23" t="n">
        <v>12.47080690178192</v>
      </c>
      <c r="CH1171" s="23" t="n">
        <v>12.41388182460581</v>
      </c>
      <c r="CI1171" s="23" t="n">
        <v>12.38837265506262</v>
      </c>
      <c r="CJ1171" s="23" t="n">
        <v>12.33710485484045</v>
      </c>
      <c r="CK1171" s="23" t="n">
        <v>12.30256317384156</v>
      </c>
      <c r="CL1171" s="23" t="n">
        <v>12.28070400608318</v>
      </c>
      <c r="CM1171" s="23" t="n">
        <v>12.26600529455298</v>
      </c>
      <c r="CN1171" s="23" t="n">
        <v>12.37739405503819</v>
      </c>
      <c r="CO1171" s="23" t="n">
        <v>12.48903041758251</v>
      </c>
      <c r="CP1171" s="23" t="n">
        <v>12.59678728693675</v>
      </c>
      <c r="CQ1171" s="23" t="n">
        <v>12.70279968788321</v>
      </c>
      <c r="CR1171" s="23" t="n">
        <v>12.80398019481848</v>
      </c>
      <c r="CS1171" s="23" t="n">
        <v>12.90361691644934</v>
      </c>
      <c r="CU1171" s="20" t="inlineStr">
        <is>
          <t>egy.mit.rtx.tot.tot.6</t>
        </is>
      </c>
      <c r="CV1171" s="23" t="n">
        <v>24.45879112577497</v>
      </c>
      <c r="CW1171" s="23" t="n">
        <v>14.04999043023967</v>
      </c>
      <c r="CX1171" s="23" t="n">
        <v>12.94669276957797</v>
      </c>
      <c r="CY1171" s="23" t="n">
        <v>14.00011884761281</v>
      </c>
      <c r="CZ1171" s="23" t="n">
        <v>13.77132796835999</v>
      </c>
      <c r="DA1171" s="23" t="n">
        <v>10.33765194922555</v>
      </c>
      <c r="DB1171" s="23" t="n">
        <v>10.60092813032177</v>
      </c>
      <c r="DC1171" s="23" t="n">
        <v>10.86055227001902</v>
      </c>
      <c r="DD1171" s="23" t="n">
        <v>11.0832477528069</v>
      </c>
      <c r="DE1171" s="23" t="n">
        <v>11.32476164908203</v>
      </c>
      <c r="DF1171" s="23" t="n">
        <v>11.5311431986323</v>
      </c>
      <c r="DG1171" s="23" t="n">
        <v>11.75382005217153</v>
      </c>
      <c r="DH1171" s="23" t="n">
        <v>11.98301441313111</v>
      </c>
      <c r="DI1171" s="23" t="n">
        <v>12.2097973985618</v>
      </c>
      <c r="DJ1171" s="23" t="n">
        <v>12.43997517168486</v>
      </c>
      <c r="DK1171" s="23" t="n">
        <v>12.67776932626443</v>
      </c>
      <c r="DL1171" s="23" t="n">
        <v>12.90910216542903</v>
      </c>
      <c r="DM1171" s="23" t="n">
        <v>13.13755967406166</v>
      </c>
      <c r="DN1171" s="23" t="n">
        <v>13.35783218999634</v>
      </c>
      <c r="DO1171" s="23" t="n">
        <v>13.5760758707862</v>
      </c>
    </row>
    <row r="1172">
      <c r="A1172" s="19" t="inlineStr">
        <is>
          <t>mit.rsub.tot.tot</t>
        </is>
      </c>
      <c r="B1172" s="3" t="inlineStr">
        <is>
          <t>mit</t>
        </is>
      </c>
      <c r="C1172" s="19" t="n"/>
      <c r="H1172" s="3" t="inlineStr">
        <is>
          <t>Existing consumer subsidies (negative = fiscal cost) | All sectors | All fuels</t>
        </is>
      </c>
      <c r="I1172" s="3" t="inlineStr">
        <is>
          <t>USD m real</t>
        </is>
      </c>
      <c r="K1172" s="20" t="inlineStr">
        <is>
          <t>egy.mit.rsub.tot.tot.1</t>
        </is>
      </c>
      <c r="L1172" s="23" t="n">
        <v>-45486.50792011851</v>
      </c>
      <c r="M1172" s="23" t="n">
        <v>-41416.19460296819</v>
      </c>
      <c r="N1172" s="23" t="n">
        <v>-47363.63161456582</v>
      </c>
      <c r="O1172" s="23" t="n">
        <v>-45308.31325636896</v>
      </c>
      <c r="P1172" s="23" t="n">
        <v>-50513.98701304402</v>
      </c>
      <c r="Q1172" s="23" t="n">
        <v>-47967.25152595645</v>
      </c>
      <c r="R1172" s="23" t="n">
        <v>-48322.18751773174</v>
      </c>
      <c r="S1172" s="23" t="n">
        <v>-49197.11268410497</v>
      </c>
      <c r="T1172" s="23" t="n">
        <v>-49805.0368750171</v>
      </c>
      <c r="U1172" s="23" t="n">
        <v>-50036.990829636</v>
      </c>
      <c r="V1172" s="23" t="n">
        <v>-50832.41056046518</v>
      </c>
      <c r="W1172" s="23" t="n">
        <v>-52247.79906910792</v>
      </c>
      <c r="X1172" s="23" t="n">
        <v>-53599.64055119186</v>
      </c>
      <c r="Y1172" s="23" t="n">
        <v>-55040.89976111197</v>
      </c>
      <c r="Z1172" s="23" t="n">
        <v>-56505.45219094987</v>
      </c>
      <c r="AA1172" s="23" t="n">
        <v>-57999.59534208644</v>
      </c>
      <c r="AB1172" s="23" t="n">
        <v>-59521.16153134359</v>
      </c>
      <c r="AC1172" s="23" t="n">
        <v>-61070.43436413804</v>
      </c>
      <c r="AD1172" s="23" t="n">
        <v>-62649.46609576001</v>
      </c>
      <c r="AE1172" s="23" t="n">
        <v>-64258.93215279226</v>
      </c>
      <c r="AG1172" s="20" t="inlineStr">
        <is>
          <t>egy.mit.rsub.tot.tot.3</t>
        </is>
      </c>
      <c r="AH1172" s="23" t="n">
        <v>-45486.50792011851</v>
      </c>
      <c r="AI1172" s="23" t="n">
        <v>-41409.4661814631</v>
      </c>
      <c r="AJ1172" s="23" t="n">
        <v>-47355.8877850689</v>
      </c>
      <c r="AK1172" s="23" t="n">
        <v>-45300.66650447866</v>
      </c>
      <c r="AL1172" s="23" t="n">
        <v>-50505.96966497496</v>
      </c>
      <c r="AM1172" s="23" t="n">
        <v>-44564.88812063359</v>
      </c>
      <c r="AN1172" s="23" t="n">
        <v>-42738.68054948673</v>
      </c>
      <c r="AO1172" s="23" t="n">
        <v>-43819.43579895682</v>
      </c>
      <c r="AP1172" s="23" t="n">
        <v>-44159.00880057309</v>
      </c>
      <c r="AQ1172" s="23" t="n">
        <v>-44685.56168278176</v>
      </c>
      <c r="AR1172" s="23" t="n">
        <v>-45421.11640923841</v>
      </c>
      <c r="AS1172" s="23" t="n">
        <v>-46825.09033739963</v>
      </c>
      <c r="AT1172" s="23" t="n">
        <v>-48076.98038184302</v>
      </c>
      <c r="AU1172" s="23" t="n">
        <v>-49457.83887502259</v>
      </c>
      <c r="AV1172" s="23" t="n">
        <v>-50869.08786863585</v>
      </c>
      <c r="AW1172" s="23" t="n">
        <v>-52328.58594242411</v>
      </c>
      <c r="AX1172" s="23" t="n">
        <v>-53791.14679610902</v>
      </c>
      <c r="AY1172" s="23" t="n">
        <v>-55270.8560812154</v>
      </c>
      <c r="AZ1172" s="23" t="n">
        <v>-56747.85950792173</v>
      </c>
      <c r="BA1172" s="23" t="n">
        <v>-58246.14352141234</v>
      </c>
      <c r="BC1172" s="20" t="inlineStr">
        <is>
          <t>egy.mit.rsub.tot.tot.4</t>
        </is>
      </c>
      <c r="BD1172" s="23" t="n">
        <v>-45486.50792011851</v>
      </c>
      <c r="BE1172" s="23" t="n">
        <v>-41392.95263492786</v>
      </c>
      <c r="BF1172" s="23" t="n">
        <v>-47337.1626258976</v>
      </c>
      <c r="BG1172" s="23" t="n">
        <v>-45282.1527310294</v>
      </c>
      <c r="BH1172" s="23" t="n">
        <v>-50486.64542673372</v>
      </c>
      <c r="BI1172" s="23" t="n">
        <v>-45753.16466048342</v>
      </c>
      <c r="BJ1172" s="23" t="n">
        <v>-42779.32607721498</v>
      </c>
      <c r="BK1172" s="23" t="n">
        <v>-40342.03723955718</v>
      </c>
      <c r="BL1172" s="23" t="n">
        <v>-38553.6859242599</v>
      </c>
      <c r="BM1172" s="23" t="n">
        <v>-37452.54417064087</v>
      </c>
      <c r="BN1172" s="23" t="n">
        <v>-36493.13327017686</v>
      </c>
      <c r="BO1172" s="23" t="n">
        <v>-36091.25717197455</v>
      </c>
      <c r="BP1172" s="23" t="n">
        <v>-35543.46561748788</v>
      </c>
      <c r="BQ1172" s="23" t="n">
        <v>-35333.70639704361</v>
      </c>
      <c r="BR1172" s="23" t="n">
        <v>-35053.45440772272</v>
      </c>
      <c r="BS1172" s="23" t="n">
        <v>-35048.64691646512</v>
      </c>
      <c r="BT1172" s="23" t="n">
        <v>-34942.13048727691</v>
      </c>
      <c r="BU1172" s="23" t="n">
        <v>-35123.33733304675</v>
      </c>
      <c r="BV1172" s="23" t="n">
        <v>-35107.66736748437</v>
      </c>
      <c r="BW1172" s="23" t="n">
        <v>-35474.99365488668</v>
      </c>
      <c r="BY1172" s="20" t="inlineStr">
        <is>
          <t>egy.mit.rsub.tot.tot.5</t>
        </is>
      </c>
      <c r="BZ1172" s="23" t="n">
        <v>-45486.50792011851</v>
      </c>
      <c r="CA1172" s="23" t="n">
        <v>-41376.73913136109</v>
      </c>
      <c r="CB1172" s="23" t="n">
        <v>-47318.50227885485</v>
      </c>
      <c r="CC1172" s="23" t="n">
        <v>-45263.69754813577</v>
      </c>
      <c r="CD1172" s="23" t="n">
        <v>-50467.30019523011</v>
      </c>
      <c r="CE1172" s="23" t="n">
        <v>-43933.20056973386</v>
      </c>
      <c r="CF1172" s="23" t="n">
        <v>-44292.01235195308</v>
      </c>
      <c r="CG1172" s="23" t="n">
        <v>-45135.84410354785</v>
      </c>
      <c r="CH1172" s="23" t="n">
        <v>-45655.87477898496</v>
      </c>
      <c r="CI1172" s="23" t="n">
        <v>-45751.62991629272</v>
      </c>
      <c r="CJ1172" s="23" t="n">
        <v>-46175.54310197227</v>
      </c>
      <c r="CK1172" s="23" t="n">
        <v>-47393.74025580566</v>
      </c>
      <c r="CL1172" s="23" t="n">
        <v>-48144.64934761594</v>
      </c>
      <c r="CM1172" s="23" t="n">
        <v>-49058.51423871639</v>
      </c>
      <c r="CN1172" s="23" t="n">
        <v>-50079.57497213464</v>
      </c>
      <c r="CO1172" s="23" t="n">
        <v>-51059.09517287732</v>
      </c>
      <c r="CP1172" s="23" t="n">
        <v>-52108.15070178384</v>
      </c>
      <c r="CQ1172" s="23" t="n">
        <v>-53207.36959655718</v>
      </c>
      <c r="CR1172" s="23" t="n">
        <v>-54291.01222738014</v>
      </c>
      <c r="CS1172" s="23" t="n">
        <v>-55443.19231474379</v>
      </c>
      <c r="CU1172" s="20" t="inlineStr">
        <is>
          <t>egy.mit.rsub.tot.tot.6</t>
        </is>
      </c>
      <c r="CV1172" s="23" t="n">
        <v>-45486.50792011851</v>
      </c>
      <c r="CW1172" s="23" t="n">
        <v>-41400.16453359286</v>
      </c>
      <c r="CX1172" s="23" t="n">
        <v>-47345.29278221978</v>
      </c>
      <c r="CY1172" s="23" t="n">
        <v>-45290.19499591834</v>
      </c>
      <c r="CZ1172" s="23" t="n">
        <v>-50495.02490293844</v>
      </c>
      <c r="DA1172" s="23" t="n">
        <v>-41344.73342588787</v>
      </c>
      <c r="DB1172" s="23" t="n">
        <v>-37093.90989675377</v>
      </c>
      <c r="DC1172" s="23" t="n">
        <v>-38156.8305327456</v>
      </c>
      <c r="DD1172" s="23" t="n">
        <v>-38143.70672619186</v>
      </c>
      <c r="DE1172" s="23" t="n">
        <v>-39086.62599839905</v>
      </c>
      <c r="DF1172" s="23" t="n">
        <v>-39525.48613120236</v>
      </c>
      <c r="DG1172" s="23" t="n">
        <v>-40677.90910546252</v>
      </c>
      <c r="DH1172" s="23" t="n">
        <v>-41542.66437480546</v>
      </c>
      <c r="DI1172" s="23" t="n">
        <v>-42683.21244093891</v>
      </c>
      <c r="DJ1172" s="23" t="n">
        <v>-43767.22477997925</v>
      </c>
      <c r="DK1172" s="23" t="n">
        <v>-45023.99425427929</v>
      </c>
      <c r="DL1172" s="23" t="n">
        <v>-46185.96332036956</v>
      </c>
      <c r="DM1172" s="23" t="n">
        <v>-47465.26774163844</v>
      </c>
      <c r="DN1172" s="23" t="n">
        <v>-48645.51339500007</v>
      </c>
      <c r="DO1172" s="23" t="n">
        <v>-49932.39764703709</v>
      </c>
    </row>
    <row r="1173">
      <c r="A1173" s="19" t="inlineStr">
        <is>
          <t>mit.rnew.tot.tot</t>
        </is>
      </c>
      <c r="B1173" s="3" t="inlineStr">
        <is>
          <t>mit</t>
        </is>
      </c>
      <c r="C1173" s="19" t="n"/>
      <c r="H1173" s="3" t="inlineStr">
        <is>
          <t>Revenue from new policies (carbon tax, excise, auctioned ETS, VAT on them) | All sectors | All fuels</t>
        </is>
      </c>
      <c r="I1173" s="3" t="inlineStr">
        <is>
          <t>USD m real</t>
        </is>
      </c>
      <c r="K1173" s="20" t="inlineStr">
        <is>
          <t>egy.mit.rnew.tot.tot.1</t>
        </is>
      </c>
      <c r="L1173" s="23" t="n">
        <v>0</v>
      </c>
      <c r="M1173" s="23" t="n">
        <v>0</v>
      </c>
      <c r="N1173" s="23" t="n">
        <v>0</v>
      </c>
      <c r="O1173" s="23" t="n">
        <v>0</v>
      </c>
      <c r="P1173" s="23" t="n">
        <v>0</v>
      </c>
      <c r="Q1173" s="23" t="n">
        <v>0</v>
      </c>
      <c r="R1173" s="23" t="n">
        <v>0</v>
      </c>
      <c r="S1173" s="23" t="n">
        <v>0</v>
      </c>
      <c r="T1173" s="23" t="n">
        <v>0</v>
      </c>
      <c r="U1173" s="23" t="n">
        <v>0</v>
      </c>
      <c r="V1173" s="23" t="n">
        <v>0</v>
      </c>
      <c r="W1173" s="23" t="n">
        <v>0</v>
      </c>
      <c r="X1173" s="23" t="n">
        <v>0</v>
      </c>
      <c r="Y1173" s="23" t="n">
        <v>0</v>
      </c>
      <c r="Z1173" s="23" t="n">
        <v>0</v>
      </c>
      <c r="AA1173" s="23" t="n">
        <v>0</v>
      </c>
      <c r="AB1173" s="23" t="n">
        <v>0</v>
      </c>
      <c r="AC1173" s="23" t="n">
        <v>0</v>
      </c>
      <c r="AD1173" s="23" t="n">
        <v>0</v>
      </c>
      <c r="AE1173" s="23" t="n">
        <v>0</v>
      </c>
      <c r="AG1173" s="20" t="inlineStr">
        <is>
          <t>egy.mit.rnew.tot.tot.3</t>
        </is>
      </c>
      <c r="AH1173" s="23" t="n">
        <v>0</v>
      </c>
      <c r="AI1173" s="23" t="n">
        <v>0</v>
      </c>
      <c r="AJ1173" s="23" t="n">
        <v>0</v>
      </c>
      <c r="AK1173" s="23" t="n">
        <v>0</v>
      </c>
      <c r="AL1173" s="23" t="n">
        <v>0</v>
      </c>
      <c r="AM1173" s="23" t="n">
        <v>4963.482672336527</v>
      </c>
      <c r="AN1173" s="23" t="n">
        <v>4909.810212268044</v>
      </c>
      <c r="AO1173" s="23" t="n">
        <v>5096.367495149203</v>
      </c>
      <c r="AP1173" s="23" t="n">
        <v>5190.46422770422</v>
      </c>
      <c r="AQ1173" s="23" t="n">
        <v>5272.922684354993</v>
      </c>
      <c r="AR1173" s="23" t="n">
        <v>5320.241022494429</v>
      </c>
      <c r="AS1173" s="23" t="n">
        <v>5439.241138974978</v>
      </c>
      <c r="AT1173" s="23" t="n">
        <v>5531.850480841607</v>
      </c>
      <c r="AU1173" s="23" t="n">
        <v>5641.17167588142</v>
      </c>
      <c r="AV1173" s="23" t="n">
        <v>5752.113018975</v>
      </c>
      <c r="AW1173" s="23" t="n">
        <v>5867.362148358638</v>
      </c>
      <c r="AX1173" s="23" t="n">
        <v>5981.406890528846</v>
      </c>
      <c r="AY1173" s="23" t="n">
        <v>6096.089586093559</v>
      </c>
      <c r="AZ1173" s="23" t="n">
        <v>6209.005671333156</v>
      </c>
      <c r="BA1173" s="23" t="n">
        <v>6323.064621028048</v>
      </c>
      <c r="BC1173" s="20" t="inlineStr">
        <is>
          <t>egy.mit.rnew.tot.tot.4</t>
        </is>
      </c>
      <c r="BD1173" s="23" t="n">
        <v>0</v>
      </c>
      <c r="BE1173" s="23" t="n">
        <v>0</v>
      </c>
      <c r="BF1173" s="23" t="n">
        <v>0</v>
      </c>
      <c r="BG1173" s="23" t="n">
        <v>0</v>
      </c>
      <c r="BH1173" s="23" t="n">
        <v>0</v>
      </c>
      <c r="BI1173" s="23" t="n">
        <v>2561.838257614044</v>
      </c>
      <c r="BJ1173" s="23" t="n">
        <v>5667.924489882988</v>
      </c>
      <c r="BK1173" s="23" t="n">
        <v>8398.782892438732</v>
      </c>
      <c r="BL1173" s="23" t="n">
        <v>10997.07409837592</v>
      </c>
      <c r="BM1173" s="23" t="n">
        <v>13607.90922622565</v>
      </c>
      <c r="BN1173" s="23" t="n">
        <v>15867.20946429929</v>
      </c>
      <c r="BO1173" s="23" t="n">
        <v>18253.22107124798</v>
      </c>
      <c r="BP1173" s="23" t="n">
        <v>20351.39042451282</v>
      </c>
      <c r="BQ1173" s="23" t="n">
        <v>22542.95990269654</v>
      </c>
      <c r="BR1173" s="23" t="n">
        <v>24513.62022892756</v>
      </c>
      <c r="BS1173" s="23" t="n">
        <v>26597.61825482867</v>
      </c>
      <c r="BT1173" s="23" t="n">
        <v>28434.69139041789</v>
      </c>
      <c r="BU1173" s="23" t="n">
        <v>30464.13857137164</v>
      </c>
      <c r="BV1173" s="23" t="n">
        <v>32129.18668289791</v>
      </c>
      <c r="BW1173" s="23" t="n">
        <v>34175.28716001712</v>
      </c>
      <c r="BY1173" s="20" t="inlineStr">
        <is>
          <t>egy.mit.rnew.tot.tot.5</t>
        </is>
      </c>
      <c r="BZ1173" s="23" t="n">
        <v>0</v>
      </c>
      <c r="CA1173" s="23" t="n">
        <v>0</v>
      </c>
      <c r="CB1173" s="23" t="n">
        <v>0</v>
      </c>
      <c r="CC1173" s="23" t="n">
        <v>0</v>
      </c>
      <c r="CD1173" s="23" t="n">
        <v>0</v>
      </c>
      <c r="CE1173" s="23" t="n">
        <v>3137.255677444924</v>
      </c>
      <c r="CF1173" s="23" t="n">
        <v>3234.038939239267</v>
      </c>
      <c r="CG1173" s="23" t="n">
        <v>3327.501139248698</v>
      </c>
      <c r="CH1173" s="23" t="n">
        <v>3410.744758296646</v>
      </c>
      <c r="CI1173" s="23" t="n">
        <v>3498.443349275943</v>
      </c>
      <c r="CJ1173" s="23" t="n">
        <v>3584.624390554544</v>
      </c>
      <c r="CK1173" s="23" t="n">
        <v>3674.968650114257</v>
      </c>
      <c r="CL1173" s="23" t="n">
        <v>3766.441579801826</v>
      </c>
      <c r="CM1173" s="23" t="n">
        <v>3858.418237284609</v>
      </c>
      <c r="CN1173" s="23" t="n">
        <v>3951.904401709629</v>
      </c>
      <c r="CO1173" s="23" t="n">
        <v>4047.390360577518</v>
      </c>
      <c r="CP1173" s="23" t="n">
        <v>4142.528594937342</v>
      </c>
      <c r="CQ1173" s="23" t="n">
        <v>4238.252068111271</v>
      </c>
      <c r="CR1173" s="23" t="n">
        <v>4333.418431236978</v>
      </c>
      <c r="CS1173" s="23" t="n">
        <v>4429.523827863401</v>
      </c>
      <c r="CU1173" s="20" t="inlineStr">
        <is>
          <t>egy.mit.rnew.tot.tot.6</t>
        </is>
      </c>
      <c r="CV1173" s="23" t="n">
        <v>0</v>
      </c>
      <c r="CW1173" s="23" t="n">
        <v>0</v>
      </c>
      <c r="CX1173" s="23" t="n">
        <v>0</v>
      </c>
      <c r="CY1173" s="23" t="n">
        <v>0</v>
      </c>
      <c r="CZ1173" s="23" t="n">
        <v>0</v>
      </c>
      <c r="DA1173" s="23" t="n">
        <v>11291.4120982665</v>
      </c>
      <c r="DB1173" s="23" t="n">
        <v>10563.12269456128</v>
      </c>
      <c r="DC1173" s="23" t="n">
        <v>10997.8675285505</v>
      </c>
      <c r="DD1173" s="23" t="n">
        <v>11084.02129362677</v>
      </c>
      <c r="DE1173" s="23" t="n">
        <v>11456.77005274358</v>
      </c>
      <c r="DF1173" s="23" t="n">
        <v>11407.12582635989</v>
      </c>
      <c r="DG1173" s="23" t="n">
        <v>11599.07192783104</v>
      </c>
      <c r="DH1173" s="23" t="n">
        <v>11640.23889080989</v>
      </c>
      <c r="DI1173" s="23" t="n">
        <v>11771.81469288768</v>
      </c>
      <c r="DJ1173" s="23" t="n">
        <v>11867.42817920763</v>
      </c>
      <c r="DK1173" s="23" t="n">
        <v>12017.56053375299</v>
      </c>
      <c r="DL1173" s="23" t="n">
        <v>12126.52608539363</v>
      </c>
      <c r="DM1173" s="23" t="n">
        <v>12277.27679700201</v>
      </c>
      <c r="DN1173" s="23" t="n">
        <v>12390.22912846338</v>
      </c>
      <c r="DO1173" s="23" t="n">
        <v>12541.64358822583</v>
      </c>
    </row>
    <row r="1174">
      <c r="A1174" s="19" t="inlineStr">
        <is>
          <t>mit.rtot.chg.all.all</t>
        </is>
      </c>
      <c r="B1174" s="3" t="inlineStr">
        <is>
          <t>mit</t>
        </is>
      </c>
      <c r="C1174" s="19" t="n"/>
      <c r="H1174" s="3" t="inlineStr">
        <is>
          <t>Change in total revenue vs scenario 1 (fiscal effect) | All sectors | All fuels</t>
        </is>
      </c>
      <c r="I1174" s="3" t="inlineStr">
        <is>
          <t>USD m real</t>
        </is>
      </c>
      <c r="K1174" s="20" t="inlineStr">
        <is>
          <t>egy.mit.rtot.chg.all.all.1</t>
        </is>
      </c>
      <c r="L1174" s="23" t="n">
        <v>0</v>
      </c>
      <c r="M1174" s="23" t="n">
        <v>0</v>
      </c>
      <c r="N1174" s="23" t="n">
        <v>0</v>
      </c>
      <c r="O1174" s="23" t="n">
        <v>0</v>
      </c>
      <c r="P1174" s="23" t="n">
        <v>0</v>
      </c>
      <c r="Q1174" s="23" t="n">
        <v>0</v>
      </c>
      <c r="R1174" s="23" t="n">
        <v>0</v>
      </c>
      <c r="S1174" s="23" t="n">
        <v>0</v>
      </c>
      <c r="T1174" s="23" t="n">
        <v>0</v>
      </c>
      <c r="U1174" s="23" t="n">
        <v>0</v>
      </c>
      <c r="V1174" s="23" t="n">
        <v>0</v>
      </c>
      <c r="W1174" s="23" t="n">
        <v>0</v>
      </c>
      <c r="X1174" s="23" t="n">
        <v>0</v>
      </c>
      <c r="Y1174" s="23" t="n">
        <v>0</v>
      </c>
      <c r="Z1174" s="23" t="n">
        <v>0</v>
      </c>
      <c r="AA1174" s="23" t="n">
        <v>0</v>
      </c>
      <c r="AB1174" s="23" t="n">
        <v>0</v>
      </c>
      <c r="AC1174" s="23" t="n">
        <v>0</v>
      </c>
      <c r="AD1174" s="23" t="n">
        <v>0</v>
      </c>
      <c r="AE1174" s="23" t="n">
        <v>0</v>
      </c>
      <c r="AG1174" s="20" t="inlineStr">
        <is>
          <t>egy.mit.rtot.chg.all.all.3</t>
        </is>
      </c>
      <c r="AH1174" s="23" t="n">
        <v>0</v>
      </c>
      <c r="AI1174" s="23" t="n">
        <v>6.7284215050895</v>
      </c>
      <c r="AJ1174" s="23" t="n">
        <v>7.743829496917897</v>
      </c>
      <c r="AK1174" s="23" t="n">
        <v>7.646751890300948</v>
      </c>
      <c r="AL1174" s="23" t="n">
        <v>8.017348069057334</v>
      </c>
      <c r="AM1174" s="23" t="n">
        <v>8364.038323812798</v>
      </c>
      <c r="AN1174" s="23" t="n">
        <v>10491.45119663728</v>
      </c>
      <c r="AO1174" s="23" t="n">
        <v>10472.12402698761</v>
      </c>
      <c r="AP1174" s="23" t="n">
        <v>10834.50632205888</v>
      </c>
      <c r="AQ1174" s="23" t="n">
        <v>10622.30966715613</v>
      </c>
      <c r="AR1174" s="23" t="n">
        <v>10729.45095415309</v>
      </c>
      <c r="AS1174" s="23" t="n">
        <v>10859.83160903081</v>
      </c>
      <c r="AT1174" s="23" t="n">
        <v>11052.36221802329</v>
      </c>
      <c r="AU1174" s="23" t="n">
        <v>11222.05211161329</v>
      </c>
      <c r="AV1174" s="23" t="n">
        <v>11386.26656790217</v>
      </c>
      <c r="AW1174" s="23" t="n">
        <v>11536.13443961702</v>
      </c>
      <c r="AX1174" s="23" t="n">
        <v>11709.15455866872</v>
      </c>
      <c r="AY1174" s="23" t="n">
        <v>11893.36889400969</v>
      </c>
      <c r="AZ1174" s="23" t="n">
        <v>12108.27674072277</v>
      </c>
      <c r="BA1174" s="23" t="n">
        <v>12333.47986189259</v>
      </c>
      <c r="BC1174" s="20" t="inlineStr">
        <is>
          <t>egy.mit.rtot.chg.all.all.4</t>
        </is>
      </c>
      <c r="BD1174" s="23" t="n">
        <v>0</v>
      </c>
      <c r="BE1174" s="23" t="n">
        <v>23.24196804032545</v>
      </c>
      <c r="BF1174" s="23" t="n">
        <v>26.46898866821721</v>
      </c>
      <c r="BG1174" s="23" t="n">
        <v>26.16052533955371</v>
      </c>
      <c r="BH1174" s="23" t="n">
        <v>27.34158631029277</v>
      </c>
      <c r="BI1174" s="23" t="n">
        <v>4774.729109760716</v>
      </c>
      <c r="BJ1174" s="23" t="n">
        <v>11208.28971833973</v>
      </c>
      <c r="BK1174" s="23" t="n">
        <v>17250.28573042343</v>
      </c>
      <c r="BL1174" s="23" t="n">
        <v>22243.92457854157</v>
      </c>
      <c r="BM1174" s="23" t="n">
        <v>26187.14961797943</v>
      </c>
      <c r="BN1174" s="23" t="n">
        <v>30200.66826392365</v>
      </c>
      <c r="BO1174" s="23" t="n">
        <v>34403.38020376021</v>
      </c>
      <c r="BP1174" s="23" t="n">
        <v>38400.65874006643</v>
      </c>
      <c r="BQ1174" s="23" t="n">
        <v>42242.75494669483</v>
      </c>
      <c r="BR1174" s="23" t="n">
        <v>45957.75471025397</v>
      </c>
      <c r="BS1174" s="23" t="n">
        <v>49540.26189491752</v>
      </c>
      <c r="BT1174" s="23" t="n">
        <v>53004.99498732496</v>
      </c>
      <c r="BU1174" s="23" t="n">
        <v>56402.10089288859</v>
      </c>
      <c r="BV1174" s="23" t="n">
        <v>59661.45495058553</v>
      </c>
      <c r="BW1174" s="23" t="n">
        <v>62949.30899292026</v>
      </c>
      <c r="BY1174" s="20" t="inlineStr">
        <is>
          <t>egy.mit.rtot.chg.all.all.5</t>
        </is>
      </c>
      <c r="BZ1174" s="23" t="n">
        <v>0</v>
      </c>
      <c r="CA1174" s="23" t="n">
        <v>39.45547160709248</v>
      </c>
      <c r="CB1174" s="23" t="n">
        <v>45.12933571096801</v>
      </c>
      <c r="CC1174" s="23" t="n">
        <v>44.61570823318471</v>
      </c>
      <c r="CD1174" s="23" t="n">
        <v>46.68681781390478</v>
      </c>
      <c r="CE1174" s="23" t="n">
        <v>7169.946039916889</v>
      </c>
      <c r="CF1174" s="23" t="n">
        <v>7262.412684787785</v>
      </c>
      <c r="CG1174" s="23" t="n">
        <v>7386.553323091532</v>
      </c>
      <c r="CH1174" s="23" t="n">
        <v>7557.285802406594</v>
      </c>
      <c r="CI1174" s="23" t="n">
        <v>7780.809382906438</v>
      </c>
      <c r="CJ1174" s="23" t="n">
        <v>8238.155821113403</v>
      </c>
      <c r="CK1174" s="23" t="n">
        <v>8525.366298428875</v>
      </c>
      <c r="CL1174" s="23" t="n">
        <v>9217.458531509612</v>
      </c>
      <c r="CM1174" s="23" t="n">
        <v>9836.523030923257</v>
      </c>
      <c r="CN1174" s="23" t="n">
        <v>10373.32003309632</v>
      </c>
      <c r="CO1174" s="23" t="n">
        <v>10983.24794265504</v>
      </c>
      <c r="CP1174" s="23" t="n">
        <v>11550.71164965313</v>
      </c>
      <c r="CQ1174" s="23" t="n">
        <v>12096.30189985591</v>
      </c>
      <c r="CR1174" s="23" t="n">
        <v>12686.66522147218</v>
      </c>
      <c r="CS1174" s="23" t="n">
        <v>13239.86283142886</v>
      </c>
      <c r="CU1174" s="20" t="inlineStr">
        <is>
          <t>egy.mit.rtot.chg.all.all.6</t>
        </is>
      </c>
      <c r="CV1174" s="23" t="n">
        <v>0</v>
      </c>
      <c r="CW1174" s="23" t="n">
        <v>16.03006937532336</v>
      </c>
      <c r="CX1174" s="23" t="n">
        <v>18.33883234603854</v>
      </c>
      <c r="CY1174" s="23" t="n">
        <v>18.11826045061753</v>
      </c>
      <c r="CZ1174" s="23" t="n">
        <v>18.96211010557454</v>
      </c>
      <c r="DA1174" s="23" t="n">
        <v>17910.32117129711</v>
      </c>
      <c r="DB1174" s="23" t="n">
        <v>21787.67868405288</v>
      </c>
      <c r="DC1174" s="23" t="n">
        <v>22034.32302856382</v>
      </c>
      <c r="DD1174" s="23" t="n">
        <v>22741.39975645802</v>
      </c>
      <c r="DE1174" s="23" t="n">
        <v>22403.07639326178</v>
      </c>
      <c r="DF1174" s="23" t="n">
        <v>22709.90826603246</v>
      </c>
      <c r="DG1174" s="23" t="n">
        <v>23164.75198336714</v>
      </c>
      <c r="DH1174" s="23" t="n">
        <v>23692.94312573521</v>
      </c>
      <c r="DI1174" s="23" t="n">
        <v>24125.16507640782</v>
      </c>
      <c r="DJ1174" s="23" t="n">
        <v>24601.25658386635</v>
      </c>
      <c r="DK1174" s="23" t="n">
        <v>24988.70777333723</v>
      </c>
      <c r="DL1174" s="23" t="n">
        <v>25457.2088364022</v>
      </c>
      <c r="DM1174" s="23" t="n">
        <v>25877.86324365157</v>
      </c>
      <c r="DN1174" s="23" t="n">
        <v>26389.52860307383</v>
      </c>
      <c r="DO1174" s="23" t="n">
        <v>26863.44971845233</v>
      </c>
    </row>
    <row r="1175">
      <c r="A1175" s="19" t="inlineStr">
        <is>
          <t>mit.rtx.pow.tot</t>
        </is>
      </c>
      <c r="B1175" s="3" t="inlineStr">
        <is>
          <t>mit</t>
        </is>
      </c>
      <c r="C1175" s="19" t="n"/>
      <c r="H1175" s="3" t="inlineStr">
        <is>
          <t>Revenue from existing taxes (excise and other taxes + VAT; incl. the change in existing carbon pricing) | Power | All fuels</t>
        </is>
      </c>
      <c r="I1175" s="3" t="inlineStr">
        <is>
          <t>USD m real</t>
        </is>
      </c>
      <c r="K1175" s="20" t="inlineStr">
        <is>
          <t>egy.mit.rtx.pow.tot.1</t>
        </is>
      </c>
      <c r="L1175" s="23" t="n">
        <v>0</v>
      </c>
      <c r="M1175" s="23" t="n">
        <v>0</v>
      </c>
      <c r="N1175" s="23" t="n">
        <v>0</v>
      </c>
      <c r="O1175" s="23" t="n">
        <v>0</v>
      </c>
      <c r="P1175" s="23" t="n">
        <v>0</v>
      </c>
      <c r="Q1175" s="23" t="n">
        <v>0</v>
      </c>
      <c r="R1175" s="23" t="n">
        <v>0</v>
      </c>
      <c r="S1175" s="23" t="n">
        <v>0</v>
      </c>
      <c r="T1175" s="23" t="n">
        <v>0</v>
      </c>
      <c r="U1175" s="23" t="n">
        <v>0</v>
      </c>
      <c r="V1175" s="23" t="n">
        <v>0</v>
      </c>
      <c r="W1175" s="23" t="n">
        <v>0</v>
      </c>
      <c r="X1175" s="23" t="n">
        <v>0</v>
      </c>
      <c r="Y1175" s="23" t="n">
        <v>0</v>
      </c>
      <c r="Z1175" s="23" t="n">
        <v>0</v>
      </c>
      <c r="AA1175" s="23" t="n">
        <v>0</v>
      </c>
      <c r="AB1175" s="23" t="n">
        <v>0</v>
      </c>
      <c r="AC1175" s="23" t="n">
        <v>0</v>
      </c>
      <c r="AD1175" s="23" t="n">
        <v>0</v>
      </c>
      <c r="AE1175" s="23" t="n">
        <v>0</v>
      </c>
      <c r="AG1175" s="20" t="inlineStr">
        <is>
          <t>egy.mit.rtx.pow.tot.3</t>
        </is>
      </c>
      <c r="AH1175" s="23" t="n">
        <v>0</v>
      </c>
      <c r="AI1175" s="23" t="n">
        <v>0</v>
      </c>
      <c r="AJ1175" s="23" t="n">
        <v>0</v>
      </c>
      <c r="AK1175" s="23" t="n">
        <v>0</v>
      </c>
      <c r="AL1175" s="23" t="n">
        <v>0</v>
      </c>
      <c r="AM1175" s="23" t="n">
        <v>0</v>
      </c>
      <c r="AN1175" s="23" t="n">
        <v>0</v>
      </c>
      <c r="AO1175" s="23" t="n">
        <v>0</v>
      </c>
      <c r="AP1175" s="23" t="n">
        <v>0</v>
      </c>
      <c r="AQ1175" s="23" t="n">
        <v>0</v>
      </c>
      <c r="AR1175" s="23" t="n">
        <v>0</v>
      </c>
      <c r="AS1175" s="23" t="n">
        <v>0</v>
      </c>
      <c r="AT1175" s="23" t="n">
        <v>0</v>
      </c>
      <c r="AU1175" s="23" t="n">
        <v>0</v>
      </c>
      <c r="AV1175" s="23" t="n">
        <v>0</v>
      </c>
      <c r="AW1175" s="23" t="n">
        <v>0</v>
      </c>
      <c r="AX1175" s="23" t="n">
        <v>0</v>
      </c>
      <c r="AY1175" s="23" t="n">
        <v>0</v>
      </c>
      <c r="AZ1175" s="23" t="n">
        <v>0</v>
      </c>
      <c r="BA1175" s="23" t="n">
        <v>0</v>
      </c>
      <c r="BC1175" s="20" t="inlineStr">
        <is>
          <t>egy.mit.rtx.pow.tot.4</t>
        </is>
      </c>
      <c r="BD1175" s="23" t="n">
        <v>0</v>
      </c>
      <c r="BE1175" s="23" t="n">
        <v>0</v>
      </c>
      <c r="BF1175" s="23" t="n">
        <v>0</v>
      </c>
      <c r="BG1175" s="23" t="n">
        <v>0</v>
      </c>
      <c r="BH1175" s="23" t="n">
        <v>0</v>
      </c>
      <c r="BI1175" s="23" t="n">
        <v>0</v>
      </c>
      <c r="BJ1175" s="23" t="n">
        <v>0</v>
      </c>
      <c r="BK1175" s="23" t="n">
        <v>0</v>
      </c>
      <c r="BL1175" s="23" t="n">
        <v>0</v>
      </c>
      <c r="BM1175" s="23" t="n">
        <v>0</v>
      </c>
      <c r="BN1175" s="23" t="n">
        <v>0</v>
      </c>
      <c r="BO1175" s="23" t="n">
        <v>0</v>
      </c>
      <c r="BP1175" s="23" t="n">
        <v>0</v>
      </c>
      <c r="BQ1175" s="23" t="n">
        <v>0</v>
      </c>
      <c r="BR1175" s="23" t="n">
        <v>0</v>
      </c>
      <c r="BS1175" s="23" t="n">
        <v>0</v>
      </c>
      <c r="BT1175" s="23" t="n">
        <v>0</v>
      </c>
      <c r="BU1175" s="23" t="n">
        <v>0</v>
      </c>
      <c r="BV1175" s="23" t="n">
        <v>0</v>
      </c>
      <c r="BW1175" s="23" t="n">
        <v>0</v>
      </c>
      <c r="BY1175" s="20" t="inlineStr">
        <is>
          <t>egy.mit.rtx.pow.tot.5</t>
        </is>
      </c>
      <c r="BZ1175" s="23" t="n">
        <v>0</v>
      </c>
      <c r="CA1175" s="23" t="n">
        <v>0</v>
      </c>
      <c r="CB1175" s="23" t="n">
        <v>0</v>
      </c>
      <c r="CC1175" s="23" t="n">
        <v>0</v>
      </c>
      <c r="CD1175" s="23" t="n">
        <v>0</v>
      </c>
      <c r="CE1175" s="23" t="n">
        <v>0</v>
      </c>
      <c r="CF1175" s="23" t="n">
        <v>0</v>
      </c>
      <c r="CG1175" s="23" t="n">
        <v>0</v>
      </c>
      <c r="CH1175" s="23" t="n">
        <v>0</v>
      </c>
      <c r="CI1175" s="23" t="n">
        <v>0</v>
      </c>
      <c r="CJ1175" s="23" t="n">
        <v>0</v>
      </c>
      <c r="CK1175" s="23" t="n">
        <v>0</v>
      </c>
      <c r="CL1175" s="23" t="n">
        <v>0</v>
      </c>
      <c r="CM1175" s="23" t="n">
        <v>0</v>
      </c>
      <c r="CN1175" s="23" t="n">
        <v>0</v>
      </c>
      <c r="CO1175" s="23" t="n">
        <v>0</v>
      </c>
      <c r="CP1175" s="23" t="n">
        <v>0</v>
      </c>
      <c r="CQ1175" s="23" t="n">
        <v>0</v>
      </c>
      <c r="CR1175" s="23" t="n">
        <v>0</v>
      </c>
      <c r="CS1175" s="23" t="n">
        <v>0</v>
      </c>
      <c r="CU1175" s="20" t="inlineStr">
        <is>
          <t>egy.mit.rtx.pow.tot.6</t>
        </is>
      </c>
      <c r="CV1175" s="23" t="n">
        <v>0</v>
      </c>
      <c r="CW1175" s="23" t="n">
        <v>0</v>
      </c>
      <c r="CX1175" s="23" t="n">
        <v>0</v>
      </c>
      <c r="CY1175" s="23" t="n">
        <v>0</v>
      </c>
      <c r="CZ1175" s="23" t="n">
        <v>0</v>
      </c>
      <c r="DA1175" s="23" t="n">
        <v>0</v>
      </c>
      <c r="DB1175" s="23" t="n">
        <v>0</v>
      </c>
      <c r="DC1175" s="23" t="n">
        <v>0</v>
      </c>
      <c r="DD1175" s="23" t="n">
        <v>0</v>
      </c>
      <c r="DE1175" s="23" t="n">
        <v>0</v>
      </c>
      <c r="DF1175" s="23" t="n">
        <v>0</v>
      </c>
      <c r="DG1175" s="23" t="n">
        <v>0</v>
      </c>
      <c r="DH1175" s="23" t="n">
        <v>0</v>
      </c>
      <c r="DI1175" s="23" t="n">
        <v>0</v>
      </c>
      <c r="DJ1175" s="23" t="n">
        <v>0</v>
      </c>
      <c r="DK1175" s="23" t="n">
        <v>0</v>
      </c>
      <c r="DL1175" s="23" t="n">
        <v>0</v>
      </c>
      <c r="DM1175" s="23" t="n">
        <v>0</v>
      </c>
      <c r="DN1175" s="23" t="n">
        <v>0</v>
      </c>
      <c r="DO1175" s="23" t="n">
        <v>0</v>
      </c>
    </row>
    <row r="1176">
      <c r="A1176" s="19" t="inlineStr">
        <is>
          <t>mit.rsub.pow.tot</t>
        </is>
      </c>
      <c r="B1176" s="3" t="inlineStr">
        <is>
          <t>mit</t>
        </is>
      </c>
      <c r="C1176" s="19" t="n"/>
      <c r="H1176" s="3" t="inlineStr">
        <is>
          <t>Existing consumer subsidies (negative = fiscal cost) | Power | All fuels</t>
        </is>
      </c>
      <c r="I1176" s="3" t="inlineStr">
        <is>
          <t>USD m real</t>
        </is>
      </c>
      <c r="K1176" s="20" t="inlineStr">
        <is>
          <t>egy.mit.rsub.pow.tot.1</t>
        </is>
      </c>
      <c r="L1176" s="23" t="n">
        <v>-20468.13211497203</v>
      </c>
      <c r="M1176" s="23" t="n">
        <v>-17787.64061958855</v>
      </c>
      <c r="N1176" s="23" t="n">
        <v>-20540.10320751583</v>
      </c>
      <c r="O1176" s="23" t="n">
        <v>-22618.10229341823</v>
      </c>
      <c r="P1176" s="23" t="n">
        <v>-24027.45111735327</v>
      </c>
      <c r="Q1176" s="23" t="n">
        <v>-24315.53507806792</v>
      </c>
      <c r="R1176" s="23" t="n">
        <v>-24908.52523404906</v>
      </c>
      <c r="S1176" s="23" t="n">
        <v>-25640.91173612828</v>
      </c>
      <c r="T1176" s="23" t="n">
        <v>-26128.60895795807</v>
      </c>
      <c r="U1176" s="23" t="n">
        <v>-26303.50219606372</v>
      </c>
      <c r="V1176" s="23" t="n">
        <v>-26532.04736093805</v>
      </c>
      <c r="W1176" s="23" t="n">
        <v>-27374.89305224366</v>
      </c>
      <c r="X1176" s="23" t="n">
        <v>-28148.6579585369</v>
      </c>
      <c r="Y1176" s="23" t="n">
        <v>-29006.44396356054</v>
      </c>
      <c r="Z1176" s="23" t="n">
        <v>-29882.26642875429</v>
      </c>
      <c r="AA1176" s="23" t="n">
        <v>-30782.56558836644</v>
      </c>
      <c r="AB1176" s="23" t="n">
        <v>-31705.31949897536</v>
      </c>
      <c r="AC1176" s="23" t="n">
        <v>-32650.9606758716</v>
      </c>
      <c r="AD1176" s="23" t="n">
        <v>-33621.6936373795</v>
      </c>
      <c r="AE1176" s="23" t="n">
        <v>-34618.34962909934</v>
      </c>
      <c r="AG1176" s="20" t="inlineStr">
        <is>
          <t>egy.mit.rsub.pow.tot.3</t>
        </is>
      </c>
      <c r="AH1176" s="23" t="n">
        <v>-20468.13211497203</v>
      </c>
      <c r="AI1176" s="23" t="n">
        <v>-17780.91219808347</v>
      </c>
      <c r="AJ1176" s="23" t="n">
        <v>-20532.35937801891</v>
      </c>
      <c r="AK1176" s="23" t="n">
        <v>-22610.45554152794</v>
      </c>
      <c r="AL1176" s="23" t="n">
        <v>-24019.43376928422</v>
      </c>
      <c r="AM1176" s="23" t="n">
        <v>-24307.12024188157</v>
      </c>
      <c r="AN1176" s="23" t="n">
        <v>-22706.03646865791</v>
      </c>
      <c r="AO1176" s="23" t="n">
        <v>-23665.85930989873</v>
      </c>
      <c r="AP1176" s="23" t="n">
        <v>-23926.03026608778</v>
      </c>
      <c r="AQ1176" s="23" t="n">
        <v>-24408.52949323443</v>
      </c>
      <c r="AR1176" s="23" t="n">
        <v>-24662.65307008717</v>
      </c>
      <c r="AS1176" s="23" t="n">
        <v>-25564.25926780041</v>
      </c>
      <c r="AT1176" s="23" t="n">
        <v>-26300.94358617508</v>
      </c>
      <c r="AU1176" s="23" t="n">
        <v>-27165.28588888604</v>
      </c>
      <c r="AV1176" s="23" t="n">
        <v>-28051.71889473802</v>
      </c>
      <c r="AW1176" s="23" t="n">
        <v>-28973.46960477097</v>
      </c>
      <c r="AX1176" s="23" t="n">
        <v>-29901.04308790034</v>
      </c>
      <c r="AY1176" s="23" t="n">
        <v>-30845.3530993728</v>
      </c>
      <c r="AZ1176" s="23" t="n">
        <v>-31792.41036935311</v>
      </c>
      <c r="BA1176" s="23" t="n">
        <v>-32759.58617659092</v>
      </c>
      <c r="BC1176" s="20" t="inlineStr">
        <is>
          <t>egy.mit.rsub.pow.tot.4</t>
        </is>
      </c>
      <c r="BD1176" s="23" t="n">
        <v>-20468.13211497203</v>
      </c>
      <c r="BE1176" s="23" t="n">
        <v>-17764.39865154822</v>
      </c>
      <c r="BF1176" s="23" t="n">
        <v>-20513.63421884761</v>
      </c>
      <c r="BG1176" s="23" t="n">
        <v>-22591.94176807869</v>
      </c>
      <c r="BH1176" s="23" t="n">
        <v>-24000.10953104298</v>
      </c>
      <c r="BI1176" s="23" t="n">
        <v>-24286.83183511579</v>
      </c>
      <c r="BJ1176" s="23" t="n">
        <v>-23711.50278549023</v>
      </c>
      <c r="BK1176" s="23" t="n">
        <v>-22830.48282946257</v>
      </c>
      <c r="BL1176" s="23" t="n">
        <v>-22301.80670652198</v>
      </c>
      <c r="BM1176" s="23" t="n">
        <v>-22127.25563053116</v>
      </c>
      <c r="BN1176" s="23" t="n">
        <v>-21637.06151947676</v>
      </c>
      <c r="BO1176" s="23" t="n">
        <v>-21623.32852745181</v>
      </c>
      <c r="BP1176" s="23" t="n">
        <v>-21395.79306263025</v>
      </c>
      <c r="BQ1176" s="23" t="n">
        <v>-21453.11148866095</v>
      </c>
      <c r="BR1176" s="23" t="n">
        <v>-21396.05982560212</v>
      </c>
      <c r="BS1176" s="23" t="n">
        <v>-21575.67703716346</v>
      </c>
      <c r="BT1176" s="23" t="n">
        <v>-21623.0701011202</v>
      </c>
      <c r="BU1176" s="23" t="n">
        <v>-21933.64955017591</v>
      </c>
      <c r="BV1176" s="23" t="n">
        <v>-22029.97361272303</v>
      </c>
      <c r="BW1176" s="23" t="n">
        <v>-22495.33865490931</v>
      </c>
      <c r="BY1176" s="20" t="inlineStr">
        <is>
          <t>egy.mit.rsub.pow.tot.5</t>
        </is>
      </c>
      <c r="BZ1176" s="23" t="n">
        <v>-20468.13211497203</v>
      </c>
      <c r="CA1176" s="23" t="n">
        <v>-17748.18514798146</v>
      </c>
      <c r="CB1176" s="23" t="n">
        <v>-20494.97387180486</v>
      </c>
      <c r="CC1176" s="23" t="n">
        <v>-22573.48658518505</v>
      </c>
      <c r="CD1176" s="23" t="n">
        <v>-23980.76429953937</v>
      </c>
      <c r="CE1176" s="23" t="n">
        <v>-24266.50894876371</v>
      </c>
      <c r="CF1176" s="23" t="n">
        <v>-24857.78957688947</v>
      </c>
      <c r="CG1176" s="23" t="n">
        <v>-25598.90338977151</v>
      </c>
      <c r="CH1176" s="23" t="n">
        <v>-26054.29468792006</v>
      </c>
      <c r="CI1176" s="23" t="n">
        <v>-26117.24266266933</v>
      </c>
      <c r="CJ1176" s="23" t="n">
        <v>-26087.21313734123</v>
      </c>
      <c r="CK1176" s="23" t="n">
        <v>-26829.53023911399</v>
      </c>
      <c r="CL1176" s="23" t="n">
        <v>-27098.90102708135</v>
      </c>
      <c r="CM1176" s="23" t="n">
        <v>-27529.09342691101</v>
      </c>
      <c r="CN1176" s="23" t="n">
        <v>-28053.20192812828</v>
      </c>
      <c r="CO1176" s="23" t="n">
        <v>-28525.74375783562</v>
      </c>
      <c r="CP1176" s="23" t="n">
        <v>-29070.39396208812</v>
      </c>
      <c r="CQ1176" s="23" t="n">
        <v>-29662.75251039083</v>
      </c>
      <c r="CR1176" s="23" t="n">
        <v>-30243.24952038716</v>
      </c>
      <c r="CS1176" s="23" t="n">
        <v>-30887.95969784074</v>
      </c>
      <c r="CU1176" s="20" t="inlineStr">
        <is>
          <t>egy.mit.rsub.pow.tot.6</t>
        </is>
      </c>
      <c r="CV1176" s="23" t="n">
        <v>-20468.13211497203</v>
      </c>
      <c r="CW1176" s="23" t="n">
        <v>-17771.61055021323</v>
      </c>
      <c r="CX1176" s="23" t="n">
        <v>-20521.76437516979</v>
      </c>
      <c r="CY1176" s="23" t="n">
        <v>-22599.98403296762</v>
      </c>
      <c r="CZ1176" s="23" t="n">
        <v>-24008.4890072477</v>
      </c>
      <c r="DA1176" s="23" t="n">
        <v>-24295.63034400121</v>
      </c>
      <c r="DB1176" s="23" t="n">
        <v>-20248.97188654952</v>
      </c>
      <c r="DC1176" s="23" t="n">
        <v>-21209.35038607172</v>
      </c>
      <c r="DD1176" s="23" t="n">
        <v>-21151.52693720964</v>
      </c>
      <c r="DE1176" s="23" t="n">
        <v>-22059.14799591384</v>
      </c>
      <c r="DF1176" s="23" t="n">
        <v>-22099.64065021889</v>
      </c>
      <c r="DG1176" s="23" t="n">
        <v>-22818.51453631174</v>
      </c>
      <c r="DH1176" s="23" t="n">
        <v>-23233.36919778647</v>
      </c>
      <c r="DI1176" s="23" t="n">
        <v>-23925.35636185012</v>
      </c>
      <c r="DJ1176" s="23" t="n">
        <v>-24550.47932710422</v>
      </c>
      <c r="DK1176" s="23" t="n">
        <v>-25329.24935034526</v>
      </c>
      <c r="DL1176" s="23" t="n">
        <v>-26022.75644880586</v>
      </c>
      <c r="DM1176" s="23" t="n">
        <v>-26835.99214812734</v>
      </c>
      <c r="DN1176" s="23" t="n">
        <v>-27563.78268568634</v>
      </c>
      <c r="DO1176" s="23" t="n">
        <v>-28399.23158816815</v>
      </c>
    </row>
    <row r="1177">
      <c r="A1177" s="19" t="inlineStr">
        <is>
          <t>mit.rnew.pow.tot</t>
        </is>
      </c>
      <c r="B1177" s="3" t="inlineStr">
        <is>
          <t>mit</t>
        </is>
      </c>
      <c r="C1177" s="19" t="n"/>
      <c r="H1177" s="3" t="inlineStr">
        <is>
          <t>Revenue from new policies (carbon tax, excise, auctioned ETS, VAT on them) | Power | All fuels</t>
        </is>
      </c>
      <c r="I1177" s="3" t="inlineStr">
        <is>
          <t>USD m real</t>
        </is>
      </c>
      <c r="K1177" s="20" t="inlineStr">
        <is>
          <t>egy.mit.rnew.pow.tot.1</t>
        </is>
      </c>
      <c r="L1177" s="23" t="n">
        <v>0</v>
      </c>
      <c r="M1177" s="23" t="n">
        <v>0</v>
      </c>
      <c r="N1177" s="23" t="n">
        <v>0</v>
      </c>
      <c r="O1177" s="23" t="n">
        <v>0</v>
      </c>
      <c r="P1177" s="23" t="n">
        <v>0</v>
      </c>
      <c r="Q1177" s="23" t="n">
        <v>0</v>
      </c>
      <c r="R1177" s="23" t="n">
        <v>0</v>
      </c>
      <c r="S1177" s="23" t="n">
        <v>0</v>
      </c>
      <c r="T1177" s="23" t="n">
        <v>0</v>
      </c>
      <c r="U1177" s="23" t="n">
        <v>0</v>
      </c>
      <c r="V1177" s="23" t="n">
        <v>0</v>
      </c>
      <c r="W1177" s="23" t="n">
        <v>0</v>
      </c>
      <c r="X1177" s="23" t="n">
        <v>0</v>
      </c>
      <c r="Y1177" s="23" t="n">
        <v>0</v>
      </c>
      <c r="Z1177" s="23" t="n">
        <v>0</v>
      </c>
      <c r="AA1177" s="23" t="n">
        <v>0</v>
      </c>
      <c r="AB1177" s="23" t="n">
        <v>0</v>
      </c>
      <c r="AC1177" s="23" t="n">
        <v>0</v>
      </c>
      <c r="AD1177" s="23" t="n">
        <v>0</v>
      </c>
      <c r="AE1177" s="23" t="n">
        <v>0</v>
      </c>
      <c r="AG1177" s="20" t="inlineStr">
        <is>
          <t>egy.mit.rnew.pow.tot.3</t>
        </is>
      </c>
      <c r="AH1177" s="23" t="n">
        <v>0</v>
      </c>
      <c r="AI1177" s="23" t="n">
        <v>0</v>
      </c>
      <c r="AJ1177" s="23" t="n">
        <v>0</v>
      </c>
      <c r="AK1177" s="23" t="n">
        <v>0</v>
      </c>
      <c r="AL1177" s="23" t="n">
        <v>0</v>
      </c>
      <c r="AM1177" s="23" t="n">
        <v>2099.07666348108</v>
      </c>
      <c r="AN1177" s="23" t="n">
        <v>1955.289697950233</v>
      </c>
      <c r="AO1177" s="23" t="n">
        <v>2054.495946706548</v>
      </c>
      <c r="AP1177" s="23" t="n">
        <v>2070.899999790017</v>
      </c>
      <c r="AQ1177" s="23" t="n">
        <v>2071.864250054035</v>
      </c>
      <c r="AR1177" s="23" t="n">
        <v>2038.833681179866</v>
      </c>
      <c r="AS1177" s="23" t="n">
        <v>2073.893629541443</v>
      </c>
      <c r="AT1177" s="23" t="n">
        <v>2080.302342832734</v>
      </c>
      <c r="AU1177" s="23" t="n">
        <v>2103.070214725849</v>
      </c>
      <c r="AV1177" s="23" t="n">
        <v>2125.94438319491</v>
      </c>
      <c r="AW1177" s="23" t="n">
        <v>2150.837639678497</v>
      </c>
      <c r="AX1177" s="23" t="n">
        <v>2174.847839904751</v>
      </c>
      <c r="AY1177" s="23" t="n">
        <v>2199.291611232779</v>
      </c>
      <c r="AZ1177" s="23" t="n">
        <v>2222.746696050039</v>
      </c>
      <c r="BA1177" s="23" t="n">
        <v>2247.020567489376</v>
      </c>
      <c r="BC1177" s="20" t="inlineStr">
        <is>
          <t>egy.mit.rnew.pow.tot.4</t>
        </is>
      </c>
      <c r="BD1177" s="23" t="n">
        <v>0</v>
      </c>
      <c r="BE1177" s="23" t="n">
        <v>0</v>
      </c>
      <c r="BF1177" s="23" t="n">
        <v>0</v>
      </c>
      <c r="BG1177" s="23" t="n">
        <v>0</v>
      </c>
      <c r="BH1177" s="23" t="n">
        <v>0</v>
      </c>
      <c r="BI1177" s="23" t="n">
        <v>1048.290859959549</v>
      </c>
      <c r="BJ1177" s="23" t="n">
        <v>2387.669428534492</v>
      </c>
      <c r="BK1177" s="23" t="n">
        <v>3544.558525470777</v>
      </c>
      <c r="BL1177" s="23" t="n">
        <v>4712.070083299858</v>
      </c>
      <c r="BM1177" s="23" t="n">
        <v>5908.326756441833</v>
      </c>
      <c r="BN1177" s="23" t="n">
        <v>6811.13946837527</v>
      </c>
      <c r="BO1177" s="23" t="n">
        <v>7879.166986311648</v>
      </c>
      <c r="BP1177" s="23" t="n">
        <v>8683.228362826843</v>
      </c>
      <c r="BQ1177" s="23" t="n">
        <v>9596.929337452921</v>
      </c>
      <c r="BR1177" s="23" t="n">
        <v>10298.80335866025</v>
      </c>
      <c r="BS1177" s="23" t="n">
        <v>11114.91960309948</v>
      </c>
      <c r="BT1177" s="23" t="n">
        <v>11683.12958310816</v>
      </c>
      <c r="BU1177" s="23" t="n">
        <v>12441.22728240649</v>
      </c>
      <c r="BV1177" s="23" t="n">
        <v>12835.36457260744</v>
      </c>
      <c r="BW1177" s="23" t="n">
        <v>13610.94955469473</v>
      </c>
      <c r="BY1177" s="20" t="inlineStr">
        <is>
          <t>egy.mit.rnew.pow.tot.5</t>
        </is>
      </c>
      <c r="BZ1177" s="23" t="n">
        <v>0</v>
      </c>
      <c r="CA1177" s="23" t="n">
        <v>0</v>
      </c>
      <c r="CB1177" s="23" t="n">
        <v>0</v>
      </c>
      <c r="CC1177" s="23" t="n">
        <v>0</v>
      </c>
      <c r="CD1177" s="23" t="n">
        <v>0</v>
      </c>
      <c r="CE1177" s="23" t="n">
        <v>0</v>
      </c>
      <c r="CF1177" s="23" t="n">
        <v>0</v>
      </c>
      <c r="CG1177" s="23" t="n">
        <v>0</v>
      </c>
      <c r="CH1177" s="23" t="n">
        <v>0</v>
      </c>
      <c r="CI1177" s="23" t="n">
        <v>0</v>
      </c>
      <c r="CJ1177" s="23" t="n">
        <v>0</v>
      </c>
      <c r="CK1177" s="23" t="n">
        <v>0</v>
      </c>
      <c r="CL1177" s="23" t="n">
        <v>0</v>
      </c>
      <c r="CM1177" s="23" t="n">
        <v>0</v>
      </c>
      <c r="CN1177" s="23" t="n">
        <v>0</v>
      </c>
      <c r="CO1177" s="23" t="n">
        <v>0</v>
      </c>
      <c r="CP1177" s="23" t="n">
        <v>0</v>
      </c>
      <c r="CQ1177" s="23" t="n">
        <v>0</v>
      </c>
      <c r="CR1177" s="23" t="n">
        <v>0</v>
      </c>
      <c r="CS1177" s="23" t="n">
        <v>0</v>
      </c>
      <c r="CU1177" s="20" t="inlineStr">
        <is>
          <t>egy.mit.rnew.pow.tot.6</t>
        </is>
      </c>
      <c r="CV1177" s="23" t="n">
        <v>0</v>
      </c>
      <c r="CW1177" s="23" t="n">
        <v>0</v>
      </c>
      <c r="CX1177" s="23" t="n">
        <v>0</v>
      </c>
      <c r="CY1177" s="23" t="n">
        <v>0</v>
      </c>
      <c r="CZ1177" s="23" t="n">
        <v>0</v>
      </c>
      <c r="DA1177" s="23" t="n">
        <v>5244.177597671436</v>
      </c>
      <c r="DB1177" s="23" t="n">
        <v>4325.531158148284</v>
      </c>
      <c r="DC1177" s="23" t="n">
        <v>4572.96566396577</v>
      </c>
      <c r="DD1177" s="23" t="n">
        <v>4501.906120175017</v>
      </c>
      <c r="DE1177" s="23" t="n">
        <v>4701.050330085001</v>
      </c>
      <c r="DF1177" s="23" t="n">
        <v>4484.906942185868</v>
      </c>
      <c r="DG1177" s="23" t="n">
        <v>4495.51622525072</v>
      </c>
      <c r="DH1177" s="23" t="n">
        <v>4348.276242712448</v>
      </c>
      <c r="DI1177" s="23" t="n">
        <v>4291.710918558539</v>
      </c>
      <c r="DJ1177" s="23" t="n">
        <v>4194.595578300031</v>
      </c>
      <c r="DK1177" s="23" t="n">
        <v>4143.735734684648</v>
      </c>
      <c r="DL1177" s="23" t="n">
        <v>4055.383189165429</v>
      </c>
      <c r="DM1177" s="23" t="n">
        <v>4009.522416999904</v>
      </c>
      <c r="DN1177" s="23" t="n">
        <v>3931.276131590555</v>
      </c>
      <c r="DO1177" s="23" t="n">
        <v>3891.65016076232</v>
      </c>
    </row>
    <row r="1178">
      <c r="A1178" s="19" t="inlineStr">
        <is>
          <t>mit.rxcp.tot.tot</t>
        </is>
      </c>
      <c r="B1178" s="3" t="inlineStr">
        <is>
          <t>mit</t>
        </is>
      </c>
      <c r="C1178" s="19" t="n"/>
      <c r="H1178" s="3" t="inlineStr">
        <is>
          <t>Revenue from existing carbon pricing (memo: level; the part embedded in the price data is in rtx) | All sectors | All fuels</t>
        </is>
      </c>
      <c r="I1178" s="3" t="inlineStr">
        <is>
          <t>USD m real</t>
        </is>
      </c>
      <c r="K1178" s="20" t="inlineStr">
        <is>
          <t>egy.mit.rxcp.tot.tot.1</t>
        </is>
      </c>
      <c r="L1178" s="23" t="n">
        <v>0</v>
      </c>
      <c r="M1178" s="23" t="n">
        <v>0</v>
      </c>
      <c r="N1178" s="23" t="n">
        <v>0</v>
      </c>
      <c r="O1178" s="23" t="n">
        <v>0</v>
      </c>
      <c r="P1178" s="23" t="n">
        <v>0</v>
      </c>
      <c r="Q1178" s="23" t="n">
        <v>0</v>
      </c>
      <c r="R1178" s="23" t="n">
        <v>0</v>
      </c>
      <c r="S1178" s="23" t="n">
        <v>0</v>
      </c>
      <c r="T1178" s="23" t="n">
        <v>0</v>
      </c>
      <c r="U1178" s="23" t="n">
        <v>0</v>
      </c>
      <c r="V1178" s="23" t="n">
        <v>0</v>
      </c>
      <c r="W1178" s="23" t="n">
        <v>0</v>
      </c>
      <c r="X1178" s="23" t="n">
        <v>0</v>
      </c>
      <c r="Y1178" s="23" t="n">
        <v>0</v>
      </c>
      <c r="Z1178" s="23" t="n">
        <v>0</v>
      </c>
      <c r="AA1178" s="23" t="n">
        <v>0</v>
      </c>
      <c r="AB1178" s="23" t="n">
        <v>0</v>
      </c>
      <c r="AC1178" s="23" t="n">
        <v>0</v>
      </c>
      <c r="AD1178" s="23" t="n">
        <v>0</v>
      </c>
      <c r="AE1178" s="23" t="n">
        <v>0</v>
      </c>
      <c r="AG1178" s="20" t="inlineStr">
        <is>
          <t>egy.mit.rxcp.tot.tot.3</t>
        </is>
      </c>
      <c r="AH1178" s="23" t="n">
        <v>0</v>
      </c>
      <c r="AI1178" s="23" t="n">
        <v>0</v>
      </c>
      <c r="AJ1178" s="23" t="n">
        <v>0</v>
      </c>
      <c r="AK1178" s="23" t="n">
        <v>0</v>
      </c>
      <c r="AL1178" s="23" t="n">
        <v>0</v>
      </c>
      <c r="AM1178" s="23" t="n">
        <v>0</v>
      </c>
      <c r="AN1178" s="23" t="n">
        <v>0</v>
      </c>
      <c r="AO1178" s="23" t="n">
        <v>0</v>
      </c>
      <c r="AP1178" s="23" t="n">
        <v>0</v>
      </c>
      <c r="AQ1178" s="23" t="n">
        <v>0</v>
      </c>
      <c r="AR1178" s="23" t="n">
        <v>0</v>
      </c>
      <c r="AS1178" s="23" t="n">
        <v>0</v>
      </c>
      <c r="AT1178" s="23" t="n">
        <v>0</v>
      </c>
      <c r="AU1178" s="23" t="n">
        <v>0</v>
      </c>
      <c r="AV1178" s="23" t="n">
        <v>0</v>
      </c>
      <c r="AW1178" s="23" t="n">
        <v>0</v>
      </c>
      <c r="AX1178" s="23" t="n">
        <v>0</v>
      </c>
      <c r="AY1178" s="23" t="n">
        <v>0</v>
      </c>
      <c r="AZ1178" s="23" t="n">
        <v>0</v>
      </c>
      <c r="BA1178" s="23" t="n">
        <v>0</v>
      </c>
      <c r="BC1178" s="20" t="inlineStr">
        <is>
          <t>egy.mit.rxcp.tot.tot.4</t>
        </is>
      </c>
      <c r="BD1178" s="23" t="n">
        <v>0</v>
      </c>
      <c r="BE1178" s="23" t="n">
        <v>0</v>
      </c>
      <c r="BF1178" s="23" t="n">
        <v>0</v>
      </c>
      <c r="BG1178" s="23" t="n">
        <v>0</v>
      </c>
      <c r="BH1178" s="23" t="n">
        <v>0</v>
      </c>
      <c r="BI1178" s="23" t="n">
        <v>0</v>
      </c>
      <c r="BJ1178" s="23" t="n">
        <v>0</v>
      </c>
      <c r="BK1178" s="23" t="n">
        <v>0</v>
      </c>
      <c r="BL1178" s="23" t="n">
        <v>0</v>
      </c>
      <c r="BM1178" s="23" t="n">
        <v>0</v>
      </c>
      <c r="BN1178" s="23" t="n">
        <v>0</v>
      </c>
      <c r="BO1178" s="23" t="n">
        <v>0</v>
      </c>
      <c r="BP1178" s="23" t="n">
        <v>0</v>
      </c>
      <c r="BQ1178" s="23" t="n">
        <v>0</v>
      </c>
      <c r="BR1178" s="23" t="n">
        <v>0</v>
      </c>
      <c r="BS1178" s="23" t="n">
        <v>0</v>
      </c>
      <c r="BT1178" s="23" t="n">
        <v>0</v>
      </c>
      <c r="BU1178" s="23" t="n">
        <v>0</v>
      </c>
      <c r="BV1178" s="23" t="n">
        <v>0</v>
      </c>
      <c r="BW1178" s="23" t="n">
        <v>0</v>
      </c>
      <c r="BY1178" s="20" t="inlineStr">
        <is>
          <t>egy.mit.rxcp.tot.tot.5</t>
        </is>
      </c>
      <c r="BZ1178" s="23" t="n">
        <v>0</v>
      </c>
      <c r="CA1178" s="23" t="n">
        <v>0</v>
      </c>
      <c r="CB1178" s="23" t="n">
        <v>0</v>
      </c>
      <c r="CC1178" s="23" t="n">
        <v>0</v>
      </c>
      <c r="CD1178" s="23" t="n">
        <v>0</v>
      </c>
      <c r="CE1178" s="23" t="n">
        <v>0</v>
      </c>
      <c r="CF1178" s="23" t="n">
        <v>0</v>
      </c>
      <c r="CG1178" s="23" t="n">
        <v>0</v>
      </c>
      <c r="CH1178" s="23" t="n">
        <v>0</v>
      </c>
      <c r="CI1178" s="23" t="n">
        <v>0</v>
      </c>
      <c r="CJ1178" s="23" t="n">
        <v>0</v>
      </c>
      <c r="CK1178" s="23" t="n">
        <v>0</v>
      </c>
      <c r="CL1178" s="23" t="n">
        <v>0</v>
      </c>
      <c r="CM1178" s="23" t="n">
        <v>0</v>
      </c>
      <c r="CN1178" s="23" t="n">
        <v>0</v>
      </c>
      <c r="CO1178" s="23" t="n">
        <v>0</v>
      </c>
      <c r="CP1178" s="23" t="n">
        <v>0</v>
      </c>
      <c r="CQ1178" s="23" t="n">
        <v>0</v>
      </c>
      <c r="CR1178" s="23" t="n">
        <v>0</v>
      </c>
      <c r="CS1178" s="23" t="n">
        <v>0</v>
      </c>
      <c r="CU1178" s="20" t="inlineStr">
        <is>
          <t>egy.mit.rxcp.tot.tot.6</t>
        </is>
      </c>
      <c r="CV1178" s="23" t="n">
        <v>0</v>
      </c>
      <c r="CW1178" s="23" t="n">
        <v>0</v>
      </c>
      <c r="CX1178" s="23" t="n">
        <v>0</v>
      </c>
      <c r="CY1178" s="23" t="n">
        <v>0</v>
      </c>
      <c r="CZ1178" s="23" t="n">
        <v>0</v>
      </c>
      <c r="DA1178" s="23" t="n">
        <v>0</v>
      </c>
      <c r="DB1178" s="23" t="n">
        <v>0</v>
      </c>
      <c r="DC1178" s="23" t="n">
        <v>0</v>
      </c>
      <c r="DD1178" s="23" t="n">
        <v>0</v>
      </c>
      <c r="DE1178" s="23" t="n">
        <v>0</v>
      </c>
      <c r="DF1178" s="23" t="n">
        <v>0</v>
      </c>
      <c r="DG1178" s="23" t="n">
        <v>0</v>
      </c>
      <c r="DH1178" s="23" t="n">
        <v>0</v>
      </c>
      <c r="DI1178" s="23" t="n">
        <v>0</v>
      </c>
      <c r="DJ1178" s="23" t="n">
        <v>0</v>
      </c>
      <c r="DK1178" s="23" t="n">
        <v>0</v>
      </c>
      <c r="DL1178" s="23" t="n">
        <v>0</v>
      </c>
      <c r="DM1178" s="23" t="n">
        <v>0</v>
      </c>
      <c r="DN1178" s="23" t="n">
        <v>0</v>
      </c>
      <c r="DO1178" s="23" t="n">
        <v>0</v>
      </c>
    </row>
    <row r="1179">
      <c r="A1179" s="19" t="inlineStr">
        <is>
          <t>mit.fis.sp.all.all</t>
        </is>
      </c>
      <c r="B1179" s="3" t="inlineStr">
        <is>
          <t>mit</t>
        </is>
      </c>
      <c r="C1179" s="19" t="n"/>
      <c r="H1179" s="3" t="inlineStr">
        <is>
          <t>Fiscal space: total revenue above scenario 1 | All sectors | All fuels</t>
        </is>
      </c>
      <c r="I1179" s="3" t="inlineStr">
        <is>
          <t>share of GDP</t>
        </is>
      </c>
      <c r="K1179" s="20" t="inlineStr">
        <is>
          <t>egy.mit.fis.sp.all.all.1</t>
        </is>
      </c>
      <c r="L1179" s="24" t="n">
        <v>0</v>
      </c>
      <c r="M1179" s="24" t="n">
        <v>0</v>
      </c>
      <c r="N1179" s="24" t="n">
        <v>0</v>
      </c>
      <c r="O1179" s="24" t="n">
        <v>0</v>
      </c>
      <c r="P1179" s="24" t="n">
        <v>0</v>
      </c>
      <c r="Q1179" s="24" t="n">
        <v>0</v>
      </c>
      <c r="R1179" s="24" t="n">
        <v>0</v>
      </c>
      <c r="S1179" s="24" t="n">
        <v>0</v>
      </c>
      <c r="T1179" s="24" t="n">
        <v>0</v>
      </c>
      <c r="U1179" s="24" t="n">
        <v>0</v>
      </c>
      <c r="V1179" s="24" t="n">
        <v>0</v>
      </c>
      <c r="W1179" s="24" t="n">
        <v>0</v>
      </c>
      <c r="X1179" s="24" t="n">
        <v>0</v>
      </c>
      <c r="Y1179" s="24" t="n">
        <v>0</v>
      </c>
      <c r="Z1179" s="24" t="n">
        <v>0</v>
      </c>
      <c r="AA1179" s="24" t="n">
        <v>0</v>
      </c>
      <c r="AB1179" s="24" t="n">
        <v>0</v>
      </c>
      <c r="AC1179" s="24" t="n">
        <v>0</v>
      </c>
      <c r="AD1179" s="24" t="n">
        <v>0</v>
      </c>
      <c r="AE1179" s="24" t="n">
        <v>0</v>
      </c>
      <c r="AG1179" s="20" t="inlineStr">
        <is>
          <t>egy.mit.fis.sp.all.all.3</t>
        </is>
      </c>
      <c r="AH1179" s="24" t="n">
        <v>0</v>
      </c>
      <c r="AI1179" s="24" t="n">
        <v>1.185544364064951e-05</v>
      </c>
      <c r="AJ1179" s="24" t="n">
        <v>1.332494824089065e-05</v>
      </c>
      <c r="AK1179" s="24" t="n">
        <v>1.26042764380686e-05</v>
      </c>
      <c r="AL1179" s="24" t="n">
        <v>1.267764193102298e-05</v>
      </c>
      <c r="AM1179" s="24" t="n">
        <v>0.01261657316771903</v>
      </c>
      <c r="AN1179" s="24" t="n">
        <v>0.01499557580039999</v>
      </c>
      <c r="AO1179" s="24" t="n">
        <v>0.01422449300553398</v>
      </c>
      <c r="AP1179" s="24" t="n">
        <v>0.01403706654161389</v>
      </c>
      <c r="AQ1179" s="24" t="n">
        <v>0.01313323113545417</v>
      </c>
      <c r="AR1179" s="24" t="n">
        <v>0.01266589327218142</v>
      </c>
      <c r="AS1179" s="24" t="n">
        <v>0.01224637408519854</v>
      </c>
      <c r="AT1179" s="24" t="n">
        <v>0.01191204063300773</v>
      </c>
      <c r="AU1179" s="24" t="n">
        <v>0.01156566469158836</v>
      </c>
      <c r="AV1179" s="24" t="n">
        <v>0.01122710199356438</v>
      </c>
      <c r="AW1179" s="24" t="n">
        <v>0.01088818502207175</v>
      </c>
      <c r="AX1179" s="24" t="n">
        <v>0.01058401763665168</v>
      </c>
      <c r="AY1179" s="24" t="n">
        <v>0.01030103400553361</v>
      </c>
      <c r="AZ1179" s="24" t="n">
        <v>0.01005380320491533</v>
      </c>
      <c r="BA1179" s="24" t="n">
        <v>0.009822614245120206</v>
      </c>
      <c r="BC1179" s="20" t="inlineStr">
        <is>
          <t>egy.mit.fis.sp.all.all.4</t>
        </is>
      </c>
      <c r="BD1179" s="24" t="n">
        <v>0</v>
      </c>
      <c r="BE1179" s="24" t="n">
        <v>4.095222660938068e-05</v>
      </c>
      <c r="BF1179" s="24" t="n">
        <v>4.554567015364838e-05</v>
      </c>
      <c r="BG1179" s="24" t="n">
        <v>4.312085678666583e-05</v>
      </c>
      <c r="BH1179" s="24" t="n">
        <v>4.323460052905092e-05</v>
      </c>
      <c r="BI1179" s="24" t="n">
        <v>0.007202348535135943</v>
      </c>
      <c r="BJ1179" s="24" t="n">
        <v>0.01602016297974855</v>
      </c>
      <c r="BK1179" s="24" t="n">
        <v>0.02343140399058617</v>
      </c>
      <c r="BL1179" s="24" t="n">
        <v>0.02881898262590095</v>
      </c>
      <c r="BM1179" s="24" t="n">
        <v>0.03237731712671122</v>
      </c>
      <c r="BN1179" s="24" t="n">
        <v>0.03565125956714034</v>
      </c>
      <c r="BO1179" s="24" t="n">
        <v>0.03879587446090815</v>
      </c>
      <c r="BP1179" s="24" t="n">
        <v>0.04138755120602138</v>
      </c>
      <c r="BQ1179" s="24" t="n">
        <v>0.0435362030494235</v>
      </c>
      <c r="BR1179" s="24" t="n">
        <v>0.04531532758786438</v>
      </c>
      <c r="BS1179" s="24" t="n">
        <v>0.04675773677717818</v>
      </c>
      <c r="BT1179" s="24" t="n">
        <v>0.04791172573267878</v>
      </c>
      <c r="BU1179" s="24" t="n">
        <v>0.04885074737518771</v>
      </c>
      <c r="BV1179" s="24" t="n">
        <v>0.04953838930479414</v>
      </c>
      <c r="BW1179" s="24" t="n">
        <v>0.05013400809489376</v>
      </c>
      <c r="BY1179" s="20" t="inlineStr">
        <is>
          <t>egy.mit.fis.sp.all.all.5</t>
        </is>
      </c>
      <c r="BZ1179" s="24" t="n">
        <v>0</v>
      </c>
      <c r="CA1179" s="24" t="n">
        <v>6.952033543072592e-05</v>
      </c>
      <c r="CB1179" s="24" t="n">
        <v>7.765486865817061e-05</v>
      </c>
      <c r="CC1179" s="24" t="n">
        <v>7.354086128576366e-05</v>
      </c>
      <c r="CD1179" s="24" t="n">
        <v>7.382475527386976e-05</v>
      </c>
      <c r="CE1179" s="24" t="n">
        <v>0.01081536756756178</v>
      </c>
      <c r="CF1179" s="24" t="n">
        <v>0.01038026654915266</v>
      </c>
      <c r="CG1179" s="24" t="n">
        <v>0.0100333013444593</v>
      </c>
      <c r="CH1179" s="24" t="n">
        <v>0.00979113588834166</v>
      </c>
      <c r="CI1179" s="24" t="n">
        <v>0.009620051688248228</v>
      </c>
      <c r="CJ1179" s="24" t="n">
        <v>0.009724971280980018</v>
      </c>
      <c r="CK1179" s="24" t="n">
        <v>0.009613853019330747</v>
      </c>
      <c r="CL1179" s="24" t="n">
        <v>0.009934413874108785</v>
      </c>
      <c r="CM1179" s="24" t="n">
        <v>0.0101377115321905</v>
      </c>
      <c r="CN1179" s="24" t="n">
        <v>0.01022831507842647</v>
      </c>
      <c r="CO1179" s="24" t="n">
        <v>0.0103663524700469</v>
      </c>
      <c r="CP1179" s="24" t="n">
        <v>0.01044079956441418</v>
      </c>
      <c r="CQ1179" s="24" t="n">
        <v>0.01047679747614452</v>
      </c>
      <c r="CR1179" s="24" t="n">
        <v>0.01053405353995164</v>
      </c>
      <c r="CS1179" s="24" t="n">
        <v>0.01054447460957498</v>
      </c>
      <c r="CU1179" s="20" t="inlineStr">
        <is>
          <t>egy.mit.fis.sp.all.all.6</t>
        </is>
      </c>
      <c r="CV1179" s="24" t="n">
        <v>0</v>
      </c>
      <c r="CW1179" s="24" t="n">
        <v>2.824489873161118e-05</v>
      </c>
      <c r="CX1179" s="24" t="n">
        <v>3.155596231897843e-05</v>
      </c>
      <c r="CY1179" s="24" t="n">
        <v>2.986464927496437e-05</v>
      </c>
      <c r="CZ1179" s="24" t="n">
        <v>2.998433398481247e-05</v>
      </c>
      <c r="DA1179" s="24" t="n">
        <v>0.02701648040895259</v>
      </c>
      <c r="DB1179" s="24" t="n">
        <v>0.03114142944554647</v>
      </c>
      <c r="DC1179" s="24" t="n">
        <v>0.02992965639002676</v>
      </c>
      <c r="DD1179" s="24" t="n">
        <v>0.02946350596343382</v>
      </c>
      <c r="DE1179" s="24" t="n">
        <v>0.0276987575807245</v>
      </c>
      <c r="DF1179" s="24" t="n">
        <v>0.0268085734813168</v>
      </c>
      <c r="DG1179" s="24" t="n">
        <v>0.02612234043695971</v>
      </c>
      <c r="DH1179" s="24" t="n">
        <v>0.02553583529583019</v>
      </c>
      <c r="DI1179" s="24" t="n">
        <v>0.02486386332266264</v>
      </c>
      <c r="DJ1179" s="24" t="n">
        <v>0.02425736435993194</v>
      </c>
      <c r="DK1179" s="24" t="n">
        <v>0.0235851684221193</v>
      </c>
      <c r="DL1179" s="24" t="n">
        <v>0.02301101637649234</v>
      </c>
      <c r="DM1179" s="24" t="n">
        <v>0.02241322468334983</v>
      </c>
      <c r="DN1179" s="24" t="n">
        <v>0.02191188167623193</v>
      </c>
      <c r="DO1179" s="24" t="n">
        <v>0.02139455424035121</v>
      </c>
    </row>
    <row r="1180">
      <c r="A1180" s="5" t="n"/>
      <c r="B1180" s="18" t="inlineStr">
        <is>
          <t>Not in legacy MTOutputs: macroeconomy and welfare</t>
        </is>
      </c>
      <c r="C1180" s="5" t="n"/>
      <c r="D1180" s="5" t="n"/>
      <c r="E1180" s="5" t="n"/>
      <c r="F1180" s="5" t="n"/>
      <c r="G1180" s="5" t="n"/>
      <c r="H1180" s="5" t="n"/>
      <c r="I1180" s="5" t="n"/>
      <c r="J1180" s="5" t="n"/>
      <c r="K1180" s="5" t="n"/>
      <c r="L1180" s="5" t="n"/>
      <c r="M1180" s="5" t="n"/>
      <c r="N1180" s="5"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5" t="n"/>
      <c r="BJ1180" s="5" t="n"/>
      <c r="BK1180" s="5" t="n"/>
      <c r="BL1180" s="5" t="n"/>
      <c r="BM1180" s="5" t="n"/>
      <c r="BN1180" s="5" t="n"/>
      <c r="BO1180" s="5" t="n"/>
      <c r="BP1180" s="5" t="n"/>
      <c r="BQ1180" s="5" t="n"/>
      <c r="BR1180" s="5" t="n"/>
      <c r="BS1180" s="5" t="n"/>
      <c r="BT1180" s="5" t="n"/>
      <c r="BU1180" s="5" t="n"/>
      <c r="BV1180" s="5" t="n"/>
      <c r="BW1180" s="5" t="n"/>
      <c r="BX1180" s="5" t="n"/>
      <c r="BY1180" s="5" t="n"/>
      <c r="BZ1180" s="5" t="n"/>
      <c r="CA1180" s="5" t="n"/>
      <c r="CB1180" s="5" t="n"/>
      <c r="CC1180" s="5" t="n"/>
      <c r="CD1180" s="5" t="n"/>
      <c r="CE1180" s="5" t="n"/>
      <c r="CF1180" s="5" t="n"/>
      <c r="CG1180" s="5" t="n"/>
      <c r="CH1180" s="5" t="n"/>
      <c r="CI1180" s="5" t="n"/>
      <c r="CJ1180" s="5" t="n"/>
      <c r="CK1180" s="5" t="n"/>
      <c r="CL1180" s="5" t="n"/>
      <c r="CM1180" s="5" t="n"/>
      <c r="CN1180" s="5" t="n"/>
      <c r="CO1180" s="5" t="n"/>
      <c r="CP1180" s="5" t="n"/>
      <c r="CQ1180" s="5" t="n"/>
      <c r="CR1180" s="5" t="n"/>
      <c r="CS1180" s="5" t="n"/>
      <c r="CT1180" s="5" t="n"/>
      <c r="CU1180" s="5" t="n"/>
      <c r="CV1180" s="5" t="n"/>
      <c r="CW1180" s="5" t="n"/>
      <c r="CX1180" s="5" t="n"/>
      <c r="CY1180" s="5" t="n"/>
      <c r="CZ1180" s="5" t="n"/>
      <c r="DA1180" s="5" t="n"/>
      <c r="DB1180" s="5" t="n"/>
      <c r="DC1180" s="5" t="n"/>
      <c r="DD1180" s="5" t="n"/>
      <c r="DE1180" s="5" t="n"/>
      <c r="DF1180" s="5" t="n"/>
      <c r="DG1180" s="5" t="n"/>
      <c r="DH1180" s="5" t="n"/>
      <c r="DI1180" s="5" t="n"/>
      <c r="DJ1180" s="5" t="n"/>
      <c r="DK1180" s="5" t="n"/>
      <c r="DL1180" s="5" t="n"/>
      <c r="DM1180" s="5" t="n"/>
      <c r="DN1180" s="5" t="n"/>
      <c r="DO1180" s="5" t="n"/>
      <c r="DP1180" s="5" t="n"/>
      <c r="DQ1180" s="5" t="n"/>
      <c r="DR1180" s="5" t="n"/>
      <c r="DS1180" s="5" t="n"/>
      <c r="DT1180" s="5" t="n"/>
      <c r="DU1180" s="5" t="n"/>
      <c r="DV1180" s="5" t="n"/>
      <c r="DW1180" s="5" t="n"/>
      <c r="DX1180" s="5" t="n"/>
      <c r="DY1180" s="5" t="n"/>
      <c r="DZ1180" s="5" t="n"/>
      <c r="EA1180" s="5" t="n"/>
      <c r="EB1180" s="5" t="n"/>
      <c r="EC1180" s="5" t="n"/>
      <c r="ED1180" s="5" t="n"/>
      <c r="EE1180" s="5" t="n"/>
      <c r="EF1180" s="5" t="n"/>
      <c r="EG1180" s="5" t="n"/>
      <c r="EH1180" s="5" t="n"/>
      <c r="EI1180" s="5" t="n"/>
      <c r="EJ1180" s="5" t="n"/>
      <c r="EK1180" s="5" t="n"/>
      <c r="EL1180" s="5" t="n"/>
      <c r="EM1180" s="5" t="n"/>
      <c r="EN1180" s="5" t="n"/>
      <c r="EO1180" s="5" t="n"/>
      <c r="EP1180" s="5" t="n"/>
      <c r="EQ1180" s="5" t="n"/>
      <c r="ER1180" s="5" t="n"/>
      <c r="ES1180" s="5" t="n"/>
      <c r="ET1180" s="5" t="n"/>
      <c r="EU1180" s="5" t="n"/>
      <c r="EV1180" s="5" t="n"/>
      <c r="EW1180" s="5" t="n"/>
      <c r="EX1180" s="5" t="n"/>
      <c r="EY1180" s="5" t="n"/>
      <c r="EZ1180" s="5" t="n"/>
      <c r="FA1180" s="5" t="n"/>
      <c r="FB1180" s="5" t="n"/>
      <c r="FC1180" s="5" t="n"/>
      <c r="FD1180" s="5" t="n"/>
      <c r="FE1180" s="5" t="n"/>
      <c r="FF1180" s="5" t="n"/>
      <c r="FG1180" s="5" t="n"/>
      <c r="FH1180" s="5" t="n"/>
      <c r="FI1180" s="5" t="n"/>
      <c r="FJ1180" s="5" t="n"/>
      <c r="FK1180" s="5" t="n"/>
      <c r="FL1180" s="5" t="n"/>
      <c r="FM1180" s="5" t="n"/>
      <c r="FN1180" s="5" t="n"/>
      <c r="FO1180" s="5" t="n"/>
      <c r="FP1180" s="5" t="n"/>
      <c r="FQ1180" s="5" t="n"/>
      <c r="FR1180" s="5" t="n"/>
      <c r="FS1180" s="5" t="n"/>
      <c r="FT1180" s="5" t="n"/>
      <c r="FU1180" s="5" t="n"/>
      <c r="FV1180" s="5" t="n"/>
      <c r="FW1180" s="5" t="n"/>
      <c r="FX1180" s="5" t="n"/>
      <c r="FY1180" s="5" t="n"/>
      <c r="FZ1180" s="5" t="n"/>
      <c r="GA1180" s="5" t="n"/>
      <c r="GB1180" s="5" t="n"/>
      <c r="GC1180" s="5" t="n"/>
      <c r="GD1180" s="5" t="n"/>
      <c r="GE1180" s="5" t="n"/>
      <c r="GF1180" s="5" t="n"/>
      <c r="GG1180" s="5" t="n"/>
      <c r="GH1180" s="5" t="n"/>
      <c r="GI1180" s="5" t="n"/>
      <c r="GJ1180" s="5" t="n"/>
      <c r="GK1180" s="5" t="n"/>
      <c r="GL1180" s="5" t="n"/>
      <c r="GM1180" s="5" t="n"/>
      <c r="GN1180" s="5" t="n"/>
      <c r="GO1180" s="5" t="n"/>
      <c r="GP1180" s="5" t="n"/>
      <c r="GQ1180" s="5" t="n"/>
      <c r="GR1180" s="5" t="n"/>
      <c r="GS1180" s="5" t="n"/>
      <c r="GT1180" s="5" t="n"/>
      <c r="GU1180" s="5" t="n"/>
      <c r="GV1180" s="5" t="n"/>
      <c r="GW1180" s="5" t="n"/>
      <c r="GX1180" s="5" t="n"/>
      <c r="GY1180" s="5" t="n"/>
      <c r="GZ1180" s="5" t="n"/>
      <c r="HA1180" s="5" t="n"/>
      <c r="HB1180" s="5" t="n"/>
      <c r="HC1180" s="5" t="n"/>
      <c r="HD1180" s="5" t="n"/>
      <c r="HE1180" s="5" t="n"/>
      <c r="HF1180" s="5" t="n"/>
      <c r="HG1180" s="5" t="n"/>
      <c r="HH1180" s="5" t="n"/>
      <c r="HI1180" s="5" t="n"/>
      <c r="HJ1180" s="5" t="n"/>
      <c r="HK1180" s="5" t="n"/>
      <c r="HL1180" s="5" t="n"/>
      <c r="HM1180" s="5" t="n"/>
      <c r="HN1180" s="5" t="n"/>
      <c r="HO1180" s="5" t="n"/>
      <c r="HP1180" s="5" t="n"/>
      <c r="HQ1180" s="5" t="n"/>
      <c r="HR1180" s="5" t="n"/>
      <c r="HS1180" s="5" t="n"/>
      <c r="HT1180" s="5" t="n"/>
      <c r="HU1180" s="5" t="n"/>
      <c r="HV1180" s="5" t="n"/>
    </row>
    <row r="1181">
      <c r="A1181" s="19" t="inlineStr">
        <is>
          <t>mit.gdpn.all.lcu</t>
        </is>
      </c>
      <c r="B1181" s="3" t="inlineStr">
        <is>
          <t>mit</t>
        </is>
      </c>
      <c r="C1181" s="19" t="n"/>
      <c r="H1181" s="3" t="inlineStr">
        <is>
          <t xml:space="preserve">Nominal GDP (local currency, USD) | All sectors | </t>
        </is>
      </c>
      <c r="I1181" s="3" t="inlineStr">
        <is>
          <t>bn nominal (LCU or USD, by row)</t>
        </is>
      </c>
      <c r="K1181" s="20" t="inlineStr">
        <is>
          <t>egy.mit.gdpn.all.lcu.1</t>
        </is>
      </c>
      <c r="L1181" s="22" t="n">
        <v>7842.5</v>
      </c>
      <c r="M1181" s="22" t="n">
        <v>10155.5</v>
      </c>
      <c r="N1181" s="22" t="n">
        <v>13902.57</v>
      </c>
      <c r="O1181" s="22" t="n">
        <v>18136.3</v>
      </c>
      <c r="P1181" s="22" t="n">
        <v>21282.837794</v>
      </c>
      <c r="Q1181" s="22" t="n">
        <v>24832.633296</v>
      </c>
      <c r="R1181" s="22" t="n">
        <v>28382.772973</v>
      </c>
      <c r="S1181" s="22" t="n">
        <v>31810.495731</v>
      </c>
      <c r="T1181" s="22" t="n">
        <v>35221.975951</v>
      </c>
      <c r="U1181" s="22" t="n">
        <v>38906.90358</v>
      </c>
      <c r="V1181" s="22" t="n">
        <v>43079.42994070266</v>
      </c>
      <c r="W1181" s="22" t="n">
        <v>47699.43411713436</v>
      </c>
      <c r="X1181" s="22" t="n">
        <v>52814.90535567961</v>
      </c>
      <c r="Y1181" s="22" t="n">
        <v>58478.9794545465</v>
      </c>
      <c r="Z1181" s="22" t="n">
        <v>64750.49069982882</v>
      </c>
      <c r="AA1181" s="22" t="n">
        <v>71694.58299331965</v>
      </c>
      <c r="AB1181" s="22" t="n">
        <v>79383.38652002814</v>
      </c>
      <c r="AC1181" s="22" t="n">
        <v>87896.76698412999</v>
      </c>
      <c r="AD1181" s="22" t="n">
        <v>97323.15519587013</v>
      </c>
      <c r="AE1181" s="22" t="n">
        <v>107760.4656265637</v>
      </c>
      <c r="AG1181" s="20" t="inlineStr">
        <is>
          <t>egy.mit.gdpn.all.lcu.3</t>
        </is>
      </c>
      <c r="AH1181" s="22" t="n">
        <v>7842.5</v>
      </c>
      <c r="AI1181" s="22" t="n">
        <v>10155.5</v>
      </c>
      <c r="AJ1181" s="22" t="n">
        <v>13902.57</v>
      </c>
      <c r="AK1181" s="22" t="n">
        <v>18136.3</v>
      </c>
      <c r="AL1181" s="22" t="n">
        <v>21282.837794</v>
      </c>
      <c r="AM1181" s="22" t="n">
        <v>24832.633296</v>
      </c>
      <c r="AN1181" s="22" t="n">
        <v>28382.772973</v>
      </c>
      <c r="AO1181" s="22" t="n">
        <v>31810.495731</v>
      </c>
      <c r="AP1181" s="22" t="n">
        <v>35221.975951</v>
      </c>
      <c r="AQ1181" s="22" t="n">
        <v>38906.90358</v>
      </c>
      <c r="AR1181" s="22" t="n">
        <v>43079.42994070266</v>
      </c>
      <c r="AS1181" s="22" t="n">
        <v>47699.43411713436</v>
      </c>
      <c r="AT1181" s="22" t="n">
        <v>52814.90535567961</v>
      </c>
      <c r="AU1181" s="22" t="n">
        <v>58478.9794545465</v>
      </c>
      <c r="AV1181" s="22" t="n">
        <v>64750.49069982882</v>
      </c>
      <c r="AW1181" s="22" t="n">
        <v>71694.58299331965</v>
      </c>
      <c r="AX1181" s="22" t="n">
        <v>79383.38652002814</v>
      </c>
      <c r="AY1181" s="22" t="n">
        <v>87896.76698412999</v>
      </c>
      <c r="AZ1181" s="22" t="n">
        <v>97323.15519587013</v>
      </c>
      <c r="BA1181" s="22" t="n">
        <v>107760.4656265637</v>
      </c>
      <c r="BC1181" s="20" t="inlineStr">
        <is>
          <t>egy.mit.gdpn.all.lcu.4</t>
        </is>
      </c>
      <c r="BD1181" s="22" t="n">
        <v>7842.5</v>
      </c>
      <c r="BE1181" s="22" t="n">
        <v>10155.5</v>
      </c>
      <c r="BF1181" s="22" t="n">
        <v>13902.57</v>
      </c>
      <c r="BG1181" s="22" t="n">
        <v>18136.3</v>
      </c>
      <c r="BH1181" s="22" t="n">
        <v>21282.837794</v>
      </c>
      <c r="BI1181" s="22" t="n">
        <v>24832.633296</v>
      </c>
      <c r="BJ1181" s="22" t="n">
        <v>28382.772973</v>
      </c>
      <c r="BK1181" s="22" t="n">
        <v>31810.495731</v>
      </c>
      <c r="BL1181" s="22" t="n">
        <v>35221.975951</v>
      </c>
      <c r="BM1181" s="22" t="n">
        <v>38906.90358</v>
      </c>
      <c r="BN1181" s="22" t="n">
        <v>43079.42994070266</v>
      </c>
      <c r="BO1181" s="22" t="n">
        <v>47699.43411713436</v>
      </c>
      <c r="BP1181" s="22" t="n">
        <v>52814.90535567961</v>
      </c>
      <c r="BQ1181" s="22" t="n">
        <v>58478.9794545465</v>
      </c>
      <c r="BR1181" s="22" t="n">
        <v>64750.49069982882</v>
      </c>
      <c r="BS1181" s="22" t="n">
        <v>71694.58299331965</v>
      </c>
      <c r="BT1181" s="22" t="n">
        <v>79383.38652002814</v>
      </c>
      <c r="BU1181" s="22" t="n">
        <v>87896.76698412999</v>
      </c>
      <c r="BV1181" s="22" t="n">
        <v>97323.15519587013</v>
      </c>
      <c r="BW1181" s="22" t="n">
        <v>107760.4656265637</v>
      </c>
      <c r="BY1181" s="20" t="inlineStr">
        <is>
          <t>egy.mit.gdpn.all.lcu.5</t>
        </is>
      </c>
      <c r="BZ1181" s="22" t="n">
        <v>7842.5</v>
      </c>
      <c r="CA1181" s="22" t="n">
        <v>10155.5</v>
      </c>
      <c r="CB1181" s="22" t="n">
        <v>13902.57</v>
      </c>
      <c r="CC1181" s="22" t="n">
        <v>18136.3</v>
      </c>
      <c r="CD1181" s="22" t="n">
        <v>21282.837794</v>
      </c>
      <c r="CE1181" s="22" t="n">
        <v>24832.633296</v>
      </c>
      <c r="CF1181" s="22" t="n">
        <v>28382.772973</v>
      </c>
      <c r="CG1181" s="22" t="n">
        <v>31810.495731</v>
      </c>
      <c r="CH1181" s="22" t="n">
        <v>35221.975951</v>
      </c>
      <c r="CI1181" s="22" t="n">
        <v>38906.90358</v>
      </c>
      <c r="CJ1181" s="22" t="n">
        <v>43079.42994070266</v>
      </c>
      <c r="CK1181" s="22" t="n">
        <v>47699.43411713436</v>
      </c>
      <c r="CL1181" s="22" t="n">
        <v>52814.90535567961</v>
      </c>
      <c r="CM1181" s="22" t="n">
        <v>58478.9794545465</v>
      </c>
      <c r="CN1181" s="22" t="n">
        <v>64750.49069982882</v>
      </c>
      <c r="CO1181" s="22" t="n">
        <v>71694.58299331965</v>
      </c>
      <c r="CP1181" s="22" t="n">
        <v>79383.38652002814</v>
      </c>
      <c r="CQ1181" s="22" t="n">
        <v>87896.76698412999</v>
      </c>
      <c r="CR1181" s="22" t="n">
        <v>97323.15519587013</v>
      </c>
      <c r="CS1181" s="22" t="n">
        <v>107760.4656265637</v>
      </c>
      <c r="CU1181" s="20" t="inlineStr">
        <is>
          <t>egy.mit.gdpn.all.lcu.6</t>
        </is>
      </c>
      <c r="CV1181" s="22" t="n">
        <v>7842.5</v>
      </c>
      <c r="CW1181" s="22" t="n">
        <v>10155.5</v>
      </c>
      <c r="CX1181" s="22" t="n">
        <v>13902.57</v>
      </c>
      <c r="CY1181" s="22" t="n">
        <v>18136.3</v>
      </c>
      <c r="CZ1181" s="22" t="n">
        <v>21282.837794</v>
      </c>
      <c r="DA1181" s="22" t="n">
        <v>24832.633296</v>
      </c>
      <c r="DB1181" s="22" t="n">
        <v>28382.772973</v>
      </c>
      <c r="DC1181" s="22" t="n">
        <v>31810.495731</v>
      </c>
      <c r="DD1181" s="22" t="n">
        <v>35221.975951</v>
      </c>
      <c r="DE1181" s="22" t="n">
        <v>38906.90358</v>
      </c>
      <c r="DF1181" s="22" t="n">
        <v>43079.42994070266</v>
      </c>
      <c r="DG1181" s="22" t="n">
        <v>47699.43411713436</v>
      </c>
      <c r="DH1181" s="22" t="n">
        <v>52814.90535567961</v>
      </c>
      <c r="DI1181" s="22" t="n">
        <v>58478.9794545465</v>
      </c>
      <c r="DJ1181" s="22" t="n">
        <v>64750.49069982882</v>
      </c>
      <c r="DK1181" s="22" t="n">
        <v>71694.58299331965</v>
      </c>
      <c r="DL1181" s="22" t="n">
        <v>79383.38652002814</v>
      </c>
      <c r="DM1181" s="22" t="n">
        <v>87896.76698412999</v>
      </c>
      <c r="DN1181" s="22" t="n">
        <v>97323.15519587013</v>
      </c>
      <c r="DO1181" s="22" t="n">
        <v>107760.4656265637</v>
      </c>
    </row>
    <row r="1182">
      <c r="A1182" s="19" t="inlineStr">
        <is>
          <t>mit.gdpn.all.usd</t>
        </is>
      </c>
      <c r="B1182" s="3" t="inlineStr">
        <is>
          <t>mit</t>
        </is>
      </c>
      <c r="C1182" s="19" t="n"/>
      <c r="H1182" s="3" t="inlineStr">
        <is>
          <t xml:space="preserve">Nominal GDP (local currency, USD) | All sectors | </t>
        </is>
      </c>
      <c r="I1182" s="3" t="inlineStr">
        <is>
          <t>bn nominal (LCU or USD, by row)</t>
        </is>
      </c>
      <c r="K1182" s="20" t="inlineStr">
        <is>
          <t>egy.mit.gdpn.all.usd.1</t>
        </is>
      </c>
      <c r="L1182" s="22" t="n">
        <v>475.231026</v>
      </c>
      <c r="M1182" s="22" t="n">
        <v>393.827559</v>
      </c>
      <c r="N1182" s="22" t="n">
        <v>383.105243</v>
      </c>
      <c r="O1182" s="22" t="n">
        <v>364.640362</v>
      </c>
      <c r="P1182" s="22" t="n">
        <v>429.645296</v>
      </c>
      <c r="Q1182" s="22" t="n">
        <v>457.074772</v>
      </c>
      <c r="R1182" s="22" t="n">
        <v>508.469781</v>
      </c>
      <c r="S1182" s="22" t="n">
        <v>560.081367</v>
      </c>
      <c r="T1182" s="22" t="n">
        <v>610.981924</v>
      </c>
      <c r="U1182" s="22" t="n">
        <v>665.59464</v>
      </c>
      <c r="V1182" s="22" t="n">
        <v>736.9755756540525</v>
      </c>
      <c r="W1182" s="22" t="n">
        <v>816.0116780847604</v>
      </c>
      <c r="X1182" s="22" t="n">
        <v>903.5239168947419</v>
      </c>
      <c r="Y1182" s="22" t="n">
        <v>1000.421305632369</v>
      </c>
      <c r="Z1182" s="22" t="n">
        <v>1107.710343963999</v>
      </c>
      <c r="AA1182" s="22" t="n">
        <v>1226.505472461161</v>
      </c>
      <c r="AB1182" s="22" t="n">
        <v>1358.040648599438</v>
      </c>
      <c r="AC1182" s="22" t="n">
        <v>1503.6821642121</v>
      </c>
      <c r="AD1182" s="22" t="n">
        <v>1664.942837536889</v>
      </c>
      <c r="AE1182" s="22" t="n">
        <v>1843.497727272624</v>
      </c>
      <c r="AG1182" s="20" t="inlineStr">
        <is>
          <t>egy.mit.gdpn.all.usd.3</t>
        </is>
      </c>
      <c r="AH1182" s="22" t="n">
        <v>475.231026</v>
      </c>
      <c r="AI1182" s="22" t="n">
        <v>393.827559</v>
      </c>
      <c r="AJ1182" s="22" t="n">
        <v>383.105243</v>
      </c>
      <c r="AK1182" s="22" t="n">
        <v>364.640362</v>
      </c>
      <c r="AL1182" s="22" t="n">
        <v>429.645296</v>
      </c>
      <c r="AM1182" s="22" t="n">
        <v>457.074772</v>
      </c>
      <c r="AN1182" s="22" t="n">
        <v>508.469781</v>
      </c>
      <c r="AO1182" s="22" t="n">
        <v>560.081367</v>
      </c>
      <c r="AP1182" s="22" t="n">
        <v>610.981924</v>
      </c>
      <c r="AQ1182" s="22" t="n">
        <v>665.59464</v>
      </c>
      <c r="AR1182" s="22" t="n">
        <v>736.9755756540525</v>
      </c>
      <c r="AS1182" s="22" t="n">
        <v>816.0116780847604</v>
      </c>
      <c r="AT1182" s="22" t="n">
        <v>903.5239168947419</v>
      </c>
      <c r="AU1182" s="22" t="n">
        <v>1000.421305632369</v>
      </c>
      <c r="AV1182" s="22" t="n">
        <v>1107.710343963999</v>
      </c>
      <c r="AW1182" s="22" t="n">
        <v>1226.505472461161</v>
      </c>
      <c r="AX1182" s="22" t="n">
        <v>1358.040648599438</v>
      </c>
      <c r="AY1182" s="22" t="n">
        <v>1503.6821642121</v>
      </c>
      <c r="AZ1182" s="22" t="n">
        <v>1664.942837536889</v>
      </c>
      <c r="BA1182" s="22" t="n">
        <v>1843.497727272624</v>
      </c>
      <c r="BC1182" s="20" t="inlineStr">
        <is>
          <t>egy.mit.gdpn.all.usd.4</t>
        </is>
      </c>
      <c r="BD1182" s="22" t="n">
        <v>475.231026</v>
      </c>
      <c r="BE1182" s="22" t="n">
        <v>393.827559</v>
      </c>
      <c r="BF1182" s="22" t="n">
        <v>383.105243</v>
      </c>
      <c r="BG1182" s="22" t="n">
        <v>364.640362</v>
      </c>
      <c r="BH1182" s="22" t="n">
        <v>429.645296</v>
      </c>
      <c r="BI1182" s="22" t="n">
        <v>457.074772</v>
      </c>
      <c r="BJ1182" s="22" t="n">
        <v>508.469781</v>
      </c>
      <c r="BK1182" s="22" t="n">
        <v>560.081367</v>
      </c>
      <c r="BL1182" s="22" t="n">
        <v>610.981924</v>
      </c>
      <c r="BM1182" s="22" t="n">
        <v>665.59464</v>
      </c>
      <c r="BN1182" s="22" t="n">
        <v>736.9755756540525</v>
      </c>
      <c r="BO1182" s="22" t="n">
        <v>816.0116780847604</v>
      </c>
      <c r="BP1182" s="22" t="n">
        <v>903.5239168947419</v>
      </c>
      <c r="BQ1182" s="22" t="n">
        <v>1000.421305632369</v>
      </c>
      <c r="BR1182" s="22" t="n">
        <v>1107.710343963999</v>
      </c>
      <c r="BS1182" s="22" t="n">
        <v>1226.505472461161</v>
      </c>
      <c r="BT1182" s="22" t="n">
        <v>1358.040648599438</v>
      </c>
      <c r="BU1182" s="22" t="n">
        <v>1503.6821642121</v>
      </c>
      <c r="BV1182" s="22" t="n">
        <v>1664.942837536889</v>
      </c>
      <c r="BW1182" s="22" t="n">
        <v>1843.497727272624</v>
      </c>
      <c r="BY1182" s="20" t="inlineStr">
        <is>
          <t>egy.mit.gdpn.all.usd.5</t>
        </is>
      </c>
      <c r="BZ1182" s="22" t="n">
        <v>475.231026</v>
      </c>
      <c r="CA1182" s="22" t="n">
        <v>393.827559</v>
      </c>
      <c r="CB1182" s="22" t="n">
        <v>383.105243</v>
      </c>
      <c r="CC1182" s="22" t="n">
        <v>364.640362</v>
      </c>
      <c r="CD1182" s="22" t="n">
        <v>429.645296</v>
      </c>
      <c r="CE1182" s="22" t="n">
        <v>457.074772</v>
      </c>
      <c r="CF1182" s="22" t="n">
        <v>508.469781</v>
      </c>
      <c r="CG1182" s="22" t="n">
        <v>560.081367</v>
      </c>
      <c r="CH1182" s="22" t="n">
        <v>610.981924</v>
      </c>
      <c r="CI1182" s="22" t="n">
        <v>665.59464</v>
      </c>
      <c r="CJ1182" s="22" t="n">
        <v>736.9755756540525</v>
      </c>
      <c r="CK1182" s="22" t="n">
        <v>816.0116780847604</v>
      </c>
      <c r="CL1182" s="22" t="n">
        <v>903.5239168947419</v>
      </c>
      <c r="CM1182" s="22" t="n">
        <v>1000.421305632369</v>
      </c>
      <c r="CN1182" s="22" t="n">
        <v>1107.710343963999</v>
      </c>
      <c r="CO1182" s="22" t="n">
        <v>1226.505472461161</v>
      </c>
      <c r="CP1182" s="22" t="n">
        <v>1358.040648599438</v>
      </c>
      <c r="CQ1182" s="22" t="n">
        <v>1503.6821642121</v>
      </c>
      <c r="CR1182" s="22" t="n">
        <v>1664.942837536889</v>
      </c>
      <c r="CS1182" s="22" t="n">
        <v>1843.497727272624</v>
      </c>
      <c r="CU1182" s="20" t="inlineStr">
        <is>
          <t>egy.mit.gdpn.all.usd.6</t>
        </is>
      </c>
      <c r="CV1182" s="22" t="n">
        <v>475.231026</v>
      </c>
      <c r="CW1182" s="22" t="n">
        <v>393.827559</v>
      </c>
      <c r="CX1182" s="22" t="n">
        <v>383.105243</v>
      </c>
      <c r="CY1182" s="22" t="n">
        <v>364.640362</v>
      </c>
      <c r="CZ1182" s="22" t="n">
        <v>429.645296</v>
      </c>
      <c r="DA1182" s="22" t="n">
        <v>457.074772</v>
      </c>
      <c r="DB1182" s="22" t="n">
        <v>508.469781</v>
      </c>
      <c r="DC1182" s="22" t="n">
        <v>560.081367</v>
      </c>
      <c r="DD1182" s="22" t="n">
        <v>610.981924</v>
      </c>
      <c r="DE1182" s="22" t="n">
        <v>665.59464</v>
      </c>
      <c r="DF1182" s="22" t="n">
        <v>736.9755756540525</v>
      </c>
      <c r="DG1182" s="22" t="n">
        <v>816.0116780847604</v>
      </c>
      <c r="DH1182" s="22" t="n">
        <v>903.5239168947419</v>
      </c>
      <c r="DI1182" s="22" t="n">
        <v>1000.421305632369</v>
      </c>
      <c r="DJ1182" s="22" t="n">
        <v>1107.710343963999</v>
      </c>
      <c r="DK1182" s="22" t="n">
        <v>1226.505472461161</v>
      </c>
      <c r="DL1182" s="22" t="n">
        <v>1358.040648599438</v>
      </c>
      <c r="DM1182" s="22" t="n">
        <v>1503.6821642121</v>
      </c>
      <c r="DN1182" s="22" t="n">
        <v>1664.942837536889</v>
      </c>
      <c r="DO1182" s="22" t="n">
        <v>1843.497727272624</v>
      </c>
    </row>
    <row r="1183">
      <c r="A1183" s="19" t="inlineStr">
        <is>
          <t>mit.scc.all.nat</t>
        </is>
      </c>
      <c r="B1183" s="3" t="inlineStr">
        <is>
          <t>mit</t>
        </is>
      </c>
      <c r="C1183" s="19" t="n"/>
      <c r="H1183" s="3" t="inlineStr">
        <is>
          <t xml:space="preserve">Social cost of carbon: target-consistent, Ricke national and global, manual, US EPA; selected national and global | All sectors | </t>
        </is>
      </c>
      <c r="I1183" s="3" t="inlineStr">
        <is>
          <t>USD/tCO2 real</t>
        </is>
      </c>
      <c r="K1183" s="20" t="inlineStr">
        <is>
          <t>egy.mit.scc.all.nat.1</t>
        </is>
      </c>
      <c r="L1183" s="22" t="n">
        <v>54.80176537514879</v>
      </c>
      <c r="M1183" s="22" t="n">
        <v>56.99383599015474</v>
      </c>
      <c r="N1183" s="22" t="n">
        <v>59.27358942976094</v>
      </c>
      <c r="O1183" s="22" t="n">
        <v>61.64453300695138</v>
      </c>
      <c r="P1183" s="22" t="n">
        <v>64.11031432722943</v>
      </c>
      <c r="Q1183" s="22" t="n">
        <v>66.6747269003186</v>
      </c>
      <c r="R1183" s="22" t="n">
        <v>69.34171597633136</v>
      </c>
      <c r="S1183" s="22" t="n">
        <v>72.11538461538461</v>
      </c>
      <c r="T1183" s="22" t="n">
        <v>75</v>
      </c>
      <c r="U1183" s="22" t="n">
        <v>78</v>
      </c>
      <c r="V1183" s="22" t="n">
        <v>81.12</v>
      </c>
      <c r="W1183" s="22" t="n">
        <v>84.3648</v>
      </c>
      <c r="X1183" s="22" t="n">
        <v>87.73939200000001</v>
      </c>
      <c r="Y1183" s="22" t="n">
        <v>91.24896768000001</v>
      </c>
      <c r="Z1183" s="22" t="n">
        <v>94.89892638720002</v>
      </c>
      <c r="AA1183" s="22" t="n">
        <v>98.69488344268802</v>
      </c>
      <c r="AB1183" s="22" t="n">
        <v>102.6426787803955</v>
      </c>
      <c r="AC1183" s="22" t="n">
        <v>106.7483859316114</v>
      </c>
      <c r="AD1183" s="22" t="n">
        <v>111.0183213688758</v>
      </c>
      <c r="AE1183" s="22" t="n">
        <v>115.4590542236309</v>
      </c>
      <c r="AG1183" s="20" t="inlineStr">
        <is>
          <t>egy.mit.scc.all.nat.3</t>
        </is>
      </c>
      <c r="AH1183" s="22" t="n">
        <v>54.80176537514879</v>
      </c>
      <c r="AI1183" s="22" t="n">
        <v>56.99383599015474</v>
      </c>
      <c r="AJ1183" s="22" t="n">
        <v>59.27358942976094</v>
      </c>
      <c r="AK1183" s="22" t="n">
        <v>61.64453300695138</v>
      </c>
      <c r="AL1183" s="22" t="n">
        <v>64.11031432722943</v>
      </c>
      <c r="AM1183" s="22" t="n">
        <v>66.6747269003186</v>
      </c>
      <c r="AN1183" s="22" t="n">
        <v>69.34171597633136</v>
      </c>
      <c r="AO1183" s="22" t="n">
        <v>72.11538461538461</v>
      </c>
      <c r="AP1183" s="22" t="n">
        <v>75</v>
      </c>
      <c r="AQ1183" s="22" t="n">
        <v>78</v>
      </c>
      <c r="AR1183" s="22" t="n">
        <v>81.12</v>
      </c>
      <c r="AS1183" s="22" t="n">
        <v>84.3648</v>
      </c>
      <c r="AT1183" s="22" t="n">
        <v>87.73939200000001</v>
      </c>
      <c r="AU1183" s="22" t="n">
        <v>91.24896768000001</v>
      </c>
      <c r="AV1183" s="22" t="n">
        <v>94.89892638720002</v>
      </c>
      <c r="AW1183" s="22" t="n">
        <v>98.69488344268802</v>
      </c>
      <c r="AX1183" s="22" t="n">
        <v>102.6426787803955</v>
      </c>
      <c r="AY1183" s="22" t="n">
        <v>106.7483859316114</v>
      </c>
      <c r="AZ1183" s="22" t="n">
        <v>111.0183213688758</v>
      </c>
      <c r="BA1183" s="22" t="n">
        <v>115.4590542236309</v>
      </c>
      <c r="BC1183" s="20" t="inlineStr">
        <is>
          <t>egy.mit.scc.all.nat.4</t>
        </is>
      </c>
      <c r="BD1183" s="22" t="n">
        <v>54.80176537514879</v>
      </c>
      <c r="BE1183" s="22" t="n">
        <v>56.99383599015474</v>
      </c>
      <c r="BF1183" s="22" t="n">
        <v>59.27358942976094</v>
      </c>
      <c r="BG1183" s="22" t="n">
        <v>61.64453300695138</v>
      </c>
      <c r="BH1183" s="22" t="n">
        <v>64.11031432722943</v>
      </c>
      <c r="BI1183" s="22" t="n">
        <v>66.6747269003186</v>
      </c>
      <c r="BJ1183" s="22" t="n">
        <v>69.34171597633136</v>
      </c>
      <c r="BK1183" s="22" t="n">
        <v>72.11538461538461</v>
      </c>
      <c r="BL1183" s="22" t="n">
        <v>75</v>
      </c>
      <c r="BM1183" s="22" t="n">
        <v>78</v>
      </c>
      <c r="BN1183" s="22" t="n">
        <v>81.12</v>
      </c>
      <c r="BO1183" s="22" t="n">
        <v>84.3648</v>
      </c>
      <c r="BP1183" s="22" t="n">
        <v>87.73939200000001</v>
      </c>
      <c r="BQ1183" s="22" t="n">
        <v>91.24896768000001</v>
      </c>
      <c r="BR1183" s="22" t="n">
        <v>94.89892638720002</v>
      </c>
      <c r="BS1183" s="22" t="n">
        <v>98.69488344268802</v>
      </c>
      <c r="BT1183" s="22" t="n">
        <v>102.6426787803955</v>
      </c>
      <c r="BU1183" s="22" t="n">
        <v>106.7483859316114</v>
      </c>
      <c r="BV1183" s="22" t="n">
        <v>111.0183213688758</v>
      </c>
      <c r="BW1183" s="22" t="n">
        <v>115.4590542236309</v>
      </c>
      <c r="BY1183" s="20" t="inlineStr">
        <is>
          <t>egy.mit.scc.all.nat.5</t>
        </is>
      </c>
      <c r="BZ1183" s="22" t="n">
        <v>54.80176537514879</v>
      </c>
      <c r="CA1183" s="22" t="n">
        <v>56.99383599015474</v>
      </c>
      <c r="CB1183" s="22" t="n">
        <v>59.27358942976094</v>
      </c>
      <c r="CC1183" s="22" t="n">
        <v>61.64453300695138</v>
      </c>
      <c r="CD1183" s="22" t="n">
        <v>64.11031432722943</v>
      </c>
      <c r="CE1183" s="22" t="n">
        <v>66.6747269003186</v>
      </c>
      <c r="CF1183" s="22" t="n">
        <v>69.34171597633136</v>
      </c>
      <c r="CG1183" s="22" t="n">
        <v>72.11538461538461</v>
      </c>
      <c r="CH1183" s="22" t="n">
        <v>75</v>
      </c>
      <c r="CI1183" s="22" t="n">
        <v>78</v>
      </c>
      <c r="CJ1183" s="22" t="n">
        <v>81.12</v>
      </c>
      <c r="CK1183" s="22" t="n">
        <v>84.3648</v>
      </c>
      <c r="CL1183" s="22" t="n">
        <v>87.73939200000001</v>
      </c>
      <c r="CM1183" s="22" t="n">
        <v>91.24896768000001</v>
      </c>
      <c r="CN1183" s="22" t="n">
        <v>94.89892638720002</v>
      </c>
      <c r="CO1183" s="22" t="n">
        <v>98.69488344268802</v>
      </c>
      <c r="CP1183" s="22" t="n">
        <v>102.6426787803955</v>
      </c>
      <c r="CQ1183" s="22" t="n">
        <v>106.7483859316114</v>
      </c>
      <c r="CR1183" s="22" t="n">
        <v>111.0183213688758</v>
      </c>
      <c r="CS1183" s="22" t="n">
        <v>115.4590542236309</v>
      </c>
      <c r="CU1183" s="20" t="inlineStr">
        <is>
          <t>egy.mit.scc.all.nat.6</t>
        </is>
      </c>
      <c r="CV1183" s="22" t="n">
        <v>54.80176537514879</v>
      </c>
      <c r="CW1183" s="22" t="n">
        <v>56.99383599015474</v>
      </c>
      <c r="CX1183" s="22" t="n">
        <v>59.27358942976094</v>
      </c>
      <c r="CY1183" s="22" t="n">
        <v>61.64453300695138</v>
      </c>
      <c r="CZ1183" s="22" t="n">
        <v>64.11031432722943</v>
      </c>
      <c r="DA1183" s="22" t="n">
        <v>66.6747269003186</v>
      </c>
      <c r="DB1183" s="22" t="n">
        <v>69.34171597633136</v>
      </c>
      <c r="DC1183" s="22" t="n">
        <v>72.11538461538461</v>
      </c>
      <c r="DD1183" s="22" t="n">
        <v>75</v>
      </c>
      <c r="DE1183" s="22" t="n">
        <v>78</v>
      </c>
      <c r="DF1183" s="22" t="n">
        <v>81.12</v>
      </c>
      <c r="DG1183" s="22" t="n">
        <v>84.3648</v>
      </c>
      <c r="DH1183" s="22" t="n">
        <v>87.73939200000001</v>
      </c>
      <c r="DI1183" s="22" t="n">
        <v>91.24896768000001</v>
      </c>
      <c r="DJ1183" s="22" t="n">
        <v>94.89892638720002</v>
      </c>
      <c r="DK1183" s="22" t="n">
        <v>98.69488344268802</v>
      </c>
      <c r="DL1183" s="22" t="n">
        <v>102.6426787803955</v>
      </c>
      <c r="DM1183" s="22" t="n">
        <v>106.7483859316114</v>
      </c>
      <c r="DN1183" s="22" t="n">
        <v>111.0183213688758</v>
      </c>
      <c r="DO1183" s="22" t="n">
        <v>115.4590542236309</v>
      </c>
    </row>
    <row r="1184">
      <c r="A1184" s="19" t="inlineStr">
        <is>
          <t>mit.mfc.tot.tot</t>
        </is>
      </c>
      <c r="B1184" s="3" t="inlineStr">
        <is>
          <t>mit</t>
        </is>
      </c>
      <c r="C1184" s="19" t="n"/>
      <c r="H1184" s="3" t="inlineStr">
        <is>
          <t>Efficiency cost of the methane fee: area under the abatement curve | All sectors | All fuels</t>
        </is>
      </c>
      <c r="I1184" s="3" t="inlineStr">
        <is>
          <t>USD bn real</t>
        </is>
      </c>
      <c r="K1184" s="20" t="inlineStr">
        <is>
          <t>egy.mit.mfc.tot.tot.1</t>
        </is>
      </c>
      <c r="L1184" s="30" t="n">
        <v>0</v>
      </c>
      <c r="M1184" s="30" t="n">
        <v>0</v>
      </c>
      <c r="N1184" s="30" t="n">
        <v>0</v>
      </c>
      <c r="O1184" s="30" t="n">
        <v>0</v>
      </c>
      <c r="P1184" s="30" t="n">
        <v>0</v>
      </c>
      <c r="Q1184" s="30" t="n">
        <v>0</v>
      </c>
      <c r="R1184" s="30" t="n">
        <v>0</v>
      </c>
      <c r="S1184" s="30" t="n">
        <v>0</v>
      </c>
      <c r="T1184" s="30" t="n">
        <v>0</v>
      </c>
      <c r="U1184" s="30" t="n">
        <v>0</v>
      </c>
      <c r="V1184" s="30" t="n">
        <v>0</v>
      </c>
      <c r="W1184" s="30" t="n">
        <v>0</v>
      </c>
      <c r="X1184" s="30" t="n">
        <v>0</v>
      </c>
      <c r="Y1184" s="30" t="n">
        <v>0</v>
      </c>
      <c r="Z1184" s="30" t="n">
        <v>0</v>
      </c>
      <c r="AA1184" s="30" t="n">
        <v>0</v>
      </c>
      <c r="AB1184" s="30" t="n">
        <v>0</v>
      </c>
      <c r="AC1184" s="30" t="n">
        <v>0</v>
      </c>
      <c r="AD1184" s="30" t="n">
        <v>0</v>
      </c>
      <c r="AE1184" s="30" t="n">
        <v>0</v>
      </c>
      <c r="AG1184" s="20" t="inlineStr">
        <is>
          <t>egy.mit.mfc.tot.tot.3</t>
        </is>
      </c>
      <c r="AH1184" s="30" t="n">
        <v>0</v>
      </c>
      <c r="AI1184" s="30" t="n">
        <v>0</v>
      </c>
      <c r="AJ1184" s="30" t="n">
        <v>0</v>
      </c>
      <c r="AK1184" s="30" t="n">
        <v>0</v>
      </c>
      <c r="AL1184" s="30" t="n">
        <v>0</v>
      </c>
      <c r="AM1184" s="30" t="n">
        <v>0</v>
      </c>
      <c r="AN1184" s="30" t="n">
        <v>0</v>
      </c>
      <c r="AO1184" s="30" t="n">
        <v>0</v>
      </c>
      <c r="AP1184" s="30" t="n">
        <v>0</v>
      </c>
      <c r="AQ1184" s="30" t="n">
        <v>0</v>
      </c>
      <c r="AR1184" s="30" t="n">
        <v>0</v>
      </c>
      <c r="AS1184" s="30" t="n">
        <v>0</v>
      </c>
      <c r="AT1184" s="30" t="n">
        <v>0</v>
      </c>
      <c r="AU1184" s="30" t="n">
        <v>0</v>
      </c>
      <c r="AV1184" s="30" t="n">
        <v>0</v>
      </c>
      <c r="AW1184" s="30" t="n">
        <v>0</v>
      </c>
      <c r="AX1184" s="30" t="n">
        <v>0</v>
      </c>
      <c r="AY1184" s="30" t="n">
        <v>0</v>
      </c>
      <c r="AZ1184" s="30" t="n">
        <v>0</v>
      </c>
      <c r="BA1184" s="30" t="n">
        <v>0</v>
      </c>
      <c r="BC1184" s="20" t="inlineStr">
        <is>
          <t>egy.mit.mfc.tot.tot.4</t>
        </is>
      </c>
      <c r="BD1184" s="30" t="n">
        <v>0</v>
      </c>
      <c r="BE1184" s="30" t="n">
        <v>0</v>
      </c>
      <c r="BF1184" s="30" t="n">
        <v>0</v>
      </c>
      <c r="BG1184" s="30" t="n">
        <v>0</v>
      </c>
      <c r="BH1184" s="30" t="n">
        <v>0</v>
      </c>
      <c r="BI1184" s="30" t="n">
        <v>0</v>
      </c>
      <c r="BJ1184" s="30" t="n">
        <v>0</v>
      </c>
      <c r="BK1184" s="30" t="n">
        <v>0</v>
      </c>
      <c r="BL1184" s="30" t="n">
        <v>0</v>
      </c>
      <c r="BM1184" s="30" t="n">
        <v>0</v>
      </c>
      <c r="BN1184" s="30" t="n">
        <v>0</v>
      </c>
      <c r="BO1184" s="30" t="n">
        <v>0</v>
      </c>
      <c r="BP1184" s="30" t="n">
        <v>0</v>
      </c>
      <c r="BQ1184" s="30" t="n">
        <v>0</v>
      </c>
      <c r="BR1184" s="30" t="n">
        <v>0</v>
      </c>
      <c r="BS1184" s="30" t="n">
        <v>0</v>
      </c>
      <c r="BT1184" s="30" t="n">
        <v>0</v>
      </c>
      <c r="BU1184" s="30" t="n">
        <v>0</v>
      </c>
      <c r="BV1184" s="30" t="n">
        <v>0</v>
      </c>
      <c r="BW1184" s="30" t="n">
        <v>0</v>
      </c>
      <c r="BY1184" s="20" t="inlineStr">
        <is>
          <t>egy.mit.mfc.tot.tot.5</t>
        </is>
      </c>
      <c r="BZ1184" s="30" t="n">
        <v>0</v>
      </c>
      <c r="CA1184" s="30" t="n">
        <v>0</v>
      </c>
      <c r="CB1184" s="30" t="n">
        <v>0</v>
      </c>
      <c r="CC1184" s="30" t="n">
        <v>0</v>
      </c>
      <c r="CD1184" s="30" t="n">
        <v>0</v>
      </c>
      <c r="CE1184" s="30" t="n">
        <v>0</v>
      </c>
      <c r="CF1184" s="30" t="n">
        <v>0</v>
      </c>
      <c r="CG1184" s="30" t="n">
        <v>0</v>
      </c>
      <c r="CH1184" s="30" t="n">
        <v>0</v>
      </c>
      <c r="CI1184" s="30" t="n">
        <v>0</v>
      </c>
      <c r="CJ1184" s="30" t="n">
        <v>0</v>
      </c>
      <c r="CK1184" s="30" t="n">
        <v>0</v>
      </c>
      <c r="CL1184" s="30" t="n">
        <v>0</v>
      </c>
      <c r="CM1184" s="30" t="n">
        <v>0</v>
      </c>
      <c r="CN1184" s="30" t="n">
        <v>0</v>
      </c>
      <c r="CO1184" s="30" t="n">
        <v>0</v>
      </c>
      <c r="CP1184" s="30" t="n">
        <v>0</v>
      </c>
      <c r="CQ1184" s="30" t="n">
        <v>0</v>
      </c>
      <c r="CR1184" s="30" t="n">
        <v>0</v>
      </c>
      <c r="CS1184" s="30" t="n">
        <v>0</v>
      </c>
      <c r="CU1184" s="20" t="inlineStr">
        <is>
          <t>egy.mit.mfc.tot.tot.6</t>
        </is>
      </c>
      <c r="CV1184" s="30" t="n">
        <v>0</v>
      </c>
      <c r="CW1184" s="30" t="n">
        <v>0</v>
      </c>
      <c r="CX1184" s="30" t="n">
        <v>0</v>
      </c>
      <c r="CY1184" s="30" t="n">
        <v>0</v>
      </c>
      <c r="CZ1184" s="30" t="n">
        <v>0</v>
      </c>
      <c r="DA1184" s="30" t="n">
        <v>0</v>
      </c>
      <c r="DB1184" s="30" t="n">
        <v>0</v>
      </c>
      <c r="DC1184" s="30" t="n">
        <v>0</v>
      </c>
      <c r="DD1184" s="30" t="n">
        <v>0</v>
      </c>
      <c r="DE1184" s="30" t="n">
        <v>0</v>
      </c>
      <c r="DF1184" s="30" t="n">
        <v>0</v>
      </c>
      <c r="DG1184" s="30" t="n">
        <v>0</v>
      </c>
      <c r="DH1184" s="30" t="n">
        <v>0</v>
      </c>
      <c r="DI1184" s="30" t="n">
        <v>0</v>
      </c>
      <c r="DJ1184" s="30" t="n">
        <v>0</v>
      </c>
      <c r="DK1184" s="30" t="n">
        <v>0</v>
      </c>
      <c r="DL1184" s="30" t="n">
        <v>0</v>
      </c>
      <c r="DM1184" s="30" t="n">
        <v>0</v>
      </c>
      <c r="DN1184" s="30" t="n">
        <v>0</v>
      </c>
      <c r="DO1184" s="30" t="n">
        <v>0</v>
      </c>
    </row>
    <row r="1185">
      <c r="A1185" s="19" t="inlineStr">
        <is>
          <t>mit.gdp.eff.tot.tot</t>
        </is>
      </c>
      <c r="B1185" s="3" t="inlineStr">
        <is>
          <t>mit</t>
        </is>
      </c>
      <c r="C1185" s="19" t="n"/>
      <c r="H1185" s="3" t="inlineStr">
        <is>
          <t>GDP effect of the revenue use (level, vs baseline) | All sectors | All fuels</t>
        </is>
      </c>
      <c r="I1185" s="3" t="inlineStr">
        <is>
          <t>share of GDP</t>
        </is>
      </c>
      <c r="K1185" s="20" t="inlineStr">
        <is>
          <t>egy.mit.gdp.eff.tot.tot.1</t>
        </is>
      </c>
      <c r="L1185" s="24" t="n">
        <v>0</v>
      </c>
      <c r="M1185" s="24" t="n">
        <v>0</v>
      </c>
      <c r="N1185" s="24" t="n">
        <v>0</v>
      </c>
      <c r="O1185" s="24" t="n">
        <v>0</v>
      </c>
      <c r="P1185" s="24" t="n">
        <v>0</v>
      </c>
      <c r="Q1185" s="24" t="n">
        <v>0</v>
      </c>
      <c r="R1185" s="24" t="n">
        <v>0</v>
      </c>
      <c r="S1185" s="24" t="n">
        <v>0</v>
      </c>
      <c r="T1185" s="24" t="n">
        <v>0</v>
      </c>
      <c r="U1185" s="24" t="n">
        <v>0</v>
      </c>
      <c r="V1185" s="24" t="n">
        <v>0</v>
      </c>
      <c r="W1185" s="24" t="n">
        <v>0</v>
      </c>
      <c r="X1185" s="24" t="n">
        <v>0</v>
      </c>
      <c r="Y1185" s="24" t="n">
        <v>0</v>
      </c>
      <c r="Z1185" s="24" t="n">
        <v>0</v>
      </c>
      <c r="AA1185" s="24" t="n">
        <v>0</v>
      </c>
      <c r="AB1185" s="24" t="n">
        <v>0</v>
      </c>
      <c r="AC1185" s="24" t="n">
        <v>0</v>
      </c>
      <c r="AD1185" s="24" t="n">
        <v>0</v>
      </c>
      <c r="AE1185" s="24" t="n">
        <v>0</v>
      </c>
      <c r="AG1185" s="20" t="inlineStr">
        <is>
          <t>egy.mit.gdp.eff.tot.tot.3</t>
        </is>
      </c>
      <c r="AH1185" s="24" t="n">
        <v>0</v>
      </c>
      <c r="AI1185" s="24" t="n">
        <v>0</v>
      </c>
      <c r="AJ1185" s="24" t="n">
        <v>0</v>
      </c>
      <c r="AK1185" s="24" t="n">
        <v>0</v>
      </c>
      <c r="AL1185" s="24" t="n">
        <v>5.920545255042248e-08</v>
      </c>
      <c r="AM1185" s="24" t="n">
        <v>-1.320177131271182e-07</v>
      </c>
      <c r="AN1185" s="24" t="n">
        <v>0.000592176758143826</v>
      </c>
      <c r="AO1185" s="24" t="n">
        <v>-0.0007522077228897062</v>
      </c>
      <c r="AP1185" s="24" t="n">
        <v>-0.0005198496352340488</v>
      </c>
      <c r="AQ1185" s="24" t="n">
        <v>-0.001057590043190572</v>
      </c>
      <c r="AR1185" s="24" t="n">
        <v>-0.0003514706117580995</v>
      </c>
      <c r="AS1185" s="24" t="n">
        <v>0.0009201829697531722</v>
      </c>
      <c r="AT1185" s="24" t="n">
        <v>0.001890254042487135</v>
      </c>
      <c r="AU1185" s="24" t="n">
        <v>0.003082947986599967</v>
      </c>
      <c r="AV1185" s="24" t="n">
        <v>0.004812875511570174</v>
      </c>
      <c r="AW1185" s="24" t="n">
        <v>0.005986050788263888</v>
      </c>
      <c r="AX1185" s="24" t="n">
        <v>0.006857416219637208</v>
      </c>
      <c r="AY1185" s="24" t="n">
        <v>0.007073134547996614</v>
      </c>
      <c r="AZ1185" s="24" t="n">
        <v>0.007105251902612198</v>
      </c>
      <c r="BA1185" s="24" t="n">
        <v>0.007166739527204131</v>
      </c>
      <c r="BC1185" s="20" t="inlineStr">
        <is>
          <t>egy.mit.gdp.eff.tot.tot.4</t>
        </is>
      </c>
      <c r="BD1185" s="24" t="n">
        <v>0</v>
      </c>
      <c r="BE1185" s="24" t="n">
        <v>0</v>
      </c>
      <c r="BF1185" s="24" t="n">
        <v>0</v>
      </c>
      <c r="BG1185" s="24" t="n">
        <v>0</v>
      </c>
      <c r="BH1185" s="24" t="n">
        <v>1.881248580920718e-07</v>
      </c>
      <c r="BI1185" s="24" t="n">
        <v>-4.215297985273708e-07</v>
      </c>
      <c r="BJ1185" s="24" t="n">
        <v>0.000335826199796902</v>
      </c>
      <c r="BK1185" s="24" t="n">
        <v>-7.689877491747572e-05</v>
      </c>
      <c r="BL1185" s="24" t="n">
        <v>-0.0004397132282217095</v>
      </c>
      <c r="BM1185" s="24" t="n">
        <v>-0.001072788339532562</v>
      </c>
      <c r="BN1185" s="24" t="n">
        <v>-0.001199118058612754</v>
      </c>
      <c r="BO1185" s="24" t="n">
        <v>-0.0004589758416166036</v>
      </c>
      <c r="BP1185" s="24" t="n">
        <v>0.0008483728330601478</v>
      </c>
      <c r="BQ1185" s="24" t="n">
        <v>0.002681096041931541</v>
      </c>
      <c r="BR1185" s="24" t="n">
        <v>0.005246481020818621</v>
      </c>
      <c r="BS1185" s="24" t="n">
        <v>0.008201569629191713</v>
      </c>
      <c r="BT1185" s="24" t="n">
        <v>0.0113295894169808</v>
      </c>
      <c r="BU1185" s="24" t="n">
        <v>0.0141585748453713</v>
      </c>
      <c r="BV1185" s="24" t="n">
        <v>0.01658902025963389</v>
      </c>
      <c r="BW1185" s="24" t="n">
        <v>0.01875000788299816</v>
      </c>
      <c r="BY1185" s="20" t="inlineStr">
        <is>
          <t>egy.mit.gdp.eff.tot.tot.5</t>
        </is>
      </c>
      <c r="BZ1185" s="24" t="n">
        <v>0</v>
      </c>
      <c r="CA1185" s="24" t="n">
        <v>0</v>
      </c>
      <c r="CB1185" s="24" t="n">
        <v>0</v>
      </c>
      <c r="CC1185" s="24" t="n">
        <v>0</v>
      </c>
      <c r="CD1185" s="24" t="n">
        <v>3.132498660013579e-07</v>
      </c>
      <c r="CE1185" s="24" t="n">
        <v>-7.630393820508991e-07</v>
      </c>
      <c r="CF1185" s="24" t="n">
        <v>0.0005036829855802113</v>
      </c>
      <c r="CG1185" s="24" t="n">
        <v>-0.0007578449241221252</v>
      </c>
      <c r="CH1185" s="24" t="n">
        <v>-0.0002605619004071762</v>
      </c>
      <c r="CI1185" s="24" t="n">
        <v>-0.000865389714274051</v>
      </c>
      <c r="CJ1185" s="24" t="n">
        <v>-7.193629421757422e-05</v>
      </c>
      <c r="CK1185" s="24" t="n">
        <v>0.0007698552063476952</v>
      </c>
      <c r="CL1185" s="24" t="n">
        <v>0.001411236014743195</v>
      </c>
      <c r="CM1185" s="24" t="n">
        <v>0.002272657403203599</v>
      </c>
      <c r="CN1185" s="24" t="n">
        <v>0.003536855869046324</v>
      </c>
      <c r="CO1185" s="24" t="n">
        <v>0.004295414248600797</v>
      </c>
      <c r="CP1185" s="24" t="n">
        <v>0.004935838716424073</v>
      </c>
      <c r="CQ1185" s="24" t="n">
        <v>0.005060835850085283</v>
      </c>
      <c r="CR1185" s="24" t="n">
        <v>0.005242892781890899</v>
      </c>
      <c r="CS1185" s="24" t="n">
        <v>0.005455802991254088</v>
      </c>
      <c r="CU1185" s="20" t="inlineStr">
        <is>
          <t>egy.mit.gdp.eff.tot.tot.6</t>
        </is>
      </c>
      <c r="CV1185" s="24" t="n">
        <v>0</v>
      </c>
      <c r="CW1185" s="24" t="n">
        <v>0</v>
      </c>
      <c r="CX1185" s="24" t="n">
        <v>0</v>
      </c>
      <c r="CY1185" s="24" t="n">
        <v>0</v>
      </c>
      <c r="CZ1185" s="24" t="n">
        <v>1.345218464216424e-07</v>
      </c>
      <c r="DA1185" s="24" t="n">
        <v>-3.010195227830797e-07</v>
      </c>
      <c r="DB1185" s="24" t="n">
        <v>0.00126789754109709</v>
      </c>
      <c r="DC1185" s="24" t="n">
        <v>-0.001656133126351531</v>
      </c>
      <c r="DD1185" s="24" t="n">
        <v>-0.001025933654128223</v>
      </c>
      <c r="DE1185" s="24" t="n">
        <v>-0.002273187837007043</v>
      </c>
      <c r="DF1185" s="24" t="n">
        <v>-0.000671389126517501</v>
      </c>
      <c r="DG1185" s="24" t="n">
        <v>0.001940011609375594</v>
      </c>
      <c r="DH1185" s="24" t="n">
        <v>0.003981114086975972</v>
      </c>
      <c r="DI1185" s="24" t="n">
        <v>0.006477364479910847</v>
      </c>
      <c r="DJ1185" s="24" t="n">
        <v>0.0101285957626884</v>
      </c>
      <c r="DK1185" s="24" t="n">
        <v>0.01255966933990656</v>
      </c>
      <c r="DL1185" s="24" t="n">
        <v>0.01441885172639409</v>
      </c>
      <c r="DM1185" s="24" t="n">
        <v>0.01488472848458831</v>
      </c>
      <c r="DN1185" s="24" t="n">
        <v>0.01500619459242533</v>
      </c>
      <c r="DO1185" s="24" t="n">
        <v>0.01519079403550731</v>
      </c>
    </row>
    <row r="1186">
      <c r="A1186" s="19" t="inlineStr">
        <is>
          <t>mit.gdp.chg.usd.all.all</t>
        </is>
      </c>
      <c r="B1186" s="3" t="inlineStr">
        <is>
          <t>mit</t>
        </is>
      </c>
      <c r="C1186" s="19" t="n"/>
      <c r="H1186" s="3" t="inlineStr">
        <is>
          <t>Change in real GDP level against the baseline (memo) | All sectors | All fuels</t>
        </is>
      </c>
      <c r="I1186" s="3" t="inlineStr">
        <is>
          <t>USD bn</t>
        </is>
      </c>
      <c r="K1186" s="20" t="inlineStr">
        <is>
          <t>egy.mit.gdp.chg.usd.all.all.1</t>
        </is>
      </c>
      <c r="L1186" s="22" t="n">
        <v>0</v>
      </c>
      <c r="M1186" s="22" t="n">
        <v>0</v>
      </c>
      <c r="N1186" s="22" t="n">
        <v>0</v>
      </c>
      <c r="O1186" s="22" t="n">
        <v>0</v>
      </c>
      <c r="P1186" s="22" t="n">
        <v>0</v>
      </c>
      <c r="Q1186" s="22" t="n">
        <v>0</v>
      </c>
      <c r="R1186" s="22" t="n">
        <v>0</v>
      </c>
      <c r="S1186" s="22" t="n">
        <v>0</v>
      </c>
      <c r="T1186" s="22" t="n">
        <v>0</v>
      </c>
      <c r="U1186" s="22" t="n">
        <v>0</v>
      </c>
      <c r="V1186" s="22" t="n">
        <v>0</v>
      </c>
      <c r="W1186" s="22" t="n">
        <v>0</v>
      </c>
      <c r="X1186" s="22" t="n">
        <v>0</v>
      </c>
      <c r="Y1186" s="22" t="n">
        <v>0</v>
      </c>
      <c r="Z1186" s="22" t="n">
        <v>0</v>
      </c>
      <c r="AA1186" s="22" t="n">
        <v>0</v>
      </c>
      <c r="AB1186" s="22" t="n">
        <v>0</v>
      </c>
      <c r="AC1186" s="22" t="n">
        <v>0</v>
      </c>
      <c r="AD1186" s="22" t="n">
        <v>0</v>
      </c>
      <c r="AE1186" s="22" t="n">
        <v>0</v>
      </c>
      <c r="AG1186" s="20" t="inlineStr">
        <is>
          <t>egy.mit.gdp.chg.usd.all.all.3</t>
        </is>
      </c>
      <c r="AH1186" s="22" t="n">
        <v>0</v>
      </c>
      <c r="AI1186" s="22" t="n">
        <v>0</v>
      </c>
      <c r="AJ1186" s="22" t="n">
        <v>0</v>
      </c>
      <c r="AK1186" s="22" t="n">
        <v>0</v>
      </c>
      <c r="AL1186" s="22" t="n">
        <v>0</v>
      </c>
      <c r="AM1186" s="22" t="n">
        <v>3.924969701074588e-05</v>
      </c>
      <c r="AN1186" s="22" t="n">
        <v>-9.236440212134767e-05</v>
      </c>
      <c r="AO1186" s="22" t="n">
        <v>0.4359627056492172</v>
      </c>
      <c r="AP1186" s="22" t="n">
        <v>-0.580591343995593</v>
      </c>
      <c r="AQ1186" s="22" t="n">
        <v>-0.4204604144144923</v>
      </c>
      <c r="AR1186" s="22" t="n">
        <v>-0.8958989511570508</v>
      </c>
      <c r="AS1186" s="22" t="n">
        <v>-0.3116768794307063</v>
      </c>
      <c r="AT1186" s="22" t="n">
        <v>0.8537744121176729</v>
      </c>
      <c r="AU1186" s="22" t="n">
        <v>1.834095137169811</v>
      </c>
      <c r="AV1186" s="22" t="n">
        <v>3.126654377106888</v>
      </c>
      <c r="AW1186" s="22" t="n">
        <v>5.099286871968388</v>
      </c>
      <c r="AX1186" s="22" t="n">
        <v>6.622399572833274</v>
      </c>
      <c r="AY1186" s="22" t="n">
        <v>7.917436319120952</v>
      </c>
      <c r="AZ1186" s="22" t="n">
        <v>8.518514713878403</v>
      </c>
      <c r="BA1186" s="22" t="n">
        <v>8.921502877716875</v>
      </c>
      <c r="BC1186" s="20" t="inlineStr">
        <is>
          <t>egy.mit.gdp.chg.usd.all.all.4</t>
        </is>
      </c>
      <c r="BD1186" s="22" t="n">
        <v>0</v>
      </c>
      <c r="BE1186" s="22" t="n">
        <v>0</v>
      </c>
      <c r="BF1186" s="22" t="n">
        <v>0</v>
      </c>
      <c r="BG1186" s="22" t="n">
        <v>0</v>
      </c>
      <c r="BH1186" s="22" t="n">
        <v>0</v>
      </c>
      <c r="BI1186" s="22" t="n">
        <v>0.0001247156023964635</v>
      </c>
      <c r="BJ1186" s="22" t="n">
        <v>-0.0002949176055153657</v>
      </c>
      <c r="BK1186" s="22" t="n">
        <v>0.247236482482549</v>
      </c>
      <c r="BL1186" s="22" t="n">
        <v>-0.05935430031138367</v>
      </c>
      <c r="BM1186" s="22" t="n">
        <v>-0.3556451589666949</v>
      </c>
      <c r="BN1186" s="22" t="n">
        <v>-0.9087736352937554</v>
      </c>
      <c r="BO1186" s="22" t="n">
        <v>-1.063353128467725</v>
      </c>
      <c r="BP1186" s="22" t="n">
        <v>-0.4258520775031229</v>
      </c>
      <c r="BQ1186" s="22" t="n">
        <v>0.8231679195750985</v>
      </c>
      <c r="BR1186" s="22" t="n">
        <v>2.719105450816983</v>
      </c>
      <c r="BS1186" s="22" t="n">
        <v>5.558695987290093</v>
      </c>
      <c r="BT1186" s="22" t="n">
        <v>9.073439756877633</v>
      </c>
      <c r="BU1186" s="22" t="n">
        <v>13.08091850599021</v>
      </c>
      <c r="BV1186" s="22" t="n">
        <v>17.05184983113395</v>
      </c>
      <c r="BW1186" s="22" t="n">
        <v>20.82952075638786</v>
      </c>
      <c r="BY1186" s="20" t="inlineStr">
        <is>
          <t>egy.mit.gdp.chg.usd.all.all.5</t>
        </is>
      </c>
      <c r="BZ1186" s="22" t="n">
        <v>0</v>
      </c>
      <c r="CA1186" s="22" t="n">
        <v>0</v>
      </c>
      <c r="CB1186" s="22" t="n">
        <v>0</v>
      </c>
      <c r="CC1186" s="22" t="n">
        <v>0</v>
      </c>
      <c r="CD1186" s="22" t="n">
        <v>0</v>
      </c>
      <c r="CE1186" s="22" t="n">
        <v>0.0002076660476859615</v>
      </c>
      <c r="CF1186" s="22" t="n">
        <v>-0.0005338501531468864</v>
      </c>
      <c r="CG1186" s="22" t="n">
        <v>0.3708132650651805</v>
      </c>
      <c r="CH1186" s="22" t="n">
        <v>-0.5849424163659478</v>
      </c>
      <c r="CI1186" s="22" t="n">
        <v>-0.2107454871570553</v>
      </c>
      <c r="CJ1186" s="22" t="n">
        <v>-0.7330834309117336</v>
      </c>
      <c r="CK1186" s="22" t="n">
        <v>-0.06379161998029304</v>
      </c>
      <c r="CL1186" s="22" t="n">
        <v>0.714295632304129</v>
      </c>
      <c r="CM1186" s="22" t="n">
        <v>1.369308597607073</v>
      </c>
      <c r="CN1186" s="22" t="n">
        <v>2.304876452109056</v>
      </c>
      <c r="CO1186" s="22" t="n">
        <v>3.747332059122527</v>
      </c>
      <c r="CP1186" s="22" t="n">
        <v>4.752039448252845</v>
      </c>
      <c r="CQ1186" s="22" t="n">
        <v>5.698821169237135</v>
      </c>
      <c r="CR1186" s="22" t="n">
        <v>6.095007010107793</v>
      </c>
      <c r="CS1186" s="22" t="n">
        <v>6.58308581909705</v>
      </c>
      <c r="CU1186" s="20" t="inlineStr">
        <is>
          <t>egy.mit.gdp.chg.usd.all.all.6</t>
        </is>
      </c>
      <c r="CV1186" s="22" t="n">
        <v>0</v>
      </c>
      <c r="CW1186" s="22" t="n">
        <v>0</v>
      </c>
      <c r="CX1186" s="22" t="n">
        <v>0</v>
      </c>
      <c r="CY1186" s="22" t="n">
        <v>0</v>
      </c>
      <c r="CZ1186" s="22" t="n">
        <v>0</v>
      </c>
      <c r="DA1186" s="22" t="n">
        <v>8.91799907094537e-05</v>
      </c>
      <c r="DB1186" s="22" t="n">
        <v>-0.0002106042257992158</v>
      </c>
      <c r="DC1186" s="22" t="n">
        <v>0.9334308293952063</v>
      </c>
      <c r="DD1186" s="22" t="n">
        <v>-1.278285942040043</v>
      </c>
      <c r="DE1186" s="22" t="n">
        <v>-0.8297870386737713</v>
      </c>
      <c r="DF1186" s="22" t="n">
        <v>-1.925648423101165</v>
      </c>
      <c r="DG1186" s="22" t="n">
        <v>-0.5953740109023329</v>
      </c>
      <c r="DH1186" s="22" t="n">
        <v>1.800003179520218</v>
      </c>
      <c r="DI1186" s="22" t="n">
        <v>3.862836329572474</v>
      </c>
      <c r="DJ1186" s="22" t="n">
        <v>6.569192893054833</v>
      </c>
      <c r="DK1186" s="22" t="n">
        <v>10.73134247499002</v>
      </c>
      <c r="DL1186" s="22" t="n">
        <v>13.89482846263127</v>
      </c>
      <c r="DM1186" s="22" t="n">
        <v>16.64771929865606</v>
      </c>
      <c r="DN1186" s="22" t="n">
        <v>17.92639143899305</v>
      </c>
      <c r="DO1186" s="22" t="n">
        <v>18.84209174775083</v>
      </c>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2:AI200"/>
  <sheetViews>
    <sheetView tabSelected="0" zoomScale="80" workbookViewId="0">
      <pane xSplit="3" ySplit="15" topLeftCell="D16" activePane="bottomRight" state="frozen"/>
      <selection pane="topRight"/>
      <selection pane="bottomLeft"/>
      <selection pane="bottomRight" activeCell="A1" sqref="A1"/>
    </sheetView>
  </sheetViews>
  <sheetFormatPr baseColWidth="8" defaultColWidth="10.14" defaultRowHeight="15"/>
  <cols>
    <col hidden="1" width="8" customWidth="1" min="1" max="1"/>
    <col width="44" customWidth="1" min="2" max="2"/>
    <col width="16"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s>
  <sheetData>
    <row r="2">
      <c r="A2" s="1" t="inlineStr">
        <is>
          <t>CompareStored: the stored scenarios against the first slot (the baseline)</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row>
    <row r="3">
      <c r="A3" s="3" t="inlineStr">
        <is>
          <t>Reads StoredScenarios (values). Choose the year; F9 recalculates. Indicator of each time series: the dropdown in its title.</t>
        </is>
      </c>
    </row>
    <row r="5">
      <c r="B5" s="12" t="inlineStr">
        <is>
          <t>Year</t>
        </is>
      </c>
      <c r="C5" s="31" t="n">
        <v>2030</v>
      </c>
    </row>
    <row r="10" hidden="1">
      <c r="B10" s="32" t="inlineStr">
        <is>
          <t>Position of the year in a slot</t>
        </is>
      </c>
      <c r="C10" s="33">
        <f>MATCH($C$5,SCYear,0)</f>
        <v>9.0</v>
      </c>
    </row>
    <row r="11" hidden="1">
      <c r="B11" s="32" t="inlineStr">
        <is>
          <t>Column of the slot on StoredScenarios</t>
        </is>
      </c>
      <c r="D11" s="33" t="n">
        <v>11</v>
      </c>
      <c r="E11" s="33" t="n">
        <v>33</v>
      </c>
      <c r="F11" s="33" t="n">
        <v>55</v>
      </c>
      <c r="G11" s="33" t="n">
        <v>77</v>
      </c>
      <c r="H11" s="33" t="n">
        <v>99</v>
      </c>
      <c r="I11" s="33" t="n">
        <v>121</v>
      </c>
      <c r="J11" s="33" t="n">
        <v>143</v>
      </c>
      <c r="K11" s="33" t="n">
        <v>165</v>
      </c>
      <c r="L11" s="33" t="n">
        <v>187</v>
      </c>
      <c r="M11" s="33" t="n">
        <v>209</v>
      </c>
    </row>
    <row r="13">
      <c r="C13" s="12" t="inlineStr">
        <is>
          <t>Scenario ID</t>
        </is>
      </c>
      <c r="D13" s="34">
        <f>IF(INDEX(SSScen,D$11)="","",INDEX(SSScen,D$11))</f>
        <v>1.0</v>
      </c>
      <c r="E13" s="35">
        <f>IF(INDEX(SSScen,E$11)="","",INDEX(SSScen,E$11))</f>
        <v>3.0</v>
      </c>
      <c r="F13" s="35">
        <f>IF(INDEX(SSScen,F$11)="","",INDEX(SSScen,F$11))</f>
        <v>4.0</v>
      </c>
      <c r="G13" s="35">
        <f>IF(INDEX(SSScen,G$11)="","",INDEX(SSScen,G$11))</f>
        <v>5.0</v>
      </c>
      <c r="H13" s="35">
        <f>IF(INDEX(SSScen,H$11)="","",INDEX(SSScen,H$11))</f>
        <v>6.0</v>
      </c>
      <c r="I13" s="35" t="str">
        <f>IF(INDEX(SSScen,I$11)="","",INDEX(SSScen,I$11))</f>
        <v/>
      </c>
      <c r="J13" s="35" t="str">
        <f>IF(INDEX(SSScen,J$11)="","",INDEX(SSScen,J$11))</f>
        <v/>
      </c>
      <c r="K13" s="35" t="str">
        <f>IF(INDEX(SSScen,K$11)="","",INDEX(SSScen,K$11))</f>
        <v/>
      </c>
      <c r="L13" s="35" t="str">
        <f>IF(INDEX(SSScen,L$11)="","",INDEX(SSScen,L$11))</f>
        <v/>
      </c>
      <c r="M13" s="35" t="str">
        <f>IF(INDEX(SSScen,M$11)="","",INDEX(SSScen,M$11))</f>
        <v/>
      </c>
    </row>
    <row r="14">
      <c r="C14" s="12" t="inlineStr">
        <is>
          <t>Slot</t>
        </is>
      </c>
      <c r="D14" s="36" t="str">
        <f>IF(D$13="","","S1: "&amp;D$13)</f>
        <v>S1: 1</v>
      </c>
      <c r="E14" s="12" t="str">
        <f>IF(E$13="","","S2: "&amp;E$13)</f>
        <v>S2: 3</v>
      </c>
      <c r="F14" s="12" t="str">
        <f>IF(F$13="","","S3: "&amp;F$13)</f>
        <v>S3: 4</v>
      </c>
      <c r="G14" s="12" t="str">
        <f>IF(G$13="","","S4: "&amp;G$13)</f>
        <v>S4: 5</v>
      </c>
      <c r="H14" s="12" t="str">
        <f>IF(H$13="","","S5: "&amp;H$13)</f>
        <v>S5: 6</v>
      </c>
      <c r="I14" s="12" t="str">
        <f>IF(I$13="","","S6: "&amp;I$13)</f>
        <v/>
      </c>
      <c r="J14" s="12" t="str">
        <f>IF(J$13="","","S7: "&amp;J$13)</f>
        <v/>
      </c>
      <c r="K14" s="12" t="str">
        <f>IF(K$13="","","S8: "&amp;K$13)</f>
        <v/>
      </c>
      <c r="L14" s="12" t="str">
        <f>IF(L$13="","","S9: "&amp;L$13)</f>
        <v/>
      </c>
      <c r="M14" s="12" t="str">
        <f>IF(M$13="","","S10: "&amp;M$13)</f>
        <v/>
      </c>
    </row>
    <row r="15" ht="54" customHeight="1">
      <c r="C15" s="12" t="inlineStr">
        <is>
          <t>Scenario</t>
        </is>
      </c>
      <c r="D15" s="8" t="str">
        <f>IF(D$13="","",INDEX(SSName,D$11+1))</f>
        <v>Baseline (no carbon price)</v>
      </c>
      <c r="E15" s="8" t="str">
        <f>IF(E$13="","",INDEX(SSName,E$11+1))</f>
        <v>Carbon price $20/tCO2 from 2027</v>
      </c>
      <c r="F15" s="8" t="str">
        <f>IF(F$13="","",INDEX(SSName,F$11+1))</f>
        <v>Package A: carbon tax to $50 by 2030 + feebates (transport, industry)</v>
      </c>
      <c r="G15" s="8" t="str">
        <f>IF(G$13="","",INDEX(SSName,G$11+1))</f>
        <v>Package B: ETS on power and industry (cap -5% 2027 to -20% 2035) + carbon tax $25 elsewhere</v>
      </c>
      <c r="H15" s="8" t="str">
        <f>IF(H$13="","",INDEX(SSName,H$11+1))</f>
        <v>Carbon price $50/tCO2 from 2027</v>
      </c>
      <c r="I15" s="8" t="str">
        <f>IF(I$13="","",INDEX(SSName,I$11+1))</f>
        <v/>
      </c>
      <c r="J15" s="8" t="str">
        <f>IF(J$13="","",INDEX(SSName,J$11+1))</f>
        <v/>
      </c>
      <c r="K15" s="8" t="str">
        <f>IF(K$13="","",INDEX(SSName,K$11+1))</f>
        <v/>
      </c>
      <c r="L15" s="8" t="str">
        <f>IF(L$13="","",INDEX(SSName,L$11+1))</f>
        <v/>
      </c>
      <c r="M15" s="8" t="str">
        <f>IF(M$13="","",INDEX(SSName,M$11+1))</f>
        <v/>
      </c>
    </row>
    <row r="17">
      <c r="A17" s="5" t="n"/>
      <c r="B17" s="18" t="inlineStr">
        <is>
          <t>Key results in the chosen year: level, difference and % difference vs the first slot</t>
        </is>
      </c>
      <c r="C17" s="5" t="n"/>
      <c r="D17" s="5" t="n"/>
      <c r="E17" s="5" t="n"/>
      <c r="F17" s="5" t="n"/>
      <c r="G17" s="5" t="n"/>
      <c r="H17" s="5" t="n"/>
      <c r="I17" s="5" t="n"/>
      <c r="J17" s="5" t="n"/>
      <c r="K17" s="5" t="n"/>
      <c r="L17" s="5" t="n"/>
      <c r="M17" s="5" t="n"/>
    </row>
    <row r="18">
      <c r="A18" s="32" t="inlineStr">
        <is>
          <t>mit.co2.tot.tot</t>
        </is>
      </c>
      <c r="B18" s="12" t="inlineStr">
        <is>
          <t>Energy CO2 emissions</t>
        </is>
      </c>
      <c r="C18" s="3" t="str">
        <f>IFERROR(INDEX(SSUnit,MATCH($A18,SSStem,0)),"")</f>
        <v>MtCO2</v>
      </c>
      <c r="D18" s="37">
        <f>IF(D$13="","",IFERROR(INDEX(SSAll,MATCH($A18,SSStem,0),MATCH(D$13,SSScen,0)+SCYc),""))</f>
        <v>294.1593592216437</v>
      </c>
      <c r="E18" s="38">
        <f>IF(E$13="","",IFERROR(INDEX(SSAll,MATCH($A18,SSStem,0),MATCH(E$13,SSScen,0)+SCYc),""))</f>
        <v>259.8969914220162</v>
      </c>
      <c r="F18" s="38">
        <f>IF(F$13="","",IFERROR(INDEX(SSAll,MATCH($A18,SSStem,0),MATCH(F$13,SSScen,0)+SCYc),""))</f>
        <v>220.283224145941</v>
      </c>
      <c r="G18" s="38">
        <f>IF(G$13="","",IFERROR(INDEX(SSAll,MATCH($A18,SSStem,0),MATCH(G$13,SSScen,0)+SCYc),""))</f>
        <v>263.9446050223305</v>
      </c>
      <c r="H18" s="38">
        <f>IF(H$13="","",IFERROR(INDEX(SSAll,MATCH($A18,SSStem,0),MATCH(H$13,SSScen,0)+SCYc),""))</f>
        <v>222.0540513077268</v>
      </c>
      <c r="I18" s="38" t="str">
        <f>IF(I$13="","",IFERROR(INDEX(SSAll,MATCH($A18,SSStem,0),MATCH(I$13,SSScen,0)+SCYc),""))</f>
        <v/>
      </c>
      <c r="J18" s="38" t="str">
        <f>IF(J$13="","",IFERROR(INDEX(SSAll,MATCH($A18,SSStem,0),MATCH(J$13,SSScen,0)+SCYc),""))</f>
        <v/>
      </c>
      <c r="K18" s="38" t="str">
        <f>IF(K$13="","",IFERROR(INDEX(SSAll,MATCH($A18,SSStem,0),MATCH(K$13,SSScen,0)+SCYc),""))</f>
        <v/>
      </c>
      <c r="L18" s="38" t="str">
        <f>IF(L$13="","",IFERROR(INDEX(SSAll,MATCH($A18,SSStem,0),MATCH(L$13,SSScen,0)+SCYc),""))</f>
        <v/>
      </c>
      <c r="M18" s="38" t="str">
        <f>IF(M$13="","",IFERROR(INDEX(SSAll,MATCH($A18,SSStem,0),MATCH(M$13,SSScen,0)+SCYc),""))</f>
        <v/>
      </c>
    </row>
    <row r="19">
      <c r="A19" s="32" t="inlineStr">
        <is>
          <t>mit.co2.tot.tot</t>
        </is>
      </c>
      <c r="B19" s="3" t="inlineStr">
        <is>
          <t xml:space="preserve">  difference vs the first slot</t>
        </is>
      </c>
      <c r="C19" s="3" t="str">
        <f>IFERROR(INDEX(SSUnit,MATCH($A19,SSStem,0)),"")</f>
        <v>MtCO2</v>
      </c>
      <c r="D19" s="39">
        <f>IF(OR(D18="",$D18=""),"",D18-$D18)</f>
        <v>0.0</v>
      </c>
      <c r="E19" s="22">
        <f>IF(OR(E18="",$D18=""),"",E18-$D18)</f>
        <v>-34.2623677996275</v>
      </c>
      <c r="F19" s="22">
        <f>IF(OR(F18="",$D18=""),"",F18-$D18)</f>
        <v>-73.87613507570268</v>
      </c>
      <c r="G19" s="22">
        <f>IF(OR(G18="",$D18=""),"",G18-$D18)</f>
        <v>-30.214754199313177</v>
      </c>
      <c r="H19" s="22">
        <f>IF(OR(H18="",$D18=""),"",H18-$D18)</f>
        <v>-72.10530791391687</v>
      </c>
      <c r="I19" s="22" t="str">
        <f>IF(OR(I18="",$D18=""),"",I18-$D18)</f>
        <v/>
      </c>
      <c r="J19" s="22" t="str">
        <f>IF(OR(J18="",$D18=""),"",J18-$D18)</f>
        <v/>
      </c>
      <c r="K19" s="22" t="str">
        <f>IF(OR(K18="",$D18=""),"",K18-$D18)</f>
        <v/>
      </c>
      <c r="L19" s="22" t="str">
        <f>IF(OR(L18="",$D18=""),"",L18-$D18)</f>
        <v/>
      </c>
      <c r="M19" s="22" t="str">
        <f>IF(OR(M18="",$D18=""),"",M18-$D18)</f>
        <v/>
      </c>
    </row>
    <row r="20">
      <c r="A20" s="32" t="inlineStr">
        <is>
          <t>mit.co2.tot.tot</t>
        </is>
      </c>
      <c r="B20" s="40" t="inlineStr">
        <is>
          <t xml:space="preserve">  % difference vs the first slot</t>
        </is>
      </c>
      <c r="C20" s="40" t="inlineStr">
        <is>
          <t>%</t>
        </is>
      </c>
      <c r="D20" s="41">
        <f>IF(OR(D18="",N($D18)=0),"",D18/$D18-1)</f>
        <v>0.0</v>
      </c>
      <c r="E20" s="42">
        <f>IF(OR(E18="",N($D18)=0),"",E18/$D18-1)</f>
        <v>-0.11647553180115355</v>
      </c>
      <c r="F20" s="42">
        <f>IF(OR(F18="",N($D18)=0),"",F18/$D18-1)</f>
        <v>-0.2511432417828948</v>
      </c>
      <c r="G20" s="42">
        <f>IF(OR(G18="",N($D18)=0),"",G18/$D18-1)</f>
        <v>-0.10271559701266186</v>
      </c>
      <c r="H20" s="42">
        <f>IF(OR(H18="",N($D18)=0),"",H18/$D18-1)</f>
        <v>-0.24512328319149912</v>
      </c>
      <c r="I20" s="42" t="str">
        <f>IF(OR(I18="",N($D18)=0),"",I18/$D18-1)</f>
        <v/>
      </c>
      <c r="J20" s="42" t="str">
        <f>IF(OR(J18="",N($D18)=0),"",J18/$D18-1)</f>
        <v/>
      </c>
      <c r="K20" s="42" t="str">
        <f>IF(OR(K18="",N($D18)=0),"",K18/$D18-1)</f>
        <v/>
      </c>
      <c r="L20" s="42" t="str">
        <f>IF(OR(L18="",N($D18)=0),"",L18/$D18-1)</f>
        <v/>
      </c>
      <c r="M20" s="42" t="str">
        <f>IF(OR(M18="",N($D18)=0),"",M18/$D18-1)</f>
        <v/>
      </c>
    </row>
    <row r="21">
      <c r="A21" s="32" t="inlineStr">
        <is>
          <t>mit.ghg.tot.tot</t>
        </is>
      </c>
      <c r="B21" s="12" t="inlineStr">
        <is>
          <t>GHG emissions excluding LULUCF</t>
        </is>
      </c>
      <c r="C21" s="3" t="str">
        <f>IFERROR(INDEX(SSUnit,MATCH($A21,SSStem,0)),"")</f>
        <v>Mt CO2e</v>
      </c>
      <c r="D21" s="37">
        <f>IF(D$13="","",IFERROR(INDEX(SSAll,MATCH($A21,SSStem,0),MATCH(D$13,SSScen,0)+SCYc),""))</f>
        <v>535.2750476722754</v>
      </c>
      <c r="E21" s="38">
        <f>IF(E$13="","",IFERROR(INDEX(SSAll,MATCH($A21,SSStem,0),MATCH(E$13,SSScen,0)+SCYc),""))</f>
        <v>489.4711104157711</v>
      </c>
      <c r="F21" s="38">
        <f>IF(F$13="","",IFERROR(INDEX(SSAll,MATCH($A21,SSStem,0),MATCH(F$13,SSScen,0)+SCYc),""))</f>
        <v>436.4654320931255</v>
      </c>
      <c r="G21" s="38">
        <f>IF(G$13="","",IFERROR(INDEX(SSAll,MATCH($A21,SSStem,0),MATCH(G$13,SSScen,0)+SCYc),""))</f>
        <v>491.4911128557998</v>
      </c>
      <c r="H21" s="38">
        <f>IF(H$13="","",IFERROR(INDEX(SSAll,MATCH($A21,SSStem,0),MATCH(H$13,SSScen,0)+SCYc),""))</f>
        <v>440.4445836216061</v>
      </c>
      <c r="I21" s="38" t="str">
        <f>IF(I$13="","",IFERROR(INDEX(SSAll,MATCH($A21,SSStem,0),MATCH(I$13,SSScen,0)+SCYc),""))</f>
        <v/>
      </c>
      <c r="J21" s="38" t="str">
        <f>IF(J$13="","",IFERROR(INDEX(SSAll,MATCH($A21,SSStem,0),MATCH(J$13,SSScen,0)+SCYc),""))</f>
        <v/>
      </c>
      <c r="K21" s="38" t="str">
        <f>IF(K$13="","",IFERROR(INDEX(SSAll,MATCH($A21,SSStem,0),MATCH(K$13,SSScen,0)+SCYc),""))</f>
        <v/>
      </c>
      <c r="L21" s="38" t="str">
        <f>IF(L$13="","",IFERROR(INDEX(SSAll,MATCH($A21,SSStem,0),MATCH(L$13,SSScen,0)+SCYc),""))</f>
        <v/>
      </c>
      <c r="M21" s="38" t="str">
        <f>IF(M$13="","",IFERROR(INDEX(SSAll,MATCH($A21,SSStem,0),MATCH(M$13,SSScen,0)+SCYc),""))</f>
        <v/>
      </c>
    </row>
    <row r="22">
      <c r="A22" s="32" t="inlineStr">
        <is>
          <t>mit.ghg.tot.tot</t>
        </is>
      </c>
      <c r="B22" s="3" t="inlineStr">
        <is>
          <t xml:space="preserve">  difference vs the first slot</t>
        </is>
      </c>
      <c r="C22" s="3" t="str">
        <f>IFERROR(INDEX(SSUnit,MATCH($A22,SSStem,0)),"")</f>
        <v>Mt CO2e</v>
      </c>
      <c r="D22" s="39">
        <f>IF(OR(D21="",$D21=""),"",D21-$D21)</f>
        <v>0.0</v>
      </c>
      <c r="E22" s="22">
        <f>IF(OR(E21="",$D21=""),"",E21-$D21)</f>
        <v>-45.8039372565043</v>
      </c>
      <c r="F22" s="22">
        <f>IF(OR(F21="",$D21=""),"",F21-$D21)</f>
        <v>-98.80961557914986</v>
      </c>
      <c r="G22" s="22">
        <f>IF(OR(G21="",$D21=""),"",G21-$D21)</f>
        <v>-43.78393481647555</v>
      </c>
      <c r="H22" s="22">
        <f>IF(OR(H21="",$D21=""),"",H21-$D21)</f>
        <v>-94.83046405066926</v>
      </c>
      <c r="I22" s="22" t="str">
        <f>IF(OR(I21="",$D21=""),"",I21-$D21)</f>
        <v/>
      </c>
      <c r="J22" s="22" t="str">
        <f>IF(OR(J21="",$D21=""),"",J21-$D21)</f>
        <v/>
      </c>
      <c r="K22" s="22" t="str">
        <f>IF(OR(K21="",$D21=""),"",K21-$D21)</f>
        <v/>
      </c>
      <c r="L22" s="22" t="str">
        <f>IF(OR(L21="",$D21=""),"",L21-$D21)</f>
        <v/>
      </c>
      <c r="M22" s="22" t="str">
        <f>IF(OR(M21="",$D21=""),"",M21-$D21)</f>
        <v/>
      </c>
    </row>
    <row r="23">
      <c r="A23" s="32" t="inlineStr">
        <is>
          <t>mit.ghg.tot.tot</t>
        </is>
      </c>
      <c r="B23" s="40" t="inlineStr">
        <is>
          <t xml:space="preserve">  % difference vs the first slot</t>
        </is>
      </c>
      <c r="C23" s="40" t="inlineStr">
        <is>
          <t>%</t>
        </is>
      </c>
      <c r="D23" s="41">
        <f>IF(OR(D21="",N($D21)=0),"",D21/$D21-1)</f>
        <v>0.0</v>
      </c>
      <c r="E23" s="42">
        <f>IF(OR(E21="",N($D21)=0),"",E21/$D21-1)</f>
        <v>-0.0855708433555602</v>
      </c>
      <c r="F23" s="42">
        <f>IF(OR(F21="",N($D21)=0),"",F21/$D21-1)</f>
        <v>-0.18459596801464673</v>
      </c>
      <c r="G23" s="42">
        <f>IF(OR(G21="",N($D21)=0),"",G21/$D21-1)</f>
        <v>-0.081797077982388</v>
      </c>
      <c r="H23" s="42">
        <f>IF(OR(H21="",N($D21)=0),"",H21/$D21-1)</f>
        <v>-0.17716212340376014</v>
      </c>
      <c r="I23" s="42" t="str">
        <f>IF(OR(I21="",N($D21)=0),"",I21/$D21-1)</f>
        <v/>
      </c>
      <c r="J23" s="42" t="str">
        <f>IF(OR(J21="",N($D21)=0),"",J21/$D21-1)</f>
        <v/>
      </c>
      <c r="K23" s="42" t="str">
        <f>IF(OR(K21="",N($D21)=0),"",K21/$D21-1)</f>
        <v/>
      </c>
      <c r="L23" s="42" t="str">
        <f>IF(OR(L21="",N($D21)=0),"",L21/$D21-1)</f>
        <v/>
      </c>
      <c r="M23" s="42" t="str">
        <f>IF(OR(M21="",N($D21)=0),"",M21/$D21-1)</f>
        <v/>
      </c>
    </row>
    <row r="24">
      <c r="A24" s="32" t="inlineStr">
        <is>
          <t>mit.rpct.all.tot</t>
        </is>
      </c>
      <c r="B24" s="12" t="inlineStr">
        <is>
          <t>Revenue (share of GDP)</t>
        </is>
      </c>
      <c r="C24" s="3" t="str">
        <f>IFERROR(INDEX(SSUnit,MATCH($A24,SSStem,0)),"")</f>
        <v>% of GDP</v>
      </c>
      <c r="D24" s="43">
        <f>IF(D$13="","",IFERROR(INDEX(SSAll,MATCH($A24,SSStem,0),MATCH(D$13,SSScen,0)+SCYc),""))</f>
        <v>-0.06450737574759043</v>
      </c>
      <c r="E24" s="44">
        <f>IF(E$13="","",IFERROR(INDEX(SSAll,MATCH($A24,SSStem,0),MATCH(E$13,SSScen,0)+SCYc),""))</f>
        <v>-0.05047030920597653</v>
      </c>
      <c r="F24" s="44">
        <f>IF(F$13="","",IFERROR(INDEX(SSAll,MATCH($A24,SSStem,0),MATCH(F$13,SSScen,0)+SCYc),""))</f>
        <v>-0.03568839312168948</v>
      </c>
      <c r="G24" s="44">
        <f>IF(G$13="","",IFERROR(INDEX(SSAll,MATCH($A24,SSStem,0),MATCH(G$13,SSScen,0)+SCYc),""))</f>
        <v>-0.05471623985924876</v>
      </c>
      <c r="H24" s="44">
        <f>IF(H$13="","",IFERROR(INDEX(SSAll,MATCH($A24,SSStem,0),MATCH(H$13,SSScen,0)+SCYc),""))</f>
        <v>-0.03504386978415661</v>
      </c>
      <c r="I24" s="44" t="str">
        <f>IF(I$13="","",IFERROR(INDEX(SSAll,MATCH($A24,SSStem,0),MATCH(I$13,SSScen,0)+SCYc),""))</f>
        <v/>
      </c>
      <c r="J24" s="44" t="str">
        <f>IF(J$13="","",IFERROR(INDEX(SSAll,MATCH($A24,SSStem,0),MATCH(J$13,SSScen,0)+SCYc),""))</f>
        <v/>
      </c>
      <c r="K24" s="44" t="str">
        <f>IF(K$13="","",IFERROR(INDEX(SSAll,MATCH($A24,SSStem,0),MATCH(K$13,SSScen,0)+SCYc),""))</f>
        <v/>
      </c>
      <c r="L24" s="44" t="str">
        <f>IF(L$13="","",IFERROR(INDEX(SSAll,MATCH($A24,SSStem,0),MATCH(L$13,SSScen,0)+SCYc),""))</f>
        <v/>
      </c>
      <c r="M24" s="44" t="str">
        <f>IF(M$13="","",IFERROR(INDEX(SSAll,MATCH($A24,SSStem,0),MATCH(M$13,SSScen,0)+SCYc),""))</f>
        <v/>
      </c>
    </row>
    <row r="25">
      <c r="A25" s="32" t="inlineStr">
        <is>
          <t>mit.rpct.all.tot</t>
        </is>
      </c>
      <c r="B25" s="3" t="inlineStr">
        <is>
          <t xml:space="preserve">  difference vs the first slot</t>
        </is>
      </c>
      <c r="C25" s="3" t="str">
        <f>IFERROR(INDEX(SSUnit,MATCH($A25,SSStem,0)),"")</f>
        <v>% of GDP</v>
      </c>
      <c r="D25" s="45">
        <f>IF(OR(D24="",$D24=""),"",D24-$D24)</f>
        <v>0.0</v>
      </c>
      <c r="E25" s="24">
        <f>IF(OR(E24="",$D24=""),"",E24-$D24)</f>
        <v>0.014037066541613893</v>
      </c>
      <c r="F25" s="24">
        <f>IF(OR(F24="",$D24=""),"",F24-$D24)</f>
        <v>0.02881898262590095</v>
      </c>
      <c r="G25" s="24">
        <f>IF(OR(G24="",$D24=""),"",G24-$D24)</f>
        <v>0.009791135888341664</v>
      </c>
      <c r="H25" s="24">
        <f>IF(OR(H24="",$D24=""),"",H24-$D24)</f>
        <v>0.029463505963433813</v>
      </c>
      <c r="I25" s="24" t="str">
        <f>IF(OR(I24="",$D24=""),"",I24-$D24)</f>
        <v/>
      </c>
      <c r="J25" s="24" t="str">
        <f>IF(OR(J24="",$D24=""),"",J24-$D24)</f>
        <v/>
      </c>
      <c r="K25" s="24" t="str">
        <f>IF(OR(K24="",$D24=""),"",K24-$D24)</f>
        <v/>
      </c>
      <c r="L25" s="24" t="str">
        <f>IF(OR(L24="",$D24=""),"",L24-$D24)</f>
        <v/>
      </c>
      <c r="M25" s="24" t="str">
        <f>IF(OR(M24="",$D24=""),"",M24-$D24)</f>
        <v/>
      </c>
    </row>
    <row r="26">
      <c r="A26" s="32" t="inlineStr">
        <is>
          <t>mit.rpct.all.tot</t>
        </is>
      </c>
      <c r="B26" s="40" t="inlineStr">
        <is>
          <t xml:space="preserve">  % difference vs the first slot</t>
        </is>
      </c>
      <c r="C26" s="40" t="inlineStr">
        <is>
          <t>%</t>
        </is>
      </c>
      <c r="D26" s="46" t="n"/>
      <c r="E26" s="46" t="n"/>
      <c r="F26" s="46" t="n"/>
      <c r="G26" s="46" t="n"/>
      <c r="H26" s="46" t="n"/>
      <c r="I26" s="46" t="n"/>
      <c r="J26" s="46" t="n"/>
      <c r="K26" s="46" t="n"/>
      <c r="L26" s="46" t="n"/>
      <c r="M26" s="46" t="n"/>
    </row>
    <row r="27">
      <c r="A27" s="32" t="inlineStr">
        <is>
          <t>mit.gdp.eff.tot.tot</t>
        </is>
      </c>
      <c r="B27" s="12" t="inlineStr">
        <is>
          <t>GDP effect of revenue use</t>
        </is>
      </c>
      <c r="C27" s="3" t="str">
        <f>IFERROR(INDEX(SSUnit,MATCH($A27,SSStem,0)),"")</f>
        <v>share of GDP</v>
      </c>
      <c r="D27" s="43">
        <f>IF(D$13="","",IFERROR(INDEX(SSAll,MATCH($A27,SSStem,0),MATCH(D$13,SSScen,0)+SCYc),""))</f>
        <v>0.0</v>
      </c>
      <c r="E27" s="44">
        <f>IF(E$13="","",IFERROR(INDEX(SSAll,MATCH($A27,SSStem,0),MATCH(E$13,SSScen,0)+SCYc),""))</f>
        <v>-0.0005198496352340488</v>
      </c>
      <c r="F27" s="44">
        <f>IF(F$13="","",IFERROR(INDEX(SSAll,MATCH($A27,SSStem,0),MATCH(F$13,SSScen,0)+SCYc),""))</f>
        <v>-0.0004397132282217095</v>
      </c>
      <c r="G27" s="44">
        <f>IF(G$13="","",IFERROR(INDEX(SSAll,MATCH($A27,SSStem,0),MATCH(G$13,SSScen,0)+SCYc),""))</f>
        <v>-0.0002605619004071762</v>
      </c>
      <c r="H27" s="44">
        <f>IF(H$13="","",IFERROR(INDEX(SSAll,MATCH($A27,SSStem,0),MATCH(H$13,SSScen,0)+SCYc),""))</f>
        <v>-0.001025933654128223</v>
      </c>
      <c r="I27" s="44" t="str">
        <f>IF(I$13="","",IFERROR(INDEX(SSAll,MATCH($A27,SSStem,0),MATCH(I$13,SSScen,0)+SCYc),""))</f>
        <v/>
      </c>
      <c r="J27" s="44" t="str">
        <f>IF(J$13="","",IFERROR(INDEX(SSAll,MATCH($A27,SSStem,0),MATCH(J$13,SSScen,0)+SCYc),""))</f>
        <v/>
      </c>
      <c r="K27" s="44" t="str">
        <f>IF(K$13="","",IFERROR(INDEX(SSAll,MATCH($A27,SSStem,0),MATCH(K$13,SSScen,0)+SCYc),""))</f>
        <v/>
      </c>
      <c r="L27" s="44" t="str">
        <f>IF(L$13="","",IFERROR(INDEX(SSAll,MATCH($A27,SSStem,0),MATCH(L$13,SSScen,0)+SCYc),""))</f>
        <v/>
      </c>
      <c r="M27" s="44" t="str">
        <f>IF(M$13="","",IFERROR(INDEX(SSAll,MATCH($A27,SSStem,0),MATCH(M$13,SSScen,0)+SCYc),""))</f>
        <v/>
      </c>
    </row>
    <row r="28">
      <c r="A28" s="32" t="inlineStr">
        <is>
          <t>mit.gdp.eff.tot.tot</t>
        </is>
      </c>
      <c r="B28" s="3" t="inlineStr">
        <is>
          <t xml:space="preserve">  difference vs the first slot</t>
        </is>
      </c>
      <c r="C28" s="3" t="str">
        <f>IFERROR(INDEX(SSUnit,MATCH($A28,SSStem,0)),"")</f>
        <v>share of GDP</v>
      </c>
      <c r="D28" s="45">
        <f>IF(OR(D27="",$D27=""),"",D27-$D27)</f>
        <v>0.0</v>
      </c>
      <c r="E28" s="24">
        <f>IF(OR(E27="",$D27=""),"",E27-$D27)</f>
        <v>-0.0005198496352340488</v>
      </c>
      <c r="F28" s="24">
        <f>IF(OR(F27="",$D27=""),"",F27-$D27)</f>
        <v>-0.0004397132282217095</v>
      </c>
      <c r="G28" s="24">
        <f>IF(OR(G27="",$D27=""),"",G27-$D27)</f>
        <v>-0.0002605619004071762</v>
      </c>
      <c r="H28" s="24">
        <f>IF(OR(H27="",$D27=""),"",H27-$D27)</f>
        <v>-0.001025933654128223</v>
      </c>
      <c r="I28" s="24" t="str">
        <f>IF(OR(I27="",$D27=""),"",I27-$D27)</f>
        <v/>
      </c>
      <c r="J28" s="24" t="str">
        <f>IF(OR(J27="",$D27=""),"",J27-$D27)</f>
        <v/>
      </c>
      <c r="K28" s="24" t="str">
        <f>IF(OR(K27="",$D27=""),"",K27-$D27)</f>
        <v/>
      </c>
      <c r="L28" s="24" t="str">
        <f>IF(OR(L27="",$D27=""),"",L27-$D27)</f>
        <v/>
      </c>
      <c r="M28" s="24" t="str">
        <f>IF(OR(M27="",$D27=""),"",M27-$D27)</f>
        <v/>
      </c>
    </row>
    <row r="29">
      <c r="A29" s="32" t="inlineStr">
        <is>
          <t>mit.gdp.eff.tot.tot</t>
        </is>
      </c>
      <c r="B29" s="40" t="inlineStr">
        <is>
          <t xml:space="preserve">  % difference vs the first slot</t>
        </is>
      </c>
      <c r="C29" s="40" t="inlineStr">
        <is>
          <t>%</t>
        </is>
      </c>
      <c r="D29" s="46" t="n"/>
      <c r="E29" s="46" t="n"/>
      <c r="F29" s="46" t="n"/>
      <c r="G29" s="46" t="n"/>
      <c r="H29" s="46" t="n"/>
      <c r="I29" s="46" t="n"/>
      <c r="J29" s="46" t="n"/>
      <c r="K29" s="46" t="n"/>
      <c r="L29" s="46" t="n"/>
      <c r="M29" s="46" t="n"/>
    </row>
    <row r="30">
      <c r="A30" s="32" t="inlineStr">
        <is>
          <t>mit.wel.pct.tot</t>
        </is>
      </c>
      <c r="B30" s="12" t="inlineStr">
        <is>
          <t>Net welfare effect (share of GDP)</t>
        </is>
      </c>
      <c r="C30" s="3" t="str">
        <f>IFERROR(INDEX(SSUnit,MATCH($A30,SSStem,0)),"")</f>
        <v>mixed</v>
      </c>
      <c r="D30" s="43">
        <f>IF(D$13="","",IFERROR(INDEX(SSAll,MATCH($A30,SSStem,0),MATCH(D$13,SSScen,0)+SCYc),""))</f>
        <v>0.0</v>
      </c>
      <c r="E30" s="44">
        <f>IF(E$13="","",IFERROR(INDEX(SSAll,MATCH($A30,SSStem,0),MATCH(E$13,SSScen,0)+SCYc),""))</f>
        <v>0.01328936073783093</v>
      </c>
      <c r="F30" s="44">
        <f>IF(F$13="","",IFERROR(INDEX(SSAll,MATCH($A30,SSStem,0),MATCH(F$13,SSScen,0)+SCYc),""))</f>
        <v>0.02615385418558891</v>
      </c>
      <c r="G30" s="44">
        <f>IF(G$13="","",IFERROR(INDEX(SSAll,MATCH($A30,SSStem,0),MATCH(G$13,SSScen,0)+SCYc),""))</f>
        <v>0.01117548944180871</v>
      </c>
      <c r="H30" s="44">
        <f>IF(H$13="","",IFERROR(INDEX(SSAll,MATCH($A30,SSStem,0),MATCH(H$13,SSScen,0)+SCYc),""))</f>
        <v>0.02608517287715382</v>
      </c>
      <c r="I30" s="44" t="str">
        <f>IF(I$13="","",IFERROR(INDEX(SSAll,MATCH($A30,SSStem,0),MATCH(I$13,SSScen,0)+SCYc),""))</f>
        <v/>
      </c>
      <c r="J30" s="44" t="str">
        <f>IF(J$13="","",IFERROR(INDEX(SSAll,MATCH($A30,SSStem,0),MATCH(J$13,SSScen,0)+SCYc),""))</f>
        <v/>
      </c>
      <c r="K30" s="44" t="str">
        <f>IF(K$13="","",IFERROR(INDEX(SSAll,MATCH($A30,SSStem,0),MATCH(K$13,SSScen,0)+SCYc),""))</f>
        <v/>
      </c>
      <c r="L30" s="44" t="str">
        <f>IF(L$13="","",IFERROR(INDEX(SSAll,MATCH($A30,SSStem,0),MATCH(L$13,SSScen,0)+SCYc),""))</f>
        <v/>
      </c>
      <c r="M30" s="44" t="str">
        <f>IF(M$13="","",IFERROR(INDEX(SSAll,MATCH($A30,SSStem,0),MATCH(M$13,SSScen,0)+SCYc),""))</f>
        <v/>
      </c>
    </row>
    <row r="31">
      <c r="A31" s="32" t="inlineStr">
        <is>
          <t>mit.wel.pct.tot</t>
        </is>
      </c>
      <c r="B31" s="3" t="inlineStr">
        <is>
          <t xml:space="preserve">  difference vs the first slot</t>
        </is>
      </c>
      <c r="C31" s="3" t="str">
        <f>IFERROR(INDEX(SSUnit,MATCH($A31,SSStem,0)),"")</f>
        <v>mixed</v>
      </c>
      <c r="D31" s="45">
        <f>IF(OR(D30="",$D30=""),"",D30-$D30)</f>
        <v>0.0</v>
      </c>
      <c r="E31" s="24">
        <f>IF(OR(E30="",$D30=""),"",E30-$D30)</f>
        <v>0.01328936073783093</v>
      </c>
      <c r="F31" s="24">
        <f>IF(OR(F30="",$D30=""),"",F30-$D30)</f>
        <v>0.02615385418558891</v>
      </c>
      <c r="G31" s="24">
        <f>IF(OR(G30="",$D30=""),"",G30-$D30)</f>
        <v>0.01117548944180871</v>
      </c>
      <c r="H31" s="24">
        <f>IF(OR(H30="",$D30=""),"",H30-$D30)</f>
        <v>0.02608517287715382</v>
      </c>
      <c r="I31" s="24" t="str">
        <f>IF(OR(I30="",$D30=""),"",I30-$D30)</f>
        <v/>
      </c>
      <c r="J31" s="24" t="str">
        <f>IF(OR(J30="",$D30=""),"",J30-$D30)</f>
        <v/>
      </c>
      <c r="K31" s="24" t="str">
        <f>IF(OR(K30="",$D30=""),"",K30-$D30)</f>
        <v/>
      </c>
      <c r="L31" s="24" t="str">
        <f>IF(OR(L30="",$D30=""),"",L30-$D30)</f>
        <v/>
      </c>
      <c r="M31" s="24" t="str">
        <f>IF(OR(M30="",$D30=""),"",M30-$D30)</f>
        <v/>
      </c>
    </row>
    <row r="32">
      <c r="A32" s="32" t="inlineStr">
        <is>
          <t>mit.wel.pct.tot</t>
        </is>
      </c>
      <c r="B32" s="40" t="inlineStr">
        <is>
          <t xml:space="preserve">  % difference vs the first slot</t>
        </is>
      </c>
      <c r="C32" s="40" t="inlineStr">
        <is>
          <t>%</t>
        </is>
      </c>
      <c r="D32" s="46" t="n"/>
      <c r="E32" s="46" t="n"/>
      <c r="F32" s="46" t="n"/>
      <c r="G32" s="46" t="n"/>
      <c r="H32" s="46" t="n"/>
      <c r="I32" s="46" t="n"/>
      <c r="J32" s="46" t="n"/>
      <c r="K32" s="46" t="n"/>
      <c r="L32" s="46" t="n"/>
      <c r="M32" s="46" t="n"/>
    </row>
    <row r="34">
      <c r="A34" s="5" t="n"/>
      <c r="B34" s="18" t="inlineStr">
        <is>
          <t>Time series (choose the indicator in the dropdown of each title; chart beside each table)</t>
        </is>
      </c>
      <c r="C34" s="5" t="n"/>
      <c r="D34" s="5" t="n"/>
      <c r="E34" s="5" t="n"/>
      <c r="F34" s="5" t="n"/>
      <c r="G34" s="5" t="n"/>
      <c r="H34" s="5" t="n"/>
      <c r="I34" s="5" t="n"/>
      <c r="J34" s="5" t="n"/>
      <c r="K34" s="5" t="n"/>
      <c r="L34" s="5" t="n"/>
      <c r="M34" s="5" t="n"/>
      <c r="N34" s="5" t="n"/>
      <c r="O34" s="5" t="n"/>
      <c r="P34" s="5" t="n"/>
      <c r="Q34" s="5" t="n"/>
      <c r="R34" s="5" t="n"/>
      <c r="S34" s="5" t="n"/>
      <c r="T34" s="5" t="n"/>
      <c r="U34" s="5" t="n"/>
      <c r="V34" s="5" t="n"/>
      <c r="W34" s="5" t="n"/>
    </row>
    <row r="35">
      <c r="A35" s="32" t="str">
        <f>INDEX(CSCatStem,MATCH($B35,CSCatLab,0))</f>
        <v>mit.co2.tot.tot</v>
      </c>
      <c r="B35" s="13" t="str">
        <f>$B$133</f>
        <v>CO2 emissions from fuel combustion | All sectors | All fuels</v>
      </c>
      <c r="C35" s="12" t="str">
        <f>INDEX(CSCatUnit,MATCH($B35,CSCatLab,0))</f>
        <v>MtCO2</v>
      </c>
    </row>
    <row r="36">
      <c r="C36" s="47" t="inlineStr">
        <is>
          <t>Year</t>
        </is>
      </c>
      <c r="D36" s="48" t="n">
        <v>2022</v>
      </c>
      <c r="E36" s="49" t="n">
        <v>2023</v>
      </c>
      <c r="F36" s="49" t="n">
        <v>2024</v>
      </c>
      <c r="G36" s="49" t="n">
        <v>2025</v>
      </c>
      <c r="H36" s="49" t="n">
        <v>2026</v>
      </c>
      <c r="I36" s="49" t="n">
        <v>2027</v>
      </c>
      <c r="J36" s="49" t="n">
        <v>2028</v>
      </c>
      <c r="K36" s="49" t="n">
        <v>2029</v>
      </c>
      <c r="L36" s="49" t="n">
        <v>2030</v>
      </c>
      <c r="M36" s="49" t="n">
        <v>2031</v>
      </c>
      <c r="N36" s="49" t="n">
        <v>2032</v>
      </c>
      <c r="O36" s="49" t="n">
        <v>2033</v>
      </c>
      <c r="P36" s="49" t="n">
        <v>2034</v>
      </c>
      <c r="Q36" s="49" t="n">
        <v>2035</v>
      </c>
      <c r="R36" s="49" t="n">
        <v>2036</v>
      </c>
      <c r="S36" s="49" t="n">
        <v>2037</v>
      </c>
      <c r="T36" s="49" t="n">
        <v>2038</v>
      </c>
      <c r="U36" s="49" t="n">
        <v>2039</v>
      </c>
      <c r="V36" s="49" t="n">
        <v>2040</v>
      </c>
      <c r="W36" s="49" t="n">
        <v>2041</v>
      </c>
    </row>
    <row r="37">
      <c r="A37" s="32" t="str">
        <f>$A$35</f>
        <v>mit.co2.tot.tot</v>
      </c>
      <c r="B37" s="33">
        <f>INDEX($D$13:$M$13,ROWS($B$37:B37))</f>
        <v>1.0</v>
      </c>
      <c r="C37" s="12" t="str">
        <f>INDEX($D$14:$M$14,ROWS($B$37:B37))</f>
        <v>S1: 1</v>
      </c>
      <c r="D37" s="27">
        <f>IF($B37="",NA(),IFERROR(INDEX(SSAll,MATCH($A37,SSStem,0),MATCH($B37,SSScen,0)+MATCH(D$36,SCYear,0)),""))</f>
        <v>211.0535364</v>
      </c>
      <c r="E37" s="27">
        <f>IF($B37="",NA(),IFERROR(INDEX(SSAll,MATCH($A37,SSStem,0),MATCH($B37,SSScen,0)+MATCH(E$36,SCYear,0)),""))</f>
        <v>207.0410283029422</v>
      </c>
      <c r="F37" s="27">
        <f>IF($B37="",NA(),IFERROR(INDEX(SSAll,MATCH($A37,SSStem,0),MATCH($B37,SSScen,0)+MATCH(F$36,SCYear,0)),""))</f>
        <v>242.7147431157638</v>
      </c>
      <c r="G37" s="27">
        <f>IF($B37="",NA(),IFERROR(INDEX(SSAll,MATCH($A37,SSStem,0),MATCH($B37,SSScen,0)+MATCH(G$36,SCYear,0)),""))</f>
        <v>257.689977489835</v>
      </c>
      <c r="H37" s="27">
        <f>IF($B37="",NA(),IFERROR(INDEX(SSAll,MATCH($A37,SSStem,0),MATCH($B37,SSScen,0)+MATCH(H$36,SCYear,0)),""))</f>
        <v>264.5777375367369</v>
      </c>
      <c r="I37" s="27">
        <f>IF($B37="",NA(),IFERROR(INDEX(SSAll,MATCH($A37,SSStem,0),MATCH($B37,SSScen,0)+MATCH(I$36,SCYear,0)),""))</f>
        <v>271.5523149205187</v>
      </c>
      <c r="J37" s="27">
        <f>IF($B37="",NA(),IFERROR(INDEX(SSAll,MATCH($A37,SSStem,0),MATCH($B37,SSScen,0)+MATCH(J$36,SCYear,0)),""))</f>
        <v>279.6146335040884</v>
      </c>
      <c r="K37" s="27">
        <f>IF($B37="",NA(),IFERROR(INDEX(SSAll,MATCH($A37,SSStem,0),MATCH($B37,SSScen,0)+MATCH(K$36,SCYear,0)),""))</f>
        <v>287.6221812453862</v>
      </c>
      <c r="L37" s="27">
        <f>IF($B37="",NA(),IFERROR(INDEX(SSAll,MATCH($A37,SSStem,0),MATCH($B37,SSScen,0)+MATCH(L$36,SCYear,0)),""))</f>
        <v>294.1593592216437</v>
      </c>
      <c r="M37" s="27">
        <f>IF($B37="",NA(),IFERROR(INDEX(SSAll,MATCH($A37,SSStem,0),MATCH($B37,SSScen,0)+MATCH(M$36,SCYear,0)),""))</f>
        <v>297.4840868457081</v>
      </c>
      <c r="N37" s="27">
        <f>IF($B37="",NA(),IFERROR(INDEX(SSAll,MATCH($A37,SSStem,0),MATCH($B37,SSScen,0)+MATCH(N$36,SCYear,0)),""))</f>
        <v>300.4372037896155</v>
      </c>
      <c r="O37" s="27">
        <f>IF($B37="",NA(),IFERROR(INDEX(SSAll,MATCH($A37,SSStem,0),MATCH($B37,SSScen,0)+MATCH(O$36,SCYear,0)),""))</f>
        <v>306.3435105308475</v>
      </c>
      <c r="P37" s="27">
        <f>IF($B37="",NA(),IFERROR(INDEX(SSAll,MATCH($A37,SSStem,0),MATCH($B37,SSScen,0)+MATCH(P$36,SCYear,0)),""))</f>
        <v>311.6839321014054</v>
      </c>
      <c r="Q37" s="27">
        <f>IF($B37="",NA(),IFERROR(INDEX(SSAll,MATCH($A37,SSStem,0),MATCH($B37,SSScen,0)+MATCH(Q$36,SCYear,0)),""))</f>
        <v>317.528715938791</v>
      </c>
      <c r="R37" s="27">
        <f>IF($B37="",NA(),IFERROR(INDEX(SSAll,MATCH($A37,SSStem,0),MATCH($B37,SSScen,0)+MATCH(R$36,SCYear,0)),""))</f>
        <v>323.4256765889039</v>
      </c>
      <c r="S37" s="27">
        <f>IF($B37="",NA(),IFERROR(INDEX(SSAll,MATCH($A37,SSStem,0),MATCH($B37,SSScen,0)+MATCH(S$36,SCYear,0)),""))</f>
        <v>329.4296921501582</v>
      </c>
      <c r="T37" s="27">
        <f>IF($B37="",NA(),IFERROR(INDEX(SSAll,MATCH($A37,SSStem,0),MATCH($B37,SSScen,0)+MATCH(T$36,SCYear,0)),""))</f>
        <v>335.5250807034126</v>
      </c>
      <c r="U37" s="27">
        <f>IF($B37="",NA(),IFERROR(INDEX(SSAll,MATCH($A37,SSStem,0),MATCH($B37,SSScen,0)+MATCH(U$36,SCYear,0)),""))</f>
        <v>341.7133561710508</v>
      </c>
      <c r="V37" s="27">
        <f>IF($B37="",NA(),IFERROR(INDEX(SSAll,MATCH($A37,SSStem,0),MATCH($B37,SSScen,0)+MATCH(V$36,SCYear,0)),""))</f>
        <v>348.0049577939575</v>
      </c>
      <c r="W37" s="27">
        <f>IF($B37="",NA(),IFERROR(INDEX(SSAll,MATCH($A37,SSStem,0),MATCH($B37,SSScen,0)+MATCH(W$36,SCYear,0)),""))</f>
        <v>354.4026223242067</v>
      </c>
    </row>
    <row r="38">
      <c r="A38" s="32" t="str">
        <f>$A$35</f>
        <v>mit.co2.tot.tot</v>
      </c>
      <c r="B38" s="33">
        <f>INDEX($D$13:$M$13,ROWS($B$37:B38))</f>
        <v>3.0</v>
      </c>
      <c r="C38" s="12" t="str">
        <f>INDEX($D$14:$M$14,ROWS($B$37:B38))</f>
        <v>S2: 3</v>
      </c>
      <c r="D38" s="27">
        <f>IF($B38="",NA(),IFERROR(INDEX(SSAll,MATCH($A38,SSStem,0),MATCH($B38,SSScen,0)+MATCH(D$36,SCYear,0)),""))</f>
        <v>211.0535364</v>
      </c>
      <c r="E38" s="27">
        <f>IF($B38="",NA(),IFERROR(INDEX(SSAll,MATCH($A38,SSStem,0),MATCH($B38,SSScen,0)+MATCH(E$36,SCYear,0)),""))</f>
        <v>206.9876039917904</v>
      </c>
      <c r="F38" s="27">
        <f>IF($B38="",NA(),IFERROR(INDEX(SSAll,MATCH($A38,SSStem,0),MATCH($B38,SSScen,0)+MATCH(F$36,SCYear,0)),""))</f>
        <v>242.6632482362779</v>
      </c>
      <c r="G38" s="27">
        <f>IF($B38="",NA(),IFERROR(INDEX(SSAll,MATCH($A38,SSStem,0),MATCH($B38,SSScen,0)+MATCH(G$36,SCYear,0)),""))</f>
        <v>257.6403448611898</v>
      </c>
      <c r="H38" s="27">
        <f>IF($B38="",NA(),IFERROR(INDEX(SSAll,MATCH($A38,SSStem,0),MATCH($B38,SSScen,0)+MATCH(H$36,SCYear,0)),""))</f>
        <v>264.5280819565958</v>
      </c>
      <c r="I38" s="27">
        <f>IF($B38="",NA(),IFERROR(INDEX(SSAll,MATCH($A38,SSStem,0),MATCH($B38,SSScen,0)+MATCH(I$36,SCYear,0)),""))</f>
        <v>248.5089585322797</v>
      </c>
      <c r="J38" s="27">
        <f>IF($B38="",NA(),IFERROR(INDEX(SSAll,MATCH($A38,SSStem,0),MATCH($B38,SSScen,0)+MATCH(J$36,SCYear,0)),""))</f>
        <v>245.8389413846545</v>
      </c>
      <c r="K38" s="27">
        <f>IF($B38="",NA(),IFERROR(INDEX(SSAll,MATCH($A38,SSStem,0),MATCH($B38,SSScen,0)+MATCH(K$36,SCYear,0)),""))</f>
        <v>255.1801225359139</v>
      </c>
      <c r="L38" s="27">
        <f>IF($B38="",NA(),IFERROR(INDEX(SSAll,MATCH($A38,SSStem,0),MATCH($B38,SSScen,0)+MATCH(L$36,SCYear,0)),""))</f>
        <v>259.8969914220162</v>
      </c>
      <c r="M38" s="27">
        <f>IF($B38="",NA(),IFERROR(INDEX(SSAll,MATCH($A38,SSStem,0),MATCH($B38,SSScen,0)+MATCH(M$36,SCYear,0)),""))</f>
        <v>264.0325802203643</v>
      </c>
      <c r="N38" s="27">
        <f>IF($B38="",NA(),IFERROR(INDEX(SSAll,MATCH($A38,SSStem,0),MATCH($B38,SSScen,0)+MATCH(N$36,SCYear,0)),""))</f>
        <v>266.4111628397339</v>
      </c>
      <c r="O38" s="27">
        <f>IF($B38="",NA(),IFERROR(INDEX(SSAll,MATCH($A38,SSStem,0),MATCH($B38,SSScen,0)+MATCH(O$36,SCYear,0)),""))</f>
        <v>272.3744460889114</v>
      </c>
      <c r="P38" s="27">
        <f>IF($B38="",NA(),IFERROR(INDEX(SSAll,MATCH($A38,SSStem,0),MATCH($B38,SSScen,0)+MATCH(P$36,SCYear,0)),""))</f>
        <v>277.0186146664238</v>
      </c>
      <c r="Q38" s="27">
        <f>IF($B38="",NA(),IFERROR(INDEX(SSAll,MATCH($A38,SSStem,0),MATCH($B38,SSScen,0)+MATCH(Q$36,SCYear,0)),""))</f>
        <v>282.4985234951865</v>
      </c>
      <c r="R38" s="27">
        <f>IF($B38="",NA(),IFERROR(INDEX(SSAll,MATCH($A38,SSStem,0),MATCH($B38,SSScen,0)+MATCH(R$36,SCYear,0)),""))</f>
        <v>288.0597579298014</v>
      </c>
      <c r="S38" s="27">
        <f>IF($B38="",NA(),IFERROR(INDEX(SSAll,MATCH($A38,SSStem,0),MATCH($B38,SSScen,0)+MATCH(S$36,SCYear,0)),""))</f>
        <v>293.8368165939305</v>
      </c>
      <c r="T38" s="27">
        <f>IF($B38="",NA(),IFERROR(INDEX(SSAll,MATCH($A38,SSStem,0),MATCH($B38,SSScen,0)+MATCH(T$36,SCYear,0)),""))</f>
        <v>299.5537054829613</v>
      </c>
      <c r="U38" s="27">
        <f>IF($B38="",NA(),IFERROR(INDEX(SSAll,MATCH($A38,SSStem,0),MATCH($B38,SSScen,0)+MATCH(U$36,SCYear,0)),""))</f>
        <v>305.3026181986414</v>
      </c>
      <c r="V38" s="27">
        <f>IF($B38="",NA(),IFERROR(INDEX(SSAll,MATCH($A38,SSStem,0),MATCH($B38,SSScen,0)+MATCH(V$36,SCYear,0)),""))</f>
        <v>310.9631779607115</v>
      </c>
      <c r="W38" s="27">
        <f>IF($B38="",NA(),IFERROR(INDEX(SSAll,MATCH($A38,SSStem,0),MATCH($B38,SSScen,0)+MATCH(W$36,SCYear,0)),""))</f>
        <v>316.6810220491903</v>
      </c>
    </row>
    <row r="39">
      <c r="A39" s="32" t="str">
        <f>$A$35</f>
        <v>mit.co2.tot.tot</v>
      </c>
      <c r="B39" s="33">
        <f>INDEX($D$13:$M$13,ROWS($B$37:B39))</f>
        <v>4.0</v>
      </c>
      <c r="C39" s="12" t="str">
        <f>INDEX($D$14:$M$14,ROWS($B$37:B39))</f>
        <v>S3: 4</v>
      </c>
      <c r="D39" s="27">
        <f>IF($B39="",NA(),IFERROR(INDEX(SSAll,MATCH($A39,SSStem,0),MATCH($B39,SSScen,0)+MATCH(D$36,SCYear,0)),""))</f>
        <v>211.0535364</v>
      </c>
      <c r="E39" s="27">
        <f>IF($B39="",NA(),IFERROR(INDEX(SSAll,MATCH($A39,SSStem,0),MATCH($B39,SSScen,0)+MATCH(E$36,SCYear,0)),""))</f>
        <v>206.8560934316888</v>
      </c>
      <c r="F39" s="27">
        <f>IF($B39="",NA(),IFERROR(INDEX(SSAll,MATCH($A39,SSStem,0),MATCH($B39,SSScen,0)+MATCH(F$36,SCYear,0)),""))</f>
        <v>242.5364953719796</v>
      </c>
      <c r="G39" s="27">
        <f>IF($B39="",NA(),IFERROR(INDEX(SSAll,MATCH($A39,SSStem,0),MATCH($B39,SSScen,0)+MATCH(G$36,SCYear,0)),""))</f>
        <v>257.518183749065</v>
      </c>
      <c r="H39" s="27">
        <f>IF($B39="",NA(),IFERROR(INDEX(SSAll,MATCH($A39,SSStem,0),MATCH($B39,SSScen,0)+MATCH(H$36,SCYear,0)),""))</f>
        <v>264.4061057939579</v>
      </c>
      <c r="I39" s="27">
        <f>IF($B39="",NA(),IFERROR(INDEX(SSAll,MATCH($A39,SSStem,0),MATCH($B39,SSScen,0)+MATCH(I$36,SCYear,0)),""))</f>
        <v>256.511647265009</v>
      </c>
      <c r="J39" s="27">
        <f>IF($B39="",NA(),IFERROR(INDEX(SSAll,MATCH($A39,SSStem,0),MATCH($B39,SSScen,0)+MATCH(J$36,SCYear,0)),""))</f>
        <v>243.2436786341405</v>
      </c>
      <c r="K39" s="27">
        <f>IF($B39="",NA(),IFERROR(INDEX(SSAll,MATCH($A39,SSStem,0),MATCH($B39,SSScen,0)+MATCH(K$36,SCYear,0)),""))</f>
        <v>229.3951852380417</v>
      </c>
      <c r="L39" s="27">
        <f>IF($B39="",NA(),IFERROR(INDEX(SSAll,MATCH($A39,SSStem,0),MATCH($B39,SSScen,0)+MATCH(L$36,SCYear,0)),""))</f>
        <v>220.283224145941</v>
      </c>
      <c r="M39" s="27">
        <f>IF($B39="",NA(),IFERROR(INDEX(SSAll,MATCH($A39,SSStem,0),MATCH($B39,SSScen,0)+MATCH(M$36,SCYear,0)),""))</f>
        <v>215.2149240392841</v>
      </c>
      <c r="N39" s="27">
        <f>IF($B39="",NA(),IFERROR(INDEX(SSAll,MATCH($A39,SSStem,0),MATCH($B39,SSScen,0)+MATCH(N$36,SCYear,0)),""))</f>
        <v>207.3283846519539</v>
      </c>
      <c r="O39" s="27">
        <f>IF($B39="",NA(),IFERROR(INDEX(SSAll,MATCH($A39,SSStem,0),MATCH($B39,SSScen,0)+MATCH(O$36,SCYear,0)),""))</f>
        <v>203.1902748215666</v>
      </c>
      <c r="P39" s="27">
        <f>IF($B39="",NA(),IFERROR(INDEX(SSAll,MATCH($A39,SSStem,0),MATCH($B39,SSScen,0)+MATCH(P$36,SCYear,0)),""))</f>
        <v>197.3380314605178</v>
      </c>
      <c r="Q39" s="27">
        <f>IF($B39="",NA(),IFERROR(INDEX(SSAll,MATCH($A39,SSStem,0),MATCH($B39,SSScen,0)+MATCH(Q$36,SCYear,0)),""))</f>
        <v>193.627236833236</v>
      </c>
      <c r="R39" s="27">
        <f>IF($B39="",NA(),IFERROR(INDEX(SSAll,MATCH($A39,SSStem,0),MATCH($B39,SSScen,0)+MATCH(R$36,SCYear,0)),""))</f>
        <v>188.9813407358086</v>
      </c>
      <c r="S39" s="27">
        <f>IF($B39="",NA(),IFERROR(INDEX(SSAll,MATCH($A39,SSStem,0),MATCH($B39,SSScen,0)+MATCH(S$36,SCYear,0)),""))</f>
        <v>185.9934460035681</v>
      </c>
      <c r="T39" s="27">
        <f>IF($B39="",NA(),IFERROR(INDEX(SSAll,MATCH($A39,SSStem,0),MATCH($B39,SSScen,0)+MATCH(T$36,SCYear,0)),""))</f>
        <v>181.9407095740375</v>
      </c>
      <c r="U39" s="27">
        <f>IF($B39="",NA(),IFERROR(INDEX(SSAll,MATCH($A39,SSStem,0),MATCH($B39,SSScen,0)+MATCH(U$36,SCYear,0)),""))</f>
        <v>179.6578176908038</v>
      </c>
      <c r="V39" s="27">
        <f>IF($B39="",NA(),IFERROR(INDEX(SSAll,MATCH($A39,SSStem,0),MATCH($B39,SSScen,0)+MATCH(V$36,SCYear,0)),""))</f>
        <v>175.72158349542</v>
      </c>
      <c r="W39" s="27">
        <f>IF($B39="",NA(),IFERROR(INDEX(SSAll,MATCH($A39,SSStem,0),MATCH($B39,SSScen,0)+MATCH(W$36,SCYear,0)),""))</f>
        <v>174.2586952575411</v>
      </c>
    </row>
    <row r="40">
      <c r="A40" s="32" t="str">
        <f>$A$35</f>
        <v>mit.co2.tot.tot</v>
      </c>
      <c r="B40" s="33">
        <f>INDEX($D$13:$M$13,ROWS($B$37:B40))</f>
        <v>5.0</v>
      </c>
      <c r="C40" s="12" t="str">
        <f>INDEX($D$14:$M$14,ROWS($B$37:B40))</f>
        <v>S4: 5</v>
      </c>
      <c r="D40" s="27">
        <f>IF($B40="",NA(),IFERROR(INDEX(SSAll,MATCH($A40,SSStem,0),MATCH($B40,SSScen,0)+MATCH(D$36,SCYear,0)),""))</f>
        <v>211.0535364</v>
      </c>
      <c r="E40" s="27">
        <f>IF($B40="",NA(),IFERROR(INDEX(SSAll,MATCH($A40,SSStem,0),MATCH($B40,SSScen,0)+MATCH(E$36,SCYear,0)),""))</f>
        <v>206.7272622499039</v>
      </c>
      <c r="F40" s="27">
        <f>IF($B40="",NA(),IFERROR(INDEX(SSAll,MATCH($A40,SSStem,0),MATCH($B40,SSScen,0)+MATCH(F$36,SCYear,0)),""))</f>
        <v>242.4121670359718</v>
      </c>
      <c r="G40" s="27">
        <f>IF($B40="",NA(),IFERROR(INDEX(SSAll,MATCH($A40,SSStem,0),MATCH($B40,SSScen,0)+MATCH(G$36,SCYear,0)),""))</f>
        <v>257.3982043818996</v>
      </c>
      <c r="H40" s="27">
        <f>IF($B40="",NA(),IFERROR(INDEX(SSAll,MATCH($A40,SSStem,0),MATCH($B40,SSScen,0)+MATCH(H$36,SCYear,0)),""))</f>
        <v>264.2859744643947</v>
      </c>
      <c r="I40" s="27">
        <f>IF($B40="",NA(),IFERROR(INDEX(SSAll,MATCH($A40,SSStem,0),MATCH($B40,SSScen,0)+MATCH(I$36,SCYear,0)),""))</f>
        <v>244.9890036472554</v>
      </c>
      <c r="J40" s="27">
        <f>IF($B40="",NA(),IFERROR(INDEX(SSAll,MATCH($A40,SSStem,0),MATCH($B40,SSScen,0)+MATCH(J$36,SCYear,0)),""))</f>
        <v>251.8334579767699</v>
      </c>
      <c r="K40" s="27">
        <f>IF($B40="",NA(),IFERROR(INDEX(SSAll,MATCH($A40,SSStem,0),MATCH($B40,SSScen,0)+MATCH(K$36,SCYear,0)),""))</f>
        <v>258.7743474283282</v>
      </c>
      <c r="L40" s="27">
        <f>IF($B40="",NA(),IFERROR(INDEX(SSAll,MATCH($A40,SSStem,0),MATCH($B40,SSScen,0)+MATCH(L$36,SCYear,0)),""))</f>
        <v>263.9446050223305</v>
      </c>
      <c r="M40" s="27">
        <f>IF($B40="",NA(),IFERROR(INDEX(SSAll,MATCH($A40,SSStem,0),MATCH($B40,SSScen,0)+MATCH(M$36,SCYear,0)),""))</f>
        <v>265.1498333392173</v>
      </c>
      <c r="N40" s="27">
        <f>IF($B40="",NA(),IFERROR(INDEX(SSAll,MATCH($A40,SSStem,0),MATCH($B40,SSScen,0)+MATCH(N$36,SCYear,0)),""))</f>
        <v>264.6842358917359</v>
      </c>
      <c r="O40" s="27">
        <f>IF($B40="",NA(),IFERROR(INDEX(SSAll,MATCH($A40,SSStem,0),MATCH($B40,SSScen,0)+MATCH(O$36,SCYear,0)),""))</f>
        <v>268.4830262851629</v>
      </c>
      <c r="P40" s="27">
        <f>IF($B40="",NA(),IFERROR(INDEX(SSAll,MATCH($A40,SSStem,0),MATCH($B40,SSScen,0)+MATCH(P$36,SCYear,0)),""))</f>
        <v>267.9301083330643</v>
      </c>
      <c r="Q40" s="27">
        <f>IF($B40="",NA(),IFERROR(INDEX(SSAll,MATCH($A40,SSStem,0),MATCH($B40,SSScen,0)+MATCH(Q$36,SCYear,0)),""))</f>
        <v>268.6585300536962</v>
      </c>
      <c r="R40" s="27">
        <f>IF($B40="",NA(),IFERROR(INDEX(SSAll,MATCH($A40,SSStem,0),MATCH($B40,SSScen,0)+MATCH(R$36,SCYear,0)),""))</f>
        <v>269.8892202171522</v>
      </c>
      <c r="S40" s="27">
        <f>IF($B40="",NA(),IFERROR(INDEX(SSAll,MATCH($A40,SSStem,0),MATCH($B40,SSScen,0)+MATCH(S$36,SCYear,0)),""))</f>
        <v>270.5697483353708</v>
      </c>
      <c r="T40" s="27">
        <f>IF($B40="",NA(),IFERROR(INDEX(SSAll,MATCH($A40,SSStem,0),MATCH($B40,SSScen,0)+MATCH(T$36,SCYear,0)),""))</f>
        <v>271.7578957205109</v>
      </c>
      <c r="U40" s="27">
        <f>IF($B40="",NA(),IFERROR(INDEX(SSAll,MATCH($A40,SSStem,0),MATCH($B40,SSScen,0)+MATCH(U$36,SCYear,0)),""))</f>
        <v>273.1776456982765</v>
      </c>
      <c r="V40" s="27">
        <f>IF($B40="",NA(),IFERROR(INDEX(SSAll,MATCH($A40,SSStem,0),MATCH($B40,SSScen,0)+MATCH(V$36,SCYear,0)),""))</f>
        <v>274.3970792541219</v>
      </c>
      <c r="W40" s="27">
        <f>IF($B40="",NA(),IFERROR(INDEX(SSAll,MATCH($A40,SSStem,0),MATCH($B40,SSScen,0)+MATCH(W$36,SCYear,0)),""))</f>
        <v>276.0587174083745</v>
      </c>
    </row>
    <row r="41">
      <c r="A41" s="32" t="str">
        <f>$A$35</f>
        <v>mit.co2.tot.tot</v>
      </c>
      <c r="B41" s="33">
        <f>INDEX($D$13:$M$13,ROWS($B$37:B41))</f>
        <v>6.0</v>
      </c>
      <c r="C41" s="12" t="str">
        <f>INDEX($D$14:$M$14,ROWS($B$37:B41))</f>
        <v>S5: 6</v>
      </c>
      <c r="D41" s="27">
        <f>IF($B41="",NA(),IFERROR(INDEX(SSAll,MATCH($A41,SSStem,0),MATCH($B41,SSScen,0)+MATCH(D$36,SCYear,0)),""))</f>
        <v>211.0535364</v>
      </c>
      <c r="E41" s="27">
        <f>IF($B41="",NA(),IFERROR(INDEX(SSAll,MATCH($A41,SSStem,0),MATCH($B41,SSScen,0)+MATCH(E$36,SCYear,0)),""))</f>
        <v>206.913593095572</v>
      </c>
      <c r="F41" s="27">
        <f>IF($B41="",NA(),IFERROR(INDEX(SSAll,MATCH($A41,SSStem,0),MATCH($B41,SSScen,0)+MATCH(F$36,SCYear,0)),""))</f>
        <v>242.591913491098</v>
      </c>
      <c r="G41" s="27">
        <f>IF($B41="",NA(),IFERROR(INDEX(SSAll,MATCH($A41,SSStem,0),MATCH($B41,SSScen,0)+MATCH(G$36,SCYear,0)),""))</f>
        <v>257.5715929732009</v>
      </c>
      <c r="H41" s="27">
        <f>IF($B41="",NA(),IFERROR(INDEX(SSAll,MATCH($A41,SSStem,0),MATCH($B41,SSScen,0)+MATCH(H$36,SCYear,0)),""))</f>
        <v>264.4593932927386</v>
      </c>
      <c r="I41" s="27">
        <f>IF($B41="",NA(),IFERROR(INDEX(SSAll,MATCH($A41,SSStem,0),MATCH($B41,SSScen,0)+MATCH(I$36,SCYear,0)),""))</f>
        <v>226.1631675259696</v>
      </c>
      <c r="J41" s="27">
        <f>IF($B41="",NA(),IFERROR(INDEX(SSAll,MATCH($A41,SSStem,0),MATCH($B41,SSScen,0)+MATCH(J$36,SCYear,0)),""))</f>
        <v>211.6109871511082</v>
      </c>
      <c r="K41" s="27">
        <f>IF($B41="",NA(),IFERROR(INDEX(SSAll,MATCH($A41,SSStem,0),MATCH($B41,SSScen,0)+MATCH(K$36,SCYear,0)),""))</f>
        <v>220.3193947986333</v>
      </c>
      <c r="L41" s="27">
        <f>IF($B41="",NA(),IFERROR(INDEX(SSAll,MATCH($A41,SSStem,0),MATCH($B41,SSScen,0)+MATCH(L$36,SCYear,0)),""))</f>
        <v>222.0540513077268</v>
      </c>
      <c r="M41" s="27">
        <f>IF($B41="",NA(),IFERROR(INDEX(SSAll,MATCH($A41,SSStem,0),MATCH($B41,SSScen,0)+MATCH(M$36,SCYear,0)),""))</f>
        <v>229.5218044162605</v>
      </c>
      <c r="N41" s="27">
        <f>IF($B41="",NA(),IFERROR(INDEX(SSAll,MATCH($A41,SSStem,0),MATCH($B41,SSScen,0)+MATCH(N$36,SCYear,0)),""))</f>
        <v>228.5413631277631</v>
      </c>
      <c r="O41" s="27">
        <f>IF($B41="",NA(),IFERROR(INDEX(SSAll,MATCH($A41,SSStem,0),MATCH($B41,SSScen,0)+MATCH(O$36,SCYear,0)),""))</f>
        <v>232.3938355890091</v>
      </c>
      <c r="P41" s="27">
        <f>IF($B41="",NA(),IFERROR(INDEX(SSAll,MATCH($A41,SSStem,0),MATCH($B41,SSScen,0)+MATCH(P$36,SCYear,0)),""))</f>
        <v>233.2313114959745</v>
      </c>
      <c r="Q41" s="27">
        <f>IF($B41="",NA(),IFERROR(INDEX(SSAll,MATCH($A41,SSStem,0),MATCH($B41,SSScen,0)+MATCH(Q$36,SCYear,0)),""))</f>
        <v>235.877047858077</v>
      </c>
      <c r="R41" s="27">
        <f>IF($B41="",NA(),IFERROR(INDEX(SSAll,MATCH($A41,SSStem,0),MATCH($B41,SSScen,0)+MATCH(R$36,SCYear,0)),""))</f>
        <v>237.8039580027475</v>
      </c>
      <c r="S41" s="27">
        <f>IF($B41="",NA(),IFERROR(INDEX(SSAll,MATCH($A41,SSStem,0),MATCH($B41,SSScen,0)+MATCH(S$36,SCYear,0)),""))</f>
        <v>240.8219263981445</v>
      </c>
      <c r="T41" s="27">
        <f>IF($B41="",NA(),IFERROR(INDEX(SSAll,MATCH($A41,SSStem,0),MATCH($B41,SSScen,0)+MATCH(T$36,SCYear,0)),""))</f>
        <v>243.0164063361314</v>
      </c>
      <c r="U41" s="27">
        <f>IF($B41="",NA(),IFERROR(INDEX(SSAll,MATCH($A41,SSStem,0),MATCH($B41,SSScen,0)+MATCH(U$36,SCYear,0)),""))</f>
        <v>246.0466416484756</v>
      </c>
      <c r="V41" s="27">
        <f>IF($B41="",NA(),IFERROR(INDEX(SSAll,MATCH($A41,SSStem,0),MATCH($B41,SSScen,0)+MATCH(V$36,SCYear,0)),""))</f>
        <v>248.3206249873394</v>
      </c>
      <c r="W41" s="27">
        <f>IF($B41="",NA(),IFERROR(INDEX(SSAll,MATCH($A41,SSStem,0),MATCH($B41,SSScen,0)+MATCH(W$36,SCYear,0)),""))</f>
        <v>251.3639350195868</v>
      </c>
    </row>
    <row r="42">
      <c r="A42" s="32" t="str">
        <f>$A$35</f>
        <v>mit.co2.tot.tot</v>
      </c>
      <c r="B42" s="33" t="str">
        <f>INDEX($D$13:$M$13,ROWS($B$37:B42))</f>
        <v/>
      </c>
      <c r="C42" s="12" t="str">
        <f>INDEX($D$14:$M$14,ROWS($B$37:B42))</f>
        <v/>
      </c>
      <c r="D42" s="27" t="e">
        <f>IF($B42="",NA(),IFERROR(INDEX(SSAll,MATCH($A42,SSStem,0),MATCH($B42,SSScen,0)+MATCH(D$36,SCYear,0)),""))</f>
        <v>#N/A</v>
      </c>
      <c r="E42" s="27" t="e">
        <f>IF($B42="",NA(),IFERROR(INDEX(SSAll,MATCH($A42,SSStem,0),MATCH($B42,SSScen,0)+MATCH(E$36,SCYear,0)),""))</f>
        <v>#N/A</v>
      </c>
      <c r="F42" s="27" t="e">
        <f>IF($B42="",NA(),IFERROR(INDEX(SSAll,MATCH($A42,SSStem,0),MATCH($B42,SSScen,0)+MATCH(F$36,SCYear,0)),""))</f>
        <v>#N/A</v>
      </c>
      <c r="G42" s="27" t="e">
        <f>IF($B42="",NA(),IFERROR(INDEX(SSAll,MATCH($A42,SSStem,0),MATCH($B42,SSScen,0)+MATCH(G$36,SCYear,0)),""))</f>
        <v>#N/A</v>
      </c>
      <c r="H42" s="27" t="e">
        <f>IF($B42="",NA(),IFERROR(INDEX(SSAll,MATCH($A42,SSStem,0),MATCH($B42,SSScen,0)+MATCH(H$36,SCYear,0)),""))</f>
        <v>#N/A</v>
      </c>
      <c r="I42" s="27" t="e">
        <f>IF($B42="",NA(),IFERROR(INDEX(SSAll,MATCH($A42,SSStem,0),MATCH($B42,SSScen,0)+MATCH(I$36,SCYear,0)),""))</f>
        <v>#N/A</v>
      </c>
      <c r="J42" s="27" t="e">
        <f>IF($B42="",NA(),IFERROR(INDEX(SSAll,MATCH($A42,SSStem,0),MATCH($B42,SSScen,0)+MATCH(J$36,SCYear,0)),""))</f>
        <v>#N/A</v>
      </c>
      <c r="K42" s="27" t="e">
        <f>IF($B42="",NA(),IFERROR(INDEX(SSAll,MATCH($A42,SSStem,0),MATCH($B42,SSScen,0)+MATCH(K$36,SCYear,0)),""))</f>
        <v>#N/A</v>
      </c>
      <c r="L42" s="27" t="e">
        <f>IF($B42="",NA(),IFERROR(INDEX(SSAll,MATCH($A42,SSStem,0),MATCH($B42,SSScen,0)+MATCH(L$36,SCYear,0)),""))</f>
        <v>#N/A</v>
      </c>
      <c r="M42" s="27" t="e">
        <f>IF($B42="",NA(),IFERROR(INDEX(SSAll,MATCH($A42,SSStem,0),MATCH($B42,SSScen,0)+MATCH(M$36,SCYear,0)),""))</f>
        <v>#N/A</v>
      </c>
      <c r="N42" s="27" t="e">
        <f>IF($B42="",NA(),IFERROR(INDEX(SSAll,MATCH($A42,SSStem,0),MATCH($B42,SSScen,0)+MATCH(N$36,SCYear,0)),""))</f>
        <v>#N/A</v>
      </c>
      <c r="O42" s="27" t="e">
        <f>IF($B42="",NA(),IFERROR(INDEX(SSAll,MATCH($A42,SSStem,0),MATCH($B42,SSScen,0)+MATCH(O$36,SCYear,0)),""))</f>
        <v>#N/A</v>
      </c>
      <c r="P42" s="27" t="e">
        <f>IF($B42="",NA(),IFERROR(INDEX(SSAll,MATCH($A42,SSStem,0),MATCH($B42,SSScen,0)+MATCH(P$36,SCYear,0)),""))</f>
        <v>#N/A</v>
      </c>
      <c r="Q42" s="27" t="e">
        <f>IF($B42="",NA(),IFERROR(INDEX(SSAll,MATCH($A42,SSStem,0),MATCH($B42,SSScen,0)+MATCH(Q$36,SCYear,0)),""))</f>
        <v>#N/A</v>
      </c>
      <c r="R42" s="27" t="e">
        <f>IF($B42="",NA(),IFERROR(INDEX(SSAll,MATCH($A42,SSStem,0),MATCH($B42,SSScen,0)+MATCH(R$36,SCYear,0)),""))</f>
        <v>#N/A</v>
      </c>
      <c r="S42" s="27" t="e">
        <f>IF($B42="",NA(),IFERROR(INDEX(SSAll,MATCH($A42,SSStem,0),MATCH($B42,SSScen,0)+MATCH(S$36,SCYear,0)),""))</f>
        <v>#N/A</v>
      </c>
      <c r="T42" s="27" t="e">
        <f>IF($B42="",NA(),IFERROR(INDEX(SSAll,MATCH($A42,SSStem,0),MATCH($B42,SSScen,0)+MATCH(T$36,SCYear,0)),""))</f>
        <v>#N/A</v>
      </c>
      <c r="U42" s="27" t="e">
        <f>IF($B42="",NA(),IFERROR(INDEX(SSAll,MATCH($A42,SSStem,0),MATCH($B42,SSScen,0)+MATCH(U$36,SCYear,0)),""))</f>
        <v>#N/A</v>
      </c>
      <c r="V42" s="27" t="e">
        <f>IF($B42="",NA(),IFERROR(INDEX(SSAll,MATCH($A42,SSStem,0),MATCH($B42,SSScen,0)+MATCH(V$36,SCYear,0)),""))</f>
        <v>#N/A</v>
      </c>
      <c r="W42" s="27" t="e">
        <f>IF($B42="",NA(),IFERROR(INDEX(SSAll,MATCH($A42,SSStem,0),MATCH($B42,SSScen,0)+MATCH(W$36,SCYear,0)),""))</f>
        <v>#N/A</v>
      </c>
    </row>
    <row r="43">
      <c r="A43" s="32" t="str">
        <f>$A$35</f>
        <v>mit.co2.tot.tot</v>
      </c>
      <c r="B43" s="33" t="str">
        <f>INDEX($D$13:$M$13,ROWS($B$37:B43))</f>
        <v/>
      </c>
      <c r="C43" s="12" t="str">
        <f>INDEX($D$14:$M$14,ROWS($B$37:B43))</f>
        <v/>
      </c>
      <c r="D43" s="27" t="e">
        <f>IF($B43="",NA(),IFERROR(INDEX(SSAll,MATCH($A43,SSStem,0),MATCH($B43,SSScen,0)+MATCH(D$36,SCYear,0)),""))</f>
        <v>#N/A</v>
      </c>
      <c r="E43" s="27" t="e">
        <f>IF($B43="",NA(),IFERROR(INDEX(SSAll,MATCH($A43,SSStem,0),MATCH($B43,SSScen,0)+MATCH(E$36,SCYear,0)),""))</f>
        <v>#N/A</v>
      </c>
      <c r="F43" s="27" t="e">
        <f>IF($B43="",NA(),IFERROR(INDEX(SSAll,MATCH($A43,SSStem,0),MATCH($B43,SSScen,0)+MATCH(F$36,SCYear,0)),""))</f>
        <v>#N/A</v>
      </c>
      <c r="G43" s="27" t="e">
        <f>IF($B43="",NA(),IFERROR(INDEX(SSAll,MATCH($A43,SSStem,0),MATCH($B43,SSScen,0)+MATCH(G$36,SCYear,0)),""))</f>
        <v>#N/A</v>
      </c>
      <c r="H43" s="27" t="e">
        <f>IF($B43="",NA(),IFERROR(INDEX(SSAll,MATCH($A43,SSStem,0),MATCH($B43,SSScen,0)+MATCH(H$36,SCYear,0)),""))</f>
        <v>#N/A</v>
      </c>
      <c r="I43" s="27" t="e">
        <f>IF($B43="",NA(),IFERROR(INDEX(SSAll,MATCH($A43,SSStem,0),MATCH($B43,SSScen,0)+MATCH(I$36,SCYear,0)),""))</f>
        <v>#N/A</v>
      </c>
      <c r="J43" s="27" t="e">
        <f>IF($B43="",NA(),IFERROR(INDEX(SSAll,MATCH($A43,SSStem,0),MATCH($B43,SSScen,0)+MATCH(J$36,SCYear,0)),""))</f>
        <v>#N/A</v>
      </c>
      <c r="K43" s="27" t="e">
        <f>IF($B43="",NA(),IFERROR(INDEX(SSAll,MATCH($A43,SSStem,0),MATCH($B43,SSScen,0)+MATCH(K$36,SCYear,0)),""))</f>
        <v>#N/A</v>
      </c>
      <c r="L43" s="27" t="e">
        <f>IF($B43="",NA(),IFERROR(INDEX(SSAll,MATCH($A43,SSStem,0),MATCH($B43,SSScen,0)+MATCH(L$36,SCYear,0)),""))</f>
        <v>#N/A</v>
      </c>
      <c r="M43" s="27" t="e">
        <f>IF($B43="",NA(),IFERROR(INDEX(SSAll,MATCH($A43,SSStem,0),MATCH($B43,SSScen,0)+MATCH(M$36,SCYear,0)),""))</f>
        <v>#N/A</v>
      </c>
      <c r="N43" s="27" t="e">
        <f>IF($B43="",NA(),IFERROR(INDEX(SSAll,MATCH($A43,SSStem,0),MATCH($B43,SSScen,0)+MATCH(N$36,SCYear,0)),""))</f>
        <v>#N/A</v>
      </c>
      <c r="O43" s="27" t="e">
        <f>IF($B43="",NA(),IFERROR(INDEX(SSAll,MATCH($A43,SSStem,0),MATCH($B43,SSScen,0)+MATCH(O$36,SCYear,0)),""))</f>
        <v>#N/A</v>
      </c>
      <c r="P43" s="27" t="e">
        <f>IF($B43="",NA(),IFERROR(INDEX(SSAll,MATCH($A43,SSStem,0),MATCH($B43,SSScen,0)+MATCH(P$36,SCYear,0)),""))</f>
        <v>#N/A</v>
      </c>
      <c r="Q43" s="27" t="e">
        <f>IF($B43="",NA(),IFERROR(INDEX(SSAll,MATCH($A43,SSStem,0),MATCH($B43,SSScen,0)+MATCH(Q$36,SCYear,0)),""))</f>
        <v>#N/A</v>
      </c>
      <c r="R43" s="27" t="e">
        <f>IF($B43="",NA(),IFERROR(INDEX(SSAll,MATCH($A43,SSStem,0),MATCH($B43,SSScen,0)+MATCH(R$36,SCYear,0)),""))</f>
        <v>#N/A</v>
      </c>
      <c r="S43" s="27" t="e">
        <f>IF($B43="",NA(),IFERROR(INDEX(SSAll,MATCH($A43,SSStem,0),MATCH($B43,SSScen,0)+MATCH(S$36,SCYear,0)),""))</f>
        <v>#N/A</v>
      </c>
      <c r="T43" s="27" t="e">
        <f>IF($B43="",NA(),IFERROR(INDEX(SSAll,MATCH($A43,SSStem,0),MATCH($B43,SSScen,0)+MATCH(T$36,SCYear,0)),""))</f>
        <v>#N/A</v>
      </c>
      <c r="U43" s="27" t="e">
        <f>IF($B43="",NA(),IFERROR(INDEX(SSAll,MATCH($A43,SSStem,0),MATCH($B43,SSScen,0)+MATCH(U$36,SCYear,0)),""))</f>
        <v>#N/A</v>
      </c>
      <c r="V43" s="27" t="e">
        <f>IF($B43="",NA(),IFERROR(INDEX(SSAll,MATCH($A43,SSStem,0),MATCH($B43,SSScen,0)+MATCH(V$36,SCYear,0)),""))</f>
        <v>#N/A</v>
      </c>
      <c r="W43" s="27" t="e">
        <f>IF($B43="",NA(),IFERROR(INDEX(SSAll,MATCH($A43,SSStem,0),MATCH($B43,SSScen,0)+MATCH(W$36,SCYear,0)),""))</f>
        <v>#N/A</v>
      </c>
    </row>
    <row r="44">
      <c r="A44" s="32" t="str">
        <f>$A$35</f>
        <v>mit.co2.tot.tot</v>
      </c>
      <c r="B44" s="33" t="str">
        <f>INDEX($D$13:$M$13,ROWS($B$37:B44))</f>
        <v/>
      </c>
      <c r="C44" s="12" t="str">
        <f>INDEX($D$14:$M$14,ROWS($B$37:B44))</f>
        <v/>
      </c>
      <c r="D44" s="27" t="e">
        <f>IF($B44="",NA(),IFERROR(INDEX(SSAll,MATCH($A44,SSStem,0),MATCH($B44,SSScen,0)+MATCH(D$36,SCYear,0)),""))</f>
        <v>#N/A</v>
      </c>
      <c r="E44" s="27" t="e">
        <f>IF($B44="",NA(),IFERROR(INDEX(SSAll,MATCH($A44,SSStem,0),MATCH($B44,SSScen,0)+MATCH(E$36,SCYear,0)),""))</f>
        <v>#N/A</v>
      </c>
      <c r="F44" s="27" t="e">
        <f>IF($B44="",NA(),IFERROR(INDEX(SSAll,MATCH($A44,SSStem,0),MATCH($B44,SSScen,0)+MATCH(F$36,SCYear,0)),""))</f>
        <v>#N/A</v>
      </c>
      <c r="G44" s="27" t="e">
        <f>IF($B44="",NA(),IFERROR(INDEX(SSAll,MATCH($A44,SSStem,0),MATCH($B44,SSScen,0)+MATCH(G$36,SCYear,0)),""))</f>
        <v>#N/A</v>
      </c>
      <c r="H44" s="27" t="e">
        <f>IF($B44="",NA(),IFERROR(INDEX(SSAll,MATCH($A44,SSStem,0),MATCH($B44,SSScen,0)+MATCH(H$36,SCYear,0)),""))</f>
        <v>#N/A</v>
      </c>
      <c r="I44" s="27" t="e">
        <f>IF($B44="",NA(),IFERROR(INDEX(SSAll,MATCH($A44,SSStem,0),MATCH($B44,SSScen,0)+MATCH(I$36,SCYear,0)),""))</f>
        <v>#N/A</v>
      </c>
      <c r="J44" s="27" t="e">
        <f>IF($B44="",NA(),IFERROR(INDEX(SSAll,MATCH($A44,SSStem,0),MATCH($B44,SSScen,0)+MATCH(J$36,SCYear,0)),""))</f>
        <v>#N/A</v>
      </c>
      <c r="K44" s="27" t="e">
        <f>IF($B44="",NA(),IFERROR(INDEX(SSAll,MATCH($A44,SSStem,0),MATCH($B44,SSScen,0)+MATCH(K$36,SCYear,0)),""))</f>
        <v>#N/A</v>
      </c>
      <c r="L44" s="27" t="e">
        <f>IF($B44="",NA(),IFERROR(INDEX(SSAll,MATCH($A44,SSStem,0),MATCH($B44,SSScen,0)+MATCH(L$36,SCYear,0)),""))</f>
        <v>#N/A</v>
      </c>
      <c r="M44" s="27" t="e">
        <f>IF($B44="",NA(),IFERROR(INDEX(SSAll,MATCH($A44,SSStem,0),MATCH($B44,SSScen,0)+MATCH(M$36,SCYear,0)),""))</f>
        <v>#N/A</v>
      </c>
      <c r="N44" s="27" t="e">
        <f>IF($B44="",NA(),IFERROR(INDEX(SSAll,MATCH($A44,SSStem,0),MATCH($B44,SSScen,0)+MATCH(N$36,SCYear,0)),""))</f>
        <v>#N/A</v>
      </c>
      <c r="O44" s="27" t="e">
        <f>IF($B44="",NA(),IFERROR(INDEX(SSAll,MATCH($A44,SSStem,0),MATCH($B44,SSScen,0)+MATCH(O$36,SCYear,0)),""))</f>
        <v>#N/A</v>
      </c>
      <c r="P44" s="27" t="e">
        <f>IF($B44="",NA(),IFERROR(INDEX(SSAll,MATCH($A44,SSStem,0),MATCH($B44,SSScen,0)+MATCH(P$36,SCYear,0)),""))</f>
        <v>#N/A</v>
      </c>
      <c r="Q44" s="27" t="e">
        <f>IF($B44="",NA(),IFERROR(INDEX(SSAll,MATCH($A44,SSStem,0),MATCH($B44,SSScen,0)+MATCH(Q$36,SCYear,0)),""))</f>
        <v>#N/A</v>
      </c>
      <c r="R44" s="27" t="e">
        <f>IF($B44="",NA(),IFERROR(INDEX(SSAll,MATCH($A44,SSStem,0),MATCH($B44,SSScen,0)+MATCH(R$36,SCYear,0)),""))</f>
        <v>#N/A</v>
      </c>
      <c r="S44" s="27" t="e">
        <f>IF($B44="",NA(),IFERROR(INDEX(SSAll,MATCH($A44,SSStem,0),MATCH($B44,SSScen,0)+MATCH(S$36,SCYear,0)),""))</f>
        <v>#N/A</v>
      </c>
      <c r="T44" s="27" t="e">
        <f>IF($B44="",NA(),IFERROR(INDEX(SSAll,MATCH($A44,SSStem,0),MATCH($B44,SSScen,0)+MATCH(T$36,SCYear,0)),""))</f>
        <v>#N/A</v>
      </c>
      <c r="U44" s="27" t="e">
        <f>IF($B44="",NA(),IFERROR(INDEX(SSAll,MATCH($A44,SSStem,0),MATCH($B44,SSScen,0)+MATCH(U$36,SCYear,0)),""))</f>
        <v>#N/A</v>
      </c>
      <c r="V44" s="27" t="e">
        <f>IF($B44="",NA(),IFERROR(INDEX(SSAll,MATCH($A44,SSStem,0),MATCH($B44,SSScen,0)+MATCH(V$36,SCYear,0)),""))</f>
        <v>#N/A</v>
      </c>
      <c r="W44" s="27" t="e">
        <f>IF($B44="",NA(),IFERROR(INDEX(SSAll,MATCH($A44,SSStem,0),MATCH($B44,SSScen,0)+MATCH(W$36,SCYear,0)),""))</f>
        <v>#N/A</v>
      </c>
    </row>
    <row r="45">
      <c r="A45" s="32" t="str">
        <f>$A$35</f>
        <v>mit.co2.tot.tot</v>
      </c>
      <c r="B45" s="33" t="str">
        <f>INDEX($D$13:$M$13,ROWS($B$37:B45))</f>
        <v/>
      </c>
      <c r="C45" s="12" t="str">
        <f>INDEX($D$14:$M$14,ROWS($B$37:B45))</f>
        <v/>
      </c>
      <c r="D45" s="27" t="e">
        <f>IF($B45="",NA(),IFERROR(INDEX(SSAll,MATCH($A45,SSStem,0),MATCH($B45,SSScen,0)+MATCH(D$36,SCYear,0)),""))</f>
        <v>#N/A</v>
      </c>
      <c r="E45" s="27" t="e">
        <f>IF($B45="",NA(),IFERROR(INDEX(SSAll,MATCH($A45,SSStem,0),MATCH($B45,SSScen,0)+MATCH(E$36,SCYear,0)),""))</f>
        <v>#N/A</v>
      </c>
      <c r="F45" s="27" t="e">
        <f>IF($B45="",NA(),IFERROR(INDEX(SSAll,MATCH($A45,SSStem,0),MATCH($B45,SSScen,0)+MATCH(F$36,SCYear,0)),""))</f>
        <v>#N/A</v>
      </c>
      <c r="G45" s="27" t="e">
        <f>IF($B45="",NA(),IFERROR(INDEX(SSAll,MATCH($A45,SSStem,0),MATCH($B45,SSScen,0)+MATCH(G$36,SCYear,0)),""))</f>
        <v>#N/A</v>
      </c>
      <c r="H45" s="27" t="e">
        <f>IF($B45="",NA(),IFERROR(INDEX(SSAll,MATCH($A45,SSStem,0),MATCH($B45,SSScen,0)+MATCH(H$36,SCYear,0)),""))</f>
        <v>#N/A</v>
      </c>
      <c r="I45" s="27" t="e">
        <f>IF($B45="",NA(),IFERROR(INDEX(SSAll,MATCH($A45,SSStem,0),MATCH($B45,SSScen,0)+MATCH(I$36,SCYear,0)),""))</f>
        <v>#N/A</v>
      </c>
      <c r="J45" s="27" t="e">
        <f>IF($B45="",NA(),IFERROR(INDEX(SSAll,MATCH($A45,SSStem,0),MATCH($B45,SSScen,0)+MATCH(J$36,SCYear,0)),""))</f>
        <v>#N/A</v>
      </c>
      <c r="K45" s="27" t="e">
        <f>IF($B45="",NA(),IFERROR(INDEX(SSAll,MATCH($A45,SSStem,0),MATCH($B45,SSScen,0)+MATCH(K$36,SCYear,0)),""))</f>
        <v>#N/A</v>
      </c>
      <c r="L45" s="27" t="e">
        <f>IF($B45="",NA(),IFERROR(INDEX(SSAll,MATCH($A45,SSStem,0),MATCH($B45,SSScen,0)+MATCH(L$36,SCYear,0)),""))</f>
        <v>#N/A</v>
      </c>
      <c r="M45" s="27" t="e">
        <f>IF($B45="",NA(),IFERROR(INDEX(SSAll,MATCH($A45,SSStem,0),MATCH($B45,SSScen,0)+MATCH(M$36,SCYear,0)),""))</f>
        <v>#N/A</v>
      </c>
      <c r="N45" s="27" t="e">
        <f>IF($B45="",NA(),IFERROR(INDEX(SSAll,MATCH($A45,SSStem,0),MATCH($B45,SSScen,0)+MATCH(N$36,SCYear,0)),""))</f>
        <v>#N/A</v>
      </c>
      <c r="O45" s="27" t="e">
        <f>IF($B45="",NA(),IFERROR(INDEX(SSAll,MATCH($A45,SSStem,0),MATCH($B45,SSScen,0)+MATCH(O$36,SCYear,0)),""))</f>
        <v>#N/A</v>
      </c>
      <c r="P45" s="27" t="e">
        <f>IF($B45="",NA(),IFERROR(INDEX(SSAll,MATCH($A45,SSStem,0),MATCH($B45,SSScen,0)+MATCH(P$36,SCYear,0)),""))</f>
        <v>#N/A</v>
      </c>
      <c r="Q45" s="27" t="e">
        <f>IF($B45="",NA(),IFERROR(INDEX(SSAll,MATCH($A45,SSStem,0),MATCH($B45,SSScen,0)+MATCH(Q$36,SCYear,0)),""))</f>
        <v>#N/A</v>
      </c>
      <c r="R45" s="27" t="e">
        <f>IF($B45="",NA(),IFERROR(INDEX(SSAll,MATCH($A45,SSStem,0),MATCH($B45,SSScen,0)+MATCH(R$36,SCYear,0)),""))</f>
        <v>#N/A</v>
      </c>
      <c r="S45" s="27" t="e">
        <f>IF($B45="",NA(),IFERROR(INDEX(SSAll,MATCH($A45,SSStem,0),MATCH($B45,SSScen,0)+MATCH(S$36,SCYear,0)),""))</f>
        <v>#N/A</v>
      </c>
      <c r="T45" s="27" t="e">
        <f>IF($B45="",NA(),IFERROR(INDEX(SSAll,MATCH($A45,SSStem,0),MATCH($B45,SSScen,0)+MATCH(T$36,SCYear,0)),""))</f>
        <v>#N/A</v>
      </c>
      <c r="U45" s="27" t="e">
        <f>IF($B45="",NA(),IFERROR(INDEX(SSAll,MATCH($A45,SSStem,0),MATCH($B45,SSScen,0)+MATCH(U$36,SCYear,0)),""))</f>
        <v>#N/A</v>
      </c>
      <c r="V45" s="27" t="e">
        <f>IF($B45="",NA(),IFERROR(INDEX(SSAll,MATCH($A45,SSStem,0),MATCH($B45,SSScen,0)+MATCH(V$36,SCYear,0)),""))</f>
        <v>#N/A</v>
      </c>
      <c r="W45" s="27" t="e">
        <f>IF($B45="",NA(),IFERROR(INDEX(SSAll,MATCH($A45,SSStem,0),MATCH($B45,SSScen,0)+MATCH(W$36,SCYear,0)),""))</f>
        <v>#N/A</v>
      </c>
    </row>
    <row r="46">
      <c r="A46" s="32" t="str">
        <f>$A$35</f>
        <v>mit.co2.tot.tot</v>
      </c>
      <c r="B46" s="33" t="str">
        <f>INDEX($D$13:$M$13,ROWS($B$37:B46))</f>
        <v/>
      </c>
      <c r="C46" s="12" t="str">
        <f>INDEX($D$14:$M$14,ROWS($B$37:B46))</f>
        <v/>
      </c>
      <c r="D46" s="27" t="e">
        <f>IF($B46="",NA(),IFERROR(INDEX(SSAll,MATCH($A46,SSStem,0),MATCH($B46,SSScen,0)+MATCH(D$36,SCYear,0)),""))</f>
        <v>#N/A</v>
      </c>
      <c r="E46" s="27" t="e">
        <f>IF($B46="",NA(),IFERROR(INDEX(SSAll,MATCH($A46,SSStem,0),MATCH($B46,SSScen,0)+MATCH(E$36,SCYear,0)),""))</f>
        <v>#N/A</v>
      </c>
      <c r="F46" s="27" t="e">
        <f>IF($B46="",NA(),IFERROR(INDEX(SSAll,MATCH($A46,SSStem,0),MATCH($B46,SSScen,0)+MATCH(F$36,SCYear,0)),""))</f>
        <v>#N/A</v>
      </c>
      <c r="G46" s="27" t="e">
        <f>IF($B46="",NA(),IFERROR(INDEX(SSAll,MATCH($A46,SSStem,0),MATCH($B46,SSScen,0)+MATCH(G$36,SCYear,0)),""))</f>
        <v>#N/A</v>
      </c>
      <c r="H46" s="27" t="e">
        <f>IF($B46="",NA(),IFERROR(INDEX(SSAll,MATCH($A46,SSStem,0),MATCH($B46,SSScen,0)+MATCH(H$36,SCYear,0)),""))</f>
        <v>#N/A</v>
      </c>
      <c r="I46" s="27" t="e">
        <f>IF($B46="",NA(),IFERROR(INDEX(SSAll,MATCH($A46,SSStem,0),MATCH($B46,SSScen,0)+MATCH(I$36,SCYear,0)),""))</f>
        <v>#N/A</v>
      </c>
      <c r="J46" s="27" t="e">
        <f>IF($B46="",NA(),IFERROR(INDEX(SSAll,MATCH($A46,SSStem,0),MATCH($B46,SSScen,0)+MATCH(J$36,SCYear,0)),""))</f>
        <v>#N/A</v>
      </c>
      <c r="K46" s="27" t="e">
        <f>IF($B46="",NA(),IFERROR(INDEX(SSAll,MATCH($A46,SSStem,0),MATCH($B46,SSScen,0)+MATCH(K$36,SCYear,0)),""))</f>
        <v>#N/A</v>
      </c>
      <c r="L46" s="27" t="e">
        <f>IF($B46="",NA(),IFERROR(INDEX(SSAll,MATCH($A46,SSStem,0),MATCH($B46,SSScen,0)+MATCH(L$36,SCYear,0)),""))</f>
        <v>#N/A</v>
      </c>
      <c r="M46" s="27" t="e">
        <f>IF($B46="",NA(),IFERROR(INDEX(SSAll,MATCH($A46,SSStem,0),MATCH($B46,SSScen,0)+MATCH(M$36,SCYear,0)),""))</f>
        <v>#N/A</v>
      </c>
      <c r="N46" s="27" t="e">
        <f>IF($B46="",NA(),IFERROR(INDEX(SSAll,MATCH($A46,SSStem,0),MATCH($B46,SSScen,0)+MATCH(N$36,SCYear,0)),""))</f>
        <v>#N/A</v>
      </c>
      <c r="O46" s="27" t="e">
        <f>IF($B46="",NA(),IFERROR(INDEX(SSAll,MATCH($A46,SSStem,0),MATCH($B46,SSScen,0)+MATCH(O$36,SCYear,0)),""))</f>
        <v>#N/A</v>
      </c>
      <c r="P46" s="27" t="e">
        <f>IF($B46="",NA(),IFERROR(INDEX(SSAll,MATCH($A46,SSStem,0),MATCH($B46,SSScen,0)+MATCH(P$36,SCYear,0)),""))</f>
        <v>#N/A</v>
      </c>
      <c r="Q46" s="27" t="e">
        <f>IF($B46="",NA(),IFERROR(INDEX(SSAll,MATCH($A46,SSStem,0),MATCH($B46,SSScen,0)+MATCH(Q$36,SCYear,0)),""))</f>
        <v>#N/A</v>
      </c>
      <c r="R46" s="27" t="e">
        <f>IF($B46="",NA(),IFERROR(INDEX(SSAll,MATCH($A46,SSStem,0),MATCH($B46,SSScen,0)+MATCH(R$36,SCYear,0)),""))</f>
        <v>#N/A</v>
      </c>
      <c r="S46" s="27" t="e">
        <f>IF($B46="",NA(),IFERROR(INDEX(SSAll,MATCH($A46,SSStem,0),MATCH($B46,SSScen,0)+MATCH(S$36,SCYear,0)),""))</f>
        <v>#N/A</v>
      </c>
      <c r="T46" s="27" t="e">
        <f>IF($B46="",NA(),IFERROR(INDEX(SSAll,MATCH($A46,SSStem,0),MATCH($B46,SSScen,0)+MATCH(T$36,SCYear,0)),""))</f>
        <v>#N/A</v>
      </c>
      <c r="U46" s="27" t="e">
        <f>IF($B46="",NA(),IFERROR(INDEX(SSAll,MATCH($A46,SSStem,0),MATCH($B46,SSScen,0)+MATCH(U$36,SCYear,0)),""))</f>
        <v>#N/A</v>
      </c>
      <c r="V46" s="27" t="e">
        <f>IF($B46="",NA(),IFERROR(INDEX(SSAll,MATCH($A46,SSStem,0),MATCH($B46,SSScen,0)+MATCH(V$36,SCYear,0)),""))</f>
        <v>#N/A</v>
      </c>
      <c r="W46" s="27" t="e">
        <f>IF($B46="",NA(),IFERROR(INDEX(SSAll,MATCH($A46,SSStem,0),MATCH($B46,SSScen,0)+MATCH(W$36,SCYear,0)),""))</f>
        <v>#N/A</v>
      </c>
    </row>
    <row r="52">
      <c r="A52" s="32" t="str">
        <f>INDEX(CSCatStem,MATCH($B52,CSCatLab,0))</f>
        <v>mit.ghg.tot.tot</v>
      </c>
      <c r="B52" s="13" t="str">
        <f>$B$185</f>
        <v>GHG emissions | All sectors | All fuels</v>
      </c>
      <c r="C52" s="12" t="str">
        <f>INDEX(CSCatUnit,MATCH($B52,CSCatLab,0))</f>
        <v>Mt CO2e</v>
      </c>
    </row>
    <row r="53">
      <c r="C53" s="47" t="inlineStr">
        <is>
          <t>Year</t>
        </is>
      </c>
      <c r="D53" s="48" t="n">
        <v>2022</v>
      </c>
      <c r="E53" s="49" t="n">
        <v>2023</v>
      </c>
      <c r="F53" s="49" t="n">
        <v>2024</v>
      </c>
      <c r="G53" s="49" t="n">
        <v>2025</v>
      </c>
      <c r="H53" s="49" t="n">
        <v>2026</v>
      </c>
      <c r="I53" s="49" t="n">
        <v>2027</v>
      </c>
      <c r="J53" s="49" t="n">
        <v>2028</v>
      </c>
      <c r="K53" s="49" t="n">
        <v>2029</v>
      </c>
      <c r="L53" s="49" t="n">
        <v>2030</v>
      </c>
      <c r="M53" s="49" t="n">
        <v>2031</v>
      </c>
      <c r="N53" s="49" t="n">
        <v>2032</v>
      </c>
      <c r="O53" s="49" t="n">
        <v>2033</v>
      </c>
      <c r="P53" s="49" t="n">
        <v>2034</v>
      </c>
      <c r="Q53" s="49" t="n">
        <v>2035</v>
      </c>
      <c r="R53" s="49" t="n">
        <v>2036</v>
      </c>
      <c r="S53" s="49" t="n">
        <v>2037</v>
      </c>
      <c r="T53" s="49" t="n">
        <v>2038</v>
      </c>
      <c r="U53" s="49" t="n">
        <v>2039</v>
      </c>
      <c r="V53" s="49" t="n">
        <v>2040</v>
      </c>
      <c r="W53" s="49" t="n">
        <v>2041</v>
      </c>
    </row>
    <row r="54">
      <c r="A54" s="32" t="str">
        <f>$A$52</f>
        <v>mit.ghg.tot.tot</v>
      </c>
      <c r="B54" s="33">
        <f>INDEX($D$13:$M$13,ROWS($B$54:B54))</f>
        <v>1.0</v>
      </c>
      <c r="C54" s="12" t="str">
        <f>INDEX($D$14:$M$14,ROWS($B$54:B54))</f>
        <v>S1: 1</v>
      </c>
      <c r="D54" s="27">
        <f>IF($B54="",NA(),IFERROR(INDEX(SSAll,MATCH($A54,SSStem,0),MATCH($B54,SSScen,0)+MATCH(D$53,SCYear,0)),""))</f>
        <v>400.907371962031</v>
      </c>
      <c r="E54" s="27">
        <f>IF($B54="",NA(),IFERROR(INDEX(SSAll,MATCH($A54,SSStem,0),MATCH($B54,SSScen,0)+MATCH(E$53,SCYear,0)),""))</f>
        <v>411.8493739272828</v>
      </c>
      <c r="F54" s="27">
        <f>IF($B54="",NA(),IFERROR(INDEX(SSAll,MATCH($A54,SSStem,0),MATCH($B54,SSScen,0)+MATCH(F$53,SCYear,0)),""))</f>
        <v>455.5912451195792</v>
      </c>
      <c r="G54" s="27">
        <f>IF($B54="",NA(),IFERROR(INDEX(SSAll,MATCH($A54,SSStem,0),MATCH($B54,SSScen,0)+MATCH(G$53,SCYear,0)),""))</f>
        <v>477.367023582744</v>
      </c>
      <c r="H54" s="27">
        <f>IF($B54="",NA(),IFERROR(INDEX(SSAll,MATCH($A54,SSStem,0),MATCH($B54,SSScen,0)+MATCH(H$53,SCYear,0)),""))</f>
        <v>487.8679324219555</v>
      </c>
      <c r="I54" s="27">
        <f>IF($B54="",NA(),IFERROR(INDEX(SSAll,MATCH($A54,SSStem,0),MATCH($B54,SSScen,0)+MATCH(I$53,SCYear,0)),""))</f>
        <v>498.9940506265089</v>
      </c>
      <c r="J54" s="27">
        <f>IF($B54="",NA(),IFERROR(INDEX(SSAll,MATCH($A54,SSStem,0),MATCH($B54,SSScen,0)+MATCH(J$53,SCYear,0)),""))</f>
        <v>511.7327951028359</v>
      </c>
      <c r="K54" s="27">
        <f>IF($B54="",NA(),IFERROR(INDEX(SSAll,MATCH($A54,SSStem,0),MATCH($B54,SSScen,0)+MATCH(K$53,SCYear,0)),""))</f>
        <v>524.3227321572509</v>
      </c>
      <c r="L54" s="27">
        <f>IF($B54="",NA(),IFERROR(INDEX(SSAll,MATCH($A54,SSStem,0),MATCH($B54,SSScen,0)+MATCH(L$53,SCYear,0)),""))</f>
        <v>535.2750476722754</v>
      </c>
      <c r="M54" s="27">
        <f>IF($B54="",NA(),IFERROR(INDEX(SSAll,MATCH($A54,SSStem,0),MATCH($B54,SSScen,0)+MATCH(M$53,SCYear,0)),""))</f>
        <v>543.0462666938312</v>
      </c>
      <c r="N54" s="27">
        <f>IF($B54="",NA(),IFERROR(INDEX(SSAll,MATCH($A54,SSStem,0),MATCH($B54,SSScen,0)+MATCH(N$53,SCYear,0)),""))</f>
        <v>550.4542102915813</v>
      </c>
      <c r="O54" s="27">
        <f>IF($B54="",NA(),IFERROR(INDEX(SSAll,MATCH($A54,SSStem,0),MATCH($B54,SSScen,0)+MATCH(O$53,SCYear,0)),""))</f>
        <v>560.8952017747755</v>
      </c>
      <c r="P54" s="27">
        <f>IF($B54="",NA(),IFERROR(INDEX(SSAll,MATCH($A54,SSStem,0),MATCH($B54,SSScen,0)+MATCH(P$53,SCYear,0)),""))</f>
        <v>570.8122366465351</v>
      </c>
      <c r="Q54" s="27">
        <f>IF($B54="",NA(),IFERROR(INDEX(SSAll,MATCH($A54,SSStem,0),MATCH($B54,SSScen,0)+MATCH(Q$53,SCYear,0)),""))</f>
        <v>581.2828013793843</v>
      </c>
      <c r="R54" s="27">
        <f>IF($B54="",NA(),IFERROR(INDEX(SSAll,MATCH($A54,SSStem,0),MATCH($B54,SSScen,0)+MATCH(R$53,SCYear,0)),""))</f>
        <v>591.8481764587899</v>
      </c>
      <c r="S54" s="27">
        <f>IF($B54="",NA(),IFERROR(INDEX(SSAll,MATCH($A54,SSStem,0),MATCH($B54,SSScen,0)+MATCH(S$53,SCYear,0)),""))</f>
        <v>602.5664249221759</v>
      </c>
      <c r="T54" s="27">
        <f>IF($B54="",NA(),IFERROR(INDEX(SSAll,MATCH($A54,SSStem,0),MATCH($B54,SSScen,0)+MATCH(T$53,SCYear,0)),""))</f>
        <v>613.4122424790567</v>
      </c>
      <c r="U54" s="27">
        <f>IF($B54="",NA(),IFERROR(INDEX(SSAll,MATCH($A54,SSStem,0),MATCH($B54,SSScen,0)+MATCH(U$53,SCYear,0)),""))</f>
        <v>624.3849938342321</v>
      </c>
      <c r="V54" s="27">
        <f>IF($B54="",NA(),IFERROR(INDEX(SSAll,MATCH($A54,SSStem,0),MATCH($B54,SSScen,0)+MATCH(V$53,SCYear,0)),""))</f>
        <v>635.485818984637</v>
      </c>
      <c r="W54" s="27">
        <f>IF($B54="",NA(),IFERROR(INDEX(SSAll,MATCH($A54,SSStem,0),MATCH($B54,SSScen,0)+MATCH(W$53,SCYear,0)),""))</f>
        <v>646.7067249074234</v>
      </c>
    </row>
    <row r="55">
      <c r="A55" s="32" t="str">
        <f>$A$52</f>
        <v>mit.ghg.tot.tot</v>
      </c>
      <c r="B55" s="33">
        <f>INDEX($D$13:$M$13,ROWS($B$54:B55))</f>
        <v>3.0</v>
      </c>
      <c r="C55" s="12" t="str">
        <f>INDEX($D$14:$M$14,ROWS($B$54:B55))</f>
        <v>S2: 3</v>
      </c>
      <c r="D55" s="27">
        <f>IF($B55="",NA(),IFERROR(INDEX(SSAll,MATCH($A55,SSStem,0),MATCH($B55,SSScen,0)+MATCH(D$53,SCYear,0)),""))</f>
        <v>400.907371962031</v>
      </c>
      <c r="E55" s="27">
        <f>IF($B55="",NA(),IFERROR(INDEX(SSAll,MATCH($A55,SSStem,0),MATCH($B55,SSScen,0)+MATCH(E$53,SCYear,0)),""))</f>
        <v>411.7956006169471</v>
      </c>
      <c r="F55" s="27">
        <f>IF($B55="",NA(),IFERROR(INDEX(SSAll,MATCH($A55,SSStem,0),MATCH($B55,SSScen,0)+MATCH(F$53,SCYear,0)),""))</f>
        <v>455.5394140635099</v>
      </c>
      <c r="G55" s="27">
        <f>IF($B55="",NA(),IFERROR(INDEX(SSAll,MATCH($A55,SSStem,0),MATCH($B55,SSScen,0)+MATCH(G$53,SCYear,0)),""))</f>
        <v>477.3170921198081</v>
      </c>
      <c r="H55" s="27">
        <f>IF($B55="",NA(),IFERROR(INDEX(SSAll,MATCH($A55,SSStem,0),MATCH($B55,SSScen,0)+MATCH(H$53,SCYear,0)),""))</f>
        <v>487.8179842896306</v>
      </c>
      <c r="I55" s="27">
        <f>IF($B55="",NA(),IFERROR(INDEX(SSAll,MATCH($A55,SSStem,0),MATCH($B55,SSScen,0)+MATCH(I$53,SCYear,0)),""))</f>
        <v>465.6350389675748</v>
      </c>
      <c r="J55" s="27">
        <f>IF($B55="",NA(),IFERROR(INDEX(SSAll,MATCH($A55,SSStem,0),MATCH($B55,SSScen,0)+MATCH(J$53,SCYear,0)),""))</f>
        <v>467.1358148753246</v>
      </c>
      <c r="K55" s="27">
        <f>IF($B55="",NA(),IFERROR(INDEX(SSAll,MATCH($A55,SSStem,0),MATCH($B55,SSScen,0)+MATCH(K$53,SCYear,0)),""))</f>
        <v>480.7699538755503</v>
      </c>
      <c r="L55" s="27">
        <f>IF($B55="",NA(),IFERROR(INDEX(SSAll,MATCH($A55,SSStem,0),MATCH($B55,SSScen,0)+MATCH(L$53,SCYear,0)),""))</f>
        <v>489.4711104157711</v>
      </c>
      <c r="M55" s="27">
        <f>IF($B55="",NA(),IFERROR(INDEX(SSAll,MATCH($A55,SSStem,0),MATCH($B55,SSScen,0)+MATCH(M$53,SCYear,0)),""))</f>
        <v>497.7223215289596</v>
      </c>
      <c r="N55" s="27">
        <f>IF($B55="",NA(),IFERROR(INDEX(SSAll,MATCH($A55,SSStem,0),MATCH($B55,SSScen,0)+MATCH(N$53,SCYear,0)),""))</f>
        <v>504.1723062846551</v>
      </c>
      <c r="O55" s="27">
        <f>IF($B55="",NA(),IFERROR(INDEX(SSAll,MATCH($A55,SSStem,0),MATCH($B55,SSScen,0)+MATCH(O$53,SCYear,0)),""))</f>
        <v>514.3541286568825</v>
      </c>
      <c r="P55" s="27">
        <f>IF($B55="",NA(),IFERROR(INDEX(SSAll,MATCH($A55,SSStem,0),MATCH($B55,SSScen,0)+MATCH(P$53,SCYear,0)),""))</f>
        <v>523.2774911148235</v>
      </c>
      <c r="Q55" s="27">
        <f>IF($B55="",NA(),IFERROR(INDEX(SSAll,MATCH($A55,SSStem,0),MATCH($B55,SSScen,0)+MATCH(Q$53,SCYear,0)),""))</f>
        <v>533.0707076923368</v>
      </c>
      <c r="R55" s="27">
        <f>IF($B55="",NA(),IFERROR(INDEX(SSAll,MATCH($A55,SSStem,0),MATCH($B55,SSScen,0)+MATCH(R$53,SCYear,0)),""))</f>
        <v>542.9986651461529</v>
      </c>
      <c r="S55" s="27">
        <f>IF($B55="",NA(),IFERROR(INDEX(SSAll,MATCH($A55,SSStem,0),MATCH($B55,SSScen,0)+MATCH(S$53,SCYear,0)),""))</f>
        <v>553.2201392707085</v>
      </c>
      <c r="T55" s="27">
        <f>IF($B55="",NA(),IFERROR(INDEX(SSAll,MATCH($A55,SSStem,0),MATCH($B55,SSScen,0)+MATCH(T$53,SCYear,0)),""))</f>
        <v>563.3816147250581</v>
      </c>
      <c r="U55" s="27">
        <f>IF($B55="",NA(),IFERROR(INDEX(SSAll,MATCH($A55,SSStem,0),MATCH($B55,SSScen,0)+MATCH(U$53,SCYear,0)),""))</f>
        <v>573.5878023652765</v>
      </c>
      <c r="V55" s="27">
        <f>IF($B55="",NA(),IFERROR(INDEX(SSAll,MATCH($A55,SSStem,0),MATCH($B55,SSScen,0)+MATCH(V$53,SCYear,0)),""))</f>
        <v>583.6830150941757</v>
      </c>
      <c r="W55" s="27">
        <f>IF($B55="",NA(),IFERROR(INDEX(SSAll,MATCH($A55,SSStem,0),MATCH($B55,SSScen,0)+MATCH(W$53,SCYear,0)),""))</f>
        <v>593.8321313288295</v>
      </c>
    </row>
    <row r="56">
      <c r="A56" s="32" t="str">
        <f>$A$52</f>
        <v>mit.ghg.tot.tot</v>
      </c>
      <c r="B56" s="33">
        <f>INDEX($D$13:$M$13,ROWS($B$54:B56))</f>
        <v>4.0</v>
      </c>
      <c r="C56" s="12" t="str">
        <f>INDEX($D$14:$M$14,ROWS($B$54:B56))</f>
        <v>S3: 4</v>
      </c>
      <c r="D56" s="27">
        <f>IF($B56="",NA(),IFERROR(INDEX(SSAll,MATCH($A56,SSStem,0),MATCH($B56,SSScen,0)+MATCH(D$53,SCYear,0)),""))</f>
        <v>400.907371962031</v>
      </c>
      <c r="E56" s="27">
        <f>IF($B56="",NA(),IFERROR(INDEX(SSAll,MATCH($A56,SSStem,0),MATCH($B56,SSScen,0)+MATCH(E$53,SCYear,0)),""))</f>
        <v>411.6632173116172</v>
      </c>
      <c r="F56" s="27">
        <f>IF($B56="",NA(),IFERROR(INDEX(SSAll,MATCH($A56,SSStem,0),MATCH($B56,SSScen,0)+MATCH(F$53,SCYear,0)),""))</f>
        <v>455.411820465865</v>
      </c>
      <c r="G56" s="27">
        <f>IF($B56="",NA(),IFERROR(INDEX(SSAll,MATCH($A56,SSStem,0),MATCH($B56,SSScen,0)+MATCH(G$53,SCYear,0)),""))</f>
        <v>477.1941827099729</v>
      </c>
      <c r="H56" s="27">
        <f>IF($B56="",NA(),IFERROR(INDEX(SSAll,MATCH($A56,SSStem,0),MATCH($B56,SSScen,0)+MATCH(H$53,SCYear,0)),""))</f>
        <v>487.6952785745893</v>
      </c>
      <c r="I56" s="27">
        <f>IF($B56="",NA(),IFERROR(INDEX(SSAll,MATCH($A56,SSStem,0),MATCH($B56,SSScen,0)+MATCH(I$53,SCYear,0)),""))</f>
        <v>477.3842824608626</v>
      </c>
      <c r="J56" s="27">
        <f>IF($B56="",NA(),IFERROR(INDEX(SSAll,MATCH($A56,SSStem,0),MATCH($B56,SSScen,0)+MATCH(J$53,SCYear,0)),""))</f>
        <v>461.5762650335319</v>
      </c>
      <c r="K56" s="27">
        <f>IF($B56="",NA(),IFERROR(INDEX(SSAll,MATCH($A56,SSStem,0),MATCH($B56,SSScen,0)+MATCH(K$53,SCYear,0)),""))</f>
        <v>446.3051806914847</v>
      </c>
      <c r="L56" s="27">
        <f>IF($B56="",NA(),IFERROR(INDEX(SSAll,MATCH($A56,SSStem,0),MATCH($B56,SSScen,0)+MATCH(L$53,SCYear,0)),""))</f>
        <v>436.4654320931255</v>
      </c>
      <c r="M56" s="27">
        <f>IF($B56="",NA(),IFERROR(INDEX(SSAll,MATCH($A56,SSStem,0),MATCH($B56,SSScen,0)+MATCH(M$53,SCYear,0)),""))</f>
        <v>431.7653360672332</v>
      </c>
      <c r="N56" s="27">
        <f>IF($B56="",NA(),IFERROR(INDEX(SSAll,MATCH($A56,SSStem,0),MATCH($B56,SSScen,0)+MATCH(N$53,SCYear,0)),""))</f>
        <v>424.5121966912087</v>
      </c>
      <c r="O56" s="27">
        <f>IF($B56="",NA(),IFERROR(INDEX(SSAll,MATCH($A56,SSStem,0),MATCH($B56,SSScen,0)+MATCH(O$53,SCYear,0)),""))</f>
        <v>421.3257560530706</v>
      </c>
      <c r="P56" s="27">
        <f>IF($B56="",NA(),IFERROR(INDEX(SSAll,MATCH($A56,SSStem,0),MATCH($B56,SSScen,0)+MATCH(P$53,SCYear,0)),""))</f>
        <v>416.6451791808166</v>
      </c>
      <c r="Q56" s="27">
        <f>IF($B56="",NA(),IFERROR(INDEX(SSAll,MATCH($A56,SSStem,0),MATCH($B56,SSScen,0)+MATCH(Q$53,SCYear,0)),""))</f>
        <v>414.3175462502157</v>
      </c>
      <c r="R56" s="27">
        <f>IF($B56="",NA(),IFERROR(INDEX(SSAll,MATCH($A56,SSStem,0),MATCH($B56,SSScen,0)+MATCH(R$53,SCYear,0)),""))</f>
        <v>411.1985030914877</v>
      </c>
      <c r="S56" s="27">
        <f>IF($B56="",NA(),IFERROR(INDEX(SSAll,MATCH($A56,SSStem,0),MATCH($B56,SSScen,0)+MATCH(S$53,SCYear,0)),""))</f>
        <v>409.9003763831107</v>
      </c>
      <c r="T56" s="27">
        <f>IF($B56="",NA(),IFERROR(INDEX(SSAll,MATCH($A56,SSStem,0),MATCH($B56,SSScen,0)+MATCH(T$53,SCYear,0)),""))</f>
        <v>407.6288936419126</v>
      </c>
      <c r="U56" s="27">
        <f>IF($B56="",NA(),IFERROR(INDEX(SSAll,MATCH($A56,SSStem,0),MATCH($B56,SSScen,0)+MATCH(U$53,SCYear,0)),""))</f>
        <v>407.2296890745994</v>
      </c>
      <c r="V56" s="27">
        <f>IF($B56="",NA(),IFERROR(INDEX(SSAll,MATCH($A56,SSStem,0),MATCH($B56,SSScen,0)+MATCH(V$53,SCYear,0)),""))</f>
        <v>405.2020111055302</v>
      </c>
      <c r="W56" s="27">
        <f>IF($B56="",NA(),IFERROR(INDEX(SSAll,MATCH($A56,SSStem,0),MATCH($B56,SSScen,0)+MATCH(W$53,SCYear,0)),""))</f>
        <v>405.6995104862749</v>
      </c>
    </row>
    <row r="57">
      <c r="A57" s="32" t="str">
        <f>$A$52</f>
        <v>mit.ghg.tot.tot</v>
      </c>
      <c r="B57" s="33">
        <f>INDEX($D$13:$M$13,ROWS($B$54:B57))</f>
        <v>5.0</v>
      </c>
      <c r="C57" s="12" t="str">
        <f>INDEX($D$14:$M$14,ROWS($B$54:B57))</f>
        <v>S4: 5</v>
      </c>
      <c r="D57" s="27">
        <f>IF($B57="",NA(),IFERROR(INDEX(SSAll,MATCH($A57,SSStem,0),MATCH($B57,SSScen,0)+MATCH(D$53,SCYear,0)),""))</f>
        <v>400.907371962031</v>
      </c>
      <c r="E57" s="27">
        <f>IF($B57="",NA(),IFERROR(INDEX(SSAll,MATCH($A57,SSStem,0),MATCH($B57,SSScen,0)+MATCH(E$53,SCYear,0)),""))</f>
        <v>411.533541238288</v>
      </c>
      <c r="F57" s="27">
        <f>IF($B57="",NA(),IFERROR(INDEX(SSAll,MATCH($A57,SSStem,0),MATCH($B57,SSScen,0)+MATCH(F$53,SCYear,0)),""))</f>
        <v>455.2866771930128</v>
      </c>
      <c r="G57" s="27">
        <f>IF($B57="",NA(),IFERROR(INDEX(SSAll,MATCH($A57,SSStem,0),MATCH($B57,SSScen,0)+MATCH(G$53,SCYear,0)),""))</f>
        <v>477.0734769530223</v>
      </c>
      <c r="H57" s="27">
        <f>IF($B57="",NA(),IFERROR(INDEX(SSAll,MATCH($A57,SSStem,0),MATCH($B57,SSScen,0)+MATCH(H$53,SCYear,0)),""))</f>
        <v>487.5744348994274</v>
      </c>
      <c r="I57" s="27">
        <f>IF($B57="",NA(),IFERROR(INDEX(SSAll,MATCH($A57,SSStem,0),MATCH($B57,SSScen,0)+MATCH(I$53,SCYear,0)),""))</f>
        <v>461.1542919400958</v>
      </c>
      <c r="J57" s="27">
        <f>IF($B57="",NA(),IFERROR(INDEX(SSAll,MATCH($A57,SSStem,0),MATCH($B57,SSScen,0)+MATCH(J$53,SCYear,0)),""))</f>
        <v>471.8942605186606</v>
      </c>
      <c r="K57" s="27">
        <f>IF($B57="",NA(),IFERROR(INDEX(SSAll,MATCH($A57,SSStem,0),MATCH($B57,SSScen,0)+MATCH(K$53,SCYear,0)),""))</f>
        <v>482.6886258643644</v>
      </c>
      <c r="L57" s="27">
        <f>IF($B57="",NA(),IFERROR(INDEX(SSAll,MATCH($A57,SSStem,0),MATCH($B57,SSScen,0)+MATCH(L$53,SCYear,0)),""))</f>
        <v>491.4911128557998</v>
      </c>
      <c r="M57" s="27">
        <f>IF($B57="",NA(),IFERROR(INDEX(SSAll,MATCH($A57,SSStem,0),MATCH($B57,SSScen,0)+MATCH(M$53,SCYear,0)),""))</f>
        <v>496.4429458853407</v>
      </c>
      <c r="N57" s="27">
        <f>IF($B57="",NA(),IFERROR(INDEX(SSAll,MATCH($A57,SSStem,0),MATCH($B57,SSScen,0)+MATCH(N$53,SCYear,0)),""))</f>
        <v>499.6759088942968</v>
      </c>
      <c r="O57" s="27">
        <f>IF($B57="",NA(),IFERROR(INDEX(SSAll,MATCH($A57,SSStem,0),MATCH($B57,SSScen,0)+MATCH(O$53,SCYear,0)),""))</f>
        <v>507.334000037797</v>
      </c>
      <c r="P57" s="27">
        <f>IF($B57="",NA(),IFERROR(INDEX(SSAll,MATCH($A57,SSStem,0),MATCH($B57,SSScen,0)+MATCH(P$53,SCYear,0)),""))</f>
        <v>510.6401721126103</v>
      </c>
      <c r="Q57" s="27">
        <f>IF($B57="",NA(),IFERROR(INDEX(SSAll,MATCH($A57,SSStem,0),MATCH($B57,SSScen,0)+MATCH(Q$53,SCYear,0)),""))</f>
        <v>515.2724017979934</v>
      </c>
      <c r="R57" s="27">
        <f>IF($B57="",NA(),IFERROR(INDEX(SSAll,MATCH($A57,SSStem,0),MATCH($B57,SSScen,0)+MATCH(R$53,SCYear,0)),""))</f>
        <v>520.5830234919694</v>
      </c>
      <c r="S57" s="27">
        <f>IF($B57="",NA(),IFERROR(INDEX(SSAll,MATCH($A57,SSStem,0),MATCH($B57,SSScen,0)+MATCH(S$53,SCYear,0)),""))</f>
        <v>525.3949638740934</v>
      </c>
      <c r="T57" s="27">
        <f>IF($B57="",NA(),IFERROR(INDEX(SSAll,MATCH($A57,SSStem,0),MATCH($B57,SSScen,0)+MATCH(T$53,SCYear,0)),""))</f>
        <v>530.7190416509759</v>
      </c>
      <c r="U57" s="27">
        <f>IF($B57="",NA(),IFERROR(INDEX(SSAll,MATCH($A57,SSStem,0),MATCH($B57,SSScen,0)+MATCH(U$53,SCYear,0)),""))</f>
        <v>536.2948578717206</v>
      </c>
      <c r="V57" s="27">
        <f>IF($B57="",NA(),IFERROR(INDEX(SSAll,MATCH($A57,SSStem,0),MATCH($B57,SSScen,0)+MATCH(V$53,SCYear,0)),""))</f>
        <v>541.6501813518774</v>
      </c>
      <c r="W57" s="27">
        <f>IF($B57="",NA(),IFERROR(INDEX(SSAll,MATCH($A57,SSStem,0),MATCH($B57,SSScen,0)+MATCH(W$53,SCYear,0)),""))</f>
        <v>547.4583201652976</v>
      </c>
    </row>
    <row r="58">
      <c r="A58" s="32" t="str">
        <f>$A$52</f>
        <v>mit.ghg.tot.tot</v>
      </c>
      <c r="B58" s="33">
        <f>INDEX($D$13:$M$13,ROWS($B$54:B58))</f>
        <v>6.0</v>
      </c>
      <c r="C58" s="12" t="str">
        <f>INDEX($D$14:$M$14,ROWS($B$54:B58))</f>
        <v>S5: 6</v>
      </c>
      <c r="D58" s="27">
        <f>IF($B58="",NA(),IFERROR(INDEX(SSAll,MATCH($A58,SSStem,0),MATCH($B58,SSScen,0)+MATCH(D$53,SCYear,0)),""))</f>
        <v>400.907371962031</v>
      </c>
      <c r="E58" s="27">
        <f>IF($B58="",NA(),IFERROR(INDEX(SSAll,MATCH($A58,SSStem,0),MATCH($B58,SSScen,0)+MATCH(E$53,SCYear,0)),""))</f>
        <v>411.7211008389727</v>
      </c>
      <c r="F58" s="27">
        <f>IF($B58="",NA(),IFERROR(INDEX(SSAll,MATCH($A58,SSStem,0),MATCH($B58,SSScen,0)+MATCH(F$53,SCYear,0)),""))</f>
        <v>455.4676083773527</v>
      </c>
      <c r="G58" s="27">
        <f>IF($B58="",NA(),IFERROR(INDEX(SSAll,MATCH($A58,SSStem,0),MATCH($B58,SSScen,0)+MATCH(G$53,SCYear,0)),""))</f>
        <v>477.2479212253145</v>
      </c>
      <c r="H58" s="27">
        <f>IF($B58="",NA(),IFERROR(INDEX(SSAll,MATCH($A58,SSStem,0),MATCH($B58,SSScen,0)+MATCH(H$53,SCYear,0)),""))</f>
        <v>487.7488866140341</v>
      </c>
      <c r="I58" s="27">
        <f>IF($B58="",NA(),IFERROR(INDEX(SSAll,MATCH($A58,SSStem,0),MATCH($B58,SSScen,0)+MATCH(I$53,SCYear,0)),""))</f>
        <v>433.3404904120414</v>
      </c>
      <c r="J58" s="27">
        <f>IF($B58="",NA(),IFERROR(INDEX(SSAll,MATCH($A58,SSStem,0),MATCH($B58,SSScen,0)+MATCH(J$53,SCYear,0)),""))</f>
        <v>422.4535012795561</v>
      </c>
      <c r="K58" s="27">
        <f>IF($B58="",NA(),IFERROR(INDEX(SSAll,MATCH($A58,SSStem,0),MATCH($B58,SSScen,0)+MATCH(K$53,SCYear,0)),""))</f>
        <v>435.1194442729055</v>
      </c>
      <c r="L58" s="27">
        <f>IF($B58="",NA(),IFERROR(INDEX(SSAll,MATCH($A58,SSStem,0),MATCH($B58,SSScen,0)+MATCH(L$53,SCYear,0)),""))</f>
        <v>440.4445836216061</v>
      </c>
      <c r="M58" s="27">
        <f>IF($B58="",NA(),IFERROR(INDEX(SSAll,MATCH($A58,SSStem,0),MATCH($B58,SSScen,0)+MATCH(M$53,SCYear,0)),""))</f>
        <v>451.7446179321894</v>
      </c>
      <c r="N58" s="27">
        <f>IF($B58="",NA(),IFERROR(INDEX(SSAll,MATCH($A58,SSStem,0),MATCH($B58,SSScen,0)+MATCH(N$53,SCYear,0)),""))</f>
        <v>454.431608725362</v>
      </c>
      <c r="O58" s="27">
        <f>IF($B58="",NA(),IFERROR(INDEX(SSAll,MATCH($A58,SSStem,0),MATCH($B58,SSScen,0)+MATCH(O$53,SCYear,0)),""))</f>
        <v>462.168951840351</v>
      </c>
      <c r="P58" s="27">
        <f>IF($B58="",NA(),IFERROR(INDEX(SSAll,MATCH($A58,SSStem,0),MATCH($B58,SSScen,0)+MATCH(P$53,SCYear,0)),""))</f>
        <v>466.9437712802242</v>
      </c>
      <c r="Q58" s="27">
        <f>IF($B58="",NA(),IFERROR(INDEX(SSAll,MATCH($A58,SSStem,0),MATCH($B58,SSScen,0)+MATCH(Q$53,SCYear,0)),""))</f>
        <v>473.5595349282738</v>
      </c>
      <c r="R58" s="27">
        <f>IF($B58="",NA(),IFERROR(INDEX(SSAll,MATCH($A58,SSStem,0),MATCH($B58,SSScen,0)+MATCH(R$53,SCYear,0)),""))</f>
        <v>479.5064250321457</v>
      </c>
      <c r="S58" s="27">
        <f>IF($B58="",NA(),IFERROR(INDEX(SSAll,MATCH($A58,SSStem,0),MATCH($B58,SSScen,0)+MATCH(S$53,SCYear,0)),""))</f>
        <v>486.6560720461907</v>
      </c>
      <c r="T58" s="27">
        <f>IF($B58="",NA(),IFERROR(INDEX(SSAll,MATCH($A58,SSStem,0),MATCH($B58,SSScen,0)+MATCH(T$53,SCYear,0)),""))</f>
        <v>492.9430453771273</v>
      </c>
      <c r="U58" s="27">
        <f>IF($B58="",NA(),IFERROR(INDEX(SSAll,MATCH($A58,SSStem,0),MATCH($B58,SSScen,0)+MATCH(U$53,SCYear,0)),""))</f>
        <v>500.0742481041274</v>
      </c>
      <c r="V58" s="27">
        <f>IF($B58="",NA(),IFERROR(INDEX(SSAll,MATCH($A58,SSStem,0),MATCH($B58,SSScen,0)+MATCH(V$53,SCYear,0)),""))</f>
        <v>506.3820352706787</v>
      </c>
      <c r="W58" s="27">
        <f>IF($B58="",NA(),IFERROR(INDEX(SSAll,MATCH($A58,SSStem,0),MATCH($B58,SSScen,0)+MATCH(W$53,SCYear,0)),""))</f>
        <v>513.4526446539764</v>
      </c>
    </row>
    <row r="59">
      <c r="A59" s="32" t="str">
        <f>$A$52</f>
        <v>mit.ghg.tot.tot</v>
      </c>
      <c r="B59" s="33" t="str">
        <f>INDEX($D$13:$M$13,ROWS($B$54:B59))</f>
        <v/>
      </c>
      <c r="C59" s="12" t="str">
        <f>INDEX($D$14:$M$14,ROWS($B$54:B59))</f>
        <v/>
      </c>
      <c r="D59" s="27" t="e">
        <f>IF($B59="",NA(),IFERROR(INDEX(SSAll,MATCH($A59,SSStem,0),MATCH($B59,SSScen,0)+MATCH(D$53,SCYear,0)),""))</f>
        <v>#N/A</v>
      </c>
      <c r="E59" s="27" t="e">
        <f>IF($B59="",NA(),IFERROR(INDEX(SSAll,MATCH($A59,SSStem,0),MATCH($B59,SSScen,0)+MATCH(E$53,SCYear,0)),""))</f>
        <v>#N/A</v>
      </c>
      <c r="F59" s="27" t="e">
        <f>IF($B59="",NA(),IFERROR(INDEX(SSAll,MATCH($A59,SSStem,0),MATCH($B59,SSScen,0)+MATCH(F$53,SCYear,0)),""))</f>
        <v>#N/A</v>
      </c>
      <c r="G59" s="27" t="e">
        <f>IF($B59="",NA(),IFERROR(INDEX(SSAll,MATCH($A59,SSStem,0),MATCH($B59,SSScen,0)+MATCH(G$53,SCYear,0)),""))</f>
        <v>#N/A</v>
      </c>
      <c r="H59" s="27" t="e">
        <f>IF($B59="",NA(),IFERROR(INDEX(SSAll,MATCH($A59,SSStem,0),MATCH($B59,SSScen,0)+MATCH(H$53,SCYear,0)),""))</f>
        <v>#N/A</v>
      </c>
      <c r="I59" s="27" t="e">
        <f>IF($B59="",NA(),IFERROR(INDEX(SSAll,MATCH($A59,SSStem,0),MATCH($B59,SSScen,0)+MATCH(I$53,SCYear,0)),""))</f>
        <v>#N/A</v>
      </c>
      <c r="J59" s="27" t="e">
        <f>IF($B59="",NA(),IFERROR(INDEX(SSAll,MATCH($A59,SSStem,0),MATCH($B59,SSScen,0)+MATCH(J$53,SCYear,0)),""))</f>
        <v>#N/A</v>
      </c>
      <c r="K59" s="27" t="e">
        <f>IF($B59="",NA(),IFERROR(INDEX(SSAll,MATCH($A59,SSStem,0),MATCH($B59,SSScen,0)+MATCH(K$53,SCYear,0)),""))</f>
        <v>#N/A</v>
      </c>
      <c r="L59" s="27" t="e">
        <f>IF($B59="",NA(),IFERROR(INDEX(SSAll,MATCH($A59,SSStem,0),MATCH($B59,SSScen,0)+MATCH(L$53,SCYear,0)),""))</f>
        <v>#N/A</v>
      </c>
      <c r="M59" s="27" t="e">
        <f>IF($B59="",NA(),IFERROR(INDEX(SSAll,MATCH($A59,SSStem,0),MATCH($B59,SSScen,0)+MATCH(M$53,SCYear,0)),""))</f>
        <v>#N/A</v>
      </c>
      <c r="N59" s="27" t="e">
        <f>IF($B59="",NA(),IFERROR(INDEX(SSAll,MATCH($A59,SSStem,0),MATCH($B59,SSScen,0)+MATCH(N$53,SCYear,0)),""))</f>
        <v>#N/A</v>
      </c>
      <c r="O59" s="27" t="e">
        <f>IF($B59="",NA(),IFERROR(INDEX(SSAll,MATCH($A59,SSStem,0),MATCH($B59,SSScen,0)+MATCH(O$53,SCYear,0)),""))</f>
        <v>#N/A</v>
      </c>
      <c r="P59" s="27" t="e">
        <f>IF($B59="",NA(),IFERROR(INDEX(SSAll,MATCH($A59,SSStem,0),MATCH($B59,SSScen,0)+MATCH(P$53,SCYear,0)),""))</f>
        <v>#N/A</v>
      </c>
      <c r="Q59" s="27" t="e">
        <f>IF($B59="",NA(),IFERROR(INDEX(SSAll,MATCH($A59,SSStem,0),MATCH($B59,SSScen,0)+MATCH(Q$53,SCYear,0)),""))</f>
        <v>#N/A</v>
      </c>
      <c r="R59" s="27" t="e">
        <f>IF($B59="",NA(),IFERROR(INDEX(SSAll,MATCH($A59,SSStem,0),MATCH($B59,SSScen,0)+MATCH(R$53,SCYear,0)),""))</f>
        <v>#N/A</v>
      </c>
      <c r="S59" s="27" t="e">
        <f>IF($B59="",NA(),IFERROR(INDEX(SSAll,MATCH($A59,SSStem,0),MATCH($B59,SSScen,0)+MATCH(S$53,SCYear,0)),""))</f>
        <v>#N/A</v>
      </c>
      <c r="T59" s="27" t="e">
        <f>IF($B59="",NA(),IFERROR(INDEX(SSAll,MATCH($A59,SSStem,0),MATCH($B59,SSScen,0)+MATCH(T$53,SCYear,0)),""))</f>
        <v>#N/A</v>
      </c>
      <c r="U59" s="27" t="e">
        <f>IF($B59="",NA(),IFERROR(INDEX(SSAll,MATCH($A59,SSStem,0),MATCH($B59,SSScen,0)+MATCH(U$53,SCYear,0)),""))</f>
        <v>#N/A</v>
      </c>
      <c r="V59" s="27" t="e">
        <f>IF($B59="",NA(),IFERROR(INDEX(SSAll,MATCH($A59,SSStem,0),MATCH($B59,SSScen,0)+MATCH(V$53,SCYear,0)),""))</f>
        <v>#N/A</v>
      </c>
      <c r="W59" s="27" t="e">
        <f>IF($B59="",NA(),IFERROR(INDEX(SSAll,MATCH($A59,SSStem,0),MATCH($B59,SSScen,0)+MATCH(W$53,SCYear,0)),""))</f>
        <v>#N/A</v>
      </c>
    </row>
    <row r="60">
      <c r="A60" s="32" t="str">
        <f>$A$52</f>
        <v>mit.ghg.tot.tot</v>
      </c>
      <c r="B60" s="33" t="str">
        <f>INDEX($D$13:$M$13,ROWS($B$54:B60))</f>
        <v/>
      </c>
      <c r="C60" s="12" t="str">
        <f>INDEX($D$14:$M$14,ROWS($B$54:B60))</f>
        <v/>
      </c>
      <c r="D60" s="27" t="e">
        <f>IF($B60="",NA(),IFERROR(INDEX(SSAll,MATCH($A60,SSStem,0),MATCH($B60,SSScen,0)+MATCH(D$53,SCYear,0)),""))</f>
        <v>#N/A</v>
      </c>
      <c r="E60" s="27" t="e">
        <f>IF($B60="",NA(),IFERROR(INDEX(SSAll,MATCH($A60,SSStem,0),MATCH($B60,SSScen,0)+MATCH(E$53,SCYear,0)),""))</f>
        <v>#N/A</v>
      </c>
      <c r="F60" s="27" t="e">
        <f>IF($B60="",NA(),IFERROR(INDEX(SSAll,MATCH($A60,SSStem,0),MATCH($B60,SSScen,0)+MATCH(F$53,SCYear,0)),""))</f>
        <v>#N/A</v>
      </c>
      <c r="G60" s="27" t="e">
        <f>IF($B60="",NA(),IFERROR(INDEX(SSAll,MATCH($A60,SSStem,0),MATCH($B60,SSScen,0)+MATCH(G$53,SCYear,0)),""))</f>
        <v>#N/A</v>
      </c>
      <c r="H60" s="27" t="e">
        <f>IF($B60="",NA(),IFERROR(INDEX(SSAll,MATCH($A60,SSStem,0),MATCH($B60,SSScen,0)+MATCH(H$53,SCYear,0)),""))</f>
        <v>#N/A</v>
      </c>
      <c r="I60" s="27" t="e">
        <f>IF($B60="",NA(),IFERROR(INDEX(SSAll,MATCH($A60,SSStem,0),MATCH($B60,SSScen,0)+MATCH(I$53,SCYear,0)),""))</f>
        <v>#N/A</v>
      </c>
      <c r="J60" s="27" t="e">
        <f>IF($B60="",NA(),IFERROR(INDEX(SSAll,MATCH($A60,SSStem,0),MATCH($B60,SSScen,0)+MATCH(J$53,SCYear,0)),""))</f>
        <v>#N/A</v>
      </c>
      <c r="K60" s="27" t="e">
        <f>IF($B60="",NA(),IFERROR(INDEX(SSAll,MATCH($A60,SSStem,0),MATCH($B60,SSScen,0)+MATCH(K$53,SCYear,0)),""))</f>
        <v>#N/A</v>
      </c>
      <c r="L60" s="27" t="e">
        <f>IF($B60="",NA(),IFERROR(INDEX(SSAll,MATCH($A60,SSStem,0),MATCH($B60,SSScen,0)+MATCH(L$53,SCYear,0)),""))</f>
        <v>#N/A</v>
      </c>
      <c r="M60" s="27" t="e">
        <f>IF($B60="",NA(),IFERROR(INDEX(SSAll,MATCH($A60,SSStem,0),MATCH($B60,SSScen,0)+MATCH(M$53,SCYear,0)),""))</f>
        <v>#N/A</v>
      </c>
      <c r="N60" s="27" t="e">
        <f>IF($B60="",NA(),IFERROR(INDEX(SSAll,MATCH($A60,SSStem,0),MATCH($B60,SSScen,0)+MATCH(N$53,SCYear,0)),""))</f>
        <v>#N/A</v>
      </c>
      <c r="O60" s="27" t="e">
        <f>IF($B60="",NA(),IFERROR(INDEX(SSAll,MATCH($A60,SSStem,0),MATCH($B60,SSScen,0)+MATCH(O$53,SCYear,0)),""))</f>
        <v>#N/A</v>
      </c>
      <c r="P60" s="27" t="e">
        <f>IF($B60="",NA(),IFERROR(INDEX(SSAll,MATCH($A60,SSStem,0),MATCH($B60,SSScen,0)+MATCH(P$53,SCYear,0)),""))</f>
        <v>#N/A</v>
      </c>
      <c r="Q60" s="27" t="e">
        <f>IF($B60="",NA(),IFERROR(INDEX(SSAll,MATCH($A60,SSStem,0),MATCH($B60,SSScen,0)+MATCH(Q$53,SCYear,0)),""))</f>
        <v>#N/A</v>
      </c>
      <c r="R60" s="27" t="e">
        <f>IF($B60="",NA(),IFERROR(INDEX(SSAll,MATCH($A60,SSStem,0),MATCH($B60,SSScen,0)+MATCH(R$53,SCYear,0)),""))</f>
        <v>#N/A</v>
      </c>
      <c r="S60" s="27" t="e">
        <f>IF($B60="",NA(),IFERROR(INDEX(SSAll,MATCH($A60,SSStem,0),MATCH($B60,SSScen,0)+MATCH(S$53,SCYear,0)),""))</f>
        <v>#N/A</v>
      </c>
      <c r="T60" s="27" t="e">
        <f>IF($B60="",NA(),IFERROR(INDEX(SSAll,MATCH($A60,SSStem,0),MATCH($B60,SSScen,0)+MATCH(T$53,SCYear,0)),""))</f>
        <v>#N/A</v>
      </c>
      <c r="U60" s="27" t="e">
        <f>IF($B60="",NA(),IFERROR(INDEX(SSAll,MATCH($A60,SSStem,0),MATCH($B60,SSScen,0)+MATCH(U$53,SCYear,0)),""))</f>
        <v>#N/A</v>
      </c>
      <c r="V60" s="27" t="e">
        <f>IF($B60="",NA(),IFERROR(INDEX(SSAll,MATCH($A60,SSStem,0),MATCH($B60,SSScen,0)+MATCH(V$53,SCYear,0)),""))</f>
        <v>#N/A</v>
      </c>
      <c r="W60" s="27" t="e">
        <f>IF($B60="",NA(),IFERROR(INDEX(SSAll,MATCH($A60,SSStem,0),MATCH($B60,SSScen,0)+MATCH(W$53,SCYear,0)),""))</f>
        <v>#N/A</v>
      </c>
    </row>
    <row r="61">
      <c r="A61" s="32" t="str">
        <f>$A$52</f>
        <v>mit.ghg.tot.tot</v>
      </c>
      <c r="B61" s="33" t="str">
        <f>INDEX($D$13:$M$13,ROWS($B$54:B61))</f>
        <v/>
      </c>
      <c r="C61" s="12" t="str">
        <f>INDEX($D$14:$M$14,ROWS($B$54:B61))</f>
        <v/>
      </c>
      <c r="D61" s="27" t="e">
        <f>IF($B61="",NA(),IFERROR(INDEX(SSAll,MATCH($A61,SSStem,0),MATCH($B61,SSScen,0)+MATCH(D$53,SCYear,0)),""))</f>
        <v>#N/A</v>
      </c>
      <c r="E61" s="27" t="e">
        <f>IF($B61="",NA(),IFERROR(INDEX(SSAll,MATCH($A61,SSStem,0),MATCH($B61,SSScen,0)+MATCH(E$53,SCYear,0)),""))</f>
        <v>#N/A</v>
      </c>
      <c r="F61" s="27" t="e">
        <f>IF($B61="",NA(),IFERROR(INDEX(SSAll,MATCH($A61,SSStem,0),MATCH($B61,SSScen,0)+MATCH(F$53,SCYear,0)),""))</f>
        <v>#N/A</v>
      </c>
      <c r="G61" s="27" t="e">
        <f>IF($B61="",NA(),IFERROR(INDEX(SSAll,MATCH($A61,SSStem,0),MATCH($B61,SSScen,0)+MATCH(G$53,SCYear,0)),""))</f>
        <v>#N/A</v>
      </c>
      <c r="H61" s="27" t="e">
        <f>IF($B61="",NA(),IFERROR(INDEX(SSAll,MATCH($A61,SSStem,0),MATCH($B61,SSScen,0)+MATCH(H$53,SCYear,0)),""))</f>
        <v>#N/A</v>
      </c>
      <c r="I61" s="27" t="e">
        <f>IF($B61="",NA(),IFERROR(INDEX(SSAll,MATCH($A61,SSStem,0),MATCH($B61,SSScen,0)+MATCH(I$53,SCYear,0)),""))</f>
        <v>#N/A</v>
      </c>
      <c r="J61" s="27" t="e">
        <f>IF($B61="",NA(),IFERROR(INDEX(SSAll,MATCH($A61,SSStem,0),MATCH($B61,SSScen,0)+MATCH(J$53,SCYear,0)),""))</f>
        <v>#N/A</v>
      </c>
      <c r="K61" s="27" t="e">
        <f>IF($B61="",NA(),IFERROR(INDEX(SSAll,MATCH($A61,SSStem,0),MATCH($B61,SSScen,0)+MATCH(K$53,SCYear,0)),""))</f>
        <v>#N/A</v>
      </c>
      <c r="L61" s="27" t="e">
        <f>IF($B61="",NA(),IFERROR(INDEX(SSAll,MATCH($A61,SSStem,0),MATCH($B61,SSScen,0)+MATCH(L$53,SCYear,0)),""))</f>
        <v>#N/A</v>
      </c>
      <c r="M61" s="27" t="e">
        <f>IF($B61="",NA(),IFERROR(INDEX(SSAll,MATCH($A61,SSStem,0),MATCH($B61,SSScen,0)+MATCH(M$53,SCYear,0)),""))</f>
        <v>#N/A</v>
      </c>
      <c r="N61" s="27" t="e">
        <f>IF($B61="",NA(),IFERROR(INDEX(SSAll,MATCH($A61,SSStem,0),MATCH($B61,SSScen,0)+MATCH(N$53,SCYear,0)),""))</f>
        <v>#N/A</v>
      </c>
      <c r="O61" s="27" t="e">
        <f>IF($B61="",NA(),IFERROR(INDEX(SSAll,MATCH($A61,SSStem,0),MATCH($B61,SSScen,0)+MATCH(O$53,SCYear,0)),""))</f>
        <v>#N/A</v>
      </c>
      <c r="P61" s="27" t="e">
        <f>IF($B61="",NA(),IFERROR(INDEX(SSAll,MATCH($A61,SSStem,0),MATCH($B61,SSScen,0)+MATCH(P$53,SCYear,0)),""))</f>
        <v>#N/A</v>
      </c>
      <c r="Q61" s="27" t="e">
        <f>IF($B61="",NA(),IFERROR(INDEX(SSAll,MATCH($A61,SSStem,0),MATCH($B61,SSScen,0)+MATCH(Q$53,SCYear,0)),""))</f>
        <v>#N/A</v>
      </c>
      <c r="R61" s="27" t="e">
        <f>IF($B61="",NA(),IFERROR(INDEX(SSAll,MATCH($A61,SSStem,0),MATCH($B61,SSScen,0)+MATCH(R$53,SCYear,0)),""))</f>
        <v>#N/A</v>
      </c>
      <c r="S61" s="27" t="e">
        <f>IF($B61="",NA(),IFERROR(INDEX(SSAll,MATCH($A61,SSStem,0),MATCH($B61,SSScen,0)+MATCH(S$53,SCYear,0)),""))</f>
        <v>#N/A</v>
      </c>
      <c r="T61" s="27" t="e">
        <f>IF($B61="",NA(),IFERROR(INDEX(SSAll,MATCH($A61,SSStem,0),MATCH($B61,SSScen,0)+MATCH(T$53,SCYear,0)),""))</f>
        <v>#N/A</v>
      </c>
      <c r="U61" s="27" t="e">
        <f>IF($B61="",NA(),IFERROR(INDEX(SSAll,MATCH($A61,SSStem,0),MATCH($B61,SSScen,0)+MATCH(U$53,SCYear,0)),""))</f>
        <v>#N/A</v>
      </c>
      <c r="V61" s="27" t="e">
        <f>IF($B61="",NA(),IFERROR(INDEX(SSAll,MATCH($A61,SSStem,0),MATCH($B61,SSScen,0)+MATCH(V$53,SCYear,0)),""))</f>
        <v>#N/A</v>
      </c>
      <c r="W61" s="27" t="e">
        <f>IF($B61="",NA(),IFERROR(INDEX(SSAll,MATCH($A61,SSStem,0),MATCH($B61,SSScen,0)+MATCH(W$53,SCYear,0)),""))</f>
        <v>#N/A</v>
      </c>
    </row>
    <row r="62">
      <c r="A62" s="32" t="str">
        <f>$A$52</f>
        <v>mit.ghg.tot.tot</v>
      </c>
      <c r="B62" s="33" t="str">
        <f>INDEX($D$13:$M$13,ROWS($B$54:B62))</f>
        <v/>
      </c>
      <c r="C62" s="12" t="str">
        <f>INDEX($D$14:$M$14,ROWS($B$54:B62))</f>
        <v/>
      </c>
      <c r="D62" s="27" t="e">
        <f>IF($B62="",NA(),IFERROR(INDEX(SSAll,MATCH($A62,SSStem,0),MATCH($B62,SSScen,0)+MATCH(D$53,SCYear,0)),""))</f>
        <v>#N/A</v>
      </c>
      <c r="E62" s="27" t="e">
        <f>IF($B62="",NA(),IFERROR(INDEX(SSAll,MATCH($A62,SSStem,0),MATCH($B62,SSScen,0)+MATCH(E$53,SCYear,0)),""))</f>
        <v>#N/A</v>
      </c>
      <c r="F62" s="27" t="e">
        <f>IF($B62="",NA(),IFERROR(INDEX(SSAll,MATCH($A62,SSStem,0),MATCH($B62,SSScen,0)+MATCH(F$53,SCYear,0)),""))</f>
        <v>#N/A</v>
      </c>
      <c r="G62" s="27" t="e">
        <f>IF($B62="",NA(),IFERROR(INDEX(SSAll,MATCH($A62,SSStem,0),MATCH($B62,SSScen,0)+MATCH(G$53,SCYear,0)),""))</f>
        <v>#N/A</v>
      </c>
      <c r="H62" s="27" t="e">
        <f>IF($B62="",NA(),IFERROR(INDEX(SSAll,MATCH($A62,SSStem,0),MATCH($B62,SSScen,0)+MATCH(H$53,SCYear,0)),""))</f>
        <v>#N/A</v>
      </c>
      <c r="I62" s="27" t="e">
        <f>IF($B62="",NA(),IFERROR(INDEX(SSAll,MATCH($A62,SSStem,0),MATCH($B62,SSScen,0)+MATCH(I$53,SCYear,0)),""))</f>
        <v>#N/A</v>
      </c>
      <c r="J62" s="27" t="e">
        <f>IF($B62="",NA(),IFERROR(INDEX(SSAll,MATCH($A62,SSStem,0),MATCH($B62,SSScen,0)+MATCH(J$53,SCYear,0)),""))</f>
        <v>#N/A</v>
      </c>
      <c r="K62" s="27" t="e">
        <f>IF($B62="",NA(),IFERROR(INDEX(SSAll,MATCH($A62,SSStem,0),MATCH($B62,SSScen,0)+MATCH(K$53,SCYear,0)),""))</f>
        <v>#N/A</v>
      </c>
      <c r="L62" s="27" t="e">
        <f>IF($B62="",NA(),IFERROR(INDEX(SSAll,MATCH($A62,SSStem,0),MATCH($B62,SSScen,0)+MATCH(L$53,SCYear,0)),""))</f>
        <v>#N/A</v>
      </c>
      <c r="M62" s="27" t="e">
        <f>IF($B62="",NA(),IFERROR(INDEX(SSAll,MATCH($A62,SSStem,0),MATCH($B62,SSScen,0)+MATCH(M$53,SCYear,0)),""))</f>
        <v>#N/A</v>
      </c>
      <c r="N62" s="27" t="e">
        <f>IF($B62="",NA(),IFERROR(INDEX(SSAll,MATCH($A62,SSStem,0),MATCH($B62,SSScen,0)+MATCH(N$53,SCYear,0)),""))</f>
        <v>#N/A</v>
      </c>
      <c r="O62" s="27" t="e">
        <f>IF($B62="",NA(),IFERROR(INDEX(SSAll,MATCH($A62,SSStem,0),MATCH($B62,SSScen,0)+MATCH(O$53,SCYear,0)),""))</f>
        <v>#N/A</v>
      </c>
      <c r="P62" s="27" t="e">
        <f>IF($B62="",NA(),IFERROR(INDEX(SSAll,MATCH($A62,SSStem,0),MATCH($B62,SSScen,0)+MATCH(P$53,SCYear,0)),""))</f>
        <v>#N/A</v>
      </c>
      <c r="Q62" s="27" t="e">
        <f>IF($B62="",NA(),IFERROR(INDEX(SSAll,MATCH($A62,SSStem,0),MATCH($B62,SSScen,0)+MATCH(Q$53,SCYear,0)),""))</f>
        <v>#N/A</v>
      </c>
      <c r="R62" s="27" t="e">
        <f>IF($B62="",NA(),IFERROR(INDEX(SSAll,MATCH($A62,SSStem,0),MATCH($B62,SSScen,0)+MATCH(R$53,SCYear,0)),""))</f>
        <v>#N/A</v>
      </c>
      <c r="S62" s="27" t="e">
        <f>IF($B62="",NA(),IFERROR(INDEX(SSAll,MATCH($A62,SSStem,0),MATCH($B62,SSScen,0)+MATCH(S$53,SCYear,0)),""))</f>
        <v>#N/A</v>
      </c>
      <c r="T62" s="27" t="e">
        <f>IF($B62="",NA(),IFERROR(INDEX(SSAll,MATCH($A62,SSStem,0),MATCH($B62,SSScen,0)+MATCH(T$53,SCYear,0)),""))</f>
        <v>#N/A</v>
      </c>
      <c r="U62" s="27" t="e">
        <f>IF($B62="",NA(),IFERROR(INDEX(SSAll,MATCH($A62,SSStem,0),MATCH($B62,SSScen,0)+MATCH(U$53,SCYear,0)),""))</f>
        <v>#N/A</v>
      </c>
      <c r="V62" s="27" t="e">
        <f>IF($B62="",NA(),IFERROR(INDEX(SSAll,MATCH($A62,SSStem,0),MATCH($B62,SSScen,0)+MATCH(V$53,SCYear,0)),""))</f>
        <v>#N/A</v>
      </c>
      <c r="W62" s="27" t="e">
        <f>IF($B62="",NA(),IFERROR(INDEX(SSAll,MATCH($A62,SSStem,0),MATCH($B62,SSScen,0)+MATCH(W$53,SCYear,0)),""))</f>
        <v>#N/A</v>
      </c>
    </row>
    <row r="63">
      <c r="A63" s="32" t="str">
        <f>$A$52</f>
        <v>mit.ghg.tot.tot</v>
      </c>
      <c r="B63" s="33" t="str">
        <f>INDEX($D$13:$M$13,ROWS($B$54:B63))</f>
        <v/>
      </c>
      <c r="C63" s="12" t="str">
        <f>INDEX($D$14:$M$14,ROWS($B$54:B63))</f>
        <v/>
      </c>
      <c r="D63" s="27" t="e">
        <f>IF($B63="",NA(),IFERROR(INDEX(SSAll,MATCH($A63,SSStem,0),MATCH($B63,SSScen,0)+MATCH(D$53,SCYear,0)),""))</f>
        <v>#N/A</v>
      </c>
      <c r="E63" s="27" t="e">
        <f>IF($B63="",NA(),IFERROR(INDEX(SSAll,MATCH($A63,SSStem,0),MATCH($B63,SSScen,0)+MATCH(E$53,SCYear,0)),""))</f>
        <v>#N/A</v>
      </c>
      <c r="F63" s="27" t="e">
        <f>IF($B63="",NA(),IFERROR(INDEX(SSAll,MATCH($A63,SSStem,0),MATCH($B63,SSScen,0)+MATCH(F$53,SCYear,0)),""))</f>
        <v>#N/A</v>
      </c>
      <c r="G63" s="27" t="e">
        <f>IF($B63="",NA(),IFERROR(INDEX(SSAll,MATCH($A63,SSStem,0),MATCH($B63,SSScen,0)+MATCH(G$53,SCYear,0)),""))</f>
        <v>#N/A</v>
      </c>
      <c r="H63" s="27" t="e">
        <f>IF($B63="",NA(),IFERROR(INDEX(SSAll,MATCH($A63,SSStem,0),MATCH($B63,SSScen,0)+MATCH(H$53,SCYear,0)),""))</f>
        <v>#N/A</v>
      </c>
      <c r="I63" s="27" t="e">
        <f>IF($B63="",NA(),IFERROR(INDEX(SSAll,MATCH($A63,SSStem,0),MATCH($B63,SSScen,0)+MATCH(I$53,SCYear,0)),""))</f>
        <v>#N/A</v>
      </c>
      <c r="J63" s="27" t="e">
        <f>IF($B63="",NA(),IFERROR(INDEX(SSAll,MATCH($A63,SSStem,0),MATCH($B63,SSScen,0)+MATCH(J$53,SCYear,0)),""))</f>
        <v>#N/A</v>
      </c>
      <c r="K63" s="27" t="e">
        <f>IF($B63="",NA(),IFERROR(INDEX(SSAll,MATCH($A63,SSStem,0),MATCH($B63,SSScen,0)+MATCH(K$53,SCYear,0)),""))</f>
        <v>#N/A</v>
      </c>
      <c r="L63" s="27" t="e">
        <f>IF($B63="",NA(),IFERROR(INDEX(SSAll,MATCH($A63,SSStem,0),MATCH($B63,SSScen,0)+MATCH(L$53,SCYear,0)),""))</f>
        <v>#N/A</v>
      </c>
      <c r="M63" s="27" t="e">
        <f>IF($B63="",NA(),IFERROR(INDEX(SSAll,MATCH($A63,SSStem,0),MATCH($B63,SSScen,0)+MATCH(M$53,SCYear,0)),""))</f>
        <v>#N/A</v>
      </c>
      <c r="N63" s="27" t="e">
        <f>IF($B63="",NA(),IFERROR(INDEX(SSAll,MATCH($A63,SSStem,0),MATCH($B63,SSScen,0)+MATCH(N$53,SCYear,0)),""))</f>
        <v>#N/A</v>
      </c>
      <c r="O63" s="27" t="e">
        <f>IF($B63="",NA(),IFERROR(INDEX(SSAll,MATCH($A63,SSStem,0),MATCH($B63,SSScen,0)+MATCH(O$53,SCYear,0)),""))</f>
        <v>#N/A</v>
      </c>
      <c r="P63" s="27" t="e">
        <f>IF($B63="",NA(),IFERROR(INDEX(SSAll,MATCH($A63,SSStem,0),MATCH($B63,SSScen,0)+MATCH(P$53,SCYear,0)),""))</f>
        <v>#N/A</v>
      </c>
      <c r="Q63" s="27" t="e">
        <f>IF($B63="",NA(),IFERROR(INDEX(SSAll,MATCH($A63,SSStem,0),MATCH($B63,SSScen,0)+MATCH(Q$53,SCYear,0)),""))</f>
        <v>#N/A</v>
      </c>
      <c r="R63" s="27" t="e">
        <f>IF($B63="",NA(),IFERROR(INDEX(SSAll,MATCH($A63,SSStem,0),MATCH($B63,SSScen,0)+MATCH(R$53,SCYear,0)),""))</f>
        <v>#N/A</v>
      </c>
      <c r="S63" s="27" t="e">
        <f>IF($B63="",NA(),IFERROR(INDEX(SSAll,MATCH($A63,SSStem,0),MATCH($B63,SSScen,0)+MATCH(S$53,SCYear,0)),""))</f>
        <v>#N/A</v>
      </c>
      <c r="T63" s="27" t="e">
        <f>IF($B63="",NA(),IFERROR(INDEX(SSAll,MATCH($A63,SSStem,0),MATCH($B63,SSScen,0)+MATCH(T$53,SCYear,0)),""))</f>
        <v>#N/A</v>
      </c>
      <c r="U63" s="27" t="e">
        <f>IF($B63="",NA(),IFERROR(INDEX(SSAll,MATCH($A63,SSStem,0),MATCH($B63,SSScen,0)+MATCH(U$53,SCYear,0)),""))</f>
        <v>#N/A</v>
      </c>
      <c r="V63" s="27" t="e">
        <f>IF($B63="",NA(),IFERROR(INDEX(SSAll,MATCH($A63,SSStem,0),MATCH($B63,SSScen,0)+MATCH(V$53,SCYear,0)),""))</f>
        <v>#N/A</v>
      </c>
      <c r="W63" s="27" t="e">
        <f>IF($B63="",NA(),IFERROR(INDEX(SSAll,MATCH($A63,SSStem,0),MATCH($B63,SSScen,0)+MATCH(W$53,SCYear,0)),""))</f>
        <v>#N/A</v>
      </c>
    </row>
    <row r="69">
      <c r="A69" s="32" t="str">
        <f>INDEX(CSCatStem,MATCH($B69,CSCatLab,0))</f>
        <v>mit.rpct.all.tot</v>
      </c>
      <c r="B69" s="13" t="str">
        <f>$B$105</f>
        <v>Revenue as a share of baseline real GDP | All sectors | </v>
      </c>
      <c r="C69" s="12" t="str">
        <f>INDEX(CSCatUnit,MATCH($B69,CSCatLab,0))</f>
        <v>% of GDP</v>
      </c>
    </row>
    <row r="70">
      <c r="C70" s="47" t="inlineStr">
        <is>
          <t>Year</t>
        </is>
      </c>
      <c r="D70" s="48" t="n">
        <v>2022</v>
      </c>
      <c r="E70" s="49" t="n">
        <v>2023</v>
      </c>
      <c r="F70" s="49" t="n">
        <v>2024</v>
      </c>
      <c r="G70" s="49" t="n">
        <v>2025</v>
      </c>
      <c r="H70" s="49" t="n">
        <v>2026</v>
      </c>
      <c r="I70" s="49" t="n">
        <v>2027</v>
      </c>
      <c r="J70" s="49" t="n">
        <v>2028</v>
      </c>
      <c r="K70" s="49" t="n">
        <v>2029</v>
      </c>
      <c r="L70" s="49" t="n">
        <v>2030</v>
      </c>
      <c r="M70" s="49" t="n">
        <v>2031</v>
      </c>
      <c r="N70" s="49" t="n">
        <v>2032</v>
      </c>
      <c r="O70" s="49" t="n">
        <v>2033</v>
      </c>
      <c r="P70" s="49" t="n">
        <v>2034</v>
      </c>
      <c r="Q70" s="49" t="n">
        <v>2035</v>
      </c>
      <c r="R70" s="49" t="n">
        <v>2036</v>
      </c>
      <c r="S70" s="49" t="n">
        <v>2037</v>
      </c>
      <c r="T70" s="49" t="n">
        <v>2038</v>
      </c>
      <c r="U70" s="49" t="n">
        <v>2039</v>
      </c>
      <c r="V70" s="49" t="n">
        <v>2040</v>
      </c>
      <c r="W70" s="49" t="n">
        <v>2041</v>
      </c>
    </row>
    <row r="71">
      <c r="A71" s="32" t="str">
        <f>$A$69</f>
        <v>mit.rpct.all.tot</v>
      </c>
      <c r="B71" s="33">
        <f>INDEX($D$13:$M$13,ROWS($B$71:B71))</f>
        <v>1.0</v>
      </c>
      <c r="C71" s="12" t="str">
        <f>INDEX($D$14:$M$14,ROWS($B$71:B71))</f>
        <v>S1: 1</v>
      </c>
      <c r="D71" s="27">
        <f>IF($B71="",NA(),IFERROR(INDEX(SSAll,MATCH($A71,SSStem,0),MATCH($B71,SSScen,0)+MATCH(D$70,SCYear,0)),""))</f>
        <v>-0.08311602522971723</v>
      </c>
      <c r="E71" s="27">
        <f>IF($B71="",NA(),IFERROR(INDEX(SSAll,MATCH($A71,SSStem,0),MATCH($B71,SSScen,0)+MATCH(E$70,SCYear,0)),""))</f>
        <v>-0.0729503631252417</v>
      </c>
      <c r="F71" s="27">
        <f>IF($B71="",NA(),IFERROR(INDEX(SSAll,MATCH($A71,SSStem,0),MATCH($B71,SSScen,0)+MATCH(F$70,SCYear,0)),""))</f>
        <v>-0.0814771846416269</v>
      </c>
      <c r="G71" s="27">
        <f>IF($B71="",NA(),IFERROR(INDEX(SSAll,MATCH($A71,SSStem,0),MATCH($B71,SSScen,0)+MATCH(G$70,SCYear,0)),""))</f>
        <v>-0.07465941775643155</v>
      </c>
      <c r="H71" s="27">
        <f>IF($B71="",NA(),IFERROR(INDEX(SSAll,MATCH($A71,SSStem,0),MATCH($B71,SSScen,0)+MATCH(H$70,SCYear,0)),""))</f>
        <v>-0.07985479068393447</v>
      </c>
      <c r="I71" s="27">
        <f>IF($B71="",NA(),IFERROR(INDEX(SSAll,MATCH($A71,SSStem,0),MATCH($B71,SSScen,0)+MATCH(I$70,SCYear,0)),""))</f>
        <v>-0.07233424283975867</v>
      </c>
      <c r="J71" s="27">
        <f>IF($B71="",NA(),IFERROR(INDEX(SSAll,MATCH($A71,SSStem,0),MATCH($B71,SSScen,0)+MATCH(J$70,SCYear,0)),""))</f>
        <v>-0.06904709721826534</v>
      </c>
      <c r="K71" s="27">
        <f>IF($B71="",NA(),IFERROR(INDEX(SSAll,MATCH($A71,SSStem,0),MATCH($B71,SSScen,0)+MATCH(K$70,SCYear,0)),""))</f>
        <v>-0.06680546042421681</v>
      </c>
      <c r="L71" s="27">
        <f>IF($B71="",NA(),IFERROR(INDEX(SSAll,MATCH($A71,SSStem,0),MATCH($B71,SSScen,0)+MATCH(L$70,SCYear,0)),""))</f>
        <v>-0.06450737574759043</v>
      </c>
      <c r="M71" s="27">
        <f>IF($B71="",NA(),IFERROR(INDEX(SSAll,MATCH($A71,SSStem,0),MATCH($B71,SSScen,0)+MATCH(M$70,SCYear,0)),""))</f>
        <v>-0.06184580893084903</v>
      </c>
      <c r="N71" s="27">
        <f>IF($B71="",NA(),IFERROR(INDEX(SSAll,MATCH($A71,SSStem,0),MATCH($B71,SSScen,0)+MATCH(N$70,SCYear,0)),""))</f>
        <v>-0.05998809961941984</v>
      </c>
      <c r="O71" s="27">
        <f>IF($B71="",NA(),IFERROR(INDEX(SSAll,MATCH($A71,SSStem,0),MATCH($B71,SSScen,0)+MATCH(O$70,SCYear,0)),""))</f>
        <v>-0.05890059973027605</v>
      </c>
      <c r="P71" s="27">
        <f>IF($B71="",NA(),IFERROR(INDEX(SSAll,MATCH($A71,SSStem,0),MATCH($B71,SSScen,0)+MATCH(P$70,SCYear,0)),""))</f>
        <v>-0.05775122583520455</v>
      </c>
      <c r="Q71" s="27">
        <f>IF($B71="",NA(),IFERROR(INDEX(SSAll,MATCH($A71,SSStem,0),MATCH($B71,SSScen,0)+MATCH(Q$70,SCYear,0)),""))</f>
        <v>-0.0567091660823769</v>
      </c>
      <c r="R71" s="27">
        <f>IF($B71="",NA(),IFERROR(INDEX(SSAll,MATCH($A71,SSStem,0),MATCH($B71,SSScen,0)+MATCH(R$70,SCYear,0)),""))</f>
        <v>-0.055698978958169</v>
      </c>
      <c r="S71" s="27">
        <f>IF($B71="",NA(),IFERROR(INDEX(SSAll,MATCH($A71,SSStem,0),MATCH($B71,SSScen,0)+MATCH(S$70,SCYear,0)),""))</f>
        <v>-0.05472576592903193</v>
      </c>
      <c r="T71" s="27">
        <f>IF($B71="",NA(),IFERROR(INDEX(SSAll,MATCH($A71,SSStem,0),MATCH($B71,SSScen,0)+MATCH(T$70,SCYear,0)),""))</f>
        <v>-0.05378600123290489</v>
      </c>
      <c r="U71" s="27">
        <f>IF($B71="",NA(),IFERROR(INDEX(SSAll,MATCH($A71,SSStem,0),MATCH($B71,SSScen,0)+MATCH(U$70,SCYear,0)),""))</f>
        <v>-0.05287871886647015</v>
      </c>
      <c r="V71" s="27">
        <f>IF($B71="",NA(),IFERROR(INDEX(SSAll,MATCH($A71,SSStem,0),MATCH($B71,SSScen,0)+MATCH(V$70,SCYear,0)),""))</f>
        <v>-0.05200445421485649</v>
      </c>
      <c r="W71" s="27">
        <f>IF($B71="",NA(),IFERROR(INDEX(SSAll,MATCH($A71,SSStem,0),MATCH($B71,SSScen,0)+MATCH(W$70,SCYear,0)),""))</f>
        <v>-0.05116243848784583</v>
      </c>
    </row>
    <row r="72">
      <c r="A72" s="32" t="str">
        <f>$A$69</f>
        <v>mit.rpct.all.tot</v>
      </c>
      <c r="B72" s="33">
        <f>INDEX($D$13:$M$13,ROWS($B$71:B72))</f>
        <v>3.0</v>
      </c>
      <c r="C72" s="12" t="str">
        <f>INDEX($D$14:$M$14,ROWS($B$71:B72))</f>
        <v>S2: 3</v>
      </c>
      <c r="D72" s="27">
        <f>IF($B72="",NA(),IFERROR(INDEX(SSAll,MATCH($A72,SSStem,0),MATCH($B72,SSScen,0)+MATCH(D$70,SCYear,0)),""))</f>
        <v>-0.08311602522971723</v>
      </c>
      <c r="E72" s="27">
        <f>IF($B72="",NA(),IFERROR(INDEX(SSAll,MATCH($A72,SSStem,0),MATCH($B72,SSScen,0)+MATCH(E$70,SCYear,0)),""))</f>
        <v>-0.07293850768160105</v>
      </c>
      <c r="F72" s="27">
        <f>IF($B72="",NA(),IFERROR(INDEX(SSAll,MATCH($A72,SSStem,0),MATCH($B72,SSScen,0)+MATCH(F$70,SCYear,0)),""))</f>
        <v>-0.081463859693386</v>
      </c>
      <c r="G72" s="27">
        <f>IF($B72="",NA(),IFERROR(INDEX(SSAll,MATCH($A72,SSStem,0),MATCH($B72,SSScen,0)+MATCH(G$70,SCYear,0)),""))</f>
        <v>-0.07464681347999348</v>
      </c>
      <c r="H72" s="27">
        <f>IF($B72="",NA(),IFERROR(INDEX(SSAll,MATCH($A72,SSStem,0),MATCH($B72,SSScen,0)+MATCH(H$70,SCYear,0)),""))</f>
        <v>-0.07984211304200346</v>
      </c>
      <c r="I72" s="27">
        <f>IF($B72="",NA(),IFERROR(INDEX(SSAll,MATCH($A72,SSStem,0),MATCH($B72,SSScen,0)+MATCH(I$70,SCYear,0)),""))</f>
        <v>-0.05971766967203965</v>
      </c>
      <c r="J72" s="27">
        <f>IF($B72="",NA(),IFERROR(INDEX(SSAll,MATCH($A72,SSStem,0),MATCH($B72,SSScen,0)+MATCH(J$70,SCYear,0)),""))</f>
        <v>-0.05405152141786535</v>
      </c>
      <c r="K72" s="27">
        <f>IF($B72="",NA(),IFERROR(INDEX(SSAll,MATCH($A72,SSStem,0),MATCH($B72,SSScen,0)+MATCH(K$70,SCYear,0)),""))</f>
        <v>-0.05258096741868283</v>
      </c>
      <c r="L72" s="27">
        <f>IF($B72="",NA(),IFERROR(INDEX(SSAll,MATCH($A72,SSStem,0),MATCH($B72,SSScen,0)+MATCH(L$70,SCYear,0)),""))</f>
        <v>-0.05047030920597653</v>
      </c>
      <c r="M72" s="27">
        <f>IF($B72="",NA(),IFERROR(INDEX(SSAll,MATCH($A72,SSStem,0),MATCH($B72,SSScen,0)+MATCH(M$70,SCYear,0)),""))</f>
        <v>-0.04871257779539485</v>
      </c>
      <c r="N72" s="27">
        <f>IF($B72="",NA(),IFERROR(INDEX(SSAll,MATCH($A72,SSStem,0),MATCH($B72,SSScen,0)+MATCH(N$70,SCYear,0)),""))</f>
        <v>-0.04732220634723842</v>
      </c>
      <c r="O72" s="27">
        <f>IF($B72="",NA(),IFERROR(INDEX(SSAll,MATCH($A72,SSStem,0),MATCH($B72,SSScen,0)+MATCH(O$70,SCYear,0)),""))</f>
        <v>-0.04665422564507751</v>
      </c>
      <c r="P72" s="27">
        <f>IF($B72="",NA(),IFERROR(INDEX(SSAll,MATCH($A72,SSStem,0),MATCH($B72,SSScen,0)+MATCH(P$70,SCYear,0)),""))</f>
        <v>-0.04583918520219682</v>
      </c>
      <c r="Q72" s="27">
        <f>IF($B72="",NA(),IFERROR(INDEX(SSAll,MATCH($A72,SSStem,0),MATCH($B72,SSScen,0)+MATCH(Q$70,SCYear,0)),""))</f>
        <v>-0.04514350139078854</v>
      </c>
      <c r="R72" s="27">
        <f>IF($B72="",NA(),IFERROR(INDEX(SSAll,MATCH($A72,SSStem,0),MATCH($B72,SSScen,0)+MATCH(R$70,SCYear,0)),""))</f>
        <v>-0.04447187696460462</v>
      </c>
      <c r="S72" s="27">
        <f>IF($B72="",NA(),IFERROR(INDEX(SSAll,MATCH($A72,SSStem,0),MATCH($B72,SSScen,0)+MATCH(S$70,SCYear,0)),""))</f>
        <v>-0.04383758090696018</v>
      </c>
      <c r="T72" s="27">
        <f>IF($B72="",NA(),IFERROR(INDEX(SSAll,MATCH($A72,SSStem,0),MATCH($B72,SSScen,0)+MATCH(T$70,SCYear,0)),""))</f>
        <v>-0.04320198359625321</v>
      </c>
      <c r="U72" s="27">
        <f>IF($B72="",NA(),IFERROR(INDEX(SSAll,MATCH($A72,SSStem,0),MATCH($B72,SSScen,0)+MATCH(U$70,SCYear,0)),""))</f>
        <v>-0.04257768486093654</v>
      </c>
      <c r="V72" s="27">
        <f>IF($B72="",NA(),IFERROR(INDEX(SSAll,MATCH($A72,SSStem,0),MATCH($B72,SSScen,0)+MATCH(V$70,SCYear,0)),""))</f>
        <v>-0.04195065100994116</v>
      </c>
      <c r="W72" s="27">
        <f>IF($B72="",NA(),IFERROR(INDEX(SSAll,MATCH($A72,SSStem,0),MATCH($B72,SSScen,0)+MATCH(W$70,SCYear,0)),""))</f>
        <v>-0.04133982424272563</v>
      </c>
    </row>
    <row r="73">
      <c r="A73" s="32" t="str">
        <f>$A$69</f>
        <v>mit.rpct.all.tot</v>
      </c>
      <c r="B73" s="33">
        <f>INDEX($D$13:$M$13,ROWS($B$71:B73))</f>
        <v>4.0</v>
      </c>
      <c r="C73" s="12" t="str">
        <f>INDEX($D$14:$M$14,ROWS($B$71:B73))</f>
        <v>S3: 4</v>
      </c>
      <c r="D73" s="27">
        <f>IF($B73="",NA(),IFERROR(INDEX(SSAll,MATCH($A73,SSStem,0),MATCH($B73,SSScen,0)+MATCH(D$70,SCYear,0)),""))</f>
        <v>-0.08311602522971723</v>
      </c>
      <c r="E73" s="27">
        <f>IF($B73="",NA(),IFERROR(INDEX(SSAll,MATCH($A73,SSStem,0),MATCH($B73,SSScen,0)+MATCH(E$70,SCYear,0)),""))</f>
        <v>-0.07290941089863232</v>
      </c>
      <c r="F73" s="27">
        <f>IF($B73="",NA(),IFERROR(INDEX(SSAll,MATCH($A73,SSStem,0),MATCH($B73,SSScen,0)+MATCH(F$70,SCYear,0)),""))</f>
        <v>-0.08143163897147325</v>
      </c>
      <c r="G73" s="27">
        <f>IF($B73="",NA(),IFERROR(INDEX(SSAll,MATCH($A73,SSStem,0),MATCH($B73,SSScen,0)+MATCH(G$70,SCYear,0)),""))</f>
        <v>-0.07461629689964488</v>
      </c>
      <c r="H73" s="27">
        <f>IF($B73="",NA(),IFERROR(INDEX(SSAll,MATCH($A73,SSStem,0),MATCH($B73,SSScen,0)+MATCH(H$70,SCYear,0)),""))</f>
        <v>-0.07981155608340543</v>
      </c>
      <c r="I73" s="27">
        <f>IF($B73="",NA(),IFERROR(INDEX(SSAll,MATCH($A73,SSStem,0),MATCH($B73,SSScen,0)+MATCH(I$70,SCYear,0)),""))</f>
        <v>-0.06513189430462274</v>
      </c>
      <c r="J73" s="27">
        <f>IF($B73="",NA(),IFERROR(INDEX(SSAll,MATCH($A73,SSStem,0),MATCH($B73,SSScen,0)+MATCH(J$70,SCYear,0)),""))</f>
        <v>-0.05302693423851679</v>
      </c>
      <c r="K73" s="27">
        <f>IF($B73="",NA(),IFERROR(INDEX(SSAll,MATCH($A73,SSStem,0),MATCH($B73,SSScen,0)+MATCH(K$70,SCYear,0)),""))</f>
        <v>-0.04337405643363064</v>
      </c>
      <c r="L73" s="27">
        <f>IF($B73="",NA(),IFERROR(INDEX(SSAll,MATCH($A73,SSStem,0),MATCH($B73,SSScen,0)+MATCH(L$70,SCYear,0)),""))</f>
        <v>-0.03568839312168948</v>
      </c>
      <c r="M73" s="27">
        <f>IF($B73="",NA(),IFERROR(INDEX(SSAll,MATCH($A73,SSStem,0),MATCH($B73,SSScen,0)+MATCH(M$70,SCYear,0)),""))</f>
        <v>-0.0294684918041378</v>
      </c>
      <c r="N73" s="27">
        <f>IF($B73="",NA(),IFERROR(INDEX(SSAll,MATCH($A73,SSStem,0),MATCH($B73,SSScen,0)+MATCH(N$70,SCYear,0)),""))</f>
        <v>-0.0243368400522795</v>
      </c>
      <c r="O73" s="27">
        <f>IF($B73="",NA(),IFERROR(INDEX(SSAll,MATCH($A73,SSStem,0),MATCH($B73,SSScen,0)+MATCH(O$70,SCYear,0)),""))</f>
        <v>-0.02010472526936791</v>
      </c>
      <c r="P73" s="27">
        <f>IF($B73="",NA(),IFERROR(INDEX(SSAll,MATCH($A73,SSStem,0),MATCH($B73,SSScen,0)+MATCH(P$70,SCYear,0)),""))</f>
        <v>-0.01636367462918316</v>
      </c>
      <c r="Q73" s="27">
        <f>IF($B73="",NA(),IFERROR(INDEX(SSAll,MATCH($A73,SSStem,0),MATCH($B73,SSScen,0)+MATCH(Q$70,SCYear,0)),""))</f>
        <v>-0.0131729630329534</v>
      </c>
      <c r="R73" s="27">
        <f>IF($B73="",NA(),IFERROR(INDEX(SSAll,MATCH($A73,SSStem,0),MATCH($B73,SSScen,0)+MATCH(R$70,SCYear,0)),""))</f>
        <v>-0.01038365137030461</v>
      </c>
      <c r="S73" s="27">
        <f>IF($B73="",NA(),IFERROR(INDEX(SSAll,MATCH($A73,SSStem,0),MATCH($B73,SSScen,0)+MATCH(S$70,SCYear,0)),""))</f>
        <v>-0.007968029151853745</v>
      </c>
      <c r="T73" s="27">
        <f>IF($B73="",NA(),IFERROR(INDEX(SSAll,MATCH($A73,SSStem,0),MATCH($B73,SSScen,0)+MATCH(T$70,SCYear,0)),""))</f>
        <v>-0.005874275500226105</v>
      </c>
      <c r="U73" s="27">
        <f>IF($B73="",NA(),IFERROR(INDEX(SSAll,MATCH($A73,SSStem,0),MATCH($B73,SSScen,0)+MATCH(U$70,SCYear,0)),""))</f>
        <v>-0.004027971491282443</v>
      </c>
      <c r="V73" s="27">
        <f>IF($B73="",NA(),IFERROR(INDEX(SSAll,MATCH($A73,SSStem,0),MATCH($B73,SSScen,0)+MATCH(V$70,SCYear,0)),""))</f>
        <v>-0.002466064910062341</v>
      </c>
      <c r="W73" s="27">
        <f>IF($B73="",NA(),IFERROR(INDEX(SSAll,MATCH($A73,SSStem,0),MATCH($B73,SSScen,0)+MATCH(W$70,SCYear,0)),""))</f>
        <v>-0.00102843039295207</v>
      </c>
    </row>
    <row r="74">
      <c r="A74" s="32" t="str">
        <f>$A$69</f>
        <v>mit.rpct.all.tot</v>
      </c>
      <c r="B74" s="33">
        <f>INDEX($D$13:$M$13,ROWS($B$71:B74))</f>
        <v>5.0</v>
      </c>
      <c r="C74" s="12" t="str">
        <f>INDEX($D$14:$M$14,ROWS($B$71:B74))</f>
        <v>S4: 5</v>
      </c>
      <c r="D74" s="27">
        <f>IF($B74="",NA(),IFERROR(INDEX(SSAll,MATCH($A74,SSStem,0),MATCH($B74,SSScen,0)+MATCH(D$70,SCYear,0)),""))</f>
        <v>-0.08311602522971723</v>
      </c>
      <c r="E74" s="27">
        <f>IF($B74="",NA(),IFERROR(INDEX(SSAll,MATCH($A74,SSStem,0),MATCH($B74,SSScen,0)+MATCH(E$70,SCYear,0)),""))</f>
        <v>-0.07288084278981097</v>
      </c>
      <c r="F74" s="27">
        <f>IF($B74="",NA(),IFERROR(INDEX(SSAll,MATCH($A74,SSStem,0),MATCH($B74,SSScen,0)+MATCH(F$70,SCYear,0)),""))</f>
        <v>-0.08139952977296873</v>
      </c>
      <c r="G74" s="27">
        <f>IF($B74="",NA(),IFERROR(INDEX(SSAll,MATCH($A74,SSStem,0),MATCH($B74,SSScen,0)+MATCH(G$70,SCYear,0)),""))</f>
        <v>-0.07458587689514579</v>
      </c>
      <c r="H74" s="27">
        <f>IF($B74="",NA(),IFERROR(INDEX(SSAll,MATCH($A74,SSStem,0),MATCH($B74,SSScen,0)+MATCH(H$70,SCYear,0)),""))</f>
        <v>-0.07978096592866062</v>
      </c>
      <c r="I74" s="27">
        <f>IF($B74="",NA(),IFERROR(INDEX(SSAll,MATCH($A74,SSStem,0),MATCH($B74,SSScen,0)+MATCH(I$70,SCYear,0)),""))</f>
        <v>-0.0615188752721969</v>
      </c>
      <c r="J74" s="27">
        <f>IF($B74="",NA(),IFERROR(INDEX(SSAll,MATCH($A74,SSStem,0),MATCH($B74,SSScen,0)+MATCH(J$70,SCYear,0)),""))</f>
        <v>-0.05866683066911269</v>
      </c>
      <c r="K74" s="27">
        <f>IF($B74="",NA(),IFERROR(INDEX(SSAll,MATCH($A74,SSStem,0),MATCH($B74,SSScen,0)+MATCH(K$70,SCYear,0)),""))</f>
        <v>-0.05677215907975751</v>
      </c>
      <c r="L74" s="27">
        <f>IF($B74="",NA(),IFERROR(INDEX(SSAll,MATCH($A74,SSStem,0),MATCH($B74,SSScen,0)+MATCH(L$70,SCYear,0)),""))</f>
        <v>-0.05471623985924876</v>
      </c>
      <c r="M74" s="27">
        <f>IF($B74="",NA(),IFERROR(INDEX(SSAll,MATCH($A74,SSStem,0),MATCH($B74,SSScen,0)+MATCH(M$70,SCYear,0)),""))</f>
        <v>-0.0522257572426008</v>
      </c>
      <c r="N74" s="27">
        <f>IF($B74="",NA(),IFERROR(INDEX(SSAll,MATCH($A74,SSStem,0),MATCH($B74,SSScen,0)+MATCH(N$70,SCYear,0)),""))</f>
        <v>-0.05026312833843982</v>
      </c>
      <c r="O74" s="27">
        <f>IF($B74="",NA(),IFERROR(INDEX(SSAll,MATCH($A74,SSStem,0),MATCH($B74,SSScen,0)+MATCH(O$70,SCYear,0)),""))</f>
        <v>-0.04928674671094531</v>
      </c>
      <c r="P74" s="27">
        <f>IF($B74="",NA(),IFERROR(INDEX(SSAll,MATCH($A74,SSStem,0),MATCH($B74,SSScen,0)+MATCH(P$70,SCYear,0)),""))</f>
        <v>-0.04781681196109576</v>
      </c>
      <c r="Q74" s="27">
        <f>IF($B74="",NA(),IFERROR(INDEX(SSAll,MATCH($A74,SSStem,0),MATCH($B74,SSScen,0)+MATCH(Q$70,SCYear,0)),""))</f>
        <v>-0.04657145455018639</v>
      </c>
      <c r="R74" s="27">
        <f>IF($B74="",NA(),IFERROR(INDEX(SSAll,MATCH($A74,SSStem,0),MATCH($B74,SSScen,0)+MATCH(R$70,SCYear,0)),""))</f>
        <v>-0.04547066387974253</v>
      </c>
      <c r="S74" s="27">
        <f>IF($B74="",NA(),IFERROR(INDEX(SSAll,MATCH($A74,SSStem,0),MATCH($B74,SSScen,0)+MATCH(S$70,SCYear,0)),""))</f>
        <v>-0.04435941345898503</v>
      </c>
      <c r="T74" s="27">
        <f>IF($B74="",NA(),IFERROR(INDEX(SSAll,MATCH($A74,SSStem,0),MATCH($B74,SSScen,0)+MATCH(T$70,SCYear,0)),""))</f>
        <v>-0.0433452016684907</v>
      </c>
      <c r="U74" s="27">
        <f>IF($B74="",NA(),IFERROR(INDEX(SSAll,MATCH($A74,SSStem,0),MATCH($B74,SSScen,0)+MATCH(U$70,SCYear,0)),""))</f>
        <v>-0.04240192139032563</v>
      </c>
      <c r="V74" s="27">
        <f>IF($B74="",NA(),IFERROR(INDEX(SSAll,MATCH($A74,SSStem,0),MATCH($B74,SSScen,0)+MATCH(V$70,SCYear,0)),""))</f>
        <v>-0.04147040067490484</v>
      </c>
      <c r="W74" s="27">
        <f>IF($B74="",NA(),IFERROR(INDEX(SSAll,MATCH($A74,SSStem,0),MATCH($B74,SSScen,0)+MATCH(W$70,SCYear,0)),""))</f>
        <v>-0.04061796387827085</v>
      </c>
    </row>
    <row r="75">
      <c r="A75" s="32" t="str">
        <f>$A$69</f>
        <v>mit.rpct.all.tot</v>
      </c>
      <c r="B75" s="33">
        <f>INDEX($D$13:$M$13,ROWS($B$71:B75))</f>
        <v>6.0</v>
      </c>
      <c r="C75" s="12" t="str">
        <f>INDEX($D$14:$M$14,ROWS($B$71:B75))</f>
        <v>S5: 6</v>
      </c>
      <c r="D75" s="27">
        <f>IF($B75="",NA(),IFERROR(INDEX(SSAll,MATCH($A75,SSStem,0),MATCH($B75,SSScen,0)+MATCH(D$70,SCYear,0)),""))</f>
        <v>-0.08311602522971723</v>
      </c>
      <c r="E75" s="27">
        <f>IF($B75="",NA(),IFERROR(INDEX(SSAll,MATCH($A75,SSStem,0),MATCH($B75,SSScen,0)+MATCH(E$70,SCYear,0)),""))</f>
        <v>-0.07292211822651008</v>
      </c>
      <c r="F75" s="27">
        <f>IF($B75="",NA(),IFERROR(INDEX(SSAll,MATCH($A75,SSStem,0),MATCH($B75,SSScen,0)+MATCH(F$70,SCYear,0)),""))</f>
        <v>-0.08144562867930792</v>
      </c>
      <c r="G75" s="27">
        <f>IF($B75="",NA(),IFERROR(INDEX(SSAll,MATCH($A75,SSStem,0),MATCH($B75,SSScen,0)+MATCH(G$70,SCYear,0)),""))</f>
        <v>-0.07462955310715659</v>
      </c>
      <c r="H75" s="27">
        <f>IF($B75="",NA(),IFERROR(INDEX(SSAll,MATCH($A75,SSStem,0),MATCH($B75,SSScen,0)+MATCH(H$70,SCYear,0)),""))</f>
        <v>-0.07982480634994966</v>
      </c>
      <c r="I75" s="27">
        <f>IF($B75="",NA(),IFERROR(INDEX(SSAll,MATCH($A75,SSStem,0),MATCH($B75,SSScen,0)+MATCH(I$70,SCYear,0)),""))</f>
        <v>-0.04531776243080608</v>
      </c>
      <c r="J75" s="27">
        <f>IF($B75="",NA(),IFERROR(INDEX(SSAll,MATCH($A75,SSStem,0),MATCH($B75,SSScen,0)+MATCH(J$70,SCYear,0)),""))</f>
        <v>-0.03790566777271887</v>
      </c>
      <c r="K75" s="27">
        <f>IF($B75="",NA(),IFERROR(INDEX(SSAll,MATCH($A75,SSStem,0),MATCH($B75,SSScen,0)+MATCH(K$70,SCYear,0)),""))</f>
        <v>-0.03687580403419005</v>
      </c>
      <c r="L75" s="27">
        <f>IF($B75="",NA(),IFERROR(INDEX(SSAll,MATCH($A75,SSStem,0),MATCH($B75,SSScen,0)+MATCH(L$70,SCYear,0)),""))</f>
        <v>-0.03504386978415661</v>
      </c>
      <c r="M75" s="27">
        <f>IF($B75="",NA(),IFERROR(INDEX(SSAll,MATCH($A75,SSStem,0),MATCH($B75,SSScen,0)+MATCH(M$70,SCYear,0)),""))</f>
        <v>-0.03414705135012453</v>
      </c>
      <c r="N75" s="27">
        <f>IF($B75="",NA(),IFERROR(INDEX(SSAll,MATCH($A75,SSStem,0),MATCH($B75,SSScen,0)+MATCH(N$70,SCYear,0)),""))</f>
        <v>-0.03317952613810304</v>
      </c>
      <c r="O75" s="27">
        <f>IF($B75="",NA(),IFERROR(INDEX(SSAll,MATCH($A75,SSStem,0),MATCH($B75,SSScen,0)+MATCH(O$70,SCYear,0)),""))</f>
        <v>-0.03277825929331635</v>
      </c>
      <c r="P75" s="27">
        <f>IF($B75="",NA(),IFERROR(INDEX(SSAll,MATCH($A75,SSStem,0),MATCH($B75,SSScen,0)+MATCH(P$70,SCYear,0)),""))</f>
        <v>-0.03221539053937436</v>
      </c>
      <c r="Q75" s="27">
        <f>IF($B75="",NA(),IFERROR(INDEX(SSAll,MATCH($A75,SSStem,0),MATCH($B75,SSScen,0)+MATCH(Q$70,SCYear,0)),""))</f>
        <v>-0.03184530275971426</v>
      </c>
      <c r="R75" s="27">
        <f>IF($B75="",NA(),IFERROR(INDEX(SSAll,MATCH($A75,SSStem,0),MATCH($B75,SSScen,0)+MATCH(R$70,SCYear,0)),""))</f>
        <v>-0.03144161459823706</v>
      </c>
      <c r="S75" s="27">
        <f>IF($B75="",NA(),IFERROR(INDEX(SSAll,MATCH($A75,SSStem,0),MATCH($B75,SSScen,0)+MATCH(S$70,SCYear,0)),""))</f>
        <v>-0.03114059750691263</v>
      </c>
      <c r="T75" s="27">
        <f>IF($B75="",NA(),IFERROR(INDEX(SSAll,MATCH($A75,SSStem,0),MATCH($B75,SSScen,0)+MATCH(T$70,SCYear,0)),""))</f>
        <v>-0.03077498485641255</v>
      </c>
      <c r="U75" s="27">
        <f>IF($B75="",NA(),IFERROR(INDEX(SSAll,MATCH($A75,SSStem,0),MATCH($B75,SSScen,0)+MATCH(U$70,SCYear,0)),""))</f>
        <v>-0.03046549418312032</v>
      </c>
      <c r="V75" s="27">
        <f>IF($B75="",NA(),IFERROR(INDEX(SSAll,MATCH($A75,SSStem,0),MATCH($B75,SSScen,0)+MATCH(V$70,SCYear,0)),""))</f>
        <v>-0.03009257253862456</v>
      </c>
      <c r="W75" s="27">
        <f>IF($B75="",NA(),IFERROR(INDEX(SSAll,MATCH($A75,SSStem,0),MATCH($B75,SSScen,0)+MATCH(W$70,SCYear,0)),""))</f>
        <v>-0.02976788424749462</v>
      </c>
    </row>
    <row r="76">
      <c r="A76" s="32" t="str">
        <f>$A$69</f>
        <v>mit.rpct.all.tot</v>
      </c>
      <c r="B76" s="33" t="str">
        <f>INDEX($D$13:$M$13,ROWS($B$71:B76))</f>
        <v/>
      </c>
      <c r="C76" s="12" t="str">
        <f>INDEX($D$14:$M$14,ROWS($B$71:B76))</f>
        <v/>
      </c>
      <c r="D76" s="27" t="e">
        <f>IF($B76="",NA(),IFERROR(INDEX(SSAll,MATCH($A76,SSStem,0),MATCH($B76,SSScen,0)+MATCH(D$70,SCYear,0)),""))</f>
        <v>#N/A</v>
      </c>
      <c r="E76" s="27" t="e">
        <f>IF($B76="",NA(),IFERROR(INDEX(SSAll,MATCH($A76,SSStem,0),MATCH($B76,SSScen,0)+MATCH(E$70,SCYear,0)),""))</f>
        <v>#N/A</v>
      </c>
      <c r="F76" s="27" t="e">
        <f>IF($B76="",NA(),IFERROR(INDEX(SSAll,MATCH($A76,SSStem,0),MATCH($B76,SSScen,0)+MATCH(F$70,SCYear,0)),""))</f>
        <v>#N/A</v>
      </c>
      <c r="G76" s="27" t="e">
        <f>IF($B76="",NA(),IFERROR(INDEX(SSAll,MATCH($A76,SSStem,0),MATCH($B76,SSScen,0)+MATCH(G$70,SCYear,0)),""))</f>
        <v>#N/A</v>
      </c>
      <c r="H76" s="27" t="e">
        <f>IF($B76="",NA(),IFERROR(INDEX(SSAll,MATCH($A76,SSStem,0),MATCH($B76,SSScen,0)+MATCH(H$70,SCYear,0)),""))</f>
        <v>#N/A</v>
      </c>
      <c r="I76" s="27" t="e">
        <f>IF($B76="",NA(),IFERROR(INDEX(SSAll,MATCH($A76,SSStem,0),MATCH($B76,SSScen,0)+MATCH(I$70,SCYear,0)),""))</f>
        <v>#N/A</v>
      </c>
      <c r="J76" s="27" t="e">
        <f>IF($B76="",NA(),IFERROR(INDEX(SSAll,MATCH($A76,SSStem,0),MATCH($B76,SSScen,0)+MATCH(J$70,SCYear,0)),""))</f>
        <v>#N/A</v>
      </c>
      <c r="K76" s="27" t="e">
        <f>IF($B76="",NA(),IFERROR(INDEX(SSAll,MATCH($A76,SSStem,0),MATCH($B76,SSScen,0)+MATCH(K$70,SCYear,0)),""))</f>
        <v>#N/A</v>
      </c>
      <c r="L76" s="27" t="e">
        <f>IF($B76="",NA(),IFERROR(INDEX(SSAll,MATCH($A76,SSStem,0),MATCH($B76,SSScen,0)+MATCH(L$70,SCYear,0)),""))</f>
        <v>#N/A</v>
      </c>
      <c r="M76" s="27" t="e">
        <f>IF($B76="",NA(),IFERROR(INDEX(SSAll,MATCH($A76,SSStem,0),MATCH($B76,SSScen,0)+MATCH(M$70,SCYear,0)),""))</f>
        <v>#N/A</v>
      </c>
      <c r="N76" s="27" t="e">
        <f>IF($B76="",NA(),IFERROR(INDEX(SSAll,MATCH($A76,SSStem,0),MATCH($B76,SSScen,0)+MATCH(N$70,SCYear,0)),""))</f>
        <v>#N/A</v>
      </c>
      <c r="O76" s="27" t="e">
        <f>IF($B76="",NA(),IFERROR(INDEX(SSAll,MATCH($A76,SSStem,0),MATCH($B76,SSScen,0)+MATCH(O$70,SCYear,0)),""))</f>
        <v>#N/A</v>
      </c>
      <c r="P76" s="27" t="e">
        <f>IF($B76="",NA(),IFERROR(INDEX(SSAll,MATCH($A76,SSStem,0),MATCH($B76,SSScen,0)+MATCH(P$70,SCYear,0)),""))</f>
        <v>#N/A</v>
      </c>
      <c r="Q76" s="27" t="e">
        <f>IF($B76="",NA(),IFERROR(INDEX(SSAll,MATCH($A76,SSStem,0),MATCH($B76,SSScen,0)+MATCH(Q$70,SCYear,0)),""))</f>
        <v>#N/A</v>
      </c>
      <c r="R76" s="27" t="e">
        <f>IF($B76="",NA(),IFERROR(INDEX(SSAll,MATCH($A76,SSStem,0),MATCH($B76,SSScen,0)+MATCH(R$70,SCYear,0)),""))</f>
        <v>#N/A</v>
      </c>
      <c r="S76" s="27" t="e">
        <f>IF($B76="",NA(),IFERROR(INDEX(SSAll,MATCH($A76,SSStem,0),MATCH($B76,SSScen,0)+MATCH(S$70,SCYear,0)),""))</f>
        <v>#N/A</v>
      </c>
      <c r="T76" s="27" t="e">
        <f>IF($B76="",NA(),IFERROR(INDEX(SSAll,MATCH($A76,SSStem,0),MATCH($B76,SSScen,0)+MATCH(T$70,SCYear,0)),""))</f>
        <v>#N/A</v>
      </c>
      <c r="U76" s="27" t="e">
        <f>IF($B76="",NA(),IFERROR(INDEX(SSAll,MATCH($A76,SSStem,0),MATCH($B76,SSScen,0)+MATCH(U$70,SCYear,0)),""))</f>
        <v>#N/A</v>
      </c>
      <c r="V76" s="27" t="e">
        <f>IF($B76="",NA(),IFERROR(INDEX(SSAll,MATCH($A76,SSStem,0),MATCH($B76,SSScen,0)+MATCH(V$70,SCYear,0)),""))</f>
        <v>#N/A</v>
      </c>
      <c r="W76" s="27" t="e">
        <f>IF($B76="",NA(),IFERROR(INDEX(SSAll,MATCH($A76,SSStem,0),MATCH($B76,SSScen,0)+MATCH(W$70,SCYear,0)),""))</f>
        <v>#N/A</v>
      </c>
    </row>
    <row r="77">
      <c r="A77" s="32" t="str">
        <f>$A$69</f>
        <v>mit.rpct.all.tot</v>
      </c>
      <c r="B77" s="33" t="str">
        <f>INDEX($D$13:$M$13,ROWS($B$71:B77))</f>
        <v/>
      </c>
      <c r="C77" s="12" t="str">
        <f>INDEX($D$14:$M$14,ROWS($B$71:B77))</f>
        <v/>
      </c>
      <c r="D77" s="27" t="e">
        <f>IF($B77="",NA(),IFERROR(INDEX(SSAll,MATCH($A77,SSStem,0),MATCH($B77,SSScen,0)+MATCH(D$70,SCYear,0)),""))</f>
        <v>#N/A</v>
      </c>
      <c r="E77" s="27" t="e">
        <f>IF($B77="",NA(),IFERROR(INDEX(SSAll,MATCH($A77,SSStem,0),MATCH($B77,SSScen,0)+MATCH(E$70,SCYear,0)),""))</f>
        <v>#N/A</v>
      </c>
      <c r="F77" s="27" t="e">
        <f>IF($B77="",NA(),IFERROR(INDEX(SSAll,MATCH($A77,SSStem,0),MATCH($B77,SSScen,0)+MATCH(F$70,SCYear,0)),""))</f>
        <v>#N/A</v>
      </c>
      <c r="G77" s="27" t="e">
        <f>IF($B77="",NA(),IFERROR(INDEX(SSAll,MATCH($A77,SSStem,0),MATCH($B77,SSScen,0)+MATCH(G$70,SCYear,0)),""))</f>
        <v>#N/A</v>
      </c>
      <c r="H77" s="27" t="e">
        <f>IF($B77="",NA(),IFERROR(INDEX(SSAll,MATCH($A77,SSStem,0),MATCH($B77,SSScen,0)+MATCH(H$70,SCYear,0)),""))</f>
        <v>#N/A</v>
      </c>
      <c r="I77" s="27" t="e">
        <f>IF($B77="",NA(),IFERROR(INDEX(SSAll,MATCH($A77,SSStem,0),MATCH($B77,SSScen,0)+MATCH(I$70,SCYear,0)),""))</f>
        <v>#N/A</v>
      </c>
      <c r="J77" s="27" t="e">
        <f>IF($B77="",NA(),IFERROR(INDEX(SSAll,MATCH($A77,SSStem,0),MATCH($B77,SSScen,0)+MATCH(J$70,SCYear,0)),""))</f>
        <v>#N/A</v>
      </c>
      <c r="K77" s="27" t="e">
        <f>IF($B77="",NA(),IFERROR(INDEX(SSAll,MATCH($A77,SSStem,0),MATCH($B77,SSScen,0)+MATCH(K$70,SCYear,0)),""))</f>
        <v>#N/A</v>
      </c>
      <c r="L77" s="27" t="e">
        <f>IF($B77="",NA(),IFERROR(INDEX(SSAll,MATCH($A77,SSStem,0),MATCH($B77,SSScen,0)+MATCH(L$70,SCYear,0)),""))</f>
        <v>#N/A</v>
      </c>
      <c r="M77" s="27" t="e">
        <f>IF($B77="",NA(),IFERROR(INDEX(SSAll,MATCH($A77,SSStem,0),MATCH($B77,SSScen,0)+MATCH(M$70,SCYear,0)),""))</f>
        <v>#N/A</v>
      </c>
      <c r="N77" s="27" t="e">
        <f>IF($B77="",NA(),IFERROR(INDEX(SSAll,MATCH($A77,SSStem,0),MATCH($B77,SSScen,0)+MATCH(N$70,SCYear,0)),""))</f>
        <v>#N/A</v>
      </c>
      <c r="O77" s="27" t="e">
        <f>IF($B77="",NA(),IFERROR(INDEX(SSAll,MATCH($A77,SSStem,0),MATCH($B77,SSScen,0)+MATCH(O$70,SCYear,0)),""))</f>
        <v>#N/A</v>
      </c>
      <c r="P77" s="27" t="e">
        <f>IF($B77="",NA(),IFERROR(INDEX(SSAll,MATCH($A77,SSStem,0),MATCH($B77,SSScen,0)+MATCH(P$70,SCYear,0)),""))</f>
        <v>#N/A</v>
      </c>
      <c r="Q77" s="27" t="e">
        <f>IF($B77="",NA(),IFERROR(INDEX(SSAll,MATCH($A77,SSStem,0),MATCH($B77,SSScen,0)+MATCH(Q$70,SCYear,0)),""))</f>
        <v>#N/A</v>
      </c>
      <c r="R77" s="27" t="e">
        <f>IF($B77="",NA(),IFERROR(INDEX(SSAll,MATCH($A77,SSStem,0),MATCH($B77,SSScen,0)+MATCH(R$70,SCYear,0)),""))</f>
        <v>#N/A</v>
      </c>
      <c r="S77" s="27" t="e">
        <f>IF($B77="",NA(),IFERROR(INDEX(SSAll,MATCH($A77,SSStem,0),MATCH($B77,SSScen,0)+MATCH(S$70,SCYear,0)),""))</f>
        <v>#N/A</v>
      </c>
      <c r="T77" s="27" t="e">
        <f>IF($B77="",NA(),IFERROR(INDEX(SSAll,MATCH($A77,SSStem,0),MATCH($B77,SSScen,0)+MATCH(T$70,SCYear,0)),""))</f>
        <v>#N/A</v>
      </c>
      <c r="U77" s="27" t="e">
        <f>IF($B77="",NA(),IFERROR(INDEX(SSAll,MATCH($A77,SSStem,0),MATCH($B77,SSScen,0)+MATCH(U$70,SCYear,0)),""))</f>
        <v>#N/A</v>
      </c>
      <c r="V77" s="27" t="e">
        <f>IF($B77="",NA(),IFERROR(INDEX(SSAll,MATCH($A77,SSStem,0),MATCH($B77,SSScen,0)+MATCH(V$70,SCYear,0)),""))</f>
        <v>#N/A</v>
      </c>
      <c r="W77" s="27" t="e">
        <f>IF($B77="",NA(),IFERROR(INDEX(SSAll,MATCH($A77,SSStem,0),MATCH($B77,SSScen,0)+MATCH(W$70,SCYear,0)),""))</f>
        <v>#N/A</v>
      </c>
    </row>
    <row r="78">
      <c r="A78" s="32" t="str">
        <f>$A$69</f>
        <v>mit.rpct.all.tot</v>
      </c>
      <c r="B78" s="33" t="str">
        <f>INDEX($D$13:$M$13,ROWS($B$71:B78))</f>
        <v/>
      </c>
      <c r="C78" s="12" t="str">
        <f>INDEX($D$14:$M$14,ROWS($B$71:B78))</f>
        <v/>
      </c>
      <c r="D78" s="27" t="e">
        <f>IF($B78="",NA(),IFERROR(INDEX(SSAll,MATCH($A78,SSStem,0),MATCH($B78,SSScen,0)+MATCH(D$70,SCYear,0)),""))</f>
        <v>#N/A</v>
      </c>
      <c r="E78" s="27" t="e">
        <f>IF($B78="",NA(),IFERROR(INDEX(SSAll,MATCH($A78,SSStem,0),MATCH($B78,SSScen,0)+MATCH(E$70,SCYear,0)),""))</f>
        <v>#N/A</v>
      </c>
      <c r="F78" s="27" t="e">
        <f>IF($B78="",NA(),IFERROR(INDEX(SSAll,MATCH($A78,SSStem,0),MATCH($B78,SSScen,0)+MATCH(F$70,SCYear,0)),""))</f>
        <v>#N/A</v>
      </c>
      <c r="G78" s="27" t="e">
        <f>IF($B78="",NA(),IFERROR(INDEX(SSAll,MATCH($A78,SSStem,0),MATCH($B78,SSScen,0)+MATCH(G$70,SCYear,0)),""))</f>
        <v>#N/A</v>
      </c>
      <c r="H78" s="27" t="e">
        <f>IF($B78="",NA(),IFERROR(INDEX(SSAll,MATCH($A78,SSStem,0),MATCH($B78,SSScen,0)+MATCH(H$70,SCYear,0)),""))</f>
        <v>#N/A</v>
      </c>
      <c r="I78" s="27" t="e">
        <f>IF($B78="",NA(),IFERROR(INDEX(SSAll,MATCH($A78,SSStem,0),MATCH($B78,SSScen,0)+MATCH(I$70,SCYear,0)),""))</f>
        <v>#N/A</v>
      </c>
      <c r="J78" s="27" t="e">
        <f>IF($B78="",NA(),IFERROR(INDEX(SSAll,MATCH($A78,SSStem,0),MATCH($B78,SSScen,0)+MATCH(J$70,SCYear,0)),""))</f>
        <v>#N/A</v>
      </c>
      <c r="K78" s="27" t="e">
        <f>IF($B78="",NA(),IFERROR(INDEX(SSAll,MATCH($A78,SSStem,0),MATCH($B78,SSScen,0)+MATCH(K$70,SCYear,0)),""))</f>
        <v>#N/A</v>
      </c>
      <c r="L78" s="27" t="e">
        <f>IF($B78="",NA(),IFERROR(INDEX(SSAll,MATCH($A78,SSStem,0),MATCH($B78,SSScen,0)+MATCH(L$70,SCYear,0)),""))</f>
        <v>#N/A</v>
      </c>
      <c r="M78" s="27" t="e">
        <f>IF($B78="",NA(),IFERROR(INDEX(SSAll,MATCH($A78,SSStem,0),MATCH($B78,SSScen,0)+MATCH(M$70,SCYear,0)),""))</f>
        <v>#N/A</v>
      </c>
      <c r="N78" s="27" t="e">
        <f>IF($B78="",NA(),IFERROR(INDEX(SSAll,MATCH($A78,SSStem,0),MATCH($B78,SSScen,0)+MATCH(N$70,SCYear,0)),""))</f>
        <v>#N/A</v>
      </c>
      <c r="O78" s="27" t="e">
        <f>IF($B78="",NA(),IFERROR(INDEX(SSAll,MATCH($A78,SSStem,0),MATCH($B78,SSScen,0)+MATCH(O$70,SCYear,0)),""))</f>
        <v>#N/A</v>
      </c>
      <c r="P78" s="27" t="e">
        <f>IF($B78="",NA(),IFERROR(INDEX(SSAll,MATCH($A78,SSStem,0),MATCH($B78,SSScen,0)+MATCH(P$70,SCYear,0)),""))</f>
        <v>#N/A</v>
      </c>
      <c r="Q78" s="27" t="e">
        <f>IF($B78="",NA(),IFERROR(INDEX(SSAll,MATCH($A78,SSStem,0),MATCH($B78,SSScen,0)+MATCH(Q$70,SCYear,0)),""))</f>
        <v>#N/A</v>
      </c>
      <c r="R78" s="27" t="e">
        <f>IF($B78="",NA(),IFERROR(INDEX(SSAll,MATCH($A78,SSStem,0),MATCH($B78,SSScen,0)+MATCH(R$70,SCYear,0)),""))</f>
        <v>#N/A</v>
      </c>
      <c r="S78" s="27" t="e">
        <f>IF($B78="",NA(),IFERROR(INDEX(SSAll,MATCH($A78,SSStem,0),MATCH($B78,SSScen,0)+MATCH(S$70,SCYear,0)),""))</f>
        <v>#N/A</v>
      </c>
      <c r="T78" s="27" t="e">
        <f>IF($B78="",NA(),IFERROR(INDEX(SSAll,MATCH($A78,SSStem,0),MATCH($B78,SSScen,0)+MATCH(T$70,SCYear,0)),""))</f>
        <v>#N/A</v>
      </c>
      <c r="U78" s="27" t="e">
        <f>IF($B78="",NA(),IFERROR(INDEX(SSAll,MATCH($A78,SSStem,0),MATCH($B78,SSScen,0)+MATCH(U$70,SCYear,0)),""))</f>
        <v>#N/A</v>
      </c>
      <c r="V78" s="27" t="e">
        <f>IF($B78="",NA(),IFERROR(INDEX(SSAll,MATCH($A78,SSStem,0),MATCH($B78,SSScen,0)+MATCH(V$70,SCYear,0)),""))</f>
        <v>#N/A</v>
      </c>
      <c r="W78" s="27" t="e">
        <f>IF($B78="",NA(),IFERROR(INDEX(SSAll,MATCH($A78,SSStem,0),MATCH($B78,SSScen,0)+MATCH(W$70,SCYear,0)),""))</f>
        <v>#N/A</v>
      </c>
    </row>
    <row r="79">
      <c r="A79" s="32" t="str">
        <f>$A$69</f>
        <v>mit.rpct.all.tot</v>
      </c>
      <c r="B79" s="33" t="str">
        <f>INDEX($D$13:$M$13,ROWS($B$71:B79))</f>
        <v/>
      </c>
      <c r="C79" s="12" t="str">
        <f>INDEX($D$14:$M$14,ROWS($B$71:B79))</f>
        <v/>
      </c>
      <c r="D79" s="27" t="e">
        <f>IF($B79="",NA(),IFERROR(INDEX(SSAll,MATCH($A79,SSStem,0),MATCH($B79,SSScen,0)+MATCH(D$70,SCYear,0)),""))</f>
        <v>#N/A</v>
      </c>
      <c r="E79" s="27" t="e">
        <f>IF($B79="",NA(),IFERROR(INDEX(SSAll,MATCH($A79,SSStem,0),MATCH($B79,SSScen,0)+MATCH(E$70,SCYear,0)),""))</f>
        <v>#N/A</v>
      </c>
      <c r="F79" s="27" t="e">
        <f>IF($B79="",NA(),IFERROR(INDEX(SSAll,MATCH($A79,SSStem,0),MATCH($B79,SSScen,0)+MATCH(F$70,SCYear,0)),""))</f>
        <v>#N/A</v>
      </c>
      <c r="G79" s="27" t="e">
        <f>IF($B79="",NA(),IFERROR(INDEX(SSAll,MATCH($A79,SSStem,0),MATCH($B79,SSScen,0)+MATCH(G$70,SCYear,0)),""))</f>
        <v>#N/A</v>
      </c>
      <c r="H79" s="27" t="e">
        <f>IF($B79="",NA(),IFERROR(INDEX(SSAll,MATCH($A79,SSStem,0),MATCH($B79,SSScen,0)+MATCH(H$70,SCYear,0)),""))</f>
        <v>#N/A</v>
      </c>
      <c r="I79" s="27" t="e">
        <f>IF($B79="",NA(),IFERROR(INDEX(SSAll,MATCH($A79,SSStem,0),MATCH($B79,SSScen,0)+MATCH(I$70,SCYear,0)),""))</f>
        <v>#N/A</v>
      </c>
      <c r="J79" s="27" t="e">
        <f>IF($B79="",NA(),IFERROR(INDEX(SSAll,MATCH($A79,SSStem,0),MATCH($B79,SSScen,0)+MATCH(J$70,SCYear,0)),""))</f>
        <v>#N/A</v>
      </c>
      <c r="K79" s="27" t="e">
        <f>IF($B79="",NA(),IFERROR(INDEX(SSAll,MATCH($A79,SSStem,0),MATCH($B79,SSScen,0)+MATCH(K$70,SCYear,0)),""))</f>
        <v>#N/A</v>
      </c>
      <c r="L79" s="27" t="e">
        <f>IF($B79="",NA(),IFERROR(INDEX(SSAll,MATCH($A79,SSStem,0),MATCH($B79,SSScen,0)+MATCH(L$70,SCYear,0)),""))</f>
        <v>#N/A</v>
      </c>
      <c r="M79" s="27" t="e">
        <f>IF($B79="",NA(),IFERROR(INDEX(SSAll,MATCH($A79,SSStem,0),MATCH($B79,SSScen,0)+MATCH(M$70,SCYear,0)),""))</f>
        <v>#N/A</v>
      </c>
      <c r="N79" s="27" t="e">
        <f>IF($B79="",NA(),IFERROR(INDEX(SSAll,MATCH($A79,SSStem,0),MATCH($B79,SSScen,0)+MATCH(N$70,SCYear,0)),""))</f>
        <v>#N/A</v>
      </c>
      <c r="O79" s="27" t="e">
        <f>IF($B79="",NA(),IFERROR(INDEX(SSAll,MATCH($A79,SSStem,0),MATCH($B79,SSScen,0)+MATCH(O$70,SCYear,0)),""))</f>
        <v>#N/A</v>
      </c>
      <c r="P79" s="27" t="e">
        <f>IF($B79="",NA(),IFERROR(INDEX(SSAll,MATCH($A79,SSStem,0),MATCH($B79,SSScen,0)+MATCH(P$70,SCYear,0)),""))</f>
        <v>#N/A</v>
      </c>
      <c r="Q79" s="27" t="e">
        <f>IF($B79="",NA(),IFERROR(INDEX(SSAll,MATCH($A79,SSStem,0),MATCH($B79,SSScen,0)+MATCH(Q$70,SCYear,0)),""))</f>
        <v>#N/A</v>
      </c>
      <c r="R79" s="27" t="e">
        <f>IF($B79="",NA(),IFERROR(INDEX(SSAll,MATCH($A79,SSStem,0),MATCH($B79,SSScen,0)+MATCH(R$70,SCYear,0)),""))</f>
        <v>#N/A</v>
      </c>
      <c r="S79" s="27" t="e">
        <f>IF($B79="",NA(),IFERROR(INDEX(SSAll,MATCH($A79,SSStem,0),MATCH($B79,SSScen,0)+MATCH(S$70,SCYear,0)),""))</f>
        <v>#N/A</v>
      </c>
      <c r="T79" s="27" t="e">
        <f>IF($B79="",NA(),IFERROR(INDEX(SSAll,MATCH($A79,SSStem,0),MATCH($B79,SSScen,0)+MATCH(T$70,SCYear,0)),""))</f>
        <v>#N/A</v>
      </c>
      <c r="U79" s="27" t="e">
        <f>IF($B79="",NA(),IFERROR(INDEX(SSAll,MATCH($A79,SSStem,0),MATCH($B79,SSScen,0)+MATCH(U$70,SCYear,0)),""))</f>
        <v>#N/A</v>
      </c>
      <c r="V79" s="27" t="e">
        <f>IF($B79="",NA(),IFERROR(INDEX(SSAll,MATCH($A79,SSStem,0),MATCH($B79,SSScen,0)+MATCH(V$70,SCYear,0)),""))</f>
        <v>#N/A</v>
      </c>
      <c r="W79" s="27" t="e">
        <f>IF($B79="",NA(),IFERROR(INDEX(SSAll,MATCH($A79,SSStem,0),MATCH($B79,SSScen,0)+MATCH(W$70,SCYear,0)),""))</f>
        <v>#N/A</v>
      </c>
    </row>
    <row r="80">
      <c r="A80" s="32" t="str">
        <f>$A$69</f>
        <v>mit.rpct.all.tot</v>
      </c>
      <c r="B80" s="33" t="str">
        <f>INDEX($D$13:$M$13,ROWS($B$71:B80))</f>
        <v/>
      </c>
      <c r="C80" s="12" t="str">
        <f>INDEX($D$14:$M$14,ROWS($B$71:B80))</f>
        <v/>
      </c>
      <c r="D80" s="27" t="e">
        <f>IF($B80="",NA(),IFERROR(INDEX(SSAll,MATCH($A80,SSStem,0),MATCH($B80,SSScen,0)+MATCH(D$70,SCYear,0)),""))</f>
        <v>#N/A</v>
      </c>
      <c r="E80" s="27" t="e">
        <f>IF($B80="",NA(),IFERROR(INDEX(SSAll,MATCH($A80,SSStem,0),MATCH($B80,SSScen,0)+MATCH(E$70,SCYear,0)),""))</f>
        <v>#N/A</v>
      </c>
      <c r="F80" s="27" t="e">
        <f>IF($B80="",NA(),IFERROR(INDEX(SSAll,MATCH($A80,SSStem,0),MATCH($B80,SSScen,0)+MATCH(F$70,SCYear,0)),""))</f>
        <v>#N/A</v>
      </c>
      <c r="G80" s="27" t="e">
        <f>IF($B80="",NA(),IFERROR(INDEX(SSAll,MATCH($A80,SSStem,0),MATCH($B80,SSScen,0)+MATCH(G$70,SCYear,0)),""))</f>
        <v>#N/A</v>
      </c>
      <c r="H80" s="27" t="e">
        <f>IF($B80="",NA(),IFERROR(INDEX(SSAll,MATCH($A80,SSStem,0),MATCH($B80,SSScen,0)+MATCH(H$70,SCYear,0)),""))</f>
        <v>#N/A</v>
      </c>
      <c r="I80" s="27" t="e">
        <f>IF($B80="",NA(),IFERROR(INDEX(SSAll,MATCH($A80,SSStem,0),MATCH($B80,SSScen,0)+MATCH(I$70,SCYear,0)),""))</f>
        <v>#N/A</v>
      </c>
      <c r="J80" s="27" t="e">
        <f>IF($B80="",NA(),IFERROR(INDEX(SSAll,MATCH($A80,SSStem,0),MATCH($B80,SSScen,0)+MATCH(J$70,SCYear,0)),""))</f>
        <v>#N/A</v>
      </c>
      <c r="K80" s="27" t="e">
        <f>IF($B80="",NA(),IFERROR(INDEX(SSAll,MATCH($A80,SSStem,0),MATCH($B80,SSScen,0)+MATCH(K$70,SCYear,0)),""))</f>
        <v>#N/A</v>
      </c>
      <c r="L80" s="27" t="e">
        <f>IF($B80="",NA(),IFERROR(INDEX(SSAll,MATCH($A80,SSStem,0),MATCH($B80,SSScen,0)+MATCH(L$70,SCYear,0)),""))</f>
        <v>#N/A</v>
      </c>
      <c r="M80" s="27" t="e">
        <f>IF($B80="",NA(),IFERROR(INDEX(SSAll,MATCH($A80,SSStem,0),MATCH($B80,SSScen,0)+MATCH(M$70,SCYear,0)),""))</f>
        <v>#N/A</v>
      </c>
      <c r="N80" s="27" t="e">
        <f>IF($B80="",NA(),IFERROR(INDEX(SSAll,MATCH($A80,SSStem,0),MATCH($B80,SSScen,0)+MATCH(N$70,SCYear,0)),""))</f>
        <v>#N/A</v>
      </c>
      <c r="O80" s="27" t="e">
        <f>IF($B80="",NA(),IFERROR(INDEX(SSAll,MATCH($A80,SSStem,0),MATCH($B80,SSScen,0)+MATCH(O$70,SCYear,0)),""))</f>
        <v>#N/A</v>
      </c>
      <c r="P80" s="27" t="e">
        <f>IF($B80="",NA(),IFERROR(INDEX(SSAll,MATCH($A80,SSStem,0),MATCH($B80,SSScen,0)+MATCH(P$70,SCYear,0)),""))</f>
        <v>#N/A</v>
      </c>
      <c r="Q80" s="27" t="e">
        <f>IF($B80="",NA(),IFERROR(INDEX(SSAll,MATCH($A80,SSStem,0),MATCH($B80,SSScen,0)+MATCH(Q$70,SCYear,0)),""))</f>
        <v>#N/A</v>
      </c>
      <c r="R80" s="27" t="e">
        <f>IF($B80="",NA(),IFERROR(INDEX(SSAll,MATCH($A80,SSStem,0),MATCH($B80,SSScen,0)+MATCH(R$70,SCYear,0)),""))</f>
        <v>#N/A</v>
      </c>
      <c r="S80" s="27" t="e">
        <f>IF($B80="",NA(),IFERROR(INDEX(SSAll,MATCH($A80,SSStem,0),MATCH($B80,SSScen,0)+MATCH(S$70,SCYear,0)),""))</f>
        <v>#N/A</v>
      </c>
      <c r="T80" s="27" t="e">
        <f>IF($B80="",NA(),IFERROR(INDEX(SSAll,MATCH($A80,SSStem,0),MATCH($B80,SSScen,0)+MATCH(T$70,SCYear,0)),""))</f>
        <v>#N/A</v>
      </c>
      <c r="U80" s="27" t="e">
        <f>IF($B80="",NA(),IFERROR(INDEX(SSAll,MATCH($A80,SSStem,0),MATCH($B80,SSScen,0)+MATCH(U$70,SCYear,0)),""))</f>
        <v>#N/A</v>
      </c>
      <c r="V80" s="27" t="e">
        <f>IF($B80="",NA(),IFERROR(INDEX(SSAll,MATCH($A80,SSStem,0),MATCH($B80,SSScen,0)+MATCH(V$70,SCYear,0)),""))</f>
        <v>#N/A</v>
      </c>
      <c r="W80" s="27" t="e">
        <f>IF($B80="",NA(),IFERROR(INDEX(SSAll,MATCH($A80,SSStem,0),MATCH($B80,SSScen,0)+MATCH(W$70,SCYear,0)),""))</f>
        <v>#N/A</v>
      </c>
    </row>
    <row r="86">
      <c r="A86" s="32" t="str">
        <f>INDEX(CSCatStem,MATCH($B86,CSCatLab,0))</f>
        <v>mit.gdp.eff.tot.tot</v>
      </c>
      <c r="B86" s="13" t="str">
        <f>$B$195</f>
        <v>GDP effect of the revenue use (level, vs baseline) | All sectors | All fuels</v>
      </c>
      <c r="C86" s="12" t="str">
        <f>INDEX(CSCatUnit,MATCH($B86,CSCatLab,0))</f>
        <v>share of GDP</v>
      </c>
    </row>
    <row r="87">
      <c r="C87" s="47" t="inlineStr">
        <is>
          <t>Year</t>
        </is>
      </c>
      <c r="D87" s="48" t="n">
        <v>2022</v>
      </c>
      <c r="E87" s="49" t="n">
        <v>2023</v>
      </c>
      <c r="F87" s="49" t="n">
        <v>2024</v>
      </c>
      <c r="G87" s="49" t="n">
        <v>2025</v>
      </c>
      <c r="H87" s="49" t="n">
        <v>2026</v>
      </c>
      <c r="I87" s="49" t="n">
        <v>2027</v>
      </c>
      <c r="J87" s="49" t="n">
        <v>2028</v>
      </c>
      <c r="K87" s="49" t="n">
        <v>2029</v>
      </c>
      <c r="L87" s="49" t="n">
        <v>2030</v>
      </c>
      <c r="M87" s="49" t="n">
        <v>2031</v>
      </c>
      <c r="N87" s="49" t="n">
        <v>2032</v>
      </c>
      <c r="O87" s="49" t="n">
        <v>2033</v>
      </c>
      <c r="P87" s="49" t="n">
        <v>2034</v>
      </c>
      <c r="Q87" s="49" t="n">
        <v>2035</v>
      </c>
      <c r="R87" s="49" t="n">
        <v>2036</v>
      </c>
      <c r="S87" s="49" t="n">
        <v>2037</v>
      </c>
      <c r="T87" s="49" t="n">
        <v>2038</v>
      </c>
      <c r="U87" s="49" t="n">
        <v>2039</v>
      </c>
      <c r="V87" s="49" t="n">
        <v>2040</v>
      </c>
      <c r="W87" s="49" t="n">
        <v>2041</v>
      </c>
    </row>
    <row r="88">
      <c r="A88" s="32" t="str">
        <f>$A$86</f>
        <v>mit.gdp.eff.tot.tot</v>
      </c>
      <c r="B88" s="33">
        <f>INDEX($D$13:$M$13,ROWS($B$88:B88))</f>
        <v>1.0</v>
      </c>
      <c r="C88" s="12" t="str">
        <f>INDEX($D$14:$M$14,ROWS($B$88:B88))</f>
        <v>S1: 1</v>
      </c>
      <c r="D88" s="27">
        <f>IF($B88="",NA(),IFERROR(INDEX(SSAll,MATCH($A88,SSStem,0),MATCH($B88,SSScen,0)+MATCH(D$87,SCYear,0)),""))</f>
        <v>0.0</v>
      </c>
      <c r="E88" s="27">
        <f>IF($B88="",NA(),IFERROR(INDEX(SSAll,MATCH($A88,SSStem,0),MATCH($B88,SSScen,0)+MATCH(E$87,SCYear,0)),""))</f>
        <v>0.0</v>
      </c>
      <c r="F88" s="27">
        <f>IF($B88="",NA(),IFERROR(INDEX(SSAll,MATCH($A88,SSStem,0),MATCH($B88,SSScen,0)+MATCH(F$87,SCYear,0)),""))</f>
        <v>0.0</v>
      </c>
      <c r="G88" s="27">
        <f>IF($B88="",NA(),IFERROR(INDEX(SSAll,MATCH($A88,SSStem,0),MATCH($B88,SSScen,0)+MATCH(G$87,SCYear,0)),""))</f>
        <v>0.0</v>
      </c>
      <c r="H88" s="27">
        <f>IF($B88="",NA(),IFERROR(INDEX(SSAll,MATCH($A88,SSStem,0),MATCH($B88,SSScen,0)+MATCH(H$87,SCYear,0)),""))</f>
        <v>0.0</v>
      </c>
      <c r="I88" s="27">
        <f>IF($B88="",NA(),IFERROR(INDEX(SSAll,MATCH($A88,SSStem,0),MATCH($B88,SSScen,0)+MATCH(I$87,SCYear,0)),""))</f>
        <v>0.0</v>
      </c>
      <c r="J88" s="27">
        <f>IF($B88="",NA(),IFERROR(INDEX(SSAll,MATCH($A88,SSStem,0),MATCH($B88,SSScen,0)+MATCH(J$87,SCYear,0)),""))</f>
        <v>0.0</v>
      </c>
      <c r="K88" s="27">
        <f>IF($B88="",NA(),IFERROR(INDEX(SSAll,MATCH($A88,SSStem,0),MATCH($B88,SSScen,0)+MATCH(K$87,SCYear,0)),""))</f>
        <v>0.0</v>
      </c>
      <c r="L88" s="27">
        <f>IF($B88="",NA(),IFERROR(INDEX(SSAll,MATCH($A88,SSStem,0),MATCH($B88,SSScen,0)+MATCH(L$87,SCYear,0)),""))</f>
        <v>0.0</v>
      </c>
      <c r="M88" s="27">
        <f>IF($B88="",NA(),IFERROR(INDEX(SSAll,MATCH($A88,SSStem,0),MATCH($B88,SSScen,0)+MATCH(M$87,SCYear,0)),""))</f>
        <v>0.0</v>
      </c>
      <c r="N88" s="27">
        <f>IF($B88="",NA(),IFERROR(INDEX(SSAll,MATCH($A88,SSStem,0),MATCH($B88,SSScen,0)+MATCH(N$87,SCYear,0)),""))</f>
        <v>0.0</v>
      </c>
      <c r="O88" s="27">
        <f>IF($B88="",NA(),IFERROR(INDEX(SSAll,MATCH($A88,SSStem,0),MATCH($B88,SSScen,0)+MATCH(O$87,SCYear,0)),""))</f>
        <v>0.0</v>
      </c>
      <c r="P88" s="27">
        <f>IF($B88="",NA(),IFERROR(INDEX(SSAll,MATCH($A88,SSStem,0),MATCH($B88,SSScen,0)+MATCH(P$87,SCYear,0)),""))</f>
        <v>0.0</v>
      </c>
      <c r="Q88" s="27">
        <f>IF($B88="",NA(),IFERROR(INDEX(SSAll,MATCH($A88,SSStem,0),MATCH($B88,SSScen,0)+MATCH(Q$87,SCYear,0)),""))</f>
        <v>0.0</v>
      </c>
      <c r="R88" s="27">
        <f>IF($B88="",NA(),IFERROR(INDEX(SSAll,MATCH($A88,SSStem,0),MATCH($B88,SSScen,0)+MATCH(R$87,SCYear,0)),""))</f>
        <v>0.0</v>
      </c>
      <c r="S88" s="27">
        <f>IF($B88="",NA(),IFERROR(INDEX(SSAll,MATCH($A88,SSStem,0),MATCH($B88,SSScen,0)+MATCH(S$87,SCYear,0)),""))</f>
        <v>0.0</v>
      </c>
      <c r="T88" s="27">
        <f>IF($B88="",NA(),IFERROR(INDEX(SSAll,MATCH($A88,SSStem,0),MATCH($B88,SSScen,0)+MATCH(T$87,SCYear,0)),""))</f>
        <v>0.0</v>
      </c>
      <c r="U88" s="27">
        <f>IF($B88="",NA(),IFERROR(INDEX(SSAll,MATCH($A88,SSStem,0),MATCH($B88,SSScen,0)+MATCH(U$87,SCYear,0)),""))</f>
        <v>0.0</v>
      </c>
      <c r="V88" s="27">
        <f>IF($B88="",NA(),IFERROR(INDEX(SSAll,MATCH($A88,SSStem,0),MATCH($B88,SSScen,0)+MATCH(V$87,SCYear,0)),""))</f>
        <v>0.0</v>
      </c>
      <c r="W88" s="27">
        <f>IF($B88="",NA(),IFERROR(INDEX(SSAll,MATCH($A88,SSStem,0),MATCH($B88,SSScen,0)+MATCH(W$87,SCYear,0)),""))</f>
        <v>0.0</v>
      </c>
    </row>
    <row r="89">
      <c r="A89" s="32" t="str">
        <f>$A$86</f>
        <v>mit.gdp.eff.tot.tot</v>
      </c>
      <c r="B89" s="33">
        <f>INDEX($D$13:$M$13,ROWS($B$88:B89))</f>
        <v>3.0</v>
      </c>
      <c r="C89" s="12" t="str">
        <f>INDEX($D$14:$M$14,ROWS($B$88:B89))</f>
        <v>S2: 3</v>
      </c>
      <c r="D89" s="27">
        <f>IF($B89="",NA(),IFERROR(INDEX(SSAll,MATCH($A89,SSStem,0),MATCH($B89,SSScen,0)+MATCH(D$87,SCYear,0)),""))</f>
        <v>0.0</v>
      </c>
      <c r="E89" s="27">
        <f>IF($B89="",NA(),IFERROR(INDEX(SSAll,MATCH($A89,SSStem,0),MATCH($B89,SSScen,0)+MATCH(E$87,SCYear,0)),""))</f>
        <v>0.0</v>
      </c>
      <c r="F89" s="27">
        <f>IF($B89="",NA(),IFERROR(INDEX(SSAll,MATCH($A89,SSStem,0),MATCH($B89,SSScen,0)+MATCH(F$87,SCYear,0)),""))</f>
        <v>0.0</v>
      </c>
      <c r="G89" s="27">
        <f>IF($B89="",NA(),IFERROR(INDEX(SSAll,MATCH($A89,SSStem,0),MATCH($B89,SSScen,0)+MATCH(G$87,SCYear,0)),""))</f>
        <v>0.0</v>
      </c>
      <c r="H89" s="27">
        <f>IF($B89="",NA(),IFERROR(INDEX(SSAll,MATCH($A89,SSStem,0),MATCH($B89,SSScen,0)+MATCH(H$87,SCYear,0)),""))</f>
        <v>5.920545255042248e-08</v>
      </c>
      <c r="I89" s="27">
        <f>IF($B89="",NA(),IFERROR(INDEX(SSAll,MATCH($A89,SSStem,0),MATCH($B89,SSScen,0)+MATCH(I$87,SCYear,0)),""))</f>
        <v>-1.320177131271182e-07</v>
      </c>
      <c r="J89" s="27">
        <f>IF($B89="",NA(),IFERROR(INDEX(SSAll,MATCH($A89,SSStem,0),MATCH($B89,SSScen,0)+MATCH(J$87,SCYear,0)),""))</f>
        <v>0.000592176758143826</v>
      </c>
      <c r="K89" s="27">
        <f>IF($B89="",NA(),IFERROR(INDEX(SSAll,MATCH($A89,SSStem,0),MATCH($B89,SSScen,0)+MATCH(K$87,SCYear,0)),""))</f>
        <v>-0.0007522077228897062</v>
      </c>
      <c r="L89" s="27">
        <f>IF($B89="",NA(),IFERROR(INDEX(SSAll,MATCH($A89,SSStem,0),MATCH($B89,SSScen,0)+MATCH(L$87,SCYear,0)),""))</f>
        <v>-0.0005198496352340488</v>
      </c>
      <c r="M89" s="27">
        <f>IF($B89="",NA(),IFERROR(INDEX(SSAll,MATCH($A89,SSStem,0),MATCH($B89,SSScen,0)+MATCH(M$87,SCYear,0)),""))</f>
        <v>-0.001057590043190572</v>
      </c>
      <c r="N89" s="27">
        <f>IF($B89="",NA(),IFERROR(INDEX(SSAll,MATCH($A89,SSStem,0),MATCH($B89,SSScen,0)+MATCH(N$87,SCYear,0)),""))</f>
        <v>-0.0003514706117580995</v>
      </c>
      <c r="O89" s="27">
        <f>IF($B89="",NA(),IFERROR(INDEX(SSAll,MATCH($A89,SSStem,0),MATCH($B89,SSScen,0)+MATCH(O$87,SCYear,0)),""))</f>
        <v>0.0009201829697531722</v>
      </c>
      <c r="P89" s="27">
        <f>IF($B89="",NA(),IFERROR(INDEX(SSAll,MATCH($A89,SSStem,0),MATCH($B89,SSScen,0)+MATCH(P$87,SCYear,0)),""))</f>
        <v>0.001890254042487135</v>
      </c>
      <c r="Q89" s="27">
        <f>IF($B89="",NA(),IFERROR(INDEX(SSAll,MATCH($A89,SSStem,0),MATCH($B89,SSScen,0)+MATCH(Q$87,SCYear,0)),""))</f>
        <v>0.003082947986599967</v>
      </c>
      <c r="R89" s="27">
        <f>IF($B89="",NA(),IFERROR(INDEX(SSAll,MATCH($A89,SSStem,0),MATCH($B89,SSScen,0)+MATCH(R$87,SCYear,0)),""))</f>
        <v>0.004812875511570174</v>
      </c>
      <c r="S89" s="27">
        <f>IF($B89="",NA(),IFERROR(INDEX(SSAll,MATCH($A89,SSStem,0),MATCH($B89,SSScen,0)+MATCH(S$87,SCYear,0)),""))</f>
        <v>0.005986050788263888</v>
      </c>
      <c r="T89" s="27">
        <f>IF($B89="",NA(),IFERROR(INDEX(SSAll,MATCH($A89,SSStem,0),MATCH($B89,SSScen,0)+MATCH(T$87,SCYear,0)),""))</f>
        <v>0.006857416219637208</v>
      </c>
      <c r="U89" s="27">
        <f>IF($B89="",NA(),IFERROR(INDEX(SSAll,MATCH($A89,SSStem,0),MATCH($B89,SSScen,0)+MATCH(U$87,SCYear,0)),""))</f>
        <v>0.007073134547996614</v>
      </c>
      <c r="V89" s="27">
        <f>IF($B89="",NA(),IFERROR(INDEX(SSAll,MATCH($A89,SSStem,0),MATCH($B89,SSScen,0)+MATCH(V$87,SCYear,0)),""))</f>
        <v>0.007105251902612198</v>
      </c>
      <c r="W89" s="27">
        <f>IF($B89="",NA(),IFERROR(INDEX(SSAll,MATCH($A89,SSStem,0),MATCH($B89,SSScen,0)+MATCH(W$87,SCYear,0)),""))</f>
        <v>0.007166739527204131</v>
      </c>
    </row>
    <row r="90">
      <c r="A90" s="32" t="str">
        <f>$A$86</f>
        <v>mit.gdp.eff.tot.tot</v>
      </c>
      <c r="B90" s="33">
        <f>INDEX($D$13:$M$13,ROWS($B$88:B90))</f>
        <v>4.0</v>
      </c>
      <c r="C90" s="12" t="str">
        <f>INDEX($D$14:$M$14,ROWS($B$88:B90))</f>
        <v>S3: 4</v>
      </c>
      <c r="D90" s="27">
        <f>IF($B90="",NA(),IFERROR(INDEX(SSAll,MATCH($A90,SSStem,0),MATCH($B90,SSScen,0)+MATCH(D$87,SCYear,0)),""))</f>
        <v>0.0</v>
      </c>
      <c r="E90" s="27">
        <f>IF($B90="",NA(),IFERROR(INDEX(SSAll,MATCH($A90,SSStem,0),MATCH($B90,SSScen,0)+MATCH(E$87,SCYear,0)),""))</f>
        <v>0.0</v>
      </c>
      <c r="F90" s="27">
        <f>IF($B90="",NA(),IFERROR(INDEX(SSAll,MATCH($A90,SSStem,0),MATCH($B90,SSScen,0)+MATCH(F$87,SCYear,0)),""))</f>
        <v>0.0</v>
      </c>
      <c r="G90" s="27">
        <f>IF($B90="",NA(),IFERROR(INDEX(SSAll,MATCH($A90,SSStem,0),MATCH($B90,SSScen,0)+MATCH(G$87,SCYear,0)),""))</f>
        <v>0.0</v>
      </c>
      <c r="H90" s="27">
        <f>IF($B90="",NA(),IFERROR(INDEX(SSAll,MATCH($A90,SSStem,0),MATCH($B90,SSScen,0)+MATCH(H$87,SCYear,0)),""))</f>
        <v>1.881248580920718e-07</v>
      </c>
      <c r="I90" s="27">
        <f>IF($B90="",NA(),IFERROR(INDEX(SSAll,MATCH($A90,SSStem,0),MATCH($B90,SSScen,0)+MATCH(I$87,SCYear,0)),""))</f>
        <v>-4.215297985273708e-07</v>
      </c>
      <c r="J90" s="27">
        <f>IF($B90="",NA(),IFERROR(INDEX(SSAll,MATCH($A90,SSStem,0),MATCH($B90,SSScen,0)+MATCH(J$87,SCYear,0)),""))</f>
        <v>0.000335826199796902</v>
      </c>
      <c r="K90" s="27">
        <f>IF($B90="",NA(),IFERROR(INDEX(SSAll,MATCH($A90,SSStem,0),MATCH($B90,SSScen,0)+MATCH(K$87,SCYear,0)),""))</f>
        <v>-7.689877491747572e-05</v>
      </c>
      <c r="L90" s="27">
        <f>IF($B90="",NA(),IFERROR(INDEX(SSAll,MATCH($A90,SSStem,0),MATCH($B90,SSScen,0)+MATCH(L$87,SCYear,0)),""))</f>
        <v>-0.0004397132282217095</v>
      </c>
      <c r="M90" s="27">
        <f>IF($B90="",NA(),IFERROR(INDEX(SSAll,MATCH($A90,SSStem,0),MATCH($B90,SSScen,0)+MATCH(M$87,SCYear,0)),""))</f>
        <v>-0.001072788339532562</v>
      </c>
      <c r="N90" s="27">
        <f>IF($B90="",NA(),IFERROR(INDEX(SSAll,MATCH($A90,SSStem,0),MATCH($B90,SSScen,0)+MATCH(N$87,SCYear,0)),""))</f>
        <v>-0.001199118058612754</v>
      </c>
      <c r="O90" s="27">
        <f>IF($B90="",NA(),IFERROR(INDEX(SSAll,MATCH($A90,SSStem,0),MATCH($B90,SSScen,0)+MATCH(O$87,SCYear,0)),""))</f>
        <v>-0.0004589758416166036</v>
      </c>
      <c r="P90" s="27">
        <f>IF($B90="",NA(),IFERROR(INDEX(SSAll,MATCH($A90,SSStem,0),MATCH($B90,SSScen,0)+MATCH(P$87,SCYear,0)),""))</f>
        <v>0.0008483728330601478</v>
      </c>
      <c r="Q90" s="27">
        <f>IF($B90="",NA(),IFERROR(INDEX(SSAll,MATCH($A90,SSStem,0),MATCH($B90,SSScen,0)+MATCH(Q$87,SCYear,0)),""))</f>
        <v>0.002681096041931541</v>
      </c>
      <c r="R90" s="27">
        <f>IF($B90="",NA(),IFERROR(INDEX(SSAll,MATCH($A90,SSStem,0),MATCH($B90,SSScen,0)+MATCH(R$87,SCYear,0)),""))</f>
        <v>0.005246481020818621</v>
      </c>
      <c r="S90" s="27">
        <f>IF($B90="",NA(),IFERROR(INDEX(SSAll,MATCH($A90,SSStem,0),MATCH($B90,SSScen,0)+MATCH(S$87,SCYear,0)),""))</f>
        <v>0.008201569629191713</v>
      </c>
      <c r="T90" s="27">
        <f>IF($B90="",NA(),IFERROR(INDEX(SSAll,MATCH($A90,SSStem,0),MATCH($B90,SSScen,0)+MATCH(T$87,SCYear,0)),""))</f>
        <v>0.0113295894169808</v>
      </c>
      <c r="U90" s="27">
        <f>IF($B90="",NA(),IFERROR(INDEX(SSAll,MATCH($A90,SSStem,0),MATCH($B90,SSScen,0)+MATCH(U$87,SCYear,0)),""))</f>
        <v>0.0141585748453713</v>
      </c>
      <c r="V90" s="27">
        <f>IF($B90="",NA(),IFERROR(INDEX(SSAll,MATCH($A90,SSStem,0),MATCH($B90,SSScen,0)+MATCH(V$87,SCYear,0)),""))</f>
        <v>0.01658902025963389</v>
      </c>
      <c r="W90" s="27">
        <f>IF($B90="",NA(),IFERROR(INDEX(SSAll,MATCH($A90,SSStem,0),MATCH($B90,SSScen,0)+MATCH(W$87,SCYear,0)),""))</f>
        <v>0.01875000788299816</v>
      </c>
    </row>
    <row r="91">
      <c r="A91" s="32" t="str">
        <f>$A$86</f>
        <v>mit.gdp.eff.tot.tot</v>
      </c>
      <c r="B91" s="33">
        <f>INDEX($D$13:$M$13,ROWS($B$88:B91))</f>
        <v>5.0</v>
      </c>
      <c r="C91" s="12" t="str">
        <f>INDEX($D$14:$M$14,ROWS($B$88:B91))</f>
        <v>S4: 5</v>
      </c>
      <c r="D91" s="27">
        <f>IF($B91="",NA(),IFERROR(INDEX(SSAll,MATCH($A91,SSStem,0),MATCH($B91,SSScen,0)+MATCH(D$87,SCYear,0)),""))</f>
        <v>0.0</v>
      </c>
      <c r="E91" s="27">
        <f>IF($B91="",NA(),IFERROR(INDEX(SSAll,MATCH($A91,SSStem,0),MATCH($B91,SSScen,0)+MATCH(E$87,SCYear,0)),""))</f>
        <v>0.0</v>
      </c>
      <c r="F91" s="27">
        <f>IF($B91="",NA(),IFERROR(INDEX(SSAll,MATCH($A91,SSStem,0),MATCH($B91,SSScen,0)+MATCH(F$87,SCYear,0)),""))</f>
        <v>0.0</v>
      </c>
      <c r="G91" s="27">
        <f>IF($B91="",NA(),IFERROR(INDEX(SSAll,MATCH($A91,SSStem,0),MATCH($B91,SSScen,0)+MATCH(G$87,SCYear,0)),""))</f>
        <v>0.0</v>
      </c>
      <c r="H91" s="27">
        <f>IF($B91="",NA(),IFERROR(INDEX(SSAll,MATCH($A91,SSStem,0),MATCH($B91,SSScen,0)+MATCH(H$87,SCYear,0)),""))</f>
        <v>3.132498660013579e-07</v>
      </c>
      <c r="I91" s="27">
        <f>IF($B91="",NA(),IFERROR(INDEX(SSAll,MATCH($A91,SSStem,0),MATCH($B91,SSScen,0)+MATCH(I$87,SCYear,0)),""))</f>
        <v>-7.630393820508991e-07</v>
      </c>
      <c r="J91" s="27">
        <f>IF($B91="",NA(),IFERROR(INDEX(SSAll,MATCH($A91,SSStem,0),MATCH($B91,SSScen,0)+MATCH(J$87,SCYear,0)),""))</f>
        <v>0.0005036829855802113</v>
      </c>
      <c r="K91" s="27">
        <f>IF($B91="",NA(),IFERROR(INDEX(SSAll,MATCH($A91,SSStem,0),MATCH($B91,SSScen,0)+MATCH(K$87,SCYear,0)),""))</f>
        <v>-0.0007578449241221252</v>
      </c>
      <c r="L91" s="27">
        <f>IF($B91="",NA(),IFERROR(INDEX(SSAll,MATCH($A91,SSStem,0),MATCH($B91,SSScen,0)+MATCH(L$87,SCYear,0)),""))</f>
        <v>-0.0002605619004071762</v>
      </c>
      <c r="M91" s="27">
        <f>IF($B91="",NA(),IFERROR(INDEX(SSAll,MATCH($A91,SSStem,0),MATCH($B91,SSScen,0)+MATCH(M$87,SCYear,0)),""))</f>
        <v>-0.000865389714274051</v>
      </c>
      <c r="N91" s="27">
        <f>IF($B91="",NA(),IFERROR(INDEX(SSAll,MATCH($A91,SSStem,0),MATCH($B91,SSScen,0)+MATCH(N$87,SCYear,0)),""))</f>
        <v>-7.193629421757422e-05</v>
      </c>
      <c r="O91" s="27">
        <f>IF($B91="",NA(),IFERROR(INDEX(SSAll,MATCH($A91,SSStem,0),MATCH($B91,SSScen,0)+MATCH(O$87,SCYear,0)),""))</f>
        <v>0.0007698552063476952</v>
      </c>
      <c r="P91" s="27">
        <f>IF($B91="",NA(),IFERROR(INDEX(SSAll,MATCH($A91,SSStem,0),MATCH($B91,SSScen,0)+MATCH(P$87,SCYear,0)),""))</f>
        <v>0.001411236014743195</v>
      </c>
      <c r="Q91" s="27">
        <f>IF($B91="",NA(),IFERROR(INDEX(SSAll,MATCH($A91,SSStem,0),MATCH($B91,SSScen,0)+MATCH(Q$87,SCYear,0)),""))</f>
        <v>0.002272657403203599</v>
      </c>
      <c r="R91" s="27">
        <f>IF($B91="",NA(),IFERROR(INDEX(SSAll,MATCH($A91,SSStem,0),MATCH($B91,SSScen,0)+MATCH(R$87,SCYear,0)),""))</f>
        <v>0.003536855869046324</v>
      </c>
      <c r="S91" s="27">
        <f>IF($B91="",NA(),IFERROR(INDEX(SSAll,MATCH($A91,SSStem,0),MATCH($B91,SSScen,0)+MATCH(S$87,SCYear,0)),""))</f>
        <v>0.004295414248600797</v>
      </c>
      <c r="T91" s="27">
        <f>IF($B91="",NA(),IFERROR(INDEX(SSAll,MATCH($A91,SSStem,0),MATCH($B91,SSScen,0)+MATCH(T$87,SCYear,0)),""))</f>
        <v>0.004935838716424073</v>
      </c>
      <c r="U91" s="27">
        <f>IF($B91="",NA(),IFERROR(INDEX(SSAll,MATCH($A91,SSStem,0),MATCH($B91,SSScen,0)+MATCH(U$87,SCYear,0)),""))</f>
        <v>0.005060835850085283</v>
      </c>
      <c r="V91" s="27">
        <f>IF($B91="",NA(),IFERROR(INDEX(SSAll,MATCH($A91,SSStem,0),MATCH($B91,SSScen,0)+MATCH(V$87,SCYear,0)),""))</f>
        <v>0.005242892781890899</v>
      </c>
      <c r="W91" s="27">
        <f>IF($B91="",NA(),IFERROR(INDEX(SSAll,MATCH($A91,SSStem,0),MATCH($B91,SSScen,0)+MATCH(W$87,SCYear,0)),""))</f>
        <v>0.005455802991254088</v>
      </c>
    </row>
    <row r="92">
      <c r="A92" s="32" t="str">
        <f>$A$86</f>
        <v>mit.gdp.eff.tot.tot</v>
      </c>
      <c r="B92" s="33">
        <f>INDEX($D$13:$M$13,ROWS($B$88:B92))</f>
        <v>6.0</v>
      </c>
      <c r="C92" s="12" t="str">
        <f>INDEX($D$14:$M$14,ROWS($B$88:B92))</f>
        <v>S5: 6</v>
      </c>
      <c r="D92" s="27">
        <f>IF($B92="",NA(),IFERROR(INDEX(SSAll,MATCH($A92,SSStem,0),MATCH($B92,SSScen,0)+MATCH(D$87,SCYear,0)),""))</f>
        <v>0.0</v>
      </c>
      <c r="E92" s="27">
        <f>IF($B92="",NA(),IFERROR(INDEX(SSAll,MATCH($A92,SSStem,0),MATCH($B92,SSScen,0)+MATCH(E$87,SCYear,0)),""))</f>
        <v>0.0</v>
      </c>
      <c r="F92" s="27">
        <f>IF($B92="",NA(),IFERROR(INDEX(SSAll,MATCH($A92,SSStem,0),MATCH($B92,SSScen,0)+MATCH(F$87,SCYear,0)),""))</f>
        <v>0.0</v>
      </c>
      <c r="G92" s="27">
        <f>IF($B92="",NA(),IFERROR(INDEX(SSAll,MATCH($A92,SSStem,0),MATCH($B92,SSScen,0)+MATCH(G$87,SCYear,0)),""))</f>
        <v>0.0</v>
      </c>
      <c r="H92" s="27">
        <f>IF($B92="",NA(),IFERROR(INDEX(SSAll,MATCH($A92,SSStem,0),MATCH($B92,SSScen,0)+MATCH(H$87,SCYear,0)),""))</f>
        <v>1.345218464216424e-07</v>
      </c>
      <c r="I92" s="27">
        <f>IF($B92="",NA(),IFERROR(INDEX(SSAll,MATCH($A92,SSStem,0),MATCH($B92,SSScen,0)+MATCH(I$87,SCYear,0)),""))</f>
        <v>-3.010195227830797e-07</v>
      </c>
      <c r="J92" s="27">
        <f>IF($B92="",NA(),IFERROR(INDEX(SSAll,MATCH($A92,SSStem,0),MATCH($B92,SSScen,0)+MATCH(J$87,SCYear,0)),""))</f>
        <v>0.00126789754109709</v>
      </c>
      <c r="K92" s="27">
        <f>IF($B92="",NA(),IFERROR(INDEX(SSAll,MATCH($A92,SSStem,0),MATCH($B92,SSScen,0)+MATCH(K$87,SCYear,0)),""))</f>
        <v>-0.001656133126351531</v>
      </c>
      <c r="L92" s="27">
        <f>IF($B92="",NA(),IFERROR(INDEX(SSAll,MATCH($A92,SSStem,0),MATCH($B92,SSScen,0)+MATCH(L$87,SCYear,0)),""))</f>
        <v>-0.001025933654128223</v>
      </c>
      <c r="M92" s="27">
        <f>IF($B92="",NA(),IFERROR(INDEX(SSAll,MATCH($A92,SSStem,0),MATCH($B92,SSScen,0)+MATCH(M$87,SCYear,0)),""))</f>
        <v>-0.002273187837007043</v>
      </c>
      <c r="N92" s="27">
        <f>IF($B92="",NA(),IFERROR(INDEX(SSAll,MATCH($A92,SSStem,0),MATCH($B92,SSScen,0)+MATCH(N$87,SCYear,0)),""))</f>
        <v>-0.000671389126517501</v>
      </c>
      <c r="O92" s="27">
        <f>IF($B92="",NA(),IFERROR(INDEX(SSAll,MATCH($A92,SSStem,0),MATCH($B92,SSScen,0)+MATCH(O$87,SCYear,0)),""))</f>
        <v>0.001940011609375594</v>
      </c>
      <c r="P92" s="27">
        <f>IF($B92="",NA(),IFERROR(INDEX(SSAll,MATCH($A92,SSStem,0),MATCH($B92,SSScen,0)+MATCH(P$87,SCYear,0)),""))</f>
        <v>0.003981114086975972</v>
      </c>
      <c r="Q92" s="27">
        <f>IF($B92="",NA(),IFERROR(INDEX(SSAll,MATCH($A92,SSStem,0),MATCH($B92,SSScen,0)+MATCH(Q$87,SCYear,0)),""))</f>
        <v>0.006477364479910847</v>
      </c>
      <c r="R92" s="27">
        <f>IF($B92="",NA(),IFERROR(INDEX(SSAll,MATCH($A92,SSStem,0),MATCH($B92,SSScen,0)+MATCH(R$87,SCYear,0)),""))</f>
        <v>0.0101285957626884</v>
      </c>
      <c r="S92" s="27">
        <f>IF($B92="",NA(),IFERROR(INDEX(SSAll,MATCH($A92,SSStem,0),MATCH($B92,SSScen,0)+MATCH(S$87,SCYear,0)),""))</f>
        <v>0.01255966933990656</v>
      </c>
      <c r="T92" s="27">
        <f>IF($B92="",NA(),IFERROR(INDEX(SSAll,MATCH($A92,SSStem,0),MATCH($B92,SSScen,0)+MATCH(T$87,SCYear,0)),""))</f>
        <v>0.01441885172639409</v>
      </c>
      <c r="U92" s="27">
        <f>IF($B92="",NA(),IFERROR(INDEX(SSAll,MATCH($A92,SSStem,0),MATCH($B92,SSScen,0)+MATCH(U$87,SCYear,0)),""))</f>
        <v>0.01488472848458831</v>
      </c>
      <c r="V92" s="27">
        <f>IF($B92="",NA(),IFERROR(INDEX(SSAll,MATCH($A92,SSStem,0),MATCH($B92,SSScen,0)+MATCH(V$87,SCYear,0)),""))</f>
        <v>0.01500619459242533</v>
      </c>
      <c r="W92" s="27">
        <f>IF($B92="",NA(),IFERROR(INDEX(SSAll,MATCH($A92,SSStem,0),MATCH($B92,SSScen,0)+MATCH(W$87,SCYear,0)),""))</f>
        <v>0.01519079403550731</v>
      </c>
    </row>
    <row r="93">
      <c r="A93" s="32" t="str">
        <f>$A$86</f>
        <v>mit.gdp.eff.tot.tot</v>
      </c>
      <c r="B93" s="33" t="str">
        <f>INDEX($D$13:$M$13,ROWS($B$88:B93))</f>
        <v/>
      </c>
      <c r="C93" s="12" t="str">
        <f>INDEX($D$14:$M$14,ROWS($B$88:B93))</f>
        <v/>
      </c>
      <c r="D93" s="27" t="e">
        <f>IF($B93="",NA(),IFERROR(INDEX(SSAll,MATCH($A93,SSStem,0),MATCH($B93,SSScen,0)+MATCH(D$87,SCYear,0)),""))</f>
        <v>#N/A</v>
      </c>
      <c r="E93" s="27" t="e">
        <f>IF($B93="",NA(),IFERROR(INDEX(SSAll,MATCH($A93,SSStem,0),MATCH($B93,SSScen,0)+MATCH(E$87,SCYear,0)),""))</f>
        <v>#N/A</v>
      </c>
      <c r="F93" s="27" t="e">
        <f>IF($B93="",NA(),IFERROR(INDEX(SSAll,MATCH($A93,SSStem,0),MATCH($B93,SSScen,0)+MATCH(F$87,SCYear,0)),""))</f>
        <v>#N/A</v>
      </c>
      <c r="G93" s="27" t="e">
        <f>IF($B93="",NA(),IFERROR(INDEX(SSAll,MATCH($A93,SSStem,0),MATCH($B93,SSScen,0)+MATCH(G$87,SCYear,0)),""))</f>
        <v>#N/A</v>
      </c>
      <c r="H93" s="27" t="e">
        <f>IF($B93="",NA(),IFERROR(INDEX(SSAll,MATCH($A93,SSStem,0),MATCH($B93,SSScen,0)+MATCH(H$87,SCYear,0)),""))</f>
        <v>#N/A</v>
      </c>
      <c r="I93" s="27" t="e">
        <f>IF($B93="",NA(),IFERROR(INDEX(SSAll,MATCH($A93,SSStem,0),MATCH($B93,SSScen,0)+MATCH(I$87,SCYear,0)),""))</f>
        <v>#N/A</v>
      </c>
      <c r="J93" s="27" t="e">
        <f>IF($B93="",NA(),IFERROR(INDEX(SSAll,MATCH($A93,SSStem,0),MATCH($B93,SSScen,0)+MATCH(J$87,SCYear,0)),""))</f>
        <v>#N/A</v>
      </c>
      <c r="K93" s="27" t="e">
        <f>IF($B93="",NA(),IFERROR(INDEX(SSAll,MATCH($A93,SSStem,0),MATCH($B93,SSScen,0)+MATCH(K$87,SCYear,0)),""))</f>
        <v>#N/A</v>
      </c>
      <c r="L93" s="27" t="e">
        <f>IF($B93="",NA(),IFERROR(INDEX(SSAll,MATCH($A93,SSStem,0),MATCH($B93,SSScen,0)+MATCH(L$87,SCYear,0)),""))</f>
        <v>#N/A</v>
      </c>
      <c r="M93" s="27" t="e">
        <f>IF($B93="",NA(),IFERROR(INDEX(SSAll,MATCH($A93,SSStem,0),MATCH($B93,SSScen,0)+MATCH(M$87,SCYear,0)),""))</f>
        <v>#N/A</v>
      </c>
      <c r="N93" s="27" t="e">
        <f>IF($B93="",NA(),IFERROR(INDEX(SSAll,MATCH($A93,SSStem,0),MATCH($B93,SSScen,0)+MATCH(N$87,SCYear,0)),""))</f>
        <v>#N/A</v>
      </c>
      <c r="O93" s="27" t="e">
        <f>IF($B93="",NA(),IFERROR(INDEX(SSAll,MATCH($A93,SSStem,0),MATCH($B93,SSScen,0)+MATCH(O$87,SCYear,0)),""))</f>
        <v>#N/A</v>
      </c>
      <c r="P93" s="27" t="e">
        <f>IF($B93="",NA(),IFERROR(INDEX(SSAll,MATCH($A93,SSStem,0),MATCH($B93,SSScen,0)+MATCH(P$87,SCYear,0)),""))</f>
        <v>#N/A</v>
      </c>
      <c r="Q93" s="27" t="e">
        <f>IF($B93="",NA(),IFERROR(INDEX(SSAll,MATCH($A93,SSStem,0),MATCH($B93,SSScen,0)+MATCH(Q$87,SCYear,0)),""))</f>
        <v>#N/A</v>
      </c>
      <c r="R93" s="27" t="e">
        <f>IF($B93="",NA(),IFERROR(INDEX(SSAll,MATCH($A93,SSStem,0),MATCH($B93,SSScen,0)+MATCH(R$87,SCYear,0)),""))</f>
        <v>#N/A</v>
      </c>
      <c r="S93" s="27" t="e">
        <f>IF($B93="",NA(),IFERROR(INDEX(SSAll,MATCH($A93,SSStem,0),MATCH($B93,SSScen,0)+MATCH(S$87,SCYear,0)),""))</f>
        <v>#N/A</v>
      </c>
      <c r="T93" s="27" t="e">
        <f>IF($B93="",NA(),IFERROR(INDEX(SSAll,MATCH($A93,SSStem,0),MATCH($B93,SSScen,0)+MATCH(T$87,SCYear,0)),""))</f>
        <v>#N/A</v>
      </c>
      <c r="U93" s="27" t="e">
        <f>IF($B93="",NA(),IFERROR(INDEX(SSAll,MATCH($A93,SSStem,0),MATCH($B93,SSScen,0)+MATCH(U$87,SCYear,0)),""))</f>
        <v>#N/A</v>
      </c>
      <c r="V93" s="27" t="e">
        <f>IF($B93="",NA(),IFERROR(INDEX(SSAll,MATCH($A93,SSStem,0),MATCH($B93,SSScen,0)+MATCH(V$87,SCYear,0)),""))</f>
        <v>#N/A</v>
      </c>
      <c r="W93" s="27" t="e">
        <f>IF($B93="",NA(),IFERROR(INDEX(SSAll,MATCH($A93,SSStem,0),MATCH($B93,SSScen,0)+MATCH(W$87,SCYear,0)),""))</f>
        <v>#N/A</v>
      </c>
    </row>
    <row r="94">
      <c r="A94" s="32" t="str">
        <f>$A$86</f>
        <v>mit.gdp.eff.tot.tot</v>
      </c>
      <c r="B94" s="33" t="str">
        <f>INDEX($D$13:$M$13,ROWS($B$88:B94))</f>
        <v/>
      </c>
      <c r="C94" s="12" t="str">
        <f>INDEX($D$14:$M$14,ROWS($B$88:B94))</f>
        <v/>
      </c>
      <c r="D94" s="27" t="e">
        <f>IF($B94="",NA(),IFERROR(INDEX(SSAll,MATCH($A94,SSStem,0),MATCH($B94,SSScen,0)+MATCH(D$87,SCYear,0)),""))</f>
        <v>#N/A</v>
      </c>
      <c r="E94" s="27" t="e">
        <f>IF($B94="",NA(),IFERROR(INDEX(SSAll,MATCH($A94,SSStem,0),MATCH($B94,SSScen,0)+MATCH(E$87,SCYear,0)),""))</f>
        <v>#N/A</v>
      </c>
      <c r="F94" s="27" t="e">
        <f>IF($B94="",NA(),IFERROR(INDEX(SSAll,MATCH($A94,SSStem,0),MATCH($B94,SSScen,0)+MATCH(F$87,SCYear,0)),""))</f>
        <v>#N/A</v>
      </c>
      <c r="G94" s="27" t="e">
        <f>IF($B94="",NA(),IFERROR(INDEX(SSAll,MATCH($A94,SSStem,0),MATCH($B94,SSScen,0)+MATCH(G$87,SCYear,0)),""))</f>
        <v>#N/A</v>
      </c>
      <c r="H94" s="27" t="e">
        <f>IF($B94="",NA(),IFERROR(INDEX(SSAll,MATCH($A94,SSStem,0),MATCH($B94,SSScen,0)+MATCH(H$87,SCYear,0)),""))</f>
        <v>#N/A</v>
      </c>
      <c r="I94" s="27" t="e">
        <f>IF($B94="",NA(),IFERROR(INDEX(SSAll,MATCH($A94,SSStem,0),MATCH($B94,SSScen,0)+MATCH(I$87,SCYear,0)),""))</f>
        <v>#N/A</v>
      </c>
      <c r="J94" s="27" t="e">
        <f>IF($B94="",NA(),IFERROR(INDEX(SSAll,MATCH($A94,SSStem,0),MATCH($B94,SSScen,0)+MATCH(J$87,SCYear,0)),""))</f>
        <v>#N/A</v>
      </c>
      <c r="K94" s="27" t="e">
        <f>IF($B94="",NA(),IFERROR(INDEX(SSAll,MATCH($A94,SSStem,0),MATCH($B94,SSScen,0)+MATCH(K$87,SCYear,0)),""))</f>
        <v>#N/A</v>
      </c>
      <c r="L94" s="27" t="e">
        <f>IF($B94="",NA(),IFERROR(INDEX(SSAll,MATCH($A94,SSStem,0),MATCH($B94,SSScen,0)+MATCH(L$87,SCYear,0)),""))</f>
        <v>#N/A</v>
      </c>
      <c r="M94" s="27" t="e">
        <f>IF($B94="",NA(),IFERROR(INDEX(SSAll,MATCH($A94,SSStem,0),MATCH($B94,SSScen,0)+MATCH(M$87,SCYear,0)),""))</f>
        <v>#N/A</v>
      </c>
      <c r="N94" s="27" t="e">
        <f>IF($B94="",NA(),IFERROR(INDEX(SSAll,MATCH($A94,SSStem,0),MATCH($B94,SSScen,0)+MATCH(N$87,SCYear,0)),""))</f>
        <v>#N/A</v>
      </c>
      <c r="O94" s="27" t="e">
        <f>IF($B94="",NA(),IFERROR(INDEX(SSAll,MATCH($A94,SSStem,0),MATCH($B94,SSScen,0)+MATCH(O$87,SCYear,0)),""))</f>
        <v>#N/A</v>
      </c>
      <c r="P94" s="27" t="e">
        <f>IF($B94="",NA(),IFERROR(INDEX(SSAll,MATCH($A94,SSStem,0),MATCH($B94,SSScen,0)+MATCH(P$87,SCYear,0)),""))</f>
        <v>#N/A</v>
      </c>
      <c r="Q94" s="27" t="e">
        <f>IF($B94="",NA(),IFERROR(INDEX(SSAll,MATCH($A94,SSStem,0),MATCH($B94,SSScen,0)+MATCH(Q$87,SCYear,0)),""))</f>
        <v>#N/A</v>
      </c>
      <c r="R94" s="27" t="e">
        <f>IF($B94="",NA(),IFERROR(INDEX(SSAll,MATCH($A94,SSStem,0),MATCH($B94,SSScen,0)+MATCH(R$87,SCYear,0)),""))</f>
        <v>#N/A</v>
      </c>
      <c r="S94" s="27" t="e">
        <f>IF($B94="",NA(),IFERROR(INDEX(SSAll,MATCH($A94,SSStem,0),MATCH($B94,SSScen,0)+MATCH(S$87,SCYear,0)),""))</f>
        <v>#N/A</v>
      </c>
      <c r="T94" s="27" t="e">
        <f>IF($B94="",NA(),IFERROR(INDEX(SSAll,MATCH($A94,SSStem,0),MATCH($B94,SSScen,0)+MATCH(T$87,SCYear,0)),""))</f>
        <v>#N/A</v>
      </c>
      <c r="U94" s="27" t="e">
        <f>IF($B94="",NA(),IFERROR(INDEX(SSAll,MATCH($A94,SSStem,0),MATCH($B94,SSScen,0)+MATCH(U$87,SCYear,0)),""))</f>
        <v>#N/A</v>
      </c>
      <c r="V94" s="27" t="e">
        <f>IF($B94="",NA(),IFERROR(INDEX(SSAll,MATCH($A94,SSStem,0),MATCH($B94,SSScen,0)+MATCH(V$87,SCYear,0)),""))</f>
        <v>#N/A</v>
      </c>
      <c r="W94" s="27" t="e">
        <f>IF($B94="",NA(),IFERROR(INDEX(SSAll,MATCH($A94,SSStem,0),MATCH($B94,SSScen,0)+MATCH(W$87,SCYear,0)),""))</f>
        <v>#N/A</v>
      </c>
    </row>
    <row r="95">
      <c r="A95" s="32" t="str">
        <f>$A$86</f>
        <v>mit.gdp.eff.tot.tot</v>
      </c>
      <c r="B95" s="33" t="str">
        <f>INDEX($D$13:$M$13,ROWS($B$88:B95))</f>
        <v/>
      </c>
      <c r="C95" s="12" t="str">
        <f>INDEX($D$14:$M$14,ROWS($B$88:B95))</f>
        <v/>
      </c>
      <c r="D95" s="27" t="e">
        <f>IF($B95="",NA(),IFERROR(INDEX(SSAll,MATCH($A95,SSStem,0),MATCH($B95,SSScen,0)+MATCH(D$87,SCYear,0)),""))</f>
        <v>#N/A</v>
      </c>
      <c r="E95" s="27" t="e">
        <f>IF($B95="",NA(),IFERROR(INDEX(SSAll,MATCH($A95,SSStem,0),MATCH($B95,SSScen,0)+MATCH(E$87,SCYear,0)),""))</f>
        <v>#N/A</v>
      </c>
      <c r="F95" s="27" t="e">
        <f>IF($B95="",NA(),IFERROR(INDEX(SSAll,MATCH($A95,SSStem,0),MATCH($B95,SSScen,0)+MATCH(F$87,SCYear,0)),""))</f>
        <v>#N/A</v>
      </c>
      <c r="G95" s="27" t="e">
        <f>IF($B95="",NA(),IFERROR(INDEX(SSAll,MATCH($A95,SSStem,0),MATCH($B95,SSScen,0)+MATCH(G$87,SCYear,0)),""))</f>
        <v>#N/A</v>
      </c>
      <c r="H95" s="27" t="e">
        <f>IF($B95="",NA(),IFERROR(INDEX(SSAll,MATCH($A95,SSStem,0),MATCH($B95,SSScen,0)+MATCH(H$87,SCYear,0)),""))</f>
        <v>#N/A</v>
      </c>
      <c r="I95" s="27" t="e">
        <f>IF($B95="",NA(),IFERROR(INDEX(SSAll,MATCH($A95,SSStem,0),MATCH($B95,SSScen,0)+MATCH(I$87,SCYear,0)),""))</f>
        <v>#N/A</v>
      </c>
      <c r="J95" s="27" t="e">
        <f>IF($B95="",NA(),IFERROR(INDEX(SSAll,MATCH($A95,SSStem,0),MATCH($B95,SSScen,0)+MATCH(J$87,SCYear,0)),""))</f>
        <v>#N/A</v>
      </c>
      <c r="K95" s="27" t="e">
        <f>IF($B95="",NA(),IFERROR(INDEX(SSAll,MATCH($A95,SSStem,0),MATCH($B95,SSScen,0)+MATCH(K$87,SCYear,0)),""))</f>
        <v>#N/A</v>
      </c>
      <c r="L95" s="27" t="e">
        <f>IF($B95="",NA(),IFERROR(INDEX(SSAll,MATCH($A95,SSStem,0),MATCH($B95,SSScen,0)+MATCH(L$87,SCYear,0)),""))</f>
        <v>#N/A</v>
      </c>
      <c r="M95" s="27" t="e">
        <f>IF($B95="",NA(),IFERROR(INDEX(SSAll,MATCH($A95,SSStem,0),MATCH($B95,SSScen,0)+MATCH(M$87,SCYear,0)),""))</f>
        <v>#N/A</v>
      </c>
      <c r="N95" s="27" t="e">
        <f>IF($B95="",NA(),IFERROR(INDEX(SSAll,MATCH($A95,SSStem,0),MATCH($B95,SSScen,0)+MATCH(N$87,SCYear,0)),""))</f>
        <v>#N/A</v>
      </c>
      <c r="O95" s="27" t="e">
        <f>IF($B95="",NA(),IFERROR(INDEX(SSAll,MATCH($A95,SSStem,0),MATCH($B95,SSScen,0)+MATCH(O$87,SCYear,0)),""))</f>
        <v>#N/A</v>
      </c>
      <c r="P95" s="27" t="e">
        <f>IF($B95="",NA(),IFERROR(INDEX(SSAll,MATCH($A95,SSStem,0),MATCH($B95,SSScen,0)+MATCH(P$87,SCYear,0)),""))</f>
        <v>#N/A</v>
      </c>
      <c r="Q95" s="27" t="e">
        <f>IF($B95="",NA(),IFERROR(INDEX(SSAll,MATCH($A95,SSStem,0),MATCH($B95,SSScen,0)+MATCH(Q$87,SCYear,0)),""))</f>
        <v>#N/A</v>
      </c>
      <c r="R95" s="27" t="e">
        <f>IF($B95="",NA(),IFERROR(INDEX(SSAll,MATCH($A95,SSStem,0),MATCH($B95,SSScen,0)+MATCH(R$87,SCYear,0)),""))</f>
        <v>#N/A</v>
      </c>
      <c r="S95" s="27" t="e">
        <f>IF($B95="",NA(),IFERROR(INDEX(SSAll,MATCH($A95,SSStem,0),MATCH($B95,SSScen,0)+MATCH(S$87,SCYear,0)),""))</f>
        <v>#N/A</v>
      </c>
      <c r="T95" s="27" t="e">
        <f>IF($B95="",NA(),IFERROR(INDEX(SSAll,MATCH($A95,SSStem,0),MATCH($B95,SSScen,0)+MATCH(T$87,SCYear,0)),""))</f>
        <v>#N/A</v>
      </c>
      <c r="U95" s="27" t="e">
        <f>IF($B95="",NA(),IFERROR(INDEX(SSAll,MATCH($A95,SSStem,0),MATCH($B95,SSScen,0)+MATCH(U$87,SCYear,0)),""))</f>
        <v>#N/A</v>
      </c>
      <c r="V95" s="27" t="e">
        <f>IF($B95="",NA(),IFERROR(INDEX(SSAll,MATCH($A95,SSStem,0),MATCH($B95,SSScen,0)+MATCH(V$87,SCYear,0)),""))</f>
        <v>#N/A</v>
      </c>
      <c r="W95" s="27" t="e">
        <f>IF($B95="",NA(),IFERROR(INDEX(SSAll,MATCH($A95,SSStem,0),MATCH($B95,SSScen,0)+MATCH(W$87,SCYear,0)),""))</f>
        <v>#N/A</v>
      </c>
    </row>
    <row r="96">
      <c r="A96" s="32" t="str">
        <f>$A$86</f>
        <v>mit.gdp.eff.tot.tot</v>
      </c>
      <c r="B96" s="33" t="str">
        <f>INDEX($D$13:$M$13,ROWS($B$88:B96))</f>
        <v/>
      </c>
      <c r="C96" s="12" t="str">
        <f>INDEX($D$14:$M$14,ROWS($B$88:B96))</f>
        <v/>
      </c>
      <c r="D96" s="27" t="e">
        <f>IF($B96="",NA(),IFERROR(INDEX(SSAll,MATCH($A96,SSStem,0),MATCH($B96,SSScen,0)+MATCH(D$87,SCYear,0)),""))</f>
        <v>#N/A</v>
      </c>
      <c r="E96" s="27" t="e">
        <f>IF($B96="",NA(),IFERROR(INDEX(SSAll,MATCH($A96,SSStem,0),MATCH($B96,SSScen,0)+MATCH(E$87,SCYear,0)),""))</f>
        <v>#N/A</v>
      </c>
      <c r="F96" s="27" t="e">
        <f>IF($B96="",NA(),IFERROR(INDEX(SSAll,MATCH($A96,SSStem,0),MATCH($B96,SSScen,0)+MATCH(F$87,SCYear,0)),""))</f>
        <v>#N/A</v>
      </c>
      <c r="G96" s="27" t="e">
        <f>IF($B96="",NA(),IFERROR(INDEX(SSAll,MATCH($A96,SSStem,0),MATCH($B96,SSScen,0)+MATCH(G$87,SCYear,0)),""))</f>
        <v>#N/A</v>
      </c>
      <c r="H96" s="27" t="e">
        <f>IF($B96="",NA(),IFERROR(INDEX(SSAll,MATCH($A96,SSStem,0),MATCH($B96,SSScen,0)+MATCH(H$87,SCYear,0)),""))</f>
        <v>#N/A</v>
      </c>
      <c r="I96" s="27" t="e">
        <f>IF($B96="",NA(),IFERROR(INDEX(SSAll,MATCH($A96,SSStem,0),MATCH($B96,SSScen,0)+MATCH(I$87,SCYear,0)),""))</f>
        <v>#N/A</v>
      </c>
      <c r="J96" s="27" t="e">
        <f>IF($B96="",NA(),IFERROR(INDEX(SSAll,MATCH($A96,SSStem,0),MATCH($B96,SSScen,0)+MATCH(J$87,SCYear,0)),""))</f>
        <v>#N/A</v>
      </c>
      <c r="K96" s="27" t="e">
        <f>IF($B96="",NA(),IFERROR(INDEX(SSAll,MATCH($A96,SSStem,0),MATCH($B96,SSScen,0)+MATCH(K$87,SCYear,0)),""))</f>
        <v>#N/A</v>
      </c>
      <c r="L96" s="27" t="e">
        <f>IF($B96="",NA(),IFERROR(INDEX(SSAll,MATCH($A96,SSStem,0),MATCH($B96,SSScen,0)+MATCH(L$87,SCYear,0)),""))</f>
        <v>#N/A</v>
      </c>
      <c r="M96" s="27" t="e">
        <f>IF($B96="",NA(),IFERROR(INDEX(SSAll,MATCH($A96,SSStem,0),MATCH($B96,SSScen,0)+MATCH(M$87,SCYear,0)),""))</f>
        <v>#N/A</v>
      </c>
      <c r="N96" s="27" t="e">
        <f>IF($B96="",NA(),IFERROR(INDEX(SSAll,MATCH($A96,SSStem,0),MATCH($B96,SSScen,0)+MATCH(N$87,SCYear,0)),""))</f>
        <v>#N/A</v>
      </c>
      <c r="O96" s="27" t="e">
        <f>IF($B96="",NA(),IFERROR(INDEX(SSAll,MATCH($A96,SSStem,0),MATCH($B96,SSScen,0)+MATCH(O$87,SCYear,0)),""))</f>
        <v>#N/A</v>
      </c>
      <c r="P96" s="27" t="e">
        <f>IF($B96="",NA(),IFERROR(INDEX(SSAll,MATCH($A96,SSStem,0),MATCH($B96,SSScen,0)+MATCH(P$87,SCYear,0)),""))</f>
        <v>#N/A</v>
      </c>
      <c r="Q96" s="27" t="e">
        <f>IF($B96="",NA(),IFERROR(INDEX(SSAll,MATCH($A96,SSStem,0),MATCH($B96,SSScen,0)+MATCH(Q$87,SCYear,0)),""))</f>
        <v>#N/A</v>
      </c>
      <c r="R96" s="27" t="e">
        <f>IF($B96="",NA(),IFERROR(INDEX(SSAll,MATCH($A96,SSStem,0),MATCH($B96,SSScen,0)+MATCH(R$87,SCYear,0)),""))</f>
        <v>#N/A</v>
      </c>
      <c r="S96" s="27" t="e">
        <f>IF($B96="",NA(),IFERROR(INDEX(SSAll,MATCH($A96,SSStem,0),MATCH($B96,SSScen,0)+MATCH(S$87,SCYear,0)),""))</f>
        <v>#N/A</v>
      </c>
      <c r="T96" s="27" t="e">
        <f>IF($B96="",NA(),IFERROR(INDEX(SSAll,MATCH($A96,SSStem,0),MATCH($B96,SSScen,0)+MATCH(T$87,SCYear,0)),""))</f>
        <v>#N/A</v>
      </c>
      <c r="U96" s="27" t="e">
        <f>IF($B96="",NA(),IFERROR(INDEX(SSAll,MATCH($A96,SSStem,0),MATCH($B96,SSScen,0)+MATCH(U$87,SCYear,0)),""))</f>
        <v>#N/A</v>
      </c>
      <c r="V96" s="27" t="e">
        <f>IF($B96="",NA(),IFERROR(INDEX(SSAll,MATCH($A96,SSStem,0),MATCH($B96,SSScen,0)+MATCH(V$87,SCYear,0)),""))</f>
        <v>#N/A</v>
      </c>
      <c r="W96" s="27" t="e">
        <f>IF($B96="",NA(),IFERROR(INDEX(SSAll,MATCH($A96,SSStem,0),MATCH($B96,SSScen,0)+MATCH(W$87,SCYear,0)),""))</f>
        <v>#N/A</v>
      </c>
    </row>
    <row r="97">
      <c r="A97" s="32" t="str">
        <f>$A$86</f>
        <v>mit.gdp.eff.tot.tot</v>
      </c>
      <c r="B97" s="33" t="str">
        <f>INDEX($D$13:$M$13,ROWS($B$88:B97))</f>
        <v/>
      </c>
      <c r="C97" s="12" t="str">
        <f>INDEX($D$14:$M$14,ROWS($B$88:B97))</f>
        <v/>
      </c>
      <c r="D97" s="27" t="e">
        <f>IF($B97="",NA(),IFERROR(INDEX(SSAll,MATCH($A97,SSStem,0),MATCH($B97,SSScen,0)+MATCH(D$87,SCYear,0)),""))</f>
        <v>#N/A</v>
      </c>
      <c r="E97" s="27" t="e">
        <f>IF($B97="",NA(),IFERROR(INDEX(SSAll,MATCH($A97,SSStem,0),MATCH($B97,SSScen,0)+MATCH(E$87,SCYear,0)),""))</f>
        <v>#N/A</v>
      </c>
      <c r="F97" s="27" t="e">
        <f>IF($B97="",NA(),IFERROR(INDEX(SSAll,MATCH($A97,SSStem,0),MATCH($B97,SSScen,0)+MATCH(F$87,SCYear,0)),""))</f>
        <v>#N/A</v>
      </c>
      <c r="G97" s="27" t="e">
        <f>IF($B97="",NA(),IFERROR(INDEX(SSAll,MATCH($A97,SSStem,0),MATCH($B97,SSScen,0)+MATCH(G$87,SCYear,0)),""))</f>
        <v>#N/A</v>
      </c>
      <c r="H97" s="27" t="e">
        <f>IF($B97="",NA(),IFERROR(INDEX(SSAll,MATCH($A97,SSStem,0),MATCH($B97,SSScen,0)+MATCH(H$87,SCYear,0)),""))</f>
        <v>#N/A</v>
      </c>
      <c r="I97" s="27" t="e">
        <f>IF($B97="",NA(),IFERROR(INDEX(SSAll,MATCH($A97,SSStem,0),MATCH($B97,SSScen,0)+MATCH(I$87,SCYear,0)),""))</f>
        <v>#N/A</v>
      </c>
      <c r="J97" s="27" t="e">
        <f>IF($B97="",NA(),IFERROR(INDEX(SSAll,MATCH($A97,SSStem,0),MATCH($B97,SSScen,0)+MATCH(J$87,SCYear,0)),""))</f>
        <v>#N/A</v>
      </c>
      <c r="K97" s="27" t="e">
        <f>IF($B97="",NA(),IFERROR(INDEX(SSAll,MATCH($A97,SSStem,0),MATCH($B97,SSScen,0)+MATCH(K$87,SCYear,0)),""))</f>
        <v>#N/A</v>
      </c>
      <c r="L97" s="27" t="e">
        <f>IF($B97="",NA(),IFERROR(INDEX(SSAll,MATCH($A97,SSStem,0),MATCH($B97,SSScen,0)+MATCH(L$87,SCYear,0)),""))</f>
        <v>#N/A</v>
      </c>
      <c r="M97" s="27" t="e">
        <f>IF($B97="",NA(),IFERROR(INDEX(SSAll,MATCH($A97,SSStem,0),MATCH($B97,SSScen,0)+MATCH(M$87,SCYear,0)),""))</f>
        <v>#N/A</v>
      </c>
      <c r="N97" s="27" t="e">
        <f>IF($B97="",NA(),IFERROR(INDEX(SSAll,MATCH($A97,SSStem,0),MATCH($B97,SSScen,0)+MATCH(N$87,SCYear,0)),""))</f>
        <v>#N/A</v>
      </c>
      <c r="O97" s="27" t="e">
        <f>IF($B97="",NA(),IFERROR(INDEX(SSAll,MATCH($A97,SSStem,0),MATCH($B97,SSScen,0)+MATCH(O$87,SCYear,0)),""))</f>
        <v>#N/A</v>
      </c>
      <c r="P97" s="27" t="e">
        <f>IF($B97="",NA(),IFERROR(INDEX(SSAll,MATCH($A97,SSStem,0),MATCH($B97,SSScen,0)+MATCH(P$87,SCYear,0)),""))</f>
        <v>#N/A</v>
      </c>
      <c r="Q97" s="27" t="e">
        <f>IF($B97="",NA(),IFERROR(INDEX(SSAll,MATCH($A97,SSStem,0),MATCH($B97,SSScen,0)+MATCH(Q$87,SCYear,0)),""))</f>
        <v>#N/A</v>
      </c>
      <c r="R97" s="27" t="e">
        <f>IF($B97="",NA(),IFERROR(INDEX(SSAll,MATCH($A97,SSStem,0),MATCH($B97,SSScen,0)+MATCH(R$87,SCYear,0)),""))</f>
        <v>#N/A</v>
      </c>
      <c r="S97" s="27" t="e">
        <f>IF($B97="",NA(),IFERROR(INDEX(SSAll,MATCH($A97,SSStem,0),MATCH($B97,SSScen,0)+MATCH(S$87,SCYear,0)),""))</f>
        <v>#N/A</v>
      </c>
      <c r="T97" s="27" t="e">
        <f>IF($B97="",NA(),IFERROR(INDEX(SSAll,MATCH($A97,SSStem,0),MATCH($B97,SSScen,0)+MATCH(T$87,SCYear,0)),""))</f>
        <v>#N/A</v>
      </c>
      <c r="U97" s="27" t="e">
        <f>IF($B97="",NA(),IFERROR(INDEX(SSAll,MATCH($A97,SSStem,0),MATCH($B97,SSScen,0)+MATCH(U$87,SCYear,0)),""))</f>
        <v>#N/A</v>
      </c>
      <c r="V97" s="27" t="e">
        <f>IF($B97="",NA(),IFERROR(INDEX(SSAll,MATCH($A97,SSStem,0),MATCH($B97,SSScen,0)+MATCH(V$87,SCYear,0)),""))</f>
        <v>#N/A</v>
      </c>
      <c r="W97" s="27" t="e">
        <f>IF($B97="",NA(),IFERROR(INDEX(SSAll,MATCH($A97,SSStem,0),MATCH($B97,SSScen,0)+MATCH(W$87,SCYear,0)),""))</f>
        <v>#N/A</v>
      </c>
    </row>
    <row r="104">
      <c r="A104" s="5" t="n"/>
      <c r="B104" s="18" t="inlineStr">
        <is>
          <t>Indicator list (the time-series dropdowns; code stem, description, unit)</t>
        </is>
      </c>
      <c r="C104" s="5" t="n"/>
    </row>
    <row r="105">
      <c r="A105" s="32" t="inlineStr">
        <is>
          <t>mit.rpct.all.tot</t>
        </is>
      </c>
      <c r="B105" s="3" t="str">
        <f>IFERROR(INDEX(SSDesc,MATCH($A105,SSStem,0)),$A105)</f>
        <v>Revenue as a share of baseline real GDP | All sectors | </v>
      </c>
      <c r="C105" s="3" t="str">
        <f>IFERROR(INDEX(SSUnit,MATCH($A105,SSStem,0)),"")</f>
        <v>% of GDP</v>
      </c>
    </row>
    <row r="106">
      <c r="A106" s="32" t="inlineStr">
        <is>
          <t>mit.rpct.all.chg</t>
        </is>
      </c>
      <c r="B106" s="3" t="str">
        <f>IFERROR(INDEX(SSDesc,MATCH($A106,SSStem,0)),$A106)</f>
        <v>Revenue as a share of baseline real GDP | All sectors | </v>
      </c>
      <c r="C106" s="3" t="str">
        <f>IFERROR(INDEX(SSUnit,MATCH($A106,SSStem,0)),"")</f>
        <v>% of GDP</v>
      </c>
    </row>
    <row r="107">
      <c r="A107" s="32" t="inlineStr">
        <is>
          <t>mit.rpct.all.sub</t>
        </is>
      </c>
      <c r="B107" s="3" t="str">
        <f>IFERROR(INDEX(SSDesc,MATCH($A107,SSStem,0)),$A107)</f>
        <v>Revenue as a share of baseline real GDP | All sectors | </v>
      </c>
      <c r="C107" s="3" t="str">
        <f>IFERROR(INDEX(SSUnit,MATCH($A107,SSStem,0)),"")</f>
        <v>% of GDP</v>
      </c>
    </row>
    <row r="108">
      <c r="A108" s="32" t="inlineStr">
        <is>
          <t>mit.rpct.all.be</t>
        </is>
      </c>
      <c r="B108" s="3" t="str">
        <f>IFERROR(INDEX(SSDesc,MATCH($A108,SSStem,0)),$A108)</f>
        <v>Revenue as a share of baseline real GDP | All sectors | </v>
      </c>
      <c r="C108" s="3" t="str">
        <f>IFERROR(INDEX(SSUnit,MATCH($A108,SSStem,0)),"")</f>
        <v>% of GDP</v>
      </c>
    </row>
    <row r="109">
      <c r="A109" s="32" t="inlineStr">
        <is>
          <t>mit.rbe.all.all</t>
        </is>
      </c>
      <c r="B109" s="3" t="str">
        <f>IFERROR(INDEX(SSDesc,MATCH($A109,SSStem,0)),$A109)</f>
        <v>Base erosion: change in existing taxes net of subsidies against scenario 1 | All sectors | All fuels</v>
      </c>
      <c r="C109" s="3" t="str">
        <f>IFERROR(INDEX(SSUnit,MATCH($A109,SSStem,0)),"")</f>
        <v>USD m real</v>
      </c>
    </row>
    <row r="110">
      <c r="A110" s="32" t="inlineStr">
        <is>
          <t>mit.gdpn.all.lcu</t>
        </is>
      </c>
      <c r="B110" s="3" t="str">
        <f>IFERROR(INDEX(SSDesc,MATCH($A110,SSStem,0)),$A110)</f>
        <v>Nominal GDP (local currency, USD) | All sectors | </v>
      </c>
      <c r="C110" s="3" t="str">
        <f>IFERROR(INDEX(SSUnit,MATCH($A110,SSStem,0)),"")</f>
        <v>bn nominal (LCU or USD, by row)</v>
      </c>
    </row>
    <row r="111">
      <c r="A111" s="32" t="inlineStr">
        <is>
          <t>mit.gdpn.all.usd</t>
        </is>
      </c>
      <c r="B111" s="3" t="str">
        <f>IFERROR(INDEX(SSDesc,MATCH($A111,SSStem,0)),$A111)</f>
        <v>Nominal GDP (local currency, USD) | All sectors | </v>
      </c>
      <c r="C111" s="3" t="str">
        <f>IFERROR(INDEX(SSUnit,MATCH($A111,SSStem,0)),"")</f>
        <v>bn nominal (LCU or USD, by row)</v>
      </c>
    </row>
    <row r="112">
      <c r="A112" s="32" t="inlineStr">
        <is>
          <t>mit.co2.grid.pow.all</t>
        </is>
      </c>
      <c r="B112" s="3" t="str">
        <f>IFERROR(INDEX(SSDesc,MATCH($A112,SSStem,0)),$A112)</f>
        <v>Grid emission intensity | Power | All fuels</v>
      </c>
      <c r="C112" s="3" t="str">
        <f>IFERROR(INDEX(SSUnit,MATCH($A112,SSStem,0)),"")</f>
        <v>tCO2 per MWh</v>
      </c>
    </row>
    <row r="113">
      <c r="A113" s="32" t="inlineStr">
        <is>
          <t>mit.ghg.enrp.enr.all</t>
        </is>
      </c>
      <c r="B113" s="3" t="str">
        <f>IFERROR(INDEX(SSDesc,MATCH($A113,SSStem,0)),$A113)</f>
        <v>Energy-related GHGs including the forcing of the local pollutants | Energy | All fuels</v>
      </c>
      <c r="C113" s="3" t="str">
        <f>IFERROR(INDEX(SSUnit,MATCH($A113,SSStem,0)),"")</f>
        <v>Mt CO2e</v>
      </c>
    </row>
    <row r="114">
      <c r="A114" s="32" t="inlineStr">
        <is>
          <t>mit.tcp.all.all</t>
        </is>
      </c>
      <c r="B114" s="3" t="str">
        <f>IFERROR(INDEX(SSDesc,MATCH($A114,SSStem,0)),$A114)</f>
        <v>Implicit carbon price by fuel: existing taxes, subsidies and new policies per tonne of CO2 | All sectors | All fuels</v>
      </c>
      <c r="C114" s="3" t="str">
        <f>IFERROR(INDEX(SSUnit,MATCH($A114,SSStem,0)),"")</f>
        <v>USD/tCO2</v>
      </c>
    </row>
    <row r="115">
      <c r="A115" s="32" t="inlineStr">
        <is>
          <t>mit.ecr.all.all</t>
        </is>
      </c>
      <c r="B115" s="3" t="str">
        <f>IFERROR(INDEX(SSDesc,MATCH($A115,SSStem,0)),$A115)</f>
        <v>Effective carbon rate, economy-wide: revenue net of subsidies (incl. electricity VAT and subsidy gap) per tonne of energy CO2 | All sectors | All fuels</v>
      </c>
      <c r="C115" s="3" t="str">
        <f>IFERROR(INDEX(SSUnit,MATCH($A115,SSStem,0)),"")</f>
        <v>USD/tCO2</v>
      </c>
    </row>
    <row r="116">
      <c r="A116" s="32" t="inlineStr">
        <is>
          <t>mit.cpeff.all.all</t>
        </is>
      </c>
      <c r="B116" s="3" t="str">
        <f>IFERROR(INDEX(SSDesc,MATCH($A116,SSStem,0)),$A116)</f>
        <v>Effective carbon tax: carbon price x share of energy CO2 covered by it | All sectors | All fuels</v>
      </c>
      <c r="C116" s="3" t="str">
        <f>IFERROR(INDEX(SSUnit,MATCH($A116,SSStem,0)),"")</f>
        <v>USD/tCO2</v>
      </c>
    </row>
    <row r="117">
      <c r="A117" s="32" t="inlineStr">
        <is>
          <t>mit.cov.all.all.all</t>
        </is>
      </c>
      <c r="B117" s="3" t="str">
        <f>IFERROR(INDEX(SSDesc,MATCH($A117,SSStem,0)),$A117)</f>
        <v>Share of energy CO2 covered by the carbon tax or the ETS | All sectors | All fuels</v>
      </c>
      <c r="C117" s="3" t="str">
        <f>IFERROR(INDEX(SSUnit,MATCH($A117,SSStem,0)),"")</f>
        <v>%</v>
      </c>
    </row>
    <row r="118">
      <c r="A118" s="32" t="inlineStr">
        <is>
          <t>mit.xnim.tot.tot</t>
        </is>
      </c>
      <c r="B118" s="3" t="str">
        <f>IFERROR(INDEX(SSDesc,MATCH($A118,SSStem,0)),$A118)</f>
        <v>Change in net energy imports against scenario 1 (positive = more imports) | All sectors | All fuels</v>
      </c>
      <c r="C118" s="3" t="str">
        <f>IFERROR(INDEX(SSUnit,MATCH($A118,SSStem,0)),"")</f>
        <v>USD bn real</v>
      </c>
    </row>
    <row r="119">
      <c r="A119" s="32" t="inlineStr">
        <is>
          <t>mit.xtbp.all.all</t>
        </is>
      </c>
      <c r="B119" s="3" t="str">
        <f>IFERROR(INDEX(SSDesc,MATCH($A119,SSStem,0)),$A119)</f>
        <v>Energy trade balance of the scenario: baseline - change in net imports | All sectors | All fuels</v>
      </c>
      <c r="C119" s="3" t="str">
        <f>IFERROR(INDEX(SSUnit,MATCH($A119,SSStem,0)),"")</f>
        <v>USD bn real</v>
      </c>
    </row>
    <row r="120">
      <c r="A120" s="32" t="inlineStr">
        <is>
          <t>mit.xtb.pct.all.all</t>
        </is>
      </c>
      <c r="B120" s="3" t="str">
        <f>IFERROR(INDEX(SSDesc,MATCH($A120,SSStem,0)),$A120)</f>
        <v>Energy trade balance of the scenario, % of baseline real GDP | All sectors | All fuels</v>
      </c>
      <c r="C120" s="3" t="str">
        <f>IFERROR(INDEX(SSUnit,MATCH($A120,SSStem,0)),"")</f>
        <v>%</v>
      </c>
    </row>
    <row r="121">
      <c r="A121" s="32" t="inlineStr">
        <is>
          <t>mit.scc.all.nat</t>
        </is>
      </c>
      <c r="B121" s="3" t="str">
        <f>IFERROR(INDEX(SSDesc,MATCH($A121,SSStem,0)),$A121)</f>
        <v>Social cost of carbon: target-consistent, Ricke national and global, manual, US EPA; selected national and global | All sectors | </v>
      </c>
      <c r="C121" s="3" t="str">
        <f>IFERROR(INDEX(SSUnit,MATCH($A121,SSStem,0)),"")</f>
        <v>USD/tCO2 real</v>
      </c>
    </row>
    <row r="122">
      <c r="A122" s="32" t="inlineStr">
        <is>
          <t>mit.wcli.all.nat</t>
        </is>
      </c>
      <c r="B122" s="3" t="str">
        <f>IFERROR(INDEX(SSDesc,MATCH($A122,SSStem,0)),$A122)</f>
        <v>Climate damages avoided against scenario 1 (national, global) | All sectors | </v>
      </c>
      <c r="C122" s="3" t="str">
        <f>IFERROR(INDEX(SSUnit,MATCH($A122,SSStem,0)),"")</f>
        <v>USD bn real</v>
      </c>
    </row>
    <row r="123">
      <c r="A123" s="32" t="inlineStr">
        <is>
          <t>mit.eff.tot.tot</t>
        </is>
      </c>
      <c r="B123" s="3" t="str">
        <f>IFERROR(INDEX(SSDesc,MATCH($A123,SSStem,0)),$A123)</f>
        <v>Efficiency (deadweight) cost of energy use (positive = cost; negative = gain from lower subsidised use) | All sectors | All fuels</v>
      </c>
      <c r="C123" s="3" t="str">
        <f>IFERROR(INDEX(SSUnit,MATCH($A123,SSStem,0)),"")</f>
        <v>USD bn real</v>
      </c>
    </row>
    <row r="124">
      <c r="A124" s="32" t="inlineStr">
        <is>
          <t>mit.mfc.tot.tot</t>
        </is>
      </c>
      <c r="B124" s="3" t="str">
        <f>IFERROR(INDEX(SSDesc,MATCH($A124,SSStem,0)),$A124)</f>
        <v>Efficiency cost of the methane fee: area under the abatement curve | All sectors | All fuels</v>
      </c>
      <c r="C124" s="3" t="str">
        <f>IFERROR(INDEX(SSUnit,MATCH($A124,SSStem,0)),"")</f>
        <v>USD bn real</v>
      </c>
    </row>
    <row r="125">
      <c r="A125" s="32" t="inlineStr">
        <is>
          <t>mit.wel.tot</t>
        </is>
      </c>
      <c r="B125" s="3" t="str">
        <f>IFERROR(INDEX(SSDesc,MATCH($A125,SSStem,0)),$A125)</f>
        <v>Welfare, national: avoided damages and co-benefits - efficiency costs (USD bn real; % of baseline real GDP) | All sectors | </v>
      </c>
      <c r="C125" s="3" t="str">
        <f>IFERROR(INDEX(SSUnit,MATCH($A125,SSStem,0)),"")</f>
        <v>mixed</v>
      </c>
    </row>
    <row r="126">
      <c r="A126" s="32" t="inlineStr">
        <is>
          <t>mit.wel.pct.tot</t>
        </is>
      </c>
      <c r="B126" s="3" t="str">
        <f>IFERROR(INDEX(SSDesc,MATCH($A126,SSStem,0)),$A126)</f>
        <v>Welfare, national: avoided damages and co-benefits - efficiency costs (USD bn real; % of baseline real GDP) | All sectors | </v>
      </c>
      <c r="C126" s="3" t="str">
        <f>IFERROR(INDEX(SSUnit,MATCH($A126,SSStem,0)),"")</f>
        <v>mixed</v>
      </c>
    </row>
    <row r="127">
      <c r="A127" s="32" t="inlineStr">
        <is>
          <t>mit.ener.tot.tot</t>
        </is>
      </c>
      <c r="B127" s="3" t="str">
        <f>IFERROR(INDEX(SSDesc,MATCH($A127,SSStem,0)),$A127)</f>
        <v>Fuel use | All sectors | All fuels</v>
      </c>
      <c r="C127" s="3" t="str">
        <f>IFERROR(INDEX(SSUnit,MATCH($A127,SSStem,0)),"")</f>
        <v>ktoe</v>
      </c>
    </row>
    <row r="128">
      <c r="A128" s="32" t="inlineStr">
        <is>
          <t>mit.ener.tra.tot</t>
        </is>
      </c>
      <c r="B128" s="3" t="str">
        <f>IFERROR(INDEX(SSDesc,MATCH($A128,SSStem,0)),$A128)</f>
        <v>Fuel use | Transport | All fuels</v>
      </c>
      <c r="C128" s="3" t="str">
        <f>IFERROR(INDEX(SSUnit,MATCH($A128,SSStem,0)),"")</f>
        <v>ktoe</v>
      </c>
    </row>
    <row r="129">
      <c r="A129" s="32" t="inlineStr">
        <is>
          <t>mit.ener.bld.tot</t>
        </is>
      </c>
      <c r="B129" s="3" t="str">
        <f>IFERROR(INDEX(SSDesc,MATCH($A129,SSStem,0)),$A129)</f>
        <v>Fuel use | Buildings | All fuels</v>
      </c>
      <c r="C129" s="3" t="str">
        <f>IFERROR(INDEX(SSUnit,MATCH($A129,SSStem,0)),"")</f>
        <v>ktoe</v>
      </c>
    </row>
    <row r="130">
      <c r="A130" s="32" t="inlineStr">
        <is>
          <t>mit.ener.ind.tot</t>
        </is>
      </c>
      <c r="B130" s="3" t="str">
        <f>IFERROR(INDEX(SSDesc,MATCH($A130,SSStem,0)),$A130)</f>
        <v>Fuel use | Industry | All fuels</v>
      </c>
      <c r="C130" s="3" t="str">
        <f>IFERROR(INDEX(SSUnit,MATCH($A130,SSStem,0)),"")</f>
        <v>ktoe</v>
      </c>
    </row>
    <row r="131">
      <c r="A131" s="32" t="inlineStr">
        <is>
          <t>mit.ener.oen.tot</t>
        </is>
      </c>
      <c r="B131" s="3" t="str">
        <f>IFERROR(INDEX(SSDesc,MATCH($A131,SSStem,0)),$A131)</f>
        <v>Fuel use | Other energy use | All fuels</v>
      </c>
      <c r="C131" s="3" t="str">
        <f>IFERROR(INDEX(SSUnit,MATCH($A131,SSStem,0)),"")</f>
        <v>ktoe</v>
      </c>
    </row>
    <row r="132">
      <c r="A132" s="32" t="inlineStr">
        <is>
          <t>mit.ener.pct.all.all</t>
        </is>
      </c>
      <c r="B132" s="3" t="str">
        <f>IFERROR(INDEX(SSDesc,MATCH($A132,SSStem,0)),$A132)</f>
        <v>Change in fuel use vs scenario 1 | All sectors | All fuels</v>
      </c>
      <c r="C132" s="3" t="str">
        <f>IFERROR(INDEX(SSUnit,MATCH($A132,SSStem,0)),"")</f>
        <v>%</v>
      </c>
    </row>
    <row r="133">
      <c r="A133" s="32" t="inlineStr">
        <is>
          <t>mit.co2.tot.tot</t>
        </is>
      </c>
      <c r="B133" s="3" t="str">
        <f>IFERROR(INDEX(SSDesc,MATCH($A133,SSStem,0)),$A133)</f>
        <v>CO2 emissions from fuel combustion | All sectors | All fuels</v>
      </c>
      <c r="C133" s="3" t="str">
        <f>IFERROR(INDEX(SSUnit,MATCH($A133,SSStem,0)),"")</f>
        <v>MtCO2</v>
      </c>
    </row>
    <row r="134">
      <c r="A134" s="32" t="inlineStr">
        <is>
          <t>mit.co2.tra.tot</t>
        </is>
      </c>
      <c r="B134" s="3" t="str">
        <f>IFERROR(INDEX(SSDesc,MATCH($A134,SSStem,0)),$A134)</f>
        <v>CO2 emissions from fuel combustion | Transport | All fuels</v>
      </c>
      <c r="C134" s="3" t="str">
        <f>IFERROR(INDEX(SSUnit,MATCH($A134,SSStem,0)),"")</f>
        <v>MtCO2</v>
      </c>
    </row>
    <row r="135">
      <c r="A135" s="32" t="inlineStr">
        <is>
          <t>mit.co2.bld.tot</t>
        </is>
      </c>
      <c r="B135" s="3" t="str">
        <f>IFERROR(INDEX(SSDesc,MATCH($A135,SSStem,0)),$A135)</f>
        <v>CO2 emissions from fuel combustion | Buildings | All fuels</v>
      </c>
      <c r="C135" s="3" t="str">
        <f>IFERROR(INDEX(SSUnit,MATCH($A135,SSStem,0)),"")</f>
        <v>MtCO2</v>
      </c>
    </row>
    <row r="136">
      <c r="A136" s="32" t="inlineStr">
        <is>
          <t>mit.co2.ind.tot</t>
        </is>
      </c>
      <c r="B136" s="3" t="str">
        <f>IFERROR(INDEX(SSDesc,MATCH($A136,SSStem,0)),$A136)</f>
        <v>CO2 emissions from fuel combustion | Industry | All fuels</v>
      </c>
      <c r="C136" s="3" t="str">
        <f>IFERROR(INDEX(SSUnit,MATCH($A136,SSStem,0)),"")</f>
        <v>MtCO2</v>
      </c>
    </row>
    <row r="137">
      <c r="A137" s="32" t="inlineStr">
        <is>
          <t>mit.co2.chg.all.all</t>
        </is>
      </c>
      <c r="B137" s="3" t="str">
        <f>IFERROR(INDEX(SSDesc,MATCH($A137,SSStem,0)),$A137)</f>
        <v>Change in CO2 emissions vs scenario 1 | All sectors | All fuels</v>
      </c>
      <c r="C137" s="3" t="str">
        <f>IFERROR(INDEX(SSUnit,MATCH($A137,SSStem,0)),"")</f>
        <v>MtCO2</v>
      </c>
    </row>
    <row r="138">
      <c r="A138" s="32" t="inlineStr">
        <is>
          <t>mit.co2.pct.all.all</t>
        </is>
      </c>
      <c r="B138" s="3" t="str">
        <f>IFERROR(INDEX(SSDesc,MATCH($A138,SSStem,0)),$A138)</f>
        <v>Change in CO2 emissions vs scenario 1 | All sectors | All fuels</v>
      </c>
      <c r="C138" s="3" t="str">
        <f>IFERROR(INDEX(SSUnit,MATCH($A138,SSStem,0)),"")</f>
        <v>%</v>
      </c>
    </row>
    <row r="139">
      <c r="A139" s="32" t="inlineStr">
        <is>
          <t>mit.rtx.tot.tot</t>
        </is>
      </c>
      <c r="B139" s="3" t="str">
        <f>IFERROR(INDEX(SSDesc,MATCH($A139,SSStem,0)),$A139)</f>
        <v>Revenue from existing taxes (excise and other taxes + VAT; incl. the change in existing carbon pricing) | All sectors | All fuels</v>
      </c>
      <c r="C139" s="3" t="str">
        <f>IFERROR(INDEX(SSUnit,MATCH($A139,SSStem,0)),"")</f>
        <v>USD m real</v>
      </c>
    </row>
    <row r="140">
      <c r="A140" s="32" t="inlineStr">
        <is>
          <t>mit.rsub.tot.tot</t>
        </is>
      </c>
      <c r="B140" s="3" t="str">
        <f>IFERROR(INDEX(SSDesc,MATCH($A140,SSStem,0)),$A140)</f>
        <v>Existing consumer subsidies (negative = fiscal cost) | All sectors | All fuels</v>
      </c>
      <c r="C140" s="3" t="str">
        <f>IFERROR(INDEX(SSUnit,MATCH($A140,SSStem,0)),"")</f>
        <v>USD m real</v>
      </c>
    </row>
    <row r="141">
      <c r="A141" s="32" t="inlineStr">
        <is>
          <t>mit.rnew.tot.tot</t>
        </is>
      </c>
      <c r="B141" s="3" t="str">
        <f>IFERROR(INDEX(SSDesc,MATCH($A141,SSStem,0)),$A141)</f>
        <v>Revenue from new policies (carbon tax, excise, auctioned ETS, VAT on them) | All sectors | All fuels</v>
      </c>
      <c r="C141" s="3" t="str">
        <f>IFERROR(INDEX(SSUnit,MATCH($A141,SSStem,0)),"")</f>
        <v>USD m real</v>
      </c>
    </row>
    <row r="142">
      <c r="A142" s="32" t="inlineStr">
        <is>
          <t>mit.rev.usd.tot</t>
        </is>
      </c>
      <c r="B142" s="3" t="str">
        <f>IFERROR(INDEX(SSDesc,MATCH($A142,SSStem,0)),$A142)</f>
        <v>Total revenue (net existing + new policies + methane fee) | All sectors | All fuels</v>
      </c>
      <c r="C142" s="3" t="str">
        <f>IFERROR(INDEX(SSUnit,MATCH($A142,SSStem,0)),"")</f>
        <v>USD m real</v>
      </c>
    </row>
    <row r="143">
      <c r="A143" s="32" t="inlineStr">
        <is>
          <t>mit.rtot.chg.all.all</t>
        </is>
      </c>
      <c r="B143" s="3" t="str">
        <f>IFERROR(INDEX(SSDesc,MATCH($A143,SSStem,0)),$A143)</f>
        <v>Change in total revenue vs scenario 1 (fiscal effect) | All sectors | All fuels</v>
      </c>
      <c r="C143" s="3" t="str">
        <f>IFERROR(INDEX(SSUnit,MATCH($A143,SSStem,0)),"")</f>
        <v>USD m real</v>
      </c>
    </row>
    <row r="144">
      <c r="A144" s="32" t="inlineStr">
        <is>
          <t>mit.ener.pow.all</t>
        </is>
      </c>
      <c r="B144" s="3" t="str">
        <f>IFERROR(INDEX(SSDesc,MATCH($A144,SSStem,0)),$A144)</f>
        <v>Fuel use | Power | All fuels</v>
      </c>
      <c r="C144" s="3" t="str">
        <f>IFERROR(INDEX(SSUnit,MATCH($A144,SSStem,0)),"")</f>
        <v>ktoe</v>
      </c>
    </row>
    <row r="145">
      <c r="A145" s="32" t="inlineStr">
        <is>
          <t>mit.rtx.pow.tot</t>
        </is>
      </c>
      <c r="B145" s="3" t="str">
        <f>IFERROR(INDEX(SSDesc,MATCH($A145,SSStem,0)),$A145)</f>
        <v>Revenue from existing taxes (excise and other taxes + VAT; incl. the change in existing carbon pricing) | Power | All fuels</v>
      </c>
      <c r="C145" s="3" t="str">
        <f>IFERROR(INDEX(SSUnit,MATCH($A145,SSStem,0)),"")</f>
        <v>USD m real</v>
      </c>
    </row>
    <row r="146">
      <c r="A146" s="32" t="inlineStr">
        <is>
          <t>mit.rsub.pow.tot</t>
        </is>
      </c>
      <c r="B146" s="3" t="str">
        <f>IFERROR(INDEX(SSDesc,MATCH($A146,SSStem,0)),$A146)</f>
        <v>Existing consumer subsidies (negative = fiscal cost) | Power | All fuels</v>
      </c>
      <c r="C146" s="3" t="str">
        <f>IFERROR(INDEX(SSUnit,MATCH($A146,SSStem,0)),"")</f>
        <v>USD m real</v>
      </c>
    </row>
    <row r="147">
      <c r="A147" s="32" t="inlineStr">
        <is>
          <t>mit.rnew.pow.tot</t>
        </is>
      </c>
      <c r="B147" s="3" t="str">
        <f>IFERROR(INDEX(SSDesc,MATCH($A147,SSStem,0)),$A147)</f>
        <v>Revenue from new policies (carbon tax, excise, auctioned ETS, VAT on them) | Power | All fuels</v>
      </c>
      <c r="C147" s="3" t="str">
        <f>IFERROR(INDEX(SSUnit,MATCH($A147,SSStem,0)),"")</f>
        <v>USD m real</v>
      </c>
    </row>
    <row r="148">
      <c r="A148" s="32" t="inlineStr">
        <is>
          <t>mit.rxcp.tot.tot</t>
        </is>
      </c>
      <c r="B148" s="3" t="str">
        <f>IFERROR(INDEX(SSDesc,MATCH($A148,SSStem,0)),$A148)</f>
        <v>Revenue from existing carbon pricing (memo: level; the part embedded in the price data is in rtx) | All sectors | All fuels</v>
      </c>
      <c r="C148" s="3" t="str">
        <f>IFERROR(INDEX(SSUnit,MATCH($A148,SSStem,0)),"")</f>
        <v>USD m real</v>
      </c>
    </row>
    <row r="149">
      <c r="A149" s="32" t="inlineStr">
        <is>
          <t>mit.xct.p</t>
        </is>
      </c>
      <c r="B149" s="3" t="str">
        <f>IFERROR(INDEX(SSDesc,MATCH($A149,SSStem,0)),$A149)</f>
        <v>Existing carbon tax: factor on the data rates</v>
      </c>
      <c r="C149" s="3" t="str">
        <f>IFERROR(INDEX(SSUnit,MATCH($A149,SSStem,0)),"")</f>
        <v>factor</v>
      </c>
    </row>
    <row r="150">
      <c r="A150" s="32" t="inlineStr">
        <is>
          <t>mit.xets.p</t>
        </is>
      </c>
      <c r="B150" s="3" t="str">
        <f>IFERROR(INDEX(SSDesc,MATCH($A150,SSStem,0)),$A150)</f>
        <v>Existing ETS: factor on the data prices (national and EU ETS)</v>
      </c>
      <c r="C150" s="3" t="str">
        <f>IFERROR(INDEX(SSUnit,MATCH($A150,SSStem,0)),"")</f>
        <v>factor</v>
      </c>
    </row>
    <row r="151">
      <c r="A151" s="32" t="inlineStr">
        <is>
          <t>mit.cptraj</t>
        </is>
      </c>
      <c r="B151" s="3" t="str">
        <f>IFERROR(INDEX(SSDesc,MATCH($A151,SSStem,0)),$A151)</f>
        <v>Carbon price trajectory used</v>
      </c>
      <c r="C151" s="3" t="str">
        <f>IFERROR(INDEX(SSUnit,MATCH($A151,SSStem,0)),"")</f>
        <v>USD/tCO2 real</v>
      </c>
    </row>
    <row r="152">
      <c r="A152" s="32" t="inlineStr">
        <is>
          <t>mit.ets.p</t>
        </is>
      </c>
      <c r="B152" s="3" t="str">
        <f>IFERROR(INDEX(SSDesc,MATCH($A152,SSStem,0)),$A152)</f>
        <v>ETS permit price used</v>
      </c>
      <c r="C152" s="3" t="str">
        <f>IFERROR(INDEX(SSUnit,MATCH($A152,SSStem,0)),"")</f>
        <v>USD/tCO2 real</v>
      </c>
    </row>
    <row r="153">
      <c r="A153" s="32" t="inlineStr">
        <is>
          <t>mit.co2.ets.all.all</t>
        </is>
      </c>
      <c r="B153" s="3" t="str">
        <f>IFERROR(INDEX(SSDesc,MATCH($A153,SSStem,0)),$A153)</f>
        <v>CO2 emissions covered by the new ETS | All sectors | All fuels</v>
      </c>
      <c r="C153" s="3" t="str">
        <f>IFERROR(INDEX(SSUnit,MATCH($A153,SSStem,0)),"")</f>
        <v>MtCO2</v>
      </c>
    </row>
    <row r="154">
      <c r="A154" s="32" t="inlineStr">
        <is>
          <t>mit.co2.cap.all.all</t>
        </is>
      </c>
      <c r="B154" s="3" t="str">
        <f>IFERROR(INDEX(SSDesc,MATCH($A154,SSStem,0)),$A154)</f>
        <v>ETS cap | All sectors | All fuels</v>
      </c>
      <c r="C154" s="3" t="str">
        <f>IFERROR(INDEX(SSUnit,MATCH($A154,SSStem,0)),"")</f>
        <v>MtCO2</v>
      </c>
    </row>
    <row r="155">
      <c r="A155" s="32" t="inlineStr">
        <is>
          <t>mit.pbc.all.gso</t>
        </is>
      </c>
      <c r="B155" s="3" t="str">
        <f>IFERROR(INDEX(SSDesc,MATCH($A155,SSStem,0)),$A155)</f>
        <v>Retail price before new taxes and subsidies | All sectors | Gasoline</v>
      </c>
      <c r="C155" s="3" t="str">
        <f>IFERROR(INDEX(SSUnit,MATCH($A155,SSStem,0)),"")</f>
        <v>USD/GJ real</v>
      </c>
    </row>
    <row r="156">
      <c r="A156" s="32" t="inlineStr">
        <is>
          <t>mit.pbc.all.die</t>
        </is>
      </c>
      <c r="B156" s="3" t="str">
        <f>IFERROR(INDEX(SSDesc,MATCH($A156,SSStem,0)),$A156)</f>
        <v>Retail price before new taxes and subsidies | All sectors | Diesel</v>
      </c>
      <c r="C156" s="3" t="str">
        <f>IFERROR(INDEX(SSUnit,MATCH($A156,SSStem,0)),"")</f>
        <v>USD/GJ real</v>
      </c>
    </row>
    <row r="157">
      <c r="A157" s="32" t="inlineStr">
        <is>
          <t>mit.pbc.res.nga</t>
        </is>
      </c>
      <c r="B157" s="3" t="str">
        <f>IFERROR(INDEX(SSDesc,MATCH($A157,SSStem,0)),$A157)</f>
        <v>Retail price before new taxes and subsidies | Residential | Natural gas</v>
      </c>
      <c r="C157" s="3" t="str">
        <f>IFERROR(INDEX(SSUnit,MATCH($A157,SSStem,0)),"")</f>
        <v>USD/GJ real</v>
      </c>
    </row>
    <row r="158">
      <c r="A158" s="32" t="inlineStr">
        <is>
          <t>mit.atp.rod.gso</t>
        </is>
      </c>
      <c r="B158" s="3" t="str">
        <f>IFERROR(INDEX(SSDesc,MATCH($A158,SSStem,0)),$A158)</f>
        <v>After-tax price | Road | Gasoline</v>
      </c>
      <c r="C158" s="3" t="str">
        <f>IFERROR(INDEX(SSUnit,MATCH($A158,SSStem,0)),"")</f>
        <v>USD/GJ real</v>
      </c>
    </row>
    <row r="159">
      <c r="A159" s="32" t="inlineStr">
        <is>
          <t>mit.rp.res.ecy</t>
        </is>
      </c>
      <c r="B159" s="3" t="str">
        <f>IFERROR(INDEX(SSDesc,MATCH($A159,SSStem,0)),$A159)</f>
        <v>End-user electricity price | Residential | Electricity</v>
      </c>
      <c r="C159" s="3" t="str">
        <f>IFERROR(INDEX(SSUnit,MATCH($A159,SSStem,0)),"")</f>
        <v>USD/kWh real</v>
      </c>
    </row>
    <row r="160">
      <c r="A160" s="32" t="inlineStr">
        <is>
          <t>mit.rp.ind.ecy</t>
        </is>
      </c>
      <c r="B160" s="3" t="str">
        <f>IFERROR(INDEX(SSDesc,MATCH($A160,SSStem,0)),$A160)</f>
        <v>End-user electricity price | Industry | Electricity</v>
      </c>
      <c r="C160" s="3" t="str">
        <f>IFERROR(INDEX(SSUnit,MATCH($A160,SSStem,0)),"")</f>
        <v>USD/kWh real</v>
      </c>
    </row>
    <row r="161">
      <c r="A161" s="32" t="inlineStr">
        <is>
          <t>mit.gncav</t>
        </is>
      </c>
      <c r="B161" s="3" t="str">
        <f>IFERROR(INDEX(SSDesc,MATCH($A161,SSStem,0)),$A161)</f>
        <v>Average generation cost (weighted by generation shares)</v>
      </c>
      <c r="C161" s="3" t="str">
        <f>IFERROR(INDEX(SSUnit,MATCH($A161,SSStem,0)),"")</f>
        <v>USD/kWh</v>
      </c>
    </row>
    <row r="162">
      <c r="A162" s="32" t="inlineStr">
        <is>
          <t>mit.co2.pow.tot</t>
        </is>
      </c>
      <c r="B162" s="3" t="str">
        <f>IFERROR(INDEX(SSDesc,MATCH($A162,SSStem,0)),$A162)</f>
        <v>CO2 emissions from fuel combustion | Power | All fuels</v>
      </c>
      <c r="C162" s="3" t="str">
        <f>IFERROR(INDEX(SSUnit,MATCH($A162,SSStem,0)),"")</f>
        <v>MtCO2</v>
      </c>
    </row>
    <row r="163">
      <c r="A163" s="32" t="inlineStr">
        <is>
          <t>mit.gen_mwy.pow.tot</t>
        </is>
      </c>
      <c r="B163" s="3" t="str">
        <f>IFERROR(INDEX(SSDesc,MATCH($A163,SSStem,0)),$A163)</f>
        <v>Generation, total</v>
      </c>
      <c r="C163" s="3" t="str">
        <f>IFERROR(INDEX(SSUnit,MATCH($A163,SSStem,0)),"")</f>
        <v>MWy</v>
      </c>
    </row>
    <row r="164">
      <c r="A164" s="32" t="inlineStr">
        <is>
          <t>mit.vre</t>
        </is>
      </c>
      <c r="B164" s="3" t="str">
        <f>IFERROR(INDEX(SSDesc,MATCH($A164,SSStem,0)),$A164)</f>
        <v>Variable renewable share of generation (wind, solar, other renewables)</v>
      </c>
      <c r="C164" s="3" t="str">
        <f>IFERROR(INDEX(SSUnit,MATCH($A164,SSStem,0)),"")</f>
        <v>share</v>
      </c>
    </row>
    <row r="165">
      <c r="A165" s="32" t="inlineStr">
        <is>
          <t>mit.shr.pow.nga</t>
        </is>
      </c>
      <c r="B165" s="3" t="str">
        <f>IFERROR(INDEX(SSDesc,MATCH($A165,SSStem,0)),$A165)</f>
        <v>Generation share | Power | Natural gas</v>
      </c>
      <c r="C165" s="3" t="str">
        <f>IFERROR(INDEX(SSUnit,MATCH($A165,SSStem,0)),"")</f>
        <v>share</v>
      </c>
    </row>
    <row r="166">
      <c r="A166" s="32" t="inlineStr">
        <is>
          <t>mit.nid.pow.tot</t>
        </is>
      </c>
      <c r="B166" s="3" t="str">
        <f>IFERROR(INDEX(SSDesc,MATCH($A166,SSStem,0)),$A166)</f>
        <v>New investment, total</v>
      </c>
      <c r="C166" s="3" t="str">
        <f>IFERROR(INDEX(SSUnit,MATCH($A166,SSStem,0)),"")</f>
        <v>USD m real</v>
      </c>
    </row>
    <row r="167">
      <c r="A167" s="32" t="inlineStr">
        <is>
          <t>mit.demtot</t>
        </is>
      </c>
      <c r="B167" s="3" t="str">
        <f>IFERROR(INDEX(SSDesc,MATCH($A167,SSStem,0)),$A167)</f>
        <v>Electricity demand, total</v>
      </c>
      <c r="C167" s="3" t="str">
        <f>IFERROR(INDEX(SSUnit,MATCH($A167,SSStem,0)),"")</f>
        <v>ktoe</v>
      </c>
    </row>
    <row r="168">
      <c r="A168" s="32" t="inlineStr">
        <is>
          <t>mit.eldem.tra.ecy</t>
        </is>
      </c>
      <c r="B168" s="3" t="str">
        <f>IFERROR(INDEX(SSDesc,MATCH($A168,SSStem,0)),$A168)</f>
        <v>Electricity demand (memo: power model H; not in the fuel totals; sector policies do not act on it) | Transport | Electricity</v>
      </c>
      <c r="C168" s="3" t="str">
        <f>IFERROR(INDEX(SSUnit,MATCH($A168,SSStem,0)),"")</f>
        <v>ktoe</v>
      </c>
    </row>
    <row r="169">
      <c r="A169" s="32" t="inlineStr">
        <is>
          <t>mit.eldem.bld.ecy</t>
        </is>
      </c>
      <c r="B169" s="3" t="str">
        <f>IFERROR(INDEX(SSDesc,MATCH($A169,SSStem,0)),$A169)</f>
        <v>Electricity demand (memo: power model H; not in the fuel totals; sector policies do not act on it) | Buildings | Electricity</v>
      </c>
      <c r="C169" s="3" t="str">
        <f>IFERROR(INDEX(SSUnit,MATCH($A169,SSStem,0)),"")</f>
        <v>ktoe</v>
      </c>
    </row>
    <row r="170">
      <c r="A170" s="32" t="inlineStr">
        <is>
          <t>mit.eldem.ind.ecy</t>
        </is>
      </c>
      <c r="B170" s="3" t="str">
        <f>IFERROR(INDEX(SSDesc,MATCH($A170,SSStem,0)),$A170)</f>
        <v>Electricity demand (memo: power model H; not in the fuel totals; sector policies do not act on it) | Industry | Electricity</v>
      </c>
      <c r="C170" s="3" t="str">
        <f>IFERROR(INDEX(SSUnit,MATCH($A170,SSStem,0)),"")</f>
        <v>ktoe</v>
      </c>
    </row>
    <row r="171">
      <c r="A171" s="32" t="inlineStr">
        <is>
          <t>mit.eldem.oen.ecy</t>
        </is>
      </c>
      <c r="B171" s="3" t="str">
        <f>IFERROR(INDEX(SSDesc,MATCH($A171,SSStem,0)),$A171)</f>
        <v>Electricity demand (memo: power model H; not in the fuel totals; sector policies do not act on it) | Other energy use | Electricity</v>
      </c>
      <c r="C171" s="3" t="str">
        <f>IFERROR(INDEX(SSUnit,MATCH($A171,SSStem,0)),"")</f>
        <v>ktoe</v>
      </c>
    </row>
    <row r="172">
      <c r="A172" s="32" t="inlineStr">
        <is>
          <t>mit.req</t>
        </is>
      </c>
      <c r="B172" s="3" t="str">
        <f>IFERROR(INDEX(SSDesc,MATCH($A172,SSStem,0)),$A172)</f>
        <v>Required generation (incl. net exports, transmission and statistical differences, own use)</v>
      </c>
      <c r="C172" s="3" t="str">
        <f>IFERROR(INDEX(SSUnit,MATCH($A172,SSStem,0)),"")</f>
        <v>MWy</v>
      </c>
    </row>
    <row r="173">
      <c r="A173" s="32" t="inlineStr">
        <is>
          <t>mit.cap.pow.tot</t>
        </is>
      </c>
      <c r="B173" s="3" t="str">
        <f>IFERROR(INDEX(SSDesc,MATCH($A173,SSStem,0)),$A173)</f>
        <v>Nameplate capacity, total</v>
      </c>
      <c r="C173" s="3" t="str">
        <f>IFERROR(INDEX(SSUnit,MATCH($A173,SSStem,0)),"")</f>
        <v>MW</v>
      </c>
    </row>
    <row r="174">
      <c r="A174" s="32" t="inlineStr">
        <is>
          <t>mit.cap.pow.wnd</t>
        </is>
      </c>
      <c r="B174" s="3" t="str">
        <f>IFERROR(INDEX(SSDesc,MATCH($A174,SSStem,0)),$A174)</f>
        <v>Nameplate capacity | Power | Wind</v>
      </c>
      <c r="C174" s="3" t="str">
        <f>IFERROR(INDEX(SSUnit,MATCH($A174,SSStem,0)),"")</f>
        <v>MW</v>
      </c>
    </row>
    <row r="175">
      <c r="A175" s="32" t="inlineStr">
        <is>
          <t>mit.cap.pow.sol</t>
        </is>
      </c>
      <c r="B175" s="3" t="str">
        <f>IFERROR(INDEX(SSDesc,MATCH($A175,SSStem,0)),$A175)</f>
        <v>Nameplate capacity | Power | Solar</v>
      </c>
      <c r="C175" s="3" t="str">
        <f>IFERROR(INDEX(SSUnit,MATCH($A175,SSStem,0)),"")</f>
        <v>MW</v>
      </c>
    </row>
    <row r="176">
      <c r="A176" s="32" t="inlineStr">
        <is>
          <t>mit.nim.pow.tot</t>
        </is>
      </c>
      <c r="B176" s="3" t="str">
        <f>IFERROR(INDEX(SSDesc,MATCH($A176,SSStem,0)),$A176)</f>
        <v>New nameplate investment, total</v>
      </c>
      <c r="C176" s="3" t="str">
        <f>IFERROR(INDEX(SSUnit,MATCH($A176,SSStem,0)),"")</f>
        <v>MW</v>
      </c>
    </row>
    <row r="177">
      <c r="A177" s="32" t="inlineStr">
        <is>
          <t>mit.shr.pow.coa</t>
        </is>
      </c>
      <c r="B177" s="3" t="str">
        <f>IFERROR(INDEX(SSDesc,MATCH($A177,SSStem,0)),$A177)</f>
        <v>Generation share | Power | Coal</v>
      </c>
      <c r="C177" s="3" t="str">
        <f>IFERROR(INDEX(SSUnit,MATCH($A177,SSStem,0)),"")</f>
        <v>share</v>
      </c>
    </row>
    <row r="178">
      <c r="A178" s="32" t="inlineStr">
        <is>
          <t>mit.shr.pow.oop</t>
        </is>
      </c>
      <c r="B178" s="3" t="str">
        <f>IFERROR(INDEX(SSDesc,MATCH($A178,SSStem,0)),$A178)</f>
        <v>Generation share | Power | Other oil products</v>
      </c>
      <c r="C178" s="3" t="str">
        <f>IFERROR(INDEX(SSUnit,MATCH($A178,SSStem,0)),"")</f>
        <v>share</v>
      </c>
    </row>
    <row r="179">
      <c r="A179" s="32" t="inlineStr">
        <is>
          <t>mit.shr.pow.wnd</t>
        </is>
      </c>
      <c r="B179" s="3" t="str">
        <f>IFERROR(INDEX(SSDesc,MATCH($A179,SSStem,0)),$A179)</f>
        <v>Generation share | Power | Wind</v>
      </c>
      <c r="C179" s="3" t="str">
        <f>IFERROR(INDEX(SSUnit,MATCH($A179,SSStem,0)),"")</f>
        <v>share</v>
      </c>
    </row>
    <row r="180">
      <c r="A180" s="32" t="inlineStr">
        <is>
          <t>mit.shr.pow.sol</t>
        </is>
      </c>
      <c r="B180" s="3" t="str">
        <f>IFERROR(INDEX(SSDesc,MATCH($A180,SSStem,0)),$A180)</f>
        <v>Generation share | Power | Solar</v>
      </c>
      <c r="C180" s="3" t="str">
        <f>IFERROR(INDEX(SSUnit,MATCH($A180,SSStem,0)),"")</f>
        <v>share</v>
      </c>
    </row>
    <row r="181">
      <c r="A181" s="32" t="inlineStr">
        <is>
          <t>mit.shr.pow.hyd</t>
        </is>
      </c>
      <c r="B181" s="3" t="str">
        <f>IFERROR(INDEX(SSDesc,MATCH($A181,SSStem,0)),$A181)</f>
        <v>Generation share | Power | Hydro</v>
      </c>
      <c r="C181" s="3" t="str">
        <f>IFERROR(INDEX(SSUnit,MATCH($A181,SSStem,0)),"")</f>
        <v>share</v>
      </c>
    </row>
    <row r="182">
      <c r="A182" s="32" t="inlineStr">
        <is>
          <t>mit.ccpav</t>
        </is>
      </c>
      <c r="B182" s="3" t="str">
        <f>IFERROR(INDEX(SSDesc,MATCH($A182,SSStem,0)),$A182)</f>
        <v>Average new policy cost per kWh consumed</v>
      </c>
      <c r="C182" s="3" t="str">
        <f>IFERROR(INDEX(SSUnit,MATCH($A182,SSStem,0)),"")</f>
        <v>USD/kWh</v>
      </c>
    </row>
    <row r="183">
      <c r="A183" s="32" t="inlineStr">
        <is>
          <t>mit.rcarb.res.ecy</t>
        </is>
      </c>
      <c r="B183" s="3" t="str">
        <f>IFERROR(INDEX(SSDesc,MATCH($A183,SSStem,0)),$A183)</f>
        <v>New-policy cost per user group (carbon tax, ETS at the tax-equivalent price, fuel price reform; memo, revenue: prnew in M) | Residential | Electricity</v>
      </c>
      <c r="C183" s="3" t="str">
        <f>IFERROR(INDEX(SSUnit,MATCH($A183,SSStem,0)),"")</f>
        <v>USD m real</v>
      </c>
    </row>
    <row r="184">
      <c r="A184" s="32" t="inlineStr">
        <is>
          <t>mit.rcarb.ind.ecy</t>
        </is>
      </c>
      <c r="B184" s="3" t="str">
        <f>IFERROR(INDEX(SSDesc,MATCH($A184,SSStem,0)),$A184)</f>
        <v>New-policy cost per user group (carbon tax, ETS at the tax-equivalent price, fuel price reform; memo, revenue: prnew in M) | Industry | Electricity</v>
      </c>
      <c r="C184" s="3" t="str">
        <f>IFERROR(INDEX(SSUnit,MATCH($A184,SSStem,0)),"")</f>
        <v>USD m real</v>
      </c>
    </row>
    <row r="185">
      <c r="A185" s="32" t="inlineStr">
        <is>
          <t>mit.ghg.tot.tot</t>
        </is>
      </c>
      <c r="B185" s="3" t="str">
        <f>IFERROR(INDEX(SSDesc,MATCH($A185,SSStem,0)),$A185)</f>
        <v>GHG emissions | All sectors | All fuels</v>
      </c>
      <c r="C185" s="3" t="str">
        <f>IFERROR(INDEX(SSUnit,MATCH($A185,SSStem,0)),"")</f>
        <v>Mt CO2e</v>
      </c>
    </row>
    <row r="186">
      <c r="A186" s="32" t="inlineStr">
        <is>
          <t>mit.ch4.tot</t>
        </is>
      </c>
      <c r="B186" s="3" t="str">
        <f>IFERROR(INDEX(SSDesc,MATCH($A186,SSStem,0)),$A186)</f>
        <v>GHG emissions | All sectors | CH4</v>
      </c>
      <c r="C186" s="3" t="str">
        <f>IFERROR(INDEX(SSUnit,MATCH($A186,SSStem,0)),"")</f>
        <v>Mt CO2e</v>
      </c>
    </row>
    <row r="187">
      <c r="A187" s="32" t="inlineStr">
        <is>
          <t>mit.n2o.tot</t>
        </is>
      </c>
      <c r="B187" s="3" t="str">
        <f>IFERROR(INDEX(SSDesc,MATCH($A187,SSStem,0)),$A187)</f>
        <v>GHG emissions | All sectors | N2O</v>
      </c>
      <c r="C187" s="3" t="str">
        <f>IFERROR(INDEX(SSUnit,MATCH($A187,SSStem,0)),"")</f>
        <v>Mt CO2e</v>
      </c>
    </row>
    <row r="188">
      <c r="A188" s="32" t="inlineStr">
        <is>
          <t>mit.ghg.chg.all.all</t>
        </is>
      </c>
      <c r="B188" s="3" t="str">
        <f>IFERROR(INDEX(SSDesc,MATCH($A188,SSStem,0)),$A188)</f>
        <v>Change in GHG emissions vs scenario 1 | All sectors | All fuels</v>
      </c>
      <c r="C188" s="3" t="str">
        <f>IFERROR(INDEX(SSUnit,MATCH($A188,SSStem,0)),"")</f>
        <v>Mt CO2e</v>
      </c>
    </row>
    <row r="189">
      <c r="A189" s="32" t="inlineStr">
        <is>
          <t>mit.ch4.rev.all.all</t>
        </is>
      </c>
      <c r="B189" s="3" t="str">
        <f>IFERROR(INDEX(SSDesc,MATCH($A189,SSStem,0)),$A189)</f>
        <v>Revenue from the methane fee | All sectors | All fuels</v>
      </c>
      <c r="C189" s="3" t="str">
        <f>IFERROR(INDEX(SSUnit,MATCH($A189,SSStem,0)),"")</f>
        <v>USD m real</v>
      </c>
    </row>
    <row r="190">
      <c r="A190" s="32" t="inlineStr">
        <is>
          <t>mit.em.tot.pm2</t>
        </is>
      </c>
      <c r="B190" s="3" t="str">
        <f>IFERROR(INDEX(SSDesc,MATCH($A190,SSStem,0)),$A190)</f>
        <v>Local air pollutant emissions | All sectors | PM2.5</v>
      </c>
      <c r="C190" s="3" t="str">
        <f>IFERROR(INDEX(SSUnit,MATCH($A190,SSStem,0)),"")</f>
        <v>kt</v>
      </c>
    </row>
    <row r="191">
      <c r="A191" s="32" t="inlineStr">
        <is>
          <t>mit.em.tot.nox</t>
        </is>
      </c>
      <c r="B191" s="3" t="str">
        <f>IFERROR(INDEX(SSDesc,MATCH($A191,SSStem,0)),$A191)</f>
        <v>Local air pollutant emissions | All sectors | NOx</v>
      </c>
      <c r="C191" s="3" t="str">
        <f>IFERROR(INDEX(SSUnit,MATCH($A191,SSStem,0)),"")</f>
        <v>kt</v>
      </c>
    </row>
    <row r="192">
      <c r="A192" s="32" t="inlineStr">
        <is>
          <t>mit.em.tot.so2</t>
        </is>
      </c>
      <c r="B192" s="3" t="str">
        <f>IFERROR(INDEX(SSDesc,MATCH($A192,SSStem,0)),$A192)</f>
        <v>Local air pollutant emissions | All sectors | SO2</v>
      </c>
      <c r="C192" s="3" t="str">
        <f>IFERROR(INDEX(SSUnit,MATCH($A192,SSStem,0)),"")</f>
        <v>kt</v>
      </c>
    </row>
    <row r="193">
      <c r="A193" s="32" t="inlineStr">
        <is>
          <t>mit.em.tot.bc</t>
        </is>
      </c>
      <c r="B193" s="3" t="str">
        <f>IFERROR(INDEX(SSDesc,MATCH($A193,SSStem,0)),$A193)</f>
        <v>Local air pollutant emissions | All sectors | Black carbon</v>
      </c>
      <c r="C193" s="3" t="str">
        <f>IFERROR(INDEX(SSUnit,MATCH($A193,SSStem,0)),"")</f>
        <v>kt</v>
      </c>
    </row>
    <row r="194">
      <c r="A194" s="32" t="inlineStr">
        <is>
          <t>mit.apf.tot.tot</t>
        </is>
      </c>
      <c r="B194" s="3" t="str">
        <f>IFERROR(INDEX(SSDesc,MATCH($A194,SSStem,0)),$A194)</f>
        <v>Forcing of local air pollutants (memo, not in the GHG totals) | All sectors | All fuels</v>
      </c>
      <c r="C194" s="3" t="str">
        <f>IFERROR(INDEX(SSUnit,MATCH($A194,SSStem,0)),"")</f>
        <v>Mt CO2e</v>
      </c>
    </row>
    <row r="195">
      <c r="A195" s="32" t="inlineStr">
        <is>
          <t>mit.gdp.eff.tot.tot</t>
        </is>
      </c>
      <c r="B195" s="3" t="str">
        <f>IFERROR(INDEX(SSDesc,MATCH($A195,SSStem,0)),$A195)</f>
        <v>GDP effect of the revenue use (level, vs baseline) | All sectors | All fuels</v>
      </c>
      <c r="C195" s="3" t="str">
        <f>IFERROR(INDEX(SSUnit,MATCH($A195,SSStem,0)),"")</f>
        <v>share of GDP</v>
      </c>
    </row>
    <row r="196">
      <c r="A196" s="32" t="inlineStr">
        <is>
          <t>mit.gdp.pos.usd.all.all</t>
        </is>
      </c>
      <c r="B196" s="3" t="str">
        <f>IFERROR(INDEX(SSDesc,MATCH($A196,SSStem,0)),$A196)</f>
        <v>Real GDP after the feedback | All sectors | All fuels</v>
      </c>
      <c r="C196" s="3" t="str">
        <f>IFERROR(INDEX(SSUnit,MATCH($A196,SSStem,0)),"")</f>
        <v>USD bn</v>
      </c>
    </row>
    <row r="197">
      <c r="A197" s="32" t="inlineStr">
        <is>
          <t>mit.fis.sp.all.all</t>
        </is>
      </c>
      <c r="B197" s="3" t="str">
        <f>IFERROR(INDEX(SSDesc,MATCH($A197,SSStem,0)),$A197)</f>
        <v>Fiscal space: total revenue above scenario 1 | All sectors | All fuels</v>
      </c>
      <c r="C197" s="3" t="str">
        <f>IFERROR(INDEX(SSUnit,MATCH($A197,SSStem,0)),"")</f>
        <v>share of GDP</v>
      </c>
    </row>
    <row r="198">
      <c r="A198" s="32" t="inlineStr">
        <is>
          <t>mit.ndc.lvl.all.sel</t>
        </is>
      </c>
      <c r="B198" s="3" t="str">
        <f>IFERROR(INDEX(SSDesc,MATCH($A198,SSStem,0)),$A198)</f>
        <v>NDC target, GHGs incl. LULUCF | All sectors | </v>
      </c>
      <c r="C198" s="3" t="str">
        <f>IFERROR(INDEX(SSUnit,MATCH($A198,SSStem,0)),"")</f>
        <v>Mt CO2e</v>
      </c>
    </row>
    <row r="199">
      <c r="A199" s="32" t="inlineStr">
        <is>
          <t>mit.ndc.gap.all.all</t>
        </is>
      </c>
      <c r="B199" s="3" t="str">
        <f>IFERROR(INDEX(SSDesc,MATCH($A199,SSStem,0)),$A199)</f>
        <v>Share of the NDC reduction achieved | All sectors | All fuels</v>
      </c>
      <c r="C199" s="3" t="str">
        <f>IFERROR(INDEX(SSUnit,MATCH($A199,SSStem,0)),"")</f>
        <v>share</v>
      </c>
    </row>
    <row r="200">
      <c r="A200" s="32" t="inlineStr">
        <is>
          <t>mit.gdp.chg.usd.all.all</t>
        </is>
      </c>
      <c r="B200" s="3" t="str">
        <f>IFERROR(INDEX(SSDesc,MATCH($A200,SSStem,0)),$A200)</f>
        <v>Change in real GDP level against the baseline (memo) | All sectors | All fuels</v>
      </c>
      <c r="C200" s="3" t="str">
        <f>IFERROR(INDEX(SSUnit,MATCH($A200,SSStem,0)),"")</f>
        <v>USD bn</v>
      </c>
    </row>
  </sheetData>
  <conditionalFormatting sqref="D37:W46">
    <cfRule type="expression" priority="1" dxfId="0">
      <formula>ISNA(D37)</formula>
    </cfRule>
  </conditionalFormatting>
  <conditionalFormatting sqref="D54:W63">
    <cfRule type="expression" priority="2" dxfId="0">
      <formula>ISNA(D54)</formula>
    </cfRule>
  </conditionalFormatting>
  <conditionalFormatting sqref="D71:W80">
    <cfRule type="expression" priority="3" dxfId="0">
      <formula>ISNA(D71)</formula>
    </cfRule>
  </conditionalFormatting>
  <conditionalFormatting sqref="D88:W97">
    <cfRule type="expression" priority="4" dxfId="0">
      <formula>ISNA(D88)</formula>
    </cfRule>
  </conditionalFormatting>
  <dataValidations count="5">
    <dataValidation sqref="C5" showDropDown="0" showInputMessage="0" showErrorMessage="0" allowBlank="0" type="list">
      <formula1>"2022,2023,2024,2025,2026,2027,2028,2029,2030,2031,2032,2033,2034,2035,2036,2037,2038,2039,2040,2041"</formula1>
    </dataValidation>
    <dataValidation sqref="B35" showDropDown="0" showInputMessage="0" showErrorMessage="0" allowBlank="0" type="list">
      <formula1>=$B$105:$B$200</formula1>
    </dataValidation>
    <dataValidation sqref="B52" showDropDown="0" showInputMessage="0" showErrorMessage="0" allowBlank="0" type="list">
      <formula1>=$B$105:$B$200</formula1>
    </dataValidation>
    <dataValidation sqref="B69" showDropDown="0" showInputMessage="0" showErrorMessage="0" allowBlank="0" type="list">
      <formula1>=$B$105:$B$200</formula1>
    </dataValidation>
    <dataValidation sqref="B86" showDropDown="0" showInputMessage="0" showErrorMessage="0" allowBlank="0" type="list">
      <formula1>=$B$105:$B$200</formula1>
    </dataValidation>
  </dataValidations>
  <pageMargins left="0.75" right="0.75" top="1" bottom="1" header="0.5" footer="0.5"/>
  <drawing xmlns:r="http://schemas.openxmlformats.org/officeDocument/2006/relationships" r:id="rId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2026-10-31T09:38:40Z</dcterms:created>
  <dcterms:modified xmlns:dcterms="http://purl.org/dc/terms/" xmlns:xsi="http://www.w3.org/2001/XMLSchema-instance" xsi:type="dcterms:W3CDTF">2026-10-31T09:38:41Z</dcterms:modified>
</cp:coreProperties>
</file>